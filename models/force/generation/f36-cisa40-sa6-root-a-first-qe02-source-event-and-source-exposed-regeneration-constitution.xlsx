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b56a9db4e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3e97b605674169"/>
    <x:sheet xmlns:r="http://schemas.openxmlformats.org/officeDocument/2006/relationships" name="Controls" sheetId="2" r:id="R109ed618d85a4902"/>
    <x:sheet xmlns:r="http://schemas.openxmlformats.org/officeDocument/2006/relationships" name="Research Questions" sheetId="3" r:id="R717a047d316344ee"/>
    <x:sheet xmlns:r="http://schemas.openxmlformats.org/officeDocument/2006/relationships" name="Claim Boundary" sheetId="4" r:id="R34f5d39e23de4377"/>
    <x:sheet xmlns:r="http://schemas.openxmlformats.org/officeDocument/2006/relationships" name="Governance" sheetId="5" r:id="R1fb64198e43242b5"/>
    <x:sheet xmlns:r="http://schemas.openxmlformats.org/officeDocument/2006/relationships" name="State Chain" sheetId="6" r:id="Rf03fa1b63d414158"/>
    <x:sheet xmlns:r="http://schemas.openxmlformats.org/officeDocument/2006/relationships" name="Candidate Cells" sheetId="7" r:id="R3c73a1728cf24819"/>
    <x:sheet xmlns:r="http://schemas.openxmlformats.org/officeDocument/2006/relationships" name="Eligibility Gates" sheetId="8" r:id="Rfb857f6bf45a4b3a"/>
    <x:sheet xmlns:r="http://schemas.openxmlformats.org/officeDocument/2006/relationships" name="Draw Commitments" sheetId="9" r:id="Ra63414d368b444e6"/>
    <x:sheet xmlns:r="http://schemas.openxmlformats.org/officeDocument/2006/relationships" name="Event Selection" sheetId="10" r:id="R94571f997f754e24"/>
    <x:sheet xmlns:r="http://schemas.openxmlformats.org/officeDocument/2006/relationships" name="Attempt Tokens" sheetId="11" r:id="Rad7f9fd0a6884728"/>
    <x:sheet xmlns:r="http://schemas.openxmlformats.org/officeDocument/2006/relationships" name="Attempt Register" sheetId="12" r:id="R34e9d4d716ba4500"/>
    <x:sheet xmlns:r="http://schemas.openxmlformats.org/officeDocument/2006/relationships" name="Source Packages" sheetId="13" r:id="R4307d49e4ca54cfa"/>
    <x:sheet xmlns:r="http://schemas.openxmlformats.org/officeDocument/2006/relationships" name="Package Characteristics" sheetId="14" r:id="R7c015f2f539f430a"/>
    <x:sheet xmlns:r="http://schemas.openxmlformats.org/officeDocument/2006/relationships" name="Lot Allocation" sheetId="15" r:id="R0aa42307604f4e28"/>
    <x:sheet xmlns:r="http://schemas.openxmlformats.org/officeDocument/2006/relationships" name="Custody Transfers" sheetId="16" r:id="R24eecfec1cb140f6"/>
    <x:sheet xmlns:r="http://schemas.openxmlformats.org/officeDocument/2006/relationships" name="Physical Screens" sheetId="17" r:id="R7bf1845de0b24d22"/>
    <x:sheet xmlns:r="http://schemas.openxmlformats.org/officeDocument/2006/relationships" name="Water Package" sheetId="18" r:id="R3999985a41bf40e1"/>
    <x:sheet xmlns:r="http://schemas.openxmlformats.org/officeDocument/2006/relationships" name="Final Control Elements" sheetId="19" r:id="Rc9c5bd807cd3415d"/>
    <x:sheet xmlns:r="http://schemas.openxmlformats.org/officeDocument/2006/relationships" name="Safeing Paths" sheetId="20" r:id="R31c190367add4cb2"/>
    <x:sheet xmlns:r="http://schemas.openxmlformats.org/officeDocument/2006/relationships" name="Path Proofs" sheetId="21" r:id="Rc18e9ec0bf154bf5"/>
    <x:sheet xmlns:r="http://schemas.openxmlformats.org/officeDocument/2006/relationships" name="Dossier Bindings" sheetId="22" r:id="Rd6a17d9671764722"/>
    <x:sheet xmlns:r="http://schemas.openxmlformats.org/officeDocument/2006/relationships" name="Event Crew" sheetId="23" r:id="R1d3ba2331c5042fb"/>
    <x:sheet xmlns:r="http://schemas.openxmlformats.org/officeDocument/2006/relationships" name="Configuration Freeze" sheetId="24" r:id="Rffcf0539da294b47"/>
    <x:sheet xmlns:r="http://schemas.openxmlformats.org/officeDocument/2006/relationships" name="Event Clock" sheetId="25" r:id="R1b9ea2e3fd99439e"/>
    <x:sheet xmlns:r="http://schemas.openxmlformats.org/officeDocument/2006/relationships" name="Holds" sheetId="26" r:id="Ra7ec8c4f8cc14fb0"/>
    <x:sheet xmlns:r="http://schemas.openxmlformats.org/officeDocument/2006/relationships" name="Command Transactions" sheetId="27" r:id="Re0d529fdb50a4bc2"/>
    <x:sheet xmlns:r="http://schemas.openxmlformats.org/officeDocument/2006/relationships" name="Abort Conditions" sheetId="28" r:id="R249e5781d08946ed"/>
    <x:sheet xmlns:r="http://schemas.openxmlformats.org/officeDocument/2006/relationships" name="Public Interventions" sheetId="29" r:id="R4cb2edf8a2ce4a97"/>
    <x:sheet xmlns:r="http://schemas.openxmlformats.org/officeDocument/2006/relationships" name="Measurement Plan" sheetId="30" r:id="R911de4539d0e4bd2"/>
    <x:sheet xmlns:r="http://schemas.openxmlformats.org/officeDocument/2006/relationships" name="Uncertainty" sheetId="31" r:id="Rb045134311c5400f"/>
    <x:sheet xmlns:r="http://schemas.openxmlformats.org/officeDocument/2006/relationships" name="Source Ledger" sheetId="32" r:id="Rc8858697635a4fc2"/>
    <x:sheet xmlns:r="http://schemas.openxmlformats.org/officeDocument/2006/relationships" name="Water Ledger" sheetId="33" r:id="R30ee1e2bf7974b90"/>
    <x:sheet xmlns:r="http://schemas.openxmlformats.org/officeDocument/2006/relationships" name="Ancestry Ledger" sheetId="34" r:id="R8950d036fd44422d"/>
    <x:sheet xmlns:r="http://schemas.openxmlformats.org/officeDocument/2006/relationships" name="Samples" sheetId="35" r:id="R30ac74973ed8490c"/>
    <x:sheet xmlns:r="http://schemas.openxmlformats.org/officeDocument/2006/relationships" name="Evidence Obligations" sheetId="36" r:id="R56277c6bc82f4cdf"/>
    <x:sheet xmlns:r="http://schemas.openxmlformats.org/officeDocument/2006/relationships" name="Evidence Replay" sheetId="37" r:id="Rde9e5d4cb458436f"/>
    <x:sheet xmlns:r="http://schemas.openxmlformats.org/officeDocument/2006/relationships" name="Validity Rules" sheetId="38" r:id="Rda028d1c1f384508"/>
    <x:sheet xmlns:r="http://schemas.openxmlformats.org/officeDocument/2006/relationships" name="Outcome Rules" sheetId="39" r:id="Raa0640bcf85940cb"/>
    <x:sheet xmlns:r="http://schemas.openxmlformats.org/officeDocument/2006/relationships" name="Event Result" sheetId="40" r:id="Rbc7f4771dcd24621"/>
    <x:sheet xmlns:r="http://schemas.openxmlformats.org/officeDocument/2006/relationships" name="Recovery States" sheetId="41" r:id="Rd02e184ca51b49de"/>
    <x:sheet xmlns:r="http://schemas.openxmlformats.org/officeDocument/2006/relationships" name="Regeneration Tasks" sheetId="42" r:id="R047f99099fcd45a9"/>
    <x:sheet xmlns:r="http://schemas.openxmlformats.org/officeDocument/2006/relationships" name="Waste Disposition" sheetId="43" r:id="R55414b761b264297"/>
    <x:sheet xmlns:r="http://schemas.openxmlformats.org/officeDocument/2006/relationships" name="Reentry Decisions" sheetId="44" r:id="R1049c074a3c541a5"/>
    <x:sheet xmlns:r="http://schemas.openxmlformats.org/officeDocument/2006/relationships" name="Credential Windows" sheetId="45" r:id="R01f9be45537c438c"/>
    <x:sheet xmlns:r="http://schemas.openxmlformats.org/officeDocument/2006/relationships" name="Exceptions" sheetId="46" r:id="R755e9c0ba17044d3"/>
    <x:sheet xmlns:r="http://schemas.openxmlformats.org/officeDocument/2006/relationships" name="Change Control" sheetId="47" r:id="R1ac6279a94a14335"/>
    <x:sheet xmlns:r="http://schemas.openxmlformats.org/officeDocument/2006/relationships" name="Quarantine" sheetId="48" r:id="R3d8374852f474062"/>
    <x:sheet xmlns:r="http://schemas.openxmlformats.org/officeDocument/2006/relationships" name="Release Gates" sheetId="49" r:id="R472af9d2e71b475d"/>
    <x:sheet xmlns:r="http://schemas.openxmlformats.org/officeDocument/2006/relationships" name="Event Release" sheetId="50" r:id="Rd0bbee4cf01e4b21"/>
    <x:sheet xmlns:r="http://schemas.openxmlformats.org/officeDocument/2006/relationships" name="Downstream Boundary" sheetId="51" r:id="R9a23fc2df98940cd"/>
    <x:sheet xmlns:r="http://schemas.openxmlformats.org/officeDocument/2006/relationships" name="Decision Rules" sheetId="52" r:id="Ra08325df2ce84a72"/>
    <x:sheet xmlns:r="http://schemas.openxmlformats.org/officeDocument/2006/relationships" name="Stop Rules" sheetId="53" r:id="R57f07ff497134480"/>
    <x:sheet xmlns:r="http://schemas.openxmlformats.org/officeDocument/2006/relationships" name="Schedule" sheetId="54" r:id="R2481e76da1574e93"/>
    <x:sheet xmlns:r="http://schemas.openxmlformats.org/officeDocument/2006/relationships" name="Capacity" sheetId="55" r:id="Rf7d00d4533ea4a28"/>
    <x:sheet xmlns:r="http://schemas.openxmlformats.org/officeDocument/2006/relationships" name="Capital" sheetId="56" r:id="Rf0da1c8ca1b74d12"/>
    <x:sheet xmlns:r="http://schemas.openxmlformats.org/officeDocument/2006/relationships" name="Annual Support" sheetId="57" r:id="Rc19c798a5c52426b"/>
    <x:sheet xmlns:r="http://schemas.openxmlformats.org/officeDocument/2006/relationships" name="Quarterly Cash Flow" sheetId="58" r:id="Rb2e735150b8f4234"/>
    <x:sheet xmlns:r="http://schemas.openxmlformats.org/officeDocument/2006/relationships" name="Portfolio Boundary" sheetId="59" r:id="R11bb7df2f87d457a"/>
    <x:sheet xmlns:r="http://schemas.openxmlformats.org/officeDocument/2006/relationships" name="Technology Programs" sheetId="60" r:id="R047577b3a1ea4695"/>
    <x:sheet xmlns:r="http://schemas.openxmlformats.org/officeDocument/2006/relationships" name="Executable Tests" sheetId="61" r:id="R39313de94baa4136"/>
    <x:sheet xmlns:r="http://schemas.openxmlformats.org/officeDocument/2006/relationships" name="Audit" sheetId="62" r:id="R4a315b1070264b79"/>
    <x:sheet xmlns:r="http://schemas.openxmlformats.org/officeDocument/2006/relationships" name="Sources" sheetId="63" r:id="Re8c76fb4434740de"/>
    <x:sheet xmlns:r="http://schemas.openxmlformats.org/officeDocument/2006/relationships" name="ReadMe" sheetId="64" r:id="R8ef20bf6bcbf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324A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8"/>
      </x:patternFill>
    </x:fill>
    <x:fill>
      <x:patternFill patternType="solid">
        <x:fgColor rgb="FF2D5F8B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15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71eec42e54546" /><Relationship Type="http://schemas.openxmlformats.org/officeDocument/2006/relationships/theme" Target="/xl/theme/theme1.xml" Id="R099a455d185e401d" /><Relationship Type="http://schemas.openxmlformats.org/officeDocument/2006/relationships/sharedStrings" Target="/xl/sharedStrings.xml" Id="R0a4e59fed44641d4" /><Relationship Type="http://schemas.openxmlformats.org/officeDocument/2006/relationships/worksheet" Target="/xl/worksheets/sheet1.xml" Id="R3e3e97b605674169" /><Relationship Type="http://schemas.openxmlformats.org/officeDocument/2006/relationships/worksheet" Target="/xl/worksheets/sheet2.xml" Id="R109ed618d85a4902" /><Relationship Type="http://schemas.openxmlformats.org/officeDocument/2006/relationships/worksheet" Target="/xl/worksheets/sheet3.xml" Id="R717a047d316344ee" /><Relationship Type="http://schemas.openxmlformats.org/officeDocument/2006/relationships/worksheet" Target="/xl/worksheets/sheet4.xml" Id="R34f5d39e23de4377" /><Relationship Type="http://schemas.openxmlformats.org/officeDocument/2006/relationships/worksheet" Target="/xl/worksheets/sheet5.xml" Id="R1fb64198e43242b5" /><Relationship Type="http://schemas.openxmlformats.org/officeDocument/2006/relationships/worksheet" Target="/xl/worksheets/sheet6.xml" Id="Rf03fa1b63d414158" /><Relationship Type="http://schemas.openxmlformats.org/officeDocument/2006/relationships/worksheet" Target="/xl/worksheets/sheet7.xml" Id="R3c73a1728cf24819" /><Relationship Type="http://schemas.openxmlformats.org/officeDocument/2006/relationships/worksheet" Target="/xl/worksheets/sheet8.xml" Id="Rfb857f6bf45a4b3a" /><Relationship Type="http://schemas.openxmlformats.org/officeDocument/2006/relationships/worksheet" Target="/xl/worksheets/sheet9.xml" Id="Ra63414d368b444e6" /><Relationship Type="http://schemas.openxmlformats.org/officeDocument/2006/relationships/worksheet" Target="/xl/worksheets/sheet10.xml" Id="R94571f997f754e24" /><Relationship Type="http://schemas.openxmlformats.org/officeDocument/2006/relationships/worksheet" Target="/xl/worksheets/sheet11.xml" Id="Rad7f9fd0a6884728" /><Relationship Type="http://schemas.openxmlformats.org/officeDocument/2006/relationships/worksheet" Target="/xl/worksheets/sheet12.xml" Id="R34e9d4d716ba4500" /><Relationship Type="http://schemas.openxmlformats.org/officeDocument/2006/relationships/worksheet" Target="/xl/worksheets/sheet13.xml" Id="R4307d49e4ca54cfa" /><Relationship Type="http://schemas.openxmlformats.org/officeDocument/2006/relationships/worksheet" Target="/xl/worksheets/sheet14.xml" Id="R7c015f2f539f430a" /><Relationship Type="http://schemas.openxmlformats.org/officeDocument/2006/relationships/worksheet" Target="/xl/worksheets/sheet15.xml" Id="R0aa42307604f4e28" /><Relationship Type="http://schemas.openxmlformats.org/officeDocument/2006/relationships/worksheet" Target="/xl/worksheets/sheet16.xml" Id="R24eecfec1cb140f6" /><Relationship Type="http://schemas.openxmlformats.org/officeDocument/2006/relationships/worksheet" Target="/xl/worksheets/sheet17.xml" Id="R7bf1845de0b24d22" /><Relationship Type="http://schemas.openxmlformats.org/officeDocument/2006/relationships/worksheet" Target="/xl/worksheets/sheet18.xml" Id="R3999985a41bf40e1" /><Relationship Type="http://schemas.openxmlformats.org/officeDocument/2006/relationships/worksheet" Target="/xl/worksheets/sheet19.xml" Id="Rc9c5bd807cd3415d" /><Relationship Type="http://schemas.openxmlformats.org/officeDocument/2006/relationships/worksheet" Target="/xl/worksheets/sheet20.xml" Id="R31c190367add4cb2" /><Relationship Type="http://schemas.openxmlformats.org/officeDocument/2006/relationships/worksheet" Target="/xl/worksheets/sheet21.xml" Id="Rc18e9ec0bf154bf5" /><Relationship Type="http://schemas.openxmlformats.org/officeDocument/2006/relationships/worksheet" Target="/xl/worksheets/sheet22.xml" Id="Rd6a17d9671764722" /><Relationship Type="http://schemas.openxmlformats.org/officeDocument/2006/relationships/worksheet" Target="/xl/worksheets/sheet23.xml" Id="R1d3ba2331c5042fb" /><Relationship Type="http://schemas.openxmlformats.org/officeDocument/2006/relationships/worksheet" Target="/xl/worksheets/sheet24.xml" Id="Rffcf0539da294b47" /><Relationship Type="http://schemas.openxmlformats.org/officeDocument/2006/relationships/worksheet" Target="/xl/worksheets/sheet25.xml" Id="R1b9ea2e3fd99439e" /><Relationship Type="http://schemas.openxmlformats.org/officeDocument/2006/relationships/worksheet" Target="/xl/worksheets/sheet26.xml" Id="Ra7ec8c4f8cc14fb0" /><Relationship Type="http://schemas.openxmlformats.org/officeDocument/2006/relationships/worksheet" Target="/xl/worksheets/sheet27.xml" Id="Re0d529fdb50a4bc2" /><Relationship Type="http://schemas.openxmlformats.org/officeDocument/2006/relationships/worksheet" Target="/xl/worksheets/sheet28.xml" Id="R249e5781d08946ed" /><Relationship Type="http://schemas.openxmlformats.org/officeDocument/2006/relationships/worksheet" Target="/xl/worksheets/sheet29.xml" Id="R4cb2edf8a2ce4a97" /><Relationship Type="http://schemas.openxmlformats.org/officeDocument/2006/relationships/worksheet" Target="/xl/worksheets/sheet30.xml" Id="R911de4539d0e4bd2" /><Relationship Type="http://schemas.openxmlformats.org/officeDocument/2006/relationships/worksheet" Target="/xl/worksheets/sheet31.xml" Id="Rb045134311c5400f" /><Relationship Type="http://schemas.openxmlformats.org/officeDocument/2006/relationships/worksheet" Target="/xl/worksheets/sheet32.xml" Id="Rc8858697635a4fc2" /><Relationship Type="http://schemas.openxmlformats.org/officeDocument/2006/relationships/worksheet" Target="/xl/worksheets/sheet33.xml" Id="R30ee1e2bf7974b90" /><Relationship Type="http://schemas.openxmlformats.org/officeDocument/2006/relationships/worksheet" Target="/xl/worksheets/sheet34.xml" Id="R8950d036fd44422d" /><Relationship Type="http://schemas.openxmlformats.org/officeDocument/2006/relationships/worksheet" Target="/xl/worksheets/sheet35.xml" Id="R30ac74973ed8490c" /><Relationship Type="http://schemas.openxmlformats.org/officeDocument/2006/relationships/worksheet" Target="/xl/worksheets/sheet36.xml" Id="R56277c6bc82f4cdf" /><Relationship Type="http://schemas.openxmlformats.org/officeDocument/2006/relationships/worksheet" Target="/xl/worksheets/sheet37.xml" Id="Rde9e5d4cb458436f" /><Relationship Type="http://schemas.openxmlformats.org/officeDocument/2006/relationships/worksheet" Target="/xl/worksheets/sheet38.xml" Id="Rda028d1c1f384508" /><Relationship Type="http://schemas.openxmlformats.org/officeDocument/2006/relationships/worksheet" Target="/xl/worksheets/sheet39.xml" Id="Raa0640bcf85940cb" /><Relationship Type="http://schemas.openxmlformats.org/officeDocument/2006/relationships/worksheet" Target="/xl/worksheets/sheet40.xml" Id="Rbc7f4771dcd24621" /><Relationship Type="http://schemas.openxmlformats.org/officeDocument/2006/relationships/worksheet" Target="/xl/worksheets/sheet41.xml" Id="Rd02e184ca51b49de" /><Relationship Type="http://schemas.openxmlformats.org/officeDocument/2006/relationships/worksheet" Target="/xl/worksheets/sheet42.xml" Id="R047f99099fcd45a9" /><Relationship Type="http://schemas.openxmlformats.org/officeDocument/2006/relationships/worksheet" Target="/xl/worksheets/sheet43.xml" Id="R55414b761b264297" /><Relationship Type="http://schemas.openxmlformats.org/officeDocument/2006/relationships/worksheet" Target="/xl/worksheets/sheet44.xml" Id="R1049c074a3c541a5" /><Relationship Type="http://schemas.openxmlformats.org/officeDocument/2006/relationships/worksheet" Target="/xl/worksheets/sheet45.xml" Id="R01f9be45537c438c" /><Relationship Type="http://schemas.openxmlformats.org/officeDocument/2006/relationships/worksheet" Target="/xl/worksheets/sheet46.xml" Id="R755e9c0ba17044d3" /><Relationship Type="http://schemas.openxmlformats.org/officeDocument/2006/relationships/worksheet" Target="/xl/worksheets/sheet47.xml" Id="R1ac6279a94a14335" /><Relationship Type="http://schemas.openxmlformats.org/officeDocument/2006/relationships/worksheet" Target="/xl/worksheets/sheet48.xml" Id="R3d8374852f474062" /><Relationship Type="http://schemas.openxmlformats.org/officeDocument/2006/relationships/worksheet" Target="/xl/worksheets/sheet49.xml" Id="R472af9d2e71b475d" /><Relationship Type="http://schemas.openxmlformats.org/officeDocument/2006/relationships/worksheet" Target="/xl/worksheets/sheet50.xml" Id="Rd0bbee4cf01e4b21" /><Relationship Type="http://schemas.openxmlformats.org/officeDocument/2006/relationships/worksheet" Target="/xl/worksheets/sheet51.xml" Id="R9a23fc2df98940cd" /><Relationship Type="http://schemas.openxmlformats.org/officeDocument/2006/relationships/worksheet" Target="/xl/worksheets/sheet52.xml" Id="Ra08325df2ce84a72" /><Relationship Type="http://schemas.openxmlformats.org/officeDocument/2006/relationships/worksheet" Target="/xl/worksheets/sheet53.xml" Id="R57f07ff497134480" /><Relationship Type="http://schemas.openxmlformats.org/officeDocument/2006/relationships/worksheet" Target="/xl/worksheets/sheet54.xml" Id="R2481e76da1574e93" /><Relationship Type="http://schemas.openxmlformats.org/officeDocument/2006/relationships/worksheet" Target="/xl/worksheets/sheet55.xml" Id="Rf7d00d4533ea4a28" /><Relationship Type="http://schemas.openxmlformats.org/officeDocument/2006/relationships/worksheet" Target="/xl/worksheets/sheet56.xml" Id="Rf0da1c8ca1b74d12" /><Relationship Type="http://schemas.openxmlformats.org/officeDocument/2006/relationships/worksheet" Target="/xl/worksheets/sheet57.xml" Id="Rc19c798a5c52426b" /><Relationship Type="http://schemas.openxmlformats.org/officeDocument/2006/relationships/worksheet" Target="/xl/worksheets/sheet58.xml" Id="Rb2e735150b8f4234" /><Relationship Type="http://schemas.openxmlformats.org/officeDocument/2006/relationships/worksheet" Target="/xl/worksheets/sheet59.xml" Id="R11bb7df2f87d457a" /><Relationship Type="http://schemas.openxmlformats.org/officeDocument/2006/relationships/worksheet" Target="/xl/worksheets/sheet60.xml" Id="R047577b3a1ea4695" /><Relationship Type="http://schemas.openxmlformats.org/officeDocument/2006/relationships/worksheet" Target="/xl/worksheets/sheet61.xml" Id="R39313de94baa4136" /><Relationship Type="http://schemas.openxmlformats.org/officeDocument/2006/relationships/worksheet" Target="/xl/worksheets/sheet62.xml" Id="R4a315b1070264b79" /><Relationship Type="http://schemas.openxmlformats.org/officeDocument/2006/relationships/worksheet" Target="/xl/worksheets/sheet63.xml" Id="Re8c76fb4434740de" /><Relationship Type="http://schemas.openxmlformats.org/officeDocument/2006/relationships/worksheet" Target="/xl/worksheets/sheet64.xml" Id="R8ef20bf6bcbf4f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64" hidden="0" customWidth="1"/>
  </x:cols>
  <x:sheetData>
    <x:row r="1" ht="28" customHeight="1">
      <x:c r="A1" s="18" t="str">
        <x:v>RBA-1 | First QE-02 source event</x:v>
      </x:c>
      <x:c r="B1" s="18"/>
      <x:c r="C1" s="18"/>
    </x:row>
    <x:row r="2" ht="28" customHeight="1">
      <x:c r="A2" s="19" t="str">
        <x:v>Decision dashboard. All physical fields begin OPEN; formulas expose readiness and authority without claiming execution.</x:v>
      </x:c>
      <x:c r="B2" s="19"/>
      <x:c r="C2" s="19"/>
    </x:row>
    <x:row r="3" ht="18" customHeight="1">
      <x:c r="A3" s="20"/>
      <x:c r="B3" s="20"/>
      <x:c r="C3" s="20"/>
    </x:row>
    <x:row r="4" ht="18" customHeight="1">
      <x:c r="A4" s="21" t="str">
        <x:v>Decision object</x:v>
      </x:c>
      <x:c r="B4" s="21" t="str">
        <x:v>Value</x:v>
      </x:c>
      <x:c r="C4" s="21" t="str">
        <x:v>Interpretation</x:v>
      </x:c>
    </x:row>
    <x:row r="5" ht="18" customHeight="1">
      <x:c r="A5" s="14" t="str">
        <x:v>Constitution</x:v>
      </x:c>
      <x:c r="B5" s="14" t="str">
        <x:v>RBA-1</x:v>
      </x:c>
      <x:c r="C5" s="14" t="str">
        <x:v>First lawful 100 kg Root A source event</x:v>
      </x:c>
    </x:row>
    <x:row r="6" ht="18" customHeight="1">
      <x:c r="A6" s="14" t="str">
        <x:v>Current evidence state</x:v>
      </x:c>
      <x:c r="B6" s="14" t="str">
        <x:v>PHYSICALLY OPEN</x:v>
      </x:c>
      <x:c r="C6" s="14" t="str">
        <x:v>Planning coherence does not assert execution</x:v>
      </x:c>
    </x:row>
    <x:row r="7" ht="18" customHeight="1">
      <x:c r="A7" s="14" t="str">
        <x:v>Source-eligible cells</x:v>
      </x:c>
      <x:c r="B7" s="14" t="n">
        <x:f>COUNTIF('Candidate Cells'!$H$5:$H$28,"ELIGIBLE")</x:f>
        <x:v>0</x:v>
      </x:c>
      <x:c r="C7" s="14" t="str">
        <x:v>Must be 24 before selection</x:v>
      </x:c>
    </x:row>
    <x:row r="8" ht="18" customHeight="1">
      <x:c r="A8" s="14" t="str">
        <x:v>Selected cell</x:v>
      </x:c>
      <x:c r="B8" s="14" t="str">
        <x:f>'Event Selection'!$B$12</x:f>
      </x:c>
      <x:c r="C8" s="14" t="str">
        <x:v>Actual draw remains blank</x:v>
      </x:c>
    </x:row>
    <x:row r="9" ht="18" customHeight="1">
      <x:c r="A9" s="14" t="str">
        <x:v>Primary attempt</x:v>
      </x:c>
      <x:c r="B9" s="14" t="str">
        <x:v>QE02-A01</x:v>
      </x:c>
      <x:c r="C9" s="14" t="str">
        <x:v>One registered attempt</x:v>
      </x:c>
    </x:row>
    <x:row r="10" ht="18" customHeight="1">
      <x:c r="A10" s="14" t="str">
        <x:v>Dormant replacement</x:v>
      </x:c>
      <x:c r="B10" s="14" t="str">
        <x:v>QE02-A02</x:v>
      </x:c>
      <x:c r="C10" s="14" t="str">
        <x:v>Same cell; only after independent INVALID</x:v>
      </x:c>
    </x:row>
    <x:row r="11" ht="18" customHeight="1">
      <x:c r="A11" s="14" t="str">
        <x:v>Event aliquot (kg)</x:v>
      </x:c>
      <x:c r="B11" s="14" t="n">
        <x:f>'Controls'!$B$10</x:f>
        <x:v>100</x:v>
      </x:c>
      <x:c r="C11" s="14" t="str">
        <x:v>Exact 100 kg issue</x:v>
      </x:c>
    </x:row>
    <x:row r="12" ht="18" customHeight="1">
      <x:c r="A12" s="14" t="str">
        <x:v>Expanded mass uncertainty (kg)</x:v>
      </x:c>
      <x:c r="B12" s="14"/>
      <x:c r="C12" s="14" t="str">
        <x:v>Must be &lt;= 1.5 kg</x:v>
      </x:c>
    </x:row>
    <x:row r="13" ht="18" customHeight="1">
      <x:c r="A13" s="14" t="str">
        <x:v>Native evidence per attempt (GB)</x:v>
      </x:c>
      <x:c r="B13" s="14" t="n">
        <x:v>117.659</x:v>
      </x:c>
      <x:c r="C13" s="14" t="str">
        <x:v>Inherited measured planning load</x:v>
      </x:c>
    </x:row>
    <x:row r="14" ht="18" customHeight="1">
      <x:c r="A14" s="14" t="str">
        <x:v>Allocated evidence per attempt (GB)</x:v>
      </x:c>
      <x:c r="B14" s="14" t="n">
        <x:v>152.9567</x:v>
      </x:c>
      <x:c r="C14" s="14" t="str">
        <x:v>1.3 governance factor</x:v>
      </x:c>
    </x:row>
    <x:row r="15" ht="18" customHeight="1">
      <x:c r="A15" s="14" t="str">
        <x:v>Capital allocation (USD M)</x:v>
      </x:c>
      <x:c r="B15" s="14" t="n">
        <x:v>36</x:v>
      </x:c>
      <x:c r="C15" s="14" t="str">
        <x:v>Nested in RAS-1</x:v>
      </x:c>
    </x:row>
    <x:row r="16" ht="18" customHeight="1">
      <x:c r="A16" s="14" t="str">
        <x:v>Annual support (USD M/year)</x:v>
      </x:c>
      <x:c r="B16" s="14" t="n">
        <x:v>12</x:v>
      </x:c>
      <x:c r="C16" s="14" t="str">
        <x:v>Nested in RAS-1</x:v>
      </x:c>
    </x:row>
    <x:row r="17" ht="18" customHeight="1">
      <x:c r="A17" s="14" t="str">
        <x:v>Stage exposure (USD M)</x:v>
      </x:c>
      <x:c r="B17" s="14" t="n">
        <x:f>'Capital'!$B$16+'Annual Support'!$B$15*0.5</x:f>
        <x:v>42</x:v>
      </x:c>
      <x:c r="C17" s="14" t="str">
        <x:v>Capital plus six months support</x:v>
      </x:c>
    </x:row>
    <x:row r="18" ht="18" customHeight="1">
      <x:c r="A18" s="14" t="str">
        <x:v>Technology cross-classification (USD M)</x:v>
      </x:c>
      <x:c r="B18" s="14" t="n">
        <x:v>80</x:v>
      </x:c>
      <x:c r="C18" s="14" t="str">
        <x:v>Not added to stage exposure</x:v>
      </x:c>
    </x:row>
    <x:row r="19" ht="18" customHeight="1">
      <x:c r="A19" s="14" t="str">
        <x:v>Earliest source-exposed re-entry (days)</x:v>
      </x:c>
      <x:c r="B19" s="14" t="n">
        <x:v>14</x:v>
      </x:c>
      <x:c r="C19" s="14" t="str">
        <x:v>New baseline required</x:v>
      </x:c>
    </x:row>
    <x:row r="20" ht="18" customHeight="1">
      <x:c r="A20" s="14" t="str">
        <x:v>Minimum same-pair T0 interval (hours)</x:v>
      </x:c>
      <x:c r="B20" s="14" t="n">
        <x:v>432</x:v>
      </x:c>
      <x:c r="C20" s="14" t="str">
        <x:v>Day 14 plus new 96 h freeze</x:v>
      </x:c>
    </x:row>
    <x:row r="21" ht="18" customHeight="1">
      <x:c r="A21" s="14" t="str">
        <x:v>Next admissible object</x:v>
      </x:c>
      <x:c r="B21" s="14" t="str">
        <x:v>RBB-1</x:v>
      </x:c>
      <x:c r="C21" s="14" t="str">
        <x:v>Full QE-02 class constitution</x:v>
      </x:c>
    </x:row>
    <x:row r="22" ht="18" customHeight="1">
      <x:c r="A22" s="14" t="str">
        <x:v>Exterior rendering</x:v>
      </x:c>
      <x:c r="B22" s="14" t="str">
        <x:v>BLOCKED</x:v>
      </x:c>
      <x:c r="C22" s="14" t="str">
        <x:v>No operational form authority</x:v>
      </x:c>
    </x:row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B5:B22">
    <x:cfRule type="containsText" dxfId="0" priority="1" operator="containsText" text="ACCEPTED"/>
    <x:cfRule type="containsText" dxfId="1" priority="2" operator="containsText" text="PASS"/>
    <x:cfRule type="containsText" dxfId="2" priority="3" operator="containsText" text="OPEN"/>
    <x:cfRule type="containsText" dxfId="3" priority="4" operator="containsText" text="BLOCKED"/>
    <x:cfRule type="containsText" dxfId="4" priority="5" operator="containsText" text="REJEC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8" hidden="0" customWidth="1"/>
    <x:col min="5" max="5" width="48" hidden="0" customWidth="1"/>
  </x:cols>
  <x:sheetData>
    <x:row r="1" ht="28" customHeight="1">
      <x:c r="A1" s="18" t="str">
        <x:v>RBA-1 | Declared controls</x:v>
      </x:c>
      <x:c r="B1" s="18"/>
      <x:c r="C1" s="18"/>
      <x:c r="D1" s="18"/>
      <x:c r="E1" s="18"/>
    </x:row>
    <x:row r="2" ht="28" customHeight="1">
      <x:c r="A2" s="19" t="str">
        <x:v>Blue cells are declared inputs or prior registered boundaries; formulas elsewhere link to these cells.</x:v>
      </x:c>
      <x:c r="B2" s="19"/>
      <x:c r="C2" s="19"/>
      <x:c r="D2" s="19"/>
      <x:c r="E2" s="19"/>
    </x:row>
    <x:row r="3" ht="18" customHeight="1">
      <x:c r="A3" s="20"/>
      <x:c r="B3" s="20"/>
      <x:c r="C3" s="20"/>
      <x:c r="D3" s="20"/>
      <x:c r="E3" s="20"/>
    </x:row>
    <x:row r="4" ht="18" customHeight="1">
      <x:c r="A4" s="22" t="str">
        <x:v>Input</x:v>
      </x:c>
      <x:c r="B4" s="22" t="str">
        <x:v>Value</x:v>
      </x:c>
      <x:c r="C4" s="22" t="str">
        <x:v>Unit</x:v>
      </x:c>
      <x:c r="D4" s="22" t="str">
        <x:v>Class</x:v>
      </x:c>
      <x:c r="E4" s="22" t="str">
        <x:v>Registered meaning</x:v>
      </x:c>
    </x:row>
    <x:row r="5" ht="18" customHeight="1">
      <x:c r="A5" s="14" t="str">
        <x:v>Rig count</x:v>
      </x:c>
      <x:c r="B5" s="23" t="n">
        <x:v>6</x:v>
      </x:c>
      <x:c r="C5" s="14" t="str">
        <x:v>rigs</x:v>
      </x:c>
      <x:c r="D5" s="14" t="str">
        <x:v>design</x:v>
      </x:c>
      <x:c r="E5" s="14" t="str">
        <x:v>public physical rigs</x:v>
      </x:c>
    </x:row>
    <x:row r="6" ht="18" customHeight="1">
      <x:c r="A6" s="14" t="str">
        <x:v>Method count</x:v>
      </x:c>
      <x:c r="B6" s="23" t="n">
        <x:v>2</x:v>
      </x:c>
      <x:c r="C6" s="14" t="str">
        <x:v>methods</x:v>
      </x:c>
      <x:c r="D6" s="14" t="str">
        <x:v>design</x:v>
      </x:c>
      <x:c r="E6" s="14" t="str">
        <x:v>AM-05 and AM-06</x:v>
      </x:c>
    </x:row>
    <x:row r="7" ht="18" customHeight="1">
      <x:c r="A7" s="14" t="str">
        <x:v>Truth-root count</x:v>
      </x:c>
      <x:c r="B7" s="23" t="n">
        <x:v>2</x:v>
      </x:c>
      <x:c r="C7" s="14" t="str">
        <x:v>roots</x:v>
      </x:c>
      <x:c r="D7" s="14" t="str">
        <x:v>design</x:v>
      </x:c>
      <x:c r="E7" s="14" t="str">
        <x:v>TR-A and TR-B</x:v>
      </x:c>
    </x:row>
    <x:row r="8" ht="18" customHeight="1">
      <x:c r="A8" s="14" t="str">
        <x:v>Cell count</x:v>
      </x:c>
      <x:c r="B8" s="23" t="n">
        <x:v>24</x:v>
      </x:c>
      <x:c r="C8" s="14" t="str">
        <x:v>cells</x:v>
      </x:c>
      <x:c r="D8" s="14" t="str">
        <x:v>calculated</x:v>
      </x:c>
      <x:c r="E8" s="14" t="str">
        <x:v>6 x 2 x 2</x:v>
      </x:c>
    </x:row>
    <x:row r="9" ht="18" customHeight="1">
      <x:c r="A9" s="14" t="str">
        <x:v>Gross package mass</x:v>
      </x:c>
      <x:c r="B9" s="23" t="n">
        <x:v>125</x:v>
      </x:c>
      <x:c r="C9" s="14" t="str">
        <x:v>kg</x:v>
      </x:c>
      <x:c r="D9" s="14" t="str">
        <x:v>design</x:v>
      </x:c>
      <x:c r="E9" s="14" t="str">
        <x:v>serialized package</x:v>
      </x:c>
    </x:row>
    <x:row r="10" ht="18" customHeight="1">
      <x:c r="A10" s="14" t="str">
        <x:v>Event source mass</x:v>
      </x:c>
      <x:c r="B10" s="23" t="n">
        <x:v>100</x:v>
      </x:c>
      <x:c r="C10" s="14" t="str">
        <x:v>kg</x:v>
      </x:c>
      <x:c r="D10" s="14" t="str">
        <x:v>design</x:v>
      </x:c>
      <x:c r="E10" s="14" t="str">
        <x:v>QE-02 aliquot</x:v>
      </x:c>
    </x:row>
    <x:row r="11" ht="18" customHeight="1">
      <x:c r="A11" s="14" t="str">
        <x:v>Retained assay mass</x:v>
      </x:c>
      <x:c r="B11" s="23" t="n">
        <x:v>10</x:v>
      </x:c>
      <x:c r="C11" s="14" t="str">
        <x:v>kg</x:v>
      </x:c>
      <x:c r="D11" s="14" t="str">
        <x:v>design</x:v>
      </x:c>
      <x:c r="E11" s="14" t="str">
        <x:v>independent assay</x:v>
      </x:c>
    </x:row>
    <x:row r="12" ht="18" customHeight="1">
      <x:c r="A12" s="14" t="str">
        <x:v>Conditioning mass</x:v>
      </x:c>
      <x:c r="B12" s="23" t="n">
        <x:v>10</x:v>
      </x:c>
      <x:c r="C12" s="14" t="str">
        <x:v>kg</x:v>
      </x:c>
      <x:c r="D12" s="14" t="str">
        <x:v>design</x:v>
      </x:c>
      <x:c r="E12" s="14" t="str">
        <x:v>line verification</x:v>
      </x:c>
    </x:row>
    <x:row r="13" ht="18" customHeight="1">
      <x:c r="A13" s="14" t="str">
        <x:v>Quarantine mass</x:v>
      </x:c>
      <x:c r="B13" s="23" t="n">
        <x:v>5</x:v>
      </x:c>
      <x:c r="C13" s="14" t="str">
        <x:v>kg</x:v>
      </x:c>
      <x:c r="D13" s="14" t="str">
        <x:v>design</x:v>
      </x:c>
      <x:c r="E13" s="14" t="str">
        <x:v>sealed reference</x:v>
      </x:c>
    </x:row>
    <x:row r="14" ht="18" customHeight="1">
      <x:c r="A14" s="14" t="str">
        <x:v>Density</x:v>
      </x:c>
      <x:c r="B14" s="23" t="n">
        <x:v>800</x:v>
      </x:c>
      <x:c r="C14" s="14" t="str">
        <x:v>kg/m3</x:v>
      </x:c>
      <x:c r="D14" s="14" t="str">
        <x:v>hypothesis</x:v>
      </x:c>
      <x:c r="E14" s="14" t="str">
        <x:v>selected lot must be measured</x:v>
      </x:c>
    </x:row>
    <x:row r="15" ht="18" customHeight="1">
      <x:c r="A15" s="14" t="str">
        <x:v>Dynamic viscosity</x:v>
      </x:c>
      <x:c r="B15" s="23" t="n">
        <x:v>0.004</x:v>
      </x:c>
      <x:c r="C15" s="14" t="str">
        <x:v>Pa s</x:v>
      </x:c>
      <x:c r="D15" s="14" t="str">
        <x:v>hypothesis</x:v>
      </x:c>
      <x:c r="E15" s="14" t="str">
        <x:v>selected lot must be measured</x:v>
      </x:c>
    </x:row>
    <x:row r="16" ht="18" customHeight="1">
      <x:c r="A16" s="14" t="str">
        <x:v>Surface tension</x:v>
      </x:c>
      <x:c r="B16" s="23" t="n">
        <x:v>0.025</x:v>
      </x:c>
      <x:c r="C16" s="14" t="str">
        <x:v>N/m</x:v>
      </x:c>
      <x:c r="D16" s="14" t="str">
        <x:v>hypothesis</x:v>
      </x:c>
      <x:c r="E16" s="14" t="str">
        <x:v>selected lot must be measured</x:v>
      </x:c>
    </x:row>
    <x:row r="17" ht="18" customHeight="1">
      <x:c r="A17" s="14" t="str">
        <x:v>Lower heating value</x:v>
      </x:c>
      <x:c r="B17" s="23" t="n">
        <x:v>42.588</x:v>
      </x:c>
      <x:c r="C17" s="14" t="str">
        <x:v>MJ/kg</x:v>
      </x:c>
      <x:c r="D17" s="14" t="str">
        <x:v>hypothesis</x:v>
      </x:c>
      <x:c r="E17" s="14" t="str">
        <x:v>selected lot must be measured</x:v>
      </x:c>
    </x:row>
    <x:row r="18" ht="18" customHeight="1">
      <x:c r="A18" s="14" t="str">
        <x:v>Route diameter</x:v>
      </x:c>
      <x:c r="B18" s="23" t="n">
        <x:v>0.04</x:v>
      </x:c>
      <x:c r="C18" s="14" t="str">
        <x:v>m</x:v>
      </x:c>
      <x:c r="D18" s="14" t="str">
        <x:v>design</x:v>
      </x:c>
      <x:c r="E18" s="14" t="str">
        <x:v>REA-100 insert</x:v>
      </x:c>
    </x:row>
    <x:row r="19" ht="18" customHeight="1">
      <x:c r="A19" s="14" t="str">
        <x:v>Route length</x:v>
      </x:c>
      <x:c r="B19" s="23" t="n">
        <x:v>12</x:v>
      </x:c>
      <x:c r="C19" s="14" t="str">
        <x:v>m</x:v>
      </x:c>
      <x:c r="D19" s="14" t="str">
        <x:v>design</x:v>
      </x:c>
      <x:c r="E19" s="14" t="str">
        <x:v>REA-100 insert</x:v>
      </x:c>
    </x:row>
    <x:row r="20" ht="18" customHeight="1">
      <x:c r="A20" s="14" t="str">
        <x:v>Event interval</x:v>
      </x:c>
      <x:c r="B20" s="23" t="n">
        <x:v>120</x:v>
      </x:c>
      <x:c r="C20" s="14" t="str">
        <x:v>s</x:v>
      </x:c>
      <x:c r="D20" s="14" t="str">
        <x:v>design</x:v>
      </x:c>
      <x:c r="E20" s="14" t="str">
        <x:v>dispenser schedule</x:v>
      </x:c>
    </x:row>
    <x:row r="21" ht="18" customHeight="1">
      <x:c r="A21" s="14" t="str">
        <x:v>Pan area</x:v>
      </x:c>
      <x:c r="B21" s="23" t="n">
        <x:v>2.5</x:v>
      </x:c>
      <x:c r="C21" s="14" t="str">
        <x:v>m2</x:v>
      </x:c>
      <x:c r="D21" s="14" t="str">
        <x:v>design</x:v>
      </x:c>
      <x:c r="E21" s="14" t="str">
        <x:v>inner controlled area</x:v>
      </x:c>
    </x:row>
    <x:row r="22" ht="18" customHeight="1">
      <x:c r="A22" s="14" t="str">
        <x:v>Pan wall</x:v>
      </x:c>
      <x:c r="B22" s="23" t="n">
        <x:v>0.2</x:v>
      </x:c>
      <x:c r="C22" s="14" t="str">
        <x:v>m</x:v>
      </x:c>
      <x:c r="D22" s="14" t="str">
        <x:v>design</x:v>
      </x:c>
      <x:c r="E22" s="14" t="str">
        <x:v>inner geometry</x:v>
      </x:c>
    </x:row>
    <x:row r="23" ht="18" customHeight="1">
      <x:c r="A23" s="14" t="str">
        <x:v>Receiver gross</x:v>
      </x:c>
      <x:c r="B23" s="23" t="n">
        <x:v>0.5</x:v>
      </x:c>
      <x:c r="C23" s="14" t="str">
        <x:v>m3</x:v>
      </x:c>
      <x:c r="D23" s="14" t="str">
        <x:v>design</x:v>
      </x:c>
      <x:c r="E23" s="14" t="str">
        <x:v>closed receiver</x:v>
      </x:c>
    </x:row>
    <x:row r="24" ht="18" customHeight="1">
      <x:c r="A24" s="14" t="str">
        <x:v>Receiver usable fraction</x:v>
      </x:c>
      <x:c r="B24" s="23" t="n">
        <x:v>0.8</x:v>
      </x:c>
      <x:c r="C24" s="14" t="str">
        <x:v>fraction</x:v>
      </x:c>
      <x:c r="D24" s="14" t="str">
        <x:v>design</x:v>
      </x:c>
      <x:c r="E24" s="14" t="str">
        <x:v>capacity rule</x:v>
      </x:c>
    </x:row>
    <x:row r="25" ht="18" customHeight="1">
      <x:c r="A25" s="14" t="str">
        <x:v>Casualty-water package</x:v>
      </x:c>
      <x:c r="B25" s="23" t="n">
        <x:v>120</x:v>
      </x:c>
      <x:c r="C25" s="14" t="str">
        <x:v>m3</x:v>
      </x:c>
      <x:c r="D25" s="14" t="str">
        <x:v>design</x:v>
      </x:c>
      <x:c r="E25" s="14" t="str">
        <x:v>public safety reserve</x:v>
      </x:c>
    </x:row>
    <x:row r="26" ht="18" customHeight="1">
      <x:c r="A26" s="14" t="str">
        <x:v>Initial casualty inventory ceiling</x:v>
      </x:c>
      <x:c r="B26" s="23" t="n">
        <x:v>5</x:v>
      </x:c>
      <x:c r="C26" s="14" t="str">
        <x:v>m3</x:v>
      </x:c>
      <x:c r="D26" s="14" t="str">
        <x:v>design</x:v>
      </x:c>
      <x:c r="E26" s="14" t="str">
        <x:v>pre-event state</x:v>
      </x:c>
    </x:row>
    <x:row r="27" ht="18" customHeight="1">
      <x:c r="A27" s="14" t="str">
        <x:v>Emergency quench provision</x:v>
      </x:c>
      <x:c r="B27" s="23" t="n">
        <x:v>48</x:v>
      </x:c>
      <x:c r="C27" s="14" t="str">
        <x:v>m3</x:v>
      </x:c>
      <x:c r="D27" s="14" t="str">
        <x:v>design</x:v>
      </x:c>
      <x:c r="E27" s="14" t="str">
        <x:v>public action</x:v>
      </x:c>
    </x:row>
    <x:row r="28" ht="18" customHeight="1">
      <x:c r="A28" s="14" t="str">
        <x:v>Controlled rain provision</x:v>
      </x:c>
      <x:c r="B28" s="23" t="n">
        <x:v>45</x:v>
      </x:c>
      <x:c r="C28" s="14" t="str">
        <x:v>m3</x:v>
      </x:c>
      <x:c r="D28" s="14" t="str">
        <x:v>design</x:v>
      </x:c>
      <x:c r="E28" s="14" t="str">
        <x:v>600 m2 field</x:v>
      </x:c>
    </x:row>
    <x:row r="29" ht="18" customHeight="1">
      <x:c r="A29" s="14" t="str">
        <x:v>Foam and rinse provision</x:v>
      </x:c>
      <x:c r="B29" s="23" t="n">
        <x:v>12</x:v>
      </x:c>
      <x:c r="C29" s="14" t="str">
        <x:v>m3</x:v>
      </x:c>
      <x:c r="D29" s="14" t="str">
        <x:v>design</x:v>
      </x:c>
      <x:c r="E29" s="14" t="str">
        <x:v>public action</x:v>
      </x:c>
    </x:row>
    <x:row r="30" ht="18" customHeight="1">
      <x:c r="A30" s="14" t="str">
        <x:v>Unassigned water provision</x:v>
      </x:c>
      <x:c r="B30" s="23" t="n">
        <x:v>5</x:v>
      </x:c>
      <x:c r="C30" s="14" t="str">
        <x:v>m3</x:v>
      </x:c>
      <x:c r="D30" s="14" t="str">
        <x:v>design</x:v>
      </x:c>
      <x:c r="E30" s="14" t="str">
        <x:v>contingency</x:v>
      </x:c>
    </x:row>
    <x:row r="31" ht="18" customHeight="1">
      <x:c r="A31" s="14" t="str">
        <x:v>Burning flux</x:v>
      </x:c>
      <x:c r="B31" s="23" t="n">
        <x:v>0.055</x:v>
      </x:c>
      <x:c r="C31" s="14" t="str">
        <x:v>kg/m2/s</x:v>
      </x:c>
      <x:c r="D31" s="14" t="str">
        <x:v>screen</x:v>
      </x:c>
      <x:c r="E31" s="14" t="str">
        <x:v>AM-06 only</x:v>
      </x:c>
    </x:row>
    <x:row r="32" ht="18" customHeight="1">
      <x:c r="A32" s="14" t="str">
        <x:v>Radiative fraction</x:v>
      </x:c>
      <x:c r="B32" s="23" t="n">
        <x:v>0.35</x:v>
      </x:c>
      <x:c r="C32" s="14" t="str">
        <x:v>fraction</x:v>
      </x:c>
      <x:c r="D32" s="14" t="str">
        <x:v>screen</x:v>
      </x:c>
      <x:c r="E32" s="14" t="str">
        <x:v>AM-06 only</x:v>
      </x:c>
    </x:row>
    <x:row r="33" ht="18" customHeight="1">
      <x:c r="A33" s="14" t="str">
        <x:v>Radiation criterion</x:v>
      </x:c>
      <x:c r="B33" s="23" t="n">
        <x:v>1.6</x:v>
      </x:c>
      <x:c r="C33" s="14" t="str">
        <x:v>kW/m2</x:v>
      </x:c>
      <x:c r="D33" s="14" t="str">
        <x:v>screen</x:v>
      </x:c>
      <x:c r="E33" s="14" t="str">
        <x:v>not a boundary reduction</x:v>
      </x:c>
    </x:row>
    <x:row r="34" ht="18" customHeight="1">
      <x:c r="A34" s="14" t="str">
        <x:v>Operational boundary</x:v>
      </x:c>
      <x:c r="B34" s="23" t="n">
        <x:v>200</x:v>
      </x:c>
      <x:c r="C34" s="14" t="str">
        <x:v>m</x:v>
      </x:c>
      <x:c r="D34" s="14" t="str">
        <x:v>design</x:v>
      </x:c>
      <x:c r="E34" s="14" t="str">
        <x:v>remains inherited</x:v>
      </x:c>
    </x:row>
    <x:row r="35" ht="18" customHeight="1">
      <x:c r="A35" s="14" t="str">
        <x:v>Mass U ceiling</x:v>
      </x:c>
      <x:c r="B35" s="23" t="n">
        <x:v>1.5</x:v>
      </x:c>
      <x:c r="C35" s="14" t="str">
        <x:v>kg</x:v>
      </x:c>
      <x:c r="D35" s="14" t="str">
        <x:v>decision</x:v>
      </x:c>
      <x:c r="E35" s="14" t="str">
        <x:v>k=2 expanded</x:v>
      </x:c>
    </x:row>
    <x:row r="36" ht="18" customHeight="1">
      <x:c r="A36" s="14" t="str">
        <x:v>Unaccounted source ceiling</x:v>
      </x:c>
      <x:c r="B36" s="23" t="n">
        <x:v>0.75</x:v>
      </x:c>
      <x:c r="C36" s="14" t="str">
        <x:v>kg</x:v>
      </x:c>
      <x:c r="D36" s="14" t="str">
        <x:v>decision</x:v>
      </x:c>
      <x:c r="E36" s="14" t="str">
        <x:v>absolute mass</x:v>
      </x:c>
    </x:row>
    <x:row r="37" ht="18" customHeight="1">
      <x:c r="A37" s="14" t="str">
        <x:v>Environmental source ceiling</x:v>
      </x:c>
      <x:c r="B37" s="23" t="n">
        <x:v>0.1</x:v>
      </x:c>
      <x:c r="C37" s="14" t="str">
        <x:v>kg</x:v>
      </x:c>
      <x:c r="D37" s="14" t="str">
        <x:v>decision</x:v>
      </x:c>
      <x:c r="E37" s="14" t="str">
        <x:v>absolute mass</x:v>
      </x:c>
    </x:row>
    <x:row r="38" ht="18" customHeight="1">
      <x:c r="A38" s="14" t="str">
        <x:v>Ancestry recovery floor</x:v>
      </x:c>
      <x:c r="B38" s="23" t="n">
        <x:v>0.995</x:v>
      </x:c>
      <x:c r="C38" s="14" t="str">
        <x:v>fraction</x:v>
      </x:c>
      <x:c r="D38" s="14" t="str">
        <x:v>decision</x:v>
      </x:c>
      <x:c r="E38" s="14" t="str">
        <x:v>each root</x:v>
      </x:c>
    </x:row>
    <x:row r="39" ht="18" customHeight="1">
      <x:c r="A39" s="14" t="str">
        <x:v>Cross-talk ceiling</x:v>
      </x:c>
      <x:c r="B39" s="23" t="n">
        <x:v>0.005</x:v>
      </x:c>
      <x:c r="C39" s="14" t="str">
        <x:v>fraction</x:v>
      </x:c>
      <x:c r="D39" s="14" t="str">
        <x:v>decision</x:v>
      </x:c>
      <x:c r="E39" s="14" t="str">
        <x:v>each root</x:v>
      </x:c>
    </x:row>
    <x:row r="40" ht="18" customHeight="1">
      <x:c r="A40" s="14" t="str">
        <x:v>Native evidence</x:v>
      </x:c>
      <x:c r="B40" s="23" t="n">
        <x:v>117.659</x:v>
      </x:c>
      <x:c r="C40" s="14" t="str">
        <x:v>GB/attempt</x:v>
      </x:c>
      <x:c r="D40" s="14" t="str">
        <x:v>design</x:v>
      </x:c>
      <x:c r="E40" s="14" t="str">
        <x:v>twelve packet classes</x:v>
      </x:c>
    </x:row>
    <x:row r="41" ht="18" customHeight="1">
      <x:c r="A41" s="14" t="str">
        <x:v>Storage factor</x:v>
      </x:c>
      <x:c r="B41" s="23" t="n">
        <x:v>1.3</x:v>
      </x:c>
      <x:c r="C41" s="14" t="str">
        <x:v>factor</x:v>
      </x:c>
      <x:c r="D41" s="14" t="str">
        <x:v>design</x:v>
      </x:c>
      <x:c r="E41" s="14" t="str">
        <x:v>governed allocation</x:v>
      </x:c>
    </x:row>
    <x:row r="42" ht="18" customHeight="1">
      <x:c r="A42" s="14" t="str">
        <x:v>Capital</x:v>
      </x:c>
      <x:c r="B42" s="23" t="n">
        <x:v>36</x:v>
      </x:c>
      <x:c r="C42" s="14" t="str">
        <x:v>USD M</x:v>
      </x:c>
      <x:c r="D42" s="14" t="str">
        <x:v>allocation</x:v>
      </x:c>
      <x:c r="E42" s="14" t="str">
        <x:v>within RAS-1 remainder</x:v>
      </x:c>
    </x:row>
    <x:row r="43" ht="18" customHeight="1">
      <x:c r="A43" s="14" t="str">
        <x:v>Annual support</x:v>
      </x:c>
      <x:c r="B43" s="23" t="n">
        <x:v>12</x:v>
      </x:c>
      <x:c r="C43" s="14" t="str">
        <x:v>USD M/year</x:v>
      </x:c>
      <x:c r="D43" s="14" t="str">
        <x:v>allocation</x:v>
      </x:c>
      <x:c r="E43" s="14" t="str">
        <x:v>within RAS-1 remainder</x:v>
      </x:c>
    </x:row>
    <x:row r="44" ht="18" customHeight="1">
      <x:c r="A44" s="14" t="str">
        <x:v>Technology</x:v>
      </x:c>
      <x:c r="B44" s="23" t="n">
        <x:v>80</x:v>
      </x:c>
      <x:c r="C44" s="14" t="str">
        <x:v>USD M</x:v>
      </x:c>
      <x:c r="D44" s="14" t="str">
        <x:v>cross-classified</x:v>
      </x:c>
      <x:c r="E44" s="14" t="str">
        <x:v>not additive</x:v>
      </x:c>
    </x:row>
    <x:row r="45" ht="18" customHeight="1">
      <x:c r="A45" s="14" t="str">
        <x:v>Stage duration</x:v>
      </x:c>
      <x:c r="B45" s="23" t="n">
        <x:v>6</x:v>
      </x:c>
      <x:c r="C45" s="14" t="str">
        <x:v>months</x:v>
      </x:c>
      <x:c r="D45" s="14" t="str">
        <x:v>schedule</x:v>
      </x:c>
      <x:c r="E45" s="14" t="str">
        <x:v>release-aware stage</x:v>
      </x:c>
    </x:row>
    <x:row r="46" ht="18" customHeight="1">
      <x:c r="A46" s="14" t="str">
        <x:v>Parent capital</x:v>
      </x:c>
      <x:c r="B46" s="23" t="n">
        <x:v>620</x:v>
      </x:c>
      <x:c r="C46" s="14" t="str">
        <x:v>USD M</x:v>
      </x:c>
      <x:c r="D46" s="14" t="str">
        <x:v>boundary</x:v>
      </x:c>
      <x:c r="E46" s="14" t="str">
        <x:v>RAS-1</x:v>
      </x:c>
    </x:row>
    <x:row r="47" ht="18" customHeight="1">
      <x:c r="A47" s="14" t="str">
        <x:v>Prior child capital</x:v>
      </x:c>
      <x:c r="B47" s="23" t="n">
        <x:v>360</x:v>
      </x:c>
      <x:c r="C47" s="14" t="str">
        <x:v>USD M</x:v>
      </x:c>
      <x:c r="D47" s="14" t="str">
        <x:v>boundary</x:v>
      </x:c>
      <x:c r="E47" s="14" t="str">
        <x:v>through RAZ-1</x:v>
      </x:c>
    </x:row>
    <x:row r="48" ht="18" customHeight="1">
      <x:c r="A48" s="14" t="str">
        <x:v>Parent annual support</x:v>
      </x:c>
      <x:c r="B48" s="23" t="n">
        <x:v>235</x:v>
      </x:c>
      <x:c r="C48" s="14" t="str">
        <x:v>USD M/year</x:v>
      </x:c>
      <x:c r="D48" s="14" t="str">
        <x:v>boundary</x:v>
      </x:c>
      <x:c r="E48" s="14" t="str">
        <x:v>RAS-1</x:v>
      </x:c>
    </x:row>
    <x:row r="49" ht="18" customHeight="1">
      <x:c r="A49" s="14" t="str">
        <x:v>Prior child annual support</x:v>
      </x:c>
      <x:c r="B49" s="23" t="n">
        <x:v>168</x:v>
      </x:c>
      <x:c r="C49" s="14" t="str">
        <x:v>USD M/year</x:v>
      </x:c>
      <x:c r="D49" s="14" t="str">
        <x:v>boundary</x:v>
      </x:c>
      <x:c r="E49" s="14" t="str">
        <x:v>through RAZ-1</x:v>
      </x:c>
    </x:row>
    <x:row r="50" ht="18" customHeight="1">
      <x:c r="A50" s="14" t="str">
        <x:v>Parent technology</x:v>
      </x:c>
      <x:c r="B50" s="23" t="n">
        <x:v>1005</x:v>
      </x:c>
      <x:c r="C50" s="14" t="str">
        <x:v>USD M</x:v>
      </x:c>
      <x:c r="D50" s="14" t="str">
        <x:v>boundary</x:v>
      </x:c>
      <x:c r="E50" s="14" t="str">
        <x:v>RAS-1</x:v>
      </x:c>
    </x:row>
    <x:row r="51" ht="18" customHeight="1">
      <x:c r="A51" s="14" t="str">
        <x:v>Prior child technology</x:v>
      </x:c>
      <x:c r="B51" s="23" t="n">
        <x:v>470</x:v>
      </x:c>
      <x:c r="C51" s="14" t="str">
        <x:v>USD M</x:v>
      </x:c>
      <x:c r="D51" s="14" t="str">
        <x:v>boundary</x:v>
      </x:c>
      <x:c r="E51" s="14" t="str">
        <x:v>through RAZ-1</x:v>
      </x:c>
    </x:row>
    <x:row r="52" ht="18" customHeight="1">
      <x:c r="A52" s="14"/>
      <x:c r="B52" s="23"/>
      <x:c r="C52" s="14"/>
      <x:c r="D52" s="14"/>
      <x:c r="E52" s="14"/>
    </x:row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56" hidden="0" customWidth="1"/>
    <x:col min="3" max="3" width="38" hidden="0" customWidth="1"/>
    <x:col min="4" max="4" width="34" hidden="0" customWidth="1"/>
  </x:cols>
  <x:sheetData>
    <x:row r="1" ht="28" customHeight="1">
      <x:c r="A1" s="18" t="str">
        <x:v>RBA-1 | Research questions</x:v>
      </x:c>
      <x:c r="B1" s="18"/>
      <x:c r="C1" s="18"/>
      <x:c r="D1" s="18"/>
    </x:row>
    <x:row r="2" ht="28" customHeight="1">
      <x:c r="A2" s="19" t="str">
        <x:v>Questions are prior to outcomes and map to explicit workbook evidence.</x:v>
      </x:c>
      <x:c r="B2" s="19"/>
      <x:c r="C2" s="19"/>
      <x:c r="D2" s="19"/>
    </x:row>
    <x:row r="3" ht="18" customHeight="1">
      <x:c r="A3" s="20"/>
      <x:c r="B3" s="20"/>
      <x:c r="C3" s="20"/>
      <x:c r="D3" s="20"/>
    </x:row>
    <x:row r="4" ht="18" customHeight="1">
      <x:c r="A4" s="21" t="str">
        <x:v>ID</x:v>
      </x:c>
      <x:c r="B4" s="21" t="str">
        <x:v>Question</x:v>
      </x:c>
      <x:c r="C4" s="21" t="str">
        <x:v>Decisive object</x:v>
      </x:c>
      <x:c r="D4" s="21" t="str">
        <x:v>Failure consequence</x:v>
      </x:c>
    </x:row>
    <x:row r="5" ht="18" customHeight="1">
      <x:c r="A5" s="14" t="str">
        <x:v>RQ-01</x:v>
      </x:c>
      <x:c r="B5" s="14" t="str">
        <x:v>Can all 24 null-qualified cells become independently source-eligible?</x:v>
      </x:c>
      <x:c r="C5" s="14" t="str">
        <x:v>384 eligibility gates</x:v>
      </x:c>
      <x:c r="D5" s="14" t="str">
        <x:v>selection prohibited</x:v>
      </x:c>
    </x:row>
    <x:row r="6" ht="18" customHeight="1">
      <x:c r="A6" s="14" t="str">
        <x:v>RQ-02</x:v>
      </x:c>
      <x:c r="B6" s="14" t="str">
        <x:v>Can one 125 kg package yield a protected 100/10/10/5 kg split?</x:v>
      </x:c>
      <x:c r="C6" s="14" t="str">
        <x:v>lot allocation and custody</x:v>
      </x:c>
      <x:c r="D6" s="14" t="str">
        <x:v>issue prohibited</x:v>
      </x:c>
    </x:row>
    <x:row r="7" ht="18" customHeight="1">
      <x:c r="A7" s="14" t="str">
        <x:v>RQ-03</x:v>
      </x:c>
      <x:c r="B7" s="14" t="str">
        <x:v>Can 100 kg fill and traverse the 40 mm article as registered?</x:v>
      </x:c>
      <x:c r="C7" s="14" t="str">
        <x:v>physical screens and measurements</x:v>
      </x:c>
      <x:c r="D7" s="14" t="str">
        <x:v>article redesign</x:v>
      </x:c>
    </x:row>
    <x:row r="8" ht="18" customHeight="1">
      <x:c r="A8" s="14" t="str">
        <x:v>RQ-04</x:v>
      </x:c>
      <x:c r="B8" s="14" t="str">
        <x:v>Can uncontrolled source end by 30 s while the scheduled event remains observable?</x:v>
      </x:c>
      <x:c r="C8" s="14" t="str">
        <x:v>causal clock and final elements</x:v>
      </x:c>
      <x:c r="D8" s="14" t="str">
        <x:v>valid adverse</x:v>
      </x:c>
    </x:row>
    <x:row r="9" ht="18" customHeight="1">
      <x:c r="A9" s="14" t="str">
        <x:v>RQ-05</x:v>
      </x:c>
      <x:c r="B9" s="14" t="str">
        <x:v>Can source, water and environment remain independently attributable?</x:v>
      </x:c>
      <x:c r="C9" s="14" t="str">
        <x:v>three ledgers and unlike roots</x:v>
      </x:c>
      <x:c r="D9" s="14" t="str">
        <x:v>valid adverse or invalid</x:v>
      </x:c>
    </x:row>
    <x:row r="10" ht="18" customHeight="1">
      <x:c r="A10" s="14" t="str">
        <x:v>RQ-06</x:v>
      </x:c>
      <x:c r="B10" s="14" t="str">
        <x:v>Can no-flame remain evidence rather than be repeated away?</x:v>
      </x:c>
      <x:c r="C10" s="14" t="str">
        <x:v>validity and outcome rules</x:v>
      </x:c>
      <x:c r="D10" s="14" t="str">
        <x:v>research bias</x:v>
      </x:c>
    </x:row>
    <x:row r="11" ht="18" customHeight="1">
      <x:c r="A11" s="14" t="str">
        <x:v>RQ-07</x:v>
      </x:c>
      <x:c r="B11" s="14" t="str">
        <x:v>Can public intervention protect life without becoming method credit?</x:v>
      </x:c>
      <x:c r="C11" s="14" t="str">
        <x:v>intervention register</x:v>
      </x:c>
      <x:c r="D11" s="14" t="str">
        <x:v>adverse outcome</x:v>
      </x:c>
    </x:row>
    <x:row r="12" ht="18" customHeight="1">
      <x:c r="A12" s="14" t="str">
        <x:v>RQ-08</x:v>
      </x:c>
      <x:c r="B12" s="14" t="str">
        <x:v>Can the used pair earn a distinct source-exposed baseline?</x:v>
      </x:c>
      <x:c r="C12" s="14" t="str">
        <x:v>regeneration and re-entry</x:v>
      </x:c>
      <x:c r="D12" s="14" t="str">
        <x:v>pair quarantine</x:v>
      </x:c>
    </x:row>
    <x:row r="13" ht="18" customHeight="1">
      <x:c r="A13" s="14" t="str">
        <x:v>RQ-09</x:v>
      </x:c>
      <x:c r="B13" s="14" t="str">
        <x:v>Can two non-origin campuses reconstruct the packet?</x:v>
      </x:c>
      <x:c r="C13" s="14" t="str">
        <x:v>24 replay decisions</x:v>
      </x:c>
      <x:c r="D13" s="14" t="str">
        <x:v>event cannot close</x:v>
      </x:c>
    </x:row>
    <x:row r="14" ht="18" customHeight="1">
      <x:c r="A14" s="14" t="str">
        <x:v>RQ-10</x:v>
      </x:c>
      <x:c r="B14" s="14" t="str">
        <x:v>What bounded authority follows one accepted event?</x:v>
      </x:c>
      <x:c r="C14" s="14" t="str">
        <x:v>four release decisions</x:v>
      </x:c>
      <x:c r="D14" s="14" t="str">
        <x:v>downstream block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36" hidden="0" customWidth="1"/>
    <x:col min="4" max="4" width="38" hidden="0" customWidth="1"/>
  </x:cols>
  <x:sheetData>
    <x:row r="1" ht="28" customHeight="1">
      <x:c r="A1" s="18" t="str">
        <x:v>RBA-1 | Claim boundary</x:v>
      </x:c>
      <x:c r="B1" s="18"/>
      <x:c r="C1" s="18"/>
      <x:c r="D1" s="18"/>
    </x:row>
    <x:row r="2" ht="28" customHeight="1">
      <x:c r="A2" s="19" t="str">
        <x:v>A successful first event remains one-cell evidence.</x:v>
      </x:c>
      <x:c r="B2" s="19"/>
      <x:c r="C2" s="19"/>
      <x:c r="D2" s="19"/>
    </x:row>
    <x:row r="3" ht="18" customHeight="1">
      <x:c r="A3" s="20"/>
      <x:c r="B3" s="20"/>
      <x:c r="C3" s="20"/>
      <x:c r="D3" s="20"/>
    </x:row>
    <x:row r="4" ht="18" customHeight="1">
      <x:c r="A4" s="21" t="str">
        <x:v>Object</x:v>
      </x:c>
      <x:c r="B4" s="21" t="str">
        <x:v>Status after planning</x:v>
      </x:c>
      <x:c r="C4" s="21" t="str">
        <x:v>Maximum possible after execution</x:v>
      </x:c>
      <x:c r="D4" s="21" t="str">
        <x:v>Explicitly not granted</x:v>
      </x:c>
    </x:row>
    <x:row r="5" ht="18" customHeight="1">
      <x:c r="A5" s="14" t="str">
        <x:v>QE-01 class</x:v>
      </x:c>
      <x:c r="B5" s="14" t="str">
        <x:v>qualified only by prior physical RAZ-1 execution</x:v>
      </x:c>
      <x:c r="C5" s="14" t="str">
        <x:v>inherited prerequisite</x:v>
      </x:c>
      <x:c r="D5" s="14" t="str">
        <x:v>source evidence</x:v>
      </x:c>
    </x:row>
    <x:row r="6" ht="18" customHeight="1">
      <x:c r="A6" s="14" t="str">
        <x:v>selected QE-02 cell</x:v>
      </x:c>
      <x:c r="B6" s="14" t="str">
        <x:v>not selected; physically open</x:v>
      </x:c>
      <x:c r="C6" s="14" t="str">
        <x:v>one exact cell credit</x:v>
      </x:c>
      <x:c r="D6" s="14" t="str">
        <x:v>class transfer</x:v>
      </x:c>
    </x:row>
    <x:row r="7" ht="18" customHeight="1">
      <x:c r="A7" s="14" t="str">
        <x:v>40 mm REA-100 insert</x:v>
      </x:c>
      <x:c r="B7" s="14" t="str">
        <x:v>design and prior article evidence</x:v>
      </x:c>
      <x:c r="C7" s="14" t="str">
        <x:v>event-specific low-source evidence</x:v>
      </x:c>
      <x:c r="D7" s="14" t="str">
        <x:v>150 mm similarity</x:v>
      </x:c>
    </x:row>
    <x:row r="8" ht="18" customHeight="1">
      <x:c r="A8" s="14" t="str">
        <x:v>AM-06 flame</x:v>
      </x:c>
      <x:c r="B8" s="14" t="str">
        <x:v>not presumed</x:v>
      </x:c>
      <x:c r="C8" s="14" t="str">
        <x:v>flame or no-flame observation</x:v>
      </x:c>
      <x:c r="D8" s="14" t="str">
        <x:v>fleet fire performance</x:v>
      </x:c>
    </x:row>
    <x:row r="9" ht="18" customHeight="1">
      <x:c r="A9" s="14" t="str">
        <x:v>article-rig pair</x:v>
      </x:c>
      <x:c r="B9" s="14" t="str">
        <x:v>current only before event</x:v>
      </x:c>
      <x:c r="C9" s="14" t="str">
        <x:v>new source-exposed baseline or quarantine</x:v>
      </x:c>
      <x:c r="D9" s="14" t="str">
        <x:v>credential carryover</x:v>
      </x:c>
    </x:row>
    <x:row r="10" ht="18" customHeight="1">
      <x:c r="A10" s="14" t="str">
        <x:v>full QE-02 class</x:v>
      </x:c>
      <x:c r="B10" s="14" t="str">
        <x:v>not constituted</x:v>
      </x:c>
      <x:c r="C10" s="14" t="str">
        <x:v>constitution may be permitted</x:v>
      </x:c>
      <x:c r="D10" s="14" t="str">
        <x:v>event issue</x:v>
      </x:c>
    </x:row>
    <x:row r="11" ht="18" customHeight="1">
      <x:c r="A11" s="14" t="str">
        <x:v>candidate mechanism</x:v>
      </x:c>
      <x:c r="B11" s="14" t="str">
        <x:v>absent</x:v>
      </x:c>
      <x:c r="C11" s="14" t="str">
        <x:v>absent</x:v>
      </x:c>
      <x:c r="D11" s="14" t="str">
        <x:v>admission or performance</x:v>
      </x:c>
    </x:row>
    <x:row r="12" ht="18" customHeight="1">
      <x:c r="A12" s="14" t="str">
        <x:v>operational platform</x:v>
      </x:c>
      <x:c r="B12" s="14" t="str">
        <x:v>absent</x:v>
      </x:c>
      <x:c r="C12" s="14" t="str">
        <x:v>absent</x:v>
      </x:c>
      <x:c r="D12" s="14" t="str">
        <x:v>production or exterior form</x:v>
      </x:c>
    </x:row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40" hidden="0" customWidth="1"/>
    <x:col min="3" max="3" width="38" hidden="0" customWidth="1"/>
    <x:col min="4" max="4" width="42" hidden="0" customWidth="1"/>
  </x:cols>
  <x:sheetData>
    <x:row r="1" ht="28" customHeight="1">
      <x:c r="A1" s="18" t="str">
        <x:v>RBA-1 | Governance authorities</x:v>
      </x:c>
      <x:c r="B1" s="18"/>
      <x:c r="C1" s="18"/>
      <x:c r="D1" s="18"/>
    </x:row>
    <x:row r="2" ht="28" customHeight="1">
      <x:c r="A2" s="19" t="str">
        <x:v>No one office commands, observes and judges the same proposition.</x:v>
      </x:c>
      <x:c r="B2" s="19"/>
      <x:c r="C2" s="19"/>
      <x:c r="D2" s="19"/>
    </x:row>
    <x:row r="3" ht="18" customHeight="1">
      <x:c r="A3" s="20"/>
      <x:c r="B3" s="20"/>
      <x:c r="C3" s="20"/>
      <x:c r="D3" s="20"/>
    </x:row>
    <x:row r="4" ht="18" customHeight="1">
      <x:c r="A4" s="21" t="str">
        <x:v>Authority</x:v>
      </x:c>
      <x:c r="B4" s="21" t="str">
        <x:v>Owned decision</x:v>
      </x:c>
      <x:c r="C4" s="21" t="str">
        <x:v>Cannot decide</x:v>
      </x:c>
      <x:c r="D4" s="21" t="str">
        <x:v>Required independence</x:v>
      </x:c>
    </x:row>
    <x:row r="5" ht="18" customHeight="1">
      <x:c r="A5" s="14" t="str">
        <x:v>program sponsor</x:v>
      </x:c>
      <x:c r="B5" s="14" t="str">
        <x:v>fund and define mission</x:v>
      </x:c>
      <x:c r="C5" s="14" t="str">
        <x:v>event result</x:v>
      </x:c>
      <x:c r="D5" s="14" t="str">
        <x:v>separate from issuer</x:v>
      </x:c>
    </x:row>
    <x:row r="6" ht="18" customHeight="1">
      <x:c r="A6" s="14" t="str">
        <x:v>source custodian</x:v>
      </x:c>
      <x:c r="B6" s="14" t="str">
        <x:v>package identity and split</x:v>
      </x:c>
      <x:c r="C6" s="14" t="str">
        <x:v>method success</x:v>
      </x:c>
      <x:c r="D6" s="14" t="str">
        <x:v>unlike from event command</x:v>
      </x:c>
    </x:row>
    <x:row r="7" ht="18" customHeight="1">
      <x:c r="A7" s="14" t="str">
        <x:v>event issuer</x:v>
      </x:c>
      <x:c r="B7" s="14" t="str">
        <x:v>issue one frozen proposition</x:v>
      </x:c>
      <x:c r="C7" s="14" t="str">
        <x:v>validity after result</x:v>
      </x:c>
      <x:c r="D7" s="14" t="str">
        <x:v>separate from validity board</x:v>
      </x:c>
    </x:row>
    <x:row r="8" ht="18" customHeight="1">
      <x:c r="A8" s="14" t="str">
        <x:v>independent safety officer</x:v>
      </x:c>
      <x:c r="B8" s="14" t="str">
        <x:v>abort and public action</x:v>
      </x:c>
      <x:c r="C8" s="14" t="str">
        <x:v>research credit</x:v>
      </x:c>
      <x:c r="D8" s="14" t="str">
        <x:v>direct life-safety authority</x:v>
      </x:c>
    </x:row>
    <x:row r="9" ht="18" customHeight="1">
      <x:c r="A9" s="14" t="str">
        <x:v>truth root A</x:v>
      </x:c>
      <x:c r="B9" s="14" t="str">
        <x:v>primary source and water account</x:v>
      </x:c>
      <x:c r="C9" s="14" t="str">
        <x:v>root equivalence</x:v>
      </x:c>
      <x:c r="D9" s="14" t="str">
        <x:v>different physical principle from root B</x:v>
      </x:c>
    </x:row>
    <x:row r="10" ht="18" customHeight="1">
      <x:c r="A10" s="14" t="str">
        <x:v>truth root B</x:v>
      </x:c>
      <x:c r="B10" s="14" t="str">
        <x:v>independent source and water account</x:v>
      </x:c>
      <x:c r="C10" s="14" t="str">
        <x:v>root equivalence</x:v>
      </x:c>
      <x:c r="D10" s="14" t="str">
        <x:v>different physical principle from root A</x:v>
      </x:c>
    </x:row>
    <x:row r="11" ht="18" customHeight="1">
      <x:c r="A11" s="14" t="str">
        <x:v>validity board</x:v>
      </x:c>
      <x:c r="B11" s="14" t="str">
        <x:v>whether proposition was observed</x:v>
      </x:c>
      <x:c r="C11" s="14" t="str">
        <x:v>rewrite outcome boundary</x:v>
      </x:c>
      <x:c r="D11" s="14" t="str">
        <x:v>blind to program preference</x:v>
      </x:c>
    </x:row>
    <x:row r="12" ht="18" customHeight="1">
      <x:c r="A12" s="14" t="str">
        <x:v>outcome board</x:v>
      </x:c>
      <x:c r="B12" s="14" t="str">
        <x:v>classify valid result</x:v>
      </x:c>
      <x:c r="C12" s="14" t="str">
        <x:v>activate invalid reserve alone</x:v>
      </x:c>
      <x:c r="D12" s="14" t="str">
        <x:v>bound by registered rules</x:v>
      </x:c>
    </x:row>
    <x:row r="13" ht="18" customHeight="1">
      <x:c r="A13" s="14" t="str">
        <x:v>re-entry board</x:v>
      </x:c>
      <x:c r="B13" s="14" t="str">
        <x:v>new pair baseline</x:v>
      </x:c>
      <x:c r="C13" s="14" t="str">
        <x:v>erase event history</x:v>
      </x:c>
      <x:c r="D13" s="14" t="str">
        <x:v>outside operating crew</x:v>
      </x:c>
    </x:row>
    <x:row r="14" ht="18" customHeight="1">
      <x:c r="A14" s="14" t="str">
        <x:v>remote campuses</x:v>
      </x:c>
      <x:c r="B14" s="14" t="str">
        <x:v>reconstruct packet</x:v>
      </x:c>
      <x:c r="C14" s="14" t="str">
        <x:v>edit origin originals</x:v>
      </x:c>
      <x:c r="D14" s="14" t="str">
        <x:v>two non-origin decisions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45" hidden="0" customWidth="1"/>
    <x:col min="4" max="4" width="42" hidden="0" customWidth="1"/>
    <x:col min="5" max="5" width="38" hidden="0" customWidth="1"/>
  </x:cols>
  <x:sheetData>
    <x:row r="1" ht="28" customHeight="1">
      <x:c r="A1" s="18" t="str">
        <x:v>RBA-1 | State chain</x:v>
      </x:c>
      <x:c r="B1" s="18"/>
      <x:c r="C1" s="18"/>
      <x:c r="D1" s="18"/>
      <x:c r="E1" s="18"/>
    </x:row>
    <x:row r="2" ht="28" customHeight="1">
      <x:c r="A2" s="19" t="str">
        <x:v>The pair and event have explicit, irreversible transitions.</x:v>
      </x:c>
      <x:c r="B2" s="19"/>
      <x:c r="C2" s="19"/>
      <x:c r="D2" s="19"/>
      <x:c r="E2" s="19"/>
    </x:row>
    <x:row r="3" ht="18" customHeight="1">
      <x:c r="A3" s="20"/>
      <x:c r="B3" s="20"/>
      <x:c r="C3" s="20"/>
      <x:c r="D3" s="20"/>
      <x:c r="E3" s="20"/>
    </x:row>
    <x:row r="4" ht="18" customHeight="1">
      <x:c r="A4" s="21" t="str">
        <x:v>Order</x:v>
      </x:c>
      <x:c r="B4" s="21" t="str">
        <x:v>State</x:v>
      </x:c>
      <x:c r="C4" s="21" t="str">
        <x:v>Entry condition</x:v>
      </x:c>
      <x:c r="D4" s="21" t="str">
        <x:v>Exit condition</x:v>
      </x:c>
      <x:c r="E4" s="21" t="str">
        <x:v>Forbidden shortcut</x:v>
      </x:c>
    </x:row>
    <x:row r="5" ht="18" customHeight="1">
      <x:c r="A5" s="14" t="n">
        <x:v>1</x:v>
      </x:c>
      <x:c r="B5" s="14" t="str">
        <x:v>NULL-CLASS-QUALIFIED</x:v>
      </x:c>
      <x:c r="C5" s="14" t="str">
        <x:v>RAZ-1 physically accepted</x:v>
      </x:c>
      <x:c r="D5" s="14" t="str">
        <x:v>source eligibility opens</x:v>
      </x:c>
      <x:c r="E5" s="14" t="str">
        <x:v>assume source readiness</x:v>
      </x:c>
    </x:row>
    <x:row r="6" ht="18" customHeight="1">
      <x:c r="A6" s="14" t="n">
        <x:v>2</x:v>
      </x:c>
      <x:c r="B6" s="14" t="str">
        <x:v>SOURCE-ELIGIBLE-POOL</x:v>
      </x:c>
      <x:c r="C6" s="14" t="str">
        <x:v>all 384 gates accepted</x:v>
      </x:c>
      <x:c r="D6" s="14" t="str">
        <x:v>commit-reveal draw verifies</x:v>
      </x:c>
      <x:c r="E6" s="14" t="str">
        <x:v>select a subset</x:v>
      </x:c>
    </x:row>
    <x:row r="7" ht="18" customHeight="1">
      <x:c r="A7" s="14" t="n">
        <x:v>3</x:v>
      </x:c>
      <x:c r="B7" s="14" t="str">
        <x:v>CELL-SELECTED</x:v>
      </x:c>
      <x:c r="C7" s="14" t="str">
        <x:v>fresh draw names exact cell</x:v>
      </x:c>
      <x:c r="D7" s="14" t="str">
        <x:v>T-96 h freeze</x:v>
      </x:c>
      <x:c r="E7" s="14" t="str">
        <x:v>redraw after inconvenience</x:v>
      </x:c>
    </x:row>
    <x:row r="8" ht="18" customHeight="1">
      <x:c r="A8" s="14" t="n">
        <x:v>4</x:v>
      </x:c>
      <x:c r="B8" s="14" t="str">
        <x:v>ISSUED</x:v>
      </x:c>
      <x:c r="C8" s="14" t="str">
        <x:v>205 bindings and authorities accepted</x:v>
      </x:c>
      <x:c r="D8" s="14" t="str">
        <x:v>T0 source command</x:v>
      </x:c>
      <x:c r="E8" s="14" t="str">
        <x:v>change package after issue</x:v>
      </x:c>
    </x:row>
    <x:row r="9" ht="18" customHeight="1">
      <x:c r="A9" s="14" t="n">
        <x:v>5</x:v>
      </x:c>
      <x:c r="B9" s="14" t="str">
        <x:v>ACTIVE</x:v>
      </x:c>
      <x:c r="C9" s="14" t="str">
        <x:v>T0 denominator begins</x:v>
      </x:c>
      <x:c r="D9" s="14" t="str">
        <x:v>safe state and event end</x:v>
      </x:c>
      <x:c r="E9" s="14" t="str">
        <x:v>delete invalid attempt</x:v>
      </x:c>
    </x:row>
    <x:row r="10" ht="18" customHeight="1">
      <x:c r="A10" s="14" t="n">
        <x:v>6</x:v>
      </x:c>
      <x:c r="B10" s="14" t="str">
        <x:v>FORENSIC-HOLD</x:v>
      </x:c>
      <x:c r="C10" s="14" t="str">
        <x:v>event reaches safe state</x:v>
      </x:c>
      <x:c r="D10" s="14" t="str">
        <x:v>ledgers and packet freeze</x:v>
      </x:c>
      <x:c r="E10" s="14" t="str">
        <x:v>clean before evidence capture</x:v>
      </x:c>
    </x:row>
    <x:row r="11" ht="18" customHeight="1">
      <x:c r="A11" s="14" t="n">
        <x:v>7</x:v>
      </x:c>
      <x:c r="B11" s="14" t="str">
        <x:v>DISPOSITIONED</x:v>
      </x:c>
      <x:c r="C11" s="14" t="str">
        <x:v>day-7 boards close</x:v>
      </x:c>
      <x:c r="D11" s="14" t="str">
        <x:v>regeneration completion</x:v>
      </x:c>
      <x:c r="E11" s="14" t="str">
        <x:v>replace valid adverse</x:v>
      </x:c>
    </x:row>
    <x:row r="12" ht="18" customHeight="1">
      <x:c r="A12" s="14" t="n">
        <x:v>8</x:v>
      </x:c>
      <x:c r="B12" s="14" t="str">
        <x:v>SOURCE-EXPOSED-RETURN</x:v>
      </x:c>
      <x:c r="C12" s="14" t="str">
        <x:v>16 work packages complete</x:v>
      </x:c>
      <x:c r="D12" s="14" t="str">
        <x:v>day-14 re-entry board</x:v>
      </x:c>
      <x:c r="E12" s="14" t="str">
        <x:v>reuse old baseline</x:v>
      </x:c>
    </x:row>
    <x:row r="13" ht="18" customHeight="1">
      <x:c r="A13" s="14" t="n">
        <x:v>9</x:v>
      </x:c>
      <x:c r="B13" s="14" t="str">
        <x:v>AVAILABLE</x:v>
      </x:c>
      <x:c r="C13" s="14" t="str">
        <x:v>new credential issued</x:v>
      </x:c>
      <x:c r="D13" s="14" t="str">
        <x:v>future T-96 h freeze</x:v>
      </x:c>
      <x:c r="E13" s="14" t="str">
        <x:v>infer full-class transfer</x:v>
      </x:c>
    </x:row>
    <x:row r="14" ht="18" customHeight="1">
      <x:c r="A14" s="14" t="n">
        <x:v>10</x:v>
      </x:c>
      <x:c r="B14" s="14" t="str">
        <x:v>QUARANTINED</x:v>
      </x:c>
      <x:c r="C14" s="14" t="str">
        <x:v>any return gate fails</x:v>
      </x:c>
      <x:c r="D14" s="14" t="str">
        <x:v>independent corrective constitution</x:v>
      </x:c>
      <x:c r="E14" s="14" t="str">
        <x:v>administrative release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3" hidden="0" customWidth="1"/>
    <x:col min="5" max="5" width="28" hidden="0" customWidth="1"/>
    <x:col min="6" max="6" width="23" hidden="0" customWidth="1"/>
    <x:col min="7" max="7" width="18" hidden="0" customWidth="1"/>
    <x:col min="8" max="8" width="24" hidden="0" customWidth="1"/>
  </x:cols>
  <x:sheetData>
    <x:row r="1" ht="28" customHeight="1">
      <x:c r="A1" s="18" t="str">
        <x:v>RBA-1 | Twenty-four candidate cells</x:v>
      </x:c>
      <x:c r="B1" s="18"/>
      <x:c r="C1" s="18"/>
      <x:c r="D1" s="18"/>
      <x:c r="E1" s="18"/>
      <x:c r="F1" s="18"/>
      <x:c r="G1" s="18"/>
      <x:c r="H1" s="18"/>
    </x:row>
    <x:row r="2" ht="28" customHeight="1">
      <x:c r="A2" s="19" t="str">
        <x:v>Every cell must close all sixteen source-specific gates before any selection.</x:v>
      </x:c>
      <x:c r="B2" s="19"/>
      <x:c r="C2" s="19"/>
      <x:c r="D2" s="19"/>
      <x:c r="E2" s="19"/>
      <x:c r="F2" s="19"/>
      <x:c r="G2" s="19"/>
      <x:c r="H2" s="19"/>
    </x:row>
    <x:row r="3" ht="18" customHeight="1">
      <x:c r="A3" s="20"/>
      <x:c r="B3" s="20"/>
      <x:c r="C3" s="20"/>
      <x:c r="D3" s="20"/>
      <x:c r="E3" s="20"/>
      <x:c r="F3" s="20"/>
      <x:c r="G3" s="20"/>
      <x:c r="H3" s="20"/>
    </x:row>
    <x:row r="4" ht="18" customHeight="1">
      <x:c r="A4" s="21" t="str">
        <x:v>Cell</x:v>
      </x:c>
      <x:c r="B4" s="21" t="str">
        <x:v>Rig</x:v>
      </x:c>
      <x:c r="C4" s="21" t="str">
        <x:v>Method</x:v>
      </x:c>
      <x:c r="D4" s="21" t="str">
        <x:v>Truth root</x:v>
      </x:c>
      <x:c r="E4" s="21" t="str">
        <x:v>Exact QE-01 predecessor</x:v>
      </x:c>
      <x:c r="F4" s="21" t="str">
        <x:v>Active source package</x:v>
      </x:c>
      <x:c r="G4" s="21" t="str">
        <x:v>Eligibility state</x:v>
      </x:c>
      <x:c r="H4" s="21" t="str">
        <x:v>Calculated draw eligibility</x:v>
      </x:c>
    </x:row>
    <x:row r="5" ht="18" customHeight="1">
      <x:c r="A5" s="14" t="str">
        <x:v>QE02-C01</x:v>
      </x:c>
      <x:c r="B5" s="14" t="str">
        <x:v>RFP-A1</x:v>
      </x:c>
      <x:c r="C5" s="14" t="str">
        <x:v>AM-05</x:v>
      </x:c>
      <x:c r="D5" s="14" t="str">
        <x:v>TR-A</x:v>
      </x:c>
      <x:c r="E5" s="14" t="str">
        <x:v>RAZ-RFP-A1-AM-05-TR-A</x:v>
      </x:c>
      <x:c r="F5" s="14" t="str">
        <x:v>SRC-05-A-A1</x:v>
      </x:c>
      <x:c r="G5" s="14" t="str">
        <x:v>OPEN</x:v>
      </x:c>
      <x:c r="H5" s="14" t="str">
        <x:f>IF(COUNTIFS('Eligibility Gates'!$B$5:$B$388,A5,'Eligibility Gates'!$F$5:$F$388,"ACCEPTED")=16,"ELIGIBLE","NOT ELIGIBLE")</x:f>
        <x:v>NOT ELIGIBLE</x:v>
      </x:c>
    </x:row>
    <x:row r="6" ht="18" customHeight="1">
      <x:c r="A6" s="14" t="str">
        <x:v>QE02-C02</x:v>
      </x:c>
      <x:c r="B6" s="14" t="str">
        <x:v>RFP-A1</x:v>
      </x:c>
      <x:c r="C6" s="14" t="str">
        <x:v>AM-05</x:v>
      </x:c>
      <x:c r="D6" s="14" t="str">
        <x:v>TR-B</x:v>
      </x:c>
      <x:c r="E6" s="14" t="str">
        <x:v>RAZ-RFP-A1-AM-05-TR-B</x:v>
      </x:c>
      <x:c r="F6" s="14" t="str">
        <x:v>SRC-05-B-A1</x:v>
      </x:c>
      <x:c r="G6" s="14" t="str">
        <x:v>OPEN</x:v>
      </x:c>
      <x:c r="H6" s="14" t="str">
        <x:f>IF(COUNTIFS('Eligibility Gates'!$B$5:$B$388,A6,'Eligibility Gates'!$F$5:$F$388,"ACCEPTED")=16,"ELIGIBLE","NOT ELIGIBLE")</x:f>
        <x:v>NOT ELIGIBLE</x:v>
      </x:c>
    </x:row>
    <x:row r="7" ht="18" customHeight="1">
      <x:c r="A7" s="14" t="str">
        <x:v>QE02-C03</x:v>
      </x:c>
      <x:c r="B7" s="14" t="str">
        <x:v>RFP-A1</x:v>
      </x:c>
      <x:c r="C7" s="14" t="str">
        <x:v>AM-06</x:v>
      </x:c>
      <x:c r="D7" s="14" t="str">
        <x:v>TR-A</x:v>
      </x:c>
      <x:c r="E7" s="14" t="str">
        <x:v>RAZ-RFP-A1-AM-06-TR-A</x:v>
      </x:c>
      <x:c r="F7" s="14" t="str">
        <x:v>SRC-06-A-A1</x:v>
      </x:c>
      <x:c r="G7" s="14" t="str">
        <x:v>OPEN</x:v>
      </x:c>
      <x:c r="H7" s="14" t="str">
        <x:f>IF(COUNTIFS('Eligibility Gates'!$B$5:$B$388,A7,'Eligibility Gates'!$F$5:$F$388,"ACCEPTED")=16,"ELIGIBLE","NOT ELIGIBLE")</x:f>
        <x:v>NOT ELIGIBLE</x:v>
      </x:c>
    </x:row>
    <x:row r="8" ht="18" customHeight="1">
      <x:c r="A8" s="14" t="str">
        <x:v>QE02-C04</x:v>
      </x:c>
      <x:c r="B8" s="14" t="str">
        <x:v>RFP-A1</x:v>
      </x:c>
      <x:c r="C8" s="14" t="str">
        <x:v>AM-06</x:v>
      </x:c>
      <x:c r="D8" s="14" t="str">
        <x:v>TR-B</x:v>
      </x:c>
      <x:c r="E8" s="14" t="str">
        <x:v>RAZ-RFP-A1-AM-06-TR-B</x:v>
      </x:c>
      <x:c r="F8" s="14" t="str">
        <x:v>SRC-06-B-A1</x:v>
      </x:c>
      <x:c r="G8" s="14" t="str">
        <x:v>OPEN</x:v>
      </x:c>
      <x:c r="H8" s="14" t="str">
        <x:f>IF(COUNTIFS('Eligibility Gates'!$B$5:$B$388,A8,'Eligibility Gates'!$F$5:$F$388,"ACCEPTED")=16,"ELIGIBLE","NOT ELIGIBLE")</x:f>
        <x:v>NOT ELIGIBLE</x:v>
      </x:c>
    </x:row>
    <x:row r="9" ht="18" customHeight="1">
      <x:c r="A9" s="14" t="str">
        <x:v>QE02-C05</x:v>
      </x:c>
      <x:c r="B9" s="14" t="str">
        <x:v>RFP-A2</x:v>
      </x:c>
      <x:c r="C9" s="14" t="str">
        <x:v>AM-05</x:v>
      </x:c>
      <x:c r="D9" s="14" t="str">
        <x:v>TR-A</x:v>
      </x:c>
      <x:c r="E9" s="14" t="str">
        <x:v>RAZ-RFP-A2-AM-05-TR-A</x:v>
      </x:c>
      <x:c r="F9" s="14" t="str">
        <x:v>SRC-05-A-A2</x:v>
      </x:c>
      <x:c r="G9" s="14" t="str">
        <x:v>OPEN</x:v>
      </x:c>
      <x:c r="H9" s="14" t="str">
        <x:f>IF(COUNTIFS('Eligibility Gates'!$B$5:$B$388,A9,'Eligibility Gates'!$F$5:$F$388,"ACCEPTED")=16,"ELIGIBLE","NOT ELIGIBLE")</x:f>
        <x:v>NOT ELIGIBLE</x:v>
      </x:c>
    </x:row>
    <x:row r="10" ht="18" customHeight="1">
      <x:c r="A10" s="14" t="str">
        <x:v>QE02-C06</x:v>
      </x:c>
      <x:c r="B10" s="14" t="str">
        <x:v>RFP-A2</x:v>
      </x:c>
      <x:c r="C10" s="14" t="str">
        <x:v>AM-05</x:v>
      </x:c>
      <x:c r="D10" s="14" t="str">
        <x:v>TR-B</x:v>
      </x:c>
      <x:c r="E10" s="14" t="str">
        <x:v>RAZ-RFP-A2-AM-05-TR-B</x:v>
      </x:c>
      <x:c r="F10" s="14" t="str">
        <x:v>SRC-05-B-A2</x:v>
      </x:c>
      <x:c r="G10" s="14" t="str">
        <x:v>OPEN</x:v>
      </x:c>
      <x:c r="H10" s="14" t="str">
        <x:f>IF(COUNTIFS('Eligibility Gates'!$B$5:$B$388,A10,'Eligibility Gates'!$F$5:$F$388,"ACCEPTED")=16,"ELIGIBLE","NOT ELIGIBLE")</x:f>
        <x:v>NOT ELIGIBLE</x:v>
      </x:c>
    </x:row>
    <x:row r="11" ht="18" customHeight="1">
      <x:c r="A11" s="14" t="str">
        <x:v>QE02-C07</x:v>
      </x:c>
      <x:c r="B11" s="14" t="str">
        <x:v>RFP-A2</x:v>
      </x:c>
      <x:c r="C11" s="14" t="str">
        <x:v>AM-06</x:v>
      </x:c>
      <x:c r="D11" s="14" t="str">
        <x:v>TR-A</x:v>
      </x:c>
      <x:c r="E11" s="14" t="str">
        <x:v>RAZ-RFP-A2-AM-06-TR-A</x:v>
      </x:c>
      <x:c r="F11" s="14" t="str">
        <x:v>SRC-06-A-A2</x:v>
      </x:c>
      <x:c r="G11" s="14" t="str">
        <x:v>OPEN</x:v>
      </x:c>
      <x:c r="H11" s="14" t="str">
        <x:f>IF(COUNTIFS('Eligibility Gates'!$B$5:$B$388,A11,'Eligibility Gates'!$F$5:$F$388,"ACCEPTED")=16,"ELIGIBLE","NOT ELIGIBLE")</x:f>
        <x:v>NOT ELIGIBLE</x:v>
      </x:c>
    </x:row>
    <x:row r="12" ht="18" customHeight="1">
      <x:c r="A12" s="14" t="str">
        <x:v>QE02-C08</x:v>
      </x:c>
      <x:c r="B12" s="14" t="str">
        <x:v>RFP-A2</x:v>
      </x:c>
      <x:c r="C12" s="14" t="str">
        <x:v>AM-06</x:v>
      </x:c>
      <x:c r="D12" s="14" t="str">
        <x:v>TR-B</x:v>
      </x:c>
      <x:c r="E12" s="14" t="str">
        <x:v>RAZ-RFP-A2-AM-06-TR-B</x:v>
      </x:c>
      <x:c r="F12" s="14" t="str">
        <x:v>SRC-06-B-A2</x:v>
      </x:c>
      <x:c r="G12" s="14" t="str">
        <x:v>OPEN</x:v>
      </x:c>
      <x:c r="H12" s="14" t="str">
        <x:f>IF(COUNTIFS('Eligibility Gates'!$B$5:$B$388,A12,'Eligibility Gates'!$F$5:$F$388,"ACCEPTED")=16,"ELIGIBLE","NOT ELIGIBLE")</x:f>
        <x:v>NOT ELIGIBLE</x:v>
      </x:c>
    </x:row>
    <x:row r="13" ht="18" customHeight="1">
      <x:c r="A13" s="14" t="str">
        <x:v>QE02-C09</x:v>
      </x:c>
      <x:c r="B13" s="14" t="str">
        <x:v>RFP-B1</x:v>
      </x:c>
      <x:c r="C13" s="14" t="str">
        <x:v>AM-05</x:v>
      </x:c>
      <x:c r="D13" s="14" t="str">
        <x:v>TR-A</x:v>
      </x:c>
      <x:c r="E13" s="14" t="str">
        <x:v>RAZ-RFP-B1-AM-05-TR-A</x:v>
      </x:c>
      <x:c r="F13" s="14" t="str">
        <x:v>SRC-05-A-B1</x:v>
      </x:c>
      <x:c r="G13" s="14" t="str">
        <x:v>OPEN</x:v>
      </x:c>
      <x:c r="H13" s="14" t="str">
        <x:f>IF(COUNTIFS('Eligibility Gates'!$B$5:$B$388,A13,'Eligibility Gates'!$F$5:$F$388,"ACCEPTED")=16,"ELIGIBLE","NOT ELIGIBLE")</x:f>
        <x:v>NOT ELIGIBLE</x:v>
      </x:c>
    </x:row>
    <x:row r="14" ht="18" customHeight="1">
      <x:c r="A14" s="14" t="str">
        <x:v>QE02-C10</x:v>
      </x:c>
      <x:c r="B14" s="14" t="str">
        <x:v>RFP-B1</x:v>
      </x:c>
      <x:c r="C14" s="14" t="str">
        <x:v>AM-05</x:v>
      </x:c>
      <x:c r="D14" s="14" t="str">
        <x:v>TR-B</x:v>
      </x:c>
      <x:c r="E14" s="14" t="str">
        <x:v>RAZ-RFP-B1-AM-05-TR-B</x:v>
      </x:c>
      <x:c r="F14" s="14" t="str">
        <x:v>SRC-05-B-B1</x:v>
      </x:c>
      <x:c r="G14" s="14" t="str">
        <x:v>OPEN</x:v>
      </x:c>
      <x:c r="H14" s="14" t="str">
        <x:f>IF(COUNTIFS('Eligibility Gates'!$B$5:$B$388,A14,'Eligibility Gates'!$F$5:$F$388,"ACCEPTED")=16,"ELIGIBLE","NOT ELIGIBLE")</x:f>
        <x:v>NOT ELIGIBLE</x:v>
      </x:c>
    </x:row>
    <x:row r="15" ht="18" customHeight="1">
      <x:c r="A15" s="14" t="str">
        <x:v>QE02-C11</x:v>
      </x:c>
      <x:c r="B15" s="14" t="str">
        <x:v>RFP-B1</x:v>
      </x:c>
      <x:c r="C15" s="14" t="str">
        <x:v>AM-06</x:v>
      </x:c>
      <x:c r="D15" s="14" t="str">
        <x:v>TR-A</x:v>
      </x:c>
      <x:c r="E15" s="14" t="str">
        <x:v>RAZ-RFP-B1-AM-06-TR-A</x:v>
      </x:c>
      <x:c r="F15" s="14" t="str">
        <x:v>SRC-06-A-B1</x:v>
      </x:c>
      <x:c r="G15" s="14" t="str">
        <x:v>OPEN</x:v>
      </x:c>
      <x:c r="H15" s="14" t="str">
        <x:f>IF(COUNTIFS('Eligibility Gates'!$B$5:$B$388,A15,'Eligibility Gates'!$F$5:$F$388,"ACCEPTED")=16,"ELIGIBLE","NOT ELIGIBLE")</x:f>
        <x:v>NOT ELIGIBLE</x:v>
      </x:c>
    </x:row>
    <x:row r="16" ht="18" customHeight="1">
      <x:c r="A16" s="14" t="str">
        <x:v>QE02-C12</x:v>
      </x:c>
      <x:c r="B16" s="14" t="str">
        <x:v>RFP-B1</x:v>
      </x:c>
      <x:c r="C16" s="14" t="str">
        <x:v>AM-06</x:v>
      </x:c>
      <x:c r="D16" s="14" t="str">
        <x:v>TR-B</x:v>
      </x:c>
      <x:c r="E16" s="14" t="str">
        <x:v>RAZ-RFP-B1-AM-06-TR-B</x:v>
      </x:c>
      <x:c r="F16" s="14" t="str">
        <x:v>SRC-06-B-B1</x:v>
      </x:c>
      <x:c r="G16" s="14" t="str">
        <x:v>OPEN</x:v>
      </x:c>
      <x:c r="H16" s="14" t="str">
        <x:f>IF(COUNTIFS('Eligibility Gates'!$B$5:$B$388,A16,'Eligibility Gates'!$F$5:$F$388,"ACCEPTED")=16,"ELIGIBLE","NOT ELIGIBLE")</x:f>
        <x:v>NOT ELIGIBLE</x:v>
      </x:c>
    </x:row>
    <x:row r="17" ht="18" customHeight="1">
      <x:c r="A17" s="14" t="str">
        <x:v>QE02-C13</x:v>
      </x:c>
      <x:c r="B17" s="14" t="str">
        <x:v>RFP-B2</x:v>
      </x:c>
      <x:c r="C17" s="14" t="str">
        <x:v>AM-05</x:v>
      </x:c>
      <x:c r="D17" s="14" t="str">
        <x:v>TR-A</x:v>
      </x:c>
      <x:c r="E17" s="14" t="str">
        <x:v>RAZ-RFP-B2-AM-05-TR-A</x:v>
      </x:c>
      <x:c r="F17" s="14" t="str">
        <x:v>SRC-05-A-B2</x:v>
      </x:c>
      <x:c r="G17" s="14" t="str">
        <x:v>OPEN</x:v>
      </x:c>
      <x:c r="H17" s="14" t="str">
        <x:f>IF(COUNTIFS('Eligibility Gates'!$B$5:$B$388,A17,'Eligibility Gates'!$F$5:$F$388,"ACCEPTED")=16,"ELIGIBLE","NOT ELIGIBLE")</x:f>
        <x:v>NOT ELIGIBLE</x:v>
      </x:c>
    </x:row>
    <x:row r="18" ht="18" customHeight="1">
      <x:c r="A18" s="14" t="str">
        <x:v>QE02-C14</x:v>
      </x:c>
      <x:c r="B18" s="14" t="str">
        <x:v>RFP-B2</x:v>
      </x:c>
      <x:c r="C18" s="14" t="str">
        <x:v>AM-05</x:v>
      </x:c>
      <x:c r="D18" s="14" t="str">
        <x:v>TR-B</x:v>
      </x:c>
      <x:c r="E18" s="14" t="str">
        <x:v>RAZ-RFP-B2-AM-05-TR-B</x:v>
      </x:c>
      <x:c r="F18" s="14" t="str">
        <x:v>SRC-05-B-B2</x:v>
      </x:c>
      <x:c r="G18" s="14" t="str">
        <x:v>OPEN</x:v>
      </x:c>
      <x:c r="H18" s="14" t="str">
        <x:f>IF(COUNTIFS('Eligibility Gates'!$B$5:$B$388,A18,'Eligibility Gates'!$F$5:$F$388,"ACCEPTED")=16,"ELIGIBLE","NOT ELIGIBLE")</x:f>
        <x:v>NOT ELIGIBLE</x:v>
      </x:c>
    </x:row>
    <x:row r="19" ht="18" customHeight="1">
      <x:c r="A19" s="14" t="str">
        <x:v>QE02-C15</x:v>
      </x:c>
      <x:c r="B19" s="14" t="str">
        <x:v>RFP-B2</x:v>
      </x:c>
      <x:c r="C19" s="14" t="str">
        <x:v>AM-06</x:v>
      </x:c>
      <x:c r="D19" s="14" t="str">
        <x:v>TR-A</x:v>
      </x:c>
      <x:c r="E19" s="14" t="str">
        <x:v>RAZ-RFP-B2-AM-06-TR-A</x:v>
      </x:c>
      <x:c r="F19" s="14" t="str">
        <x:v>SRC-06-A-B2</x:v>
      </x:c>
      <x:c r="G19" s="14" t="str">
        <x:v>OPEN</x:v>
      </x:c>
      <x:c r="H19" s="14" t="str">
        <x:f>IF(COUNTIFS('Eligibility Gates'!$B$5:$B$388,A19,'Eligibility Gates'!$F$5:$F$388,"ACCEPTED")=16,"ELIGIBLE","NOT ELIGIBLE")</x:f>
        <x:v>NOT ELIGIBLE</x:v>
      </x:c>
    </x:row>
    <x:row r="20" ht="18" customHeight="1">
      <x:c r="A20" s="14" t="str">
        <x:v>QE02-C16</x:v>
      </x:c>
      <x:c r="B20" s="14" t="str">
        <x:v>RFP-B2</x:v>
      </x:c>
      <x:c r="C20" s="14" t="str">
        <x:v>AM-06</x:v>
      </x:c>
      <x:c r="D20" s="14" t="str">
        <x:v>TR-B</x:v>
      </x:c>
      <x:c r="E20" s="14" t="str">
        <x:v>RAZ-RFP-B2-AM-06-TR-B</x:v>
      </x:c>
      <x:c r="F20" s="14" t="str">
        <x:v>SRC-06-B-B2</x:v>
      </x:c>
      <x:c r="G20" s="14" t="str">
        <x:v>OPEN</x:v>
      </x:c>
      <x:c r="H20" s="14" t="str">
        <x:f>IF(COUNTIFS('Eligibility Gates'!$B$5:$B$388,A20,'Eligibility Gates'!$F$5:$F$388,"ACCEPTED")=16,"ELIGIBLE","NOT ELIGIBLE")</x:f>
        <x:v>NOT ELIGIBLE</x:v>
      </x:c>
    </x:row>
    <x:row r="21" ht="18" customHeight="1">
      <x:c r="A21" s="14" t="str">
        <x:v>QE02-C17</x:v>
      </x:c>
      <x:c r="B21" s="14" t="str">
        <x:v>RFP-C1</x:v>
      </x:c>
      <x:c r="C21" s="14" t="str">
        <x:v>AM-05</x:v>
      </x:c>
      <x:c r="D21" s="14" t="str">
        <x:v>TR-A</x:v>
      </x:c>
      <x:c r="E21" s="14" t="str">
        <x:v>RAZ-RFP-C1-AM-05-TR-A</x:v>
      </x:c>
      <x:c r="F21" s="14" t="str">
        <x:v>SRC-05-A-C1</x:v>
      </x:c>
      <x:c r="G21" s="14" t="str">
        <x:v>OPEN</x:v>
      </x:c>
      <x:c r="H21" s="14" t="str">
        <x:f>IF(COUNTIFS('Eligibility Gates'!$B$5:$B$388,A21,'Eligibility Gates'!$F$5:$F$388,"ACCEPTED")=16,"ELIGIBLE","NOT ELIGIBLE")</x:f>
        <x:v>NOT ELIGIBLE</x:v>
      </x:c>
    </x:row>
    <x:row r="22" ht="18" customHeight="1">
      <x:c r="A22" s="14" t="str">
        <x:v>QE02-C18</x:v>
      </x:c>
      <x:c r="B22" s="14" t="str">
        <x:v>RFP-C1</x:v>
      </x:c>
      <x:c r="C22" s="14" t="str">
        <x:v>AM-05</x:v>
      </x:c>
      <x:c r="D22" s="14" t="str">
        <x:v>TR-B</x:v>
      </x:c>
      <x:c r="E22" s="14" t="str">
        <x:v>RAZ-RFP-C1-AM-05-TR-B</x:v>
      </x:c>
      <x:c r="F22" s="14" t="str">
        <x:v>SRC-05-B-C1</x:v>
      </x:c>
      <x:c r="G22" s="14" t="str">
        <x:v>OPEN</x:v>
      </x:c>
      <x:c r="H22" s="14" t="str">
        <x:f>IF(COUNTIFS('Eligibility Gates'!$B$5:$B$388,A22,'Eligibility Gates'!$F$5:$F$388,"ACCEPTED")=16,"ELIGIBLE","NOT ELIGIBLE")</x:f>
        <x:v>NOT ELIGIBLE</x:v>
      </x:c>
    </x:row>
    <x:row r="23" ht="18" customHeight="1">
      <x:c r="A23" s="14" t="str">
        <x:v>QE02-C19</x:v>
      </x:c>
      <x:c r="B23" s="14" t="str">
        <x:v>RFP-C1</x:v>
      </x:c>
      <x:c r="C23" s="14" t="str">
        <x:v>AM-06</x:v>
      </x:c>
      <x:c r="D23" s="14" t="str">
        <x:v>TR-A</x:v>
      </x:c>
      <x:c r="E23" s="14" t="str">
        <x:v>RAZ-RFP-C1-AM-06-TR-A</x:v>
      </x:c>
      <x:c r="F23" s="14" t="str">
        <x:v>SRC-06-A-C1</x:v>
      </x:c>
      <x:c r="G23" s="14" t="str">
        <x:v>OPEN</x:v>
      </x:c>
      <x:c r="H23" s="14" t="str">
        <x:f>IF(COUNTIFS('Eligibility Gates'!$B$5:$B$388,A23,'Eligibility Gates'!$F$5:$F$388,"ACCEPTED")=16,"ELIGIBLE","NOT ELIGIBLE")</x:f>
        <x:v>NOT ELIGIBLE</x:v>
      </x:c>
    </x:row>
    <x:row r="24" ht="18" customHeight="1">
      <x:c r="A24" s="14" t="str">
        <x:v>QE02-C20</x:v>
      </x:c>
      <x:c r="B24" s="14" t="str">
        <x:v>RFP-C1</x:v>
      </x:c>
      <x:c r="C24" s="14" t="str">
        <x:v>AM-06</x:v>
      </x:c>
      <x:c r="D24" s="14" t="str">
        <x:v>TR-B</x:v>
      </x:c>
      <x:c r="E24" s="14" t="str">
        <x:v>RAZ-RFP-C1-AM-06-TR-B</x:v>
      </x:c>
      <x:c r="F24" s="14" t="str">
        <x:v>SRC-06-B-C1</x:v>
      </x:c>
      <x:c r="G24" s="14" t="str">
        <x:v>OPEN</x:v>
      </x:c>
      <x:c r="H24" s="14" t="str">
        <x:f>IF(COUNTIFS('Eligibility Gates'!$B$5:$B$388,A24,'Eligibility Gates'!$F$5:$F$388,"ACCEPTED")=16,"ELIGIBLE","NOT ELIGIBLE")</x:f>
        <x:v>NOT ELIGIBLE</x:v>
      </x:c>
    </x:row>
    <x:row r="25" ht="18" customHeight="1">
      <x:c r="A25" s="14" t="str">
        <x:v>QE02-C21</x:v>
      </x:c>
      <x:c r="B25" s="14" t="str">
        <x:v>RFP-C2</x:v>
      </x:c>
      <x:c r="C25" s="14" t="str">
        <x:v>AM-05</x:v>
      </x:c>
      <x:c r="D25" s="14" t="str">
        <x:v>TR-A</x:v>
      </x:c>
      <x:c r="E25" s="14" t="str">
        <x:v>RAZ-RFP-C2-AM-05-TR-A</x:v>
      </x:c>
      <x:c r="F25" s="14" t="str">
        <x:v>SRC-05-A-C2</x:v>
      </x:c>
      <x:c r="G25" s="14" t="str">
        <x:v>OPEN</x:v>
      </x:c>
      <x:c r="H25" s="14" t="str">
        <x:f>IF(COUNTIFS('Eligibility Gates'!$B$5:$B$388,A25,'Eligibility Gates'!$F$5:$F$388,"ACCEPTED")=16,"ELIGIBLE","NOT ELIGIBLE")</x:f>
        <x:v>NOT ELIGIBLE</x:v>
      </x:c>
    </x:row>
    <x:row r="26" ht="18" customHeight="1">
      <x:c r="A26" s="14" t="str">
        <x:v>QE02-C22</x:v>
      </x:c>
      <x:c r="B26" s="14" t="str">
        <x:v>RFP-C2</x:v>
      </x:c>
      <x:c r="C26" s="14" t="str">
        <x:v>AM-05</x:v>
      </x:c>
      <x:c r="D26" s="14" t="str">
        <x:v>TR-B</x:v>
      </x:c>
      <x:c r="E26" s="14" t="str">
        <x:v>RAZ-RFP-C2-AM-05-TR-B</x:v>
      </x:c>
      <x:c r="F26" s="14" t="str">
        <x:v>SRC-05-B-C2</x:v>
      </x:c>
      <x:c r="G26" s="14" t="str">
        <x:v>OPEN</x:v>
      </x:c>
      <x:c r="H26" s="14" t="str">
        <x:f>IF(COUNTIFS('Eligibility Gates'!$B$5:$B$388,A26,'Eligibility Gates'!$F$5:$F$388,"ACCEPTED")=16,"ELIGIBLE","NOT ELIGIBLE")</x:f>
        <x:v>NOT ELIGIBLE</x:v>
      </x:c>
    </x:row>
    <x:row r="27" ht="18" customHeight="1">
      <x:c r="A27" s="14" t="str">
        <x:v>QE02-C23</x:v>
      </x:c>
      <x:c r="B27" s="14" t="str">
        <x:v>RFP-C2</x:v>
      </x:c>
      <x:c r="C27" s="14" t="str">
        <x:v>AM-06</x:v>
      </x:c>
      <x:c r="D27" s="14" t="str">
        <x:v>TR-A</x:v>
      </x:c>
      <x:c r="E27" s="14" t="str">
        <x:v>RAZ-RFP-C2-AM-06-TR-A</x:v>
      </x:c>
      <x:c r="F27" s="14" t="str">
        <x:v>SRC-06-A-C2</x:v>
      </x:c>
      <x:c r="G27" s="14" t="str">
        <x:v>OPEN</x:v>
      </x:c>
      <x:c r="H27" s="14" t="str">
        <x:f>IF(COUNTIFS('Eligibility Gates'!$B$5:$B$388,A27,'Eligibility Gates'!$F$5:$F$388,"ACCEPTED")=16,"ELIGIBLE","NOT ELIGIBLE")</x:f>
        <x:v>NOT ELIGIBLE</x:v>
      </x:c>
    </x:row>
    <x:row r="28" ht="18" customHeight="1">
      <x:c r="A28" s="14" t="str">
        <x:v>QE02-C24</x:v>
      </x:c>
      <x:c r="B28" s="14" t="str">
        <x:v>RFP-C2</x:v>
      </x:c>
      <x:c r="C28" s="14" t="str">
        <x:v>AM-06</x:v>
      </x:c>
      <x:c r="D28" s="14" t="str">
        <x:v>TR-B</x:v>
      </x:c>
      <x:c r="E28" s="14" t="str">
        <x:v>RAZ-RFP-C2-AM-06-TR-B</x:v>
      </x:c>
      <x:c r="F28" s="14" t="str">
        <x:v>SRC-06-B-C2</x:v>
      </x:c>
      <x:c r="G28" s="14" t="str">
        <x:v>OPEN</x:v>
      </x:c>
      <x:c r="H28" s="14" t="str">
        <x:f>IF(COUNTIFS('Eligibility Gates'!$B$5:$B$388,A28,'Eligibility Gates'!$F$5:$F$388,"ACCEPTED")=16,"ELIGIBLE","NOT ELIGIBLE")</x:f>
        <x:v>NOT ELIGIBLE</x:v>
      </x:c>
    </x:row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G5:H28">
    <x:cfRule type="containsText" dxfId="5" priority="1" operator="containsText" text="ACCEPTED"/>
    <x:cfRule type="containsText" dxfId="6" priority="2" operator="containsText" text="PASS"/>
    <x:cfRule type="containsText" dxfId="7" priority="3" operator="containsText" text="OPEN"/>
    <x:cfRule type="containsText" dxfId="8" priority="4" operator="containsText" text="BLOCKED"/>
    <x:cfRule type="containsText" dxfId="9" priority="5" operator="containsText" text="REJECTED"/>
  </x:conditionalFormatting>
  <x:dataValidations count="1">
    <x:dataValidation type="list" sqref="G5:G28">
      <x:formula1>"OPEN,ACCEPTED,REJECTED"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9" hidden="0" customWidth="1"/>
    <x:col min="4" max="4" width="32" hidden="0" customWidth="1"/>
    <x:col min="5" max="5" width="54" hidden="0" customWidth="1"/>
    <x:col min="6" max="6" width="16" hidden="0" customWidth="1"/>
    <x:col min="7" max="7" width="28" hidden="0" customWidth="1"/>
    <x:col min="8" max="8" width="22" hidden="0" customWidth="1"/>
  </x:cols>
  <x:sheetData>
    <x:row r="1" ht="28" customHeight="1">
      <x:c r="A1" s="18" t="str">
        <x:v>RBA-1 | Source-specific eligibility field</x:v>
      </x:c>
      <x:c r="B1" s="18"/>
      <x:c r="C1" s="18"/>
      <x:c r="D1" s="18"/>
      <x:c r="E1" s="18"/>
      <x:c r="F1" s="18"/>
      <x:c r="G1" s="18"/>
      <x:c r="H1" s="18"/>
    </x:row>
    <x:row r="2" ht="28" customHeight="1">
      <x:c r="A2" s="19" t="str">
        <x:v>384 physical decisions remain open. Planning completeness is not physical acceptance.</x:v>
      </x:c>
      <x:c r="B2" s="19"/>
      <x:c r="C2" s="19"/>
      <x:c r="D2" s="19"/>
      <x:c r="E2" s="19"/>
      <x:c r="F2" s="19"/>
      <x:c r="G2" s="19"/>
      <x:c r="H2" s="19"/>
    </x:row>
    <x:row r="3" ht="18" customHeight="1">
      <x:c r="A3" s="20"/>
      <x:c r="B3" s="20"/>
      <x:c r="C3" s="20"/>
      <x:c r="D3" s="20"/>
      <x:c r="E3" s="20"/>
      <x:c r="F3" s="20"/>
      <x:c r="G3" s="20"/>
      <x:c r="H3" s="20"/>
    </x:row>
    <x:row r="4" ht="18" customHeight="1">
      <x:c r="A4" s="21" t="str">
        <x:v>Gate ID</x:v>
      </x:c>
      <x:c r="B4" s="21" t="str">
        <x:v>Cell</x:v>
      </x:c>
      <x:c r="C4" s="21" t="str">
        <x:v>Gate</x:v>
      </x:c>
      <x:c r="D4" s="21" t="str">
        <x:v>Required object</x:v>
      </x:c>
      <x:c r="E4" s="21" t="str">
        <x:v>Binding rule</x:v>
      </x:c>
      <x:c r="F4" s="21" t="str">
        <x:v>State</x:v>
      </x:c>
      <x:c r="G4" s="21" t="str">
        <x:v>Evidence root</x:v>
      </x:c>
      <x:c r="H4" s="21" t="str">
        <x:v>Accepted UTC</x:v>
      </x:c>
    </x:row>
    <x:row r="5" ht="18" customHeight="1">
      <x:c r="A5" s="14" t="str">
        <x:v>EG-QE02-C01-01</x:v>
      </x:c>
      <x:c r="B5" s="14" t="str">
        <x:v>QE02-C01</x:v>
      </x:c>
      <x:c r="C5" s="14" t="n">
        <x:v>1</x:v>
      </x:c>
      <x:c r="D5" s="14" t="str">
        <x:v>RAZ-1 cell credit</x:v>
      </x:c>
      <x:c r="E5" s="14" t="str">
        <x:v>Evidence required for RFP-A1 / AM-05 / TR-A</x:v>
      </x:c>
      <x:c r="F5" s="14" t="str">
        <x:v>OPEN</x:v>
      </x:c>
      <x:c r="G5" s="14" t="str"/>
      <x:c r="H5" s="14" t="str"/>
    </x:row>
    <x:row r="6" ht="18" customHeight="1">
      <x:c r="A6" s="14" t="str">
        <x:v>EG-QE02-C01-02</x:v>
      </x:c>
      <x:c r="B6" s="14" t="str">
        <x:v>QE02-C01</x:v>
      </x:c>
      <x:c r="C6" s="14" t="n">
        <x:v>2</x:v>
      </x:c>
      <x:c r="D6" s="14" t="str">
        <x:v>current pair baseline</x:v>
      </x:c>
      <x:c r="E6" s="14" t="str">
        <x:v>Evidence required for RFP-A1 / AM-05 / TR-A</x:v>
      </x:c>
      <x:c r="F6" s="14" t="str">
        <x:v>OPEN</x:v>
      </x:c>
      <x:c r="G6" s="14" t="str"/>
      <x:c r="H6" s="14" t="str"/>
    </x:row>
    <x:row r="7" ht="18" customHeight="1">
      <x:c r="A7" s="14" t="str">
        <x:v>EG-QE02-C01-03</x:v>
      </x:c>
      <x:c r="B7" s="14" t="str">
        <x:v>QE02-C01</x:v>
      </x:c>
      <x:c r="C7" s="14" t="n">
        <x:v>3</x:v>
      </x:c>
      <x:c r="D7" s="14" t="str">
        <x:v>REA-100 insert and liner</x:v>
      </x:c>
      <x:c r="E7" s="14" t="str">
        <x:v>Evidence required for RFP-A1 / AM-05 / TR-A</x:v>
      </x:c>
      <x:c r="F7" s="14" t="str">
        <x:v>OPEN</x:v>
      </x:c>
      <x:c r="G7" s="14" t="str"/>
      <x:c r="H7" s="14" t="str"/>
    </x:row>
    <x:row r="8" ht="18" customHeight="1">
      <x:c r="A8" s="14" t="str">
        <x:v>EG-QE02-C01-04</x:v>
      </x:c>
      <x:c r="B8" s="14" t="str">
        <x:v>QE02-C01</x:v>
      </x:c>
      <x:c r="C8" s="14" t="n">
        <x:v>4</x:v>
      </x:c>
      <x:c r="D8" s="14" t="str">
        <x:v>containment and receivers</x:v>
      </x:c>
      <x:c r="E8" s="14" t="str">
        <x:v>Evidence required for RFP-A1 / AM-05 / TR-A</x:v>
      </x:c>
      <x:c r="F8" s="14" t="str">
        <x:v>OPEN</x:v>
      </x:c>
      <x:c r="G8" s="14" t="str"/>
      <x:c r="H8" s="14" t="str"/>
    </x:row>
    <x:row r="9" ht="18" customHeight="1">
      <x:c r="A9" s="14" t="str">
        <x:v>EG-QE02-C01-05</x:v>
      </x:c>
      <x:c r="B9" s="14" t="str">
        <x:v>QE02-C01</x:v>
      </x:c>
      <x:c r="C9" s="14" t="n">
        <x:v>5</x:v>
      </x:c>
      <x:c r="D9" s="14" t="str">
        <x:v>active source package</x:v>
      </x:c>
      <x:c r="E9" s="14" t="str">
        <x:v>Evidence required for RFP-A1 / AM-05 / TR-A</x:v>
      </x:c>
      <x:c r="F9" s="14" t="str">
        <x:v>OPEN</x:v>
      </x:c>
      <x:c r="G9" s="14" t="str"/>
      <x:c r="H9" s="14" t="str"/>
    </x:row>
    <x:row r="10" ht="18" customHeight="1">
      <x:c r="A10" s="14" t="str">
        <x:v>EG-QE02-C01-06</x:v>
      </x:c>
      <x:c r="B10" s="14" t="str">
        <x:v>QE02-C01</x:v>
      </x:c>
      <x:c r="C10" s="14" t="n">
        <x:v>6</x:v>
      </x:c>
      <x:c r="D10" s="14" t="str">
        <x:v>ten package characteristics</x:v>
      </x:c>
      <x:c r="E10" s="14" t="str">
        <x:v>Evidence required for RFP-A1 / AM-05 / TR-A</x:v>
      </x:c>
      <x:c r="F10" s="14" t="str">
        <x:v>OPEN</x:v>
      </x:c>
      <x:c r="G10" s="14" t="str"/>
      <x:c r="H10" s="14" t="str"/>
    </x:row>
    <x:row r="11" ht="18" customHeight="1">
      <x:c r="A11" s="14" t="str">
        <x:v>EG-QE02-C01-07</x:v>
      </x:c>
      <x:c r="B11" s="14" t="str">
        <x:v>QE02-C01</x:v>
      </x:c>
      <x:c r="C11" s="14" t="n">
        <x:v>7</x:v>
      </x:c>
      <x:c r="D11" s="14" t="str">
        <x:v>conditioning and aliquot split</x:v>
      </x:c>
      <x:c r="E11" s="14" t="str">
        <x:v>Evidence required for RFP-A1 / AM-05 / TR-A</x:v>
      </x:c>
      <x:c r="F11" s="14" t="str">
        <x:v>OPEN</x:v>
      </x:c>
      <x:c r="G11" s="14" t="str"/>
      <x:c r="H11" s="14" t="str"/>
    </x:row>
    <x:row r="12" ht="18" customHeight="1">
      <x:c r="A12" s="14" t="str">
        <x:v>EG-QE02-C01-08</x:v>
      </x:c>
      <x:c r="B12" s="14" t="str">
        <x:v>QE02-C01</x:v>
      </x:c>
      <x:c r="C12" s="14" t="n">
        <x:v>8</x:v>
      </x:c>
      <x:c r="D12" s="14" t="str">
        <x:v>unlike ancestry roots</x:v>
      </x:c>
      <x:c r="E12" s="14" t="str">
        <x:v>Evidence required for RFP-A1 / AM-05 / TR-A</x:v>
      </x:c>
      <x:c r="F12" s="14" t="str">
        <x:v>OPEN</x:v>
      </x:c>
      <x:c r="G12" s="14" t="str"/>
      <x:c r="H12" s="14" t="str"/>
    </x:row>
    <x:row r="13" ht="18" customHeight="1">
      <x:c r="A13" s="14" t="str">
        <x:v>EG-QE02-C01-09</x:v>
      </x:c>
      <x:c r="B13" s="14" t="str">
        <x:v>QE02-C01</x:v>
      </x:c>
      <x:c r="C13" s="14" t="n">
        <x:v>9</x:v>
      </x:c>
      <x:c r="D13" s="14" t="str">
        <x:v>twelve final elements</x:v>
      </x:c>
      <x:c r="E13" s="14" t="str">
        <x:v>Evidence required for RFP-A1 / AM-05 / TR-A</x:v>
      </x:c>
      <x:c r="F13" s="14" t="str">
        <x:v>OPEN</x:v>
      </x:c>
      <x:c r="G13" s="14" t="str"/>
      <x:c r="H13" s="14" t="str"/>
    </x:row>
    <x:row r="14" ht="18" customHeight="1">
      <x:c r="A14" s="14" t="str">
        <x:v>EG-QE02-C01-10</x:v>
      </x:c>
      <x:c r="B14" s="14" t="str">
        <x:v>QE02-C01</x:v>
      </x:c>
      <x:c r="C14" s="14" t="n">
        <x:v>10</x:v>
      </x:c>
      <x:c r="D14" s="14" t="str">
        <x:v>thirty-six safeing paths</x:v>
      </x:c>
      <x:c r="E14" s="14" t="str">
        <x:v>Evidence required for RFP-A1 / AM-05 / TR-A</x:v>
      </x:c>
      <x:c r="F14" s="14" t="str">
        <x:v>OPEN</x:v>
      </x:c>
      <x:c r="G14" s="14" t="str"/>
      <x:c r="H14" s="14" t="str"/>
    </x:row>
    <x:row r="15" ht="18" customHeight="1">
      <x:c r="A15" s="14" t="str">
        <x:v>EG-QE02-C01-11</x:v>
      </x:c>
      <x:c r="B15" s="14" t="str">
        <x:v>QE02-C01</x:v>
      </x:c>
      <x:c r="C15" s="14" t="n">
        <x:v>11</x:v>
      </x:c>
      <x:c r="D15" s="14" t="str">
        <x:v>120 m3 water package</x:v>
      </x:c>
      <x:c r="E15" s="14" t="str">
        <x:v>Evidence required for RFP-A1 / AM-05 / TR-A</x:v>
      </x:c>
      <x:c r="F15" s="14" t="str">
        <x:v>OPEN</x:v>
      </x:c>
      <x:c r="G15" s="14" t="str"/>
      <x:c r="H15" s="14" t="str"/>
    </x:row>
    <x:row r="16" ht="18" customHeight="1">
      <x:c r="A16" s="14" t="str">
        <x:v>EG-QE02-C01-12</x:v>
      </x:c>
      <x:c r="B16" s="14" t="str">
        <x:v>QE02-C01</x:v>
      </x:c>
      <x:c r="C16" s="14" t="n">
        <x:v>12</x:v>
      </x:c>
      <x:c r="D16" s="14" t="str">
        <x:v>thermal and environmental boundary</x:v>
      </x:c>
      <x:c r="E16" s="14" t="str">
        <x:v>Evidence required for RFP-A1 / AM-05 / TR-A</x:v>
      </x:c>
      <x:c r="F16" s="14" t="str">
        <x:v>OPEN</x:v>
      </x:c>
      <x:c r="G16" s="14" t="str"/>
      <x:c r="H16" s="14" t="str"/>
    </x:row>
    <x:row r="17" ht="18" customHeight="1">
      <x:c r="A17" s="14" t="str">
        <x:v>EG-QE02-C01-13</x:v>
      </x:c>
      <x:c r="B17" s="14" t="str">
        <x:v>QE02-C01</x:v>
      </x:c>
      <x:c r="C17" s="14" t="n">
        <x:v>13</x:v>
      </x:c>
      <x:c r="D17" s="14" t="str">
        <x:v>fifty-six-position crew</x:v>
      </x:c>
      <x:c r="E17" s="14" t="str">
        <x:v>Evidence required for RFP-A1 / AM-05 / TR-A</x:v>
      </x:c>
      <x:c r="F17" s="14" t="str">
        <x:v>OPEN</x:v>
      </x:c>
      <x:c r="G17" s="14" t="str"/>
      <x:c r="H17" s="14" t="str"/>
    </x:row>
    <x:row r="18" ht="18" customHeight="1">
      <x:c r="A18" s="14" t="str">
        <x:v>EG-QE02-C01-14</x:v>
      </x:c>
      <x:c r="B18" s="14" t="str">
        <x:v>QE02-C01</x:v>
      </x:c>
      <x:c r="C18" s="14" t="n">
        <x:v>14</x:v>
      </x:c>
      <x:c r="D18" s="14" t="str">
        <x:v>rescue and remote entry</x:v>
      </x:c>
      <x:c r="E18" s="14" t="str">
        <x:v>Evidence required for RFP-A1 / AM-05 / TR-A</x:v>
      </x:c>
      <x:c r="F18" s="14" t="str">
        <x:v>OPEN</x:v>
      </x:c>
      <x:c r="G18" s="14" t="str"/>
      <x:c r="H18" s="14" t="str"/>
    </x:row>
    <x:row r="19" ht="18" customHeight="1">
      <x:c r="A19" s="14" t="str">
        <x:v>EG-QE02-C01-15</x:v>
      </x:c>
      <x:c r="B19" s="14" t="str">
        <x:v>QE02-C01</x:v>
      </x:c>
      <x:c r="C19" s="14" t="n">
        <x:v>15</x:v>
      </x:c>
      <x:c r="D19" s="14" t="str">
        <x:v>waste and decontamination route</x:v>
      </x:c>
      <x:c r="E19" s="14" t="str">
        <x:v>Evidence required for RFP-A1 / AM-05 / TR-A</x:v>
      </x:c>
      <x:c r="F19" s="14" t="str">
        <x:v>OPEN</x:v>
      </x:c>
      <x:c r="G19" s="14" t="str"/>
      <x:c r="H19" s="14" t="str"/>
    </x:row>
    <x:row r="20" ht="18" customHeight="1">
      <x:c r="A20" s="14" t="str">
        <x:v>EG-QE02-C01-16</x:v>
      </x:c>
      <x:c r="B20" s="14" t="str">
        <x:v>QE02-C01</x:v>
      </x:c>
      <x:c r="C20" s="14" t="n">
        <x:v>16</x:v>
      </x:c>
      <x:c r="D20" s="14" t="str">
        <x:v>evidence and replay capacity</x:v>
      </x:c>
      <x:c r="E20" s="14" t="str">
        <x:v>Evidence required for RFP-A1 / AM-05 / TR-A</x:v>
      </x:c>
      <x:c r="F20" s="14" t="str">
        <x:v>OPEN</x:v>
      </x:c>
      <x:c r="G20" s="14" t="str"/>
      <x:c r="H20" s="14" t="str"/>
    </x:row>
    <x:row r="21" ht="18" customHeight="1">
      <x:c r="A21" s="14" t="str">
        <x:v>EG-QE02-C02-01</x:v>
      </x:c>
      <x:c r="B21" s="14" t="str">
        <x:v>QE02-C02</x:v>
      </x:c>
      <x:c r="C21" s="14" t="n">
        <x:v>1</x:v>
      </x:c>
      <x:c r="D21" s="14" t="str">
        <x:v>RAZ-1 cell credit</x:v>
      </x:c>
      <x:c r="E21" s="14" t="str">
        <x:v>Evidence required for RFP-A1 / AM-05 / TR-B</x:v>
      </x:c>
      <x:c r="F21" s="14" t="str">
        <x:v>OPEN</x:v>
      </x:c>
      <x:c r="G21" s="14" t="str"/>
      <x:c r="H21" s="14" t="str"/>
    </x:row>
    <x:row r="22" ht="18" customHeight="1">
      <x:c r="A22" s="14" t="str">
        <x:v>EG-QE02-C02-02</x:v>
      </x:c>
      <x:c r="B22" s="14" t="str">
        <x:v>QE02-C02</x:v>
      </x:c>
      <x:c r="C22" s="14" t="n">
        <x:v>2</x:v>
      </x:c>
      <x:c r="D22" s="14" t="str">
        <x:v>current pair baseline</x:v>
      </x:c>
      <x:c r="E22" s="14" t="str">
        <x:v>Evidence required for RFP-A1 / AM-05 / TR-B</x:v>
      </x:c>
      <x:c r="F22" s="14" t="str">
        <x:v>OPEN</x:v>
      </x:c>
      <x:c r="G22" s="14" t="str"/>
      <x:c r="H22" s="14" t="str"/>
    </x:row>
    <x:row r="23" ht="18" customHeight="1">
      <x:c r="A23" s="14" t="str">
        <x:v>EG-QE02-C02-03</x:v>
      </x:c>
      <x:c r="B23" s="14" t="str">
        <x:v>QE02-C02</x:v>
      </x:c>
      <x:c r="C23" s="14" t="n">
        <x:v>3</x:v>
      </x:c>
      <x:c r="D23" s="14" t="str">
        <x:v>REA-100 insert and liner</x:v>
      </x:c>
      <x:c r="E23" s="14" t="str">
        <x:v>Evidence required for RFP-A1 / AM-05 / TR-B</x:v>
      </x:c>
      <x:c r="F23" s="14" t="str">
        <x:v>OPEN</x:v>
      </x:c>
      <x:c r="G23" s="14" t="str"/>
      <x:c r="H23" s="14" t="str"/>
    </x:row>
    <x:row r="24" ht="18" customHeight="1">
      <x:c r="A24" s="14" t="str">
        <x:v>EG-QE02-C02-04</x:v>
      </x:c>
      <x:c r="B24" s="14" t="str">
        <x:v>QE02-C02</x:v>
      </x:c>
      <x:c r="C24" s="14" t="n">
        <x:v>4</x:v>
      </x:c>
      <x:c r="D24" s="14" t="str">
        <x:v>containment and receivers</x:v>
      </x:c>
      <x:c r="E24" s="14" t="str">
        <x:v>Evidence required for RFP-A1 / AM-05 / TR-B</x:v>
      </x:c>
      <x:c r="F24" s="14" t="str">
        <x:v>OPEN</x:v>
      </x:c>
      <x:c r="G24" s="14" t="str"/>
      <x:c r="H24" s="14" t="str"/>
    </x:row>
    <x:row r="25" ht="18" customHeight="1">
      <x:c r="A25" s="14" t="str">
        <x:v>EG-QE02-C02-05</x:v>
      </x:c>
      <x:c r="B25" s="14" t="str">
        <x:v>QE02-C02</x:v>
      </x:c>
      <x:c r="C25" s="14" t="n">
        <x:v>5</x:v>
      </x:c>
      <x:c r="D25" s="14" t="str">
        <x:v>active source package</x:v>
      </x:c>
      <x:c r="E25" s="14" t="str">
        <x:v>Evidence required for RFP-A1 / AM-05 / TR-B</x:v>
      </x:c>
      <x:c r="F25" s="14" t="str">
        <x:v>OPEN</x:v>
      </x:c>
      <x:c r="G25" s="14" t="str"/>
      <x:c r="H25" s="14" t="str"/>
    </x:row>
    <x:row r="26" ht="18" customHeight="1">
      <x:c r="A26" s="14" t="str">
        <x:v>EG-QE02-C02-06</x:v>
      </x:c>
      <x:c r="B26" s="14" t="str">
        <x:v>QE02-C02</x:v>
      </x:c>
      <x:c r="C26" s="14" t="n">
        <x:v>6</x:v>
      </x:c>
      <x:c r="D26" s="14" t="str">
        <x:v>ten package characteristics</x:v>
      </x:c>
      <x:c r="E26" s="14" t="str">
        <x:v>Evidence required for RFP-A1 / AM-05 / TR-B</x:v>
      </x:c>
      <x:c r="F26" s="14" t="str">
        <x:v>OPEN</x:v>
      </x:c>
      <x:c r="G26" s="14" t="str"/>
      <x:c r="H26" s="14" t="str"/>
    </x:row>
    <x:row r="27" ht="18" customHeight="1">
      <x:c r="A27" s="14" t="str">
        <x:v>EG-QE02-C02-07</x:v>
      </x:c>
      <x:c r="B27" s="14" t="str">
        <x:v>QE02-C02</x:v>
      </x:c>
      <x:c r="C27" s="14" t="n">
        <x:v>7</x:v>
      </x:c>
      <x:c r="D27" s="14" t="str">
        <x:v>conditioning and aliquot split</x:v>
      </x:c>
      <x:c r="E27" s="14" t="str">
        <x:v>Evidence required for RFP-A1 / AM-05 / TR-B</x:v>
      </x:c>
      <x:c r="F27" s="14" t="str">
        <x:v>OPEN</x:v>
      </x:c>
      <x:c r="G27" s="14" t="str"/>
      <x:c r="H27" s="14" t="str"/>
    </x:row>
    <x:row r="28" ht="18" customHeight="1">
      <x:c r="A28" s="14" t="str">
        <x:v>EG-QE02-C02-08</x:v>
      </x:c>
      <x:c r="B28" s="14" t="str">
        <x:v>QE02-C02</x:v>
      </x:c>
      <x:c r="C28" s="14" t="n">
        <x:v>8</x:v>
      </x:c>
      <x:c r="D28" s="14" t="str">
        <x:v>unlike ancestry roots</x:v>
      </x:c>
      <x:c r="E28" s="14" t="str">
        <x:v>Evidence required for RFP-A1 / AM-05 / TR-B</x:v>
      </x:c>
      <x:c r="F28" s="14" t="str">
        <x:v>OPEN</x:v>
      </x:c>
      <x:c r="G28" s="14" t="str"/>
      <x:c r="H28" s="14" t="str"/>
    </x:row>
    <x:row r="29" ht="18" customHeight="1">
      <x:c r="A29" s="14" t="str">
        <x:v>EG-QE02-C02-09</x:v>
      </x:c>
      <x:c r="B29" s="14" t="str">
        <x:v>QE02-C02</x:v>
      </x:c>
      <x:c r="C29" s="14" t="n">
        <x:v>9</x:v>
      </x:c>
      <x:c r="D29" s="14" t="str">
        <x:v>twelve final elements</x:v>
      </x:c>
      <x:c r="E29" s="14" t="str">
        <x:v>Evidence required for RFP-A1 / AM-05 / TR-B</x:v>
      </x:c>
      <x:c r="F29" s="14" t="str">
        <x:v>OPEN</x:v>
      </x:c>
      <x:c r="G29" s="14" t="str"/>
      <x:c r="H29" s="14" t="str"/>
    </x:row>
    <x:row r="30" ht="18" customHeight="1">
      <x:c r="A30" s="14" t="str">
        <x:v>EG-QE02-C02-10</x:v>
      </x:c>
      <x:c r="B30" s="14" t="str">
        <x:v>QE02-C02</x:v>
      </x:c>
      <x:c r="C30" s="14" t="n">
        <x:v>10</x:v>
      </x:c>
      <x:c r="D30" s="14" t="str">
        <x:v>thirty-six safeing paths</x:v>
      </x:c>
      <x:c r="E30" s="14" t="str">
        <x:v>Evidence required for RFP-A1 / AM-05 / TR-B</x:v>
      </x:c>
      <x:c r="F30" s="14" t="str">
        <x:v>OPEN</x:v>
      </x:c>
      <x:c r="G30" s="14" t="str"/>
      <x:c r="H30" s="14" t="str"/>
    </x:row>
    <x:row r="31" ht="18" customHeight="1">
      <x:c r="A31" s="14" t="str">
        <x:v>EG-QE02-C02-11</x:v>
      </x:c>
      <x:c r="B31" s="14" t="str">
        <x:v>QE02-C02</x:v>
      </x:c>
      <x:c r="C31" s="14" t="n">
        <x:v>11</x:v>
      </x:c>
      <x:c r="D31" s="14" t="str">
        <x:v>120 m3 water package</x:v>
      </x:c>
      <x:c r="E31" s="14" t="str">
        <x:v>Evidence required for RFP-A1 / AM-05 / TR-B</x:v>
      </x:c>
      <x:c r="F31" s="14" t="str">
        <x:v>OPEN</x:v>
      </x:c>
      <x:c r="G31" s="14" t="str"/>
      <x:c r="H31" s="14" t="str"/>
    </x:row>
    <x:row r="32" ht="18" customHeight="1">
      <x:c r="A32" s="14" t="str">
        <x:v>EG-QE02-C02-12</x:v>
      </x:c>
      <x:c r="B32" s="14" t="str">
        <x:v>QE02-C02</x:v>
      </x:c>
      <x:c r="C32" s="14" t="n">
        <x:v>12</x:v>
      </x:c>
      <x:c r="D32" s="14" t="str">
        <x:v>thermal and environmental boundary</x:v>
      </x:c>
      <x:c r="E32" s="14" t="str">
        <x:v>Evidence required for RFP-A1 / AM-05 / TR-B</x:v>
      </x:c>
      <x:c r="F32" s="14" t="str">
        <x:v>OPEN</x:v>
      </x:c>
      <x:c r="G32" s="14" t="str"/>
      <x:c r="H32" s="14" t="str"/>
    </x:row>
    <x:row r="33" ht="18" customHeight="1">
      <x:c r="A33" s="14" t="str">
        <x:v>EG-QE02-C02-13</x:v>
      </x:c>
      <x:c r="B33" s="14" t="str">
        <x:v>QE02-C02</x:v>
      </x:c>
      <x:c r="C33" s="14" t="n">
        <x:v>13</x:v>
      </x:c>
      <x:c r="D33" s="14" t="str">
        <x:v>fifty-six-position crew</x:v>
      </x:c>
      <x:c r="E33" s="14" t="str">
        <x:v>Evidence required for RFP-A1 / AM-05 / TR-B</x:v>
      </x:c>
      <x:c r="F33" s="14" t="str">
        <x:v>OPEN</x:v>
      </x:c>
      <x:c r="G33" s="14" t="str"/>
      <x:c r="H33" s="14" t="str"/>
    </x:row>
    <x:row r="34" ht="18" customHeight="1">
      <x:c r="A34" s="14" t="str">
        <x:v>EG-QE02-C02-14</x:v>
      </x:c>
      <x:c r="B34" s="14" t="str">
        <x:v>QE02-C02</x:v>
      </x:c>
      <x:c r="C34" s="14" t="n">
        <x:v>14</x:v>
      </x:c>
      <x:c r="D34" s="14" t="str">
        <x:v>rescue and remote entry</x:v>
      </x:c>
      <x:c r="E34" s="14" t="str">
        <x:v>Evidence required for RFP-A1 / AM-05 / TR-B</x:v>
      </x:c>
      <x:c r="F34" s="14" t="str">
        <x:v>OPEN</x:v>
      </x:c>
      <x:c r="G34" s="14" t="str"/>
      <x:c r="H34" s="14" t="str"/>
    </x:row>
    <x:row r="35" ht="18" customHeight="1">
      <x:c r="A35" s="14" t="str">
        <x:v>EG-QE02-C02-15</x:v>
      </x:c>
      <x:c r="B35" s="14" t="str">
        <x:v>QE02-C02</x:v>
      </x:c>
      <x:c r="C35" s="14" t="n">
        <x:v>15</x:v>
      </x:c>
      <x:c r="D35" s="14" t="str">
        <x:v>waste and decontamination route</x:v>
      </x:c>
      <x:c r="E35" s="14" t="str">
        <x:v>Evidence required for RFP-A1 / AM-05 / TR-B</x:v>
      </x:c>
      <x:c r="F35" s="14" t="str">
        <x:v>OPEN</x:v>
      </x:c>
      <x:c r="G35" s="14" t="str"/>
      <x:c r="H35" s="14" t="str"/>
    </x:row>
    <x:row r="36" ht="18" customHeight="1">
      <x:c r="A36" s="14" t="str">
        <x:v>EG-QE02-C02-16</x:v>
      </x:c>
      <x:c r="B36" s="14" t="str">
        <x:v>QE02-C02</x:v>
      </x:c>
      <x:c r="C36" s="14" t="n">
        <x:v>16</x:v>
      </x:c>
      <x:c r="D36" s="14" t="str">
        <x:v>evidence and replay capacity</x:v>
      </x:c>
      <x:c r="E36" s="14" t="str">
        <x:v>Evidence required for RFP-A1 / AM-05 / TR-B</x:v>
      </x:c>
      <x:c r="F36" s="14" t="str">
        <x:v>OPEN</x:v>
      </x:c>
      <x:c r="G36" s="14" t="str"/>
      <x:c r="H36" s="14" t="str"/>
    </x:row>
    <x:row r="37" ht="18" customHeight="1">
      <x:c r="A37" s="14" t="str">
        <x:v>EG-QE02-C03-01</x:v>
      </x:c>
      <x:c r="B37" s="14" t="str">
        <x:v>QE02-C03</x:v>
      </x:c>
      <x:c r="C37" s="14" t="n">
        <x:v>1</x:v>
      </x:c>
      <x:c r="D37" s="14" t="str">
        <x:v>RAZ-1 cell credit</x:v>
      </x:c>
      <x:c r="E37" s="14" t="str">
        <x:v>Evidence required for RFP-A1 / AM-06 / TR-A</x:v>
      </x:c>
      <x:c r="F37" s="14" t="str">
        <x:v>OPEN</x:v>
      </x:c>
      <x:c r="G37" s="14" t="str"/>
      <x:c r="H37" s="14" t="str"/>
    </x:row>
    <x:row r="38" ht="18" customHeight="1">
      <x:c r="A38" s="14" t="str">
        <x:v>EG-QE02-C03-02</x:v>
      </x:c>
      <x:c r="B38" s="14" t="str">
        <x:v>QE02-C03</x:v>
      </x:c>
      <x:c r="C38" s="14" t="n">
        <x:v>2</x:v>
      </x:c>
      <x:c r="D38" s="14" t="str">
        <x:v>current pair baseline</x:v>
      </x:c>
      <x:c r="E38" s="14" t="str">
        <x:v>Evidence required for RFP-A1 / AM-06 / TR-A</x:v>
      </x:c>
      <x:c r="F38" s="14" t="str">
        <x:v>OPEN</x:v>
      </x:c>
      <x:c r="G38" s="14" t="str"/>
      <x:c r="H38" s="14" t="str"/>
    </x:row>
    <x:row r="39" ht="18" customHeight="1">
      <x:c r="A39" s="14" t="str">
        <x:v>EG-QE02-C03-03</x:v>
      </x:c>
      <x:c r="B39" s="14" t="str">
        <x:v>QE02-C03</x:v>
      </x:c>
      <x:c r="C39" s="14" t="n">
        <x:v>3</x:v>
      </x:c>
      <x:c r="D39" s="14" t="str">
        <x:v>REA-100 insert and liner</x:v>
      </x:c>
      <x:c r="E39" s="14" t="str">
        <x:v>Evidence required for RFP-A1 / AM-06 / TR-A</x:v>
      </x:c>
      <x:c r="F39" s="14" t="str">
        <x:v>OPEN</x:v>
      </x:c>
      <x:c r="G39" s="14" t="str"/>
      <x:c r="H39" s="14" t="str"/>
    </x:row>
    <x:row r="40" ht="18" customHeight="1">
      <x:c r="A40" s="14" t="str">
        <x:v>EG-QE02-C03-04</x:v>
      </x:c>
      <x:c r="B40" s="14" t="str">
        <x:v>QE02-C03</x:v>
      </x:c>
      <x:c r="C40" s="14" t="n">
        <x:v>4</x:v>
      </x:c>
      <x:c r="D40" s="14" t="str">
        <x:v>containment and receivers</x:v>
      </x:c>
      <x:c r="E40" s="14" t="str">
        <x:v>Evidence required for RFP-A1 / AM-06 / TR-A</x:v>
      </x:c>
      <x:c r="F40" s="14" t="str">
        <x:v>OPEN</x:v>
      </x:c>
      <x:c r="G40" s="14" t="str"/>
      <x:c r="H40" s="14" t="str"/>
    </x:row>
    <x:row r="41" ht="18" customHeight="1">
      <x:c r="A41" s="14" t="str">
        <x:v>EG-QE02-C03-05</x:v>
      </x:c>
      <x:c r="B41" s="14" t="str">
        <x:v>QE02-C03</x:v>
      </x:c>
      <x:c r="C41" s="14" t="n">
        <x:v>5</x:v>
      </x:c>
      <x:c r="D41" s="14" t="str">
        <x:v>active source package</x:v>
      </x:c>
      <x:c r="E41" s="14" t="str">
        <x:v>Evidence required for RFP-A1 / AM-06 / TR-A</x:v>
      </x:c>
      <x:c r="F41" s="14" t="str">
        <x:v>OPEN</x:v>
      </x:c>
      <x:c r="G41" s="14" t="str"/>
      <x:c r="H41" s="14" t="str"/>
    </x:row>
    <x:row r="42" ht="18" customHeight="1">
      <x:c r="A42" s="14" t="str">
        <x:v>EG-QE02-C03-06</x:v>
      </x:c>
      <x:c r="B42" s="14" t="str">
        <x:v>QE02-C03</x:v>
      </x:c>
      <x:c r="C42" s="14" t="n">
        <x:v>6</x:v>
      </x:c>
      <x:c r="D42" s="14" t="str">
        <x:v>ten package characteristics</x:v>
      </x:c>
      <x:c r="E42" s="14" t="str">
        <x:v>Evidence required for RFP-A1 / AM-06 / TR-A</x:v>
      </x:c>
      <x:c r="F42" s="14" t="str">
        <x:v>OPEN</x:v>
      </x:c>
      <x:c r="G42" s="14" t="str"/>
      <x:c r="H42" s="14" t="str"/>
    </x:row>
    <x:row r="43" ht="18" customHeight="1">
      <x:c r="A43" s="14" t="str">
        <x:v>EG-QE02-C03-07</x:v>
      </x:c>
      <x:c r="B43" s="14" t="str">
        <x:v>QE02-C03</x:v>
      </x:c>
      <x:c r="C43" s="14" t="n">
        <x:v>7</x:v>
      </x:c>
      <x:c r="D43" s="14" t="str">
        <x:v>conditioning and aliquot split</x:v>
      </x:c>
      <x:c r="E43" s="14" t="str">
        <x:v>Evidence required for RFP-A1 / AM-06 / TR-A</x:v>
      </x:c>
      <x:c r="F43" s="14" t="str">
        <x:v>OPEN</x:v>
      </x:c>
      <x:c r="G43" s="14" t="str"/>
      <x:c r="H43" s="14" t="str"/>
    </x:row>
    <x:row r="44" ht="18" customHeight="1">
      <x:c r="A44" s="14" t="str">
        <x:v>EG-QE02-C03-08</x:v>
      </x:c>
      <x:c r="B44" s="14" t="str">
        <x:v>QE02-C03</x:v>
      </x:c>
      <x:c r="C44" s="14" t="n">
        <x:v>8</x:v>
      </x:c>
      <x:c r="D44" s="14" t="str">
        <x:v>unlike ancestry roots</x:v>
      </x:c>
      <x:c r="E44" s="14" t="str">
        <x:v>Evidence required for RFP-A1 / AM-06 / TR-A</x:v>
      </x:c>
      <x:c r="F44" s="14" t="str">
        <x:v>OPEN</x:v>
      </x:c>
      <x:c r="G44" s="14" t="str"/>
      <x:c r="H44" s="14" t="str"/>
    </x:row>
    <x:row r="45" ht="18" customHeight="1">
      <x:c r="A45" s="14" t="str">
        <x:v>EG-QE02-C03-09</x:v>
      </x:c>
      <x:c r="B45" s="14" t="str">
        <x:v>QE02-C03</x:v>
      </x:c>
      <x:c r="C45" s="14" t="n">
        <x:v>9</x:v>
      </x:c>
      <x:c r="D45" s="14" t="str">
        <x:v>twelve final elements</x:v>
      </x:c>
      <x:c r="E45" s="14" t="str">
        <x:v>Evidence required for RFP-A1 / AM-06 / TR-A</x:v>
      </x:c>
      <x:c r="F45" s="14" t="str">
        <x:v>OPEN</x:v>
      </x:c>
      <x:c r="G45" s="14" t="str"/>
      <x:c r="H45" s="14" t="str"/>
    </x:row>
    <x:row r="46" ht="18" customHeight="1">
      <x:c r="A46" s="14" t="str">
        <x:v>EG-QE02-C03-10</x:v>
      </x:c>
      <x:c r="B46" s="14" t="str">
        <x:v>QE02-C03</x:v>
      </x:c>
      <x:c r="C46" s="14" t="n">
        <x:v>10</x:v>
      </x:c>
      <x:c r="D46" s="14" t="str">
        <x:v>thirty-six safeing paths</x:v>
      </x:c>
      <x:c r="E46" s="14" t="str">
        <x:v>Evidence required for RFP-A1 / AM-06 / TR-A</x:v>
      </x:c>
      <x:c r="F46" s="14" t="str">
        <x:v>OPEN</x:v>
      </x:c>
      <x:c r="G46" s="14" t="str"/>
      <x:c r="H46" s="14" t="str"/>
    </x:row>
    <x:row r="47" ht="18" customHeight="1">
      <x:c r="A47" s="14" t="str">
        <x:v>EG-QE02-C03-11</x:v>
      </x:c>
      <x:c r="B47" s="14" t="str">
        <x:v>QE02-C03</x:v>
      </x:c>
      <x:c r="C47" s="14" t="n">
        <x:v>11</x:v>
      </x:c>
      <x:c r="D47" s="14" t="str">
        <x:v>120 m3 water package</x:v>
      </x:c>
      <x:c r="E47" s="14" t="str">
        <x:v>Evidence required for RFP-A1 / AM-06 / TR-A</x:v>
      </x:c>
      <x:c r="F47" s="14" t="str">
        <x:v>OPEN</x:v>
      </x:c>
      <x:c r="G47" s="14" t="str"/>
      <x:c r="H47" s="14" t="str"/>
    </x:row>
    <x:row r="48" ht="18" customHeight="1">
      <x:c r="A48" s="14" t="str">
        <x:v>EG-QE02-C03-12</x:v>
      </x:c>
      <x:c r="B48" s="14" t="str">
        <x:v>QE02-C03</x:v>
      </x:c>
      <x:c r="C48" s="14" t="n">
        <x:v>12</x:v>
      </x:c>
      <x:c r="D48" s="14" t="str">
        <x:v>thermal and environmental boundary</x:v>
      </x:c>
      <x:c r="E48" s="14" t="str">
        <x:v>Evidence required for RFP-A1 / AM-06 / TR-A</x:v>
      </x:c>
      <x:c r="F48" s="14" t="str">
        <x:v>OPEN</x:v>
      </x:c>
      <x:c r="G48" s="14" t="str"/>
      <x:c r="H48" s="14" t="str"/>
    </x:row>
    <x:row r="49" ht="18" customHeight="1">
      <x:c r="A49" s="14" t="str">
        <x:v>EG-QE02-C03-13</x:v>
      </x:c>
      <x:c r="B49" s="14" t="str">
        <x:v>QE02-C03</x:v>
      </x:c>
      <x:c r="C49" s="14" t="n">
        <x:v>13</x:v>
      </x:c>
      <x:c r="D49" s="14" t="str">
        <x:v>fifty-six-position crew</x:v>
      </x:c>
      <x:c r="E49" s="14" t="str">
        <x:v>Evidence required for RFP-A1 / AM-06 / TR-A</x:v>
      </x:c>
      <x:c r="F49" s="14" t="str">
        <x:v>OPEN</x:v>
      </x:c>
      <x:c r="G49" s="14" t="str"/>
      <x:c r="H49" s="14" t="str"/>
    </x:row>
    <x:row r="50" ht="18" customHeight="1">
      <x:c r="A50" s="14" t="str">
        <x:v>EG-QE02-C03-14</x:v>
      </x:c>
      <x:c r="B50" s="14" t="str">
        <x:v>QE02-C03</x:v>
      </x:c>
      <x:c r="C50" s="14" t="n">
        <x:v>14</x:v>
      </x:c>
      <x:c r="D50" s="14" t="str">
        <x:v>rescue and remote entry</x:v>
      </x:c>
      <x:c r="E50" s="14" t="str">
        <x:v>Evidence required for RFP-A1 / AM-06 / TR-A</x:v>
      </x:c>
      <x:c r="F50" s="14" t="str">
        <x:v>OPEN</x:v>
      </x:c>
      <x:c r="G50" s="14" t="str"/>
      <x:c r="H50" s="14" t="str"/>
    </x:row>
    <x:row r="51" ht="18" customHeight="1">
      <x:c r="A51" s="14" t="str">
        <x:v>EG-QE02-C03-15</x:v>
      </x:c>
      <x:c r="B51" s="14" t="str">
        <x:v>QE02-C03</x:v>
      </x:c>
      <x:c r="C51" s="14" t="n">
        <x:v>15</x:v>
      </x:c>
      <x:c r="D51" s="14" t="str">
        <x:v>waste and decontamination route</x:v>
      </x:c>
      <x:c r="E51" s="14" t="str">
        <x:v>Evidence required for RFP-A1 / AM-06 / TR-A</x:v>
      </x:c>
      <x:c r="F51" s="14" t="str">
        <x:v>OPEN</x:v>
      </x:c>
      <x:c r="G51" s="14" t="str"/>
      <x:c r="H51" s="14" t="str"/>
    </x:row>
    <x:row r="52" ht="18" customHeight="1">
      <x:c r="A52" s="14" t="str">
        <x:v>EG-QE02-C03-16</x:v>
      </x:c>
      <x:c r="B52" s="14" t="str">
        <x:v>QE02-C03</x:v>
      </x:c>
      <x:c r="C52" s="14" t="n">
        <x:v>16</x:v>
      </x:c>
      <x:c r="D52" s="14" t="str">
        <x:v>evidence and replay capacity</x:v>
      </x:c>
      <x:c r="E52" s="14" t="str">
        <x:v>Evidence required for RFP-A1 / AM-06 / TR-A</x:v>
      </x:c>
      <x:c r="F52" s="14" t="str">
        <x:v>OPEN</x:v>
      </x:c>
      <x:c r="G52" s="14" t="str"/>
      <x:c r="H52" s="14" t="str"/>
    </x:row>
    <x:row r="53" ht="18" customHeight="1">
      <x:c r="A53" s="14" t="str">
        <x:v>EG-QE02-C04-01</x:v>
      </x:c>
      <x:c r="B53" s="14" t="str">
        <x:v>QE02-C04</x:v>
      </x:c>
      <x:c r="C53" s="14" t="n">
        <x:v>1</x:v>
      </x:c>
      <x:c r="D53" s="14" t="str">
        <x:v>RAZ-1 cell credit</x:v>
      </x:c>
      <x:c r="E53" s="14" t="str">
        <x:v>Evidence required for RFP-A1 / AM-06 / TR-B</x:v>
      </x:c>
      <x:c r="F53" s="14" t="str">
        <x:v>OPEN</x:v>
      </x:c>
      <x:c r="G53" s="14" t="str"/>
      <x:c r="H53" s="14" t="str"/>
    </x:row>
    <x:row r="54" ht="18" customHeight="1">
      <x:c r="A54" s="14" t="str">
        <x:v>EG-QE02-C04-02</x:v>
      </x:c>
      <x:c r="B54" s="14" t="str">
        <x:v>QE02-C04</x:v>
      </x:c>
      <x:c r="C54" s="14" t="n">
        <x:v>2</x:v>
      </x:c>
      <x:c r="D54" s="14" t="str">
        <x:v>current pair baseline</x:v>
      </x:c>
      <x:c r="E54" s="14" t="str">
        <x:v>Evidence required for RFP-A1 / AM-06 / TR-B</x:v>
      </x:c>
      <x:c r="F54" s="14" t="str">
        <x:v>OPEN</x:v>
      </x:c>
      <x:c r="G54" s="14" t="str"/>
      <x:c r="H54" s="14" t="str"/>
    </x:row>
    <x:row r="55" ht="18" customHeight="1">
      <x:c r="A55" s="14" t="str">
        <x:v>EG-QE02-C04-03</x:v>
      </x:c>
      <x:c r="B55" s="14" t="str">
        <x:v>QE02-C04</x:v>
      </x:c>
      <x:c r="C55" s="14" t="n">
        <x:v>3</x:v>
      </x:c>
      <x:c r="D55" s="14" t="str">
        <x:v>REA-100 insert and liner</x:v>
      </x:c>
      <x:c r="E55" s="14" t="str">
        <x:v>Evidence required for RFP-A1 / AM-06 / TR-B</x:v>
      </x:c>
      <x:c r="F55" s="14" t="str">
        <x:v>OPEN</x:v>
      </x:c>
      <x:c r="G55" s="14" t="str"/>
      <x:c r="H55" s="14" t="str"/>
    </x:row>
    <x:row r="56" ht="18" customHeight="1">
      <x:c r="A56" s="14" t="str">
        <x:v>EG-QE02-C04-04</x:v>
      </x:c>
      <x:c r="B56" s="14" t="str">
        <x:v>QE02-C04</x:v>
      </x:c>
      <x:c r="C56" s="14" t="n">
        <x:v>4</x:v>
      </x:c>
      <x:c r="D56" s="14" t="str">
        <x:v>containment and receivers</x:v>
      </x:c>
      <x:c r="E56" s="14" t="str">
        <x:v>Evidence required for RFP-A1 / AM-06 / TR-B</x:v>
      </x:c>
      <x:c r="F56" s="14" t="str">
        <x:v>OPEN</x:v>
      </x:c>
      <x:c r="G56" s="14" t="str"/>
      <x:c r="H56" s="14" t="str"/>
    </x:row>
    <x:row r="57" ht="18" customHeight="1">
      <x:c r="A57" s="14" t="str">
        <x:v>EG-QE02-C04-05</x:v>
      </x:c>
      <x:c r="B57" s="14" t="str">
        <x:v>QE02-C04</x:v>
      </x:c>
      <x:c r="C57" s="14" t="n">
        <x:v>5</x:v>
      </x:c>
      <x:c r="D57" s="14" t="str">
        <x:v>active source package</x:v>
      </x:c>
      <x:c r="E57" s="14" t="str">
        <x:v>Evidence required for RFP-A1 / AM-06 / TR-B</x:v>
      </x:c>
      <x:c r="F57" s="14" t="str">
        <x:v>OPEN</x:v>
      </x:c>
      <x:c r="G57" s="14" t="str"/>
      <x:c r="H57" s="14" t="str"/>
    </x:row>
    <x:row r="58" ht="18" customHeight="1">
      <x:c r="A58" s="14" t="str">
        <x:v>EG-QE02-C04-06</x:v>
      </x:c>
      <x:c r="B58" s="14" t="str">
        <x:v>QE02-C04</x:v>
      </x:c>
      <x:c r="C58" s="14" t="n">
        <x:v>6</x:v>
      </x:c>
      <x:c r="D58" s="14" t="str">
        <x:v>ten package characteristics</x:v>
      </x:c>
      <x:c r="E58" s="14" t="str">
        <x:v>Evidence required for RFP-A1 / AM-06 / TR-B</x:v>
      </x:c>
      <x:c r="F58" s="14" t="str">
        <x:v>OPEN</x:v>
      </x:c>
      <x:c r="G58" s="14" t="str"/>
      <x:c r="H58" s="14" t="str"/>
    </x:row>
    <x:row r="59" ht="18" customHeight="1">
      <x:c r="A59" s="14" t="str">
        <x:v>EG-QE02-C04-07</x:v>
      </x:c>
      <x:c r="B59" s="14" t="str">
        <x:v>QE02-C04</x:v>
      </x:c>
      <x:c r="C59" s="14" t="n">
        <x:v>7</x:v>
      </x:c>
      <x:c r="D59" s="14" t="str">
        <x:v>conditioning and aliquot split</x:v>
      </x:c>
      <x:c r="E59" s="14" t="str">
        <x:v>Evidence required for RFP-A1 / AM-06 / TR-B</x:v>
      </x:c>
      <x:c r="F59" s="14" t="str">
        <x:v>OPEN</x:v>
      </x:c>
      <x:c r="G59" s="14" t="str"/>
      <x:c r="H59" s="14" t="str"/>
    </x:row>
    <x:row r="60" ht="18" customHeight="1">
      <x:c r="A60" s="14" t="str">
        <x:v>EG-QE02-C04-08</x:v>
      </x:c>
      <x:c r="B60" s="14" t="str">
        <x:v>QE02-C04</x:v>
      </x:c>
      <x:c r="C60" s="14" t="n">
        <x:v>8</x:v>
      </x:c>
      <x:c r="D60" s="14" t="str">
        <x:v>unlike ancestry roots</x:v>
      </x:c>
      <x:c r="E60" s="14" t="str">
        <x:v>Evidence required for RFP-A1 / AM-06 / TR-B</x:v>
      </x:c>
      <x:c r="F60" s="14" t="str">
        <x:v>OPEN</x:v>
      </x:c>
      <x:c r="G60" s="14" t="str"/>
      <x:c r="H60" s="14" t="str"/>
    </x:row>
    <x:row r="61" ht="18" customHeight="1">
      <x:c r="A61" s="14" t="str">
        <x:v>EG-QE02-C04-09</x:v>
      </x:c>
      <x:c r="B61" s="14" t="str">
        <x:v>QE02-C04</x:v>
      </x:c>
      <x:c r="C61" s="14" t="n">
        <x:v>9</x:v>
      </x:c>
      <x:c r="D61" s="14" t="str">
        <x:v>twelve final elements</x:v>
      </x:c>
      <x:c r="E61" s="14" t="str">
        <x:v>Evidence required for RFP-A1 / AM-06 / TR-B</x:v>
      </x:c>
      <x:c r="F61" s="14" t="str">
        <x:v>OPEN</x:v>
      </x:c>
      <x:c r="G61" s="14" t="str"/>
      <x:c r="H61" s="14" t="str"/>
    </x:row>
    <x:row r="62" ht="18" customHeight="1">
      <x:c r="A62" s="14" t="str">
        <x:v>EG-QE02-C04-10</x:v>
      </x:c>
      <x:c r="B62" s="14" t="str">
        <x:v>QE02-C04</x:v>
      </x:c>
      <x:c r="C62" s="14" t="n">
        <x:v>10</x:v>
      </x:c>
      <x:c r="D62" s="14" t="str">
        <x:v>thirty-six safeing paths</x:v>
      </x:c>
      <x:c r="E62" s="14" t="str">
        <x:v>Evidence required for RFP-A1 / AM-06 / TR-B</x:v>
      </x:c>
      <x:c r="F62" s="14" t="str">
        <x:v>OPEN</x:v>
      </x:c>
      <x:c r="G62" s="14" t="str"/>
      <x:c r="H62" s="14" t="str"/>
    </x:row>
    <x:row r="63" ht="18" customHeight="1">
      <x:c r="A63" s="14" t="str">
        <x:v>EG-QE02-C04-11</x:v>
      </x:c>
      <x:c r="B63" s="14" t="str">
        <x:v>QE02-C04</x:v>
      </x:c>
      <x:c r="C63" s="14" t="n">
        <x:v>11</x:v>
      </x:c>
      <x:c r="D63" s="14" t="str">
        <x:v>120 m3 water package</x:v>
      </x:c>
      <x:c r="E63" s="14" t="str">
        <x:v>Evidence required for RFP-A1 / AM-06 / TR-B</x:v>
      </x:c>
      <x:c r="F63" s="14" t="str">
        <x:v>OPEN</x:v>
      </x:c>
      <x:c r="G63" s="14" t="str"/>
      <x:c r="H63" s="14" t="str"/>
    </x:row>
    <x:row r="64" ht="18" customHeight="1">
      <x:c r="A64" s="14" t="str">
        <x:v>EG-QE02-C04-12</x:v>
      </x:c>
      <x:c r="B64" s="14" t="str">
        <x:v>QE02-C04</x:v>
      </x:c>
      <x:c r="C64" s="14" t="n">
        <x:v>12</x:v>
      </x:c>
      <x:c r="D64" s="14" t="str">
        <x:v>thermal and environmental boundary</x:v>
      </x:c>
      <x:c r="E64" s="14" t="str">
        <x:v>Evidence required for RFP-A1 / AM-06 / TR-B</x:v>
      </x:c>
      <x:c r="F64" s="14" t="str">
        <x:v>OPEN</x:v>
      </x:c>
      <x:c r="G64" s="14" t="str"/>
      <x:c r="H64" s="14" t="str"/>
    </x:row>
    <x:row r="65" ht="18" customHeight="1">
      <x:c r="A65" s="14" t="str">
        <x:v>EG-QE02-C04-13</x:v>
      </x:c>
      <x:c r="B65" s="14" t="str">
        <x:v>QE02-C04</x:v>
      </x:c>
      <x:c r="C65" s="14" t="n">
        <x:v>13</x:v>
      </x:c>
      <x:c r="D65" s="14" t="str">
        <x:v>fifty-six-position crew</x:v>
      </x:c>
      <x:c r="E65" s="14" t="str">
        <x:v>Evidence required for RFP-A1 / AM-06 / TR-B</x:v>
      </x:c>
      <x:c r="F65" s="14" t="str">
        <x:v>OPEN</x:v>
      </x:c>
      <x:c r="G65" s="14" t="str"/>
      <x:c r="H65" s="14" t="str"/>
    </x:row>
    <x:row r="66" ht="18" customHeight="1">
      <x:c r="A66" s="14" t="str">
        <x:v>EG-QE02-C04-14</x:v>
      </x:c>
      <x:c r="B66" s="14" t="str">
        <x:v>QE02-C04</x:v>
      </x:c>
      <x:c r="C66" s="14" t="n">
        <x:v>14</x:v>
      </x:c>
      <x:c r="D66" s="14" t="str">
        <x:v>rescue and remote entry</x:v>
      </x:c>
      <x:c r="E66" s="14" t="str">
        <x:v>Evidence required for RFP-A1 / AM-06 / TR-B</x:v>
      </x:c>
      <x:c r="F66" s="14" t="str">
        <x:v>OPEN</x:v>
      </x:c>
      <x:c r="G66" s="14" t="str"/>
      <x:c r="H66" s="14" t="str"/>
    </x:row>
    <x:row r="67" ht="18" customHeight="1">
      <x:c r="A67" s="14" t="str">
        <x:v>EG-QE02-C04-15</x:v>
      </x:c>
      <x:c r="B67" s="14" t="str">
        <x:v>QE02-C04</x:v>
      </x:c>
      <x:c r="C67" s="14" t="n">
        <x:v>15</x:v>
      </x:c>
      <x:c r="D67" s="14" t="str">
        <x:v>waste and decontamination route</x:v>
      </x:c>
      <x:c r="E67" s="14" t="str">
        <x:v>Evidence required for RFP-A1 / AM-06 / TR-B</x:v>
      </x:c>
      <x:c r="F67" s="14" t="str">
        <x:v>OPEN</x:v>
      </x:c>
      <x:c r="G67" s="14" t="str"/>
      <x:c r="H67" s="14" t="str"/>
    </x:row>
    <x:row r="68" ht="18" customHeight="1">
      <x:c r="A68" s="14" t="str">
        <x:v>EG-QE02-C04-16</x:v>
      </x:c>
      <x:c r="B68" s="14" t="str">
        <x:v>QE02-C04</x:v>
      </x:c>
      <x:c r="C68" s="14" t="n">
        <x:v>16</x:v>
      </x:c>
      <x:c r="D68" s="14" t="str">
        <x:v>evidence and replay capacity</x:v>
      </x:c>
      <x:c r="E68" s="14" t="str">
        <x:v>Evidence required for RFP-A1 / AM-06 / TR-B</x:v>
      </x:c>
      <x:c r="F68" s="14" t="str">
        <x:v>OPEN</x:v>
      </x:c>
      <x:c r="G68" s="14" t="str"/>
      <x:c r="H68" s="14" t="str"/>
    </x:row>
    <x:row r="69" ht="18" customHeight="1">
      <x:c r="A69" s="14" t="str">
        <x:v>EG-QE02-C05-01</x:v>
      </x:c>
      <x:c r="B69" s="14" t="str">
        <x:v>QE02-C05</x:v>
      </x:c>
      <x:c r="C69" s="14" t="n">
        <x:v>1</x:v>
      </x:c>
      <x:c r="D69" s="14" t="str">
        <x:v>RAZ-1 cell credit</x:v>
      </x:c>
      <x:c r="E69" s="14" t="str">
        <x:v>Evidence required for RFP-A2 / AM-05 / TR-A</x:v>
      </x:c>
      <x:c r="F69" s="14" t="str">
        <x:v>OPEN</x:v>
      </x:c>
      <x:c r="G69" s="14" t="str"/>
      <x:c r="H69" s="14" t="str"/>
    </x:row>
    <x:row r="70" ht="18" customHeight="1">
      <x:c r="A70" s="14" t="str">
        <x:v>EG-QE02-C05-02</x:v>
      </x:c>
      <x:c r="B70" s="14" t="str">
        <x:v>QE02-C05</x:v>
      </x:c>
      <x:c r="C70" s="14" t="n">
        <x:v>2</x:v>
      </x:c>
      <x:c r="D70" s="14" t="str">
        <x:v>current pair baseline</x:v>
      </x:c>
      <x:c r="E70" s="14" t="str">
        <x:v>Evidence required for RFP-A2 / AM-05 / TR-A</x:v>
      </x:c>
      <x:c r="F70" s="14" t="str">
        <x:v>OPEN</x:v>
      </x:c>
      <x:c r="G70" s="14" t="str"/>
      <x:c r="H70" s="14" t="str"/>
    </x:row>
    <x:row r="71" ht="18" customHeight="1">
      <x:c r="A71" s="14" t="str">
        <x:v>EG-QE02-C05-03</x:v>
      </x:c>
      <x:c r="B71" s="14" t="str">
        <x:v>QE02-C05</x:v>
      </x:c>
      <x:c r="C71" s="14" t="n">
        <x:v>3</x:v>
      </x:c>
      <x:c r="D71" s="14" t="str">
        <x:v>REA-100 insert and liner</x:v>
      </x:c>
      <x:c r="E71" s="14" t="str">
        <x:v>Evidence required for RFP-A2 / AM-05 / TR-A</x:v>
      </x:c>
      <x:c r="F71" s="14" t="str">
        <x:v>OPEN</x:v>
      </x:c>
      <x:c r="G71" s="14" t="str"/>
      <x:c r="H71" s="14" t="str"/>
    </x:row>
    <x:row r="72" ht="18" customHeight="1">
      <x:c r="A72" s="14" t="str">
        <x:v>EG-QE02-C05-04</x:v>
      </x:c>
      <x:c r="B72" s="14" t="str">
        <x:v>QE02-C05</x:v>
      </x:c>
      <x:c r="C72" s="14" t="n">
        <x:v>4</x:v>
      </x:c>
      <x:c r="D72" s="14" t="str">
        <x:v>containment and receivers</x:v>
      </x:c>
      <x:c r="E72" s="14" t="str">
        <x:v>Evidence required for RFP-A2 / AM-05 / TR-A</x:v>
      </x:c>
      <x:c r="F72" s="14" t="str">
        <x:v>OPEN</x:v>
      </x:c>
      <x:c r="G72" s="14" t="str"/>
      <x:c r="H72" s="14" t="str"/>
    </x:row>
    <x:row r="73" ht="18" customHeight="1">
      <x:c r="A73" s="14" t="str">
        <x:v>EG-QE02-C05-05</x:v>
      </x:c>
      <x:c r="B73" s="14" t="str">
        <x:v>QE02-C05</x:v>
      </x:c>
      <x:c r="C73" s="14" t="n">
        <x:v>5</x:v>
      </x:c>
      <x:c r="D73" s="14" t="str">
        <x:v>active source package</x:v>
      </x:c>
      <x:c r="E73" s="14" t="str">
        <x:v>Evidence required for RFP-A2 / AM-05 / TR-A</x:v>
      </x:c>
      <x:c r="F73" s="14" t="str">
        <x:v>OPEN</x:v>
      </x:c>
      <x:c r="G73" s="14" t="str"/>
      <x:c r="H73" s="14" t="str"/>
    </x:row>
    <x:row r="74" ht="18" customHeight="1">
      <x:c r="A74" s="14" t="str">
        <x:v>EG-QE02-C05-06</x:v>
      </x:c>
      <x:c r="B74" s="14" t="str">
        <x:v>QE02-C05</x:v>
      </x:c>
      <x:c r="C74" s="14" t="n">
        <x:v>6</x:v>
      </x:c>
      <x:c r="D74" s="14" t="str">
        <x:v>ten package characteristics</x:v>
      </x:c>
      <x:c r="E74" s="14" t="str">
        <x:v>Evidence required for RFP-A2 / AM-05 / TR-A</x:v>
      </x:c>
      <x:c r="F74" s="14" t="str">
        <x:v>OPEN</x:v>
      </x:c>
      <x:c r="G74" s="14" t="str"/>
      <x:c r="H74" s="14" t="str"/>
    </x:row>
    <x:row r="75" ht="18" customHeight="1">
      <x:c r="A75" s="14" t="str">
        <x:v>EG-QE02-C05-07</x:v>
      </x:c>
      <x:c r="B75" s="14" t="str">
        <x:v>QE02-C05</x:v>
      </x:c>
      <x:c r="C75" s="14" t="n">
        <x:v>7</x:v>
      </x:c>
      <x:c r="D75" s="14" t="str">
        <x:v>conditioning and aliquot split</x:v>
      </x:c>
      <x:c r="E75" s="14" t="str">
        <x:v>Evidence required for RFP-A2 / AM-05 / TR-A</x:v>
      </x:c>
      <x:c r="F75" s="14" t="str">
        <x:v>OPEN</x:v>
      </x:c>
      <x:c r="G75" s="14" t="str"/>
      <x:c r="H75" s="14" t="str"/>
    </x:row>
    <x:row r="76" ht="18" customHeight="1">
      <x:c r="A76" s="14" t="str">
        <x:v>EG-QE02-C05-08</x:v>
      </x:c>
      <x:c r="B76" s="14" t="str">
        <x:v>QE02-C05</x:v>
      </x:c>
      <x:c r="C76" s="14" t="n">
        <x:v>8</x:v>
      </x:c>
      <x:c r="D76" s="14" t="str">
        <x:v>unlike ancestry roots</x:v>
      </x:c>
      <x:c r="E76" s="14" t="str">
        <x:v>Evidence required for RFP-A2 / AM-05 / TR-A</x:v>
      </x:c>
      <x:c r="F76" s="14" t="str">
        <x:v>OPEN</x:v>
      </x:c>
      <x:c r="G76" s="14" t="str"/>
      <x:c r="H76" s="14" t="str"/>
    </x:row>
    <x:row r="77" ht="18" customHeight="1">
      <x:c r="A77" s="14" t="str">
        <x:v>EG-QE02-C05-09</x:v>
      </x:c>
      <x:c r="B77" s="14" t="str">
        <x:v>QE02-C05</x:v>
      </x:c>
      <x:c r="C77" s="14" t="n">
        <x:v>9</x:v>
      </x:c>
      <x:c r="D77" s="14" t="str">
        <x:v>twelve final elements</x:v>
      </x:c>
      <x:c r="E77" s="14" t="str">
        <x:v>Evidence required for RFP-A2 / AM-05 / TR-A</x:v>
      </x:c>
      <x:c r="F77" s="14" t="str">
        <x:v>OPEN</x:v>
      </x:c>
      <x:c r="G77" s="14" t="str"/>
      <x:c r="H77" s="14" t="str"/>
    </x:row>
    <x:row r="78" ht="18" customHeight="1">
      <x:c r="A78" s="14" t="str">
        <x:v>EG-QE02-C05-10</x:v>
      </x:c>
      <x:c r="B78" s="14" t="str">
        <x:v>QE02-C05</x:v>
      </x:c>
      <x:c r="C78" s="14" t="n">
        <x:v>10</x:v>
      </x:c>
      <x:c r="D78" s="14" t="str">
        <x:v>thirty-six safeing paths</x:v>
      </x:c>
      <x:c r="E78" s="14" t="str">
        <x:v>Evidence required for RFP-A2 / AM-05 / TR-A</x:v>
      </x:c>
      <x:c r="F78" s="14" t="str">
        <x:v>OPEN</x:v>
      </x:c>
      <x:c r="G78" s="14" t="str"/>
      <x:c r="H78" s="14" t="str"/>
    </x:row>
    <x:row r="79" ht="18" customHeight="1">
      <x:c r="A79" s="14" t="str">
        <x:v>EG-QE02-C05-11</x:v>
      </x:c>
      <x:c r="B79" s="14" t="str">
        <x:v>QE02-C05</x:v>
      </x:c>
      <x:c r="C79" s="14" t="n">
        <x:v>11</x:v>
      </x:c>
      <x:c r="D79" s="14" t="str">
        <x:v>120 m3 water package</x:v>
      </x:c>
      <x:c r="E79" s="14" t="str">
        <x:v>Evidence required for RFP-A2 / AM-05 / TR-A</x:v>
      </x:c>
      <x:c r="F79" s="14" t="str">
        <x:v>OPEN</x:v>
      </x:c>
      <x:c r="G79" s="14" t="str"/>
      <x:c r="H79" s="14" t="str"/>
    </x:row>
    <x:row r="80" ht="18" customHeight="1">
      <x:c r="A80" s="14" t="str">
        <x:v>EG-QE02-C05-12</x:v>
      </x:c>
      <x:c r="B80" s="14" t="str">
        <x:v>QE02-C05</x:v>
      </x:c>
      <x:c r="C80" s="14" t="n">
        <x:v>12</x:v>
      </x:c>
      <x:c r="D80" s="14" t="str">
        <x:v>thermal and environmental boundary</x:v>
      </x:c>
      <x:c r="E80" s="14" t="str">
        <x:v>Evidence required for RFP-A2 / AM-05 / TR-A</x:v>
      </x:c>
      <x:c r="F80" s="14" t="str">
        <x:v>OPEN</x:v>
      </x:c>
      <x:c r="G80" s="14" t="str"/>
      <x:c r="H80" s="14" t="str"/>
    </x:row>
    <x:row r="81" ht="18" customHeight="1">
      <x:c r="A81" s="14" t="str">
        <x:v>EG-QE02-C05-13</x:v>
      </x:c>
      <x:c r="B81" s="14" t="str">
        <x:v>QE02-C05</x:v>
      </x:c>
      <x:c r="C81" s="14" t="n">
        <x:v>13</x:v>
      </x:c>
      <x:c r="D81" s="14" t="str">
        <x:v>fifty-six-position crew</x:v>
      </x:c>
      <x:c r="E81" s="14" t="str">
        <x:v>Evidence required for RFP-A2 / AM-05 / TR-A</x:v>
      </x:c>
      <x:c r="F81" s="14" t="str">
        <x:v>OPEN</x:v>
      </x:c>
      <x:c r="G81" s="14" t="str"/>
      <x:c r="H81" s="14" t="str"/>
    </x:row>
    <x:row r="82" ht="18" customHeight="1">
      <x:c r="A82" s="14" t="str">
        <x:v>EG-QE02-C05-14</x:v>
      </x:c>
      <x:c r="B82" s="14" t="str">
        <x:v>QE02-C05</x:v>
      </x:c>
      <x:c r="C82" s="14" t="n">
        <x:v>14</x:v>
      </x:c>
      <x:c r="D82" s="14" t="str">
        <x:v>rescue and remote entry</x:v>
      </x:c>
      <x:c r="E82" s="14" t="str">
        <x:v>Evidence required for RFP-A2 / AM-05 / TR-A</x:v>
      </x:c>
      <x:c r="F82" s="14" t="str">
        <x:v>OPEN</x:v>
      </x:c>
      <x:c r="G82" s="14" t="str"/>
      <x:c r="H82" s="14" t="str"/>
    </x:row>
    <x:row r="83" ht="18" customHeight="1">
      <x:c r="A83" s="14" t="str">
        <x:v>EG-QE02-C05-15</x:v>
      </x:c>
      <x:c r="B83" s="14" t="str">
        <x:v>QE02-C05</x:v>
      </x:c>
      <x:c r="C83" s="14" t="n">
        <x:v>15</x:v>
      </x:c>
      <x:c r="D83" s="14" t="str">
        <x:v>waste and decontamination route</x:v>
      </x:c>
      <x:c r="E83" s="14" t="str">
        <x:v>Evidence required for RFP-A2 / AM-05 / TR-A</x:v>
      </x:c>
      <x:c r="F83" s="14" t="str">
        <x:v>OPEN</x:v>
      </x:c>
      <x:c r="G83" s="14" t="str"/>
      <x:c r="H83" s="14" t="str"/>
    </x:row>
    <x:row r="84" ht="18" customHeight="1">
      <x:c r="A84" s="14" t="str">
        <x:v>EG-QE02-C05-16</x:v>
      </x:c>
      <x:c r="B84" s="14" t="str">
        <x:v>QE02-C05</x:v>
      </x:c>
      <x:c r="C84" s="14" t="n">
        <x:v>16</x:v>
      </x:c>
      <x:c r="D84" s="14" t="str">
        <x:v>evidence and replay capacity</x:v>
      </x:c>
      <x:c r="E84" s="14" t="str">
        <x:v>Evidence required for RFP-A2 / AM-05 / TR-A</x:v>
      </x:c>
      <x:c r="F84" s="14" t="str">
        <x:v>OPEN</x:v>
      </x:c>
      <x:c r="G84" s="14" t="str"/>
      <x:c r="H84" s="14" t="str"/>
    </x:row>
    <x:row r="85" ht="18" customHeight="1">
      <x:c r="A85" s="14" t="str">
        <x:v>EG-QE02-C06-01</x:v>
      </x:c>
      <x:c r="B85" s="14" t="str">
        <x:v>QE02-C06</x:v>
      </x:c>
      <x:c r="C85" s="14" t="n">
        <x:v>1</x:v>
      </x:c>
      <x:c r="D85" s="14" t="str">
        <x:v>RAZ-1 cell credit</x:v>
      </x:c>
      <x:c r="E85" s="14" t="str">
        <x:v>Evidence required for RFP-A2 / AM-05 / TR-B</x:v>
      </x:c>
      <x:c r="F85" s="14" t="str">
        <x:v>OPEN</x:v>
      </x:c>
      <x:c r="G85" s="14" t="str"/>
      <x:c r="H85" s="14" t="str"/>
    </x:row>
    <x:row r="86" ht="18" customHeight="1">
      <x:c r="A86" s="14" t="str">
        <x:v>EG-QE02-C06-02</x:v>
      </x:c>
      <x:c r="B86" s="14" t="str">
        <x:v>QE02-C06</x:v>
      </x:c>
      <x:c r="C86" s="14" t="n">
        <x:v>2</x:v>
      </x:c>
      <x:c r="D86" s="14" t="str">
        <x:v>current pair baseline</x:v>
      </x:c>
      <x:c r="E86" s="14" t="str">
        <x:v>Evidence required for RFP-A2 / AM-05 / TR-B</x:v>
      </x:c>
      <x:c r="F86" s="14" t="str">
        <x:v>OPEN</x:v>
      </x:c>
      <x:c r="G86" s="14" t="str"/>
      <x:c r="H86" s="14" t="str"/>
    </x:row>
    <x:row r="87" ht="18" customHeight="1">
      <x:c r="A87" s="14" t="str">
        <x:v>EG-QE02-C06-03</x:v>
      </x:c>
      <x:c r="B87" s="14" t="str">
        <x:v>QE02-C06</x:v>
      </x:c>
      <x:c r="C87" s="14" t="n">
        <x:v>3</x:v>
      </x:c>
      <x:c r="D87" s="14" t="str">
        <x:v>REA-100 insert and liner</x:v>
      </x:c>
      <x:c r="E87" s="14" t="str">
        <x:v>Evidence required for RFP-A2 / AM-05 / TR-B</x:v>
      </x:c>
      <x:c r="F87" s="14" t="str">
        <x:v>OPEN</x:v>
      </x:c>
      <x:c r="G87" s="14" t="str"/>
      <x:c r="H87" s="14" t="str"/>
    </x:row>
    <x:row r="88" ht="18" customHeight="1">
      <x:c r="A88" s="14" t="str">
        <x:v>EG-QE02-C06-04</x:v>
      </x:c>
      <x:c r="B88" s="14" t="str">
        <x:v>QE02-C06</x:v>
      </x:c>
      <x:c r="C88" s="14" t="n">
        <x:v>4</x:v>
      </x:c>
      <x:c r="D88" s="14" t="str">
        <x:v>containment and receivers</x:v>
      </x:c>
      <x:c r="E88" s="14" t="str">
        <x:v>Evidence required for RFP-A2 / AM-05 / TR-B</x:v>
      </x:c>
      <x:c r="F88" s="14" t="str">
        <x:v>OPEN</x:v>
      </x:c>
      <x:c r="G88" s="14" t="str"/>
      <x:c r="H88" s="14" t="str"/>
    </x:row>
    <x:row r="89" ht="18" customHeight="1">
      <x:c r="A89" s="14" t="str">
        <x:v>EG-QE02-C06-05</x:v>
      </x:c>
      <x:c r="B89" s="14" t="str">
        <x:v>QE02-C06</x:v>
      </x:c>
      <x:c r="C89" s="14" t="n">
        <x:v>5</x:v>
      </x:c>
      <x:c r="D89" s="14" t="str">
        <x:v>active source package</x:v>
      </x:c>
      <x:c r="E89" s="14" t="str">
        <x:v>Evidence required for RFP-A2 / AM-05 / TR-B</x:v>
      </x:c>
      <x:c r="F89" s="14" t="str">
        <x:v>OPEN</x:v>
      </x:c>
      <x:c r="G89" s="14" t="str"/>
      <x:c r="H89" s="14" t="str"/>
    </x:row>
    <x:row r="90" ht="18" customHeight="1">
      <x:c r="A90" s="14" t="str">
        <x:v>EG-QE02-C06-06</x:v>
      </x:c>
      <x:c r="B90" s="14" t="str">
        <x:v>QE02-C06</x:v>
      </x:c>
      <x:c r="C90" s="14" t="n">
        <x:v>6</x:v>
      </x:c>
      <x:c r="D90" s="14" t="str">
        <x:v>ten package characteristics</x:v>
      </x:c>
      <x:c r="E90" s="14" t="str">
        <x:v>Evidence required for RFP-A2 / AM-05 / TR-B</x:v>
      </x:c>
      <x:c r="F90" s="14" t="str">
        <x:v>OPEN</x:v>
      </x:c>
      <x:c r="G90" s="14" t="str"/>
      <x:c r="H90" s="14" t="str"/>
    </x:row>
    <x:row r="91" ht="18" customHeight="1">
      <x:c r="A91" s="14" t="str">
        <x:v>EG-QE02-C06-07</x:v>
      </x:c>
      <x:c r="B91" s="14" t="str">
        <x:v>QE02-C06</x:v>
      </x:c>
      <x:c r="C91" s="14" t="n">
        <x:v>7</x:v>
      </x:c>
      <x:c r="D91" s="14" t="str">
        <x:v>conditioning and aliquot split</x:v>
      </x:c>
      <x:c r="E91" s="14" t="str">
        <x:v>Evidence required for RFP-A2 / AM-05 / TR-B</x:v>
      </x:c>
      <x:c r="F91" s="14" t="str">
        <x:v>OPEN</x:v>
      </x:c>
      <x:c r="G91" s="14" t="str"/>
      <x:c r="H91" s="14" t="str"/>
    </x:row>
    <x:row r="92" ht="18" customHeight="1">
      <x:c r="A92" s="14" t="str">
        <x:v>EG-QE02-C06-08</x:v>
      </x:c>
      <x:c r="B92" s="14" t="str">
        <x:v>QE02-C06</x:v>
      </x:c>
      <x:c r="C92" s="14" t="n">
        <x:v>8</x:v>
      </x:c>
      <x:c r="D92" s="14" t="str">
        <x:v>unlike ancestry roots</x:v>
      </x:c>
      <x:c r="E92" s="14" t="str">
        <x:v>Evidence required for RFP-A2 / AM-05 / TR-B</x:v>
      </x:c>
      <x:c r="F92" s="14" t="str">
        <x:v>OPEN</x:v>
      </x:c>
      <x:c r="G92" s="14" t="str"/>
      <x:c r="H92" s="14" t="str"/>
    </x:row>
    <x:row r="93" ht="18" customHeight="1">
      <x:c r="A93" s="14" t="str">
        <x:v>EG-QE02-C06-09</x:v>
      </x:c>
      <x:c r="B93" s="14" t="str">
        <x:v>QE02-C06</x:v>
      </x:c>
      <x:c r="C93" s="14" t="n">
        <x:v>9</x:v>
      </x:c>
      <x:c r="D93" s="14" t="str">
        <x:v>twelve final elements</x:v>
      </x:c>
      <x:c r="E93" s="14" t="str">
        <x:v>Evidence required for RFP-A2 / AM-05 / TR-B</x:v>
      </x:c>
      <x:c r="F93" s="14" t="str">
        <x:v>OPEN</x:v>
      </x:c>
      <x:c r="G93" s="14" t="str"/>
      <x:c r="H93" s="14" t="str"/>
    </x:row>
    <x:row r="94" ht="18" customHeight="1">
      <x:c r="A94" s="14" t="str">
        <x:v>EG-QE02-C06-10</x:v>
      </x:c>
      <x:c r="B94" s="14" t="str">
        <x:v>QE02-C06</x:v>
      </x:c>
      <x:c r="C94" s="14" t="n">
        <x:v>10</x:v>
      </x:c>
      <x:c r="D94" s="14" t="str">
        <x:v>thirty-six safeing paths</x:v>
      </x:c>
      <x:c r="E94" s="14" t="str">
        <x:v>Evidence required for RFP-A2 / AM-05 / TR-B</x:v>
      </x:c>
      <x:c r="F94" s="14" t="str">
        <x:v>OPEN</x:v>
      </x:c>
      <x:c r="G94" s="14" t="str"/>
      <x:c r="H94" s="14" t="str"/>
    </x:row>
    <x:row r="95" ht="18" customHeight="1">
      <x:c r="A95" s="14" t="str">
        <x:v>EG-QE02-C06-11</x:v>
      </x:c>
      <x:c r="B95" s="14" t="str">
        <x:v>QE02-C06</x:v>
      </x:c>
      <x:c r="C95" s="14" t="n">
        <x:v>11</x:v>
      </x:c>
      <x:c r="D95" s="14" t="str">
        <x:v>120 m3 water package</x:v>
      </x:c>
      <x:c r="E95" s="14" t="str">
        <x:v>Evidence required for RFP-A2 / AM-05 / TR-B</x:v>
      </x:c>
      <x:c r="F95" s="14" t="str">
        <x:v>OPEN</x:v>
      </x:c>
      <x:c r="G95" s="14" t="str"/>
      <x:c r="H95" s="14" t="str"/>
    </x:row>
    <x:row r="96" ht="18" customHeight="1">
      <x:c r="A96" s="14" t="str">
        <x:v>EG-QE02-C06-12</x:v>
      </x:c>
      <x:c r="B96" s="14" t="str">
        <x:v>QE02-C06</x:v>
      </x:c>
      <x:c r="C96" s="14" t="n">
        <x:v>12</x:v>
      </x:c>
      <x:c r="D96" s="14" t="str">
        <x:v>thermal and environmental boundary</x:v>
      </x:c>
      <x:c r="E96" s="14" t="str">
        <x:v>Evidence required for RFP-A2 / AM-05 / TR-B</x:v>
      </x:c>
      <x:c r="F96" s="14" t="str">
        <x:v>OPEN</x:v>
      </x:c>
      <x:c r="G96" s="14" t="str"/>
      <x:c r="H96" s="14" t="str"/>
    </x:row>
    <x:row r="97" ht="18" customHeight="1">
      <x:c r="A97" s="14" t="str">
        <x:v>EG-QE02-C06-13</x:v>
      </x:c>
      <x:c r="B97" s="14" t="str">
        <x:v>QE02-C06</x:v>
      </x:c>
      <x:c r="C97" s="14" t="n">
        <x:v>13</x:v>
      </x:c>
      <x:c r="D97" s="14" t="str">
        <x:v>fifty-six-position crew</x:v>
      </x:c>
      <x:c r="E97" s="14" t="str">
        <x:v>Evidence required for RFP-A2 / AM-05 / TR-B</x:v>
      </x:c>
      <x:c r="F97" s="14" t="str">
        <x:v>OPEN</x:v>
      </x:c>
      <x:c r="G97" s="14" t="str"/>
      <x:c r="H97" s="14" t="str"/>
    </x:row>
    <x:row r="98" ht="18" customHeight="1">
      <x:c r="A98" s="14" t="str">
        <x:v>EG-QE02-C06-14</x:v>
      </x:c>
      <x:c r="B98" s="14" t="str">
        <x:v>QE02-C06</x:v>
      </x:c>
      <x:c r="C98" s="14" t="n">
        <x:v>14</x:v>
      </x:c>
      <x:c r="D98" s="14" t="str">
        <x:v>rescue and remote entry</x:v>
      </x:c>
      <x:c r="E98" s="14" t="str">
        <x:v>Evidence required for RFP-A2 / AM-05 / TR-B</x:v>
      </x:c>
      <x:c r="F98" s="14" t="str">
        <x:v>OPEN</x:v>
      </x:c>
      <x:c r="G98" s="14" t="str"/>
      <x:c r="H98" s="14" t="str"/>
    </x:row>
    <x:row r="99" ht="18" customHeight="1">
      <x:c r="A99" s="14" t="str">
        <x:v>EG-QE02-C06-15</x:v>
      </x:c>
      <x:c r="B99" s="14" t="str">
        <x:v>QE02-C06</x:v>
      </x:c>
      <x:c r="C99" s="14" t="n">
        <x:v>15</x:v>
      </x:c>
      <x:c r="D99" s="14" t="str">
        <x:v>waste and decontamination route</x:v>
      </x:c>
      <x:c r="E99" s="14" t="str">
        <x:v>Evidence required for RFP-A2 / AM-05 / TR-B</x:v>
      </x:c>
      <x:c r="F99" s="14" t="str">
        <x:v>OPEN</x:v>
      </x:c>
      <x:c r="G99" s="14" t="str"/>
      <x:c r="H99" s="14" t="str"/>
    </x:row>
    <x:row r="100" ht="18" customHeight="1">
      <x:c r="A100" s="14" t="str">
        <x:v>EG-QE02-C06-16</x:v>
      </x:c>
      <x:c r="B100" s="14" t="str">
        <x:v>QE02-C06</x:v>
      </x:c>
      <x:c r="C100" s="14" t="n">
        <x:v>16</x:v>
      </x:c>
      <x:c r="D100" s="14" t="str">
        <x:v>evidence and replay capacity</x:v>
      </x:c>
      <x:c r="E100" s="14" t="str">
        <x:v>Evidence required for RFP-A2 / AM-05 / TR-B</x:v>
      </x:c>
      <x:c r="F100" s="14" t="str">
        <x:v>OPEN</x:v>
      </x:c>
      <x:c r="G100" s="14" t="str"/>
      <x:c r="H100" s="14" t="str"/>
    </x:row>
    <x:row r="101" ht="18" customHeight="1">
      <x:c r="A101" s="14" t="str">
        <x:v>EG-QE02-C07-01</x:v>
      </x:c>
      <x:c r="B101" s="14" t="str">
        <x:v>QE02-C07</x:v>
      </x:c>
      <x:c r="C101" s="14" t="n">
        <x:v>1</x:v>
      </x:c>
      <x:c r="D101" s="14" t="str">
        <x:v>RAZ-1 cell credit</x:v>
      </x:c>
      <x:c r="E101" s="14" t="str">
        <x:v>Evidence required for RFP-A2 / AM-06 / TR-A</x:v>
      </x:c>
      <x:c r="F101" s="14" t="str">
        <x:v>OPEN</x:v>
      </x:c>
      <x:c r="G101" s="14" t="str"/>
      <x:c r="H101" s="14" t="str"/>
    </x:row>
    <x:row r="102" ht="18" customHeight="1">
      <x:c r="A102" s="14" t="str">
        <x:v>EG-QE02-C07-02</x:v>
      </x:c>
      <x:c r="B102" s="14" t="str">
        <x:v>QE02-C07</x:v>
      </x:c>
      <x:c r="C102" s="14" t="n">
        <x:v>2</x:v>
      </x:c>
      <x:c r="D102" s="14" t="str">
        <x:v>current pair baseline</x:v>
      </x:c>
      <x:c r="E102" s="14" t="str">
        <x:v>Evidence required for RFP-A2 / AM-06 / TR-A</x:v>
      </x:c>
      <x:c r="F102" s="14" t="str">
        <x:v>OPEN</x:v>
      </x:c>
      <x:c r="G102" s="14" t="str"/>
      <x:c r="H102" s="14" t="str"/>
    </x:row>
    <x:row r="103" ht="18" customHeight="1">
      <x:c r="A103" s="14" t="str">
        <x:v>EG-QE02-C07-03</x:v>
      </x:c>
      <x:c r="B103" s="14" t="str">
        <x:v>QE02-C07</x:v>
      </x:c>
      <x:c r="C103" s="14" t="n">
        <x:v>3</x:v>
      </x:c>
      <x:c r="D103" s="14" t="str">
        <x:v>REA-100 insert and liner</x:v>
      </x:c>
      <x:c r="E103" s="14" t="str">
        <x:v>Evidence required for RFP-A2 / AM-06 / TR-A</x:v>
      </x:c>
      <x:c r="F103" s="14" t="str">
        <x:v>OPEN</x:v>
      </x:c>
      <x:c r="G103" s="14" t="str"/>
      <x:c r="H103" s="14" t="str"/>
    </x:row>
    <x:row r="104" ht="18" customHeight="1">
      <x:c r="A104" s="14" t="str">
        <x:v>EG-QE02-C07-04</x:v>
      </x:c>
      <x:c r="B104" s="14" t="str">
        <x:v>QE02-C07</x:v>
      </x:c>
      <x:c r="C104" s="14" t="n">
        <x:v>4</x:v>
      </x:c>
      <x:c r="D104" s="14" t="str">
        <x:v>containment and receivers</x:v>
      </x:c>
      <x:c r="E104" s="14" t="str">
        <x:v>Evidence required for RFP-A2 / AM-06 / TR-A</x:v>
      </x:c>
      <x:c r="F104" s="14" t="str">
        <x:v>OPEN</x:v>
      </x:c>
      <x:c r="G104" s="14" t="str"/>
      <x:c r="H104" s="14" t="str"/>
    </x:row>
    <x:row r="105" ht="18" customHeight="1">
      <x:c r="A105" s="14" t="str">
        <x:v>EG-QE02-C07-05</x:v>
      </x:c>
      <x:c r="B105" s="14" t="str">
        <x:v>QE02-C07</x:v>
      </x:c>
      <x:c r="C105" s="14" t="n">
        <x:v>5</x:v>
      </x:c>
      <x:c r="D105" s="14" t="str">
        <x:v>active source package</x:v>
      </x:c>
      <x:c r="E105" s="14" t="str">
        <x:v>Evidence required for RFP-A2 / AM-06 / TR-A</x:v>
      </x:c>
      <x:c r="F105" s="14" t="str">
        <x:v>OPEN</x:v>
      </x:c>
      <x:c r="G105" s="14" t="str"/>
      <x:c r="H105" s="14" t="str"/>
    </x:row>
    <x:row r="106" ht="18" customHeight="1">
      <x:c r="A106" s="14" t="str">
        <x:v>EG-QE02-C07-06</x:v>
      </x:c>
      <x:c r="B106" s="14" t="str">
        <x:v>QE02-C07</x:v>
      </x:c>
      <x:c r="C106" s="14" t="n">
        <x:v>6</x:v>
      </x:c>
      <x:c r="D106" s="14" t="str">
        <x:v>ten package characteristics</x:v>
      </x:c>
      <x:c r="E106" s="14" t="str">
        <x:v>Evidence required for RFP-A2 / AM-06 / TR-A</x:v>
      </x:c>
      <x:c r="F106" s="14" t="str">
        <x:v>OPEN</x:v>
      </x:c>
      <x:c r="G106" s="14" t="str"/>
      <x:c r="H106" s="14" t="str"/>
    </x:row>
    <x:row r="107" ht="18" customHeight="1">
      <x:c r="A107" s="14" t="str">
        <x:v>EG-QE02-C07-07</x:v>
      </x:c>
      <x:c r="B107" s="14" t="str">
        <x:v>QE02-C07</x:v>
      </x:c>
      <x:c r="C107" s="14" t="n">
        <x:v>7</x:v>
      </x:c>
      <x:c r="D107" s="14" t="str">
        <x:v>conditioning and aliquot split</x:v>
      </x:c>
      <x:c r="E107" s="14" t="str">
        <x:v>Evidence required for RFP-A2 / AM-06 / TR-A</x:v>
      </x:c>
      <x:c r="F107" s="14" t="str">
        <x:v>OPEN</x:v>
      </x:c>
      <x:c r="G107" s="14" t="str"/>
      <x:c r="H107" s="14" t="str"/>
    </x:row>
    <x:row r="108" ht="18" customHeight="1">
      <x:c r="A108" s="14" t="str">
        <x:v>EG-QE02-C07-08</x:v>
      </x:c>
      <x:c r="B108" s="14" t="str">
        <x:v>QE02-C07</x:v>
      </x:c>
      <x:c r="C108" s="14" t="n">
        <x:v>8</x:v>
      </x:c>
      <x:c r="D108" s="14" t="str">
        <x:v>unlike ancestry roots</x:v>
      </x:c>
      <x:c r="E108" s="14" t="str">
        <x:v>Evidence required for RFP-A2 / AM-06 / TR-A</x:v>
      </x:c>
      <x:c r="F108" s="14" t="str">
        <x:v>OPEN</x:v>
      </x:c>
      <x:c r="G108" s="14" t="str"/>
      <x:c r="H108" s="14" t="str"/>
    </x:row>
    <x:row r="109" ht="18" customHeight="1">
      <x:c r="A109" s="14" t="str">
        <x:v>EG-QE02-C07-09</x:v>
      </x:c>
      <x:c r="B109" s="14" t="str">
        <x:v>QE02-C07</x:v>
      </x:c>
      <x:c r="C109" s="14" t="n">
        <x:v>9</x:v>
      </x:c>
      <x:c r="D109" s="14" t="str">
        <x:v>twelve final elements</x:v>
      </x:c>
      <x:c r="E109" s="14" t="str">
        <x:v>Evidence required for RFP-A2 / AM-06 / TR-A</x:v>
      </x:c>
      <x:c r="F109" s="14" t="str">
        <x:v>OPEN</x:v>
      </x:c>
      <x:c r="G109" s="14" t="str"/>
      <x:c r="H109" s="14" t="str"/>
    </x:row>
    <x:row r="110" ht="18" customHeight="1">
      <x:c r="A110" s="14" t="str">
        <x:v>EG-QE02-C07-10</x:v>
      </x:c>
      <x:c r="B110" s="14" t="str">
        <x:v>QE02-C07</x:v>
      </x:c>
      <x:c r="C110" s="14" t="n">
        <x:v>10</x:v>
      </x:c>
      <x:c r="D110" s="14" t="str">
        <x:v>thirty-six safeing paths</x:v>
      </x:c>
      <x:c r="E110" s="14" t="str">
        <x:v>Evidence required for RFP-A2 / AM-06 / TR-A</x:v>
      </x:c>
      <x:c r="F110" s="14" t="str">
        <x:v>OPEN</x:v>
      </x:c>
      <x:c r="G110" s="14" t="str"/>
      <x:c r="H110" s="14" t="str"/>
    </x:row>
    <x:row r="111" ht="18" customHeight="1">
      <x:c r="A111" s="14" t="str">
        <x:v>EG-QE02-C07-11</x:v>
      </x:c>
      <x:c r="B111" s="14" t="str">
        <x:v>QE02-C07</x:v>
      </x:c>
      <x:c r="C111" s="14" t="n">
        <x:v>11</x:v>
      </x:c>
      <x:c r="D111" s="14" t="str">
        <x:v>120 m3 water package</x:v>
      </x:c>
      <x:c r="E111" s="14" t="str">
        <x:v>Evidence required for RFP-A2 / AM-06 / TR-A</x:v>
      </x:c>
      <x:c r="F111" s="14" t="str">
        <x:v>OPEN</x:v>
      </x:c>
      <x:c r="G111" s="14" t="str"/>
      <x:c r="H111" s="14" t="str"/>
    </x:row>
    <x:row r="112" ht="18" customHeight="1">
      <x:c r="A112" s="14" t="str">
        <x:v>EG-QE02-C07-12</x:v>
      </x:c>
      <x:c r="B112" s="14" t="str">
        <x:v>QE02-C07</x:v>
      </x:c>
      <x:c r="C112" s="14" t="n">
        <x:v>12</x:v>
      </x:c>
      <x:c r="D112" s="14" t="str">
        <x:v>thermal and environmental boundary</x:v>
      </x:c>
      <x:c r="E112" s="14" t="str">
        <x:v>Evidence required for RFP-A2 / AM-06 / TR-A</x:v>
      </x:c>
      <x:c r="F112" s="14" t="str">
        <x:v>OPEN</x:v>
      </x:c>
      <x:c r="G112" s="14" t="str"/>
      <x:c r="H112" s="14" t="str"/>
    </x:row>
    <x:row r="113" ht="18" customHeight="1">
      <x:c r="A113" s="14" t="str">
        <x:v>EG-QE02-C07-13</x:v>
      </x:c>
      <x:c r="B113" s="14" t="str">
        <x:v>QE02-C07</x:v>
      </x:c>
      <x:c r="C113" s="14" t="n">
        <x:v>13</x:v>
      </x:c>
      <x:c r="D113" s="14" t="str">
        <x:v>fifty-six-position crew</x:v>
      </x:c>
      <x:c r="E113" s="14" t="str">
        <x:v>Evidence required for RFP-A2 / AM-06 / TR-A</x:v>
      </x:c>
      <x:c r="F113" s="14" t="str">
        <x:v>OPEN</x:v>
      </x:c>
      <x:c r="G113" s="14" t="str"/>
      <x:c r="H113" s="14" t="str"/>
    </x:row>
    <x:row r="114" ht="18" customHeight="1">
      <x:c r="A114" s="14" t="str">
        <x:v>EG-QE02-C07-14</x:v>
      </x:c>
      <x:c r="B114" s="14" t="str">
        <x:v>QE02-C07</x:v>
      </x:c>
      <x:c r="C114" s="14" t="n">
        <x:v>14</x:v>
      </x:c>
      <x:c r="D114" s="14" t="str">
        <x:v>rescue and remote entry</x:v>
      </x:c>
      <x:c r="E114" s="14" t="str">
        <x:v>Evidence required for RFP-A2 / AM-06 / TR-A</x:v>
      </x:c>
      <x:c r="F114" s="14" t="str">
        <x:v>OPEN</x:v>
      </x:c>
      <x:c r="G114" s="14" t="str"/>
      <x:c r="H114" s="14" t="str"/>
    </x:row>
    <x:row r="115" ht="18" customHeight="1">
      <x:c r="A115" s="14" t="str">
        <x:v>EG-QE02-C07-15</x:v>
      </x:c>
      <x:c r="B115" s="14" t="str">
        <x:v>QE02-C07</x:v>
      </x:c>
      <x:c r="C115" s="14" t="n">
        <x:v>15</x:v>
      </x:c>
      <x:c r="D115" s="14" t="str">
        <x:v>waste and decontamination route</x:v>
      </x:c>
      <x:c r="E115" s="14" t="str">
        <x:v>Evidence required for RFP-A2 / AM-06 / TR-A</x:v>
      </x:c>
      <x:c r="F115" s="14" t="str">
        <x:v>OPEN</x:v>
      </x:c>
      <x:c r="G115" s="14" t="str"/>
      <x:c r="H115" s="14" t="str"/>
    </x:row>
    <x:row r="116" ht="18" customHeight="1">
      <x:c r="A116" s="14" t="str">
        <x:v>EG-QE02-C07-16</x:v>
      </x:c>
      <x:c r="B116" s="14" t="str">
        <x:v>QE02-C07</x:v>
      </x:c>
      <x:c r="C116" s="14" t="n">
        <x:v>16</x:v>
      </x:c>
      <x:c r="D116" s="14" t="str">
        <x:v>evidence and replay capacity</x:v>
      </x:c>
      <x:c r="E116" s="14" t="str">
        <x:v>Evidence required for RFP-A2 / AM-06 / TR-A</x:v>
      </x:c>
      <x:c r="F116" s="14" t="str">
        <x:v>OPEN</x:v>
      </x:c>
      <x:c r="G116" s="14" t="str"/>
      <x:c r="H116" s="14" t="str"/>
    </x:row>
    <x:row r="117" ht="18" customHeight="1">
      <x:c r="A117" s="14" t="str">
        <x:v>EG-QE02-C08-01</x:v>
      </x:c>
      <x:c r="B117" s="14" t="str">
        <x:v>QE02-C08</x:v>
      </x:c>
      <x:c r="C117" s="14" t="n">
        <x:v>1</x:v>
      </x:c>
      <x:c r="D117" s="14" t="str">
        <x:v>RAZ-1 cell credit</x:v>
      </x:c>
      <x:c r="E117" s="14" t="str">
        <x:v>Evidence required for RFP-A2 / AM-06 / TR-B</x:v>
      </x:c>
      <x:c r="F117" s="14" t="str">
        <x:v>OPEN</x:v>
      </x:c>
      <x:c r="G117" s="14" t="str"/>
      <x:c r="H117" s="14" t="str"/>
    </x:row>
    <x:row r="118" ht="18" customHeight="1">
      <x:c r="A118" s="14" t="str">
        <x:v>EG-QE02-C08-02</x:v>
      </x:c>
      <x:c r="B118" s="14" t="str">
        <x:v>QE02-C08</x:v>
      </x:c>
      <x:c r="C118" s="14" t="n">
        <x:v>2</x:v>
      </x:c>
      <x:c r="D118" s="14" t="str">
        <x:v>current pair baseline</x:v>
      </x:c>
      <x:c r="E118" s="14" t="str">
        <x:v>Evidence required for RFP-A2 / AM-06 / TR-B</x:v>
      </x:c>
      <x:c r="F118" s="14" t="str">
        <x:v>OPEN</x:v>
      </x:c>
      <x:c r="G118" s="14" t="str"/>
      <x:c r="H118" s="14" t="str"/>
    </x:row>
    <x:row r="119" ht="18" customHeight="1">
      <x:c r="A119" s="14" t="str">
        <x:v>EG-QE02-C08-03</x:v>
      </x:c>
      <x:c r="B119" s="14" t="str">
        <x:v>QE02-C08</x:v>
      </x:c>
      <x:c r="C119" s="14" t="n">
        <x:v>3</x:v>
      </x:c>
      <x:c r="D119" s="14" t="str">
        <x:v>REA-100 insert and liner</x:v>
      </x:c>
      <x:c r="E119" s="14" t="str">
        <x:v>Evidence required for RFP-A2 / AM-06 / TR-B</x:v>
      </x:c>
      <x:c r="F119" s="14" t="str">
        <x:v>OPEN</x:v>
      </x:c>
      <x:c r="G119" s="14" t="str"/>
      <x:c r="H119" s="14" t="str"/>
    </x:row>
    <x:row r="120" ht="18" customHeight="1">
      <x:c r="A120" s="14" t="str">
        <x:v>EG-QE02-C08-04</x:v>
      </x:c>
      <x:c r="B120" s="14" t="str">
        <x:v>QE02-C08</x:v>
      </x:c>
      <x:c r="C120" s="14" t="n">
        <x:v>4</x:v>
      </x:c>
      <x:c r="D120" s="14" t="str">
        <x:v>containment and receivers</x:v>
      </x:c>
      <x:c r="E120" s="14" t="str">
        <x:v>Evidence required for RFP-A2 / AM-06 / TR-B</x:v>
      </x:c>
      <x:c r="F120" s="14" t="str">
        <x:v>OPEN</x:v>
      </x:c>
      <x:c r="G120" s="14" t="str"/>
      <x:c r="H120" s="14" t="str"/>
    </x:row>
    <x:row r="121" ht="18" customHeight="1">
      <x:c r="A121" s="14" t="str">
        <x:v>EG-QE02-C08-05</x:v>
      </x:c>
      <x:c r="B121" s="14" t="str">
        <x:v>QE02-C08</x:v>
      </x:c>
      <x:c r="C121" s="14" t="n">
        <x:v>5</x:v>
      </x:c>
      <x:c r="D121" s="14" t="str">
        <x:v>active source package</x:v>
      </x:c>
      <x:c r="E121" s="14" t="str">
        <x:v>Evidence required for RFP-A2 / AM-06 / TR-B</x:v>
      </x:c>
      <x:c r="F121" s="14" t="str">
        <x:v>OPEN</x:v>
      </x:c>
      <x:c r="G121" s="14" t="str"/>
      <x:c r="H121" s="14" t="str"/>
    </x:row>
    <x:row r="122" ht="18" customHeight="1">
      <x:c r="A122" s="14" t="str">
        <x:v>EG-QE02-C08-06</x:v>
      </x:c>
      <x:c r="B122" s="14" t="str">
        <x:v>QE02-C08</x:v>
      </x:c>
      <x:c r="C122" s="14" t="n">
        <x:v>6</x:v>
      </x:c>
      <x:c r="D122" s="14" t="str">
        <x:v>ten package characteristics</x:v>
      </x:c>
      <x:c r="E122" s="14" t="str">
        <x:v>Evidence required for RFP-A2 / AM-06 / TR-B</x:v>
      </x:c>
      <x:c r="F122" s="14" t="str">
        <x:v>OPEN</x:v>
      </x:c>
      <x:c r="G122" s="14" t="str"/>
      <x:c r="H122" s="14" t="str"/>
    </x:row>
    <x:row r="123" ht="18" customHeight="1">
      <x:c r="A123" s="14" t="str">
        <x:v>EG-QE02-C08-07</x:v>
      </x:c>
      <x:c r="B123" s="14" t="str">
        <x:v>QE02-C08</x:v>
      </x:c>
      <x:c r="C123" s="14" t="n">
        <x:v>7</x:v>
      </x:c>
      <x:c r="D123" s="14" t="str">
        <x:v>conditioning and aliquot split</x:v>
      </x:c>
      <x:c r="E123" s="14" t="str">
        <x:v>Evidence required for RFP-A2 / AM-06 / TR-B</x:v>
      </x:c>
      <x:c r="F123" s="14" t="str">
        <x:v>OPEN</x:v>
      </x:c>
      <x:c r="G123" s="14" t="str"/>
      <x:c r="H123" s="14" t="str"/>
    </x:row>
    <x:row r="124" ht="18" customHeight="1">
      <x:c r="A124" s="14" t="str">
        <x:v>EG-QE02-C08-08</x:v>
      </x:c>
      <x:c r="B124" s="14" t="str">
        <x:v>QE02-C08</x:v>
      </x:c>
      <x:c r="C124" s="14" t="n">
        <x:v>8</x:v>
      </x:c>
      <x:c r="D124" s="14" t="str">
        <x:v>unlike ancestry roots</x:v>
      </x:c>
      <x:c r="E124" s="14" t="str">
        <x:v>Evidence required for RFP-A2 / AM-06 / TR-B</x:v>
      </x:c>
      <x:c r="F124" s="14" t="str">
        <x:v>OPEN</x:v>
      </x:c>
      <x:c r="G124" s="14" t="str"/>
      <x:c r="H124" s="14" t="str"/>
    </x:row>
    <x:row r="125" ht="18" customHeight="1">
      <x:c r="A125" s="14" t="str">
        <x:v>EG-QE02-C08-09</x:v>
      </x:c>
      <x:c r="B125" s="14" t="str">
        <x:v>QE02-C08</x:v>
      </x:c>
      <x:c r="C125" s="14" t="n">
        <x:v>9</x:v>
      </x:c>
      <x:c r="D125" s="14" t="str">
        <x:v>twelve final elements</x:v>
      </x:c>
      <x:c r="E125" s="14" t="str">
        <x:v>Evidence required for RFP-A2 / AM-06 / TR-B</x:v>
      </x:c>
      <x:c r="F125" s="14" t="str">
        <x:v>OPEN</x:v>
      </x:c>
      <x:c r="G125" s="14" t="str"/>
      <x:c r="H125" s="14" t="str"/>
    </x:row>
    <x:row r="126" ht="18" customHeight="1">
      <x:c r="A126" s="14" t="str">
        <x:v>EG-QE02-C08-10</x:v>
      </x:c>
      <x:c r="B126" s="14" t="str">
        <x:v>QE02-C08</x:v>
      </x:c>
      <x:c r="C126" s="14" t="n">
        <x:v>10</x:v>
      </x:c>
      <x:c r="D126" s="14" t="str">
        <x:v>thirty-six safeing paths</x:v>
      </x:c>
      <x:c r="E126" s="14" t="str">
        <x:v>Evidence required for RFP-A2 / AM-06 / TR-B</x:v>
      </x:c>
      <x:c r="F126" s="14" t="str">
        <x:v>OPEN</x:v>
      </x:c>
      <x:c r="G126" s="14" t="str"/>
      <x:c r="H126" s="14" t="str"/>
    </x:row>
    <x:row r="127" ht="18" customHeight="1">
      <x:c r="A127" s="14" t="str">
        <x:v>EG-QE02-C08-11</x:v>
      </x:c>
      <x:c r="B127" s="14" t="str">
        <x:v>QE02-C08</x:v>
      </x:c>
      <x:c r="C127" s="14" t="n">
        <x:v>11</x:v>
      </x:c>
      <x:c r="D127" s="14" t="str">
        <x:v>120 m3 water package</x:v>
      </x:c>
      <x:c r="E127" s="14" t="str">
        <x:v>Evidence required for RFP-A2 / AM-06 / TR-B</x:v>
      </x:c>
      <x:c r="F127" s="14" t="str">
        <x:v>OPEN</x:v>
      </x:c>
      <x:c r="G127" s="14" t="str"/>
      <x:c r="H127" s="14" t="str"/>
    </x:row>
    <x:row r="128" ht="18" customHeight="1">
      <x:c r="A128" s="14" t="str">
        <x:v>EG-QE02-C08-12</x:v>
      </x:c>
      <x:c r="B128" s="14" t="str">
        <x:v>QE02-C08</x:v>
      </x:c>
      <x:c r="C128" s="14" t="n">
        <x:v>12</x:v>
      </x:c>
      <x:c r="D128" s="14" t="str">
        <x:v>thermal and environmental boundary</x:v>
      </x:c>
      <x:c r="E128" s="14" t="str">
        <x:v>Evidence required for RFP-A2 / AM-06 / TR-B</x:v>
      </x:c>
      <x:c r="F128" s="14" t="str">
        <x:v>OPEN</x:v>
      </x:c>
      <x:c r="G128" s="14" t="str"/>
      <x:c r="H128" s="14" t="str"/>
    </x:row>
    <x:row r="129" ht="18" customHeight="1">
      <x:c r="A129" s="14" t="str">
        <x:v>EG-QE02-C08-13</x:v>
      </x:c>
      <x:c r="B129" s="14" t="str">
        <x:v>QE02-C08</x:v>
      </x:c>
      <x:c r="C129" s="14" t="n">
        <x:v>13</x:v>
      </x:c>
      <x:c r="D129" s="14" t="str">
        <x:v>fifty-six-position crew</x:v>
      </x:c>
      <x:c r="E129" s="14" t="str">
        <x:v>Evidence required for RFP-A2 / AM-06 / TR-B</x:v>
      </x:c>
      <x:c r="F129" s="14" t="str">
        <x:v>OPEN</x:v>
      </x:c>
      <x:c r="G129" s="14" t="str"/>
      <x:c r="H129" s="14" t="str"/>
    </x:row>
    <x:row r="130" ht="18" customHeight="1">
      <x:c r="A130" s="14" t="str">
        <x:v>EG-QE02-C08-14</x:v>
      </x:c>
      <x:c r="B130" s="14" t="str">
        <x:v>QE02-C08</x:v>
      </x:c>
      <x:c r="C130" s="14" t="n">
        <x:v>14</x:v>
      </x:c>
      <x:c r="D130" s="14" t="str">
        <x:v>rescue and remote entry</x:v>
      </x:c>
      <x:c r="E130" s="14" t="str">
        <x:v>Evidence required for RFP-A2 / AM-06 / TR-B</x:v>
      </x:c>
      <x:c r="F130" s="14" t="str">
        <x:v>OPEN</x:v>
      </x:c>
      <x:c r="G130" s="14" t="str"/>
      <x:c r="H130" s="14" t="str"/>
    </x:row>
    <x:row r="131" ht="18" customHeight="1">
      <x:c r="A131" s="14" t="str">
        <x:v>EG-QE02-C08-15</x:v>
      </x:c>
      <x:c r="B131" s="14" t="str">
        <x:v>QE02-C08</x:v>
      </x:c>
      <x:c r="C131" s="14" t="n">
        <x:v>15</x:v>
      </x:c>
      <x:c r="D131" s="14" t="str">
        <x:v>waste and decontamination route</x:v>
      </x:c>
      <x:c r="E131" s="14" t="str">
        <x:v>Evidence required for RFP-A2 / AM-06 / TR-B</x:v>
      </x:c>
      <x:c r="F131" s="14" t="str">
        <x:v>OPEN</x:v>
      </x:c>
      <x:c r="G131" s="14" t="str"/>
      <x:c r="H131" s="14" t="str"/>
    </x:row>
    <x:row r="132" ht="18" customHeight="1">
      <x:c r="A132" s="14" t="str">
        <x:v>EG-QE02-C08-16</x:v>
      </x:c>
      <x:c r="B132" s="14" t="str">
        <x:v>QE02-C08</x:v>
      </x:c>
      <x:c r="C132" s="14" t="n">
        <x:v>16</x:v>
      </x:c>
      <x:c r="D132" s="14" t="str">
        <x:v>evidence and replay capacity</x:v>
      </x:c>
      <x:c r="E132" s="14" t="str">
        <x:v>Evidence required for RFP-A2 / AM-06 / TR-B</x:v>
      </x:c>
      <x:c r="F132" s="14" t="str">
        <x:v>OPEN</x:v>
      </x:c>
      <x:c r="G132" s="14" t="str"/>
      <x:c r="H132" s="14" t="str"/>
    </x:row>
    <x:row r="133" ht="18" customHeight="1">
      <x:c r="A133" s="14" t="str">
        <x:v>EG-QE02-C09-01</x:v>
      </x:c>
      <x:c r="B133" s="14" t="str">
        <x:v>QE02-C09</x:v>
      </x:c>
      <x:c r="C133" s="14" t="n">
        <x:v>1</x:v>
      </x:c>
      <x:c r="D133" s="14" t="str">
        <x:v>RAZ-1 cell credit</x:v>
      </x:c>
      <x:c r="E133" s="14" t="str">
        <x:v>Evidence required for RFP-B1 / AM-05 / TR-A</x:v>
      </x:c>
      <x:c r="F133" s="14" t="str">
        <x:v>OPEN</x:v>
      </x:c>
      <x:c r="G133" s="14" t="str"/>
      <x:c r="H133" s="14" t="str"/>
    </x:row>
    <x:row r="134" ht="18" customHeight="1">
      <x:c r="A134" s="14" t="str">
        <x:v>EG-QE02-C09-02</x:v>
      </x:c>
      <x:c r="B134" s="14" t="str">
        <x:v>QE02-C09</x:v>
      </x:c>
      <x:c r="C134" s="14" t="n">
        <x:v>2</x:v>
      </x:c>
      <x:c r="D134" s="14" t="str">
        <x:v>current pair baseline</x:v>
      </x:c>
      <x:c r="E134" s="14" t="str">
        <x:v>Evidence required for RFP-B1 / AM-05 / TR-A</x:v>
      </x:c>
      <x:c r="F134" s="14" t="str">
        <x:v>OPEN</x:v>
      </x:c>
      <x:c r="G134" s="14" t="str"/>
      <x:c r="H134" s="14" t="str"/>
    </x:row>
    <x:row r="135" ht="18" customHeight="1">
      <x:c r="A135" s="14" t="str">
        <x:v>EG-QE02-C09-03</x:v>
      </x:c>
      <x:c r="B135" s="14" t="str">
        <x:v>QE02-C09</x:v>
      </x:c>
      <x:c r="C135" s="14" t="n">
        <x:v>3</x:v>
      </x:c>
      <x:c r="D135" s="14" t="str">
        <x:v>REA-100 insert and liner</x:v>
      </x:c>
      <x:c r="E135" s="14" t="str">
        <x:v>Evidence required for RFP-B1 / AM-05 / TR-A</x:v>
      </x:c>
      <x:c r="F135" s="14" t="str">
        <x:v>OPEN</x:v>
      </x:c>
      <x:c r="G135" s="14" t="str"/>
      <x:c r="H135" s="14" t="str"/>
    </x:row>
    <x:row r="136" ht="18" customHeight="1">
      <x:c r="A136" s="14" t="str">
        <x:v>EG-QE02-C09-04</x:v>
      </x:c>
      <x:c r="B136" s="14" t="str">
        <x:v>QE02-C09</x:v>
      </x:c>
      <x:c r="C136" s="14" t="n">
        <x:v>4</x:v>
      </x:c>
      <x:c r="D136" s="14" t="str">
        <x:v>containment and receivers</x:v>
      </x:c>
      <x:c r="E136" s="14" t="str">
        <x:v>Evidence required for RFP-B1 / AM-05 / TR-A</x:v>
      </x:c>
      <x:c r="F136" s="14" t="str">
        <x:v>OPEN</x:v>
      </x:c>
      <x:c r="G136" s="14" t="str"/>
      <x:c r="H136" s="14" t="str"/>
    </x:row>
    <x:row r="137" ht="18" customHeight="1">
      <x:c r="A137" s="14" t="str">
        <x:v>EG-QE02-C09-05</x:v>
      </x:c>
      <x:c r="B137" s="14" t="str">
        <x:v>QE02-C09</x:v>
      </x:c>
      <x:c r="C137" s="14" t="n">
        <x:v>5</x:v>
      </x:c>
      <x:c r="D137" s="14" t="str">
        <x:v>active source package</x:v>
      </x:c>
      <x:c r="E137" s="14" t="str">
        <x:v>Evidence required for RFP-B1 / AM-05 / TR-A</x:v>
      </x:c>
      <x:c r="F137" s="14" t="str">
        <x:v>OPEN</x:v>
      </x:c>
      <x:c r="G137" s="14" t="str"/>
      <x:c r="H137" s="14" t="str"/>
    </x:row>
    <x:row r="138" ht="18" customHeight="1">
      <x:c r="A138" s="14" t="str">
        <x:v>EG-QE02-C09-06</x:v>
      </x:c>
      <x:c r="B138" s="14" t="str">
        <x:v>QE02-C09</x:v>
      </x:c>
      <x:c r="C138" s="14" t="n">
        <x:v>6</x:v>
      </x:c>
      <x:c r="D138" s="14" t="str">
        <x:v>ten package characteristics</x:v>
      </x:c>
      <x:c r="E138" s="14" t="str">
        <x:v>Evidence required for RFP-B1 / AM-05 / TR-A</x:v>
      </x:c>
      <x:c r="F138" s="14" t="str">
        <x:v>OPEN</x:v>
      </x:c>
      <x:c r="G138" s="14" t="str"/>
      <x:c r="H138" s="14" t="str"/>
    </x:row>
    <x:row r="139" ht="18" customHeight="1">
      <x:c r="A139" s="14" t="str">
        <x:v>EG-QE02-C09-07</x:v>
      </x:c>
      <x:c r="B139" s="14" t="str">
        <x:v>QE02-C09</x:v>
      </x:c>
      <x:c r="C139" s="14" t="n">
        <x:v>7</x:v>
      </x:c>
      <x:c r="D139" s="14" t="str">
        <x:v>conditioning and aliquot split</x:v>
      </x:c>
      <x:c r="E139" s="14" t="str">
        <x:v>Evidence required for RFP-B1 / AM-05 / TR-A</x:v>
      </x:c>
      <x:c r="F139" s="14" t="str">
        <x:v>OPEN</x:v>
      </x:c>
      <x:c r="G139" s="14" t="str"/>
      <x:c r="H139" s="14" t="str"/>
    </x:row>
    <x:row r="140" ht="18" customHeight="1">
      <x:c r="A140" s="14" t="str">
        <x:v>EG-QE02-C09-08</x:v>
      </x:c>
      <x:c r="B140" s="14" t="str">
        <x:v>QE02-C09</x:v>
      </x:c>
      <x:c r="C140" s="14" t="n">
        <x:v>8</x:v>
      </x:c>
      <x:c r="D140" s="14" t="str">
        <x:v>unlike ancestry roots</x:v>
      </x:c>
      <x:c r="E140" s="14" t="str">
        <x:v>Evidence required for RFP-B1 / AM-05 / TR-A</x:v>
      </x:c>
      <x:c r="F140" s="14" t="str">
        <x:v>OPEN</x:v>
      </x:c>
      <x:c r="G140" s="14" t="str"/>
      <x:c r="H140" s="14" t="str"/>
    </x:row>
    <x:row r="141" ht="18" customHeight="1">
      <x:c r="A141" s="14" t="str">
        <x:v>EG-QE02-C09-09</x:v>
      </x:c>
      <x:c r="B141" s="14" t="str">
        <x:v>QE02-C09</x:v>
      </x:c>
      <x:c r="C141" s="14" t="n">
        <x:v>9</x:v>
      </x:c>
      <x:c r="D141" s="14" t="str">
        <x:v>twelve final elements</x:v>
      </x:c>
      <x:c r="E141" s="14" t="str">
        <x:v>Evidence required for RFP-B1 / AM-05 / TR-A</x:v>
      </x:c>
      <x:c r="F141" s="14" t="str">
        <x:v>OPEN</x:v>
      </x:c>
      <x:c r="G141" s="14" t="str"/>
      <x:c r="H141" s="14" t="str"/>
    </x:row>
    <x:row r="142" ht="18" customHeight="1">
      <x:c r="A142" s="14" t="str">
        <x:v>EG-QE02-C09-10</x:v>
      </x:c>
      <x:c r="B142" s="14" t="str">
        <x:v>QE02-C09</x:v>
      </x:c>
      <x:c r="C142" s="14" t="n">
        <x:v>10</x:v>
      </x:c>
      <x:c r="D142" s="14" t="str">
        <x:v>thirty-six safeing paths</x:v>
      </x:c>
      <x:c r="E142" s="14" t="str">
        <x:v>Evidence required for RFP-B1 / AM-05 / TR-A</x:v>
      </x:c>
      <x:c r="F142" s="14" t="str">
        <x:v>OPEN</x:v>
      </x:c>
      <x:c r="G142" s="14" t="str"/>
      <x:c r="H142" s="14" t="str"/>
    </x:row>
    <x:row r="143" ht="18" customHeight="1">
      <x:c r="A143" s="14" t="str">
        <x:v>EG-QE02-C09-11</x:v>
      </x:c>
      <x:c r="B143" s="14" t="str">
        <x:v>QE02-C09</x:v>
      </x:c>
      <x:c r="C143" s="14" t="n">
        <x:v>11</x:v>
      </x:c>
      <x:c r="D143" s="14" t="str">
        <x:v>120 m3 water package</x:v>
      </x:c>
      <x:c r="E143" s="14" t="str">
        <x:v>Evidence required for RFP-B1 / AM-05 / TR-A</x:v>
      </x:c>
      <x:c r="F143" s="14" t="str">
        <x:v>OPEN</x:v>
      </x:c>
      <x:c r="G143" s="14" t="str"/>
      <x:c r="H143" s="14" t="str"/>
    </x:row>
    <x:row r="144" ht="18" customHeight="1">
      <x:c r="A144" s="14" t="str">
        <x:v>EG-QE02-C09-12</x:v>
      </x:c>
      <x:c r="B144" s="14" t="str">
        <x:v>QE02-C09</x:v>
      </x:c>
      <x:c r="C144" s="14" t="n">
        <x:v>12</x:v>
      </x:c>
      <x:c r="D144" s="14" t="str">
        <x:v>thermal and environmental boundary</x:v>
      </x:c>
      <x:c r="E144" s="14" t="str">
        <x:v>Evidence required for RFP-B1 / AM-05 / TR-A</x:v>
      </x:c>
      <x:c r="F144" s="14" t="str">
        <x:v>OPEN</x:v>
      </x:c>
      <x:c r="G144" s="14" t="str"/>
      <x:c r="H144" s="14" t="str"/>
    </x:row>
    <x:row r="145" ht="18" customHeight="1">
      <x:c r="A145" s="14" t="str">
        <x:v>EG-QE02-C09-13</x:v>
      </x:c>
      <x:c r="B145" s="14" t="str">
        <x:v>QE02-C09</x:v>
      </x:c>
      <x:c r="C145" s="14" t="n">
        <x:v>13</x:v>
      </x:c>
      <x:c r="D145" s="14" t="str">
        <x:v>fifty-six-position crew</x:v>
      </x:c>
      <x:c r="E145" s="14" t="str">
        <x:v>Evidence required for RFP-B1 / AM-05 / TR-A</x:v>
      </x:c>
      <x:c r="F145" s="14" t="str">
        <x:v>OPEN</x:v>
      </x:c>
      <x:c r="G145" s="14" t="str"/>
      <x:c r="H145" s="14" t="str"/>
    </x:row>
    <x:row r="146" ht="18" customHeight="1">
      <x:c r="A146" s="14" t="str">
        <x:v>EG-QE02-C09-14</x:v>
      </x:c>
      <x:c r="B146" s="14" t="str">
        <x:v>QE02-C09</x:v>
      </x:c>
      <x:c r="C146" s="14" t="n">
        <x:v>14</x:v>
      </x:c>
      <x:c r="D146" s="14" t="str">
        <x:v>rescue and remote entry</x:v>
      </x:c>
      <x:c r="E146" s="14" t="str">
        <x:v>Evidence required for RFP-B1 / AM-05 / TR-A</x:v>
      </x:c>
      <x:c r="F146" s="14" t="str">
        <x:v>OPEN</x:v>
      </x:c>
      <x:c r="G146" s="14" t="str"/>
      <x:c r="H146" s="14" t="str"/>
    </x:row>
    <x:row r="147" ht="18" customHeight="1">
      <x:c r="A147" s="14" t="str">
        <x:v>EG-QE02-C09-15</x:v>
      </x:c>
      <x:c r="B147" s="14" t="str">
        <x:v>QE02-C09</x:v>
      </x:c>
      <x:c r="C147" s="14" t="n">
        <x:v>15</x:v>
      </x:c>
      <x:c r="D147" s="14" t="str">
        <x:v>waste and decontamination route</x:v>
      </x:c>
      <x:c r="E147" s="14" t="str">
        <x:v>Evidence required for RFP-B1 / AM-05 / TR-A</x:v>
      </x:c>
      <x:c r="F147" s="14" t="str">
        <x:v>OPEN</x:v>
      </x:c>
      <x:c r="G147" s="14" t="str"/>
      <x:c r="H147" s="14" t="str"/>
    </x:row>
    <x:row r="148" ht="18" customHeight="1">
      <x:c r="A148" s="14" t="str">
        <x:v>EG-QE02-C09-16</x:v>
      </x:c>
      <x:c r="B148" s="14" t="str">
        <x:v>QE02-C09</x:v>
      </x:c>
      <x:c r="C148" s="14" t="n">
        <x:v>16</x:v>
      </x:c>
      <x:c r="D148" s="14" t="str">
        <x:v>evidence and replay capacity</x:v>
      </x:c>
      <x:c r="E148" s="14" t="str">
        <x:v>Evidence required for RFP-B1 / AM-05 / TR-A</x:v>
      </x:c>
      <x:c r="F148" s="14" t="str">
        <x:v>OPEN</x:v>
      </x:c>
      <x:c r="G148" s="14" t="str"/>
      <x:c r="H148" s="14" t="str"/>
    </x:row>
    <x:row r="149" ht="18" customHeight="1">
      <x:c r="A149" s="14" t="str">
        <x:v>EG-QE02-C10-01</x:v>
      </x:c>
      <x:c r="B149" s="14" t="str">
        <x:v>QE02-C10</x:v>
      </x:c>
      <x:c r="C149" s="14" t="n">
        <x:v>1</x:v>
      </x:c>
      <x:c r="D149" s="14" t="str">
        <x:v>RAZ-1 cell credit</x:v>
      </x:c>
      <x:c r="E149" s="14" t="str">
        <x:v>Evidence required for RFP-B1 / AM-05 / TR-B</x:v>
      </x:c>
      <x:c r="F149" s="14" t="str">
        <x:v>OPEN</x:v>
      </x:c>
      <x:c r="G149" s="14" t="str"/>
      <x:c r="H149" s="14" t="str"/>
    </x:row>
    <x:row r="150" ht="18" customHeight="1">
      <x:c r="A150" s="14" t="str">
        <x:v>EG-QE02-C10-02</x:v>
      </x:c>
      <x:c r="B150" s="14" t="str">
        <x:v>QE02-C10</x:v>
      </x:c>
      <x:c r="C150" s="14" t="n">
        <x:v>2</x:v>
      </x:c>
      <x:c r="D150" s="14" t="str">
        <x:v>current pair baseline</x:v>
      </x:c>
      <x:c r="E150" s="14" t="str">
        <x:v>Evidence required for RFP-B1 / AM-05 / TR-B</x:v>
      </x:c>
      <x:c r="F150" s="14" t="str">
        <x:v>OPEN</x:v>
      </x:c>
      <x:c r="G150" s="14" t="str"/>
      <x:c r="H150" s="14" t="str"/>
    </x:row>
    <x:row r="151" ht="18" customHeight="1">
      <x:c r="A151" s="14" t="str">
        <x:v>EG-QE02-C10-03</x:v>
      </x:c>
      <x:c r="B151" s="14" t="str">
        <x:v>QE02-C10</x:v>
      </x:c>
      <x:c r="C151" s="14" t="n">
        <x:v>3</x:v>
      </x:c>
      <x:c r="D151" s="14" t="str">
        <x:v>REA-100 insert and liner</x:v>
      </x:c>
      <x:c r="E151" s="14" t="str">
        <x:v>Evidence required for RFP-B1 / AM-05 / TR-B</x:v>
      </x:c>
      <x:c r="F151" s="14" t="str">
        <x:v>OPEN</x:v>
      </x:c>
      <x:c r="G151" s="14" t="str"/>
      <x:c r="H151" s="14" t="str"/>
    </x:row>
    <x:row r="152" ht="18" customHeight="1">
      <x:c r="A152" s="14" t="str">
        <x:v>EG-QE02-C10-04</x:v>
      </x:c>
      <x:c r="B152" s="14" t="str">
        <x:v>QE02-C10</x:v>
      </x:c>
      <x:c r="C152" s="14" t="n">
        <x:v>4</x:v>
      </x:c>
      <x:c r="D152" s="14" t="str">
        <x:v>containment and receivers</x:v>
      </x:c>
      <x:c r="E152" s="14" t="str">
        <x:v>Evidence required for RFP-B1 / AM-05 / TR-B</x:v>
      </x:c>
      <x:c r="F152" s="14" t="str">
        <x:v>OPEN</x:v>
      </x:c>
      <x:c r="G152" s="14" t="str"/>
      <x:c r="H152" s="14" t="str"/>
    </x:row>
    <x:row r="153" ht="18" customHeight="1">
      <x:c r="A153" s="14" t="str">
        <x:v>EG-QE02-C10-05</x:v>
      </x:c>
      <x:c r="B153" s="14" t="str">
        <x:v>QE02-C10</x:v>
      </x:c>
      <x:c r="C153" s="14" t="n">
        <x:v>5</x:v>
      </x:c>
      <x:c r="D153" s="14" t="str">
        <x:v>active source package</x:v>
      </x:c>
      <x:c r="E153" s="14" t="str">
        <x:v>Evidence required for RFP-B1 / AM-05 / TR-B</x:v>
      </x:c>
      <x:c r="F153" s="14" t="str">
        <x:v>OPEN</x:v>
      </x:c>
      <x:c r="G153" s="14" t="str"/>
      <x:c r="H153" s="14" t="str"/>
    </x:row>
    <x:row r="154" ht="18" customHeight="1">
      <x:c r="A154" s="14" t="str">
        <x:v>EG-QE02-C10-06</x:v>
      </x:c>
      <x:c r="B154" s="14" t="str">
        <x:v>QE02-C10</x:v>
      </x:c>
      <x:c r="C154" s="14" t="n">
        <x:v>6</x:v>
      </x:c>
      <x:c r="D154" s="14" t="str">
        <x:v>ten package characteristics</x:v>
      </x:c>
      <x:c r="E154" s="14" t="str">
        <x:v>Evidence required for RFP-B1 / AM-05 / TR-B</x:v>
      </x:c>
      <x:c r="F154" s="14" t="str">
        <x:v>OPEN</x:v>
      </x:c>
      <x:c r="G154" s="14" t="str"/>
      <x:c r="H154" s="14" t="str"/>
    </x:row>
    <x:row r="155" ht="18" customHeight="1">
      <x:c r="A155" s="14" t="str">
        <x:v>EG-QE02-C10-07</x:v>
      </x:c>
      <x:c r="B155" s="14" t="str">
        <x:v>QE02-C10</x:v>
      </x:c>
      <x:c r="C155" s="14" t="n">
        <x:v>7</x:v>
      </x:c>
      <x:c r="D155" s="14" t="str">
        <x:v>conditioning and aliquot split</x:v>
      </x:c>
      <x:c r="E155" s="14" t="str">
        <x:v>Evidence required for RFP-B1 / AM-05 / TR-B</x:v>
      </x:c>
      <x:c r="F155" s="14" t="str">
        <x:v>OPEN</x:v>
      </x:c>
      <x:c r="G155" s="14" t="str"/>
      <x:c r="H155" s="14" t="str"/>
    </x:row>
    <x:row r="156" ht="18" customHeight="1">
      <x:c r="A156" s="14" t="str">
        <x:v>EG-QE02-C10-08</x:v>
      </x:c>
      <x:c r="B156" s="14" t="str">
        <x:v>QE02-C10</x:v>
      </x:c>
      <x:c r="C156" s="14" t="n">
        <x:v>8</x:v>
      </x:c>
      <x:c r="D156" s="14" t="str">
        <x:v>unlike ancestry roots</x:v>
      </x:c>
      <x:c r="E156" s="14" t="str">
        <x:v>Evidence required for RFP-B1 / AM-05 / TR-B</x:v>
      </x:c>
      <x:c r="F156" s="14" t="str">
        <x:v>OPEN</x:v>
      </x:c>
      <x:c r="G156" s="14" t="str"/>
      <x:c r="H156" s="14" t="str"/>
    </x:row>
    <x:row r="157" ht="18" customHeight="1">
      <x:c r="A157" s="14" t="str">
        <x:v>EG-QE02-C10-09</x:v>
      </x:c>
      <x:c r="B157" s="14" t="str">
        <x:v>QE02-C10</x:v>
      </x:c>
      <x:c r="C157" s="14" t="n">
        <x:v>9</x:v>
      </x:c>
      <x:c r="D157" s="14" t="str">
        <x:v>twelve final elements</x:v>
      </x:c>
      <x:c r="E157" s="14" t="str">
        <x:v>Evidence required for RFP-B1 / AM-05 / TR-B</x:v>
      </x:c>
      <x:c r="F157" s="14" t="str">
        <x:v>OPEN</x:v>
      </x:c>
      <x:c r="G157" s="14" t="str"/>
      <x:c r="H157" s="14" t="str"/>
    </x:row>
    <x:row r="158" ht="18" customHeight="1">
      <x:c r="A158" s="14" t="str">
        <x:v>EG-QE02-C10-10</x:v>
      </x:c>
      <x:c r="B158" s="14" t="str">
        <x:v>QE02-C10</x:v>
      </x:c>
      <x:c r="C158" s="14" t="n">
        <x:v>10</x:v>
      </x:c>
      <x:c r="D158" s="14" t="str">
        <x:v>thirty-six safeing paths</x:v>
      </x:c>
      <x:c r="E158" s="14" t="str">
        <x:v>Evidence required for RFP-B1 / AM-05 / TR-B</x:v>
      </x:c>
      <x:c r="F158" s="14" t="str">
        <x:v>OPEN</x:v>
      </x:c>
      <x:c r="G158" s="14" t="str"/>
      <x:c r="H158" s="14" t="str"/>
    </x:row>
    <x:row r="159" ht="18" customHeight="1">
      <x:c r="A159" s="14" t="str">
        <x:v>EG-QE02-C10-11</x:v>
      </x:c>
      <x:c r="B159" s="14" t="str">
        <x:v>QE02-C10</x:v>
      </x:c>
      <x:c r="C159" s="14" t="n">
        <x:v>11</x:v>
      </x:c>
      <x:c r="D159" s="14" t="str">
        <x:v>120 m3 water package</x:v>
      </x:c>
      <x:c r="E159" s="14" t="str">
        <x:v>Evidence required for RFP-B1 / AM-05 / TR-B</x:v>
      </x:c>
      <x:c r="F159" s="14" t="str">
        <x:v>OPEN</x:v>
      </x:c>
      <x:c r="G159" s="14" t="str"/>
      <x:c r="H159" s="14" t="str"/>
    </x:row>
    <x:row r="160" ht="18" customHeight="1">
      <x:c r="A160" s="14" t="str">
        <x:v>EG-QE02-C10-12</x:v>
      </x:c>
      <x:c r="B160" s="14" t="str">
        <x:v>QE02-C10</x:v>
      </x:c>
      <x:c r="C160" s="14" t="n">
        <x:v>12</x:v>
      </x:c>
      <x:c r="D160" s="14" t="str">
        <x:v>thermal and environmental boundary</x:v>
      </x:c>
      <x:c r="E160" s="14" t="str">
        <x:v>Evidence required for RFP-B1 / AM-05 / TR-B</x:v>
      </x:c>
      <x:c r="F160" s="14" t="str">
        <x:v>OPEN</x:v>
      </x:c>
      <x:c r="G160" s="14" t="str"/>
      <x:c r="H160" s="14" t="str"/>
    </x:row>
    <x:row r="161" ht="18" customHeight="1">
      <x:c r="A161" s="14" t="str">
        <x:v>EG-QE02-C10-13</x:v>
      </x:c>
      <x:c r="B161" s="14" t="str">
        <x:v>QE02-C10</x:v>
      </x:c>
      <x:c r="C161" s="14" t="n">
        <x:v>13</x:v>
      </x:c>
      <x:c r="D161" s="14" t="str">
        <x:v>fifty-six-position crew</x:v>
      </x:c>
      <x:c r="E161" s="14" t="str">
        <x:v>Evidence required for RFP-B1 / AM-05 / TR-B</x:v>
      </x:c>
      <x:c r="F161" s="14" t="str">
        <x:v>OPEN</x:v>
      </x:c>
      <x:c r="G161" s="14" t="str"/>
      <x:c r="H161" s="14" t="str"/>
    </x:row>
    <x:row r="162" ht="18" customHeight="1">
      <x:c r="A162" s="14" t="str">
        <x:v>EG-QE02-C10-14</x:v>
      </x:c>
      <x:c r="B162" s="14" t="str">
        <x:v>QE02-C10</x:v>
      </x:c>
      <x:c r="C162" s="14" t="n">
        <x:v>14</x:v>
      </x:c>
      <x:c r="D162" s="14" t="str">
        <x:v>rescue and remote entry</x:v>
      </x:c>
      <x:c r="E162" s="14" t="str">
        <x:v>Evidence required for RFP-B1 / AM-05 / TR-B</x:v>
      </x:c>
      <x:c r="F162" s="14" t="str">
        <x:v>OPEN</x:v>
      </x:c>
      <x:c r="G162" s="14" t="str"/>
      <x:c r="H162" s="14" t="str"/>
    </x:row>
    <x:row r="163" ht="18" customHeight="1">
      <x:c r="A163" s="14" t="str">
        <x:v>EG-QE02-C10-15</x:v>
      </x:c>
      <x:c r="B163" s="14" t="str">
        <x:v>QE02-C10</x:v>
      </x:c>
      <x:c r="C163" s="14" t="n">
        <x:v>15</x:v>
      </x:c>
      <x:c r="D163" s="14" t="str">
        <x:v>waste and decontamination route</x:v>
      </x:c>
      <x:c r="E163" s="14" t="str">
        <x:v>Evidence required for RFP-B1 / AM-05 / TR-B</x:v>
      </x:c>
      <x:c r="F163" s="14" t="str">
        <x:v>OPEN</x:v>
      </x:c>
      <x:c r="G163" s="14" t="str"/>
      <x:c r="H163" s="14" t="str"/>
    </x:row>
    <x:row r="164" ht="18" customHeight="1">
      <x:c r="A164" s="14" t="str">
        <x:v>EG-QE02-C10-16</x:v>
      </x:c>
      <x:c r="B164" s="14" t="str">
        <x:v>QE02-C10</x:v>
      </x:c>
      <x:c r="C164" s="14" t="n">
        <x:v>16</x:v>
      </x:c>
      <x:c r="D164" s="14" t="str">
        <x:v>evidence and replay capacity</x:v>
      </x:c>
      <x:c r="E164" s="14" t="str">
        <x:v>Evidence required for RFP-B1 / AM-05 / TR-B</x:v>
      </x:c>
      <x:c r="F164" s="14" t="str">
        <x:v>OPEN</x:v>
      </x:c>
      <x:c r="G164" s="14" t="str"/>
      <x:c r="H164" s="14" t="str"/>
    </x:row>
    <x:row r="165" ht="18" customHeight="1">
      <x:c r="A165" s="14" t="str">
        <x:v>EG-QE02-C11-01</x:v>
      </x:c>
      <x:c r="B165" s="14" t="str">
        <x:v>QE02-C11</x:v>
      </x:c>
      <x:c r="C165" s="14" t="n">
        <x:v>1</x:v>
      </x:c>
      <x:c r="D165" s="14" t="str">
        <x:v>RAZ-1 cell credit</x:v>
      </x:c>
      <x:c r="E165" s="14" t="str">
        <x:v>Evidence required for RFP-B1 / AM-06 / TR-A</x:v>
      </x:c>
      <x:c r="F165" s="14" t="str">
        <x:v>OPEN</x:v>
      </x:c>
      <x:c r="G165" s="14" t="str"/>
      <x:c r="H165" s="14" t="str"/>
    </x:row>
    <x:row r="166" ht="18" customHeight="1">
      <x:c r="A166" s="14" t="str">
        <x:v>EG-QE02-C11-02</x:v>
      </x:c>
      <x:c r="B166" s="14" t="str">
        <x:v>QE02-C11</x:v>
      </x:c>
      <x:c r="C166" s="14" t="n">
        <x:v>2</x:v>
      </x:c>
      <x:c r="D166" s="14" t="str">
        <x:v>current pair baseline</x:v>
      </x:c>
      <x:c r="E166" s="14" t="str">
        <x:v>Evidence required for RFP-B1 / AM-06 / TR-A</x:v>
      </x:c>
      <x:c r="F166" s="14" t="str">
        <x:v>OPEN</x:v>
      </x:c>
      <x:c r="G166" s="14" t="str"/>
      <x:c r="H166" s="14" t="str"/>
    </x:row>
    <x:row r="167" ht="18" customHeight="1">
      <x:c r="A167" s="14" t="str">
        <x:v>EG-QE02-C11-03</x:v>
      </x:c>
      <x:c r="B167" s="14" t="str">
        <x:v>QE02-C11</x:v>
      </x:c>
      <x:c r="C167" s="14" t="n">
        <x:v>3</x:v>
      </x:c>
      <x:c r="D167" s="14" t="str">
        <x:v>REA-100 insert and liner</x:v>
      </x:c>
      <x:c r="E167" s="14" t="str">
        <x:v>Evidence required for RFP-B1 / AM-06 / TR-A</x:v>
      </x:c>
      <x:c r="F167" s="14" t="str">
        <x:v>OPEN</x:v>
      </x:c>
      <x:c r="G167" s="14" t="str"/>
      <x:c r="H167" s="14" t="str"/>
    </x:row>
    <x:row r="168" ht="18" customHeight="1">
      <x:c r="A168" s="14" t="str">
        <x:v>EG-QE02-C11-04</x:v>
      </x:c>
      <x:c r="B168" s="14" t="str">
        <x:v>QE02-C11</x:v>
      </x:c>
      <x:c r="C168" s="14" t="n">
        <x:v>4</x:v>
      </x:c>
      <x:c r="D168" s="14" t="str">
        <x:v>containment and receivers</x:v>
      </x:c>
      <x:c r="E168" s="14" t="str">
        <x:v>Evidence required for RFP-B1 / AM-06 / TR-A</x:v>
      </x:c>
      <x:c r="F168" s="14" t="str">
        <x:v>OPEN</x:v>
      </x:c>
      <x:c r="G168" s="14" t="str"/>
      <x:c r="H168" s="14" t="str"/>
    </x:row>
    <x:row r="169" ht="18" customHeight="1">
      <x:c r="A169" s="14" t="str">
        <x:v>EG-QE02-C11-05</x:v>
      </x:c>
      <x:c r="B169" s="14" t="str">
        <x:v>QE02-C11</x:v>
      </x:c>
      <x:c r="C169" s="14" t="n">
        <x:v>5</x:v>
      </x:c>
      <x:c r="D169" s="14" t="str">
        <x:v>active source package</x:v>
      </x:c>
      <x:c r="E169" s="14" t="str">
        <x:v>Evidence required for RFP-B1 / AM-06 / TR-A</x:v>
      </x:c>
      <x:c r="F169" s="14" t="str">
        <x:v>OPEN</x:v>
      </x:c>
      <x:c r="G169" s="14" t="str"/>
      <x:c r="H169" s="14" t="str"/>
    </x:row>
    <x:row r="170" ht="18" customHeight="1">
      <x:c r="A170" s="14" t="str">
        <x:v>EG-QE02-C11-06</x:v>
      </x:c>
      <x:c r="B170" s="14" t="str">
        <x:v>QE02-C11</x:v>
      </x:c>
      <x:c r="C170" s="14" t="n">
        <x:v>6</x:v>
      </x:c>
      <x:c r="D170" s="14" t="str">
        <x:v>ten package characteristics</x:v>
      </x:c>
      <x:c r="E170" s="14" t="str">
        <x:v>Evidence required for RFP-B1 / AM-06 / TR-A</x:v>
      </x:c>
      <x:c r="F170" s="14" t="str">
        <x:v>OPEN</x:v>
      </x:c>
      <x:c r="G170" s="14" t="str"/>
      <x:c r="H170" s="14" t="str"/>
    </x:row>
    <x:row r="171" ht="18" customHeight="1">
      <x:c r="A171" s="14" t="str">
        <x:v>EG-QE02-C11-07</x:v>
      </x:c>
      <x:c r="B171" s="14" t="str">
        <x:v>QE02-C11</x:v>
      </x:c>
      <x:c r="C171" s="14" t="n">
        <x:v>7</x:v>
      </x:c>
      <x:c r="D171" s="14" t="str">
        <x:v>conditioning and aliquot split</x:v>
      </x:c>
      <x:c r="E171" s="14" t="str">
        <x:v>Evidence required for RFP-B1 / AM-06 / TR-A</x:v>
      </x:c>
      <x:c r="F171" s="14" t="str">
        <x:v>OPEN</x:v>
      </x:c>
      <x:c r="G171" s="14" t="str"/>
      <x:c r="H171" s="14" t="str"/>
    </x:row>
    <x:row r="172" ht="18" customHeight="1">
      <x:c r="A172" s="14" t="str">
        <x:v>EG-QE02-C11-08</x:v>
      </x:c>
      <x:c r="B172" s="14" t="str">
        <x:v>QE02-C11</x:v>
      </x:c>
      <x:c r="C172" s="14" t="n">
        <x:v>8</x:v>
      </x:c>
      <x:c r="D172" s="14" t="str">
        <x:v>unlike ancestry roots</x:v>
      </x:c>
      <x:c r="E172" s="14" t="str">
        <x:v>Evidence required for RFP-B1 / AM-06 / TR-A</x:v>
      </x:c>
      <x:c r="F172" s="14" t="str">
        <x:v>OPEN</x:v>
      </x:c>
      <x:c r="G172" s="14" t="str"/>
      <x:c r="H172" s="14" t="str"/>
    </x:row>
    <x:row r="173" ht="18" customHeight="1">
      <x:c r="A173" s="14" t="str">
        <x:v>EG-QE02-C11-09</x:v>
      </x:c>
      <x:c r="B173" s="14" t="str">
        <x:v>QE02-C11</x:v>
      </x:c>
      <x:c r="C173" s="14" t="n">
        <x:v>9</x:v>
      </x:c>
      <x:c r="D173" s="14" t="str">
        <x:v>twelve final elements</x:v>
      </x:c>
      <x:c r="E173" s="14" t="str">
        <x:v>Evidence required for RFP-B1 / AM-06 / TR-A</x:v>
      </x:c>
      <x:c r="F173" s="14" t="str">
        <x:v>OPEN</x:v>
      </x:c>
      <x:c r="G173" s="14" t="str"/>
      <x:c r="H173" s="14" t="str"/>
    </x:row>
    <x:row r="174" ht="18" customHeight="1">
      <x:c r="A174" s="14" t="str">
        <x:v>EG-QE02-C11-10</x:v>
      </x:c>
      <x:c r="B174" s="14" t="str">
        <x:v>QE02-C11</x:v>
      </x:c>
      <x:c r="C174" s="14" t="n">
        <x:v>10</x:v>
      </x:c>
      <x:c r="D174" s="14" t="str">
        <x:v>thirty-six safeing paths</x:v>
      </x:c>
      <x:c r="E174" s="14" t="str">
        <x:v>Evidence required for RFP-B1 / AM-06 / TR-A</x:v>
      </x:c>
      <x:c r="F174" s="14" t="str">
        <x:v>OPEN</x:v>
      </x:c>
      <x:c r="G174" s="14" t="str"/>
      <x:c r="H174" s="14" t="str"/>
    </x:row>
    <x:row r="175" ht="18" customHeight="1">
      <x:c r="A175" s="14" t="str">
        <x:v>EG-QE02-C11-11</x:v>
      </x:c>
      <x:c r="B175" s="14" t="str">
        <x:v>QE02-C11</x:v>
      </x:c>
      <x:c r="C175" s="14" t="n">
        <x:v>11</x:v>
      </x:c>
      <x:c r="D175" s="14" t="str">
        <x:v>120 m3 water package</x:v>
      </x:c>
      <x:c r="E175" s="14" t="str">
        <x:v>Evidence required for RFP-B1 / AM-06 / TR-A</x:v>
      </x:c>
      <x:c r="F175" s="14" t="str">
        <x:v>OPEN</x:v>
      </x:c>
      <x:c r="G175" s="14" t="str"/>
      <x:c r="H175" s="14" t="str"/>
    </x:row>
    <x:row r="176" ht="18" customHeight="1">
      <x:c r="A176" s="14" t="str">
        <x:v>EG-QE02-C11-12</x:v>
      </x:c>
      <x:c r="B176" s="14" t="str">
        <x:v>QE02-C11</x:v>
      </x:c>
      <x:c r="C176" s="14" t="n">
        <x:v>12</x:v>
      </x:c>
      <x:c r="D176" s="14" t="str">
        <x:v>thermal and environmental boundary</x:v>
      </x:c>
      <x:c r="E176" s="14" t="str">
        <x:v>Evidence required for RFP-B1 / AM-06 / TR-A</x:v>
      </x:c>
      <x:c r="F176" s="14" t="str">
        <x:v>OPEN</x:v>
      </x:c>
      <x:c r="G176" s="14" t="str"/>
      <x:c r="H176" s="14" t="str"/>
    </x:row>
    <x:row r="177" ht="18" customHeight="1">
      <x:c r="A177" s="14" t="str">
        <x:v>EG-QE02-C11-13</x:v>
      </x:c>
      <x:c r="B177" s="14" t="str">
        <x:v>QE02-C11</x:v>
      </x:c>
      <x:c r="C177" s="14" t="n">
        <x:v>13</x:v>
      </x:c>
      <x:c r="D177" s="14" t="str">
        <x:v>fifty-six-position crew</x:v>
      </x:c>
      <x:c r="E177" s="14" t="str">
        <x:v>Evidence required for RFP-B1 / AM-06 / TR-A</x:v>
      </x:c>
      <x:c r="F177" s="14" t="str">
        <x:v>OPEN</x:v>
      </x:c>
      <x:c r="G177" s="14" t="str"/>
      <x:c r="H177" s="14" t="str"/>
    </x:row>
    <x:row r="178" ht="18" customHeight="1">
      <x:c r="A178" s="14" t="str">
        <x:v>EG-QE02-C11-14</x:v>
      </x:c>
      <x:c r="B178" s="14" t="str">
        <x:v>QE02-C11</x:v>
      </x:c>
      <x:c r="C178" s="14" t="n">
        <x:v>14</x:v>
      </x:c>
      <x:c r="D178" s="14" t="str">
        <x:v>rescue and remote entry</x:v>
      </x:c>
      <x:c r="E178" s="14" t="str">
        <x:v>Evidence required for RFP-B1 / AM-06 / TR-A</x:v>
      </x:c>
      <x:c r="F178" s="14" t="str">
        <x:v>OPEN</x:v>
      </x:c>
      <x:c r="G178" s="14" t="str"/>
      <x:c r="H178" s="14" t="str"/>
    </x:row>
    <x:row r="179" ht="18" customHeight="1">
      <x:c r="A179" s="14" t="str">
        <x:v>EG-QE02-C11-15</x:v>
      </x:c>
      <x:c r="B179" s="14" t="str">
        <x:v>QE02-C11</x:v>
      </x:c>
      <x:c r="C179" s="14" t="n">
        <x:v>15</x:v>
      </x:c>
      <x:c r="D179" s="14" t="str">
        <x:v>waste and decontamination route</x:v>
      </x:c>
      <x:c r="E179" s="14" t="str">
        <x:v>Evidence required for RFP-B1 / AM-06 / TR-A</x:v>
      </x:c>
      <x:c r="F179" s="14" t="str">
        <x:v>OPEN</x:v>
      </x:c>
      <x:c r="G179" s="14" t="str"/>
      <x:c r="H179" s="14" t="str"/>
    </x:row>
    <x:row r="180" ht="18" customHeight="1">
      <x:c r="A180" s="14" t="str">
        <x:v>EG-QE02-C11-16</x:v>
      </x:c>
      <x:c r="B180" s="14" t="str">
        <x:v>QE02-C11</x:v>
      </x:c>
      <x:c r="C180" s="14" t="n">
        <x:v>16</x:v>
      </x:c>
      <x:c r="D180" s="14" t="str">
        <x:v>evidence and replay capacity</x:v>
      </x:c>
      <x:c r="E180" s="14" t="str">
        <x:v>Evidence required for RFP-B1 / AM-06 / TR-A</x:v>
      </x:c>
      <x:c r="F180" s="14" t="str">
        <x:v>OPEN</x:v>
      </x:c>
      <x:c r="G180" s="14" t="str"/>
      <x:c r="H180" s="14" t="str"/>
    </x:row>
    <x:row r="181" ht="18" customHeight="1">
      <x:c r="A181" s="14" t="str">
        <x:v>EG-QE02-C12-01</x:v>
      </x:c>
      <x:c r="B181" s="14" t="str">
        <x:v>QE02-C12</x:v>
      </x:c>
      <x:c r="C181" s="14" t="n">
        <x:v>1</x:v>
      </x:c>
      <x:c r="D181" s="14" t="str">
        <x:v>RAZ-1 cell credit</x:v>
      </x:c>
      <x:c r="E181" s="14" t="str">
        <x:v>Evidence required for RFP-B1 / AM-06 / TR-B</x:v>
      </x:c>
      <x:c r="F181" s="14" t="str">
        <x:v>OPEN</x:v>
      </x:c>
      <x:c r="G181" s="14" t="str"/>
      <x:c r="H181" s="14" t="str"/>
    </x:row>
    <x:row r="182" ht="18" customHeight="1">
      <x:c r="A182" s="14" t="str">
        <x:v>EG-QE02-C12-02</x:v>
      </x:c>
      <x:c r="B182" s="14" t="str">
        <x:v>QE02-C12</x:v>
      </x:c>
      <x:c r="C182" s="14" t="n">
        <x:v>2</x:v>
      </x:c>
      <x:c r="D182" s="14" t="str">
        <x:v>current pair baseline</x:v>
      </x:c>
      <x:c r="E182" s="14" t="str">
        <x:v>Evidence required for RFP-B1 / AM-06 / TR-B</x:v>
      </x:c>
      <x:c r="F182" s="14" t="str">
        <x:v>OPEN</x:v>
      </x:c>
      <x:c r="G182" s="14" t="str"/>
      <x:c r="H182" s="14" t="str"/>
    </x:row>
    <x:row r="183" ht="18" customHeight="1">
      <x:c r="A183" s="14" t="str">
        <x:v>EG-QE02-C12-03</x:v>
      </x:c>
      <x:c r="B183" s="14" t="str">
        <x:v>QE02-C12</x:v>
      </x:c>
      <x:c r="C183" s="14" t="n">
        <x:v>3</x:v>
      </x:c>
      <x:c r="D183" s="14" t="str">
        <x:v>REA-100 insert and liner</x:v>
      </x:c>
      <x:c r="E183" s="14" t="str">
        <x:v>Evidence required for RFP-B1 / AM-06 / TR-B</x:v>
      </x:c>
      <x:c r="F183" s="14" t="str">
        <x:v>OPEN</x:v>
      </x:c>
      <x:c r="G183" s="14" t="str"/>
      <x:c r="H183" s="14" t="str"/>
    </x:row>
    <x:row r="184" ht="18" customHeight="1">
      <x:c r="A184" s="14" t="str">
        <x:v>EG-QE02-C12-04</x:v>
      </x:c>
      <x:c r="B184" s="14" t="str">
        <x:v>QE02-C12</x:v>
      </x:c>
      <x:c r="C184" s="14" t="n">
        <x:v>4</x:v>
      </x:c>
      <x:c r="D184" s="14" t="str">
        <x:v>containment and receivers</x:v>
      </x:c>
      <x:c r="E184" s="14" t="str">
        <x:v>Evidence required for RFP-B1 / AM-06 / TR-B</x:v>
      </x:c>
      <x:c r="F184" s="14" t="str">
        <x:v>OPEN</x:v>
      </x:c>
      <x:c r="G184" s="14" t="str"/>
      <x:c r="H184" s="14" t="str"/>
    </x:row>
    <x:row r="185" ht="18" customHeight="1">
      <x:c r="A185" s="14" t="str">
        <x:v>EG-QE02-C12-05</x:v>
      </x:c>
      <x:c r="B185" s="14" t="str">
        <x:v>QE02-C12</x:v>
      </x:c>
      <x:c r="C185" s="14" t="n">
        <x:v>5</x:v>
      </x:c>
      <x:c r="D185" s="14" t="str">
        <x:v>active source package</x:v>
      </x:c>
      <x:c r="E185" s="14" t="str">
        <x:v>Evidence required for RFP-B1 / AM-06 / TR-B</x:v>
      </x:c>
      <x:c r="F185" s="14" t="str">
        <x:v>OPEN</x:v>
      </x:c>
      <x:c r="G185" s="14" t="str"/>
      <x:c r="H185" s="14" t="str"/>
    </x:row>
    <x:row r="186" ht="18" customHeight="1">
      <x:c r="A186" s="14" t="str">
        <x:v>EG-QE02-C12-06</x:v>
      </x:c>
      <x:c r="B186" s="14" t="str">
        <x:v>QE02-C12</x:v>
      </x:c>
      <x:c r="C186" s="14" t="n">
        <x:v>6</x:v>
      </x:c>
      <x:c r="D186" s="14" t="str">
        <x:v>ten package characteristics</x:v>
      </x:c>
      <x:c r="E186" s="14" t="str">
        <x:v>Evidence required for RFP-B1 / AM-06 / TR-B</x:v>
      </x:c>
      <x:c r="F186" s="14" t="str">
        <x:v>OPEN</x:v>
      </x:c>
      <x:c r="G186" s="14" t="str"/>
      <x:c r="H186" s="14" t="str"/>
    </x:row>
    <x:row r="187" ht="18" customHeight="1">
      <x:c r="A187" s="14" t="str">
        <x:v>EG-QE02-C12-07</x:v>
      </x:c>
      <x:c r="B187" s="14" t="str">
        <x:v>QE02-C12</x:v>
      </x:c>
      <x:c r="C187" s="14" t="n">
        <x:v>7</x:v>
      </x:c>
      <x:c r="D187" s="14" t="str">
        <x:v>conditioning and aliquot split</x:v>
      </x:c>
      <x:c r="E187" s="14" t="str">
        <x:v>Evidence required for RFP-B1 / AM-06 / TR-B</x:v>
      </x:c>
      <x:c r="F187" s="14" t="str">
        <x:v>OPEN</x:v>
      </x:c>
      <x:c r="G187" s="14" t="str"/>
      <x:c r="H187" s="14" t="str"/>
    </x:row>
    <x:row r="188" ht="18" customHeight="1">
      <x:c r="A188" s="14" t="str">
        <x:v>EG-QE02-C12-08</x:v>
      </x:c>
      <x:c r="B188" s="14" t="str">
        <x:v>QE02-C12</x:v>
      </x:c>
      <x:c r="C188" s="14" t="n">
        <x:v>8</x:v>
      </x:c>
      <x:c r="D188" s="14" t="str">
        <x:v>unlike ancestry roots</x:v>
      </x:c>
      <x:c r="E188" s="14" t="str">
        <x:v>Evidence required for RFP-B1 / AM-06 / TR-B</x:v>
      </x:c>
      <x:c r="F188" s="14" t="str">
        <x:v>OPEN</x:v>
      </x:c>
      <x:c r="G188" s="14" t="str"/>
      <x:c r="H188" s="14" t="str"/>
    </x:row>
    <x:row r="189" ht="18" customHeight="1">
      <x:c r="A189" s="14" t="str">
        <x:v>EG-QE02-C12-09</x:v>
      </x:c>
      <x:c r="B189" s="14" t="str">
        <x:v>QE02-C12</x:v>
      </x:c>
      <x:c r="C189" s="14" t="n">
        <x:v>9</x:v>
      </x:c>
      <x:c r="D189" s="14" t="str">
        <x:v>twelve final elements</x:v>
      </x:c>
      <x:c r="E189" s="14" t="str">
        <x:v>Evidence required for RFP-B1 / AM-06 / TR-B</x:v>
      </x:c>
      <x:c r="F189" s="14" t="str">
        <x:v>OPEN</x:v>
      </x:c>
      <x:c r="G189" s="14" t="str"/>
      <x:c r="H189" s="14" t="str"/>
    </x:row>
    <x:row r="190" ht="18" customHeight="1">
      <x:c r="A190" s="14" t="str">
        <x:v>EG-QE02-C12-10</x:v>
      </x:c>
      <x:c r="B190" s="14" t="str">
        <x:v>QE02-C12</x:v>
      </x:c>
      <x:c r="C190" s="14" t="n">
        <x:v>10</x:v>
      </x:c>
      <x:c r="D190" s="14" t="str">
        <x:v>thirty-six safeing paths</x:v>
      </x:c>
      <x:c r="E190" s="14" t="str">
        <x:v>Evidence required for RFP-B1 / AM-06 / TR-B</x:v>
      </x:c>
      <x:c r="F190" s="14" t="str">
        <x:v>OPEN</x:v>
      </x:c>
      <x:c r="G190" s="14" t="str"/>
      <x:c r="H190" s="14" t="str"/>
    </x:row>
    <x:row r="191" ht="18" customHeight="1">
      <x:c r="A191" s="14" t="str">
        <x:v>EG-QE02-C12-11</x:v>
      </x:c>
      <x:c r="B191" s="14" t="str">
        <x:v>QE02-C12</x:v>
      </x:c>
      <x:c r="C191" s="14" t="n">
        <x:v>11</x:v>
      </x:c>
      <x:c r="D191" s="14" t="str">
        <x:v>120 m3 water package</x:v>
      </x:c>
      <x:c r="E191" s="14" t="str">
        <x:v>Evidence required for RFP-B1 / AM-06 / TR-B</x:v>
      </x:c>
      <x:c r="F191" s="14" t="str">
        <x:v>OPEN</x:v>
      </x:c>
      <x:c r="G191" s="14" t="str"/>
      <x:c r="H191" s="14" t="str"/>
    </x:row>
    <x:row r="192" ht="18" customHeight="1">
      <x:c r="A192" s="14" t="str">
        <x:v>EG-QE02-C12-12</x:v>
      </x:c>
      <x:c r="B192" s="14" t="str">
        <x:v>QE02-C12</x:v>
      </x:c>
      <x:c r="C192" s="14" t="n">
        <x:v>12</x:v>
      </x:c>
      <x:c r="D192" s="14" t="str">
        <x:v>thermal and environmental boundary</x:v>
      </x:c>
      <x:c r="E192" s="14" t="str">
        <x:v>Evidence required for RFP-B1 / AM-06 / TR-B</x:v>
      </x:c>
      <x:c r="F192" s="14" t="str">
        <x:v>OPEN</x:v>
      </x:c>
      <x:c r="G192" s="14" t="str"/>
      <x:c r="H192" s="14" t="str"/>
    </x:row>
    <x:row r="193" ht="18" customHeight="1">
      <x:c r="A193" s="14" t="str">
        <x:v>EG-QE02-C12-13</x:v>
      </x:c>
      <x:c r="B193" s="14" t="str">
        <x:v>QE02-C12</x:v>
      </x:c>
      <x:c r="C193" s="14" t="n">
        <x:v>13</x:v>
      </x:c>
      <x:c r="D193" s="14" t="str">
        <x:v>fifty-six-position crew</x:v>
      </x:c>
      <x:c r="E193" s="14" t="str">
        <x:v>Evidence required for RFP-B1 / AM-06 / TR-B</x:v>
      </x:c>
      <x:c r="F193" s="14" t="str">
        <x:v>OPEN</x:v>
      </x:c>
      <x:c r="G193" s="14" t="str"/>
      <x:c r="H193" s="14" t="str"/>
    </x:row>
    <x:row r="194" ht="18" customHeight="1">
      <x:c r="A194" s="14" t="str">
        <x:v>EG-QE02-C12-14</x:v>
      </x:c>
      <x:c r="B194" s="14" t="str">
        <x:v>QE02-C12</x:v>
      </x:c>
      <x:c r="C194" s="14" t="n">
        <x:v>14</x:v>
      </x:c>
      <x:c r="D194" s="14" t="str">
        <x:v>rescue and remote entry</x:v>
      </x:c>
      <x:c r="E194" s="14" t="str">
        <x:v>Evidence required for RFP-B1 / AM-06 / TR-B</x:v>
      </x:c>
      <x:c r="F194" s="14" t="str">
        <x:v>OPEN</x:v>
      </x:c>
      <x:c r="G194" s="14" t="str"/>
      <x:c r="H194" s="14" t="str"/>
    </x:row>
    <x:row r="195" ht="18" customHeight="1">
      <x:c r="A195" s="14" t="str">
        <x:v>EG-QE02-C12-15</x:v>
      </x:c>
      <x:c r="B195" s="14" t="str">
        <x:v>QE02-C12</x:v>
      </x:c>
      <x:c r="C195" s="14" t="n">
        <x:v>15</x:v>
      </x:c>
      <x:c r="D195" s="14" t="str">
        <x:v>waste and decontamination route</x:v>
      </x:c>
      <x:c r="E195" s="14" t="str">
        <x:v>Evidence required for RFP-B1 / AM-06 / TR-B</x:v>
      </x:c>
      <x:c r="F195" s="14" t="str">
        <x:v>OPEN</x:v>
      </x:c>
      <x:c r="G195" s="14" t="str"/>
      <x:c r="H195" s="14" t="str"/>
    </x:row>
    <x:row r="196" ht="18" customHeight="1">
      <x:c r="A196" s="14" t="str">
        <x:v>EG-QE02-C12-16</x:v>
      </x:c>
      <x:c r="B196" s="14" t="str">
        <x:v>QE02-C12</x:v>
      </x:c>
      <x:c r="C196" s="14" t="n">
        <x:v>16</x:v>
      </x:c>
      <x:c r="D196" s="14" t="str">
        <x:v>evidence and replay capacity</x:v>
      </x:c>
      <x:c r="E196" s="14" t="str">
        <x:v>Evidence required for RFP-B1 / AM-06 / TR-B</x:v>
      </x:c>
      <x:c r="F196" s="14" t="str">
        <x:v>OPEN</x:v>
      </x:c>
      <x:c r="G196" s="14" t="str"/>
      <x:c r="H196" s="14" t="str"/>
    </x:row>
    <x:row r="197" ht="18" customHeight="1">
      <x:c r="A197" s="14" t="str">
        <x:v>EG-QE02-C13-01</x:v>
      </x:c>
      <x:c r="B197" s="14" t="str">
        <x:v>QE02-C13</x:v>
      </x:c>
      <x:c r="C197" s="14" t="n">
        <x:v>1</x:v>
      </x:c>
      <x:c r="D197" s="14" t="str">
        <x:v>RAZ-1 cell credit</x:v>
      </x:c>
      <x:c r="E197" s="14" t="str">
        <x:v>Evidence required for RFP-B2 / AM-05 / TR-A</x:v>
      </x:c>
      <x:c r="F197" s="14" t="str">
        <x:v>OPEN</x:v>
      </x:c>
      <x:c r="G197" s="14" t="str"/>
      <x:c r="H197" s="14" t="str"/>
    </x:row>
    <x:row r="198" ht="18" customHeight="1">
      <x:c r="A198" s="14" t="str">
        <x:v>EG-QE02-C13-02</x:v>
      </x:c>
      <x:c r="B198" s="14" t="str">
        <x:v>QE02-C13</x:v>
      </x:c>
      <x:c r="C198" s="14" t="n">
        <x:v>2</x:v>
      </x:c>
      <x:c r="D198" s="14" t="str">
        <x:v>current pair baseline</x:v>
      </x:c>
      <x:c r="E198" s="14" t="str">
        <x:v>Evidence required for RFP-B2 / AM-05 / TR-A</x:v>
      </x:c>
      <x:c r="F198" s="14" t="str">
        <x:v>OPEN</x:v>
      </x:c>
      <x:c r="G198" s="14" t="str"/>
      <x:c r="H198" s="14" t="str"/>
    </x:row>
    <x:row r="199" ht="18" customHeight="1">
      <x:c r="A199" s="14" t="str">
        <x:v>EG-QE02-C13-03</x:v>
      </x:c>
      <x:c r="B199" s="14" t="str">
        <x:v>QE02-C13</x:v>
      </x:c>
      <x:c r="C199" s="14" t="n">
        <x:v>3</x:v>
      </x:c>
      <x:c r="D199" s="14" t="str">
        <x:v>REA-100 insert and liner</x:v>
      </x:c>
      <x:c r="E199" s="14" t="str">
        <x:v>Evidence required for RFP-B2 / AM-05 / TR-A</x:v>
      </x:c>
      <x:c r="F199" s="14" t="str">
        <x:v>OPEN</x:v>
      </x:c>
      <x:c r="G199" s="14" t="str"/>
      <x:c r="H199" s="14" t="str"/>
    </x:row>
    <x:row r="200" ht="18" customHeight="1">
      <x:c r="A200" s="14" t="str">
        <x:v>EG-QE02-C13-04</x:v>
      </x:c>
      <x:c r="B200" s="14" t="str">
        <x:v>QE02-C13</x:v>
      </x:c>
      <x:c r="C200" s="14" t="n">
        <x:v>4</x:v>
      </x:c>
      <x:c r="D200" s="14" t="str">
        <x:v>containment and receivers</x:v>
      </x:c>
      <x:c r="E200" s="14" t="str">
        <x:v>Evidence required for RFP-B2 / AM-05 / TR-A</x:v>
      </x:c>
      <x:c r="F200" s="14" t="str">
        <x:v>OPEN</x:v>
      </x:c>
      <x:c r="G200" s="14" t="str"/>
      <x:c r="H200" s="14" t="str"/>
    </x:row>
    <x:row r="201" ht="18" customHeight="1">
      <x:c r="A201" s="14" t="str">
        <x:v>EG-QE02-C13-05</x:v>
      </x:c>
      <x:c r="B201" s="14" t="str">
        <x:v>QE02-C13</x:v>
      </x:c>
      <x:c r="C201" s="14" t="n">
        <x:v>5</x:v>
      </x:c>
      <x:c r="D201" s="14" t="str">
        <x:v>active source package</x:v>
      </x:c>
      <x:c r="E201" s="14" t="str">
        <x:v>Evidence required for RFP-B2 / AM-05 / TR-A</x:v>
      </x:c>
      <x:c r="F201" s="14" t="str">
        <x:v>OPEN</x:v>
      </x:c>
      <x:c r="G201" s="14" t="str"/>
      <x:c r="H201" s="14" t="str"/>
    </x:row>
    <x:row r="202" ht="18" customHeight="1">
      <x:c r="A202" s="14" t="str">
        <x:v>EG-QE02-C13-06</x:v>
      </x:c>
      <x:c r="B202" s="14" t="str">
        <x:v>QE02-C13</x:v>
      </x:c>
      <x:c r="C202" s="14" t="n">
        <x:v>6</x:v>
      </x:c>
      <x:c r="D202" s="14" t="str">
        <x:v>ten package characteristics</x:v>
      </x:c>
      <x:c r="E202" s="14" t="str">
        <x:v>Evidence required for RFP-B2 / AM-05 / TR-A</x:v>
      </x:c>
      <x:c r="F202" s="14" t="str">
        <x:v>OPEN</x:v>
      </x:c>
      <x:c r="G202" s="14" t="str"/>
      <x:c r="H202" s="14" t="str"/>
    </x:row>
    <x:row r="203" ht="18" customHeight="1">
      <x:c r="A203" s="14" t="str">
        <x:v>EG-QE02-C13-07</x:v>
      </x:c>
      <x:c r="B203" s="14" t="str">
        <x:v>QE02-C13</x:v>
      </x:c>
      <x:c r="C203" s="14" t="n">
        <x:v>7</x:v>
      </x:c>
      <x:c r="D203" s="14" t="str">
        <x:v>conditioning and aliquot split</x:v>
      </x:c>
      <x:c r="E203" s="14" t="str">
        <x:v>Evidence required for RFP-B2 / AM-05 / TR-A</x:v>
      </x:c>
      <x:c r="F203" s="14" t="str">
        <x:v>OPEN</x:v>
      </x:c>
      <x:c r="G203" s="14" t="str"/>
      <x:c r="H203" s="14" t="str"/>
    </x:row>
    <x:row r="204" ht="18" customHeight="1">
      <x:c r="A204" s="14" t="str">
        <x:v>EG-QE02-C13-08</x:v>
      </x:c>
      <x:c r="B204" s="14" t="str">
        <x:v>QE02-C13</x:v>
      </x:c>
      <x:c r="C204" s="14" t="n">
        <x:v>8</x:v>
      </x:c>
      <x:c r="D204" s="14" t="str">
        <x:v>unlike ancestry roots</x:v>
      </x:c>
      <x:c r="E204" s="14" t="str">
        <x:v>Evidence required for RFP-B2 / AM-05 / TR-A</x:v>
      </x:c>
      <x:c r="F204" s="14" t="str">
        <x:v>OPEN</x:v>
      </x:c>
      <x:c r="G204" s="14" t="str"/>
      <x:c r="H204" s="14" t="str"/>
    </x:row>
    <x:row r="205" ht="18" customHeight="1">
      <x:c r="A205" s="14" t="str">
        <x:v>EG-QE02-C13-09</x:v>
      </x:c>
      <x:c r="B205" s="14" t="str">
        <x:v>QE02-C13</x:v>
      </x:c>
      <x:c r="C205" s="14" t="n">
        <x:v>9</x:v>
      </x:c>
      <x:c r="D205" s="14" t="str">
        <x:v>twelve final elements</x:v>
      </x:c>
      <x:c r="E205" s="14" t="str">
        <x:v>Evidence required for RFP-B2 / AM-05 / TR-A</x:v>
      </x:c>
      <x:c r="F205" s="14" t="str">
        <x:v>OPEN</x:v>
      </x:c>
      <x:c r="G205" s="14" t="str"/>
      <x:c r="H205" s="14" t="str"/>
    </x:row>
    <x:row r="206" ht="18" customHeight="1">
      <x:c r="A206" s="14" t="str">
        <x:v>EG-QE02-C13-10</x:v>
      </x:c>
      <x:c r="B206" s="14" t="str">
        <x:v>QE02-C13</x:v>
      </x:c>
      <x:c r="C206" s="14" t="n">
        <x:v>10</x:v>
      </x:c>
      <x:c r="D206" s="14" t="str">
        <x:v>thirty-six safeing paths</x:v>
      </x:c>
      <x:c r="E206" s="14" t="str">
        <x:v>Evidence required for RFP-B2 / AM-05 / TR-A</x:v>
      </x:c>
      <x:c r="F206" s="14" t="str">
        <x:v>OPEN</x:v>
      </x:c>
      <x:c r="G206" s="14" t="str"/>
      <x:c r="H206" s="14" t="str"/>
    </x:row>
    <x:row r="207" ht="18" customHeight="1">
      <x:c r="A207" s="14" t="str">
        <x:v>EG-QE02-C13-11</x:v>
      </x:c>
      <x:c r="B207" s="14" t="str">
        <x:v>QE02-C13</x:v>
      </x:c>
      <x:c r="C207" s="14" t="n">
        <x:v>11</x:v>
      </x:c>
      <x:c r="D207" s="14" t="str">
        <x:v>120 m3 water package</x:v>
      </x:c>
      <x:c r="E207" s="14" t="str">
        <x:v>Evidence required for RFP-B2 / AM-05 / TR-A</x:v>
      </x:c>
      <x:c r="F207" s="14" t="str">
        <x:v>OPEN</x:v>
      </x:c>
      <x:c r="G207" s="14" t="str"/>
      <x:c r="H207" s="14" t="str"/>
    </x:row>
    <x:row r="208" ht="18" customHeight="1">
      <x:c r="A208" s="14" t="str">
        <x:v>EG-QE02-C13-12</x:v>
      </x:c>
      <x:c r="B208" s="14" t="str">
        <x:v>QE02-C13</x:v>
      </x:c>
      <x:c r="C208" s="14" t="n">
        <x:v>12</x:v>
      </x:c>
      <x:c r="D208" s="14" t="str">
        <x:v>thermal and environmental boundary</x:v>
      </x:c>
      <x:c r="E208" s="14" t="str">
        <x:v>Evidence required for RFP-B2 / AM-05 / TR-A</x:v>
      </x:c>
      <x:c r="F208" s="14" t="str">
        <x:v>OPEN</x:v>
      </x:c>
      <x:c r="G208" s="14" t="str"/>
      <x:c r="H208" s="14" t="str"/>
    </x:row>
    <x:row r="209" ht="18" customHeight="1">
      <x:c r="A209" s="14" t="str">
        <x:v>EG-QE02-C13-13</x:v>
      </x:c>
      <x:c r="B209" s="14" t="str">
        <x:v>QE02-C13</x:v>
      </x:c>
      <x:c r="C209" s="14" t="n">
        <x:v>13</x:v>
      </x:c>
      <x:c r="D209" s="14" t="str">
        <x:v>fifty-six-position crew</x:v>
      </x:c>
      <x:c r="E209" s="14" t="str">
        <x:v>Evidence required for RFP-B2 / AM-05 / TR-A</x:v>
      </x:c>
      <x:c r="F209" s="14" t="str">
        <x:v>OPEN</x:v>
      </x:c>
      <x:c r="G209" s="14" t="str"/>
      <x:c r="H209" s="14" t="str"/>
    </x:row>
    <x:row r="210" ht="18" customHeight="1">
      <x:c r="A210" s="14" t="str">
        <x:v>EG-QE02-C13-14</x:v>
      </x:c>
      <x:c r="B210" s="14" t="str">
        <x:v>QE02-C13</x:v>
      </x:c>
      <x:c r="C210" s="14" t="n">
        <x:v>14</x:v>
      </x:c>
      <x:c r="D210" s="14" t="str">
        <x:v>rescue and remote entry</x:v>
      </x:c>
      <x:c r="E210" s="14" t="str">
        <x:v>Evidence required for RFP-B2 / AM-05 / TR-A</x:v>
      </x:c>
      <x:c r="F210" s="14" t="str">
        <x:v>OPEN</x:v>
      </x:c>
      <x:c r="G210" s="14" t="str"/>
      <x:c r="H210" s="14" t="str"/>
    </x:row>
    <x:row r="211" ht="18" customHeight="1">
      <x:c r="A211" s="14" t="str">
        <x:v>EG-QE02-C13-15</x:v>
      </x:c>
      <x:c r="B211" s="14" t="str">
        <x:v>QE02-C13</x:v>
      </x:c>
      <x:c r="C211" s="14" t="n">
        <x:v>15</x:v>
      </x:c>
      <x:c r="D211" s="14" t="str">
        <x:v>waste and decontamination route</x:v>
      </x:c>
      <x:c r="E211" s="14" t="str">
        <x:v>Evidence required for RFP-B2 / AM-05 / TR-A</x:v>
      </x:c>
      <x:c r="F211" s="14" t="str">
        <x:v>OPEN</x:v>
      </x:c>
      <x:c r="G211" s="14" t="str"/>
      <x:c r="H211" s="14" t="str"/>
    </x:row>
    <x:row r="212" ht="18" customHeight="1">
      <x:c r="A212" s="14" t="str">
        <x:v>EG-QE02-C13-16</x:v>
      </x:c>
      <x:c r="B212" s="14" t="str">
        <x:v>QE02-C13</x:v>
      </x:c>
      <x:c r="C212" s="14" t="n">
        <x:v>16</x:v>
      </x:c>
      <x:c r="D212" s="14" t="str">
        <x:v>evidence and replay capacity</x:v>
      </x:c>
      <x:c r="E212" s="14" t="str">
        <x:v>Evidence required for RFP-B2 / AM-05 / TR-A</x:v>
      </x:c>
      <x:c r="F212" s="14" t="str">
        <x:v>OPEN</x:v>
      </x:c>
      <x:c r="G212" s="14" t="str"/>
      <x:c r="H212" s="14" t="str"/>
    </x:row>
    <x:row r="213" ht="18" customHeight="1">
      <x:c r="A213" s="14" t="str">
        <x:v>EG-QE02-C14-01</x:v>
      </x:c>
      <x:c r="B213" s="14" t="str">
        <x:v>QE02-C14</x:v>
      </x:c>
      <x:c r="C213" s="14" t="n">
        <x:v>1</x:v>
      </x:c>
      <x:c r="D213" s="14" t="str">
        <x:v>RAZ-1 cell credit</x:v>
      </x:c>
      <x:c r="E213" s="14" t="str">
        <x:v>Evidence required for RFP-B2 / AM-05 / TR-B</x:v>
      </x:c>
      <x:c r="F213" s="14" t="str">
        <x:v>OPEN</x:v>
      </x:c>
      <x:c r="G213" s="14" t="str"/>
      <x:c r="H213" s="14" t="str"/>
    </x:row>
    <x:row r="214" ht="18" customHeight="1">
      <x:c r="A214" s="14" t="str">
        <x:v>EG-QE02-C14-02</x:v>
      </x:c>
      <x:c r="B214" s="14" t="str">
        <x:v>QE02-C14</x:v>
      </x:c>
      <x:c r="C214" s="14" t="n">
        <x:v>2</x:v>
      </x:c>
      <x:c r="D214" s="14" t="str">
        <x:v>current pair baseline</x:v>
      </x:c>
      <x:c r="E214" s="14" t="str">
        <x:v>Evidence required for RFP-B2 / AM-05 / TR-B</x:v>
      </x:c>
      <x:c r="F214" s="14" t="str">
        <x:v>OPEN</x:v>
      </x:c>
      <x:c r="G214" s="14" t="str"/>
      <x:c r="H214" s="14" t="str"/>
    </x:row>
    <x:row r="215" ht="18" customHeight="1">
      <x:c r="A215" s="14" t="str">
        <x:v>EG-QE02-C14-03</x:v>
      </x:c>
      <x:c r="B215" s="14" t="str">
        <x:v>QE02-C14</x:v>
      </x:c>
      <x:c r="C215" s="14" t="n">
        <x:v>3</x:v>
      </x:c>
      <x:c r="D215" s="14" t="str">
        <x:v>REA-100 insert and liner</x:v>
      </x:c>
      <x:c r="E215" s="14" t="str">
        <x:v>Evidence required for RFP-B2 / AM-05 / TR-B</x:v>
      </x:c>
      <x:c r="F215" s="14" t="str">
        <x:v>OPEN</x:v>
      </x:c>
      <x:c r="G215" s="14" t="str"/>
      <x:c r="H215" s="14" t="str"/>
    </x:row>
    <x:row r="216" ht="18" customHeight="1">
      <x:c r="A216" s="14" t="str">
        <x:v>EG-QE02-C14-04</x:v>
      </x:c>
      <x:c r="B216" s="14" t="str">
        <x:v>QE02-C14</x:v>
      </x:c>
      <x:c r="C216" s="14" t="n">
        <x:v>4</x:v>
      </x:c>
      <x:c r="D216" s="14" t="str">
        <x:v>containment and receivers</x:v>
      </x:c>
      <x:c r="E216" s="14" t="str">
        <x:v>Evidence required for RFP-B2 / AM-05 / TR-B</x:v>
      </x:c>
      <x:c r="F216" s="14" t="str">
        <x:v>OPEN</x:v>
      </x:c>
      <x:c r="G216" s="14" t="str"/>
      <x:c r="H216" s="14" t="str"/>
    </x:row>
    <x:row r="217" ht="18" customHeight="1">
      <x:c r="A217" s="14" t="str">
        <x:v>EG-QE02-C14-05</x:v>
      </x:c>
      <x:c r="B217" s="14" t="str">
        <x:v>QE02-C14</x:v>
      </x:c>
      <x:c r="C217" s="14" t="n">
        <x:v>5</x:v>
      </x:c>
      <x:c r="D217" s="14" t="str">
        <x:v>active source package</x:v>
      </x:c>
      <x:c r="E217" s="14" t="str">
        <x:v>Evidence required for RFP-B2 / AM-05 / TR-B</x:v>
      </x:c>
      <x:c r="F217" s="14" t="str">
        <x:v>OPEN</x:v>
      </x:c>
      <x:c r="G217" s="14" t="str"/>
      <x:c r="H217" s="14" t="str"/>
    </x:row>
    <x:row r="218" ht="18" customHeight="1">
      <x:c r="A218" s="14" t="str">
        <x:v>EG-QE02-C14-06</x:v>
      </x:c>
      <x:c r="B218" s="14" t="str">
        <x:v>QE02-C14</x:v>
      </x:c>
      <x:c r="C218" s="14" t="n">
        <x:v>6</x:v>
      </x:c>
      <x:c r="D218" s="14" t="str">
        <x:v>ten package characteristics</x:v>
      </x:c>
      <x:c r="E218" s="14" t="str">
        <x:v>Evidence required for RFP-B2 / AM-05 / TR-B</x:v>
      </x:c>
      <x:c r="F218" s="14" t="str">
        <x:v>OPEN</x:v>
      </x:c>
      <x:c r="G218" s="14" t="str"/>
      <x:c r="H218" s="14" t="str"/>
    </x:row>
    <x:row r="219" ht="18" customHeight="1">
      <x:c r="A219" s="14" t="str">
        <x:v>EG-QE02-C14-07</x:v>
      </x:c>
      <x:c r="B219" s="14" t="str">
        <x:v>QE02-C14</x:v>
      </x:c>
      <x:c r="C219" s="14" t="n">
        <x:v>7</x:v>
      </x:c>
      <x:c r="D219" s="14" t="str">
        <x:v>conditioning and aliquot split</x:v>
      </x:c>
      <x:c r="E219" s="14" t="str">
        <x:v>Evidence required for RFP-B2 / AM-05 / TR-B</x:v>
      </x:c>
      <x:c r="F219" s="14" t="str">
        <x:v>OPEN</x:v>
      </x:c>
      <x:c r="G219" s="14" t="str"/>
      <x:c r="H219" s="14" t="str"/>
    </x:row>
    <x:row r="220" ht="18" customHeight="1">
      <x:c r="A220" s="14" t="str">
        <x:v>EG-QE02-C14-08</x:v>
      </x:c>
      <x:c r="B220" s="14" t="str">
        <x:v>QE02-C14</x:v>
      </x:c>
      <x:c r="C220" s="14" t="n">
        <x:v>8</x:v>
      </x:c>
      <x:c r="D220" s="14" t="str">
        <x:v>unlike ancestry roots</x:v>
      </x:c>
      <x:c r="E220" s="14" t="str">
        <x:v>Evidence required for RFP-B2 / AM-05 / TR-B</x:v>
      </x:c>
      <x:c r="F220" s="14" t="str">
        <x:v>OPEN</x:v>
      </x:c>
      <x:c r="G220" s="14" t="str"/>
      <x:c r="H220" s="14" t="str"/>
    </x:row>
    <x:row r="221" ht="18" customHeight="1">
      <x:c r="A221" s="14" t="str">
        <x:v>EG-QE02-C14-09</x:v>
      </x:c>
      <x:c r="B221" s="14" t="str">
        <x:v>QE02-C14</x:v>
      </x:c>
      <x:c r="C221" s="14" t="n">
        <x:v>9</x:v>
      </x:c>
      <x:c r="D221" s="14" t="str">
        <x:v>twelve final elements</x:v>
      </x:c>
      <x:c r="E221" s="14" t="str">
        <x:v>Evidence required for RFP-B2 / AM-05 / TR-B</x:v>
      </x:c>
      <x:c r="F221" s="14" t="str">
        <x:v>OPEN</x:v>
      </x:c>
      <x:c r="G221" s="14" t="str"/>
      <x:c r="H221" s="14" t="str"/>
    </x:row>
    <x:row r="222" ht="18" customHeight="1">
      <x:c r="A222" s="14" t="str">
        <x:v>EG-QE02-C14-10</x:v>
      </x:c>
      <x:c r="B222" s="14" t="str">
        <x:v>QE02-C14</x:v>
      </x:c>
      <x:c r="C222" s="14" t="n">
        <x:v>10</x:v>
      </x:c>
      <x:c r="D222" s="14" t="str">
        <x:v>thirty-six safeing paths</x:v>
      </x:c>
      <x:c r="E222" s="14" t="str">
        <x:v>Evidence required for RFP-B2 / AM-05 / TR-B</x:v>
      </x:c>
      <x:c r="F222" s="14" t="str">
        <x:v>OPEN</x:v>
      </x:c>
      <x:c r="G222" s="14" t="str"/>
      <x:c r="H222" s="14" t="str"/>
    </x:row>
    <x:row r="223" ht="18" customHeight="1">
      <x:c r="A223" s="14" t="str">
        <x:v>EG-QE02-C14-11</x:v>
      </x:c>
      <x:c r="B223" s="14" t="str">
        <x:v>QE02-C14</x:v>
      </x:c>
      <x:c r="C223" s="14" t="n">
        <x:v>11</x:v>
      </x:c>
      <x:c r="D223" s="14" t="str">
        <x:v>120 m3 water package</x:v>
      </x:c>
      <x:c r="E223" s="14" t="str">
        <x:v>Evidence required for RFP-B2 / AM-05 / TR-B</x:v>
      </x:c>
      <x:c r="F223" s="14" t="str">
        <x:v>OPEN</x:v>
      </x:c>
      <x:c r="G223" s="14" t="str"/>
      <x:c r="H223" s="14" t="str"/>
    </x:row>
    <x:row r="224" ht="18" customHeight="1">
      <x:c r="A224" s="14" t="str">
        <x:v>EG-QE02-C14-12</x:v>
      </x:c>
      <x:c r="B224" s="14" t="str">
        <x:v>QE02-C14</x:v>
      </x:c>
      <x:c r="C224" s="14" t="n">
        <x:v>12</x:v>
      </x:c>
      <x:c r="D224" s="14" t="str">
        <x:v>thermal and environmental boundary</x:v>
      </x:c>
      <x:c r="E224" s="14" t="str">
        <x:v>Evidence required for RFP-B2 / AM-05 / TR-B</x:v>
      </x:c>
      <x:c r="F224" s="14" t="str">
        <x:v>OPEN</x:v>
      </x:c>
      <x:c r="G224" s="14" t="str"/>
      <x:c r="H224" s="14" t="str"/>
    </x:row>
    <x:row r="225" ht="18" customHeight="1">
      <x:c r="A225" s="14" t="str">
        <x:v>EG-QE02-C14-13</x:v>
      </x:c>
      <x:c r="B225" s="14" t="str">
        <x:v>QE02-C14</x:v>
      </x:c>
      <x:c r="C225" s="14" t="n">
        <x:v>13</x:v>
      </x:c>
      <x:c r="D225" s="14" t="str">
        <x:v>fifty-six-position crew</x:v>
      </x:c>
      <x:c r="E225" s="14" t="str">
        <x:v>Evidence required for RFP-B2 / AM-05 / TR-B</x:v>
      </x:c>
      <x:c r="F225" s="14" t="str">
        <x:v>OPEN</x:v>
      </x:c>
      <x:c r="G225" s="14" t="str"/>
      <x:c r="H225" s="14" t="str"/>
    </x:row>
    <x:row r="226" ht="18" customHeight="1">
      <x:c r="A226" s="14" t="str">
        <x:v>EG-QE02-C14-14</x:v>
      </x:c>
      <x:c r="B226" s="14" t="str">
        <x:v>QE02-C14</x:v>
      </x:c>
      <x:c r="C226" s="14" t="n">
        <x:v>14</x:v>
      </x:c>
      <x:c r="D226" s="14" t="str">
        <x:v>rescue and remote entry</x:v>
      </x:c>
      <x:c r="E226" s="14" t="str">
        <x:v>Evidence required for RFP-B2 / AM-05 / TR-B</x:v>
      </x:c>
      <x:c r="F226" s="14" t="str">
        <x:v>OPEN</x:v>
      </x:c>
      <x:c r="G226" s="14" t="str"/>
      <x:c r="H226" s="14" t="str"/>
    </x:row>
    <x:row r="227" ht="18" customHeight="1">
      <x:c r="A227" s="14" t="str">
        <x:v>EG-QE02-C14-15</x:v>
      </x:c>
      <x:c r="B227" s="14" t="str">
        <x:v>QE02-C14</x:v>
      </x:c>
      <x:c r="C227" s="14" t="n">
        <x:v>15</x:v>
      </x:c>
      <x:c r="D227" s="14" t="str">
        <x:v>waste and decontamination route</x:v>
      </x:c>
      <x:c r="E227" s="14" t="str">
        <x:v>Evidence required for RFP-B2 / AM-05 / TR-B</x:v>
      </x:c>
      <x:c r="F227" s="14" t="str">
        <x:v>OPEN</x:v>
      </x:c>
      <x:c r="G227" s="14" t="str"/>
      <x:c r="H227" s="14" t="str"/>
    </x:row>
    <x:row r="228" ht="18" customHeight="1">
      <x:c r="A228" s="14" t="str">
        <x:v>EG-QE02-C14-16</x:v>
      </x:c>
      <x:c r="B228" s="14" t="str">
        <x:v>QE02-C14</x:v>
      </x:c>
      <x:c r="C228" s="14" t="n">
        <x:v>16</x:v>
      </x:c>
      <x:c r="D228" s="14" t="str">
        <x:v>evidence and replay capacity</x:v>
      </x:c>
      <x:c r="E228" s="14" t="str">
        <x:v>Evidence required for RFP-B2 / AM-05 / TR-B</x:v>
      </x:c>
      <x:c r="F228" s="14" t="str">
        <x:v>OPEN</x:v>
      </x:c>
      <x:c r="G228" s="14" t="str"/>
      <x:c r="H228" s="14" t="str"/>
    </x:row>
    <x:row r="229" ht="18" customHeight="1">
      <x:c r="A229" s="14" t="str">
        <x:v>EG-QE02-C15-01</x:v>
      </x:c>
      <x:c r="B229" s="14" t="str">
        <x:v>QE02-C15</x:v>
      </x:c>
      <x:c r="C229" s="14" t="n">
        <x:v>1</x:v>
      </x:c>
      <x:c r="D229" s="14" t="str">
        <x:v>RAZ-1 cell credit</x:v>
      </x:c>
      <x:c r="E229" s="14" t="str">
        <x:v>Evidence required for RFP-B2 / AM-06 / TR-A</x:v>
      </x:c>
      <x:c r="F229" s="14" t="str">
        <x:v>OPEN</x:v>
      </x:c>
      <x:c r="G229" s="14" t="str"/>
      <x:c r="H229" s="14" t="str"/>
    </x:row>
    <x:row r="230" ht="18" customHeight="1">
      <x:c r="A230" s="14" t="str">
        <x:v>EG-QE02-C15-02</x:v>
      </x:c>
      <x:c r="B230" s="14" t="str">
        <x:v>QE02-C15</x:v>
      </x:c>
      <x:c r="C230" s="14" t="n">
        <x:v>2</x:v>
      </x:c>
      <x:c r="D230" s="14" t="str">
        <x:v>current pair baseline</x:v>
      </x:c>
      <x:c r="E230" s="14" t="str">
        <x:v>Evidence required for RFP-B2 / AM-06 / TR-A</x:v>
      </x:c>
      <x:c r="F230" s="14" t="str">
        <x:v>OPEN</x:v>
      </x:c>
      <x:c r="G230" s="14" t="str"/>
      <x:c r="H230" s="14" t="str"/>
    </x:row>
    <x:row r="231" ht="18" customHeight="1">
      <x:c r="A231" s="14" t="str">
        <x:v>EG-QE02-C15-03</x:v>
      </x:c>
      <x:c r="B231" s="14" t="str">
        <x:v>QE02-C15</x:v>
      </x:c>
      <x:c r="C231" s="14" t="n">
        <x:v>3</x:v>
      </x:c>
      <x:c r="D231" s="14" t="str">
        <x:v>REA-100 insert and liner</x:v>
      </x:c>
      <x:c r="E231" s="14" t="str">
        <x:v>Evidence required for RFP-B2 / AM-06 / TR-A</x:v>
      </x:c>
      <x:c r="F231" s="14" t="str">
        <x:v>OPEN</x:v>
      </x:c>
      <x:c r="G231" s="14" t="str"/>
      <x:c r="H231" s="14" t="str"/>
    </x:row>
    <x:row r="232" ht="18" customHeight="1">
      <x:c r="A232" s="14" t="str">
        <x:v>EG-QE02-C15-04</x:v>
      </x:c>
      <x:c r="B232" s="14" t="str">
        <x:v>QE02-C15</x:v>
      </x:c>
      <x:c r="C232" s="14" t="n">
        <x:v>4</x:v>
      </x:c>
      <x:c r="D232" s="14" t="str">
        <x:v>containment and receivers</x:v>
      </x:c>
      <x:c r="E232" s="14" t="str">
        <x:v>Evidence required for RFP-B2 / AM-06 / TR-A</x:v>
      </x:c>
      <x:c r="F232" s="14" t="str">
        <x:v>OPEN</x:v>
      </x:c>
      <x:c r="G232" s="14" t="str"/>
      <x:c r="H232" s="14" t="str"/>
    </x:row>
    <x:row r="233" ht="18" customHeight="1">
      <x:c r="A233" s="14" t="str">
        <x:v>EG-QE02-C15-05</x:v>
      </x:c>
      <x:c r="B233" s="14" t="str">
        <x:v>QE02-C15</x:v>
      </x:c>
      <x:c r="C233" s="14" t="n">
        <x:v>5</x:v>
      </x:c>
      <x:c r="D233" s="14" t="str">
        <x:v>active source package</x:v>
      </x:c>
      <x:c r="E233" s="14" t="str">
        <x:v>Evidence required for RFP-B2 / AM-06 / TR-A</x:v>
      </x:c>
      <x:c r="F233" s="14" t="str">
        <x:v>OPEN</x:v>
      </x:c>
      <x:c r="G233" s="14" t="str"/>
      <x:c r="H233" s="14" t="str"/>
    </x:row>
    <x:row r="234" ht="18" customHeight="1">
      <x:c r="A234" s="14" t="str">
        <x:v>EG-QE02-C15-06</x:v>
      </x:c>
      <x:c r="B234" s="14" t="str">
        <x:v>QE02-C15</x:v>
      </x:c>
      <x:c r="C234" s="14" t="n">
        <x:v>6</x:v>
      </x:c>
      <x:c r="D234" s="14" t="str">
        <x:v>ten package characteristics</x:v>
      </x:c>
      <x:c r="E234" s="14" t="str">
        <x:v>Evidence required for RFP-B2 / AM-06 / TR-A</x:v>
      </x:c>
      <x:c r="F234" s="14" t="str">
        <x:v>OPEN</x:v>
      </x:c>
      <x:c r="G234" s="14" t="str"/>
      <x:c r="H234" s="14" t="str"/>
    </x:row>
    <x:row r="235" ht="18" customHeight="1">
      <x:c r="A235" s="14" t="str">
        <x:v>EG-QE02-C15-07</x:v>
      </x:c>
      <x:c r="B235" s="14" t="str">
        <x:v>QE02-C15</x:v>
      </x:c>
      <x:c r="C235" s="14" t="n">
        <x:v>7</x:v>
      </x:c>
      <x:c r="D235" s="14" t="str">
        <x:v>conditioning and aliquot split</x:v>
      </x:c>
      <x:c r="E235" s="14" t="str">
        <x:v>Evidence required for RFP-B2 / AM-06 / TR-A</x:v>
      </x:c>
      <x:c r="F235" s="14" t="str">
        <x:v>OPEN</x:v>
      </x:c>
      <x:c r="G235" s="14" t="str"/>
      <x:c r="H235" s="14" t="str"/>
    </x:row>
    <x:row r="236" ht="18" customHeight="1">
      <x:c r="A236" s="14" t="str">
        <x:v>EG-QE02-C15-08</x:v>
      </x:c>
      <x:c r="B236" s="14" t="str">
        <x:v>QE02-C15</x:v>
      </x:c>
      <x:c r="C236" s="14" t="n">
        <x:v>8</x:v>
      </x:c>
      <x:c r="D236" s="14" t="str">
        <x:v>unlike ancestry roots</x:v>
      </x:c>
      <x:c r="E236" s="14" t="str">
        <x:v>Evidence required for RFP-B2 / AM-06 / TR-A</x:v>
      </x:c>
      <x:c r="F236" s="14" t="str">
        <x:v>OPEN</x:v>
      </x:c>
      <x:c r="G236" s="14" t="str"/>
      <x:c r="H236" s="14" t="str"/>
    </x:row>
    <x:row r="237" ht="18" customHeight="1">
      <x:c r="A237" s="14" t="str">
        <x:v>EG-QE02-C15-09</x:v>
      </x:c>
      <x:c r="B237" s="14" t="str">
        <x:v>QE02-C15</x:v>
      </x:c>
      <x:c r="C237" s="14" t="n">
        <x:v>9</x:v>
      </x:c>
      <x:c r="D237" s="14" t="str">
        <x:v>twelve final elements</x:v>
      </x:c>
      <x:c r="E237" s="14" t="str">
        <x:v>Evidence required for RFP-B2 / AM-06 / TR-A</x:v>
      </x:c>
      <x:c r="F237" s="14" t="str">
        <x:v>OPEN</x:v>
      </x:c>
      <x:c r="G237" s="14" t="str"/>
      <x:c r="H237" s="14" t="str"/>
    </x:row>
    <x:row r="238" ht="18" customHeight="1">
      <x:c r="A238" s="14" t="str">
        <x:v>EG-QE02-C15-10</x:v>
      </x:c>
      <x:c r="B238" s="14" t="str">
        <x:v>QE02-C15</x:v>
      </x:c>
      <x:c r="C238" s="14" t="n">
        <x:v>10</x:v>
      </x:c>
      <x:c r="D238" s="14" t="str">
        <x:v>thirty-six safeing paths</x:v>
      </x:c>
      <x:c r="E238" s="14" t="str">
        <x:v>Evidence required for RFP-B2 / AM-06 / TR-A</x:v>
      </x:c>
      <x:c r="F238" s="14" t="str">
        <x:v>OPEN</x:v>
      </x:c>
      <x:c r="G238" s="14" t="str"/>
      <x:c r="H238" s="14" t="str"/>
    </x:row>
    <x:row r="239" ht="18" customHeight="1">
      <x:c r="A239" s="14" t="str">
        <x:v>EG-QE02-C15-11</x:v>
      </x:c>
      <x:c r="B239" s="14" t="str">
        <x:v>QE02-C15</x:v>
      </x:c>
      <x:c r="C239" s="14" t="n">
        <x:v>11</x:v>
      </x:c>
      <x:c r="D239" s="14" t="str">
        <x:v>120 m3 water package</x:v>
      </x:c>
      <x:c r="E239" s="14" t="str">
        <x:v>Evidence required for RFP-B2 / AM-06 / TR-A</x:v>
      </x:c>
      <x:c r="F239" s="14" t="str">
        <x:v>OPEN</x:v>
      </x:c>
      <x:c r="G239" s="14" t="str"/>
      <x:c r="H239" s="14" t="str"/>
    </x:row>
    <x:row r="240" ht="18" customHeight="1">
      <x:c r="A240" s="14" t="str">
        <x:v>EG-QE02-C15-12</x:v>
      </x:c>
      <x:c r="B240" s="14" t="str">
        <x:v>QE02-C15</x:v>
      </x:c>
      <x:c r="C240" s="14" t="n">
        <x:v>12</x:v>
      </x:c>
      <x:c r="D240" s="14" t="str">
        <x:v>thermal and environmental boundary</x:v>
      </x:c>
      <x:c r="E240" s="14" t="str">
        <x:v>Evidence required for RFP-B2 / AM-06 / TR-A</x:v>
      </x:c>
      <x:c r="F240" s="14" t="str">
        <x:v>OPEN</x:v>
      </x:c>
      <x:c r="G240" s="14" t="str"/>
      <x:c r="H240" s="14" t="str"/>
    </x:row>
    <x:row r="241" ht="18" customHeight="1">
      <x:c r="A241" s="14" t="str">
        <x:v>EG-QE02-C15-13</x:v>
      </x:c>
      <x:c r="B241" s="14" t="str">
        <x:v>QE02-C15</x:v>
      </x:c>
      <x:c r="C241" s="14" t="n">
        <x:v>13</x:v>
      </x:c>
      <x:c r="D241" s="14" t="str">
        <x:v>fifty-six-position crew</x:v>
      </x:c>
      <x:c r="E241" s="14" t="str">
        <x:v>Evidence required for RFP-B2 / AM-06 / TR-A</x:v>
      </x:c>
      <x:c r="F241" s="14" t="str">
        <x:v>OPEN</x:v>
      </x:c>
      <x:c r="G241" s="14" t="str"/>
      <x:c r="H241" s="14" t="str"/>
    </x:row>
    <x:row r="242" ht="18" customHeight="1">
      <x:c r="A242" s="14" t="str">
        <x:v>EG-QE02-C15-14</x:v>
      </x:c>
      <x:c r="B242" s="14" t="str">
        <x:v>QE02-C15</x:v>
      </x:c>
      <x:c r="C242" s="14" t="n">
        <x:v>14</x:v>
      </x:c>
      <x:c r="D242" s="14" t="str">
        <x:v>rescue and remote entry</x:v>
      </x:c>
      <x:c r="E242" s="14" t="str">
        <x:v>Evidence required for RFP-B2 / AM-06 / TR-A</x:v>
      </x:c>
      <x:c r="F242" s="14" t="str">
        <x:v>OPEN</x:v>
      </x:c>
      <x:c r="G242" s="14" t="str"/>
      <x:c r="H242" s="14" t="str"/>
    </x:row>
    <x:row r="243" ht="18" customHeight="1">
      <x:c r="A243" s="14" t="str">
        <x:v>EG-QE02-C15-15</x:v>
      </x:c>
      <x:c r="B243" s="14" t="str">
        <x:v>QE02-C15</x:v>
      </x:c>
      <x:c r="C243" s="14" t="n">
        <x:v>15</x:v>
      </x:c>
      <x:c r="D243" s="14" t="str">
        <x:v>waste and decontamination route</x:v>
      </x:c>
      <x:c r="E243" s="14" t="str">
        <x:v>Evidence required for RFP-B2 / AM-06 / TR-A</x:v>
      </x:c>
      <x:c r="F243" s="14" t="str">
        <x:v>OPEN</x:v>
      </x:c>
      <x:c r="G243" s="14" t="str"/>
      <x:c r="H243" s="14" t="str"/>
    </x:row>
    <x:row r="244" ht="18" customHeight="1">
      <x:c r="A244" s="14" t="str">
        <x:v>EG-QE02-C15-16</x:v>
      </x:c>
      <x:c r="B244" s="14" t="str">
        <x:v>QE02-C15</x:v>
      </x:c>
      <x:c r="C244" s="14" t="n">
        <x:v>16</x:v>
      </x:c>
      <x:c r="D244" s="14" t="str">
        <x:v>evidence and replay capacity</x:v>
      </x:c>
      <x:c r="E244" s="14" t="str">
        <x:v>Evidence required for RFP-B2 / AM-06 / TR-A</x:v>
      </x:c>
      <x:c r="F244" s="14" t="str">
        <x:v>OPEN</x:v>
      </x:c>
      <x:c r="G244" s="14" t="str"/>
      <x:c r="H244" s="14" t="str"/>
    </x:row>
    <x:row r="245" ht="18" customHeight="1">
      <x:c r="A245" s="14" t="str">
        <x:v>EG-QE02-C16-01</x:v>
      </x:c>
      <x:c r="B245" s="14" t="str">
        <x:v>QE02-C16</x:v>
      </x:c>
      <x:c r="C245" s="14" t="n">
        <x:v>1</x:v>
      </x:c>
      <x:c r="D245" s="14" t="str">
        <x:v>RAZ-1 cell credit</x:v>
      </x:c>
      <x:c r="E245" s="14" t="str">
        <x:v>Evidence required for RFP-B2 / AM-06 / TR-B</x:v>
      </x:c>
      <x:c r="F245" s="14" t="str">
        <x:v>OPEN</x:v>
      </x:c>
      <x:c r="G245" s="14" t="str"/>
      <x:c r="H245" s="14" t="str"/>
    </x:row>
    <x:row r="246" ht="18" customHeight="1">
      <x:c r="A246" s="14" t="str">
        <x:v>EG-QE02-C16-02</x:v>
      </x:c>
      <x:c r="B246" s="14" t="str">
        <x:v>QE02-C16</x:v>
      </x:c>
      <x:c r="C246" s="14" t="n">
        <x:v>2</x:v>
      </x:c>
      <x:c r="D246" s="14" t="str">
        <x:v>current pair baseline</x:v>
      </x:c>
      <x:c r="E246" s="14" t="str">
        <x:v>Evidence required for RFP-B2 / AM-06 / TR-B</x:v>
      </x:c>
      <x:c r="F246" s="14" t="str">
        <x:v>OPEN</x:v>
      </x:c>
      <x:c r="G246" s="14" t="str"/>
      <x:c r="H246" s="14" t="str"/>
    </x:row>
    <x:row r="247" ht="18" customHeight="1">
      <x:c r="A247" s="14" t="str">
        <x:v>EG-QE02-C16-03</x:v>
      </x:c>
      <x:c r="B247" s="14" t="str">
        <x:v>QE02-C16</x:v>
      </x:c>
      <x:c r="C247" s="14" t="n">
        <x:v>3</x:v>
      </x:c>
      <x:c r="D247" s="14" t="str">
        <x:v>REA-100 insert and liner</x:v>
      </x:c>
      <x:c r="E247" s="14" t="str">
        <x:v>Evidence required for RFP-B2 / AM-06 / TR-B</x:v>
      </x:c>
      <x:c r="F247" s="14" t="str">
        <x:v>OPEN</x:v>
      </x:c>
      <x:c r="G247" s="14" t="str"/>
      <x:c r="H247" s="14" t="str"/>
    </x:row>
    <x:row r="248" ht="18" customHeight="1">
      <x:c r="A248" s="14" t="str">
        <x:v>EG-QE02-C16-04</x:v>
      </x:c>
      <x:c r="B248" s="14" t="str">
        <x:v>QE02-C16</x:v>
      </x:c>
      <x:c r="C248" s="14" t="n">
        <x:v>4</x:v>
      </x:c>
      <x:c r="D248" s="14" t="str">
        <x:v>containment and receivers</x:v>
      </x:c>
      <x:c r="E248" s="14" t="str">
        <x:v>Evidence required for RFP-B2 / AM-06 / TR-B</x:v>
      </x:c>
      <x:c r="F248" s="14" t="str">
        <x:v>OPEN</x:v>
      </x:c>
      <x:c r="G248" s="14" t="str"/>
      <x:c r="H248" s="14" t="str"/>
    </x:row>
    <x:row r="249" ht="18" customHeight="1">
      <x:c r="A249" s="14" t="str">
        <x:v>EG-QE02-C16-05</x:v>
      </x:c>
      <x:c r="B249" s="14" t="str">
        <x:v>QE02-C16</x:v>
      </x:c>
      <x:c r="C249" s="14" t="n">
        <x:v>5</x:v>
      </x:c>
      <x:c r="D249" s="14" t="str">
        <x:v>active source package</x:v>
      </x:c>
      <x:c r="E249" s="14" t="str">
        <x:v>Evidence required for RFP-B2 / AM-06 / TR-B</x:v>
      </x:c>
      <x:c r="F249" s="14" t="str">
        <x:v>OPEN</x:v>
      </x:c>
      <x:c r="G249" s="14" t="str"/>
      <x:c r="H249" s="14" t="str"/>
    </x:row>
    <x:row r="250" ht="18" customHeight="1">
      <x:c r="A250" s="14" t="str">
        <x:v>EG-QE02-C16-06</x:v>
      </x:c>
      <x:c r="B250" s="14" t="str">
        <x:v>QE02-C16</x:v>
      </x:c>
      <x:c r="C250" s="14" t="n">
        <x:v>6</x:v>
      </x:c>
      <x:c r="D250" s="14" t="str">
        <x:v>ten package characteristics</x:v>
      </x:c>
      <x:c r="E250" s="14" t="str">
        <x:v>Evidence required for RFP-B2 / AM-06 / TR-B</x:v>
      </x:c>
      <x:c r="F250" s="14" t="str">
        <x:v>OPEN</x:v>
      </x:c>
      <x:c r="G250" s="14" t="str"/>
      <x:c r="H250" s="14" t="str"/>
    </x:row>
    <x:row r="251" ht="18" customHeight="1">
      <x:c r="A251" s="14" t="str">
        <x:v>EG-QE02-C16-07</x:v>
      </x:c>
      <x:c r="B251" s="14" t="str">
        <x:v>QE02-C16</x:v>
      </x:c>
      <x:c r="C251" s="14" t="n">
        <x:v>7</x:v>
      </x:c>
      <x:c r="D251" s="14" t="str">
        <x:v>conditioning and aliquot split</x:v>
      </x:c>
      <x:c r="E251" s="14" t="str">
        <x:v>Evidence required for RFP-B2 / AM-06 / TR-B</x:v>
      </x:c>
      <x:c r="F251" s="14" t="str">
        <x:v>OPEN</x:v>
      </x:c>
      <x:c r="G251" s="14" t="str"/>
      <x:c r="H251" s="14" t="str"/>
    </x:row>
    <x:row r="252" ht="18" customHeight="1">
      <x:c r="A252" s="14" t="str">
        <x:v>EG-QE02-C16-08</x:v>
      </x:c>
      <x:c r="B252" s="14" t="str">
        <x:v>QE02-C16</x:v>
      </x:c>
      <x:c r="C252" s="14" t="n">
        <x:v>8</x:v>
      </x:c>
      <x:c r="D252" s="14" t="str">
        <x:v>unlike ancestry roots</x:v>
      </x:c>
      <x:c r="E252" s="14" t="str">
        <x:v>Evidence required for RFP-B2 / AM-06 / TR-B</x:v>
      </x:c>
      <x:c r="F252" s="14" t="str">
        <x:v>OPEN</x:v>
      </x:c>
      <x:c r="G252" s="14" t="str"/>
      <x:c r="H252" s="14" t="str"/>
    </x:row>
    <x:row r="253" ht="18" customHeight="1">
      <x:c r="A253" s="14" t="str">
        <x:v>EG-QE02-C16-09</x:v>
      </x:c>
      <x:c r="B253" s="14" t="str">
        <x:v>QE02-C16</x:v>
      </x:c>
      <x:c r="C253" s="14" t="n">
        <x:v>9</x:v>
      </x:c>
      <x:c r="D253" s="14" t="str">
        <x:v>twelve final elements</x:v>
      </x:c>
      <x:c r="E253" s="14" t="str">
        <x:v>Evidence required for RFP-B2 / AM-06 / TR-B</x:v>
      </x:c>
      <x:c r="F253" s="14" t="str">
        <x:v>OPEN</x:v>
      </x:c>
      <x:c r="G253" s="14" t="str"/>
      <x:c r="H253" s="14" t="str"/>
    </x:row>
    <x:row r="254" ht="18" customHeight="1">
      <x:c r="A254" s="14" t="str">
        <x:v>EG-QE02-C16-10</x:v>
      </x:c>
      <x:c r="B254" s="14" t="str">
        <x:v>QE02-C16</x:v>
      </x:c>
      <x:c r="C254" s="14" t="n">
        <x:v>10</x:v>
      </x:c>
      <x:c r="D254" s="14" t="str">
        <x:v>thirty-six safeing paths</x:v>
      </x:c>
      <x:c r="E254" s="14" t="str">
        <x:v>Evidence required for RFP-B2 / AM-06 / TR-B</x:v>
      </x:c>
      <x:c r="F254" s="14" t="str">
        <x:v>OPEN</x:v>
      </x:c>
      <x:c r="G254" s="14" t="str"/>
      <x:c r="H254" s="14" t="str"/>
    </x:row>
    <x:row r="255" ht="18" customHeight="1">
      <x:c r="A255" s="14" t="str">
        <x:v>EG-QE02-C16-11</x:v>
      </x:c>
      <x:c r="B255" s="14" t="str">
        <x:v>QE02-C16</x:v>
      </x:c>
      <x:c r="C255" s="14" t="n">
        <x:v>11</x:v>
      </x:c>
      <x:c r="D255" s="14" t="str">
        <x:v>120 m3 water package</x:v>
      </x:c>
      <x:c r="E255" s="14" t="str">
        <x:v>Evidence required for RFP-B2 / AM-06 / TR-B</x:v>
      </x:c>
      <x:c r="F255" s="14" t="str">
        <x:v>OPEN</x:v>
      </x:c>
      <x:c r="G255" s="14" t="str"/>
      <x:c r="H255" s="14" t="str"/>
    </x:row>
    <x:row r="256" ht="18" customHeight="1">
      <x:c r="A256" s="14" t="str">
        <x:v>EG-QE02-C16-12</x:v>
      </x:c>
      <x:c r="B256" s="14" t="str">
        <x:v>QE02-C16</x:v>
      </x:c>
      <x:c r="C256" s="14" t="n">
        <x:v>12</x:v>
      </x:c>
      <x:c r="D256" s="14" t="str">
        <x:v>thermal and environmental boundary</x:v>
      </x:c>
      <x:c r="E256" s="14" t="str">
        <x:v>Evidence required for RFP-B2 / AM-06 / TR-B</x:v>
      </x:c>
      <x:c r="F256" s="14" t="str">
        <x:v>OPEN</x:v>
      </x:c>
      <x:c r="G256" s="14" t="str"/>
      <x:c r="H256" s="14" t="str"/>
    </x:row>
    <x:row r="257" ht="18" customHeight="1">
      <x:c r="A257" s="14" t="str">
        <x:v>EG-QE02-C16-13</x:v>
      </x:c>
      <x:c r="B257" s="14" t="str">
        <x:v>QE02-C16</x:v>
      </x:c>
      <x:c r="C257" s="14" t="n">
        <x:v>13</x:v>
      </x:c>
      <x:c r="D257" s="14" t="str">
        <x:v>fifty-six-position crew</x:v>
      </x:c>
      <x:c r="E257" s="14" t="str">
        <x:v>Evidence required for RFP-B2 / AM-06 / TR-B</x:v>
      </x:c>
      <x:c r="F257" s="14" t="str">
        <x:v>OPEN</x:v>
      </x:c>
      <x:c r="G257" s="14" t="str"/>
      <x:c r="H257" s="14" t="str"/>
    </x:row>
    <x:row r="258" ht="18" customHeight="1">
      <x:c r="A258" s="14" t="str">
        <x:v>EG-QE02-C16-14</x:v>
      </x:c>
      <x:c r="B258" s="14" t="str">
        <x:v>QE02-C16</x:v>
      </x:c>
      <x:c r="C258" s="14" t="n">
        <x:v>14</x:v>
      </x:c>
      <x:c r="D258" s="14" t="str">
        <x:v>rescue and remote entry</x:v>
      </x:c>
      <x:c r="E258" s="14" t="str">
        <x:v>Evidence required for RFP-B2 / AM-06 / TR-B</x:v>
      </x:c>
      <x:c r="F258" s="14" t="str">
        <x:v>OPEN</x:v>
      </x:c>
      <x:c r="G258" s="14" t="str"/>
      <x:c r="H258" s="14" t="str"/>
    </x:row>
    <x:row r="259" ht="18" customHeight="1">
      <x:c r="A259" s="14" t="str">
        <x:v>EG-QE02-C16-15</x:v>
      </x:c>
      <x:c r="B259" s="14" t="str">
        <x:v>QE02-C16</x:v>
      </x:c>
      <x:c r="C259" s="14" t="n">
        <x:v>15</x:v>
      </x:c>
      <x:c r="D259" s="14" t="str">
        <x:v>waste and decontamination route</x:v>
      </x:c>
      <x:c r="E259" s="14" t="str">
        <x:v>Evidence required for RFP-B2 / AM-06 / TR-B</x:v>
      </x:c>
      <x:c r="F259" s="14" t="str">
        <x:v>OPEN</x:v>
      </x:c>
      <x:c r="G259" s="14" t="str"/>
      <x:c r="H259" s="14" t="str"/>
    </x:row>
    <x:row r="260" ht="18" customHeight="1">
      <x:c r="A260" s="14" t="str">
        <x:v>EG-QE02-C16-16</x:v>
      </x:c>
      <x:c r="B260" s="14" t="str">
        <x:v>QE02-C16</x:v>
      </x:c>
      <x:c r="C260" s="14" t="n">
        <x:v>16</x:v>
      </x:c>
      <x:c r="D260" s="14" t="str">
        <x:v>evidence and replay capacity</x:v>
      </x:c>
      <x:c r="E260" s="14" t="str">
        <x:v>Evidence required for RFP-B2 / AM-06 / TR-B</x:v>
      </x:c>
      <x:c r="F260" s="14" t="str">
        <x:v>OPEN</x:v>
      </x:c>
      <x:c r="G260" s="14" t="str"/>
      <x:c r="H260" s="14" t="str"/>
    </x:row>
    <x:row r="261" ht="18" customHeight="1">
      <x:c r="A261" s="14" t="str">
        <x:v>EG-QE02-C17-01</x:v>
      </x:c>
      <x:c r="B261" s="14" t="str">
        <x:v>QE02-C17</x:v>
      </x:c>
      <x:c r="C261" s="14" t="n">
        <x:v>1</x:v>
      </x:c>
      <x:c r="D261" s="14" t="str">
        <x:v>RAZ-1 cell credit</x:v>
      </x:c>
      <x:c r="E261" s="14" t="str">
        <x:v>Evidence required for RFP-C1 / AM-05 / TR-A</x:v>
      </x:c>
      <x:c r="F261" s="14" t="str">
        <x:v>OPEN</x:v>
      </x:c>
      <x:c r="G261" s="14" t="str"/>
      <x:c r="H261" s="14" t="str"/>
    </x:row>
    <x:row r="262" ht="18" customHeight="1">
      <x:c r="A262" s="14" t="str">
        <x:v>EG-QE02-C17-02</x:v>
      </x:c>
      <x:c r="B262" s="14" t="str">
        <x:v>QE02-C17</x:v>
      </x:c>
      <x:c r="C262" s="14" t="n">
        <x:v>2</x:v>
      </x:c>
      <x:c r="D262" s="14" t="str">
        <x:v>current pair baseline</x:v>
      </x:c>
      <x:c r="E262" s="14" t="str">
        <x:v>Evidence required for RFP-C1 / AM-05 / TR-A</x:v>
      </x:c>
      <x:c r="F262" s="14" t="str">
        <x:v>OPEN</x:v>
      </x:c>
      <x:c r="G262" s="14" t="str"/>
      <x:c r="H262" s="14" t="str"/>
    </x:row>
    <x:row r="263" ht="18" customHeight="1">
      <x:c r="A263" s="14" t="str">
        <x:v>EG-QE02-C17-03</x:v>
      </x:c>
      <x:c r="B263" s="14" t="str">
        <x:v>QE02-C17</x:v>
      </x:c>
      <x:c r="C263" s="14" t="n">
        <x:v>3</x:v>
      </x:c>
      <x:c r="D263" s="14" t="str">
        <x:v>REA-100 insert and liner</x:v>
      </x:c>
      <x:c r="E263" s="14" t="str">
        <x:v>Evidence required for RFP-C1 / AM-05 / TR-A</x:v>
      </x:c>
      <x:c r="F263" s="14" t="str">
        <x:v>OPEN</x:v>
      </x:c>
      <x:c r="G263" s="14" t="str"/>
      <x:c r="H263" s="14" t="str"/>
    </x:row>
    <x:row r="264" ht="18" customHeight="1">
      <x:c r="A264" s="14" t="str">
        <x:v>EG-QE02-C17-04</x:v>
      </x:c>
      <x:c r="B264" s="14" t="str">
        <x:v>QE02-C17</x:v>
      </x:c>
      <x:c r="C264" s="14" t="n">
        <x:v>4</x:v>
      </x:c>
      <x:c r="D264" s="14" t="str">
        <x:v>containment and receivers</x:v>
      </x:c>
      <x:c r="E264" s="14" t="str">
        <x:v>Evidence required for RFP-C1 / AM-05 / TR-A</x:v>
      </x:c>
      <x:c r="F264" s="14" t="str">
        <x:v>OPEN</x:v>
      </x:c>
      <x:c r="G264" s="14" t="str"/>
      <x:c r="H264" s="14" t="str"/>
    </x:row>
    <x:row r="265" ht="18" customHeight="1">
      <x:c r="A265" s="14" t="str">
        <x:v>EG-QE02-C17-05</x:v>
      </x:c>
      <x:c r="B265" s="14" t="str">
        <x:v>QE02-C17</x:v>
      </x:c>
      <x:c r="C265" s="14" t="n">
        <x:v>5</x:v>
      </x:c>
      <x:c r="D265" s="14" t="str">
        <x:v>active source package</x:v>
      </x:c>
      <x:c r="E265" s="14" t="str">
        <x:v>Evidence required for RFP-C1 / AM-05 / TR-A</x:v>
      </x:c>
      <x:c r="F265" s="14" t="str">
        <x:v>OPEN</x:v>
      </x:c>
      <x:c r="G265" s="14" t="str"/>
      <x:c r="H265" s="14" t="str"/>
    </x:row>
    <x:row r="266" ht="18" customHeight="1">
      <x:c r="A266" s="14" t="str">
        <x:v>EG-QE02-C17-06</x:v>
      </x:c>
      <x:c r="B266" s="14" t="str">
        <x:v>QE02-C17</x:v>
      </x:c>
      <x:c r="C266" s="14" t="n">
        <x:v>6</x:v>
      </x:c>
      <x:c r="D266" s="14" t="str">
        <x:v>ten package characteristics</x:v>
      </x:c>
      <x:c r="E266" s="14" t="str">
        <x:v>Evidence required for RFP-C1 / AM-05 / TR-A</x:v>
      </x:c>
      <x:c r="F266" s="14" t="str">
        <x:v>OPEN</x:v>
      </x:c>
      <x:c r="G266" s="14" t="str"/>
      <x:c r="H266" s="14" t="str"/>
    </x:row>
    <x:row r="267" ht="18" customHeight="1">
      <x:c r="A267" s="14" t="str">
        <x:v>EG-QE02-C17-07</x:v>
      </x:c>
      <x:c r="B267" s="14" t="str">
        <x:v>QE02-C17</x:v>
      </x:c>
      <x:c r="C267" s="14" t="n">
        <x:v>7</x:v>
      </x:c>
      <x:c r="D267" s="14" t="str">
        <x:v>conditioning and aliquot split</x:v>
      </x:c>
      <x:c r="E267" s="14" t="str">
        <x:v>Evidence required for RFP-C1 / AM-05 / TR-A</x:v>
      </x:c>
      <x:c r="F267" s="14" t="str">
        <x:v>OPEN</x:v>
      </x:c>
      <x:c r="G267" s="14" t="str"/>
      <x:c r="H267" s="14" t="str"/>
    </x:row>
    <x:row r="268" ht="18" customHeight="1">
      <x:c r="A268" s="14" t="str">
        <x:v>EG-QE02-C17-08</x:v>
      </x:c>
      <x:c r="B268" s="14" t="str">
        <x:v>QE02-C17</x:v>
      </x:c>
      <x:c r="C268" s="14" t="n">
        <x:v>8</x:v>
      </x:c>
      <x:c r="D268" s="14" t="str">
        <x:v>unlike ancestry roots</x:v>
      </x:c>
      <x:c r="E268" s="14" t="str">
        <x:v>Evidence required for RFP-C1 / AM-05 / TR-A</x:v>
      </x:c>
      <x:c r="F268" s="14" t="str">
        <x:v>OPEN</x:v>
      </x:c>
      <x:c r="G268" s="14" t="str"/>
      <x:c r="H268" s="14" t="str"/>
    </x:row>
    <x:row r="269" ht="18" customHeight="1">
      <x:c r="A269" s="14" t="str">
        <x:v>EG-QE02-C17-09</x:v>
      </x:c>
      <x:c r="B269" s="14" t="str">
        <x:v>QE02-C17</x:v>
      </x:c>
      <x:c r="C269" s="14" t="n">
        <x:v>9</x:v>
      </x:c>
      <x:c r="D269" s="14" t="str">
        <x:v>twelve final elements</x:v>
      </x:c>
      <x:c r="E269" s="14" t="str">
        <x:v>Evidence required for RFP-C1 / AM-05 / TR-A</x:v>
      </x:c>
      <x:c r="F269" s="14" t="str">
        <x:v>OPEN</x:v>
      </x:c>
      <x:c r="G269" s="14" t="str"/>
      <x:c r="H269" s="14" t="str"/>
    </x:row>
    <x:row r="270" ht="18" customHeight="1">
      <x:c r="A270" s="14" t="str">
        <x:v>EG-QE02-C17-10</x:v>
      </x:c>
      <x:c r="B270" s="14" t="str">
        <x:v>QE02-C17</x:v>
      </x:c>
      <x:c r="C270" s="14" t="n">
        <x:v>10</x:v>
      </x:c>
      <x:c r="D270" s="14" t="str">
        <x:v>thirty-six safeing paths</x:v>
      </x:c>
      <x:c r="E270" s="14" t="str">
        <x:v>Evidence required for RFP-C1 / AM-05 / TR-A</x:v>
      </x:c>
      <x:c r="F270" s="14" t="str">
        <x:v>OPEN</x:v>
      </x:c>
      <x:c r="G270" s="14" t="str"/>
      <x:c r="H270" s="14" t="str"/>
    </x:row>
    <x:row r="271" ht="18" customHeight="1">
      <x:c r="A271" s="14" t="str">
        <x:v>EG-QE02-C17-11</x:v>
      </x:c>
      <x:c r="B271" s="14" t="str">
        <x:v>QE02-C17</x:v>
      </x:c>
      <x:c r="C271" s="14" t="n">
        <x:v>11</x:v>
      </x:c>
      <x:c r="D271" s="14" t="str">
        <x:v>120 m3 water package</x:v>
      </x:c>
      <x:c r="E271" s="14" t="str">
        <x:v>Evidence required for RFP-C1 / AM-05 / TR-A</x:v>
      </x:c>
      <x:c r="F271" s="14" t="str">
        <x:v>OPEN</x:v>
      </x:c>
      <x:c r="G271" s="14" t="str"/>
      <x:c r="H271" s="14" t="str"/>
    </x:row>
    <x:row r="272" ht="18" customHeight="1">
      <x:c r="A272" s="14" t="str">
        <x:v>EG-QE02-C17-12</x:v>
      </x:c>
      <x:c r="B272" s="14" t="str">
        <x:v>QE02-C17</x:v>
      </x:c>
      <x:c r="C272" s="14" t="n">
        <x:v>12</x:v>
      </x:c>
      <x:c r="D272" s="14" t="str">
        <x:v>thermal and environmental boundary</x:v>
      </x:c>
      <x:c r="E272" s="14" t="str">
        <x:v>Evidence required for RFP-C1 / AM-05 / TR-A</x:v>
      </x:c>
      <x:c r="F272" s="14" t="str">
        <x:v>OPEN</x:v>
      </x:c>
      <x:c r="G272" s="14" t="str"/>
      <x:c r="H272" s="14" t="str"/>
    </x:row>
    <x:row r="273" ht="18" customHeight="1">
      <x:c r="A273" s="14" t="str">
        <x:v>EG-QE02-C17-13</x:v>
      </x:c>
      <x:c r="B273" s="14" t="str">
        <x:v>QE02-C17</x:v>
      </x:c>
      <x:c r="C273" s="14" t="n">
        <x:v>13</x:v>
      </x:c>
      <x:c r="D273" s="14" t="str">
        <x:v>fifty-six-position crew</x:v>
      </x:c>
      <x:c r="E273" s="14" t="str">
        <x:v>Evidence required for RFP-C1 / AM-05 / TR-A</x:v>
      </x:c>
      <x:c r="F273" s="14" t="str">
        <x:v>OPEN</x:v>
      </x:c>
      <x:c r="G273" s="14" t="str"/>
      <x:c r="H273" s="14" t="str"/>
    </x:row>
    <x:row r="274" ht="18" customHeight="1">
      <x:c r="A274" s="14" t="str">
        <x:v>EG-QE02-C17-14</x:v>
      </x:c>
      <x:c r="B274" s="14" t="str">
        <x:v>QE02-C17</x:v>
      </x:c>
      <x:c r="C274" s="14" t="n">
        <x:v>14</x:v>
      </x:c>
      <x:c r="D274" s="14" t="str">
        <x:v>rescue and remote entry</x:v>
      </x:c>
      <x:c r="E274" s="14" t="str">
        <x:v>Evidence required for RFP-C1 / AM-05 / TR-A</x:v>
      </x:c>
      <x:c r="F274" s="14" t="str">
        <x:v>OPEN</x:v>
      </x:c>
      <x:c r="G274" s="14" t="str"/>
      <x:c r="H274" s="14" t="str"/>
    </x:row>
    <x:row r="275" ht="18" customHeight="1">
      <x:c r="A275" s="14" t="str">
        <x:v>EG-QE02-C17-15</x:v>
      </x:c>
      <x:c r="B275" s="14" t="str">
        <x:v>QE02-C17</x:v>
      </x:c>
      <x:c r="C275" s="14" t="n">
        <x:v>15</x:v>
      </x:c>
      <x:c r="D275" s="14" t="str">
        <x:v>waste and decontamination route</x:v>
      </x:c>
      <x:c r="E275" s="14" t="str">
        <x:v>Evidence required for RFP-C1 / AM-05 / TR-A</x:v>
      </x:c>
      <x:c r="F275" s="14" t="str">
        <x:v>OPEN</x:v>
      </x:c>
      <x:c r="G275" s="14" t="str"/>
      <x:c r="H275" s="14" t="str"/>
    </x:row>
    <x:row r="276" ht="18" customHeight="1">
      <x:c r="A276" s="14" t="str">
        <x:v>EG-QE02-C17-16</x:v>
      </x:c>
      <x:c r="B276" s="14" t="str">
        <x:v>QE02-C17</x:v>
      </x:c>
      <x:c r="C276" s="14" t="n">
        <x:v>16</x:v>
      </x:c>
      <x:c r="D276" s="14" t="str">
        <x:v>evidence and replay capacity</x:v>
      </x:c>
      <x:c r="E276" s="14" t="str">
        <x:v>Evidence required for RFP-C1 / AM-05 / TR-A</x:v>
      </x:c>
      <x:c r="F276" s="14" t="str">
        <x:v>OPEN</x:v>
      </x:c>
      <x:c r="G276" s="14" t="str"/>
      <x:c r="H276" s="14" t="str"/>
    </x:row>
    <x:row r="277" ht="18" customHeight="1">
      <x:c r="A277" s="14" t="str">
        <x:v>EG-QE02-C18-01</x:v>
      </x:c>
      <x:c r="B277" s="14" t="str">
        <x:v>QE02-C18</x:v>
      </x:c>
      <x:c r="C277" s="14" t="n">
        <x:v>1</x:v>
      </x:c>
      <x:c r="D277" s="14" t="str">
        <x:v>RAZ-1 cell credit</x:v>
      </x:c>
      <x:c r="E277" s="14" t="str">
        <x:v>Evidence required for RFP-C1 / AM-05 / TR-B</x:v>
      </x:c>
      <x:c r="F277" s="14" t="str">
        <x:v>OPEN</x:v>
      </x:c>
      <x:c r="G277" s="14" t="str"/>
      <x:c r="H277" s="14" t="str"/>
    </x:row>
    <x:row r="278" ht="18" customHeight="1">
      <x:c r="A278" s="14" t="str">
        <x:v>EG-QE02-C18-02</x:v>
      </x:c>
      <x:c r="B278" s="14" t="str">
        <x:v>QE02-C18</x:v>
      </x:c>
      <x:c r="C278" s="14" t="n">
        <x:v>2</x:v>
      </x:c>
      <x:c r="D278" s="14" t="str">
        <x:v>current pair baseline</x:v>
      </x:c>
      <x:c r="E278" s="14" t="str">
        <x:v>Evidence required for RFP-C1 / AM-05 / TR-B</x:v>
      </x:c>
      <x:c r="F278" s="14" t="str">
        <x:v>OPEN</x:v>
      </x:c>
      <x:c r="G278" s="14" t="str"/>
      <x:c r="H278" s="14" t="str"/>
    </x:row>
    <x:row r="279" ht="18" customHeight="1">
      <x:c r="A279" s="14" t="str">
        <x:v>EG-QE02-C18-03</x:v>
      </x:c>
      <x:c r="B279" s="14" t="str">
        <x:v>QE02-C18</x:v>
      </x:c>
      <x:c r="C279" s="14" t="n">
        <x:v>3</x:v>
      </x:c>
      <x:c r="D279" s="14" t="str">
        <x:v>REA-100 insert and liner</x:v>
      </x:c>
      <x:c r="E279" s="14" t="str">
        <x:v>Evidence required for RFP-C1 / AM-05 / TR-B</x:v>
      </x:c>
      <x:c r="F279" s="14" t="str">
        <x:v>OPEN</x:v>
      </x:c>
      <x:c r="G279" s="14" t="str"/>
      <x:c r="H279" s="14" t="str"/>
    </x:row>
    <x:row r="280" ht="18" customHeight="1">
      <x:c r="A280" s="14" t="str">
        <x:v>EG-QE02-C18-04</x:v>
      </x:c>
      <x:c r="B280" s="14" t="str">
        <x:v>QE02-C18</x:v>
      </x:c>
      <x:c r="C280" s="14" t="n">
        <x:v>4</x:v>
      </x:c>
      <x:c r="D280" s="14" t="str">
        <x:v>containment and receivers</x:v>
      </x:c>
      <x:c r="E280" s="14" t="str">
        <x:v>Evidence required for RFP-C1 / AM-05 / TR-B</x:v>
      </x:c>
      <x:c r="F280" s="14" t="str">
        <x:v>OPEN</x:v>
      </x:c>
      <x:c r="G280" s="14" t="str"/>
      <x:c r="H280" s="14" t="str"/>
    </x:row>
    <x:row r="281" ht="18" customHeight="1">
      <x:c r="A281" s="14" t="str">
        <x:v>EG-QE02-C18-05</x:v>
      </x:c>
      <x:c r="B281" s="14" t="str">
        <x:v>QE02-C18</x:v>
      </x:c>
      <x:c r="C281" s="14" t="n">
        <x:v>5</x:v>
      </x:c>
      <x:c r="D281" s="14" t="str">
        <x:v>active source package</x:v>
      </x:c>
      <x:c r="E281" s="14" t="str">
        <x:v>Evidence required for RFP-C1 / AM-05 / TR-B</x:v>
      </x:c>
      <x:c r="F281" s="14" t="str">
        <x:v>OPEN</x:v>
      </x:c>
      <x:c r="G281" s="14" t="str"/>
      <x:c r="H281" s="14" t="str"/>
    </x:row>
    <x:row r="282" ht="18" customHeight="1">
      <x:c r="A282" s="14" t="str">
        <x:v>EG-QE02-C18-06</x:v>
      </x:c>
      <x:c r="B282" s="14" t="str">
        <x:v>QE02-C18</x:v>
      </x:c>
      <x:c r="C282" s="14" t="n">
        <x:v>6</x:v>
      </x:c>
      <x:c r="D282" s="14" t="str">
        <x:v>ten package characteristics</x:v>
      </x:c>
      <x:c r="E282" s="14" t="str">
        <x:v>Evidence required for RFP-C1 / AM-05 / TR-B</x:v>
      </x:c>
      <x:c r="F282" s="14" t="str">
        <x:v>OPEN</x:v>
      </x:c>
      <x:c r="G282" s="14" t="str"/>
      <x:c r="H282" s="14" t="str"/>
    </x:row>
    <x:row r="283" ht="18" customHeight="1">
      <x:c r="A283" s="14" t="str">
        <x:v>EG-QE02-C18-07</x:v>
      </x:c>
      <x:c r="B283" s="14" t="str">
        <x:v>QE02-C18</x:v>
      </x:c>
      <x:c r="C283" s="14" t="n">
        <x:v>7</x:v>
      </x:c>
      <x:c r="D283" s="14" t="str">
        <x:v>conditioning and aliquot split</x:v>
      </x:c>
      <x:c r="E283" s="14" t="str">
        <x:v>Evidence required for RFP-C1 / AM-05 / TR-B</x:v>
      </x:c>
      <x:c r="F283" s="14" t="str">
        <x:v>OPEN</x:v>
      </x:c>
      <x:c r="G283" s="14" t="str"/>
      <x:c r="H283" s="14" t="str"/>
    </x:row>
    <x:row r="284" ht="18" customHeight="1">
      <x:c r="A284" s="14" t="str">
        <x:v>EG-QE02-C18-08</x:v>
      </x:c>
      <x:c r="B284" s="14" t="str">
        <x:v>QE02-C18</x:v>
      </x:c>
      <x:c r="C284" s="14" t="n">
        <x:v>8</x:v>
      </x:c>
      <x:c r="D284" s="14" t="str">
        <x:v>unlike ancestry roots</x:v>
      </x:c>
      <x:c r="E284" s="14" t="str">
        <x:v>Evidence required for RFP-C1 / AM-05 / TR-B</x:v>
      </x:c>
      <x:c r="F284" s="14" t="str">
        <x:v>OPEN</x:v>
      </x:c>
      <x:c r="G284" s="14" t="str"/>
      <x:c r="H284" s="14" t="str"/>
    </x:row>
    <x:row r="285" ht="18" customHeight="1">
      <x:c r="A285" s="14" t="str">
        <x:v>EG-QE02-C18-09</x:v>
      </x:c>
      <x:c r="B285" s="14" t="str">
        <x:v>QE02-C18</x:v>
      </x:c>
      <x:c r="C285" s="14" t="n">
        <x:v>9</x:v>
      </x:c>
      <x:c r="D285" s="14" t="str">
        <x:v>twelve final elements</x:v>
      </x:c>
      <x:c r="E285" s="14" t="str">
        <x:v>Evidence required for RFP-C1 / AM-05 / TR-B</x:v>
      </x:c>
      <x:c r="F285" s="14" t="str">
        <x:v>OPEN</x:v>
      </x:c>
      <x:c r="G285" s="14" t="str"/>
      <x:c r="H285" s="14" t="str"/>
    </x:row>
    <x:row r="286" ht="18" customHeight="1">
      <x:c r="A286" s="14" t="str">
        <x:v>EG-QE02-C18-10</x:v>
      </x:c>
      <x:c r="B286" s="14" t="str">
        <x:v>QE02-C18</x:v>
      </x:c>
      <x:c r="C286" s="14" t="n">
        <x:v>10</x:v>
      </x:c>
      <x:c r="D286" s="14" t="str">
        <x:v>thirty-six safeing paths</x:v>
      </x:c>
      <x:c r="E286" s="14" t="str">
        <x:v>Evidence required for RFP-C1 / AM-05 / TR-B</x:v>
      </x:c>
      <x:c r="F286" s="14" t="str">
        <x:v>OPEN</x:v>
      </x:c>
      <x:c r="G286" s="14" t="str"/>
      <x:c r="H286" s="14" t="str"/>
    </x:row>
    <x:row r="287" ht="18" customHeight="1">
      <x:c r="A287" s="14" t="str">
        <x:v>EG-QE02-C18-11</x:v>
      </x:c>
      <x:c r="B287" s="14" t="str">
        <x:v>QE02-C18</x:v>
      </x:c>
      <x:c r="C287" s="14" t="n">
        <x:v>11</x:v>
      </x:c>
      <x:c r="D287" s="14" t="str">
        <x:v>120 m3 water package</x:v>
      </x:c>
      <x:c r="E287" s="14" t="str">
        <x:v>Evidence required for RFP-C1 / AM-05 / TR-B</x:v>
      </x:c>
      <x:c r="F287" s="14" t="str">
        <x:v>OPEN</x:v>
      </x:c>
      <x:c r="G287" s="14" t="str"/>
      <x:c r="H287" s="14" t="str"/>
    </x:row>
    <x:row r="288" ht="18" customHeight="1">
      <x:c r="A288" s="14" t="str">
        <x:v>EG-QE02-C18-12</x:v>
      </x:c>
      <x:c r="B288" s="14" t="str">
        <x:v>QE02-C18</x:v>
      </x:c>
      <x:c r="C288" s="14" t="n">
        <x:v>12</x:v>
      </x:c>
      <x:c r="D288" s="14" t="str">
        <x:v>thermal and environmental boundary</x:v>
      </x:c>
      <x:c r="E288" s="14" t="str">
        <x:v>Evidence required for RFP-C1 / AM-05 / TR-B</x:v>
      </x:c>
      <x:c r="F288" s="14" t="str">
        <x:v>OPEN</x:v>
      </x:c>
      <x:c r="G288" s="14" t="str"/>
      <x:c r="H288" s="14" t="str"/>
    </x:row>
    <x:row r="289" ht="18" customHeight="1">
      <x:c r="A289" s="14" t="str">
        <x:v>EG-QE02-C18-13</x:v>
      </x:c>
      <x:c r="B289" s="14" t="str">
        <x:v>QE02-C18</x:v>
      </x:c>
      <x:c r="C289" s="14" t="n">
        <x:v>13</x:v>
      </x:c>
      <x:c r="D289" s="14" t="str">
        <x:v>fifty-six-position crew</x:v>
      </x:c>
      <x:c r="E289" s="14" t="str">
        <x:v>Evidence required for RFP-C1 / AM-05 / TR-B</x:v>
      </x:c>
      <x:c r="F289" s="14" t="str">
        <x:v>OPEN</x:v>
      </x:c>
      <x:c r="G289" s="14" t="str"/>
      <x:c r="H289" s="14" t="str"/>
    </x:row>
    <x:row r="290" ht="18" customHeight="1">
      <x:c r="A290" s="14" t="str">
        <x:v>EG-QE02-C18-14</x:v>
      </x:c>
      <x:c r="B290" s="14" t="str">
        <x:v>QE02-C18</x:v>
      </x:c>
      <x:c r="C290" s="14" t="n">
        <x:v>14</x:v>
      </x:c>
      <x:c r="D290" s="14" t="str">
        <x:v>rescue and remote entry</x:v>
      </x:c>
      <x:c r="E290" s="14" t="str">
        <x:v>Evidence required for RFP-C1 / AM-05 / TR-B</x:v>
      </x:c>
      <x:c r="F290" s="14" t="str">
        <x:v>OPEN</x:v>
      </x:c>
      <x:c r="G290" s="14" t="str"/>
      <x:c r="H290" s="14" t="str"/>
    </x:row>
    <x:row r="291" ht="18" customHeight="1">
      <x:c r="A291" s="14" t="str">
        <x:v>EG-QE02-C18-15</x:v>
      </x:c>
      <x:c r="B291" s="14" t="str">
        <x:v>QE02-C18</x:v>
      </x:c>
      <x:c r="C291" s="14" t="n">
        <x:v>15</x:v>
      </x:c>
      <x:c r="D291" s="14" t="str">
        <x:v>waste and decontamination route</x:v>
      </x:c>
      <x:c r="E291" s="14" t="str">
        <x:v>Evidence required for RFP-C1 / AM-05 / TR-B</x:v>
      </x:c>
      <x:c r="F291" s="14" t="str">
        <x:v>OPEN</x:v>
      </x:c>
      <x:c r="G291" s="14" t="str"/>
      <x:c r="H291" s="14" t="str"/>
    </x:row>
    <x:row r="292" ht="18" customHeight="1">
      <x:c r="A292" s="14" t="str">
        <x:v>EG-QE02-C18-16</x:v>
      </x:c>
      <x:c r="B292" s="14" t="str">
        <x:v>QE02-C18</x:v>
      </x:c>
      <x:c r="C292" s="14" t="n">
        <x:v>16</x:v>
      </x:c>
      <x:c r="D292" s="14" t="str">
        <x:v>evidence and replay capacity</x:v>
      </x:c>
      <x:c r="E292" s="14" t="str">
        <x:v>Evidence required for RFP-C1 / AM-05 / TR-B</x:v>
      </x:c>
      <x:c r="F292" s="14" t="str">
        <x:v>OPEN</x:v>
      </x:c>
      <x:c r="G292" s="14" t="str"/>
      <x:c r="H292" s="14" t="str"/>
    </x:row>
    <x:row r="293" ht="18" customHeight="1">
      <x:c r="A293" s="14" t="str">
        <x:v>EG-QE02-C19-01</x:v>
      </x:c>
      <x:c r="B293" s="14" t="str">
        <x:v>QE02-C19</x:v>
      </x:c>
      <x:c r="C293" s="14" t="n">
        <x:v>1</x:v>
      </x:c>
      <x:c r="D293" s="14" t="str">
        <x:v>RAZ-1 cell credit</x:v>
      </x:c>
      <x:c r="E293" s="14" t="str">
        <x:v>Evidence required for RFP-C1 / AM-06 / TR-A</x:v>
      </x:c>
      <x:c r="F293" s="14" t="str">
        <x:v>OPEN</x:v>
      </x:c>
      <x:c r="G293" s="14" t="str"/>
      <x:c r="H293" s="14" t="str"/>
    </x:row>
    <x:row r="294" ht="18" customHeight="1">
      <x:c r="A294" s="14" t="str">
        <x:v>EG-QE02-C19-02</x:v>
      </x:c>
      <x:c r="B294" s="14" t="str">
        <x:v>QE02-C19</x:v>
      </x:c>
      <x:c r="C294" s="14" t="n">
        <x:v>2</x:v>
      </x:c>
      <x:c r="D294" s="14" t="str">
        <x:v>current pair baseline</x:v>
      </x:c>
      <x:c r="E294" s="14" t="str">
        <x:v>Evidence required for RFP-C1 / AM-06 / TR-A</x:v>
      </x:c>
      <x:c r="F294" s="14" t="str">
        <x:v>OPEN</x:v>
      </x:c>
      <x:c r="G294" s="14" t="str"/>
      <x:c r="H294" s="14" t="str"/>
    </x:row>
    <x:row r="295" ht="18" customHeight="1">
      <x:c r="A295" s="14" t="str">
        <x:v>EG-QE02-C19-03</x:v>
      </x:c>
      <x:c r="B295" s="14" t="str">
        <x:v>QE02-C19</x:v>
      </x:c>
      <x:c r="C295" s="14" t="n">
        <x:v>3</x:v>
      </x:c>
      <x:c r="D295" s="14" t="str">
        <x:v>REA-100 insert and liner</x:v>
      </x:c>
      <x:c r="E295" s="14" t="str">
        <x:v>Evidence required for RFP-C1 / AM-06 / TR-A</x:v>
      </x:c>
      <x:c r="F295" s="14" t="str">
        <x:v>OPEN</x:v>
      </x:c>
      <x:c r="G295" s="14" t="str"/>
      <x:c r="H295" s="14" t="str"/>
    </x:row>
    <x:row r="296" ht="18" customHeight="1">
      <x:c r="A296" s="14" t="str">
        <x:v>EG-QE02-C19-04</x:v>
      </x:c>
      <x:c r="B296" s="14" t="str">
        <x:v>QE02-C19</x:v>
      </x:c>
      <x:c r="C296" s="14" t="n">
        <x:v>4</x:v>
      </x:c>
      <x:c r="D296" s="14" t="str">
        <x:v>containment and receivers</x:v>
      </x:c>
      <x:c r="E296" s="14" t="str">
        <x:v>Evidence required for RFP-C1 / AM-06 / TR-A</x:v>
      </x:c>
      <x:c r="F296" s="14" t="str">
        <x:v>OPEN</x:v>
      </x:c>
      <x:c r="G296" s="14" t="str"/>
      <x:c r="H296" s="14" t="str"/>
    </x:row>
    <x:row r="297" ht="18" customHeight="1">
      <x:c r="A297" s="14" t="str">
        <x:v>EG-QE02-C19-05</x:v>
      </x:c>
      <x:c r="B297" s="14" t="str">
        <x:v>QE02-C19</x:v>
      </x:c>
      <x:c r="C297" s="14" t="n">
        <x:v>5</x:v>
      </x:c>
      <x:c r="D297" s="14" t="str">
        <x:v>active source package</x:v>
      </x:c>
      <x:c r="E297" s="14" t="str">
        <x:v>Evidence required for RFP-C1 / AM-06 / TR-A</x:v>
      </x:c>
      <x:c r="F297" s="14" t="str">
        <x:v>OPEN</x:v>
      </x:c>
      <x:c r="G297" s="14" t="str"/>
      <x:c r="H297" s="14" t="str"/>
    </x:row>
    <x:row r="298" ht="18" customHeight="1">
      <x:c r="A298" s="14" t="str">
        <x:v>EG-QE02-C19-06</x:v>
      </x:c>
      <x:c r="B298" s="14" t="str">
        <x:v>QE02-C19</x:v>
      </x:c>
      <x:c r="C298" s="14" t="n">
        <x:v>6</x:v>
      </x:c>
      <x:c r="D298" s="14" t="str">
        <x:v>ten package characteristics</x:v>
      </x:c>
      <x:c r="E298" s="14" t="str">
        <x:v>Evidence required for RFP-C1 / AM-06 / TR-A</x:v>
      </x:c>
      <x:c r="F298" s="14" t="str">
        <x:v>OPEN</x:v>
      </x:c>
      <x:c r="G298" s="14" t="str"/>
      <x:c r="H298" s="14" t="str"/>
    </x:row>
    <x:row r="299" ht="18" customHeight="1">
      <x:c r="A299" s="14" t="str">
        <x:v>EG-QE02-C19-07</x:v>
      </x:c>
      <x:c r="B299" s="14" t="str">
        <x:v>QE02-C19</x:v>
      </x:c>
      <x:c r="C299" s="14" t="n">
        <x:v>7</x:v>
      </x:c>
      <x:c r="D299" s="14" t="str">
        <x:v>conditioning and aliquot split</x:v>
      </x:c>
      <x:c r="E299" s="14" t="str">
        <x:v>Evidence required for RFP-C1 / AM-06 / TR-A</x:v>
      </x:c>
      <x:c r="F299" s="14" t="str">
        <x:v>OPEN</x:v>
      </x:c>
      <x:c r="G299" s="14" t="str"/>
      <x:c r="H299" s="14" t="str"/>
    </x:row>
    <x:row r="300" ht="18" customHeight="1">
      <x:c r="A300" s="14" t="str">
        <x:v>EG-QE02-C19-08</x:v>
      </x:c>
      <x:c r="B300" s="14" t="str">
        <x:v>QE02-C19</x:v>
      </x:c>
      <x:c r="C300" s="14" t="n">
        <x:v>8</x:v>
      </x:c>
      <x:c r="D300" s="14" t="str">
        <x:v>unlike ancestry roots</x:v>
      </x:c>
      <x:c r="E300" s="14" t="str">
        <x:v>Evidence required for RFP-C1 / AM-06 / TR-A</x:v>
      </x:c>
      <x:c r="F300" s="14" t="str">
        <x:v>OPEN</x:v>
      </x:c>
      <x:c r="G300" s="14" t="str"/>
      <x:c r="H300" s="14" t="str"/>
    </x:row>
    <x:row r="301" ht="18" customHeight="1">
      <x:c r="A301" s="14" t="str">
        <x:v>EG-QE02-C19-09</x:v>
      </x:c>
      <x:c r="B301" s="14" t="str">
        <x:v>QE02-C19</x:v>
      </x:c>
      <x:c r="C301" s="14" t="n">
        <x:v>9</x:v>
      </x:c>
      <x:c r="D301" s="14" t="str">
        <x:v>twelve final elements</x:v>
      </x:c>
      <x:c r="E301" s="14" t="str">
        <x:v>Evidence required for RFP-C1 / AM-06 / TR-A</x:v>
      </x:c>
      <x:c r="F301" s="14" t="str">
        <x:v>OPEN</x:v>
      </x:c>
      <x:c r="G301" s="14" t="str"/>
      <x:c r="H301" s="14" t="str"/>
    </x:row>
    <x:row r="302" ht="18" customHeight="1">
      <x:c r="A302" s="14" t="str">
        <x:v>EG-QE02-C19-10</x:v>
      </x:c>
      <x:c r="B302" s="14" t="str">
        <x:v>QE02-C19</x:v>
      </x:c>
      <x:c r="C302" s="14" t="n">
        <x:v>10</x:v>
      </x:c>
      <x:c r="D302" s="14" t="str">
        <x:v>thirty-six safeing paths</x:v>
      </x:c>
      <x:c r="E302" s="14" t="str">
        <x:v>Evidence required for RFP-C1 / AM-06 / TR-A</x:v>
      </x:c>
      <x:c r="F302" s="14" t="str">
        <x:v>OPEN</x:v>
      </x:c>
      <x:c r="G302" s="14" t="str"/>
      <x:c r="H302" s="14" t="str"/>
    </x:row>
    <x:row r="303" ht="18" customHeight="1">
      <x:c r="A303" s="14" t="str">
        <x:v>EG-QE02-C19-11</x:v>
      </x:c>
      <x:c r="B303" s="14" t="str">
        <x:v>QE02-C19</x:v>
      </x:c>
      <x:c r="C303" s="14" t="n">
        <x:v>11</x:v>
      </x:c>
      <x:c r="D303" s="14" t="str">
        <x:v>120 m3 water package</x:v>
      </x:c>
      <x:c r="E303" s="14" t="str">
        <x:v>Evidence required for RFP-C1 / AM-06 / TR-A</x:v>
      </x:c>
      <x:c r="F303" s="14" t="str">
        <x:v>OPEN</x:v>
      </x:c>
      <x:c r="G303" s="14" t="str"/>
      <x:c r="H303" s="14" t="str"/>
    </x:row>
    <x:row r="304" ht="18" customHeight="1">
      <x:c r="A304" s="14" t="str">
        <x:v>EG-QE02-C19-12</x:v>
      </x:c>
      <x:c r="B304" s="14" t="str">
        <x:v>QE02-C19</x:v>
      </x:c>
      <x:c r="C304" s="14" t="n">
        <x:v>12</x:v>
      </x:c>
      <x:c r="D304" s="14" t="str">
        <x:v>thermal and environmental boundary</x:v>
      </x:c>
      <x:c r="E304" s="14" t="str">
        <x:v>Evidence required for RFP-C1 / AM-06 / TR-A</x:v>
      </x:c>
      <x:c r="F304" s="14" t="str">
        <x:v>OPEN</x:v>
      </x:c>
      <x:c r="G304" s="14" t="str"/>
      <x:c r="H304" s="14" t="str"/>
    </x:row>
    <x:row r="305" ht="18" customHeight="1">
      <x:c r="A305" s="14" t="str">
        <x:v>EG-QE02-C19-13</x:v>
      </x:c>
      <x:c r="B305" s="14" t="str">
        <x:v>QE02-C19</x:v>
      </x:c>
      <x:c r="C305" s="14" t="n">
        <x:v>13</x:v>
      </x:c>
      <x:c r="D305" s="14" t="str">
        <x:v>fifty-six-position crew</x:v>
      </x:c>
      <x:c r="E305" s="14" t="str">
        <x:v>Evidence required for RFP-C1 / AM-06 / TR-A</x:v>
      </x:c>
      <x:c r="F305" s="14" t="str">
        <x:v>OPEN</x:v>
      </x:c>
      <x:c r="G305" s="14" t="str"/>
      <x:c r="H305" s="14" t="str"/>
    </x:row>
    <x:row r="306" ht="18" customHeight="1">
      <x:c r="A306" s="14" t="str">
        <x:v>EG-QE02-C19-14</x:v>
      </x:c>
      <x:c r="B306" s="14" t="str">
        <x:v>QE02-C19</x:v>
      </x:c>
      <x:c r="C306" s="14" t="n">
        <x:v>14</x:v>
      </x:c>
      <x:c r="D306" s="14" t="str">
        <x:v>rescue and remote entry</x:v>
      </x:c>
      <x:c r="E306" s="14" t="str">
        <x:v>Evidence required for RFP-C1 / AM-06 / TR-A</x:v>
      </x:c>
      <x:c r="F306" s="14" t="str">
        <x:v>OPEN</x:v>
      </x:c>
      <x:c r="G306" s="14" t="str"/>
      <x:c r="H306" s="14" t="str"/>
    </x:row>
    <x:row r="307" ht="18" customHeight="1">
      <x:c r="A307" s="14" t="str">
        <x:v>EG-QE02-C19-15</x:v>
      </x:c>
      <x:c r="B307" s="14" t="str">
        <x:v>QE02-C19</x:v>
      </x:c>
      <x:c r="C307" s="14" t="n">
        <x:v>15</x:v>
      </x:c>
      <x:c r="D307" s="14" t="str">
        <x:v>waste and decontamination route</x:v>
      </x:c>
      <x:c r="E307" s="14" t="str">
        <x:v>Evidence required for RFP-C1 / AM-06 / TR-A</x:v>
      </x:c>
      <x:c r="F307" s="14" t="str">
        <x:v>OPEN</x:v>
      </x:c>
      <x:c r="G307" s="14" t="str"/>
      <x:c r="H307" s="14" t="str"/>
    </x:row>
    <x:row r="308" ht="18" customHeight="1">
      <x:c r="A308" s="14" t="str">
        <x:v>EG-QE02-C19-16</x:v>
      </x:c>
      <x:c r="B308" s="14" t="str">
        <x:v>QE02-C19</x:v>
      </x:c>
      <x:c r="C308" s="14" t="n">
        <x:v>16</x:v>
      </x:c>
      <x:c r="D308" s="14" t="str">
        <x:v>evidence and replay capacity</x:v>
      </x:c>
      <x:c r="E308" s="14" t="str">
        <x:v>Evidence required for RFP-C1 / AM-06 / TR-A</x:v>
      </x:c>
      <x:c r="F308" s="14" t="str">
        <x:v>OPEN</x:v>
      </x:c>
      <x:c r="G308" s="14" t="str"/>
      <x:c r="H308" s="14" t="str"/>
    </x:row>
    <x:row r="309" ht="18" customHeight="1">
      <x:c r="A309" s="14" t="str">
        <x:v>EG-QE02-C20-01</x:v>
      </x:c>
      <x:c r="B309" s="14" t="str">
        <x:v>QE02-C20</x:v>
      </x:c>
      <x:c r="C309" s="14" t="n">
        <x:v>1</x:v>
      </x:c>
      <x:c r="D309" s="14" t="str">
        <x:v>RAZ-1 cell credit</x:v>
      </x:c>
      <x:c r="E309" s="14" t="str">
        <x:v>Evidence required for RFP-C1 / AM-06 / TR-B</x:v>
      </x:c>
      <x:c r="F309" s="14" t="str">
        <x:v>OPEN</x:v>
      </x:c>
      <x:c r="G309" s="14" t="str"/>
      <x:c r="H309" s="14" t="str"/>
    </x:row>
    <x:row r="310" ht="18" customHeight="1">
      <x:c r="A310" s="14" t="str">
        <x:v>EG-QE02-C20-02</x:v>
      </x:c>
      <x:c r="B310" s="14" t="str">
        <x:v>QE02-C20</x:v>
      </x:c>
      <x:c r="C310" s="14" t="n">
        <x:v>2</x:v>
      </x:c>
      <x:c r="D310" s="14" t="str">
        <x:v>current pair baseline</x:v>
      </x:c>
      <x:c r="E310" s="14" t="str">
        <x:v>Evidence required for RFP-C1 / AM-06 / TR-B</x:v>
      </x:c>
      <x:c r="F310" s="14" t="str">
        <x:v>OPEN</x:v>
      </x:c>
      <x:c r="G310" s="14" t="str"/>
      <x:c r="H310" s="14" t="str"/>
    </x:row>
    <x:row r="311" ht="18" customHeight="1">
      <x:c r="A311" s="14" t="str">
        <x:v>EG-QE02-C20-03</x:v>
      </x:c>
      <x:c r="B311" s="14" t="str">
        <x:v>QE02-C20</x:v>
      </x:c>
      <x:c r="C311" s="14" t="n">
        <x:v>3</x:v>
      </x:c>
      <x:c r="D311" s="14" t="str">
        <x:v>REA-100 insert and liner</x:v>
      </x:c>
      <x:c r="E311" s="14" t="str">
        <x:v>Evidence required for RFP-C1 / AM-06 / TR-B</x:v>
      </x:c>
      <x:c r="F311" s="14" t="str">
        <x:v>OPEN</x:v>
      </x:c>
      <x:c r="G311" s="14" t="str"/>
      <x:c r="H311" s="14" t="str"/>
    </x:row>
    <x:row r="312" ht="18" customHeight="1">
      <x:c r="A312" s="14" t="str">
        <x:v>EG-QE02-C20-04</x:v>
      </x:c>
      <x:c r="B312" s="14" t="str">
        <x:v>QE02-C20</x:v>
      </x:c>
      <x:c r="C312" s="14" t="n">
        <x:v>4</x:v>
      </x:c>
      <x:c r="D312" s="14" t="str">
        <x:v>containment and receivers</x:v>
      </x:c>
      <x:c r="E312" s="14" t="str">
        <x:v>Evidence required for RFP-C1 / AM-06 / TR-B</x:v>
      </x:c>
      <x:c r="F312" s="14" t="str">
        <x:v>OPEN</x:v>
      </x:c>
      <x:c r="G312" s="14" t="str"/>
      <x:c r="H312" s="14" t="str"/>
    </x:row>
    <x:row r="313" ht="18" customHeight="1">
      <x:c r="A313" s="14" t="str">
        <x:v>EG-QE02-C20-05</x:v>
      </x:c>
      <x:c r="B313" s="14" t="str">
        <x:v>QE02-C20</x:v>
      </x:c>
      <x:c r="C313" s="14" t="n">
        <x:v>5</x:v>
      </x:c>
      <x:c r="D313" s="14" t="str">
        <x:v>active source package</x:v>
      </x:c>
      <x:c r="E313" s="14" t="str">
        <x:v>Evidence required for RFP-C1 / AM-06 / TR-B</x:v>
      </x:c>
      <x:c r="F313" s="14" t="str">
        <x:v>OPEN</x:v>
      </x:c>
      <x:c r="G313" s="14" t="str"/>
      <x:c r="H313" s="14" t="str"/>
    </x:row>
    <x:row r="314" ht="18" customHeight="1">
      <x:c r="A314" s="14" t="str">
        <x:v>EG-QE02-C20-06</x:v>
      </x:c>
      <x:c r="B314" s="14" t="str">
        <x:v>QE02-C20</x:v>
      </x:c>
      <x:c r="C314" s="14" t="n">
        <x:v>6</x:v>
      </x:c>
      <x:c r="D314" s="14" t="str">
        <x:v>ten package characteristics</x:v>
      </x:c>
      <x:c r="E314" s="14" t="str">
        <x:v>Evidence required for RFP-C1 / AM-06 / TR-B</x:v>
      </x:c>
      <x:c r="F314" s="14" t="str">
        <x:v>OPEN</x:v>
      </x:c>
      <x:c r="G314" s="14" t="str"/>
      <x:c r="H314" s="14" t="str"/>
    </x:row>
    <x:row r="315" ht="18" customHeight="1">
      <x:c r="A315" s="14" t="str">
        <x:v>EG-QE02-C20-07</x:v>
      </x:c>
      <x:c r="B315" s="14" t="str">
        <x:v>QE02-C20</x:v>
      </x:c>
      <x:c r="C315" s="14" t="n">
        <x:v>7</x:v>
      </x:c>
      <x:c r="D315" s="14" t="str">
        <x:v>conditioning and aliquot split</x:v>
      </x:c>
      <x:c r="E315" s="14" t="str">
        <x:v>Evidence required for RFP-C1 / AM-06 / TR-B</x:v>
      </x:c>
      <x:c r="F315" s="14" t="str">
        <x:v>OPEN</x:v>
      </x:c>
      <x:c r="G315" s="14" t="str"/>
      <x:c r="H315" s="14" t="str"/>
    </x:row>
    <x:row r="316" ht="18" customHeight="1">
      <x:c r="A316" s="14" t="str">
        <x:v>EG-QE02-C20-08</x:v>
      </x:c>
      <x:c r="B316" s="14" t="str">
        <x:v>QE02-C20</x:v>
      </x:c>
      <x:c r="C316" s="14" t="n">
        <x:v>8</x:v>
      </x:c>
      <x:c r="D316" s="14" t="str">
        <x:v>unlike ancestry roots</x:v>
      </x:c>
      <x:c r="E316" s="14" t="str">
        <x:v>Evidence required for RFP-C1 / AM-06 / TR-B</x:v>
      </x:c>
      <x:c r="F316" s="14" t="str">
        <x:v>OPEN</x:v>
      </x:c>
      <x:c r="G316" s="14" t="str"/>
      <x:c r="H316" s="14" t="str"/>
    </x:row>
    <x:row r="317" ht="18" customHeight="1">
      <x:c r="A317" s="14" t="str">
        <x:v>EG-QE02-C20-09</x:v>
      </x:c>
      <x:c r="B317" s="14" t="str">
        <x:v>QE02-C20</x:v>
      </x:c>
      <x:c r="C317" s="14" t="n">
        <x:v>9</x:v>
      </x:c>
      <x:c r="D317" s="14" t="str">
        <x:v>twelve final elements</x:v>
      </x:c>
      <x:c r="E317" s="14" t="str">
        <x:v>Evidence required for RFP-C1 / AM-06 / TR-B</x:v>
      </x:c>
      <x:c r="F317" s="14" t="str">
        <x:v>OPEN</x:v>
      </x:c>
      <x:c r="G317" s="14" t="str"/>
      <x:c r="H317" s="14" t="str"/>
    </x:row>
    <x:row r="318" ht="18" customHeight="1">
      <x:c r="A318" s="14" t="str">
        <x:v>EG-QE02-C20-10</x:v>
      </x:c>
      <x:c r="B318" s="14" t="str">
        <x:v>QE02-C20</x:v>
      </x:c>
      <x:c r="C318" s="14" t="n">
        <x:v>10</x:v>
      </x:c>
      <x:c r="D318" s="14" t="str">
        <x:v>thirty-six safeing paths</x:v>
      </x:c>
      <x:c r="E318" s="14" t="str">
        <x:v>Evidence required for RFP-C1 / AM-06 / TR-B</x:v>
      </x:c>
      <x:c r="F318" s="14" t="str">
        <x:v>OPEN</x:v>
      </x:c>
      <x:c r="G318" s="14" t="str"/>
      <x:c r="H318" s="14" t="str"/>
    </x:row>
    <x:row r="319" ht="18" customHeight="1">
      <x:c r="A319" s="14" t="str">
        <x:v>EG-QE02-C20-11</x:v>
      </x:c>
      <x:c r="B319" s="14" t="str">
        <x:v>QE02-C20</x:v>
      </x:c>
      <x:c r="C319" s="14" t="n">
        <x:v>11</x:v>
      </x:c>
      <x:c r="D319" s="14" t="str">
        <x:v>120 m3 water package</x:v>
      </x:c>
      <x:c r="E319" s="14" t="str">
        <x:v>Evidence required for RFP-C1 / AM-06 / TR-B</x:v>
      </x:c>
      <x:c r="F319" s="14" t="str">
        <x:v>OPEN</x:v>
      </x:c>
      <x:c r="G319" s="14" t="str"/>
      <x:c r="H319" s="14" t="str"/>
    </x:row>
    <x:row r="320" ht="18" customHeight="1">
      <x:c r="A320" s="14" t="str">
        <x:v>EG-QE02-C20-12</x:v>
      </x:c>
      <x:c r="B320" s="14" t="str">
        <x:v>QE02-C20</x:v>
      </x:c>
      <x:c r="C320" s="14" t="n">
        <x:v>12</x:v>
      </x:c>
      <x:c r="D320" s="14" t="str">
        <x:v>thermal and environmental boundary</x:v>
      </x:c>
      <x:c r="E320" s="14" t="str">
        <x:v>Evidence required for RFP-C1 / AM-06 / TR-B</x:v>
      </x:c>
      <x:c r="F320" s="14" t="str">
        <x:v>OPEN</x:v>
      </x:c>
      <x:c r="G320" s="14" t="str"/>
      <x:c r="H320" s="14" t="str"/>
    </x:row>
    <x:row r="321" ht="18" customHeight="1">
      <x:c r="A321" s="14" t="str">
        <x:v>EG-QE02-C20-13</x:v>
      </x:c>
      <x:c r="B321" s="14" t="str">
        <x:v>QE02-C20</x:v>
      </x:c>
      <x:c r="C321" s="14" t="n">
        <x:v>13</x:v>
      </x:c>
      <x:c r="D321" s="14" t="str">
        <x:v>fifty-six-position crew</x:v>
      </x:c>
      <x:c r="E321" s="14" t="str">
        <x:v>Evidence required for RFP-C1 / AM-06 / TR-B</x:v>
      </x:c>
      <x:c r="F321" s="14" t="str">
        <x:v>OPEN</x:v>
      </x:c>
      <x:c r="G321" s="14" t="str"/>
      <x:c r="H321" s="14" t="str"/>
    </x:row>
    <x:row r="322" ht="18" customHeight="1">
      <x:c r="A322" s="14" t="str">
        <x:v>EG-QE02-C20-14</x:v>
      </x:c>
      <x:c r="B322" s="14" t="str">
        <x:v>QE02-C20</x:v>
      </x:c>
      <x:c r="C322" s="14" t="n">
        <x:v>14</x:v>
      </x:c>
      <x:c r="D322" s="14" t="str">
        <x:v>rescue and remote entry</x:v>
      </x:c>
      <x:c r="E322" s="14" t="str">
        <x:v>Evidence required for RFP-C1 / AM-06 / TR-B</x:v>
      </x:c>
      <x:c r="F322" s="14" t="str">
        <x:v>OPEN</x:v>
      </x:c>
      <x:c r="G322" s="14" t="str"/>
      <x:c r="H322" s="14" t="str"/>
    </x:row>
    <x:row r="323" ht="18" customHeight="1">
      <x:c r="A323" s="14" t="str">
        <x:v>EG-QE02-C20-15</x:v>
      </x:c>
      <x:c r="B323" s="14" t="str">
        <x:v>QE02-C20</x:v>
      </x:c>
      <x:c r="C323" s="14" t="n">
        <x:v>15</x:v>
      </x:c>
      <x:c r="D323" s="14" t="str">
        <x:v>waste and decontamination route</x:v>
      </x:c>
      <x:c r="E323" s="14" t="str">
        <x:v>Evidence required for RFP-C1 / AM-06 / TR-B</x:v>
      </x:c>
      <x:c r="F323" s="14" t="str">
        <x:v>OPEN</x:v>
      </x:c>
      <x:c r="G323" s="14" t="str"/>
      <x:c r="H323" s="14" t="str"/>
    </x:row>
    <x:row r="324" ht="18" customHeight="1">
      <x:c r="A324" s="14" t="str">
        <x:v>EG-QE02-C20-16</x:v>
      </x:c>
      <x:c r="B324" s="14" t="str">
        <x:v>QE02-C20</x:v>
      </x:c>
      <x:c r="C324" s="14" t="n">
        <x:v>16</x:v>
      </x:c>
      <x:c r="D324" s="14" t="str">
        <x:v>evidence and replay capacity</x:v>
      </x:c>
      <x:c r="E324" s="14" t="str">
        <x:v>Evidence required for RFP-C1 / AM-06 / TR-B</x:v>
      </x:c>
      <x:c r="F324" s="14" t="str">
        <x:v>OPEN</x:v>
      </x:c>
      <x:c r="G324" s="14" t="str"/>
      <x:c r="H324" s="14" t="str"/>
    </x:row>
    <x:row r="325" ht="18" customHeight="1">
      <x:c r="A325" s="14" t="str">
        <x:v>EG-QE02-C21-01</x:v>
      </x:c>
      <x:c r="B325" s="14" t="str">
        <x:v>QE02-C21</x:v>
      </x:c>
      <x:c r="C325" s="14" t="n">
        <x:v>1</x:v>
      </x:c>
      <x:c r="D325" s="14" t="str">
        <x:v>RAZ-1 cell credit</x:v>
      </x:c>
      <x:c r="E325" s="14" t="str">
        <x:v>Evidence required for RFP-C2 / AM-05 / TR-A</x:v>
      </x:c>
      <x:c r="F325" s="14" t="str">
        <x:v>OPEN</x:v>
      </x:c>
      <x:c r="G325" s="14" t="str"/>
      <x:c r="H325" s="14" t="str"/>
    </x:row>
    <x:row r="326" ht="18" customHeight="1">
      <x:c r="A326" s="14" t="str">
        <x:v>EG-QE02-C21-02</x:v>
      </x:c>
      <x:c r="B326" s="14" t="str">
        <x:v>QE02-C21</x:v>
      </x:c>
      <x:c r="C326" s="14" t="n">
        <x:v>2</x:v>
      </x:c>
      <x:c r="D326" s="14" t="str">
        <x:v>current pair baseline</x:v>
      </x:c>
      <x:c r="E326" s="14" t="str">
        <x:v>Evidence required for RFP-C2 / AM-05 / TR-A</x:v>
      </x:c>
      <x:c r="F326" s="14" t="str">
        <x:v>OPEN</x:v>
      </x:c>
      <x:c r="G326" s="14" t="str"/>
      <x:c r="H326" s="14" t="str"/>
    </x:row>
    <x:row r="327" ht="18" customHeight="1">
      <x:c r="A327" s="14" t="str">
        <x:v>EG-QE02-C21-03</x:v>
      </x:c>
      <x:c r="B327" s="14" t="str">
        <x:v>QE02-C21</x:v>
      </x:c>
      <x:c r="C327" s="14" t="n">
        <x:v>3</x:v>
      </x:c>
      <x:c r="D327" s="14" t="str">
        <x:v>REA-100 insert and liner</x:v>
      </x:c>
      <x:c r="E327" s="14" t="str">
        <x:v>Evidence required for RFP-C2 / AM-05 / TR-A</x:v>
      </x:c>
      <x:c r="F327" s="14" t="str">
        <x:v>OPEN</x:v>
      </x:c>
      <x:c r="G327" s="14" t="str"/>
      <x:c r="H327" s="14" t="str"/>
    </x:row>
    <x:row r="328" ht="18" customHeight="1">
      <x:c r="A328" s="14" t="str">
        <x:v>EG-QE02-C21-04</x:v>
      </x:c>
      <x:c r="B328" s="14" t="str">
        <x:v>QE02-C21</x:v>
      </x:c>
      <x:c r="C328" s="14" t="n">
        <x:v>4</x:v>
      </x:c>
      <x:c r="D328" s="14" t="str">
        <x:v>containment and receivers</x:v>
      </x:c>
      <x:c r="E328" s="14" t="str">
        <x:v>Evidence required for RFP-C2 / AM-05 / TR-A</x:v>
      </x:c>
      <x:c r="F328" s="14" t="str">
        <x:v>OPEN</x:v>
      </x:c>
      <x:c r="G328" s="14" t="str"/>
      <x:c r="H328" s="14" t="str"/>
    </x:row>
    <x:row r="329" ht="18" customHeight="1">
      <x:c r="A329" s="14" t="str">
        <x:v>EG-QE02-C21-05</x:v>
      </x:c>
      <x:c r="B329" s="14" t="str">
        <x:v>QE02-C21</x:v>
      </x:c>
      <x:c r="C329" s="14" t="n">
        <x:v>5</x:v>
      </x:c>
      <x:c r="D329" s="14" t="str">
        <x:v>active source package</x:v>
      </x:c>
      <x:c r="E329" s="14" t="str">
        <x:v>Evidence required for RFP-C2 / AM-05 / TR-A</x:v>
      </x:c>
      <x:c r="F329" s="14" t="str">
        <x:v>OPEN</x:v>
      </x:c>
      <x:c r="G329" s="14" t="str"/>
      <x:c r="H329" s="14" t="str"/>
    </x:row>
    <x:row r="330" ht="18" customHeight="1">
      <x:c r="A330" s="14" t="str">
        <x:v>EG-QE02-C21-06</x:v>
      </x:c>
      <x:c r="B330" s="14" t="str">
        <x:v>QE02-C21</x:v>
      </x:c>
      <x:c r="C330" s="14" t="n">
        <x:v>6</x:v>
      </x:c>
      <x:c r="D330" s="14" t="str">
        <x:v>ten package characteristics</x:v>
      </x:c>
      <x:c r="E330" s="14" t="str">
        <x:v>Evidence required for RFP-C2 / AM-05 / TR-A</x:v>
      </x:c>
      <x:c r="F330" s="14" t="str">
        <x:v>OPEN</x:v>
      </x:c>
      <x:c r="G330" s="14" t="str"/>
      <x:c r="H330" s="14" t="str"/>
    </x:row>
    <x:row r="331" ht="18" customHeight="1">
      <x:c r="A331" s="14" t="str">
        <x:v>EG-QE02-C21-07</x:v>
      </x:c>
      <x:c r="B331" s="14" t="str">
        <x:v>QE02-C21</x:v>
      </x:c>
      <x:c r="C331" s="14" t="n">
        <x:v>7</x:v>
      </x:c>
      <x:c r="D331" s="14" t="str">
        <x:v>conditioning and aliquot split</x:v>
      </x:c>
      <x:c r="E331" s="14" t="str">
        <x:v>Evidence required for RFP-C2 / AM-05 / TR-A</x:v>
      </x:c>
      <x:c r="F331" s="14" t="str">
        <x:v>OPEN</x:v>
      </x:c>
      <x:c r="G331" s="14" t="str"/>
      <x:c r="H331" s="14" t="str"/>
    </x:row>
    <x:row r="332" ht="18" customHeight="1">
      <x:c r="A332" s="14" t="str">
        <x:v>EG-QE02-C21-08</x:v>
      </x:c>
      <x:c r="B332" s="14" t="str">
        <x:v>QE02-C21</x:v>
      </x:c>
      <x:c r="C332" s="14" t="n">
        <x:v>8</x:v>
      </x:c>
      <x:c r="D332" s="14" t="str">
        <x:v>unlike ancestry roots</x:v>
      </x:c>
      <x:c r="E332" s="14" t="str">
        <x:v>Evidence required for RFP-C2 / AM-05 / TR-A</x:v>
      </x:c>
      <x:c r="F332" s="14" t="str">
        <x:v>OPEN</x:v>
      </x:c>
      <x:c r="G332" s="14" t="str"/>
      <x:c r="H332" s="14" t="str"/>
    </x:row>
    <x:row r="333" ht="18" customHeight="1">
      <x:c r="A333" s="14" t="str">
        <x:v>EG-QE02-C21-09</x:v>
      </x:c>
      <x:c r="B333" s="14" t="str">
        <x:v>QE02-C21</x:v>
      </x:c>
      <x:c r="C333" s="14" t="n">
        <x:v>9</x:v>
      </x:c>
      <x:c r="D333" s="14" t="str">
        <x:v>twelve final elements</x:v>
      </x:c>
      <x:c r="E333" s="14" t="str">
        <x:v>Evidence required for RFP-C2 / AM-05 / TR-A</x:v>
      </x:c>
      <x:c r="F333" s="14" t="str">
        <x:v>OPEN</x:v>
      </x:c>
      <x:c r="G333" s="14" t="str"/>
      <x:c r="H333" s="14" t="str"/>
    </x:row>
    <x:row r="334" ht="18" customHeight="1">
      <x:c r="A334" s="14" t="str">
        <x:v>EG-QE02-C21-10</x:v>
      </x:c>
      <x:c r="B334" s="14" t="str">
        <x:v>QE02-C21</x:v>
      </x:c>
      <x:c r="C334" s="14" t="n">
        <x:v>10</x:v>
      </x:c>
      <x:c r="D334" s="14" t="str">
        <x:v>thirty-six safeing paths</x:v>
      </x:c>
      <x:c r="E334" s="14" t="str">
        <x:v>Evidence required for RFP-C2 / AM-05 / TR-A</x:v>
      </x:c>
      <x:c r="F334" s="14" t="str">
        <x:v>OPEN</x:v>
      </x:c>
      <x:c r="G334" s="14" t="str"/>
      <x:c r="H334" s="14" t="str"/>
    </x:row>
    <x:row r="335" ht="18" customHeight="1">
      <x:c r="A335" s="14" t="str">
        <x:v>EG-QE02-C21-11</x:v>
      </x:c>
      <x:c r="B335" s="14" t="str">
        <x:v>QE02-C21</x:v>
      </x:c>
      <x:c r="C335" s="14" t="n">
        <x:v>11</x:v>
      </x:c>
      <x:c r="D335" s="14" t="str">
        <x:v>120 m3 water package</x:v>
      </x:c>
      <x:c r="E335" s="14" t="str">
        <x:v>Evidence required for RFP-C2 / AM-05 / TR-A</x:v>
      </x:c>
      <x:c r="F335" s="14" t="str">
        <x:v>OPEN</x:v>
      </x:c>
      <x:c r="G335" s="14" t="str"/>
      <x:c r="H335" s="14" t="str"/>
    </x:row>
    <x:row r="336" ht="18" customHeight="1">
      <x:c r="A336" s="14" t="str">
        <x:v>EG-QE02-C21-12</x:v>
      </x:c>
      <x:c r="B336" s="14" t="str">
        <x:v>QE02-C21</x:v>
      </x:c>
      <x:c r="C336" s="14" t="n">
        <x:v>12</x:v>
      </x:c>
      <x:c r="D336" s="14" t="str">
        <x:v>thermal and environmental boundary</x:v>
      </x:c>
      <x:c r="E336" s="14" t="str">
        <x:v>Evidence required for RFP-C2 / AM-05 / TR-A</x:v>
      </x:c>
      <x:c r="F336" s="14" t="str">
        <x:v>OPEN</x:v>
      </x:c>
      <x:c r="G336" s="14" t="str"/>
      <x:c r="H336" s="14" t="str"/>
    </x:row>
    <x:row r="337" ht="18" customHeight="1">
      <x:c r="A337" s="14" t="str">
        <x:v>EG-QE02-C21-13</x:v>
      </x:c>
      <x:c r="B337" s="14" t="str">
        <x:v>QE02-C21</x:v>
      </x:c>
      <x:c r="C337" s="14" t="n">
        <x:v>13</x:v>
      </x:c>
      <x:c r="D337" s="14" t="str">
        <x:v>fifty-six-position crew</x:v>
      </x:c>
      <x:c r="E337" s="14" t="str">
        <x:v>Evidence required for RFP-C2 / AM-05 / TR-A</x:v>
      </x:c>
      <x:c r="F337" s="14" t="str">
        <x:v>OPEN</x:v>
      </x:c>
      <x:c r="G337" s="14" t="str"/>
      <x:c r="H337" s="14" t="str"/>
    </x:row>
    <x:row r="338" ht="18" customHeight="1">
      <x:c r="A338" s="14" t="str">
        <x:v>EG-QE02-C21-14</x:v>
      </x:c>
      <x:c r="B338" s="14" t="str">
        <x:v>QE02-C21</x:v>
      </x:c>
      <x:c r="C338" s="14" t="n">
        <x:v>14</x:v>
      </x:c>
      <x:c r="D338" s="14" t="str">
        <x:v>rescue and remote entry</x:v>
      </x:c>
      <x:c r="E338" s="14" t="str">
        <x:v>Evidence required for RFP-C2 / AM-05 / TR-A</x:v>
      </x:c>
      <x:c r="F338" s="14" t="str">
        <x:v>OPEN</x:v>
      </x:c>
      <x:c r="G338" s="14" t="str"/>
      <x:c r="H338" s="14" t="str"/>
    </x:row>
    <x:row r="339" ht="18" customHeight="1">
      <x:c r="A339" s="14" t="str">
        <x:v>EG-QE02-C21-15</x:v>
      </x:c>
      <x:c r="B339" s="14" t="str">
        <x:v>QE02-C21</x:v>
      </x:c>
      <x:c r="C339" s="14" t="n">
        <x:v>15</x:v>
      </x:c>
      <x:c r="D339" s="14" t="str">
        <x:v>waste and decontamination route</x:v>
      </x:c>
      <x:c r="E339" s="14" t="str">
        <x:v>Evidence required for RFP-C2 / AM-05 / TR-A</x:v>
      </x:c>
      <x:c r="F339" s="14" t="str">
        <x:v>OPEN</x:v>
      </x:c>
      <x:c r="G339" s="14" t="str"/>
      <x:c r="H339" s="14" t="str"/>
    </x:row>
    <x:row r="340" ht="18" customHeight="1">
      <x:c r="A340" s="14" t="str">
        <x:v>EG-QE02-C21-16</x:v>
      </x:c>
      <x:c r="B340" s="14" t="str">
        <x:v>QE02-C21</x:v>
      </x:c>
      <x:c r="C340" s="14" t="n">
        <x:v>16</x:v>
      </x:c>
      <x:c r="D340" s="14" t="str">
        <x:v>evidence and replay capacity</x:v>
      </x:c>
      <x:c r="E340" s="14" t="str">
        <x:v>Evidence required for RFP-C2 / AM-05 / TR-A</x:v>
      </x:c>
      <x:c r="F340" s="14" t="str">
        <x:v>OPEN</x:v>
      </x:c>
      <x:c r="G340" s="14" t="str"/>
      <x:c r="H340" s="14" t="str"/>
    </x:row>
    <x:row r="341" ht="18" customHeight="1">
      <x:c r="A341" s="14" t="str">
        <x:v>EG-QE02-C22-01</x:v>
      </x:c>
      <x:c r="B341" s="14" t="str">
        <x:v>QE02-C22</x:v>
      </x:c>
      <x:c r="C341" s="14" t="n">
        <x:v>1</x:v>
      </x:c>
      <x:c r="D341" s="14" t="str">
        <x:v>RAZ-1 cell credit</x:v>
      </x:c>
      <x:c r="E341" s="14" t="str">
        <x:v>Evidence required for RFP-C2 / AM-05 / TR-B</x:v>
      </x:c>
      <x:c r="F341" s="14" t="str">
        <x:v>OPEN</x:v>
      </x:c>
      <x:c r="G341" s="14" t="str"/>
      <x:c r="H341" s="14" t="str"/>
    </x:row>
    <x:row r="342" ht="18" customHeight="1">
      <x:c r="A342" s="14" t="str">
        <x:v>EG-QE02-C22-02</x:v>
      </x:c>
      <x:c r="B342" s="14" t="str">
        <x:v>QE02-C22</x:v>
      </x:c>
      <x:c r="C342" s="14" t="n">
        <x:v>2</x:v>
      </x:c>
      <x:c r="D342" s="14" t="str">
        <x:v>current pair baseline</x:v>
      </x:c>
      <x:c r="E342" s="14" t="str">
        <x:v>Evidence required for RFP-C2 / AM-05 / TR-B</x:v>
      </x:c>
      <x:c r="F342" s="14" t="str">
        <x:v>OPEN</x:v>
      </x:c>
      <x:c r="G342" s="14" t="str"/>
      <x:c r="H342" s="14" t="str"/>
    </x:row>
    <x:row r="343" ht="18" customHeight="1">
      <x:c r="A343" s="14" t="str">
        <x:v>EG-QE02-C22-03</x:v>
      </x:c>
      <x:c r="B343" s="14" t="str">
        <x:v>QE02-C22</x:v>
      </x:c>
      <x:c r="C343" s="14" t="n">
        <x:v>3</x:v>
      </x:c>
      <x:c r="D343" s="14" t="str">
        <x:v>REA-100 insert and liner</x:v>
      </x:c>
      <x:c r="E343" s="14" t="str">
        <x:v>Evidence required for RFP-C2 / AM-05 / TR-B</x:v>
      </x:c>
      <x:c r="F343" s="14" t="str">
        <x:v>OPEN</x:v>
      </x:c>
      <x:c r="G343" s="14" t="str"/>
      <x:c r="H343" s="14" t="str"/>
    </x:row>
    <x:row r="344" ht="18" customHeight="1">
      <x:c r="A344" s="14" t="str">
        <x:v>EG-QE02-C22-04</x:v>
      </x:c>
      <x:c r="B344" s="14" t="str">
        <x:v>QE02-C22</x:v>
      </x:c>
      <x:c r="C344" s="14" t="n">
        <x:v>4</x:v>
      </x:c>
      <x:c r="D344" s="14" t="str">
        <x:v>containment and receivers</x:v>
      </x:c>
      <x:c r="E344" s="14" t="str">
        <x:v>Evidence required for RFP-C2 / AM-05 / TR-B</x:v>
      </x:c>
      <x:c r="F344" s="14" t="str">
        <x:v>OPEN</x:v>
      </x:c>
      <x:c r="G344" s="14" t="str"/>
      <x:c r="H344" s="14" t="str"/>
    </x:row>
    <x:row r="345" ht="18" customHeight="1">
      <x:c r="A345" s="14" t="str">
        <x:v>EG-QE02-C22-05</x:v>
      </x:c>
      <x:c r="B345" s="14" t="str">
        <x:v>QE02-C22</x:v>
      </x:c>
      <x:c r="C345" s="14" t="n">
        <x:v>5</x:v>
      </x:c>
      <x:c r="D345" s="14" t="str">
        <x:v>active source package</x:v>
      </x:c>
      <x:c r="E345" s="14" t="str">
        <x:v>Evidence required for RFP-C2 / AM-05 / TR-B</x:v>
      </x:c>
      <x:c r="F345" s="14" t="str">
        <x:v>OPEN</x:v>
      </x:c>
      <x:c r="G345" s="14" t="str"/>
      <x:c r="H345" s="14" t="str"/>
    </x:row>
    <x:row r="346" ht="18" customHeight="1">
      <x:c r="A346" s="14" t="str">
        <x:v>EG-QE02-C22-06</x:v>
      </x:c>
      <x:c r="B346" s="14" t="str">
        <x:v>QE02-C22</x:v>
      </x:c>
      <x:c r="C346" s="14" t="n">
        <x:v>6</x:v>
      </x:c>
      <x:c r="D346" s="14" t="str">
        <x:v>ten package characteristics</x:v>
      </x:c>
      <x:c r="E346" s="14" t="str">
        <x:v>Evidence required for RFP-C2 / AM-05 / TR-B</x:v>
      </x:c>
      <x:c r="F346" s="14" t="str">
        <x:v>OPEN</x:v>
      </x:c>
      <x:c r="G346" s="14" t="str"/>
      <x:c r="H346" s="14" t="str"/>
    </x:row>
    <x:row r="347" ht="18" customHeight="1">
      <x:c r="A347" s="14" t="str">
        <x:v>EG-QE02-C22-07</x:v>
      </x:c>
      <x:c r="B347" s="14" t="str">
        <x:v>QE02-C22</x:v>
      </x:c>
      <x:c r="C347" s="14" t="n">
        <x:v>7</x:v>
      </x:c>
      <x:c r="D347" s="14" t="str">
        <x:v>conditioning and aliquot split</x:v>
      </x:c>
      <x:c r="E347" s="14" t="str">
        <x:v>Evidence required for RFP-C2 / AM-05 / TR-B</x:v>
      </x:c>
      <x:c r="F347" s="14" t="str">
        <x:v>OPEN</x:v>
      </x:c>
      <x:c r="G347" s="14" t="str"/>
      <x:c r="H347" s="14" t="str"/>
    </x:row>
    <x:row r="348" ht="18" customHeight="1">
      <x:c r="A348" s="14" t="str">
        <x:v>EG-QE02-C22-08</x:v>
      </x:c>
      <x:c r="B348" s="14" t="str">
        <x:v>QE02-C22</x:v>
      </x:c>
      <x:c r="C348" s="14" t="n">
        <x:v>8</x:v>
      </x:c>
      <x:c r="D348" s="14" t="str">
        <x:v>unlike ancestry roots</x:v>
      </x:c>
      <x:c r="E348" s="14" t="str">
        <x:v>Evidence required for RFP-C2 / AM-05 / TR-B</x:v>
      </x:c>
      <x:c r="F348" s="14" t="str">
        <x:v>OPEN</x:v>
      </x:c>
      <x:c r="G348" s="14" t="str"/>
      <x:c r="H348" s="14" t="str"/>
    </x:row>
    <x:row r="349" ht="18" customHeight="1">
      <x:c r="A349" s="14" t="str">
        <x:v>EG-QE02-C22-09</x:v>
      </x:c>
      <x:c r="B349" s="14" t="str">
        <x:v>QE02-C22</x:v>
      </x:c>
      <x:c r="C349" s="14" t="n">
        <x:v>9</x:v>
      </x:c>
      <x:c r="D349" s="14" t="str">
        <x:v>twelve final elements</x:v>
      </x:c>
      <x:c r="E349" s="14" t="str">
        <x:v>Evidence required for RFP-C2 / AM-05 / TR-B</x:v>
      </x:c>
      <x:c r="F349" s="14" t="str">
        <x:v>OPEN</x:v>
      </x:c>
      <x:c r="G349" s="14" t="str"/>
      <x:c r="H349" s="14" t="str"/>
    </x:row>
    <x:row r="350" ht="18" customHeight="1">
      <x:c r="A350" s="14" t="str">
        <x:v>EG-QE02-C22-10</x:v>
      </x:c>
      <x:c r="B350" s="14" t="str">
        <x:v>QE02-C22</x:v>
      </x:c>
      <x:c r="C350" s="14" t="n">
        <x:v>10</x:v>
      </x:c>
      <x:c r="D350" s="14" t="str">
        <x:v>thirty-six safeing paths</x:v>
      </x:c>
      <x:c r="E350" s="14" t="str">
        <x:v>Evidence required for RFP-C2 / AM-05 / TR-B</x:v>
      </x:c>
      <x:c r="F350" s="14" t="str">
        <x:v>OPEN</x:v>
      </x:c>
      <x:c r="G350" s="14" t="str"/>
      <x:c r="H350" s="14" t="str"/>
    </x:row>
    <x:row r="351" ht="18" customHeight="1">
      <x:c r="A351" s="14" t="str">
        <x:v>EG-QE02-C22-11</x:v>
      </x:c>
      <x:c r="B351" s="14" t="str">
        <x:v>QE02-C22</x:v>
      </x:c>
      <x:c r="C351" s="14" t="n">
        <x:v>11</x:v>
      </x:c>
      <x:c r="D351" s="14" t="str">
        <x:v>120 m3 water package</x:v>
      </x:c>
      <x:c r="E351" s="14" t="str">
        <x:v>Evidence required for RFP-C2 / AM-05 / TR-B</x:v>
      </x:c>
      <x:c r="F351" s="14" t="str">
        <x:v>OPEN</x:v>
      </x:c>
      <x:c r="G351" s="14" t="str"/>
      <x:c r="H351" s="14" t="str"/>
    </x:row>
    <x:row r="352" ht="18" customHeight="1">
      <x:c r="A352" s="14" t="str">
        <x:v>EG-QE02-C22-12</x:v>
      </x:c>
      <x:c r="B352" s="14" t="str">
        <x:v>QE02-C22</x:v>
      </x:c>
      <x:c r="C352" s="14" t="n">
        <x:v>12</x:v>
      </x:c>
      <x:c r="D352" s="14" t="str">
        <x:v>thermal and environmental boundary</x:v>
      </x:c>
      <x:c r="E352" s="14" t="str">
        <x:v>Evidence required for RFP-C2 / AM-05 / TR-B</x:v>
      </x:c>
      <x:c r="F352" s="14" t="str">
        <x:v>OPEN</x:v>
      </x:c>
      <x:c r="G352" s="14" t="str"/>
      <x:c r="H352" s="14" t="str"/>
    </x:row>
    <x:row r="353" ht="18" customHeight="1">
      <x:c r="A353" s="14" t="str">
        <x:v>EG-QE02-C22-13</x:v>
      </x:c>
      <x:c r="B353" s="14" t="str">
        <x:v>QE02-C22</x:v>
      </x:c>
      <x:c r="C353" s="14" t="n">
        <x:v>13</x:v>
      </x:c>
      <x:c r="D353" s="14" t="str">
        <x:v>fifty-six-position crew</x:v>
      </x:c>
      <x:c r="E353" s="14" t="str">
        <x:v>Evidence required for RFP-C2 / AM-05 / TR-B</x:v>
      </x:c>
      <x:c r="F353" s="14" t="str">
        <x:v>OPEN</x:v>
      </x:c>
      <x:c r="G353" s="14" t="str"/>
      <x:c r="H353" s="14" t="str"/>
    </x:row>
    <x:row r="354" ht="18" customHeight="1">
      <x:c r="A354" s="14" t="str">
        <x:v>EG-QE02-C22-14</x:v>
      </x:c>
      <x:c r="B354" s="14" t="str">
        <x:v>QE02-C22</x:v>
      </x:c>
      <x:c r="C354" s="14" t="n">
        <x:v>14</x:v>
      </x:c>
      <x:c r="D354" s="14" t="str">
        <x:v>rescue and remote entry</x:v>
      </x:c>
      <x:c r="E354" s="14" t="str">
        <x:v>Evidence required for RFP-C2 / AM-05 / TR-B</x:v>
      </x:c>
      <x:c r="F354" s="14" t="str">
        <x:v>OPEN</x:v>
      </x:c>
      <x:c r="G354" s="14" t="str"/>
      <x:c r="H354" s="14" t="str"/>
    </x:row>
    <x:row r="355" ht="18" customHeight="1">
      <x:c r="A355" s="14" t="str">
        <x:v>EG-QE02-C22-15</x:v>
      </x:c>
      <x:c r="B355" s="14" t="str">
        <x:v>QE02-C22</x:v>
      </x:c>
      <x:c r="C355" s="14" t="n">
        <x:v>15</x:v>
      </x:c>
      <x:c r="D355" s="14" t="str">
        <x:v>waste and decontamination route</x:v>
      </x:c>
      <x:c r="E355" s="14" t="str">
        <x:v>Evidence required for RFP-C2 / AM-05 / TR-B</x:v>
      </x:c>
      <x:c r="F355" s="14" t="str">
        <x:v>OPEN</x:v>
      </x:c>
      <x:c r="G355" s="14" t="str"/>
      <x:c r="H355" s="14" t="str"/>
    </x:row>
    <x:row r="356" ht="18" customHeight="1">
      <x:c r="A356" s="14" t="str">
        <x:v>EG-QE02-C22-16</x:v>
      </x:c>
      <x:c r="B356" s="14" t="str">
        <x:v>QE02-C22</x:v>
      </x:c>
      <x:c r="C356" s="14" t="n">
        <x:v>16</x:v>
      </x:c>
      <x:c r="D356" s="14" t="str">
        <x:v>evidence and replay capacity</x:v>
      </x:c>
      <x:c r="E356" s="14" t="str">
        <x:v>Evidence required for RFP-C2 / AM-05 / TR-B</x:v>
      </x:c>
      <x:c r="F356" s="14" t="str">
        <x:v>OPEN</x:v>
      </x:c>
      <x:c r="G356" s="14" t="str"/>
      <x:c r="H356" s="14" t="str"/>
    </x:row>
    <x:row r="357" ht="18" customHeight="1">
      <x:c r="A357" s="14" t="str">
        <x:v>EG-QE02-C23-01</x:v>
      </x:c>
      <x:c r="B357" s="14" t="str">
        <x:v>QE02-C23</x:v>
      </x:c>
      <x:c r="C357" s="14" t="n">
        <x:v>1</x:v>
      </x:c>
      <x:c r="D357" s="14" t="str">
        <x:v>RAZ-1 cell credit</x:v>
      </x:c>
      <x:c r="E357" s="14" t="str">
        <x:v>Evidence required for RFP-C2 / AM-06 / TR-A</x:v>
      </x:c>
      <x:c r="F357" s="14" t="str">
        <x:v>OPEN</x:v>
      </x:c>
      <x:c r="G357" s="14" t="str"/>
      <x:c r="H357" s="14" t="str"/>
    </x:row>
    <x:row r="358" ht="18" customHeight="1">
      <x:c r="A358" s="14" t="str">
        <x:v>EG-QE02-C23-02</x:v>
      </x:c>
      <x:c r="B358" s="14" t="str">
        <x:v>QE02-C23</x:v>
      </x:c>
      <x:c r="C358" s="14" t="n">
        <x:v>2</x:v>
      </x:c>
      <x:c r="D358" s="14" t="str">
        <x:v>current pair baseline</x:v>
      </x:c>
      <x:c r="E358" s="14" t="str">
        <x:v>Evidence required for RFP-C2 / AM-06 / TR-A</x:v>
      </x:c>
      <x:c r="F358" s="14" t="str">
        <x:v>OPEN</x:v>
      </x:c>
      <x:c r="G358" s="14" t="str"/>
      <x:c r="H358" s="14" t="str"/>
    </x:row>
    <x:row r="359" ht="18" customHeight="1">
      <x:c r="A359" s="14" t="str">
        <x:v>EG-QE02-C23-03</x:v>
      </x:c>
      <x:c r="B359" s="14" t="str">
        <x:v>QE02-C23</x:v>
      </x:c>
      <x:c r="C359" s="14" t="n">
        <x:v>3</x:v>
      </x:c>
      <x:c r="D359" s="14" t="str">
        <x:v>REA-100 insert and liner</x:v>
      </x:c>
      <x:c r="E359" s="14" t="str">
        <x:v>Evidence required for RFP-C2 / AM-06 / TR-A</x:v>
      </x:c>
      <x:c r="F359" s="14" t="str">
        <x:v>OPEN</x:v>
      </x:c>
      <x:c r="G359" s="14" t="str"/>
      <x:c r="H359" s="14" t="str"/>
    </x:row>
    <x:row r="360" ht="18" customHeight="1">
      <x:c r="A360" s="14" t="str">
        <x:v>EG-QE02-C23-04</x:v>
      </x:c>
      <x:c r="B360" s="14" t="str">
        <x:v>QE02-C23</x:v>
      </x:c>
      <x:c r="C360" s="14" t="n">
        <x:v>4</x:v>
      </x:c>
      <x:c r="D360" s="14" t="str">
        <x:v>containment and receivers</x:v>
      </x:c>
      <x:c r="E360" s="14" t="str">
        <x:v>Evidence required for RFP-C2 / AM-06 / TR-A</x:v>
      </x:c>
      <x:c r="F360" s="14" t="str">
        <x:v>OPEN</x:v>
      </x:c>
      <x:c r="G360" s="14" t="str"/>
      <x:c r="H360" s="14" t="str"/>
    </x:row>
    <x:row r="361" ht="18" customHeight="1">
      <x:c r="A361" s="14" t="str">
        <x:v>EG-QE02-C23-05</x:v>
      </x:c>
      <x:c r="B361" s="14" t="str">
        <x:v>QE02-C23</x:v>
      </x:c>
      <x:c r="C361" s="14" t="n">
        <x:v>5</x:v>
      </x:c>
      <x:c r="D361" s="14" t="str">
        <x:v>active source package</x:v>
      </x:c>
      <x:c r="E361" s="14" t="str">
        <x:v>Evidence required for RFP-C2 / AM-06 / TR-A</x:v>
      </x:c>
      <x:c r="F361" s="14" t="str">
        <x:v>OPEN</x:v>
      </x:c>
      <x:c r="G361" s="14" t="str"/>
      <x:c r="H361" s="14" t="str"/>
    </x:row>
    <x:row r="362" ht="18" customHeight="1">
      <x:c r="A362" s="14" t="str">
        <x:v>EG-QE02-C23-06</x:v>
      </x:c>
      <x:c r="B362" s="14" t="str">
        <x:v>QE02-C23</x:v>
      </x:c>
      <x:c r="C362" s="14" t="n">
        <x:v>6</x:v>
      </x:c>
      <x:c r="D362" s="14" t="str">
        <x:v>ten package characteristics</x:v>
      </x:c>
      <x:c r="E362" s="14" t="str">
        <x:v>Evidence required for RFP-C2 / AM-06 / TR-A</x:v>
      </x:c>
      <x:c r="F362" s="14" t="str">
        <x:v>OPEN</x:v>
      </x:c>
      <x:c r="G362" s="14" t="str"/>
      <x:c r="H362" s="14" t="str"/>
    </x:row>
    <x:row r="363" ht="18" customHeight="1">
      <x:c r="A363" s="14" t="str">
        <x:v>EG-QE02-C23-07</x:v>
      </x:c>
      <x:c r="B363" s="14" t="str">
        <x:v>QE02-C23</x:v>
      </x:c>
      <x:c r="C363" s="14" t="n">
        <x:v>7</x:v>
      </x:c>
      <x:c r="D363" s="14" t="str">
        <x:v>conditioning and aliquot split</x:v>
      </x:c>
      <x:c r="E363" s="14" t="str">
        <x:v>Evidence required for RFP-C2 / AM-06 / TR-A</x:v>
      </x:c>
      <x:c r="F363" s="14" t="str">
        <x:v>OPEN</x:v>
      </x:c>
      <x:c r="G363" s="14" t="str"/>
      <x:c r="H363" s="14" t="str"/>
    </x:row>
    <x:row r="364" ht="18" customHeight="1">
      <x:c r="A364" s="14" t="str">
        <x:v>EG-QE02-C23-08</x:v>
      </x:c>
      <x:c r="B364" s="14" t="str">
        <x:v>QE02-C23</x:v>
      </x:c>
      <x:c r="C364" s="14" t="n">
        <x:v>8</x:v>
      </x:c>
      <x:c r="D364" s="14" t="str">
        <x:v>unlike ancestry roots</x:v>
      </x:c>
      <x:c r="E364" s="14" t="str">
        <x:v>Evidence required for RFP-C2 / AM-06 / TR-A</x:v>
      </x:c>
      <x:c r="F364" s="14" t="str">
        <x:v>OPEN</x:v>
      </x:c>
      <x:c r="G364" s="14" t="str"/>
      <x:c r="H364" s="14" t="str"/>
    </x:row>
    <x:row r="365" ht="18" customHeight="1">
      <x:c r="A365" s="14" t="str">
        <x:v>EG-QE02-C23-09</x:v>
      </x:c>
      <x:c r="B365" s="14" t="str">
        <x:v>QE02-C23</x:v>
      </x:c>
      <x:c r="C365" s="14" t="n">
        <x:v>9</x:v>
      </x:c>
      <x:c r="D365" s="14" t="str">
        <x:v>twelve final elements</x:v>
      </x:c>
      <x:c r="E365" s="14" t="str">
        <x:v>Evidence required for RFP-C2 / AM-06 / TR-A</x:v>
      </x:c>
      <x:c r="F365" s="14" t="str">
        <x:v>OPEN</x:v>
      </x:c>
      <x:c r="G365" s="14" t="str"/>
      <x:c r="H365" s="14" t="str"/>
    </x:row>
    <x:row r="366" ht="18" customHeight="1">
      <x:c r="A366" s="14" t="str">
        <x:v>EG-QE02-C23-10</x:v>
      </x:c>
      <x:c r="B366" s="14" t="str">
        <x:v>QE02-C23</x:v>
      </x:c>
      <x:c r="C366" s="14" t="n">
        <x:v>10</x:v>
      </x:c>
      <x:c r="D366" s="14" t="str">
        <x:v>thirty-six safeing paths</x:v>
      </x:c>
      <x:c r="E366" s="14" t="str">
        <x:v>Evidence required for RFP-C2 / AM-06 / TR-A</x:v>
      </x:c>
      <x:c r="F366" s="14" t="str">
        <x:v>OPEN</x:v>
      </x:c>
      <x:c r="G366" s="14" t="str"/>
      <x:c r="H366" s="14" t="str"/>
    </x:row>
    <x:row r="367" ht="18" customHeight="1">
      <x:c r="A367" s="14" t="str">
        <x:v>EG-QE02-C23-11</x:v>
      </x:c>
      <x:c r="B367" s="14" t="str">
        <x:v>QE02-C23</x:v>
      </x:c>
      <x:c r="C367" s="14" t="n">
        <x:v>11</x:v>
      </x:c>
      <x:c r="D367" s="14" t="str">
        <x:v>120 m3 water package</x:v>
      </x:c>
      <x:c r="E367" s="14" t="str">
        <x:v>Evidence required for RFP-C2 / AM-06 / TR-A</x:v>
      </x:c>
      <x:c r="F367" s="14" t="str">
        <x:v>OPEN</x:v>
      </x:c>
      <x:c r="G367" s="14" t="str"/>
      <x:c r="H367" s="14" t="str"/>
    </x:row>
    <x:row r="368" ht="18" customHeight="1">
      <x:c r="A368" s="14" t="str">
        <x:v>EG-QE02-C23-12</x:v>
      </x:c>
      <x:c r="B368" s="14" t="str">
        <x:v>QE02-C23</x:v>
      </x:c>
      <x:c r="C368" s="14" t="n">
        <x:v>12</x:v>
      </x:c>
      <x:c r="D368" s="14" t="str">
        <x:v>thermal and environmental boundary</x:v>
      </x:c>
      <x:c r="E368" s="14" t="str">
        <x:v>Evidence required for RFP-C2 / AM-06 / TR-A</x:v>
      </x:c>
      <x:c r="F368" s="14" t="str">
        <x:v>OPEN</x:v>
      </x:c>
      <x:c r="G368" s="14" t="str"/>
      <x:c r="H368" s="14" t="str"/>
    </x:row>
    <x:row r="369" ht="18" customHeight="1">
      <x:c r="A369" s="14" t="str">
        <x:v>EG-QE02-C23-13</x:v>
      </x:c>
      <x:c r="B369" s="14" t="str">
        <x:v>QE02-C23</x:v>
      </x:c>
      <x:c r="C369" s="14" t="n">
        <x:v>13</x:v>
      </x:c>
      <x:c r="D369" s="14" t="str">
        <x:v>fifty-six-position crew</x:v>
      </x:c>
      <x:c r="E369" s="14" t="str">
        <x:v>Evidence required for RFP-C2 / AM-06 / TR-A</x:v>
      </x:c>
      <x:c r="F369" s="14" t="str">
        <x:v>OPEN</x:v>
      </x:c>
      <x:c r="G369" s="14" t="str"/>
      <x:c r="H369" s="14" t="str"/>
    </x:row>
    <x:row r="370" ht="18" customHeight="1">
      <x:c r="A370" s="14" t="str">
        <x:v>EG-QE02-C23-14</x:v>
      </x:c>
      <x:c r="B370" s="14" t="str">
        <x:v>QE02-C23</x:v>
      </x:c>
      <x:c r="C370" s="14" t="n">
        <x:v>14</x:v>
      </x:c>
      <x:c r="D370" s="14" t="str">
        <x:v>rescue and remote entry</x:v>
      </x:c>
      <x:c r="E370" s="14" t="str">
        <x:v>Evidence required for RFP-C2 / AM-06 / TR-A</x:v>
      </x:c>
      <x:c r="F370" s="14" t="str">
        <x:v>OPEN</x:v>
      </x:c>
      <x:c r="G370" s="14" t="str"/>
      <x:c r="H370" s="14" t="str"/>
    </x:row>
    <x:row r="371" ht="18" customHeight="1">
      <x:c r="A371" s="14" t="str">
        <x:v>EG-QE02-C23-15</x:v>
      </x:c>
      <x:c r="B371" s="14" t="str">
        <x:v>QE02-C23</x:v>
      </x:c>
      <x:c r="C371" s="14" t="n">
        <x:v>15</x:v>
      </x:c>
      <x:c r="D371" s="14" t="str">
        <x:v>waste and decontamination route</x:v>
      </x:c>
      <x:c r="E371" s="14" t="str">
        <x:v>Evidence required for RFP-C2 / AM-06 / TR-A</x:v>
      </x:c>
      <x:c r="F371" s="14" t="str">
        <x:v>OPEN</x:v>
      </x:c>
      <x:c r="G371" s="14" t="str"/>
      <x:c r="H371" s="14" t="str"/>
    </x:row>
    <x:row r="372" ht="18" customHeight="1">
      <x:c r="A372" s="14" t="str">
        <x:v>EG-QE02-C23-16</x:v>
      </x:c>
      <x:c r="B372" s="14" t="str">
        <x:v>QE02-C23</x:v>
      </x:c>
      <x:c r="C372" s="14" t="n">
        <x:v>16</x:v>
      </x:c>
      <x:c r="D372" s="14" t="str">
        <x:v>evidence and replay capacity</x:v>
      </x:c>
      <x:c r="E372" s="14" t="str">
        <x:v>Evidence required for RFP-C2 / AM-06 / TR-A</x:v>
      </x:c>
      <x:c r="F372" s="14" t="str">
        <x:v>OPEN</x:v>
      </x:c>
      <x:c r="G372" s="14" t="str"/>
      <x:c r="H372" s="14" t="str"/>
    </x:row>
    <x:row r="373" ht="18" customHeight="1">
      <x:c r="A373" s="14" t="str">
        <x:v>EG-QE02-C24-01</x:v>
      </x:c>
      <x:c r="B373" s="14" t="str">
        <x:v>QE02-C24</x:v>
      </x:c>
      <x:c r="C373" s="14" t="n">
        <x:v>1</x:v>
      </x:c>
      <x:c r="D373" s="14" t="str">
        <x:v>RAZ-1 cell credit</x:v>
      </x:c>
      <x:c r="E373" s="14" t="str">
        <x:v>Evidence required for RFP-C2 / AM-06 / TR-B</x:v>
      </x:c>
      <x:c r="F373" s="14" t="str">
        <x:v>OPEN</x:v>
      </x:c>
      <x:c r="G373" s="14" t="str"/>
      <x:c r="H373" s="14" t="str"/>
    </x:row>
    <x:row r="374" ht="18" customHeight="1">
      <x:c r="A374" s="14" t="str">
        <x:v>EG-QE02-C24-02</x:v>
      </x:c>
      <x:c r="B374" s="14" t="str">
        <x:v>QE02-C24</x:v>
      </x:c>
      <x:c r="C374" s="14" t="n">
        <x:v>2</x:v>
      </x:c>
      <x:c r="D374" s="14" t="str">
        <x:v>current pair baseline</x:v>
      </x:c>
      <x:c r="E374" s="14" t="str">
        <x:v>Evidence required for RFP-C2 / AM-06 / TR-B</x:v>
      </x:c>
      <x:c r="F374" s="14" t="str">
        <x:v>OPEN</x:v>
      </x:c>
      <x:c r="G374" s="14" t="str"/>
      <x:c r="H374" s="14" t="str"/>
    </x:row>
    <x:row r="375" ht="18" customHeight="1">
      <x:c r="A375" s="14" t="str">
        <x:v>EG-QE02-C24-03</x:v>
      </x:c>
      <x:c r="B375" s="14" t="str">
        <x:v>QE02-C24</x:v>
      </x:c>
      <x:c r="C375" s="14" t="n">
        <x:v>3</x:v>
      </x:c>
      <x:c r="D375" s="14" t="str">
        <x:v>REA-100 insert and liner</x:v>
      </x:c>
      <x:c r="E375" s="14" t="str">
        <x:v>Evidence required for RFP-C2 / AM-06 / TR-B</x:v>
      </x:c>
      <x:c r="F375" s="14" t="str">
        <x:v>OPEN</x:v>
      </x:c>
      <x:c r="G375" s="14" t="str"/>
      <x:c r="H375" s="14" t="str"/>
    </x:row>
    <x:row r="376" ht="18" customHeight="1">
      <x:c r="A376" s="14" t="str">
        <x:v>EG-QE02-C24-04</x:v>
      </x:c>
      <x:c r="B376" s="14" t="str">
        <x:v>QE02-C24</x:v>
      </x:c>
      <x:c r="C376" s="14" t="n">
        <x:v>4</x:v>
      </x:c>
      <x:c r="D376" s="14" t="str">
        <x:v>containment and receivers</x:v>
      </x:c>
      <x:c r="E376" s="14" t="str">
        <x:v>Evidence required for RFP-C2 / AM-06 / TR-B</x:v>
      </x:c>
      <x:c r="F376" s="14" t="str">
        <x:v>OPEN</x:v>
      </x:c>
      <x:c r="G376" s="14" t="str"/>
      <x:c r="H376" s="14" t="str"/>
    </x:row>
    <x:row r="377" ht="18" customHeight="1">
      <x:c r="A377" s="14" t="str">
        <x:v>EG-QE02-C24-05</x:v>
      </x:c>
      <x:c r="B377" s="14" t="str">
        <x:v>QE02-C24</x:v>
      </x:c>
      <x:c r="C377" s="14" t="n">
        <x:v>5</x:v>
      </x:c>
      <x:c r="D377" s="14" t="str">
        <x:v>active source package</x:v>
      </x:c>
      <x:c r="E377" s="14" t="str">
        <x:v>Evidence required for RFP-C2 / AM-06 / TR-B</x:v>
      </x:c>
      <x:c r="F377" s="14" t="str">
        <x:v>OPEN</x:v>
      </x:c>
      <x:c r="G377" s="14" t="str"/>
      <x:c r="H377" s="14" t="str"/>
    </x:row>
    <x:row r="378" ht="18" customHeight="1">
      <x:c r="A378" s="14" t="str">
        <x:v>EG-QE02-C24-06</x:v>
      </x:c>
      <x:c r="B378" s="14" t="str">
        <x:v>QE02-C24</x:v>
      </x:c>
      <x:c r="C378" s="14" t="n">
        <x:v>6</x:v>
      </x:c>
      <x:c r="D378" s="14" t="str">
        <x:v>ten package characteristics</x:v>
      </x:c>
      <x:c r="E378" s="14" t="str">
        <x:v>Evidence required for RFP-C2 / AM-06 / TR-B</x:v>
      </x:c>
      <x:c r="F378" s="14" t="str">
        <x:v>OPEN</x:v>
      </x:c>
      <x:c r="G378" s="14" t="str"/>
      <x:c r="H378" s="14" t="str"/>
    </x:row>
    <x:row r="379" ht="18" customHeight="1">
      <x:c r="A379" s="14" t="str">
        <x:v>EG-QE02-C24-07</x:v>
      </x:c>
      <x:c r="B379" s="14" t="str">
        <x:v>QE02-C24</x:v>
      </x:c>
      <x:c r="C379" s="14" t="n">
        <x:v>7</x:v>
      </x:c>
      <x:c r="D379" s="14" t="str">
        <x:v>conditioning and aliquot split</x:v>
      </x:c>
      <x:c r="E379" s="14" t="str">
        <x:v>Evidence required for RFP-C2 / AM-06 / TR-B</x:v>
      </x:c>
      <x:c r="F379" s="14" t="str">
        <x:v>OPEN</x:v>
      </x:c>
      <x:c r="G379" s="14" t="str"/>
      <x:c r="H379" s="14" t="str"/>
    </x:row>
    <x:row r="380" ht="18" customHeight="1">
      <x:c r="A380" s="14" t="str">
        <x:v>EG-QE02-C24-08</x:v>
      </x:c>
      <x:c r="B380" s="14" t="str">
        <x:v>QE02-C24</x:v>
      </x:c>
      <x:c r="C380" s="14" t="n">
        <x:v>8</x:v>
      </x:c>
      <x:c r="D380" s="14" t="str">
        <x:v>unlike ancestry roots</x:v>
      </x:c>
      <x:c r="E380" s="14" t="str">
        <x:v>Evidence required for RFP-C2 / AM-06 / TR-B</x:v>
      </x:c>
      <x:c r="F380" s="14" t="str">
        <x:v>OPEN</x:v>
      </x:c>
      <x:c r="G380" s="14" t="str"/>
      <x:c r="H380" s="14" t="str"/>
    </x:row>
    <x:row r="381" ht="18" customHeight="1">
      <x:c r="A381" s="14" t="str">
        <x:v>EG-QE02-C24-09</x:v>
      </x:c>
      <x:c r="B381" s="14" t="str">
        <x:v>QE02-C24</x:v>
      </x:c>
      <x:c r="C381" s="14" t="n">
        <x:v>9</x:v>
      </x:c>
      <x:c r="D381" s="14" t="str">
        <x:v>twelve final elements</x:v>
      </x:c>
      <x:c r="E381" s="14" t="str">
        <x:v>Evidence required for RFP-C2 / AM-06 / TR-B</x:v>
      </x:c>
      <x:c r="F381" s="14" t="str">
        <x:v>OPEN</x:v>
      </x:c>
      <x:c r="G381" s="14" t="str"/>
      <x:c r="H381" s="14" t="str"/>
    </x:row>
    <x:row r="382" ht="18" customHeight="1">
      <x:c r="A382" s="14" t="str">
        <x:v>EG-QE02-C24-10</x:v>
      </x:c>
      <x:c r="B382" s="14" t="str">
        <x:v>QE02-C24</x:v>
      </x:c>
      <x:c r="C382" s="14" t="n">
        <x:v>10</x:v>
      </x:c>
      <x:c r="D382" s="14" t="str">
        <x:v>thirty-six safeing paths</x:v>
      </x:c>
      <x:c r="E382" s="14" t="str">
        <x:v>Evidence required for RFP-C2 / AM-06 / TR-B</x:v>
      </x:c>
      <x:c r="F382" s="14" t="str">
        <x:v>OPEN</x:v>
      </x:c>
      <x:c r="G382" s="14" t="str"/>
      <x:c r="H382" s="14" t="str"/>
    </x:row>
    <x:row r="383" ht="18" customHeight="1">
      <x:c r="A383" s="14" t="str">
        <x:v>EG-QE02-C24-11</x:v>
      </x:c>
      <x:c r="B383" s="14" t="str">
        <x:v>QE02-C24</x:v>
      </x:c>
      <x:c r="C383" s="14" t="n">
        <x:v>11</x:v>
      </x:c>
      <x:c r="D383" s="14" t="str">
        <x:v>120 m3 water package</x:v>
      </x:c>
      <x:c r="E383" s="14" t="str">
        <x:v>Evidence required for RFP-C2 / AM-06 / TR-B</x:v>
      </x:c>
      <x:c r="F383" s="14" t="str">
        <x:v>OPEN</x:v>
      </x:c>
      <x:c r="G383" s="14" t="str"/>
      <x:c r="H383" s="14" t="str"/>
    </x:row>
    <x:row r="384" ht="18" customHeight="1">
      <x:c r="A384" s="14" t="str">
        <x:v>EG-QE02-C24-12</x:v>
      </x:c>
      <x:c r="B384" s="14" t="str">
        <x:v>QE02-C24</x:v>
      </x:c>
      <x:c r="C384" s="14" t="n">
        <x:v>12</x:v>
      </x:c>
      <x:c r="D384" s="14" t="str">
        <x:v>thermal and environmental boundary</x:v>
      </x:c>
      <x:c r="E384" s="14" t="str">
        <x:v>Evidence required for RFP-C2 / AM-06 / TR-B</x:v>
      </x:c>
      <x:c r="F384" s="14" t="str">
        <x:v>OPEN</x:v>
      </x:c>
      <x:c r="G384" s="14" t="str"/>
      <x:c r="H384" s="14" t="str"/>
    </x:row>
    <x:row r="385" ht="18" customHeight="1">
      <x:c r="A385" s="14" t="str">
        <x:v>EG-QE02-C24-13</x:v>
      </x:c>
      <x:c r="B385" s="14" t="str">
        <x:v>QE02-C24</x:v>
      </x:c>
      <x:c r="C385" s="14" t="n">
        <x:v>13</x:v>
      </x:c>
      <x:c r="D385" s="14" t="str">
        <x:v>fifty-six-position crew</x:v>
      </x:c>
      <x:c r="E385" s="14" t="str">
        <x:v>Evidence required for RFP-C2 / AM-06 / TR-B</x:v>
      </x:c>
      <x:c r="F385" s="14" t="str">
        <x:v>OPEN</x:v>
      </x:c>
      <x:c r="G385" s="14" t="str"/>
      <x:c r="H385" s="14" t="str"/>
    </x:row>
    <x:row r="386" ht="18" customHeight="1">
      <x:c r="A386" s="14" t="str">
        <x:v>EG-QE02-C24-14</x:v>
      </x:c>
      <x:c r="B386" s="14" t="str">
        <x:v>QE02-C24</x:v>
      </x:c>
      <x:c r="C386" s="14" t="n">
        <x:v>14</x:v>
      </x:c>
      <x:c r="D386" s="14" t="str">
        <x:v>rescue and remote entry</x:v>
      </x:c>
      <x:c r="E386" s="14" t="str">
        <x:v>Evidence required for RFP-C2 / AM-06 / TR-B</x:v>
      </x:c>
      <x:c r="F386" s="14" t="str">
        <x:v>OPEN</x:v>
      </x:c>
      <x:c r="G386" s="14" t="str"/>
      <x:c r="H386" s="14" t="str"/>
    </x:row>
    <x:row r="387" ht="18" customHeight="1">
      <x:c r="A387" s="14" t="str">
        <x:v>EG-QE02-C24-15</x:v>
      </x:c>
      <x:c r="B387" s="14" t="str">
        <x:v>QE02-C24</x:v>
      </x:c>
      <x:c r="C387" s="14" t="n">
        <x:v>15</x:v>
      </x:c>
      <x:c r="D387" s="14" t="str">
        <x:v>waste and decontamination route</x:v>
      </x:c>
      <x:c r="E387" s="14" t="str">
        <x:v>Evidence required for RFP-C2 / AM-06 / TR-B</x:v>
      </x:c>
      <x:c r="F387" s="14" t="str">
        <x:v>OPEN</x:v>
      </x:c>
      <x:c r="G387" s="14" t="str"/>
      <x:c r="H387" s="14" t="str"/>
    </x:row>
    <x:row r="388" ht="18" customHeight="1">
      <x:c r="A388" s="14" t="str">
        <x:v>EG-QE02-C24-16</x:v>
      </x:c>
      <x:c r="B388" s="14" t="str">
        <x:v>QE02-C24</x:v>
      </x:c>
      <x:c r="C388" s="14" t="n">
        <x:v>16</x:v>
      </x:c>
      <x:c r="D388" s="14" t="str">
        <x:v>evidence and replay capacity</x:v>
      </x:c>
      <x:c r="E388" s="14" t="str">
        <x:v>Evidence required for RFP-C2 / AM-06 / TR-B</x:v>
      </x:c>
      <x:c r="F388" s="14" t="str">
        <x:v>OPEN</x:v>
      </x:c>
      <x:c r="G388" s="14" t="str"/>
      <x:c r="H388" s="14" t="str"/>
    </x:row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388">
    <x:cfRule type="containsText" dxfId="10" priority="1" operator="containsText" text="ACCEPTED"/>
    <x:cfRule type="containsText" dxfId="11" priority="2" operator="containsText" text="PASS"/>
    <x:cfRule type="containsText" dxfId="12" priority="3" operator="containsText" text="OPEN"/>
    <x:cfRule type="containsText" dxfId="13" priority="4" operator="containsText" text="BLOCKED"/>
    <x:cfRule type="containsText" dxfId="14" priority="5" operator="containsText" text="REJECTED"/>
  </x:conditionalFormatting>
  <x:dataValidations count="1">
    <x:dataValidation type="list" sqref="F5:F388">
      <x:formula1>"OPEN,ACCEPTED,REJECTED"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8" hidden="0" customWidth="1"/>
    <x:col min="4" max="4" width="17" hidden="0" customWidth="1"/>
    <x:col min="5" max="5" width="17" hidden="0" customWidth="1"/>
    <x:col min="6" max="6" width="15" hidden="0" customWidth="1"/>
    <x:col min="7" max="7" width="18" hidden="0" customWidth="1"/>
  </x:cols>
  <x:sheetData>
    <x:row r="1" ht="28" customHeight="1">
      <x:c r="A1" s="18" t="str">
        <x:v>RBA-1 | Fresh six-custodian commit-reveal draw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Values below are model-verification seeds only. Actual commitments, salts and reveals remain OPEN.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Custodian</x:v>
      </x:c>
      <x:c r="B4" s="21" t="str">
        <x:v>Verification integer</x:v>
      </x:c>
      <x:c r="C4" s="21" t="str">
        <x:v>Commitment hash</x:v>
      </x:c>
      <x:c r="D4" s="21" t="str">
        <x:v>Commit state</x:v>
      </x:c>
      <x:c r="E4" s="21" t="str">
        <x:v>Reveal state</x:v>
      </x:c>
      <x:c r="F4" s="21" t="str">
        <x:v>Verified</x:v>
      </x:c>
      <x:c r="G4" s="21" t="str">
        <x:v>Actual integer</x:v>
      </x:c>
    </x:row>
    <x:row r="5" ht="18" customHeight="1">
      <x:c r="A5" s="14" t="str">
        <x:v>public notary A</x:v>
      </x:c>
      <x:c r="B5" s="14" t="n">
        <x:v>3</x:v>
      </x:c>
      <x:c r="C5" s="14" t="str">
        <x:v>DESIGN-HASH-A</x:v>
      </x:c>
      <x:c r="D5" s="14" t="str">
        <x:v>OPEN</x:v>
      </x:c>
      <x:c r="E5" s="14" t="str">
        <x:v>OPEN</x:v>
      </x:c>
      <x:c r="F5" s="14" t="str">
        <x:v>OPEN</x:v>
      </x:c>
      <x:c r="G5" s="14" t="str"/>
    </x:row>
    <x:row r="6" ht="18" customHeight="1">
      <x:c r="A6" s="14" t="str">
        <x:v>public notary B</x:v>
      </x:c>
      <x:c r="B6" s="14" t="n">
        <x:v>4</x:v>
      </x:c>
      <x:c r="C6" s="14" t="str">
        <x:v>DESIGN-HASH-B</x:v>
      </x:c>
      <x:c r="D6" s="14" t="str">
        <x:v>OPEN</x:v>
      </x:c>
      <x:c r="E6" s="14" t="str">
        <x:v>OPEN</x:v>
      </x:c>
      <x:c r="F6" s="14" t="str">
        <x:v>OPEN</x:v>
      </x:c>
      <x:c r="G6" s="14" t="str"/>
    </x:row>
    <x:row r="7" ht="18" customHeight="1">
      <x:c r="A7" s="14" t="str">
        <x:v>source custodian</x:v>
      </x:c>
      <x:c r="B7" s="14" t="n">
        <x:v>5</x:v>
      </x:c>
      <x:c r="C7" s="14" t="str">
        <x:v>DESIGN-HASH-C</x:v>
      </x:c>
      <x:c r="D7" s="14" t="str">
        <x:v>OPEN</x:v>
      </x:c>
      <x:c r="E7" s="14" t="str">
        <x:v>OPEN</x:v>
      </x:c>
      <x:c r="F7" s="14" t="str">
        <x:v>OPEN</x:v>
      </x:c>
      <x:c r="G7" s="14" t="str"/>
    </x:row>
    <x:row r="8" ht="18" customHeight="1">
      <x:c r="A8" s="14" t="str">
        <x:v>rig federation</x:v>
      </x:c>
      <x:c r="B8" s="14" t="n">
        <x:v>6</x:v>
      </x:c>
      <x:c r="C8" s="14" t="str">
        <x:v>DESIGN-HASH-D</x:v>
      </x:c>
      <x:c r="D8" s="14" t="str">
        <x:v>OPEN</x:v>
      </x:c>
      <x:c r="E8" s="14" t="str">
        <x:v>OPEN</x:v>
      </x:c>
      <x:c r="F8" s="14" t="str">
        <x:v>OPEN</x:v>
      </x:c>
      <x:c r="G8" s="14" t="str"/>
    </x:row>
    <x:row r="9" ht="18" customHeight="1">
      <x:c r="A9" s="14" t="str">
        <x:v>independent science board</x:v>
      </x:c>
      <x:c r="B9" s="14" t="n">
        <x:v>2</x:v>
      </x:c>
      <x:c r="C9" s="14" t="str">
        <x:v>DESIGN-HASH-E</x:v>
      </x:c>
      <x:c r="D9" s="14" t="str">
        <x:v>OPEN</x:v>
      </x:c>
      <x:c r="E9" s="14" t="str">
        <x:v>OPEN</x:v>
      </x:c>
      <x:c r="F9" s="14" t="str">
        <x:v>OPEN</x:v>
      </x:c>
      <x:c r="G9" s="14" t="str"/>
    </x:row>
    <x:row r="10" ht="18" customHeight="1">
      <x:c r="A10" s="14" t="str">
        <x:v>civil observer</x:v>
      </x:c>
      <x:c r="B10" s="14" t="n">
        <x:v>3</x:v>
      </x:c>
      <x:c r="C10" s="14" t="str">
        <x:v>DESIGN-HASH-F</x:v>
      </x:c>
      <x:c r="D10" s="14" t="str">
        <x:v>OPEN</x:v>
      </x:c>
      <x:c r="E10" s="14" t="str">
        <x:v>OPEN</x:v>
      </x:c>
      <x:c r="F10" s="14" t="str">
        <x:v>OPEN</x:v>
      </x:c>
      <x:c r="G10" s="14" t="str"/>
    </x:row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D5:F10">
    <x:cfRule type="containsText" dxfId="15" priority="1" operator="containsText" text="ACCEPTED"/>
    <x:cfRule type="containsText" dxfId="16" priority="2" operator="containsText" text="PASS"/>
    <x:cfRule type="containsText" dxfId="17" priority="3" operator="containsText" text="OPEN"/>
    <x:cfRule type="containsText" dxfId="18" priority="4" operator="containsText" text="BLOCKED"/>
    <x:cfRule type="containsText" dxfId="19" priority="5" operator="containsText" text="REJECT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66" hidden="0" customWidth="1"/>
  </x:cols>
  <x:sheetData>
    <x:row r="1" ht="28" customHeight="1">
      <x:c r="A1" s="18" t="str">
        <x:v>RBA-1 | Selection and issue identity</x:v>
      </x:c>
      <x:c r="B1" s="18"/>
      <x:c r="C1" s="18"/>
    </x:row>
    <x:row r="2" ht="28" customHeight="1">
      <x:c r="A2" s="19" t="str">
        <x:v>Verification seed demonstrates deterministic mapping; actual selection remains blank until every cell is source-eligible.</x:v>
      </x:c>
      <x:c r="B2" s="19"/>
      <x:c r="C2" s="19"/>
    </x:row>
    <x:row r="3" ht="18" customHeight="1">
      <x:c r="A3" s="20"/>
      <x:c r="B3" s="20"/>
      <x:c r="C3" s="20"/>
    </x:row>
    <x:row r="4" ht="18" customHeight="1">
      <x:c r="A4" s="21" t="str">
        <x:v>Field</x:v>
      </x:c>
      <x:c r="B4" s="21" t="str">
        <x:v>Value</x:v>
      </x:c>
      <x:c r="C4" s="21" t="str">
        <x:v>Rule</x:v>
      </x:c>
    </x:row>
    <x:row r="5" ht="18" customHeight="1">
      <x:c r="A5" s="14" t="str">
        <x:v>Eligible cell count</x:v>
      </x:c>
      <x:c r="B5" s="14" t="n">
        <x:f>COUNTIF('Candidate Cells'!$H$5:$H$28,"ELIGIBLE")</x:f>
        <x:v>0</x:v>
      </x:c>
      <x:c r="C5" s="14" t="str">
        <x:v>must equal 24</x:v>
      </x:c>
    </x:row>
    <x:row r="6" ht="18" customHeight="1">
      <x:c r="A6" s="14" t="str">
        <x:v>Verification modular sum</x:v>
      </x:c>
      <x:c r="B6" s="14" t="n">
        <x:f>MOD(SUM('Draw Commitments'!$B$5:$B$10),24)</x:f>
        <x:v>23</x:v>
      </x:c>
      <x:c r="C6" s="14" t="str">
        <x:v>sum of six design integers mod 24</x:v>
      </x:c>
    </x:row>
    <x:row r="7" ht="18" customHeight="1">
      <x:c r="A7" s="14" t="str">
        <x:v>Verification selected index</x:v>
      </x:c>
      <x:c r="B7" s="14" t="n">
        <x:f>B6+1</x:f>
        <x:v>24</x:v>
      </x:c>
      <x:c r="C7" s="14" t="str">
        <x:v>1 + modular sum</x:v>
      </x:c>
    </x:row>
    <x:row r="8" ht="18" customHeight="1">
      <x:c r="A8" s="14" t="str">
        <x:v>Verification cell</x:v>
      </x:c>
      <x:c r="B8" s="14" t="str">
        <x:f>INDEX('Candidate Cells'!$A$5:$A$28,B7)</x:f>
        <x:v>QE02-C24</x:v>
      </x:c>
      <x:c r="C8" s="14" t="str">
        <x:v>index into canonical register</x:v>
      </x:c>
    </x:row>
    <x:row r="9" ht="18" customHeight="1">
      <x:c r="A9" s="14" t="str">
        <x:v>All commitments accepted</x:v>
      </x:c>
      <x:c r="B9" s="14" t="str">
        <x:f>INDEX('Candidate Cells'!$F$5:$F$28,B7)</x:f>
        <x:v>SRC-06-B-C2</x:v>
      </x:c>
      <x:c r="C9" s="14" t="str">
        <x:v>six accepted commitments</x:v>
      </x:c>
    </x:row>
    <x:row r="10" ht="18" customHeight="1">
      <x:c r="A10" s="14" t="str">
        <x:v>All reveals verified</x:v>
      </x:c>
      <x:c r="B10" s="14" t="str">
        <x:v>OPEN</x:v>
      </x:c>
      <x:c r="C10" s="14" t="str">
        <x:v>six verified reveals</x:v>
      </x:c>
    </x:row>
    <x:row r="11" ht="18" customHeight="1">
      <x:c r="A11" s="14" t="str">
        <x:v>Actual selected index</x:v>
      </x:c>
      <x:c r="B11" s="14" t="str"/>
      <x:c r="C11" s="14" t="str">
        <x:v>only after 24 eligible cells</x:v>
      </x:c>
    </x:row>
    <x:row r="12" ht="18" customHeight="1">
      <x:c r="A12" s="14" t="str">
        <x:v>Actual selected cell</x:v>
      </x:c>
      <x:c r="B12" s="14" t="str">
        <x:f>IF(AND(B5=24,B10="ACCEPTED",B11="ACCEPTED"),INDEX('Candidate Cells'!$A$5:$A$28,B7),"")</x:f>
      </x:c>
      <x:c r="C12" s="14" t="str">
        <x:v>must match canonical register</x:v>
      </x:c>
    </x:row>
    <x:row r="13" ht="18" customHeight="1">
      <x:c r="A13" s="14" t="str">
        <x:v>Actual source package</x:v>
      </x:c>
      <x:c r="B13" s="14" t="str"/>
      <x:c r="C13" s="14" t="str">
        <x:v>must equal selected cell package</x:v>
      </x:c>
    </x:row>
    <x:row r="14" ht="18" customHeight="1">
      <x:c r="A14" s="14" t="str">
        <x:v>Issue state</x:v>
      </x:c>
      <x:c r="B14" s="14" t="str">
        <x:v>OPEN</x:v>
      </x:c>
      <x:c r="C14" s="14" t="str">
        <x:v>205 bindings and authorities</x:v>
      </x:c>
    </x:row>
    <x:row r="15" ht="18" customHeight="1">
      <x:c r="A15" s="14" t="str">
        <x:v>Selection authority</x:v>
      </x:c>
      <x:c r="B15" s="14" t="str">
        <x:v>BLOCKED</x:v>
      </x:c>
      <x:c r="C15" s="14" t="str">
        <x:v>opens only after all conjunctions</x:v>
      </x:c>
    </x:row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B9:B15">
    <x:cfRule type="containsText" dxfId="20" priority="1" operator="containsText" text="ACCEPTED"/>
    <x:cfRule type="containsText" dxfId="21" priority="2" operator="containsText" text="PASS"/>
    <x:cfRule type="containsText" dxfId="22" priority="3" operator="containsText" text="OPEN"/>
    <x:cfRule type="containsText" dxfId="23" priority="4" operator="containsText" text="BLOCKED"/>
    <x:cfRule type="containsText" dxfId="24" priority="5" operator="containsText" text="REJECT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46" hidden="0" customWidth="1"/>
    <x:col min="5" max="5" width="28" hidden="0" customWidth="1"/>
    <x:col min="6" max="6" width="25" hidden="0" customWidth="1"/>
    <x:col min="7" max="7" width="22" hidden="0" customWidth="1"/>
  </x:cols>
  <x:sheetData>
    <x:row r="1" ht="28" customHeight="1">
      <x:c r="A1" s="18" t="str">
        <x:v>RBA-1 | Attempt-token law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A replacement is capacity to repeat an invalid proposition, never permission to replace a valid adverse result.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Token</x:v>
      </x:c>
      <x:c r="B4" s="21" t="str">
        <x:v>Role</x:v>
      </x:c>
      <x:c r="C4" s="21" t="str">
        <x:v>Initial state</x:v>
      </x:c>
      <x:c r="D4" s="21" t="str">
        <x:v>Activation condition</x:v>
      </x:c>
      <x:c r="E4" s="21" t="str">
        <x:v>Same-cell rule</x:v>
      </x:c>
      <x:c r="F4" s="21" t="str">
        <x:v>New package</x:v>
      </x:c>
      <x:c r="G4" s="21" t="str">
        <x:v>Original retained</x:v>
      </x:c>
    </x:row>
    <x:row r="5" ht="18" customHeight="1">
      <x:c r="A5" s="14" t="str">
        <x:v>QE02-A01</x:v>
      </x:c>
      <x:c r="B5" s="14" t="str">
        <x:v>primary</x:v>
      </x:c>
      <x:c r="C5" s="14" t="str">
        <x:v>AVAILABLE</x:v>
      </x:c>
      <x:c r="D5" s="14" t="str">
        <x:v>selected issue accepted</x:v>
      </x:c>
      <x:c r="E5" s="14" t="str">
        <x:v>exact selected cell</x:v>
      </x:c>
      <x:c r="F5" s="14" t="str">
        <x:v>active package</x:v>
      </x:c>
      <x:c r="G5" s="14" t="str">
        <x:v>yes</x:v>
      </x:c>
    </x:row>
    <x:row r="6" ht="18" customHeight="1">
      <x:c r="A6" s="14" t="str">
        <x:v>QE02-A02</x:v>
      </x:c>
      <x:c r="B6" s="14" t="str">
        <x:v>reserve</x:v>
      </x:c>
      <x:c r="C6" s="14" t="str">
        <x:v>DORMANT</x:v>
      </x:c>
      <x:c r="D6" s="14" t="str">
        <x:v>independent INVALID on A01</x:v>
      </x:c>
      <x:c r="E6" s="14" t="str">
        <x:v>exact selected cell</x:v>
      </x:c>
      <x:c r="F6" s="14" t="str">
        <x:v>same-family reserve</x:v>
      </x:c>
      <x:c r="G6" s="14" t="str">
        <x:v>yes</x:v>
      </x:c>
    </x:row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5" hidden="0" customWidth="1"/>
    <x:col min="5" max="5" width="22" hidden="0" customWidth="1"/>
    <x:col min="6" max="6" width="16" hidden="0" customWidth="1"/>
    <x:col min="7" max="7" width="28" hidden="0" customWidth="1"/>
    <x:col min="8" max="8" width="30" hidden="0" customWidth="1"/>
    <x:col min="9" max="9" width="12" hidden="0" customWidth="1"/>
    <x:col min="10" max="10" width="18" hidden="0" customWidth="1"/>
  </x:cols>
  <x:sheetData>
    <x:row r="1" ht="28" customHeight="1">
      <x:c r="A1" s="18" t="str">
        <x:v>RBA-1 | Attempt register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8" customHeight="1">
      <x:c r="A2" s="19" t="str">
        <x:v>Observed fields remain blank and states OPEN. The register retains both attempts if replacement is lawful.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 ht="18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 ht="18" customHeight="1">
      <x:c r="A4" s="21" t="str">
        <x:v>Token</x:v>
      </x:c>
      <x:c r="B4" s="21" t="str">
        <x:v>Cell</x:v>
      </x:c>
      <x:c r="C4" s="21" t="str">
        <x:v>Package</x:v>
      </x:c>
      <x:c r="D4" s="21" t="str">
        <x:v>Issue</x:v>
      </x:c>
      <x:c r="E4" s="21" t="str">
        <x:v>T0 UTC</x:v>
      </x:c>
      <x:c r="F4" s="21" t="str">
        <x:v>Validity</x:v>
      </x:c>
      <x:c r="G4" s="21" t="str">
        <x:v>Outcome</x:v>
      </x:c>
      <x:c r="H4" s="21" t="str">
        <x:v>Packet root</x:v>
      </x:c>
      <x:c r="I4" s="21" t="str">
        <x:v>Credit</x:v>
      </x:c>
      <x:c r="J4" s="21" t="str">
        <x:v>Disposition</x:v>
      </x:c>
    </x:row>
    <x:row r="5" ht="18" customHeight="1">
      <x:c r="A5" s="14" t="str">
        <x:v>QE02-A01</x:v>
      </x:c>
      <x:c r="B5" s="14" t="str"/>
      <x:c r="C5" s="14" t="str"/>
      <x:c r="D5" s="14" t="str">
        <x:v>OPEN</x:v>
      </x:c>
      <x:c r="E5" s="14" t="str"/>
      <x:c r="F5" s="14" t="str">
        <x:v>OPEN</x:v>
      </x:c>
      <x:c r="G5" s="14" t="str">
        <x:v>OPEN</x:v>
      </x:c>
      <x:c r="H5" s="14" t="str"/>
      <x:c r="I5" s="14" t="str">
        <x:v>NO</x:v>
      </x:c>
      <x:c r="J5" s="14" t="str">
        <x:v>OPEN</x:v>
      </x:c>
    </x:row>
    <x:row r="6" ht="18" customHeight="1">
      <x:c r="A6" s="14" t="str">
        <x:v>QE02-A02</x:v>
      </x:c>
      <x:c r="B6" s="14" t="str"/>
      <x:c r="C6" s="14" t="str"/>
      <x:c r="D6" s="14" t="str">
        <x:v>DORMANT</x:v>
      </x:c>
      <x:c r="E6" s="14" t="str"/>
      <x:c r="F6" s="14" t="str">
        <x:v>OPEN</x:v>
      </x:c>
      <x:c r="G6" s="14" t="str">
        <x:v>OPEN</x:v>
      </x:c>
      <x:c r="H6" s="14" t="str"/>
      <x:c r="I6" s="14" t="str">
        <x:v>NO</x:v>
      </x:c>
      <x:c r="J6" s="14" t="str">
        <x:v>DORMANT</x:v>
      </x:c>
    </x:row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5" hidden="0" customWidth="1"/>
    <x:col min="11" max="11" width="16" hidden="0" customWidth="1"/>
  </x:cols>
  <x:sheetData>
    <x:row r="1" ht="28" customHeight="1">
      <x:c r="A1" s="18" t="str">
        <x:v>RBA-1 | Serialized source packages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8" customHeight="1">
      <x:c r="A2" s="19" t="str">
        <x:v>Twenty-four active packages and four family-protected reserves; physical acceptance remains open.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 ht="18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 ht="18" customHeight="1">
      <x:c r="A4" s="21" t="str">
        <x:v>Package</x:v>
      </x:c>
      <x:c r="B4" s="21" t="str">
        <x:v>Method</x:v>
      </x:c>
      <x:c r="C4" s="21" t="str">
        <x:v>Root</x:v>
      </x:c>
      <x:c r="D4" s="21" t="str">
        <x:v>Rig</x:v>
      </x:c>
      <x:c r="E4" s="21" t="str">
        <x:v>Role</x:v>
      </x:c>
      <x:c r="F4" s="21" t="str">
        <x:v>Gross kg</x:v>
      </x:c>
      <x:c r="G4" s="21" t="str">
        <x:v>Event kg</x:v>
      </x:c>
      <x:c r="H4" s="21" t="str">
        <x:v>Assay kg</x:v>
      </x:c>
      <x:c r="I4" s="21" t="str">
        <x:v>Condition kg</x:v>
      </x:c>
      <x:c r="J4" s="21" t="str">
        <x:v>Quarantine kg</x:v>
      </x:c>
      <x:c r="K4" s="21" t="str">
        <x:v>Acceptance</x:v>
      </x:c>
    </x:row>
    <x:row r="5" ht="18" customHeight="1">
      <x:c r="A5" s="14" t="str">
        <x:v>SRC-01</x:v>
      </x:c>
      <x:c r="B5" s="14" t="str">
        <x:v>AM-05</x:v>
      </x:c>
      <x:c r="C5" s="14" t="str">
        <x:v>TR-A</x:v>
      </x:c>
      <x:c r="D5" s="14" t="str">
        <x:v>RFP-A1</x:v>
      </x:c>
      <x:c r="E5" s="14" t="str">
        <x:v>ACTIVE</x:v>
      </x:c>
      <x:c r="F5" s="14" t="n">
        <x:v>125</x:v>
      </x:c>
      <x:c r="G5" s="14" t="n">
        <x:v>100</x:v>
      </x:c>
      <x:c r="H5" s="14" t="n">
        <x:v>10</x:v>
      </x:c>
      <x:c r="I5" s="14" t="n">
        <x:v>10</x:v>
      </x:c>
      <x:c r="J5" s="14" t="n">
        <x:v>5</x:v>
      </x:c>
      <x:c r="K5" s="14" t="str">
        <x:v>OPEN</x:v>
      </x:c>
    </x:row>
    <x:row r="6" ht="18" customHeight="1">
      <x:c r="A6" s="14" t="str">
        <x:v>SRC-02</x:v>
      </x:c>
      <x:c r="B6" s="14" t="str">
        <x:v>AM-05</x:v>
      </x:c>
      <x:c r="C6" s="14" t="str">
        <x:v>TR-B</x:v>
      </x:c>
      <x:c r="D6" s="14" t="str">
        <x:v>RFP-A1</x:v>
      </x:c>
      <x:c r="E6" s="14" t="str">
        <x:v>ACTIVE</x:v>
      </x:c>
      <x:c r="F6" s="14" t="n">
        <x:v>125</x:v>
      </x:c>
      <x:c r="G6" s="14" t="n">
        <x:v>100</x:v>
      </x:c>
      <x:c r="H6" s="14" t="n">
        <x:v>10</x:v>
      </x:c>
      <x:c r="I6" s="14" t="n">
        <x:v>10</x:v>
      </x:c>
      <x:c r="J6" s="14" t="n">
        <x:v>5</x:v>
      </x:c>
      <x:c r="K6" s="14" t="str">
        <x:v>OPEN</x:v>
      </x:c>
    </x:row>
    <x:row r="7" ht="18" customHeight="1">
      <x:c r="A7" s="14" t="str">
        <x:v>SRC-03</x:v>
      </x:c>
      <x:c r="B7" s="14" t="str">
        <x:v>AM-06</x:v>
      </x:c>
      <x:c r="C7" s="14" t="str">
        <x:v>TR-A</x:v>
      </x:c>
      <x:c r="D7" s="14" t="str">
        <x:v>RFP-A1</x:v>
      </x:c>
      <x:c r="E7" s="14" t="str">
        <x:v>ACTIVE</x:v>
      </x:c>
      <x:c r="F7" s="14" t="n">
        <x:v>125</x:v>
      </x:c>
      <x:c r="G7" s="14" t="n">
        <x:v>100</x:v>
      </x:c>
      <x:c r="H7" s="14" t="n">
        <x:v>10</x:v>
      </x:c>
      <x:c r="I7" s="14" t="n">
        <x:v>10</x:v>
      </x:c>
      <x:c r="J7" s="14" t="n">
        <x:v>5</x:v>
      </x:c>
      <x:c r="K7" s="14" t="str">
        <x:v>OPEN</x:v>
      </x:c>
    </x:row>
    <x:row r="8" ht="18" customHeight="1">
      <x:c r="A8" s="14" t="str">
        <x:v>SRC-04</x:v>
      </x:c>
      <x:c r="B8" s="14" t="str">
        <x:v>AM-06</x:v>
      </x:c>
      <x:c r="C8" s="14" t="str">
        <x:v>TR-B</x:v>
      </x:c>
      <x:c r="D8" s="14" t="str">
        <x:v>RFP-A1</x:v>
      </x:c>
      <x:c r="E8" s="14" t="str">
        <x:v>ACTIVE</x:v>
      </x:c>
      <x:c r="F8" s="14" t="n">
        <x:v>125</x:v>
      </x:c>
      <x:c r="G8" s="14" t="n">
        <x:v>100</x:v>
      </x:c>
      <x:c r="H8" s="14" t="n">
        <x:v>10</x:v>
      </x:c>
      <x:c r="I8" s="14" t="n">
        <x:v>10</x:v>
      </x:c>
      <x:c r="J8" s="14" t="n">
        <x:v>5</x:v>
      </x:c>
      <x:c r="K8" s="14" t="str">
        <x:v>OPEN</x:v>
      </x:c>
    </x:row>
    <x:row r="9" ht="18" customHeight="1">
      <x:c r="A9" s="14" t="str">
        <x:v>SRC-05</x:v>
      </x:c>
      <x:c r="B9" s="14" t="str">
        <x:v>AM-05</x:v>
      </x:c>
      <x:c r="C9" s="14" t="str">
        <x:v>TR-A</x:v>
      </x:c>
      <x:c r="D9" s="14" t="str">
        <x:v>RFP-A2</x:v>
      </x:c>
      <x:c r="E9" s="14" t="str">
        <x:v>ACTIVE</x:v>
      </x:c>
      <x:c r="F9" s="14" t="n">
        <x:v>125</x:v>
      </x:c>
      <x:c r="G9" s="14" t="n">
        <x:v>100</x:v>
      </x:c>
      <x:c r="H9" s="14" t="n">
        <x:v>10</x:v>
      </x:c>
      <x:c r="I9" s="14" t="n">
        <x:v>10</x:v>
      </x:c>
      <x:c r="J9" s="14" t="n">
        <x:v>5</x:v>
      </x:c>
      <x:c r="K9" s="14" t="str">
        <x:v>OPEN</x:v>
      </x:c>
    </x:row>
    <x:row r="10" ht="18" customHeight="1">
      <x:c r="A10" s="14" t="str">
        <x:v>SRC-06</x:v>
      </x:c>
      <x:c r="B10" s="14" t="str">
        <x:v>AM-05</x:v>
      </x:c>
      <x:c r="C10" s="14" t="str">
        <x:v>TR-B</x:v>
      </x:c>
      <x:c r="D10" s="14" t="str">
        <x:v>RFP-A2</x:v>
      </x:c>
      <x:c r="E10" s="14" t="str">
        <x:v>ACTIVE</x:v>
      </x:c>
      <x:c r="F10" s="14" t="n">
        <x:v>125</x:v>
      </x:c>
      <x:c r="G10" s="14" t="n">
        <x:v>100</x:v>
      </x:c>
      <x:c r="H10" s="14" t="n">
        <x:v>10</x:v>
      </x:c>
      <x:c r="I10" s="14" t="n">
        <x:v>10</x:v>
      </x:c>
      <x:c r="J10" s="14" t="n">
        <x:v>5</x:v>
      </x:c>
      <x:c r="K10" s="14" t="str">
        <x:v>OPEN</x:v>
      </x:c>
    </x:row>
    <x:row r="11" ht="18" customHeight="1">
      <x:c r="A11" s="14" t="str">
        <x:v>SRC-07</x:v>
      </x:c>
      <x:c r="B11" s="14" t="str">
        <x:v>AM-06</x:v>
      </x:c>
      <x:c r="C11" s="14" t="str">
        <x:v>TR-A</x:v>
      </x:c>
      <x:c r="D11" s="14" t="str">
        <x:v>RFP-A2</x:v>
      </x:c>
      <x:c r="E11" s="14" t="str">
        <x:v>ACTIVE</x:v>
      </x:c>
      <x:c r="F11" s="14" t="n">
        <x:v>125</x:v>
      </x:c>
      <x:c r="G11" s="14" t="n">
        <x:v>100</x:v>
      </x:c>
      <x:c r="H11" s="14" t="n">
        <x:v>10</x:v>
      </x:c>
      <x:c r="I11" s="14" t="n">
        <x:v>10</x:v>
      </x:c>
      <x:c r="J11" s="14" t="n">
        <x:v>5</x:v>
      </x:c>
      <x:c r="K11" s="14" t="str">
        <x:v>OPEN</x:v>
      </x:c>
    </x:row>
    <x:row r="12" ht="18" customHeight="1">
      <x:c r="A12" s="14" t="str">
        <x:v>SRC-08</x:v>
      </x:c>
      <x:c r="B12" s="14" t="str">
        <x:v>AM-06</x:v>
      </x:c>
      <x:c r="C12" s="14" t="str">
        <x:v>TR-B</x:v>
      </x:c>
      <x:c r="D12" s="14" t="str">
        <x:v>RFP-A2</x:v>
      </x:c>
      <x:c r="E12" s="14" t="str">
        <x:v>ACTIVE</x:v>
      </x:c>
      <x:c r="F12" s="14" t="n">
        <x:v>125</x:v>
      </x:c>
      <x:c r="G12" s="14" t="n">
        <x:v>100</x:v>
      </x:c>
      <x:c r="H12" s="14" t="n">
        <x:v>10</x:v>
      </x:c>
      <x:c r="I12" s="14" t="n">
        <x:v>10</x:v>
      </x:c>
      <x:c r="J12" s="14" t="n">
        <x:v>5</x:v>
      </x:c>
      <x:c r="K12" s="14" t="str">
        <x:v>OPEN</x:v>
      </x:c>
    </x:row>
    <x:row r="13" ht="18" customHeight="1">
      <x:c r="A13" s="14" t="str">
        <x:v>SRC-09</x:v>
      </x:c>
      <x:c r="B13" s="14" t="str">
        <x:v>AM-05</x:v>
      </x:c>
      <x:c r="C13" s="14" t="str">
        <x:v>TR-A</x:v>
      </x:c>
      <x:c r="D13" s="14" t="str">
        <x:v>RFP-B1</x:v>
      </x:c>
      <x:c r="E13" s="14" t="str">
        <x:v>ACTIVE</x:v>
      </x:c>
      <x:c r="F13" s="14" t="n">
        <x:v>125</x:v>
      </x:c>
      <x:c r="G13" s="14" t="n">
        <x:v>100</x:v>
      </x:c>
      <x:c r="H13" s="14" t="n">
        <x:v>10</x:v>
      </x:c>
      <x:c r="I13" s="14" t="n">
        <x:v>10</x:v>
      </x:c>
      <x:c r="J13" s="14" t="n">
        <x:v>5</x:v>
      </x:c>
      <x:c r="K13" s="14" t="str">
        <x:v>OPEN</x:v>
      </x:c>
    </x:row>
    <x:row r="14" ht="18" customHeight="1">
      <x:c r="A14" s="14" t="str">
        <x:v>SRC-10</x:v>
      </x:c>
      <x:c r="B14" s="14" t="str">
        <x:v>AM-05</x:v>
      </x:c>
      <x:c r="C14" s="14" t="str">
        <x:v>TR-B</x:v>
      </x:c>
      <x:c r="D14" s="14" t="str">
        <x:v>RFP-B1</x:v>
      </x:c>
      <x:c r="E14" s="14" t="str">
        <x:v>ACTIVE</x:v>
      </x:c>
      <x:c r="F14" s="14" t="n">
        <x:v>125</x:v>
      </x:c>
      <x:c r="G14" s="14" t="n">
        <x:v>100</x:v>
      </x:c>
      <x:c r="H14" s="14" t="n">
        <x:v>10</x:v>
      </x:c>
      <x:c r="I14" s="14" t="n">
        <x:v>10</x:v>
      </x:c>
      <x:c r="J14" s="14" t="n">
        <x:v>5</x:v>
      </x:c>
      <x:c r="K14" s="14" t="str">
        <x:v>OPEN</x:v>
      </x:c>
    </x:row>
    <x:row r="15" ht="18" customHeight="1">
      <x:c r="A15" s="14" t="str">
        <x:v>SRC-11</x:v>
      </x:c>
      <x:c r="B15" s="14" t="str">
        <x:v>AM-06</x:v>
      </x:c>
      <x:c r="C15" s="14" t="str">
        <x:v>TR-A</x:v>
      </x:c>
      <x:c r="D15" s="14" t="str">
        <x:v>RFP-B1</x:v>
      </x:c>
      <x:c r="E15" s="14" t="str">
        <x:v>ACTIVE</x:v>
      </x:c>
      <x:c r="F15" s="14" t="n">
        <x:v>125</x:v>
      </x:c>
      <x:c r="G15" s="14" t="n">
        <x:v>100</x:v>
      </x:c>
      <x:c r="H15" s="14" t="n">
        <x:v>10</x:v>
      </x:c>
      <x:c r="I15" s="14" t="n">
        <x:v>10</x:v>
      </x:c>
      <x:c r="J15" s="14" t="n">
        <x:v>5</x:v>
      </x:c>
      <x:c r="K15" s="14" t="str">
        <x:v>OPEN</x:v>
      </x:c>
    </x:row>
    <x:row r="16" ht="18" customHeight="1">
      <x:c r="A16" s="14" t="str">
        <x:v>SRC-12</x:v>
      </x:c>
      <x:c r="B16" s="14" t="str">
        <x:v>AM-06</x:v>
      </x:c>
      <x:c r="C16" s="14" t="str">
        <x:v>TR-B</x:v>
      </x:c>
      <x:c r="D16" s="14" t="str">
        <x:v>RFP-B1</x:v>
      </x:c>
      <x:c r="E16" s="14" t="str">
        <x:v>ACTIVE</x:v>
      </x:c>
      <x:c r="F16" s="14" t="n">
        <x:v>125</x:v>
      </x:c>
      <x:c r="G16" s="14" t="n">
        <x:v>100</x:v>
      </x:c>
      <x:c r="H16" s="14" t="n">
        <x:v>10</x:v>
      </x:c>
      <x:c r="I16" s="14" t="n">
        <x:v>10</x:v>
      </x:c>
      <x:c r="J16" s="14" t="n">
        <x:v>5</x:v>
      </x:c>
      <x:c r="K16" s="14" t="str">
        <x:v>OPEN</x:v>
      </x:c>
    </x:row>
    <x:row r="17" ht="18" customHeight="1">
      <x:c r="A17" s="14" t="str">
        <x:v>SRC-13</x:v>
      </x:c>
      <x:c r="B17" s="14" t="str">
        <x:v>AM-05</x:v>
      </x:c>
      <x:c r="C17" s="14" t="str">
        <x:v>TR-A</x:v>
      </x:c>
      <x:c r="D17" s="14" t="str">
        <x:v>RFP-B2</x:v>
      </x:c>
      <x:c r="E17" s="14" t="str">
        <x:v>ACTIVE</x:v>
      </x:c>
      <x:c r="F17" s="14" t="n">
        <x:v>125</x:v>
      </x:c>
      <x:c r="G17" s="14" t="n">
        <x:v>100</x:v>
      </x:c>
      <x:c r="H17" s="14" t="n">
        <x:v>10</x:v>
      </x:c>
      <x:c r="I17" s="14" t="n">
        <x:v>10</x:v>
      </x:c>
      <x:c r="J17" s="14" t="n">
        <x:v>5</x:v>
      </x:c>
      <x:c r="K17" s="14" t="str">
        <x:v>OPEN</x:v>
      </x:c>
    </x:row>
    <x:row r="18" ht="18" customHeight="1">
      <x:c r="A18" s="14" t="str">
        <x:v>SRC-14</x:v>
      </x:c>
      <x:c r="B18" s="14" t="str">
        <x:v>AM-05</x:v>
      </x:c>
      <x:c r="C18" s="14" t="str">
        <x:v>TR-B</x:v>
      </x:c>
      <x:c r="D18" s="14" t="str">
        <x:v>RFP-B2</x:v>
      </x:c>
      <x:c r="E18" s="14" t="str">
        <x:v>ACTIVE</x:v>
      </x:c>
      <x:c r="F18" s="14" t="n">
        <x:v>125</x:v>
      </x:c>
      <x:c r="G18" s="14" t="n">
        <x:v>100</x:v>
      </x:c>
      <x:c r="H18" s="14" t="n">
        <x:v>10</x:v>
      </x:c>
      <x:c r="I18" s="14" t="n">
        <x:v>10</x:v>
      </x:c>
      <x:c r="J18" s="14" t="n">
        <x:v>5</x:v>
      </x:c>
      <x:c r="K18" s="14" t="str">
        <x:v>OPEN</x:v>
      </x:c>
    </x:row>
    <x:row r="19" ht="18" customHeight="1">
      <x:c r="A19" s="14" t="str">
        <x:v>SRC-15</x:v>
      </x:c>
      <x:c r="B19" s="14" t="str">
        <x:v>AM-06</x:v>
      </x:c>
      <x:c r="C19" s="14" t="str">
        <x:v>TR-A</x:v>
      </x:c>
      <x:c r="D19" s="14" t="str">
        <x:v>RFP-B2</x:v>
      </x:c>
      <x:c r="E19" s="14" t="str">
        <x:v>ACTIVE</x:v>
      </x:c>
      <x:c r="F19" s="14" t="n">
        <x:v>125</x:v>
      </x:c>
      <x:c r="G19" s="14" t="n">
        <x:v>100</x:v>
      </x:c>
      <x:c r="H19" s="14" t="n">
        <x:v>10</x:v>
      </x:c>
      <x:c r="I19" s="14" t="n">
        <x:v>10</x:v>
      </x:c>
      <x:c r="J19" s="14" t="n">
        <x:v>5</x:v>
      </x:c>
      <x:c r="K19" s="14" t="str">
        <x:v>OPEN</x:v>
      </x:c>
    </x:row>
    <x:row r="20" ht="18" customHeight="1">
      <x:c r="A20" s="14" t="str">
        <x:v>SRC-16</x:v>
      </x:c>
      <x:c r="B20" s="14" t="str">
        <x:v>AM-06</x:v>
      </x:c>
      <x:c r="C20" s="14" t="str">
        <x:v>TR-B</x:v>
      </x:c>
      <x:c r="D20" s="14" t="str">
        <x:v>RFP-B2</x:v>
      </x:c>
      <x:c r="E20" s="14" t="str">
        <x:v>ACTIVE</x:v>
      </x:c>
      <x:c r="F20" s="14" t="n">
        <x:v>125</x:v>
      </x:c>
      <x:c r="G20" s="14" t="n">
        <x:v>100</x:v>
      </x:c>
      <x:c r="H20" s="14" t="n">
        <x:v>10</x:v>
      </x:c>
      <x:c r="I20" s="14" t="n">
        <x:v>10</x:v>
      </x:c>
      <x:c r="J20" s="14" t="n">
        <x:v>5</x:v>
      </x:c>
      <x:c r="K20" s="14" t="str">
        <x:v>OPEN</x:v>
      </x:c>
    </x:row>
    <x:row r="21" ht="18" customHeight="1">
      <x:c r="A21" s="14" t="str">
        <x:v>SRC-17</x:v>
      </x:c>
      <x:c r="B21" s="14" t="str">
        <x:v>AM-05</x:v>
      </x:c>
      <x:c r="C21" s="14" t="str">
        <x:v>TR-A</x:v>
      </x:c>
      <x:c r="D21" s="14" t="str">
        <x:v>RFP-C1</x:v>
      </x:c>
      <x:c r="E21" s="14" t="str">
        <x:v>ACTIVE</x:v>
      </x:c>
      <x:c r="F21" s="14" t="n">
        <x:v>125</x:v>
      </x:c>
      <x:c r="G21" s="14" t="n">
        <x:v>100</x:v>
      </x:c>
      <x:c r="H21" s="14" t="n">
        <x:v>10</x:v>
      </x:c>
      <x:c r="I21" s="14" t="n">
        <x:v>10</x:v>
      </x:c>
      <x:c r="J21" s="14" t="n">
        <x:v>5</x:v>
      </x:c>
      <x:c r="K21" s="14" t="str">
        <x:v>OPEN</x:v>
      </x:c>
    </x:row>
    <x:row r="22" ht="18" customHeight="1">
      <x:c r="A22" s="14" t="str">
        <x:v>SRC-18</x:v>
      </x:c>
      <x:c r="B22" s="14" t="str">
        <x:v>AM-05</x:v>
      </x:c>
      <x:c r="C22" s="14" t="str">
        <x:v>TR-B</x:v>
      </x:c>
      <x:c r="D22" s="14" t="str">
        <x:v>RFP-C1</x:v>
      </x:c>
      <x:c r="E22" s="14" t="str">
        <x:v>ACTIVE</x:v>
      </x:c>
      <x:c r="F22" s="14" t="n">
        <x:v>125</x:v>
      </x:c>
      <x:c r="G22" s="14" t="n">
        <x:v>100</x:v>
      </x:c>
      <x:c r="H22" s="14" t="n">
        <x:v>10</x:v>
      </x:c>
      <x:c r="I22" s="14" t="n">
        <x:v>10</x:v>
      </x:c>
      <x:c r="J22" s="14" t="n">
        <x:v>5</x:v>
      </x:c>
      <x:c r="K22" s="14" t="str">
        <x:v>OPEN</x:v>
      </x:c>
    </x:row>
    <x:row r="23" ht="18" customHeight="1">
      <x:c r="A23" s="14" t="str">
        <x:v>SRC-19</x:v>
      </x:c>
      <x:c r="B23" s="14" t="str">
        <x:v>AM-06</x:v>
      </x:c>
      <x:c r="C23" s="14" t="str">
        <x:v>TR-A</x:v>
      </x:c>
      <x:c r="D23" s="14" t="str">
        <x:v>RFP-C1</x:v>
      </x:c>
      <x:c r="E23" s="14" t="str">
        <x:v>ACTIVE</x:v>
      </x:c>
      <x:c r="F23" s="14" t="n">
        <x:v>125</x:v>
      </x:c>
      <x:c r="G23" s="14" t="n">
        <x:v>100</x:v>
      </x:c>
      <x:c r="H23" s="14" t="n">
        <x:v>10</x:v>
      </x:c>
      <x:c r="I23" s="14" t="n">
        <x:v>10</x:v>
      </x:c>
      <x:c r="J23" s="14" t="n">
        <x:v>5</x:v>
      </x:c>
      <x:c r="K23" s="14" t="str">
        <x:v>OPEN</x:v>
      </x:c>
    </x:row>
    <x:row r="24" ht="18" customHeight="1">
      <x:c r="A24" s="14" t="str">
        <x:v>SRC-20</x:v>
      </x:c>
      <x:c r="B24" s="14" t="str">
        <x:v>AM-06</x:v>
      </x:c>
      <x:c r="C24" s="14" t="str">
        <x:v>TR-B</x:v>
      </x:c>
      <x:c r="D24" s="14" t="str">
        <x:v>RFP-C1</x:v>
      </x:c>
      <x:c r="E24" s="14" t="str">
        <x:v>ACTIVE</x:v>
      </x:c>
      <x:c r="F24" s="14" t="n">
        <x:v>125</x:v>
      </x:c>
      <x:c r="G24" s="14" t="n">
        <x:v>100</x:v>
      </x:c>
      <x:c r="H24" s="14" t="n">
        <x:v>10</x:v>
      </x:c>
      <x:c r="I24" s="14" t="n">
        <x:v>10</x:v>
      </x:c>
      <x:c r="J24" s="14" t="n">
        <x:v>5</x:v>
      </x:c>
      <x:c r="K24" s="14" t="str">
        <x:v>OPEN</x:v>
      </x:c>
    </x:row>
    <x:row r="25" ht="18" customHeight="1">
      <x:c r="A25" s="14" t="str">
        <x:v>SRC-21</x:v>
      </x:c>
      <x:c r="B25" s="14" t="str">
        <x:v>AM-05</x:v>
      </x:c>
      <x:c r="C25" s="14" t="str">
        <x:v>TR-A</x:v>
      </x:c>
      <x:c r="D25" s="14" t="str">
        <x:v>RFP-C2</x:v>
      </x:c>
      <x:c r="E25" s="14" t="str">
        <x:v>ACTIVE</x:v>
      </x:c>
      <x:c r="F25" s="14" t="n">
        <x:v>125</x:v>
      </x:c>
      <x:c r="G25" s="14" t="n">
        <x:v>100</x:v>
      </x:c>
      <x:c r="H25" s="14" t="n">
        <x:v>10</x:v>
      </x:c>
      <x:c r="I25" s="14" t="n">
        <x:v>10</x:v>
      </x:c>
      <x:c r="J25" s="14" t="n">
        <x:v>5</x:v>
      </x:c>
      <x:c r="K25" s="14" t="str">
        <x:v>OPEN</x:v>
      </x:c>
    </x:row>
    <x:row r="26" ht="18" customHeight="1">
      <x:c r="A26" s="14" t="str">
        <x:v>SRC-22</x:v>
      </x:c>
      <x:c r="B26" s="14" t="str">
        <x:v>AM-05</x:v>
      </x:c>
      <x:c r="C26" s="14" t="str">
        <x:v>TR-B</x:v>
      </x:c>
      <x:c r="D26" s="14" t="str">
        <x:v>RFP-C2</x:v>
      </x:c>
      <x:c r="E26" s="14" t="str">
        <x:v>ACTIVE</x:v>
      </x:c>
      <x:c r="F26" s="14" t="n">
        <x:v>125</x:v>
      </x:c>
      <x:c r="G26" s="14" t="n">
        <x:v>100</x:v>
      </x:c>
      <x:c r="H26" s="14" t="n">
        <x:v>10</x:v>
      </x:c>
      <x:c r="I26" s="14" t="n">
        <x:v>10</x:v>
      </x:c>
      <x:c r="J26" s="14" t="n">
        <x:v>5</x:v>
      </x:c>
      <x:c r="K26" s="14" t="str">
        <x:v>OPEN</x:v>
      </x:c>
    </x:row>
    <x:row r="27" ht="18" customHeight="1">
      <x:c r="A27" s="14" t="str">
        <x:v>SRC-23</x:v>
      </x:c>
      <x:c r="B27" s="14" t="str">
        <x:v>AM-06</x:v>
      </x:c>
      <x:c r="C27" s="14" t="str">
        <x:v>TR-A</x:v>
      </x:c>
      <x:c r="D27" s="14" t="str">
        <x:v>RFP-C2</x:v>
      </x:c>
      <x:c r="E27" s="14" t="str">
        <x:v>ACTIVE</x:v>
      </x:c>
      <x:c r="F27" s="14" t="n">
        <x:v>125</x:v>
      </x:c>
      <x:c r="G27" s="14" t="n">
        <x:v>100</x:v>
      </x:c>
      <x:c r="H27" s="14" t="n">
        <x:v>10</x:v>
      </x:c>
      <x:c r="I27" s="14" t="n">
        <x:v>10</x:v>
      </x:c>
      <x:c r="J27" s="14" t="n">
        <x:v>5</x:v>
      </x:c>
      <x:c r="K27" s="14" t="str">
        <x:v>OPEN</x:v>
      </x:c>
    </x:row>
    <x:row r="28" ht="18" customHeight="1">
      <x:c r="A28" s="14" t="str">
        <x:v>SRC-24</x:v>
      </x:c>
      <x:c r="B28" s="14" t="str">
        <x:v>AM-06</x:v>
      </x:c>
      <x:c r="C28" s="14" t="str">
        <x:v>TR-B</x:v>
      </x:c>
      <x:c r="D28" s="14" t="str">
        <x:v>RFP-C2</x:v>
      </x:c>
      <x:c r="E28" s="14" t="str">
        <x:v>ACTIVE</x:v>
      </x:c>
      <x:c r="F28" s="14" t="n">
        <x:v>125</x:v>
      </x:c>
      <x:c r="G28" s="14" t="n">
        <x:v>100</x:v>
      </x:c>
      <x:c r="H28" s="14" t="n">
        <x:v>10</x:v>
      </x:c>
      <x:c r="I28" s="14" t="n">
        <x:v>10</x:v>
      </x:c>
      <x:c r="J28" s="14" t="n">
        <x:v>5</x:v>
      </x:c>
      <x:c r="K28" s="14" t="str">
        <x:v>OPEN</x:v>
      </x:c>
    </x:row>
    <x:row r="29" ht="18" customHeight="1">
      <x:c r="A29" s="14" t="str">
        <x:v>SRC-R01</x:v>
      </x:c>
      <x:c r="B29" s="14" t="str">
        <x:v>AM-05</x:v>
      </x:c>
      <x:c r="C29" s="14" t="str">
        <x:v>TR-A</x:v>
      </x:c>
      <x:c r="D29" s="14" t="str">
        <x:v>FAMILY</x:v>
      </x:c>
      <x:c r="E29" s="14" t="str">
        <x:v>RESERVE</x:v>
      </x:c>
      <x:c r="F29" s="14" t="n">
        <x:v>125</x:v>
      </x:c>
      <x:c r="G29" s="14" t="n">
        <x:v>100</x:v>
      </x:c>
      <x:c r="H29" s="14" t="n">
        <x:v>10</x:v>
      </x:c>
      <x:c r="I29" s="14" t="n">
        <x:v>10</x:v>
      </x:c>
      <x:c r="J29" s="14" t="n">
        <x:v>5</x:v>
      </x:c>
      <x:c r="K29" s="14" t="str">
        <x:v>OPEN</x:v>
      </x:c>
    </x:row>
    <x:row r="30" ht="18" customHeight="1">
      <x:c r="A30" s="14" t="str">
        <x:v>SRC-R02</x:v>
      </x:c>
      <x:c r="B30" s="14" t="str">
        <x:v>AM-05</x:v>
      </x:c>
      <x:c r="C30" s="14" t="str">
        <x:v>TR-B</x:v>
      </x:c>
      <x:c r="D30" s="14" t="str">
        <x:v>FAMILY</x:v>
      </x:c>
      <x:c r="E30" s="14" t="str">
        <x:v>RESERVE</x:v>
      </x:c>
      <x:c r="F30" s="14" t="n">
        <x:v>125</x:v>
      </x:c>
      <x:c r="G30" s="14" t="n">
        <x:v>100</x:v>
      </x:c>
      <x:c r="H30" s="14" t="n">
        <x:v>10</x:v>
      </x:c>
      <x:c r="I30" s="14" t="n">
        <x:v>10</x:v>
      </x:c>
      <x:c r="J30" s="14" t="n">
        <x:v>5</x:v>
      </x:c>
      <x:c r="K30" s="14" t="str">
        <x:v>OPEN</x:v>
      </x:c>
    </x:row>
    <x:row r="31" ht="18" customHeight="1">
      <x:c r="A31" s="14" t="str">
        <x:v>SRC-R03</x:v>
      </x:c>
      <x:c r="B31" s="14" t="str">
        <x:v>AM-06</x:v>
      </x:c>
      <x:c r="C31" s="14" t="str">
        <x:v>TR-A</x:v>
      </x:c>
      <x:c r="D31" s="14" t="str">
        <x:v>FAMILY</x:v>
      </x:c>
      <x:c r="E31" s="14" t="str">
        <x:v>RESERVE</x:v>
      </x:c>
      <x:c r="F31" s="14" t="n">
        <x:v>125</x:v>
      </x:c>
      <x:c r="G31" s="14" t="n">
        <x:v>100</x:v>
      </x:c>
      <x:c r="H31" s="14" t="n">
        <x:v>10</x:v>
      </x:c>
      <x:c r="I31" s="14" t="n">
        <x:v>10</x:v>
      </x:c>
      <x:c r="J31" s="14" t="n">
        <x:v>5</x:v>
      </x:c>
      <x:c r="K31" s="14" t="str">
        <x:v>OPEN</x:v>
      </x:c>
    </x:row>
    <x:row r="32" ht="18" customHeight="1">
      <x:c r="A32" s="14" t="str">
        <x:v>SRC-R04</x:v>
      </x:c>
      <x:c r="B32" s="14" t="str">
        <x:v>AM-06</x:v>
      </x:c>
      <x:c r="C32" s="14" t="str">
        <x:v>TR-B</x:v>
      </x:c>
      <x:c r="D32" s="14" t="str">
        <x:v>FAMILY</x:v>
      </x:c>
      <x:c r="E32" s="14" t="str">
        <x:v>RESERVE</x:v>
      </x:c>
      <x:c r="F32" s="14" t="n">
        <x:v>125</x:v>
      </x:c>
      <x:c r="G32" s="14" t="n">
        <x:v>100</x:v>
      </x:c>
      <x:c r="H32" s="14" t="n">
        <x:v>10</x:v>
      </x:c>
      <x:c r="I32" s="14" t="n">
        <x:v>10</x:v>
      </x:c>
      <x:c r="J32" s="14" t="n">
        <x:v>5</x:v>
      </x:c>
      <x:c r="K32" s="14" t="str">
        <x:v>OPEN</x:v>
      </x:c>
    </x:row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K5:K32">
    <x:cfRule type="containsText" dxfId="25" priority="1" operator="containsText" text="ACCEPTED"/>
    <x:cfRule type="containsText" dxfId="26" priority="2" operator="containsText" text="PASS"/>
    <x:cfRule type="containsText" dxfId="27" priority="3" operator="containsText" text="OPEN"/>
    <x:cfRule type="containsText" dxfId="28" priority="4" operator="containsText" text="BLOCKED"/>
    <x:cfRule type="containsText" dxfId="29" priority="5" operator="containsText" text="REJECT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28" hidden="0" customWidth="1"/>
    <x:col min="4" max="4" width="16" hidden="0" customWidth="1"/>
    <x:col min="5" max="5" width="18" hidden="0" customWidth="1"/>
    <x:col min="6" max="6" width="15" hidden="0" customWidth="1"/>
    <x:col min="7" max="7" width="28" hidden="0" customWidth="1"/>
    <x:col min="8" max="8" width="22" hidden="0" customWidth="1"/>
  </x:cols>
  <x:sheetData>
    <x:row r="1" ht="28" customHeight="1">
      <x:c r="A1" s="18" t="str">
        <x:v>RBA-1 | Package-characteristic chains</x:v>
      </x:c>
      <x:c r="B1" s="18"/>
      <x:c r="C1" s="18"/>
      <x:c r="D1" s="18"/>
      <x:c r="E1" s="18"/>
      <x:c r="F1" s="18"/>
      <x:c r="G1" s="18"/>
      <x:c r="H1" s="18"/>
    </x:row>
    <x:row r="2" ht="28" customHeight="1">
      <x:c r="A2" s="19" t="str">
        <x:v>Ten measured characteristics per package; blank observed values remain blank.</x:v>
      </x:c>
      <x:c r="B2" s="19"/>
      <x:c r="C2" s="19"/>
      <x:c r="D2" s="19"/>
      <x:c r="E2" s="19"/>
      <x:c r="F2" s="19"/>
      <x:c r="G2" s="19"/>
      <x:c r="H2" s="19"/>
    </x:row>
    <x:row r="3" ht="18" customHeight="1">
      <x:c r="A3" s="20"/>
      <x:c r="B3" s="20"/>
      <x:c r="C3" s="20"/>
      <x:c r="D3" s="20"/>
      <x:c r="E3" s="20"/>
      <x:c r="F3" s="20"/>
      <x:c r="G3" s="20"/>
      <x:c r="H3" s="20"/>
    </x:row>
    <x:row r="4" ht="18" customHeight="1">
      <x:c r="A4" s="21" t="str">
        <x:v>Record</x:v>
      </x:c>
      <x:c r="B4" s="21" t="str">
        <x:v>Package</x:v>
      </x:c>
      <x:c r="C4" s="21" t="str">
        <x:v>Characteristic</x:v>
      </x:c>
      <x:c r="D4" s="21" t="str">
        <x:v>Observed</x:v>
      </x:c>
      <x:c r="E4" s="21" t="str">
        <x:v>Unit</x:v>
      </x:c>
      <x:c r="F4" s="21" t="str">
        <x:v>State</x:v>
      </x:c>
      <x:c r="G4" s="21" t="str">
        <x:v>Evidence root</x:v>
      </x:c>
      <x:c r="H4" s="21" t="str">
        <x:v>Accepted UTC</x:v>
      </x:c>
    </x:row>
    <x:row r="5" ht="18" customHeight="1">
      <x:c r="A5" s="14" t="str">
        <x:v>SRC-01-GROSS-MASS</x:v>
      </x:c>
      <x:c r="B5" s="14" t="str">
        <x:v>SRC-01</x:v>
      </x:c>
      <x:c r="C5" s="14" t="str">
        <x:v>gross mass</x:v>
      </x:c>
      <x:c r="D5" s="14" t="str"/>
      <x:c r="E5" s="14" t="str">
        <x:v>kg</x:v>
      </x:c>
      <x:c r="F5" s="14" t="str">
        <x:v>OPEN</x:v>
      </x:c>
      <x:c r="G5" s="14" t="str"/>
      <x:c r="H5" s="14" t="str"/>
    </x:row>
    <x:row r="6" ht="18" customHeight="1">
      <x:c r="A6" s="14" t="str">
        <x:v>SRC-01-EVENT-MASS</x:v>
      </x:c>
      <x:c r="B6" s="14" t="str">
        <x:v>SRC-01</x:v>
      </x:c>
      <x:c r="C6" s="14" t="str">
        <x:v>event mass</x:v>
      </x:c>
      <x:c r="D6" s="14" t="str"/>
      <x:c r="E6" s="14" t="str">
        <x:v>kg</x:v>
      </x:c>
      <x:c r="F6" s="14" t="str">
        <x:v>OPEN</x:v>
      </x:c>
      <x:c r="G6" s="14" t="str"/>
      <x:c r="H6" s="14" t="str"/>
    </x:row>
    <x:row r="7" ht="18" customHeight="1">
      <x:c r="A7" s="14" t="str">
        <x:v>SRC-01-DENSITY</x:v>
      </x:c>
      <x:c r="B7" s="14" t="str">
        <x:v>SRC-01</x:v>
      </x:c>
      <x:c r="C7" s="14" t="str">
        <x:v>density</x:v>
      </x:c>
      <x:c r="D7" s="14" t="str"/>
      <x:c r="E7" s="14" t="str">
        <x:v>kg/m3</x:v>
      </x:c>
      <x:c r="F7" s="14" t="str">
        <x:v>OPEN</x:v>
      </x:c>
      <x:c r="G7" s="14" t="str"/>
      <x:c r="H7" s="14" t="str"/>
    </x:row>
    <x:row r="8" ht="18" customHeight="1">
      <x:c r="A8" s="14" t="str">
        <x:v>SRC-01-LOWER-HEATING-VALUE</x:v>
      </x:c>
      <x:c r="B8" s="14" t="str">
        <x:v>SRC-01</x:v>
      </x:c>
      <x:c r="C8" s="14" t="str">
        <x:v>lower heating value</x:v>
      </x:c>
      <x:c r="D8" s="14" t="str"/>
      <x:c r="E8" s="14" t="str">
        <x:v>MJ/kg</x:v>
      </x:c>
      <x:c r="F8" s="14" t="str">
        <x:v>OPEN</x:v>
      </x:c>
      <x:c r="G8" s="14" t="str"/>
      <x:c r="H8" s="14" t="str"/>
    </x:row>
    <x:row r="9" ht="18" customHeight="1">
      <x:c r="A9" s="14" t="str">
        <x:v>SRC-01-TEMPERATURE</x:v>
      </x:c>
      <x:c r="B9" s="14" t="str">
        <x:v>SRC-01</x:v>
      </x:c>
      <x:c r="C9" s="14" t="str">
        <x:v>temperature</x:v>
      </x:c>
      <x:c r="D9" s="14" t="str"/>
      <x:c r="E9" s="14" t="str">
        <x:v>registered unit</x:v>
      </x:c>
      <x:c r="F9" s="14" t="str">
        <x:v>OPEN</x:v>
      </x:c>
      <x:c r="G9" s="14" t="str"/>
      <x:c r="H9" s="14" t="str"/>
    </x:row>
    <x:row r="10" ht="18" customHeight="1">
      <x:c r="A10" s="14" t="str">
        <x:v>SRC-01-WATER-FRACTION</x:v>
      </x:c>
      <x:c r="B10" s="14" t="str">
        <x:v>SRC-01</x:v>
      </x:c>
      <x:c r="C10" s="14" t="str">
        <x:v>water fraction</x:v>
      </x:c>
      <x:c r="D10" s="14" t="str"/>
      <x:c r="E10" s="14" t="str">
        <x:v>registered unit</x:v>
      </x:c>
      <x:c r="F10" s="14" t="str">
        <x:v>OPEN</x:v>
      </x:c>
      <x:c r="G10" s="14" t="str"/>
      <x:c r="H10" s="14" t="str"/>
    </x:row>
    <x:row r="11" ht="18" customHeight="1">
      <x:c r="A11" s="14" t="str">
        <x:v>SRC-01-FOREIGN-SOLIDS</x:v>
      </x:c>
      <x:c r="B11" s="14" t="str">
        <x:v>SRC-01</x:v>
      </x:c>
      <x:c r="C11" s="14" t="str">
        <x:v>foreign solids</x:v>
      </x:c>
      <x:c r="D11" s="14" t="str"/>
      <x:c r="E11" s="14" t="str">
        <x:v>registered unit</x:v>
      </x:c>
      <x:c r="F11" s="14" t="str">
        <x:v>OPEN</x:v>
      </x:c>
      <x:c r="G11" s="14" t="str"/>
      <x:c r="H11" s="14" t="str"/>
    </x:row>
    <x:row r="12" ht="18" customHeight="1">
      <x:c r="A12" s="14" t="str">
        <x:v>SRC-01-ANCESTRY-RECOVERY</x:v>
      </x:c>
      <x:c r="B12" s="14" t="str">
        <x:v>SRC-01</x:v>
      </x:c>
      <x:c r="C12" s="14" t="str">
        <x:v>ancestry recovery</x:v>
      </x:c>
      <x:c r="D12" s="14" t="str"/>
      <x:c r="E12" s="14" t="str">
        <x:v>registered unit</x:v>
      </x:c>
      <x:c r="F12" s="14" t="str">
        <x:v>OPEN</x:v>
      </x:c>
      <x:c r="G12" s="14" t="str"/>
      <x:c r="H12" s="14" t="str"/>
    </x:row>
    <x:row r="13" ht="18" customHeight="1">
      <x:c r="A13" s="14" t="str">
        <x:v>SRC-01-CUSTODY-SEAL</x:v>
      </x:c>
      <x:c r="B13" s="14" t="str">
        <x:v>SRC-01</x:v>
      </x:c>
      <x:c r="C13" s="14" t="str">
        <x:v>custody seal</x:v>
      </x:c>
      <x:c r="D13" s="14" t="str"/>
      <x:c r="E13" s="14" t="str">
        <x:v>registered unit</x:v>
      </x:c>
      <x:c r="F13" s="14" t="str">
        <x:v>OPEN</x:v>
      </x:c>
      <x:c r="G13" s="14" t="str"/>
      <x:c r="H13" s="14" t="str"/>
    </x:row>
    <x:row r="14" ht="18" customHeight="1">
      <x:c r="A14" s="14" t="str">
        <x:v>SRC-01-RETAINED-SAMPLES</x:v>
      </x:c>
      <x:c r="B14" s="14" t="str">
        <x:v>SRC-01</x:v>
      </x:c>
      <x:c r="C14" s="14" t="str">
        <x:v>retained samples</x:v>
      </x:c>
      <x:c r="D14" s="14" t="str"/>
      <x:c r="E14" s="14" t="str">
        <x:v>registered unit</x:v>
      </x:c>
      <x:c r="F14" s="14" t="str">
        <x:v>OPEN</x:v>
      </x:c>
      <x:c r="G14" s="14" t="str"/>
      <x:c r="H14" s="14" t="str"/>
    </x:row>
    <x:row r="15" ht="18" customHeight="1">
      <x:c r="A15" s="14" t="str">
        <x:v>SRC-02-GROSS-MASS</x:v>
      </x:c>
      <x:c r="B15" s="14" t="str">
        <x:v>SRC-02</x:v>
      </x:c>
      <x:c r="C15" s="14" t="str">
        <x:v>gross mass</x:v>
      </x:c>
      <x:c r="D15" s="14" t="str"/>
      <x:c r="E15" s="14" t="str">
        <x:v>kg</x:v>
      </x:c>
      <x:c r="F15" s="14" t="str">
        <x:v>OPEN</x:v>
      </x:c>
      <x:c r="G15" s="14" t="str"/>
      <x:c r="H15" s="14" t="str"/>
    </x:row>
    <x:row r="16" ht="18" customHeight="1">
      <x:c r="A16" s="14" t="str">
        <x:v>SRC-02-EVENT-MASS</x:v>
      </x:c>
      <x:c r="B16" s="14" t="str">
        <x:v>SRC-02</x:v>
      </x:c>
      <x:c r="C16" s="14" t="str">
        <x:v>event mass</x:v>
      </x:c>
      <x:c r="D16" s="14" t="str"/>
      <x:c r="E16" s="14" t="str">
        <x:v>kg</x:v>
      </x:c>
      <x:c r="F16" s="14" t="str">
        <x:v>OPEN</x:v>
      </x:c>
      <x:c r="G16" s="14" t="str"/>
      <x:c r="H16" s="14" t="str"/>
    </x:row>
    <x:row r="17" ht="18" customHeight="1">
      <x:c r="A17" s="14" t="str">
        <x:v>SRC-02-DENSITY</x:v>
      </x:c>
      <x:c r="B17" s="14" t="str">
        <x:v>SRC-02</x:v>
      </x:c>
      <x:c r="C17" s="14" t="str">
        <x:v>density</x:v>
      </x:c>
      <x:c r="D17" s="14" t="str"/>
      <x:c r="E17" s="14" t="str">
        <x:v>kg/m3</x:v>
      </x:c>
      <x:c r="F17" s="14" t="str">
        <x:v>OPEN</x:v>
      </x:c>
      <x:c r="G17" s="14" t="str"/>
      <x:c r="H17" s="14" t="str"/>
    </x:row>
    <x:row r="18" ht="18" customHeight="1">
      <x:c r="A18" s="14" t="str">
        <x:v>SRC-02-LOWER-HEATING-VALUE</x:v>
      </x:c>
      <x:c r="B18" s="14" t="str">
        <x:v>SRC-02</x:v>
      </x:c>
      <x:c r="C18" s="14" t="str">
        <x:v>lower heating value</x:v>
      </x:c>
      <x:c r="D18" s="14" t="str"/>
      <x:c r="E18" s="14" t="str">
        <x:v>MJ/kg</x:v>
      </x:c>
      <x:c r="F18" s="14" t="str">
        <x:v>OPEN</x:v>
      </x:c>
      <x:c r="G18" s="14" t="str"/>
      <x:c r="H18" s="14" t="str"/>
    </x:row>
    <x:row r="19" ht="18" customHeight="1">
      <x:c r="A19" s="14" t="str">
        <x:v>SRC-02-TEMPERATURE</x:v>
      </x:c>
      <x:c r="B19" s="14" t="str">
        <x:v>SRC-02</x:v>
      </x:c>
      <x:c r="C19" s="14" t="str">
        <x:v>temperature</x:v>
      </x:c>
      <x:c r="D19" s="14" t="str"/>
      <x:c r="E19" s="14" t="str">
        <x:v>registered unit</x:v>
      </x:c>
      <x:c r="F19" s="14" t="str">
        <x:v>OPEN</x:v>
      </x:c>
      <x:c r="G19" s="14" t="str"/>
      <x:c r="H19" s="14" t="str"/>
    </x:row>
    <x:row r="20" ht="18" customHeight="1">
      <x:c r="A20" s="14" t="str">
        <x:v>SRC-02-WATER-FRACTION</x:v>
      </x:c>
      <x:c r="B20" s="14" t="str">
        <x:v>SRC-02</x:v>
      </x:c>
      <x:c r="C20" s="14" t="str">
        <x:v>water fraction</x:v>
      </x:c>
      <x:c r="D20" s="14" t="str"/>
      <x:c r="E20" s="14" t="str">
        <x:v>registered unit</x:v>
      </x:c>
      <x:c r="F20" s="14" t="str">
        <x:v>OPEN</x:v>
      </x:c>
      <x:c r="G20" s="14" t="str"/>
      <x:c r="H20" s="14" t="str"/>
    </x:row>
    <x:row r="21" ht="18" customHeight="1">
      <x:c r="A21" s="14" t="str">
        <x:v>SRC-02-FOREIGN-SOLIDS</x:v>
      </x:c>
      <x:c r="B21" s="14" t="str">
        <x:v>SRC-02</x:v>
      </x:c>
      <x:c r="C21" s="14" t="str">
        <x:v>foreign solids</x:v>
      </x:c>
      <x:c r="D21" s="14" t="str"/>
      <x:c r="E21" s="14" t="str">
        <x:v>registered unit</x:v>
      </x:c>
      <x:c r="F21" s="14" t="str">
        <x:v>OPEN</x:v>
      </x:c>
      <x:c r="G21" s="14" t="str"/>
      <x:c r="H21" s="14" t="str"/>
    </x:row>
    <x:row r="22" ht="18" customHeight="1">
      <x:c r="A22" s="14" t="str">
        <x:v>SRC-02-ANCESTRY-RECOVERY</x:v>
      </x:c>
      <x:c r="B22" s="14" t="str">
        <x:v>SRC-02</x:v>
      </x:c>
      <x:c r="C22" s="14" t="str">
        <x:v>ancestry recovery</x:v>
      </x:c>
      <x:c r="D22" s="14" t="str"/>
      <x:c r="E22" s="14" t="str">
        <x:v>registered unit</x:v>
      </x:c>
      <x:c r="F22" s="14" t="str">
        <x:v>OPEN</x:v>
      </x:c>
      <x:c r="G22" s="14" t="str"/>
      <x:c r="H22" s="14" t="str"/>
    </x:row>
    <x:row r="23" ht="18" customHeight="1">
      <x:c r="A23" s="14" t="str">
        <x:v>SRC-02-CUSTODY-SEAL</x:v>
      </x:c>
      <x:c r="B23" s="14" t="str">
        <x:v>SRC-02</x:v>
      </x:c>
      <x:c r="C23" s="14" t="str">
        <x:v>custody seal</x:v>
      </x:c>
      <x:c r="D23" s="14" t="str"/>
      <x:c r="E23" s="14" t="str">
        <x:v>registered unit</x:v>
      </x:c>
      <x:c r="F23" s="14" t="str">
        <x:v>OPEN</x:v>
      </x:c>
      <x:c r="G23" s="14" t="str"/>
      <x:c r="H23" s="14" t="str"/>
    </x:row>
    <x:row r="24" ht="18" customHeight="1">
      <x:c r="A24" s="14" t="str">
        <x:v>SRC-02-RETAINED-SAMPLES</x:v>
      </x:c>
      <x:c r="B24" s="14" t="str">
        <x:v>SRC-02</x:v>
      </x:c>
      <x:c r="C24" s="14" t="str">
        <x:v>retained samples</x:v>
      </x:c>
      <x:c r="D24" s="14" t="str"/>
      <x:c r="E24" s="14" t="str">
        <x:v>registered unit</x:v>
      </x:c>
      <x:c r="F24" s="14" t="str">
        <x:v>OPEN</x:v>
      </x:c>
      <x:c r="G24" s="14" t="str"/>
      <x:c r="H24" s="14" t="str"/>
    </x:row>
    <x:row r="25" ht="18" customHeight="1">
      <x:c r="A25" s="14" t="str">
        <x:v>SRC-03-GROSS-MASS</x:v>
      </x:c>
      <x:c r="B25" s="14" t="str">
        <x:v>SRC-03</x:v>
      </x:c>
      <x:c r="C25" s="14" t="str">
        <x:v>gross mass</x:v>
      </x:c>
      <x:c r="D25" s="14" t="str"/>
      <x:c r="E25" s="14" t="str">
        <x:v>kg</x:v>
      </x:c>
      <x:c r="F25" s="14" t="str">
        <x:v>OPEN</x:v>
      </x:c>
      <x:c r="G25" s="14" t="str"/>
      <x:c r="H25" s="14" t="str"/>
    </x:row>
    <x:row r="26" ht="18" customHeight="1">
      <x:c r="A26" s="14" t="str">
        <x:v>SRC-03-EVENT-MASS</x:v>
      </x:c>
      <x:c r="B26" s="14" t="str">
        <x:v>SRC-03</x:v>
      </x:c>
      <x:c r="C26" s="14" t="str">
        <x:v>event mass</x:v>
      </x:c>
      <x:c r="D26" s="14" t="str"/>
      <x:c r="E26" s="14" t="str">
        <x:v>kg</x:v>
      </x:c>
      <x:c r="F26" s="14" t="str">
        <x:v>OPEN</x:v>
      </x:c>
      <x:c r="G26" s="14" t="str"/>
      <x:c r="H26" s="14" t="str"/>
    </x:row>
    <x:row r="27" ht="18" customHeight="1">
      <x:c r="A27" s="14" t="str">
        <x:v>SRC-03-DENSITY</x:v>
      </x:c>
      <x:c r="B27" s="14" t="str">
        <x:v>SRC-03</x:v>
      </x:c>
      <x:c r="C27" s="14" t="str">
        <x:v>density</x:v>
      </x:c>
      <x:c r="D27" s="14" t="str"/>
      <x:c r="E27" s="14" t="str">
        <x:v>kg/m3</x:v>
      </x:c>
      <x:c r="F27" s="14" t="str">
        <x:v>OPEN</x:v>
      </x:c>
      <x:c r="G27" s="14" t="str"/>
      <x:c r="H27" s="14" t="str"/>
    </x:row>
    <x:row r="28" ht="18" customHeight="1">
      <x:c r="A28" s="14" t="str">
        <x:v>SRC-03-LOWER-HEATING-VALUE</x:v>
      </x:c>
      <x:c r="B28" s="14" t="str">
        <x:v>SRC-03</x:v>
      </x:c>
      <x:c r="C28" s="14" t="str">
        <x:v>lower heating value</x:v>
      </x:c>
      <x:c r="D28" s="14" t="str"/>
      <x:c r="E28" s="14" t="str">
        <x:v>MJ/kg</x:v>
      </x:c>
      <x:c r="F28" s="14" t="str">
        <x:v>OPEN</x:v>
      </x:c>
      <x:c r="G28" s="14" t="str"/>
      <x:c r="H28" s="14" t="str"/>
    </x:row>
    <x:row r="29" ht="18" customHeight="1">
      <x:c r="A29" s="14" t="str">
        <x:v>SRC-03-TEMPERATURE</x:v>
      </x:c>
      <x:c r="B29" s="14" t="str">
        <x:v>SRC-03</x:v>
      </x:c>
      <x:c r="C29" s="14" t="str">
        <x:v>temperature</x:v>
      </x:c>
      <x:c r="D29" s="14" t="str"/>
      <x:c r="E29" s="14" t="str">
        <x:v>registered unit</x:v>
      </x:c>
      <x:c r="F29" s="14" t="str">
        <x:v>OPEN</x:v>
      </x:c>
      <x:c r="G29" s="14" t="str"/>
      <x:c r="H29" s="14" t="str"/>
    </x:row>
    <x:row r="30" ht="18" customHeight="1">
      <x:c r="A30" s="14" t="str">
        <x:v>SRC-03-WATER-FRACTION</x:v>
      </x:c>
      <x:c r="B30" s="14" t="str">
        <x:v>SRC-03</x:v>
      </x:c>
      <x:c r="C30" s="14" t="str">
        <x:v>water fraction</x:v>
      </x:c>
      <x:c r="D30" s="14" t="str"/>
      <x:c r="E30" s="14" t="str">
        <x:v>registered unit</x:v>
      </x:c>
      <x:c r="F30" s="14" t="str">
        <x:v>OPEN</x:v>
      </x:c>
      <x:c r="G30" s="14" t="str"/>
      <x:c r="H30" s="14" t="str"/>
    </x:row>
    <x:row r="31" ht="18" customHeight="1">
      <x:c r="A31" s="14" t="str">
        <x:v>SRC-03-FOREIGN-SOLIDS</x:v>
      </x:c>
      <x:c r="B31" s="14" t="str">
        <x:v>SRC-03</x:v>
      </x:c>
      <x:c r="C31" s="14" t="str">
        <x:v>foreign solids</x:v>
      </x:c>
      <x:c r="D31" s="14" t="str"/>
      <x:c r="E31" s="14" t="str">
        <x:v>registered unit</x:v>
      </x:c>
      <x:c r="F31" s="14" t="str">
        <x:v>OPEN</x:v>
      </x:c>
      <x:c r="G31" s="14" t="str"/>
      <x:c r="H31" s="14" t="str"/>
    </x:row>
    <x:row r="32" ht="18" customHeight="1">
      <x:c r="A32" s="14" t="str">
        <x:v>SRC-03-ANCESTRY-RECOVERY</x:v>
      </x:c>
      <x:c r="B32" s="14" t="str">
        <x:v>SRC-03</x:v>
      </x:c>
      <x:c r="C32" s="14" t="str">
        <x:v>ancestry recovery</x:v>
      </x:c>
      <x:c r="D32" s="14" t="str"/>
      <x:c r="E32" s="14" t="str">
        <x:v>registered unit</x:v>
      </x:c>
      <x:c r="F32" s="14" t="str">
        <x:v>OPEN</x:v>
      </x:c>
      <x:c r="G32" s="14" t="str"/>
      <x:c r="H32" s="14" t="str"/>
    </x:row>
    <x:row r="33" ht="18" customHeight="1">
      <x:c r="A33" s="14" t="str">
        <x:v>SRC-03-CUSTODY-SEAL</x:v>
      </x:c>
      <x:c r="B33" s="14" t="str">
        <x:v>SRC-03</x:v>
      </x:c>
      <x:c r="C33" s="14" t="str">
        <x:v>custody seal</x:v>
      </x:c>
      <x:c r="D33" s="14" t="str"/>
      <x:c r="E33" s="14" t="str">
        <x:v>registered unit</x:v>
      </x:c>
      <x:c r="F33" s="14" t="str">
        <x:v>OPEN</x:v>
      </x:c>
      <x:c r="G33" s="14" t="str"/>
      <x:c r="H33" s="14" t="str"/>
    </x:row>
    <x:row r="34" ht="18" customHeight="1">
      <x:c r="A34" s="14" t="str">
        <x:v>SRC-03-RETAINED-SAMPLES</x:v>
      </x:c>
      <x:c r="B34" s="14" t="str">
        <x:v>SRC-03</x:v>
      </x:c>
      <x:c r="C34" s="14" t="str">
        <x:v>retained samples</x:v>
      </x:c>
      <x:c r="D34" s="14" t="str"/>
      <x:c r="E34" s="14" t="str">
        <x:v>registered unit</x:v>
      </x:c>
      <x:c r="F34" s="14" t="str">
        <x:v>OPEN</x:v>
      </x:c>
      <x:c r="G34" s="14" t="str"/>
      <x:c r="H34" s="14" t="str"/>
    </x:row>
    <x:row r="35" ht="18" customHeight="1">
      <x:c r="A35" s="14" t="str">
        <x:v>SRC-04-GROSS-MASS</x:v>
      </x:c>
      <x:c r="B35" s="14" t="str">
        <x:v>SRC-04</x:v>
      </x:c>
      <x:c r="C35" s="14" t="str">
        <x:v>gross mass</x:v>
      </x:c>
      <x:c r="D35" s="14" t="str"/>
      <x:c r="E35" s="14" t="str">
        <x:v>kg</x:v>
      </x:c>
      <x:c r="F35" s="14" t="str">
        <x:v>OPEN</x:v>
      </x:c>
      <x:c r="G35" s="14" t="str"/>
      <x:c r="H35" s="14" t="str"/>
    </x:row>
    <x:row r="36" ht="18" customHeight="1">
      <x:c r="A36" s="14" t="str">
        <x:v>SRC-04-EVENT-MASS</x:v>
      </x:c>
      <x:c r="B36" s="14" t="str">
        <x:v>SRC-04</x:v>
      </x:c>
      <x:c r="C36" s="14" t="str">
        <x:v>event mass</x:v>
      </x:c>
      <x:c r="D36" s="14" t="str"/>
      <x:c r="E36" s="14" t="str">
        <x:v>kg</x:v>
      </x:c>
      <x:c r="F36" s="14" t="str">
        <x:v>OPEN</x:v>
      </x:c>
      <x:c r="G36" s="14" t="str"/>
      <x:c r="H36" s="14" t="str"/>
    </x:row>
    <x:row r="37" ht="18" customHeight="1">
      <x:c r="A37" s="14" t="str">
        <x:v>SRC-04-DENSITY</x:v>
      </x:c>
      <x:c r="B37" s="14" t="str">
        <x:v>SRC-04</x:v>
      </x:c>
      <x:c r="C37" s="14" t="str">
        <x:v>density</x:v>
      </x:c>
      <x:c r="D37" s="14" t="str"/>
      <x:c r="E37" s="14" t="str">
        <x:v>kg/m3</x:v>
      </x:c>
      <x:c r="F37" s="14" t="str">
        <x:v>OPEN</x:v>
      </x:c>
      <x:c r="G37" s="14" t="str"/>
      <x:c r="H37" s="14" t="str"/>
    </x:row>
    <x:row r="38" ht="18" customHeight="1">
      <x:c r="A38" s="14" t="str">
        <x:v>SRC-04-LOWER-HEATING-VALUE</x:v>
      </x:c>
      <x:c r="B38" s="14" t="str">
        <x:v>SRC-04</x:v>
      </x:c>
      <x:c r="C38" s="14" t="str">
        <x:v>lower heating value</x:v>
      </x:c>
      <x:c r="D38" s="14" t="str"/>
      <x:c r="E38" s="14" t="str">
        <x:v>MJ/kg</x:v>
      </x:c>
      <x:c r="F38" s="14" t="str">
        <x:v>OPEN</x:v>
      </x:c>
      <x:c r="G38" s="14" t="str"/>
      <x:c r="H38" s="14" t="str"/>
    </x:row>
    <x:row r="39" ht="18" customHeight="1">
      <x:c r="A39" s="14" t="str">
        <x:v>SRC-04-TEMPERATURE</x:v>
      </x:c>
      <x:c r="B39" s="14" t="str">
        <x:v>SRC-04</x:v>
      </x:c>
      <x:c r="C39" s="14" t="str">
        <x:v>temperature</x:v>
      </x:c>
      <x:c r="D39" s="14" t="str"/>
      <x:c r="E39" s="14" t="str">
        <x:v>registered unit</x:v>
      </x:c>
      <x:c r="F39" s="14" t="str">
        <x:v>OPEN</x:v>
      </x:c>
      <x:c r="G39" s="14" t="str"/>
      <x:c r="H39" s="14" t="str"/>
    </x:row>
    <x:row r="40" ht="18" customHeight="1">
      <x:c r="A40" s="14" t="str">
        <x:v>SRC-04-WATER-FRACTION</x:v>
      </x:c>
      <x:c r="B40" s="14" t="str">
        <x:v>SRC-04</x:v>
      </x:c>
      <x:c r="C40" s="14" t="str">
        <x:v>water fraction</x:v>
      </x:c>
      <x:c r="D40" s="14" t="str"/>
      <x:c r="E40" s="14" t="str">
        <x:v>registered unit</x:v>
      </x:c>
      <x:c r="F40" s="14" t="str">
        <x:v>OPEN</x:v>
      </x:c>
      <x:c r="G40" s="14" t="str"/>
      <x:c r="H40" s="14" t="str"/>
    </x:row>
    <x:row r="41" ht="18" customHeight="1">
      <x:c r="A41" s="14" t="str">
        <x:v>SRC-04-FOREIGN-SOLIDS</x:v>
      </x:c>
      <x:c r="B41" s="14" t="str">
        <x:v>SRC-04</x:v>
      </x:c>
      <x:c r="C41" s="14" t="str">
        <x:v>foreign solids</x:v>
      </x:c>
      <x:c r="D41" s="14" t="str"/>
      <x:c r="E41" s="14" t="str">
        <x:v>registered unit</x:v>
      </x:c>
      <x:c r="F41" s="14" t="str">
        <x:v>OPEN</x:v>
      </x:c>
      <x:c r="G41" s="14" t="str"/>
      <x:c r="H41" s="14" t="str"/>
    </x:row>
    <x:row r="42" ht="18" customHeight="1">
      <x:c r="A42" s="14" t="str">
        <x:v>SRC-04-ANCESTRY-RECOVERY</x:v>
      </x:c>
      <x:c r="B42" s="14" t="str">
        <x:v>SRC-04</x:v>
      </x:c>
      <x:c r="C42" s="14" t="str">
        <x:v>ancestry recovery</x:v>
      </x:c>
      <x:c r="D42" s="14" t="str"/>
      <x:c r="E42" s="14" t="str">
        <x:v>registered unit</x:v>
      </x:c>
      <x:c r="F42" s="14" t="str">
        <x:v>OPEN</x:v>
      </x:c>
      <x:c r="G42" s="14" t="str"/>
      <x:c r="H42" s="14" t="str"/>
    </x:row>
    <x:row r="43" ht="18" customHeight="1">
      <x:c r="A43" s="14" t="str">
        <x:v>SRC-04-CUSTODY-SEAL</x:v>
      </x:c>
      <x:c r="B43" s="14" t="str">
        <x:v>SRC-04</x:v>
      </x:c>
      <x:c r="C43" s="14" t="str">
        <x:v>custody seal</x:v>
      </x:c>
      <x:c r="D43" s="14" t="str"/>
      <x:c r="E43" s="14" t="str">
        <x:v>registered unit</x:v>
      </x:c>
      <x:c r="F43" s="14" t="str">
        <x:v>OPEN</x:v>
      </x:c>
      <x:c r="G43" s="14" t="str"/>
      <x:c r="H43" s="14" t="str"/>
    </x:row>
    <x:row r="44" ht="18" customHeight="1">
      <x:c r="A44" s="14" t="str">
        <x:v>SRC-04-RETAINED-SAMPLES</x:v>
      </x:c>
      <x:c r="B44" s="14" t="str">
        <x:v>SRC-04</x:v>
      </x:c>
      <x:c r="C44" s="14" t="str">
        <x:v>retained samples</x:v>
      </x:c>
      <x:c r="D44" s="14" t="str"/>
      <x:c r="E44" s="14" t="str">
        <x:v>registered unit</x:v>
      </x:c>
      <x:c r="F44" s="14" t="str">
        <x:v>OPEN</x:v>
      </x:c>
      <x:c r="G44" s="14" t="str"/>
      <x:c r="H44" s="14" t="str"/>
    </x:row>
    <x:row r="45" ht="18" customHeight="1">
      <x:c r="A45" s="14" t="str">
        <x:v>SRC-05-GROSS-MASS</x:v>
      </x:c>
      <x:c r="B45" s="14" t="str">
        <x:v>SRC-05</x:v>
      </x:c>
      <x:c r="C45" s="14" t="str">
        <x:v>gross mass</x:v>
      </x:c>
      <x:c r="D45" s="14" t="str"/>
      <x:c r="E45" s="14" t="str">
        <x:v>kg</x:v>
      </x:c>
      <x:c r="F45" s="14" t="str">
        <x:v>OPEN</x:v>
      </x:c>
      <x:c r="G45" s="14" t="str"/>
      <x:c r="H45" s="14" t="str"/>
    </x:row>
    <x:row r="46" ht="18" customHeight="1">
      <x:c r="A46" s="14" t="str">
        <x:v>SRC-05-EVENT-MASS</x:v>
      </x:c>
      <x:c r="B46" s="14" t="str">
        <x:v>SRC-05</x:v>
      </x:c>
      <x:c r="C46" s="14" t="str">
        <x:v>event mass</x:v>
      </x:c>
      <x:c r="D46" s="14" t="str"/>
      <x:c r="E46" s="14" t="str">
        <x:v>kg</x:v>
      </x:c>
      <x:c r="F46" s="14" t="str">
        <x:v>OPEN</x:v>
      </x:c>
      <x:c r="G46" s="14" t="str"/>
      <x:c r="H46" s="14" t="str"/>
    </x:row>
    <x:row r="47" ht="18" customHeight="1">
      <x:c r="A47" s="14" t="str">
        <x:v>SRC-05-DENSITY</x:v>
      </x:c>
      <x:c r="B47" s="14" t="str">
        <x:v>SRC-05</x:v>
      </x:c>
      <x:c r="C47" s="14" t="str">
        <x:v>density</x:v>
      </x:c>
      <x:c r="D47" s="14" t="str"/>
      <x:c r="E47" s="14" t="str">
        <x:v>kg/m3</x:v>
      </x:c>
      <x:c r="F47" s="14" t="str">
        <x:v>OPEN</x:v>
      </x:c>
      <x:c r="G47" s="14" t="str"/>
      <x:c r="H47" s="14" t="str"/>
    </x:row>
    <x:row r="48" ht="18" customHeight="1">
      <x:c r="A48" s="14" t="str">
        <x:v>SRC-05-LOWER-HEATING-VALUE</x:v>
      </x:c>
      <x:c r="B48" s="14" t="str">
        <x:v>SRC-05</x:v>
      </x:c>
      <x:c r="C48" s="14" t="str">
        <x:v>lower heating value</x:v>
      </x:c>
      <x:c r="D48" s="14" t="str"/>
      <x:c r="E48" s="14" t="str">
        <x:v>MJ/kg</x:v>
      </x:c>
      <x:c r="F48" s="14" t="str">
        <x:v>OPEN</x:v>
      </x:c>
      <x:c r="G48" s="14" t="str"/>
      <x:c r="H48" s="14" t="str"/>
    </x:row>
    <x:row r="49" ht="18" customHeight="1">
      <x:c r="A49" s="14" t="str">
        <x:v>SRC-05-TEMPERATURE</x:v>
      </x:c>
      <x:c r="B49" s="14" t="str">
        <x:v>SRC-05</x:v>
      </x:c>
      <x:c r="C49" s="14" t="str">
        <x:v>temperature</x:v>
      </x:c>
      <x:c r="D49" s="14" t="str"/>
      <x:c r="E49" s="14" t="str">
        <x:v>registered unit</x:v>
      </x:c>
      <x:c r="F49" s="14" t="str">
        <x:v>OPEN</x:v>
      </x:c>
      <x:c r="G49" s="14" t="str"/>
      <x:c r="H49" s="14" t="str"/>
    </x:row>
    <x:row r="50" ht="18" customHeight="1">
      <x:c r="A50" s="14" t="str">
        <x:v>SRC-05-WATER-FRACTION</x:v>
      </x:c>
      <x:c r="B50" s="14" t="str">
        <x:v>SRC-05</x:v>
      </x:c>
      <x:c r="C50" s="14" t="str">
        <x:v>water fraction</x:v>
      </x:c>
      <x:c r="D50" s="14" t="str"/>
      <x:c r="E50" s="14" t="str">
        <x:v>registered unit</x:v>
      </x:c>
      <x:c r="F50" s="14" t="str">
        <x:v>OPEN</x:v>
      </x:c>
      <x:c r="G50" s="14" t="str"/>
      <x:c r="H50" s="14" t="str"/>
    </x:row>
    <x:row r="51" ht="18" customHeight="1">
      <x:c r="A51" s="14" t="str">
        <x:v>SRC-05-FOREIGN-SOLIDS</x:v>
      </x:c>
      <x:c r="B51" s="14" t="str">
        <x:v>SRC-05</x:v>
      </x:c>
      <x:c r="C51" s="14" t="str">
        <x:v>foreign solids</x:v>
      </x:c>
      <x:c r="D51" s="14" t="str"/>
      <x:c r="E51" s="14" t="str">
        <x:v>registered unit</x:v>
      </x:c>
      <x:c r="F51" s="14" t="str">
        <x:v>OPEN</x:v>
      </x:c>
      <x:c r="G51" s="14" t="str"/>
      <x:c r="H51" s="14" t="str"/>
    </x:row>
    <x:row r="52" ht="18" customHeight="1">
      <x:c r="A52" s="14" t="str">
        <x:v>SRC-05-ANCESTRY-RECOVERY</x:v>
      </x:c>
      <x:c r="B52" s="14" t="str">
        <x:v>SRC-05</x:v>
      </x:c>
      <x:c r="C52" s="14" t="str">
        <x:v>ancestry recovery</x:v>
      </x:c>
      <x:c r="D52" s="14" t="str"/>
      <x:c r="E52" s="14" t="str">
        <x:v>registered unit</x:v>
      </x:c>
      <x:c r="F52" s="14" t="str">
        <x:v>OPEN</x:v>
      </x:c>
      <x:c r="G52" s="14" t="str"/>
      <x:c r="H52" s="14" t="str"/>
    </x:row>
    <x:row r="53" ht="18" customHeight="1">
      <x:c r="A53" s="14" t="str">
        <x:v>SRC-05-CUSTODY-SEAL</x:v>
      </x:c>
      <x:c r="B53" s="14" t="str">
        <x:v>SRC-05</x:v>
      </x:c>
      <x:c r="C53" s="14" t="str">
        <x:v>custody seal</x:v>
      </x:c>
      <x:c r="D53" s="14" t="str"/>
      <x:c r="E53" s="14" t="str">
        <x:v>registered unit</x:v>
      </x:c>
      <x:c r="F53" s="14" t="str">
        <x:v>OPEN</x:v>
      </x:c>
      <x:c r="G53" s="14" t="str"/>
      <x:c r="H53" s="14" t="str"/>
    </x:row>
    <x:row r="54" ht="18" customHeight="1">
      <x:c r="A54" s="14" t="str">
        <x:v>SRC-05-RETAINED-SAMPLES</x:v>
      </x:c>
      <x:c r="B54" s="14" t="str">
        <x:v>SRC-05</x:v>
      </x:c>
      <x:c r="C54" s="14" t="str">
        <x:v>retained samples</x:v>
      </x:c>
      <x:c r="D54" s="14" t="str"/>
      <x:c r="E54" s="14" t="str">
        <x:v>registered unit</x:v>
      </x:c>
      <x:c r="F54" s="14" t="str">
        <x:v>OPEN</x:v>
      </x:c>
      <x:c r="G54" s="14" t="str"/>
      <x:c r="H54" s="14" t="str"/>
    </x:row>
    <x:row r="55" ht="18" customHeight="1">
      <x:c r="A55" s="14" t="str">
        <x:v>SRC-06-GROSS-MASS</x:v>
      </x:c>
      <x:c r="B55" s="14" t="str">
        <x:v>SRC-06</x:v>
      </x:c>
      <x:c r="C55" s="14" t="str">
        <x:v>gross mass</x:v>
      </x:c>
      <x:c r="D55" s="14" t="str"/>
      <x:c r="E55" s="14" t="str">
        <x:v>kg</x:v>
      </x:c>
      <x:c r="F55" s="14" t="str">
        <x:v>OPEN</x:v>
      </x:c>
      <x:c r="G55" s="14" t="str"/>
      <x:c r="H55" s="14" t="str"/>
    </x:row>
    <x:row r="56" ht="18" customHeight="1">
      <x:c r="A56" s="14" t="str">
        <x:v>SRC-06-EVENT-MASS</x:v>
      </x:c>
      <x:c r="B56" s="14" t="str">
        <x:v>SRC-06</x:v>
      </x:c>
      <x:c r="C56" s="14" t="str">
        <x:v>event mass</x:v>
      </x:c>
      <x:c r="D56" s="14" t="str"/>
      <x:c r="E56" s="14" t="str">
        <x:v>kg</x:v>
      </x:c>
      <x:c r="F56" s="14" t="str">
        <x:v>OPEN</x:v>
      </x:c>
      <x:c r="G56" s="14" t="str"/>
      <x:c r="H56" s="14" t="str"/>
    </x:row>
    <x:row r="57" ht="18" customHeight="1">
      <x:c r="A57" s="14" t="str">
        <x:v>SRC-06-DENSITY</x:v>
      </x:c>
      <x:c r="B57" s="14" t="str">
        <x:v>SRC-06</x:v>
      </x:c>
      <x:c r="C57" s="14" t="str">
        <x:v>density</x:v>
      </x:c>
      <x:c r="D57" s="14" t="str"/>
      <x:c r="E57" s="14" t="str">
        <x:v>kg/m3</x:v>
      </x:c>
      <x:c r="F57" s="14" t="str">
        <x:v>OPEN</x:v>
      </x:c>
      <x:c r="G57" s="14" t="str"/>
      <x:c r="H57" s="14" t="str"/>
    </x:row>
    <x:row r="58" ht="18" customHeight="1">
      <x:c r="A58" s="14" t="str">
        <x:v>SRC-06-LOWER-HEATING-VALUE</x:v>
      </x:c>
      <x:c r="B58" s="14" t="str">
        <x:v>SRC-06</x:v>
      </x:c>
      <x:c r="C58" s="14" t="str">
        <x:v>lower heating value</x:v>
      </x:c>
      <x:c r="D58" s="14" t="str"/>
      <x:c r="E58" s="14" t="str">
        <x:v>MJ/kg</x:v>
      </x:c>
      <x:c r="F58" s="14" t="str">
        <x:v>OPEN</x:v>
      </x:c>
      <x:c r="G58" s="14" t="str"/>
      <x:c r="H58" s="14" t="str"/>
    </x:row>
    <x:row r="59" ht="18" customHeight="1">
      <x:c r="A59" s="14" t="str">
        <x:v>SRC-06-TEMPERATURE</x:v>
      </x:c>
      <x:c r="B59" s="14" t="str">
        <x:v>SRC-06</x:v>
      </x:c>
      <x:c r="C59" s="14" t="str">
        <x:v>temperature</x:v>
      </x:c>
      <x:c r="D59" s="14" t="str"/>
      <x:c r="E59" s="14" t="str">
        <x:v>registered unit</x:v>
      </x:c>
      <x:c r="F59" s="14" t="str">
        <x:v>OPEN</x:v>
      </x:c>
      <x:c r="G59" s="14" t="str"/>
      <x:c r="H59" s="14" t="str"/>
    </x:row>
    <x:row r="60" ht="18" customHeight="1">
      <x:c r="A60" s="14" t="str">
        <x:v>SRC-06-WATER-FRACTION</x:v>
      </x:c>
      <x:c r="B60" s="14" t="str">
        <x:v>SRC-06</x:v>
      </x:c>
      <x:c r="C60" s="14" t="str">
        <x:v>water fraction</x:v>
      </x:c>
      <x:c r="D60" s="14" t="str"/>
      <x:c r="E60" s="14" t="str">
        <x:v>registered unit</x:v>
      </x:c>
      <x:c r="F60" s="14" t="str">
        <x:v>OPEN</x:v>
      </x:c>
      <x:c r="G60" s="14" t="str"/>
      <x:c r="H60" s="14" t="str"/>
    </x:row>
    <x:row r="61" ht="18" customHeight="1">
      <x:c r="A61" s="14" t="str">
        <x:v>SRC-06-FOREIGN-SOLIDS</x:v>
      </x:c>
      <x:c r="B61" s="14" t="str">
        <x:v>SRC-06</x:v>
      </x:c>
      <x:c r="C61" s="14" t="str">
        <x:v>foreign solids</x:v>
      </x:c>
      <x:c r="D61" s="14" t="str"/>
      <x:c r="E61" s="14" t="str">
        <x:v>registered unit</x:v>
      </x:c>
      <x:c r="F61" s="14" t="str">
        <x:v>OPEN</x:v>
      </x:c>
      <x:c r="G61" s="14" t="str"/>
      <x:c r="H61" s="14" t="str"/>
    </x:row>
    <x:row r="62" ht="18" customHeight="1">
      <x:c r="A62" s="14" t="str">
        <x:v>SRC-06-ANCESTRY-RECOVERY</x:v>
      </x:c>
      <x:c r="B62" s="14" t="str">
        <x:v>SRC-06</x:v>
      </x:c>
      <x:c r="C62" s="14" t="str">
        <x:v>ancestry recovery</x:v>
      </x:c>
      <x:c r="D62" s="14" t="str"/>
      <x:c r="E62" s="14" t="str">
        <x:v>registered unit</x:v>
      </x:c>
      <x:c r="F62" s="14" t="str">
        <x:v>OPEN</x:v>
      </x:c>
      <x:c r="G62" s="14" t="str"/>
      <x:c r="H62" s="14" t="str"/>
    </x:row>
    <x:row r="63" ht="18" customHeight="1">
      <x:c r="A63" s="14" t="str">
        <x:v>SRC-06-CUSTODY-SEAL</x:v>
      </x:c>
      <x:c r="B63" s="14" t="str">
        <x:v>SRC-06</x:v>
      </x:c>
      <x:c r="C63" s="14" t="str">
        <x:v>custody seal</x:v>
      </x:c>
      <x:c r="D63" s="14" t="str"/>
      <x:c r="E63" s="14" t="str">
        <x:v>registered unit</x:v>
      </x:c>
      <x:c r="F63" s="14" t="str">
        <x:v>OPEN</x:v>
      </x:c>
      <x:c r="G63" s="14" t="str"/>
      <x:c r="H63" s="14" t="str"/>
    </x:row>
    <x:row r="64" ht="18" customHeight="1">
      <x:c r="A64" s="14" t="str">
        <x:v>SRC-06-RETAINED-SAMPLES</x:v>
      </x:c>
      <x:c r="B64" s="14" t="str">
        <x:v>SRC-06</x:v>
      </x:c>
      <x:c r="C64" s="14" t="str">
        <x:v>retained samples</x:v>
      </x:c>
      <x:c r="D64" s="14" t="str"/>
      <x:c r="E64" s="14" t="str">
        <x:v>registered unit</x:v>
      </x:c>
      <x:c r="F64" s="14" t="str">
        <x:v>OPEN</x:v>
      </x:c>
      <x:c r="G64" s="14" t="str"/>
      <x:c r="H64" s="14" t="str"/>
    </x:row>
    <x:row r="65" ht="18" customHeight="1">
      <x:c r="A65" s="14" t="str">
        <x:v>SRC-07-GROSS-MASS</x:v>
      </x:c>
      <x:c r="B65" s="14" t="str">
        <x:v>SRC-07</x:v>
      </x:c>
      <x:c r="C65" s="14" t="str">
        <x:v>gross mass</x:v>
      </x:c>
      <x:c r="D65" s="14" t="str"/>
      <x:c r="E65" s="14" t="str">
        <x:v>kg</x:v>
      </x:c>
      <x:c r="F65" s="14" t="str">
        <x:v>OPEN</x:v>
      </x:c>
      <x:c r="G65" s="14" t="str"/>
      <x:c r="H65" s="14" t="str"/>
    </x:row>
    <x:row r="66" ht="18" customHeight="1">
      <x:c r="A66" s="14" t="str">
        <x:v>SRC-07-EVENT-MASS</x:v>
      </x:c>
      <x:c r="B66" s="14" t="str">
        <x:v>SRC-07</x:v>
      </x:c>
      <x:c r="C66" s="14" t="str">
        <x:v>event mass</x:v>
      </x:c>
      <x:c r="D66" s="14" t="str"/>
      <x:c r="E66" s="14" t="str">
        <x:v>kg</x:v>
      </x:c>
      <x:c r="F66" s="14" t="str">
        <x:v>OPEN</x:v>
      </x:c>
      <x:c r="G66" s="14" t="str"/>
      <x:c r="H66" s="14" t="str"/>
    </x:row>
    <x:row r="67" ht="18" customHeight="1">
      <x:c r="A67" s="14" t="str">
        <x:v>SRC-07-DENSITY</x:v>
      </x:c>
      <x:c r="B67" s="14" t="str">
        <x:v>SRC-07</x:v>
      </x:c>
      <x:c r="C67" s="14" t="str">
        <x:v>density</x:v>
      </x:c>
      <x:c r="D67" s="14" t="str"/>
      <x:c r="E67" s="14" t="str">
        <x:v>kg/m3</x:v>
      </x:c>
      <x:c r="F67" s="14" t="str">
        <x:v>OPEN</x:v>
      </x:c>
      <x:c r="G67" s="14" t="str"/>
      <x:c r="H67" s="14" t="str"/>
    </x:row>
    <x:row r="68" ht="18" customHeight="1">
      <x:c r="A68" s="14" t="str">
        <x:v>SRC-07-LOWER-HEATING-VALUE</x:v>
      </x:c>
      <x:c r="B68" s="14" t="str">
        <x:v>SRC-07</x:v>
      </x:c>
      <x:c r="C68" s="14" t="str">
        <x:v>lower heating value</x:v>
      </x:c>
      <x:c r="D68" s="14" t="str"/>
      <x:c r="E68" s="14" t="str">
        <x:v>MJ/kg</x:v>
      </x:c>
      <x:c r="F68" s="14" t="str">
        <x:v>OPEN</x:v>
      </x:c>
      <x:c r="G68" s="14" t="str"/>
      <x:c r="H68" s="14" t="str"/>
    </x:row>
    <x:row r="69" ht="18" customHeight="1">
      <x:c r="A69" s="14" t="str">
        <x:v>SRC-07-TEMPERATURE</x:v>
      </x:c>
      <x:c r="B69" s="14" t="str">
        <x:v>SRC-07</x:v>
      </x:c>
      <x:c r="C69" s="14" t="str">
        <x:v>temperature</x:v>
      </x:c>
      <x:c r="D69" s="14" t="str"/>
      <x:c r="E69" s="14" t="str">
        <x:v>registered unit</x:v>
      </x:c>
      <x:c r="F69" s="14" t="str">
        <x:v>OPEN</x:v>
      </x:c>
      <x:c r="G69" s="14" t="str"/>
      <x:c r="H69" s="14" t="str"/>
    </x:row>
    <x:row r="70" ht="18" customHeight="1">
      <x:c r="A70" s="14" t="str">
        <x:v>SRC-07-WATER-FRACTION</x:v>
      </x:c>
      <x:c r="B70" s="14" t="str">
        <x:v>SRC-07</x:v>
      </x:c>
      <x:c r="C70" s="14" t="str">
        <x:v>water fraction</x:v>
      </x:c>
      <x:c r="D70" s="14" t="str"/>
      <x:c r="E70" s="14" t="str">
        <x:v>registered unit</x:v>
      </x:c>
      <x:c r="F70" s="14" t="str">
        <x:v>OPEN</x:v>
      </x:c>
      <x:c r="G70" s="14" t="str"/>
      <x:c r="H70" s="14" t="str"/>
    </x:row>
    <x:row r="71" ht="18" customHeight="1">
      <x:c r="A71" s="14" t="str">
        <x:v>SRC-07-FOREIGN-SOLIDS</x:v>
      </x:c>
      <x:c r="B71" s="14" t="str">
        <x:v>SRC-07</x:v>
      </x:c>
      <x:c r="C71" s="14" t="str">
        <x:v>foreign solids</x:v>
      </x:c>
      <x:c r="D71" s="14" t="str"/>
      <x:c r="E71" s="14" t="str">
        <x:v>registered unit</x:v>
      </x:c>
      <x:c r="F71" s="14" t="str">
        <x:v>OPEN</x:v>
      </x:c>
      <x:c r="G71" s="14" t="str"/>
      <x:c r="H71" s="14" t="str"/>
    </x:row>
    <x:row r="72" ht="18" customHeight="1">
      <x:c r="A72" s="14" t="str">
        <x:v>SRC-07-ANCESTRY-RECOVERY</x:v>
      </x:c>
      <x:c r="B72" s="14" t="str">
        <x:v>SRC-07</x:v>
      </x:c>
      <x:c r="C72" s="14" t="str">
        <x:v>ancestry recovery</x:v>
      </x:c>
      <x:c r="D72" s="14" t="str"/>
      <x:c r="E72" s="14" t="str">
        <x:v>registered unit</x:v>
      </x:c>
      <x:c r="F72" s="14" t="str">
        <x:v>OPEN</x:v>
      </x:c>
      <x:c r="G72" s="14" t="str"/>
      <x:c r="H72" s="14" t="str"/>
    </x:row>
    <x:row r="73" ht="18" customHeight="1">
      <x:c r="A73" s="14" t="str">
        <x:v>SRC-07-CUSTODY-SEAL</x:v>
      </x:c>
      <x:c r="B73" s="14" t="str">
        <x:v>SRC-07</x:v>
      </x:c>
      <x:c r="C73" s="14" t="str">
        <x:v>custody seal</x:v>
      </x:c>
      <x:c r="D73" s="14" t="str"/>
      <x:c r="E73" s="14" t="str">
        <x:v>registered unit</x:v>
      </x:c>
      <x:c r="F73" s="14" t="str">
        <x:v>OPEN</x:v>
      </x:c>
      <x:c r="G73" s="14" t="str"/>
      <x:c r="H73" s="14" t="str"/>
    </x:row>
    <x:row r="74" ht="18" customHeight="1">
      <x:c r="A74" s="14" t="str">
        <x:v>SRC-07-RETAINED-SAMPLES</x:v>
      </x:c>
      <x:c r="B74" s="14" t="str">
        <x:v>SRC-07</x:v>
      </x:c>
      <x:c r="C74" s="14" t="str">
        <x:v>retained samples</x:v>
      </x:c>
      <x:c r="D74" s="14" t="str"/>
      <x:c r="E74" s="14" t="str">
        <x:v>registered unit</x:v>
      </x:c>
      <x:c r="F74" s="14" t="str">
        <x:v>OPEN</x:v>
      </x:c>
      <x:c r="G74" s="14" t="str"/>
      <x:c r="H74" s="14" t="str"/>
    </x:row>
    <x:row r="75" ht="18" customHeight="1">
      <x:c r="A75" s="14" t="str">
        <x:v>SRC-08-GROSS-MASS</x:v>
      </x:c>
      <x:c r="B75" s="14" t="str">
        <x:v>SRC-08</x:v>
      </x:c>
      <x:c r="C75" s="14" t="str">
        <x:v>gross mass</x:v>
      </x:c>
      <x:c r="D75" s="14" t="str"/>
      <x:c r="E75" s="14" t="str">
        <x:v>kg</x:v>
      </x:c>
      <x:c r="F75" s="14" t="str">
        <x:v>OPEN</x:v>
      </x:c>
      <x:c r="G75" s="14" t="str"/>
      <x:c r="H75" s="14" t="str"/>
    </x:row>
    <x:row r="76" ht="18" customHeight="1">
      <x:c r="A76" s="14" t="str">
        <x:v>SRC-08-EVENT-MASS</x:v>
      </x:c>
      <x:c r="B76" s="14" t="str">
        <x:v>SRC-08</x:v>
      </x:c>
      <x:c r="C76" s="14" t="str">
        <x:v>event mass</x:v>
      </x:c>
      <x:c r="D76" s="14" t="str"/>
      <x:c r="E76" s="14" t="str">
        <x:v>kg</x:v>
      </x:c>
      <x:c r="F76" s="14" t="str">
        <x:v>OPEN</x:v>
      </x:c>
      <x:c r="G76" s="14" t="str"/>
      <x:c r="H76" s="14" t="str"/>
    </x:row>
    <x:row r="77" ht="18" customHeight="1">
      <x:c r="A77" s="14" t="str">
        <x:v>SRC-08-DENSITY</x:v>
      </x:c>
      <x:c r="B77" s="14" t="str">
        <x:v>SRC-08</x:v>
      </x:c>
      <x:c r="C77" s="14" t="str">
        <x:v>density</x:v>
      </x:c>
      <x:c r="D77" s="14" t="str"/>
      <x:c r="E77" s="14" t="str">
        <x:v>kg/m3</x:v>
      </x:c>
      <x:c r="F77" s="14" t="str">
        <x:v>OPEN</x:v>
      </x:c>
      <x:c r="G77" s="14" t="str"/>
      <x:c r="H77" s="14" t="str"/>
    </x:row>
    <x:row r="78" ht="18" customHeight="1">
      <x:c r="A78" s="14" t="str">
        <x:v>SRC-08-LOWER-HEATING-VALUE</x:v>
      </x:c>
      <x:c r="B78" s="14" t="str">
        <x:v>SRC-08</x:v>
      </x:c>
      <x:c r="C78" s="14" t="str">
        <x:v>lower heating value</x:v>
      </x:c>
      <x:c r="D78" s="14" t="str"/>
      <x:c r="E78" s="14" t="str">
        <x:v>MJ/kg</x:v>
      </x:c>
      <x:c r="F78" s="14" t="str">
        <x:v>OPEN</x:v>
      </x:c>
      <x:c r="G78" s="14" t="str"/>
      <x:c r="H78" s="14" t="str"/>
    </x:row>
    <x:row r="79" ht="18" customHeight="1">
      <x:c r="A79" s="14" t="str">
        <x:v>SRC-08-TEMPERATURE</x:v>
      </x:c>
      <x:c r="B79" s="14" t="str">
        <x:v>SRC-08</x:v>
      </x:c>
      <x:c r="C79" s="14" t="str">
        <x:v>temperature</x:v>
      </x:c>
      <x:c r="D79" s="14" t="str"/>
      <x:c r="E79" s="14" t="str">
        <x:v>registered unit</x:v>
      </x:c>
      <x:c r="F79" s="14" t="str">
        <x:v>OPEN</x:v>
      </x:c>
      <x:c r="G79" s="14" t="str"/>
      <x:c r="H79" s="14" t="str"/>
    </x:row>
    <x:row r="80" ht="18" customHeight="1">
      <x:c r="A80" s="14" t="str">
        <x:v>SRC-08-WATER-FRACTION</x:v>
      </x:c>
      <x:c r="B80" s="14" t="str">
        <x:v>SRC-08</x:v>
      </x:c>
      <x:c r="C80" s="14" t="str">
        <x:v>water fraction</x:v>
      </x:c>
      <x:c r="D80" s="14" t="str"/>
      <x:c r="E80" s="14" t="str">
        <x:v>registered unit</x:v>
      </x:c>
      <x:c r="F80" s="14" t="str">
        <x:v>OPEN</x:v>
      </x:c>
      <x:c r="G80" s="14" t="str"/>
      <x:c r="H80" s="14" t="str"/>
    </x:row>
    <x:row r="81" ht="18" customHeight="1">
      <x:c r="A81" s="14" t="str">
        <x:v>SRC-08-FOREIGN-SOLIDS</x:v>
      </x:c>
      <x:c r="B81" s="14" t="str">
        <x:v>SRC-08</x:v>
      </x:c>
      <x:c r="C81" s="14" t="str">
        <x:v>foreign solids</x:v>
      </x:c>
      <x:c r="D81" s="14" t="str"/>
      <x:c r="E81" s="14" t="str">
        <x:v>registered unit</x:v>
      </x:c>
      <x:c r="F81" s="14" t="str">
        <x:v>OPEN</x:v>
      </x:c>
      <x:c r="G81" s="14" t="str"/>
      <x:c r="H81" s="14" t="str"/>
    </x:row>
    <x:row r="82" ht="18" customHeight="1">
      <x:c r="A82" s="14" t="str">
        <x:v>SRC-08-ANCESTRY-RECOVERY</x:v>
      </x:c>
      <x:c r="B82" s="14" t="str">
        <x:v>SRC-08</x:v>
      </x:c>
      <x:c r="C82" s="14" t="str">
        <x:v>ancestry recovery</x:v>
      </x:c>
      <x:c r="D82" s="14" t="str"/>
      <x:c r="E82" s="14" t="str">
        <x:v>registered unit</x:v>
      </x:c>
      <x:c r="F82" s="14" t="str">
        <x:v>OPEN</x:v>
      </x:c>
      <x:c r="G82" s="14" t="str"/>
      <x:c r="H82" s="14" t="str"/>
    </x:row>
    <x:row r="83" ht="18" customHeight="1">
      <x:c r="A83" s="14" t="str">
        <x:v>SRC-08-CUSTODY-SEAL</x:v>
      </x:c>
      <x:c r="B83" s="14" t="str">
        <x:v>SRC-08</x:v>
      </x:c>
      <x:c r="C83" s="14" t="str">
        <x:v>custody seal</x:v>
      </x:c>
      <x:c r="D83" s="14" t="str"/>
      <x:c r="E83" s="14" t="str">
        <x:v>registered unit</x:v>
      </x:c>
      <x:c r="F83" s="14" t="str">
        <x:v>OPEN</x:v>
      </x:c>
      <x:c r="G83" s="14" t="str"/>
      <x:c r="H83" s="14" t="str"/>
    </x:row>
    <x:row r="84" ht="18" customHeight="1">
      <x:c r="A84" s="14" t="str">
        <x:v>SRC-08-RETAINED-SAMPLES</x:v>
      </x:c>
      <x:c r="B84" s="14" t="str">
        <x:v>SRC-08</x:v>
      </x:c>
      <x:c r="C84" s="14" t="str">
        <x:v>retained samples</x:v>
      </x:c>
      <x:c r="D84" s="14" t="str"/>
      <x:c r="E84" s="14" t="str">
        <x:v>registered unit</x:v>
      </x:c>
      <x:c r="F84" s="14" t="str">
        <x:v>OPEN</x:v>
      </x:c>
      <x:c r="G84" s="14" t="str"/>
      <x:c r="H84" s="14" t="str"/>
    </x:row>
    <x:row r="85" ht="18" customHeight="1">
      <x:c r="A85" s="14" t="str">
        <x:v>SRC-09-GROSS-MASS</x:v>
      </x:c>
      <x:c r="B85" s="14" t="str">
        <x:v>SRC-09</x:v>
      </x:c>
      <x:c r="C85" s="14" t="str">
        <x:v>gross mass</x:v>
      </x:c>
      <x:c r="D85" s="14" t="str"/>
      <x:c r="E85" s="14" t="str">
        <x:v>kg</x:v>
      </x:c>
      <x:c r="F85" s="14" t="str">
        <x:v>OPEN</x:v>
      </x:c>
      <x:c r="G85" s="14" t="str"/>
      <x:c r="H85" s="14" t="str"/>
    </x:row>
    <x:row r="86" ht="18" customHeight="1">
      <x:c r="A86" s="14" t="str">
        <x:v>SRC-09-EVENT-MASS</x:v>
      </x:c>
      <x:c r="B86" s="14" t="str">
        <x:v>SRC-09</x:v>
      </x:c>
      <x:c r="C86" s="14" t="str">
        <x:v>event mass</x:v>
      </x:c>
      <x:c r="D86" s="14" t="str"/>
      <x:c r="E86" s="14" t="str">
        <x:v>kg</x:v>
      </x:c>
      <x:c r="F86" s="14" t="str">
        <x:v>OPEN</x:v>
      </x:c>
      <x:c r="G86" s="14" t="str"/>
      <x:c r="H86" s="14" t="str"/>
    </x:row>
    <x:row r="87" ht="18" customHeight="1">
      <x:c r="A87" s="14" t="str">
        <x:v>SRC-09-DENSITY</x:v>
      </x:c>
      <x:c r="B87" s="14" t="str">
        <x:v>SRC-09</x:v>
      </x:c>
      <x:c r="C87" s="14" t="str">
        <x:v>density</x:v>
      </x:c>
      <x:c r="D87" s="14" t="str"/>
      <x:c r="E87" s="14" t="str">
        <x:v>kg/m3</x:v>
      </x:c>
      <x:c r="F87" s="14" t="str">
        <x:v>OPEN</x:v>
      </x:c>
      <x:c r="G87" s="14" t="str"/>
      <x:c r="H87" s="14" t="str"/>
    </x:row>
    <x:row r="88" ht="18" customHeight="1">
      <x:c r="A88" s="14" t="str">
        <x:v>SRC-09-LOWER-HEATING-VALUE</x:v>
      </x:c>
      <x:c r="B88" s="14" t="str">
        <x:v>SRC-09</x:v>
      </x:c>
      <x:c r="C88" s="14" t="str">
        <x:v>lower heating value</x:v>
      </x:c>
      <x:c r="D88" s="14" t="str"/>
      <x:c r="E88" s="14" t="str">
        <x:v>MJ/kg</x:v>
      </x:c>
      <x:c r="F88" s="14" t="str">
        <x:v>OPEN</x:v>
      </x:c>
      <x:c r="G88" s="14" t="str"/>
      <x:c r="H88" s="14" t="str"/>
    </x:row>
    <x:row r="89" ht="18" customHeight="1">
      <x:c r="A89" s="14" t="str">
        <x:v>SRC-09-TEMPERATURE</x:v>
      </x:c>
      <x:c r="B89" s="14" t="str">
        <x:v>SRC-09</x:v>
      </x:c>
      <x:c r="C89" s="14" t="str">
        <x:v>temperature</x:v>
      </x:c>
      <x:c r="D89" s="14" t="str"/>
      <x:c r="E89" s="14" t="str">
        <x:v>registered unit</x:v>
      </x:c>
      <x:c r="F89" s="14" t="str">
        <x:v>OPEN</x:v>
      </x:c>
      <x:c r="G89" s="14" t="str"/>
      <x:c r="H89" s="14" t="str"/>
    </x:row>
    <x:row r="90" ht="18" customHeight="1">
      <x:c r="A90" s="14" t="str">
        <x:v>SRC-09-WATER-FRACTION</x:v>
      </x:c>
      <x:c r="B90" s="14" t="str">
        <x:v>SRC-09</x:v>
      </x:c>
      <x:c r="C90" s="14" t="str">
        <x:v>water fraction</x:v>
      </x:c>
      <x:c r="D90" s="14" t="str"/>
      <x:c r="E90" s="14" t="str">
        <x:v>registered unit</x:v>
      </x:c>
      <x:c r="F90" s="14" t="str">
        <x:v>OPEN</x:v>
      </x:c>
      <x:c r="G90" s="14" t="str"/>
      <x:c r="H90" s="14" t="str"/>
    </x:row>
    <x:row r="91" ht="18" customHeight="1">
      <x:c r="A91" s="14" t="str">
        <x:v>SRC-09-FOREIGN-SOLIDS</x:v>
      </x:c>
      <x:c r="B91" s="14" t="str">
        <x:v>SRC-09</x:v>
      </x:c>
      <x:c r="C91" s="14" t="str">
        <x:v>foreign solids</x:v>
      </x:c>
      <x:c r="D91" s="14" t="str"/>
      <x:c r="E91" s="14" t="str">
        <x:v>registered unit</x:v>
      </x:c>
      <x:c r="F91" s="14" t="str">
        <x:v>OPEN</x:v>
      </x:c>
      <x:c r="G91" s="14" t="str"/>
      <x:c r="H91" s="14" t="str"/>
    </x:row>
    <x:row r="92" ht="18" customHeight="1">
      <x:c r="A92" s="14" t="str">
        <x:v>SRC-09-ANCESTRY-RECOVERY</x:v>
      </x:c>
      <x:c r="B92" s="14" t="str">
        <x:v>SRC-09</x:v>
      </x:c>
      <x:c r="C92" s="14" t="str">
        <x:v>ancestry recovery</x:v>
      </x:c>
      <x:c r="D92" s="14" t="str"/>
      <x:c r="E92" s="14" t="str">
        <x:v>registered unit</x:v>
      </x:c>
      <x:c r="F92" s="14" t="str">
        <x:v>OPEN</x:v>
      </x:c>
      <x:c r="G92" s="14" t="str"/>
      <x:c r="H92" s="14" t="str"/>
    </x:row>
    <x:row r="93" ht="18" customHeight="1">
      <x:c r="A93" s="14" t="str">
        <x:v>SRC-09-CUSTODY-SEAL</x:v>
      </x:c>
      <x:c r="B93" s="14" t="str">
        <x:v>SRC-09</x:v>
      </x:c>
      <x:c r="C93" s="14" t="str">
        <x:v>custody seal</x:v>
      </x:c>
      <x:c r="D93" s="14" t="str"/>
      <x:c r="E93" s="14" t="str">
        <x:v>registered unit</x:v>
      </x:c>
      <x:c r="F93" s="14" t="str">
        <x:v>OPEN</x:v>
      </x:c>
      <x:c r="G93" s="14" t="str"/>
      <x:c r="H93" s="14" t="str"/>
    </x:row>
    <x:row r="94" ht="18" customHeight="1">
      <x:c r="A94" s="14" t="str">
        <x:v>SRC-09-RETAINED-SAMPLES</x:v>
      </x:c>
      <x:c r="B94" s="14" t="str">
        <x:v>SRC-09</x:v>
      </x:c>
      <x:c r="C94" s="14" t="str">
        <x:v>retained samples</x:v>
      </x:c>
      <x:c r="D94" s="14" t="str"/>
      <x:c r="E94" s="14" t="str">
        <x:v>registered unit</x:v>
      </x:c>
      <x:c r="F94" s="14" t="str">
        <x:v>OPEN</x:v>
      </x:c>
      <x:c r="G94" s="14" t="str"/>
      <x:c r="H94" s="14" t="str"/>
    </x:row>
    <x:row r="95" ht="18" customHeight="1">
      <x:c r="A95" s="14" t="str">
        <x:v>SRC-10-GROSS-MASS</x:v>
      </x:c>
      <x:c r="B95" s="14" t="str">
        <x:v>SRC-10</x:v>
      </x:c>
      <x:c r="C95" s="14" t="str">
        <x:v>gross mass</x:v>
      </x:c>
      <x:c r="D95" s="14" t="str"/>
      <x:c r="E95" s="14" t="str">
        <x:v>kg</x:v>
      </x:c>
      <x:c r="F95" s="14" t="str">
        <x:v>OPEN</x:v>
      </x:c>
      <x:c r="G95" s="14" t="str"/>
      <x:c r="H95" s="14" t="str"/>
    </x:row>
    <x:row r="96" ht="18" customHeight="1">
      <x:c r="A96" s="14" t="str">
        <x:v>SRC-10-EVENT-MASS</x:v>
      </x:c>
      <x:c r="B96" s="14" t="str">
        <x:v>SRC-10</x:v>
      </x:c>
      <x:c r="C96" s="14" t="str">
        <x:v>event mass</x:v>
      </x:c>
      <x:c r="D96" s="14" t="str"/>
      <x:c r="E96" s="14" t="str">
        <x:v>kg</x:v>
      </x:c>
      <x:c r="F96" s="14" t="str">
        <x:v>OPEN</x:v>
      </x:c>
      <x:c r="G96" s="14" t="str"/>
      <x:c r="H96" s="14" t="str"/>
    </x:row>
    <x:row r="97" ht="18" customHeight="1">
      <x:c r="A97" s="14" t="str">
        <x:v>SRC-10-DENSITY</x:v>
      </x:c>
      <x:c r="B97" s="14" t="str">
        <x:v>SRC-10</x:v>
      </x:c>
      <x:c r="C97" s="14" t="str">
        <x:v>density</x:v>
      </x:c>
      <x:c r="D97" s="14" t="str"/>
      <x:c r="E97" s="14" t="str">
        <x:v>kg/m3</x:v>
      </x:c>
      <x:c r="F97" s="14" t="str">
        <x:v>OPEN</x:v>
      </x:c>
      <x:c r="G97" s="14" t="str"/>
      <x:c r="H97" s="14" t="str"/>
    </x:row>
    <x:row r="98" ht="18" customHeight="1">
      <x:c r="A98" s="14" t="str">
        <x:v>SRC-10-LOWER-HEATING-VALUE</x:v>
      </x:c>
      <x:c r="B98" s="14" t="str">
        <x:v>SRC-10</x:v>
      </x:c>
      <x:c r="C98" s="14" t="str">
        <x:v>lower heating value</x:v>
      </x:c>
      <x:c r="D98" s="14" t="str"/>
      <x:c r="E98" s="14" t="str">
        <x:v>MJ/kg</x:v>
      </x:c>
      <x:c r="F98" s="14" t="str">
        <x:v>OPEN</x:v>
      </x:c>
      <x:c r="G98" s="14" t="str"/>
      <x:c r="H98" s="14" t="str"/>
    </x:row>
    <x:row r="99" ht="18" customHeight="1">
      <x:c r="A99" s="14" t="str">
        <x:v>SRC-10-TEMPERATURE</x:v>
      </x:c>
      <x:c r="B99" s="14" t="str">
        <x:v>SRC-10</x:v>
      </x:c>
      <x:c r="C99" s="14" t="str">
        <x:v>temperature</x:v>
      </x:c>
      <x:c r="D99" s="14" t="str"/>
      <x:c r="E99" s="14" t="str">
        <x:v>registered unit</x:v>
      </x:c>
      <x:c r="F99" s="14" t="str">
        <x:v>OPEN</x:v>
      </x:c>
      <x:c r="G99" s="14" t="str"/>
      <x:c r="H99" s="14" t="str"/>
    </x:row>
    <x:row r="100" ht="18" customHeight="1">
      <x:c r="A100" s="14" t="str">
        <x:v>SRC-10-WATER-FRACTION</x:v>
      </x:c>
      <x:c r="B100" s="14" t="str">
        <x:v>SRC-10</x:v>
      </x:c>
      <x:c r="C100" s="14" t="str">
        <x:v>water fraction</x:v>
      </x:c>
      <x:c r="D100" s="14" t="str"/>
      <x:c r="E100" s="14" t="str">
        <x:v>registered unit</x:v>
      </x:c>
      <x:c r="F100" s="14" t="str">
        <x:v>OPEN</x:v>
      </x:c>
      <x:c r="G100" s="14" t="str"/>
      <x:c r="H100" s="14" t="str"/>
    </x:row>
    <x:row r="101" ht="18" customHeight="1">
      <x:c r="A101" s="14" t="str">
        <x:v>SRC-10-FOREIGN-SOLIDS</x:v>
      </x:c>
      <x:c r="B101" s="14" t="str">
        <x:v>SRC-10</x:v>
      </x:c>
      <x:c r="C101" s="14" t="str">
        <x:v>foreign solids</x:v>
      </x:c>
      <x:c r="D101" s="14" t="str"/>
      <x:c r="E101" s="14" t="str">
        <x:v>registered unit</x:v>
      </x:c>
      <x:c r="F101" s="14" t="str">
        <x:v>OPEN</x:v>
      </x:c>
      <x:c r="G101" s="14" t="str"/>
      <x:c r="H101" s="14" t="str"/>
    </x:row>
    <x:row r="102" ht="18" customHeight="1">
      <x:c r="A102" s="14" t="str">
        <x:v>SRC-10-ANCESTRY-RECOVERY</x:v>
      </x:c>
      <x:c r="B102" s="14" t="str">
        <x:v>SRC-10</x:v>
      </x:c>
      <x:c r="C102" s="14" t="str">
        <x:v>ancestry recovery</x:v>
      </x:c>
      <x:c r="D102" s="14" t="str"/>
      <x:c r="E102" s="14" t="str">
        <x:v>registered unit</x:v>
      </x:c>
      <x:c r="F102" s="14" t="str">
        <x:v>OPEN</x:v>
      </x:c>
      <x:c r="G102" s="14" t="str"/>
      <x:c r="H102" s="14" t="str"/>
    </x:row>
    <x:row r="103" ht="18" customHeight="1">
      <x:c r="A103" s="14" t="str">
        <x:v>SRC-10-CUSTODY-SEAL</x:v>
      </x:c>
      <x:c r="B103" s="14" t="str">
        <x:v>SRC-10</x:v>
      </x:c>
      <x:c r="C103" s="14" t="str">
        <x:v>custody seal</x:v>
      </x:c>
      <x:c r="D103" s="14" t="str"/>
      <x:c r="E103" s="14" t="str">
        <x:v>registered unit</x:v>
      </x:c>
      <x:c r="F103" s="14" t="str">
        <x:v>OPEN</x:v>
      </x:c>
      <x:c r="G103" s="14" t="str"/>
      <x:c r="H103" s="14" t="str"/>
    </x:row>
    <x:row r="104" ht="18" customHeight="1">
      <x:c r="A104" s="14" t="str">
        <x:v>SRC-10-RETAINED-SAMPLES</x:v>
      </x:c>
      <x:c r="B104" s="14" t="str">
        <x:v>SRC-10</x:v>
      </x:c>
      <x:c r="C104" s="14" t="str">
        <x:v>retained samples</x:v>
      </x:c>
      <x:c r="D104" s="14" t="str"/>
      <x:c r="E104" s="14" t="str">
        <x:v>registered unit</x:v>
      </x:c>
      <x:c r="F104" s="14" t="str">
        <x:v>OPEN</x:v>
      </x:c>
      <x:c r="G104" s="14" t="str"/>
      <x:c r="H104" s="14" t="str"/>
    </x:row>
    <x:row r="105" ht="18" customHeight="1">
      <x:c r="A105" s="14" t="str">
        <x:v>SRC-11-GROSS-MASS</x:v>
      </x:c>
      <x:c r="B105" s="14" t="str">
        <x:v>SRC-11</x:v>
      </x:c>
      <x:c r="C105" s="14" t="str">
        <x:v>gross mass</x:v>
      </x:c>
      <x:c r="D105" s="14" t="str"/>
      <x:c r="E105" s="14" t="str">
        <x:v>kg</x:v>
      </x:c>
      <x:c r="F105" s="14" t="str">
        <x:v>OPEN</x:v>
      </x:c>
      <x:c r="G105" s="14" t="str"/>
      <x:c r="H105" s="14" t="str"/>
    </x:row>
    <x:row r="106" ht="18" customHeight="1">
      <x:c r="A106" s="14" t="str">
        <x:v>SRC-11-EVENT-MASS</x:v>
      </x:c>
      <x:c r="B106" s="14" t="str">
        <x:v>SRC-11</x:v>
      </x:c>
      <x:c r="C106" s="14" t="str">
        <x:v>event mass</x:v>
      </x:c>
      <x:c r="D106" s="14" t="str"/>
      <x:c r="E106" s="14" t="str">
        <x:v>kg</x:v>
      </x:c>
      <x:c r="F106" s="14" t="str">
        <x:v>OPEN</x:v>
      </x:c>
      <x:c r="G106" s="14" t="str"/>
      <x:c r="H106" s="14" t="str"/>
    </x:row>
    <x:row r="107" ht="18" customHeight="1">
      <x:c r="A107" s="14" t="str">
        <x:v>SRC-11-DENSITY</x:v>
      </x:c>
      <x:c r="B107" s="14" t="str">
        <x:v>SRC-11</x:v>
      </x:c>
      <x:c r="C107" s="14" t="str">
        <x:v>density</x:v>
      </x:c>
      <x:c r="D107" s="14" t="str"/>
      <x:c r="E107" s="14" t="str">
        <x:v>kg/m3</x:v>
      </x:c>
      <x:c r="F107" s="14" t="str">
        <x:v>OPEN</x:v>
      </x:c>
      <x:c r="G107" s="14" t="str"/>
      <x:c r="H107" s="14" t="str"/>
    </x:row>
    <x:row r="108" ht="18" customHeight="1">
      <x:c r="A108" s="14" t="str">
        <x:v>SRC-11-LOWER-HEATING-VALUE</x:v>
      </x:c>
      <x:c r="B108" s="14" t="str">
        <x:v>SRC-11</x:v>
      </x:c>
      <x:c r="C108" s="14" t="str">
        <x:v>lower heating value</x:v>
      </x:c>
      <x:c r="D108" s="14" t="str"/>
      <x:c r="E108" s="14" t="str">
        <x:v>MJ/kg</x:v>
      </x:c>
      <x:c r="F108" s="14" t="str">
        <x:v>OPEN</x:v>
      </x:c>
      <x:c r="G108" s="14" t="str"/>
      <x:c r="H108" s="14" t="str"/>
    </x:row>
    <x:row r="109" ht="18" customHeight="1">
      <x:c r="A109" s="14" t="str">
        <x:v>SRC-11-TEMPERATURE</x:v>
      </x:c>
      <x:c r="B109" s="14" t="str">
        <x:v>SRC-11</x:v>
      </x:c>
      <x:c r="C109" s="14" t="str">
        <x:v>temperature</x:v>
      </x:c>
      <x:c r="D109" s="14" t="str"/>
      <x:c r="E109" s="14" t="str">
        <x:v>registered unit</x:v>
      </x:c>
      <x:c r="F109" s="14" t="str">
        <x:v>OPEN</x:v>
      </x:c>
      <x:c r="G109" s="14" t="str"/>
      <x:c r="H109" s="14" t="str"/>
    </x:row>
    <x:row r="110" ht="18" customHeight="1">
      <x:c r="A110" s="14" t="str">
        <x:v>SRC-11-WATER-FRACTION</x:v>
      </x:c>
      <x:c r="B110" s="14" t="str">
        <x:v>SRC-11</x:v>
      </x:c>
      <x:c r="C110" s="14" t="str">
        <x:v>water fraction</x:v>
      </x:c>
      <x:c r="D110" s="14" t="str"/>
      <x:c r="E110" s="14" t="str">
        <x:v>registered unit</x:v>
      </x:c>
      <x:c r="F110" s="14" t="str">
        <x:v>OPEN</x:v>
      </x:c>
      <x:c r="G110" s="14" t="str"/>
      <x:c r="H110" s="14" t="str"/>
    </x:row>
    <x:row r="111" ht="18" customHeight="1">
      <x:c r="A111" s="14" t="str">
        <x:v>SRC-11-FOREIGN-SOLIDS</x:v>
      </x:c>
      <x:c r="B111" s="14" t="str">
        <x:v>SRC-11</x:v>
      </x:c>
      <x:c r="C111" s="14" t="str">
        <x:v>foreign solids</x:v>
      </x:c>
      <x:c r="D111" s="14" t="str"/>
      <x:c r="E111" s="14" t="str">
        <x:v>registered unit</x:v>
      </x:c>
      <x:c r="F111" s="14" t="str">
        <x:v>OPEN</x:v>
      </x:c>
      <x:c r="G111" s="14" t="str"/>
      <x:c r="H111" s="14" t="str"/>
    </x:row>
    <x:row r="112" ht="18" customHeight="1">
      <x:c r="A112" s="14" t="str">
        <x:v>SRC-11-ANCESTRY-RECOVERY</x:v>
      </x:c>
      <x:c r="B112" s="14" t="str">
        <x:v>SRC-11</x:v>
      </x:c>
      <x:c r="C112" s="14" t="str">
        <x:v>ancestry recovery</x:v>
      </x:c>
      <x:c r="D112" s="14" t="str"/>
      <x:c r="E112" s="14" t="str">
        <x:v>registered unit</x:v>
      </x:c>
      <x:c r="F112" s="14" t="str">
        <x:v>OPEN</x:v>
      </x:c>
      <x:c r="G112" s="14" t="str"/>
      <x:c r="H112" s="14" t="str"/>
    </x:row>
    <x:row r="113" ht="18" customHeight="1">
      <x:c r="A113" s="14" t="str">
        <x:v>SRC-11-CUSTODY-SEAL</x:v>
      </x:c>
      <x:c r="B113" s="14" t="str">
        <x:v>SRC-11</x:v>
      </x:c>
      <x:c r="C113" s="14" t="str">
        <x:v>custody seal</x:v>
      </x:c>
      <x:c r="D113" s="14" t="str"/>
      <x:c r="E113" s="14" t="str">
        <x:v>registered unit</x:v>
      </x:c>
      <x:c r="F113" s="14" t="str">
        <x:v>OPEN</x:v>
      </x:c>
      <x:c r="G113" s="14" t="str"/>
      <x:c r="H113" s="14" t="str"/>
    </x:row>
    <x:row r="114" ht="18" customHeight="1">
      <x:c r="A114" s="14" t="str">
        <x:v>SRC-11-RETAINED-SAMPLES</x:v>
      </x:c>
      <x:c r="B114" s="14" t="str">
        <x:v>SRC-11</x:v>
      </x:c>
      <x:c r="C114" s="14" t="str">
        <x:v>retained samples</x:v>
      </x:c>
      <x:c r="D114" s="14" t="str"/>
      <x:c r="E114" s="14" t="str">
        <x:v>registered unit</x:v>
      </x:c>
      <x:c r="F114" s="14" t="str">
        <x:v>OPEN</x:v>
      </x:c>
      <x:c r="G114" s="14" t="str"/>
      <x:c r="H114" s="14" t="str"/>
    </x:row>
    <x:row r="115" ht="18" customHeight="1">
      <x:c r="A115" s="14" t="str">
        <x:v>SRC-12-GROSS-MASS</x:v>
      </x:c>
      <x:c r="B115" s="14" t="str">
        <x:v>SRC-12</x:v>
      </x:c>
      <x:c r="C115" s="14" t="str">
        <x:v>gross mass</x:v>
      </x:c>
      <x:c r="D115" s="14" t="str"/>
      <x:c r="E115" s="14" t="str">
        <x:v>kg</x:v>
      </x:c>
      <x:c r="F115" s="14" t="str">
        <x:v>OPEN</x:v>
      </x:c>
      <x:c r="G115" s="14" t="str"/>
      <x:c r="H115" s="14" t="str"/>
    </x:row>
    <x:row r="116" ht="18" customHeight="1">
      <x:c r="A116" s="14" t="str">
        <x:v>SRC-12-EVENT-MASS</x:v>
      </x:c>
      <x:c r="B116" s="14" t="str">
        <x:v>SRC-12</x:v>
      </x:c>
      <x:c r="C116" s="14" t="str">
        <x:v>event mass</x:v>
      </x:c>
      <x:c r="D116" s="14" t="str"/>
      <x:c r="E116" s="14" t="str">
        <x:v>kg</x:v>
      </x:c>
      <x:c r="F116" s="14" t="str">
        <x:v>OPEN</x:v>
      </x:c>
      <x:c r="G116" s="14" t="str"/>
      <x:c r="H116" s="14" t="str"/>
    </x:row>
    <x:row r="117" ht="18" customHeight="1">
      <x:c r="A117" s="14" t="str">
        <x:v>SRC-12-DENSITY</x:v>
      </x:c>
      <x:c r="B117" s="14" t="str">
        <x:v>SRC-12</x:v>
      </x:c>
      <x:c r="C117" s="14" t="str">
        <x:v>density</x:v>
      </x:c>
      <x:c r="D117" s="14" t="str"/>
      <x:c r="E117" s="14" t="str">
        <x:v>kg/m3</x:v>
      </x:c>
      <x:c r="F117" s="14" t="str">
        <x:v>OPEN</x:v>
      </x:c>
      <x:c r="G117" s="14" t="str"/>
      <x:c r="H117" s="14" t="str"/>
    </x:row>
    <x:row r="118" ht="18" customHeight="1">
      <x:c r="A118" s="14" t="str">
        <x:v>SRC-12-LOWER-HEATING-VALUE</x:v>
      </x:c>
      <x:c r="B118" s="14" t="str">
        <x:v>SRC-12</x:v>
      </x:c>
      <x:c r="C118" s="14" t="str">
        <x:v>lower heating value</x:v>
      </x:c>
      <x:c r="D118" s="14" t="str"/>
      <x:c r="E118" s="14" t="str">
        <x:v>MJ/kg</x:v>
      </x:c>
      <x:c r="F118" s="14" t="str">
        <x:v>OPEN</x:v>
      </x:c>
      <x:c r="G118" s="14" t="str"/>
      <x:c r="H118" s="14" t="str"/>
    </x:row>
    <x:row r="119" ht="18" customHeight="1">
      <x:c r="A119" s="14" t="str">
        <x:v>SRC-12-TEMPERATURE</x:v>
      </x:c>
      <x:c r="B119" s="14" t="str">
        <x:v>SRC-12</x:v>
      </x:c>
      <x:c r="C119" s="14" t="str">
        <x:v>temperature</x:v>
      </x:c>
      <x:c r="D119" s="14" t="str"/>
      <x:c r="E119" s="14" t="str">
        <x:v>registered unit</x:v>
      </x:c>
      <x:c r="F119" s="14" t="str">
        <x:v>OPEN</x:v>
      </x:c>
      <x:c r="G119" s="14" t="str"/>
      <x:c r="H119" s="14" t="str"/>
    </x:row>
    <x:row r="120" ht="18" customHeight="1">
      <x:c r="A120" s="14" t="str">
        <x:v>SRC-12-WATER-FRACTION</x:v>
      </x:c>
      <x:c r="B120" s="14" t="str">
        <x:v>SRC-12</x:v>
      </x:c>
      <x:c r="C120" s="14" t="str">
        <x:v>water fraction</x:v>
      </x:c>
      <x:c r="D120" s="14" t="str"/>
      <x:c r="E120" s="14" t="str">
        <x:v>registered unit</x:v>
      </x:c>
      <x:c r="F120" s="14" t="str">
        <x:v>OPEN</x:v>
      </x:c>
      <x:c r="G120" s="14" t="str"/>
      <x:c r="H120" s="14" t="str"/>
    </x:row>
    <x:row r="121" ht="18" customHeight="1">
      <x:c r="A121" s="14" t="str">
        <x:v>SRC-12-FOREIGN-SOLIDS</x:v>
      </x:c>
      <x:c r="B121" s="14" t="str">
        <x:v>SRC-12</x:v>
      </x:c>
      <x:c r="C121" s="14" t="str">
        <x:v>foreign solids</x:v>
      </x:c>
      <x:c r="D121" s="14" t="str"/>
      <x:c r="E121" s="14" t="str">
        <x:v>registered unit</x:v>
      </x:c>
      <x:c r="F121" s="14" t="str">
        <x:v>OPEN</x:v>
      </x:c>
      <x:c r="G121" s="14" t="str"/>
      <x:c r="H121" s="14" t="str"/>
    </x:row>
    <x:row r="122" ht="18" customHeight="1">
      <x:c r="A122" s="14" t="str">
        <x:v>SRC-12-ANCESTRY-RECOVERY</x:v>
      </x:c>
      <x:c r="B122" s="14" t="str">
        <x:v>SRC-12</x:v>
      </x:c>
      <x:c r="C122" s="14" t="str">
        <x:v>ancestry recovery</x:v>
      </x:c>
      <x:c r="D122" s="14" t="str"/>
      <x:c r="E122" s="14" t="str">
        <x:v>registered unit</x:v>
      </x:c>
      <x:c r="F122" s="14" t="str">
        <x:v>OPEN</x:v>
      </x:c>
      <x:c r="G122" s="14" t="str"/>
      <x:c r="H122" s="14" t="str"/>
    </x:row>
    <x:row r="123" ht="18" customHeight="1">
      <x:c r="A123" s="14" t="str">
        <x:v>SRC-12-CUSTODY-SEAL</x:v>
      </x:c>
      <x:c r="B123" s="14" t="str">
        <x:v>SRC-12</x:v>
      </x:c>
      <x:c r="C123" s="14" t="str">
        <x:v>custody seal</x:v>
      </x:c>
      <x:c r="D123" s="14" t="str"/>
      <x:c r="E123" s="14" t="str">
        <x:v>registered unit</x:v>
      </x:c>
      <x:c r="F123" s="14" t="str">
        <x:v>OPEN</x:v>
      </x:c>
      <x:c r="G123" s="14" t="str"/>
      <x:c r="H123" s="14" t="str"/>
    </x:row>
    <x:row r="124" ht="18" customHeight="1">
      <x:c r="A124" s="14" t="str">
        <x:v>SRC-12-RETAINED-SAMPLES</x:v>
      </x:c>
      <x:c r="B124" s="14" t="str">
        <x:v>SRC-12</x:v>
      </x:c>
      <x:c r="C124" s="14" t="str">
        <x:v>retained samples</x:v>
      </x:c>
      <x:c r="D124" s="14" t="str"/>
      <x:c r="E124" s="14" t="str">
        <x:v>registered unit</x:v>
      </x:c>
      <x:c r="F124" s="14" t="str">
        <x:v>OPEN</x:v>
      </x:c>
      <x:c r="G124" s="14" t="str"/>
      <x:c r="H124" s="14" t="str"/>
    </x:row>
    <x:row r="125" ht="18" customHeight="1">
      <x:c r="A125" s="14" t="str">
        <x:v>SRC-13-GROSS-MASS</x:v>
      </x:c>
      <x:c r="B125" s="14" t="str">
        <x:v>SRC-13</x:v>
      </x:c>
      <x:c r="C125" s="14" t="str">
        <x:v>gross mass</x:v>
      </x:c>
      <x:c r="D125" s="14" t="str"/>
      <x:c r="E125" s="14" t="str">
        <x:v>kg</x:v>
      </x:c>
      <x:c r="F125" s="14" t="str">
        <x:v>OPEN</x:v>
      </x:c>
      <x:c r="G125" s="14" t="str"/>
      <x:c r="H125" s="14" t="str"/>
    </x:row>
    <x:row r="126" ht="18" customHeight="1">
      <x:c r="A126" s="14" t="str">
        <x:v>SRC-13-EVENT-MASS</x:v>
      </x:c>
      <x:c r="B126" s="14" t="str">
        <x:v>SRC-13</x:v>
      </x:c>
      <x:c r="C126" s="14" t="str">
        <x:v>event mass</x:v>
      </x:c>
      <x:c r="D126" s="14" t="str"/>
      <x:c r="E126" s="14" t="str">
        <x:v>kg</x:v>
      </x:c>
      <x:c r="F126" s="14" t="str">
        <x:v>OPEN</x:v>
      </x:c>
      <x:c r="G126" s="14" t="str"/>
      <x:c r="H126" s="14" t="str"/>
    </x:row>
    <x:row r="127" ht="18" customHeight="1">
      <x:c r="A127" s="14" t="str">
        <x:v>SRC-13-DENSITY</x:v>
      </x:c>
      <x:c r="B127" s="14" t="str">
        <x:v>SRC-13</x:v>
      </x:c>
      <x:c r="C127" s="14" t="str">
        <x:v>density</x:v>
      </x:c>
      <x:c r="D127" s="14" t="str"/>
      <x:c r="E127" s="14" t="str">
        <x:v>kg/m3</x:v>
      </x:c>
      <x:c r="F127" s="14" t="str">
        <x:v>OPEN</x:v>
      </x:c>
      <x:c r="G127" s="14" t="str"/>
      <x:c r="H127" s="14" t="str"/>
    </x:row>
    <x:row r="128" ht="18" customHeight="1">
      <x:c r="A128" s="14" t="str">
        <x:v>SRC-13-LOWER-HEATING-VALUE</x:v>
      </x:c>
      <x:c r="B128" s="14" t="str">
        <x:v>SRC-13</x:v>
      </x:c>
      <x:c r="C128" s="14" t="str">
        <x:v>lower heating value</x:v>
      </x:c>
      <x:c r="D128" s="14" t="str"/>
      <x:c r="E128" s="14" t="str">
        <x:v>MJ/kg</x:v>
      </x:c>
      <x:c r="F128" s="14" t="str">
        <x:v>OPEN</x:v>
      </x:c>
      <x:c r="G128" s="14" t="str"/>
      <x:c r="H128" s="14" t="str"/>
    </x:row>
    <x:row r="129" ht="18" customHeight="1">
      <x:c r="A129" s="14" t="str">
        <x:v>SRC-13-TEMPERATURE</x:v>
      </x:c>
      <x:c r="B129" s="14" t="str">
        <x:v>SRC-13</x:v>
      </x:c>
      <x:c r="C129" s="14" t="str">
        <x:v>temperature</x:v>
      </x:c>
      <x:c r="D129" s="14" t="str"/>
      <x:c r="E129" s="14" t="str">
        <x:v>registered unit</x:v>
      </x:c>
      <x:c r="F129" s="14" t="str">
        <x:v>OPEN</x:v>
      </x:c>
      <x:c r="G129" s="14" t="str"/>
      <x:c r="H129" s="14" t="str"/>
    </x:row>
    <x:row r="130" ht="18" customHeight="1">
      <x:c r="A130" s="14" t="str">
        <x:v>SRC-13-WATER-FRACTION</x:v>
      </x:c>
      <x:c r="B130" s="14" t="str">
        <x:v>SRC-13</x:v>
      </x:c>
      <x:c r="C130" s="14" t="str">
        <x:v>water fraction</x:v>
      </x:c>
      <x:c r="D130" s="14" t="str"/>
      <x:c r="E130" s="14" t="str">
        <x:v>registered unit</x:v>
      </x:c>
      <x:c r="F130" s="14" t="str">
        <x:v>OPEN</x:v>
      </x:c>
      <x:c r="G130" s="14" t="str"/>
      <x:c r="H130" s="14" t="str"/>
    </x:row>
    <x:row r="131" ht="18" customHeight="1">
      <x:c r="A131" s="14" t="str">
        <x:v>SRC-13-FOREIGN-SOLIDS</x:v>
      </x:c>
      <x:c r="B131" s="14" t="str">
        <x:v>SRC-13</x:v>
      </x:c>
      <x:c r="C131" s="14" t="str">
        <x:v>foreign solids</x:v>
      </x:c>
      <x:c r="D131" s="14" t="str"/>
      <x:c r="E131" s="14" t="str">
        <x:v>registered unit</x:v>
      </x:c>
      <x:c r="F131" s="14" t="str">
        <x:v>OPEN</x:v>
      </x:c>
      <x:c r="G131" s="14" t="str"/>
      <x:c r="H131" s="14" t="str"/>
    </x:row>
    <x:row r="132" ht="18" customHeight="1">
      <x:c r="A132" s="14" t="str">
        <x:v>SRC-13-ANCESTRY-RECOVERY</x:v>
      </x:c>
      <x:c r="B132" s="14" t="str">
        <x:v>SRC-13</x:v>
      </x:c>
      <x:c r="C132" s="14" t="str">
        <x:v>ancestry recovery</x:v>
      </x:c>
      <x:c r="D132" s="14" t="str"/>
      <x:c r="E132" s="14" t="str">
        <x:v>registered unit</x:v>
      </x:c>
      <x:c r="F132" s="14" t="str">
        <x:v>OPEN</x:v>
      </x:c>
      <x:c r="G132" s="14" t="str"/>
      <x:c r="H132" s="14" t="str"/>
    </x:row>
    <x:row r="133" ht="18" customHeight="1">
      <x:c r="A133" s="14" t="str">
        <x:v>SRC-13-CUSTODY-SEAL</x:v>
      </x:c>
      <x:c r="B133" s="14" t="str">
        <x:v>SRC-13</x:v>
      </x:c>
      <x:c r="C133" s="14" t="str">
        <x:v>custody seal</x:v>
      </x:c>
      <x:c r="D133" s="14" t="str"/>
      <x:c r="E133" s="14" t="str">
        <x:v>registered unit</x:v>
      </x:c>
      <x:c r="F133" s="14" t="str">
        <x:v>OPEN</x:v>
      </x:c>
      <x:c r="G133" s="14" t="str"/>
      <x:c r="H133" s="14" t="str"/>
    </x:row>
    <x:row r="134" ht="18" customHeight="1">
      <x:c r="A134" s="14" t="str">
        <x:v>SRC-13-RETAINED-SAMPLES</x:v>
      </x:c>
      <x:c r="B134" s="14" t="str">
        <x:v>SRC-13</x:v>
      </x:c>
      <x:c r="C134" s="14" t="str">
        <x:v>retained samples</x:v>
      </x:c>
      <x:c r="D134" s="14" t="str"/>
      <x:c r="E134" s="14" t="str">
        <x:v>registered unit</x:v>
      </x:c>
      <x:c r="F134" s="14" t="str">
        <x:v>OPEN</x:v>
      </x:c>
      <x:c r="G134" s="14" t="str"/>
      <x:c r="H134" s="14" t="str"/>
    </x:row>
    <x:row r="135" ht="18" customHeight="1">
      <x:c r="A135" s="14" t="str">
        <x:v>SRC-14-GROSS-MASS</x:v>
      </x:c>
      <x:c r="B135" s="14" t="str">
        <x:v>SRC-14</x:v>
      </x:c>
      <x:c r="C135" s="14" t="str">
        <x:v>gross mass</x:v>
      </x:c>
      <x:c r="D135" s="14" t="str"/>
      <x:c r="E135" s="14" t="str">
        <x:v>kg</x:v>
      </x:c>
      <x:c r="F135" s="14" t="str">
        <x:v>OPEN</x:v>
      </x:c>
      <x:c r="G135" s="14" t="str"/>
      <x:c r="H135" s="14" t="str"/>
    </x:row>
    <x:row r="136" ht="18" customHeight="1">
      <x:c r="A136" s="14" t="str">
        <x:v>SRC-14-EVENT-MASS</x:v>
      </x:c>
      <x:c r="B136" s="14" t="str">
        <x:v>SRC-14</x:v>
      </x:c>
      <x:c r="C136" s="14" t="str">
        <x:v>event mass</x:v>
      </x:c>
      <x:c r="D136" s="14" t="str"/>
      <x:c r="E136" s="14" t="str">
        <x:v>kg</x:v>
      </x:c>
      <x:c r="F136" s="14" t="str">
        <x:v>OPEN</x:v>
      </x:c>
      <x:c r="G136" s="14" t="str"/>
      <x:c r="H136" s="14" t="str"/>
    </x:row>
    <x:row r="137" ht="18" customHeight="1">
      <x:c r="A137" s="14" t="str">
        <x:v>SRC-14-DENSITY</x:v>
      </x:c>
      <x:c r="B137" s="14" t="str">
        <x:v>SRC-14</x:v>
      </x:c>
      <x:c r="C137" s="14" t="str">
        <x:v>density</x:v>
      </x:c>
      <x:c r="D137" s="14" t="str"/>
      <x:c r="E137" s="14" t="str">
        <x:v>kg/m3</x:v>
      </x:c>
      <x:c r="F137" s="14" t="str">
        <x:v>OPEN</x:v>
      </x:c>
      <x:c r="G137" s="14" t="str"/>
      <x:c r="H137" s="14" t="str"/>
    </x:row>
    <x:row r="138" ht="18" customHeight="1">
      <x:c r="A138" s="14" t="str">
        <x:v>SRC-14-LOWER-HEATING-VALUE</x:v>
      </x:c>
      <x:c r="B138" s="14" t="str">
        <x:v>SRC-14</x:v>
      </x:c>
      <x:c r="C138" s="14" t="str">
        <x:v>lower heating value</x:v>
      </x:c>
      <x:c r="D138" s="14" t="str"/>
      <x:c r="E138" s="14" t="str">
        <x:v>MJ/kg</x:v>
      </x:c>
      <x:c r="F138" s="14" t="str">
        <x:v>OPEN</x:v>
      </x:c>
      <x:c r="G138" s="14" t="str"/>
      <x:c r="H138" s="14" t="str"/>
    </x:row>
    <x:row r="139" ht="18" customHeight="1">
      <x:c r="A139" s="14" t="str">
        <x:v>SRC-14-TEMPERATURE</x:v>
      </x:c>
      <x:c r="B139" s="14" t="str">
        <x:v>SRC-14</x:v>
      </x:c>
      <x:c r="C139" s="14" t="str">
        <x:v>temperature</x:v>
      </x:c>
      <x:c r="D139" s="14" t="str"/>
      <x:c r="E139" s="14" t="str">
        <x:v>registered unit</x:v>
      </x:c>
      <x:c r="F139" s="14" t="str">
        <x:v>OPEN</x:v>
      </x:c>
      <x:c r="G139" s="14" t="str"/>
      <x:c r="H139" s="14" t="str"/>
    </x:row>
    <x:row r="140" ht="18" customHeight="1">
      <x:c r="A140" s="14" t="str">
        <x:v>SRC-14-WATER-FRACTION</x:v>
      </x:c>
      <x:c r="B140" s="14" t="str">
        <x:v>SRC-14</x:v>
      </x:c>
      <x:c r="C140" s="14" t="str">
        <x:v>water fraction</x:v>
      </x:c>
      <x:c r="D140" s="14" t="str"/>
      <x:c r="E140" s="14" t="str">
        <x:v>registered unit</x:v>
      </x:c>
      <x:c r="F140" s="14" t="str">
        <x:v>OPEN</x:v>
      </x:c>
      <x:c r="G140" s="14" t="str"/>
      <x:c r="H140" s="14" t="str"/>
    </x:row>
    <x:row r="141" ht="18" customHeight="1">
      <x:c r="A141" s="14" t="str">
        <x:v>SRC-14-FOREIGN-SOLIDS</x:v>
      </x:c>
      <x:c r="B141" s="14" t="str">
        <x:v>SRC-14</x:v>
      </x:c>
      <x:c r="C141" s="14" t="str">
        <x:v>foreign solids</x:v>
      </x:c>
      <x:c r="D141" s="14" t="str"/>
      <x:c r="E141" s="14" t="str">
        <x:v>registered unit</x:v>
      </x:c>
      <x:c r="F141" s="14" t="str">
        <x:v>OPEN</x:v>
      </x:c>
      <x:c r="G141" s="14" t="str"/>
      <x:c r="H141" s="14" t="str"/>
    </x:row>
    <x:row r="142" ht="18" customHeight="1">
      <x:c r="A142" s="14" t="str">
        <x:v>SRC-14-ANCESTRY-RECOVERY</x:v>
      </x:c>
      <x:c r="B142" s="14" t="str">
        <x:v>SRC-14</x:v>
      </x:c>
      <x:c r="C142" s="14" t="str">
        <x:v>ancestry recovery</x:v>
      </x:c>
      <x:c r="D142" s="14" t="str"/>
      <x:c r="E142" s="14" t="str">
        <x:v>registered unit</x:v>
      </x:c>
      <x:c r="F142" s="14" t="str">
        <x:v>OPEN</x:v>
      </x:c>
      <x:c r="G142" s="14" t="str"/>
      <x:c r="H142" s="14" t="str"/>
    </x:row>
    <x:row r="143" ht="18" customHeight="1">
      <x:c r="A143" s="14" t="str">
        <x:v>SRC-14-CUSTODY-SEAL</x:v>
      </x:c>
      <x:c r="B143" s="14" t="str">
        <x:v>SRC-14</x:v>
      </x:c>
      <x:c r="C143" s="14" t="str">
        <x:v>custody seal</x:v>
      </x:c>
      <x:c r="D143" s="14" t="str"/>
      <x:c r="E143" s="14" t="str">
        <x:v>registered unit</x:v>
      </x:c>
      <x:c r="F143" s="14" t="str">
        <x:v>OPEN</x:v>
      </x:c>
      <x:c r="G143" s="14" t="str"/>
      <x:c r="H143" s="14" t="str"/>
    </x:row>
    <x:row r="144" ht="18" customHeight="1">
      <x:c r="A144" s="14" t="str">
        <x:v>SRC-14-RETAINED-SAMPLES</x:v>
      </x:c>
      <x:c r="B144" s="14" t="str">
        <x:v>SRC-14</x:v>
      </x:c>
      <x:c r="C144" s="14" t="str">
        <x:v>retained samples</x:v>
      </x:c>
      <x:c r="D144" s="14" t="str"/>
      <x:c r="E144" s="14" t="str">
        <x:v>registered unit</x:v>
      </x:c>
      <x:c r="F144" s="14" t="str">
        <x:v>OPEN</x:v>
      </x:c>
      <x:c r="G144" s="14" t="str"/>
      <x:c r="H144" s="14" t="str"/>
    </x:row>
    <x:row r="145" ht="18" customHeight="1">
      <x:c r="A145" s="14" t="str">
        <x:v>SRC-15-GROSS-MASS</x:v>
      </x:c>
      <x:c r="B145" s="14" t="str">
        <x:v>SRC-15</x:v>
      </x:c>
      <x:c r="C145" s="14" t="str">
        <x:v>gross mass</x:v>
      </x:c>
      <x:c r="D145" s="14" t="str"/>
      <x:c r="E145" s="14" t="str">
        <x:v>kg</x:v>
      </x:c>
      <x:c r="F145" s="14" t="str">
        <x:v>OPEN</x:v>
      </x:c>
      <x:c r="G145" s="14" t="str"/>
      <x:c r="H145" s="14" t="str"/>
    </x:row>
    <x:row r="146" ht="18" customHeight="1">
      <x:c r="A146" s="14" t="str">
        <x:v>SRC-15-EVENT-MASS</x:v>
      </x:c>
      <x:c r="B146" s="14" t="str">
        <x:v>SRC-15</x:v>
      </x:c>
      <x:c r="C146" s="14" t="str">
        <x:v>event mass</x:v>
      </x:c>
      <x:c r="D146" s="14" t="str"/>
      <x:c r="E146" s="14" t="str">
        <x:v>kg</x:v>
      </x:c>
      <x:c r="F146" s="14" t="str">
        <x:v>OPEN</x:v>
      </x:c>
      <x:c r="G146" s="14" t="str"/>
      <x:c r="H146" s="14" t="str"/>
    </x:row>
    <x:row r="147" ht="18" customHeight="1">
      <x:c r="A147" s="14" t="str">
        <x:v>SRC-15-DENSITY</x:v>
      </x:c>
      <x:c r="B147" s="14" t="str">
        <x:v>SRC-15</x:v>
      </x:c>
      <x:c r="C147" s="14" t="str">
        <x:v>density</x:v>
      </x:c>
      <x:c r="D147" s="14" t="str"/>
      <x:c r="E147" s="14" t="str">
        <x:v>kg/m3</x:v>
      </x:c>
      <x:c r="F147" s="14" t="str">
        <x:v>OPEN</x:v>
      </x:c>
      <x:c r="G147" s="14" t="str"/>
      <x:c r="H147" s="14" t="str"/>
    </x:row>
    <x:row r="148" ht="18" customHeight="1">
      <x:c r="A148" s="14" t="str">
        <x:v>SRC-15-LOWER-HEATING-VALUE</x:v>
      </x:c>
      <x:c r="B148" s="14" t="str">
        <x:v>SRC-15</x:v>
      </x:c>
      <x:c r="C148" s="14" t="str">
        <x:v>lower heating value</x:v>
      </x:c>
      <x:c r="D148" s="14" t="str"/>
      <x:c r="E148" s="14" t="str">
        <x:v>MJ/kg</x:v>
      </x:c>
      <x:c r="F148" s="14" t="str">
        <x:v>OPEN</x:v>
      </x:c>
      <x:c r="G148" s="14" t="str"/>
      <x:c r="H148" s="14" t="str"/>
    </x:row>
    <x:row r="149" ht="18" customHeight="1">
      <x:c r="A149" s="14" t="str">
        <x:v>SRC-15-TEMPERATURE</x:v>
      </x:c>
      <x:c r="B149" s="14" t="str">
        <x:v>SRC-15</x:v>
      </x:c>
      <x:c r="C149" s="14" t="str">
        <x:v>temperature</x:v>
      </x:c>
      <x:c r="D149" s="14" t="str"/>
      <x:c r="E149" s="14" t="str">
        <x:v>registered unit</x:v>
      </x:c>
      <x:c r="F149" s="14" t="str">
        <x:v>OPEN</x:v>
      </x:c>
      <x:c r="G149" s="14" t="str"/>
      <x:c r="H149" s="14" t="str"/>
    </x:row>
    <x:row r="150" ht="18" customHeight="1">
      <x:c r="A150" s="14" t="str">
        <x:v>SRC-15-WATER-FRACTION</x:v>
      </x:c>
      <x:c r="B150" s="14" t="str">
        <x:v>SRC-15</x:v>
      </x:c>
      <x:c r="C150" s="14" t="str">
        <x:v>water fraction</x:v>
      </x:c>
      <x:c r="D150" s="14" t="str"/>
      <x:c r="E150" s="14" t="str">
        <x:v>registered unit</x:v>
      </x:c>
      <x:c r="F150" s="14" t="str">
        <x:v>OPEN</x:v>
      </x:c>
      <x:c r="G150" s="14" t="str"/>
      <x:c r="H150" s="14" t="str"/>
    </x:row>
    <x:row r="151" ht="18" customHeight="1">
      <x:c r="A151" s="14" t="str">
        <x:v>SRC-15-FOREIGN-SOLIDS</x:v>
      </x:c>
      <x:c r="B151" s="14" t="str">
        <x:v>SRC-15</x:v>
      </x:c>
      <x:c r="C151" s="14" t="str">
        <x:v>foreign solids</x:v>
      </x:c>
      <x:c r="D151" s="14" t="str"/>
      <x:c r="E151" s="14" t="str">
        <x:v>registered unit</x:v>
      </x:c>
      <x:c r="F151" s="14" t="str">
        <x:v>OPEN</x:v>
      </x:c>
      <x:c r="G151" s="14" t="str"/>
      <x:c r="H151" s="14" t="str"/>
    </x:row>
    <x:row r="152" ht="18" customHeight="1">
      <x:c r="A152" s="14" t="str">
        <x:v>SRC-15-ANCESTRY-RECOVERY</x:v>
      </x:c>
      <x:c r="B152" s="14" t="str">
        <x:v>SRC-15</x:v>
      </x:c>
      <x:c r="C152" s="14" t="str">
        <x:v>ancestry recovery</x:v>
      </x:c>
      <x:c r="D152" s="14" t="str"/>
      <x:c r="E152" s="14" t="str">
        <x:v>registered unit</x:v>
      </x:c>
      <x:c r="F152" s="14" t="str">
        <x:v>OPEN</x:v>
      </x:c>
      <x:c r="G152" s="14" t="str"/>
      <x:c r="H152" s="14" t="str"/>
    </x:row>
    <x:row r="153" ht="18" customHeight="1">
      <x:c r="A153" s="14" t="str">
        <x:v>SRC-15-CUSTODY-SEAL</x:v>
      </x:c>
      <x:c r="B153" s="14" t="str">
        <x:v>SRC-15</x:v>
      </x:c>
      <x:c r="C153" s="14" t="str">
        <x:v>custody seal</x:v>
      </x:c>
      <x:c r="D153" s="14" t="str"/>
      <x:c r="E153" s="14" t="str">
        <x:v>registered unit</x:v>
      </x:c>
      <x:c r="F153" s="14" t="str">
        <x:v>OPEN</x:v>
      </x:c>
      <x:c r="G153" s="14" t="str"/>
      <x:c r="H153" s="14" t="str"/>
    </x:row>
    <x:row r="154" ht="18" customHeight="1">
      <x:c r="A154" s="14" t="str">
        <x:v>SRC-15-RETAINED-SAMPLES</x:v>
      </x:c>
      <x:c r="B154" s="14" t="str">
        <x:v>SRC-15</x:v>
      </x:c>
      <x:c r="C154" s="14" t="str">
        <x:v>retained samples</x:v>
      </x:c>
      <x:c r="D154" s="14" t="str"/>
      <x:c r="E154" s="14" t="str">
        <x:v>registered unit</x:v>
      </x:c>
      <x:c r="F154" s="14" t="str">
        <x:v>OPEN</x:v>
      </x:c>
      <x:c r="G154" s="14" t="str"/>
      <x:c r="H154" s="14" t="str"/>
    </x:row>
    <x:row r="155" ht="18" customHeight="1">
      <x:c r="A155" s="14" t="str">
        <x:v>SRC-16-GROSS-MASS</x:v>
      </x:c>
      <x:c r="B155" s="14" t="str">
        <x:v>SRC-16</x:v>
      </x:c>
      <x:c r="C155" s="14" t="str">
        <x:v>gross mass</x:v>
      </x:c>
      <x:c r="D155" s="14" t="str"/>
      <x:c r="E155" s="14" t="str">
        <x:v>kg</x:v>
      </x:c>
      <x:c r="F155" s="14" t="str">
        <x:v>OPEN</x:v>
      </x:c>
      <x:c r="G155" s="14" t="str"/>
      <x:c r="H155" s="14" t="str"/>
    </x:row>
    <x:row r="156" ht="18" customHeight="1">
      <x:c r="A156" s="14" t="str">
        <x:v>SRC-16-EVENT-MASS</x:v>
      </x:c>
      <x:c r="B156" s="14" t="str">
        <x:v>SRC-16</x:v>
      </x:c>
      <x:c r="C156" s="14" t="str">
        <x:v>event mass</x:v>
      </x:c>
      <x:c r="D156" s="14" t="str"/>
      <x:c r="E156" s="14" t="str">
        <x:v>kg</x:v>
      </x:c>
      <x:c r="F156" s="14" t="str">
        <x:v>OPEN</x:v>
      </x:c>
      <x:c r="G156" s="14" t="str"/>
      <x:c r="H156" s="14" t="str"/>
    </x:row>
    <x:row r="157" ht="18" customHeight="1">
      <x:c r="A157" s="14" t="str">
        <x:v>SRC-16-DENSITY</x:v>
      </x:c>
      <x:c r="B157" s="14" t="str">
        <x:v>SRC-16</x:v>
      </x:c>
      <x:c r="C157" s="14" t="str">
        <x:v>density</x:v>
      </x:c>
      <x:c r="D157" s="14" t="str"/>
      <x:c r="E157" s="14" t="str">
        <x:v>kg/m3</x:v>
      </x:c>
      <x:c r="F157" s="14" t="str">
        <x:v>OPEN</x:v>
      </x:c>
      <x:c r="G157" s="14" t="str"/>
      <x:c r="H157" s="14" t="str"/>
    </x:row>
    <x:row r="158" ht="18" customHeight="1">
      <x:c r="A158" s="14" t="str">
        <x:v>SRC-16-LOWER-HEATING-VALUE</x:v>
      </x:c>
      <x:c r="B158" s="14" t="str">
        <x:v>SRC-16</x:v>
      </x:c>
      <x:c r="C158" s="14" t="str">
        <x:v>lower heating value</x:v>
      </x:c>
      <x:c r="D158" s="14" t="str"/>
      <x:c r="E158" s="14" t="str">
        <x:v>MJ/kg</x:v>
      </x:c>
      <x:c r="F158" s="14" t="str">
        <x:v>OPEN</x:v>
      </x:c>
      <x:c r="G158" s="14" t="str"/>
      <x:c r="H158" s="14" t="str"/>
    </x:row>
    <x:row r="159" ht="18" customHeight="1">
      <x:c r="A159" s="14" t="str">
        <x:v>SRC-16-TEMPERATURE</x:v>
      </x:c>
      <x:c r="B159" s="14" t="str">
        <x:v>SRC-16</x:v>
      </x:c>
      <x:c r="C159" s="14" t="str">
        <x:v>temperature</x:v>
      </x:c>
      <x:c r="D159" s="14" t="str"/>
      <x:c r="E159" s="14" t="str">
        <x:v>registered unit</x:v>
      </x:c>
      <x:c r="F159" s="14" t="str">
        <x:v>OPEN</x:v>
      </x:c>
      <x:c r="G159" s="14" t="str"/>
      <x:c r="H159" s="14" t="str"/>
    </x:row>
    <x:row r="160" ht="18" customHeight="1">
      <x:c r="A160" s="14" t="str">
        <x:v>SRC-16-WATER-FRACTION</x:v>
      </x:c>
      <x:c r="B160" s="14" t="str">
        <x:v>SRC-16</x:v>
      </x:c>
      <x:c r="C160" s="14" t="str">
        <x:v>water fraction</x:v>
      </x:c>
      <x:c r="D160" s="14" t="str"/>
      <x:c r="E160" s="14" t="str">
        <x:v>registered unit</x:v>
      </x:c>
      <x:c r="F160" s="14" t="str">
        <x:v>OPEN</x:v>
      </x:c>
      <x:c r="G160" s="14" t="str"/>
      <x:c r="H160" s="14" t="str"/>
    </x:row>
    <x:row r="161" ht="18" customHeight="1">
      <x:c r="A161" s="14" t="str">
        <x:v>SRC-16-FOREIGN-SOLIDS</x:v>
      </x:c>
      <x:c r="B161" s="14" t="str">
        <x:v>SRC-16</x:v>
      </x:c>
      <x:c r="C161" s="14" t="str">
        <x:v>foreign solids</x:v>
      </x:c>
      <x:c r="D161" s="14" t="str"/>
      <x:c r="E161" s="14" t="str">
        <x:v>registered unit</x:v>
      </x:c>
      <x:c r="F161" s="14" t="str">
        <x:v>OPEN</x:v>
      </x:c>
      <x:c r="G161" s="14" t="str"/>
      <x:c r="H161" s="14" t="str"/>
    </x:row>
    <x:row r="162" ht="18" customHeight="1">
      <x:c r="A162" s="14" t="str">
        <x:v>SRC-16-ANCESTRY-RECOVERY</x:v>
      </x:c>
      <x:c r="B162" s="14" t="str">
        <x:v>SRC-16</x:v>
      </x:c>
      <x:c r="C162" s="14" t="str">
        <x:v>ancestry recovery</x:v>
      </x:c>
      <x:c r="D162" s="14" t="str"/>
      <x:c r="E162" s="14" t="str">
        <x:v>registered unit</x:v>
      </x:c>
      <x:c r="F162" s="14" t="str">
        <x:v>OPEN</x:v>
      </x:c>
      <x:c r="G162" s="14" t="str"/>
      <x:c r="H162" s="14" t="str"/>
    </x:row>
    <x:row r="163" ht="18" customHeight="1">
      <x:c r="A163" s="14" t="str">
        <x:v>SRC-16-CUSTODY-SEAL</x:v>
      </x:c>
      <x:c r="B163" s="14" t="str">
        <x:v>SRC-16</x:v>
      </x:c>
      <x:c r="C163" s="14" t="str">
        <x:v>custody seal</x:v>
      </x:c>
      <x:c r="D163" s="14" t="str"/>
      <x:c r="E163" s="14" t="str">
        <x:v>registered unit</x:v>
      </x:c>
      <x:c r="F163" s="14" t="str">
        <x:v>OPEN</x:v>
      </x:c>
      <x:c r="G163" s="14" t="str"/>
      <x:c r="H163" s="14" t="str"/>
    </x:row>
    <x:row r="164" ht="18" customHeight="1">
      <x:c r="A164" s="14" t="str">
        <x:v>SRC-16-RETAINED-SAMPLES</x:v>
      </x:c>
      <x:c r="B164" s="14" t="str">
        <x:v>SRC-16</x:v>
      </x:c>
      <x:c r="C164" s="14" t="str">
        <x:v>retained samples</x:v>
      </x:c>
      <x:c r="D164" s="14" t="str"/>
      <x:c r="E164" s="14" t="str">
        <x:v>registered unit</x:v>
      </x:c>
      <x:c r="F164" s="14" t="str">
        <x:v>OPEN</x:v>
      </x:c>
      <x:c r="G164" s="14" t="str"/>
      <x:c r="H164" s="14" t="str"/>
    </x:row>
    <x:row r="165" ht="18" customHeight="1">
      <x:c r="A165" s="14" t="str">
        <x:v>SRC-17-GROSS-MASS</x:v>
      </x:c>
      <x:c r="B165" s="14" t="str">
        <x:v>SRC-17</x:v>
      </x:c>
      <x:c r="C165" s="14" t="str">
        <x:v>gross mass</x:v>
      </x:c>
      <x:c r="D165" s="14" t="str"/>
      <x:c r="E165" s="14" t="str">
        <x:v>kg</x:v>
      </x:c>
      <x:c r="F165" s="14" t="str">
        <x:v>OPEN</x:v>
      </x:c>
      <x:c r="G165" s="14" t="str"/>
      <x:c r="H165" s="14" t="str"/>
    </x:row>
    <x:row r="166" ht="18" customHeight="1">
      <x:c r="A166" s="14" t="str">
        <x:v>SRC-17-EVENT-MASS</x:v>
      </x:c>
      <x:c r="B166" s="14" t="str">
        <x:v>SRC-17</x:v>
      </x:c>
      <x:c r="C166" s="14" t="str">
        <x:v>event mass</x:v>
      </x:c>
      <x:c r="D166" s="14" t="str"/>
      <x:c r="E166" s="14" t="str">
        <x:v>kg</x:v>
      </x:c>
      <x:c r="F166" s="14" t="str">
        <x:v>OPEN</x:v>
      </x:c>
      <x:c r="G166" s="14" t="str"/>
      <x:c r="H166" s="14" t="str"/>
    </x:row>
    <x:row r="167" ht="18" customHeight="1">
      <x:c r="A167" s="14" t="str">
        <x:v>SRC-17-DENSITY</x:v>
      </x:c>
      <x:c r="B167" s="14" t="str">
        <x:v>SRC-17</x:v>
      </x:c>
      <x:c r="C167" s="14" t="str">
        <x:v>density</x:v>
      </x:c>
      <x:c r="D167" s="14" t="str"/>
      <x:c r="E167" s="14" t="str">
        <x:v>kg/m3</x:v>
      </x:c>
      <x:c r="F167" s="14" t="str">
        <x:v>OPEN</x:v>
      </x:c>
      <x:c r="G167" s="14" t="str"/>
      <x:c r="H167" s="14" t="str"/>
    </x:row>
    <x:row r="168" ht="18" customHeight="1">
      <x:c r="A168" s="14" t="str">
        <x:v>SRC-17-LOWER-HEATING-VALUE</x:v>
      </x:c>
      <x:c r="B168" s="14" t="str">
        <x:v>SRC-17</x:v>
      </x:c>
      <x:c r="C168" s="14" t="str">
        <x:v>lower heating value</x:v>
      </x:c>
      <x:c r="D168" s="14" t="str"/>
      <x:c r="E168" s="14" t="str">
        <x:v>MJ/kg</x:v>
      </x:c>
      <x:c r="F168" s="14" t="str">
        <x:v>OPEN</x:v>
      </x:c>
      <x:c r="G168" s="14" t="str"/>
      <x:c r="H168" s="14" t="str"/>
    </x:row>
    <x:row r="169" ht="18" customHeight="1">
      <x:c r="A169" s="14" t="str">
        <x:v>SRC-17-TEMPERATURE</x:v>
      </x:c>
      <x:c r="B169" s="14" t="str">
        <x:v>SRC-17</x:v>
      </x:c>
      <x:c r="C169" s="14" t="str">
        <x:v>temperature</x:v>
      </x:c>
      <x:c r="D169" s="14" t="str"/>
      <x:c r="E169" s="14" t="str">
        <x:v>registered unit</x:v>
      </x:c>
      <x:c r="F169" s="14" t="str">
        <x:v>OPEN</x:v>
      </x:c>
      <x:c r="G169" s="14" t="str"/>
      <x:c r="H169" s="14" t="str"/>
    </x:row>
    <x:row r="170" ht="18" customHeight="1">
      <x:c r="A170" s="14" t="str">
        <x:v>SRC-17-WATER-FRACTION</x:v>
      </x:c>
      <x:c r="B170" s="14" t="str">
        <x:v>SRC-17</x:v>
      </x:c>
      <x:c r="C170" s="14" t="str">
        <x:v>water fraction</x:v>
      </x:c>
      <x:c r="D170" s="14" t="str"/>
      <x:c r="E170" s="14" t="str">
        <x:v>registered unit</x:v>
      </x:c>
      <x:c r="F170" s="14" t="str">
        <x:v>OPEN</x:v>
      </x:c>
      <x:c r="G170" s="14" t="str"/>
      <x:c r="H170" s="14" t="str"/>
    </x:row>
    <x:row r="171" ht="18" customHeight="1">
      <x:c r="A171" s="14" t="str">
        <x:v>SRC-17-FOREIGN-SOLIDS</x:v>
      </x:c>
      <x:c r="B171" s="14" t="str">
        <x:v>SRC-17</x:v>
      </x:c>
      <x:c r="C171" s="14" t="str">
        <x:v>foreign solids</x:v>
      </x:c>
      <x:c r="D171" s="14" t="str"/>
      <x:c r="E171" s="14" t="str">
        <x:v>registered unit</x:v>
      </x:c>
      <x:c r="F171" s="14" t="str">
        <x:v>OPEN</x:v>
      </x:c>
      <x:c r="G171" s="14" t="str"/>
      <x:c r="H171" s="14" t="str"/>
    </x:row>
    <x:row r="172" ht="18" customHeight="1">
      <x:c r="A172" s="14" t="str">
        <x:v>SRC-17-ANCESTRY-RECOVERY</x:v>
      </x:c>
      <x:c r="B172" s="14" t="str">
        <x:v>SRC-17</x:v>
      </x:c>
      <x:c r="C172" s="14" t="str">
        <x:v>ancestry recovery</x:v>
      </x:c>
      <x:c r="D172" s="14" t="str"/>
      <x:c r="E172" s="14" t="str">
        <x:v>registered unit</x:v>
      </x:c>
      <x:c r="F172" s="14" t="str">
        <x:v>OPEN</x:v>
      </x:c>
      <x:c r="G172" s="14" t="str"/>
      <x:c r="H172" s="14" t="str"/>
    </x:row>
    <x:row r="173" ht="18" customHeight="1">
      <x:c r="A173" s="14" t="str">
        <x:v>SRC-17-CUSTODY-SEAL</x:v>
      </x:c>
      <x:c r="B173" s="14" t="str">
        <x:v>SRC-17</x:v>
      </x:c>
      <x:c r="C173" s="14" t="str">
        <x:v>custody seal</x:v>
      </x:c>
      <x:c r="D173" s="14" t="str"/>
      <x:c r="E173" s="14" t="str">
        <x:v>registered unit</x:v>
      </x:c>
      <x:c r="F173" s="14" t="str">
        <x:v>OPEN</x:v>
      </x:c>
      <x:c r="G173" s="14" t="str"/>
      <x:c r="H173" s="14" t="str"/>
    </x:row>
    <x:row r="174" ht="18" customHeight="1">
      <x:c r="A174" s="14" t="str">
        <x:v>SRC-17-RETAINED-SAMPLES</x:v>
      </x:c>
      <x:c r="B174" s="14" t="str">
        <x:v>SRC-17</x:v>
      </x:c>
      <x:c r="C174" s="14" t="str">
        <x:v>retained samples</x:v>
      </x:c>
      <x:c r="D174" s="14" t="str"/>
      <x:c r="E174" s="14" t="str">
        <x:v>registered unit</x:v>
      </x:c>
      <x:c r="F174" s="14" t="str">
        <x:v>OPEN</x:v>
      </x:c>
      <x:c r="G174" s="14" t="str"/>
      <x:c r="H174" s="14" t="str"/>
    </x:row>
    <x:row r="175" ht="18" customHeight="1">
      <x:c r="A175" s="14" t="str">
        <x:v>SRC-18-GROSS-MASS</x:v>
      </x:c>
      <x:c r="B175" s="14" t="str">
        <x:v>SRC-18</x:v>
      </x:c>
      <x:c r="C175" s="14" t="str">
        <x:v>gross mass</x:v>
      </x:c>
      <x:c r="D175" s="14" t="str"/>
      <x:c r="E175" s="14" t="str">
        <x:v>kg</x:v>
      </x:c>
      <x:c r="F175" s="14" t="str">
        <x:v>OPEN</x:v>
      </x:c>
      <x:c r="G175" s="14" t="str"/>
      <x:c r="H175" s="14" t="str"/>
    </x:row>
    <x:row r="176" ht="18" customHeight="1">
      <x:c r="A176" s="14" t="str">
        <x:v>SRC-18-EVENT-MASS</x:v>
      </x:c>
      <x:c r="B176" s="14" t="str">
        <x:v>SRC-18</x:v>
      </x:c>
      <x:c r="C176" s="14" t="str">
        <x:v>event mass</x:v>
      </x:c>
      <x:c r="D176" s="14" t="str"/>
      <x:c r="E176" s="14" t="str">
        <x:v>kg</x:v>
      </x:c>
      <x:c r="F176" s="14" t="str">
        <x:v>OPEN</x:v>
      </x:c>
      <x:c r="G176" s="14" t="str"/>
      <x:c r="H176" s="14" t="str"/>
    </x:row>
    <x:row r="177" ht="18" customHeight="1">
      <x:c r="A177" s="14" t="str">
        <x:v>SRC-18-DENSITY</x:v>
      </x:c>
      <x:c r="B177" s="14" t="str">
        <x:v>SRC-18</x:v>
      </x:c>
      <x:c r="C177" s="14" t="str">
        <x:v>density</x:v>
      </x:c>
      <x:c r="D177" s="14" t="str"/>
      <x:c r="E177" s="14" t="str">
        <x:v>kg/m3</x:v>
      </x:c>
      <x:c r="F177" s="14" t="str">
        <x:v>OPEN</x:v>
      </x:c>
      <x:c r="G177" s="14" t="str"/>
      <x:c r="H177" s="14" t="str"/>
    </x:row>
    <x:row r="178" ht="18" customHeight="1">
      <x:c r="A178" s="14" t="str">
        <x:v>SRC-18-LOWER-HEATING-VALUE</x:v>
      </x:c>
      <x:c r="B178" s="14" t="str">
        <x:v>SRC-18</x:v>
      </x:c>
      <x:c r="C178" s="14" t="str">
        <x:v>lower heating value</x:v>
      </x:c>
      <x:c r="D178" s="14" t="str"/>
      <x:c r="E178" s="14" t="str">
        <x:v>MJ/kg</x:v>
      </x:c>
      <x:c r="F178" s="14" t="str">
        <x:v>OPEN</x:v>
      </x:c>
      <x:c r="G178" s="14" t="str"/>
      <x:c r="H178" s="14" t="str"/>
    </x:row>
    <x:row r="179" ht="18" customHeight="1">
      <x:c r="A179" s="14" t="str">
        <x:v>SRC-18-TEMPERATURE</x:v>
      </x:c>
      <x:c r="B179" s="14" t="str">
        <x:v>SRC-18</x:v>
      </x:c>
      <x:c r="C179" s="14" t="str">
        <x:v>temperature</x:v>
      </x:c>
      <x:c r="D179" s="14" t="str"/>
      <x:c r="E179" s="14" t="str">
        <x:v>registered unit</x:v>
      </x:c>
      <x:c r="F179" s="14" t="str">
        <x:v>OPEN</x:v>
      </x:c>
      <x:c r="G179" s="14" t="str"/>
      <x:c r="H179" s="14" t="str"/>
    </x:row>
    <x:row r="180" ht="18" customHeight="1">
      <x:c r="A180" s="14" t="str">
        <x:v>SRC-18-WATER-FRACTION</x:v>
      </x:c>
      <x:c r="B180" s="14" t="str">
        <x:v>SRC-18</x:v>
      </x:c>
      <x:c r="C180" s="14" t="str">
        <x:v>water fraction</x:v>
      </x:c>
      <x:c r="D180" s="14" t="str"/>
      <x:c r="E180" s="14" t="str">
        <x:v>registered unit</x:v>
      </x:c>
      <x:c r="F180" s="14" t="str">
        <x:v>OPEN</x:v>
      </x:c>
      <x:c r="G180" s="14" t="str"/>
      <x:c r="H180" s="14" t="str"/>
    </x:row>
    <x:row r="181" ht="18" customHeight="1">
      <x:c r="A181" s="14" t="str">
        <x:v>SRC-18-FOREIGN-SOLIDS</x:v>
      </x:c>
      <x:c r="B181" s="14" t="str">
        <x:v>SRC-18</x:v>
      </x:c>
      <x:c r="C181" s="14" t="str">
        <x:v>foreign solids</x:v>
      </x:c>
      <x:c r="D181" s="14" t="str"/>
      <x:c r="E181" s="14" t="str">
        <x:v>registered unit</x:v>
      </x:c>
      <x:c r="F181" s="14" t="str">
        <x:v>OPEN</x:v>
      </x:c>
      <x:c r="G181" s="14" t="str"/>
      <x:c r="H181" s="14" t="str"/>
    </x:row>
    <x:row r="182" ht="18" customHeight="1">
      <x:c r="A182" s="14" t="str">
        <x:v>SRC-18-ANCESTRY-RECOVERY</x:v>
      </x:c>
      <x:c r="B182" s="14" t="str">
        <x:v>SRC-18</x:v>
      </x:c>
      <x:c r="C182" s="14" t="str">
        <x:v>ancestry recovery</x:v>
      </x:c>
      <x:c r="D182" s="14" t="str"/>
      <x:c r="E182" s="14" t="str">
        <x:v>registered unit</x:v>
      </x:c>
      <x:c r="F182" s="14" t="str">
        <x:v>OPEN</x:v>
      </x:c>
      <x:c r="G182" s="14" t="str"/>
      <x:c r="H182" s="14" t="str"/>
    </x:row>
    <x:row r="183" ht="18" customHeight="1">
      <x:c r="A183" s="14" t="str">
        <x:v>SRC-18-CUSTODY-SEAL</x:v>
      </x:c>
      <x:c r="B183" s="14" t="str">
        <x:v>SRC-18</x:v>
      </x:c>
      <x:c r="C183" s="14" t="str">
        <x:v>custody seal</x:v>
      </x:c>
      <x:c r="D183" s="14" t="str"/>
      <x:c r="E183" s="14" t="str">
        <x:v>registered unit</x:v>
      </x:c>
      <x:c r="F183" s="14" t="str">
        <x:v>OPEN</x:v>
      </x:c>
      <x:c r="G183" s="14" t="str"/>
      <x:c r="H183" s="14" t="str"/>
    </x:row>
    <x:row r="184" ht="18" customHeight="1">
      <x:c r="A184" s="14" t="str">
        <x:v>SRC-18-RETAINED-SAMPLES</x:v>
      </x:c>
      <x:c r="B184" s="14" t="str">
        <x:v>SRC-18</x:v>
      </x:c>
      <x:c r="C184" s="14" t="str">
        <x:v>retained samples</x:v>
      </x:c>
      <x:c r="D184" s="14" t="str"/>
      <x:c r="E184" s="14" t="str">
        <x:v>registered unit</x:v>
      </x:c>
      <x:c r="F184" s="14" t="str">
        <x:v>OPEN</x:v>
      </x:c>
      <x:c r="G184" s="14" t="str"/>
      <x:c r="H184" s="14" t="str"/>
    </x:row>
    <x:row r="185" ht="18" customHeight="1">
      <x:c r="A185" s="14" t="str">
        <x:v>SRC-19-GROSS-MASS</x:v>
      </x:c>
      <x:c r="B185" s="14" t="str">
        <x:v>SRC-19</x:v>
      </x:c>
      <x:c r="C185" s="14" t="str">
        <x:v>gross mass</x:v>
      </x:c>
      <x:c r="D185" s="14" t="str"/>
      <x:c r="E185" s="14" t="str">
        <x:v>kg</x:v>
      </x:c>
      <x:c r="F185" s="14" t="str">
        <x:v>OPEN</x:v>
      </x:c>
      <x:c r="G185" s="14" t="str"/>
      <x:c r="H185" s="14" t="str"/>
    </x:row>
    <x:row r="186" ht="18" customHeight="1">
      <x:c r="A186" s="14" t="str">
        <x:v>SRC-19-EVENT-MASS</x:v>
      </x:c>
      <x:c r="B186" s="14" t="str">
        <x:v>SRC-19</x:v>
      </x:c>
      <x:c r="C186" s="14" t="str">
        <x:v>event mass</x:v>
      </x:c>
      <x:c r="D186" s="14" t="str"/>
      <x:c r="E186" s="14" t="str">
        <x:v>kg</x:v>
      </x:c>
      <x:c r="F186" s="14" t="str">
        <x:v>OPEN</x:v>
      </x:c>
      <x:c r="G186" s="14" t="str"/>
      <x:c r="H186" s="14" t="str"/>
    </x:row>
    <x:row r="187" ht="18" customHeight="1">
      <x:c r="A187" s="14" t="str">
        <x:v>SRC-19-DENSITY</x:v>
      </x:c>
      <x:c r="B187" s="14" t="str">
        <x:v>SRC-19</x:v>
      </x:c>
      <x:c r="C187" s="14" t="str">
        <x:v>density</x:v>
      </x:c>
      <x:c r="D187" s="14" t="str"/>
      <x:c r="E187" s="14" t="str">
        <x:v>kg/m3</x:v>
      </x:c>
      <x:c r="F187" s="14" t="str">
        <x:v>OPEN</x:v>
      </x:c>
      <x:c r="G187" s="14" t="str"/>
      <x:c r="H187" s="14" t="str"/>
    </x:row>
    <x:row r="188" ht="18" customHeight="1">
      <x:c r="A188" s="14" t="str">
        <x:v>SRC-19-LOWER-HEATING-VALUE</x:v>
      </x:c>
      <x:c r="B188" s="14" t="str">
        <x:v>SRC-19</x:v>
      </x:c>
      <x:c r="C188" s="14" t="str">
        <x:v>lower heating value</x:v>
      </x:c>
      <x:c r="D188" s="14" t="str"/>
      <x:c r="E188" s="14" t="str">
        <x:v>MJ/kg</x:v>
      </x:c>
      <x:c r="F188" s="14" t="str">
        <x:v>OPEN</x:v>
      </x:c>
      <x:c r="G188" s="14" t="str"/>
      <x:c r="H188" s="14" t="str"/>
    </x:row>
    <x:row r="189" ht="18" customHeight="1">
      <x:c r="A189" s="14" t="str">
        <x:v>SRC-19-TEMPERATURE</x:v>
      </x:c>
      <x:c r="B189" s="14" t="str">
        <x:v>SRC-19</x:v>
      </x:c>
      <x:c r="C189" s="14" t="str">
        <x:v>temperature</x:v>
      </x:c>
      <x:c r="D189" s="14" t="str"/>
      <x:c r="E189" s="14" t="str">
        <x:v>registered unit</x:v>
      </x:c>
      <x:c r="F189" s="14" t="str">
        <x:v>OPEN</x:v>
      </x:c>
      <x:c r="G189" s="14" t="str"/>
      <x:c r="H189" s="14" t="str"/>
    </x:row>
    <x:row r="190" ht="18" customHeight="1">
      <x:c r="A190" s="14" t="str">
        <x:v>SRC-19-WATER-FRACTION</x:v>
      </x:c>
      <x:c r="B190" s="14" t="str">
        <x:v>SRC-19</x:v>
      </x:c>
      <x:c r="C190" s="14" t="str">
        <x:v>water fraction</x:v>
      </x:c>
      <x:c r="D190" s="14" t="str"/>
      <x:c r="E190" s="14" t="str">
        <x:v>registered unit</x:v>
      </x:c>
      <x:c r="F190" s="14" t="str">
        <x:v>OPEN</x:v>
      </x:c>
      <x:c r="G190" s="14" t="str"/>
      <x:c r="H190" s="14" t="str"/>
    </x:row>
    <x:row r="191" ht="18" customHeight="1">
      <x:c r="A191" s="14" t="str">
        <x:v>SRC-19-FOREIGN-SOLIDS</x:v>
      </x:c>
      <x:c r="B191" s="14" t="str">
        <x:v>SRC-19</x:v>
      </x:c>
      <x:c r="C191" s="14" t="str">
        <x:v>foreign solids</x:v>
      </x:c>
      <x:c r="D191" s="14" t="str"/>
      <x:c r="E191" s="14" t="str">
        <x:v>registered unit</x:v>
      </x:c>
      <x:c r="F191" s="14" t="str">
        <x:v>OPEN</x:v>
      </x:c>
      <x:c r="G191" s="14" t="str"/>
      <x:c r="H191" s="14" t="str"/>
    </x:row>
    <x:row r="192" ht="18" customHeight="1">
      <x:c r="A192" s="14" t="str">
        <x:v>SRC-19-ANCESTRY-RECOVERY</x:v>
      </x:c>
      <x:c r="B192" s="14" t="str">
        <x:v>SRC-19</x:v>
      </x:c>
      <x:c r="C192" s="14" t="str">
        <x:v>ancestry recovery</x:v>
      </x:c>
      <x:c r="D192" s="14" t="str"/>
      <x:c r="E192" s="14" t="str">
        <x:v>registered unit</x:v>
      </x:c>
      <x:c r="F192" s="14" t="str">
        <x:v>OPEN</x:v>
      </x:c>
      <x:c r="G192" s="14" t="str"/>
      <x:c r="H192" s="14" t="str"/>
    </x:row>
    <x:row r="193" ht="18" customHeight="1">
      <x:c r="A193" s="14" t="str">
        <x:v>SRC-19-CUSTODY-SEAL</x:v>
      </x:c>
      <x:c r="B193" s="14" t="str">
        <x:v>SRC-19</x:v>
      </x:c>
      <x:c r="C193" s="14" t="str">
        <x:v>custody seal</x:v>
      </x:c>
      <x:c r="D193" s="14" t="str"/>
      <x:c r="E193" s="14" t="str">
        <x:v>registered unit</x:v>
      </x:c>
      <x:c r="F193" s="14" t="str">
        <x:v>OPEN</x:v>
      </x:c>
      <x:c r="G193" s="14" t="str"/>
      <x:c r="H193" s="14" t="str"/>
    </x:row>
    <x:row r="194" ht="18" customHeight="1">
      <x:c r="A194" s="14" t="str">
        <x:v>SRC-19-RETAINED-SAMPLES</x:v>
      </x:c>
      <x:c r="B194" s="14" t="str">
        <x:v>SRC-19</x:v>
      </x:c>
      <x:c r="C194" s="14" t="str">
        <x:v>retained samples</x:v>
      </x:c>
      <x:c r="D194" s="14" t="str"/>
      <x:c r="E194" s="14" t="str">
        <x:v>registered unit</x:v>
      </x:c>
      <x:c r="F194" s="14" t="str">
        <x:v>OPEN</x:v>
      </x:c>
      <x:c r="G194" s="14" t="str"/>
      <x:c r="H194" s="14" t="str"/>
    </x:row>
    <x:row r="195" ht="18" customHeight="1">
      <x:c r="A195" s="14" t="str">
        <x:v>SRC-20-GROSS-MASS</x:v>
      </x:c>
      <x:c r="B195" s="14" t="str">
        <x:v>SRC-20</x:v>
      </x:c>
      <x:c r="C195" s="14" t="str">
        <x:v>gross mass</x:v>
      </x:c>
      <x:c r="D195" s="14" t="str"/>
      <x:c r="E195" s="14" t="str">
        <x:v>kg</x:v>
      </x:c>
      <x:c r="F195" s="14" t="str">
        <x:v>OPEN</x:v>
      </x:c>
      <x:c r="G195" s="14" t="str"/>
      <x:c r="H195" s="14" t="str"/>
    </x:row>
    <x:row r="196" ht="18" customHeight="1">
      <x:c r="A196" s="14" t="str">
        <x:v>SRC-20-EVENT-MASS</x:v>
      </x:c>
      <x:c r="B196" s="14" t="str">
        <x:v>SRC-20</x:v>
      </x:c>
      <x:c r="C196" s="14" t="str">
        <x:v>event mass</x:v>
      </x:c>
      <x:c r="D196" s="14" t="str"/>
      <x:c r="E196" s="14" t="str">
        <x:v>kg</x:v>
      </x:c>
      <x:c r="F196" s="14" t="str">
        <x:v>OPEN</x:v>
      </x:c>
      <x:c r="G196" s="14" t="str"/>
      <x:c r="H196" s="14" t="str"/>
    </x:row>
    <x:row r="197" ht="18" customHeight="1">
      <x:c r="A197" s="14" t="str">
        <x:v>SRC-20-DENSITY</x:v>
      </x:c>
      <x:c r="B197" s="14" t="str">
        <x:v>SRC-20</x:v>
      </x:c>
      <x:c r="C197" s="14" t="str">
        <x:v>density</x:v>
      </x:c>
      <x:c r="D197" s="14" t="str"/>
      <x:c r="E197" s="14" t="str">
        <x:v>kg/m3</x:v>
      </x:c>
      <x:c r="F197" s="14" t="str">
        <x:v>OPEN</x:v>
      </x:c>
      <x:c r="G197" s="14" t="str"/>
      <x:c r="H197" s="14" t="str"/>
    </x:row>
    <x:row r="198" ht="18" customHeight="1">
      <x:c r="A198" s="14" t="str">
        <x:v>SRC-20-LOWER-HEATING-VALUE</x:v>
      </x:c>
      <x:c r="B198" s="14" t="str">
        <x:v>SRC-20</x:v>
      </x:c>
      <x:c r="C198" s="14" t="str">
        <x:v>lower heating value</x:v>
      </x:c>
      <x:c r="D198" s="14" t="str"/>
      <x:c r="E198" s="14" t="str">
        <x:v>MJ/kg</x:v>
      </x:c>
      <x:c r="F198" s="14" t="str">
        <x:v>OPEN</x:v>
      </x:c>
      <x:c r="G198" s="14" t="str"/>
      <x:c r="H198" s="14" t="str"/>
    </x:row>
    <x:row r="199" ht="18" customHeight="1">
      <x:c r="A199" s="14" t="str">
        <x:v>SRC-20-TEMPERATURE</x:v>
      </x:c>
      <x:c r="B199" s="14" t="str">
        <x:v>SRC-20</x:v>
      </x:c>
      <x:c r="C199" s="14" t="str">
        <x:v>temperature</x:v>
      </x:c>
      <x:c r="D199" s="14" t="str"/>
      <x:c r="E199" s="14" t="str">
        <x:v>registered unit</x:v>
      </x:c>
      <x:c r="F199" s="14" t="str">
        <x:v>OPEN</x:v>
      </x:c>
      <x:c r="G199" s="14" t="str"/>
      <x:c r="H199" s="14" t="str"/>
    </x:row>
    <x:row r="200" ht="18" customHeight="1">
      <x:c r="A200" s="14" t="str">
        <x:v>SRC-20-WATER-FRACTION</x:v>
      </x:c>
      <x:c r="B200" s="14" t="str">
        <x:v>SRC-20</x:v>
      </x:c>
      <x:c r="C200" s="14" t="str">
        <x:v>water fraction</x:v>
      </x:c>
      <x:c r="D200" s="14" t="str"/>
      <x:c r="E200" s="14" t="str">
        <x:v>registered unit</x:v>
      </x:c>
      <x:c r="F200" s="14" t="str">
        <x:v>OPEN</x:v>
      </x:c>
      <x:c r="G200" s="14" t="str"/>
      <x:c r="H200" s="14" t="str"/>
    </x:row>
    <x:row r="201" ht="18" customHeight="1">
      <x:c r="A201" s="14" t="str">
        <x:v>SRC-20-FOREIGN-SOLIDS</x:v>
      </x:c>
      <x:c r="B201" s="14" t="str">
        <x:v>SRC-20</x:v>
      </x:c>
      <x:c r="C201" s="14" t="str">
        <x:v>foreign solids</x:v>
      </x:c>
      <x:c r="D201" s="14" t="str"/>
      <x:c r="E201" s="14" t="str">
        <x:v>registered unit</x:v>
      </x:c>
      <x:c r="F201" s="14" t="str">
        <x:v>OPEN</x:v>
      </x:c>
      <x:c r="G201" s="14" t="str"/>
      <x:c r="H201" s="14" t="str"/>
    </x:row>
    <x:row r="202" ht="18" customHeight="1">
      <x:c r="A202" s="14" t="str">
        <x:v>SRC-20-ANCESTRY-RECOVERY</x:v>
      </x:c>
      <x:c r="B202" s="14" t="str">
        <x:v>SRC-20</x:v>
      </x:c>
      <x:c r="C202" s="14" t="str">
        <x:v>ancestry recovery</x:v>
      </x:c>
      <x:c r="D202" s="14" t="str"/>
      <x:c r="E202" s="14" t="str">
        <x:v>registered unit</x:v>
      </x:c>
      <x:c r="F202" s="14" t="str">
        <x:v>OPEN</x:v>
      </x:c>
      <x:c r="G202" s="14" t="str"/>
      <x:c r="H202" s="14" t="str"/>
    </x:row>
    <x:row r="203" ht="18" customHeight="1">
      <x:c r="A203" s="14" t="str">
        <x:v>SRC-20-CUSTODY-SEAL</x:v>
      </x:c>
      <x:c r="B203" s="14" t="str">
        <x:v>SRC-20</x:v>
      </x:c>
      <x:c r="C203" s="14" t="str">
        <x:v>custody seal</x:v>
      </x:c>
      <x:c r="D203" s="14" t="str"/>
      <x:c r="E203" s="14" t="str">
        <x:v>registered unit</x:v>
      </x:c>
      <x:c r="F203" s="14" t="str">
        <x:v>OPEN</x:v>
      </x:c>
      <x:c r="G203" s="14" t="str"/>
      <x:c r="H203" s="14" t="str"/>
    </x:row>
    <x:row r="204" ht="18" customHeight="1">
      <x:c r="A204" s="14" t="str">
        <x:v>SRC-20-RETAINED-SAMPLES</x:v>
      </x:c>
      <x:c r="B204" s="14" t="str">
        <x:v>SRC-20</x:v>
      </x:c>
      <x:c r="C204" s="14" t="str">
        <x:v>retained samples</x:v>
      </x:c>
      <x:c r="D204" s="14" t="str"/>
      <x:c r="E204" s="14" t="str">
        <x:v>registered unit</x:v>
      </x:c>
      <x:c r="F204" s="14" t="str">
        <x:v>OPEN</x:v>
      </x:c>
      <x:c r="G204" s="14" t="str"/>
      <x:c r="H204" s="14" t="str"/>
    </x:row>
    <x:row r="205" ht="18" customHeight="1">
      <x:c r="A205" s="14" t="str">
        <x:v>SRC-21-GROSS-MASS</x:v>
      </x:c>
      <x:c r="B205" s="14" t="str">
        <x:v>SRC-21</x:v>
      </x:c>
      <x:c r="C205" s="14" t="str">
        <x:v>gross mass</x:v>
      </x:c>
      <x:c r="D205" s="14" t="str"/>
      <x:c r="E205" s="14" t="str">
        <x:v>kg</x:v>
      </x:c>
      <x:c r="F205" s="14" t="str">
        <x:v>OPEN</x:v>
      </x:c>
      <x:c r="G205" s="14" t="str"/>
      <x:c r="H205" s="14" t="str"/>
    </x:row>
    <x:row r="206" ht="18" customHeight="1">
      <x:c r="A206" s="14" t="str">
        <x:v>SRC-21-EVENT-MASS</x:v>
      </x:c>
      <x:c r="B206" s="14" t="str">
        <x:v>SRC-21</x:v>
      </x:c>
      <x:c r="C206" s="14" t="str">
        <x:v>event mass</x:v>
      </x:c>
      <x:c r="D206" s="14" t="str"/>
      <x:c r="E206" s="14" t="str">
        <x:v>kg</x:v>
      </x:c>
      <x:c r="F206" s="14" t="str">
        <x:v>OPEN</x:v>
      </x:c>
      <x:c r="G206" s="14" t="str"/>
      <x:c r="H206" s="14" t="str"/>
    </x:row>
    <x:row r="207" ht="18" customHeight="1">
      <x:c r="A207" s="14" t="str">
        <x:v>SRC-21-DENSITY</x:v>
      </x:c>
      <x:c r="B207" s="14" t="str">
        <x:v>SRC-21</x:v>
      </x:c>
      <x:c r="C207" s="14" t="str">
        <x:v>density</x:v>
      </x:c>
      <x:c r="D207" s="14" t="str"/>
      <x:c r="E207" s="14" t="str">
        <x:v>kg/m3</x:v>
      </x:c>
      <x:c r="F207" s="14" t="str">
        <x:v>OPEN</x:v>
      </x:c>
      <x:c r="G207" s="14" t="str"/>
      <x:c r="H207" s="14" t="str"/>
    </x:row>
    <x:row r="208" ht="18" customHeight="1">
      <x:c r="A208" s="14" t="str">
        <x:v>SRC-21-LOWER-HEATING-VALUE</x:v>
      </x:c>
      <x:c r="B208" s="14" t="str">
        <x:v>SRC-21</x:v>
      </x:c>
      <x:c r="C208" s="14" t="str">
        <x:v>lower heating value</x:v>
      </x:c>
      <x:c r="D208" s="14" t="str"/>
      <x:c r="E208" s="14" t="str">
        <x:v>MJ/kg</x:v>
      </x:c>
      <x:c r="F208" s="14" t="str">
        <x:v>OPEN</x:v>
      </x:c>
      <x:c r="G208" s="14" t="str"/>
      <x:c r="H208" s="14" t="str"/>
    </x:row>
    <x:row r="209" ht="18" customHeight="1">
      <x:c r="A209" s="14" t="str">
        <x:v>SRC-21-TEMPERATURE</x:v>
      </x:c>
      <x:c r="B209" s="14" t="str">
        <x:v>SRC-21</x:v>
      </x:c>
      <x:c r="C209" s="14" t="str">
        <x:v>temperature</x:v>
      </x:c>
      <x:c r="D209" s="14" t="str"/>
      <x:c r="E209" s="14" t="str">
        <x:v>registered unit</x:v>
      </x:c>
      <x:c r="F209" s="14" t="str">
        <x:v>OPEN</x:v>
      </x:c>
      <x:c r="G209" s="14" t="str"/>
      <x:c r="H209" s="14" t="str"/>
    </x:row>
    <x:row r="210" ht="18" customHeight="1">
      <x:c r="A210" s="14" t="str">
        <x:v>SRC-21-WATER-FRACTION</x:v>
      </x:c>
      <x:c r="B210" s="14" t="str">
        <x:v>SRC-21</x:v>
      </x:c>
      <x:c r="C210" s="14" t="str">
        <x:v>water fraction</x:v>
      </x:c>
      <x:c r="D210" s="14" t="str"/>
      <x:c r="E210" s="14" t="str">
        <x:v>registered unit</x:v>
      </x:c>
      <x:c r="F210" s="14" t="str">
        <x:v>OPEN</x:v>
      </x:c>
      <x:c r="G210" s="14" t="str"/>
      <x:c r="H210" s="14" t="str"/>
    </x:row>
    <x:row r="211" ht="18" customHeight="1">
      <x:c r="A211" s="14" t="str">
        <x:v>SRC-21-FOREIGN-SOLIDS</x:v>
      </x:c>
      <x:c r="B211" s="14" t="str">
        <x:v>SRC-21</x:v>
      </x:c>
      <x:c r="C211" s="14" t="str">
        <x:v>foreign solids</x:v>
      </x:c>
      <x:c r="D211" s="14" t="str"/>
      <x:c r="E211" s="14" t="str">
        <x:v>registered unit</x:v>
      </x:c>
      <x:c r="F211" s="14" t="str">
        <x:v>OPEN</x:v>
      </x:c>
      <x:c r="G211" s="14" t="str"/>
      <x:c r="H211" s="14" t="str"/>
    </x:row>
    <x:row r="212" ht="18" customHeight="1">
      <x:c r="A212" s="14" t="str">
        <x:v>SRC-21-ANCESTRY-RECOVERY</x:v>
      </x:c>
      <x:c r="B212" s="14" t="str">
        <x:v>SRC-21</x:v>
      </x:c>
      <x:c r="C212" s="14" t="str">
        <x:v>ancestry recovery</x:v>
      </x:c>
      <x:c r="D212" s="14" t="str"/>
      <x:c r="E212" s="14" t="str">
        <x:v>registered unit</x:v>
      </x:c>
      <x:c r="F212" s="14" t="str">
        <x:v>OPEN</x:v>
      </x:c>
      <x:c r="G212" s="14" t="str"/>
      <x:c r="H212" s="14" t="str"/>
    </x:row>
    <x:row r="213" ht="18" customHeight="1">
      <x:c r="A213" s="14" t="str">
        <x:v>SRC-21-CUSTODY-SEAL</x:v>
      </x:c>
      <x:c r="B213" s="14" t="str">
        <x:v>SRC-21</x:v>
      </x:c>
      <x:c r="C213" s="14" t="str">
        <x:v>custody seal</x:v>
      </x:c>
      <x:c r="D213" s="14" t="str"/>
      <x:c r="E213" s="14" t="str">
        <x:v>registered unit</x:v>
      </x:c>
      <x:c r="F213" s="14" t="str">
        <x:v>OPEN</x:v>
      </x:c>
      <x:c r="G213" s="14" t="str"/>
      <x:c r="H213" s="14" t="str"/>
    </x:row>
    <x:row r="214" ht="18" customHeight="1">
      <x:c r="A214" s="14" t="str">
        <x:v>SRC-21-RETAINED-SAMPLES</x:v>
      </x:c>
      <x:c r="B214" s="14" t="str">
        <x:v>SRC-21</x:v>
      </x:c>
      <x:c r="C214" s="14" t="str">
        <x:v>retained samples</x:v>
      </x:c>
      <x:c r="D214" s="14" t="str"/>
      <x:c r="E214" s="14" t="str">
        <x:v>registered unit</x:v>
      </x:c>
      <x:c r="F214" s="14" t="str">
        <x:v>OPEN</x:v>
      </x:c>
      <x:c r="G214" s="14" t="str"/>
      <x:c r="H214" s="14" t="str"/>
    </x:row>
    <x:row r="215" ht="18" customHeight="1">
      <x:c r="A215" s="14" t="str">
        <x:v>SRC-22-GROSS-MASS</x:v>
      </x:c>
      <x:c r="B215" s="14" t="str">
        <x:v>SRC-22</x:v>
      </x:c>
      <x:c r="C215" s="14" t="str">
        <x:v>gross mass</x:v>
      </x:c>
      <x:c r="D215" s="14" t="str"/>
      <x:c r="E215" s="14" t="str">
        <x:v>kg</x:v>
      </x:c>
      <x:c r="F215" s="14" t="str">
        <x:v>OPEN</x:v>
      </x:c>
      <x:c r="G215" s="14" t="str"/>
      <x:c r="H215" s="14" t="str"/>
    </x:row>
    <x:row r="216" ht="18" customHeight="1">
      <x:c r="A216" s="14" t="str">
        <x:v>SRC-22-EVENT-MASS</x:v>
      </x:c>
      <x:c r="B216" s="14" t="str">
        <x:v>SRC-22</x:v>
      </x:c>
      <x:c r="C216" s="14" t="str">
        <x:v>event mass</x:v>
      </x:c>
      <x:c r="D216" s="14" t="str"/>
      <x:c r="E216" s="14" t="str">
        <x:v>kg</x:v>
      </x:c>
      <x:c r="F216" s="14" t="str">
        <x:v>OPEN</x:v>
      </x:c>
      <x:c r="G216" s="14" t="str"/>
      <x:c r="H216" s="14" t="str"/>
    </x:row>
    <x:row r="217" ht="18" customHeight="1">
      <x:c r="A217" s="14" t="str">
        <x:v>SRC-22-DENSITY</x:v>
      </x:c>
      <x:c r="B217" s="14" t="str">
        <x:v>SRC-22</x:v>
      </x:c>
      <x:c r="C217" s="14" t="str">
        <x:v>density</x:v>
      </x:c>
      <x:c r="D217" s="14" t="str"/>
      <x:c r="E217" s="14" t="str">
        <x:v>kg/m3</x:v>
      </x:c>
      <x:c r="F217" s="14" t="str">
        <x:v>OPEN</x:v>
      </x:c>
      <x:c r="G217" s="14" t="str"/>
      <x:c r="H217" s="14" t="str"/>
    </x:row>
    <x:row r="218" ht="18" customHeight="1">
      <x:c r="A218" s="14" t="str">
        <x:v>SRC-22-LOWER-HEATING-VALUE</x:v>
      </x:c>
      <x:c r="B218" s="14" t="str">
        <x:v>SRC-22</x:v>
      </x:c>
      <x:c r="C218" s="14" t="str">
        <x:v>lower heating value</x:v>
      </x:c>
      <x:c r="D218" s="14" t="str"/>
      <x:c r="E218" s="14" t="str">
        <x:v>MJ/kg</x:v>
      </x:c>
      <x:c r="F218" s="14" t="str">
        <x:v>OPEN</x:v>
      </x:c>
      <x:c r="G218" s="14" t="str"/>
      <x:c r="H218" s="14" t="str"/>
    </x:row>
    <x:row r="219" ht="18" customHeight="1">
      <x:c r="A219" s="14" t="str">
        <x:v>SRC-22-TEMPERATURE</x:v>
      </x:c>
      <x:c r="B219" s="14" t="str">
        <x:v>SRC-22</x:v>
      </x:c>
      <x:c r="C219" s="14" t="str">
        <x:v>temperature</x:v>
      </x:c>
      <x:c r="D219" s="14" t="str"/>
      <x:c r="E219" s="14" t="str">
        <x:v>registered unit</x:v>
      </x:c>
      <x:c r="F219" s="14" t="str">
        <x:v>OPEN</x:v>
      </x:c>
      <x:c r="G219" s="14" t="str"/>
      <x:c r="H219" s="14" t="str"/>
    </x:row>
    <x:row r="220" ht="18" customHeight="1">
      <x:c r="A220" s="14" t="str">
        <x:v>SRC-22-WATER-FRACTION</x:v>
      </x:c>
      <x:c r="B220" s="14" t="str">
        <x:v>SRC-22</x:v>
      </x:c>
      <x:c r="C220" s="14" t="str">
        <x:v>water fraction</x:v>
      </x:c>
      <x:c r="D220" s="14" t="str"/>
      <x:c r="E220" s="14" t="str">
        <x:v>registered unit</x:v>
      </x:c>
      <x:c r="F220" s="14" t="str">
        <x:v>OPEN</x:v>
      </x:c>
      <x:c r="G220" s="14" t="str"/>
      <x:c r="H220" s="14" t="str"/>
    </x:row>
    <x:row r="221" ht="18" customHeight="1">
      <x:c r="A221" s="14" t="str">
        <x:v>SRC-22-FOREIGN-SOLIDS</x:v>
      </x:c>
      <x:c r="B221" s="14" t="str">
        <x:v>SRC-22</x:v>
      </x:c>
      <x:c r="C221" s="14" t="str">
        <x:v>foreign solids</x:v>
      </x:c>
      <x:c r="D221" s="14" t="str"/>
      <x:c r="E221" s="14" t="str">
        <x:v>registered unit</x:v>
      </x:c>
      <x:c r="F221" s="14" t="str">
        <x:v>OPEN</x:v>
      </x:c>
      <x:c r="G221" s="14" t="str"/>
      <x:c r="H221" s="14" t="str"/>
    </x:row>
    <x:row r="222" ht="18" customHeight="1">
      <x:c r="A222" s="14" t="str">
        <x:v>SRC-22-ANCESTRY-RECOVERY</x:v>
      </x:c>
      <x:c r="B222" s="14" t="str">
        <x:v>SRC-22</x:v>
      </x:c>
      <x:c r="C222" s="14" t="str">
        <x:v>ancestry recovery</x:v>
      </x:c>
      <x:c r="D222" s="14" t="str"/>
      <x:c r="E222" s="14" t="str">
        <x:v>registered unit</x:v>
      </x:c>
      <x:c r="F222" s="14" t="str">
        <x:v>OPEN</x:v>
      </x:c>
      <x:c r="G222" s="14" t="str"/>
      <x:c r="H222" s="14" t="str"/>
    </x:row>
    <x:row r="223" ht="18" customHeight="1">
      <x:c r="A223" s="14" t="str">
        <x:v>SRC-22-CUSTODY-SEAL</x:v>
      </x:c>
      <x:c r="B223" s="14" t="str">
        <x:v>SRC-22</x:v>
      </x:c>
      <x:c r="C223" s="14" t="str">
        <x:v>custody seal</x:v>
      </x:c>
      <x:c r="D223" s="14" t="str"/>
      <x:c r="E223" s="14" t="str">
        <x:v>registered unit</x:v>
      </x:c>
      <x:c r="F223" s="14" t="str">
        <x:v>OPEN</x:v>
      </x:c>
      <x:c r="G223" s="14" t="str"/>
      <x:c r="H223" s="14" t="str"/>
    </x:row>
    <x:row r="224" ht="18" customHeight="1">
      <x:c r="A224" s="14" t="str">
        <x:v>SRC-22-RETAINED-SAMPLES</x:v>
      </x:c>
      <x:c r="B224" s="14" t="str">
        <x:v>SRC-22</x:v>
      </x:c>
      <x:c r="C224" s="14" t="str">
        <x:v>retained samples</x:v>
      </x:c>
      <x:c r="D224" s="14" t="str"/>
      <x:c r="E224" s="14" t="str">
        <x:v>registered unit</x:v>
      </x:c>
      <x:c r="F224" s="14" t="str">
        <x:v>OPEN</x:v>
      </x:c>
      <x:c r="G224" s="14" t="str"/>
      <x:c r="H224" s="14" t="str"/>
    </x:row>
    <x:row r="225" ht="18" customHeight="1">
      <x:c r="A225" s="14" t="str">
        <x:v>SRC-23-GROSS-MASS</x:v>
      </x:c>
      <x:c r="B225" s="14" t="str">
        <x:v>SRC-23</x:v>
      </x:c>
      <x:c r="C225" s="14" t="str">
        <x:v>gross mass</x:v>
      </x:c>
      <x:c r="D225" s="14" t="str"/>
      <x:c r="E225" s="14" t="str">
        <x:v>kg</x:v>
      </x:c>
      <x:c r="F225" s="14" t="str">
        <x:v>OPEN</x:v>
      </x:c>
      <x:c r="G225" s="14" t="str"/>
      <x:c r="H225" s="14" t="str"/>
    </x:row>
    <x:row r="226" ht="18" customHeight="1">
      <x:c r="A226" s="14" t="str">
        <x:v>SRC-23-EVENT-MASS</x:v>
      </x:c>
      <x:c r="B226" s="14" t="str">
        <x:v>SRC-23</x:v>
      </x:c>
      <x:c r="C226" s="14" t="str">
        <x:v>event mass</x:v>
      </x:c>
      <x:c r="D226" s="14" t="str"/>
      <x:c r="E226" s="14" t="str">
        <x:v>kg</x:v>
      </x:c>
      <x:c r="F226" s="14" t="str">
        <x:v>OPEN</x:v>
      </x:c>
      <x:c r="G226" s="14" t="str"/>
      <x:c r="H226" s="14" t="str"/>
    </x:row>
    <x:row r="227" ht="18" customHeight="1">
      <x:c r="A227" s="14" t="str">
        <x:v>SRC-23-DENSITY</x:v>
      </x:c>
      <x:c r="B227" s="14" t="str">
        <x:v>SRC-23</x:v>
      </x:c>
      <x:c r="C227" s="14" t="str">
        <x:v>density</x:v>
      </x:c>
      <x:c r="D227" s="14" t="str"/>
      <x:c r="E227" s="14" t="str">
        <x:v>kg/m3</x:v>
      </x:c>
      <x:c r="F227" s="14" t="str">
        <x:v>OPEN</x:v>
      </x:c>
      <x:c r="G227" s="14" t="str"/>
      <x:c r="H227" s="14" t="str"/>
    </x:row>
    <x:row r="228" ht="18" customHeight="1">
      <x:c r="A228" s="14" t="str">
        <x:v>SRC-23-LOWER-HEATING-VALUE</x:v>
      </x:c>
      <x:c r="B228" s="14" t="str">
        <x:v>SRC-23</x:v>
      </x:c>
      <x:c r="C228" s="14" t="str">
        <x:v>lower heating value</x:v>
      </x:c>
      <x:c r="D228" s="14" t="str"/>
      <x:c r="E228" s="14" t="str">
        <x:v>MJ/kg</x:v>
      </x:c>
      <x:c r="F228" s="14" t="str">
        <x:v>OPEN</x:v>
      </x:c>
      <x:c r="G228" s="14" t="str"/>
      <x:c r="H228" s="14" t="str"/>
    </x:row>
    <x:row r="229" ht="18" customHeight="1">
      <x:c r="A229" s="14" t="str">
        <x:v>SRC-23-TEMPERATURE</x:v>
      </x:c>
      <x:c r="B229" s="14" t="str">
        <x:v>SRC-23</x:v>
      </x:c>
      <x:c r="C229" s="14" t="str">
        <x:v>temperature</x:v>
      </x:c>
      <x:c r="D229" s="14" t="str"/>
      <x:c r="E229" s="14" t="str">
        <x:v>registered unit</x:v>
      </x:c>
      <x:c r="F229" s="14" t="str">
        <x:v>OPEN</x:v>
      </x:c>
      <x:c r="G229" s="14" t="str"/>
      <x:c r="H229" s="14" t="str"/>
    </x:row>
    <x:row r="230" ht="18" customHeight="1">
      <x:c r="A230" s="14" t="str">
        <x:v>SRC-23-WATER-FRACTION</x:v>
      </x:c>
      <x:c r="B230" s="14" t="str">
        <x:v>SRC-23</x:v>
      </x:c>
      <x:c r="C230" s="14" t="str">
        <x:v>water fraction</x:v>
      </x:c>
      <x:c r="D230" s="14" t="str"/>
      <x:c r="E230" s="14" t="str">
        <x:v>registered unit</x:v>
      </x:c>
      <x:c r="F230" s="14" t="str">
        <x:v>OPEN</x:v>
      </x:c>
      <x:c r="G230" s="14" t="str"/>
      <x:c r="H230" s="14" t="str"/>
    </x:row>
    <x:row r="231" ht="18" customHeight="1">
      <x:c r="A231" s="14" t="str">
        <x:v>SRC-23-FOREIGN-SOLIDS</x:v>
      </x:c>
      <x:c r="B231" s="14" t="str">
        <x:v>SRC-23</x:v>
      </x:c>
      <x:c r="C231" s="14" t="str">
        <x:v>foreign solids</x:v>
      </x:c>
      <x:c r="D231" s="14" t="str"/>
      <x:c r="E231" s="14" t="str">
        <x:v>registered unit</x:v>
      </x:c>
      <x:c r="F231" s="14" t="str">
        <x:v>OPEN</x:v>
      </x:c>
      <x:c r="G231" s="14" t="str"/>
      <x:c r="H231" s="14" t="str"/>
    </x:row>
    <x:row r="232" ht="18" customHeight="1">
      <x:c r="A232" s="14" t="str">
        <x:v>SRC-23-ANCESTRY-RECOVERY</x:v>
      </x:c>
      <x:c r="B232" s="14" t="str">
        <x:v>SRC-23</x:v>
      </x:c>
      <x:c r="C232" s="14" t="str">
        <x:v>ancestry recovery</x:v>
      </x:c>
      <x:c r="D232" s="14" t="str"/>
      <x:c r="E232" s="14" t="str">
        <x:v>registered unit</x:v>
      </x:c>
      <x:c r="F232" s="14" t="str">
        <x:v>OPEN</x:v>
      </x:c>
      <x:c r="G232" s="14" t="str"/>
      <x:c r="H232" s="14" t="str"/>
    </x:row>
    <x:row r="233" ht="18" customHeight="1">
      <x:c r="A233" s="14" t="str">
        <x:v>SRC-23-CUSTODY-SEAL</x:v>
      </x:c>
      <x:c r="B233" s="14" t="str">
        <x:v>SRC-23</x:v>
      </x:c>
      <x:c r="C233" s="14" t="str">
        <x:v>custody seal</x:v>
      </x:c>
      <x:c r="D233" s="14" t="str"/>
      <x:c r="E233" s="14" t="str">
        <x:v>registered unit</x:v>
      </x:c>
      <x:c r="F233" s="14" t="str">
        <x:v>OPEN</x:v>
      </x:c>
      <x:c r="G233" s="14" t="str"/>
      <x:c r="H233" s="14" t="str"/>
    </x:row>
    <x:row r="234" ht="18" customHeight="1">
      <x:c r="A234" s="14" t="str">
        <x:v>SRC-23-RETAINED-SAMPLES</x:v>
      </x:c>
      <x:c r="B234" s="14" t="str">
        <x:v>SRC-23</x:v>
      </x:c>
      <x:c r="C234" s="14" t="str">
        <x:v>retained samples</x:v>
      </x:c>
      <x:c r="D234" s="14" t="str"/>
      <x:c r="E234" s="14" t="str">
        <x:v>registered unit</x:v>
      </x:c>
      <x:c r="F234" s="14" t="str">
        <x:v>OPEN</x:v>
      </x:c>
      <x:c r="G234" s="14" t="str"/>
      <x:c r="H234" s="14" t="str"/>
    </x:row>
    <x:row r="235" ht="18" customHeight="1">
      <x:c r="A235" s="14" t="str">
        <x:v>SRC-24-GROSS-MASS</x:v>
      </x:c>
      <x:c r="B235" s="14" t="str">
        <x:v>SRC-24</x:v>
      </x:c>
      <x:c r="C235" s="14" t="str">
        <x:v>gross mass</x:v>
      </x:c>
      <x:c r="D235" s="14" t="str"/>
      <x:c r="E235" s="14" t="str">
        <x:v>kg</x:v>
      </x:c>
      <x:c r="F235" s="14" t="str">
        <x:v>OPEN</x:v>
      </x:c>
      <x:c r="G235" s="14" t="str"/>
      <x:c r="H235" s="14" t="str"/>
    </x:row>
    <x:row r="236" ht="18" customHeight="1">
      <x:c r="A236" s="14" t="str">
        <x:v>SRC-24-EVENT-MASS</x:v>
      </x:c>
      <x:c r="B236" s="14" t="str">
        <x:v>SRC-24</x:v>
      </x:c>
      <x:c r="C236" s="14" t="str">
        <x:v>event mass</x:v>
      </x:c>
      <x:c r="D236" s="14" t="str"/>
      <x:c r="E236" s="14" t="str">
        <x:v>kg</x:v>
      </x:c>
      <x:c r="F236" s="14" t="str">
        <x:v>OPEN</x:v>
      </x:c>
      <x:c r="G236" s="14" t="str"/>
      <x:c r="H236" s="14" t="str"/>
    </x:row>
    <x:row r="237" ht="18" customHeight="1">
      <x:c r="A237" s="14" t="str">
        <x:v>SRC-24-DENSITY</x:v>
      </x:c>
      <x:c r="B237" s="14" t="str">
        <x:v>SRC-24</x:v>
      </x:c>
      <x:c r="C237" s="14" t="str">
        <x:v>density</x:v>
      </x:c>
      <x:c r="D237" s="14" t="str"/>
      <x:c r="E237" s="14" t="str">
        <x:v>kg/m3</x:v>
      </x:c>
      <x:c r="F237" s="14" t="str">
        <x:v>OPEN</x:v>
      </x:c>
      <x:c r="G237" s="14" t="str"/>
      <x:c r="H237" s="14" t="str"/>
    </x:row>
    <x:row r="238" ht="18" customHeight="1">
      <x:c r="A238" s="14" t="str">
        <x:v>SRC-24-LOWER-HEATING-VALUE</x:v>
      </x:c>
      <x:c r="B238" s="14" t="str">
        <x:v>SRC-24</x:v>
      </x:c>
      <x:c r="C238" s="14" t="str">
        <x:v>lower heating value</x:v>
      </x:c>
      <x:c r="D238" s="14" t="str"/>
      <x:c r="E238" s="14" t="str">
        <x:v>MJ/kg</x:v>
      </x:c>
      <x:c r="F238" s="14" t="str">
        <x:v>OPEN</x:v>
      </x:c>
      <x:c r="G238" s="14" t="str"/>
      <x:c r="H238" s="14" t="str"/>
    </x:row>
    <x:row r="239" ht="18" customHeight="1">
      <x:c r="A239" s="14" t="str">
        <x:v>SRC-24-TEMPERATURE</x:v>
      </x:c>
      <x:c r="B239" s="14" t="str">
        <x:v>SRC-24</x:v>
      </x:c>
      <x:c r="C239" s="14" t="str">
        <x:v>temperature</x:v>
      </x:c>
      <x:c r="D239" s="14" t="str"/>
      <x:c r="E239" s="14" t="str">
        <x:v>registered unit</x:v>
      </x:c>
      <x:c r="F239" s="14" t="str">
        <x:v>OPEN</x:v>
      </x:c>
      <x:c r="G239" s="14" t="str"/>
      <x:c r="H239" s="14" t="str"/>
    </x:row>
    <x:row r="240" ht="18" customHeight="1">
      <x:c r="A240" s="14" t="str">
        <x:v>SRC-24-WATER-FRACTION</x:v>
      </x:c>
      <x:c r="B240" s="14" t="str">
        <x:v>SRC-24</x:v>
      </x:c>
      <x:c r="C240" s="14" t="str">
        <x:v>water fraction</x:v>
      </x:c>
      <x:c r="D240" s="14" t="str"/>
      <x:c r="E240" s="14" t="str">
        <x:v>registered unit</x:v>
      </x:c>
      <x:c r="F240" s="14" t="str">
        <x:v>OPEN</x:v>
      </x:c>
      <x:c r="G240" s="14" t="str"/>
      <x:c r="H240" s="14" t="str"/>
    </x:row>
    <x:row r="241" ht="18" customHeight="1">
      <x:c r="A241" s="14" t="str">
        <x:v>SRC-24-FOREIGN-SOLIDS</x:v>
      </x:c>
      <x:c r="B241" s="14" t="str">
        <x:v>SRC-24</x:v>
      </x:c>
      <x:c r="C241" s="14" t="str">
        <x:v>foreign solids</x:v>
      </x:c>
      <x:c r="D241" s="14" t="str"/>
      <x:c r="E241" s="14" t="str">
        <x:v>registered unit</x:v>
      </x:c>
      <x:c r="F241" s="14" t="str">
        <x:v>OPEN</x:v>
      </x:c>
      <x:c r="G241" s="14" t="str"/>
      <x:c r="H241" s="14" t="str"/>
    </x:row>
    <x:row r="242" ht="18" customHeight="1">
      <x:c r="A242" s="14" t="str">
        <x:v>SRC-24-ANCESTRY-RECOVERY</x:v>
      </x:c>
      <x:c r="B242" s="14" t="str">
        <x:v>SRC-24</x:v>
      </x:c>
      <x:c r="C242" s="14" t="str">
        <x:v>ancestry recovery</x:v>
      </x:c>
      <x:c r="D242" s="14" t="str"/>
      <x:c r="E242" s="14" t="str">
        <x:v>registered unit</x:v>
      </x:c>
      <x:c r="F242" s="14" t="str">
        <x:v>OPEN</x:v>
      </x:c>
      <x:c r="G242" s="14" t="str"/>
      <x:c r="H242" s="14" t="str"/>
    </x:row>
    <x:row r="243" ht="18" customHeight="1">
      <x:c r="A243" s="14" t="str">
        <x:v>SRC-24-CUSTODY-SEAL</x:v>
      </x:c>
      <x:c r="B243" s="14" t="str">
        <x:v>SRC-24</x:v>
      </x:c>
      <x:c r="C243" s="14" t="str">
        <x:v>custody seal</x:v>
      </x:c>
      <x:c r="D243" s="14" t="str"/>
      <x:c r="E243" s="14" t="str">
        <x:v>registered unit</x:v>
      </x:c>
      <x:c r="F243" s="14" t="str">
        <x:v>OPEN</x:v>
      </x:c>
      <x:c r="G243" s="14" t="str"/>
      <x:c r="H243" s="14" t="str"/>
    </x:row>
    <x:row r="244" ht="18" customHeight="1">
      <x:c r="A244" s="14" t="str">
        <x:v>SRC-24-RETAINED-SAMPLES</x:v>
      </x:c>
      <x:c r="B244" s="14" t="str">
        <x:v>SRC-24</x:v>
      </x:c>
      <x:c r="C244" s="14" t="str">
        <x:v>retained samples</x:v>
      </x:c>
      <x:c r="D244" s="14" t="str"/>
      <x:c r="E244" s="14" t="str">
        <x:v>registered unit</x:v>
      </x:c>
      <x:c r="F244" s="14" t="str">
        <x:v>OPEN</x:v>
      </x:c>
      <x:c r="G244" s="14" t="str"/>
      <x:c r="H244" s="14" t="str"/>
    </x:row>
    <x:row r="245" ht="18" customHeight="1">
      <x:c r="A245" s="14" t="str">
        <x:v>SRC-R01-GROSS-MASS</x:v>
      </x:c>
      <x:c r="B245" s="14" t="str">
        <x:v>SRC-R01</x:v>
      </x:c>
      <x:c r="C245" s="14" t="str">
        <x:v>gross mass</x:v>
      </x:c>
      <x:c r="D245" s="14" t="str"/>
      <x:c r="E245" s="14" t="str">
        <x:v>kg</x:v>
      </x:c>
      <x:c r="F245" s="14" t="str">
        <x:v>OPEN</x:v>
      </x:c>
      <x:c r="G245" s="14" t="str"/>
      <x:c r="H245" s="14" t="str"/>
    </x:row>
    <x:row r="246" ht="18" customHeight="1">
      <x:c r="A246" s="14" t="str">
        <x:v>SRC-R01-EVENT-MASS</x:v>
      </x:c>
      <x:c r="B246" s="14" t="str">
        <x:v>SRC-R01</x:v>
      </x:c>
      <x:c r="C246" s="14" t="str">
        <x:v>event mass</x:v>
      </x:c>
      <x:c r="D246" s="14" t="str"/>
      <x:c r="E246" s="14" t="str">
        <x:v>kg</x:v>
      </x:c>
      <x:c r="F246" s="14" t="str">
        <x:v>OPEN</x:v>
      </x:c>
      <x:c r="G246" s="14" t="str"/>
      <x:c r="H246" s="14" t="str"/>
    </x:row>
    <x:row r="247" ht="18" customHeight="1">
      <x:c r="A247" s="14" t="str">
        <x:v>SRC-R01-DENSITY</x:v>
      </x:c>
      <x:c r="B247" s="14" t="str">
        <x:v>SRC-R01</x:v>
      </x:c>
      <x:c r="C247" s="14" t="str">
        <x:v>density</x:v>
      </x:c>
      <x:c r="D247" s="14" t="str"/>
      <x:c r="E247" s="14" t="str">
        <x:v>kg/m3</x:v>
      </x:c>
      <x:c r="F247" s="14" t="str">
        <x:v>OPEN</x:v>
      </x:c>
      <x:c r="G247" s="14" t="str"/>
      <x:c r="H247" s="14" t="str"/>
    </x:row>
    <x:row r="248" ht="18" customHeight="1">
      <x:c r="A248" s="14" t="str">
        <x:v>SRC-R01-LOWER-HEATING-VALUE</x:v>
      </x:c>
      <x:c r="B248" s="14" t="str">
        <x:v>SRC-R01</x:v>
      </x:c>
      <x:c r="C248" s="14" t="str">
        <x:v>lower heating value</x:v>
      </x:c>
      <x:c r="D248" s="14" t="str"/>
      <x:c r="E248" s="14" t="str">
        <x:v>MJ/kg</x:v>
      </x:c>
      <x:c r="F248" s="14" t="str">
        <x:v>OPEN</x:v>
      </x:c>
      <x:c r="G248" s="14" t="str"/>
      <x:c r="H248" s="14" t="str"/>
    </x:row>
    <x:row r="249" ht="18" customHeight="1">
      <x:c r="A249" s="14" t="str">
        <x:v>SRC-R01-TEMPERATURE</x:v>
      </x:c>
      <x:c r="B249" s="14" t="str">
        <x:v>SRC-R01</x:v>
      </x:c>
      <x:c r="C249" s="14" t="str">
        <x:v>temperature</x:v>
      </x:c>
      <x:c r="D249" s="14" t="str"/>
      <x:c r="E249" s="14" t="str">
        <x:v>registered unit</x:v>
      </x:c>
      <x:c r="F249" s="14" t="str">
        <x:v>OPEN</x:v>
      </x:c>
      <x:c r="G249" s="14" t="str"/>
      <x:c r="H249" s="14" t="str"/>
    </x:row>
    <x:row r="250" ht="18" customHeight="1">
      <x:c r="A250" s="14" t="str">
        <x:v>SRC-R01-WATER-FRACTION</x:v>
      </x:c>
      <x:c r="B250" s="14" t="str">
        <x:v>SRC-R01</x:v>
      </x:c>
      <x:c r="C250" s="14" t="str">
        <x:v>water fraction</x:v>
      </x:c>
      <x:c r="D250" s="14" t="str"/>
      <x:c r="E250" s="14" t="str">
        <x:v>registered unit</x:v>
      </x:c>
      <x:c r="F250" s="14" t="str">
        <x:v>OPEN</x:v>
      </x:c>
      <x:c r="G250" s="14" t="str"/>
      <x:c r="H250" s="14" t="str"/>
    </x:row>
    <x:row r="251" ht="18" customHeight="1">
      <x:c r="A251" s="14" t="str">
        <x:v>SRC-R01-FOREIGN-SOLIDS</x:v>
      </x:c>
      <x:c r="B251" s="14" t="str">
        <x:v>SRC-R01</x:v>
      </x:c>
      <x:c r="C251" s="14" t="str">
        <x:v>foreign solids</x:v>
      </x:c>
      <x:c r="D251" s="14" t="str"/>
      <x:c r="E251" s="14" t="str">
        <x:v>registered unit</x:v>
      </x:c>
      <x:c r="F251" s="14" t="str">
        <x:v>OPEN</x:v>
      </x:c>
      <x:c r="G251" s="14" t="str"/>
      <x:c r="H251" s="14" t="str"/>
    </x:row>
    <x:row r="252" ht="18" customHeight="1">
      <x:c r="A252" s="14" t="str">
        <x:v>SRC-R01-ANCESTRY-RECOVERY</x:v>
      </x:c>
      <x:c r="B252" s="14" t="str">
        <x:v>SRC-R01</x:v>
      </x:c>
      <x:c r="C252" s="14" t="str">
        <x:v>ancestry recovery</x:v>
      </x:c>
      <x:c r="D252" s="14" t="str"/>
      <x:c r="E252" s="14" t="str">
        <x:v>registered unit</x:v>
      </x:c>
      <x:c r="F252" s="14" t="str">
        <x:v>OPEN</x:v>
      </x:c>
      <x:c r="G252" s="14" t="str"/>
      <x:c r="H252" s="14" t="str"/>
    </x:row>
    <x:row r="253" ht="18" customHeight="1">
      <x:c r="A253" s="14" t="str">
        <x:v>SRC-R01-CUSTODY-SEAL</x:v>
      </x:c>
      <x:c r="B253" s="14" t="str">
        <x:v>SRC-R01</x:v>
      </x:c>
      <x:c r="C253" s="14" t="str">
        <x:v>custody seal</x:v>
      </x:c>
      <x:c r="D253" s="14" t="str"/>
      <x:c r="E253" s="14" t="str">
        <x:v>registered unit</x:v>
      </x:c>
      <x:c r="F253" s="14" t="str">
        <x:v>OPEN</x:v>
      </x:c>
      <x:c r="G253" s="14" t="str"/>
      <x:c r="H253" s="14" t="str"/>
    </x:row>
    <x:row r="254" ht="18" customHeight="1">
      <x:c r="A254" s="14" t="str">
        <x:v>SRC-R01-RETAINED-SAMPLES</x:v>
      </x:c>
      <x:c r="B254" s="14" t="str">
        <x:v>SRC-R01</x:v>
      </x:c>
      <x:c r="C254" s="14" t="str">
        <x:v>retained samples</x:v>
      </x:c>
      <x:c r="D254" s="14" t="str"/>
      <x:c r="E254" s="14" t="str">
        <x:v>registered unit</x:v>
      </x:c>
      <x:c r="F254" s="14" t="str">
        <x:v>OPEN</x:v>
      </x:c>
      <x:c r="G254" s="14" t="str"/>
      <x:c r="H254" s="14" t="str"/>
    </x:row>
    <x:row r="255" ht="18" customHeight="1">
      <x:c r="A255" s="14" t="str">
        <x:v>SRC-R02-GROSS-MASS</x:v>
      </x:c>
      <x:c r="B255" s="14" t="str">
        <x:v>SRC-R02</x:v>
      </x:c>
      <x:c r="C255" s="14" t="str">
        <x:v>gross mass</x:v>
      </x:c>
      <x:c r="D255" s="14" t="str"/>
      <x:c r="E255" s="14" t="str">
        <x:v>kg</x:v>
      </x:c>
      <x:c r="F255" s="14" t="str">
        <x:v>OPEN</x:v>
      </x:c>
      <x:c r="G255" s="14" t="str"/>
      <x:c r="H255" s="14" t="str"/>
    </x:row>
    <x:row r="256" ht="18" customHeight="1">
      <x:c r="A256" s="14" t="str">
        <x:v>SRC-R02-EVENT-MASS</x:v>
      </x:c>
      <x:c r="B256" s="14" t="str">
        <x:v>SRC-R02</x:v>
      </x:c>
      <x:c r="C256" s="14" t="str">
        <x:v>event mass</x:v>
      </x:c>
      <x:c r="D256" s="14" t="str"/>
      <x:c r="E256" s="14" t="str">
        <x:v>kg</x:v>
      </x:c>
      <x:c r="F256" s="14" t="str">
        <x:v>OPEN</x:v>
      </x:c>
      <x:c r="G256" s="14" t="str"/>
      <x:c r="H256" s="14" t="str"/>
    </x:row>
    <x:row r="257" ht="18" customHeight="1">
      <x:c r="A257" s="14" t="str">
        <x:v>SRC-R02-DENSITY</x:v>
      </x:c>
      <x:c r="B257" s="14" t="str">
        <x:v>SRC-R02</x:v>
      </x:c>
      <x:c r="C257" s="14" t="str">
        <x:v>density</x:v>
      </x:c>
      <x:c r="D257" s="14" t="str"/>
      <x:c r="E257" s="14" t="str">
        <x:v>kg/m3</x:v>
      </x:c>
      <x:c r="F257" s="14" t="str">
        <x:v>OPEN</x:v>
      </x:c>
      <x:c r="G257" s="14" t="str"/>
      <x:c r="H257" s="14" t="str"/>
    </x:row>
    <x:row r="258" ht="18" customHeight="1">
      <x:c r="A258" s="14" t="str">
        <x:v>SRC-R02-LOWER-HEATING-VALUE</x:v>
      </x:c>
      <x:c r="B258" s="14" t="str">
        <x:v>SRC-R02</x:v>
      </x:c>
      <x:c r="C258" s="14" t="str">
        <x:v>lower heating value</x:v>
      </x:c>
      <x:c r="D258" s="14" t="str"/>
      <x:c r="E258" s="14" t="str">
        <x:v>MJ/kg</x:v>
      </x:c>
      <x:c r="F258" s="14" t="str">
        <x:v>OPEN</x:v>
      </x:c>
      <x:c r="G258" s="14" t="str"/>
      <x:c r="H258" s="14" t="str"/>
    </x:row>
    <x:row r="259" ht="18" customHeight="1">
      <x:c r="A259" s="14" t="str">
        <x:v>SRC-R02-TEMPERATURE</x:v>
      </x:c>
      <x:c r="B259" s="14" t="str">
        <x:v>SRC-R02</x:v>
      </x:c>
      <x:c r="C259" s="14" t="str">
        <x:v>temperature</x:v>
      </x:c>
      <x:c r="D259" s="14" t="str"/>
      <x:c r="E259" s="14" t="str">
        <x:v>registered unit</x:v>
      </x:c>
      <x:c r="F259" s="14" t="str">
        <x:v>OPEN</x:v>
      </x:c>
      <x:c r="G259" s="14" t="str"/>
      <x:c r="H259" s="14" t="str"/>
    </x:row>
    <x:row r="260" ht="18" customHeight="1">
      <x:c r="A260" s="14" t="str">
        <x:v>SRC-R02-WATER-FRACTION</x:v>
      </x:c>
      <x:c r="B260" s="14" t="str">
        <x:v>SRC-R02</x:v>
      </x:c>
      <x:c r="C260" s="14" t="str">
        <x:v>water fraction</x:v>
      </x:c>
      <x:c r="D260" s="14" t="str"/>
      <x:c r="E260" s="14" t="str">
        <x:v>registered unit</x:v>
      </x:c>
      <x:c r="F260" s="14" t="str">
        <x:v>OPEN</x:v>
      </x:c>
      <x:c r="G260" s="14" t="str"/>
      <x:c r="H260" s="14" t="str"/>
    </x:row>
    <x:row r="261" ht="18" customHeight="1">
      <x:c r="A261" s="14" t="str">
        <x:v>SRC-R02-FOREIGN-SOLIDS</x:v>
      </x:c>
      <x:c r="B261" s="14" t="str">
        <x:v>SRC-R02</x:v>
      </x:c>
      <x:c r="C261" s="14" t="str">
        <x:v>foreign solids</x:v>
      </x:c>
      <x:c r="D261" s="14" t="str"/>
      <x:c r="E261" s="14" t="str">
        <x:v>registered unit</x:v>
      </x:c>
      <x:c r="F261" s="14" t="str">
        <x:v>OPEN</x:v>
      </x:c>
      <x:c r="G261" s="14" t="str"/>
      <x:c r="H261" s="14" t="str"/>
    </x:row>
    <x:row r="262" ht="18" customHeight="1">
      <x:c r="A262" s="14" t="str">
        <x:v>SRC-R02-ANCESTRY-RECOVERY</x:v>
      </x:c>
      <x:c r="B262" s="14" t="str">
        <x:v>SRC-R02</x:v>
      </x:c>
      <x:c r="C262" s="14" t="str">
        <x:v>ancestry recovery</x:v>
      </x:c>
      <x:c r="D262" s="14" t="str"/>
      <x:c r="E262" s="14" t="str">
        <x:v>registered unit</x:v>
      </x:c>
      <x:c r="F262" s="14" t="str">
        <x:v>OPEN</x:v>
      </x:c>
      <x:c r="G262" s="14" t="str"/>
      <x:c r="H262" s="14" t="str"/>
    </x:row>
    <x:row r="263" ht="18" customHeight="1">
      <x:c r="A263" s="14" t="str">
        <x:v>SRC-R02-CUSTODY-SEAL</x:v>
      </x:c>
      <x:c r="B263" s="14" t="str">
        <x:v>SRC-R02</x:v>
      </x:c>
      <x:c r="C263" s="14" t="str">
        <x:v>custody seal</x:v>
      </x:c>
      <x:c r="D263" s="14" t="str"/>
      <x:c r="E263" s="14" t="str">
        <x:v>registered unit</x:v>
      </x:c>
      <x:c r="F263" s="14" t="str">
        <x:v>OPEN</x:v>
      </x:c>
      <x:c r="G263" s="14" t="str"/>
      <x:c r="H263" s="14" t="str"/>
    </x:row>
    <x:row r="264" ht="18" customHeight="1">
      <x:c r="A264" s="14" t="str">
        <x:v>SRC-R02-RETAINED-SAMPLES</x:v>
      </x:c>
      <x:c r="B264" s="14" t="str">
        <x:v>SRC-R02</x:v>
      </x:c>
      <x:c r="C264" s="14" t="str">
        <x:v>retained samples</x:v>
      </x:c>
      <x:c r="D264" s="14" t="str"/>
      <x:c r="E264" s="14" t="str">
        <x:v>registered unit</x:v>
      </x:c>
      <x:c r="F264" s="14" t="str">
        <x:v>OPEN</x:v>
      </x:c>
      <x:c r="G264" s="14" t="str"/>
      <x:c r="H264" s="14" t="str"/>
    </x:row>
    <x:row r="265" ht="18" customHeight="1">
      <x:c r="A265" s="14" t="str">
        <x:v>SRC-R03-GROSS-MASS</x:v>
      </x:c>
      <x:c r="B265" s="14" t="str">
        <x:v>SRC-R03</x:v>
      </x:c>
      <x:c r="C265" s="14" t="str">
        <x:v>gross mass</x:v>
      </x:c>
      <x:c r="D265" s="14" t="str"/>
      <x:c r="E265" s="14" t="str">
        <x:v>kg</x:v>
      </x:c>
      <x:c r="F265" s="14" t="str">
        <x:v>OPEN</x:v>
      </x:c>
      <x:c r="G265" s="14" t="str"/>
      <x:c r="H265" s="14" t="str"/>
    </x:row>
    <x:row r="266" ht="18" customHeight="1">
      <x:c r="A266" s="14" t="str">
        <x:v>SRC-R03-EVENT-MASS</x:v>
      </x:c>
      <x:c r="B266" s="14" t="str">
        <x:v>SRC-R03</x:v>
      </x:c>
      <x:c r="C266" s="14" t="str">
        <x:v>event mass</x:v>
      </x:c>
      <x:c r="D266" s="14" t="str"/>
      <x:c r="E266" s="14" t="str">
        <x:v>kg</x:v>
      </x:c>
      <x:c r="F266" s="14" t="str">
        <x:v>OPEN</x:v>
      </x:c>
      <x:c r="G266" s="14" t="str"/>
      <x:c r="H266" s="14" t="str"/>
    </x:row>
    <x:row r="267" ht="18" customHeight="1">
      <x:c r="A267" s="14" t="str">
        <x:v>SRC-R03-DENSITY</x:v>
      </x:c>
      <x:c r="B267" s="14" t="str">
        <x:v>SRC-R03</x:v>
      </x:c>
      <x:c r="C267" s="14" t="str">
        <x:v>density</x:v>
      </x:c>
      <x:c r="D267" s="14" t="str"/>
      <x:c r="E267" s="14" t="str">
        <x:v>kg/m3</x:v>
      </x:c>
      <x:c r="F267" s="14" t="str">
        <x:v>OPEN</x:v>
      </x:c>
      <x:c r="G267" s="14" t="str"/>
      <x:c r="H267" s="14" t="str"/>
    </x:row>
    <x:row r="268" ht="18" customHeight="1">
      <x:c r="A268" s="14" t="str">
        <x:v>SRC-R03-LOWER-HEATING-VALUE</x:v>
      </x:c>
      <x:c r="B268" s="14" t="str">
        <x:v>SRC-R03</x:v>
      </x:c>
      <x:c r="C268" s="14" t="str">
        <x:v>lower heating value</x:v>
      </x:c>
      <x:c r="D268" s="14" t="str"/>
      <x:c r="E268" s="14" t="str">
        <x:v>MJ/kg</x:v>
      </x:c>
      <x:c r="F268" s="14" t="str">
        <x:v>OPEN</x:v>
      </x:c>
      <x:c r="G268" s="14" t="str"/>
      <x:c r="H268" s="14" t="str"/>
    </x:row>
    <x:row r="269" ht="18" customHeight="1">
      <x:c r="A269" s="14" t="str">
        <x:v>SRC-R03-TEMPERATURE</x:v>
      </x:c>
      <x:c r="B269" s="14" t="str">
        <x:v>SRC-R03</x:v>
      </x:c>
      <x:c r="C269" s="14" t="str">
        <x:v>temperature</x:v>
      </x:c>
      <x:c r="D269" s="14" t="str"/>
      <x:c r="E269" s="14" t="str">
        <x:v>registered unit</x:v>
      </x:c>
      <x:c r="F269" s="14" t="str">
        <x:v>OPEN</x:v>
      </x:c>
      <x:c r="G269" s="14" t="str"/>
      <x:c r="H269" s="14" t="str"/>
    </x:row>
    <x:row r="270" ht="18" customHeight="1">
      <x:c r="A270" s="14" t="str">
        <x:v>SRC-R03-WATER-FRACTION</x:v>
      </x:c>
      <x:c r="B270" s="14" t="str">
        <x:v>SRC-R03</x:v>
      </x:c>
      <x:c r="C270" s="14" t="str">
        <x:v>water fraction</x:v>
      </x:c>
      <x:c r="D270" s="14" t="str"/>
      <x:c r="E270" s="14" t="str">
        <x:v>registered unit</x:v>
      </x:c>
      <x:c r="F270" s="14" t="str">
        <x:v>OPEN</x:v>
      </x:c>
      <x:c r="G270" s="14" t="str"/>
      <x:c r="H270" s="14" t="str"/>
    </x:row>
    <x:row r="271" ht="18" customHeight="1">
      <x:c r="A271" s="14" t="str">
        <x:v>SRC-R03-FOREIGN-SOLIDS</x:v>
      </x:c>
      <x:c r="B271" s="14" t="str">
        <x:v>SRC-R03</x:v>
      </x:c>
      <x:c r="C271" s="14" t="str">
        <x:v>foreign solids</x:v>
      </x:c>
      <x:c r="D271" s="14" t="str"/>
      <x:c r="E271" s="14" t="str">
        <x:v>registered unit</x:v>
      </x:c>
      <x:c r="F271" s="14" t="str">
        <x:v>OPEN</x:v>
      </x:c>
      <x:c r="G271" s="14" t="str"/>
      <x:c r="H271" s="14" t="str"/>
    </x:row>
    <x:row r="272" ht="18" customHeight="1">
      <x:c r="A272" s="14" t="str">
        <x:v>SRC-R03-ANCESTRY-RECOVERY</x:v>
      </x:c>
      <x:c r="B272" s="14" t="str">
        <x:v>SRC-R03</x:v>
      </x:c>
      <x:c r="C272" s="14" t="str">
        <x:v>ancestry recovery</x:v>
      </x:c>
      <x:c r="D272" s="14" t="str"/>
      <x:c r="E272" s="14" t="str">
        <x:v>registered unit</x:v>
      </x:c>
      <x:c r="F272" s="14" t="str">
        <x:v>OPEN</x:v>
      </x:c>
      <x:c r="G272" s="14" t="str"/>
      <x:c r="H272" s="14" t="str"/>
    </x:row>
    <x:row r="273" ht="18" customHeight="1">
      <x:c r="A273" s="14" t="str">
        <x:v>SRC-R03-CUSTODY-SEAL</x:v>
      </x:c>
      <x:c r="B273" s="14" t="str">
        <x:v>SRC-R03</x:v>
      </x:c>
      <x:c r="C273" s="14" t="str">
        <x:v>custody seal</x:v>
      </x:c>
      <x:c r="D273" s="14" t="str"/>
      <x:c r="E273" s="14" t="str">
        <x:v>registered unit</x:v>
      </x:c>
      <x:c r="F273" s="14" t="str">
        <x:v>OPEN</x:v>
      </x:c>
      <x:c r="G273" s="14" t="str"/>
      <x:c r="H273" s="14" t="str"/>
    </x:row>
    <x:row r="274" ht="18" customHeight="1">
      <x:c r="A274" s="14" t="str">
        <x:v>SRC-R03-RETAINED-SAMPLES</x:v>
      </x:c>
      <x:c r="B274" s="14" t="str">
        <x:v>SRC-R03</x:v>
      </x:c>
      <x:c r="C274" s="14" t="str">
        <x:v>retained samples</x:v>
      </x:c>
      <x:c r="D274" s="14" t="str"/>
      <x:c r="E274" s="14" t="str">
        <x:v>registered unit</x:v>
      </x:c>
      <x:c r="F274" s="14" t="str">
        <x:v>OPEN</x:v>
      </x:c>
      <x:c r="G274" s="14" t="str"/>
      <x:c r="H274" s="14" t="str"/>
    </x:row>
    <x:row r="275" ht="18" customHeight="1">
      <x:c r="A275" s="14" t="str">
        <x:v>SRC-R04-GROSS-MASS</x:v>
      </x:c>
      <x:c r="B275" s="14" t="str">
        <x:v>SRC-R04</x:v>
      </x:c>
      <x:c r="C275" s="14" t="str">
        <x:v>gross mass</x:v>
      </x:c>
      <x:c r="D275" s="14" t="str"/>
      <x:c r="E275" s="14" t="str">
        <x:v>kg</x:v>
      </x:c>
      <x:c r="F275" s="14" t="str">
        <x:v>OPEN</x:v>
      </x:c>
      <x:c r="G275" s="14" t="str"/>
      <x:c r="H275" s="14" t="str"/>
    </x:row>
    <x:row r="276" ht="18" customHeight="1">
      <x:c r="A276" s="14" t="str">
        <x:v>SRC-R04-EVENT-MASS</x:v>
      </x:c>
      <x:c r="B276" s="14" t="str">
        <x:v>SRC-R04</x:v>
      </x:c>
      <x:c r="C276" s="14" t="str">
        <x:v>event mass</x:v>
      </x:c>
      <x:c r="D276" s="14" t="str"/>
      <x:c r="E276" s="14" t="str">
        <x:v>kg</x:v>
      </x:c>
      <x:c r="F276" s="14" t="str">
        <x:v>OPEN</x:v>
      </x:c>
      <x:c r="G276" s="14" t="str"/>
      <x:c r="H276" s="14" t="str"/>
    </x:row>
    <x:row r="277" ht="18" customHeight="1">
      <x:c r="A277" s="14" t="str">
        <x:v>SRC-R04-DENSITY</x:v>
      </x:c>
      <x:c r="B277" s="14" t="str">
        <x:v>SRC-R04</x:v>
      </x:c>
      <x:c r="C277" s="14" t="str">
        <x:v>density</x:v>
      </x:c>
      <x:c r="D277" s="14" t="str"/>
      <x:c r="E277" s="14" t="str">
        <x:v>kg/m3</x:v>
      </x:c>
      <x:c r="F277" s="14" t="str">
        <x:v>OPEN</x:v>
      </x:c>
      <x:c r="G277" s="14" t="str"/>
      <x:c r="H277" s="14" t="str"/>
    </x:row>
    <x:row r="278" ht="18" customHeight="1">
      <x:c r="A278" s="14" t="str">
        <x:v>SRC-R04-LOWER-HEATING-VALUE</x:v>
      </x:c>
      <x:c r="B278" s="14" t="str">
        <x:v>SRC-R04</x:v>
      </x:c>
      <x:c r="C278" s="14" t="str">
        <x:v>lower heating value</x:v>
      </x:c>
      <x:c r="D278" s="14" t="str"/>
      <x:c r="E278" s="14" t="str">
        <x:v>MJ/kg</x:v>
      </x:c>
      <x:c r="F278" s="14" t="str">
        <x:v>OPEN</x:v>
      </x:c>
      <x:c r="G278" s="14" t="str"/>
      <x:c r="H278" s="14" t="str"/>
    </x:row>
    <x:row r="279" ht="18" customHeight="1">
      <x:c r="A279" s="14" t="str">
        <x:v>SRC-R04-TEMPERATURE</x:v>
      </x:c>
      <x:c r="B279" s="14" t="str">
        <x:v>SRC-R04</x:v>
      </x:c>
      <x:c r="C279" s="14" t="str">
        <x:v>temperature</x:v>
      </x:c>
      <x:c r="D279" s="14" t="str"/>
      <x:c r="E279" s="14" t="str">
        <x:v>registered unit</x:v>
      </x:c>
      <x:c r="F279" s="14" t="str">
        <x:v>OPEN</x:v>
      </x:c>
      <x:c r="G279" s="14" t="str"/>
      <x:c r="H279" s="14" t="str"/>
    </x:row>
    <x:row r="280" ht="18" customHeight="1">
      <x:c r="A280" s="14" t="str">
        <x:v>SRC-R04-WATER-FRACTION</x:v>
      </x:c>
      <x:c r="B280" s="14" t="str">
        <x:v>SRC-R04</x:v>
      </x:c>
      <x:c r="C280" s="14" t="str">
        <x:v>water fraction</x:v>
      </x:c>
      <x:c r="D280" s="14" t="str"/>
      <x:c r="E280" s="14" t="str">
        <x:v>registered unit</x:v>
      </x:c>
      <x:c r="F280" s="14" t="str">
        <x:v>OPEN</x:v>
      </x:c>
      <x:c r="G280" s="14" t="str"/>
      <x:c r="H280" s="14" t="str"/>
    </x:row>
    <x:row r="281" ht="18" customHeight="1">
      <x:c r="A281" s="14" t="str">
        <x:v>SRC-R04-FOREIGN-SOLIDS</x:v>
      </x:c>
      <x:c r="B281" s="14" t="str">
        <x:v>SRC-R04</x:v>
      </x:c>
      <x:c r="C281" s="14" t="str">
        <x:v>foreign solids</x:v>
      </x:c>
      <x:c r="D281" s="14" t="str"/>
      <x:c r="E281" s="14" t="str">
        <x:v>registered unit</x:v>
      </x:c>
      <x:c r="F281" s="14" t="str">
        <x:v>OPEN</x:v>
      </x:c>
      <x:c r="G281" s="14" t="str"/>
      <x:c r="H281" s="14" t="str"/>
    </x:row>
    <x:row r="282" ht="18" customHeight="1">
      <x:c r="A282" s="14" t="str">
        <x:v>SRC-R04-ANCESTRY-RECOVERY</x:v>
      </x:c>
      <x:c r="B282" s="14" t="str">
        <x:v>SRC-R04</x:v>
      </x:c>
      <x:c r="C282" s="14" t="str">
        <x:v>ancestry recovery</x:v>
      </x:c>
      <x:c r="D282" s="14" t="str"/>
      <x:c r="E282" s="14" t="str">
        <x:v>registered unit</x:v>
      </x:c>
      <x:c r="F282" s="14" t="str">
        <x:v>OPEN</x:v>
      </x:c>
      <x:c r="G282" s="14" t="str"/>
      <x:c r="H282" s="14" t="str"/>
    </x:row>
    <x:row r="283" ht="18" customHeight="1">
      <x:c r="A283" s="14" t="str">
        <x:v>SRC-R04-CUSTODY-SEAL</x:v>
      </x:c>
      <x:c r="B283" s="14" t="str">
        <x:v>SRC-R04</x:v>
      </x:c>
      <x:c r="C283" s="14" t="str">
        <x:v>custody seal</x:v>
      </x:c>
      <x:c r="D283" s="14" t="str"/>
      <x:c r="E283" s="14" t="str">
        <x:v>registered unit</x:v>
      </x:c>
      <x:c r="F283" s="14" t="str">
        <x:v>OPEN</x:v>
      </x:c>
      <x:c r="G283" s="14" t="str"/>
      <x:c r="H283" s="14" t="str"/>
    </x:row>
    <x:row r="284" ht="18" customHeight="1">
      <x:c r="A284" s="14" t="str">
        <x:v>SRC-R04-RETAINED-SAMPLES</x:v>
      </x:c>
      <x:c r="B284" s="14" t="str">
        <x:v>SRC-R04</x:v>
      </x:c>
      <x:c r="C284" s="14" t="str">
        <x:v>retained samples</x:v>
      </x:c>
      <x:c r="D284" s="14" t="str"/>
      <x:c r="E284" s="14" t="str">
        <x:v>registered unit</x:v>
      </x:c>
      <x:c r="F284" s="14" t="str">
        <x:v>OPEN</x:v>
      </x:c>
      <x:c r="G284" s="14" t="str"/>
      <x:c r="H284" s="14" t="str"/>
    </x:row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284">
    <x:cfRule type="containsText" dxfId="30" priority="1" operator="containsText" text="ACCEPTED"/>
    <x:cfRule type="containsText" dxfId="31" priority="2" operator="containsText" text="PASS"/>
    <x:cfRule type="containsText" dxfId="32" priority="3" operator="containsText" text="OPEN"/>
    <x:cfRule type="containsText" dxfId="33" priority="4" operator="containsText" text="BLOCKED"/>
    <x:cfRule type="containsText" dxfId="34" priority="5" operator="containsText" text="REJECTED"/>
  </x:conditionalFormatting>
  <x:dataValidations count="1">
    <x:dataValidation type="list" sqref="F5:F284">
      <x:formula1>"OPEN,ACCEPTED,REJECTED"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48" hidden="0" customWidth="1"/>
  </x:cols>
  <x:sheetData>
    <x:row r="1" ht="28" customHeight="1">
      <x:c r="A1" s="18" t="str">
        <x:v>RBA-1 | Selected-package allocation</x:v>
      </x:c>
      <x:c r="B1" s="18"/>
      <x:c r="C1" s="18"/>
      <x:c r="D1" s="18"/>
      <x:c r="E1" s="18"/>
      <x:c r="F1" s="18"/>
    </x:row>
    <x:row r="2" ht="28" customHeight="1">
      <x:c r="A2" s="19" t="str">
        <x:v>Design allocations sum to the gross package; observed custody remains open.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Allocation</x:v>
      </x:c>
      <x:c r="B4" s="21" t="str">
        <x:v>Design kg</x:v>
      </x:c>
      <x:c r="C4" s="21" t="str">
        <x:v>Observed root A</x:v>
      </x:c>
      <x:c r="D4" s="21" t="str">
        <x:v>Observed root B</x:v>
      </x:c>
      <x:c r="E4" s="21" t="str">
        <x:v>State</x:v>
      </x:c>
      <x:c r="F4" s="21" t="str">
        <x:v>Rule</x:v>
      </x:c>
    </x:row>
    <x:row r="5" ht="18" customHeight="1">
      <x:c r="A5" s="14" t="str">
        <x:v>event aliquot</x:v>
      </x:c>
      <x:c r="B5" s="14" t="n">
        <x:v>100</x:v>
      </x:c>
      <x:c r="C5" s="14" t="str"/>
      <x:c r="D5" s="14" t="str"/>
      <x:c r="E5" s="14" t="str">
        <x:v>OPEN</x:v>
      </x:c>
      <x:c r="F5" s="14" t="str">
        <x:v>exact event issue</x:v>
      </x:c>
    </x:row>
    <x:row r="6" ht="18" customHeight="1">
      <x:c r="A6" s="14" t="str">
        <x:v>retained assay</x:v>
      </x:c>
      <x:c r="B6" s="14" t="n">
        <x:v>10</x:v>
      </x:c>
      <x:c r="C6" s="14" t="str"/>
      <x:c r="D6" s="14" t="str"/>
      <x:c r="E6" s="14" t="str">
        <x:v>OPEN</x:v>
      </x:c>
      <x:c r="F6" s="14" t="str">
        <x:v>sealed independent assay</x:v>
      </x:c>
    </x:row>
    <x:row r="7" ht="18" customHeight="1">
      <x:c r="A7" s="14" t="str">
        <x:v>conditioning</x:v>
      </x:c>
      <x:c r="B7" s="14" t="n">
        <x:v>10</x:v>
      </x:c>
      <x:c r="C7" s="14" t="str"/>
      <x:c r="D7" s="14" t="str"/>
      <x:c r="E7" s="14" t="str">
        <x:v>OPEN</x:v>
      </x:c>
      <x:c r="F7" s="14" t="str">
        <x:v>pre-event route verification</x:v>
      </x:c>
    </x:row>
    <x:row r="8" ht="18" customHeight="1">
      <x:c r="A8" s="14" t="str">
        <x:v>quarantine</x:v>
      </x:c>
      <x:c r="B8" s="14" t="n">
        <x:v>5</x:v>
      </x:c>
      <x:c r="C8" s="14" t="str"/>
      <x:c r="D8" s="14" t="str"/>
      <x:c r="E8" s="14" t="str">
        <x:v>OPEN</x:v>
      </x:c>
      <x:c r="F8" s="14" t="str">
        <x:v>independent release only</x:v>
      </x:c>
    </x:row>
    <x:row r="9" ht="18" customHeight="1">
      <x:c r="A9" s="14" t="str">
        <x:v>total</x:v>
      </x:c>
      <x:c r="B9" s="14" t="n">
        <x:f>SUM(B5:B8)</x:f>
        <x:v>125</x:v>
      </x:c>
      <x:c r="C9" s="14" t="str">
        <x:f>IF(COUNT(C5:C8)=4,SUM(C5:C8),"")</x:f>
      </x:c>
      <x:c r="D9" s="14" t="str">
        <x:f>IF(COUNT(D5:D8)=4,SUM(D5:D8),"")</x:f>
      </x:c>
      <x:c r="E9" s="14" t="str">
        <x:v>OPEN</x:v>
      </x:c>
      <x:c r="F9" s="14" t="str">
        <x:v>must equal 125</x:v>
      </x:c>
    </x:row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9">
    <x:cfRule type="containsText" dxfId="35" priority="1" operator="containsText" text="ACCEPTED"/>
    <x:cfRule type="containsText" dxfId="36" priority="2" operator="containsText" text="PASS"/>
    <x:cfRule type="containsText" dxfId="37" priority="3" operator="containsText" text="OPEN"/>
    <x:cfRule type="containsText" dxfId="38" priority="4" operator="containsText" text="BLOCKED"/>
    <x:cfRule type="containsText" dxfId="39" priority="5" operator="containsText" text="REJECT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38" hidden="0" customWidth="1"/>
    <x:col min="7" max="7" width="28" hidden="0" customWidth="1"/>
  </x:cols>
  <x:sheetData>
    <x:row r="1" ht="28" customHeight="1">
      <x:c r="A1" s="18" t="str">
        <x:v>RBA-1 | Source custody transfers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Every transfer binds person, time, quantity, seal and evidence root.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Transfer</x:v>
      </x:c>
      <x:c r="B4" s="21" t="str">
        <x:v>Event</x:v>
      </x:c>
      <x:c r="C4" s="21" t="str">
        <x:v>From</x:v>
      </x:c>
      <x:c r="D4" s="21" t="str">
        <x:v>To</x:v>
      </x:c>
      <x:c r="E4" s="21" t="str">
        <x:v>State</x:v>
      </x:c>
      <x:c r="F4" s="21" t="str">
        <x:v>Minimum control</x:v>
      </x:c>
      <x:c r="G4" s="21" t="str">
        <x:v>Evidence root</x:v>
      </x:c>
    </x:row>
    <x:row r="5" ht="18" customHeight="1">
      <x:c r="A5" s="14" t="str">
        <x:v>CT-01</x:v>
      </x:c>
      <x:c r="B5" s="14" t="str">
        <x:v>package receipt</x:v>
      </x:c>
      <x:c r="C5" s="14" t="str"/>
      <x:c r="D5" s="14" t="str"/>
      <x:c r="E5" s="14" t="str">
        <x:v>OPEN</x:v>
      </x:c>
      <x:c r="F5" s="14" t="str">
        <x:v>two-person transfer</x:v>
      </x:c>
      <x:c r="G5" s="14" t="str"/>
    </x:row>
    <x:row r="6" ht="18" customHeight="1">
      <x:c r="A6" s="14" t="str">
        <x:v>CT-02</x:v>
      </x:c>
      <x:c r="B6" s="14" t="str">
        <x:v>quarantine seal</x:v>
      </x:c>
      <x:c r="C6" s="14" t="str"/>
      <x:c r="D6" s="14" t="str"/>
      <x:c r="E6" s="14" t="str">
        <x:v>OPEN</x:v>
      </x:c>
      <x:c r="F6" s="14" t="str">
        <x:v>two-person transfer</x:v>
      </x:c>
      <x:c r="G6" s="14" t="str"/>
    </x:row>
    <x:row r="7" ht="18" customHeight="1">
      <x:c r="A7" s="14" t="str">
        <x:v>CT-03</x:v>
      </x:c>
      <x:c r="B7" s="14" t="str">
        <x:v>assay split</x:v>
      </x:c>
      <x:c r="C7" s="14" t="str"/>
      <x:c r="D7" s="14" t="str"/>
      <x:c r="E7" s="14" t="str">
        <x:v>OPEN</x:v>
      </x:c>
      <x:c r="F7" s="14" t="str">
        <x:v>two-person transfer</x:v>
      </x:c>
      <x:c r="G7" s="14" t="str"/>
    </x:row>
    <x:row r="8" ht="18" customHeight="1">
      <x:c r="A8" s="14" t="str">
        <x:v>CT-04</x:v>
      </x:c>
      <x:c r="B8" s="14" t="str">
        <x:v>conditioning split</x:v>
      </x:c>
      <x:c r="C8" s="14" t="str"/>
      <x:c r="D8" s="14" t="str"/>
      <x:c r="E8" s="14" t="str">
        <x:v>OPEN</x:v>
      </x:c>
      <x:c r="F8" s="14" t="str">
        <x:v>two-person transfer</x:v>
      </x:c>
      <x:c r="G8" s="14" t="str"/>
    </x:row>
    <x:row r="9" ht="18" customHeight="1">
      <x:c r="A9" s="14" t="str">
        <x:v>CT-05</x:v>
      </x:c>
      <x:c r="B9" s="14" t="str">
        <x:v>event aliquot split</x:v>
      </x:c>
      <x:c r="C9" s="14" t="str"/>
      <x:c r="D9" s="14" t="str"/>
      <x:c r="E9" s="14" t="str">
        <x:v>OPEN</x:v>
      </x:c>
      <x:c r="F9" s="14" t="str">
        <x:v>two-person transfer</x:v>
      </x:c>
      <x:c r="G9" s="14" t="str"/>
    </x:row>
    <x:row r="10" ht="18" customHeight="1">
      <x:c r="A10" s="14" t="str">
        <x:v>CT-06</x:v>
      </x:c>
      <x:c r="B10" s="14" t="str">
        <x:v>transport issue</x:v>
      </x:c>
      <x:c r="C10" s="14" t="str"/>
      <x:c r="D10" s="14" t="str"/>
      <x:c r="E10" s="14" t="str">
        <x:v>OPEN</x:v>
      </x:c>
      <x:c r="F10" s="14" t="str">
        <x:v>two-person transfer</x:v>
      </x:c>
      <x:c r="G10" s="14" t="str"/>
    </x:row>
    <x:row r="11" ht="18" customHeight="1">
      <x:c r="A11" s="14" t="str">
        <x:v>CT-07</x:v>
      </x:c>
      <x:c r="B11" s="14" t="str">
        <x:v>rig receipt</x:v>
      </x:c>
      <x:c r="C11" s="14" t="str"/>
      <x:c r="D11" s="14" t="str"/>
      <x:c r="E11" s="14" t="str">
        <x:v>OPEN</x:v>
      </x:c>
      <x:c r="F11" s="14" t="str">
        <x:v>two-person transfer</x:v>
      </x:c>
      <x:c r="G11" s="14" t="str"/>
    </x:row>
    <x:row r="12" ht="18" customHeight="1">
      <x:c r="A12" s="14" t="str">
        <x:v>CT-08</x:v>
      </x:c>
      <x:c r="B12" s="14" t="str">
        <x:v>T-30 min confirmation</x:v>
      </x:c>
      <x:c r="C12" s="14" t="str"/>
      <x:c r="D12" s="14" t="str"/>
      <x:c r="E12" s="14" t="str">
        <x:v>OPEN</x:v>
      </x:c>
      <x:c r="F12" s="14" t="str">
        <x:v>two-person transfer</x:v>
      </x:c>
      <x:c r="G12" s="14" t="str"/>
    </x:row>
    <x:row r="13" ht="18" customHeight="1">
      <x:c r="A13" s="14" t="str">
        <x:v>CT-09</x:v>
      </x:c>
      <x:c r="B13" s="14" t="str">
        <x:v>T0 admission</x:v>
      </x:c>
      <x:c r="C13" s="14" t="str"/>
      <x:c r="D13" s="14" t="str"/>
      <x:c r="E13" s="14" t="str">
        <x:v>OPEN</x:v>
      </x:c>
      <x:c r="F13" s="14" t="str">
        <x:v>two-person transfer</x:v>
      </x:c>
      <x:c r="G13" s="14" t="str"/>
    </x:row>
    <x:row r="14" ht="18" customHeight="1">
      <x:c r="A14" s="14" t="str">
        <x:v>CT-10</x:v>
      </x:c>
      <x:c r="B14" s="14" t="str">
        <x:v>post-event hold</x:v>
      </x:c>
      <x:c r="C14" s="14" t="str"/>
      <x:c r="D14" s="14" t="str"/>
      <x:c r="E14" s="14" t="str">
        <x:v>OPEN</x:v>
      </x:c>
      <x:c r="F14" s="14" t="str">
        <x:v>two-person transfer</x:v>
      </x:c>
      <x:c r="G14" s="14" t="str"/>
    </x:row>
    <x:row r="15" ht="18" customHeight="1">
      <x:c r="A15" s="14" t="str">
        <x:v>CT-11</x:v>
      </x:c>
      <x:c r="B15" s="14" t="str">
        <x:v>sample transfer</x:v>
      </x:c>
      <x:c r="C15" s="14" t="str"/>
      <x:c r="D15" s="14" t="str"/>
      <x:c r="E15" s="14" t="str">
        <x:v>OPEN</x:v>
      </x:c>
      <x:c r="F15" s="14" t="str">
        <x:v>two-person transfer</x:v>
      </x:c>
      <x:c r="G15" s="14" t="str"/>
    </x:row>
    <x:row r="16" ht="18" customHeight="1">
      <x:c r="A16" s="14" t="str">
        <x:v>CT-12</x:v>
      </x:c>
      <x:c r="B16" s="14" t="str">
        <x:v>waste transfer</x:v>
      </x:c>
      <x:c r="C16" s="14" t="str"/>
      <x:c r="D16" s="14" t="str"/>
      <x:c r="E16" s="14" t="str">
        <x:v>OPEN</x:v>
      </x:c>
      <x:c r="F16" s="14" t="str">
        <x:v>two-person transfer</x:v>
      </x:c>
      <x:c r="G16" s="14" t="str"/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16">
    <x:cfRule type="containsText" dxfId="40" priority="1" operator="containsText" text="ACCEPTED"/>
    <x:cfRule type="containsText" dxfId="41" priority="2" operator="containsText" text="PASS"/>
    <x:cfRule type="containsText" dxfId="42" priority="3" operator="containsText" text="OPEN"/>
    <x:cfRule type="containsText" dxfId="43" priority="4" operator="containsText" text="BLOCKED"/>
    <x:cfRule type="containsText" dxfId="44" priority="5" operator="containsText" text="REJECT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58" hidden="0" customWidth="1"/>
  </x:cols>
  <x:sheetData>
    <x:row r="1" ht="28" customHeight="1">
      <x:c r="A1" s="18" t="str">
        <x:v>RBA-1 | Hydraulic, containment and thermal screens</x:v>
      </x:c>
      <x:c r="B1" s="18"/>
      <x:c r="C1" s="18"/>
      <x:c r="D1" s="18"/>
    </x:row>
    <x:row r="2" ht="28" customHeight="1">
      <x:c r="A2" s="19" t="str">
        <x:v>Calculated from declared controls. These are design calculations, not observed event results.</x:v>
      </x:c>
      <x:c r="B2" s="19"/>
      <x:c r="C2" s="19"/>
      <x:c r="D2" s="19"/>
    </x:row>
    <x:row r="3" ht="18" customHeight="1">
      <x:c r="A3" s="20"/>
      <x:c r="B3" s="20"/>
      <x:c r="C3" s="20"/>
      <x:c r="D3" s="20"/>
    </x:row>
    <x:row r="4" ht="18" customHeight="1">
      <x:c r="A4" s="21" t="str">
        <x:v>Metric</x:v>
      </x:c>
      <x:c r="B4" s="21" t="str">
        <x:v>Formula result</x:v>
      </x:c>
      <x:c r="C4" s="21" t="str">
        <x:v>Unit</x:v>
      </x:c>
      <x:c r="D4" s="21" t="str">
        <x:v>Decision use</x:v>
      </x:c>
    </x:row>
    <x:row r="5" ht="18" customHeight="1">
      <x:c r="A5" s="14" t="str">
        <x:v>source volume</x:v>
      </x:c>
      <x:c r="B5" s="17" t="n">
        <x:f>'Controls'!$B$10/'Controls'!$B$14</x:f>
        <x:v>0.125</x:v>
      </x:c>
      <x:c r="C5" s="14" t="str">
        <x:v>m3</x:v>
      </x:c>
      <x:c r="D5" s="14" t="str">
        <x:v>100 kg / density</x:v>
      </x:c>
    </x:row>
    <x:row r="6" ht="18" customHeight="1">
      <x:c r="A6" s="14" t="str">
        <x:v>route area</x:v>
      </x:c>
      <x:c r="B6" s="17" t="n">
        <x:f>PI()*'Controls'!$B$18^2/4</x:f>
        <x:v>0.0012566370614359172</x:v>
      </x:c>
      <x:c r="C6" s="14" t="str">
        <x:v>m2</x:v>
      </x:c>
      <x:c r="D6" s="14" t="str">
        <x:v>pi D2 / 4</x:v>
      </x:c>
    </x:row>
    <x:row r="7" ht="18" customHeight="1">
      <x:c r="A7" s="14" t="str">
        <x:v>route volume</x:v>
      </x:c>
      <x:c r="B7" s="17" t="n">
        <x:f>B6*'Controls'!$B$19</x:f>
        <x:v>0.015079644737231007</x:v>
      </x:c>
      <x:c r="C7" s="14" t="str">
        <x:v>m3</x:v>
      </x:c>
      <x:c r="D7" s="14" t="str">
        <x:v>area x length</x:v>
      </x:c>
    </x:row>
    <x:row r="8" ht="18" customHeight="1">
      <x:c r="A8" s="14" t="str">
        <x:v>route hold-up</x:v>
      </x:c>
      <x:c r="B8" s="17" t="n">
        <x:f>B7*'Controls'!$B$14</x:f>
        <x:v>12.063715789784805</x:v>
      </x:c>
      <x:c r="C8" s="14" t="str">
        <x:v>kg</x:v>
      </x:c>
      <x:c r="D8" s="14" t="str">
        <x:v>route volume x density</x:v>
      </x:c>
    </x:row>
    <x:row r="9" ht="18" customHeight="1">
      <x:c r="A9" s="14" t="str">
        <x:v>volumetric rate</x:v>
      </x:c>
      <x:c r="B9" s="17" t="n">
        <x:f>B5/'Controls'!$B$20</x:f>
        <x:v>0.0010416666666666667</x:v>
      </x:c>
      <x:c r="C9" s="14" t="str">
        <x:v>m3/s</x:v>
      </x:c>
      <x:c r="D9" s="14" t="str">
        <x:v>source volume / interval</x:v>
      </x:c>
    </x:row>
    <x:row r="10" ht="18" customHeight="1">
      <x:c r="A10" s="14" t="str">
        <x:v>nominal velocity</x:v>
      </x:c>
      <x:c r="B10" s="17" t="n">
        <x:f>B9/B6</x:f>
        <x:v>0.8289319952702883</x:v>
      </x:c>
      <x:c r="C10" s="14" t="str">
        <x:v>m/s</x:v>
      </x:c>
      <x:c r="D10" s="14" t="str">
        <x:v>rate / area</x:v>
      </x:c>
    </x:row>
    <x:row r="11" ht="18" customHeight="1">
      <x:c r="A11" s="14" t="str">
        <x:v>Reynolds number</x:v>
      </x:c>
      <x:c r="B11" s="17" t="n">
        <x:f>'Controls'!$B$14*B10*'Controls'!$B$18/'Controls'!$B$15</x:f>
        <x:v>6631.455962162306</x:v>
      </x:c>
      <x:c r="C11" s="14" t="str">
        <x:v>dimensionless</x:v>
      </x:c>
      <x:c r="D11" s="14" t="str">
        <x:v>rho v D / mu</x:v>
      </x:c>
    </x:row>
    <x:row r="12" ht="18" customHeight="1">
      <x:c r="A12" s="14" t="str">
        <x:v>Froude number</x:v>
      </x:c>
      <x:c r="B12" s="17" t="n">
        <x:f>B10/SQRT(9.80665*'Controls'!$B$18)</x:f>
        <x:v>1.3235140911204895</x:v>
      </x:c>
      <x:c r="C12" s="14" t="str">
        <x:v>dimensionless</x:v>
      </x:c>
      <x:c r="D12" s="14" t="str">
        <x:v>v / sqrt(gD)</x:v>
      </x:c>
    </x:row>
    <x:row r="13" ht="18" customHeight="1">
      <x:c r="A13" s="14" t="str">
        <x:v>Weber number</x:v>
      </x:c>
      <x:c r="B13" s="17" t="n">
        <x:f>'Controls'!$B$14*B10^2*'Controls'!$B$18/'Controls'!$B$16</x:f>
        <x:v>879.5241635619599</x:v>
      </x:c>
      <x:c r="C13" s="14" t="str">
        <x:v>dimensionless</x:v>
      </x:c>
      <x:c r="D13" s="14" t="str">
        <x:v>rho v2 D / sigma</x:v>
      </x:c>
    </x:row>
    <x:row r="14" ht="18" customHeight="1">
      <x:c r="A14" s="14" t="str">
        <x:v>nominal pan depth</x:v>
      </x:c>
      <x:c r="B14" s="17" t="n">
        <x:f>B5/'Controls'!$B$21</x:f>
        <x:v>0.05</x:v>
      </x:c>
      <x:c r="C14" s="14" t="str">
        <x:v>m</x:v>
      </x:c>
      <x:c r="D14" s="14" t="str">
        <x:v>source volume / pan area</x:v>
      </x:c>
    </x:row>
    <x:row r="15" ht="18" customHeight="1">
      <x:c r="A15" s="14" t="str">
        <x:v>receiver usable volume</x:v>
      </x:c>
      <x:c r="B15" s="17" t="n">
        <x:f>'Controls'!$B$23*'Controls'!$B$24</x:f>
        <x:v>0.4</x:v>
      </x:c>
      <x:c r="C15" s="14" t="str">
        <x:v>m3</x:v>
      </x:c>
      <x:c r="D15" s="14" t="str">
        <x:v>gross x usable fraction</x:v>
      </x:c>
    </x:row>
    <x:row r="16" ht="18" customHeight="1">
      <x:c r="A16" s="14" t="str">
        <x:v>receiver margin</x:v>
      </x:c>
      <x:c r="B16" s="17" t="n">
        <x:f>B15-B5</x:f>
        <x:v>0.275</x:v>
      </x:c>
      <x:c r="C16" s="14" t="str">
        <x:v>m3</x:v>
      </x:c>
      <x:c r="D16" s="14" t="str">
        <x:v>usable less source volume</x:v>
      </x:c>
    </x:row>
    <x:row r="17" ht="18" customHeight="1">
      <x:c r="A17" s="14" t="str">
        <x:v>thermal screen</x:v>
      </x:c>
      <x:c r="B17" s="17" t="n">
        <x:f>'Controls'!$B$21*'Controls'!$B$31*'Controls'!$B$17</x:f>
        <x:v>5.85585</x:v>
      </x:c>
      <x:c r="C17" s="14" t="str">
        <x:v>MW</x:v>
      </x:c>
      <x:c r="D17" s="14" t="str">
        <x:v>area x flux x LHV</x:v>
      </x:c>
    </x:row>
    <x:row r="18" ht="18" customHeight="1">
      <x:c r="A18" s="14" t="str">
        <x:v>radiant screen</x:v>
      </x:c>
      <x:c r="B18" s="17" t="n">
        <x:f>B17*'Controls'!$B$32</x:f>
        <x:v>2.0495475</x:v>
      </x:c>
      <x:c r="C18" s="14" t="str">
        <x:v>MW</x:v>
      </x:c>
      <x:c r="D18" s="14" t="str">
        <x:v>thermal x radiant fraction</x:v>
      </x:c>
    </x:row>
    <x:row r="19" ht="18" customHeight="1">
      <x:c r="A19" s="14" t="str">
        <x:v>notional burn interval</x:v>
      </x:c>
      <x:c r="B19" s="17" t="n">
        <x:f>'Controls'!$B$10/('Controls'!$B$21*'Controls'!$B$31)/60</x:f>
        <x:v>12.121212121212121</x:v>
      </x:c>
      <x:c r="C19" s="14" t="str">
        <x:v>min</x:v>
      </x:c>
      <x:c r="D19" s="14" t="str">
        <x:v>mass / area-flux / 60</x:v>
      </x:c>
    </x:row>
    <x:row r="20" ht="18" customHeight="1">
      <x:c r="A20" s="14" t="str">
        <x:v>1.6 kW/m2 point distance</x:v>
      </x:c>
      <x:c r="B20" s="17" t="n">
        <x:f>SQRT(B18*1000/(4*PI()*'Controls'!$B$33))</x:f>
        <x:v>10.09634240279983</x:v>
      </x:c>
      <x:c r="C20" s="14" t="str">
        <x:v>m</x:v>
      </x:c>
      <x:c r="D20" s="14" t="str">
        <x:v>isotropic screen only</x:v>
      </x:c>
    </x:row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8" hidden="0" customWidth="1"/>
    <x:col min="4" max="4" width="19" hidden="0" customWidth="1"/>
    <x:col min="5" max="5" width="19" hidden="0" customWidth="1"/>
    <x:col min="6" max="6" width="16" hidden="0" customWidth="1"/>
  </x:cols>
  <x:sheetData>
    <x:row r="1" ht="28" customHeight="1">
      <x:c r="A1" s="18" t="str">
        <x:v>RBA-1 | Public casualty-water package</x:v>
      </x:c>
      <x:c r="B1" s="18"/>
      <x:c r="C1" s="18"/>
      <x:c r="D1" s="18"/>
      <x:c r="E1" s="18"/>
      <x:c r="F1" s="18"/>
    </x:row>
    <x:row r="2" ht="28" customHeight="1">
      <x:c r="A2" s="19" t="str">
        <x:v>Public water protects life and the site; it never becomes method capacity.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Provision</x:v>
      </x:c>
      <x:c r="B4" s="21" t="str">
        <x:v>Volume m3</x:v>
      </x:c>
      <x:c r="C4" s="21" t="str">
        <x:v>Cumulative m3</x:v>
      </x:c>
      <x:c r="D4" s="21" t="str">
        <x:v>Root A observed</x:v>
      </x:c>
      <x:c r="E4" s="21" t="str">
        <x:v>Root B observed</x:v>
      </x:c>
      <x:c r="F4" s="21" t="str">
        <x:v>State</x:v>
      </x:c>
    </x:row>
    <x:row r="5" ht="18" customHeight="1">
      <x:c r="A5" s="14" t="str">
        <x:v>initial casualty inventory ceiling</x:v>
      </x:c>
      <x:c r="B5" s="14" t="n">
        <x:v>5</x:v>
      </x:c>
      <x:c r="C5" s="14" t="n">
        <x:f>SUM($B$5:B5)</x:f>
        <x:v>5</x:v>
      </x:c>
      <x:c r="D5" s="14" t="str"/>
      <x:c r="E5" s="14" t="str"/>
      <x:c r="F5" s="14" t="str">
        <x:v>OPEN</x:v>
      </x:c>
    </x:row>
    <x:row r="6" ht="18" customHeight="1">
      <x:c r="A6" s="14" t="str">
        <x:v>emergency quench</x:v>
      </x:c>
      <x:c r="B6" s="14" t="n">
        <x:v>48</x:v>
      </x:c>
      <x:c r="C6" s="14" t="n">
        <x:f>SUM($B$5:B6)</x:f>
        <x:v>53</x:v>
      </x:c>
      <x:c r="D6" s="14" t="str"/>
      <x:c r="E6" s="14" t="str"/>
      <x:c r="F6" s="14" t="str">
        <x:v>OPEN</x:v>
      </x:c>
    </x:row>
    <x:row r="7" ht="18" customHeight="1">
      <x:c r="A7" s="14" t="str">
        <x:v>controlled rain</x:v>
      </x:c>
      <x:c r="B7" s="14" t="n">
        <x:v>45</x:v>
      </x:c>
      <x:c r="C7" s="14" t="n">
        <x:f>SUM($B$5:B7)</x:f>
        <x:v>98</x:v>
      </x:c>
      <x:c r="D7" s="14" t="str"/>
      <x:c r="E7" s="14" t="str"/>
      <x:c r="F7" s="14" t="str">
        <x:v>OPEN</x:v>
      </x:c>
    </x:row>
    <x:row r="8" ht="18" customHeight="1">
      <x:c r="A8" s="14" t="str">
        <x:v>foam and rinse</x:v>
      </x:c>
      <x:c r="B8" s="14" t="n">
        <x:v>12</x:v>
      </x:c>
      <x:c r="C8" s="14" t="n">
        <x:f>SUM($B$5:B8)</x:f>
        <x:v>110</x:v>
      </x:c>
      <x:c r="D8" s="14" t="str"/>
      <x:c r="E8" s="14" t="str"/>
      <x:c r="F8" s="14" t="str">
        <x:v>OPEN</x:v>
      </x:c>
    </x:row>
    <x:row r="9" ht="18" customHeight="1">
      <x:c r="A9" s="14" t="str">
        <x:v>unassigned contingency</x:v>
      </x:c>
      <x:c r="B9" s="14" t="n">
        <x:v>5</x:v>
      </x:c>
      <x:c r="C9" s="14" t="n">
        <x:f>SUM($B$5:B9)</x:f>
        <x:v>115</x:v>
      </x:c>
      <x:c r="D9" s="14" t="str"/>
      <x:c r="E9" s="14" t="str"/>
      <x:c r="F9" s="14" t="str">
        <x:v>OPEN</x:v>
      </x:c>
    </x:row>
    <x:row r="10" ht="18" customHeight="1">
      <x:c r="A10" s="14" t="str">
        <x:v>planned total plus initial</x:v>
      </x:c>
      <x:c r="B10" s="14" t="n">
        <x:f>SUM(B5:B9)</x:f>
        <x:v>115</x:v>
      </x:c>
      <x:c r="C10" s="14" t="n">
        <x:f>B10</x:f>
        <x:v>115</x:v>
      </x:c>
      <x:c r="D10" s="14" t="str"/>
      <x:c r="E10" s="14" t="str"/>
      <x:c r="F10" s="14" t="str">
        <x:v>OPEN</x:v>
      </x:c>
    </x:row>
    <x:row r="11" ht="18" customHeight="1">
      <x:c r="A11" s="14" t="str">
        <x:v>receiver package</x:v>
      </x:c>
      <x:c r="B11" s="14" t="n">
        <x:f>'Controls'!$B$25</x:f>
        <x:v>120</x:v>
      </x:c>
      <x:c r="C11" s="14" t="n">
        <x:f>B11</x:f>
        <x:v>120</x:v>
      </x:c>
      <x:c r="D11" s="14" t="str"/>
      <x:c r="E11" s="14" t="str"/>
      <x:c r="F11" s="14" t="str">
        <x:v>OPEN</x:v>
      </x:c>
    </x:row>
    <x:row r="12" ht="18" customHeight="1">
      <x:c r="A12" s="14" t="str">
        <x:v>remaining margin</x:v>
      </x:c>
      <x:c r="B12" s="14" t="n">
        <x:f>B11-B10</x:f>
        <x:v>5</x:v>
      </x:c>
      <x:c r="C12" s="14" t="n">
        <x:f>B12</x:f>
        <x:v>5</x:v>
      </x:c>
      <x:c r="D12" s="14" t="str"/>
      <x:c r="E12" s="14" t="str"/>
      <x:c r="F12" s="14" t="str">
        <x:v>OPEN</x:v>
      </x:c>
    </x:row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12">
    <x:cfRule type="containsText" dxfId="45" priority="1" operator="containsText" text="ACCEPTED"/>
    <x:cfRule type="containsText" dxfId="46" priority="2" operator="containsText" text="PASS"/>
    <x:cfRule type="containsText" dxfId="47" priority="3" operator="containsText" text="OPEN"/>
    <x:cfRule type="containsText" dxfId="48" priority="4" operator="containsText" text="BLOCKED"/>
    <x:cfRule type="containsText" dxfId="49" priority="5" operator="containsText" text="REJECT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9" hidden="0" customWidth="1"/>
    <x:col min="4" max="4" width="19" hidden="0" customWidth="1"/>
    <x:col min="5" max="5" width="17" hidden="0" customWidth="1"/>
    <x:col min="6" max="6" width="44" hidden="0" customWidth="1"/>
  </x:cols>
  <x:sheetData>
    <x:row r="1" ht="28" customHeight="1">
      <x:c r="A1" s="18" t="str">
        <x:v>RBA-1 | Twelve final control elements</x:v>
      </x:c>
      <x:c r="B1" s="18"/>
      <x:c r="C1" s="18"/>
      <x:c r="D1" s="18"/>
      <x:c r="E1" s="18"/>
      <x:c r="F1" s="18"/>
    </x:row>
    <x:row r="2" ht="28" customHeight="1">
      <x:c r="A2" s="19" t="str">
        <x:v>Each element requires physical state, energy condition, time and reset evidence.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Element</x:v>
      </x:c>
      <x:c r="B4" s="21" t="str">
        <x:v>Function</x:v>
      </x:c>
      <x:c r="C4" s="21" t="str">
        <x:v>Pre-event state</x:v>
      </x:c>
      <x:c r="D4" s="21" t="str">
        <x:v>Post-event state</x:v>
      </x:c>
      <x:c r="E4" s="21" t="str">
        <x:v>Action time s</x:v>
      </x:c>
      <x:c r="F4" s="21" t="str">
        <x:v>Evidence rule</x:v>
      </x:c>
    </x:row>
    <x:row r="5" ht="18" customHeight="1">
      <x:c r="A5" s="14" t="str">
        <x:v>FCE-01</x:v>
      </x:c>
      <x:c r="B5" s="14" t="str">
        <x:v>source inlet isolation</x:v>
      </x:c>
      <x:c r="C5" s="14" t="str">
        <x:v>OPEN</x:v>
      </x:c>
      <x:c r="D5" s="14" t="str">
        <x:v>OPEN</x:v>
      </x:c>
      <x:c r="E5" s="14" t="str"/>
      <x:c r="F5" s="14" t="str">
        <x:v>direct final-state evidence</x:v>
      </x:c>
    </x:row>
    <x:row r="6" ht="18" customHeight="1">
      <x:c r="A6" s="14" t="str">
        <x:v>FCE-02</x:v>
      </x:c>
      <x:c r="B6" s="14" t="str">
        <x:v>dispenser isolation</x:v>
      </x:c>
      <x:c r="C6" s="14" t="str">
        <x:v>OPEN</x:v>
      </x:c>
      <x:c r="D6" s="14" t="str">
        <x:v>OPEN</x:v>
      </x:c>
      <x:c r="E6" s="14" t="str"/>
      <x:c r="F6" s="14" t="str">
        <x:v>direct final-state evidence</x:v>
      </x:c>
    </x:row>
    <x:row r="7" ht="18" customHeight="1">
      <x:c r="A7" s="14" t="str">
        <x:v>FCE-03</x:v>
      </x:c>
      <x:c r="B7" s="14" t="str">
        <x:v>gravity source diversion</x:v>
      </x:c>
      <x:c r="C7" s="14" t="str">
        <x:v>OPEN</x:v>
      </x:c>
      <x:c r="D7" s="14" t="str">
        <x:v>OPEN</x:v>
      </x:c>
      <x:c r="E7" s="14" t="str"/>
      <x:c r="F7" s="14" t="str">
        <x:v>direct final-state evidence</x:v>
      </x:c>
    </x:row>
    <x:row r="8" ht="18" customHeight="1">
      <x:c r="A8" s="14" t="str">
        <x:v>FCE-04</x:v>
      </x:c>
      <x:c r="B8" s="14" t="str">
        <x:v>normal receiver isolation</x:v>
      </x:c>
      <x:c r="C8" s="14" t="str">
        <x:v>OPEN</x:v>
      </x:c>
      <x:c r="D8" s="14" t="str">
        <x:v>OPEN</x:v>
      </x:c>
      <x:c r="E8" s="14" t="str"/>
      <x:c r="F8" s="14" t="str">
        <x:v>direct final-state evidence</x:v>
      </x:c>
    </x:row>
    <x:row r="9" ht="18" customHeight="1">
      <x:c r="A9" s="14" t="str">
        <x:v>FCE-05</x:v>
      </x:c>
      <x:c r="B9" s="14" t="str">
        <x:v>casualty source diversion</x:v>
      </x:c>
      <x:c r="C9" s="14" t="str">
        <x:v>OPEN</x:v>
      </x:c>
      <x:c r="D9" s="14" t="str">
        <x:v>OPEN</x:v>
      </x:c>
      <x:c r="E9" s="14" t="str"/>
      <x:c r="F9" s="14" t="str">
        <x:v>direct final-state evidence</x:v>
      </x:c>
    </x:row>
    <x:row r="10" ht="18" customHeight="1">
      <x:c r="A10" s="14" t="str">
        <x:v>FCE-06</x:v>
      </x:c>
      <x:c r="B10" s="14" t="str">
        <x:v>ignition-energy removal</x:v>
      </x:c>
      <x:c r="C10" s="14" t="str">
        <x:v>OPEN</x:v>
      </x:c>
      <x:c r="D10" s="14" t="str">
        <x:v>OPEN</x:v>
      </x:c>
      <x:c r="E10" s="14" t="str"/>
      <x:c r="F10" s="14" t="str">
        <x:v>direct final-state evidence</x:v>
      </x:c>
    </x:row>
    <x:row r="11" ht="18" customHeight="1">
      <x:c r="A11" s="14" t="str">
        <x:v>FCE-07</x:v>
      </x:c>
      <x:c r="B11" s="14" t="str">
        <x:v>candidate/public-water isolation</x:v>
      </x:c>
      <x:c r="C11" s="14" t="str">
        <x:v>OPEN</x:v>
      </x:c>
      <x:c r="D11" s="14" t="str">
        <x:v>OPEN</x:v>
      </x:c>
      <x:c r="E11" s="14" t="str"/>
      <x:c r="F11" s="14" t="str">
        <x:v>direct final-state evidence</x:v>
      </x:c>
    </x:row>
    <x:row r="12" ht="18" customHeight="1">
      <x:c r="A12" s="14" t="str">
        <x:v>FCE-08</x:v>
      </x:c>
      <x:c r="B12" s="14" t="str">
        <x:v>casualty-water diversion</x:v>
      </x:c>
      <x:c r="C12" s="14" t="str">
        <x:v>OPEN</x:v>
      </x:c>
      <x:c r="D12" s="14" t="str">
        <x:v>OPEN</x:v>
      </x:c>
      <x:c r="E12" s="14" t="str"/>
      <x:c r="F12" s="14" t="str">
        <x:v>direct final-state evidence</x:v>
      </x:c>
    </x:row>
    <x:row r="13" ht="18" customHeight="1">
      <x:c r="A13" s="14" t="str">
        <x:v>FCE-09</x:v>
      </x:c>
      <x:c r="B13" s="14" t="str">
        <x:v>normal electrical isolation</x:v>
      </x:c>
      <x:c r="C13" s="14" t="str">
        <x:v>OPEN</x:v>
      </x:c>
      <x:c r="D13" s="14" t="str">
        <x:v>OPEN</x:v>
      </x:c>
      <x:c r="E13" s="14" t="str"/>
      <x:c r="F13" s="14" t="str">
        <x:v>direct final-state evidence</x:v>
      </x:c>
    </x:row>
    <x:row r="14" ht="18" customHeight="1">
      <x:c r="A14" s="14" t="str">
        <x:v>FCE-10</x:v>
      </x:c>
      <x:c r="B14" s="14" t="str">
        <x:v>independent safety energy</x:v>
      </x:c>
      <x:c r="C14" s="14" t="str">
        <x:v>OPEN</x:v>
      </x:c>
      <x:c r="D14" s="14" t="str">
        <x:v>OPEN</x:v>
      </x:c>
      <x:c r="E14" s="14" t="str"/>
      <x:c r="F14" s="14" t="str">
        <x:v>direct final-state evidence</x:v>
      </x:c>
    </x:row>
    <x:row r="15" ht="18" customHeight="1">
      <x:c r="A15" s="14" t="str">
        <x:v>FCE-11</x:v>
      </x:c>
      <x:c r="B15" s="14" t="str">
        <x:v>environmental boundary and vent</x:v>
      </x:c>
      <x:c r="C15" s="14" t="str">
        <x:v>OPEN</x:v>
      </x:c>
      <x:c r="D15" s="14" t="str">
        <x:v>OPEN</x:v>
      </x:c>
      <x:c r="E15" s="14" t="str"/>
      <x:c r="F15" s="14" t="str">
        <x:v>direct final-state evidence</x:v>
      </x:c>
    </x:row>
    <x:row r="16" ht="18" customHeight="1">
      <x:c r="A16" s="14" t="str">
        <x:v>FCE-12</x:v>
      </x:c>
      <x:c r="B16" s="14" t="str">
        <x:v>evidence safe-state latch</x:v>
      </x:c>
      <x:c r="C16" s="14" t="str">
        <x:v>OPEN</x:v>
      </x:c>
      <x:c r="D16" s="14" t="str">
        <x:v>OPEN</x:v>
      </x:c>
      <x:c r="E16" s="14" t="str"/>
      <x:c r="F16" s="14" t="str">
        <x:v>direct final-state evidence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C5:D16">
    <x:cfRule type="containsText" dxfId="50" priority="1" operator="containsText" text="ACCEPTED"/>
    <x:cfRule type="containsText" dxfId="51" priority="2" operator="containsText" text="PASS"/>
    <x:cfRule type="containsText" dxfId="52" priority="3" operator="containsText" text="OPEN"/>
    <x:cfRule type="containsText" dxfId="53" priority="4" operator="containsText" text="BLOCKED"/>
    <x:cfRule type="containsText" dxfId="54" priority="5" operator="containsText" text="REJECT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28" hidden="0" customWidth="1"/>
    <x:col min="4" max="4" width="20" hidden="0" customWidth="1"/>
    <x:col min="5" max="5" width="24" hidden="0" customWidth="1"/>
    <x:col min="6" max="6" width="16" hidden="0" customWidth="1"/>
    <x:col min="7" max="7" width="44" hidden="0" customWidth="1"/>
  </x:cols>
  <x:sheetData>
    <x:row r="1" ht="28" customHeight="1">
      <x:c r="A1" s="18" t="str">
        <x:v>RBA-1 | Thirty-six safeing paths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Independence attaches to mechanism, energy and sensing—not the number of displays.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Path</x:v>
      </x:c>
      <x:c r="B4" s="21" t="str">
        <x:v>Element</x:v>
      </x:c>
      <x:c r="C4" s="21" t="str">
        <x:v>Type</x:v>
      </x:c>
      <x:c r="D4" s="21" t="str">
        <x:v>Energy</x:v>
      </x:c>
      <x:c r="E4" s="21" t="str">
        <x:v>State sensor</x:v>
      </x:c>
      <x:c r="F4" s="21" t="str">
        <x:v>Acceptance</x:v>
      </x:c>
      <x:c r="G4" s="21" t="str">
        <x:v>Independence rule</x:v>
      </x:c>
    </x:row>
    <x:row r="5" ht="18" customHeight="1">
      <x:c r="A5" s="14" t="str">
        <x:v>SP-01-P</x:v>
      </x:c>
      <x:c r="B5" s="14" t="str">
        <x:v>FCE-01</x:v>
      </x:c>
      <x:c r="C5" s="14" t="str">
        <x:v>primary registered command</x:v>
      </x:c>
      <x:c r="D5" s="14" t="str"/>
      <x:c r="E5" s="14" t="str"/>
      <x:c r="F5" s="14" t="str">
        <x:v>OPEN</x:v>
      </x:c>
      <x:c r="G5" s="14" t="str">
        <x:v>unlike energy and direct state</x:v>
      </x:c>
    </x:row>
    <x:row r="6" ht="18" customHeight="1">
      <x:c r="A6" s="14" t="str">
        <x:v>SP-01-D</x:v>
      </x:c>
      <x:c r="B6" s="14" t="str">
        <x:v>FCE-01</x:v>
      </x:c>
      <x:c r="C6" s="14" t="str">
        <x:v>diverse local trip</x:v>
      </x:c>
      <x:c r="D6" s="14" t="str"/>
      <x:c r="E6" s="14" t="str"/>
      <x:c r="F6" s="14" t="str">
        <x:v>OPEN</x:v>
      </x:c>
      <x:c r="G6" s="14" t="str">
        <x:v>unlike energy and direct state</x:v>
      </x:c>
    </x:row>
    <x:row r="7" ht="18" customHeight="1">
      <x:c r="A7" s="14" t="str">
        <x:v>SP-01-M</x:v>
      </x:c>
      <x:c r="B7" s="14" t="str">
        <x:v>FCE-01</x:v>
      </x:c>
      <x:c r="C7" s="14" t="str">
        <x:v>manual or passive</x:v>
      </x:c>
      <x:c r="D7" s="14" t="str"/>
      <x:c r="E7" s="14" t="str"/>
      <x:c r="F7" s="14" t="str">
        <x:v>OPEN</x:v>
      </x:c>
      <x:c r="G7" s="14" t="str">
        <x:v>unlike energy and direct state</x:v>
      </x:c>
    </x:row>
    <x:row r="8" ht="18" customHeight="1">
      <x:c r="A8" s="14" t="str">
        <x:v>SP-02-P</x:v>
      </x:c>
      <x:c r="B8" s="14" t="str">
        <x:v>FCE-02</x:v>
      </x:c>
      <x:c r="C8" s="14" t="str">
        <x:v>primary registered command</x:v>
      </x:c>
      <x:c r="D8" s="14" t="str"/>
      <x:c r="E8" s="14" t="str"/>
      <x:c r="F8" s="14" t="str">
        <x:v>OPEN</x:v>
      </x:c>
      <x:c r="G8" s="14" t="str">
        <x:v>unlike energy and direct state</x:v>
      </x:c>
    </x:row>
    <x:row r="9" ht="18" customHeight="1">
      <x:c r="A9" s="14" t="str">
        <x:v>SP-02-D</x:v>
      </x:c>
      <x:c r="B9" s="14" t="str">
        <x:v>FCE-02</x:v>
      </x:c>
      <x:c r="C9" s="14" t="str">
        <x:v>diverse local trip</x:v>
      </x:c>
      <x:c r="D9" s="14" t="str"/>
      <x:c r="E9" s="14" t="str"/>
      <x:c r="F9" s="14" t="str">
        <x:v>OPEN</x:v>
      </x:c>
      <x:c r="G9" s="14" t="str">
        <x:v>unlike energy and direct state</x:v>
      </x:c>
    </x:row>
    <x:row r="10" ht="18" customHeight="1">
      <x:c r="A10" s="14" t="str">
        <x:v>SP-02-M</x:v>
      </x:c>
      <x:c r="B10" s="14" t="str">
        <x:v>FCE-02</x:v>
      </x:c>
      <x:c r="C10" s="14" t="str">
        <x:v>manual or passive</x:v>
      </x:c>
      <x:c r="D10" s="14" t="str"/>
      <x:c r="E10" s="14" t="str"/>
      <x:c r="F10" s="14" t="str">
        <x:v>OPEN</x:v>
      </x:c>
      <x:c r="G10" s="14" t="str">
        <x:v>unlike energy and direct state</x:v>
      </x:c>
    </x:row>
    <x:row r="11" ht="18" customHeight="1">
      <x:c r="A11" s="14" t="str">
        <x:v>SP-03-P</x:v>
      </x:c>
      <x:c r="B11" s="14" t="str">
        <x:v>FCE-03</x:v>
      </x:c>
      <x:c r="C11" s="14" t="str">
        <x:v>primary registered command</x:v>
      </x:c>
      <x:c r="D11" s="14" t="str"/>
      <x:c r="E11" s="14" t="str"/>
      <x:c r="F11" s="14" t="str">
        <x:v>OPEN</x:v>
      </x:c>
      <x:c r="G11" s="14" t="str">
        <x:v>unlike energy and direct state</x:v>
      </x:c>
    </x:row>
    <x:row r="12" ht="18" customHeight="1">
      <x:c r="A12" s="14" t="str">
        <x:v>SP-03-D</x:v>
      </x:c>
      <x:c r="B12" s="14" t="str">
        <x:v>FCE-03</x:v>
      </x:c>
      <x:c r="C12" s="14" t="str">
        <x:v>diverse local trip</x:v>
      </x:c>
      <x:c r="D12" s="14" t="str"/>
      <x:c r="E12" s="14" t="str"/>
      <x:c r="F12" s="14" t="str">
        <x:v>OPEN</x:v>
      </x:c>
      <x:c r="G12" s="14" t="str">
        <x:v>unlike energy and direct state</x:v>
      </x:c>
    </x:row>
    <x:row r="13" ht="18" customHeight="1">
      <x:c r="A13" s="14" t="str">
        <x:v>SP-03-M</x:v>
      </x:c>
      <x:c r="B13" s="14" t="str">
        <x:v>FCE-03</x:v>
      </x:c>
      <x:c r="C13" s="14" t="str">
        <x:v>manual or passive</x:v>
      </x:c>
      <x:c r="D13" s="14" t="str"/>
      <x:c r="E13" s="14" t="str"/>
      <x:c r="F13" s="14" t="str">
        <x:v>OPEN</x:v>
      </x:c>
      <x:c r="G13" s="14" t="str">
        <x:v>unlike energy and direct state</x:v>
      </x:c>
    </x:row>
    <x:row r="14" ht="18" customHeight="1">
      <x:c r="A14" s="14" t="str">
        <x:v>SP-04-P</x:v>
      </x:c>
      <x:c r="B14" s="14" t="str">
        <x:v>FCE-04</x:v>
      </x:c>
      <x:c r="C14" s="14" t="str">
        <x:v>primary registered command</x:v>
      </x:c>
      <x:c r="D14" s="14" t="str"/>
      <x:c r="E14" s="14" t="str"/>
      <x:c r="F14" s="14" t="str">
        <x:v>OPEN</x:v>
      </x:c>
      <x:c r="G14" s="14" t="str">
        <x:v>unlike energy and direct state</x:v>
      </x:c>
    </x:row>
    <x:row r="15" ht="18" customHeight="1">
      <x:c r="A15" s="14" t="str">
        <x:v>SP-04-D</x:v>
      </x:c>
      <x:c r="B15" s="14" t="str">
        <x:v>FCE-04</x:v>
      </x:c>
      <x:c r="C15" s="14" t="str">
        <x:v>diverse local trip</x:v>
      </x:c>
      <x:c r="D15" s="14" t="str"/>
      <x:c r="E15" s="14" t="str"/>
      <x:c r="F15" s="14" t="str">
        <x:v>OPEN</x:v>
      </x:c>
      <x:c r="G15" s="14" t="str">
        <x:v>unlike energy and direct state</x:v>
      </x:c>
    </x:row>
    <x:row r="16" ht="18" customHeight="1">
      <x:c r="A16" s="14" t="str">
        <x:v>SP-04-M</x:v>
      </x:c>
      <x:c r="B16" s="14" t="str">
        <x:v>FCE-04</x:v>
      </x:c>
      <x:c r="C16" s="14" t="str">
        <x:v>manual or passive</x:v>
      </x:c>
      <x:c r="D16" s="14" t="str"/>
      <x:c r="E16" s="14" t="str"/>
      <x:c r="F16" s="14" t="str">
        <x:v>OPEN</x:v>
      </x:c>
      <x:c r="G16" s="14" t="str">
        <x:v>unlike energy and direct state</x:v>
      </x:c>
    </x:row>
    <x:row r="17" ht="18" customHeight="1">
      <x:c r="A17" s="14" t="str">
        <x:v>SP-05-P</x:v>
      </x:c>
      <x:c r="B17" s="14" t="str">
        <x:v>FCE-05</x:v>
      </x:c>
      <x:c r="C17" s="14" t="str">
        <x:v>primary registered command</x:v>
      </x:c>
      <x:c r="D17" s="14" t="str"/>
      <x:c r="E17" s="14" t="str"/>
      <x:c r="F17" s="14" t="str">
        <x:v>OPEN</x:v>
      </x:c>
      <x:c r="G17" s="14" t="str">
        <x:v>unlike energy and direct state</x:v>
      </x:c>
    </x:row>
    <x:row r="18" ht="18" customHeight="1">
      <x:c r="A18" s="14" t="str">
        <x:v>SP-05-D</x:v>
      </x:c>
      <x:c r="B18" s="14" t="str">
        <x:v>FCE-05</x:v>
      </x:c>
      <x:c r="C18" s="14" t="str">
        <x:v>diverse local trip</x:v>
      </x:c>
      <x:c r="D18" s="14" t="str"/>
      <x:c r="E18" s="14" t="str"/>
      <x:c r="F18" s="14" t="str">
        <x:v>OPEN</x:v>
      </x:c>
      <x:c r="G18" s="14" t="str">
        <x:v>unlike energy and direct state</x:v>
      </x:c>
    </x:row>
    <x:row r="19" ht="18" customHeight="1">
      <x:c r="A19" s="14" t="str">
        <x:v>SP-05-M</x:v>
      </x:c>
      <x:c r="B19" s="14" t="str">
        <x:v>FCE-05</x:v>
      </x:c>
      <x:c r="C19" s="14" t="str">
        <x:v>manual or passive</x:v>
      </x:c>
      <x:c r="D19" s="14" t="str"/>
      <x:c r="E19" s="14" t="str"/>
      <x:c r="F19" s="14" t="str">
        <x:v>OPEN</x:v>
      </x:c>
      <x:c r="G19" s="14" t="str">
        <x:v>unlike energy and direct state</x:v>
      </x:c>
    </x:row>
    <x:row r="20" ht="18" customHeight="1">
      <x:c r="A20" s="14" t="str">
        <x:v>SP-06-P</x:v>
      </x:c>
      <x:c r="B20" s="14" t="str">
        <x:v>FCE-06</x:v>
      </x:c>
      <x:c r="C20" s="14" t="str">
        <x:v>primary registered command</x:v>
      </x:c>
      <x:c r="D20" s="14" t="str"/>
      <x:c r="E20" s="14" t="str"/>
      <x:c r="F20" s="14" t="str">
        <x:v>OPEN</x:v>
      </x:c>
      <x:c r="G20" s="14" t="str">
        <x:v>unlike energy and direct state</x:v>
      </x:c>
    </x:row>
    <x:row r="21" ht="18" customHeight="1">
      <x:c r="A21" s="14" t="str">
        <x:v>SP-06-D</x:v>
      </x:c>
      <x:c r="B21" s="14" t="str">
        <x:v>FCE-06</x:v>
      </x:c>
      <x:c r="C21" s="14" t="str">
        <x:v>diverse local trip</x:v>
      </x:c>
      <x:c r="D21" s="14" t="str"/>
      <x:c r="E21" s="14" t="str"/>
      <x:c r="F21" s="14" t="str">
        <x:v>OPEN</x:v>
      </x:c>
      <x:c r="G21" s="14" t="str">
        <x:v>unlike energy and direct state</x:v>
      </x:c>
    </x:row>
    <x:row r="22" ht="18" customHeight="1">
      <x:c r="A22" s="14" t="str">
        <x:v>SP-06-M</x:v>
      </x:c>
      <x:c r="B22" s="14" t="str">
        <x:v>FCE-06</x:v>
      </x:c>
      <x:c r="C22" s="14" t="str">
        <x:v>manual or passive</x:v>
      </x:c>
      <x:c r="D22" s="14" t="str"/>
      <x:c r="E22" s="14" t="str"/>
      <x:c r="F22" s="14" t="str">
        <x:v>OPEN</x:v>
      </x:c>
      <x:c r="G22" s="14" t="str">
        <x:v>unlike energy and direct state</x:v>
      </x:c>
    </x:row>
    <x:row r="23" ht="18" customHeight="1">
      <x:c r="A23" s="14" t="str">
        <x:v>SP-07-P</x:v>
      </x:c>
      <x:c r="B23" s="14" t="str">
        <x:v>FCE-07</x:v>
      </x:c>
      <x:c r="C23" s="14" t="str">
        <x:v>primary registered command</x:v>
      </x:c>
      <x:c r="D23" s="14" t="str"/>
      <x:c r="E23" s="14" t="str"/>
      <x:c r="F23" s="14" t="str">
        <x:v>OPEN</x:v>
      </x:c>
      <x:c r="G23" s="14" t="str">
        <x:v>unlike energy and direct state</x:v>
      </x:c>
    </x:row>
    <x:row r="24" ht="18" customHeight="1">
      <x:c r="A24" s="14" t="str">
        <x:v>SP-07-D</x:v>
      </x:c>
      <x:c r="B24" s="14" t="str">
        <x:v>FCE-07</x:v>
      </x:c>
      <x:c r="C24" s="14" t="str">
        <x:v>diverse local trip</x:v>
      </x:c>
      <x:c r="D24" s="14" t="str"/>
      <x:c r="E24" s="14" t="str"/>
      <x:c r="F24" s="14" t="str">
        <x:v>OPEN</x:v>
      </x:c>
      <x:c r="G24" s="14" t="str">
        <x:v>unlike energy and direct state</x:v>
      </x:c>
    </x:row>
    <x:row r="25" ht="18" customHeight="1">
      <x:c r="A25" s="14" t="str">
        <x:v>SP-07-M</x:v>
      </x:c>
      <x:c r="B25" s="14" t="str">
        <x:v>FCE-07</x:v>
      </x:c>
      <x:c r="C25" s="14" t="str">
        <x:v>manual or passive</x:v>
      </x:c>
      <x:c r="D25" s="14" t="str"/>
      <x:c r="E25" s="14" t="str"/>
      <x:c r="F25" s="14" t="str">
        <x:v>OPEN</x:v>
      </x:c>
      <x:c r="G25" s="14" t="str">
        <x:v>unlike energy and direct state</x:v>
      </x:c>
    </x:row>
    <x:row r="26" ht="18" customHeight="1">
      <x:c r="A26" s="14" t="str">
        <x:v>SP-08-P</x:v>
      </x:c>
      <x:c r="B26" s="14" t="str">
        <x:v>FCE-08</x:v>
      </x:c>
      <x:c r="C26" s="14" t="str">
        <x:v>primary registered command</x:v>
      </x:c>
      <x:c r="D26" s="14" t="str"/>
      <x:c r="E26" s="14" t="str"/>
      <x:c r="F26" s="14" t="str">
        <x:v>OPEN</x:v>
      </x:c>
      <x:c r="G26" s="14" t="str">
        <x:v>unlike energy and direct state</x:v>
      </x:c>
    </x:row>
    <x:row r="27" ht="18" customHeight="1">
      <x:c r="A27" s="14" t="str">
        <x:v>SP-08-D</x:v>
      </x:c>
      <x:c r="B27" s="14" t="str">
        <x:v>FCE-08</x:v>
      </x:c>
      <x:c r="C27" s="14" t="str">
        <x:v>diverse local trip</x:v>
      </x:c>
      <x:c r="D27" s="14" t="str"/>
      <x:c r="E27" s="14" t="str"/>
      <x:c r="F27" s="14" t="str">
        <x:v>OPEN</x:v>
      </x:c>
      <x:c r="G27" s="14" t="str">
        <x:v>unlike energy and direct state</x:v>
      </x:c>
    </x:row>
    <x:row r="28" ht="18" customHeight="1">
      <x:c r="A28" s="14" t="str">
        <x:v>SP-08-M</x:v>
      </x:c>
      <x:c r="B28" s="14" t="str">
        <x:v>FCE-08</x:v>
      </x:c>
      <x:c r="C28" s="14" t="str">
        <x:v>manual or passive</x:v>
      </x:c>
      <x:c r="D28" s="14" t="str"/>
      <x:c r="E28" s="14" t="str"/>
      <x:c r="F28" s="14" t="str">
        <x:v>OPEN</x:v>
      </x:c>
      <x:c r="G28" s="14" t="str">
        <x:v>unlike energy and direct state</x:v>
      </x:c>
    </x:row>
    <x:row r="29" ht="18" customHeight="1">
      <x:c r="A29" s="14" t="str">
        <x:v>SP-09-P</x:v>
      </x:c>
      <x:c r="B29" s="14" t="str">
        <x:v>FCE-09</x:v>
      </x:c>
      <x:c r="C29" s="14" t="str">
        <x:v>primary registered command</x:v>
      </x:c>
      <x:c r="D29" s="14" t="str"/>
      <x:c r="E29" s="14" t="str"/>
      <x:c r="F29" s="14" t="str">
        <x:v>OPEN</x:v>
      </x:c>
      <x:c r="G29" s="14" t="str">
        <x:v>unlike energy and direct state</x:v>
      </x:c>
    </x:row>
    <x:row r="30" ht="18" customHeight="1">
      <x:c r="A30" s="14" t="str">
        <x:v>SP-09-D</x:v>
      </x:c>
      <x:c r="B30" s="14" t="str">
        <x:v>FCE-09</x:v>
      </x:c>
      <x:c r="C30" s="14" t="str">
        <x:v>diverse local trip</x:v>
      </x:c>
      <x:c r="D30" s="14" t="str"/>
      <x:c r="E30" s="14" t="str"/>
      <x:c r="F30" s="14" t="str">
        <x:v>OPEN</x:v>
      </x:c>
      <x:c r="G30" s="14" t="str">
        <x:v>unlike energy and direct state</x:v>
      </x:c>
    </x:row>
    <x:row r="31" ht="18" customHeight="1">
      <x:c r="A31" s="14" t="str">
        <x:v>SP-09-M</x:v>
      </x:c>
      <x:c r="B31" s="14" t="str">
        <x:v>FCE-09</x:v>
      </x:c>
      <x:c r="C31" s="14" t="str">
        <x:v>manual or passive</x:v>
      </x:c>
      <x:c r="D31" s="14" t="str"/>
      <x:c r="E31" s="14" t="str"/>
      <x:c r="F31" s="14" t="str">
        <x:v>OPEN</x:v>
      </x:c>
      <x:c r="G31" s="14" t="str">
        <x:v>unlike energy and direct state</x:v>
      </x:c>
    </x:row>
    <x:row r="32" ht="18" customHeight="1">
      <x:c r="A32" s="14" t="str">
        <x:v>SP-10-P</x:v>
      </x:c>
      <x:c r="B32" s="14" t="str">
        <x:v>FCE-10</x:v>
      </x:c>
      <x:c r="C32" s="14" t="str">
        <x:v>primary registered command</x:v>
      </x:c>
      <x:c r="D32" s="14" t="str"/>
      <x:c r="E32" s="14" t="str"/>
      <x:c r="F32" s="14" t="str">
        <x:v>OPEN</x:v>
      </x:c>
      <x:c r="G32" s="14" t="str">
        <x:v>unlike energy and direct state</x:v>
      </x:c>
    </x:row>
    <x:row r="33" ht="18" customHeight="1">
      <x:c r="A33" s="14" t="str">
        <x:v>SP-10-D</x:v>
      </x:c>
      <x:c r="B33" s="14" t="str">
        <x:v>FCE-10</x:v>
      </x:c>
      <x:c r="C33" s="14" t="str">
        <x:v>diverse local trip</x:v>
      </x:c>
      <x:c r="D33" s="14" t="str"/>
      <x:c r="E33" s="14" t="str"/>
      <x:c r="F33" s="14" t="str">
        <x:v>OPEN</x:v>
      </x:c>
      <x:c r="G33" s="14" t="str">
        <x:v>unlike energy and direct state</x:v>
      </x:c>
    </x:row>
    <x:row r="34" ht="18" customHeight="1">
      <x:c r="A34" s="14" t="str">
        <x:v>SP-10-M</x:v>
      </x:c>
      <x:c r="B34" s="14" t="str">
        <x:v>FCE-10</x:v>
      </x:c>
      <x:c r="C34" s="14" t="str">
        <x:v>manual or passive</x:v>
      </x:c>
      <x:c r="D34" s="14" t="str"/>
      <x:c r="E34" s="14" t="str"/>
      <x:c r="F34" s="14" t="str">
        <x:v>OPEN</x:v>
      </x:c>
      <x:c r="G34" s="14" t="str">
        <x:v>unlike energy and direct state</x:v>
      </x:c>
    </x:row>
    <x:row r="35" ht="18" customHeight="1">
      <x:c r="A35" s="14" t="str">
        <x:v>SP-11-P</x:v>
      </x:c>
      <x:c r="B35" s="14" t="str">
        <x:v>FCE-11</x:v>
      </x:c>
      <x:c r="C35" s="14" t="str">
        <x:v>primary registered command</x:v>
      </x:c>
      <x:c r="D35" s="14" t="str"/>
      <x:c r="E35" s="14" t="str"/>
      <x:c r="F35" s="14" t="str">
        <x:v>OPEN</x:v>
      </x:c>
      <x:c r="G35" s="14" t="str">
        <x:v>unlike energy and direct state</x:v>
      </x:c>
    </x:row>
    <x:row r="36" ht="18" customHeight="1">
      <x:c r="A36" s="14" t="str">
        <x:v>SP-11-D</x:v>
      </x:c>
      <x:c r="B36" s="14" t="str">
        <x:v>FCE-11</x:v>
      </x:c>
      <x:c r="C36" s="14" t="str">
        <x:v>diverse local trip</x:v>
      </x:c>
      <x:c r="D36" s="14" t="str"/>
      <x:c r="E36" s="14" t="str"/>
      <x:c r="F36" s="14" t="str">
        <x:v>OPEN</x:v>
      </x:c>
      <x:c r="G36" s="14" t="str">
        <x:v>unlike energy and direct state</x:v>
      </x:c>
    </x:row>
    <x:row r="37" ht="18" customHeight="1">
      <x:c r="A37" s="14" t="str">
        <x:v>SP-11-M</x:v>
      </x:c>
      <x:c r="B37" s="14" t="str">
        <x:v>FCE-11</x:v>
      </x:c>
      <x:c r="C37" s="14" t="str">
        <x:v>manual or passive</x:v>
      </x:c>
      <x:c r="D37" s="14" t="str"/>
      <x:c r="E37" s="14" t="str"/>
      <x:c r="F37" s="14" t="str">
        <x:v>OPEN</x:v>
      </x:c>
      <x:c r="G37" s="14" t="str">
        <x:v>unlike energy and direct state</x:v>
      </x:c>
    </x:row>
    <x:row r="38" ht="18" customHeight="1">
      <x:c r="A38" s="14" t="str">
        <x:v>SP-12-P</x:v>
      </x:c>
      <x:c r="B38" s="14" t="str">
        <x:v>FCE-12</x:v>
      </x:c>
      <x:c r="C38" s="14" t="str">
        <x:v>primary registered command</x:v>
      </x:c>
      <x:c r="D38" s="14" t="str"/>
      <x:c r="E38" s="14" t="str"/>
      <x:c r="F38" s="14" t="str">
        <x:v>OPEN</x:v>
      </x:c>
      <x:c r="G38" s="14" t="str">
        <x:v>unlike energy and direct state</x:v>
      </x:c>
    </x:row>
    <x:row r="39" ht="18" customHeight="1">
      <x:c r="A39" s="14" t="str">
        <x:v>SP-12-D</x:v>
      </x:c>
      <x:c r="B39" s="14" t="str">
        <x:v>FCE-12</x:v>
      </x:c>
      <x:c r="C39" s="14" t="str">
        <x:v>diverse local trip</x:v>
      </x:c>
      <x:c r="D39" s="14" t="str"/>
      <x:c r="E39" s="14" t="str"/>
      <x:c r="F39" s="14" t="str">
        <x:v>OPEN</x:v>
      </x:c>
      <x:c r="G39" s="14" t="str">
        <x:v>unlike energy and direct state</x:v>
      </x:c>
    </x:row>
    <x:row r="40" ht="18" customHeight="1">
      <x:c r="A40" s="14" t="str">
        <x:v>SP-12-M</x:v>
      </x:c>
      <x:c r="B40" s="14" t="str">
        <x:v>FCE-12</x:v>
      </x:c>
      <x:c r="C40" s="14" t="str">
        <x:v>manual or passive</x:v>
      </x:c>
      <x:c r="D40" s="14" t="str"/>
      <x:c r="E40" s="14" t="str"/>
      <x:c r="F40" s="14" t="str">
        <x:v>OPEN</x:v>
      </x:c>
      <x:c r="G40" s="14" t="str">
        <x:v>unlike energy and direct state</x:v>
      </x:c>
    </x:row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40">
    <x:cfRule type="containsText" dxfId="55" priority="1" operator="containsText" text="ACCEPTED"/>
    <x:cfRule type="containsText" dxfId="56" priority="2" operator="containsText" text="PASS"/>
    <x:cfRule type="containsText" dxfId="57" priority="3" operator="containsText" text="OPEN"/>
    <x:cfRule type="containsText" dxfId="58" priority="4" operator="containsText" text="BLOCKED"/>
    <x:cfRule type="containsText" dxfId="59" priority="5" operator="containsText" text="REJECTE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5" hidden="0" customWidth="1"/>
    <x:col min="8" max="8" width="28" hidden="0" customWidth="1"/>
  </x:cols>
  <x:sheetData>
    <x:row r="1" ht="28" customHeight="1">
      <x:c r="A1" s="18" t="str">
        <x:v>RBA-1 | Path-proof records</x:v>
      </x:c>
      <x:c r="B1" s="18"/>
      <x:c r="C1" s="18"/>
      <x:c r="D1" s="18"/>
      <x:c r="E1" s="18"/>
      <x:c r="F1" s="18"/>
      <x:c r="G1" s="18"/>
      <x:c r="H1" s="18"/>
    </x:row>
    <x:row r="2" ht="28" customHeight="1">
      <x:c r="A2" s="19" t="str">
        <x:v>Observed trigger, action, final state and reset remain blank until physical work.</x:v>
      </x:c>
      <x:c r="B2" s="19"/>
      <x:c r="C2" s="19"/>
      <x:c r="D2" s="19"/>
      <x:c r="E2" s="19"/>
      <x:c r="F2" s="19"/>
      <x:c r="G2" s="19"/>
      <x:c r="H2" s="19"/>
    </x:row>
    <x:row r="3" ht="18" customHeight="1">
      <x:c r="A3" s="20"/>
      <x:c r="B3" s="20"/>
      <x:c r="C3" s="20"/>
      <x:c r="D3" s="20"/>
      <x:c r="E3" s="20"/>
      <x:c r="F3" s="20"/>
      <x:c r="G3" s="20"/>
      <x:c r="H3" s="20"/>
    </x:row>
    <x:row r="4" ht="18" customHeight="1">
      <x:c r="A4" s="21" t="str">
        <x:v>Proof</x:v>
      </x:c>
      <x:c r="B4" s="21" t="str">
        <x:v>Path</x:v>
      </x:c>
      <x:c r="C4" s="21" t="str">
        <x:v>Trigger UTC</x:v>
      </x:c>
      <x:c r="D4" s="21" t="str">
        <x:v>Action UTC</x:v>
      </x:c>
      <x:c r="E4" s="21" t="str">
        <x:v>Final state UTC</x:v>
      </x:c>
      <x:c r="F4" s="21" t="str">
        <x:v>Reset UTC</x:v>
      </x:c>
      <x:c r="G4" s="21" t="str">
        <x:v>State</x:v>
      </x:c>
      <x:c r="H4" s="21" t="str">
        <x:v>Evidence root</x:v>
      </x:c>
    </x:row>
    <x:row r="5" ht="18" customHeight="1">
      <x:c r="A5" s="14" t="str">
        <x:v>PP-01</x:v>
      </x:c>
      <x:c r="B5" s="14" t="str">
        <x:v>SP-01-P</x:v>
      </x:c>
      <x:c r="C5" s="14" t="str"/>
      <x:c r="D5" s="14" t="str"/>
      <x:c r="E5" s="14" t="str"/>
      <x:c r="F5" s="14" t="str"/>
      <x:c r="G5" s="14" t="str">
        <x:v>OPEN</x:v>
      </x:c>
      <x:c r="H5" s="14" t="str"/>
    </x:row>
    <x:row r="6" ht="18" customHeight="1">
      <x:c r="A6" s="14" t="str">
        <x:v>PP-02</x:v>
      </x:c>
      <x:c r="B6" s="14" t="str">
        <x:v>SP-01-D</x:v>
      </x:c>
      <x:c r="C6" s="14" t="str"/>
      <x:c r="D6" s="14" t="str"/>
      <x:c r="E6" s="14" t="str"/>
      <x:c r="F6" s="14" t="str"/>
      <x:c r="G6" s="14" t="str">
        <x:v>OPEN</x:v>
      </x:c>
      <x:c r="H6" s="14" t="str"/>
    </x:row>
    <x:row r="7" ht="18" customHeight="1">
      <x:c r="A7" s="14" t="str">
        <x:v>PP-03</x:v>
      </x:c>
      <x:c r="B7" s="14" t="str">
        <x:v>SP-01-M</x:v>
      </x:c>
      <x:c r="C7" s="14" t="str"/>
      <x:c r="D7" s="14" t="str"/>
      <x:c r="E7" s="14" t="str"/>
      <x:c r="F7" s="14" t="str"/>
      <x:c r="G7" s="14" t="str">
        <x:v>OPEN</x:v>
      </x:c>
      <x:c r="H7" s="14" t="str"/>
    </x:row>
    <x:row r="8" ht="18" customHeight="1">
      <x:c r="A8" s="14" t="str">
        <x:v>PP-04</x:v>
      </x:c>
      <x:c r="B8" s="14" t="str">
        <x:v>SP-02-P</x:v>
      </x:c>
      <x:c r="C8" s="14" t="str"/>
      <x:c r="D8" s="14" t="str"/>
      <x:c r="E8" s="14" t="str"/>
      <x:c r="F8" s="14" t="str"/>
      <x:c r="G8" s="14" t="str">
        <x:v>OPEN</x:v>
      </x:c>
      <x:c r="H8" s="14" t="str"/>
    </x:row>
    <x:row r="9" ht="18" customHeight="1">
      <x:c r="A9" s="14" t="str">
        <x:v>PP-05</x:v>
      </x:c>
      <x:c r="B9" s="14" t="str">
        <x:v>SP-02-D</x:v>
      </x:c>
      <x:c r="C9" s="14" t="str"/>
      <x:c r="D9" s="14" t="str"/>
      <x:c r="E9" s="14" t="str"/>
      <x:c r="F9" s="14" t="str"/>
      <x:c r="G9" s="14" t="str">
        <x:v>OPEN</x:v>
      </x:c>
      <x:c r="H9" s="14" t="str"/>
    </x:row>
    <x:row r="10" ht="18" customHeight="1">
      <x:c r="A10" s="14" t="str">
        <x:v>PP-06</x:v>
      </x:c>
      <x:c r="B10" s="14" t="str">
        <x:v>SP-02-M</x:v>
      </x:c>
      <x:c r="C10" s="14" t="str"/>
      <x:c r="D10" s="14" t="str"/>
      <x:c r="E10" s="14" t="str"/>
      <x:c r="F10" s="14" t="str"/>
      <x:c r="G10" s="14" t="str">
        <x:v>OPEN</x:v>
      </x:c>
      <x:c r="H10" s="14" t="str"/>
    </x:row>
    <x:row r="11" ht="18" customHeight="1">
      <x:c r="A11" s="14" t="str">
        <x:v>PP-07</x:v>
      </x:c>
      <x:c r="B11" s="14" t="str">
        <x:v>SP-03-P</x:v>
      </x:c>
      <x:c r="C11" s="14" t="str"/>
      <x:c r="D11" s="14" t="str"/>
      <x:c r="E11" s="14" t="str"/>
      <x:c r="F11" s="14" t="str"/>
      <x:c r="G11" s="14" t="str">
        <x:v>OPEN</x:v>
      </x:c>
      <x:c r="H11" s="14" t="str"/>
    </x:row>
    <x:row r="12" ht="18" customHeight="1">
      <x:c r="A12" s="14" t="str">
        <x:v>PP-08</x:v>
      </x:c>
      <x:c r="B12" s="14" t="str">
        <x:v>SP-03-D</x:v>
      </x:c>
      <x:c r="C12" s="14" t="str"/>
      <x:c r="D12" s="14" t="str"/>
      <x:c r="E12" s="14" t="str"/>
      <x:c r="F12" s="14" t="str"/>
      <x:c r="G12" s="14" t="str">
        <x:v>OPEN</x:v>
      </x:c>
      <x:c r="H12" s="14" t="str"/>
    </x:row>
    <x:row r="13" ht="18" customHeight="1">
      <x:c r="A13" s="14" t="str">
        <x:v>PP-09</x:v>
      </x:c>
      <x:c r="B13" s="14" t="str">
        <x:v>SP-03-M</x:v>
      </x:c>
      <x:c r="C13" s="14" t="str"/>
      <x:c r="D13" s="14" t="str"/>
      <x:c r="E13" s="14" t="str"/>
      <x:c r="F13" s="14" t="str"/>
      <x:c r="G13" s="14" t="str">
        <x:v>OPEN</x:v>
      </x:c>
      <x:c r="H13" s="14" t="str"/>
    </x:row>
    <x:row r="14" ht="18" customHeight="1">
      <x:c r="A14" s="14" t="str">
        <x:v>PP-10</x:v>
      </x:c>
      <x:c r="B14" s="14" t="str">
        <x:v>SP-04-P</x:v>
      </x:c>
      <x:c r="C14" s="14" t="str"/>
      <x:c r="D14" s="14" t="str"/>
      <x:c r="E14" s="14" t="str"/>
      <x:c r="F14" s="14" t="str"/>
      <x:c r="G14" s="14" t="str">
        <x:v>OPEN</x:v>
      </x:c>
      <x:c r="H14" s="14" t="str"/>
    </x:row>
    <x:row r="15" ht="18" customHeight="1">
      <x:c r="A15" s="14" t="str">
        <x:v>PP-11</x:v>
      </x:c>
      <x:c r="B15" s="14" t="str">
        <x:v>SP-04-D</x:v>
      </x:c>
      <x:c r="C15" s="14" t="str"/>
      <x:c r="D15" s="14" t="str"/>
      <x:c r="E15" s="14" t="str"/>
      <x:c r="F15" s="14" t="str"/>
      <x:c r="G15" s="14" t="str">
        <x:v>OPEN</x:v>
      </x:c>
      <x:c r="H15" s="14" t="str"/>
    </x:row>
    <x:row r="16" ht="18" customHeight="1">
      <x:c r="A16" s="14" t="str">
        <x:v>PP-12</x:v>
      </x:c>
      <x:c r="B16" s="14" t="str">
        <x:v>SP-04-M</x:v>
      </x:c>
      <x:c r="C16" s="14" t="str"/>
      <x:c r="D16" s="14" t="str"/>
      <x:c r="E16" s="14" t="str"/>
      <x:c r="F16" s="14" t="str"/>
      <x:c r="G16" s="14" t="str">
        <x:v>OPEN</x:v>
      </x:c>
      <x:c r="H16" s="14" t="str"/>
    </x:row>
    <x:row r="17" ht="18" customHeight="1">
      <x:c r="A17" s="14" t="str">
        <x:v>PP-13</x:v>
      </x:c>
      <x:c r="B17" s="14" t="str">
        <x:v>SP-05-P</x:v>
      </x:c>
      <x:c r="C17" s="14" t="str"/>
      <x:c r="D17" s="14" t="str"/>
      <x:c r="E17" s="14" t="str"/>
      <x:c r="F17" s="14" t="str"/>
      <x:c r="G17" s="14" t="str">
        <x:v>OPEN</x:v>
      </x:c>
      <x:c r="H17" s="14" t="str"/>
    </x:row>
    <x:row r="18" ht="18" customHeight="1">
      <x:c r="A18" s="14" t="str">
        <x:v>PP-14</x:v>
      </x:c>
      <x:c r="B18" s="14" t="str">
        <x:v>SP-05-D</x:v>
      </x:c>
      <x:c r="C18" s="14" t="str"/>
      <x:c r="D18" s="14" t="str"/>
      <x:c r="E18" s="14" t="str"/>
      <x:c r="F18" s="14" t="str"/>
      <x:c r="G18" s="14" t="str">
        <x:v>OPEN</x:v>
      </x:c>
      <x:c r="H18" s="14" t="str"/>
    </x:row>
    <x:row r="19" ht="18" customHeight="1">
      <x:c r="A19" s="14" t="str">
        <x:v>PP-15</x:v>
      </x:c>
      <x:c r="B19" s="14" t="str">
        <x:v>SP-05-M</x:v>
      </x:c>
      <x:c r="C19" s="14" t="str"/>
      <x:c r="D19" s="14" t="str"/>
      <x:c r="E19" s="14" t="str"/>
      <x:c r="F19" s="14" t="str"/>
      <x:c r="G19" s="14" t="str">
        <x:v>OPEN</x:v>
      </x:c>
      <x:c r="H19" s="14" t="str"/>
    </x:row>
    <x:row r="20" ht="18" customHeight="1">
      <x:c r="A20" s="14" t="str">
        <x:v>PP-16</x:v>
      </x:c>
      <x:c r="B20" s="14" t="str">
        <x:v>SP-06-P</x:v>
      </x:c>
      <x:c r="C20" s="14" t="str"/>
      <x:c r="D20" s="14" t="str"/>
      <x:c r="E20" s="14" t="str"/>
      <x:c r="F20" s="14" t="str"/>
      <x:c r="G20" s="14" t="str">
        <x:v>OPEN</x:v>
      </x:c>
      <x:c r="H20" s="14" t="str"/>
    </x:row>
    <x:row r="21" ht="18" customHeight="1">
      <x:c r="A21" s="14" t="str">
        <x:v>PP-17</x:v>
      </x:c>
      <x:c r="B21" s="14" t="str">
        <x:v>SP-06-D</x:v>
      </x:c>
      <x:c r="C21" s="14" t="str"/>
      <x:c r="D21" s="14" t="str"/>
      <x:c r="E21" s="14" t="str"/>
      <x:c r="F21" s="14" t="str"/>
      <x:c r="G21" s="14" t="str">
        <x:v>OPEN</x:v>
      </x:c>
      <x:c r="H21" s="14" t="str"/>
    </x:row>
    <x:row r="22" ht="18" customHeight="1">
      <x:c r="A22" s="14" t="str">
        <x:v>PP-18</x:v>
      </x:c>
      <x:c r="B22" s="14" t="str">
        <x:v>SP-06-M</x:v>
      </x:c>
      <x:c r="C22" s="14" t="str"/>
      <x:c r="D22" s="14" t="str"/>
      <x:c r="E22" s="14" t="str"/>
      <x:c r="F22" s="14" t="str"/>
      <x:c r="G22" s="14" t="str">
        <x:v>OPEN</x:v>
      </x:c>
      <x:c r="H22" s="14" t="str"/>
    </x:row>
    <x:row r="23" ht="18" customHeight="1">
      <x:c r="A23" s="14" t="str">
        <x:v>PP-19</x:v>
      </x:c>
      <x:c r="B23" s="14" t="str">
        <x:v>SP-07-P</x:v>
      </x:c>
      <x:c r="C23" s="14" t="str"/>
      <x:c r="D23" s="14" t="str"/>
      <x:c r="E23" s="14" t="str"/>
      <x:c r="F23" s="14" t="str"/>
      <x:c r="G23" s="14" t="str">
        <x:v>OPEN</x:v>
      </x:c>
      <x:c r="H23" s="14" t="str"/>
    </x:row>
    <x:row r="24" ht="18" customHeight="1">
      <x:c r="A24" s="14" t="str">
        <x:v>PP-20</x:v>
      </x:c>
      <x:c r="B24" s="14" t="str">
        <x:v>SP-07-D</x:v>
      </x:c>
      <x:c r="C24" s="14" t="str"/>
      <x:c r="D24" s="14" t="str"/>
      <x:c r="E24" s="14" t="str"/>
      <x:c r="F24" s="14" t="str"/>
      <x:c r="G24" s="14" t="str">
        <x:v>OPEN</x:v>
      </x:c>
      <x:c r="H24" s="14" t="str"/>
    </x:row>
    <x:row r="25" ht="18" customHeight="1">
      <x:c r="A25" s="14" t="str">
        <x:v>PP-21</x:v>
      </x:c>
      <x:c r="B25" s="14" t="str">
        <x:v>SP-07-M</x:v>
      </x:c>
      <x:c r="C25" s="14" t="str"/>
      <x:c r="D25" s="14" t="str"/>
      <x:c r="E25" s="14" t="str"/>
      <x:c r="F25" s="14" t="str"/>
      <x:c r="G25" s="14" t="str">
        <x:v>OPEN</x:v>
      </x:c>
      <x:c r="H25" s="14" t="str"/>
    </x:row>
    <x:row r="26" ht="18" customHeight="1">
      <x:c r="A26" s="14" t="str">
        <x:v>PP-22</x:v>
      </x:c>
      <x:c r="B26" s="14" t="str">
        <x:v>SP-08-P</x:v>
      </x:c>
      <x:c r="C26" s="14" t="str"/>
      <x:c r="D26" s="14" t="str"/>
      <x:c r="E26" s="14" t="str"/>
      <x:c r="F26" s="14" t="str"/>
      <x:c r="G26" s="14" t="str">
        <x:v>OPEN</x:v>
      </x:c>
      <x:c r="H26" s="14" t="str"/>
    </x:row>
    <x:row r="27" ht="18" customHeight="1">
      <x:c r="A27" s="14" t="str">
        <x:v>PP-23</x:v>
      </x:c>
      <x:c r="B27" s="14" t="str">
        <x:v>SP-08-D</x:v>
      </x:c>
      <x:c r="C27" s="14" t="str"/>
      <x:c r="D27" s="14" t="str"/>
      <x:c r="E27" s="14" t="str"/>
      <x:c r="F27" s="14" t="str"/>
      <x:c r="G27" s="14" t="str">
        <x:v>OPEN</x:v>
      </x:c>
      <x:c r="H27" s="14" t="str"/>
    </x:row>
    <x:row r="28" ht="18" customHeight="1">
      <x:c r="A28" s="14" t="str">
        <x:v>PP-24</x:v>
      </x:c>
      <x:c r="B28" s="14" t="str">
        <x:v>SP-08-M</x:v>
      </x:c>
      <x:c r="C28" s="14" t="str"/>
      <x:c r="D28" s="14" t="str"/>
      <x:c r="E28" s="14" t="str"/>
      <x:c r="F28" s="14" t="str"/>
      <x:c r="G28" s="14" t="str">
        <x:v>OPEN</x:v>
      </x:c>
      <x:c r="H28" s="14" t="str"/>
    </x:row>
    <x:row r="29" ht="18" customHeight="1">
      <x:c r="A29" s="14" t="str">
        <x:v>PP-25</x:v>
      </x:c>
      <x:c r="B29" s="14" t="str">
        <x:v>SP-09-P</x:v>
      </x:c>
      <x:c r="C29" s="14" t="str"/>
      <x:c r="D29" s="14" t="str"/>
      <x:c r="E29" s="14" t="str"/>
      <x:c r="F29" s="14" t="str"/>
      <x:c r="G29" s="14" t="str">
        <x:v>OPEN</x:v>
      </x:c>
      <x:c r="H29" s="14" t="str"/>
    </x:row>
    <x:row r="30" ht="18" customHeight="1">
      <x:c r="A30" s="14" t="str">
        <x:v>PP-26</x:v>
      </x:c>
      <x:c r="B30" s="14" t="str">
        <x:v>SP-09-D</x:v>
      </x:c>
      <x:c r="C30" s="14" t="str"/>
      <x:c r="D30" s="14" t="str"/>
      <x:c r="E30" s="14" t="str"/>
      <x:c r="F30" s="14" t="str"/>
      <x:c r="G30" s="14" t="str">
        <x:v>OPEN</x:v>
      </x:c>
      <x:c r="H30" s="14" t="str"/>
    </x:row>
    <x:row r="31" ht="18" customHeight="1">
      <x:c r="A31" s="14" t="str">
        <x:v>PP-27</x:v>
      </x:c>
      <x:c r="B31" s="14" t="str">
        <x:v>SP-09-M</x:v>
      </x:c>
      <x:c r="C31" s="14" t="str"/>
      <x:c r="D31" s="14" t="str"/>
      <x:c r="E31" s="14" t="str"/>
      <x:c r="F31" s="14" t="str"/>
      <x:c r="G31" s="14" t="str">
        <x:v>OPEN</x:v>
      </x:c>
      <x:c r="H31" s="14" t="str"/>
    </x:row>
    <x:row r="32" ht="18" customHeight="1">
      <x:c r="A32" s="14" t="str">
        <x:v>PP-28</x:v>
      </x:c>
      <x:c r="B32" s="14" t="str">
        <x:v>SP-10-P</x:v>
      </x:c>
      <x:c r="C32" s="14" t="str"/>
      <x:c r="D32" s="14" t="str"/>
      <x:c r="E32" s="14" t="str"/>
      <x:c r="F32" s="14" t="str"/>
      <x:c r="G32" s="14" t="str">
        <x:v>OPEN</x:v>
      </x:c>
      <x:c r="H32" s="14" t="str"/>
    </x:row>
    <x:row r="33" ht="18" customHeight="1">
      <x:c r="A33" s="14" t="str">
        <x:v>PP-29</x:v>
      </x:c>
      <x:c r="B33" s="14" t="str">
        <x:v>SP-10-D</x:v>
      </x:c>
      <x:c r="C33" s="14" t="str"/>
      <x:c r="D33" s="14" t="str"/>
      <x:c r="E33" s="14" t="str"/>
      <x:c r="F33" s="14" t="str"/>
      <x:c r="G33" s="14" t="str">
        <x:v>OPEN</x:v>
      </x:c>
      <x:c r="H33" s="14" t="str"/>
    </x:row>
    <x:row r="34" ht="18" customHeight="1">
      <x:c r="A34" s="14" t="str">
        <x:v>PP-30</x:v>
      </x:c>
      <x:c r="B34" s="14" t="str">
        <x:v>SP-10-M</x:v>
      </x:c>
      <x:c r="C34" s="14" t="str"/>
      <x:c r="D34" s="14" t="str"/>
      <x:c r="E34" s="14" t="str"/>
      <x:c r="F34" s="14" t="str"/>
      <x:c r="G34" s="14" t="str">
        <x:v>OPEN</x:v>
      </x:c>
      <x:c r="H34" s="14" t="str"/>
    </x:row>
    <x:row r="35" ht="18" customHeight="1">
      <x:c r="A35" s="14" t="str">
        <x:v>PP-31</x:v>
      </x:c>
      <x:c r="B35" s="14" t="str">
        <x:v>SP-11-P</x:v>
      </x:c>
      <x:c r="C35" s="14" t="str"/>
      <x:c r="D35" s="14" t="str"/>
      <x:c r="E35" s="14" t="str"/>
      <x:c r="F35" s="14" t="str"/>
      <x:c r="G35" s="14" t="str">
        <x:v>OPEN</x:v>
      </x:c>
      <x:c r="H35" s="14" t="str"/>
    </x:row>
    <x:row r="36" ht="18" customHeight="1">
      <x:c r="A36" s="14" t="str">
        <x:v>PP-32</x:v>
      </x:c>
      <x:c r="B36" s="14" t="str">
        <x:v>SP-11-D</x:v>
      </x:c>
      <x:c r="C36" s="14" t="str"/>
      <x:c r="D36" s="14" t="str"/>
      <x:c r="E36" s="14" t="str"/>
      <x:c r="F36" s="14" t="str"/>
      <x:c r="G36" s="14" t="str">
        <x:v>OPEN</x:v>
      </x:c>
      <x:c r="H36" s="14" t="str"/>
    </x:row>
    <x:row r="37" ht="18" customHeight="1">
      <x:c r="A37" s="14" t="str">
        <x:v>PP-33</x:v>
      </x:c>
      <x:c r="B37" s="14" t="str">
        <x:v>SP-11-M</x:v>
      </x:c>
      <x:c r="C37" s="14" t="str"/>
      <x:c r="D37" s="14" t="str"/>
      <x:c r="E37" s="14" t="str"/>
      <x:c r="F37" s="14" t="str"/>
      <x:c r="G37" s="14" t="str">
        <x:v>OPEN</x:v>
      </x:c>
      <x:c r="H37" s="14" t="str"/>
    </x:row>
    <x:row r="38" ht="18" customHeight="1">
      <x:c r="A38" s="14" t="str">
        <x:v>PP-34</x:v>
      </x:c>
      <x:c r="B38" s="14" t="str">
        <x:v>SP-12-P</x:v>
      </x:c>
      <x:c r="C38" s="14" t="str"/>
      <x:c r="D38" s="14" t="str"/>
      <x:c r="E38" s="14" t="str"/>
      <x:c r="F38" s="14" t="str"/>
      <x:c r="G38" s="14" t="str">
        <x:v>OPEN</x:v>
      </x:c>
      <x:c r="H38" s="14" t="str"/>
    </x:row>
    <x:row r="39" ht="18" customHeight="1">
      <x:c r="A39" s="14" t="str">
        <x:v>PP-35</x:v>
      </x:c>
      <x:c r="B39" s="14" t="str">
        <x:v>SP-12-D</x:v>
      </x:c>
      <x:c r="C39" s="14" t="str"/>
      <x:c r="D39" s="14" t="str"/>
      <x:c r="E39" s="14" t="str"/>
      <x:c r="F39" s="14" t="str"/>
      <x:c r="G39" s="14" t="str">
        <x:v>OPEN</x:v>
      </x:c>
      <x:c r="H39" s="14" t="str"/>
    </x:row>
    <x:row r="40" ht="18" customHeight="1">
      <x:c r="A40" s="14" t="str">
        <x:v>PP-36</x:v>
      </x:c>
      <x:c r="B40" s="14" t="str">
        <x:v>SP-12-M</x:v>
      </x:c>
      <x:c r="C40" s="14" t="str"/>
      <x:c r="D40" s="14" t="str"/>
      <x:c r="E40" s="14" t="str"/>
      <x:c r="F40" s="14" t="str"/>
      <x:c r="G40" s="14" t="str">
        <x:v>OPEN</x:v>
      </x:c>
      <x:c r="H40" s="14" t="str"/>
    </x:row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G5:G40">
    <x:cfRule type="containsText" dxfId="60" priority="1" operator="containsText" text="ACCEPTED"/>
    <x:cfRule type="containsText" dxfId="61" priority="2" operator="containsText" text="PASS"/>
    <x:cfRule type="containsText" dxfId="62" priority="3" operator="containsText" text="OPEN"/>
    <x:cfRule type="containsText" dxfId="63" priority="4" operator="containsText" text="BLOCKED"/>
    <x:cfRule type="containsText" dxfId="64" priority="5" operator="containsText" text="REJECTE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1" hidden="0" customWidth="1"/>
    <x:col min="4" max="4" width="30" hidden="0" customWidth="1"/>
    <x:col min="5" max="5" width="30" hidden="0" customWidth="1"/>
    <x:col min="6" max="6" width="16" hidden="0" customWidth="1"/>
  </x:cols>
  <x:sheetData>
    <x:row r="1" ht="28" customHeight="1">
      <x:c r="A1" s="18" t="str">
        <x:v>RBA-1 | 205-object event dossier</x:v>
      </x:c>
      <x:c r="B1" s="18"/>
      <x:c r="C1" s="18"/>
      <x:c r="D1" s="18"/>
      <x:c r="E1" s="18"/>
      <x:c r="F1" s="18"/>
    </x:row>
    <x:row r="2" ht="28" customHeight="1">
      <x:c r="A2" s="19" t="str">
        <x:v>Every object binds to the selected cell, attempt and frozen baseline.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Binding</x:v>
      </x:c>
      <x:c r="B4" s="21" t="str">
        <x:v>Family</x:v>
      </x:c>
      <x:c r="C4" s="21" t="str">
        <x:v>Ordinal</x:v>
      </x:c>
      <x:c r="D4" s="21" t="str">
        <x:v>Serialized object</x:v>
      </x:c>
      <x:c r="E4" s="21" t="str">
        <x:v>Evidence root</x:v>
      </x:c>
      <x:c r="F4" s="21" t="str">
        <x:v>State</x:v>
      </x:c>
    </x:row>
    <x:row r="5" ht="18" customHeight="1">
      <x:c r="A5" s="14" t="str">
        <x:v>DB-001</x:v>
      </x:c>
      <x:c r="B5" s="14" t="str">
        <x:v>reference article</x:v>
      </x:c>
      <x:c r="C5" s="14" t="n">
        <x:v>1</x:v>
      </x:c>
      <x:c r="D5" s="14" t="str"/>
      <x:c r="E5" s="14" t="str"/>
      <x:c r="F5" s="14" t="str">
        <x:v>OPEN</x:v>
      </x:c>
    </x:row>
    <x:row r="6" ht="18" customHeight="1">
      <x:c r="A6" s="14" t="str">
        <x:v>DB-002</x:v>
      </x:c>
      <x:c r="B6" s="14" t="str">
        <x:v>controlled article sections</x:v>
      </x:c>
      <x:c r="C6" s="14" t="n">
        <x:v>1</x:v>
      </x:c>
      <x:c r="D6" s="14" t="str"/>
      <x:c r="E6" s="14" t="str"/>
      <x:c r="F6" s="14" t="str">
        <x:v>OPEN</x:v>
      </x:c>
    </x:row>
    <x:row r="7" ht="18" customHeight="1">
      <x:c r="A7" s="14" t="str">
        <x:v>DB-003</x:v>
      </x:c>
      <x:c r="B7" s="14" t="str">
        <x:v>controlled article sections</x:v>
      </x:c>
      <x:c r="C7" s="14" t="n">
        <x:v>2</x:v>
      </x:c>
      <x:c r="D7" s="14" t="str"/>
      <x:c r="E7" s="14" t="str"/>
      <x:c r="F7" s="14" t="str">
        <x:v>OPEN</x:v>
      </x:c>
    </x:row>
    <x:row r="8" ht="18" customHeight="1">
      <x:c r="A8" s="14" t="str">
        <x:v>DB-004</x:v>
      </x:c>
      <x:c r="B8" s="14" t="str">
        <x:v>controlled article sections</x:v>
      </x:c>
      <x:c r="C8" s="14" t="n">
        <x:v>3</x:v>
      </x:c>
      <x:c r="D8" s="14" t="str"/>
      <x:c r="E8" s="14" t="str"/>
      <x:c r="F8" s="14" t="str">
        <x:v>OPEN</x:v>
      </x:c>
    </x:row>
    <x:row r="9" ht="18" customHeight="1">
      <x:c r="A9" s="14" t="str">
        <x:v>DB-005</x:v>
      </x:c>
      <x:c r="B9" s="14" t="str">
        <x:v>controlled article sections</x:v>
      </x:c>
      <x:c r="C9" s="14" t="n">
        <x:v>4</x:v>
      </x:c>
      <x:c r="D9" s="14" t="str"/>
      <x:c r="E9" s="14" t="str"/>
      <x:c r="F9" s="14" t="str">
        <x:v>OPEN</x:v>
      </x:c>
    </x:row>
    <x:row r="10" ht="18" customHeight="1">
      <x:c r="A10" s="14" t="str">
        <x:v>DB-006</x:v>
      </x:c>
      <x:c r="B10" s="14" t="str">
        <x:v>controlled article sections</x:v>
      </x:c>
      <x:c r="C10" s="14" t="n">
        <x:v>5</x:v>
      </x:c>
      <x:c r="D10" s="14" t="str"/>
      <x:c r="E10" s="14" t="str"/>
      <x:c r="F10" s="14" t="str">
        <x:v>OPEN</x:v>
      </x:c>
    </x:row>
    <x:row r="11" ht="18" customHeight="1">
      <x:c r="A11" s="14" t="str">
        <x:v>DB-007</x:v>
      </x:c>
      <x:c r="B11" s="14" t="str">
        <x:v>controlled article sections</x:v>
      </x:c>
      <x:c r="C11" s="14" t="n">
        <x:v>6</x:v>
      </x:c>
      <x:c r="D11" s="14" t="str"/>
      <x:c r="E11" s="14" t="str"/>
      <x:c r="F11" s="14" t="str">
        <x:v>OPEN</x:v>
      </x:c>
    </x:row>
    <x:row r="12" ht="18" customHeight="1">
      <x:c r="A12" s="14" t="str">
        <x:v>DB-008</x:v>
      </x:c>
      <x:c r="B12" s="14" t="str">
        <x:v>controlled article sections</x:v>
      </x:c>
      <x:c r="C12" s="14" t="n">
        <x:v>7</x:v>
      </x:c>
      <x:c r="D12" s="14" t="str"/>
      <x:c r="E12" s="14" t="str"/>
      <x:c r="F12" s="14" t="str">
        <x:v>OPEN</x:v>
      </x:c>
    </x:row>
    <x:row r="13" ht="18" customHeight="1">
      <x:c r="A13" s="14" t="str">
        <x:v>DB-009</x:v>
      </x:c>
      <x:c r="B13" s="14" t="str">
        <x:v>controlled article sections</x:v>
      </x:c>
      <x:c r="C13" s="14" t="n">
        <x:v>8</x:v>
      </x:c>
      <x:c r="D13" s="14" t="str"/>
      <x:c r="E13" s="14" t="str"/>
      <x:c r="F13" s="14" t="str">
        <x:v>OPEN</x:v>
      </x:c>
    </x:row>
    <x:row r="14" ht="18" customHeight="1">
      <x:c r="A14" s="14" t="str">
        <x:v>DB-010</x:v>
      </x:c>
      <x:c r="B14" s="14" t="str">
        <x:v>controlled article sections</x:v>
      </x:c>
      <x:c r="C14" s="14" t="n">
        <x:v>9</x:v>
      </x:c>
      <x:c r="D14" s="14" t="str"/>
      <x:c r="E14" s="14" t="str"/>
      <x:c r="F14" s="14" t="str">
        <x:v>OPEN</x:v>
      </x:c>
    </x:row>
    <x:row r="15" ht="18" customHeight="1">
      <x:c r="A15" s="14" t="str">
        <x:v>DB-011</x:v>
      </x:c>
      <x:c r="B15" s="14" t="str">
        <x:v>controlled article sections</x:v>
      </x:c>
      <x:c r="C15" s="14" t="n">
        <x:v>10</x:v>
      </x:c>
      <x:c r="D15" s="14" t="str"/>
      <x:c r="E15" s="14" t="str"/>
      <x:c r="F15" s="14" t="str">
        <x:v>OPEN</x:v>
      </x:c>
    </x:row>
    <x:row r="16" ht="18" customHeight="1">
      <x:c r="A16" s="14" t="str">
        <x:v>DB-012</x:v>
      </x:c>
      <x:c r="B16" s="14" t="str">
        <x:v>controlled article sections</x:v>
      </x:c>
      <x:c r="C16" s="14" t="n">
        <x:v>11</x:v>
      </x:c>
      <x:c r="D16" s="14" t="str"/>
      <x:c r="E16" s="14" t="str"/>
      <x:c r="F16" s="14" t="str">
        <x:v>OPEN</x:v>
      </x:c>
    </x:row>
    <x:row r="17" ht="18" customHeight="1">
      <x:c r="A17" s="14" t="str">
        <x:v>DB-013</x:v>
      </x:c>
      <x:c r="B17" s="14" t="str">
        <x:v>controlled article sections</x:v>
      </x:c>
      <x:c r="C17" s="14" t="n">
        <x:v>12</x:v>
      </x:c>
      <x:c r="D17" s="14" t="str"/>
      <x:c r="E17" s="14" t="str"/>
      <x:c r="F17" s="14" t="str">
        <x:v>OPEN</x:v>
      </x:c>
    </x:row>
    <x:row r="18" ht="18" customHeight="1">
      <x:c r="A18" s="14" t="str">
        <x:v>DB-014</x:v>
      </x:c>
      <x:c r="B18" s="14" t="str">
        <x:v>controlled article sections</x:v>
      </x:c>
      <x:c r="C18" s="14" t="n">
        <x:v>13</x:v>
      </x:c>
      <x:c r="D18" s="14" t="str"/>
      <x:c r="E18" s="14" t="str"/>
      <x:c r="F18" s="14" t="str">
        <x:v>OPEN</x:v>
      </x:c>
    </x:row>
    <x:row r="19" ht="18" customHeight="1">
      <x:c r="A19" s="14" t="str">
        <x:v>DB-015</x:v>
      </x:c>
      <x:c r="B19" s="14" t="str">
        <x:v>controlled article sections</x:v>
      </x:c>
      <x:c r="C19" s="14" t="n">
        <x:v>14</x:v>
      </x:c>
      <x:c r="D19" s="14" t="str"/>
      <x:c r="E19" s="14" t="str"/>
      <x:c r="F19" s="14" t="str">
        <x:v>OPEN</x:v>
      </x:c>
    </x:row>
    <x:row r="20" ht="18" customHeight="1">
      <x:c r="A20" s="14" t="str">
        <x:v>DB-016</x:v>
      </x:c>
      <x:c r="B20" s="14" t="str">
        <x:v>controlled article sections</x:v>
      </x:c>
      <x:c r="C20" s="14" t="n">
        <x:v>15</x:v>
      </x:c>
      <x:c r="D20" s="14" t="str"/>
      <x:c r="E20" s="14" t="str"/>
      <x:c r="F20" s="14" t="str">
        <x:v>OPEN</x:v>
      </x:c>
    </x:row>
    <x:row r="21" ht="18" customHeight="1">
      <x:c r="A21" s="14" t="str">
        <x:v>DB-017</x:v>
      </x:c>
      <x:c r="B21" s="14" t="str">
        <x:v>controlled article sections</x:v>
      </x:c>
      <x:c r="C21" s="14" t="n">
        <x:v>16</x:v>
      </x:c>
      <x:c r="D21" s="14" t="str"/>
      <x:c r="E21" s="14" t="str"/>
      <x:c r="F21" s="14" t="str">
        <x:v>OPEN</x:v>
      </x:c>
    </x:row>
    <x:row r="22" ht="18" customHeight="1">
      <x:c r="A22" s="14" t="str">
        <x:v>DB-018</x:v>
      </x:c>
      <x:c r="B22" s="14" t="str">
        <x:v>controlled article sections</x:v>
      </x:c>
      <x:c r="C22" s="14" t="n">
        <x:v>17</x:v>
      </x:c>
      <x:c r="D22" s="14" t="str"/>
      <x:c r="E22" s="14" t="str"/>
      <x:c r="F22" s="14" t="str">
        <x:v>OPEN</x:v>
      </x:c>
    </x:row>
    <x:row r="23" ht="18" customHeight="1">
      <x:c r="A23" s="14" t="str">
        <x:v>DB-019</x:v>
      </x:c>
      <x:c r="B23" s="14" t="str">
        <x:v>controlled article sections</x:v>
      </x:c>
      <x:c r="C23" s="14" t="n">
        <x:v>18</x:v>
      </x:c>
      <x:c r="D23" s="14" t="str"/>
      <x:c r="E23" s="14" t="str"/>
      <x:c r="F23" s="14" t="str">
        <x:v>OPEN</x:v>
      </x:c>
    </x:row>
    <x:row r="24" ht="18" customHeight="1">
      <x:c r="A24" s="14" t="str">
        <x:v>DB-020</x:v>
      </x:c>
      <x:c r="B24" s="14" t="str">
        <x:v>controlled article sections</x:v>
      </x:c>
      <x:c r="C24" s="14" t="n">
        <x:v>19</x:v>
      </x:c>
      <x:c r="D24" s="14" t="str"/>
      <x:c r="E24" s="14" t="str"/>
      <x:c r="F24" s="14" t="str">
        <x:v>OPEN</x:v>
      </x:c>
    </x:row>
    <x:row r="25" ht="18" customHeight="1">
      <x:c r="A25" s="14" t="str">
        <x:v>DB-021</x:v>
      </x:c>
      <x:c r="B25" s="14" t="str">
        <x:v>controlled article sections</x:v>
      </x:c>
      <x:c r="C25" s="14" t="n">
        <x:v>20</x:v>
      </x:c>
      <x:c r="D25" s="14" t="str"/>
      <x:c r="E25" s="14" t="str"/>
      <x:c r="F25" s="14" t="str">
        <x:v>OPEN</x:v>
      </x:c>
    </x:row>
    <x:row r="26" ht="18" customHeight="1">
      <x:c r="A26" s="14" t="str">
        <x:v>DB-022</x:v>
      </x:c>
      <x:c r="B26" s="14" t="str">
        <x:v>configuration master</x:v>
      </x:c>
      <x:c r="C26" s="14" t="n">
        <x:v>1</x:v>
      </x:c>
      <x:c r="D26" s="14" t="str"/>
      <x:c r="E26" s="14" t="str"/>
      <x:c r="F26" s="14" t="str">
        <x:v>OPEN</x:v>
      </x:c>
    </x:row>
    <x:row r="27" ht="18" customHeight="1">
      <x:c r="A27" s="14" t="str">
        <x:v>DB-023</x:v>
      </x:c>
      <x:c r="B27" s="14" t="str">
        <x:v>water package</x:v>
      </x:c>
      <x:c r="C27" s="14" t="n">
        <x:v>1</x:v>
      </x:c>
      <x:c r="D27" s="14" t="str"/>
      <x:c r="E27" s="14" t="str"/>
      <x:c r="F27" s="14" t="str">
        <x:v>OPEN</x:v>
      </x:c>
    </x:row>
    <x:row r="28" ht="18" customHeight="1">
      <x:c r="A28" s="14" t="str">
        <x:v>DB-024</x:v>
      </x:c>
      <x:c r="B28" s="14" t="str">
        <x:v>final control elements</x:v>
      </x:c>
      <x:c r="C28" s="14" t="n">
        <x:v>1</x:v>
      </x:c>
      <x:c r="D28" s="14" t="str"/>
      <x:c r="E28" s="14" t="str"/>
      <x:c r="F28" s="14" t="str">
        <x:v>OPEN</x:v>
      </x:c>
    </x:row>
    <x:row r="29" ht="18" customHeight="1">
      <x:c r="A29" s="14" t="str">
        <x:v>DB-025</x:v>
      </x:c>
      <x:c r="B29" s="14" t="str">
        <x:v>final control elements</x:v>
      </x:c>
      <x:c r="C29" s="14" t="n">
        <x:v>2</x:v>
      </x:c>
      <x:c r="D29" s="14" t="str"/>
      <x:c r="E29" s="14" t="str"/>
      <x:c r="F29" s="14" t="str">
        <x:v>OPEN</x:v>
      </x:c>
    </x:row>
    <x:row r="30" ht="18" customHeight="1">
      <x:c r="A30" s="14" t="str">
        <x:v>DB-026</x:v>
      </x:c>
      <x:c r="B30" s="14" t="str">
        <x:v>final control elements</x:v>
      </x:c>
      <x:c r="C30" s="14" t="n">
        <x:v>3</x:v>
      </x:c>
      <x:c r="D30" s="14" t="str"/>
      <x:c r="E30" s="14" t="str"/>
      <x:c r="F30" s="14" t="str">
        <x:v>OPEN</x:v>
      </x:c>
    </x:row>
    <x:row r="31" ht="18" customHeight="1">
      <x:c r="A31" s="14" t="str">
        <x:v>DB-027</x:v>
      </x:c>
      <x:c r="B31" s="14" t="str">
        <x:v>final control elements</x:v>
      </x:c>
      <x:c r="C31" s="14" t="n">
        <x:v>4</x:v>
      </x:c>
      <x:c r="D31" s="14" t="str"/>
      <x:c r="E31" s="14" t="str"/>
      <x:c r="F31" s="14" t="str">
        <x:v>OPEN</x:v>
      </x:c>
    </x:row>
    <x:row r="32" ht="18" customHeight="1">
      <x:c r="A32" s="14" t="str">
        <x:v>DB-028</x:v>
      </x:c>
      <x:c r="B32" s="14" t="str">
        <x:v>final control elements</x:v>
      </x:c>
      <x:c r="C32" s="14" t="n">
        <x:v>5</x:v>
      </x:c>
      <x:c r="D32" s="14" t="str"/>
      <x:c r="E32" s="14" t="str"/>
      <x:c r="F32" s="14" t="str">
        <x:v>OPEN</x:v>
      </x:c>
    </x:row>
    <x:row r="33" ht="18" customHeight="1">
      <x:c r="A33" s="14" t="str">
        <x:v>DB-029</x:v>
      </x:c>
      <x:c r="B33" s="14" t="str">
        <x:v>final control elements</x:v>
      </x:c>
      <x:c r="C33" s="14" t="n">
        <x:v>6</x:v>
      </x:c>
      <x:c r="D33" s="14" t="str"/>
      <x:c r="E33" s="14" t="str"/>
      <x:c r="F33" s="14" t="str">
        <x:v>OPEN</x:v>
      </x:c>
    </x:row>
    <x:row r="34" ht="18" customHeight="1">
      <x:c r="A34" s="14" t="str">
        <x:v>DB-030</x:v>
      </x:c>
      <x:c r="B34" s="14" t="str">
        <x:v>final control elements</x:v>
      </x:c>
      <x:c r="C34" s="14" t="n">
        <x:v>7</x:v>
      </x:c>
      <x:c r="D34" s="14" t="str"/>
      <x:c r="E34" s="14" t="str"/>
      <x:c r="F34" s="14" t="str">
        <x:v>OPEN</x:v>
      </x:c>
    </x:row>
    <x:row r="35" ht="18" customHeight="1">
      <x:c r="A35" s="14" t="str">
        <x:v>DB-031</x:v>
      </x:c>
      <x:c r="B35" s="14" t="str">
        <x:v>final control elements</x:v>
      </x:c>
      <x:c r="C35" s="14" t="n">
        <x:v>8</x:v>
      </x:c>
      <x:c r="D35" s="14" t="str"/>
      <x:c r="E35" s="14" t="str"/>
      <x:c r="F35" s="14" t="str">
        <x:v>OPEN</x:v>
      </x:c>
    </x:row>
    <x:row r="36" ht="18" customHeight="1">
      <x:c r="A36" s="14" t="str">
        <x:v>DB-032</x:v>
      </x:c>
      <x:c r="B36" s="14" t="str">
        <x:v>final control elements</x:v>
      </x:c>
      <x:c r="C36" s="14" t="n">
        <x:v>9</x:v>
      </x:c>
      <x:c r="D36" s="14" t="str"/>
      <x:c r="E36" s="14" t="str"/>
      <x:c r="F36" s="14" t="str">
        <x:v>OPEN</x:v>
      </x:c>
    </x:row>
    <x:row r="37" ht="18" customHeight="1">
      <x:c r="A37" s="14" t="str">
        <x:v>DB-033</x:v>
      </x:c>
      <x:c r="B37" s="14" t="str">
        <x:v>final control elements</x:v>
      </x:c>
      <x:c r="C37" s="14" t="n">
        <x:v>10</x:v>
      </x:c>
      <x:c r="D37" s="14" t="str"/>
      <x:c r="E37" s="14" t="str"/>
      <x:c r="F37" s="14" t="str">
        <x:v>OPEN</x:v>
      </x:c>
    </x:row>
    <x:row r="38" ht="18" customHeight="1">
      <x:c r="A38" s="14" t="str">
        <x:v>DB-034</x:v>
      </x:c>
      <x:c r="B38" s="14" t="str">
        <x:v>final control elements</x:v>
      </x:c>
      <x:c r="C38" s="14" t="n">
        <x:v>11</x:v>
      </x:c>
      <x:c r="D38" s="14" t="str"/>
      <x:c r="E38" s="14" t="str"/>
      <x:c r="F38" s="14" t="str">
        <x:v>OPEN</x:v>
      </x:c>
    </x:row>
    <x:row r="39" ht="18" customHeight="1">
      <x:c r="A39" s="14" t="str">
        <x:v>DB-035</x:v>
      </x:c>
      <x:c r="B39" s="14" t="str">
        <x:v>final control elements</x:v>
      </x:c>
      <x:c r="C39" s="14" t="n">
        <x:v>12</x:v>
      </x:c>
      <x:c r="D39" s="14" t="str"/>
      <x:c r="E39" s="14" t="str"/>
      <x:c r="F39" s="14" t="str">
        <x:v>OPEN</x:v>
      </x:c>
    </x:row>
    <x:row r="40" ht="18" customHeight="1">
      <x:c r="A40" s="14" t="str">
        <x:v>DB-036</x:v>
      </x:c>
      <x:c r="B40" s="14" t="str">
        <x:v>safeing paths</x:v>
      </x:c>
      <x:c r="C40" s="14" t="n">
        <x:v>1</x:v>
      </x:c>
      <x:c r="D40" s="14" t="str"/>
      <x:c r="E40" s="14" t="str"/>
      <x:c r="F40" s="14" t="str">
        <x:v>OPEN</x:v>
      </x:c>
    </x:row>
    <x:row r="41" ht="18" customHeight="1">
      <x:c r="A41" s="14" t="str">
        <x:v>DB-037</x:v>
      </x:c>
      <x:c r="B41" s="14" t="str">
        <x:v>safeing paths</x:v>
      </x:c>
      <x:c r="C41" s="14" t="n">
        <x:v>2</x:v>
      </x:c>
      <x:c r="D41" s="14" t="str"/>
      <x:c r="E41" s="14" t="str"/>
      <x:c r="F41" s="14" t="str">
        <x:v>OPEN</x:v>
      </x:c>
    </x:row>
    <x:row r="42" ht="18" customHeight="1">
      <x:c r="A42" s="14" t="str">
        <x:v>DB-038</x:v>
      </x:c>
      <x:c r="B42" s="14" t="str">
        <x:v>safeing paths</x:v>
      </x:c>
      <x:c r="C42" s="14" t="n">
        <x:v>3</x:v>
      </x:c>
      <x:c r="D42" s="14" t="str"/>
      <x:c r="E42" s="14" t="str"/>
      <x:c r="F42" s="14" t="str">
        <x:v>OPEN</x:v>
      </x:c>
    </x:row>
    <x:row r="43" ht="18" customHeight="1">
      <x:c r="A43" s="14" t="str">
        <x:v>DB-039</x:v>
      </x:c>
      <x:c r="B43" s="14" t="str">
        <x:v>safeing paths</x:v>
      </x:c>
      <x:c r="C43" s="14" t="n">
        <x:v>4</x:v>
      </x:c>
      <x:c r="D43" s="14" t="str"/>
      <x:c r="E43" s="14" t="str"/>
      <x:c r="F43" s="14" t="str">
        <x:v>OPEN</x:v>
      </x:c>
    </x:row>
    <x:row r="44" ht="18" customHeight="1">
      <x:c r="A44" s="14" t="str">
        <x:v>DB-040</x:v>
      </x:c>
      <x:c r="B44" s="14" t="str">
        <x:v>safeing paths</x:v>
      </x:c>
      <x:c r="C44" s="14" t="n">
        <x:v>5</x:v>
      </x:c>
      <x:c r="D44" s="14" t="str"/>
      <x:c r="E44" s="14" t="str"/>
      <x:c r="F44" s="14" t="str">
        <x:v>OPEN</x:v>
      </x:c>
    </x:row>
    <x:row r="45" ht="18" customHeight="1">
      <x:c r="A45" s="14" t="str">
        <x:v>DB-041</x:v>
      </x:c>
      <x:c r="B45" s="14" t="str">
        <x:v>safeing paths</x:v>
      </x:c>
      <x:c r="C45" s="14" t="n">
        <x:v>6</x:v>
      </x:c>
      <x:c r="D45" s="14" t="str"/>
      <x:c r="E45" s="14" t="str"/>
      <x:c r="F45" s="14" t="str">
        <x:v>OPEN</x:v>
      </x:c>
    </x:row>
    <x:row r="46" ht="18" customHeight="1">
      <x:c r="A46" s="14" t="str">
        <x:v>DB-042</x:v>
      </x:c>
      <x:c r="B46" s="14" t="str">
        <x:v>safeing paths</x:v>
      </x:c>
      <x:c r="C46" s="14" t="n">
        <x:v>7</x:v>
      </x:c>
      <x:c r="D46" s="14" t="str"/>
      <x:c r="E46" s="14" t="str"/>
      <x:c r="F46" s="14" t="str">
        <x:v>OPEN</x:v>
      </x:c>
    </x:row>
    <x:row r="47" ht="18" customHeight="1">
      <x:c r="A47" s="14" t="str">
        <x:v>DB-043</x:v>
      </x:c>
      <x:c r="B47" s="14" t="str">
        <x:v>safeing paths</x:v>
      </x:c>
      <x:c r="C47" s="14" t="n">
        <x:v>8</x:v>
      </x:c>
      <x:c r="D47" s="14" t="str"/>
      <x:c r="E47" s="14" t="str"/>
      <x:c r="F47" s="14" t="str">
        <x:v>OPEN</x:v>
      </x:c>
    </x:row>
    <x:row r="48" ht="18" customHeight="1">
      <x:c r="A48" s="14" t="str">
        <x:v>DB-044</x:v>
      </x:c>
      <x:c r="B48" s="14" t="str">
        <x:v>safeing paths</x:v>
      </x:c>
      <x:c r="C48" s="14" t="n">
        <x:v>9</x:v>
      </x:c>
      <x:c r="D48" s="14" t="str"/>
      <x:c r="E48" s="14" t="str"/>
      <x:c r="F48" s="14" t="str">
        <x:v>OPEN</x:v>
      </x:c>
    </x:row>
    <x:row r="49" ht="18" customHeight="1">
      <x:c r="A49" s="14" t="str">
        <x:v>DB-045</x:v>
      </x:c>
      <x:c r="B49" s="14" t="str">
        <x:v>safeing paths</x:v>
      </x:c>
      <x:c r="C49" s="14" t="n">
        <x:v>10</x:v>
      </x:c>
      <x:c r="D49" s="14" t="str"/>
      <x:c r="E49" s="14" t="str"/>
      <x:c r="F49" s="14" t="str">
        <x:v>OPEN</x:v>
      </x:c>
    </x:row>
    <x:row r="50" ht="18" customHeight="1">
      <x:c r="A50" s="14" t="str">
        <x:v>DB-046</x:v>
      </x:c>
      <x:c r="B50" s="14" t="str">
        <x:v>safeing paths</x:v>
      </x:c>
      <x:c r="C50" s="14" t="n">
        <x:v>11</x:v>
      </x:c>
      <x:c r="D50" s="14" t="str"/>
      <x:c r="E50" s="14" t="str"/>
      <x:c r="F50" s="14" t="str">
        <x:v>OPEN</x:v>
      </x:c>
    </x:row>
    <x:row r="51" ht="18" customHeight="1">
      <x:c r="A51" s="14" t="str">
        <x:v>DB-047</x:v>
      </x:c>
      <x:c r="B51" s="14" t="str">
        <x:v>safeing paths</x:v>
      </x:c>
      <x:c r="C51" s="14" t="n">
        <x:v>12</x:v>
      </x:c>
      <x:c r="D51" s="14" t="str"/>
      <x:c r="E51" s="14" t="str"/>
      <x:c r="F51" s="14" t="str">
        <x:v>OPEN</x:v>
      </x:c>
    </x:row>
    <x:row r="52" ht="18" customHeight="1">
      <x:c r="A52" s="14" t="str">
        <x:v>DB-048</x:v>
      </x:c>
      <x:c r="B52" s="14" t="str">
        <x:v>safeing paths</x:v>
      </x:c>
      <x:c r="C52" s="14" t="n">
        <x:v>13</x:v>
      </x:c>
      <x:c r="D52" s="14" t="str"/>
      <x:c r="E52" s="14" t="str"/>
      <x:c r="F52" s="14" t="str">
        <x:v>OPEN</x:v>
      </x:c>
    </x:row>
    <x:row r="53" ht="18" customHeight="1">
      <x:c r="A53" s="14" t="str">
        <x:v>DB-049</x:v>
      </x:c>
      <x:c r="B53" s="14" t="str">
        <x:v>safeing paths</x:v>
      </x:c>
      <x:c r="C53" s="14" t="n">
        <x:v>14</x:v>
      </x:c>
      <x:c r="D53" s="14" t="str"/>
      <x:c r="E53" s="14" t="str"/>
      <x:c r="F53" s="14" t="str">
        <x:v>OPEN</x:v>
      </x:c>
    </x:row>
    <x:row r="54" ht="18" customHeight="1">
      <x:c r="A54" s="14" t="str">
        <x:v>DB-050</x:v>
      </x:c>
      <x:c r="B54" s="14" t="str">
        <x:v>safeing paths</x:v>
      </x:c>
      <x:c r="C54" s="14" t="n">
        <x:v>15</x:v>
      </x:c>
      <x:c r="D54" s="14" t="str"/>
      <x:c r="E54" s="14" t="str"/>
      <x:c r="F54" s="14" t="str">
        <x:v>OPEN</x:v>
      </x:c>
    </x:row>
    <x:row r="55" ht="18" customHeight="1">
      <x:c r="A55" s="14" t="str">
        <x:v>DB-051</x:v>
      </x:c>
      <x:c r="B55" s="14" t="str">
        <x:v>safeing paths</x:v>
      </x:c>
      <x:c r="C55" s="14" t="n">
        <x:v>16</x:v>
      </x:c>
      <x:c r="D55" s="14" t="str"/>
      <x:c r="E55" s="14" t="str"/>
      <x:c r="F55" s="14" t="str">
        <x:v>OPEN</x:v>
      </x:c>
    </x:row>
    <x:row r="56" ht="18" customHeight="1">
      <x:c r="A56" s="14" t="str">
        <x:v>DB-052</x:v>
      </x:c>
      <x:c r="B56" s="14" t="str">
        <x:v>safeing paths</x:v>
      </x:c>
      <x:c r="C56" s="14" t="n">
        <x:v>17</x:v>
      </x:c>
      <x:c r="D56" s="14" t="str"/>
      <x:c r="E56" s="14" t="str"/>
      <x:c r="F56" s="14" t="str">
        <x:v>OPEN</x:v>
      </x:c>
    </x:row>
    <x:row r="57" ht="18" customHeight="1">
      <x:c r="A57" s="14" t="str">
        <x:v>DB-053</x:v>
      </x:c>
      <x:c r="B57" s="14" t="str">
        <x:v>safeing paths</x:v>
      </x:c>
      <x:c r="C57" s="14" t="n">
        <x:v>18</x:v>
      </x:c>
      <x:c r="D57" s="14" t="str"/>
      <x:c r="E57" s="14" t="str"/>
      <x:c r="F57" s="14" t="str">
        <x:v>OPEN</x:v>
      </x:c>
    </x:row>
    <x:row r="58" ht="18" customHeight="1">
      <x:c r="A58" s="14" t="str">
        <x:v>DB-054</x:v>
      </x:c>
      <x:c r="B58" s="14" t="str">
        <x:v>safeing paths</x:v>
      </x:c>
      <x:c r="C58" s="14" t="n">
        <x:v>19</x:v>
      </x:c>
      <x:c r="D58" s="14" t="str"/>
      <x:c r="E58" s="14" t="str"/>
      <x:c r="F58" s="14" t="str">
        <x:v>OPEN</x:v>
      </x:c>
    </x:row>
    <x:row r="59" ht="18" customHeight="1">
      <x:c r="A59" s="14" t="str">
        <x:v>DB-055</x:v>
      </x:c>
      <x:c r="B59" s="14" t="str">
        <x:v>safeing paths</x:v>
      </x:c>
      <x:c r="C59" s="14" t="n">
        <x:v>20</x:v>
      </x:c>
      <x:c r="D59" s="14" t="str"/>
      <x:c r="E59" s="14" t="str"/>
      <x:c r="F59" s="14" t="str">
        <x:v>OPEN</x:v>
      </x:c>
    </x:row>
    <x:row r="60" ht="18" customHeight="1">
      <x:c r="A60" s="14" t="str">
        <x:v>DB-056</x:v>
      </x:c>
      <x:c r="B60" s="14" t="str">
        <x:v>safeing paths</x:v>
      </x:c>
      <x:c r="C60" s="14" t="n">
        <x:v>21</x:v>
      </x:c>
      <x:c r="D60" s="14" t="str"/>
      <x:c r="E60" s="14" t="str"/>
      <x:c r="F60" s="14" t="str">
        <x:v>OPEN</x:v>
      </x:c>
    </x:row>
    <x:row r="61" ht="18" customHeight="1">
      <x:c r="A61" s="14" t="str">
        <x:v>DB-057</x:v>
      </x:c>
      <x:c r="B61" s="14" t="str">
        <x:v>safeing paths</x:v>
      </x:c>
      <x:c r="C61" s="14" t="n">
        <x:v>22</x:v>
      </x:c>
      <x:c r="D61" s="14" t="str"/>
      <x:c r="E61" s="14" t="str"/>
      <x:c r="F61" s="14" t="str">
        <x:v>OPEN</x:v>
      </x:c>
    </x:row>
    <x:row r="62" ht="18" customHeight="1">
      <x:c r="A62" s="14" t="str">
        <x:v>DB-058</x:v>
      </x:c>
      <x:c r="B62" s="14" t="str">
        <x:v>safeing paths</x:v>
      </x:c>
      <x:c r="C62" s="14" t="n">
        <x:v>23</x:v>
      </x:c>
      <x:c r="D62" s="14" t="str"/>
      <x:c r="E62" s="14" t="str"/>
      <x:c r="F62" s="14" t="str">
        <x:v>OPEN</x:v>
      </x:c>
    </x:row>
    <x:row r="63" ht="18" customHeight="1">
      <x:c r="A63" s="14" t="str">
        <x:v>DB-059</x:v>
      </x:c>
      <x:c r="B63" s="14" t="str">
        <x:v>safeing paths</x:v>
      </x:c>
      <x:c r="C63" s="14" t="n">
        <x:v>24</x:v>
      </x:c>
      <x:c r="D63" s="14" t="str"/>
      <x:c r="E63" s="14" t="str"/>
      <x:c r="F63" s="14" t="str">
        <x:v>OPEN</x:v>
      </x:c>
    </x:row>
    <x:row r="64" ht="18" customHeight="1">
      <x:c r="A64" s="14" t="str">
        <x:v>DB-060</x:v>
      </x:c>
      <x:c r="B64" s="14" t="str">
        <x:v>safeing paths</x:v>
      </x:c>
      <x:c r="C64" s="14" t="n">
        <x:v>25</x:v>
      </x:c>
      <x:c r="D64" s="14" t="str"/>
      <x:c r="E64" s="14" t="str"/>
      <x:c r="F64" s="14" t="str">
        <x:v>OPEN</x:v>
      </x:c>
    </x:row>
    <x:row r="65" ht="18" customHeight="1">
      <x:c r="A65" s="14" t="str">
        <x:v>DB-061</x:v>
      </x:c>
      <x:c r="B65" s="14" t="str">
        <x:v>safeing paths</x:v>
      </x:c>
      <x:c r="C65" s="14" t="n">
        <x:v>26</x:v>
      </x:c>
      <x:c r="D65" s="14" t="str"/>
      <x:c r="E65" s="14" t="str"/>
      <x:c r="F65" s="14" t="str">
        <x:v>OPEN</x:v>
      </x:c>
    </x:row>
    <x:row r="66" ht="18" customHeight="1">
      <x:c r="A66" s="14" t="str">
        <x:v>DB-062</x:v>
      </x:c>
      <x:c r="B66" s="14" t="str">
        <x:v>safeing paths</x:v>
      </x:c>
      <x:c r="C66" s="14" t="n">
        <x:v>27</x:v>
      </x:c>
      <x:c r="D66" s="14" t="str"/>
      <x:c r="E66" s="14" t="str"/>
      <x:c r="F66" s="14" t="str">
        <x:v>OPEN</x:v>
      </x:c>
    </x:row>
    <x:row r="67" ht="18" customHeight="1">
      <x:c r="A67" s="14" t="str">
        <x:v>DB-063</x:v>
      </x:c>
      <x:c r="B67" s="14" t="str">
        <x:v>safeing paths</x:v>
      </x:c>
      <x:c r="C67" s="14" t="n">
        <x:v>28</x:v>
      </x:c>
      <x:c r="D67" s="14" t="str"/>
      <x:c r="E67" s="14" t="str"/>
      <x:c r="F67" s="14" t="str">
        <x:v>OPEN</x:v>
      </x:c>
    </x:row>
    <x:row r="68" ht="18" customHeight="1">
      <x:c r="A68" s="14" t="str">
        <x:v>DB-064</x:v>
      </x:c>
      <x:c r="B68" s="14" t="str">
        <x:v>safeing paths</x:v>
      </x:c>
      <x:c r="C68" s="14" t="n">
        <x:v>29</x:v>
      </x:c>
      <x:c r="D68" s="14" t="str"/>
      <x:c r="E68" s="14" t="str"/>
      <x:c r="F68" s="14" t="str">
        <x:v>OPEN</x:v>
      </x:c>
    </x:row>
    <x:row r="69" ht="18" customHeight="1">
      <x:c r="A69" s="14" t="str">
        <x:v>DB-065</x:v>
      </x:c>
      <x:c r="B69" s="14" t="str">
        <x:v>safeing paths</x:v>
      </x:c>
      <x:c r="C69" s="14" t="n">
        <x:v>30</x:v>
      </x:c>
      <x:c r="D69" s="14" t="str"/>
      <x:c r="E69" s="14" t="str"/>
      <x:c r="F69" s="14" t="str">
        <x:v>OPEN</x:v>
      </x:c>
    </x:row>
    <x:row r="70" ht="18" customHeight="1">
      <x:c r="A70" s="14" t="str">
        <x:v>DB-066</x:v>
      </x:c>
      <x:c r="B70" s="14" t="str">
        <x:v>safeing paths</x:v>
      </x:c>
      <x:c r="C70" s="14" t="n">
        <x:v>31</x:v>
      </x:c>
      <x:c r="D70" s="14" t="str"/>
      <x:c r="E70" s="14" t="str"/>
      <x:c r="F70" s="14" t="str">
        <x:v>OPEN</x:v>
      </x:c>
    </x:row>
    <x:row r="71" ht="18" customHeight="1">
      <x:c r="A71" s="14" t="str">
        <x:v>DB-067</x:v>
      </x:c>
      <x:c r="B71" s="14" t="str">
        <x:v>safeing paths</x:v>
      </x:c>
      <x:c r="C71" s="14" t="n">
        <x:v>32</x:v>
      </x:c>
      <x:c r="D71" s="14" t="str"/>
      <x:c r="E71" s="14" t="str"/>
      <x:c r="F71" s="14" t="str">
        <x:v>OPEN</x:v>
      </x:c>
    </x:row>
    <x:row r="72" ht="18" customHeight="1">
      <x:c r="A72" s="14" t="str">
        <x:v>DB-068</x:v>
      </x:c>
      <x:c r="B72" s="14" t="str">
        <x:v>safeing paths</x:v>
      </x:c>
      <x:c r="C72" s="14" t="n">
        <x:v>33</x:v>
      </x:c>
      <x:c r="D72" s="14" t="str"/>
      <x:c r="E72" s="14" t="str"/>
      <x:c r="F72" s="14" t="str">
        <x:v>OPEN</x:v>
      </x:c>
    </x:row>
    <x:row r="73" ht="18" customHeight="1">
      <x:c r="A73" s="14" t="str">
        <x:v>DB-069</x:v>
      </x:c>
      <x:c r="B73" s="14" t="str">
        <x:v>safeing paths</x:v>
      </x:c>
      <x:c r="C73" s="14" t="n">
        <x:v>34</x:v>
      </x:c>
      <x:c r="D73" s="14" t="str"/>
      <x:c r="E73" s="14" t="str"/>
      <x:c r="F73" s="14" t="str">
        <x:v>OPEN</x:v>
      </x:c>
    </x:row>
    <x:row r="74" ht="18" customHeight="1">
      <x:c r="A74" s="14" t="str">
        <x:v>DB-070</x:v>
      </x:c>
      <x:c r="B74" s="14" t="str">
        <x:v>safeing paths</x:v>
      </x:c>
      <x:c r="C74" s="14" t="n">
        <x:v>35</x:v>
      </x:c>
      <x:c r="D74" s="14" t="str"/>
      <x:c r="E74" s="14" t="str"/>
      <x:c r="F74" s="14" t="str">
        <x:v>OPEN</x:v>
      </x:c>
    </x:row>
    <x:row r="75" ht="18" customHeight="1">
      <x:c r="A75" s="14" t="str">
        <x:v>DB-071</x:v>
      </x:c>
      <x:c r="B75" s="14" t="str">
        <x:v>safeing paths</x:v>
      </x:c>
      <x:c r="C75" s="14" t="n">
        <x:v>36</x:v>
      </x:c>
      <x:c r="D75" s="14" t="str"/>
      <x:c r="E75" s="14" t="str"/>
      <x:c r="F75" s="14" t="str">
        <x:v>OPEN</x:v>
      </x:c>
    </x:row>
    <x:row r="76" ht="18" customHeight="1">
      <x:c r="A76" s="14" t="str">
        <x:v>DB-072</x:v>
      </x:c>
      <x:c r="B76" s="14" t="str">
        <x:v>path proofs</x:v>
      </x:c>
      <x:c r="C76" s="14" t="n">
        <x:v>1</x:v>
      </x:c>
      <x:c r="D76" s="14" t="str"/>
      <x:c r="E76" s="14" t="str"/>
      <x:c r="F76" s="14" t="str">
        <x:v>OPEN</x:v>
      </x:c>
    </x:row>
    <x:row r="77" ht="18" customHeight="1">
      <x:c r="A77" s="14" t="str">
        <x:v>DB-073</x:v>
      </x:c>
      <x:c r="B77" s="14" t="str">
        <x:v>path proofs</x:v>
      </x:c>
      <x:c r="C77" s="14" t="n">
        <x:v>2</x:v>
      </x:c>
      <x:c r="D77" s="14" t="str"/>
      <x:c r="E77" s="14" t="str"/>
      <x:c r="F77" s="14" t="str">
        <x:v>OPEN</x:v>
      </x:c>
    </x:row>
    <x:row r="78" ht="18" customHeight="1">
      <x:c r="A78" s="14" t="str">
        <x:v>DB-074</x:v>
      </x:c>
      <x:c r="B78" s="14" t="str">
        <x:v>path proofs</x:v>
      </x:c>
      <x:c r="C78" s="14" t="n">
        <x:v>3</x:v>
      </x:c>
      <x:c r="D78" s="14" t="str"/>
      <x:c r="E78" s="14" t="str"/>
      <x:c r="F78" s="14" t="str">
        <x:v>OPEN</x:v>
      </x:c>
    </x:row>
    <x:row r="79" ht="18" customHeight="1">
      <x:c r="A79" s="14" t="str">
        <x:v>DB-075</x:v>
      </x:c>
      <x:c r="B79" s="14" t="str">
        <x:v>path proofs</x:v>
      </x:c>
      <x:c r="C79" s="14" t="n">
        <x:v>4</x:v>
      </x:c>
      <x:c r="D79" s="14" t="str"/>
      <x:c r="E79" s="14" t="str"/>
      <x:c r="F79" s="14" t="str">
        <x:v>OPEN</x:v>
      </x:c>
    </x:row>
    <x:row r="80" ht="18" customHeight="1">
      <x:c r="A80" s="14" t="str">
        <x:v>DB-076</x:v>
      </x:c>
      <x:c r="B80" s="14" t="str">
        <x:v>path proofs</x:v>
      </x:c>
      <x:c r="C80" s="14" t="n">
        <x:v>5</x:v>
      </x:c>
      <x:c r="D80" s="14" t="str"/>
      <x:c r="E80" s="14" t="str"/>
      <x:c r="F80" s="14" t="str">
        <x:v>OPEN</x:v>
      </x:c>
    </x:row>
    <x:row r="81" ht="18" customHeight="1">
      <x:c r="A81" s="14" t="str">
        <x:v>DB-077</x:v>
      </x:c>
      <x:c r="B81" s="14" t="str">
        <x:v>path proofs</x:v>
      </x:c>
      <x:c r="C81" s="14" t="n">
        <x:v>6</x:v>
      </x:c>
      <x:c r="D81" s="14" t="str"/>
      <x:c r="E81" s="14" t="str"/>
      <x:c r="F81" s="14" t="str">
        <x:v>OPEN</x:v>
      </x:c>
    </x:row>
    <x:row r="82" ht="18" customHeight="1">
      <x:c r="A82" s="14" t="str">
        <x:v>DB-078</x:v>
      </x:c>
      <x:c r="B82" s="14" t="str">
        <x:v>path proofs</x:v>
      </x:c>
      <x:c r="C82" s="14" t="n">
        <x:v>7</x:v>
      </x:c>
      <x:c r="D82" s="14" t="str"/>
      <x:c r="E82" s="14" t="str"/>
      <x:c r="F82" s="14" t="str">
        <x:v>OPEN</x:v>
      </x:c>
    </x:row>
    <x:row r="83" ht="18" customHeight="1">
      <x:c r="A83" s="14" t="str">
        <x:v>DB-079</x:v>
      </x:c>
      <x:c r="B83" s="14" t="str">
        <x:v>path proofs</x:v>
      </x:c>
      <x:c r="C83" s="14" t="n">
        <x:v>8</x:v>
      </x:c>
      <x:c r="D83" s="14" t="str"/>
      <x:c r="E83" s="14" t="str"/>
      <x:c r="F83" s="14" t="str">
        <x:v>OPEN</x:v>
      </x:c>
    </x:row>
    <x:row r="84" ht="18" customHeight="1">
      <x:c r="A84" s="14" t="str">
        <x:v>DB-080</x:v>
      </x:c>
      <x:c r="B84" s="14" t="str">
        <x:v>path proofs</x:v>
      </x:c>
      <x:c r="C84" s="14" t="n">
        <x:v>9</x:v>
      </x:c>
      <x:c r="D84" s="14" t="str"/>
      <x:c r="E84" s="14" t="str"/>
      <x:c r="F84" s="14" t="str">
        <x:v>OPEN</x:v>
      </x:c>
    </x:row>
    <x:row r="85" ht="18" customHeight="1">
      <x:c r="A85" s="14" t="str">
        <x:v>DB-081</x:v>
      </x:c>
      <x:c r="B85" s="14" t="str">
        <x:v>path proofs</x:v>
      </x:c>
      <x:c r="C85" s="14" t="n">
        <x:v>10</x:v>
      </x:c>
      <x:c r="D85" s="14" t="str"/>
      <x:c r="E85" s="14" t="str"/>
      <x:c r="F85" s="14" t="str">
        <x:v>OPEN</x:v>
      </x:c>
    </x:row>
    <x:row r="86" ht="18" customHeight="1">
      <x:c r="A86" s="14" t="str">
        <x:v>DB-082</x:v>
      </x:c>
      <x:c r="B86" s="14" t="str">
        <x:v>path proofs</x:v>
      </x:c>
      <x:c r="C86" s="14" t="n">
        <x:v>11</x:v>
      </x:c>
      <x:c r="D86" s="14" t="str"/>
      <x:c r="E86" s="14" t="str"/>
      <x:c r="F86" s="14" t="str">
        <x:v>OPEN</x:v>
      </x:c>
    </x:row>
    <x:row r="87" ht="18" customHeight="1">
      <x:c r="A87" s="14" t="str">
        <x:v>DB-083</x:v>
      </x:c>
      <x:c r="B87" s="14" t="str">
        <x:v>path proofs</x:v>
      </x:c>
      <x:c r="C87" s="14" t="n">
        <x:v>12</x:v>
      </x:c>
      <x:c r="D87" s="14" t="str"/>
      <x:c r="E87" s="14" t="str"/>
      <x:c r="F87" s="14" t="str">
        <x:v>OPEN</x:v>
      </x:c>
    </x:row>
    <x:row r="88" ht="18" customHeight="1">
      <x:c r="A88" s="14" t="str">
        <x:v>DB-084</x:v>
      </x:c>
      <x:c r="B88" s="14" t="str">
        <x:v>path proofs</x:v>
      </x:c>
      <x:c r="C88" s="14" t="n">
        <x:v>13</x:v>
      </x:c>
      <x:c r="D88" s="14" t="str"/>
      <x:c r="E88" s="14" t="str"/>
      <x:c r="F88" s="14" t="str">
        <x:v>OPEN</x:v>
      </x:c>
    </x:row>
    <x:row r="89" ht="18" customHeight="1">
      <x:c r="A89" s="14" t="str">
        <x:v>DB-085</x:v>
      </x:c>
      <x:c r="B89" s="14" t="str">
        <x:v>path proofs</x:v>
      </x:c>
      <x:c r="C89" s="14" t="n">
        <x:v>14</x:v>
      </x:c>
      <x:c r="D89" s="14" t="str"/>
      <x:c r="E89" s="14" t="str"/>
      <x:c r="F89" s="14" t="str">
        <x:v>OPEN</x:v>
      </x:c>
    </x:row>
    <x:row r="90" ht="18" customHeight="1">
      <x:c r="A90" s="14" t="str">
        <x:v>DB-086</x:v>
      </x:c>
      <x:c r="B90" s="14" t="str">
        <x:v>path proofs</x:v>
      </x:c>
      <x:c r="C90" s="14" t="n">
        <x:v>15</x:v>
      </x:c>
      <x:c r="D90" s="14" t="str"/>
      <x:c r="E90" s="14" t="str"/>
      <x:c r="F90" s="14" t="str">
        <x:v>OPEN</x:v>
      </x:c>
    </x:row>
    <x:row r="91" ht="18" customHeight="1">
      <x:c r="A91" s="14" t="str">
        <x:v>DB-087</x:v>
      </x:c>
      <x:c r="B91" s="14" t="str">
        <x:v>path proofs</x:v>
      </x:c>
      <x:c r="C91" s="14" t="n">
        <x:v>16</x:v>
      </x:c>
      <x:c r="D91" s="14" t="str"/>
      <x:c r="E91" s="14" t="str"/>
      <x:c r="F91" s="14" t="str">
        <x:v>OPEN</x:v>
      </x:c>
    </x:row>
    <x:row r="92" ht="18" customHeight="1">
      <x:c r="A92" s="14" t="str">
        <x:v>DB-088</x:v>
      </x:c>
      <x:c r="B92" s="14" t="str">
        <x:v>path proofs</x:v>
      </x:c>
      <x:c r="C92" s="14" t="n">
        <x:v>17</x:v>
      </x:c>
      <x:c r="D92" s="14" t="str"/>
      <x:c r="E92" s="14" t="str"/>
      <x:c r="F92" s="14" t="str">
        <x:v>OPEN</x:v>
      </x:c>
    </x:row>
    <x:row r="93" ht="18" customHeight="1">
      <x:c r="A93" s="14" t="str">
        <x:v>DB-089</x:v>
      </x:c>
      <x:c r="B93" s="14" t="str">
        <x:v>path proofs</x:v>
      </x:c>
      <x:c r="C93" s="14" t="n">
        <x:v>18</x:v>
      </x:c>
      <x:c r="D93" s="14" t="str"/>
      <x:c r="E93" s="14" t="str"/>
      <x:c r="F93" s="14" t="str">
        <x:v>OPEN</x:v>
      </x:c>
    </x:row>
    <x:row r="94" ht="18" customHeight="1">
      <x:c r="A94" s="14" t="str">
        <x:v>DB-090</x:v>
      </x:c>
      <x:c r="B94" s="14" t="str">
        <x:v>path proofs</x:v>
      </x:c>
      <x:c r="C94" s="14" t="n">
        <x:v>19</x:v>
      </x:c>
      <x:c r="D94" s="14" t="str"/>
      <x:c r="E94" s="14" t="str"/>
      <x:c r="F94" s="14" t="str">
        <x:v>OPEN</x:v>
      </x:c>
    </x:row>
    <x:row r="95" ht="18" customHeight="1">
      <x:c r="A95" s="14" t="str">
        <x:v>DB-091</x:v>
      </x:c>
      <x:c r="B95" s="14" t="str">
        <x:v>path proofs</x:v>
      </x:c>
      <x:c r="C95" s="14" t="n">
        <x:v>20</x:v>
      </x:c>
      <x:c r="D95" s="14" t="str"/>
      <x:c r="E95" s="14" t="str"/>
      <x:c r="F95" s="14" t="str">
        <x:v>OPEN</x:v>
      </x:c>
    </x:row>
    <x:row r="96" ht="18" customHeight="1">
      <x:c r="A96" s="14" t="str">
        <x:v>DB-092</x:v>
      </x:c>
      <x:c r="B96" s="14" t="str">
        <x:v>path proofs</x:v>
      </x:c>
      <x:c r="C96" s="14" t="n">
        <x:v>21</x:v>
      </x:c>
      <x:c r="D96" s="14" t="str"/>
      <x:c r="E96" s="14" t="str"/>
      <x:c r="F96" s="14" t="str">
        <x:v>OPEN</x:v>
      </x:c>
    </x:row>
    <x:row r="97" ht="18" customHeight="1">
      <x:c r="A97" s="14" t="str">
        <x:v>DB-093</x:v>
      </x:c>
      <x:c r="B97" s="14" t="str">
        <x:v>path proofs</x:v>
      </x:c>
      <x:c r="C97" s="14" t="n">
        <x:v>22</x:v>
      </x:c>
      <x:c r="D97" s="14" t="str"/>
      <x:c r="E97" s="14" t="str"/>
      <x:c r="F97" s="14" t="str">
        <x:v>OPEN</x:v>
      </x:c>
    </x:row>
    <x:row r="98" ht="18" customHeight="1">
      <x:c r="A98" s="14" t="str">
        <x:v>DB-094</x:v>
      </x:c>
      <x:c r="B98" s="14" t="str">
        <x:v>path proofs</x:v>
      </x:c>
      <x:c r="C98" s="14" t="n">
        <x:v>23</x:v>
      </x:c>
      <x:c r="D98" s="14" t="str"/>
      <x:c r="E98" s="14" t="str"/>
      <x:c r="F98" s="14" t="str">
        <x:v>OPEN</x:v>
      </x:c>
    </x:row>
    <x:row r="99" ht="18" customHeight="1">
      <x:c r="A99" s="14" t="str">
        <x:v>DB-095</x:v>
      </x:c>
      <x:c r="B99" s="14" t="str">
        <x:v>path proofs</x:v>
      </x:c>
      <x:c r="C99" s="14" t="n">
        <x:v>24</x:v>
      </x:c>
      <x:c r="D99" s="14" t="str"/>
      <x:c r="E99" s="14" t="str"/>
      <x:c r="F99" s="14" t="str">
        <x:v>OPEN</x:v>
      </x:c>
    </x:row>
    <x:row r="100" ht="18" customHeight="1">
      <x:c r="A100" s="14" t="str">
        <x:v>DB-096</x:v>
      </x:c>
      <x:c r="B100" s="14" t="str">
        <x:v>path proofs</x:v>
      </x:c>
      <x:c r="C100" s="14" t="n">
        <x:v>25</x:v>
      </x:c>
      <x:c r="D100" s="14" t="str"/>
      <x:c r="E100" s="14" t="str"/>
      <x:c r="F100" s="14" t="str">
        <x:v>OPEN</x:v>
      </x:c>
    </x:row>
    <x:row r="101" ht="18" customHeight="1">
      <x:c r="A101" s="14" t="str">
        <x:v>DB-097</x:v>
      </x:c>
      <x:c r="B101" s="14" t="str">
        <x:v>path proofs</x:v>
      </x:c>
      <x:c r="C101" s="14" t="n">
        <x:v>26</x:v>
      </x:c>
      <x:c r="D101" s="14" t="str"/>
      <x:c r="E101" s="14" t="str"/>
      <x:c r="F101" s="14" t="str">
        <x:v>OPEN</x:v>
      </x:c>
    </x:row>
    <x:row r="102" ht="18" customHeight="1">
      <x:c r="A102" s="14" t="str">
        <x:v>DB-098</x:v>
      </x:c>
      <x:c r="B102" s="14" t="str">
        <x:v>path proofs</x:v>
      </x:c>
      <x:c r="C102" s="14" t="n">
        <x:v>27</x:v>
      </x:c>
      <x:c r="D102" s="14" t="str"/>
      <x:c r="E102" s="14" t="str"/>
      <x:c r="F102" s="14" t="str">
        <x:v>OPEN</x:v>
      </x:c>
    </x:row>
    <x:row r="103" ht="18" customHeight="1">
      <x:c r="A103" s="14" t="str">
        <x:v>DB-099</x:v>
      </x:c>
      <x:c r="B103" s="14" t="str">
        <x:v>path proofs</x:v>
      </x:c>
      <x:c r="C103" s="14" t="n">
        <x:v>28</x:v>
      </x:c>
      <x:c r="D103" s="14" t="str"/>
      <x:c r="E103" s="14" t="str"/>
      <x:c r="F103" s="14" t="str">
        <x:v>OPEN</x:v>
      </x:c>
    </x:row>
    <x:row r="104" ht="18" customHeight="1">
      <x:c r="A104" s="14" t="str">
        <x:v>DB-100</x:v>
      </x:c>
      <x:c r="B104" s="14" t="str">
        <x:v>path proofs</x:v>
      </x:c>
      <x:c r="C104" s="14" t="n">
        <x:v>29</x:v>
      </x:c>
      <x:c r="D104" s="14" t="str"/>
      <x:c r="E104" s="14" t="str"/>
      <x:c r="F104" s="14" t="str">
        <x:v>OPEN</x:v>
      </x:c>
    </x:row>
    <x:row r="105" ht="18" customHeight="1">
      <x:c r="A105" s="14" t="str">
        <x:v>DB-101</x:v>
      </x:c>
      <x:c r="B105" s="14" t="str">
        <x:v>path proofs</x:v>
      </x:c>
      <x:c r="C105" s="14" t="n">
        <x:v>30</x:v>
      </x:c>
      <x:c r="D105" s="14" t="str"/>
      <x:c r="E105" s="14" t="str"/>
      <x:c r="F105" s="14" t="str">
        <x:v>OPEN</x:v>
      </x:c>
    </x:row>
    <x:row r="106" ht="18" customHeight="1">
      <x:c r="A106" s="14" t="str">
        <x:v>DB-102</x:v>
      </x:c>
      <x:c r="B106" s="14" t="str">
        <x:v>path proofs</x:v>
      </x:c>
      <x:c r="C106" s="14" t="n">
        <x:v>31</x:v>
      </x:c>
      <x:c r="D106" s="14" t="str"/>
      <x:c r="E106" s="14" t="str"/>
      <x:c r="F106" s="14" t="str">
        <x:v>OPEN</x:v>
      </x:c>
    </x:row>
    <x:row r="107" ht="18" customHeight="1">
      <x:c r="A107" s="14" t="str">
        <x:v>DB-103</x:v>
      </x:c>
      <x:c r="B107" s="14" t="str">
        <x:v>path proofs</x:v>
      </x:c>
      <x:c r="C107" s="14" t="n">
        <x:v>32</x:v>
      </x:c>
      <x:c r="D107" s="14" t="str"/>
      <x:c r="E107" s="14" t="str"/>
      <x:c r="F107" s="14" t="str">
        <x:v>OPEN</x:v>
      </x:c>
    </x:row>
    <x:row r="108" ht="18" customHeight="1">
      <x:c r="A108" s="14" t="str">
        <x:v>DB-104</x:v>
      </x:c>
      <x:c r="B108" s="14" t="str">
        <x:v>path proofs</x:v>
      </x:c>
      <x:c r="C108" s="14" t="n">
        <x:v>33</x:v>
      </x:c>
      <x:c r="D108" s="14" t="str"/>
      <x:c r="E108" s="14" t="str"/>
      <x:c r="F108" s="14" t="str">
        <x:v>OPEN</x:v>
      </x:c>
    </x:row>
    <x:row r="109" ht="18" customHeight="1">
      <x:c r="A109" s="14" t="str">
        <x:v>DB-105</x:v>
      </x:c>
      <x:c r="B109" s="14" t="str">
        <x:v>path proofs</x:v>
      </x:c>
      <x:c r="C109" s="14" t="n">
        <x:v>34</x:v>
      </x:c>
      <x:c r="D109" s="14" t="str"/>
      <x:c r="E109" s="14" t="str"/>
      <x:c r="F109" s="14" t="str">
        <x:v>OPEN</x:v>
      </x:c>
    </x:row>
    <x:row r="110" ht="18" customHeight="1">
      <x:c r="A110" s="14" t="str">
        <x:v>DB-106</x:v>
      </x:c>
      <x:c r="B110" s="14" t="str">
        <x:v>path proofs</x:v>
      </x:c>
      <x:c r="C110" s="14" t="n">
        <x:v>35</x:v>
      </x:c>
      <x:c r="D110" s="14" t="str"/>
      <x:c r="E110" s="14" t="str"/>
      <x:c r="F110" s="14" t="str">
        <x:v>OPEN</x:v>
      </x:c>
    </x:row>
    <x:row r="111" ht="18" customHeight="1">
      <x:c r="A111" s="14" t="str">
        <x:v>DB-107</x:v>
      </x:c>
      <x:c r="B111" s="14" t="str">
        <x:v>path proofs</x:v>
      </x:c>
      <x:c r="C111" s="14" t="n">
        <x:v>36</x:v>
      </x:c>
      <x:c r="D111" s="14" t="str"/>
      <x:c r="E111" s="14" t="str"/>
      <x:c r="F111" s="14" t="str">
        <x:v>OPEN</x:v>
      </x:c>
    </x:row>
    <x:row r="112" ht="18" customHeight="1">
      <x:c r="A112" s="14" t="str">
        <x:v>DB-108</x:v>
      </x:c>
      <x:c r="B112" s="14" t="str">
        <x:v>walkdowns</x:v>
      </x:c>
      <x:c r="C112" s="14" t="n">
        <x:v>1</x:v>
      </x:c>
      <x:c r="D112" s="14" t="str"/>
      <x:c r="E112" s="14" t="str"/>
      <x:c r="F112" s="14" t="str">
        <x:v>OPEN</x:v>
      </x:c>
    </x:row>
    <x:row r="113" ht="18" customHeight="1">
      <x:c r="A113" s="14" t="str">
        <x:v>DB-109</x:v>
      </x:c>
      <x:c r="B113" s="14" t="str">
        <x:v>walkdowns</x:v>
      </x:c>
      <x:c r="C113" s="14" t="n">
        <x:v>2</x:v>
      </x:c>
      <x:c r="D113" s="14" t="str"/>
      <x:c r="E113" s="14" t="str"/>
      <x:c r="F113" s="14" t="str">
        <x:v>OPEN</x:v>
      </x:c>
    </x:row>
    <x:row r="114" ht="18" customHeight="1">
      <x:c r="A114" s="14" t="str">
        <x:v>DB-110</x:v>
      </x:c>
      <x:c r="B114" s="14" t="str">
        <x:v>walkdowns</x:v>
      </x:c>
      <x:c r="C114" s="14" t="n">
        <x:v>3</x:v>
      </x:c>
      <x:c r="D114" s="14" t="str"/>
      <x:c r="E114" s="14" t="str"/>
      <x:c r="F114" s="14" t="str">
        <x:v>OPEN</x:v>
      </x:c>
    </x:row>
    <x:row r="115" ht="18" customHeight="1">
      <x:c r="A115" s="14" t="str">
        <x:v>DB-111</x:v>
      </x:c>
      <x:c r="B115" s="14" t="str">
        <x:v>walkdowns</x:v>
      </x:c>
      <x:c r="C115" s="14" t="n">
        <x:v>4</x:v>
      </x:c>
      <x:c r="D115" s="14" t="str"/>
      <x:c r="E115" s="14" t="str"/>
      <x:c r="F115" s="14" t="str">
        <x:v>OPEN</x:v>
      </x:c>
    </x:row>
    <x:row r="116" ht="18" customHeight="1">
      <x:c r="A116" s="14" t="str">
        <x:v>DB-112</x:v>
      </x:c>
      <x:c r="B116" s="14" t="str">
        <x:v>walkdowns</x:v>
      </x:c>
      <x:c r="C116" s="14" t="n">
        <x:v>5</x:v>
      </x:c>
      <x:c r="D116" s="14" t="str"/>
      <x:c r="E116" s="14" t="str"/>
      <x:c r="F116" s="14" t="str">
        <x:v>OPEN</x:v>
      </x:c>
    </x:row>
    <x:row r="117" ht="18" customHeight="1">
      <x:c r="A117" s="14" t="str">
        <x:v>DB-113</x:v>
      </x:c>
      <x:c r="B117" s="14" t="str">
        <x:v>walkdowns</x:v>
      </x:c>
      <x:c r="C117" s="14" t="n">
        <x:v>6</x:v>
      </x:c>
      <x:c r="D117" s="14" t="str"/>
      <x:c r="E117" s="14" t="str"/>
      <x:c r="F117" s="14" t="str">
        <x:v>OPEN</x:v>
      </x:c>
    </x:row>
    <x:row r="118" ht="18" customHeight="1">
      <x:c r="A118" s="14" t="str">
        <x:v>DB-114</x:v>
      </x:c>
      <x:c r="B118" s="14" t="str">
        <x:v>walkdowns</x:v>
      </x:c>
      <x:c r="C118" s="14" t="n">
        <x:v>7</x:v>
      </x:c>
      <x:c r="D118" s="14" t="str"/>
      <x:c r="E118" s="14" t="str"/>
      <x:c r="F118" s="14" t="str">
        <x:v>OPEN</x:v>
      </x:c>
    </x:row>
    <x:row r="119" ht="18" customHeight="1">
      <x:c r="A119" s="14" t="str">
        <x:v>DB-115</x:v>
      </x:c>
      <x:c r="B119" s="14" t="str">
        <x:v>walkdowns</x:v>
      </x:c>
      <x:c r="C119" s="14" t="n">
        <x:v>8</x:v>
      </x:c>
      <x:c r="D119" s="14" t="str"/>
      <x:c r="E119" s="14" t="str"/>
      <x:c r="F119" s="14" t="str">
        <x:v>OPEN</x:v>
      </x:c>
    </x:row>
    <x:row r="120" ht="18" customHeight="1">
      <x:c r="A120" s="14" t="str">
        <x:v>DB-116</x:v>
      </x:c>
      <x:c r="B120" s="14" t="str">
        <x:v>walkdowns</x:v>
      </x:c>
      <x:c r="C120" s="14" t="n">
        <x:v>9</x:v>
      </x:c>
      <x:c r="D120" s="14" t="str"/>
      <x:c r="E120" s="14" t="str"/>
      <x:c r="F120" s="14" t="str">
        <x:v>OPEN</x:v>
      </x:c>
    </x:row>
    <x:row r="121" ht="18" customHeight="1">
      <x:c r="A121" s="14" t="str">
        <x:v>DB-117</x:v>
      </x:c>
      <x:c r="B121" s="14" t="str">
        <x:v>walkdowns</x:v>
      </x:c>
      <x:c r="C121" s="14" t="n">
        <x:v>10</x:v>
      </x:c>
      <x:c r="D121" s="14" t="str"/>
      <x:c r="E121" s="14" t="str"/>
      <x:c r="F121" s="14" t="str">
        <x:v>OPEN</x:v>
      </x:c>
    </x:row>
    <x:row r="122" ht="18" customHeight="1">
      <x:c r="A122" s="14" t="str">
        <x:v>DB-118</x:v>
      </x:c>
      <x:c r="B122" s="14" t="str">
        <x:v>walkdowns</x:v>
      </x:c>
      <x:c r="C122" s="14" t="n">
        <x:v>11</x:v>
      </x:c>
      <x:c r="D122" s="14" t="str"/>
      <x:c r="E122" s="14" t="str"/>
      <x:c r="F122" s="14" t="str">
        <x:v>OPEN</x:v>
      </x:c>
    </x:row>
    <x:row r="123" ht="18" customHeight="1">
      <x:c r="A123" s="14" t="str">
        <x:v>DB-119</x:v>
      </x:c>
      <x:c r="B123" s="14" t="str">
        <x:v>walkdowns</x:v>
      </x:c>
      <x:c r="C123" s="14" t="n">
        <x:v>12</x:v>
      </x:c>
      <x:c r="D123" s="14" t="str"/>
      <x:c r="E123" s="14" t="str"/>
      <x:c r="F123" s="14" t="str">
        <x:v>OPEN</x:v>
      </x:c>
    </x:row>
    <x:row r="124" ht="18" customHeight="1">
      <x:c r="A124" s="14" t="str">
        <x:v>DB-120</x:v>
      </x:c>
      <x:c r="B124" s="14" t="str">
        <x:v>walkdowns</x:v>
      </x:c>
      <x:c r="C124" s="14" t="n">
        <x:v>13</x:v>
      </x:c>
      <x:c r="D124" s="14" t="str"/>
      <x:c r="E124" s="14" t="str"/>
      <x:c r="F124" s="14" t="str">
        <x:v>OPEN</x:v>
      </x:c>
    </x:row>
    <x:row r="125" ht="18" customHeight="1">
      <x:c r="A125" s="14" t="str">
        <x:v>DB-121</x:v>
      </x:c>
      <x:c r="B125" s="14" t="str">
        <x:v>walkdowns</x:v>
      </x:c>
      <x:c r="C125" s="14" t="n">
        <x:v>14</x:v>
      </x:c>
      <x:c r="D125" s="14" t="str"/>
      <x:c r="E125" s="14" t="str"/>
      <x:c r="F125" s="14" t="str">
        <x:v>OPEN</x:v>
      </x:c>
    </x:row>
    <x:row r="126" ht="18" customHeight="1">
      <x:c r="A126" s="14" t="str">
        <x:v>DB-122</x:v>
      </x:c>
      <x:c r="B126" s="14" t="str">
        <x:v>walkdowns</x:v>
      </x:c>
      <x:c r="C126" s="14" t="n">
        <x:v>15</x:v>
      </x:c>
      <x:c r="D126" s="14" t="str"/>
      <x:c r="E126" s="14" t="str"/>
      <x:c r="F126" s="14" t="str">
        <x:v>OPEN</x:v>
      </x:c>
    </x:row>
    <x:row r="127" ht="18" customHeight="1">
      <x:c r="A127" s="14" t="str">
        <x:v>DB-123</x:v>
      </x:c>
      <x:c r="B127" s="14" t="str">
        <x:v>walkdowns</x:v>
      </x:c>
      <x:c r="C127" s="14" t="n">
        <x:v>16</x:v>
      </x:c>
      <x:c r="D127" s="14" t="str"/>
      <x:c r="E127" s="14" t="str"/>
      <x:c r="F127" s="14" t="str">
        <x:v>OPEN</x:v>
      </x:c>
    </x:row>
    <x:row r="128" ht="18" customHeight="1">
      <x:c r="A128" s="14" t="str">
        <x:v>DB-124</x:v>
      </x:c>
      <x:c r="B128" s="14" t="str">
        <x:v>walkdowns</x:v>
      </x:c>
      <x:c r="C128" s="14" t="n">
        <x:v>17</x:v>
      </x:c>
      <x:c r="D128" s="14" t="str"/>
      <x:c r="E128" s="14" t="str"/>
      <x:c r="F128" s="14" t="str">
        <x:v>OPEN</x:v>
      </x:c>
    </x:row>
    <x:row r="129" ht="18" customHeight="1">
      <x:c r="A129" s="14" t="str">
        <x:v>DB-125</x:v>
      </x:c>
      <x:c r="B129" s="14" t="str">
        <x:v>walkdowns</x:v>
      </x:c>
      <x:c r="C129" s="14" t="n">
        <x:v>18</x:v>
      </x:c>
      <x:c r="D129" s="14" t="str"/>
      <x:c r="E129" s="14" t="str"/>
      <x:c r="F129" s="14" t="str">
        <x:v>OPEN</x:v>
      </x:c>
    </x:row>
    <x:row r="130" ht="18" customHeight="1">
      <x:c r="A130" s="14" t="str">
        <x:v>DB-126</x:v>
      </x:c>
      <x:c r="B130" s="14" t="str">
        <x:v>walkdowns</x:v>
      </x:c>
      <x:c r="C130" s="14" t="n">
        <x:v>19</x:v>
      </x:c>
      <x:c r="D130" s="14" t="str"/>
      <x:c r="E130" s="14" t="str"/>
      <x:c r="F130" s="14" t="str">
        <x:v>OPEN</x:v>
      </x:c>
    </x:row>
    <x:row r="131" ht="18" customHeight="1">
      <x:c r="A131" s="14" t="str">
        <x:v>DB-127</x:v>
      </x:c>
      <x:c r="B131" s="14" t="str">
        <x:v>walkdowns</x:v>
      </x:c>
      <x:c r="C131" s="14" t="n">
        <x:v>20</x:v>
      </x:c>
      <x:c r="D131" s="14" t="str"/>
      <x:c r="E131" s="14" t="str"/>
      <x:c r="F131" s="14" t="str">
        <x:v>OPEN</x:v>
      </x:c>
    </x:row>
    <x:row r="132" ht="18" customHeight="1">
      <x:c r="A132" s="14" t="str">
        <x:v>DB-128</x:v>
      </x:c>
      <x:c r="B132" s="14" t="str">
        <x:v>walkdowns</x:v>
      </x:c>
      <x:c r="C132" s="14" t="n">
        <x:v>21</x:v>
      </x:c>
      <x:c r="D132" s="14" t="str"/>
      <x:c r="E132" s="14" t="str"/>
      <x:c r="F132" s="14" t="str">
        <x:v>OPEN</x:v>
      </x:c>
    </x:row>
    <x:row r="133" ht="18" customHeight="1">
      <x:c r="A133" s="14" t="str">
        <x:v>DB-129</x:v>
      </x:c>
      <x:c r="B133" s="14" t="str">
        <x:v>walkdowns</x:v>
      </x:c>
      <x:c r="C133" s="14" t="n">
        <x:v>22</x:v>
      </x:c>
      <x:c r="D133" s="14" t="str"/>
      <x:c r="E133" s="14" t="str"/>
      <x:c r="F133" s="14" t="str">
        <x:v>OPEN</x:v>
      </x:c>
    </x:row>
    <x:row r="134" ht="18" customHeight="1">
      <x:c r="A134" s="14" t="str">
        <x:v>DB-130</x:v>
      </x:c>
      <x:c r="B134" s="14" t="str">
        <x:v>walkdowns</x:v>
      </x:c>
      <x:c r="C134" s="14" t="n">
        <x:v>23</x:v>
      </x:c>
      <x:c r="D134" s="14" t="str"/>
      <x:c r="E134" s="14" t="str"/>
      <x:c r="F134" s="14" t="str">
        <x:v>OPEN</x:v>
      </x:c>
    </x:row>
    <x:row r="135" ht="18" customHeight="1">
      <x:c r="A135" s="14" t="str">
        <x:v>DB-131</x:v>
      </x:c>
      <x:c r="B135" s="14" t="str">
        <x:v>walkdowns</x:v>
      </x:c>
      <x:c r="C135" s="14" t="n">
        <x:v>24</x:v>
      </x:c>
      <x:c r="D135" s="14" t="str"/>
      <x:c r="E135" s="14" t="str"/>
      <x:c r="F135" s="14" t="str">
        <x:v>OPEN</x:v>
      </x:c>
    </x:row>
    <x:row r="136" ht="18" customHeight="1">
      <x:c r="A136" s="14" t="str">
        <x:v>DB-132</x:v>
      </x:c>
      <x:c r="B136" s="14" t="str">
        <x:v>walkdowns</x:v>
      </x:c>
      <x:c r="C136" s="14" t="n">
        <x:v>25</x:v>
      </x:c>
      <x:c r="D136" s="14" t="str"/>
      <x:c r="E136" s="14" t="str"/>
      <x:c r="F136" s="14" t="str">
        <x:v>OPEN</x:v>
      </x:c>
    </x:row>
    <x:row r="137" ht="18" customHeight="1">
      <x:c r="A137" s="14" t="str">
        <x:v>DB-133</x:v>
      </x:c>
      <x:c r="B137" s="14" t="str">
        <x:v>walkdowns</x:v>
      </x:c>
      <x:c r="C137" s="14" t="n">
        <x:v>26</x:v>
      </x:c>
      <x:c r="D137" s="14" t="str"/>
      <x:c r="E137" s="14" t="str"/>
      <x:c r="F137" s="14" t="str">
        <x:v>OPEN</x:v>
      </x:c>
    </x:row>
    <x:row r="138" ht="18" customHeight="1">
      <x:c r="A138" s="14" t="str">
        <x:v>DB-134</x:v>
      </x:c>
      <x:c r="B138" s="14" t="str">
        <x:v>walkdowns</x:v>
      </x:c>
      <x:c r="C138" s="14" t="n">
        <x:v>27</x:v>
      </x:c>
      <x:c r="D138" s="14" t="str"/>
      <x:c r="E138" s="14" t="str"/>
      <x:c r="F138" s="14" t="str">
        <x:v>OPEN</x:v>
      </x:c>
    </x:row>
    <x:row r="139" ht="18" customHeight="1">
      <x:c r="A139" s="14" t="str">
        <x:v>DB-135</x:v>
      </x:c>
      <x:c r="B139" s="14" t="str">
        <x:v>walkdowns</x:v>
      </x:c>
      <x:c r="C139" s="14" t="n">
        <x:v>28</x:v>
      </x:c>
      <x:c r="D139" s="14" t="str"/>
      <x:c r="E139" s="14" t="str"/>
      <x:c r="F139" s="14" t="str">
        <x:v>OPEN</x:v>
      </x:c>
    </x:row>
    <x:row r="140" ht="18" customHeight="1">
      <x:c r="A140" s="14" t="str">
        <x:v>DB-136</x:v>
      </x:c>
      <x:c r="B140" s="14" t="str">
        <x:v>walkdowns</x:v>
      </x:c>
      <x:c r="C140" s="14" t="n">
        <x:v>29</x:v>
      </x:c>
      <x:c r="D140" s="14" t="str"/>
      <x:c r="E140" s="14" t="str"/>
      <x:c r="F140" s="14" t="str">
        <x:v>OPEN</x:v>
      </x:c>
    </x:row>
    <x:row r="141" ht="18" customHeight="1">
      <x:c r="A141" s="14" t="str">
        <x:v>DB-137</x:v>
      </x:c>
      <x:c r="B141" s="14" t="str">
        <x:v>walkdowns</x:v>
      </x:c>
      <x:c r="C141" s="14" t="n">
        <x:v>30</x:v>
      </x:c>
      <x:c r="D141" s="14" t="str"/>
      <x:c r="E141" s="14" t="str"/>
      <x:c r="F141" s="14" t="str">
        <x:v>OPEN</x:v>
      </x:c>
    </x:row>
    <x:row r="142" ht="18" customHeight="1">
      <x:c r="A142" s="14" t="str">
        <x:v>DB-138</x:v>
      </x:c>
      <x:c r="B142" s="14" t="str">
        <x:v>walkdowns</x:v>
      </x:c>
      <x:c r="C142" s="14" t="n">
        <x:v>31</x:v>
      </x:c>
      <x:c r="D142" s="14" t="str"/>
      <x:c r="E142" s="14" t="str"/>
      <x:c r="F142" s="14" t="str">
        <x:v>OPEN</x:v>
      </x:c>
    </x:row>
    <x:row r="143" ht="18" customHeight="1">
      <x:c r="A143" s="14" t="str">
        <x:v>DB-139</x:v>
      </x:c>
      <x:c r="B143" s="14" t="str">
        <x:v>walkdowns</x:v>
      </x:c>
      <x:c r="C143" s="14" t="n">
        <x:v>32</x:v>
      </x:c>
      <x:c r="D143" s="14" t="str"/>
      <x:c r="E143" s="14" t="str"/>
      <x:c r="F143" s="14" t="str">
        <x:v>OPEN</x:v>
      </x:c>
    </x:row>
    <x:row r="144" ht="18" customHeight="1">
      <x:c r="A144" s="14" t="str">
        <x:v>DB-140</x:v>
      </x:c>
      <x:c r="B144" s="14" t="str">
        <x:v>neighbor-state proofs</x:v>
      </x:c>
      <x:c r="C144" s="14" t="n">
        <x:v>1</x:v>
      </x:c>
      <x:c r="D144" s="14" t="str"/>
      <x:c r="E144" s="14" t="str"/>
      <x:c r="F144" s="14" t="str">
        <x:v>OPEN</x:v>
      </x:c>
    </x:row>
    <x:row r="145" ht="18" customHeight="1">
      <x:c r="A145" s="14" t="str">
        <x:v>DB-141</x:v>
      </x:c>
      <x:c r="B145" s="14" t="str">
        <x:v>neighbor-state proofs</x:v>
      </x:c>
      <x:c r="C145" s="14" t="n">
        <x:v>2</x:v>
      </x:c>
      <x:c r="D145" s="14" t="str"/>
      <x:c r="E145" s="14" t="str"/>
      <x:c r="F145" s="14" t="str">
        <x:v>OPEN</x:v>
      </x:c>
    </x:row>
    <x:row r="146" ht="18" customHeight="1">
      <x:c r="A146" s="14" t="str">
        <x:v>DB-142</x:v>
      </x:c>
      <x:c r="B146" s="14" t="str">
        <x:v>neighbor-state proofs</x:v>
      </x:c>
      <x:c r="C146" s="14" t="n">
        <x:v>3</x:v>
      </x:c>
      <x:c r="D146" s="14" t="str"/>
      <x:c r="E146" s="14" t="str"/>
      <x:c r="F146" s="14" t="str">
        <x:v>OPEN</x:v>
      </x:c>
    </x:row>
    <x:row r="147" ht="18" customHeight="1">
      <x:c r="A147" s="14" t="str">
        <x:v>DB-143</x:v>
      </x:c>
      <x:c r="B147" s="14" t="str">
        <x:v>event holds</x:v>
      </x:c>
      <x:c r="C147" s="14" t="n">
        <x:v>1</x:v>
      </x:c>
      <x:c r="D147" s="14" t="str"/>
      <x:c r="E147" s="14" t="str"/>
      <x:c r="F147" s="14" t="str">
        <x:v>OPEN</x:v>
      </x:c>
    </x:row>
    <x:row r="148" ht="18" customHeight="1">
      <x:c r="A148" s="14" t="str">
        <x:v>DB-144</x:v>
      </x:c>
      <x:c r="B148" s="14" t="str">
        <x:v>event holds</x:v>
      </x:c>
      <x:c r="C148" s="14" t="n">
        <x:v>2</x:v>
      </x:c>
      <x:c r="D148" s="14" t="str"/>
      <x:c r="E148" s="14" t="str"/>
      <x:c r="F148" s="14" t="str">
        <x:v>OPEN</x:v>
      </x:c>
    </x:row>
    <x:row r="149" ht="18" customHeight="1">
      <x:c r="A149" s="14" t="str">
        <x:v>DB-145</x:v>
      </x:c>
      <x:c r="B149" s="14" t="str">
        <x:v>event holds</x:v>
      </x:c>
      <x:c r="C149" s="14" t="n">
        <x:v>3</x:v>
      </x:c>
      <x:c r="D149" s="14" t="str"/>
      <x:c r="E149" s="14" t="str"/>
      <x:c r="F149" s="14" t="str">
        <x:v>OPEN</x:v>
      </x:c>
    </x:row>
    <x:row r="150" ht="18" customHeight="1">
      <x:c r="A150" s="14" t="str">
        <x:v>DB-146</x:v>
      </x:c>
      <x:c r="B150" s="14" t="str">
        <x:v>event holds</x:v>
      </x:c>
      <x:c r="C150" s="14" t="n">
        <x:v>4</x:v>
      </x:c>
      <x:c r="D150" s="14" t="str"/>
      <x:c r="E150" s="14" t="str"/>
      <x:c r="F150" s="14" t="str">
        <x:v>OPEN</x:v>
      </x:c>
    </x:row>
    <x:row r="151" ht="18" customHeight="1">
      <x:c r="A151" s="14" t="str">
        <x:v>DB-147</x:v>
      </x:c>
      <x:c r="B151" s="14" t="str">
        <x:v>event holds</x:v>
      </x:c>
      <x:c r="C151" s="14" t="n">
        <x:v>5</x:v>
      </x:c>
      <x:c r="D151" s="14" t="str"/>
      <x:c r="E151" s="14" t="str"/>
      <x:c r="F151" s="14" t="str">
        <x:v>OPEN</x:v>
      </x:c>
    </x:row>
    <x:row r="152" ht="18" customHeight="1">
      <x:c r="A152" s="14" t="str">
        <x:v>DB-148</x:v>
      </x:c>
      <x:c r="B152" s="14" t="str">
        <x:v>event holds</x:v>
      </x:c>
      <x:c r="C152" s="14" t="n">
        <x:v>6</x:v>
      </x:c>
      <x:c r="D152" s="14" t="str"/>
      <x:c r="E152" s="14" t="str"/>
      <x:c r="F152" s="14" t="str">
        <x:v>OPEN</x:v>
      </x:c>
    </x:row>
    <x:row r="153" ht="18" customHeight="1">
      <x:c r="A153" s="14" t="str">
        <x:v>DB-149</x:v>
      </x:c>
      <x:c r="B153" s="14" t="str">
        <x:v>event holds</x:v>
      </x:c>
      <x:c r="C153" s="14" t="n">
        <x:v>7</x:v>
      </x:c>
      <x:c r="D153" s="14" t="str"/>
      <x:c r="E153" s="14" t="str"/>
      <x:c r="F153" s="14" t="str">
        <x:v>OPEN</x:v>
      </x:c>
    </x:row>
    <x:row r="154" ht="18" customHeight="1">
      <x:c r="A154" s="14" t="str">
        <x:v>DB-150</x:v>
      </x:c>
      <x:c r="B154" s="14" t="str">
        <x:v>event holds</x:v>
      </x:c>
      <x:c r="C154" s="14" t="n">
        <x:v>8</x:v>
      </x:c>
      <x:c r="D154" s="14" t="str"/>
      <x:c r="E154" s="14" t="str"/>
      <x:c r="F154" s="14" t="str">
        <x:v>OPEN</x:v>
      </x:c>
    </x:row>
    <x:row r="155" ht="18" customHeight="1">
      <x:c r="A155" s="14" t="str">
        <x:v>DB-151</x:v>
      </x:c>
      <x:c r="B155" s="14" t="str">
        <x:v>event holds</x:v>
      </x:c>
      <x:c r="C155" s="14" t="n">
        <x:v>9</x:v>
      </x:c>
      <x:c r="D155" s="14" t="str"/>
      <x:c r="E155" s="14" t="str"/>
      <x:c r="F155" s="14" t="str">
        <x:v>OPEN</x:v>
      </x:c>
    </x:row>
    <x:row r="156" ht="18" customHeight="1">
      <x:c r="A156" s="14" t="str">
        <x:v>DB-152</x:v>
      </x:c>
      <x:c r="B156" s="14" t="str">
        <x:v>event holds</x:v>
      </x:c>
      <x:c r="C156" s="14" t="n">
        <x:v>10</x:v>
      </x:c>
      <x:c r="D156" s="14" t="str"/>
      <x:c r="E156" s="14" t="str"/>
      <x:c r="F156" s="14" t="str">
        <x:v>OPEN</x:v>
      </x:c>
    </x:row>
    <x:row r="157" ht="18" customHeight="1">
      <x:c r="A157" s="14" t="str">
        <x:v>DB-153</x:v>
      </x:c>
      <x:c r="B157" s="14" t="str">
        <x:v>event holds</x:v>
      </x:c>
      <x:c r="C157" s="14" t="n">
        <x:v>11</x:v>
      </x:c>
      <x:c r="D157" s="14" t="str"/>
      <x:c r="E157" s="14" t="str"/>
      <x:c r="F157" s="14" t="str">
        <x:v>OPEN</x:v>
      </x:c>
    </x:row>
    <x:row r="158" ht="18" customHeight="1">
      <x:c r="A158" s="14" t="str">
        <x:v>DB-154</x:v>
      </x:c>
      <x:c r="B158" s="14" t="str">
        <x:v>event holds</x:v>
      </x:c>
      <x:c r="C158" s="14" t="n">
        <x:v>12</x:v>
      </x:c>
      <x:c r="D158" s="14" t="str"/>
      <x:c r="E158" s="14" t="str"/>
      <x:c r="F158" s="14" t="str">
        <x:v>OPEN</x:v>
      </x:c>
    </x:row>
    <x:row r="159" ht="18" customHeight="1">
      <x:c r="A159" s="14" t="str">
        <x:v>DB-155</x:v>
      </x:c>
      <x:c r="B159" s="14" t="str">
        <x:v>event holds</x:v>
      </x:c>
      <x:c r="C159" s="14" t="n">
        <x:v>13</x:v>
      </x:c>
      <x:c r="D159" s="14" t="str"/>
      <x:c r="E159" s="14" t="str"/>
      <x:c r="F159" s="14" t="str">
        <x:v>OPEN</x:v>
      </x:c>
    </x:row>
    <x:row r="160" ht="18" customHeight="1">
      <x:c r="A160" s="14" t="str">
        <x:v>DB-156</x:v>
      </x:c>
      <x:c r="B160" s="14" t="str">
        <x:v>event holds</x:v>
      </x:c>
      <x:c r="C160" s="14" t="n">
        <x:v>14</x:v>
      </x:c>
      <x:c r="D160" s="14" t="str"/>
      <x:c r="E160" s="14" t="str"/>
      <x:c r="F160" s="14" t="str">
        <x:v>OPEN</x:v>
      </x:c>
    </x:row>
    <x:row r="161" ht="18" customHeight="1">
      <x:c r="A161" s="14" t="str">
        <x:v>DB-157</x:v>
      </x:c>
      <x:c r="B161" s="14" t="str">
        <x:v>event holds</x:v>
      </x:c>
      <x:c r="C161" s="14" t="n">
        <x:v>15</x:v>
      </x:c>
      <x:c r="D161" s="14" t="str"/>
      <x:c r="E161" s="14" t="str"/>
      <x:c r="F161" s="14" t="str">
        <x:v>OPEN</x:v>
      </x:c>
    </x:row>
    <x:row r="162" ht="18" customHeight="1">
      <x:c r="A162" s="14" t="str">
        <x:v>DB-158</x:v>
      </x:c>
      <x:c r="B162" s="14" t="str">
        <x:v>event holds</x:v>
      </x:c>
      <x:c r="C162" s="14" t="n">
        <x:v>16</x:v>
      </x:c>
      <x:c r="D162" s="14" t="str"/>
      <x:c r="E162" s="14" t="str"/>
      <x:c r="F162" s="14" t="str">
        <x:v>OPEN</x:v>
      </x:c>
    </x:row>
    <x:row r="163" ht="18" customHeight="1">
      <x:c r="A163" s="14" t="str">
        <x:v>DB-159</x:v>
      </x:c>
      <x:c r="B163" s="14" t="str">
        <x:v>event holds</x:v>
      </x:c>
      <x:c r="C163" s="14" t="n">
        <x:v>17</x:v>
      </x:c>
      <x:c r="D163" s="14" t="str"/>
      <x:c r="E163" s="14" t="str"/>
      <x:c r="F163" s="14" t="str">
        <x:v>OPEN</x:v>
      </x:c>
    </x:row>
    <x:row r="164" ht="18" customHeight="1">
      <x:c r="A164" s="14" t="str">
        <x:v>DB-160</x:v>
      </x:c>
      <x:c r="B164" s="14" t="str">
        <x:v>event holds</x:v>
      </x:c>
      <x:c r="C164" s="14" t="n">
        <x:v>18</x:v>
      </x:c>
      <x:c r="D164" s="14" t="str"/>
      <x:c r="E164" s="14" t="str"/>
      <x:c r="F164" s="14" t="str">
        <x:v>OPEN</x:v>
      </x:c>
    </x:row>
    <x:row r="165" ht="18" customHeight="1">
      <x:c r="A165" s="14" t="str">
        <x:v>DB-161</x:v>
      </x:c>
      <x:c r="B165" s="14" t="str">
        <x:v>event holds</x:v>
      </x:c>
      <x:c r="C165" s="14" t="n">
        <x:v>19</x:v>
      </x:c>
      <x:c r="D165" s="14" t="str"/>
      <x:c r="E165" s="14" t="str"/>
      <x:c r="F165" s="14" t="str">
        <x:v>OPEN</x:v>
      </x:c>
    </x:row>
    <x:row r="166" ht="18" customHeight="1">
      <x:c r="A166" s="14" t="str">
        <x:v>DB-162</x:v>
      </x:c>
      <x:c r="B166" s="14" t="str">
        <x:v>event holds</x:v>
      </x:c>
      <x:c r="C166" s="14" t="n">
        <x:v>20</x:v>
      </x:c>
      <x:c r="D166" s="14" t="str"/>
      <x:c r="E166" s="14" t="str"/>
      <x:c r="F166" s="14" t="str">
        <x:v>OPEN</x:v>
      </x:c>
    </x:row>
    <x:row r="167" ht="18" customHeight="1">
      <x:c r="A167" s="14" t="str">
        <x:v>DB-163</x:v>
      </x:c>
      <x:c r="B167" s="14" t="str">
        <x:v>event holds</x:v>
      </x:c>
      <x:c r="C167" s="14" t="n">
        <x:v>21</x:v>
      </x:c>
      <x:c r="D167" s="14" t="str"/>
      <x:c r="E167" s="14" t="str"/>
      <x:c r="F167" s="14" t="str">
        <x:v>OPEN</x:v>
      </x:c>
    </x:row>
    <x:row r="168" ht="18" customHeight="1">
      <x:c r="A168" s="14" t="str">
        <x:v>DB-164</x:v>
      </x:c>
      <x:c r="B168" s="14" t="str">
        <x:v>event holds</x:v>
      </x:c>
      <x:c r="C168" s="14" t="n">
        <x:v>22</x:v>
      </x:c>
      <x:c r="D168" s="14" t="str"/>
      <x:c r="E168" s="14" t="str"/>
      <x:c r="F168" s="14" t="str">
        <x:v>OPEN</x:v>
      </x:c>
    </x:row>
    <x:row r="169" ht="18" customHeight="1">
      <x:c r="A169" s="14" t="str">
        <x:v>DB-165</x:v>
      </x:c>
      <x:c r="B169" s="14" t="str">
        <x:v>event holds</x:v>
      </x:c>
      <x:c r="C169" s="14" t="n">
        <x:v>23</x:v>
      </x:c>
      <x:c r="D169" s="14" t="str"/>
      <x:c r="E169" s="14" t="str"/>
      <x:c r="F169" s="14" t="str">
        <x:v>OPEN</x:v>
      </x:c>
    </x:row>
    <x:row r="170" ht="18" customHeight="1">
      <x:c r="A170" s="14" t="str">
        <x:v>DB-166</x:v>
      </x:c>
      <x:c r="B170" s="14" t="str">
        <x:v>event holds</x:v>
      </x:c>
      <x:c r="C170" s="14" t="n">
        <x:v>24</x:v>
      </x:c>
      <x:c r="D170" s="14" t="str"/>
      <x:c r="E170" s="14" t="str"/>
      <x:c r="F170" s="14" t="str">
        <x:v>OPEN</x:v>
      </x:c>
    </x:row>
    <x:row r="171" ht="18" customHeight="1">
      <x:c r="A171" s="14" t="str">
        <x:v>DB-167</x:v>
      </x:c>
      <x:c r="B171" s="14" t="str">
        <x:v>event holds</x:v>
      </x:c>
      <x:c r="C171" s="14" t="n">
        <x:v>25</x:v>
      </x:c>
      <x:c r="D171" s="14" t="str"/>
      <x:c r="E171" s="14" t="str"/>
      <x:c r="F171" s="14" t="str">
        <x:v>OPEN</x:v>
      </x:c>
    </x:row>
    <x:row r="172" ht="18" customHeight="1">
      <x:c r="A172" s="14" t="str">
        <x:v>DB-168</x:v>
      </x:c>
      <x:c r="B172" s="14" t="str">
        <x:v>event holds</x:v>
      </x:c>
      <x:c r="C172" s="14" t="n">
        <x:v>26</x:v>
      </x:c>
      <x:c r="D172" s="14" t="str"/>
      <x:c r="E172" s="14" t="str"/>
      <x:c r="F172" s="14" t="str">
        <x:v>OPEN</x:v>
      </x:c>
    </x:row>
    <x:row r="173" ht="18" customHeight="1">
      <x:c r="A173" s="14" t="str">
        <x:v>DB-169</x:v>
      </x:c>
      <x:c r="B173" s="14" t="str">
        <x:v>event holds</x:v>
      </x:c>
      <x:c r="C173" s="14" t="n">
        <x:v>27</x:v>
      </x:c>
      <x:c r="D173" s="14" t="str"/>
      <x:c r="E173" s="14" t="str"/>
      <x:c r="F173" s="14" t="str">
        <x:v>OPEN</x:v>
      </x:c>
    </x:row>
    <x:row r="174" ht="18" customHeight="1">
      <x:c r="A174" s="14" t="str">
        <x:v>DB-170</x:v>
      </x:c>
      <x:c r="B174" s="14" t="str">
        <x:v>event holds</x:v>
      </x:c>
      <x:c r="C174" s="14" t="n">
        <x:v>28</x:v>
      </x:c>
      <x:c r="D174" s="14" t="str"/>
      <x:c r="E174" s="14" t="str"/>
      <x:c r="F174" s="14" t="str">
        <x:v>OPEN</x:v>
      </x:c>
    </x:row>
    <x:row r="175" ht="18" customHeight="1">
      <x:c r="A175" s="14" t="str">
        <x:v>DB-171</x:v>
      </x:c>
      <x:c r="B175" s="14" t="str">
        <x:v>event holds</x:v>
      </x:c>
      <x:c r="C175" s="14" t="n">
        <x:v>29</x:v>
      </x:c>
      <x:c r="D175" s="14" t="str"/>
      <x:c r="E175" s="14" t="str"/>
      <x:c r="F175" s="14" t="str">
        <x:v>OPEN</x:v>
      </x:c>
    </x:row>
    <x:row r="176" ht="18" customHeight="1">
      <x:c r="A176" s="14" t="str">
        <x:v>DB-172</x:v>
      </x:c>
      <x:c r="B176" s="14" t="str">
        <x:v>event holds</x:v>
      </x:c>
      <x:c r="C176" s="14" t="n">
        <x:v>30</x:v>
      </x:c>
      <x:c r="D176" s="14" t="str"/>
      <x:c r="E176" s="14" t="str"/>
      <x:c r="F176" s="14" t="str">
        <x:v>OPEN</x:v>
      </x:c>
    </x:row>
    <x:row r="177" ht="18" customHeight="1">
      <x:c r="A177" s="14" t="str">
        <x:v>DB-173</x:v>
      </x:c>
      <x:c r="B177" s="14" t="str">
        <x:v>event holds</x:v>
      </x:c>
      <x:c r="C177" s="14" t="n">
        <x:v>31</x:v>
      </x:c>
      <x:c r="D177" s="14" t="str"/>
      <x:c r="E177" s="14" t="str"/>
      <x:c r="F177" s="14" t="str">
        <x:v>OPEN</x:v>
      </x:c>
    </x:row>
    <x:row r="178" ht="18" customHeight="1">
      <x:c r="A178" s="14" t="str">
        <x:v>DB-174</x:v>
      </x:c>
      <x:c r="B178" s="14" t="str">
        <x:v>event holds</x:v>
      </x:c>
      <x:c r="C178" s="14" t="n">
        <x:v>32</x:v>
      </x:c>
      <x:c r="D178" s="14" t="str"/>
      <x:c r="E178" s="14" t="str"/>
      <x:c r="F178" s="14" t="str">
        <x:v>OPEN</x:v>
      </x:c>
    </x:row>
    <x:row r="179" ht="18" customHeight="1">
      <x:c r="A179" s="14" t="str">
        <x:v>DB-175</x:v>
      </x:c>
      <x:c r="B179" s="14" t="str">
        <x:v>evidence objects</x:v>
      </x:c>
      <x:c r="C179" s="14" t="n">
        <x:v>1</x:v>
      </x:c>
      <x:c r="D179" s="14" t="str"/>
      <x:c r="E179" s="14" t="str"/>
      <x:c r="F179" s="14" t="str">
        <x:v>OPEN</x:v>
      </x:c>
    </x:row>
    <x:row r="180" ht="18" customHeight="1">
      <x:c r="A180" s="14" t="str">
        <x:v>DB-176</x:v>
      </x:c>
      <x:c r="B180" s="14" t="str">
        <x:v>evidence objects</x:v>
      </x:c>
      <x:c r="C180" s="14" t="n">
        <x:v>2</x:v>
      </x:c>
      <x:c r="D180" s="14" t="str"/>
      <x:c r="E180" s="14" t="str"/>
      <x:c r="F180" s="14" t="str">
        <x:v>OPEN</x:v>
      </x:c>
    </x:row>
    <x:row r="181" ht="18" customHeight="1">
      <x:c r="A181" s="14" t="str">
        <x:v>DB-177</x:v>
      </x:c>
      <x:c r="B181" s="14" t="str">
        <x:v>evidence objects</x:v>
      </x:c>
      <x:c r="C181" s="14" t="n">
        <x:v>3</x:v>
      </x:c>
      <x:c r="D181" s="14" t="str"/>
      <x:c r="E181" s="14" t="str"/>
      <x:c r="F181" s="14" t="str">
        <x:v>OPEN</x:v>
      </x:c>
    </x:row>
    <x:row r="182" ht="18" customHeight="1">
      <x:c r="A182" s="14" t="str">
        <x:v>DB-178</x:v>
      </x:c>
      <x:c r="B182" s="14" t="str">
        <x:v>evidence objects</x:v>
      </x:c>
      <x:c r="C182" s="14" t="n">
        <x:v>4</x:v>
      </x:c>
      <x:c r="D182" s="14" t="str"/>
      <x:c r="E182" s="14" t="str"/>
      <x:c r="F182" s="14" t="str">
        <x:v>OPEN</x:v>
      </x:c>
    </x:row>
    <x:row r="183" ht="18" customHeight="1">
      <x:c r="A183" s="14" t="str">
        <x:v>DB-179</x:v>
      </x:c>
      <x:c r="B183" s="14" t="str">
        <x:v>evidence objects</x:v>
      </x:c>
      <x:c r="C183" s="14" t="n">
        <x:v>5</x:v>
      </x:c>
      <x:c r="D183" s="14" t="str"/>
      <x:c r="E183" s="14" t="str"/>
      <x:c r="F183" s="14" t="str">
        <x:v>OPEN</x:v>
      </x:c>
    </x:row>
    <x:row r="184" ht="18" customHeight="1">
      <x:c r="A184" s="14" t="str">
        <x:v>DB-180</x:v>
      </x:c>
      <x:c r="B184" s="14" t="str">
        <x:v>evidence objects</x:v>
      </x:c>
      <x:c r="C184" s="14" t="n">
        <x:v>6</x:v>
      </x:c>
      <x:c r="D184" s="14" t="str"/>
      <x:c r="E184" s="14" t="str"/>
      <x:c r="F184" s="14" t="str">
        <x:v>OPEN</x:v>
      </x:c>
    </x:row>
    <x:row r="185" ht="18" customHeight="1">
      <x:c r="A185" s="14" t="str">
        <x:v>DB-181</x:v>
      </x:c>
      <x:c r="B185" s="14" t="str">
        <x:v>evidence objects</x:v>
      </x:c>
      <x:c r="C185" s="14" t="n">
        <x:v>7</x:v>
      </x:c>
      <x:c r="D185" s="14" t="str"/>
      <x:c r="E185" s="14" t="str"/>
      <x:c r="F185" s="14" t="str">
        <x:v>OPEN</x:v>
      </x:c>
    </x:row>
    <x:row r="186" ht="18" customHeight="1">
      <x:c r="A186" s="14" t="str">
        <x:v>DB-182</x:v>
      </x:c>
      <x:c r="B186" s="14" t="str">
        <x:v>evidence objects</x:v>
      </x:c>
      <x:c r="C186" s="14" t="n">
        <x:v>8</x:v>
      </x:c>
      <x:c r="D186" s="14" t="str"/>
      <x:c r="E186" s="14" t="str"/>
      <x:c r="F186" s="14" t="str">
        <x:v>OPEN</x:v>
      </x:c>
    </x:row>
    <x:row r="187" ht="18" customHeight="1">
      <x:c r="A187" s="14" t="str">
        <x:v>DB-183</x:v>
      </x:c>
      <x:c r="B187" s="14" t="str">
        <x:v>evidence objects</x:v>
      </x:c>
      <x:c r="C187" s="14" t="n">
        <x:v>9</x:v>
      </x:c>
      <x:c r="D187" s="14" t="str"/>
      <x:c r="E187" s="14" t="str"/>
      <x:c r="F187" s="14" t="str">
        <x:v>OPEN</x:v>
      </x:c>
    </x:row>
    <x:row r="188" ht="18" customHeight="1">
      <x:c r="A188" s="14" t="str">
        <x:v>DB-184</x:v>
      </x:c>
      <x:c r="B188" s="14" t="str">
        <x:v>evidence objects</x:v>
      </x:c>
      <x:c r="C188" s="14" t="n">
        <x:v>10</x:v>
      </x:c>
      <x:c r="D188" s="14" t="str"/>
      <x:c r="E188" s="14" t="str"/>
      <x:c r="F188" s="14" t="str">
        <x:v>OPEN</x:v>
      </x:c>
    </x:row>
    <x:row r="189" ht="18" customHeight="1">
      <x:c r="A189" s="14" t="str">
        <x:v>DB-185</x:v>
      </x:c>
      <x:c r="B189" s="14" t="str">
        <x:v>evidence objects</x:v>
      </x:c>
      <x:c r="C189" s="14" t="n">
        <x:v>11</x:v>
      </x:c>
      <x:c r="D189" s="14" t="str"/>
      <x:c r="E189" s="14" t="str"/>
      <x:c r="F189" s="14" t="str">
        <x:v>OPEN</x:v>
      </x:c>
    </x:row>
    <x:row r="190" ht="18" customHeight="1">
      <x:c r="A190" s="14" t="str">
        <x:v>DB-186</x:v>
      </x:c>
      <x:c r="B190" s="14" t="str">
        <x:v>evidence objects</x:v>
      </x:c>
      <x:c r="C190" s="14" t="n">
        <x:v>12</x:v>
      </x:c>
      <x:c r="D190" s="14" t="str"/>
      <x:c r="E190" s="14" t="str"/>
      <x:c r="F190" s="14" t="str">
        <x:v>OPEN</x:v>
      </x:c>
    </x:row>
    <x:row r="191" ht="18" customHeight="1">
      <x:c r="A191" s="14" t="str">
        <x:v>DB-187</x:v>
      </x:c>
      <x:c r="B191" s="14" t="str">
        <x:v>event samples</x:v>
      </x:c>
      <x:c r="C191" s="14" t="n">
        <x:v>1</x:v>
      </x:c>
      <x:c r="D191" s="14" t="str"/>
      <x:c r="E191" s="14" t="str"/>
      <x:c r="F191" s="14" t="str">
        <x:v>OPEN</x:v>
      </x:c>
    </x:row>
    <x:row r="192" ht="18" customHeight="1">
      <x:c r="A192" s="14" t="str">
        <x:v>DB-188</x:v>
      </x:c>
      <x:c r="B192" s="14" t="str">
        <x:v>event samples</x:v>
      </x:c>
      <x:c r="C192" s="14" t="n">
        <x:v>2</x:v>
      </x:c>
      <x:c r="D192" s="14" t="str"/>
      <x:c r="E192" s="14" t="str"/>
      <x:c r="F192" s="14" t="str">
        <x:v>OPEN</x:v>
      </x:c>
    </x:row>
    <x:row r="193" ht="18" customHeight="1">
      <x:c r="A193" s="14" t="str">
        <x:v>DB-189</x:v>
      </x:c>
      <x:c r="B193" s="14" t="str">
        <x:v>event samples</x:v>
      </x:c>
      <x:c r="C193" s="14" t="n">
        <x:v>3</x:v>
      </x:c>
      <x:c r="D193" s="14" t="str"/>
      <x:c r="E193" s="14" t="str"/>
      <x:c r="F193" s="14" t="str">
        <x:v>OPEN</x:v>
      </x:c>
    </x:row>
    <x:row r="194" ht="18" customHeight="1">
      <x:c r="A194" s="14" t="str">
        <x:v>DB-190</x:v>
      </x:c>
      <x:c r="B194" s="14" t="str">
        <x:v>event samples</x:v>
      </x:c>
      <x:c r="C194" s="14" t="n">
        <x:v>4</x:v>
      </x:c>
      <x:c r="D194" s="14" t="str"/>
      <x:c r="E194" s="14" t="str"/>
      <x:c r="F194" s="14" t="str">
        <x:v>OPEN</x:v>
      </x:c>
    </x:row>
    <x:row r="195" ht="18" customHeight="1">
      <x:c r="A195" s="14" t="str">
        <x:v>DB-191</x:v>
      </x:c>
      <x:c r="B195" s="14" t="str">
        <x:v>event samples</x:v>
      </x:c>
      <x:c r="C195" s="14" t="n">
        <x:v>5</x:v>
      </x:c>
      <x:c r="D195" s="14" t="str"/>
      <x:c r="E195" s="14" t="str"/>
      <x:c r="F195" s="14" t="str">
        <x:v>OPEN</x:v>
      </x:c>
    </x:row>
    <x:row r="196" ht="18" customHeight="1">
      <x:c r="A196" s="14" t="str">
        <x:v>DB-192</x:v>
      </x:c>
      <x:c r="B196" s="14" t="str">
        <x:v>event samples</x:v>
      </x:c>
      <x:c r="C196" s="14" t="n">
        <x:v>6</x:v>
      </x:c>
      <x:c r="D196" s="14" t="str"/>
      <x:c r="E196" s="14" t="str"/>
      <x:c r="F196" s="14" t="str">
        <x:v>OPEN</x:v>
      </x:c>
    </x:row>
    <x:row r="197" ht="18" customHeight="1">
      <x:c r="A197" s="14" t="str">
        <x:v>DB-193</x:v>
      </x:c>
      <x:c r="B197" s="14" t="str">
        <x:v>event samples</x:v>
      </x:c>
      <x:c r="C197" s="14" t="n">
        <x:v>7</x:v>
      </x:c>
      <x:c r="D197" s="14" t="str"/>
      <x:c r="E197" s="14" t="str"/>
      <x:c r="F197" s="14" t="str">
        <x:v>OPEN</x:v>
      </x:c>
    </x:row>
    <x:row r="198" ht="18" customHeight="1">
      <x:c r="A198" s="14" t="str">
        <x:v>DB-194</x:v>
      </x:c>
      <x:c r="B198" s="14" t="str">
        <x:v>event samples</x:v>
      </x:c>
      <x:c r="C198" s="14" t="n">
        <x:v>8</x:v>
      </x:c>
      <x:c r="D198" s="14" t="str"/>
      <x:c r="E198" s="14" t="str"/>
      <x:c r="F198" s="14" t="str">
        <x:v>OPEN</x:v>
      </x:c>
    </x:row>
    <x:row r="199" ht="18" customHeight="1">
      <x:c r="A199" s="14" t="str">
        <x:v>DB-195</x:v>
      </x:c>
      <x:c r="B199" s="14" t="str">
        <x:v>source package</x:v>
      </x:c>
      <x:c r="C199" s="14" t="n">
        <x:v>1</x:v>
      </x:c>
      <x:c r="D199" s="14" t="str"/>
      <x:c r="E199" s="14" t="str"/>
      <x:c r="F199" s="14" t="str">
        <x:v>OPEN</x:v>
      </x:c>
    </x:row>
    <x:row r="200" ht="18" customHeight="1">
      <x:c r="A200" s="14" t="str">
        <x:v>DB-196</x:v>
      </x:c>
      <x:c r="B200" s="14" t="str">
        <x:v>source characteristics</x:v>
      </x:c>
      <x:c r="C200" s="14" t="n">
        <x:v>1</x:v>
      </x:c>
      <x:c r="D200" s="14" t="str"/>
      <x:c r="E200" s="14" t="str"/>
      <x:c r="F200" s="14" t="str">
        <x:v>OPEN</x:v>
      </x:c>
    </x:row>
    <x:row r="201" ht="18" customHeight="1">
      <x:c r="A201" s="14" t="str">
        <x:v>DB-197</x:v>
      </x:c>
      <x:c r="B201" s="14" t="str">
        <x:v>source characteristics</x:v>
      </x:c>
      <x:c r="C201" s="14" t="n">
        <x:v>2</x:v>
      </x:c>
      <x:c r="D201" s="14" t="str"/>
      <x:c r="E201" s="14" t="str"/>
      <x:c r="F201" s="14" t="str">
        <x:v>OPEN</x:v>
      </x:c>
    </x:row>
    <x:row r="202" ht="18" customHeight="1">
      <x:c r="A202" s="14" t="str">
        <x:v>DB-198</x:v>
      </x:c>
      <x:c r="B202" s="14" t="str">
        <x:v>source characteristics</x:v>
      </x:c>
      <x:c r="C202" s="14" t="n">
        <x:v>3</x:v>
      </x:c>
      <x:c r="D202" s="14" t="str"/>
      <x:c r="E202" s="14" t="str"/>
      <x:c r="F202" s="14" t="str">
        <x:v>OPEN</x:v>
      </x:c>
    </x:row>
    <x:row r="203" ht="18" customHeight="1">
      <x:c r="A203" s="14" t="str">
        <x:v>DB-199</x:v>
      </x:c>
      <x:c r="B203" s="14" t="str">
        <x:v>source characteristics</x:v>
      </x:c>
      <x:c r="C203" s="14" t="n">
        <x:v>4</x:v>
      </x:c>
      <x:c r="D203" s="14" t="str"/>
      <x:c r="E203" s="14" t="str"/>
      <x:c r="F203" s="14" t="str">
        <x:v>OPEN</x:v>
      </x:c>
    </x:row>
    <x:row r="204" ht="18" customHeight="1">
      <x:c r="A204" s="14" t="str">
        <x:v>DB-200</x:v>
      </x:c>
      <x:c r="B204" s="14" t="str">
        <x:v>source characteristics</x:v>
      </x:c>
      <x:c r="C204" s="14" t="n">
        <x:v>5</x:v>
      </x:c>
      <x:c r="D204" s="14" t="str"/>
      <x:c r="E204" s="14" t="str"/>
      <x:c r="F204" s="14" t="str">
        <x:v>OPEN</x:v>
      </x:c>
    </x:row>
    <x:row r="205" ht="18" customHeight="1">
      <x:c r="A205" s="14" t="str">
        <x:v>DB-201</x:v>
      </x:c>
      <x:c r="B205" s="14" t="str">
        <x:v>source characteristics</x:v>
      </x:c>
      <x:c r="C205" s="14" t="n">
        <x:v>6</x:v>
      </x:c>
      <x:c r="D205" s="14" t="str"/>
      <x:c r="E205" s="14" t="str"/>
      <x:c r="F205" s="14" t="str">
        <x:v>OPEN</x:v>
      </x:c>
    </x:row>
    <x:row r="206" ht="18" customHeight="1">
      <x:c r="A206" s="14" t="str">
        <x:v>DB-202</x:v>
      </x:c>
      <x:c r="B206" s="14" t="str">
        <x:v>source characteristics</x:v>
      </x:c>
      <x:c r="C206" s="14" t="n">
        <x:v>7</x:v>
      </x:c>
      <x:c r="D206" s="14" t="str"/>
      <x:c r="E206" s="14" t="str"/>
      <x:c r="F206" s="14" t="str">
        <x:v>OPEN</x:v>
      </x:c>
    </x:row>
    <x:row r="207" ht="18" customHeight="1">
      <x:c r="A207" s="14" t="str">
        <x:v>DB-203</x:v>
      </x:c>
      <x:c r="B207" s="14" t="str">
        <x:v>source characteristics</x:v>
      </x:c>
      <x:c r="C207" s="14" t="n">
        <x:v>8</x:v>
      </x:c>
      <x:c r="D207" s="14" t="str"/>
      <x:c r="E207" s="14" t="str"/>
      <x:c r="F207" s="14" t="str">
        <x:v>OPEN</x:v>
      </x:c>
    </x:row>
    <x:row r="208" ht="18" customHeight="1">
      <x:c r="A208" s="14" t="str">
        <x:v>DB-204</x:v>
      </x:c>
      <x:c r="B208" s="14" t="str">
        <x:v>source characteristics</x:v>
      </x:c>
      <x:c r="C208" s="14" t="n">
        <x:v>9</x:v>
      </x:c>
      <x:c r="D208" s="14" t="str"/>
      <x:c r="E208" s="14" t="str"/>
      <x:c r="F208" s="14" t="str">
        <x:v>OPEN</x:v>
      </x:c>
    </x:row>
    <x:row r="209" ht="18" customHeight="1">
      <x:c r="A209" s="14" t="str">
        <x:v>DB-205</x:v>
      </x:c>
      <x:c r="B209" s="14" t="str">
        <x:v>source characteristics</x:v>
      </x:c>
      <x:c r="C209" s="14" t="n">
        <x:v>10</x:v>
      </x:c>
      <x:c r="D209" s="14" t="str"/>
      <x:c r="E209" s="14" t="str"/>
      <x:c r="F209" s="14" t="str">
        <x:v>OPEN</x:v>
      </x:c>
    </x:row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209">
    <x:cfRule type="containsText" dxfId="65" priority="1" operator="containsText" text="ACCEPTED"/>
    <x:cfRule type="containsText" dxfId="66" priority="2" operator="containsText" text="PASS"/>
    <x:cfRule type="containsText" dxfId="67" priority="3" operator="containsText" text="OPEN"/>
    <x:cfRule type="containsText" dxfId="68" priority="4" operator="containsText" text="BLOCKED"/>
    <x:cfRule type="containsText" dxfId="69" priority="5" operator="containsText" text="REJECTE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17" hidden="0" customWidth="1"/>
    <x:col min="4" max="4" width="25" hidden="0" customWidth="1"/>
    <x:col min="5" max="5" width="17" hidden="0" customWidth="1"/>
    <x:col min="6" max="6" width="22" hidden="0" customWidth="1"/>
    <x:col min="7" max="7" width="28" hidden="0" customWidth="1"/>
  </x:cols>
  <x:sheetData>
    <x:row r="1" ht="28" customHeight="1">
      <x:c r="A1" s="18" t="str">
        <x:v>RBA-1 | Fifty-six-position event unit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Command, state acceptance and validity judgment remain institutionally separate.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Position</x:v>
      </x:c>
      <x:c r="B4" s="21" t="str">
        <x:v>Function</x:v>
      </x:c>
      <x:c r="C4" s="21" t="str">
        <x:v>Role slot</x:v>
      </x:c>
      <x:c r="D4" s="21" t="str">
        <x:v>Named person</x:v>
      </x:c>
      <x:c r="E4" s="21" t="str">
        <x:v>Credential</x:v>
      </x:c>
      <x:c r="F4" s="21" t="str">
        <x:v>Duty window</x:v>
      </x:c>
      <x:c r="G4" s="21" t="str">
        <x:v>Evidence root</x:v>
      </x:c>
    </x:row>
    <x:row r="5" ht="18" customHeight="1">
      <x:c r="A5" s="14" t="str">
        <x:v>CREW-01</x:v>
      </x:c>
      <x:c r="B5" s="14" t="str">
        <x:v>authority and independent safety</x:v>
      </x:c>
      <x:c r="C5" s="14" t="str">
        <x:v>position 1</x:v>
      </x:c>
      <x:c r="D5" s="14" t="str"/>
      <x:c r="E5" s="14" t="str">
        <x:v>OPEN</x:v>
      </x:c>
      <x:c r="F5" s="14" t="str"/>
      <x:c r="G5" s="14" t="str"/>
    </x:row>
    <x:row r="6" ht="18" customHeight="1">
      <x:c r="A6" s="14" t="str">
        <x:v>CREW-02</x:v>
      </x:c>
      <x:c r="B6" s="14" t="str">
        <x:v>authority and independent safety</x:v>
      </x:c>
      <x:c r="C6" s="14" t="str">
        <x:v>position 2</x:v>
      </x:c>
      <x:c r="D6" s="14" t="str"/>
      <x:c r="E6" s="14" t="str">
        <x:v>OPEN</x:v>
      </x:c>
      <x:c r="F6" s="14" t="str"/>
      <x:c r="G6" s="14" t="str"/>
    </x:row>
    <x:row r="7" ht="18" customHeight="1">
      <x:c r="A7" s="14" t="str">
        <x:v>CREW-03</x:v>
      </x:c>
      <x:c r="B7" s="14" t="str">
        <x:v>authority and independent safety</x:v>
      </x:c>
      <x:c r="C7" s="14" t="str">
        <x:v>position 3</x:v>
      </x:c>
      <x:c r="D7" s="14" t="str"/>
      <x:c r="E7" s="14" t="str">
        <x:v>OPEN</x:v>
      </x:c>
      <x:c r="F7" s="14" t="str"/>
      <x:c r="G7" s="14" t="str"/>
    </x:row>
    <x:row r="8" ht="18" customHeight="1">
      <x:c r="A8" s="14" t="str">
        <x:v>CREW-04</x:v>
      </x:c>
      <x:c r="B8" s="14" t="str">
        <x:v>authority and independent safety</x:v>
      </x:c>
      <x:c r="C8" s="14" t="str">
        <x:v>position 4</x:v>
      </x:c>
      <x:c r="D8" s="14" t="str"/>
      <x:c r="E8" s="14" t="str">
        <x:v>OPEN</x:v>
      </x:c>
      <x:c r="F8" s="14" t="str"/>
      <x:c r="G8" s="14" t="str"/>
    </x:row>
    <x:row r="9" ht="18" customHeight="1">
      <x:c r="A9" s="14" t="str">
        <x:v>CREW-05</x:v>
      </x:c>
      <x:c r="B9" s="14" t="str">
        <x:v>authority and independent safety</x:v>
      </x:c>
      <x:c r="C9" s="14" t="str">
        <x:v>position 5</x:v>
      </x:c>
      <x:c r="D9" s="14" t="str"/>
      <x:c r="E9" s="14" t="str">
        <x:v>OPEN</x:v>
      </x:c>
      <x:c r="F9" s="14" t="str"/>
      <x:c r="G9" s="14" t="str"/>
    </x:row>
    <x:row r="10" ht="18" customHeight="1">
      <x:c r="A10" s="14" t="str">
        <x:v>CREW-06</x:v>
      </x:c>
      <x:c r="B10" s="14" t="str">
        <x:v>authority and independent safety</x:v>
      </x:c>
      <x:c r="C10" s="14" t="str">
        <x:v>position 6</x:v>
      </x:c>
      <x:c r="D10" s="14" t="str"/>
      <x:c r="E10" s="14" t="str">
        <x:v>OPEN</x:v>
      </x:c>
      <x:c r="F10" s="14" t="str"/>
      <x:c r="G10" s="14" t="str"/>
    </x:row>
    <x:row r="11" ht="18" customHeight="1">
      <x:c r="A11" s="14" t="str">
        <x:v>CREW-07</x:v>
      </x:c>
      <x:c r="B11" s="14" t="str">
        <x:v>source custody and chemistry</x:v>
      </x:c>
      <x:c r="C11" s="14" t="str">
        <x:v>position 1</x:v>
      </x:c>
      <x:c r="D11" s="14" t="str"/>
      <x:c r="E11" s="14" t="str">
        <x:v>OPEN</x:v>
      </x:c>
      <x:c r="F11" s="14" t="str"/>
      <x:c r="G11" s="14" t="str"/>
    </x:row>
    <x:row r="12" ht="18" customHeight="1">
      <x:c r="A12" s="14" t="str">
        <x:v>CREW-08</x:v>
      </x:c>
      <x:c r="B12" s="14" t="str">
        <x:v>source custody and chemistry</x:v>
      </x:c>
      <x:c r="C12" s="14" t="str">
        <x:v>position 2</x:v>
      </x:c>
      <x:c r="D12" s="14" t="str"/>
      <x:c r="E12" s="14" t="str">
        <x:v>OPEN</x:v>
      </x:c>
      <x:c r="F12" s="14" t="str"/>
      <x:c r="G12" s="14" t="str"/>
    </x:row>
    <x:row r="13" ht="18" customHeight="1">
      <x:c r="A13" s="14" t="str">
        <x:v>CREW-09</x:v>
      </x:c>
      <x:c r="B13" s="14" t="str">
        <x:v>source custody and chemistry</x:v>
      </x:c>
      <x:c r="C13" s="14" t="str">
        <x:v>position 3</x:v>
      </x:c>
      <x:c r="D13" s="14" t="str"/>
      <x:c r="E13" s="14" t="str">
        <x:v>OPEN</x:v>
      </x:c>
      <x:c r="F13" s="14" t="str"/>
      <x:c r="G13" s="14" t="str"/>
    </x:row>
    <x:row r="14" ht="18" customHeight="1">
      <x:c r="A14" s="14" t="str">
        <x:v>CREW-10</x:v>
      </x:c>
      <x:c r="B14" s="14" t="str">
        <x:v>source custody and chemistry</x:v>
      </x:c>
      <x:c r="C14" s="14" t="str">
        <x:v>position 4</x:v>
      </x:c>
      <x:c r="D14" s="14" t="str"/>
      <x:c r="E14" s="14" t="str">
        <x:v>OPEN</x:v>
      </x:c>
      <x:c r="F14" s="14" t="str"/>
      <x:c r="G14" s="14" t="str"/>
    </x:row>
    <x:row r="15" ht="18" customHeight="1">
      <x:c r="A15" s="14" t="str">
        <x:v>CREW-11</x:v>
      </x:c>
      <x:c r="B15" s="14" t="str">
        <x:v>source custody and chemistry</x:v>
      </x:c>
      <x:c r="C15" s="14" t="str">
        <x:v>position 5</x:v>
      </x:c>
      <x:c r="D15" s="14" t="str"/>
      <x:c r="E15" s="14" t="str">
        <x:v>OPEN</x:v>
      </x:c>
      <x:c r="F15" s="14" t="str"/>
      <x:c r="G15" s="14" t="str"/>
    </x:row>
    <x:row r="16" ht="18" customHeight="1">
      <x:c r="A16" s="14" t="str">
        <x:v>CREW-12</x:v>
      </x:c>
      <x:c r="B16" s="14" t="str">
        <x:v>source custody and chemistry</x:v>
      </x:c>
      <x:c r="C16" s="14" t="str">
        <x:v>position 6</x:v>
      </x:c>
      <x:c r="D16" s="14" t="str"/>
      <x:c r="E16" s="14" t="str">
        <x:v>OPEN</x:v>
      </x:c>
      <x:c r="F16" s="14" t="str"/>
      <x:c r="G16" s="14" t="str"/>
    </x:row>
    <x:row r="17" ht="18" customHeight="1">
      <x:c r="A17" s="14" t="str">
        <x:v>CREW-13</x:v>
      </x:c>
      <x:c r="B17" s="14" t="str">
        <x:v>source custody and chemistry</x:v>
      </x:c>
      <x:c r="C17" s="14" t="str">
        <x:v>position 7</x:v>
      </x:c>
      <x:c r="D17" s="14" t="str"/>
      <x:c r="E17" s="14" t="str">
        <x:v>OPEN</x:v>
      </x:c>
      <x:c r="F17" s="14" t="str"/>
      <x:c r="G17" s="14" t="str"/>
    </x:row>
    <x:row r="18" ht="18" customHeight="1">
      <x:c r="A18" s="14" t="str">
        <x:v>CREW-14</x:v>
      </x:c>
      <x:c r="B18" s="14" t="str">
        <x:v>source custody and chemistry</x:v>
      </x:c>
      <x:c r="C18" s="14" t="str">
        <x:v>position 8</x:v>
      </x:c>
      <x:c r="D18" s="14" t="str"/>
      <x:c r="E18" s="14" t="str">
        <x:v>OPEN</x:v>
      </x:c>
      <x:c r="F18" s="14" t="str"/>
      <x:c r="G18" s="14" t="str"/>
    </x:row>
    <x:row r="19" ht="18" customHeight="1">
      <x:c r="A19" s="14" t="str">
        <x:v>CREW-15</x:v>
      </x:c>
      <x:c r="B19" s="14" t="str">
        <x:v>source custody and chemistry</x:v>
      </x:c>
      <x:c r="C19" s="14" t="str">
        <x:v>position 9</x:v>
      </x:c>
      <x:c r="D19" s="14" t="str"/>
      <x:c r="E19" s="14" t="str">
        <x:v>OPEN</x:v>
      </x:c>
      <x:c r="F19" s="14" t="str"/>
      <x:c r="G19" s="14" t="str"/>
    </x:row>
    <x:row r="20" ht="18" customHeight="1">
      <x:c r="A20" s="14" t="str">
        <x:v>CREW-16</x:v>
      </x:c>
      <x:c r="B20" s="14" t="str">
        <x:v>source custody and chemistry</x:v>
      </x:c>
      <x:c r="C20" s="14" t="str">
        <x:v>position 10</x:v>
      </x:c>
      <x:c r="D20" s="14" t="str"/>
      <x:c r="E20" s="14" t="str">
        <x:v>OPEN</x:v>
      </x:c>
      <x:c r="F20" s="14" t="str"/>
      <x:c r="G20" s="14" t="str"/>
    </x:row>
    <x:row r="21" ht="18" customHeight="1">
      <x:c r="A21" s="14" t="str">
        <x:v>CREW-17</x:v>
      </x:c>
      <x:c r="B21" s="14" t="str">
        <x:v>rig article and final elements</x:v>
      </x:c>
      <x:c r="C21" s="14" t="str">
        <x:v>position 1</x:v>
      </x:c>
      <x:c r="D21" s="14" t="str"/>
      <x:c r="E21" s="14" t="str">
        <x:v>OPEN</x:v>
      </x:c>
      <x:c r="F21" s="14" t="str"/>
      <x:c r="G21" s="14" t="str"/>
    </x:row>
    <x:row r="22" ht="18" customHeight="1">
      <x:c r="A22" s="14" t="str">
        <x:v>CREW-18</x:v>
      </x:c>
      <x:c r="B22" s="14" t="str">
        <x:v>rig article and final elements</x:v>
      </x:c>
      <x:c r="C22" s="14" t="str">
        <x:v>position 2</x:v>
      </x:c>
      <x:c r="D22" s="14" t="str"/>
      <x:c r="E22" s="14" t="str">
        <x:v>OPEN</x:v>
      </x:c>
      <x:c r="F22" s="14" t="str"/>
      <x:c r="G22" s="14" t="str"/>
    </x:row>
    <x:row r="23" ht="18" customHeight="1">
      <x:c r="A23" s="14" t="str">
        <x:v>CREW-19</x:v>
      </x:c>
      <x:c r="B23" s="14" t="str">
        <x:v>rig article and final elements</x:v>
      </x:c>
      <x:c r="C23" s="14" t="str">
        <x:v>position 3</x:v>
      </x:c>
      <x:c r="D23" s="14" t="str"/>
      <x:c r="E23" s="14" t="str">
        <x:v>OPEN</x:v>
      </x:c>
      <x:c r="F23" s="14" t="str"/>
      <x:c r="G23" s="14" t="str"/>
    </x:row>
    <x:row r="24" ht="18" customHeight="1">
      <x:c r="A24" s="14" t="str">
        <x:v>CREW-20</x:v>
      </x:c>
      <x:c r="B24" s="14" t="str">
        <x:v>rig article and final elements</x:v>
      </x:c>
      <x:c r="C24" s="14" t="str">
        <x:v>position 4</x:v>
      </x:c>
      <x:c r="D24" s="14" t="str"/>
      <x:c r="E24" s="14" t="str">
        <x:v>OPEN</x:v>
      </x:c>
      <x:c r="F24" s="14" t="str"/>
      <x:c r="G24" s="14" t="str"/>
    </x:row>
    <x:row r="25" ht="18" customHeight="1">
      <x:c r="A25" s="14" t="str">
        <x:v>CREW-21</x:v>
      </x:c>
      <x:c r="B25" s="14" t="str">
        <x:v>rig article and final elements</x:v>
      </x:c>
      <x:c r="C25" s="14" t="str">
        <x:v>position 5</x:v>
      </x:c>
      <x:c r="D25" s="14" t="str"/>
      <x:c r="E25" s="14" t="str">
        <x:v>OPEN</x:v>
      </x:c>
      <x:c r="F25" s="14" t="str"/>
      <x:c r="G25" s="14" t="str"/>
    </x:row>
    <x:row r="26" ht="18" customHeight="1">
      <x:c r="A26" s="14" t="str">
        <x:v>CREW-22</x:v>
      </x:c>
      <x:c r="B26" s="14" t="str">
        <x:v>rig article and final elements</x:v>
      </x:c>
      <x:c r="C26" s="14" t="str">
        <x:v>position 6</x:v>
      </x:c>
      <x:c r="D26" s="14" t="str"/>
      <x:c r="E26" s="14" t="str">
        <x:v>OPEN</x:v>
      </x:c>
      <x:c r="F26" s="14" t="str"/>
      <x:c r="G26" s="14" t="str"/>
    </x:row>
    <x:row r="27" ht="18" customHeight="1">
      <x:c r="A27" s="14" t="str">
        <x:v>CREW-23</x:v>
      </x:c>
      <x:c r="B27" s="14" t="str">
        <x:v>rig article and final elements</x:v>
      </x:c>
      <x:c r="C27" s="14" t="str">
        <x:v>position 7</x:v>
      </x:c>
      <x:c r="D27" s="14" t="str"/>
      <x:c r="E27" s="14" t="str">
        <x:v>OPEN</x:v>
      </x:c>
      <x:c r="F27" s="14" t="str"/>
      <x:c r="G27" s="14" t="str"/>
    </x:row>
    <x:row r="28" ht="18" customHeight="1">
      <x:c r="A28" s="14" t="str">
        <x:v>CREW-24</x:v>
      </x:c>
      <x:c r="B28" s="14" t="str">
        <x:v>rig article and final elements</x:v>
      </x:c>
      <x:c r="C28" s="14" t="str">
        <x:v>position 8</x:v>
      </x:c>
      <x:c r="D28" s="14" t="str"/>
      <x:c r="E28" s="14" t="str">
        <x:v>OPEN</x:v>
      </x:c>
      <x:c r="F28" s="14" t="str"/>
      <x:c r="G28" s="14" t="str"/>
    </x:row>
    <x:row r="29" ht="18" customHeight="1">
      <x:c r="A29" s="14" t="str">
        <x:v>CREW-25</x:v>
      </x:c>
      <x:c r="B29" s="14" t="str">
        <x:v>rig article and final elements</x:v>
      </x:c>
      <x:c r="C29" s="14" t="str">
        <x:v>position 9</x:v>
      </x:c>
      <x:c r="D29" s="14" t="str"/>
      <x:c r="E29" s="14" t="str">
        <x:v>OPEN</x:v>
      </x:c>
      <x:c r="F29" s="14" t="str"/>
      <x:c r="G29" s="14" t="str"/>
    </x:row>
    <x:row r="30" ht="18" customHeight="1">
      <x:c r="A30" s="14" t="str">
        <x:v>CREW-26</x:v>
      </x:c>
      <x:c r="B30" s="14" t="str">
        <x:v>rig article and final elements</x:v>
      </x:c>
      <x:c r="C30" s="14" t="str">
        <x:v>position 10</x:v>
      </x:c>
      <x:c r="D30" s="14" t="str"/>
      <x:c r="E30" s="14" t="str">
        <x:v>OPEN</x:v>
      </x:c>
      <x:c r="F30" s="14" t="str"/>
      <x:c r="G30" s="14" t="str"/>
    </x:row>
    <x:row r="31" ht="18" customHeight="1">
      <x:c r="A31" s="14" t="str">
        <x:v>CREW-27</x:v>
      </x:c>
      <x:c r="B31" s="14" t="str">
        <x:v>thermal fire smoke and water</x:v>
      </x:c>
      <x:c r="C31" s="14" t="str">
        <x:v>position 1</x:v>
      </x:c>
      <x:c r="D31" s="14" t="str"/>
      <x:c r="E31" s="14" t="str">
        <x:v>OPEN</x:v>
      </x:c>
      <x:c r="F31" s="14" t="str"/>
      <x:c r="G31" s="14" t="str"/>
    </x:row>
    <x:row r="32" ht="18" customHeight="1">
      <x:c r="A32" s="14" t="str">
        <x:v>CREW-28</x:v>
      </x:c>
      <x:c r="B32" s="14" t="str">
        <x:v>thermal fire smoke and water</x:v>
      </x:c>
      <x:c r="C32" s="14" t="str">
        <x:v>position 2</x:v>
      </x:c>
      <x:c r="D32" s="14" t="str"/>
      <x:c r="E32" s="14" t="str">
        <x:v>OPEN</x:v>
      </x:c>
      <x:c r="F32" s="14" t="str"/>
      <x:c r="G32" s="14" t="str"/>
    </x:row>
    <x:row r="33" ht="18" customHeight="1">
      <x:c r="A33" s="14" t="str">
        <x:v>CREW-29</x:v>
      </x:c>
      <x:c r="B33" s="14" t="str">
        <x:v>thermal fire smoke and water</x:v>
      </x:c>
      <x:c r="C33" s="14" t="str">
        <x:v>position 3</x:v>
      </x:c>
      <x:c r="D33" s="14" t="str"/>
      <x:c r="E33" s="14" t="str">
        <x:v>OPEN</x:v>
      </x:c>
      <x:c r="F33" s="14" t="str"/>
      <x:c r="G33" s="14" t="str"/>
    </x:row>
    <x:row r="34" ht="18" customHeight="1">
      <x:c r="A34" s="14" t="str">
        <x:v>CREW-30</x:v>
      </x:c>
      <x:c r="B34" s="14" t="str">
        <x:v>thermal fire smoke and water</x:v>
      </x:c>
      <x:c r="C34" s="14" t="str">
        <x:v>position 4</x:v>
      </x:c>
      <x:c r="D34" s="14" t="str"/>
      <x:c r="E34" s="14" t="str">
        <x:v>OPEN</x:v>
      </x:c>
      <x:c r="F34" s="14" t="str"/>
      <x:c r="G34" s="14" t="str"/>
    </x:row>
    <x:row r="35" ht="18" customHeight="1">
      <x:c r="A35" s="14" t="str">
        <x:v>CREW-31</x:v>
      </x:c>
      <x:c r="B35" s="14" t="str">
        <x:v>thermal fire smoke and water</x:v>
      </x:c>
      <x:c r="C35" s="14" t="str">
        <x:v>position 5</x:v>
      </x:c>
      <x:c r="D35" s="14" t="str"/>
      <x:c r="E35" s="14" t="str">
        <x:v>OPEN</x:v>
      </x:c>
      <x:c r="F35" s="14" t="str"/>
      <x:c r="G35" s="14" t="str"/>
    </x:row>
    <x:row r="36" ht="18" customHeight="1">
      <x:c r="A36" s="14" t="str">
        <x:v>CREW-32</x:v>
      </x:c>
      <x:c r="B36" s="14" t="str">
        <x:v>thermal fire smoke and water</x:v>
      </x:c>
      <x:c r="C36" s="14" t="str">
        <x:v>position 6</x:v>
      </x:c>
      <x:c r="D36" s="14" t="str"/>
      <x:c r="E36" s="14" t="str">
        <x:v>OPEN</x:v>
      </x:c>
      <x:c r="F36" s="14" t="str"/>
      <x:c r="G36" s="14" t="str"/>
    </x:row>
    <x:row r="37" ht="18" customHeight="1">
      <x:c r="A37" s="14" t="str">
        <x:v>CREW-33</x:v>
      </x:c>
      <x:c r="B37" s="14" t="str">
        <x:v>thermal fire smoke and water</x:v>
      </x:c>
      <x:c r="C37" s="14" t="str">
        <x:v>position 7</x:v>
      </x:c>
      <x:c r="D37" s="14" t="str"/>
      <x:c r="E37" s="14" t="str">
        <x:v>OPEN</x:v>
      </x:c>
      <x:c r="F37" s="14" t="str"/>
      <x:c r="G37" s="14" t="str"/>
    </x:row>
    <x:row r="38" ht="18" customHeight="1">
      <x:c r="A38" s="14" t="str">
        <x:v>CREW-34</x:v>
      </x:c>
      <x:c r="B38" s="14" t="str">
        <x:v>thermal fire smoke and water</x:v>
      </x:c>
      <x:c r="C38" s="14" t="str">
        <x:v>position 8</x:v>
      </x:c>
      <x:c r="D38" s="14" t="str"/>
      <x:c r="E38" s="14" t="str">
        <x:v>OPEN</x:v>
      </x:c>
      <x:c r="F38" s="14" t="str"/>
      <x:c r="G38" s="14" t="str"/>
    </x:row>
    <x:row r="39" ht="18" customHeight="1">
      <x:c r="A39" s="14" t="str">
        <x:v>CREW-35</x:v>
      </x:c>
      <x:c r="B39" s="14" t="str">
        <x:v>measurement time evidence replay</x:v>
      </x:c>
      <x:c r="C39" s="14" t="str">
        <x:v>position 1</x:v>
      </x:c>
      <x:c r="D39" s="14" t="str"/>
      <x:c r="E39" s="14" t="str">
        <x:v>OPEN</x:v>
      </x:c>
      <x:c r="F39" s="14" t="str"/>
      <x:c r="G39" s="14" t="str"/>
    </x:row>
    <x:row r="40" ht="18" customHeight="1">
      <x:c r="A40" s="14" t="str">
        <x:v>CREW-36</x:v>
      </x:c>
      <x:c r="B40" s="14" t="str">
        <x:v>measurement time evidence replay</x:v>
      </x:c>
      <x:c r="C40" s="14" t="str">
        <x:v>position 2</x:v>
      </x:c>
      <x:c r="D40" s="14" t="str"/>
      <x:c r="E40" s="14" t="str">
        <x:v>OPEN</x:v>
      </x:c>
      <x:c r="F40" s="14" t="str"/>
      <x:c r="G40" s="14" t="str"/>
    </x:row>
    <x:row r="41" ht="18" customHeight="1">
      <x:c r="A41" s="14" t="str">
        <x:v>CREW-37</x:v>
      </x:c>
      <x:c r="B41" s="14" t="str">
        <x:v>measurement time evidence replay</x:v>
      </x:c>
      <x:c r="C41" s="14" t="str">
        <x:v>position 3</x:v>
      </x:c>
      <x:c r="D41" s="14" t="str"/>
      <x:c r="E41" s="14" t="str">
        <x:v>OPEN</x:v>
      </x:c>
      <x:c r="F41" s="14" t="str"/>
      <x:c r="G41" s="14" t="str"/>
    </x:row>
    <x:row r="42" ht="18" customHeight="1">
      <x:c r="A42" s="14" t="str">
        <x:v>CREW-38</x:v>
      </x:c>
      <x:c r="B42" s="14" t="str">
        <x:v>measurement time evidence replay</x:v>
      </x:c>
      <x:c r="C42" s="14" t="str">
        <x:v>position 4</x:v>
      </x:c>
      <x:c r="D42" s="14" t="str"/>
      <x:c r="E42" s="14" t="str">
        <x:v>OPEN</x:v>
      </x:c>
      <x:c r="F42" s="14" t="str"/>
      <x:c r="G42" s="14" t="str"/>
    </x:row>
    <x:row r="43" ht="18" customHeight="1">
      <x:c r="A43" s="14" t="str">
        <x:v>CREW-39</x:v>
      </x:c>
      <x:c r="B43" s="14" t="str">
        <x:v>measurement time evidence replay</x:v>
      </x:c>
      <x:c r="C43" s="14" t="str">
        <x:v>position 5</x:v>
      </x:c>
      <x:c r="D43" s="14" t="str"/>
      <x:c r="E43" s="14" t="str">
        <x:v>OPEN</x:v>
      </x:c>
      <x:c r="F43" s="14" t="str"/>
      <x:c r="G43" s="14" t="str"/>
    </x:row>
    <x:row r="44" ht="18" customHeight="1">
      <x:c r="A44" s="14" t="str">
        <x:v>CREW-40</x:v>
      </x:c>
      <x:c r="B44" s="14" t="str">
        <x:v>measurement time evidence replay</x:v>
      </x:c>
      <x:c r="C44" s="14" t="str">
        <x:v>position 6</x:v>
      </x:c>
      <x:c r="D44" s="14" t="str"/>
      <x:c r="E44" s="14" t="str">
        <x:v>OPEN</x:v>
      </x:c>
      <x:c r="F44" s="14" t="str"/>
      <x:c r="G44" s="14" t="str"/>
    </x:row>
    <x:row r="45" ht="18" customHeight="1">
      <x:c r="A45" s="14" t="str">
        <x:v>CREW-41</x:v>
      </x:c>
      <x:c r="B45" s="14" t="str">
        <x:v>measurement time evidence replay</x:v>
      </x:c>
      <x:c r="C45" s="14" t="str">
        <x:v>position 7</x:v>
      </x:c>
      <x:c r="D45" s="14" t="str"/>
      <x:c r="E45" s="14" t="str">
        <x:v>OPEN</x:v>
      </x:c>
      <x:c r="F45" s="14" t="str"/>
      <x:c r="G45" s="14" t="str"/>
    </x:row>
    <x:row r="46" ht="18" customHeight="1">
      <x:c r="A46" s="14" t="str">
        <x:v>CREW-42</x:v>
      </x:c>
      <x:c r="B46" s="14" t="str">
        <x:v>measurement time evidence replay</x:v>
      </x:c>
      <x:c r="C46" s="14" t="str">
        <x:v>position 8</x:v>
      </x:c>
      <x:c r="D46" s="14" t="str"/>
      <x:c r="E46" s="14" t="str">
        <x:v>OPEN</x:v>
      </x:c>
      <x:c r="F46" s="14" t="str"/>
      <x:c r="G46" s="14" t="str"/>
    </x:row>
    <x:row r="47" ht="18" customHeight="1">
      <x:c r="A47" s="14" t="str">
        <x:v>CREW-43</x:v>
      </x:c>
      <x:c r="B47" s="14" t="str">
        <x:v>measurement time evidence replay</x:v>
      </x:c>
      <x:c r="C47" s="14" t="str">
        <x:v>position 9</x:v>
      </x:c>
      <x:c r="D47" s="14" t="str"/>
      <x:c r="E47" s="14" t="str">
        <x:v>OPEN</x:v>
      </x:c>
      <x:c r="F47" s="14" t="str"/>
      <x:c r="G47" s="14" t="str"/>
    </x:row>
    <x:row r="48" ht="18" customHeight="1">
      <x:c r="A48" s="14" t="str">
        <x:v>CREW-44</x:v>
      </x:c>
      <x:c r="B48" s="14" t="str">
        <x:v>measurement time evidence replay</x:v>
      </x:c>
      <x:c r="C48" s="14" t="str">
        <x:v>position 10</x:v>
      </x:c>
      <x:c r="D48" s="14" t="str"/>
      <x:c r="E48" s="14" t="str">
        <x:v>OPEN</x:v>
      </x:c>
      <x:c r="F48" s="14" t="str"/>
      <x:c r="G48" s="14" t="str"/>
    </x:row>
    <x:row r="49" ht="18" customHeight="1">
      <x:c r="A49" s="14" t="str">
        <x:v>CREW-45</x:v>
      </x:c>
      <x:c r="B49" s="14" t="str">
        <x:v>rescue medical environment waste</x:v>
      </x:c>
      <x:c r="C49" s="14" t="str">
        <x:v>position 1</x:v>
      </x:c>
      <x:c r="D49" s="14" t="str"/>
      <x:c r="E49" s="14" t="str">
        <x:v>OPEN</x:v>
      </x:c>
      <x:c r="F49" s="14" t="str"/>
      <x:c r="G49" s="14" t="str"/>
    </x:row>
    <x:row r="50" ht="18" customHeight="1">
      <x:c r="A50" s="14" t="str">
        <x:v>CREW-46</x:v>
      </x:c>
      <x:c r="B50" s="14" t="str">
        <x:v>rescue medical environment waste</x:v>
      </x:c>
      <x:c r="C50" s="14" t="str">
        <x:v>position 2</x:v>
      </x:c>
      <x:c r="D50" s="14" t="str"/>
      <x:c r="E50" s="14" t="str">
        <x:v>OPEN</x:v>
      </x:c>
      <x:c r="F50" s="14" t="str"/>
      <x:c r="G50" s="14" t="str"/>
    </x:row>
    <x:row r="51" ht="18" customHeight="1">
      <x:c r="A51" s="14" t="str">
        <x:v>CREW-47</x:v>
      </x:c>
      <x:c r="B51" s="14" t="str">
        <x:v>rescue medical environment waste</x:v>
      </x:c>
      <x:c r="C51" s="14" t="str">
        <x:v>position 3</x:v>
      </x:c>
      <x:c r="D51" s="14" t="str"/>
      <x:c r="E51" s="14" t="str">
        <x:v>OPEN</x:v>
      </x:c>
      <x:c r="F51" s="14" t="str"/>
      <x:c r="G51" s="14" t="str"/>
    </x:row>
    <x:row r="52" ht="18" customHeight="1">
      <x:c r="A52" s="14" t="str">
        <x:v>CREW-48</x:v>
      </x:c>
      <x:c r="B52" s="14" t="str">
        <x:v>rescue medical environment waste</x:v>
      </x:c>
      <x:c r="C52" s="14" t="str">
        <x:v>position 4</x:v>
      </x:c>
      <x:c r="D52" s="14" t="str"/>
      <x:c r="E52" s="14" t="str">
        <x:v>OPEN</x:v>
      </x:c>
      <x:c r="F52" s="14" t="str"/>
      <x:c r="G52" s="14" t="str"/>
    </x:row>
    <x:row r="53" ht="18" customHeight="1">
      <x:c r="A53" s="14" t="str">
        <x:v>CREW-49</x:v>
      </x:c>
      <x:c r="B53" s="14" t="str">
        <x:v>rescue medical environment waste</x:v>
      </x:c>
      <x:c r="C53" s="14" t="str">
        <x:v>position 5</x:v>
      </x:c>
      <x:c r="D53" s="14" t="str"/>
      <x:c r="E53" s="14" t="str">
        <x:v>OPEN</x:v>
      </x:c>
      <x:c r="F53" s="14" t="str"/>
      <x:c r="G53" s="14" t="str"/>
    </x:row>
    <x:row r="54" ht="18" customHeight="1">
      <x:c r="A54" s="14" t="str">
        <x:v>CREW-50</x:v>
      </x:c>
      <x:c r="B54" s="14" t="str">
        <x:v>rescue medical environment waste</x:v>
      </x:c>
      <x:c r="C54" s="14" t="str">
        <x:v>position 6</x:v>
      </x:c>
      <x:c r="D54" s="14" t="str"/>
      <x:c r="E54" s="14" t="str">
        <x:v>OPEN</x:v>
      </x:c>
      <x:c r="F54" s="14" t="str"/>
      <x:c r="G54" s="14" t="str"/>
    </x:row>
    <x:row r="55" ht="18" customHeight="1">
      <x:c r="A55" s="14" t="str">
        <x:v>CREW-51</x:v>
      </x:c>
      <x:c r="B55" s="14" t="str">
        <x:v>rescue medical environment waste</x:v>
      </x:c>
      <x:c r="C55" s="14" t="str">
        <x:v>position 7</x:v>
      </x:c>
      <x:c r="D55" s="14" t="str"/>
      <x:c r="E55" s="14" t="str">
        <x:v>OPEN</x:v>
      </x:c>
      <x:c r="F55" s="14" t="str"/>
      <x:c r="G55" s="14" t="str"/>
    </x:row>
    <x:row r="56" ht="18" customHeight="1">
      <x:c r="A56" s="14" t="str">
        <x:v>CREW-52</x:v>
      </x:c>
      <x:c r="B56" s="14" t="str">
        <x:v>rescue medical environment waste</x:v>
      </x:c>
      <x:c r="C56" s="14" t="str">
        <x:v>position 8</x:v>
      </x:c>
      <x:c r="D56" s="14" t="str"/>
      <x:c r="E56" s="14" t="str">
        <x:v>OPEN</x:v>
      </x:c>
      <x:c r="F56" s="14" t="str"/>
      <x:c r="G56" s="14" t="str"/>
    </x:row>
    <x:row r="57" ht="18" customHeight="1">
      <x:c r="A57" s="14" t="str">
        <x:v>CREW-53</x:v>
      </x:c>
      <x:c r="B57" s="14" t="str">
        <x:v>regeneration and return</x:v>
      </x:c>
      <x:c r="C57" s="14" t="str">
        <x:v>position 1</x:v>
      </x:c>
      <x:c r="D57" s="14" t="str"/>
      <x:c r="E57" s="14" t="str">
        <x:v>OPEN</x:v>
      </x:c>
      <x:c r="F57" s="14" t="str"/>
      <x:c r="G57" s="14" t="str"/>
    </x:row>
    <x:row r="58" ht="18" customHeight="1">
      <x:c r="A58" s="14" t="str">
        <x:v>CREW-54</x:v>
      </x:c>
      <x:c r="B58" s="14" t="str">
        <x:v>regeneration and return</x:v>
      </x:c>
      <x:c r="C58" s="14" t="str">
        <x:v>position 2</x:v>
      </x:c>
      <x:c r="D58" s="14" t="str"/>
      <x:c r="E58" s="14" t="str">
        <x:v>OPEN</x:v>
      </x:c>
      <x:c r="F58" s="14" t="str"/>
      <x:c r="G58" s="14" t="str"/>
    </x:row>
    <x:row r="59" ht="18" customHeight="1">
      <x:c r="A59" s="14" t="str">
        <x:v>CREW-55</x:v>
      </x:c>
      <x:c r="B59" s="14" t="str">
        <x:v>regeneration and return</x:v>
      </x:c>
      <x:c r="C59" s="14" t="str">
        <x:v>position 3</x:v>
      </x:c>
      <x:c r="D59" s="14" t="str"/>
      <x:c r="E59" s="14" t="str">
        <x:v>OPEN</x:v>
      </x:c>
      <x:c r="F59" s="14" t="str"/>
      <x:c r="G59" s="14" t="str"/>
    </x:row>
    <x:row r="60" ht="18" customHeight="1">
      <x:c r="A60" s="14" t="str">
        <x:v>CREW-56</x:v>
      </x:c>
      <x:c r="B60" s="14" t="str">
        <x:v>regeneration and return</x:v>
      </x:c>
      <x:c r="C60" s="14" t="str">
        <x:v>position 4</x:v>
      </x:c>
      <x:c r="D60" s="14" t="str"/>
      <x:c r="E60" s="14" t="str">
        <x:v>OPEN</x:v>
      </x:c>
      <x:c r="F60" s="14" t="str"/>
      <x:c r="G60" s="14" t="str"/>
    </x:row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60">
    <x:cfRule type="containsText" dxfId="70" priority="1" operator="containsText" text="ACCEPTED"/>
    <x:cfRule type="containsText" dxfId="71" priority="2" operator="containsText" text="PASS"/>
    <x:cfRule type="containsText" dxfId="72" priority="3" operator="containsText" text="OPEN"/>
    <x:cfRule type="containsText" dxfId="73" priority="4" operator="containsText" text="BLOCKED"/>
    <x:cfRule type="containsText" dxfId="74" priority="5" operator="containsText" text="REJECTED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9" hidden="0" customWidth="1"/>
    <x:col min="5" max="5" width="15" hidden="0" customWidth="1"/>
    <x:col min="6" max="6" width="40" hidden="0" customWidth="1"/>
  </x:cols>
  <x:sheetData>
    <x:row r="1" ht="28" customHeight="1">
      <x:c r="A1" s="18" t="str">
        <x:v>RBA-1 | Twenty-four configuration domains</x:v>
      </x:c>
      <x:c r="B1" s="18"/>
      <x:c r="C1" s="18"/>
      <x:c r="D1" s="18"/>
      <x:c r="E1" s="18"/>
      <x:c r="F1" s="18"/>
    </x:row>
    <x:row r="2" ht="28" customHeight="1">
      <x:c r="A2" s="19" t="str">
        <x:v>The T-96 h freeze binds exact identities and versions.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Domain</x:v>
      </x:c>
      <x:c r="B4" s="21" t="str">
        <x:v>Object</x:v>
      </x:c>
      <x:c r="C4" s="21" t="str">
        <x:v>Version</x:v>
      </x:c>
      <x:c r="D4" s="21" t="str">
        <x:v>Evidence root</x:v>
      </x:c>
      <x:c r="E4" s="21" t="str">
        <x:v>State</x:v>
      </x:c>
      <x:c r="F4" s="21" t="str">
        <x:v>Change law</x:v>
      </x:c>
    </x:row>
    <x:row r="5" ht="18" customHeight="1">
      <x:c r="A5" s="14" t="str">
        <x:v>CF-01</x:v>
      </x:c>
      <x:c r="B5" s="14" t="str">
        <x:v>selected cell</x:v>
      </x:c>
      <x:c r="C5" s="14" t="str"/>
      <x:c r="D5" s="14" t="str"/>
      <x:c r="E5" s="14" t="str">
        <x:v>OPEN</x:v>
      </x:c>
      <x:c r="F5" s="14" t="str">
        <x:v>change forces reissue</x:v>
      </x:c>
    </x:row>
    <x:row r="6" ht="18" customHeight="1">
      <x:c r="A6" s="14" t="str">
        <x:v>CF-02</x:v>
      </x:c>
      <x:c r="B6" s="14" t="str">
        <x:v>attempt token</x:v>
      </x:c>
      <x:c r="C6" s="14" t="str"/>
      <x:c r="D6" s="14" t="str"/>
      <x:c r="E6" s="14" t="str">
        <x:v>OPEN</x:v>
      </x:c>
      <x:c r="F6" s="14" t="str">
        <x:v>change forces reissue</x:v>
      </x:c>
    </x:row>
    <x:row r="7" ht="18" customHeight="1">
      <x:c r="A7" s="14" t="str">
        <x:v>CF-03</x:v>
      </x:c>
      <x:c r="B7" s="14" t="str">
        <x:v>article-rig baseline</x:v>
      </x:c>
      <x:c r="C7" s="14" t="str"/>
      <x:c r="D7" s="14" t="str"/>
      <x:c r="E7" s="14" t="str">
        <x:v>OPEN</x:v>
      </x:c>
      <x:c r="F7" s="14" t="str">
        <x:v>change forces reissue</x:v>
      </x:c>
    </x:row>
    <x:row r="8" ht="18" customHeight="1">
      <x:c r="A8" s="14" t="str">
        <x:v>CF-04</x:v>
      </x:c>
      <x:c r="B8" s="14" t="str">
        <x:v>40 mm insert</x:v>
      </x:c>
      <x:c r="C8" s="14" t="str"/>
      <x:c r="D8" s="14" t="str"/>
      <x:c r="E8" s="14" t="str">
        <x:v>OPEN</x:v>
      </x:c>
      <x:c r="F8" s="14" t="str">
        <x:v>change forces reissue</x:v>
      </x:c>
    </x:row>
    <x:row r="9" ht="18" customHeight="1">
      <x:c r="A9" s="14" t="str">
        <x:v>CF-05</x:v>
      </x:c>
      <x:c r="B9" s="14" t="str">
        <x:v>event liner</x:v>
      </x:c>
      <x:c r="C9" s="14" t="str"/>
      <x:c r="D9" s="14" t="str"/>
      <x:c r="E9" s="14" t="str">
        <x:v>OPEN</x:v>
      </x:c>
      <x:c r="F9" s="14" t="str">
        <x:v>change forces reissue</x:v>
      </x:c>
    </x:row>
    <x:row r="10" ht="18" customHeight="1">
      <x:c r="A10" s="14" t="str">
        <x:v>CF-06</x:v>
      </x:c>
      <x:c r="B10" s="14" t="str">
        <x:v>source package</x:v>
      </x:c>
      <x:c r="C10" s="14" t="str"/>
      <x:c r="D10" s="14" t="str"/>
      <x:c r="E10" s="14" t="str">
        <x:v>OPEN</x:v>
      </x:c>
      <x:c r="F10" s="14" t="str">
        <x:v>change forces reissue</x:v>
      </x:c>
    </x:row>
    <x:row r="11" ht="18" customHeight="1">
      <x:c r="A11" s="14" t="str">
        <x:v>CF-07</x:v>
      </x:c>
      <x:c r="B11" s="14" t="str">
        <x:v>package characteristics</x:v>
      </x:c>
      <x:c r="C11" s="14" t="str"/>
      <x:c r="D11" s="14" t="str"/>
      <x:c r="E11" s="14" t="str">
        <x:v>OPEN</x:v>
      </x:c>
      <x:c r="F11" s="14" t="str">
        <x:v>change forces reissue</x:v>
      </x:c>
    </x:row>
    <x:row r="12" ht="18" customHeight="1">
      <x:c r="A12" s="14" t="str">
        <x:v>CF-08</x:v>
      </x:c>
      <x:c r="B12" s="14" t="str">
        <x:v>aliquot split</x:v>
      </x:c>
      <x:c r="C12" s="14" t="str"/>
      <x:c r="D12" s="14" t="str"/>
      <x:c r="E12" s="14" t="str">
        <x:v>OPEN</x:v>
      </x:c>
      <x:c r="F12" s="14" t="str">
        <x:v>change forces reissue</x:v>
      </x:c>
    </x:row>
    <x:row r="13" ht="18" customHeight="1">
      <x:c r="A13" s="14" t="str">
        <x:v>CF-09</x:v>
      </x:c>
      <x:c r="B13" s="14" t="str">
        <x:v>source root A</x:v>
      </x:c>
      <x:c r="C13" s="14" t="str"/>
      <x:c r="D13" s="14" t="str"/>
      <x:c r="E13" s="14" t="str">
        <x:v>OPEN</x:v>
      </x:c>
      <x:c r="F13" s="14" t="str">
        <x:v>change forces reissue</x:v>
      </x:c>
    </x:row>
    <x:row r="14" ht="18" customHeight="1">
      <x:c r="A14" s="14" t="str">
        <x:v>CF-10</x:v>
      </x:c>
      <x:c r="B14" s="14" t="str">
        <x:v>source root B</x:v>
      </x:c>
      <x:c r="C14" s="14" t="str"/>
      <x:c r="D14" s="14" t="str"/>
      <x:c r="E14" s="14" t="str">
        <x:v>OPEN</x:v>
      </x:c>
      <x:c r="F14" s="14" t="str">
        <x:v>change forces reissue</x:v>
      </x:c>
    </x:row>
    <x:row r="15" ht="18" customHeight="1">
      <x:c r="A15" s="14" t="str">
        <x:v>CF-11</x:v>
      </x:c>
      <x:c r="B15" s="14" t="str">
        <x:v>water package</x:v>
      </x:c>
      <x:c r="C15" s="14" t="str"/>
      <x:c r="D15" s="14" t="str"/>
      <x:c r="E15" s="14" t="str">
        <x:v>OPEN</x:v>
      </x:c>
      <x:c r="F15" s="14" t="str">
        <x:v>change forces reissue</x:v>
      </x:c>
    </x:row>
    <x:row r="16" ht="18" customHeight="1">
      <x:c r="A16" s="14" t="str">
        <x:v>CF-12</x:v>
      </x:c>
      <x:c r="B16" s="14" t="str">
        <x:v>water root A</x:v>
      </x:c>
      <x:c r="C16" s="14" t="str"/>
      <x:c r="D16" s="14" t="str"/>
      <x:c r="E16" s="14" t="str">
        <x:v>OPEN</x:v>
      </x:c>
      <x:c r="F16" s="14" t="str">
        <x:v>change forces reissue</x:v>
      </x:c>
    </x:row>
    <x:row r="17" ht="18" customHeight="1">
      <x:c r="A17" s="14" t="str">
        <x:v>CF-13</x:v>
      </x:c>
      <x:c r="B17" s="14" t="str">
        <x:v>water root B</x:v>
      </x:c>
      <x:c r="C17" s="14" t="str"/>
      <x:c r="D17" s="14" t="str"/>
      <x:c r="E17" s="14" t="str">
        <x:v>OPEN</x:v>
      </x:c>
      <x:c r="F17" s="14" t="str">
        <x:v>change forces reissue</x:v>
      </x:c>
    </x:row>
    <x:row r="18" ht="18" customHeight="1">
      <x:c r="A18" s="14" t="str">
        <x:v>CF-14</x:v>
      </x:c>
      <x:c r="B18" s="14" t="str">
        <x:v>pan geometry</x:v>
      </x:c>
      <x:c r="C18" s="14" t="str"/>
      <x:c r="D18" s="14" t="str"/>
      <x:c r="E18" s="14" t="str">
        <x:v>OPEN</x:v>
      </x:c>
      <x:c r="F18" s="14" t="str">
        <x:v>change forces reissue</x:v>
      </x:c>
    </x:row>
    <x:row r="19" ht="18" customHeight="1">
      <x:c r="A19" s="14" t="str">
        <x:v>CF-15</x:v>
      </x:c>
      <x:c r="B19" s="14" t="str">
        <x:v>normal receiver</x:v>
      </x:c>
      <x:c r="C19" s="14" t="str"/>
      <x:c r="D19" s="14" t="str"/>
      <x:c r="E19" s="14" t="str">
        <x:v>OPEN</x:v>
      </x:c>
      <x:c r="F19" s="14" t="str">
        <x:v>change forces reissue</x:v>
      </x:c>
    </x:row>
    <x:row r="20" ht="18" customHeight="1">
      <x:c r="A20" s="14" t="str">
        <x:v>CF-16</x:v>
      </x:c>
      <x:c r="B20" s="14" t="str">
        <x:v>casualty receiver</x:v>
      </x:c>
      <x:c r="C20" s="14" t="str"/>
      <x:c r="D20" s="14" t="str"/>
      <x:c r="E20" s="14" t="str">
        <x:v>OPEN</x:v>
      </x:c>
      <x:c r="F20" s="14" t="str">
        <x:v>change forces reissue</x:v>
      </x:c>
    </x:row>
    <x:row r="21" ht="18" customHeight="1">
      <x:c r="A21" s="14" t="str">
        <x:v>CF-17</x:v>
      </x:c>
      <x:c r="B21" s="14" t="str">
        <x:v>final elements</x:v>
      </x:c>
      <x:c r="C21" s="14" t="str"/>
      <x:c r="D21" s="14" t="str"/>
      <x:c r="E21" s="14" t="str">
        <x:v>OPEN</x:v>
      </x:c>
      <x:c r="F21" s="14" t="str">
        <x:v>change forces reissue</x:v>
      </x:c>
    </x:row>
    <x:row r="22" ht="18" customHeight="1">
      <x:c r="A22" s="14" t="str">
        <x:v>CF-18</x:v>
      </x:c>
      <x:c r="B22" s="14" t="str">
        <x:v>safeing paths</x:v>
      </x:c>
      <x:c r="C22" s="14" t="str"/>
      <x:c r="D22" s="14" t="str"/>
      <x:c r="E22" s="14" t="str">
        <x:v>OPEN</x:v>
      </x:c>
      <x:c r="F22" s="14" t="str">
        <x:v>change forces reissue</x:v>
      </x:c>
    </x:row>
    <x:row r="23" ht="18" customHeight="1">
      <x:c r="A23" s="14" t="str">
        <x:v>CF-19</x:v>
      </x:c>
      <x:c r="B23" s="14" t="str">
        <x:v>crew</x:v>
      </x:c>
      <x:c r="C23" s="14" t="str"/>
      <x:c r="D23" s="14" t="str"/>
      <x:c r="E23" s="14" t="str">
        <x:v>OPEN</x:v>
      </x:c>
      <x:c r="F23" s="14" t="str">
        <x:v>change forces reissue</x:v>
      </x:c>
    </x:row>
    <x:row r="24" ht="18" customHeight="1">
      <x:c r="A24" s="14" t="str">
        <x:v>CF-20</x:v>
      </x:c>
      <x:c r="B24" s="14" t="str">
        <x:v>rescue</x:v>
      </x:c>
      <x:c r="C24" s="14" t="str"/>
      <x:c r="D24" s="14" t="str"/>
      <x:c r="E24" s="14" t="str">
        <x:v>OPEN</x:v>
      </x:c>
      <x:c r="F24" s="14" t="str">
        <x:v>change forces reissue</x:v>
      </x:c>
    </x:row>
    <x:row r="25" ht="18" customHeight="1">
      <x:c r="A25" s="14" t="str">
        <x:v>CF-21</x:v>
      </x:c>
      <x:c r="B25" s="14" t="str">
        <x:v>environment</x:v>
      </x:c>
      <x:c r="C25" s="14" t="str"/>
      <x:c r="D25" s="14" t="str"/>
      <x:c r="E25" s="14" t="str">
        <x:v>OPEN</x:v>
      </x:c>
      <x:c r="F25" s="14" t="str">
        <x:v>change forces reissue</x:v>
      </x:c>
    </x:row>
    <x:row r="26" ht="18" customHeight="1">
      <x:c r="A26" s="14" t="str">
        <x:v>CF-22</x:v>
      </x:c>
      <x:c r="B26" s="14" t="str">
        <x:v>waste route</x:v>
      </x:c>
      <x:c r="C26" s="14" t="str"/>
      <x:c r="D26" s="14" t="str"/>
      <x:c r="E26" s="14" t="str">
        <x:v>OPEN</x:v>
      </x:c>
      <x:c r="F26" s="14" t="str">
        <x:v>change forces reissue</x:v>
      </x:c>
    </x:row>
    <x:row r="27" ht="18" customHeight="1">
      <x:c r="A27" s="14" t="str">
        <x:v>CF-23</x:v>
      </x:c>
      <x:c r="B27" s="14" t="str">
        <x:v>evidence capacity</x:v>
      </x:c>
      <x:c r="C27" s="14" t="str"/>
      <x:c r="D27" s="14" t="str"/>
      <x:c r="E27" s="14" t="str">
        <x:v>OPEN</x:v>
      </x:c>
      <x:c r="F27" s="14" t="str">
        <x:v>change forces reissue</x:v>
      </x:c>
    </x:row>
    <x:row r="28" ht="18" customHeight="1">
      <x:c r="A28" s="14" t="str">
        <x:v>CF-24</x:v>
      </x:c>
      <x:c r="B28" s="14" t="str">
        <x:v>outside-site replay</x:v>
      </x:c>
      <x:c r="C28" s="14" t="str"/>
      <x:c r="D28" s="14" t="str"/>
      <x:c r="E28" s="14" t="str">
        <x:v>OPEN</x:v>
      </x:c>
      <x:c r="F28" s="14" t="str">
        <x:v>change forces reissue</x:v>
      </x:c>
    </x:row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28">
    <x:cfRule type="containsText" dxfId="75" priority="1" operator="containsText" text="ACCEPTED"/>
    <x:cfRule type="containsText" dxfId="76" priority="2" operator="containsText" text="PASS"/>
    <x:cfRule type="containsText" dxfId="77" priority="3" operator="containsText" text="OPEN"/>
    <x:cfRule type="containsText" dxfId="78" priority="4" operator="containsText" text="BLOCKED"/>
    <x:cfRule type="containsText" dxfId="79" priority="5" operator="containsText" text="REJECTE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46" hidden="0" customWidth="1"/>
    <x:col min="4" max="4" width="22" hidden="0" customWidth="1"/>
    <x:col min="5" max="5" width="15" hidden="0" customWidth="1"/>
    <x:col min="6" max="6" width="28" hidden="0" customWidth="1"/>
    <x:col min="7" max="7" width="28" hidden="0" customWidth="1"/>
  </x:cols>
  <x:sheetData>
    <x:row r="1" ht="28" customHeight="1">
      <x:c r="A1" s="18" t="str">
        <x:v>RBA-1 | Twenty-four causal phases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Clock order separates command, state, public action, recovery and judgment.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Phase</x:v>
      </x:c>
      <x:c r="B4" s="21" t="str">
        <x:v>Time</x:v>
      </x:c>
      <x:c r="C4" s="21" t="str">
        <x:v>Required act</x:v>
      </x:c>
      <x:c r="D4" s="21" t="str">
        <x:v>Observed UTC</x:v>
      </x:c>
      <x:c r="E4" s="21" t="str">
        <x:v>State</x:v>
      </x:c>
      <x:c r="F4" s="21" t="str">
        <x:v>Evidence root</x:v>
      </x:c>
      <x:c r="G4" s="21" t="str">
        <x:v>Exception</x:v>
      </x:c>
    </x:row>
    <x:row r="5" ht="18" customHeight="1">
      <x:c r="A5" s="14" t="str">
        <x:v>EC-01</x:v>
      </x:c>
      <x:c r="B5" s="14" t="str">
        <x:v>T-96 h</x:v>
      </x:c>
      <x:c r="C5" s="14" t="str">
        <x:v>configuration freeze</x:v>
      </x:c>
      <x:c r="D5" s="14" t="str"/>
      <x:c r="E5" s="14" t="str">
        <x:v>OPEN</x:v>
      </x:c>
      <x:c r="F5" s="14" t="str"/>
      <x:c r="G5" s="14" t="str"/>
    </x:row>
    <x:row r="6" ht="18" customHeight="1">
      <x:c r="A6" s="14" t="str">
        <x:v>EC-02</x:v>
      </x:c>
      <x:c r="B6" s="14" t="str">
        <x:v>T-72 h</x:v>
      </x:c>
      <x:c r="C6" s="14" t="str">
        <x:v>package assay confirmation</x:v>
      </x:c>
      <x:c r="D6" s="14" t="str"/>
      <x:c r="E6" s="14" t="str">
        <x:v>OPEN</x:v>
      </x:c>
      <x:c r="F6" s="14" t="str"/>
      <x:c r="G6" s="14" t="str"/>
    </x:row>
    <x:row r="7" ht="18" customHeight="1">
      <x:c r="A7" s="14" t="str">
        <x:v>EC-03</x:v>
      </x:c>
      <x:c r="B7" s="14" t="str">
        <x:v>T-48 h</x:v>
      </x:c>
      <x:c r="C7" s="14" t="str">
        <x:v>environment and boundary review</x:v>
      </x:c>
      <x:c r="D7" s="14" t="str"/>
      <x:c r="E7" s="14" t="str">
        <x:v>OPEN</x:v>
      </x:c>
      <x:c r="F7" s="14" t="str"/>
      <x:c r="G7" s="14" t="str"/>
    </x:row>
    <x:row r="8" ht="18" customHeight="1">
      <x:c r="A8" s="14" t="str">
        <x:v>EC-04</x:v>
      </x:c>
      <x:c r="B8" s="14" t="str">
        <x:v>T-24 h</x:v>
      </x:c>
      <x:c r="C8" s="14" t="str">
        <x:v>crew and rescue poll</x:v>
      </x:c>
      <x:c r="D8" s="14" t="str"/>
      <x:c r="E8" s="14" t="str">
        <x:v>OPEN</x:v>
      </x:c>
      <x:c r="F8" s="14" t="str"/>
      <x:c r="G8" s="14" t="str"/>
    </x:row>
    <x:row r="9" ht="18" customHeight="1">
      <x:c r="A9" s="14" t="str">
        <x:v>EC-05</x:v>
      </x:c>
      <x:c r="B9" s="14" t="str">
        <x:v>T-6 h</x:v>
      </x:c>
      <x:c r="C9" s="14" t="str">
        <x:v>source and water transfer freeze</x:v>
      </x:c>
      <x:c r="D9" s="14" t="str"/>
      <x:c r="E9" s="14" t="str">
        <x:v>OPEN</x:v>
      </x:c>
      <x:c r="F9" s="14" t="str"/>
      <x:c r="G9" s="14" t="str"/>
    </x:row>
    <x:row r="10" ht="18" customHeight="1">
      <x:c r="A10" s="14" t="str">
        <x:v>EC-06</x:v>
      </x:c>
      <x:c r="B10" s="14" t="str">
        <x:v>T-60 min</x:v>
      </x:c>
      <x:c r="C10" s="14" t="str">
        <x:v>site control and neighbor state</x:v>
      </x:c>
      <x:c r="D10" s="14" t="str"/>
      <x:c r="E10" s="14" t="str">
        <x:v>OPEN</x:v>
      </x:c>
      <x:c r="F10" s="14" t="str"/>
      <x:c r="G10" s="14" t="str"/>
    </x:row>
    <x:row r="11" ht="18" customHeight="1">
      <x:c r="A11" s="14" t="str">
        <x:v>EC-07</x:v>
      </x:c>
      <x:c r="B11" s="14" t="str">
        <x:v>T-30 min</x:v>
      </x:c>
      <x:c r="C11" s="14" t="str">
        <x:v>evidence armed and custody confirmed</x:v>
      </x:c>
      <x:c r="D11" s="14" t="str"/>
      <x:c r="E11" s="14" t="str">
        <x:v>OPEN</x:v>
      </x:c>
      <x:c r="F11" s="14" t="str"/>
      <x:c r="G11" s="14" t="str"/>
    </x:row>
    <x:row r="12" ht="18" customHeight="1">
      <x:c r="A12" s="14" t="str">
        <x:v>EC-08</x:v>
      </x:c>
      <x:c r="B12" s="14" t="str">
        <x:v>T-10 min</x:v>
      </x:c>
      <x:c r="C12" s="14" t="str">
        <x:v>final issue poll</x:v>
      </x:c>
      <x:c r="D12" s="14" t="str"/>
      <x:c r="E12" s="14" t="str">
        <x:v>OPEN</x:v>
      </x:c>
      <x:c r="F12" s="14" t="str"/>
      <x:c r="G12" s="14" t="str"/>
    </x:row>
    <x:row r="13" ht="18" customHeight="1">
      <x:c r="A13" s="14" t="str">
        <x:v>EC-09</x:v>
      </x:c>
      <x:c r="B13" s="14" t="str">
        <x:v>T-60 s</x:v>
      </x:c>
      <x:c r="C13" s="14" t="str">
        <x:v>576 channels full rate</x:v>
      </x:c>
      <x:c r="D13" s="14" t="str"/>
      <x:c r="E13" s="14" t="str">
        <x:v>OPEN</x:v>
      </x:c>
      <x:c r="F13" s="14" t="str"/>
      <x:c r="G13" s="14" t="str"/>
    </x:row>
    <x:row r="14" ht="18" customHeight="1">
      <x:c r="A14" s="14" t="str">
        <x:v>EC-10</x:v>
      </x:c>
      <x:c r="B14" s="14" t="str">
        <x:v>T-10 s</x:v>
      </x:c>
      <x:c r="C14" s="14" t="str">
        <x:v>blind challenge and inventories</x:v>
      </x:c>
      <x:c r="D14" s="14" t="str"/>
      <x:c r="E14" s="14" t="str">
        <x:v>OPEN</x:v>
      </x:c>
      <x:c r="F14" s="14" t="str"/>
      <x:c r="G14" s="14" t="str"/>
    </x:row>
    <x:row r="15" ht="18" customHeight="1">
      <x:c r="A15" s="14" t="str">
        <x:v>EC-11</x:v>
      </x:c>
      <x:c r="B15" s="14" t="str">
        <x:v>T0</x:v>
      </x:c>
      <x:c r="C15" s="14" t="str">
        <x:v>public source command</x:v>
      </x:c>
      <x:c r="D15" s="14" t="str"/>
      <x:c r="E15" s="14" t="str">
        <x:v>OPEN</x:v>
      </x:c>
      <x:c r="F15" s="14" t="str"/>
      <x:c r="G15" s="14" t="str"/>
    </x:row>
    <x:row r="16" ht="18" customHeight="1">
      <x:c r="A16" s="14" t="str">
        <x:v>EC-12</x:v>
      </x:c>
      <x:c r="B16" s="14" t="str">
        <x:v>T+15 s</x:v>
      </x:c>
      <x:c r="C16" s="14" t="str">
        <x:v>AM-06 ignition opportunity</x:v>
      </x:c>
      <x:c r="D16" s="14" t="str"/>
      <x:c r="E16" s="14" t="str">
        <x:v>OPEN</x:v>
      </x:c>
      <x:c r="F16" s="14" t="str"/>
      <x:c r="G16" s="14" t="str"/>
    </x:row>
    <x:row r="17" ht="18" customHeight="1">
      <x:c r="A17" s="14" t="str">
        <x:v>EC-13</x:v>
      </x:c>
      <x:c r="B17" s="14" t="str">
        <x:v>T+30 s</x:v>
      </x:c>
      <x:c r="C17" s="14" t="str">
        <x:v>uncontrolled-source decision</x:v>
      </x:c>
      <x:c r="D17" s="14" t="str"/>
      <x:c r="E17" s="14" t="str">
        <x:v>OPEN</x:v>
      </x:c>
      <x:c r="F17" s="14" t="str"/>
      <x:c r="G17" s="14" t="str"/>
    </x:row>
    <x:row r="18" ht="18" customHeight="1">
      <x:c r="A18" s="14" t="str">
        <x:v>EC-14</x:v>
      </x:c>
      <x:c r="B18" s="14" t="str">
        <x:v>T+120 s</x:v>
      </x:c>
      <x:c r="C18" s="14" t="str">
        <x:v>dispenser schedule ends</x:v>
      </x:c>
      <x:c r="D18" s="14" t="str"/>
      <x:c r="E18" s="14" t="str">
        <x:v>OPEN</x:v>
      </x:c>
      <x:c r="F18" s="14" t="str"/>
      <x:c r="G18" s="14" t="str"/>
    </x:row>
    <x:row r="19" ht="18" customHeight="1">
      <x:c r="A19" s="14" t="str">
        <x:v>EC-15</x:v>
      </x:c>
      <x:c r="B19" s="14" t="str">
        <x:v>T+15 min</x:v>
      </x:c>
      <x:c r="C19" s="14" t="str">
        <x:v>thermal water intervention class</x:v>
      </x:c>
      <x:c r="D19" s="14" t="str"/>
      <x:c r="E19" s="14" t="str">
        <x:v>OPEN</x:v>
      </x:c>
      <x:c r="F19" s="14" t="str"/>
      <x:c r="G19" s="14" t="str"/>
    </x:row>
    <x:row r="20" ht="18" customHeight="1">
      <x:c r="A20" s="14" t="str">
        <x:v>EC-16</x:v>
      </x:c>
      <x:c r="B20" s="14" t="str">
        <x:v>T+30 min</x:v>
      </x:c>
      <x:c r="C20" s="14" t="str">
        <x:v>public casualty custody</x:v>
      </x:c>
      <x:c r="D20" s="14" t="str"/>
      <x:c r="E20" s="14" t="str">
        <x:v>OPEN</x:v>
      </x:c>
      <x:c r="F20" s="14" t="str"/>
      <x:c r="G20" s="14" t="str"/>
    </x:row>
    <x:row r="21" ht="18" customHeight="1">
      <x:c r="A21" s="14" t="str">
        <x:v>EC-17</x:v>
      </x:c>
      <x:c r="B21" s="14" t="str">
        <x:v>T+60 min</x:v>
      </x:c>
      <x:c r="C21" s="14" t="str">
        <x:v>remote-entry class</x:v>
      </x:c>
      <x:c r="D21" s="14" t="str"/>
      <x:c r="E21" s="14" t="str">
        <x:v>OPEN</x:v>
      </x:c>
      <x:c r="F21" s="14" t="str"/>
      <x:c r="G21" s="14" t="str"/>
    </x:row>
    <x:row r="22" ht="18" customHeight="1">
      <x:c r="A22" s="14" t="str">
        <x:v>EC-18</x:v>
      </x:c>
      <x:c r="B22" s="14" t="str">
        <x:v>T+6 h</x:v>
      </x:c>
      <x:c r="C22" s="14" t="str">
        <x:v>conditional tail closure and forensic hold</x:v>
      </x:c>
      <x:c r="D22" s="14" t="str"/>
      <x:c r="E22" s="14" t="str">
        <x:v>OPEN</x:v>
      </x:c>
      <x:c r="F22" s="14" t="str"/>
      <x:c r="G22" s="14" t="str"/>
    </x:row>
    <x:row r="23" ht="18" customHeight="1">
      <x:c r="A23" s="14" t="str">
        <x:v>EC-19</x:v>
      </x:c>
      <x:c r="B23" s="14" t="str">
        <x:v>T+24 h</x:v>
      </x:c>
      <x:c r="C23" s="14" t="str">
        <x:v>source water ancestry ledgers</x:v>
      </x:c>
      <x:c r="D23" s="14" t="str"/>
      <x:c r="E23" s="14" t="str">
        <x:v>OPEN</x:v>
      </x:c>
      <x:c r="F23" s="14" t="str"/>
      <x:c r="G23" s="14" t="str"/>
    </x:row>
    <x:row r="24" ht="18" customHeight="1">
      <x:c r="A24" s="14" t="str">
        <x:v>EC-20</x:v>
      </x:c>
      <x:c r="B24" s="14" t="str">
        <x:v>T+72 h</x:v>
      </x:c>
      <x:c r="C24" s="14" t="str">
        <x:v>immutable packet freeze</x:v>
      </x:c>
      <x:c r="D24" s="14" t="str"/>
      <x:c r="E24" s="14" t="str">
        <x:v>OPEN</x:v>
      </x:c>
      <x:c r="F24" s="14" t="str"/>
      <x:c r="G24" s="14" t="str"/>
    </x:row>
    <x:row r="25" ht="18" customHeight="1">
      <x:c r="A25" s="14" t="str">
        <x:v>EC-21</x:v>
      </x:c>
      <x:c r="B25" s="14" t="str">
        <x:v>day 7</x:v>
      </x:c>
      <x:c r="C25" s="14" t="str">
        <x:v>validity board</x:v>
      </x:c>
      <x:c r="D25" s="14" t="str"/>
      <x:c r="E25" s="14" t="str">
        <x:v>OPEN</x:v>
      </x:c>
      <x:c r="F25" s="14" t="str"/>
      <x:c r="G25" s="14" t="str"/>
    </x:row>
    <x:row r="26" ht="18" customHeight="1">
      <x:c r="A26" s="14" t="str">
        <x:v>EC-22</x:v>
      </x:c>
      <x:c r="B26" s="14" t="str">
        <x:v>day 7</x:v>
      </x:c>
      <x:c r="C26" s="14" t="str">
        <x:v>outcome board</x:v>
      </x:c>
      <x:c r="D26" s="14" t="str"/>
      <x:c r="E26" s="14" t="str">
        <x:v>OPEN</x:v>
      </x:c>
      <x:c r="F26" s="14" t="str"/>
      <x:c r="G26" s="14" t="str"/>
    </x:row>
    <x:row r="27" ht="18" customHeight="1">
      <x:c r="A27" s="14" t="str">
        <x:v>EC-23</x:v>
      </x:c>
      <x:c r="B27" s="14" t="str">
        <x:v>day 14</x:v>
      </x:c>
      <x:c r="C27" s="14" t="str">
        <x:v>earliest re-entry board</x:v>
      </x:c>
      <x:c r="D27" s="14" t="str"/>
      <x:c r="E27" s="14" t="str">
        <x:v>OPEN</x:v>
      </x:c>
      <x:c r="F27" s="14" t="str"/>
      <x:c r="G27" s="14" t="str"/>
    </x:row>
    <x:row r="28" ht="18" customHeight="1">
      <x:c r="A28" s="14" t="str">
        <x:v>EC-24</x:v>
      </x:c>
      <x:c r="B28" s="14" t="str">
        <x:v>next T-96 h</x:v>
      </x:c>
      <x:c r="C28" s="14" t="str">
        <x:v>new freeze before any successor</x:v>
      </x:c>
      <x:c r="D28" s="14" t="str"/>
      <x:c r="E28" s="14" t="str">
        <x:v>OPEN</x:v>
      </x:c>
      <x:c r="F28" s="14" t="str"/>
      <x:c r="G28" s="14" t="str"/>
    </x:row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28">
    <x:cfRule type="containsText" dxfId="80" priority="1" operator="containsText" text="ACCEPTED"/>
    <x:cfRule type="containsText" dxfId="81" priority="2" operator="containsText" text="PASS"/>
    <x:cfRule type="containsText" dxfId="82" priority="3" operator="containsText" text="OPEN"/>
    <x:cfRule type="containsText" dxfId="83" priority="4" operator="containsText" text="BLOCKED"/>
    <x:cfRule type="containsText" dxfId="84" priority="5" operator="containsText" text="REJECTED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27" hidden="0" customWidth="1"/>
    <x:col min="4" max="4" width="15" hidden="0" customWidth="1"/>
    <x:col min="5" max="5" width="29" hidden="0" customWidth="1"/>
    <x:col min="6" max="6" width="22" hidden="0" customWidth="1"/>
  </x:cols>
  <x:sheetData>
    <x:row r="1" ht="28" customHeight="1">
      <x:c r="A1" s="18" t="str">
        <x:v>RBA-1 | Thirty-two event holds</x:v>
      </x:c>
      <x:c r="B1" s="18"/>
      <x:c r="C1" s="18"/>
      <x:c r="D1" s="18"/>
      <x:c r="E1" s="18"/>
      <x:c r="F1" s="18"/>
    </x:row>
    <x:row r="2" ht="28" customHeight="1">
      <x:c r="A2" s="19" t="str">
        <x:v>Every domain answers identity, state, witness and authority before issue.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Hold</x:v>
      </x:c>
      <x:c r="B4" s="21" t="str">
        <x:v>Domain</x:v>
      </x:c>
      <x:c r="C4" s="21" t="str">
        <x:v>Question</x:v>
      </x:c>
      <x:c r="D4" s="21" t="str">
        <x:v>State</x:v>
      </x:c>
      <x:c r="E4" s="21" t="str">
        <x:v>Evidence root</x:v>
      </x:c>
      <x:c r="F4" s="21" t="str">
        <x:v>Accepted UTC</x:v>
      </x:c>
    </x:row>
    <x:row r="5" ht="18" customHeight="1">
      <x:c r="A5" s="14" t="str">
        <x:v>H-01</x:v>
      </x:c>
      <x:c r="B5" s="14" t="str">
        <x:v>configuration</x:v>
      </x:c>
      <x:c r="C5" s="14" t="str">
        <x:v>identity</x:v>
      </x:c>
      <x:c r="D5" s="14" t="str">
        <x:v>OPEN</x:v>
      </x:c>
      <x:c r="E5" s="14" t="str"/>
      <x:c r="F5" s="14" t="str"/>
    </x:row>
    <x:row r="6" ht="18" customHeight="1">
      <x:c r="A6" s="14" t="str">
        <x:v>H-02</x:v>
      </x:c>
      <x:c r="B6" s="14" t="str">
        <x:v>configuration</x:v>
      </x:c>
      <x:c r="C6" s="14" t="str">
        <x:v>current state</x:v>
      </x:c>
      <x:c r="D6" s="14" t="str">
        <x:v>OPEN</x:v>
      </x:c>
      <x:c r="E6" s="14" t="str"/>
      <x:c r="F6" s="14" t="str"/>
    </x:row>
    <x:row r="7" ht="18" customHeight="1">
      <x:c r="A7" s="14" t="str">
        <x:v>H-03</x:v>
      </x:c>
      <x:c r="B7" s="14" t="str">
        <x:v>configuration</x:v>
      </x:c>
      <x:c r="C7" s="14" t="str">
        <x:v>independent witness</x:v>
      </x:c>
      <x:c r="D7" s="14" t="str">
        <x:v>OPEN</x:v>
      </x:c>
      <x:c r="E7" s="14" t="str"/>
      <x:c r="F7" s="14" t="str"/>
    </x:row>
    <x:row r="8" ht="18" customHeight="1">
      <x:c r="A8" s="14" t="str">
        <x:v>H-04</x:v>
      </x:c>
      <x:c r="B8" s="14" t="str">
        <x:v>configuration</x:v>
      </x:c>
      <x:c r="C8" s="14" t="str">
        <x:v>release authority</x:v>
      </x:c>
      <x:c r="D8" s="14" t="str">
        <x:v>OPEN</x:v>
      </x:c>
      <x:c r="E8" s="14" t="str"/>
      <x:c r="F8" s="14" t="str"/>
    </x:row>
    <x:row r="9" ht="18" customHeight="1">
      <x:c r="A9" s="14" t="str">
        <x:v>H-05</x:v>
      </x:c>
      <x:c r="B9" s="14" t="str">
        <x:v>source</x:v>
      </x:c>
      <x:c r="C9" s="14" t="str">
        <x:v>identity</x:v>
      </x:c>
      <x:c r="D9" s="14" t="str">
        <x:v>OPEN</x:v>
      </x:c>
      <x:c r="E9" s="14" t="str"/>
      <x:c r="F9" s="14" t="str"/>
    </x:row>
    <x:row r="10" ht="18" customHeight="1">
      <x:c r="A10" s="14" t="str">
        <x:v>H-06</x:v>
      </x:c>
      <x:c r="B10" s="14" t="str">
        <x:v>source</x:v>
      </x:c>
      <x:c r="C10" s="14" t="str">
        <x:v>current state</x:v>
      </x:c>
      <x:c r="D10" s="14" t="str">
        <x:v>OPEN</x:v>
      </x:c>
      <x:c r="E10" s="14" t="str"/>
      <x:c r="F10" s="14" t="str"/>
    </x:row>
    <x:row r="11" ht="18" customHeight="1">
      <x:c r="A11" s="14" t="str">
        <x:v>H-07</x:v>
      </x:c>
      <x:c r="B11" s="14" t="str">
        <x:v>source</x:v>
      </x:c>
      <x:c r="C11" s="14" t="str">
        <x:v>independent witness</x:v>
      </x:c>
      <x:c r="D11" s="14" t="str">
        <x:v>OPEN</x:v>
      </x:c>
      <x:c r="E11" s="14" t="str"/>
      <x:c r="F11" s="14" t="str"/>
    </x:row>
    <x:row r="12" ht="18" customHeight="1">
      <x:c r="A12" s="14" t="str">
        <x:v>H-08</x:v>
      </x:c>
      <x:c r="B12" s="14" t="str">
        <x:v>source</x:v>
      </x:c>
      <x:c r="C12" s="14" t="str">
        <x:v>release authority</x:v>
      </x:c>
      <x:c r="D12" s="14" t="str">
        <x:v>OPEN</x:v>
      </x:c>
      <x:c r="E12" s="14" t="str"/>
      <x:c r="F12" s="14" t="str"/>
    </x:row>
    <x:row r="13" ht="18" customHeight="1">
      <x:c r="A13" s="14" t="str">
        <x:v>H-09</x:v>
      </x:c>
      <x:c r="B13" s="14" t="str">
        <x:v>containment</x:v>
      </x:c>
      <x:c r="C13" s="14" t="str">
        <x:v>identity</x:v>
      </x:c>
      <x:c r="D13" s="14" t="str">
        <x:v>OPEN</x:v>
      </x:c>
      <x:c r="E13" s="14" t="str"/>
      <x:c r="F13" s="14" t="str"/>
    </x:row>
    <x:row r="14" ht="18" customHeight="1">
      <x:c r="A14" s="14" t="str">
        <x:v>H-10</x:v>
      </x:c>
      <x:c r="B14" s="14" t="str">
        <x:v>containment</x:v>
      </x:c>
      <x:c r="C14" s="14" t="str">
        <x:v>current state</x:v>
      </x:c>
      <x:c r="D14" s="14" t="str">
        <x:v>OPEN</x:v>
      </x:c>
      <x:c r="E14" s="14" t="str"/>
      <x:c r="F14" s="14" t="str"/>
    </x:row>
    <x:row r="15" ht="18" customHeight="1">
      <x:c r="A15" s="14" t="str">
        <x:v>H-11</x:v>
      </x:c>
      <x:c r="B15" s="14" t="str">
        <x:v>containment</x:v>
      </x:c>
      <x:c r="C15" s="14" t="str">
        <x:v>independent witness</x:v>
      </x:c>
      <x:c r="D15" s="14" t="str">
        <x:v>OPEN</x:v>
      </x:c>
      <x:c r="E15" s="14" t="str"/>
      <x:c r="F15" s="14" t="str"/>
    </x:row>
    <x:row r="16" ht="18" customHeight="1">
      <x:c r="A16" s="14" t="str">
        <x:v>H-12</x:v>
      </x:c>
      <x:c r="B16" s="14" t="str">
        <x:v>containment</x:v>
      </x:c>
      <x:c r="C16" s="14" t="str">
        <x:v>release authority</x:v>
      </x:c>
      <x:c r="D16" s="14" t="str">
        <x:v>OPEN</x:v>
      </x:c>
      <x:c r="E16" s="14" t="str"/>
      <x:c r="F16" s="14" t="str"/>
    </x:row>
    <x:row r="17" ht="18" customHeight="1">
      <x:c r="A17" s="14" t="str">
        <x:v>H-13</x:v>
      </x:c>
      <x:c r="B17" s="14" t="str">
        <x:v>water</x:v>
      </x:c>
      <x:c r="C17" s="14" t="str">
        <x:v>identity</x:v>
      </x:c>
      <x:c r="D17" s="14" t="str">
        <x:v>OPEN</x:v>
      </x:c>
      <x:c r="E17" s="14" t="str"/>
      <x:c r="F17" s="14" t="str"/>
    </x:row>
    <x:row r="18" ht="18" customHeight="1">
      <x:c r="A18" s="14" t="str">
        <x:v>H-14</x:v>
      </x:c>
      <x:c r="B18" s="14" t="str">
        <x:v>water</x:v>
      </x:c>
      <x:c r="C18" s="14" t="str">
        <x:v>current state</x:v>
      </x:c>
      <x:c r="D18" s="14" t="str">
        <x:v>OPEN</x:v>
      </x:c>
      <x:c r="E18" s="14" t="str"/>
      <x:c r="F18" s="14" t="str"/>
    </x:row>
    <x:row r="19" ht="18" customHeight="1">
      <x:c r="A19" s="14" t="str">
        <x:v>H-15</x:v>
      </x:c>
      <x:c r="B19" s="14" t="str">
        <x:v>water</x:v>
      </x:c>
      <x:c r="C19" s="14" t="str">
        <x:v>independent witness</x:v>
      </x:c>
      <x:c r="D19" s="14" t="str">
        <x:v>OPEN</x:v>
      </x:c>
      <x:c r="E19" s="14" t="str"/>
      <x:c r="F19" s="14" t="str"/>
    </x:row>
    <x:row r="20" ht="18" customHeight="1">
      <x:c r="A20" s="14" t="str">
        <x:v>H-16</x:v>
      </x:c>
      <x:c r="B20" s="14" t="str">
        <x:v>water</x:v>
      </x:c>
      <x:c r="C20" s="14" t="str">
        <x:v>release authority</x:v>
      </x:c>
      <x:c r="D20" s="14" t="str">
        <x:v>OPEN</x:v>
      </x:c>
      <x:c r="E20" s="14" t="str"/>
      <x:c r="F20" s="14" t="str"/>
    </x:row>
    <x:row r="21" ht="18" customHeight="1">
      <x:c r="A21" s="14" t="str">
        <x:v>H-17</x:v>
      </x:c>
      <x:c r="B21" s="14" t="str">
        <x:v>safeing</x:v>
      </x:c>
      <x:c r="C21" s="14" t="str">
        <x:v>identity</x:v>
      </x:c>
      <x:c r="D21" s="14" t="str">
        <x:v>OPEN</x:v>
      </x:c>
      <x:c r="E21" s="14" t="str"/>
      <x:c r="F21" s="14" t="str"/>
    </x:row>
    <x:row r="22" ht="18" customHeight="1">
      <x:c r="A22" s="14" t="str">
        <x:v>H-18</x:v>
      </x:c>
      <x:c r="B22" s="14" t="str">
        <x:v>safeing</x:v>
      </x:c>
      <x:c r="C22" s="14" t="str">
        <x:v>current state</x:v>
      </x:c>
      <x:c r="D22" s="14" t="str">
        <x:v>OPEN</x:v>
      </x:c>
      <x:c r="E22" s="14" t="str"/>
      <x:c r="F22" s="14" t="str"/>
    </x:row>
    <x:row r="23" ht="18" customHeight="1">
      <x:c r="A23" s="14" t="str">
        <x:v>H-19</x:v>
      </x:c>
      <x:c r="B23" s="14" t="str">
        <x:v>safeing</x:v>
      </x:c>
      <x:c r="C23" s="14" t="str">
        <x:v>independent witness</x:v>
      </x:c>
      <x:c r="D23" s="14" t="str">
        <x:v>OPEN</x:v>
      </x:c>
      <x:c r="E23" s="14" t="str"/>
      <x:c r="F23" s="14" t="str"/>
    </x:row>
    <x:row r="24" ht="18" customHeight="1">
      <x:c r="A24" s="14" t="str">
        <x:v>H-20</x:v>
      </x:c>
      <x:c r="B24" s="14" t="str">
        <x:v>safeing</x:v>
      </x:c>
      <x:c r="C24" s="14" t="str">
        <x:v>release authority</x:v>
      </x:c>
      <x:c r="D24" s="14" t="str">
        <x:v>OPEN</x:v>
      </x:c>
      <x:c r="E24" s="14" t="str"/>
      <x:c r="F24" s="14" t="str"/>
    </x:row>
    <x:row r="25" ht="18" customHeight="1">
      <x:c r="A25" s="14" t="str">
        <x:v>H-21</x:v>
      </x:c>
      <x:c r="B25" s="14" t="str">
        <x:v>evidence</x:v>
      </x:c>
      <x:c r="C25" s="14" t="str">
        <x:v>identity</x:v>
      </x:c>
      <x:c r="D25" s="14" t="str">
        <x:v>OPEN</x:v>
      </x:c>
      <x:c r="E25" s="14" t="str"/>
      <x:c r="F25" s="14" t="str"/>
    </x:row>
    <x:row r="26" ht="18" customHeight="1">
      <x:c r="A26" s="14" t="str">
        <x:v>H-22</x:v>
      </x:c>
      <x:c r="B26" s="14" t="str">
        <x:v>evidence</x:v>
      </x:c>
      <x:c r="C26" s="14" t="str">
        <x:v>current state</x:v>
      </x:c>
      <x:c r="D26" s="14" t="str">
        <x:v>OPEN</x:v>
      </x:c>
      <x:c r="E26" s="14" t="str"/>
      <x:c r="F26" s="14" t="str"/>
    </x:row>
    <x:row r="27" ht="18" customHeight="1">
      <x:c r="A27" s="14" t="str">
        <x:v>H-23</x:v>
      </x:c>
      <x:c r="B27" s="14" t="str">
        <x:v>evidence</x:v>
      </x:c>
      <x:c r="C27" s="14" t="str">
        <x:v>independent witness</x:v>
      </x:c>
      <x:c r="D27" s="14" t="str">
        <x:v>OPEN</x:v>
      </x:c>
      <x:c r="E27" s="14" t="str"/>
      <x:c r="F27" s="14" t="str"/>
    </x:row>
    <x:row r="28" ht="18" customHeight="1">
      <x:c r="A28" s="14" t="str">
        <x:v>H-24</x:v>
      </x:c>
      <x:c r="B28" s="14" t="str">
        <x:v>evidence</x:v>
      </x:c>
      <x:c r="C28" s="14" t="str">
        <x:v>release authority</x:v>
      </x:c>
      <x:c r="D28" s="14" t="str">
        <x:v>OPEN</x:v>
      </x:c>
      <x:c r="E28" s="14" t="str"/>
      <x:c r="F28" s="14" t="str"/>
    </x:row>
    <x:row r="29" ht="18" customHeight="1">
      <x:c r="A29" s="14" t="str">
        <x:v>H-25</x:v>
      </x:c>
      <x:c r="B29" s="14" t="str">
        <x:v>environment</x:v>
      </x:c>
      <x:c r="C29" s="14" t="str">
        <x:v>identity</x:v>
      </x:c>
      <x:c r="D29" s="14" t="str">
        <x:v>OPEN</x:v>
      </x:c>
      <x:c r="E29" s="14" t="str"/>
      <x:c r="F29" s="14" t="str"/>
    </x:row>
    <x:row r="30" ht="18" customHeight="1">
      <x:c r="A30" s="14" t="str">
        <x:v>H-26</x:v>
      </x:c>
      <x:c r="B30" s="14" t="str">
        <x:v>environment</x:v>
      </x:c>
      <x:c r="C30" s="14" t="str">
        <x:v>current state</x:v>
      </x:c>
      <x:c r="D30" s="14" t="str">
        <x:v>OPEN</x:v>
      </x:c>
      <x:c r="E30" s="14" t="str"/>
      <x:c r="F30" s="14" t="str"/>
    </x:row>
    <x:row r="31" ht="18" customHeight="1">
      <x:c r="A31" s="14" t="str">
        <x:v>H-27</x:v>
      </x:c>
      <x:c r="B31" s="14" t="str">
        <x:v>environment</x:v>
      </x:c>
      <x:c r="C31" s="14" t="str">
        <x:v>independent witness</x:v>
      </x:c>
      <x:c r="D31" s="14" t="str">
        <x:v>OPEN</x:v>
      </x:c>
      <x:c r="E31" s="14" t="str"/>
      <x:c r="F31" s="14" t="str"/>
    </x:row>
    <x:row r="32" ht="18" customHeight="1">
      <x:c r="A32" s="14" t="str">
        <x:v>H-28</x:v>
      </x:c>
      <x:c r="B32" s="14" t="str">
        <x:v>environment</x:v>
      </x:c>
      <x:c r="C32" s="14" t="str">
        <x:v>release authority</x:v>
      </x:c>
      <x:c r="D32" s="14" t="str">
        <x:v>OPEN</x:v>
      </x:c>
      <x:c r="E32" s="14" t="str"/>
      <x:c r="F32" s="14" t="str"/>
    </x:row>
    <x:row r="33" ht="18" customHeight="1">
      <x:c r="A33" s="14" t="str">
        <x:v>H-29</x:v>
      </x:c>
      <x:c r="B33" s="14" t="str">
        <x:v>authority</x:v>
      </x:c>
      <x:c r="C33" s="14" t="str">
        <x:v>identity</x:v>
      </x:c>
      <x:c r="D33" s="14" t="str">
        <x:v>OPEN</x:v>
      </x:c>
      <x:c r="E33" s="14" t="str"/>
      <x:c r="F33" s="14" t="str"/>
    </x:row>
    <x:row r="34" ht="18" customHeight="1">
      <x:c r="A34" s="14" t="str">
        <x:v>H-30</x:v>
      </x:c>
      <x:c r="B34" s="14" t="str">
        <x:v>authority</x:v>
      </x:c>
      <x:c r="C34" s="14" t="str">
        <x:v>current state</x:v>
      </x:c>
      <x:c r="D34" s="14" t="str">
        <x:v>OPEN</x:v>
      </x:c>
      <x:c r="E34" s="14" t="str"/>
      <x:c r="F34" s="14" t="str"/>
    </x:row>
    <x:row r="35" ht="18" customHeight="1">
      <x:c r="A35" s="14" t="str">
        <x:v>H-31</x:v>
      </x:c>
      <x:c r="B35" s="14" t="str">
        <x:v>authority</x:v>
      </x:c>
      <x:c r="C35" s="14" t="str">
        <x:v>independent witness</x:v>
      </x:c>
      <x:c r="D35" s="14" t="str">
        <x:v>OPEN</x:v>
      </x:c>
      <x:c r="E35" s="14" t="str"/>
      <x:c r="F35" s="14" t="str"/>
    </x:row>
    <x:row r="36" ht="18" customHeight="1">
      <x:c r="A36" s="14" t="str">
        <x:v>H-32</x:v>
      </x:c>
      <x:c r="B36" s="14" t="str">
        <x:v>authority</x:v>
      </x:c>
      <x:c r="C36" s="14" t="str">
        <x:v>release authority</x:v>
      </x:c>
      <x:c r="D36" s="14" t="str">
        <x:v>OPEN</x:v>
      </x:c>
      <x:c r="E36" s="14" t="str"/>
      <x:c r="F36" s="14" t="str"/>
    </x:row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D5:D36">
    <x:cfRule type="containsText" dxfId="85" priority="1" operator="containsText" text="ACCEPTED"/>
    <x:cfRule type="containsText" dxfId="86" priority="2" operator="containsText" text="PASS"/>
    <x:cfRule type="containsText" dxfId="87" priority="3" operator="containsText" text="OPEN"/>
    <x:cfRule type="containsText" dxfId="88" priority="4" operator="containsText" text="BLOCKED"/>
    <x:cfRule type="containsText" dxfId="89" priority="5" operator="containsText" text="REJECTED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22" hidden="0" customWidth="1"/>
    <x:col min="4" max="4" width="24" hidden="0" customWidth="1"/>
    <x:col min="5" max="5" width="23" hidden="0" customWidth="1"/>
    <x:col min="6" max="6" width="15" hidden="0" customWidth="1"/>
    <x:col min="7" max="7" width="36" hidden="0" customWidth="1"/>
  </x:cols>
  <x:sheetData>
    <x:row r="1" ht="28" customHeight="1">
      <x:c r="A1" s="18" t="str">
        <x:v>RBA-1 | Signed command transactions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Transactions preserve request, authority, acknowledgement and resulting state as separate fields.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Command</x:v>
      </x:c>
      <x:c r="B4" s="21" t="str">
        <x:v>Function</x:v>
      </x:c>
      <x:c r="C4" s="21" t="str">
        <x:v>Requested UTC</x:v>
      </x:c>
      <x:c r="D4" s="21" t="str">
        <x:v>Authority</x:v>
      </x:c>
      <x:c r="E4" s="21" t="str">
        <x:v>Acknowledged UTC</x:v>
      </x:c>
      <x:c r="F4" s="21" t="str">
        <x:v>State</x:v>
      </x:c>
      <x:c r="G4" s="21" t="str">
        <x:v>Rule</x:v>
      </x:c>
    </x:row>
    <x:row r="5" ht="18" customHeight="1">
      <x:c r="A5" s="14" t="str">
        <x:v>CMD-01</x:v>
      </x:c>
      <x:c r="B5" s="14" t="str">
        <x:v>source arm</x:v>
      </x:c>
      <x:c r="C5" s="14" t="str"/>
      <x:c r="D5" s="14" t="str"/>
      <x:c r="E5" s="14" t="str"/>
      <x:c r="F5" s="14" t="str">
        <x:v>OPEN</x:v>
      </x:c>
      <x:c r="G5" s="14" t="str">
        <x:v>command is not state</x:v>
      </x:c>
    </x:row>
    <x:row r="6" ht="18" customHeight="1">
      <x:c r="A6" s="14" t="str">
        <x:v>CMD-02</x:v>
      </x:c>
      <x:c r="B6" s="14" t="str">
        <x:v>source command</x:v>
      </x:c>
      <x:c r="C6" s="14" t="str"/>
      <x:c r="D6" s="14" t="str"/>
      <x:c r="E6" s="14" t="str"/>
      <x:c r="F6" s="14" t="str">
        <x:v>OPEN</x:v>
      </x:c>
      <x:c r="G6" s="14" t="str">
        <x:v>command is not state</x:v>
      </x:c>
    </x:row>
    <x:row r="7" ht="18" customHeight="1">
      <x:c r="A7" s="14" t="str">
        <x:v>CMD-03</x:v>
      </x:c>
      <x:c r="B7" s="14" t="str">
        <x:v>source inlet isolate</x:v>
      </x:c>
      <x:c r="C7" s="14" t="str"/>
      <x:c r="D7" s="14" t="str"/>
      <x:c r="E7" s="14" t="str"/>
      <x:c r="F7" s="14" t="str">
        <x:v>OPEN</x:v>
      </x:c>
      <x:c r="G7" s="14" t="str">
        <x:v>command is not state</x:v>
      </x:c>
    </x:row>
    <x:row r="8" ht="18" customHeight="1">
      <x:c r="A8" s="14" t="str">
        <x:v>CMD-04</x:v>
      </x:c>
      <x:c r="B8" s="14" t="str">
        <x:v>dispenser isolate</x:v>
      </x:c>
      <x:c r="C8" s="14" t="str"/>
      <x:c r="D8" s="14" t="str"/>
      <x:c r="E8" s="14" t="str"/>
      <x:c r="F8" s="14" t="str">
        <x:v>OPEN</x:v>
      </x:c>
      <x:c r="G8" s="14" t="str">
        <x:v>command is not state</x:v>
      </x:c>
    </x:row>
    <x:row r="9" ht="18" customHeight="1">
      <x:c r="A9" s="14" t="str">
        <x:v>CMD-05</x:v>
      </x:c>
      <x:c r="B9" s="14" t="str">
        <x:v>gravity divert</x:v>
      </x:c>
      <x:c r="C9" s="14" t="str"/>
      <x:c r="D9" s="14" t="str"/>
      <x:c r="E9" s="14" t="str"/>
      <x:c r="F9" s="14" t="str">
        <x:v>OPEN</x:v>
      </x:c>
      <x:c r="G9" s="14" t="str">
        <x:v>command is not state</x:v>
      </x:c>
    </x:row>
    <x:row r="10" ht="18" customHeight="1">
      <x:c r="A10" s="14" t="str">
        <x:v>CMD-06</x:v>
      </x:c>
      <x:c r="B10" s="14" t="str">
        <x:v>normal receiver isolate</x:v>
      </x:c>
      <x:c r="C10" s="14" t="str"/>
      <x:c r="D10" s="14" t="str"/>
      <x:c r="E10" s="14" t="str"/>
      <x:c r="F10" s="14" t="str">
        <x:v>OPEN</x:v>
      </x:c>
      <x:c r="G10" s="14" t="str">
        <x:v>command is not state</x:v>
      </x:c>
    </x:row>
    <x:row r="11" ht="18" customHeight="1">
      <x:c r="A11" s="14" t="str">
        <x:v>CMD-07</x:v>
      </x:c>
      <x:c r="B11" s="14" t="str">
        <x:v>casualty source divert</x:v>
      </x:c>
      <x:c r="C11" s="14" t="str"/>
      <x:c r="D11" s="14" t="str"/>
      <x:c r="E11" s="14" t="str"/>
      <x:c r="F11" s="14" t="str">
        <x:v>OPEN</x:v>
      </x:c>
      <x:c r="G11" s="14" t="str">
        <x:v>command is not state</x:v>
      </x:c>
    </x:row>
    <x:row r="12" ht="18" customHeight="1">
      <x:c r="A12" s="14" t="str">
        <x:v>CMD-08</x:v>
      </x:c>
      <x:c r="B12" s="14" t="str">
        <x:v>ignition arm</x:v>
      </x:c>
      <x:c r="C12" s="14" t="str"/>
      <x:c r="D12" s="14" t="str"/>
      <x:c r="E12" s="14" t="str"/>
      <x:c r="F12" s="14" t="str">
        <x:v>OPEN</x:v>
      </x:c>
      <x:c r="G12" s="14" t="str">
        <x:v>command is not state</x:v>
      </x:c>
    </x:row>
    <x:row r="13" ht="18" customHeight="1">
      <x:c r="A13" s="14" t="str">
        <x:v>CMD-09</x:v>
      </x:c>
      <x:c r="B13" s="14" t="str">
        <x:v>ignition opportunity</x:v>
      </x:c>
      <x:c r="C13" s="14" t="str"/>
      <x:c r="D13" s="14" t="str"/>
      <x:c r="E13" s="14" t="str"/>
      <x:c r="F13" s="14" t="str">
        <x:v>OPEN</x:v>
      </x:c>
      <x:c r="G13" s="14" t="str">
        <x:v>command is not state</x:v>
      </x:c>
    </x:row>
    <x:row r="14" ht="18" customHeight="1">
      <x:c r="A14" s="14" t="str">
        <x:v>CMD-10</x:v>
      </x:c>
      <x:c r="B14" s="14" t="str">
        <x:v>ignition remove</x:v>
      </x:c>
      <x:c r="C14" s="14" t="str"/>
      <x:c r="D14" s="14" t="str"/>
      <x:c r="E14" s="14" t="str"/>
      <x:c r="F14" s="14" t="str">
        <x:v>OPEN</x:v>
      </x:c>
      <x:c r="G14" s="14" t="str">
        <x:v>command is not state</x:v>
      </x:c>
    </x:row>
    <x:row r="15" ht="18" customHeight="1">
      <x:c r="A15" s="14" t="str">
        <x:v>CMD-11</x:v>
      </x:c>
      <x:c r="B15" s="14" t="str">
        <x:v>water isolate</x:v>
      </x:c>
      <x:c r="C15" s="14" t="str"/>
      <x:c r="D15" s="14" t="str"/>
      <x:c r="E15" s="14" t="str"/>
      <x:c r="F15" s="14" t="str">
        <x:v>OPEN</x:v>
      </x:c>
      <x:c r="G15" s="14" t="str">
        <x:v>command is not state</x:v>
      </x:c>
    </x:row>
    <x:row r="16" ht="18" customHeight="1">
      <x:c r="A16" s="14" t="str">
        <x:v>CMD-12</x:v>
      </x:c>
      <x:c r="B16" s="14" t="str">
        <x:v>casualty water divert</x:v>
      </x:c>
      <x:c r="C16" s="14" t="str"/>
      <x:c r="D16" s="14" t="str"/>
      <x:c r="E16" s="14" t="str"/>
      <x:c r="F16" s="14" t="str">
        <x:v>OPEN</x:v>
      </x:c>
      <x:c r="G16" s="14" t="str">
        <x:v>command is not state</x:v>
      </x:c>
    </x:row>
    <x:row r="17" ht="18" customHeight="1">
      <x:c r="A17" s="14" t="str">
        <x:v>CMD-13</x:v>
      </x:c>
      <x:c r="B17" s="14" t="str">
        <x:v>normal power isolate</x:v>
      </x:c>
      <x:c r="C17" s="14" t="str"/>
      <x:c r="D17" s="14" t="str"/>
      <x:c r="E17" s="14" t="str"/>
      <x:c r="F17" s="14" t="str">
        <x:v>OPEN</x:v>
      </x:c>
      <x:c r="G17" s="14" t="str">
        <x:v>command is not state</x:v>
      </x:c>
    </x:row>
    <x:row r="18" ht="18" customHeight="1">
      <x:c r="A18" s="14" t="str">
        <x:v>CMD-14</x:v>
      </x:c>
      <x:c r="B18" s="14" t="str">
        <x:v>safety energy confirm</x:v>
      </x:c>
      <x:c r="C18" s="14" t="str"/>
      <x:c r="D18" s="14" t="str"/>
      <x:c r="E18" s="14" t="str"/>
      <x:c r="F18" s="14" t="str">
        <x:v>OPEN</x:v>
      </x:c>
      <x:c r="G18" s="14" t="str">
        <x:v>command is not state</x:v>
      </x:c>
    </x:row>
    <x:row r="19" ht="18" customHeight="1">
      <x:c r="A19" s="14" t="str">
        <x:v>CMD-15</x:v>
      </x:c>
      <x:c r="B19" s="14" t="str">
        <x:v>environment vent</x:v>
      </x:c>
      <x:c r="C19" s="14" t="str"/>
      <x:c r="D19" s="14" t="str"/>
      <x:c r="E19" s="14" t="str"/>
      <x:c r="F19" s="14" t="str">
        <x:v>OPEN</x:v>
      </x:c>
      <x:c r="G19" s="14" t="str">
        <x:v>command is not state</x:v>
      </x:c>
    </x:row>
    <x:row r="20" ht="18" customHeight="1">
      <x:c r="A20" s="14" t="str">
        <x:v>CMD-16</x:v>
      </x:c>
      <x:c r="B20" s="14" t="str">
        <x:v>evidence latch</x:v>
      </x:c>
      <x:c r="C20" s="14" t="str"/>
      <x:c r="D20" s="14" t="str"/>
      <x:c r="E20" s="14" t="str"/>
      <x:c r="F20" s="14" t="str">
        <x:v>OPEN</x:v>
      </x:c>
      <x:c r="G20" s="14" t="str">
        <x:v>command is not state</x:v>
      </x:c>
    </x:row>
    <x:row r="21" ht="18" customHeight="1">
      <x:c r="A21" s="14" t="str">
        <x:v>CMD-17</x:v>
      </x:c>
      <x:c r="B21" s="14" t="str">
        <x:v>public quench</x:v>
      </x:c>
      <x:c r="C21" s="14" t="str"/>
      <x:c r="D21" s="14" t="str"/>
      <x:c r="E21" s="14" t="str"/>
      <x:c r="F21" s="14" t="str">
        <x:v>OPEN</x:v>
      </x:c>
      <x:c r="G21" s="14" t="str">
        <x:v>command is not state</x:v>
      </x:c>
    </x:row>
    <x:row r="22" ht="18" customHeight="1">
      <x:c r="A22" s="14" t="str">
        <x:v>CMD-18</x:v>
      </x:c>
      <x:c r="B22" s="14" t="str">
        <x:v>remote entry</x:v>
      </x:c>
      <x:c r="C22" s="14" t="str"/>
      <x:c r="D22" s="14" t="str"/>
      <x:c r="E22" s="14" t="str"/>
      <x:c r="F22" s="14" t="str">
        <x:v>OPEN</x:v>
      </x:c>
      <x:c r="G22" s="14" t="str">
        <x:v>command is not state</x:v>
      </x:c>
    </x:row>
    <x:row r="23" ht="18" customHeight="1">
      <x:c r="A23" s="14" t="str">
        <x:v>CMD-19</x:v>
      </x:c>
      <x:c r="B23" s="14" t="str">
        <x:v>forensic hold</x:v>
      </x:c>
      <x:c r="C23" s="14" t="str"/>
      <x:c r="D23" s="14" t="str"/>
      <x:c r="E23" s="14" t="str"/>
      <x:c r="F23" s="14" t="str">
        <x:v>OPEN</x:v>
      </x:c>
      <x:c r="G23" s="14" t="str">
        <x:v>command is not state</x:v>
      </x:c>
    </x:row>
    <x:row r="24" ht="18" customHeight="1">
      <x:c r="A24" s="14" t="str">
        <x:v>CMD-20</x:v>
      </x:c>
      <x:c r="B24" s="14" t="str">
        <x:v>all-safe confirmation</x:v>
      </x:c>
      <x:c r="C24" s="14" t="str"/>
      <x:c r="D24" s="14" t="str"/>
      <x:c r="E24" s="14" t="str"/>
      <x:c r="F24" s="14" t="str">
        <x:v>OPEN</x:v>
      </x:c>
      <x:c r="G24" s="14" t="str">
        <x:v>command is not state</x:v>
      </x:c>
    </x:row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24">
    <x:cfRule type="containsText" dxfId="90" priority="1" operator="containsText" text="ACCEPTED"/>
    <x:cfRule type="containsText" dxfId="91" priority="2" operator="containsText" text="PASS"/>
    <x:cfRule type="containsText" dxfId="92" priority="3" operator="containsText" text="OPEN"/>
    <x:cfRule type="containsText" dxfId="93" priority="4" operator="containsText" text="BLOCKED"/>
    <x:cfRule type="containsText" dxfId="94" priority="5" operator="containsText" text="REJECTED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8" hidden="0" customWidth="1"/>
    <x:col min="4" max="4" width="28" hidden="0" customWidth="1"/>
    <x:col min="5" max="5" width="15" hidden="0" customWidth="1"/>
    <x:col min="6" max="6" width="22" hidden="0" customWidth="1"/>
    <x:col min="7" max="7" width="28" hidden="0" customWidth="1"/>
  </x:cols>
  <x:sheetData>
    <x:row r="1" ht="28" customHeight="1">
      <x:c r="A1" s="18" t="str">
        <x:v>RBA-1 | Twenty abort conditions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Pre-T0 conditions stop issue; active conditions command safe state and remain outcome evidence.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Abort</x:v>
      </x:c>
      <x:c r="B4" s="21" t="str">
        <x:v>Condition</x:v>
      </x:c>
      <x:c r="C4" s="21" t="str">
        <x:v>Class</x:v>
      </x:c>
      <x:c r="D4" s="21" t="str">
        <x:v>Authority</x:v>
      </x:c>
      <x:c r="E4" s="21" t="str">
        <x:v>State</x:v>
      </x:c>
      <x:c r="F4" s="21" t="str">
        <x:v>Observed UTC</x:v>
      </x:c>
      <x:c r="G4" s="21" t="str">
        <x:v>Evidence root</x:v>
      </x:c>
    </x:row>
    <x:row r="5" ht="18" customHeight="1">
      <x:c r="A5" s="14" t="str">
        <x:v>AB-01</x:v>
      </x:c>
      <x:c r="B5" s="14" t="str">
        <x:v>package identity mismatch</x:v>
      </x:c>
      <x:c r="C5" s="14" t="str">
        <x:v>PRE-T0 STOP</x:v>
      </x:c>
      <x:c r="D5" s="14" t="str">
        <x:v>independent safety officer</x:v>
      </x:c>
      <x:c r="E5" s="14" t="str">
        <x:v>OPEN</x:v>
      </x:c>
      <x:c r="F5" s="14" t="str"/>
      <x:c r="G5" s="14" t="str"/>
    </x:row>
    <x:row r="6" ht="18" customHeight="1">
      <x:c r="A6" s="14" t="str">
        <x:v>AB-02</x:v>
      </x:c>
      <x:c r="B6" s="14" t="str">
        <x:v>source mass outside issue</x:v>
      </x:c>
      <x:c r="C6" s="14" t="str">
        <x:v>PRE-T0 STOP</x:v>
      </x:c>
      <x:c r="D6" s="14" t="str">
        <x:v>independent safety officer</x:v>
      </x:c>
      <x:c r="E6" s="14" t="str">
        <x:v>OPEN</x:v>
      </x:c>
      <x:c r="F6" s="14" t="str"/>
      <x:c r="G6" s="14" t="str"/>
    </x:row>
    <x:row r="7" ht="18" customHeight="1">
      <x:c r="A7" s="14" t="str">
        <x:v>AB-03</x:v>
      </x:c>
      <x:c r="B7" s="14" t="str">
        <x:v>source properties outside envelope</x:v>
      </x:c>
      <x:c r="C7" s="14" t="str">
        <x:v>PRE-T0 STOP</x:v>
      </x:c>
      <x:c r="D7" s="14" t="str">
        <x:v>independent safety officer</x:v>
      </x:c>
      <x:c r="E7" s="14" t="str">
        <x:v>OPEN</x:v>
      </x:c>
      <x:c r="F7" s="14" t="str"/>
      <x:c r="G7" s="14" t="str"/>
    </x:row>
    <x:row r="8" ht="18" customHeight="1">
      <x:c r="A8" s="14" t="str">
        <x:v>AB-04</x:v>
      </x:c>
      <x:c r="B8" s="14" t="str">
        <x:v>ancestry reader disagreement</x:v>
      </x:c>
      <x:c r="C8" s="14" t="str">
        <x:v>PRE-T0 STOP</x:v>
      </x:c>
      <x:c r="D8" s="14" t="str">
        <x:v>independent safety officer</x:v>
      </x:c>
      <x:c r="E8" s="14" t="str">
        <x:v>OPEN</x:v>
      </x:c>
      <x:c r="F8" s="14" t="str"/>
      <x:c r="G8" s="14" t="str"/>
    </x:row>
    <x:row r="9" ht="18" customHeight="1">
      <x:c r="A9" s="14" t="str">
        <x:v>AB-05</x:v>
      </x:c>
      <x:c r="B9" s="14" t="str">
        <x:v>initial receiver inventory high</x:v>
      </x:c>
      <x:c r="C9" s="14" t="str">
        <x:v>PRE-T0 STOP</x:v>
      </x:c>
      <x:c r="D9" s="14" t="str">
        <x:v>independent safety officer</x:v>
      </x:c>
      <x:c r="E9" s="14" t="str">
        <x:v>OPEN</x:v>
      </x:c>
      <x:c r="F9" s="14" t="str"/>
      <x:c r="G9" s="14" t="str"/>
    </x:row>
    <x:row r="10" ht="18" customHeight="1">
      <x:c r="A10" s="14" t="str">
        <x:v>AB-06</x:v>
      </x:c>
      <x:c r="B10" s="14" t="str">
        <x:v>normal receiver unavailable</x:v>
      </x:c>
      <x:c r="C10" s="14" t="str">
        <x:v>PRE-T0 STOP</x:v>
      </x:c>
      <x:c r="D10" s="14" t="str">
        <x:v>independent safety officer</x:v>
      </x:c>
      <x:c r="E10" s="14" t="str">
        <x:v>OPEN</x:v>
      </x:c>
      <x:c r="F10" s="14" t="str"/>
      <x:c r="G10" s="14" t="str"/>
    </x:row>
    <x:row r="11" ht="18" customHeight="1">
      <x:c r="A11" s="14" t="str">
        <x:v>AB-07</x:v>
      </x:c>
      <x:c r="B11" s="14" t="str">
        <x:v>casualty receiver unavailable</x:v>
      </x:c>
      <x:c r="C11" s="14" t="str">
        <x:v>PRE-T0 STOP</x:v>
      </x:c>
      <x:c r="D11" s="14" t="str">
        <x:v>independent safety officer</x:v>
      </x:c>
      <x:c r="E11" s="14" t="str">
        <x:v>OPEN</x:v>
      </x:c>
      <x:c r="F11" s="14" t="str"/>
      <x:c r="G11" s="14" t="str"/>
    </x:row>
    <x:row r="12" ht="18" customHeight="1">
      <x:c r="A12" s="14" t="str">
        <x:v>AB-08</x:v>
      </x:c>
      <x:c r="B12" s="14" t="str">
        <x:v>pan geometry breach</x:v>
      </x:c>
      <x:c r="C12" s="14" t="str">
        <x:v>PRE-T0 STOP</x:v>
      </x:c>
      <x:c r="D12" s="14" t="str">
        <x:v>independent safety officer</x:v>
      </x:c>
      <x:c r="E12" s="14" t="str">
        <x:v>OPEN</x:v>
      </x:c>
      <x:c r="F12" s="14" t="str"/>
      <x:c r="G12" s="14" t="str"/>
    </x:row>
    <x:row r="13" ht="18" customHeight="1">
      <x:c r="A13" s="14" t="str">
        <x:v>AB-09</x:v>
      </x:c>
      <x:c r="B13" s="14" t="str">
        <x:v>final element unavailable</x:v>
      </x:c>
      <x:c r="C13" s="14" t="str">
        <x:v>PRE-T0 STOP</x:v>
      </x:c>
      <x:c r="D13" s="14" t="str">
        <x:v>independent safety officer</x:v>
      </x:c>
      <x:c r="E13" s="14" t="str">
        <x:v>OPEN</x:v>
      </x:c>
      <x:c r="F13" s="14" t="str"/>
      <x:c r="G13" s="14" t="str"/>
    </x:row>
    <x:row r="14" ht="18" customHeight="1">
      <x:c r="A14" s="14" t="str">
        <x:v>AB-10</x:v>
      </x:c>
      <x:c r="B14" s="14" t="str">
        <x:v>safeing independence lost</x:v>
      </x:c>
      <x:c r="C14" s="14" t="str">
        <x:v>PRE-T0 STOP</x:v>
      </x:c>
      <x:c r="D14" s="14" t="str">
        <x:v>independent safety officer</x:v>
      </x:c>
      <x:c r="E14" s="14" t="str">
        <x:v>OPEN</x:v>
      </x:c>
      <x:c r="F14" s="14" t="str"/>
      <x:c r="G14" s="14" t="str"/>
    </x:row>
    <x:row r="15" ht="18" customHeight="1">
      <x:c r="A15" s="14" t="str">
        <x:v>AB-11</x:v>
      </x:c>
      <x:c r="B15" s="14" t="str">
        <x:v>evidence root unavailable</x:v>
      </x:c>
      <x:c r="C15" s="14" t="str">
        <x:v>PRE-T0 STOP</x:v>
      </x:c>
      <x:c r="D15" s="14" t="str">
        <x:v>independent safety officer</x:v>
      </x:c>
      <x:c r="E15" s="14" t="str">
        <x:v>OPEN</x:v>
      </x:c>
      <x:c r="F15" s="14" t="str"/>
      <x:c r="G15" s="14" t="str"/>
    </x:row>
    <x:row r="16" ht="18" customHeight="1">
      <x:c r="A16" s="14" t="str">
        <x:v>AB-12</x:v>
      </x:c>
      <x:c r="B16" s="14" t="str">
        <x:v>causal time unavailable</x:v>
      </x:c>
      <x:c r="C16" s="14" t="str">
        <x:v>PRE-T0 STOP</x:v>
      </x:c>
      <x:c r="D16" s="14" t="str">
        <x:v>independent safety officer</x:v>
      </x:c>
      <x:c r="E16" s="14" t="str">
        <x:v>OPEN</x:v>
      </x:c>
      <x:c r="F16" s="14" t="str"/>
      <x:c r="G16" s="14" t="str"/>
    </x:row>
    <x:row r="17" ht="18" customHeight="1">
      <x:c r="A17" s="14" t="str">
        <x:v>AB-13</x:v>
      </x:c>
      <x:c r="B17" s="14" t="str">
        <x:v>crew minimum lost</x:v>
      </x:c>
      <x:c r="C17" s="14" t="str">
        <x:v>PRE-T0 STOP</x:v>
      </x:c>
      <x:c r="D17" s="14" t="str">
        <x:v>independent safety officer</x:v>
      </x:c>
      <x:c r="E17" s="14" t="str">
        <x:v>OPEN</x:v>
      </x:c>
      <x:c r="F17" s="14" t="str"/>
      <x:c r="G17" s="14" t="str"/>
    </x:row>
    <x:row r="18" ht="18" customHeight="1">
      <x:c r="A18" s="14" t="str">
        <x:v>AB-14</x:v>
      </x:c>
      <x:c r="B18" s="14" t="str">
        <x:v>rescue posture lost</x:v>
      </x:c>
      <x:c r="C18" s="14" t="str">
        <x:v>PRE-T0 STOP</x:v>
      </x:c>
      <x:c r="D18" s="14" t="str">
        <x:v>independent safety officer</x:v>
      </x:c>
      <x:c r="E18" s="14" t="str">
        <x:v>OPEN</x:v>
      </x:c>
      <x:c r="F18" s="14" t="str"/>
      <x:c r="G18" s="14" t="str"/>
    </x:row>
    <x:row r="19" ht="18" customHeight="1">
      <x:c r="A19" s="14" t="str">
        <x:v>AB-15</x:v>
      </x:c>
      <x:c r="B19" s="14" t="str">
        <x:v>environmental boundary unavailable</x:v>
      </x:c>
      <x:c r="C19" s="14" t="str">
        <x:v>PRE-T0 STOP</x:v>
      </x:c>
      <x:c r="D19" s="14" t="str">
        <x:v>independent safety officer</x:v>
      </x:c>
      <x:c r="E19" s="14" t="str">
        <x:v>OPEN</x:v>
      </x:c>
      <x:c r="F19" s="14" t="str"/>
      <x:c r="G19" s="14" t="str"/>
    </x:row>
    <x:row r="20" ht="18" customHeight="1">
      <x:c r="A20" s="14" t="str">
        <x:v>AB-16</x:v>
      </x:c>
      <x:c r="B20" s="14" t="str">
        <x:v>wind or smoke boundary crossed</x:v>
      </x:c>
      <x:c r="C20" s="14" t="str">
        <x:v>PRE-T0 STOP</x:v>
      </x:c>
      <x:c r="D20" s="14" t="str">
        <x:v>independent safety officer</x:v>
      </x:c>
      <x:c r="E20" s="14" t="str">
        <x:v>OPEN</x:v>
      </x:c>
      <x:c r="F20" s="14" t="str"/>
      <x:c r="G20" s="14" t="str"/>
    </x:row>
    <x:row r="21" ht="18" customHeight="1">
      <x:c r="A21" s="14" t="str">
        <x:v>AB-17</x:v>
      </x:c>
      <x:c r="B21" s="14" t="str">
        <x:v>public water identity lost</x:v>
      </x:c>
      <x:c r="C21" s="14" t="str">
        <x:v>PRE-T0 STOP</x:v>
      </x:c>
      <x:c r="D21" s="14" t="str">
        <x:v>independent safety officer</x:v>
      </x:c>
      <x:c r="E21" s="14" t="str">
        <x:v>OPEN</x:v>
      </x:c>
      <x:c r="F21" s="14" t="str"/>
      <x:c r="G21" s="14" t="str"/>
    </x:row>
    <x:row r="22" ht="18" customHeight="1">
      <x:c r="A22" s="14" t="str">
        <x:v>AB-18</x:v>
      </x:c>
      <x:c r="B22" s="14" t="str">
        <x:v>uncontrolled source after 30 s</x:v>
      </x:c>
      <x:c r="C22" s="14" t="str">
        <x:v>ACTIVE ABORT</x:v>
      </x:c>
      <x:c r="D22" s="14" t="str">
        <x:v>independent safety officer</x:v>
      </x:c>
      <x:c r="E22" s="14" t="str">
        <x:v>OPEN</x:v>
      </x:c>
      <x:c r="F22" s="14" t="str"/>
      <x:c r="G22" s="14" t="str"/>
    </x:row>
    <x:row r="23" ht="18" customHeight="1">
      <x:c r="A23" s="14" t="str">
        <x:v>AB-19</x:v>
      </x:c>
      <x:c r="B23" s="14" t="str">
        <x:v>thermal boundary crossed</x:v>
      </x:c>
      <x:c r="C23" s="14" t="str">
        <x:v>ACTIVE ABORT</x:v>
      </x:c>
      <x:c r="D23" s="14" t="str">
        <x:v>independent safety officer</x:v>
      </x:c>
      <x:c r="E23" s="14" t="str">
        <x:v>OPEN</x:v>
      </x:c>
      <x:c r="F23" s="14" t="str"/>
      <x:c r="G23" s="14" t="str"/>
    </x:row>
    <x:row r="24" ht="18" customHeight="1">
      <x:c r="A24" s="14" t="str">
        <x:v>AB-20</x:v>
      </x:c>
      <x:c r="B24" s="14" t="str">
        <x:v>unrecoverable decisive evidence loss</x:v>
      </x:c>
      <x:c r="C24" s="14" t="str">
        <x:v>ACTIVE ABORT</x:v>
      </x:c>
      <x:c r="D24" s="14" t="str">
        <x:v>independent safety officer</x:v>
      </x:c>
      <x:c r="E24" s="14" t="str">
        <x:v>OPEN</x:v>
      </x:c>
      <x:c r="F24" s="14" t="str"/>
      <x:c r="G24" s="14" t="str"/>
    </x:row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24">
    <x:cfRule type="containsText" dxfId="95" priority="1" operator="containsText" text="ACCEPTED"/>
    <x:cfRule type="containsText" dxfId="96" priority="2" operator="containsText" text="PASS"/>
    <x:cfRule type="containsText" dxfId="97" priority="3" operator="containsText" text="OPEN"/>
    <x:cfRule type="containsText" dxfId="98" priority="4" operator="containsText" text="BLOCKED"/>
    <x:cfRule type="containsText" dxfId="99" priority="5" operator="containsText" text="REJECTED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5" hidden="0" customWidth="1"/>
    <x:col min="4" max="4" width="22" hidden="0" customWidth="1"/>
    <x:col min="5" max="5" width="40" hidden="0" customWidth="1"/>
    <x:col min="6" max="6" width="15" hidden="0" customWidth="1"/>
    <x:col min="7" max="7" width="28" hidden="0" customWidth="1"/>
  </x:cols>
  <x:sheetData>
    <x:row r="1" ht="28" customHeight="1">
      <x:c r="A1" s="18" t="str">
        <x:v>RBA-1 | Public intervention classes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A correct safety act remains visible and cannot be credited to the public method.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Class</x:v>
      </x:c>
      <x:c r="B4" s="21" t="str">
        <x:v>Action</x:v>
      </x:c>
      <x:c r="C4" s="21" t="str">
        <x:v>Safety meaning</x:v>
      </x:c>
      <x:c r="D4" s="21" t="str">
        <x:v>Observed UTC</x:v>
      </x:c>
      <x:c r="E4" s="21" t="str">
        <x:v>Research meaning</x:v>
      </x:c>
      <x:c r="F4" s="21" t="str">
        <x:v>State</x:v>
      </x:c>
      <x:c r="G4" s="21" t="str">
        <x:v>Evidence root</x:v>
      </x:c>
    </x:row>
    <x:row r="5" ht="18" customHeight="1">
      <x:c r="A5" s="14" t="str">
        <x:v>PI-00</x:v>
      </x:c>
      <x:c r="B5" s="14" t="str">
        <x:v>none</x:v>
      </x:c>
      <x:c r="C5" s="14" t="str">
        <x:v>neutral</x:v>
      </x:c>
      <x:c r="D5" s="14" t="str"/>
      <x:c r="E5" s="14" t="str">
        <x:v>possible success</x:v>
      </x:c>
      <x:c r="F5" s="14" t="str">
        <x:v>OPEN</x:v>
      </x:c>
      <x:c r="G5" s="14" t="str"/>
    </x:row>
    <x:row r="6" ht="18" customHeight="1">
      <x:c r="A6" s="14" t="str">
        <x:v>PI-01</x:v>
      </x:c>
      <x:c r="B6" s="14" t="str">
        <x:v>source inlet isolation</x:v>
      </x:c>
      <x:c r="C6" s="14" t="str">
        <x:v>public safety action</x:v>
      </x:c>
      <x:c r="D6" s="14" t="str"/>
      <x:c r="E6" s="14" t="str">
        <x:v>adverse if before autonomous bound</x:v>
      </x:c>
      <x:c r="F6" s="14" t="str">
        <x:v>OPEN</x:v>
      </x:c>
      <x:c r="G6" s="14" t="str"/>
    </x:row>
    <x:row r="7" ht="18" customHeight="1">
      <x:c r="A7" s="14" t="str">
        <x:v>PI-02</x:v>
      </x:c>
      <x:c r="B7" s="14" t="str">
        <x:v>dispenser isolation</x:v>
      </x:c>
      <x:c r="C7" s="14" t="str">
        <x:v>public safety action</x:v>
      </x:c>
      <x:c r="D7" s="14" t="str"/>
      <x:c r="E7" s="14" t="str">
        <x:v>adverse if before autonomous bound</x:v>
      </x:c>
      <x:c r="F7" s="14" t="str">
        <x:v>OPEN</x:v>
      </x:c>
      <x:c r="G7" s="14" t="str"/>
    </x:row>
    <x:row r="8" ht="18" customHeight="1">
      <x:c r="A8" s="14" t="str">
        <x:v>PI-03</x:v>
      </x:c>
      <x:c r="B8" s="14" t="str">
        <x:v>gravity source diversion</x:v>
      </x:c>
      <x:c r="C8" s="14" t="str">
        <x:v>public safety action</x:v>
      </x:c>
      <x:c r="D8" s="14" t="str"/>
      <x:c r="E8" s="14" t="str">
        <x:v>adverse if before autonomous bound</x:v>
      </x:c>
      <x:c r="F8" s="14" t="str">
        <x:v>OPEN</x:v>
      </x:c>
      <x:c r="G8" s="14" t="str"/>
    </x:row>
    <x:row r="9" ht="18" customHeight="1">
      <x:c r="A9" s="14" t="str">
        <x:v>PI-04</x:v>
      </x:c>
      <x:c r="B9" s="14" t="str">
        <x:v>casualty source diversion</x:v>
      </x:c>
      <x:c r="C9" s="14" t="str">
        <x:v>public safety action</x:v>
      </x:c>
      <x:c r="D9" s="14" t="str"/>
      <x:c r="E9" s="14" t="str">
        <x:v>adverse if before autonomous bound</x:v>
      </x:c>
      <x:c r="F9" s="14" t="str">
        <x:v>OPEN</x:v>
      </x:c>
      <x:c r="G9" s="14" t="str"/>
    </x:row>
    <x:row r="10" ht="18" customHeight="1">
      <x:c r="A10" s="14" t="str">
        <x:v>PI-05</x:v>
      </x:c>
      <x:c r="B10" s="14" t="str">
        <x:v>ignition removal</x:v>
      </x:c>
      <x:c r="C10" s="14" t="str">
        <x:v>public safety action</x:v>
      </x:c>
      <x:c r="D10" s="14" t="str"/>
      <x:c r="E10" s="14" t="str">
        <x:v>adverse if before autonomous bound</x:v>
      </x:c>
      <x:c r="F10" s="14" t="str">
        <x:v>OPEN</x:v>
      </x:c>
      <x:c r="G10" s="14" t="str"/>
    </x:row>
    <x:row r="11" ht="18" customHeight="1">
      <x:c r="A11" s="14" t="str">
        <x:v>PI-06</x:v>
      </x:c>
      <x:c r="B11" s="14" t="str">
        <x:v>public quench</x:v>
      </x:c>
      <x:c r="C11" s="14" t="str">
        <x:v>public safety action</x:v>
      </x:c>
      <x:c r="D11" s="14" t="str"/>
      <x:c r="E11" s="14" t="str">
        <x:v>adverse if before autonomous bound</x:v>
      </x:c>
      <x:c r="F11" s="14" t="str">
        <x:v>OPEN</x:v>
      </x:c>
      <x:c r="G11" s="14" t="str"/>
    </x:row>
    <x:row r="12" ht="18" customHeight="1">
      <x:c r="A12" s="14" t="str">
        <x:v>PI-07</x:v>
      </x:c>
      <x:c r="B12" s="14" t="str">
        <x:v>casualty water diversion</x:v>
      </x:c>
      <x:c r="C12" s="14" t="str">
        <x:v>public safety action</x:v>
      </x:c>
      <x:c r="D12" s="14" t="str"/>
      <x:c r="E12" s="14" t="str">
        <x:v>adverse if before autonomous bound</x:v>
      </x:c>
      <x:c r="F12" s="14" t="str">
        <x:v>OPEN</x:v>
      </x:c>
      <x:c r="G12" s="14" t="str"/>
    </x:row>
    <x:row r="13" ht="18" customHeight="1">
      <x:c r="A13" s="14" t="str">
        <x:v>PI-08</x:v>
      </x:c>
      <x:c r="B13" s="14" t="str">
        <x:v>normal power isolation</x:v>
      </x:c>
      <x:c r="C13" s="14" t="str">
        <x:v>public safety action</x:v>
      </x:c>
      <x:c r="D13" s="14" t="str"/>
      <x:c r="E13" s="14" t="str">
        <x:v>adverse if before autonomous bound</x:v>
      </x:c>
      <x:c r="F13" s="14" t="str">
        <x:v>OPEN</x:v>
      </x:c>
      <x:c r="G13" s="14" t="str"/>
    </x:row>
    <x:row r="14" ht="18" customHeight="1">
      <x:c r="A14" s="14" t="str">
        <x:v>PI-09</x:v>
      </x:c>
      <x:c r="B14" s="14" t="str">
        <x:v>remote rescue entry</x:v>
      </x:c>
      <x:c r="C14" s="14" t="str">
        <x:v>public safety action</x:v>
      </x:c>
      <x:c r="D14" s="14" t="str"/>
      <x:c r="E14" s="14" t="str">
        <x:v>adverse if before autonomous bound</x:v>
      </x:c>
      <x:c r="F14" s="14" t="str">
        <x:v>OPEN</x:v>
      </x:c>
      <x:c r="G14" s="14" t="str"/>
    </x:row>
    <x:row r="15" ht="18" customHeight="1">
      <x:c r="A15" s="14" t="str">
        <x:v>PI-10</x:v>
      </x:c>
      <x:c r="B15" s="14" t="str">
        <x:v>environmental containment action</x:v>
      </x:c>
      <x:c r="C15" s="14" t="str">
        <x:v>public safety action</x:v>
      </x:c>
      <x:c r="D15" s="14" t="str"/>
      <x:c r="E15" s="14" t="str">
        <x:v>adverse if before autonomous bound</x:v>
      </x:c>
      <x:c r="F15" s="14" t="str">
        <x:v>OPEN</x:v>
      </x:c>
      <x:c r="G15" s="14" t="str"/>
    </x:row>
    <x:row r="16" ht="18" customHeight="1">
      <x:c r="A16" s="14" t="str">
        <x:v>PI-11</x:v>
      </x:c>
      <x:c r="B16" s="14" t="str">
        <x:v>evidence-system protective action</x:v>
      </x:c>
      <x:c r="C16" s="14" t="str">
        <x:v>public safety action</x:v>
      </x:c>
      <x:c r="D16" s="14" t="str"/>
      <x:c r="E16" s="14" t="str">
        <x:v>adverse if before autonomous bound</x:v>
      </x:c>
      <x:c r="F16" s="14" t="str">
        <x:v>OPEN</x:v>
      </x:c>
      <x:c r="G16" s="14" t="str"/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16">
    <x:cfRule type="containsText" dxfId="100" priority="1" operator="containsText" text="ACCEPTED"/>
    <x:cfRule type="containsText" dxfId="101" priority="2" operator="containsText" text="PASS"/>
    <x:cfRule type="containsText" dxfId="102" priority="3" operator="containsText" text="OPEN"/>
    <x:cfRule type="containsText" dxfId="103" priority="4" operator="containsText" text="BLOCKED"/>
    <x:cfRule type="containsText" dxfId="104" priority="5" operator="containsText" text="REJECTED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2" hidden="0" customWidth="1"/>
    <x:col min="4" max="4" width="16" hidden="0" customWidth="1"/>
    <x:col min="5" max="5" width="17" hidden="0" customWidth="1"/>
    <x:col min="6" max="6" width="17" hidden="0" customWidth="1"/>
    <x:col min="7" max="7" width="15" hidden="0" customWidth="1"/>
    <x:col min="8" max="8" width="28" hidden="0" customWidth="1"/>
  </x:cols>
  <x:sheetData>
    <x:row r="1" ht="28" customHeight="1">
      <x:c r="A1" s="18" t="str">
        <x:v>RBA-1 | Forty-eight root-specific measurements</x:v>
      </x:c>
      <x:c r="B1" s="18"/>
      <x:c r="C1" s="18"/>
      <x:c r="D1" s="18"/>
      <x:c r="E1" s="18"/>
      <x:c r="F1" s="18"/>
      <x:c r="G1" s="18"/>
      <x:c r="H1" s="18"/>
    </x:row>
    <x:row r="2" ht="28" customHeight="1">
      <x:c r="A2" s="19" t="str">
        <x:v>Unlike roots make independent numerical decisions; blank does not mean zero.</x:v>
      </x:c>
      <x:c r="B2" s="19"/>
      <x:c r="C2" s="19"/>
      <x:c r="D2" s="19"/>
      <x:c r="E2" s="19"/>
      <x:c r="F2" s="19"/>
      <x:c r="G2" s="19"/>
      <x:c r="H2" s="19"/>
    </x:row>
    <x:row r="3" ht="18" customHeight="1">
      <x:c r="A3" s="20"/>
      <x:c r="B3" s="20"/>
      <x:c r="C3" s="20"/>
      <x:c r="D3" s="20"/>
      <x:c r="E3" s="20"/>
      <x:c r="F3" s="20"/>
      <x:c r="G3" s="20"/>
      <x:c r="H3" s="20"/>
    </x:row>
    <x:row r="4" ht="18" customHeight="1">
      <x:c r="A4" s="21" t="str">
        <x:v>Measure</x:v>
      </x:c>
      <x:c r="B4" s="21" t="str">
        <x:v>Variable</x:v>
      </x:c>
      <x:c r="C4" s="21" t="str">
        <x:v>Root</x:v>
      </x:c>
      <x:c r="D4" s="21" t="str">
        <x:v>Observed</x:v>
      </x:c>
      <x:c r="E4" s="21" t="str">
        <x:v>Unit</x:v>
      </x:c>
      <x:c r="F4" s="21" t="str">
        <x:v>Uncertainty</x:v>
      </x:c>
      <x:c r="G4" s="21" t="str">
        <x:v>State</x:v>
      </x:c>
      <x:c r="H4" s="21" t="str">
        <x:v>Evidence root</x:v>
      </x:c>
    </x:row>
    <x:row r="5" ht="18" customHeight="1">
      <x:c r="A5" s="14" t="str">
        <x:v>MP-01</x:v>
      </x:c>
      <x:c r="B5" s="14" t="str">
        <x:v>package mass</x:v>
      </x:c>
      <x:c r="C5" s="14" t="str">
        <x:v>TR-A</x:v>
      </x:c>
      <x:c r="D5" s="14" t="str"/>
      <x:c r="E5" s="14" t="str"/>
      <x:c r="F5" s="14" t="str"/>
      <x:c r="G5" s="14" t="str">
        <x:v>OPEN</x:v>
      </x:c>
      <x:c r="H5" s="14" t="str"/>
    </x:row>
    <x:row r="6" ht="18" customHeight="1">
      <x:c r="A6" s="14" t="str">
        <x:v>MP-02</x:v>
      </x:c>
      <x:c r="B6" s="14" t="str">
        <x:v>package mass</x:v>
      </x:c>
      <x:c r="C6" s="14" t="str">
        <x:v>TR-B</x:v>
      </x:c>
      <x:c r="D6" s="14" t="str"/>
      <x:c r="E6" s="14" t="str"/>
      <x:c r="F6" s="14" t="str"/>
      <x:c r="G6" s="14" t="str">
        <x:v>OPEN</x:v>
      </x:c>
      <x:c r="H6" s="14" t="str"/>
    </x:row>
    <x:row r="7" ht="18" customHeight="1">
      <x:c r="A7" s="14" t="str">
        <x:v>MP-03</x:v>
      </x:c>
      <x:c r="B7" s="14" t="str">
        <x:v>event aliquot mass</x:v>
      </x:c>
      <x:c r="C7" s="14" t="str">
        <x:v>TR-A</x:v>
      </x:c>
      <x:c r="D7" s="14" t="str"/>
      <x:c r="E7" s="14" t="str"/>
      <x:c r="F7" s="14" t="str"/>
      <x:c r="G7" s="14" t="str">
        <x:v>OPEN</x:v>
      </x:c>
      <x:c r="H7" s="14" t="str"/>
    </x:row>
    <x:row r="8" ht="18" customHeight="1">
      <x:c r="A8" s="14" t="str">
        <x:v>MP-04</x:v>
      </x:c>
      <x:c r="B8" s="14" t="str">
        <x:v>event aliquot mass</x:v>
      </x:c>
      <x:c r="C8" s="14" t="str">
        <x:v>TR-B</x:v>
      </x:c>
      <x:c r="D8" s="14" t="str"/>
      <x:c r="E8" s="14" t="str"/>
      <x:c r="F8" s="14" t="str"/>
      <x:c r="G8" s="14" t="str">
        <x:v>OPEN</x:v>
      </x:c>
      <x:c r="H8" s="14" t="str"/>
    </x:row>
    <x:row r="9" ht="18" customHeight="1">
      <x:c r="A9" s="14" t="str">
        <x:v>MP-05</x:v>
      </x:c>
      <x:c r="B9" s="14" t="str">
        <x:v>source density</x:v>
      </x:c>
      <x:c r="C9" s="14" t="str">
        <x:v>TR-A</x:v>
      </x:c>
      <x:c r="D9" s="14" t="str"/>
      <x:c r="E9" s="14" t="str"/>
      <x:c r="F9" s="14" t="str"/>
      <x:c r="G9" s="14" t="str">
        <x:v>OPEN</x:v>
      </x:c>
      <x:c r="H9" s="14" t="str"/>
    </x:row>
    <x:row r="10" ht="18" customHeight="1">
      <x:c r="A10" s="14" t="str">
        <x:v>MP-06</x:v>
      </x:c>
      <x:c r="B10" s="14" t="str">
        <x:v>source density</x:v>
      </x:c>
      <x:c r="C10" s="14" t="str">
        <x:v>TR-B</x:v>
      </x:c>
      <x:c r="D10" s="14" t="str"/>
      <x:c r="E10" s="14" t="str"/>
      <x:c r="F10" s="14" t="str"/>
      <x:c r="G10" s="14" t="str">
        <x:v>OPEN</x:v>
      </x:c>
      <x:c r="H10" s="14" t="str"/>
    </x:row>
    <x:row r="11" ht="18" customHeight="1">
      <x:c r="A11" s="14" t="str">
        <x:v>MP-07</x:v>
      </x:c>
      <x:c r="B11" s="14" t="str">
        <x:v>source temperature</x:v>
      </x:c>
      <x:c r="C11" s="14" t="str">
        <x:v>TR-A</x:v>
      </x:c>
      <x:c r="D11" s="14" t="str"/>
      <x:c r="E11" s="14" t="str"/>
      <x:c r="F11" s="14" t="str"/>
      <x:c r="G11" s="14" t="str">
        <x:v>OPEN</x:v>
      </x:c>
      <x:c r="H11" s="14" t="str"/>
    </x:row>
    <x:row r="12" ht="18" customHeight="1">
      <x:c r="A12" s="14" t="str">
        <x:v>MP-08</x:v>
      </x:c>
      <x:c r="B12" s="14" t="str">
        <x:v>source temperature</x:v>
      </x:c>
      <x:c r="C12" s="14" t="str">
        <x:v>TR-B</x:v>
      </x:c>
      <x:c r="D12" s="14" t="str"/>
      <x:c r="E12" s="14" t="str"/>
      <x:c r="F12" s="14" t="str"/>
      <x:c r="G12" s="14" t="str">
        <x:v>OPEN</x:v>
      </x:c>
      <x:c r="H12" s="14" t="str"/>
    </x:row>
    <x:row r="13" ht="18" customHeight="1">
      <x:c r="A13" s="14" t="str">
        <x:v>MP-09</x:v>
      </x:c>
      <x:c r="B13" s="14" t="str">
        <x:v>route inlet mass</x:v>
      </x:c>
      <x:c r="C13" s="14" t="str">
        <x:v>TR-A</x:v>
      </x:c>
      <x:c r="D13" s="14" t="str"/>
      <x:c r="E13" s="14" t="str"/>
      <x:c r="F13" s="14" t="str"/>
      <x:c r="G13" s="14" t="str">
        <x:v>OPEN</x:v>
      </x:c>
      <x:c r="H13" s="14" t="str"/>
    </x:row>
    <x:row r="14" ht="18" customHeight="1">
      <x:c r="A14" s="14" t="str">
        <x:v>MP-10</x:v>
      </x:c>
      <x:c r="B14" s="14" t="str">
        <x:v>route inlet mass</x:v>
      </x:c>
      <x:c r="C14" s="14" t="str">
        <x:v>TR-B</x:v>
      </x:c>
      <x:c r="D14" s="14" t="str"/>
      <x:c r="E14" s="14" t="str"/>
      <x:c r="F14" s="14" t="str"/>
      <x:c r="G14" s="14" t="str">
        <x:v>OPEN</x:v>
      </x:c>
      <x:c r="H14" s="14" t="str"/>
    </x:row>
    <x:row r="15" ht="18" customHeight="1">
      <x:c r="A15" s="14" t="str">
        <x:v>MP-11</x:v>
      </x:c>
      <x:c r="B15" s="14" t="str">
        <x:v>route outlet mass</x:v>
      </x:c>
      <x:c r="C15" s="14" t="str">
        <x:v>TR-A</x:v>
      </x:c>
      <x:c r="D15" s="14" t="str"/>
      <x:c r="E15" s="14" t="str"/>
      <x:c r="F15" s="14" t="str"/>
      <x:c r="G15" s="14" t="str">
        <x:v>OPEN</x:v>
      </x:c>
      <x:c r="H15" s="14" t="str"/>
    </x:row>
    <x:row r="16" ht="18" customHeight="1">
      <x:c r="A16" s="14" t="str">
        <x:v>MP-12</x:v>
      </x:c>
      <x:c r="B16" s="14" t="str">
        <x:v>route outlet mass</x:v>
      </x:c>
      <x:c r="C16" s="14" t="str">
        <x:v>TR-B</x:v>
      </x:c>
      <x:c r="D16" s="14" t="str"/>
      <x:c r="E16" s="14" t="str"/>
      <x:c r="F16" s="14" t="str"/>
      <x:c r="G16" s="14" t="str">
        <x:v>OPEN</x:v>
      </x:c>
      <x:c r="H16" s="14" t="str"/>
    </x:row>
    <x:row r="17" ht="18" customHeight="1">
      <x:c r="A17" s="14" t="str">
        <x:v>MP-13</x:v>
      </x:c>
      <x:c r="B17" s="14" t="str">
        <x:v>route residual</x:v>
      </x:c>
      <x:c r="C17" s="14" t="str">
        <x:v>TR-A</x:v>
      </x:c>
      <x:c r="D17" s="14" t="str"/>
      <x:c r="E17" s="14" t="str"/>
      <x:c r="F17" s="14" t="str"/>
      <x:c r="G17" s="14" t="str">
        <x:v>OPEN</x:v>
      </x:c>
      <x:c r="H17" s="14" t="str"/>
    </x:row>
    <x:row r="18" ht="18" customHeight="1">
      <x:c r="A18" s="14" t="str">
        <x:v>MP-14</x:v>
      </x:c>
      <x:c r="B18" s="14" t="str">
        <x:v>route residual</x:v>
      </x:c>
      <x:c r="C18" s="14" t="str">
        <x:v>TR-B</x:v>
      </x:c>
      <x:c r="D18" s="14" t="str"/>
      <x:c r="E18" s="14" t="str"/>
      <x:c r="F18" s="14" t="str"/>
      <x:c r="G18" s="14" t="str">
        <x:v>OPEN</x:v>
      </x:c>
      <x:c r="H18" s="14" t="str"/>
    </x:row>
    <x:row r="19" ht="18" customHeight="1">
      <x:c r="A19" s="14" t="str">
        <x:v>MP-15</x:v>
      </x:c>
      <x:c r="B19" s="14" t="str">
        <x:v>pan inventory</x:v>
      </x:c>
      <x:c r="C19" s="14" t="str">
        <x:v>TR-A</x:v>
      </x:c>
      <x:c r="D19" s="14" t="str"/>
      <x:c r="E19" s="14" t="str"/>
      <x:c r="F19" s="14" t="str"/>
      <x:c r="G19" s="14" t="str">
        <x:v>OPEN</x:v>
      </x:c>
      <x:c r="H19" s="14" t="str"/>
    </x:row>
    <x:row r="20" ht="18" customHeight="1">
      <x:c r="A20" s="14" t="str">
        <x:v>MP-16</x:v>
      </x:c>
      <x:c r="B20" s="14" t="str">
        <x:v>pan inventory</x:v>
      </x:c>
      <x:c r="C20" s="14" t="str">
        <x:v>TR-B</x:v>
      </x:c>
      <x:c r="D20" s="14" t="str"/>
      <x:c r="E20" s="14" t="str"/>
      <x:c r="F20" s="14" t="str"/>
      <x:c r="G20" s="14" t="str">
        <x:v>OPEN</x:v>
      </x:c>
      <x:c r="H20" s="14" t="str"/>
    </x:row>
    <x:row r="21" ht="18" customHeight="1">
      <x:c r="A21" s="14" t="str">
        <x:v>MP-17</x:v>
      </x:c>
      <x:c r="B21" s="14" t="str">
        <x:v>normal receiver inventory</x:v>
      </x:c>
      <x:c r="C21" s="14" t="str">
        <x:v>TR-A</x:v>
      </x:c>
      <x:c r="D21" s="14" t="str"/>
      <x:c r="E21" s="14" t="str"/>
      <x:c r="F21" s="14" t="str"/>
      <x:c r="G21" s="14" t="str">
        <x:v>OPEN</x:v>
      </x:c>
      <x:c r="H21" s="14" t="str"/>
    </x:row>
    <x:row r="22" ht="18" customHeight="1">
      <x:c r="A22" s="14" t="str">
        <x:v>MP-18</x:v>
      </x:c>
      <x:c r="B22" s="14" t="str">
        <x:v>normal receiver inventory</x:v>
      </x:c>
      <x:c r="C22" s="14" t="str">
        <x:v>TR-B</x:v>
      </x:c>
      <x:c r="D22" s="14" t="str"/>
      <x:c r="E22" s="14" t="str"/>
      <x:c r="F22" s="14" t="str"/>
      <x:c r="G22" s="14" t="str">
        <x:v>OPEN</x:v>
      </x:c>
      <x:c r="H22" s="14" t="str"/>
    </x:row>
    <x:row r="23" ht="18" customHeight="1">
      <x:c r="A23" s="14" t="str">
        <x:v>MP-19</x:v>
      </x:c>
      <x:c r="B23" s="14" t="str">
        <x:v>casualty receiver inventory</x:v>
      </x:c>
      <x:c r="C23" s="14" t="str">
        <x:v>TR-A</x:v>
      </x:c>
      <x:c r="D23" s="14" t="str"/>
      <x:c r="E23" s="14" t="str"/>
      <x:c r="F23" s="14" t="str"/>
      <x:c r="G23" s="14" t="str">
        <x:v>OPEN</x:v>
      </x:c>
      <x:c r="H23" s="14" t="str"/>
    </x:row>
    <x:row r="24" ht="18" customHeight="1">
      <x:c r="A24" s="14" t="str">
        <x:v>MP-20</x:v>
      </x:c>
      <x:c r="B24" s="14" t="str">
        <x:v>casualty receiver inventory</x:v>
      </x:c>
      <x:c r="C24" s="14" t="str">
        <x:v>TR-B</x:v>
      </x:c>
      <x:c r="D24" s="14" t="str"/>
      <x:c r="E24" s="14" t="str"/>
      <x:c r="F24" s="14" t="str"/>
      <x:c r="G24" s="14" t="str">
        <x:v>OPEN</x:v>
      </x:c>
      <x:c r="H24" s="14" t="str"/>
    </x:row>
    <x:row r="25" ht="18" customHeight="1">
      <x:c r="A25" s="14" t="str">
        <x:v>MP-21</x:v>
      </x:c>
      <x:c r="B25" s="14" t="str">
        <x:v>burned or transformed mass</x:v>
      </x:c>
      <x:c r="C25" s="14" t="str">
        <x:v>TR-A</x:v>
      </x:c>
      <x:c r="D25" s="14" t="str"/>
      <x:c r="E25" s="14" t="str"/>
      <x:c r="F25" s="14" t="str"/>
      <x:c r="G25" s="14" t="str">
        <x:v>OPEN</x:v>
      </x:c>
      <x:c r="H25" s="14" t="str"/>
    </x:row>
    <x:row r="26" ht="18" customHeight="1">
      <x:c r="A26" s="14" t="str">
        <x:v>MP-22</x:v>
      </x:c>
      <x:c r="B26" s="14" t="str">
        <x:v>burned or transformed mass</x:v>
      </x:c>
      <x:c r="C26" s="14" t="str">
        <x:v>TR-B</x:v>
      </x:c>
      <x:c r="D26" s="14" t="str"/>
      <x:c r="E26" s="14" t="str"/>
      <x:c r="F26" s="14" t="str"/>
      <x:c r="G26" s="14" t="str">
        <x:v>OPEN</x:v>
      </x:c>
      <x:c r="H26" s="14" t="str"/>
    </x:row>
    <x:row r="27" ht="18" customHeight="1">
      <x:c r="A27" s="14" t="str">
        <x:v>MP-23</x:v>
      </x:c>
      <x:c r="B27" s="14" t="str">
        <x:v>sample mass</x:v>
      </x:c>
      <x:c r="C27" s="14" t="str">
        <x:v>TR-A</x:v>
      </x:c>
      <x:c r="D27" s="14" t="str"/>
      <x:c r="E27" s="14" t="str"/>
      <x:c r="F27" s="14" t="str"/>
      <x:c r="G27" s="14" t="str">
        <x:v>OPEN</x:v>
      </x:c>
      <x:c r="H27" s="14" t="str"/>
    </x:row>
    <x:row r="28" ht="18" customHeight="1">
      <x:c r="A28" s="14" t="str">
        <x:v>MP-24</x:v>
      </x:c>
      <x:c r="B28" s="14" t="str">
        <x:v>sample mass</x:v>
      </x:c>
      <x:c r="C28" s="14" t="str">
        <x:v>TR-B</x:v>
      </x:c>
      <x:c r="D28" s="14" t="str"/>
      <x:c r="E28" s="14" t="str"/>
      <x:c r="F28" s="14" t="str"/>
      <x:c r="G28" s="14" t="str">
        <x:v>OPEN</x:v>
      </x:c>
      <x:c r="H28" s="14" t="str"/>
    </x:row>
    <x:row r="29" ht="18" customHeight="1">
      <x:c r="A29" s="14" t="str">
        <x:v>MP-25</x:v>
      </x:c>
      <x:c r="B29" s="14" t="str">
        <x:v>environmental source</x:v>
      </x:c>
      <x:c r="C29" s="14" t="str">
        <x:v>TR-A</x:v>
      </x:c>
      <x:c r="D29" s="14" t="str"/>
      <x:c r="E29" s="14" t="str"/>
      <x:c r="F29" s="14" t="str"/>
      <x:c r="G29" s="14" t="str">
        <x:v>OPEN</x:v>
      </x:c>
      <x:c r="H29" s="14" t="str"/>
    </x:row>
    <x:row r="30" ht="18" customHeight="1">
      <x:c r="A30" s="14" t="str">
        <x:v>MP-26</x:v>
      </x:c>
      <x:c r="B30" s="14" t="str">
        <x:v>environmental source</x:v>
      </x:c>
      <x:c r="C30" s="14" t="str">
        <x:v>TR-B</x:v>
      </x:c>
      <x:c r="D30" s="14" t="str"/>
      <x:c r="E30" s="14" t="str"/>
      <x:c r="F30" s="14" t="str"/>
      <x:c r="G30" s="14" t="str">
        <x:v>OPEN</x:v>
      </x:c>
      <x:c r="H30" s="14" t="str"/>
    </x:row>
    <x:row r="31" ht="18" customHeight="1">
      <x:c r="A31" s="14" t="str">
        <x:v>MP-27</x:v>
      </x:c>
      <x:c r="B31" s="14" t="str">
        <x:v>unaccounted source</x:v>
      </x:c>
      <x:c r="C31" s="14" t="str">
        <x:v>TR-A</x:v>
      </x:c>
      <x:c r="D31" s="14" t="str"/>
      <x:c r="E31" s="14" t="str"/>
      <x:c r="F31" s="14" t="str"/>
      <x:c r="G31" s="14" t="str">
        <x:v>OPEN</x:v>
      </x:c>
      <x:c r="H31" s="14" t="str"/>
    </x:row>
    <x:row r="32" ht="18" customHeight="1">
      <x:c r="A32" s="14" t="str">
        <x:v>MP-28</x:v>
      </x:c>
      <x:c r="B32" s="14" t="str">
        <x:v>unaccounted source</x:v>
      </x:c>
      <x:c r="C32" s="14" t="str">
        <x:v>TR-B</x:v>
      </x:c>
      <x:c r="D32" s="14" t="str"/>
      <x:c r="E32" s="14" t="str"/>
      <x:c r="F32" s="14" t="str"/>
      <x:c r="G32" s="14" t="str">
        <x:v>OPEN</x:v>
      </x:c>
      <x:c r="H32" s="14" t="str"/>
    </x:row>
    <x:row r="33" ht="18" customHeight="1">
      <x:c r="A33" s="14" t="str">
        <x:v>MP-29</x:v>
      </x:c>
      <x:c r="B33" s="14" t="str">
        <x:v>source ancestry recovery</x:v>
      </x:c>
      <x:c r="C33" s="14" t="str">
        <x:v>TR-A</x:v>
      </x:c>
      <x:c r="D33" s="14" t="str"/>
      <x:c r="E33" s="14" t="str"/>
      <x:c r="F33" s="14" t="str"/>
      <x:c r="G33" s="14" t="str">
        <x:v>OPEN</x:v>
      </x:c>
      <x:c r="H33" s="14" t="str"/>
    </x:row>
    <x:row r="34" ht="18" customHeight="1">
      <x:c r="A34" s="14" t="str">
        <x:v>MP-30</x:v>
      </x:c>
      <x:c r="B34" s="14" t="str">
        <x:v>source ancestry recovery</x:v>
      </x:c>
      <x:c r="C34" s="14" t="str">
        <x:v>TR-B</x:v>
      </x:c>
      <x:c r="D34" s="14" t="str"/>
      <x:c r="E34" s="14" t="str"/>
      <x:c r="F34" s="14" t="str"/>
      <x:c r="G34" s="14" t="str">
        <x:v>OPEN</x:v>
      </x:c>
      <x:c r="H34" s="14" t="str"/>
    </x:row>
    <x:row r="35" ht="18" customHeight="1">
      <x:c r="A35" s="14" t="str">
        <x:v>MP-31</x:v>
      </x:c>
      <x:c r="B35" s="14" t="str">
        <x:v>source cross-talk</x:v>
      </x:c>
      <x:c r="C35" s="14" t="str">
        <x:v>TR-A</x:v>
      </x:c>
      <x:c r="D35" s="14" t="str"/>
      <x:c r="E35" s="14" t="str"/>
      <x:c r="F35" s="14" t="str"/>
      <x:c r="G35" s="14" t="str">
        <x:v>OPEN</x:v>
      </x:c>
      <x:c r="H35" s="14" t="str"/>
    </x:row>
    <x:row r="36" ht="18" customHeight="1">
      <x:c r="A36" s="14" t="str">
        <x:v>MP-32</x:v>
      </x:c>
      <x:c r="B36" s="14" t="str">
        <x:v>source cross-talk</x:v>
      </x:c>
      <x:c r="C36" s="14" t="str">
        <x:v>TR-B</x:v>
      </x:c>
      <x:c r="D36" s="14" t="str"/>
      <x:c r="E36" s="14" t="str"/>
      <x:c r="F36" s="14" t="str"/>
      <x:c r="G36" s="14" t="str">
        <x:v>OPEN</x:v>
      </x:c>
      <x:c r="H36" s="14" t="str"/>
    </x:row>
    <x:row r="37" ht="18" customHeight="1">
      <x:c r="A37" s="14" t="str">
        <x:v>MP-33</x:v>
      </x:c>
      <x:c r="B37" s="14" t="str">
        <x:v>water admission</x:v>
      </x:c>
      <x:c r="C37" s="14" t="str">
        <x:v>TR-A</x:v>
      </x:c>
      <x:c r="D37" s="14" t="str"/>
      <x:c r="E37" s="14" t="str"/>
      <x:c r="F37" s="14" t="str"/>
      <x:c r="G37" s="14" t="str">
        <x:v>OPEN</x:v>
      </x:c>
      <x:c r="H37" s="14" t="str"/>
    </x:row>
    <x:row r="38" ht="18" customHeight="1">
      <x:c r="A38" s="14" t="str">
        <x:v>MP-34</x:v>
      </x:c>
      <x:c r="B38" s="14" t="str">
        <x:v>water admission</x:v>
      </x:c>
      <x:c r="C38" s="14" t="str">
        <x:v>TR-B</x:v>
      </x:c>
      <x:c r="D38" s="14" t="str"/>
      <x:c r="E38" s="14" t="str"/>
      <x:c r="F38" s="14" t="str"/>
      <x:c r="G38" s="14" t="str">
        <x:v>OPEN</x:v>
      </x:c>
      <x:c r="H38" s="14" t="str"/>
    </x:row>
    <x:row r="39" ht="18" customHeight="1">
      <x:c r="A39" s="14" t="str">
        <x:v>MP-35</x:v>
      </x:c>
      <x:c r="B39" s="14" t="str">
        <x:v>water recovery</x:v>
      </x:c>
      <x:c r="C39" s="14" t="str">
        <x:v>TR-A</x:v>
      </x:c>
      <x:c r="D39" s="14" t="str"/>
      <x:c r="E39" s="14" t="str"/>
      <x:c r="F39" s="14" t="str"/>
      <x:c r="G39" s="14" t="str">
        <x:v>OPEN</x:v>
      </x:c>
      <x:c r="H39" s="14" t="str"/>
    </x:row>
    <x:row r="40" ht="18" customHeight="1">
      <x:c r="A40" s="14" t="str">
        <x:v>MP-36</x:v>
      </x:c>
      <x:c r="B40" s="14" t="str">
        <x:v>water recovery</x:v>
      </x:c>
      <x:c r="C40" s="14" t="str">
        <x:v>TR-B</x:v>
      </x:c>
      <x:c r="D40" s="14" t="str"/>
      <x:c r="E40" s="14" t="str"/>
      <x:c r="F40" s="14" t="str"/>
      <x:c r="G40" s="14" t="str">
        <x:v>OPEN</x:v>
      </x:c>
      <x:c r="H40" s="14" t="str"/>
    </x:row>
    <x:row r="41" ht="18" customHeight="1">
      <x:c r="A41" s="14" t="str">
        <x:v>MP-37</x:v>
      </x:c>
      <x:c r="B41" s="14" t="str">
        <x:v>water ancestry recovery</x:v>
      </x:c>
      <x:c r="C41" s="14" t="str">
        <x:v>TR-A</x:v>
      </x:c>
      <x:c r="D41" s="14" t="str"/>
      <x:c r="E41" s="14" t="str"/>
      <x:c r="F41" s="14" t="str"/>
      <x:c r="G41" s="14" t="str">
        <x:v>OPEN</x:v>
      </x:c>
      <x:c r="H41" s="14" t="str"/>
    </x:row>
    <x:row r="42" ht="18" customHeight="1">
      <x:c r="A42" s="14" t="str">
        <x:v>MP-38</x:v>
      </x:c>
      <x:c r="B42" s="14" t="str">
        <x:v>water ancestry recovery</x:v>
      </x:c>
      <x:c r="C42" s="14" t="str">
        <x:v>TR-B</x:v>
      </x:c>
      <x:c r="D42" s="14" t="str"/>
      <x:c r="E42" s="14" t="str"/>
      <x:c r="F42" s="14" t="str"/>
      <x:c r="G42" s="14" t="str">
        <x:v>OPEN</x:v>
      </x:c>
      <x:c r="H42" s="14" t="str"/>
    </x:row>
    <x:row r="43" ht="18" customHeight="1">
      <x:c r="A43" s="14" t="str">
        <x:v>MP-39</x:v>
      </x:c>
      <x:c r="B43" s="14" t="str">
        <x:v>water cross-talk</x:v>
      </x:c>
      <x:c r="C43" s="14" t="str">
        <x:v>TR-A</x:v>
      </x:c>
      <x:c r="D43" s="14" t="str"/>
      <x:c r="E43" s="14" t="str"/>
      <x:c r="F43" s="14" t="str"/>
      <x:c r="G43" s="14" t="str">
        <x:v>OPEN</x:v>
      </x:c>
      <x:c r="H43" s="14" t="str"/>
    </x:row>
    <x:row r="44" ht="18" customHeight="1">
      <x:c r="A44" s="14" t="str">
        <x:v>MP-40</x:v>
      </x:c>
      <x:c r="B44" s="14" t="str">
        <x:v>water cross-talk</x:v>
      </x:c>
      <x:c r="C44" s="14" t="str">
        <x:v>TR-B</x:v>
      </x:c>
      <x:c r="D44" s="14" t="str"/>
      <x:c r="E44" s="14" t="str"/>
      <x:c r="F44" s="14" t="str"/>
      <x:c r="G44" s="14" t="str">
        <x:v>OPEN</x:v>
      </x:c>
      <x:c r="H44" s="14" t="str"/>
    </x:row>
    <x:row r="45" ht="18" customHeight="1">
      <x:c r="A45" s="14" t="str">
        <x:v>MP-41</x:v>
      </x:c>
      <x:c r="B45" s="14" t="str">
        <x:v>occupied area</x:v>
      </x:c>
      <x:c r="C45" s="14" t="str">
        <x:v>TR-A</x:v>
      </x:c>
      <x:c r="D45" s="14" t="str"/>
      <x:c r="E45" s="14" t="str"/>
      <x:c r="F45" s="14" t="str"/>
      <x:c r="G45" s="14" t="str">
        <x:v>OPEN</x:v>
      </x:c>
      <x:c r="H45" s="14" t="str"/>
    </x:row>
    <x:row r="46" ht="18" customHeight="1">
      <x:c r="A46" s="14" t="str">
        <x:v>MP-42</x:v>
      </x:c>
      <x:c r="B46" s="14" t="str">
        <x:v>occupied area</x:v>
      </x:c>
      <x:c r="C46" s="14" t="str">
        <x:v>TR-B</x:v>
      </x:c>
      <x:c r="D46" s="14" t="str"/>
      <x:c r="E46" s="14" t="str"/>
      <x:c r="F46" s="14" t="str"/>
      <x:c r="G46" s="14" t="str">
        <x:v>OPEN</x:v>
      </x:c>
      <x:c r="H46" s="14" t="str"/>
    </x:row>
    <x:row r="47" ht="18" customHeight="1">
      <x:c r="A47" s="14" t="str">
        <x:v>MP-43</x:v>
      </x:c>
      <x:c r="B47" s="14" t="str">
        <x:v>thermal output</x:v>
      </x:c>
      <x:c r="C47" s="14" t="str">
        <x:v>TR-A</x:v>
      </x:c>
      <x:c r="D47" s="14" t="str"/>
      <x:c r="E47" s="14" t="str"/>
      <x:c r="F47" s="14" t="str"/>
      <x:c r="G47" s="14" t="str">
        <x:v>OPEN</x:v>
      </x:c>
      <x:c r="H47" s="14" t="str"/>
    </x:row>
    <x:row r="48" ht="18" customHeight="1">
      <x:c r="A48" s="14" t="str">
        <x:v>MP-44</x:v>
      </x:c>
      <x:c r="B48" s="14" t="str">
        <x:v>thermal output</x:v>
      </x:c>
      <x:c r="C48" s="14" t="str">
        <x:v>TR-B</x:v>
      </x:c>
      <x:c r="D48" s="14" t="str"/>
      <x:c r="E48" s="14" t="str"/>
      <x:c r="F48" s="14" t="str"/>
      <x:c r="G48" s="14" t="str">
        <x:v>OPEN</x:v>
      </x:c>
      <x:c r="H48" s="14" t="str"/>
    </x:row>
    <x:row r="49" ht="18" customHeight="1">
      <x:c r="A49" s="14" t="str">
        <x:v>MP-45</x:v>
      </x:c>
      <x:c r="B49" s="14" t="str">
        <x:v>radiant boundary</x:v>
      </x:c>
      <x:c r="C49" s="14" t="str">
        <x:v>TR-A</x:v>
      </x:c>
      <x:c r="D49" s="14" t="str"/>
      <x:c r="E49" s="14" t="str"/>
      <x:c r="F49" s="14" t="str"/>
      <x:c r="G49" s="14" t="str">
        <x:v>OPEN</x:v>
      </x:c>
      <x:c r="H49" s="14" t="str"/>
    </x:row>
    <x:row r="50" ht="18" customHeight="1">
      <x:c r="A50" s="14" t="str">
        <x:v>MP-46</x:v>
      </x:c>
      <x:c r="B50" s="14" t="str">
        <x:v>radiant boundary</x:v>
      </x:c>
      <x:c r="C50" s="14" t="str">
        <x:v>TR-B</x:v>
      </x:c>
      <x:c r="D50" s="14" t="str"/>
      <x:c r="E50" s="14" t="str"/>
      <x:c r="F50" s="14" t="str"/>
      <x:c r="G50" s="14" t="str">
        <x:v>OPEN</x:v>
      </x:c>
      <x:c r="H50" s="14" t="str"/>
    </x:row>
    <x:row r="51" ht="18" customHeight="1">
      <x:c r="A51" s="14" t="str">
        <x:v>MP-47</x:v>
      </x:c>
      <x:c r="B51" s="14" t="str">
        <x:v>terminal-source time</x:v>
      </x:c>
      <x:c r="C51" s="14" t="str">
        <x:v>TR-A</x:v>
      </x:c>
      <x:c r="D51" s="14" t="str"/>
      <x:c r="E51" s="14" t="str"/>
      <x:c r="F51" s="14" t="str"/>
      <x:c r="G51" s="14" t="str">
        <x:v>OPEN</x:v>
      </x:c>
      <x:c r="H51" s="14" t="str"/>
    </x:row>
    <x:row r="52" ht="18" customHeight="1">
      <x:c r="A52" s="14" t="str">
        <x:v>MP-48</x:v>
      </x:c>
      <x:c r="B52" s="14" t="str">
        <x:v>terminal-source time</x:v>
      </x:c>
      <x:c r="C52" s="14" t="str">
        <x:v>TR-B</x:v>
      </x:c>
      <x:c r="D52" s="14" t="str"/>
      <x:c r="E52" s="14" t="str"/>
      <x:c r="F52" s="14" t="str"/>
      <x:c r="G52" s="14" t="str">
        <x:v>OPEN</x:v>
      </x:c>
      <x:c r="H52" s="14" t="str"/>
    </x:row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G5:G52">
    <x:cfRule type="containsText" dxfId="105" priority="1" operator="containsText" text="ACCEPTED"/>
    <x:cfRule type="containsText" dxfId="106" priority="2" operator="containsText" text="PASS"/>
    <x:cfRule type="containsText" dxfId="107" priority="3" operator="containsText" text="OPEN"/>
    <x:cfRule type="containsText" dxfId="108" priority="4" operator="containsText" text="BLOCKED"/>
    <x:cfRule type="containsText" dxfId="109" priority="5" operator="containsText" text="REJECTED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5" hidden="0" customWidth="1"/>
    <x:col min="5" max="5" width="58" hidden="0" customWidth="1"/>
  </x:cols>
  <x:sheetData>
    <x:row r="1" ht="28" customHeight="1">
      <x:c r="A1" s="18" t="str">
        <x:v>RBA-1 | Source-mass uncertainty budget</x:v>
      </x:c>
      <x:c r="B1" s="18"/>
      <x:c r="C1" s="18"/>
      <x:c r="D1" s="18"/>
      <x:c r="E1" s="18"/>
    </x:row>
    <x:row r="2" ht="28" customHeight="1">
      <x:c r="A2" s="19" t="str">
        <x:v>Root-sum-square is permitted only for declared uncorrelated components.</x:v>
      </x:c>
      <x:c r="B2" s="19"/>
      <x:c r="C2" s="19"/>
      <x:c r="D2" s="19"/>
      <x:c r="E2" s="19"/>
    </x:row>
    <x:row r="3" ht="18" customHeight="1">
      <x:c r="A3" s="20"/>
      <x:c r="B3" s="20"/>
      <x:c r="C3" s="20"/>
      <x:c r="D3" s="20"/>
      <x:c r="E3" s="20"/>
    </x:row>
    <x:row r="4" ht="18" customHeight="1">
      <x:c r="A4" s="21" t="str">
        <x:v>Component</x:v>
      </x:c>
      <x:c r="B4" s="21" t="str">
        <x:v>TR-A</x:v>
      </x:c>
      <x:c r="C4" s="21" t="str">
        <x:v>TR-B</x:v>
      </x:c>
      <x:c r="D4" s="21" t="str">
        <x:v>Unit</x:v>
      </x:c>
      <x:c r="E4" s="21" t="str">
        <x:v>Rule</x:v>
      </x:c>
    </x:row>
    <x:row r="5" ht="18" customHeight="1">
      <x:c r="A5" s="14" t="str">
        <x:v>load-cell chain</x:v>
      </x:c>
      <x:c r="B5" s="17" t="n">
        <x:v>0.25</x:v>
      </x:c>
      <x:c r="C5" s="17" t="n">
        <x:v>0.25</x:v>
      </x:c>
      <x:c r="D5" s="14" t="str">
        <x:v>kg</x:v>
      </x:c>
      <x:c r="E5" s="14" t="str">
        <x:v>uncorrelated planning component</x:v>
      </x:c>
    </x:row>
    <x:row r="6" ht="18" customHeight="1">
      <x:c r="A6" s="14" t="str">
        <x:v>transfer</x:v>
      </x:c>
      <x:c r="B6" s="17" t="n">
        <x:v>0.2</x:v>
      </x:c>
      <x:c r="C6" s="17" t="n">
        <x:v>0.2</x:v>
      </x:c>
      <x:c r="D6" s="14" t="str">
        <x:v>kg</x:v>
      </x:c>
      <x:c r="E6" s="14" t="str">
        <x:v>uncorrelated planning component</x:v>
      </x:c>
    </x:row>
    <x:row r="7" ht="18" customHeight="1">
      <x:c r="A7" s="14" t="str">
        <x:v>route hold-up</x:v>
      </x:c>
      <x:c r="B7" s="17" t="n">
        <x:v>0.3</x:v>
      </x:c>
      <x:c r="C7" s="17" t="n">
        <x:v>0.3</x:v>
      </x:c>
      <x:c r="D7" s="14" t="str">
        <x:v>kg</x:v>
      </x:c>
      <x:c r="E7" s="14" t="str">
        <x:v>uncorrelated planning component</x:v>
      </x:c>
    </x:row>
    <x:row r="8" ht="18" customHeight="1">
      <x:c r="A8" s="14" t="str">
        <x:v>samples</x:v>
      </x:c>
      <x:c r="B8" s="17" t="n">
        <x:v>0.3</x:v>
      </x:c>
      <x:c r="C8" s="17" t="n">
        <x:v>0.3</x:v>
      </x:c>
      <x:c r="D8" s="14" t="str">
        <x:v>kg</x:v>
      </x:c>
      <x:c r="E8" s="14" t="str">
        <x:v>uncorrelated planning component</x:v>
      </x:c>
    </x:row>
    <x:row r="9" ht="18" customHeight="1">
      <x:c r="A9" s="14" t="str">
        <x:v>time alignment</x:v>
      </x:c>
      <x:c r="B9" s="17" t="n">
        <x:v>0.2</x:v>
      </x:c>
      <x:c r="C9" s="17" t="n">
        <x:v>0.2</x:v>
      </x:c>
      <x:c r="D9" s="14" t="str">
        <x:v>kg</x:v>
      </x:c>
      <x:c r="E9" s="14" t="str">
        <x:v>uncorrelated planning component</x:v>
      </x:c>
    </x:row>
    <x:row r="10" ht="18" customHeight="1">
      <x:c r="A10" s="14" t="str">
        <x:v>RSS standard</x:v>
      </x:c>
      <x:c r="B10" s="17" t="n">
        <x:f>SQRT(SUMSQ(B5:B9))</x:f>
        <x:v>0.5678908345800273</x:v>
      </x:c>
      <x:c r="C10" s="17" t="n">
        <x:f>SQRT(SUMSQ(C5:C9))</x:f>
        <x:v>0.5678908345800273</x:v>
      </x:c>
      <x:c r="D10" s="14" t="str">
        <x:v>kg</x:v>
      </x:c>
      <x:c r="E10" s="14" t="str">
        <x:v>square-root sum of squares</x:v>
      </x:c>
    </x:row>
    <x:row r="11" ht="18" customHeight="1">
      <x:c r="A11" s="14" t="str">
        <x:v>expanded k=2</x:v>
      </x:c>
      <x:c r="B11" s="17" t="n">
        <x:f>2*B10</x:f>
        <x:v>1.1357816691600546</x:v>
      </x:c>
      <x:c r="C11" s="17" t="n">
        <x:f>2*C10</x:f>
        <x:v>1.1357816691600546</x:v>
      </x:c>
      <x:c r="D11" s="14" t="str">
        <x:v>kg</x:v>
      </x:c>
      <x:c r="E11" s="14" t="str">
        <x:v>must be &lt;= 1.5 kg</x:v>
      </x:c>
    </x:row>
    <x:row r="12" ht="18" customHeight="1">
      <x:c r="A12" s="14" t="str">
        <x:v>ceiling</x:v>
      </x:c>
      <x:c r="B12" s="17" t="n">
        <x:v>1.5</x:v>
      </x:c>
      <x:c r="C12" s="17" t="n">
        <x:v>1.5</x:v>
      </x:c>
      <x:c r="D12" s="14" t="str">
        <x:v>kg</x:v>
      </x:c>
      <x:c r="E12" s="14" t="str">
        <x:v>registered decision bound</x:v>
      </x:c>
    </x:row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7" hidden="0" customWidth="1"/>
    <x:col min="4" max="4" width="17" hidden="0" customWidth="1"/>
    <x:col min="5" max="5" width="13" hidden="0" customWidth="1"/>
    <x:col min="6" max="6" width="15" hidden="0" customWidth="1"/>
    <x:col min="7" max="7" width="34" hidden="0" customWidth="1"/>
  </x:cols>
  <x:sheetData>
    <x:row r="1" ht="28" customHeight="1">
      <x:c r="A1" s="18" t="str">
        <x:v>RBA-1 | Mutually exclusive terminal source bins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Every gram enters one bin. Recovered source is derived, never double-counted.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Entry</x:v>
      </x:c>
      <x:c r="B4" s="21" t="str">
        <x:v>Terminal bin</x:v>
      </x:c>
      <x:c r="C4" s="21" t="str">
        <x:v>TR-A</x:v>
      </x:c>
      <x:c r="D4" s="21" t="str">
        <x:v>TR-B</x:v>
      </x:c>
      <x:c r="E4" s="21" t="str">
        <x:v>Unit</x:v>
      </x:c>
      <x:c r="F4" s="21" t="str">
        <x:v>State</x:v>
      </x:c>
      <x:c r="G4" s="21" t="str">
        <x:v>Bound or rule</x:v>
      </x:c>
    </x:row>
    <x:row r="5" ht="18" customHeight="1">
      <x:c r="A5" s="14" t="str">
        <x:v>SL-01</x:v>
      </x:c>
      <x:c r="B5" s="14" t="str">
        <x:v>dispenser residual</x:v>
      </x:c>
      <x:c r="C5" s="14" t="str"/>
      <x:c r="D5" s="14" t="str"/>
      <x:c r="E5" s="14" t="str">
        <x:v>kg</x:v>
      </x:c>
      <x:c r="F5" s="14" t="str">
        <x:v>OPEN</x:v>
      </x:c>
      <x:c r="G5" s="14" t="str">
        <x:v>registered terminal bin</x:v>
      </x:c>
    </x:row>
    <x:row r="6" ht="18" customHeight="1">
      <x:c r="A6" s="14" t="str">
        <x:v>SL-02</x:v>
      </x:c>
      <x:c r="B6" s="14" t="str">
        <x:v>route residual</x:v>
      </x:c>
      <x:c r="C6" s="14" t="str"/>
      <x:c r="D6" s="14" t="str"/>
      <x:c r="E6" s="14" t="str">
        <x:v>kg</x:v>
      </x:c>
      <x:c r="F6" s="14" t="str">
        <x:v>OPEN</x:v>
      </x:c>
      <x:c r="G6" s="14" t="str">
        <x:v>registered terminal bin</x:v>
      </x:c>
    </x:row>
    <x:row r="7" ht="18" customHeight="1">
      <x:c r="A7" s="14" t="str">
        <x:v>SL-03</x:v>
      </x:c>
      <x:c r="B7" s="14" t="str">
        <x:v>pan/surface inventory</x:v>
      </x:c>
      <x:c r="C7" s="14" t="str"/>
      <x:c r="D7" s="14" t="str"/>
      <x:c r="E7" s="14" t="str">
        <x:v>kg</x:v>
      </x:c>
      <x:c r="F7" s="14" t="str">
        <x:v>OPEN</x:v>
      </x:c>
      <x:c r="G7" s="14" t="str">
        <x:v>registered terminal bin</x:v>
      </x:c>
    </x:row>
    <x:row r="8" ht="18" customHeight="1">
      <x:c r="A8" s="14" t="str">
        <x:v>SL-04</x:v>
      </x:c>
      <x:c r="B8" s="14" t="str">
        <x:v>normal receiver</x:v>
      </x:c>
      <x:c r="C8" s="14" t="str"/>
      <x:c r="D8" s="14" t="str"/>
      <x:c r="E8" s="14" t="str">
        <x:v>kg</x:v>
      </x:c>
      <x:c r="F8" s="14" t="str">
        <x:v>OPEN</x:v>
      </x:c>
      <x:c r="G8" s="14" t="str">
        <x:v>registered terminal bin</x:v>
      </x:c>
    </x:row>
    <x:row r="9" ht="18" customHeight="1">
      <x:c r="A9" s="14" t="str">
        <x:v>SL-05</x:v>
      </x:c>
      <x:c r="B9" s="14" t="str">
        <x:v>casualty receiver</x:v>
      </x:c>
      <x:c r="C9" s="14" t="str"/>
      <x:c r="D9" s="14" t="str"/>
      <x:c r="E9" s="14" t="str">
        <x:v>kg</x:v>
      </x:c>
      <x:c r="F9" s="14" t="str">
        <x:v>OPEN</x:v>
      </x:c>
      <x:c r="G9" s="14" t="str">
        <x:v>registered terminal bin</x:v>
      </x:c>
    </x:row>
    <x:row r="10" ht="18" customHeight="1">
      <x:c r="A10" s="14" t="str">
        <x:v>SL-06</x:v>
      </x:c>
      <x:c r="B10" s="14" t="str">
        <x:v>burned or transformed</x:v>
      </x:c>
      <x:c r="C10" s="14" t="str"/>
      <x:c r="D10" s="14" t="str"/>
      <x:c r="E10" s="14" t="str">
        <x:v>kg</x:v>
      </x:c>
      <x:c r="F10" s="14" t="str">
        <x:v>OPEN</x:v>
      </x:c>
      <x:c r="G10" s="14" t="str">
        <x:v>registered terminal bin</x:v>
      </x:c>
    </x:row>
    <x:row r="11" ht="18" customHeight="1">
      <x:c r="A11" s="14" t="str">
        <x:v>SL-07</x:v>
      </x:c>
      <x:c r="B11" s="14" t="str">
        <x:v>event samples</x:v>
      </x:c>
      <x:c r="C11" s="14" t="str"/>
      <x:c r="D11" s="14" t="str"/>
      <x:c r="E11" s="14" t="str">
        <x:v>kg</x:v>
      </x:c>
      <x:c r="F11" s="14" t="str">
        <x:v>OPEN</x:v>
      </x:c>
      <x:c r="G11" s="14" t="str">
        <x:v>registered terminal bin</x:v>
      </x:c>
    </x:row>
    <x:row r="12" ht="18" customHeight="1">
      <x:c r="A12" s="14" t="str">
        <x:v>SL-08</x:v>
      </x:c>
      <x:c r="B12" s="14" t="str">
        <x:v>environmental release</x:v>
      </x:c>
      <x:c r="C12" s="14" t="str"/>
      <x:c r="D12" s="14" t="str"/>
      <x:c r="E12" s="14" t="str">
        <x:v>kg</x:v>
      </x:c>
      <x:c r="F12" s="14" t="str">
        <x:v>OPEN</x:v>
      </x:c>
      <x:c r="G12" s="14" t="n">
        <x:v>0.1</x:v>
      </x:c>
    </x:row>
    <x:row r="13" ht="18" customHeight="1">
      <x:c r="A13" s="14" t="str">
        <x:v>SL-09</x:v>
      </x:c>
      <x:c r="B13" s="14" t="str">
        <x:v>unaccounted source</x:v>
      </x:c>
      <x:c r="C13" s="14" t="str"/>
      <x:c r="D13" s="14" t="str"/>
      <x:c r="E13" s="14" t="str">
        <x:v>kg</x:v>
      </x:c>
      <x:c r="F13" s="14" t="str">
        <x:v>OPEN</x:v>
      </x:c>
      <x:c r="G13" s="14" t="n">
        <x:v>0.75</x:v>
      </x:c>
    </x:row>
    <x:row r="14" ht="18" customHeight="1">
      <x:c r="A14" s="14" t="str">
        <x:v>SL-TOTAL</x:v>
      </x:c>
      <x:c r="B14" s="14" t="str">
        <x:v>total terminal mass</x:v>
      </x:c>
      <x:c r="C14" s="14" t="str">
        <x:f>IF(COUNT(C5:C13)=9,SUM(C5:C13),"")</x:f>
      </x:c>
      <x:c r="D14" s="14" t="str">
        <x:f>IF(COUNT(D5:D13)=9,SUM(D5:D13),"")</x:f>
      </x:c>
      <x:c r="E14" s="14" t="str">
        <x:v>kg</x:v>
      </x:c>
      <x:c r="F14" s="14" t="str">
        <x:v>OPEN</x:v>
      </x:c>
      <x:c r="G14" s="14" t="n">
        <x:v>100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14">
    <x:cfRule type="containsText" dxfId="110" priority="1" operator="containsText" text="ACCEPTED"/>
    <x:cfRule type="containsText" dxfId="111" priority="2" operator="containsText" text="PASS"/>
    <x:cfRule type="containsText" dxfId="112" priority="3" operator="containsText" text="OPEN"/>
    <x:cfRule type="containsText" dxfId="113" priority="4" operator="containsText" text="BLOCKED"/>
    <x:cfRule type="containsText" dxfId="114" priority="5" operator="containsText" text="REJECTED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7" hidden="0" customWidth="1"/>
    <x:col min="4" max="4" width="17" hidden="0" customWidth="1"/>
    <x:col min="5" max="5" width="13" hidden="0" customWidth="1"/>
    <x:col min="6" max="6" width="15" hidden="0" customWidth="1"/>
    <x:col min="7" max="7" width="42" hidden="0" customWidth="1"/>
  </x:cols>
  <x:sheetData>
    <x:row r="1" ht="28" customHeight="1">
      <x:c r="A1" s="18" t="str">
        <x:v>RBA-1 | Public-water conserved account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Water remains separately measured even when planned method water is zero.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Entry</x:v>
      </x:c>
      <x:c r="B4" s="21" t="str">
        <x:v>Water state</x:v>
      </x:c>
      <x:c r="C4" s="21" t="str">
        <x:v>TR-A</x:v>
      </x:c>
      <x:c r="D4" s="21" t="str">
        <x:v>TR-B</x:v>
      </x:c>
      <x:c r="E4" s="21" t="str">
        <x:v>Unit</x:v>
      </x:c>
      <x:c r="F4" s="21" t="str">
        <x:v>State</x:v>
      </x:c>
      <x:c r="G4" s="21" t="str">
        <x:v>Rule</x:v>
      </x:c>
    </x:row>
    <x:row r="5" ht="18" customHeight="1">
      <x:c r="A5" s="14" t="str">
        <x:v>WL-01</x:v>
      </x:c>
      <x:c r="B5" s="14" t="str">
        <x:v>initial inventory</x:v>
      </x:c>
      <x:c r="C5" s="14" t="str"/>
      <x:c r="D5" s="14" t="str"/>
      <x:c r="E5" s="14" t="str">
        <x:v>m3</x:v>
      </x:c>
      <x:c r="F5" s="14" t="str">
        <x:v>OPEN</x:v>
      </x:c>
      <x:c r="G5" s="14" t="str">
        <x:v>separate from source</x:v>
      </x:c>
    </x:row>
    <x:row r="6" ht="18" customHeight="1">
      <x:c r="A6" s="14" t="str">
        <x:v>WL-02</x:v>
      </x:c>
      <x:c r="B6" s="14" t="str">
        <x:v>rain</x:v>
      </x:c>
      <x:c r="C6" s="14" t="str"/>
      <x:c r="D6" s="14" t="str"/>
      <x:c r="E6" s="14" t="str">
        <x:v>m3</x:v>
      </x:c>
      <x:c r="F6" s="14" t="str">
        <x:v>OPEN</x:v>
      </x:c>
      <x:c r="G6" s="14" t="str">
        <x:v>separate from source</x:v>
      </x:c>
    </x:row>
    <x:row r="7" ht="18" customHeight="1">
      <x:c r="A7" s="14" t="str">
        <x:v>WL-03</x:v>
      </x:c>
      <x:c r="B7" s="14" t="str">
        <x:v>emergency quench</x:v>
      </x:c>
      <x:c r="C7" s="14" t="str"/>
      <x:c r="D7" s="14" t="str"/>
      <x:c r="E7" s="14" t="str">
        <x:v>m3</x:v>
      </x:c>
      <x:c r="F7" s="14" t="str">
        <x:v>OPEN</x:v>
      </x:c>
      <x:c r="G7" s="14" t="str">
        <x:v>separate from source</x:v>
      </x:c>
    </x:row>
    <x:row r="8" ht="18" customHeight="1">
      <x:c r="A8" s="14" t="str">
        <x:v>WL-04</x:v>
      </x:c>
      <x:c r="B8" s="14" t="str">
        <x:v>foam and rinse</x:v>
      </x:c>
      <x:c r="C8" s="14" t="str"/>
      <x:c r="D8" s="14" t="str"/>
      <x:c r="E8" s="14" t="str">
        <x:v>m3</x:v>
      </x:c>
      <x:c r="F8" s="14" t="str">
        <x:v>OPEN</x:v>
      </x:c>
      <x:c r="G8" s="14" t="str">
        <x:v>separate from source</x:v>
      </x:c>
    </x:row>
    <x:row r="9" ht="18" customHeight="1">
      <x:c r="A9" s="14" t="str">
        <x:v>WL-05</x:v>
      </x:c>
      <x:c r="B9" s="14" t="str">
        <x:v>other public water</x:v>
      </x:c>
      <x:c r="C9" s="14" t="str"/>
      <x:c r="D9" s="14" t="str"/>
      <x:c r="E9" s="14" t="str">
        <x:v>m3</x:v>
      </x:c>
      <x:c r="F9" s="14" t="str">
        <x:v>OPEN</x:v>
      </x:c>
      <x:c r="G9" s="14" t="str">
        <x:v>separate from source</x:v>
      </x:c>
    </x:row>
    <x:row r="10" ht="18" customHeight="1">
      <x:c r="A10" s="14" t="str">
        <x:v>WL-06</x:v>
      </x:c>
      <x:c r="B10" s="14" t="str">
        <x:v>normal recovery</x:v>
      </x:c>
      <x:c r="C10" s="14" t="str"/>
      <x:c r="D10" s="14" t="str"/>
      <x:c r="E10" s="14" t="str">
        <x:v>m3</x:v>
      </x:c>
      <x:c r="F10" s="14" t="str">
        <x:v>OPEN</x:v>
      </x:c>
      <x:c r="G10" s="14" t="str">
        <x:v>separate from source</x:v>
      </x:c>
    </x:row>
    <x:row r="11" ht="18" customHeight="1">
      <x:c r="A11" s="14" t="str">
        <x:v>WL-07</x:v>
      </x:c>
      <x:c r="B11" s="14" t="str">
        <x:v>casualty recovery</x:v>
      </x:c>
      <x:c r="C11" s="14" t="str"/>
      <x:c r="D11" s="14" t="str"/>
      <x:c r="E11" s="14" t="str">
        <x:v>m3</x:v>
      </x:c>
      <x:c r="F11" s="14" t="str">
        <x:v>OPEN</x:v>
      </x:c>
      <x:c r="G11" s="14" t="str">
        <x:v>separate from source</x:v>
      </x:c>
    </x:row>
    <x:row r="12" ht="18" customHeight="1">
      <x:c r="A12" s="14" t="str">
        <x:v>WL-08</x:v>
      </x:c>
      <x:c r="B12" s="14" t="str">
        <x:v>environmental water</x:v>
      </x:c>
      <x:c r="C12" s="14" t="str"/>
      <x:c r="D12" s="14" t="str"/>
      <x:c r="E12" s="14" t="str">
        <x:v>m3</x:v>
      </x:c>
      <x:c r="F12" s="14" t="str">
        <x:v>OPEN</x:v>
      </x:c>
      <x:c r="G12" s="14" t="str">
        <x:v>separate from source</x:v>
      </x:c>
    </x:row>
    <x:row r="13" ht="18" customHeight="1">
      <x:c r="A13" s="14" t="str">
        <x:v>WL-09</x:v>
      </x:c>
      <x:c r="B13" s="14" t="str">
        <x:v>unaccounted water</x:v>
      </x:c>
      <x:c r="C13" s="14" t="str"/>
      <x:c r="D13" s="14" t="str"/>
      <x:c r="E13" s="14" t="str">
        <x:v>m3</x:v>
      </x:c>
      <x:c r="F13" s="14" t="str">
        <x:v>OPEN</x:v>
      </x:c>
      <x:c r="G13" s="14" t="str">
        <x:v>separate from source</x:v>
      </x:c>
    </x:row>
    <x:row r="14" ht="18" customHeight="1">
      <x:c r="A14" s="14" t="str">
        <x:v>WL-TOTAL</x:v>
      </x:c>
      <x:c r="B14" s="14" t="str">
        <x:v>net account</x:v>
      </x:c>
      <x:c r="C14" s="14" t="str">
        <x:f>IF(COUNT(C5:C13)=9,SUM(C5:C13),"")</x:f>
      </x:c>
      <x:c r="D14" s="14" t="str">
        <x:f>IF(COUNT(D5:D13)=9,SUM(D5:D13),"")</x:f>
      </x:c>
      <x:c r="E14" s="14" t="str">
        <x:v>m3</x:v>
      </x:c>
      <x:c r="F14" s="14" t="str">
        <x:v>OPEN</x:v>
      </x:c>
      <x:c r="G14" s="14" t="str">
        <x:v>numerical closure required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14">
    <x:cfRule type="containsText" dxfId="115" priority="1" operator="containsText" text="ACCEPTED"/>
    <x:cfRule type="containsText" dxfId="116" priority="2" operator="containsText" text="PASS"/>
    <x:cfRule type="containsText" dxfId="117" priority="3" operator="containsText" text="OPEN"/>
    <x:cfRule type="containsText" dxfId="118" priority="4" operator="containsText" text="BLOCKED"/>
    <x:cfRule type="containsText" dxfId="119" priority="5" operator="containsText" text="REJECTED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4" hidden="0" customWidth="1"/>
    <x:col min="4" max="4" width="17" hidden="0" customWidth="1"/>
    <x:col min="5" max="5" width="16" hidden="0" customWidth="1"/>
    <x:col min="6" max="6" width="16" hidden="0" customWidth="1"/>
    <x:col min="7" max="7" width="17" hidden="0" customWidth="1"/>
  </x:cols>
  <x:sheetData>
    <x:row r="1" ht="28" customHeight="1">
      <x:c r="A1" s="18" t="str">
        <x:v>RBA-1 | Source-water-environment ancestry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Numerical mass closure and origin identity are separately necessary.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Measure</x:v>
      </x:c>
      <x:c r="B4" s="21" t="str">
        <x:v>Domain</x:v>
      </x:c>
      <x:c r="C4" s="21" t="str">
        <x:v>Root</x:v>
      </x:c>
      <x:c r="D4" s="21" t="str">
        <x:v>Observed</x:v>
      </x:c>
      <x:c r="E4" s="21" t="str">
        <x:v>Unit</x:v>
      </x:c>
      <x:c r="F4" s="21" t="str">
        <x:v>Bound</x:v>
      </x:c>
      <x:c r="G4" s="21" t="str">
        <x:v>Direction</x:v>
      </x:c>
    </x:row>
    <x:row r="5" ht="18" customHeight="1">
      <x:c r="A5" s="14" t="str">
        <x:v>source recovery</x:v>
      </x:c>
      <x:c r="B5" s="14" t="str">
        <x:v>source</x:v>
      </x:c>
      <x:c r="C5" s="14" t="str">
        <x:v>TR-A</x:v>
      </x:c>
      <x:c r="D5" s="14" t="str"/>
      <x:c r="E5" s="14" t="str">
        <x:v>fraction</x:v>
      </x:c>
      <x:c r="F5" s="14" t="n">
        <x:v>0.995</x:v>
      </x:c>
      <x:c r="G5" s="14" t="str">
        <x:v>&gt;=</x:v>
      </x:c>
    </x:row>
    <x:row r="6" ht="18" customHeight="1">
      <x:c r="A6" s="14" t="str">
        <x:v>source recovery</x:v>
      </x:c>
      <x:c r="B6" s="14" t="str">
        <x:v>source</x:v>
      </x:c>
      <x:c r="C6" s="14" t="str">
        <x:v>TR-B</x:v>
      </x:c>
      <x:c r="D6" s="14" t="str"/>
      <x:c r="E6" s="14" t="str">
        <x:v>fraction</x:v>
      </x:c>
      <x:c r="F6" s="14" t="n">
        <x:v>0.995</x:v>
      </x:c>
      <x:c r="G6" s="14" t="str">
        <x:v>&gt;=</x:v>
      </x:c>
    </x:row>
    <x:row r="7" ht="18" customHeight="1">
      <x:c r="A7" s="14" t="str">
        <x:v>source cross-talk</x:v>
      </x:c>
      <x:c r="B7" s="14" t="str">
        <x:v>source</x:v>
      </x:c>
      <x:c r="C7" s="14" t="str">
        <x:v>TR-A</x:v>
      </x:c>
      <x:c r="D7" s="14" t="str"/>
      <x:c r="E7" s="14" t="str">
        <x:v>fraction</x:v>
      </x:c>
      <x:c r="F7" s="14" t="n">
        <x:v>0.005</x:v>
      </x:c>
      <x:c r="G7" s="14" t="str">
        <x:v>&lt;=</x:v>
      </x:c>
    </x:row>
    <x:row r="8" ht="18" customHeight="1">
      <x:c r="A8" s="14" t="str">
        <x:v>source cross-talk</x:v>
      </x:c>
      <x:c r="B8" s="14" t="str">
        <x:v>source</x:v>
      </x:c>
      <x:c r="C8" s="14" t="str">
        <x:v>TR-B</x:v>
      </x:c>
      <x:c r="D8" s="14" t="str"/>
      <x:c r="E8" s="14" t="str">
        <x:v>fraction</x:v>
      </x:c>
      <x:c r="F8" s="14" t="n">
        <x:v>0.005</x:v>
      </x:c>
      <x:c r="G8" s="14" t="str">
        <x:v>&lt;=</x:v>
      </x:c>
    </x:row>
    <x:row r="9" ht="18" customHeight="1">
      <x:c r="A9" s="14" t="str">
        <x:v>water recovery</x:v>
      </x:c>
      <x:c r="B9" s="14" t="str">
        <x:v>water</x:v>
      </x:c>
      <x:c r="C9" s="14" t="str">
        <x:v>TR-A</x:v>
      </x:c>
      <x:c r="D9" s="14" t="str"/>
      <x:c r="E9" s="14" t="str">
        <x:v>fraction</x:v>
      </x:c>
      <x:c r="F9" s="14" t="n">
        <x:v>0.995</x:v>
      </x:c>
      <x:c r="G9" s="14" t="str">
        <x:v>&gt;=</x:v>
      </x:c>
    </x:row>
    <x:row r="10" ht="18" customHeight="1">
      <x:c r="A10" s="14" t="str">
        <x:v>water recovery</x:v>
      </x:c>
      <x:c r="B10" s="14" t="str">
        <x:v>water</x:v>
      </x:c>
      <x:c r="C10" s="14" t="str">
        <x:v>TR-B</x:v>
      </x:c>
      <x:c r="D10" s="14" t="str"/>
      <x:c r="E10" s="14" t="str">
        <x:v>fraction</x:v>
      </x:c>
      <x:c r="F10" s="14" t="n">
        <x:v>0.995</x:v>
      </x:c>
      <x:c r="G10" s="14" t="str">
        <x:v>&gt;=</x:v>
      </x:c>
    </x:row>
    <x:row r="11" ht="18" customHeight="1">
      <x:c r="A11" s="14" t="str">
        <x:v>water cross-talk</x:v>
      </x:c>
      <x:c r="B11" s="14" t="str">
        <x:v>water</x:v>
      </x:c>
      <x:c r="C11" s="14" t="str">
        <x:v>TR-A</x:v>
      </x:c>
      <x:c r="D11" s="14" t="str"/>
      <x:c r="E11" s="14" t="str">
        <x:v>fraction</x:v>
      </x:c>
      <x:c r="F11" s="14" t="n">
        <x:v>0.005</x:v>
      </x:c>
      <x:c r="G11" s="14" t="str">
        <x:v>&lt;=</x:v>
      </x:c>
    </x:row>
    <x:row r="12" ht="18" customHeight="1">
      <x:c r="A12" s="14" t="str">
        <x:v>water cross-talk</x:v>
      </x:c>
      <x:c r="B12" s="14" t="str">
        <x:v>water</x:v>
      </x:c>
      <x:c r="C12" s="14" t="str">
        <x:v>TR-B</x:v>
      </x:c>
      <x:c r="D12" s="14" t="str"/>
      <x:c r="E12" s="14" t="str">
        <x:v>fraction</x:v>
      </x:c>
      <x:c r="F12" s="14" t="n">
        <x:v>0.005</x:v>
      </x:c>
      <x:c r="G12" s="14" t="str">
        <x:v>&lt;=</x:v>
      </x:c>
    </x:row>
    <x:row r="13" ht="18" customHeight="1">
      <x:c r="A13" s="14" t="str">
        <x:v>environment source code</x:v>
      </x:c>
      <x:c r="B13" s="14" t="str">
        <x:v>environment</x:v>
      </x:c>
      <x:c r="C13" s="14" t="str">
        <x:v>TR-A</x:v>
      </x:c>
      <x:c r="D13" s="14" t="str"/>
      <x:c r="E13" s="14" t="str">
        <x:v>fraction</x:v>
      </x:c>
      <x:c r="F13" s="14" t="n">
        <x:v>0.1</x:v>
      </x:c>
      <x:c r="G13" s="14" t="str">
        <x:v>kg max</x:v>
      </x:c>
    </x:row>
    <x:row r="14" ht="18" customHeight="1">
      <x:c r="A14" s="14" t="str">
        <x:v>environment source code</x:v>
      </x:c>
      <x:c r="B14" s="14" t="str">
        <x:v>environment</x:v>
      </x:c>
      <x:c r="C14" s="14" t="str">
        <x:v>TR-B</x:v>
      </x:c>
      <x:c r="D14" s="14" t="str"/>
      <x:c r="E14" s="14" t="str">
        <x:v>fraction</x:v>
      </x:c>
      <x:c r="F14" s="14" t="n">
        <x:v>0.1</x:v>
      </x:c>
      <x:c r="G14" s="14" t="str">
        <x:v>kg max</x:v>
      </x:c>
    </x:row>
    <x:row r="15" ht="18" customHeight="1">
      <x:c r="A15" s="14" t="str">
        <x:v>root agreement</x:v>
      </x:c>
      <x:c r="B15" s="14" t="str">
        <x:v>cross-root</x:v>
      </x:c>
      <x:c r="C15" s="14" t="str">
        <x:v>board</x:v>
      </x:c>
      <x:c r="D15" s="14" t="str"/>
      <x:c r="E15" s="14" t="str">
        <x:v>registered interval</x:v>
      </x:c>
      <x:c r="F15" s="14" t="str"/>
      <x:c r="G15" s="14" t="str"/>
    </x:row>
    <x:row r="16" ht="18" customHeight="1">
      <x:c r="A16" s="14" t="str">
        <x:v>mixture classification</x:v>
      </x:c>
      <x:c r="B16" s="14" t="str">
        <x:v>source-water</x:v>
      </x:c>
      <x:c r="C16" s="14" t="str">
        <x:v>board</x:v>
      </x:c>
      <x:c r="D16" s="14" t="str"/>
      <x:c r="E16" s="14" t="str">
        <x:v>typed result</x:v>
      </x:c>
      <x:c r="F16" s="14" t="str"/>
      <x:c r="G16" s="14" t="str"/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22" hidden="0" customWidth="1"/>
    <x:col min="4" max="4" width="25" hidden="0" customWidth="1"/>
    <x:col min="5" max="5" width="15" hidden="0" customWidth="1"/>
    <x:col min="6" max="6" width="22" hidden="0" customWidth="1"/>
    <x:col min="7" max="7" width="28" hidden="0" customWidth="1"/>
  </x:cols>
  <x:sheetData>
    <x:row r="1" ht="28" customHeight="1">
      <x:c r="A1" s="18" t="str">
        <x:v>RBA-1 | Eight event samples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Sampling remains tied to source, water, terminal bin, time and both roots.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Sample</x:v>
      </x:c>
      <x:c r="B4" s="21" t="str">
        <x:v>Purpose</x:v>
      </x:c>
      <x:c r="C4" s="21" t="str">
        <x:v>Collected UTC</x:v>
      </x:c>
      <x:c r="D4" s="21" t="str">
        <x:v>Custodian</x:v>
      </x:c>
      <x:c r="E4" s="21" t="str">
        <x:v>State</x:v>
      </x:c>
      <x:c r="F4" s="21" t="str">
        <x:v>Lab result</x:v>
      </x:c>
      <x:c r="G4" s="21" t="str">
        <x:v>Evidence root</x:v>
      </x:c>
    </x:row>
    <x:row r="5" ht="18" customHeight="1">
      <x:c r="A5" s="14" t="str">
        <x:v>S-01</x:v>
      </x:c>
      <x:c r="B5" s="14" t="str">
        <x:v>pre-event source duplicate A</x:v>
      </x:c>
      <x:c r="C5" s="14" t="str"/>
      <x:c r="D5" s="14" t="str"/>
      <x:c r="E5" s="14" t="str">
        <x:v>OPEN</x:v>
      </x:c>
      <x:c r="F5" s="14" t="str"/>
      <x:c r="G5" s="14" t="str"/>
    </x:row>
    <x:row r="6" ht="18" customHeight="1">
      <x:c r="A6" s="14" t="str">
        <x:v>S-02</x:v>
      </x:c>
      <x:c r="B6" s="14" t="str">
        <x:v>pre-event source duplicate B</x:v>
      </x:c>
      <x:c r="C6" s="14" t="str"/>
      <x:c r="D6" s="14" t="str"/>
      <x:c r="E6" s="14" t="str">
        <x:v>OPEN</x:v>
      </x:c>
      <x:c r="F6" s="14" t="str"/>
      <x:c r="G6" s="14" t="str"/>
    </x:row>
    <x:row r="7" ht="18" customHeight="1">
      <x:c r="A7" s="14" t="str">
        <x:v>S-03</x:v>
      </x:c>
      <x:c r="B7" s="14" t="str">
        <x:v>post-route residual</x:v>
      </x:c>
      <x:c r="C7" s="14" t="str"/>
      <x:c r="D7" s="14" t="str"/>
      <x:c r="E7" s="14" t="str">
        <x:v>OPEN</x:v>
      </x:c>
      <x:c r="F7" s="14" t="str"/>
      <x:c r="G7" s="14" t="str"/>
    </x:row>
    <x:row r="8" ht="18" customHeight="1">
      <x:c r="A8" s="14" t="str">
        <x:v>S-04</x:v>
      </x:c>
      <x:c r="B8" s="14" t="str">
        <x:v>pan or surface</x:v>
      </x:c>
      <x:c r="C8" s="14" t="str"/>
      <x:c r="D8" s="14" t="str"/>
      <x:c r="E8" s="14" t="str">
        <x:v>OPEN</x:v>
      </x:c>
      <x:c r="F8" s="14" t="str"/>
      <x:c r="G8" s="14" t="str"/>
    </x:row>
    <x:row r="9" ht="18" customHeight="1">
      <x:c r="A9" s="14" t="str">
        <x:v>S-05</x:v>
      </x:c>
      <x:c r="B9" s="14" t="str">
        <x:v>normal receiver</x:v>
      </x:c>
      <x:c r="C9" s="14" t="str"/>
      <x:c r="D9" s="14" t="str"/>
      <x:c r="E9" s="14" t="str">
        <x:v>OPEN</x:v>
      </x:c>
      <x:c r="F9" s="14" t="str"/>
      <x:c r="G9" s="14" t="str"/>
    </x:row>
    <x:row r="10" ht="18" customHeight="1">
      <x:c r="A10" s="14" t="str">
        <x:v>S-06</x:v>
      </x:c>
      <x:c r="B10" s="14" t="str">
        <x:v>casualty receiver</x:v>
      </x:c>
      <x:c r="C10" s="14" t="str"/>
      <x:c r="D10" s="14" t="str"/>
      <x:c r="E10" s="14" t="str">
        <x:v>OPEN</x:v>
      </x:c>
      <x:c r="F10" s="14" t="str"/>
      <x:c r="G10" s="14" t="str"/>
    </x:row>
    <x:row r="11" ht="18" customHeight="1">
      <x:c r="A11" s="14" t="str">
        <x:v>S-07</x:v>
      </x:c>
      <x:c r="B11" s="14" t="str">
        <x:v>environmental perimeter</x:v>
      </x:c>
      <x:c r="C11" s="14" t="str"/>
      <x:c r="D11" s="14" t="str"/>
      <x:c r="E11" s="14" t="str">
        <x:v>OPEN</x:v>
      </x:c>
      <x:c r="F11" s="14" t="str"/>
      <x:c r="G11" s="14" t="str"/>
    </x:row>
    <x:row r="12" ht="18" customHeight="1">
      <x:c r="A12" s="14" t="str">
        <x:v>S-08</x:v>
      </x:c>
      <x:c r="B12" s="14" t="str">
        <x:v>public water</x:v>
      </x:c>
      <x:c r="C12" s="14" t="str"/>
      <x:c r="D12" s="14" t="str"/>
      <x:c r="E12" s="14" t="str">
        <x:v>OPEN</x:v>
      </x:c>
      <x:c r="F12" s="14" t="str"/>
      <x:c r="G12" s="14" t="str"/>
    </x:row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12">
    <x:cfRule type="containsText" dxfId="120" priority="1" operator="containsText" text="ACCEPTED"/>
    <x:cfRule type="containsText" dxfId="121" priority="2" operator="containsText" text="PASS"/>
    <x:cfRule type="containsText" dxfId="122" priority="3" operator="containsText" text="OPEN"/>
    <x:cfRule type="containsText" dxfId="123" priority="4" operator="containsText" text="BLOCKED"/>
    <x:cfRule type="containsText" dxfId="124" priority="5" operator="containsText" text="REJECTED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18" hidden="0" customWidth="1"/>
    <x:col min="5" max="5" width="31" hidden="0" customWidth="1"/>
    <x:col min="6" max="6" width="15" hidden="0" customWidth="1"/>
    <x:col min="7" max="7" width="43" hidden="0" customWidth="1"/>
  </x:cols>
  <x:sheetData>
    <x:row r="1" ht="28" customHeight="1">
      <x:c r="A1" s="18" t="str">
        <x:v>RBA-1 | Twelve immutable packet classes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Allocated storage includes governance overhead; evidence identity is not a file-count substitute.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Packet</x:v>
      </x:c>
      <x:c r="B4" s="21" t="str">
        <x:v>Class</x:v>
      </x:c>
      <x:c r="C4" s="21" t="str">
        <x:v>Native GB</x:v>
      </x:c>
      <x:c r="D4" s="21" t="str">
        <x:v>Allocated GB</x:v>
      </x:c>
      <x:c r="E4" s="21" t="str">
        <x:v>Packet root</x:v>
      </x:c>
      <x:c r="F4" s="21" t="str">
        <x:v>State</x:v>
      </x:c>
      <x:c r="G4" s="21" t="str">
        <x:v>Rule</x:v>
      </x:c>
    </x:row>
    <x:row r="5" ht="18" customHeight="1">
      <x:c r="A5" s="14" t="str">
        <x:v>EV-01</x:v>
      </x:c>
      <x:c r="B5" s="14" t="str">
        <x:v>issue</x:v>
      </x:c>
      <x:c r="C5" s="14" t="n">
        <x:v>9.804916666666667</x:v>
      </x:c>
      <x:c r="D5" s="14" t="n">
        <x:v>12.746391666666668</x:v>
      </x:c>
      <x:c r="E5" s="14" t="str"/>
      <x:c r="F5" s="14" t="str">
        <x:v>OPEN</x:v>
      </x:c>
      <x:c r="G5" s="14" t="str">
        <x:v>immutable local original</x:v>
      </x:c>
    </x:row>
    <x:row r="6" ht="18" customHeight="1">
      <x:c r="A6" s="14" t="str">
        <x:v>EV-02</x:v>
      </x:c>
      <x:c r="B6" s="14" t="str">
        <x:v>configuration</x:v>
      </x:c>
      <x:c r="C6" s="14" t="n">
        <x:v>9.804916666666667</x:v>
      </x:c>
      <x:c r="D6" s="14" t="n">
        <x:v>12.746391666666668</x:v>
      </x:c>
      <x:c r="E6" s="14" t="str"/>
      <x:c r="F6" s="14" t="str">
        <x:v>OPEN</x:v>
      </x:c>
      <x:c r="G6" s="14" t="str">
        <x:v>immutable local original</x:v>
      </x:c>
    </x:row>
    <x:row r="7" ht="18" customHeight="1">
      <x:c r="A7" s="14" t="str">
        <x:v>EV-03</x:v>
      </x:c>
      <x:c r="B7" s="14" t="str">
        <x:v>source</x:v>
      </x:c>
      <x:c r="C7" s="14" t="n">
        <x:v>9.804916666666667</x:v>
      </x:c>
      <x:c r="D7" s="14" t="n">
        <x:v>12.746391666666668</x:v>
      </x:c>
      <x:c r="E7" s="14" t="str"/>
      <x:c r="F7" s="14" t="str">
        <x:v>OPEN</x:v>
      </x:c>
      <x:c r="G7" s="14" t="str">
        <x:v>immutable local original</x:v>
      </x:c>
    </x:row>
    <x:row r="8" ht="18" customHeight="1">
      <x:c r="A8" s="14" t="str">
        <x:v>EV-04</x:v>
      </x:c>
      <x:c r="B8" s="14" t="str">
        <x:v>water</x:v>
      </x:c>
      <x:c r="C8" s="14" t="n">
        <x:v>9.804916666666667</x:v>
      </x:c>
      <x:c r="D8" s="14" t="n">
        <x:v>12.746391666666668</x:v>
      </x:c>
      <x:c r="E8" s="14" t="str"/>
      <x:c r="F8" s="14" t="str">
        <x:v>OPEN</x:v>
      </x:c>
      <x:c r="G8" s="14" t="str">
        <x:v>immutable local original</x:v>
      </x:c>
    </x:row>
    <x:row r="9" ht="18" customHeight="1">
      <x:c r="A9" s="14" t="str">
        <x:v>EV-05</x:v>
      </x:c>
      <x:c r="B9" s="14" t="str">
        <x:v>ancestry</x:v>
      </x:c>
      <x:c r="C9" s="14" t="n">
        <x:v>9.804916666666667</x:v>
      </x:c>
      <x:c r="D9" s="14" t="n">
        <x:v>12.746391666666668</x:v>
      </x:c>
      <x:c r="E9" s="14" t="str"/>
      <x:c r="F9" s="14" t="str">
        <x:v>OPEN</x:v>
      </x:c>
      <x:c r="G9" s="14" t="str">
        <x:v>immutable local original</x:v>
      </x:c>
    </x:row>
    <x:row r="10" ht="18" customHeight="1">
      <x:c r="A10" s="14" t="str">
        <x:v>EV-06</x:v>
      </x:c>
      <x:c r="B10" s="14" t="str">
        <x:v>final elements</x:v>
      </x:c>
      <x:c r="C10" s="14" t="n">
        <x:v>9.804916666666667</x:v>
      </x:c>
      <x:c r="D10" s="14" t="n">
        <x:v>12.746391666666668</x:v>
      </x:c>
      <x:c r="E10" s="14" t="str"/>
      <x:c r="F10" s="14" t="str">
        <x:v>OPEN</x:v>
      </x:c>
      <x:c r="G10" s="14" t="str">
        <x:v>immutable local original</x:v>
      </x:c>
    </x:row>
    <x:row r="11" ht="18" customHeight="1">
      <x:c r="A11" s="14" t="str">
        <x:v>EV-07</x:v>
      </x:c>
      <x:c r="B11" s="14" t="str">
        <x:v>causal time</x:v>
      </x:c>
      <x:c r="C11" s="14" t="n">
        <x:v>9.804916666666667</x:v>
      </x:c>
      <x:c r="D11" s="14" t="n">
        <x:v>12.746391666666668</x:v>
      </x:c>
      <x:c r="E11" s="14" t="str"/>
      <x:c r="F11" s="14" t="str">
        <x:v>OPEN</x:v>
      </x:c>
      <x:c r="G11" s="14" t="str">
        <x:v>immutable local original</x:v>
      </x:c>
    </x:row>
    <x:row r="12" ht="18" customHeight="1">
      <x:c r="A12" s="14" t="str">
        <x:v>EV-08</x:v>
      </x:c>
      <x:c r="B12" s="14" t="str">
        <x:v>intervention</x:v>
      </x:c>
      <x:c r="C12" s="14" t="n">
        <x:v>9.804916666666667</x:v>
      </x:c>
      <x:c r="D12" s="14" t="n">
        <x:v>12.746391666666668</x:v>
      </x:c>
      <x:c r="E12" s="14" t="str"/>
      <x:c r="F12" s="14" t="str">
        <x:v>OPEN</x:v>
      </x:c>
      <x:c r="G12" s="14" t="str">
        <x:v>immutable local original</x:v>
      </x:c>
    </x:row>
    <x:row r="13" ht="18" customHeight="1">
      <x:c r="A13" s="14" t="str">
        <x:v>EV-09</x:v>
      </x:c>
      <x:c r="B13" s="14" t="str">
        <x:v>environment</x:v>
      </x:c>
      <x:c r="C13" s="14" t="n">
        <x:v>9.804916666666667</x:v>
      </x:c>
      <x:c r="D13" s="14" t="n">
        <x:v>12.746391666666668</x:v>
      </x:c>
      <x:c r="E13" s="14" t="str"/>
      <x:c r="F13" s="14" t="str">
        <x:v>OPEN</x:v>
      </x:c>
      <x:c r="G13" s="14" t="str">
        <x:v>immutable local original</x:v>
      </x:c>
    </x:row>
    <x:row r="14" ht="18" customHeight="1">
      <x:c r="A14" s="14" t="str">
        <x:v>EV-10</x:v>
      </x:c>
      <x:c r="B14" s="14" t="str">
        <x:v>measurements</x:v>
      </x:c>
      <x:c r="C14" s="14" t="n">
        <x:v>9.804916666666667</x:v>
      </x:c>
      <x:c r="D14" s="14" t="n">
        <x:v>12.746391666666668</x:v>
      </x:c>
      <x:c r="E14" s="14" t="str"/>
      <x:c r="F14" s="14" t="str">
        <x:v>OPEN</x:v>
      </x:c>
      <x:c r="G14" s="14" t="str">
        <x:v>immutable local original</x:v>
      </x:c>
    </x:row>
    <x:row r="15" ht="18" customHeight="1">
      <x:c r="A15" s="14" t="str">
        <x:v>EV-11</x:v>
      </x:c>
      <x:c r="B15" s="14" t="str">
        <x:v>result</x:v>
      </x:c>
      <x:c r="C15" s="14" t="n">
        <x:v>9.804916666666667</x:v>
      </x:c>
      <x:c r="D15" s="14" t="n">
        <x:v>12.746391666666668</x:v>
      </x:c>
      <x:c r="E15" s="14" t="str"/>
      <x:c r="F15" s="14" t="str">
        <x:v>OPEN</x:v>
      </x:c>
      <x:c r="G15" s="14" t="str">
        <x:v>immutable local original</x:v>
      </x:c>
    </x:row>
    <x:row r="16" ht="18" customHeight="1">
      <x:c r="A16" s="14" t="str">
        <x:v>EV-12</x:v>
      </x:c>
      <x:c r="B16" s="14" t="str">
        <x:v>regeneration</x:v>
      </x:c>
      <x:c r="C16" s="14" t="n">
        <x:v>9.804916666666667</x:v>
      </x:c>
      <x:c r="D16" s="14" t="n">
        <x:v>12.746391666666668</x:v>
      </x:c>
      <x:c r="E16" s="14" t="str"/>
      <x:c r="F16" s="14" t="str">
        <x:v>OPEN</x:v>
      </x:c>
      <x:c r="G16" s="14" t="str">
        <x:v>immutable local original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16">
    <x:cfRule type="containsText" dxfId="125" priority="1" operator="containsText" text="ACCEPTED"/>
    <x:cfRule type="containsText" dxfId="126" priority="2" operator="containsText" text="PASS"/>
    <x:cfRule type="containsText" dxfId="127" priority="3" operator="containsText" text="OPEN"/>
    <x:cfRule type="containsText" dxfId="128" priority="4" operator="containsText" text="BLOCKED"/>
    <x:cfRule type="containsText" dxfId="129" priority="5" operator="containsText" text="REJECTED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2" hidden="0" customWidth="1"/>
    <x:col min="4" max="4" width="27" hidden="0" customWidth="1"/>
    <x:col min="5" max="5" width="28" hidden="0" customWidth="1"/>
    <x:col min="6" max="6" width="15" hidden="0" customWidth="1"/>
    <x:col min="7" max="7" width="45" hidden="0" customWidth="1"/>
  </x:cols>
  <x:sheetData>
    <x:row r="1" ht="28" customHeight="1">
      <x:c r="A1" s="18" t="str">
        <x:v>RBA-1 | Twenty-four outside-origin decisions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A replacement creates a new replay set; origin interpretation cannot populate remote judgment.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Replay</x:v>
      </x:c>
      <x:c r="B4" s="21" t="str">
        <x:v>Packet class</x:v>
      </x:c>
      <x:c r="C4" s="21" t="str">
        <x:v>Destination rule</x:v>
      </x:c>
      <x:c r="D4" s="21" t="str">
        <x:v>Reconstructed result</x:v>
      </x:c>
      <x:c r="E4" s="21" t="str">
        <x:v>Evidence root</x:v>
      </x:c>
      <x:c r="F4" s="21" t="str">
        <x:v>State</x:v>
      </x:c>
      <x:c r="G4" s="21" t="str">
        <x:v>Decision rule</x:v>
      </x:c>
    </x:row>
    <x:row r="5" ht="18" customHeight="1">
      <x:c r="A5" s="14" t="str">
        <x:v>RP-01</x:v>
      </x:c>
      <x:c r="B5" s="14" t="str">
        <x:v>issue</x:v>
      </x:c>
      <x:c r="C5" s="14" t="str">
        <x:v>non-origin-1</x:v>
      </x:c>
      <x:c r="D5" s="14" t="str"/>
      <x:c r="E5" s="14" t="str"/>
      <x:c r="F5" s="14" t="str">
        <x:v>OPEN</x:v>
      </x:c>
      <x:c r="G5" s="14" t="str">
        <x:v>same result; unlike evidence root</x:v>
      </x:c>
    </x:row>
    <x:row r="6" ht="18" customHeight="1">
      <x:c r="A6" s="14" t="str">
        <x:v>RP-02</x:v>
      </x:c>
      <x:c r="B6" s="14" t="str">
        <x:v>issue</x:v>
      </x:c>
      <x:c r="C6" s="14" t="str">
        <x:v>non-origin-2</x:v>
      </x:c>
      <x:c r="D6" s="14" t="str"/>
      <x:c r="E6" s="14" t="str"/>
      <x:c r="F6" s="14" t="str">
        <x:v>OPEN</x:v>
      </x:c>
      <x:c r="G6" s="14" t="str">
        <x:v>same result; unlike evidence root</x:v>
      </x:c>
    </x:row>
    <x:row r="7" ht="18" customHeight="1">
      <x:c r="A7" s="14" t="str">
        <x:v>RP-03</x:v>
      </x:c>
      <x:c r="B7" s="14" t="str">
        <x:v>configuration</x:v>
      </x:c>
      <x:c r="C7" s="14" t="str">
        <x:v>non-origin-1</x:v>
      </x:c>
      <x:c r="D7" s="14" t="str"/>
      <x:c r="E7" s="14" t="str"/>
      <x:c r="F7" s="14" t="str">
        <x:v>OPEN</x:v>
      </x:c>
      <x:c r="G7" s="14" t="str">
        <x:v>same result; unlike evidence root</x:v>
      </x:c>
    </x:row>
    <x:row r="8" ht="18" customHeight="1">
      <x:c r="A8" s="14" t="str">
        <x:v>RP-04</x:v>
      </x:c>
      <x:c r="B8" s="14" t="str">
        <x:v>configuration</x:v>
      </x:c>
      <x:c r="C8" s="14" t="str">
        <x:v>non-origin-2</x:v>
      </x:c>
      <x:c r="D8" s="14" t="str"/>
      <x:c r="E8" s="14" t="str"/>
      <x:c r="F8" s="14" t="str">
        <x:v>OPEN</x:v>
      </x:c>
      <x:c r="G8" s="14" t="str">
        <x:v>same result; unlike evidence root</x:v>
      </x:c>
    </x:row>
    <x:row r="9" ht="18" customHeight="1">
      <x:c r="A9" s="14" t="str">
        <x:v>RP-05</x:v>
      </x:c>
      <x:c r="B9" s="14" t="str">
        <x:v>source</x:v>
      </x:c>
      <x:c r="C9" s="14" t="str">
        <x:v>non-origin-1</x:v>
      </x:c>
      <x:c r="D9" s="14" t="str"/>
      <x:c r="E9" s="14" t="str"/>
      <x:c r="F9" s="14" t="str">
        <x:v>OPEN</x:v>
      </x:c>
      <x:c r="G9" s="14" t="str">
        <x:v>same result; unlike evidence root</x:v>
      </x:c>
    </x:row>
    <x:row r="10" ht="18" customHeight="1">
      <x:c r="A10" s="14" t="str">
        <x:v>RP-06</x:v>
      </x:c>
      <x:c r="B10" s="14" t="str">
        <x:v>source</x:v>
      </x:c>
      <x:c r="C10" s="14" t="str">
        <x:v>non-origin-2</x:v>
      </x:c>
      <x:c r="D10" s="14" t="str"/>
      <x:c r="E10" s="14" t="str"/>
      <x:c r="F10" s="14" t="str">
        <x:v>OPEN</x:v>
      </x:c>
      <x:c r="G10" s="14" t="str">
        <x:v>same result; unlike evidence root</x:v>
      </x:c>
    </x:row>
    <x:row r="11" ht="18" customHeight="1">
      <x:c r="A11" s="14" t="str">
        <x:v>RP-07</x:v>
      </x:c>
      <x:c r="B11" s="14" t="str">
        <x:v>water</x:v>
      </x:c>
      <x:c r="C11" s="14" t="str">
        <x:v>non-origin-1</x:v>
      </x:c>
      <x:c r="D11" s="14" t="str"/>
      <x:c r="E11" s="14" t="str"/>
      <x:c r="F11" s="14" t="str">
        <x:v>OPEN</x:v>
      </x:c>
      <x:c r="G11" s="14" t="str">
        <x:v>same result; unlike evidence root</x:v>
      </x:c>
    </x:row>
    <x:row r="12" ht="18" customHeight="1">
      <x:c r="A12" s="14" t="str">
        <x:v>RP-08</x:v>
      </x:c>
      <x:c r="B12" s="14" t="str">
        <x:v>water</x:v>
      </x:c>
      <x:c r="C12" s="14" t="str">
        <x:v>non-origin-2</x:v>
      </x:c>
      <x:c r="D12" s="14" t="str"/>
      <x:c r="E12" s="14" t="str"/>
      <x:c r="F12" s="14" t="str">
        <x:v>OPEN</x:v>
      </x:c>
      <x:c r="G12" s="14" t="str">
        <x:v>same result; unlike evidence root</x:v>
      </x:c>
    </x:row>
    <x:row r="13" ht="18" customHeight="1">
      <x:c r="A13" s="14" t="str">
        <x:v>RP-09</x:v>
      </x:c>
      <x:c r="B13" s="14" t="str">
        <x:v>ancestry</x:v>
      </x:c>
      <x:c r="C13" s="14" t="str">
        <x:v>non-origin-1</x:v>
      </x:c>
      <x:c r="D13" s="14" t="str"/>
      <x:c r="E13" s="14" t="str"/>
      <x:c r="F13" s="14" t="str">
        <x:v>OPEN</x:v>
      </x:c>
      <x:c r="G13" s="14" t="str">
        <x:v>same result; unlike evidence root</x:v>
      </x:c>
    </x:row>
    <x:row r="14" ht="18" customHeight="1">
      <x:c r="A14" s="14" t="str">
        <x:v>RP-10</x:v>
      </x:c>
      <x:c r="B14" s="14" t="str">
        <x:v>ancestry</x:v>
      </x:c>
      <x:c r="C14" s="14" t="str">
        <x:v>non-origin-2</x:v>
      </x:c>
      <x:c r="D14" s="14" t="str"/>
      <x:c r="E14" s="14" t="str"/>
      <x:c r="F14" s="14" t="str">
        <x:v>OPEN</x:v>
      </x:c>
      <x:c r="G14" s="14" t="str">
        <x:v>same result; unlike evidence root</x:v>
      </x:c>
    </x:row>
    <x:row r="15" ht="18" customHeight="1">
      <x:c r="A15" s="14" t="str">
        <x:v>RP-11</x:v>
      </x:c>
      <x:c r="B15" s="14" t="str">
        <x:v>final elements</x:v>
      </x:c>
      <x:c r="C15" s="14" t="str">
        <x:v>non-origin-1</x:v>
      </x:c>
      <x:c r="D15" s="14" t="str"/>
      <x:c r="E15" s="14" t="str"/>
      <x:c r="F15" s="14" t="str">
        <x:v>OPEN</x:v>
      </x:c>
      <x:c r="G15" s="14" t="str">
        <x:v>same result; unlike evidence root</x:v>
      </x:c>
    </x:row>
    <x:row r="16" ht="18" customHeight="1">
      <x:c r="A16" s="14" t="str">
        <x:v>RP-12</x:v>
      </x:c>
      <x:c r="B16" s="14" t="str">
        <x:v>final elements</x:v>
      </x:c>
      <x:c r="C16" s="14" t="str">
        <x:v>non-origin-2</x:v>
      </x:c>
      <x:c r="D16" s="14" t="str"/>
      <x:c r="E16" s="14" t="str"/>
      <x:c r="F16" s="14" t="str">
        <x:v>OPEN</x:v>
      </x:c>
      <x:c r="G16" s="14" t="str">
        <x:v>same result; unlike evidence root</x:v>
      </x:c>
    </x:row>
    <x:row r="17" ht="18" customHeight="1">
      <x:c r="A17" s="14" t="str">
        <x:v>RP-13</x:v>
      </x:c>
      <x:c r="B17" s="14" t="str">
        <x:v>causal time</x:v>
      </x:c>
      <x:c r="C17" s="14" t="str">
        <x:v>non-origin-1</x:v>
      </x:c>
      <x:c r="D17" s="14" t="str"/>
      <x:c r="E17" s="14" t="str"/>
      <x:c r="F17" s="14" t="str">
        <x:v>OPEN</x:v>
      </x:c>
      <x:c r="G17" s="14" t="str">
        <x:v>same result; unlike evidence root</x:v>
      </x:c>
    </x:row>
    <x:row r="18" ht="18" customHeight="1">
      <x:c r="A18" s="14" t="str">
        <x:v>RP-14</x:v>
      </x:c>
      <x:c r="B18" s="14" t="str">
        <x:v>causal time</x:v>
      </x:c>
      <x:c r="C18" s="14" t="str">
        <x:v>non-origin-2</x:v>
      </x:c>
      <x:c r="D18" s="14" t="str"/>
      <x:c r="E18" s="14" t="str"/>
      <x:c r="F18" s="14" t="str">
        <x:v>OPEN</x:v>
      </x:c>
      <x:c r="G18" s="14" t="str">
        <x:v>same result; unlike evidence root</x:v>
      </x:c>
    </x:row>
    <x:row r="19" ht="18" customHeight="1">
      <x:c r="A19" s="14" t="str">
        <x:v>RP-15</x:v>
      </x:c>
      <x:c r="B19" s="14" t="str">
        <x:v>intervention</x:v>
      </x:c>
      <x:c r="C19" s="14" t="str">
        <x:v>non-origin-1</x:v>
      </x:c>
      <x:c r="D19" s="14" t="str"/>
      <x:c r="E19" s="14" t="str"/>
      <x:c r="F19" s="14" t="str">
        <x:v>OPEN</x:v>
      </x:c>
      <x:c r="G19" s="14" t="str">
        <x:v>same result; unlike evidence root</x:v>
      </x:c>
    </x:row>
    <x:row r="20" ht="18" customHeight="1">
      <x:c r="A20" s="14" t="str">
        <x:v>RP-16</x:v>
      </x:c>
      <x:c r="B20" s="14" t="str">
        <x:v>intervention</x:v>
      </x:c>
      <x:c r="C20" s="14" t="str">
        <x:v>non-origin-2</x:v>
      </x:c>
      <x:c r="D20" s="14" t="str"/>
      <x:c r="E20" s="14" t="str"/>
      <x:c r="F20" s="14" t="str">
        <x:v>OPEN</x:v>
      </x:c>
      <x:c r="G20" s="14" t="str">
        <x:v>same result; unlike evidence root</x:v>
      </x:c>
    </x:row>
    <x:row r="21" ht="18" customHeight="1">
      <x:c r="A21" s="14" t="str">
        <x:v>RP-17</x:v>
      </x:c>
      <x:c r="B21" s="14" t="str">
        <x:v>environment</x:v>
      </x:c>
      <x:c r="C21" s="14" t="str">
        <x:v>non-origin-1</x:v>
      </x:c>
      <x:c r="D21" s="14" t="str"/>
      <x:c r="E21" s="14" t="str"/>
      <x:c r="F21" s="14" t="str">
        <x:v>OPEN</x:v>
      </x:c>
      <x:c r="G21" s="14" t="str">
        <x:v>same result; unlike evidence root</x:v>
      </x:c>
    </x:row>
    <x:row r="22" ht="18" customHeight="1">
      <x:c r="A22" s="14" t="str">
        <x:v>RP-18</x:v>
      </x:c>
      <x:c r="B22" s="14" t="str">
        <x:v>environment</x:v>
      </x:c>
      <x:c r="C22" s="14" t="str">
        <x:v>non-origin-2</x:v>
      </x:c>
      <x:c r="D22" s="14" t="str"/>
      <x:c r="E22" s="14" t="str"/>
      <x:c r="F22" s="14" t="str">
        <x:v>OPEN</x:v>
      </x:c>
      <x:c r="G22" s="14" t="str">
        <x:v>same result; unlike evidence root</x:v>
      </x:c>
    </x:row>
    <x:row r="23" ht="18" customHeight="1">
      <x:c r="A23" s="14" t="str">
        <x:v>RP-19</x:v>
      </x:c>
      <x:c r="B23" s="14" t="str">
        <x:v>measurements</x:v>
      </x:c>
      <x:c r="C23" s="14" t="str">
        <x:v>non-origin-1</x:v>
      </x:c>
      <x:c r="D23" s="14" t="str"/>
      <x:c r="E23" s="14" t="str"/>
      <x:c r="F23" s="14" t="str">
        <x:v>OPEN</x:v>
      </x:c>
      <x:c r="G23" s="14" t="str">
        <x:v>same result; unlike evidence root</x:v>
      </x:c>
    </x:row>
    <x:row r="24" ht="18" customHeight="1">
      <x:c r="A24" s="14" t="str">
        <x:v>RP-20</x:v>
      </x:c>
      <x:c r="B24" s="14" t="str">
        <x:v>measurements</x:v>
      </x:c>
      <x:c r="C24" s="14" t="str">
        <x:v>non-origin-2</x:v>
      </x:c>
      <x:c r="D24" s="14" t="str"/>
      <x:c r="E24" s="14" t="str"/>
      <x:c r="F24" s="14" t="str">
        <x:v>OPEN</x:v>
      </x:c>
      <x:c r="G24" s="14" t="str">
        <x:v>same result; unlike evidence root</x:v>
      </x:c>
    </x:row>
    <x:row r="25" ht="18" customHeight="1">
      <x:c r="A25" s="14" t="str">
        <x:v>RP-21</x:v>
      </x:c>
      <x:c r="B25" s="14" t="str">
        <x:v>result</x:v>
      </x:c>
      <x:c r="C25" s="14" t="str">
        <x:v>non-origin-1</x:v>
      </x:c>
      <x:c r="D25" s="14" t="str"/>
      <x:c r="E25" s="14" t="str"/>
      <x:c r="F25" s="14" t="str">
        <x:v>OPEN</x:v>
      </x:c>
      <x:c r="G25" s="14" t="str">
        <x:v>same result; unlike evidence root</x:v>
      </x:c>
    </x:row>
    <x:row r="26" ht="18" customHeight="1">
      <x:c r="A26" s="14" t="str">
        <x:v>RP-22</x:v>
      </x:c>
      <x:c r="B26" s="14" t="str">
        <x:v>result</x:v>
      </x:c>
      <x:c r="C26" s="14" t="str">
        <x:v>non-origin-2</x:v>
      </x:c>
      <x:c r="D26" s="14" t="str"/>
      <x:c r="E26" s="14" t="str"/>
      <x:c r="F26" s="14" t="str">
        <x:v>OPEN</x:v>
      </x:c>
      <x:c r="G26" s="14" t="str">
        <x:v>same result; unlike evidence root</x:v>
      </x:c>
    </x:row>
    <x:row r="27" ht="18" customHeight="1">
      <x:c r="A27" s="14" t="str">
        <x:v>RP-23</x:v>
      </x:c>
      <x:c r="B27" s="14" t="str">
        <x:v>regeneration</x:v>
      </x:c>
      <x:c r="C27" s="14" t="str">
        <x:v>non-origin-1</x:v>
      </x:c>
      <x:c r="D27" s="14" t="str"/>
      <x:c r="E27" s="14" t="str"/>
      <x:c r="F27" s="14" t="str">
        <x:v>OPEN</x:v>
      </x:c>
      <x:c r="G27" s="14" t="str">
        <x:v>same result; unlike evidence root</x:v>
      </x:c>
    </x:row>
    <x:row r="28" ht="18" customHeight="1">
      <x:c r="A28" s="14" t="str">
        <x:v>RP-24</x:v>
      </x:c>
      <x:c r="B28" s="14" t="str">
        <x:v>regeneration</x:v>
      </x:c>
      <x:c r="C28" s="14" t="str">
        <x:v>non-origin-2</x:v>
      </x:c>
      <x:c r="D28" s="14" t="str"/>
      <x:c r="E28" s="14" t="str"/>
      <x:c r="F28" s="14" t="str">
        <x:v>OPEN</x:v>
      </x:c>
      <x:c r="G28" s="14" t="str">
        <x:v>same result; unlike evidence root</x:v>
      </x:c>
    </x:row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28">
    <x:cfRule type="containsText" dxfId="130" priority="1" operator="containsText" text="ACCEPTED"/>
    <x:cfRule type="containsText" dxfId="131" priority="2" operator="containsText" text="PASS"/>
    <x:cfRule type="containsText" dxfId="132" priority="3" operator="containsText" text="OPEN"/>
    <x:cfRule type="containsText" dxfId="133" priority="4" operator="containsText" text="BLOCKED"/>
    <x:cfRule type="containsText" dxfId="134" priority="5" operator="containsText" text="REJECTED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1" hidden="0" customWidth="1"/>
    <x:col min="3" max="3" width="15" hidden="0" customWidth="1"/>
    <x:col min="4" max="4" width="38" hidden="0" customWidth="1"/>
    <x:col min="5" max="5" width="28" hidden="0" customWidth="1"/>
  </x:cols>
  <x:sheetData>
    <x:row r="1" ht="28" customHeight="1">
      <x:c r="A1" s="18" t="str">
        <x:v>RBA-1 | Sixteen validity rules</x:v>
      </x:c>
      <x:c r="B1" s="18"/>
      <x:c r="C1" s="18"/>
      <x:c r="D1" s="18"/>
      <x:c r="E1" s="18"/>
    </x:row>
    <x:row r="2" ht="28" customHeight="1">
      <x:c r="A2" s="19" t="str">
        <x:v>Validity precedes outcome. An unresolved decisive observation cannot be coded as zero.</x:v>
      </x:c>
      <x:c r="B2" s="19"/>
      <x:c r="C2" s="19"/>
      <x:c r="D2" s="19"/>
      <x:c r="E2" s="19"/>
    </x:row>
    <x:row r="3" ht="18" customHeight="1">
      <x:c r="A3" s="20"/>
      <x:c r="B3" s="20"/>
      <x:c r="C3" s="20"/>
      <x:c r="D3" s="20"/>
      <x:c r="E3" s="20"/>
    </x:row>
    <x:row r="4" ht="18" customHeight="1">
      <x:c r="A4" s="21" t="str">
        <x:v>Rule</x:v>
      </x:c>
      <x:c r="B4" s="21" t="str">
        <x:v>Requirement</x:v>
      </x:c>
      <x:c r="C4" s="21" t="str">
        <x:v>State</x:v>
      </x:c>
      <x:c r="D4" s="21" t="str">
        <x:v>Failure meaning</x:v>
      </x:c>
      <x:c r="E4" s="21" t="str">
        <x:v>Evidence root</x:v>
      </x:c>
    </x:row>
    <x:row r="5" ht="18" customHeight="1">
      <x:c r="A5" s="14" t="str">
        <x:v>VR-01</x:v>
      </x:c>
      <x:c r="B5" s="14" t="str">
        <x:v>exact selected cell</x:v>
      </x:c>
      <x:c r="C5" s="14" t="str">
        <x:v>OPEN</x:v>
      </x:c>
      <x:c r="D5" s="14" t="str">
        <x:v>failure may produce INVALID</x:v>
      </x:c>
      <x:c r="E5" s="14" t="str"/>
    </x:row>
    <x:row r="6" ht="18" customHeight="1">
      <x:c r="A6" s="14" t="str">
        <x:v>VR-02</x:v>
      </x:c>
      <x:c r="B6" s="14" t="str">
        <x:v>exact attempt token</x:v>
      </x:c>
      <x:c r="C6" s="14" t="str">
        <x:v>OPEN</x:v>
      </x:c>
      <x:c r="D6" s="14" t="str">
        <x:v>failure may produce INVALID</x:v>
      </x:c>
      <x:c r="E6" s="14" t="str"/>
    </x:row>
    <x:row r="7" ht="18" customHeight="1">
      <x:c r="A7" s="14" t="str">
        <x:v>VR-03</x:v>
      </x:c>
      <x:c r="B7" s="14" t="str">
        <x:v>exact source package</x:v>
      </x:c>
      <x:c r="C7" s="14" t="str">
        <x:v>OPEN</x:v>
      </x:c>
      <x:c r="D7" s="14" t="str">
        <x:v>failure may produce INVALID</x:v>
      </x:c>
      <x:c r="E7" s="14" t="str"/>
    </x:row>
    <x:row r="8" ht="18" customHeight="1">
      <x:c r="A8" s="14" t="str">
        <x:v>VR-04</x:v>
      </x:c>
      <x:c r="B8" s="14" t="str">
        <x:v>T-96 h freeze</x:v>
      </x:c>
      <x:c r="C8" s="14" t="str">
        <x:v>OPEN</x:v>
      </x:c>
      <x:c r="D8" s="14" t="str">
        <x:v>failure may produce INVALID</x:v>
      </x:c>
      <x:c r="E8" s="14" t="str"/>
    </x:row>
    <x:row r="9" ht="18" customHeight="1">
      <x:c r="A9" s="14" t="str">
        <x:v>VR-05</x:v>
      </x:c>
      <x:c r="B9" s="14" t="str">
        <x:v>205 dossier bindings</x:v>
      </x:c>
      <x:c r="C9" s="14" t="str">
        <x:v>OPEN</x:v>
      </x:c>
      <x:c r="D9" s="14" t="str">
        <x:v>failure may produce INVALID</x:v>
      </x:c>
      <x:c r="E9" s="14" t="str"/>
    </x:row>
    <x:row r="10" ht="18" customHeight="1">
      <x:c r="A10" s="14" t="str">
        <x:v>VR-06</x:v>
      </x:c>
      <x:c r="B10" s="14" t="str">
        <x:v>crew minimum</x:v>
      </x:c>
      <x:c r="C10" s="14" t="str">
        <x:v>OPEN</x:v>
      </x:c>
      <x:c r="D10" s="14" t="str">
        <x:v>failure may produce INVALID</x:v>
      </x:c>
      <x:c r="E10" s="14" t="str"/>
    </x:row>
    <x:row r="11" ht="18" customHeight="1">
      <x:c r="A11" s="14" t="str">
        <x:v>VR-07</x:v>
      </x:c>
      <x:c r="B11" s="14" t="str">
        <x:v>source custody</x:v>
      </x:c>
      <x:c r="C11" s="14" t="str">
        <x:v>OPEN</x:v>
      </x:c>
      <x:c r="D11" s="14" t="str">
        <x:v>failure may produce INVALID</x:v>
      </x:c>
      <x:c r="E11" s="14" t="str"/>
    </x:row>
    <x:row r="12" ht="18" customHeight="1">
      <x:c r="A12" s="14" t="str">
        <x:v>VR-08</x:v>
      </x:c>
      <x:c r="B12" s="14" t="str">
        <x:v>water custody</x:v>
      </x:c>
      <x:c r="C12" s="14" t="str">
        <x:v>OPEN</x:v>
      </x:c>
      <x:c r="D12" s="14" t="str">
        <x:v>failure may produce INVALID</x:v>
      </x:c>
      <x:c r="E12" s="14" t="str"/>
    </x:row>
    <x:row r="13" ht="18" customHeight="1">
      <x:c r="A13" s="14" t="str">
        <x:v>VR-09</x:v>
      </x:c>
      <x:c r="B13" s="14" t="str">
        <x:v>final elements</x:v>
      </x:c>
      <x:c r="C13" s="14" t="str">
        <x:v>OPEN</x:v>
      </x:c>
      <x:c r="D13" s="14" t="str">
        <x:v>failure may produce INVALID</x:v>
      </x:c>
      <x:c r="E13" s="14" t="str"/>
    </x:row>
    <x:row r="14" ht="18" customHeight="1">
      <x:c r="A14" s="14" t="str">
        <x:v>VR-10</x:v>
      </x:c>
      <x:c r="B14" s="14" t="str">
        <x:v>safeing paths</x:v>
      </x:c>
      <x:c r="C14" s="14" t="str">
        <x:v>OPEN</x:v>
      </x:c>
      <x:c r="D14" s="14" t="str">
        <x:v>failure may produce INVALID</x:v>
      </x:c>
      <x:c r="E14" s="14" t="str"/>
    </x:row>
    <x:row r="15" ht="18" customHeight="1">
      <x:c r="A15" s="14" t="str">
        <x:v>VR-11</x:v>
      </x:c>
      <x:c r="B15" s="14" t="str">
        <x:v>causal time</x:v>
      </x:c>
      <x:c r="C15" s="14" t="str">
        <x:v>OPEN</x:v>
      </x:c>
      <x:c r="D15" s="14" t="str">
        <x:v>failure may produce INVALID</x:v>
      </x:c>
      <x:c r="E15" s="14" t="str"/>
    </x:row>
    <x:row r="16" ht="18" customHeight="1">
      <x:c r="A16" s="14" t="str">
        <x:v>VR-12</x:v>
      </x:c>
      <x:c r="B16" s="14" t="str">
        <x:v>decisive measurements</x:v>
      </x:c>
      <x:c r="C16" s="14" t="str">
        <x:v>OPEN</x:v>
      </x:c>
      <x:c r="D16" s="14" t="str">
        <x:v>failure may produce INVALID</x:v>
      </x:c>
      <x:c r="E16" s="14" t="str"/>
    </x:row>
    <x:row r="17" ht="18" customHeight="1">
      <x:c r="A17" s="14" t="str">
        <x:v>VR-13</x:v>
      </x:c>
      <x:c r="B17" s="14" t="str">
        <x:v>both truth roots</x:v>
      </x:c>
      <x:c r="C17" s="14" t="str">
        <x:v>OPEN</x:v>
      </x:c>
      <x:c r="D17" s="14" t="str">
        <x:v>failure may produce INVALID</x:v>
      </x:c>
      <x:c r="E17" s="14" t="str"/>
    </x:row>
    <x:row r="18" ht="18" customHeight="1">
      <x:c r="A18" s="14" t="str">
        <x:v>VR-14</x:v>
      </x:c>
      <x:c r="B18" s="14" t="str">
        <x:v>intervention record</x:v>
      </x:c>
      <x:c r="C18" s="14" t="str">
        <x:v>OPEN</x:v>
      </x:c>
      <x:c r="D18" s="14" t="str">
        <x:v>failure may produce INVALID</x:v>
      </x:c>
      <x:c r="E18" s="14" t="str"/>
    </x:row>
    <x:row r="19" ht="18" customHeight="1">
      <x:c r="A19" s="14" t="str">
        <x:v>VR-15</x:v>
      </x:c>
      <x:c r="B19" s="14" t="str">
        <x:v>immutable packet</x:v>
      </x:c>
      <x:c r="C19" s="14" t="str">
        <x:v>OPEN</x:v>
      </x:c>
      <x:c r="D19" s="14" t="str">
        <x:v>failure may produce INVALID</x:v>
      </x:c>
      <x:c r="E19" s="14" t="str"/>
    </x:row>
    <x:row r="20" ht="18" customHeight="1">
      <x:c r="A20" s="14" t="str">
        <x:v>VR-16</x:v>
      </x:c>
      <x:c r="B20" s="14" t="str">
        <x:v>no unregistered change</x:v>
      </x:c>
      <x:c r="C20" s="14" t="str">
        <x:v>OPEN</x:v>
      </x:c>
      <x:c r="D20" s="14" t="str">
        <x:v>failure may produce INVALID</x:v>
      </x:c>
      <x:c r="E20" s="14" t="str"/>
    </x:row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C5:C20">
    <x:cfRule type="containsText" dxfId="135" priority="1" operator="containsText" text="ACCEPTED"/>
    <x:cfRule type="containsText" dxfId="136" priority="2" operator="containsText" text="PASS"/>
    <x:cfRule type="containsText" dxfId="137" priority="3" operator="containsText" text="OPEN"/>
    <x:cfRule type="containsText" dxfId="138" priority="4" operator="containsText" text="BLOCKED"/>
    <x:cfRule type="containsText" dxfId="139" priority="5" operator="containsText" text="REJECTED"/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4" hidden="0" customWidth="1"/>
    <x:col min="4" max="4" width="18" hidden="0" customWidth="1"/>
    <x:col min="5" max="5" width="24" hidden="0" customWidth="1"/>
  </x:cols>
  <x:sheetData>
    <x:row r="1" ht="28" customHeight="1">
      <x:c r="A1" s="18" t="str">
        <x:v>RBA-1 | Registered outcome classes</x:v>
      </x:c>
      <x:c r="B1" s="18"/>
      <x:c r="C1" s="18"/>
      <x:c r="D1" s="18"/>
      <x:c r="E1" s="18"/>
    </x:row>
    <x:row r="2" ht="28" customHeight="1">
      <x:c r="A2" s="19" t="str">
        <x:v>A valid no-flame result remains evidence; a valid adverse result cannot be replaced.</x:v>
      </x:c>
      <x:c r="B2" s="19"/>
      <x:c r="C2" s="19"/>
      <x:c r="D2" s="19"/>
      <x:c r="E2" s="19"/>
    </x:row>
    <x:row r="3" ht="18" customHeight="1">
      <x:c r="A3" s="20"/>
      <x:c r="B3" s="20"/>
      <x:c r="C3" s="20"/>
      <x:c r="D3" s="20"/>
      <x:c r="E3" s="20"/>
    </x:row>
    <x:row r="4" ht="18" customHeight="1">
      <x:c r="A4" s="21" t="str">
        <x:v>Outcome</x:v>
      </x:c>
      <x:c r="B4" s="21" t="str">
        <x:v>Method</x:v>
      </x:c>
      <x:c r="C4" s="21" t="str">
        <x:v>Condition</x:v>
      </x:c>
      <x:c r="D4" s="21" t="str">
        <x:v>Cell credit</x:v>
      </x:c>
      <x:c r="E4" s="21" t="str">
        <x:v>Replacement</x:v>
      </x:c>
    </x:row>
    <x:row r="5" ht="18" customHeight="1">
      <x:c r="A5" s="14" t="str">
        <x:v>SUCCESS-CONTAINED</x:v>
      </x:c>
      <x:c r="B5" s="14" t="str">
        <x:v>AM-05</x:v>
      </x:c>
      <x:c r="C5" s="14" t="str">
        <x:v>all custody, source, safety and evidence bounds close</x:v>
      </x:c>
      <x:c r="D5" s="14" t="str">
        <x:v>YES</x:v>
      </x:c>
      <x:c r="E5" s="14" t="str">
        <x:v>NO</x:v>
      </x:c>
    </x:row>
    <x:row r="6" ht="18" customHeight="1">
      <x:c r="A6" s="14" t="str">
        <x:v>SUCCESS-FLAME</x:v>
      </x:c>
      <x:c r="B6" s="14" t="str">
        <x:v>AM-06</x:v>
      </x:c>
      <x:c r="C6" s="14" t="str">
        <x:v>flame observed and all bounds close</x:v>
      </x:c>
      <x:c r="D6" s="14" t="str">
        <x:v>YES</x:v>
      </x:c>
      <x:c r="E6" s="14" t="str">
        <x:v>NO</x:v>
      </x:c>
    </x:row>
    <x:row r="7" ht="18" customHeight="1">
      <x:c r="A7" s="14" t="str">
        <x:v>VALID-NO-FLAME</x:v>
      </x:c>
      <x:c r="B7" s="14" t="str">
        <x:v>AM-06</x:v>
      </x:c>
      <x:c r="C7" s="14" t="str">
        <x:v>ignition opportunity accepted; no flame; all other bounds close</x:v>
      </x:c>
      <x:c r="D7" s="14" t="str">
        <x:v>YES-LIMITED</x:v>
      </x:c>
      <x:c r="E7" s="14" t="str">
        <x:v>NO</x:v>
      </x:c>
    </x:row>
    <x:row r="8" ht="18" customHeight="1">
      <x:c r="A8" s="14" t="str">
        <x:v>ADVERSE-TERMINAL</x:v>
      </x:c>
      <x:c r="B8" s="14" t="str">
        <x:v>either</x:v>
      </x:c>
      <x:c r="C8" s="14" t="str">
        <x:v>uncontrolled source after 30 s</x:v>
      </x:c>
      <x:c r="D8" s="14" t="str">
        <x:v>NO</x:v>
      </x:c>
      <x:c r="E8" s="14" t="str">
        <x:v>NO</x:v>
      </x:c>
    </x:row>
    <x:row r="9" ht="18" customHeight="1">
      <x:c r="A9" s="14" t="str">
        <x:v>ADVERSE-CONTAINMENT</x:v>
      </x:c>
      <x:c r="B9" s="14" t="str">
        <x:v>either</x:v>
      </x:c>
      <x:c r="C9" s="14" t="str">
        <x:v>inner area or receiver bound crossed</x:v>
      </x:c>
      <x:c r="D9" s="14" t="str">
        <x:v>NO</x:v>
      </x:c>
      <x:c r="E9" s="14" t="str">
        <x:v>NO</x:v>
      </x:c>
    </x:row>
    <x:row r="10" ht="18" customHeight="1">
      <x:c r="A10" s="14" t="str">
        <x:v>ADVERSE-ANCESTRY</x:v>
      </x:c>
      <x:c r="B10" s="14" t="str">
        <x:v>either</x:v>
      </x:c>
      <x:c r="C10" s="14" t="str">
        <x:v>recovery or cross-talk bound crossed</x:v>
      </x:c>
      <x:c r="D10" s="14" t="str">
        <x:v>NO</x:v>
      </x:c>
      <x:c r="E10" s="14" t="str">
        <x:v>NO</x:v>
      </x:c>
    </x:row>
    <x:row r="11" ht="18" customHeight="1">
      <x:c r="A11" s="14" t="str">
        <x:v>ADVERSE-THERMAL</x:v>
      </x:c>
      <x:c r="B11" s="14" t="str">
        <x:v>AM-06</x:v>
      </x:c>
      <x:c r="C11" s="14" t="str">
        <x:v>thermal, smoke or boundary condition crossed</x:v>
      </x:c>
      <x:c r="D11" s="14" t="str">
        <x:v>NO</x:v>
      </x:c>
      <x:c r="E11" s="14" t="str">
        <x:v>NO</x:v>
      </x:c>
    </x:row>
    <x:row r="12" ht="18" customHeight="1">
      <x:c r="A12" s="14" t="str">
        <x:v>ADVERSE-WATER</x:v>
      </x:c>
      <x:c r="B12" s="14" t="str">
        <x:v>either</x:v>
      </x:c>
      <x:c r="C12" s="14" t="str">
        <x:v>water prevents independent attribution</x:v>
      </x:c>
      <x:c r="D12" s="14" t="str">
        <x:v>NO</x:v>
      </x:c>
      <x:c r="E12" s="14" t="str">
        <x:v>NO</x:v>
      </x:c>
    </x:row>
    <x:row r="13" ht="18" customHeight="1">
      <x:c r="A13" s="14" t="str">
        <x:v>ADVERSE-ENVIRONMENT</x:v>
      </x:c>
      <x:c r="B13" s="14" t="str">
        <x:v>either</x:v>
      </x:c>
      <x:c r="C13" s="14" t="str">
        <x:v>environmental source exceeds 0.10 kg</x:v>
      </x:c>
      <x:c r="D13" s="14" t="str">
        <x:v>NO</x:v>
      </x:c>
      <x:c r="E13" s="14" t="str">
        <x:v>NO</x:v>
      </x:c>
    </x:row>
    <x:row r="14" ht="18" customHeight="1">
      <x:c r="A14" s="14" t="str">
        <x:v>ADVERSE-PUBLIC-ACTION</x:v>
      </x:c>
      <x:c r="B14" s="14" t="str">
        <x:v>either</x:v>
      </x:c>
      <x:c r="C14" s="14" t="str">
        <x:v>public action precedes autonomous bounded state</x:v>
      </x:c>
      <x:c r="D14" s="14" t="str">
        <x:v>NO</x:v>
      </x:c>
      <x:c r="E14" s="14" t="str">
        <x:v>NO</x:v>
      </x:c>
    </x:row>
    <x:row r="15" ht="18" customHeight="1">
      <x:c r="A15" s="14" t="str">
        <x:v>INVALID</x:v>
      </x:c>
      <x:c r="B15" s="14" t="str">
        <x:v>either</x:v>
      </x:c>
      <x:c r="C15" s="14" t="str">
        <x:v>registered proposition not decisively observed</x:v>
      </x:c>
      <x:c r="D15" s="14" t="str">
        <x:v>NO</x:v>
      </x:c>
      <x:c r="E15" s="14" t="str">
        <x:v>ONE SAME-CELL TOKEN</x:v>
      </x:c>
    </x:row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65" hidden="0" customWidth="1"/>
  </x:cols>
  <x:sheetData>
    <x:row r="1" ht="28" customHeight="1">
      <x:c r="A1" s="18" t="str">
        <x:v>RBA-1 | Event result</x:v>
      </x:c>
      <x:c r="B1" s="18"/>
      <x:c r="C1" s="18"/>
    </x:row>
    <x:row r="2" ht="28" customHeight="1">
      <x:c r="A2" s="19" t="str">
        <x:v>All observed values and decisions remain open.</x:v>
      </x:c>
      <x:c r="B2" s="19"/>
      <x:c r="C2" s="19"/>
    </x:row>
    <x:row r="3" ht="18" customHeight="1">
      <x:c r="A3" s="20"/>
      <x:c r="B3" s="20"/>
      <x:c r="C3" s="20"/>
    </x:row>
    <x:row r="4" ht="18" customHeight="1">
      <x:c r="A4" s="21" t="str">
        <x:v>Field</x:v>
      </x:c>
      <x:c r="B4" s="21" t="str">
        <x:v>Observed or decision</x:v>
      </x:c>
      <x:c r="C4" s="21" t="str">
        <x:v>Rule</x:v>
      </x:c>
    </x:row>
    <x:row r="5" ht="18" customHeight="1">
      <x:c r="A5" s="14" t="str">
        <x:v>attempt token</x:v>
      </x:c>
      <x:c r="B5" s="14" t="str"/>
      <x:c r="C5" s="14" t="str">
        <x:v>QE02-A01 or lawful QE02-A02</x:v>
      </x:c>
    </x:row>
    <x:row r="6" ht="18" customHeight="1">
      <x:c r="A6" s="14" t="str">
        <x:v>selected cell</x:v>
      </x:c>
      <x:c r="B6" s="14" t="str"/>
      <x:c r="C6" s="14" t="str">
        <x:v>exact draw result</x:v>
      </x:c>
    </x:row>
    <x:row r="7" ht="18" customHeight="1">
      <x:c r="A7" s="14" t="str">
        <x:v>validity</x:v>
      </x:c>
      <x:c r="B7" s="14" t="str">
        <x:v>OPEN</x:v>
      </x:c>
      <x:c r="C7" s="14" t="str">
        <x:v>VALID or INVALID</x:v>
      </x:c>
    </x:row>
    <x:row r="8" ht="18" customHeight="1">
      <x:c r="A8" s="14" t="str">
        <x:v>method outcome</x:v>
      </x:c>
      <x:c r="B8" s="14" t="str">
        <x:v>OPEN</x:v>
      </x:c>
      <x:c r="C8" s="14" t="str">
        <x:v>registered outcome code</x:v>
      </x:c>
    </x:row>
    <x:row r="9" ht="18" customHeight="1">
      <x:c r="A9" s="14" t="str">
        <x:v>safety outcome</x:v>
      </x:c>
      <x:c r="B9" s="14" t="str">
        <x:v>OPEN</x:v>
      </x:c>
      <x:c r="C9" s="14" t="str">
        <x:v>safe / injury / environmental event</x:v>
      </x:c>
    </x:row>
    <x:row r="10" ht="18" customHeight="1">
      <x:c r="A10" s="14" t="str">
        <x:v>source root A total</x:v>
      </x:c>
      <x:c r="B10" s="14" t="str"/>
      <x:c r="C10" s="14" t="str">
        <x:v>100 kg terminal account</x:v>
      </x:c>
    </x:row>
    <x:row r="11" ht="18" customHeight="1">
      <x:c r="A11" s="14" t="str">
        <x:v>source root B total</x:v>
      </x:c>
      <x:c r="B11" s="14" t="str"/>
      <x:c r="C11" s="14" t="str">
        <x:v>100 kg terminal account</x:v>
      </x:c>
    </x:row>
    <x:row r="12" ht="18" customHeight="1">
      <x:c r="A12" s="14" t="str">
        <x:v>expanded U root A</x:v>
      </x:c>
      <x:c r="B12" s="14" t="str"/>
      <x:c r="C12" s="14" t="str">
        <x:v>&lt;=1.5 kg</x:v>
      </x:c>
    </x:row>
    <x:row r="13" ht="18" customHeight="1">
      <x:c r="A13" s="14" t="str">
        <x:v>expanded U root B</x:v>
      </x:c>
      <x:c r="B13" s="14" t="str"/>
      <x:c r="C13" s="14" t="str">
        <x:v>&lt;=1.5 kg</x:v>
      </x:c>
    </x:row>
    <x:row r="14" ht="18" customHeight="1">
      <x:c r="A14" s="14" t="str">
        <x:v>environmental source</x:v>
      </x:c>
      <x:c r="B14" s="14" t="str"/>
      <x:c r="C14" s="14" t="str">
        <x:v>&lt;=0.10 kg</x:v>
      </x:c>
    </x:row>
    <x:row r="15" ht="18" customHeight="1">
      <x:c r="A15" s="14" t="str">
        <x:v>ancestry recovery</x:v>
      </x:c>
      <x:c r="B15" s="14" t="str"/>
      <x:c r="C15" s="14" t="str">
        <x:v>&gt;=0.995</x:v>
      </x:c>
    </x:row>
    <x:row r="16" ht="18" customHeight="1">
      <x:c r="A16" s="14" t="str">
        <x:v>cross-talk</x:v>
      </x:c>
      <x:c r="B16" s="14" t="str"/>
      <x:c r="C16" s="14" t="str">
        <x:v>&lt;=0.005</x:v>
      </x:c>
    </x:row>
    <x:row r="17" ht="18" customHeight="1">
      <x:c r="A17" s="14" t="str">
        <x:v>public intervention</x:v>
      </x:c>
      <x:c r="B17" s="14" t="str">
        <x:v>OPEN</x:v>
      </x:c>
      <x:c r="C17" s="14" t="str">
        <x:v>one registered class</x:v>
      </x:c>
    </x:row>
    <x:row r="18" ht="18" customHeight="1">
      <x:c r="A18" s="14" t="str">
        <x:v>cell credit</x:v>
      </x:c>
      <x:c r="B18" s="14" t="str">
        <x:v>NO</x:v>
      </x:c>
      <x:c r="C18" s="14" t="str">
        <x:v>only registered creditable outcome</x:v>
      </x:c>
    </x:row>
    <x:row r="19" ht="18" customHeight="1">
      <x:c r="A19" s="14" t="str">
        <x:v>pair disposition</x:v>
      </x:c>
      <x:c r="B19" s="14" t="str">
        <x:v>OPEN</x:v>
      </x:c>
      <x:c r="C19" s="14" t="str">
        <x:v>AVAILABLE or QUARANTINED</x:v>
      </x:c>
    </x:row>
    <x:row r="20" ht="18" customHeight="1">
      <x:c r="A20" s="14" t="str">
        <x:v>full-class constitution</x:v>
      </x:c>
      <x:c r="B20" s="14" t="str">
        <x:v>BLOCKED</x:v>
      </x:c>
      <x:c r="C20" s="14" t="str">
        <x:v>only after accepted event and return</x:v>
      </x:c>
    </x:row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B5:B20">
    <x:cfRule type="containsText" dxfId="140" priority="1" operator="containsText" text="ACCEPTED"/>
    <x:cfRule type="containsText" dxfId="141" priority="2" operator="containsText" text="PASS"/>
    <x:cfRule type="containsText" dxfId="142" priority="3" operator="containsText" text="OPEN"/>
    <x:cfRule type="containsText" dxfId="143" priority="4" operator="containsText" text="BLOCKED"/>
    <x:cfRule type="containsText" dxfId="144" priority="5" operator="containsText" text="REJECTED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16" hidden="0" customWidth="1"/>
    <x:col min="4" max="4" width="29" hidden="0" customWidth="1"/>
    <x:col min="5" max="5" width="22" hidden="0" customWidth="1"/>
  </x:cols>
  <x:sheetData>
    <x:row r="1" ht="28" customHeight="1">
      <x:c r="A1" s="18" t="str">
        <x:v>RBA-1 | Ten recovery states</x:v>
      </x:c>
      <x:c r="B1" s="18"/>
      <x:c r="C1" s="18"/>
      <x:c r="D1" s="18"/>
      <x:c r="E1" s="18"/>
    </x:row>
    <x:row r="2" ht="28" customHeight="1">
      <x:c r="A2" s="19" t="str">
        <x:v>Safe state, forensic custody and return are distinct stages.</x:v>
      </x:c>
      <x:c r="B2" s="19"/>
      <x:c r="C2" s="19"/>
      <x:c r="D2" s="19"/>
      <x:c r="E2" s="19"/>
    </x:row>
    <x:row r="3" ht="18" customHeight="1">
      <x:c r="A3" s="20"/>
      <x:c r="B3" s="20"/>
      <x:c r="C3" s="20"/>
      <x:c r="D3" s="20"/>
      <x:c r="E3" s="20"/>
    </x:row>
    <x:row r="4" ht="18" customHeight="1">
      <x:c r="A4" s="21" t="str">
        <x:v>State</x:v>
      </x:c>
      <x:c r="B4" s="21" t="str">
        <x:v>Requirement</x:v>
      </x:c>
      <x:c r="C4" s="21" t="str">
        <x:v>Decision</x:v>
      </x:c>
      <x:c r="D4" s="21" t="str">
        <x:v>Evidence root</x:v>
      </x:c>
      <x:c r="E4" s="21" t="str">
        <x:v>Accepted UTC</x:v>
      </x:c>
    </x:row>
    <x:row r="5" ht="18" customHeight="1">
      <x:c r="A5" s="14" t="str">
        <x:v>RS-01</x:v>
      </x:c>
      <x:c r="B5" s="14" t="str">
        <x:v>new source terminated</x:v>
      </x:c>
      <x:c r="C5" s="14" t="str">
        <x:v>OPEN</x:v>
      </x:c>
      <x:c r="D5" s="14" t="str"/>
      <x:c r="E5" s="14" t="str"/>
    </x:row>
    <x:row r="6" ht="18" customHeight="1">
      <x:c r="A6" s="14" t="str">
        <x:v>RS-02</x:v>
      </x:c>
      <x:c r="B6" s="14" t="str">
        <x:v>candidate/public paths isolated</x:v>
      </x:c>
      <x:c r="C6" s="14" t="str">
        <x:v>OPEN</x:v>
      </x:c>
      <x:c r="D6" s="14" t="str"/>
      <x:c r="E6" s="14" t="str"/>
    </x:row>
    <x:row r="7" ht="18" customHeight="1">
      <x:c r="A7" s="14" t="str">
        <x:v>RS-03</x:v>
      </x:c>
      <x:c r="B7" s="14" t="str">
        <x:v>casualty source resolved</x:v>
      </x:c>
      <x:c r="C7" s="14" t="str">
        <x:v>OPEN</x:v>
      </x:c>
      <x:c r="D7" s="14" t="str"/>
      <x:c r="E7" s="14" t="str"/>
    </x:row>
    <x:row r="8" ht="18" customHeight="1">
      <x:c r="A8" s="14" t="str">
        <x:v>RS-04</x:v>
      </x:c>
      <x:c r="B8" s="14" t="str">
        <x:v>remote map accepted</x:v>
      </x:c>
      <x:c r="C8" s="14" t="str">
        <x:v>OPEN</x:v>
      </x:c>
      <x:c r="D8" s="14" t="str"/>
      <x:c r="E8" s="14" t="str"/>
    </x:row>
    <x:row r="9" ht="18" customHeight="1">
      <x:c r="A9" s="14" t="str">
        <x:v>RS-05</x:v>
      </x:c>
      <x:c r="B9" s="14" t="str">
        <x:v>inventories captured</x:v>
      </x:c>
      <x:c r="C9" s="14" t="str">
        <x:v>OPEN</x:v>
      </x:c>
      <x:c r="D9" s="14" t="str"/>
      <x:c r="E9" s="14" t="str"/>
    </x:row>
    <x:row r="10" ht="18" customHeight="1">
      <x:c r="A10" s="14" t="str">
        <x:v>RS-06</x:v>
      </x:c>
      <x:c r="B10" s="14" t="str">
        <x:v>atmosphere and thermal state accepted</x:v>
      </x:c>
      <x:c r="C10" s="14" t="str">
        <x:v>OPEN</x:v>
      </x:c>
      <x:c r="D10" s="14" t="str"/>
      <x:c r="E10" s="14" t="str"/>
    </x:row>
    <x:row r="11" ht="18" customHeight="1">
      <x:c r="A11" s="14" t="str">
        <x:v>RS-07</x:v>
      </x:c>
      <x:c r="B11" s="14" t="str">
        <x:v>source and water ledgers closed</x:v>
      </x:c>
      <x:c r="C11" s="14" t="str">
        <x:v>OPEN</x:v>
      </x:c>
      <x:c r="D11" s="14" t="str"/>
      <x:c r="E11" s="14" t="str"/>
    </x:row>
    <x:row r="12" ht="18" customHeight="1">
      <x:c r="A12" s="14" t="str">
        <x:v>RS-08</x:v>
      </x:c>
      <x:c r="B12" s="14" t="str">
        <x:v>packet frozen</x:v>
      </x:c>
      <x:c r="C12" s="14" t="str">
        <x:v>OPEN</x:v>
      </x:c>
      <x:c r="D12" s="14" t="str"/>
      <x:c r="E12" s="14" t="str"/>
    </x:row>
    <x:row r="13" ht="18" customHeight="1">
      <x:c r="A13" s="14" t="str">
        <x:v>RS-09</x:v>
      </x:c>
      <x:c r="B13" s="14" t="str">
        <x:v>cleaning and repair released</x:v>
      </x:c>
      <x:c r="C13" s="14" t="str">
        <x:v>OPEN</x:v>
      </x:c>
      <x:c r="D13" s="14" t="str"/>
      <x:c r="E13" s="14" t="str"/>
    </x:row>
    <x:row r="14" ht="18" customHeight="1">
      <x:c r="A14" s="14" t="str">
        <x:v>RS-10</x:v>
      </x:c>
      <x:c r="B14" s="14" t="str">
        <x:v>serialized baseline restored</x:v>
      </x:c>
      <x:c r="C14" s="14" t="str">
        <x:v>OPEN</x:v>
      </x:c>
      <x:c r="D14" s="14" t="str"/>
      <x:c r="E14" s="14" t="str"/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C5:C14">
    <x:cfRule type="containsText" dxfId="145" priority="1" operator="containsText" text="ACCEPTED"/>
    <x:cfRule type="containsText" dxfId="146" priority="2" operator="containsText" text="PASS"/>
    <x:cfRule type="containsText" dxfId="147" priority="3" operator="containsText" text="OPEN"/>
    <x:cfRule type="containsText" dxfId="148" priority="4" operator="containsText" text="BLOCKED"/>
    <x:cfRule type="containsText" dxfId="149" priority="5" operator="containsText" text="REJECTED"/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52" hidden="0" customWidth="1"/>
    <x:col min="3" max="3" width="15" hidden="0" customWidth="1"/>
    <x:col min="4" max="4" width="29" hidden="0" customWidth="1"/>
    <x:col min="5" max="5" width="22" hidden="0" customWidth="1"/>
    <x:col min="6" max="6" width="17" hidden="0" customWidth="1"/>
  </x:cols>
  <x:sheetData>
    <x:row r="1" ht="28" customHeight="1">
      <x:c r="A1" s="18" t="str">
        <x:v>RBA-1 | Sixteen source-exposed work packages</x:v>
      </x:c>
      <x:c r="B1" s="18"/>
      <x:c r="C1" s="18"/>
      <x:c r="D1" s="18"/>
      <x:c r="E1" s="18"/>
      <x:c r="F1" s="18"/>
    </x:row>
    <x:row r="2" ht="28" customHeight="1">
      <x:c r="A2" s="19" t="str">
        <x:v>The used pair cannot inherit its pre-event credential.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Task</x:v>
      </x:c>
      <x:c r="B4" s="21" t="str">
        <x:v>Work package</x:v>
      </x:c>
      <x:c r="C4" s="21" t="str">
        <x:v>State</x:v>
      </x:c>
      <x:c r="D4" s="21" t="str">
        <x:v>Evidence root</x:v>
      </x:c>
      <x:c r="E4" s="21" t="str">
        <x:v>Accepted UTC</x:v>
      </x:c>
      <x:c r="F4" s="21" t="str">
        <x:v>Earliest day</x:v>
      </x:c>
    </x:row>
    <x:row r="5" ht="18" customHeight="1">
      <x:c r="A5" s="14" t="str">
        <x:v>RG-01</x:v>
      </x:c>
      <x:c r="B5" s="14" t="str">
        <x:v>forensic hold</x:v>
      </x:c>
      <x:c r="C5" s="14" t="str">
        <x:v>OPEN</x:v>
      </x:c>
      <x:c r="D5" s="14" t="str"/>
      <x:c r="E5" s="14" t="str"/>
      <x:c r="F5" s="14" t="str"/>
    </x:row>
    <x:row r="6" ht="18" customHeight="1">
      <x:c r="A6" s="14" t="str">
        <x:v>RG-02</x:v>
      </x:c>
      <x:c r="B6" s="14" t="str">
        <x:v>atmosphere and thermal clearance</x:v>
      </x:c>
      <x:c r="C6" s="14" t="str">
        <x:v>OPEN</x:v>
      </x:c>
      <x:c r="D6" s="14" t="str"/>
      <x:c r="E6" s="14" t="str"/>
      <x:c r="F6" s="14" t="str"/>
    </x:row>
    <x:row r="7" ht="18" customHeight="1">
      <x:c r="A7" s="14" t="str">
        <x:v>RG-03</x:v>
      </x:c>
      <x:c r="B7" s="14" t="str">
        <x:v>source-location scan</x:v>
      </x:c>
      <x:c r="C7" s="14" t="str">
        <x:v>OPEN</x:v>
      </x:c>
      <x:c r="D7" s="14" t="str"/>
      <x:c r="E7" s="14" t="str"/>
      <x:c r="F7" s="14" t="str"/>
    </x:row>
    <x:row r="8" ht="18" customHeight="1">
      <x:c r="A8" s="14" t="str">
        <x:v>RG-04</x:v>
      </x:c>
      <x:c r="B8" s="14" t="str">
        <x:v>receiver and route inventory</x:v>
      </x:c>
      <x:c r="C8" s="14" t="str">
        <x:v>OPEN</x:v>
      </x:c>
      <x:c r="D8" s="14" t="str"/>
      <x:c r="E8" s="14" t="str"/>
      <x:c r="F8" s="14" t="str"/>
    </x:row>
    <x:row r="9" ht="18" customHeight="1">
      <x:c r="A9" s="14" t="str">
        <x:v>RG-05</x:v>
      </x:c>
      <x:c r="B9" s="14" t="str">
        <x:v>sample-chain completion</x:v>
      </x:c>
      <x:c r="C9" s="14" t="str">
        <x:v>OPEN</x:v>
      </x:c>
      <x:c r="D9" s="14" t="str"/>
      <x:c r="E9" s="14" t="str"/>
      <x:c r="F9" s="14" t="str"/>
    </x:row>
    <x:row r="10" ht="18" customHeight="1">
      <x:c r="A10" s="14" t="str">
        <x:v>RG-06</x:v>
      </x:c>
      <x:c r="B10" s="14" t="str">
        <x:v>environmental perimeter closeout</x:v>
      </x:c>
      <x:c r="C10" s="14" t="str">
        <x:v>OPEN</x:v>
      </x:c>
      <x:c r="D10" s="14" t="str"/>
      <x:c r="E10" s="14" t="str"/>
      <x:c r="F10" s="14" t="str"/>
    </x:row>
    <x:row r="11" ht="18" customHeight="1">
      <x:c r="A11" s="14" t="str">
        <x:v>RG-07</x:v>
      </x:c>
      <x:c r="B11" s="14" t="str">
        <x:v>waste characterization and destination</x:v>
      </x:c>
      <x:c r="C11" s="14" t="str">
        <x:v>OPEN</x:v>
      </x:c>
      <x:c r="D11" s="14" t="str"/>
      <x:c r="E11" s="14" t="str"/>
      <x:c r="F11" s="14" t="str"/>
    </x:row>
    <x:row r="12" ht="18" customHeight="1">
      <x:c r="A12" s="14" t="str">
        <x:v>RG-08</x:v>
      </x:c>
      <x:c r="B12" s="14" t="str">
        <x:v>controlled decontamination</x:v>
      </x:c>
      <x:c r="C12" s="14" t="str">
        <x:v>OPEN</x:v>
      </x:c>
      <x:c r="D12" s="14" t="str"/>
      <x:c r="E12" s="14" t="str"/>
      <x:c r="F12" s="14" t="str"/>
    </x:row>
    <x:row r="13" ht="18" customHeight="1">
      <x:c r="A13" s="14" t="str">
        <x:v>RG-09</x:v>
      </x:c>
      <x:c r="B13" s="14" t="str">
        <x:v>insert and liner removal</x:v>
      </x:c>
      <x:c r="C13" s="14" t="str">
        <x:v>OPEN</x:v>
      </x:c>
      <x:c r="D13" s="14" t="str"/>
      <x:c r="E13" s="14" t="str"/>
      <x:c r="F13" s="14" t="str"/>
    </x:row>
    <x:row r="14" ht="18" customHeight="1">
      <x:c r="A14" s="14" t="str">
        <x:v>RG-10</x:v>
      </x:c>
      <x:c r="B14" s="14" t="str">
        <x:v>exposure-directed teardown</x:v>
      </x:c>
      <x:c r="C14" s="14" t="str">
        <x:v>OPEN</x:v>
      </x:c>
      <x:c r="D14" s="14" t="str"/>
      <x:c r="E14" s="14" t="str"/>
      <x:c r="F14" s="14" t="str"/>
    </x:row>
    <x:row r="15" ht="18" customHeight="1">
      <x:c r="A15" s="14" t="str">
        <x:v>RG-11</x:v>
      </x:c>
      <x:c r="B15" s="14" t="str">
        <x:v>sacrificial-part replacement</x:v>
      </x:c>
      <x:c r="C15" s="14" t="str">
        <x:v>OPEN</x:v>
      </x:c>
      <x:c r="D15" s="14" t="str"/>
      <x:c r="E15" s="14" t="str"/>
      <x:c r="F15" s="14" t="str"/>
    </x:row>
    <x:row r="16" ht="18" customHeight="1">
      <x:c r="A16" s="14" t="str">
        <x:v>RG-12</x:v>
      </x:c>
      <x:c r="B16" s="14" t="str">
        <x:v>dry dimensional and final-element inspection</x:v>
      </x:c>
      <x:c r="C16" s="14" t="str">
        <x:v>OPEN</x:v>
      </x:c>
      <x:c r="D16" s="14" t="str"/>
      <x:c r="E16" s="14" t="str"/>
      <x:c r="F16" s="14" t="str"/>
    </x:row>
    <x:row r="17" ht="18" customHeight="1">
      <x:c r="A17" s="14" t="str">
        <x:v>RG-13</x:v>
      </x:c>
      <x:c r="B17" s="14" t="str">
        <x:v>calibration and safeing regression</x:v>
      </x:c>
      <x:c r="C17" s="14" t="str">
        <x:v>OPEN</x:v>
      </x:c>
      <x:c r="D17" s="14" t="str"/>
      <x:c r="E17" s="14" t="str"/>
      <x:c r="F17" s="14" t="str"/>
    </x:row>
    <x:row r="18" ht="18" customHeight="1">
      <x:c r="A18" s="14" t="str">
        <x:v>RG-14</x:v>
      </x:c>
      <x:c r="B18" s="14" t="str">
        <x:v>dry zero water blank source blank</x:v>
      </x:c>
      <x:c r="C18" s="14" t="str">
        <x:v>OPEN</x:v>
      </x:c>
      <x:c r="D18" s="14" t="str"/>
      <x:c r="E18" s="14" t="str"/>
      <x:c r="F18" s="14" t="str"/>
    </x:row>
    <x:row r="19" ht="18" customHeight="1">
      <x:c r="A19" s="14" t="str">
        <x:v>RG-15</x:v>
      </x:c>
      <x:c r="B19" s="14" t="str">
        <x:v>outside-origin replay closure</x:v>
      </x:c>
      <x:c r="C19" s="14" t="str">
        <x:v>OPEN</x:v>
      </x:c>
      <x:c r="D19" s="14" t="str"/>
      <x:c r="E19" s="14" t="str"/>
      <x:c r="F19" s="14" t="str"/>
    </x:row>
    <x:row r="20" ht="18" customHeight="1">
      <x:c r="A20" s="14" t="str">
        <x:v>RG-16</x:v>
      </x:c>
      <x:c r="B20" s="14" t="str">
        <x:v>distinct baseline and day-14 board</x:v>
      </x:c>
      <x:c r="C20" s="14" t="str">
        <x:v>OPEN</x:v>
      </x:c>
      <x:c r="D20" s="14" t="str"/>
      <x:c r="E20" s="14" t="str"/>
      <x:c r="F20" s="14" t="n">
        <x:v>14</x:v>
      </x:c>
    </x:row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C5:C20">
    <x:cfRule type="containsText" dxfId="150" priority="1" operator="containsText" text="ACCEPTED"/>
    <x:cfRule type="containsText" dxfId="151" priority="2" operator="containsText" text="PASS"/>
    <x:cfRule type="containsText" dxfId="152" priority="3" operator="containsText" text="OPEN"/>
    <x:cfRule type="containsText" dxfId="153" priority="4" operator="containsText" text="BLOCKED"/>
    <x:cfRule type="containsText" dxfId="154" priority="5" operator="containsText" text="REJECTED"/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20" hidden="0" customWidth="1"/>
    <x:col min="4" max="4" width="30" hidden="0" customWidth="1"/>
    <x:col min="5" max="5" width="15" hidden="0" customWidth="1"/>
    <x:col min="6" max="6" width="24" hidden="0" customWidth="1"/>
    <x:col min="7" max="7" width="39" hidden="0" customWidth="1"/>
  </x:cols>
  <x:sheetData>
    <x:row r="1" ht="28" customHeight="1">
      <x:c r="A1" s="18" t="str">
        <x:v>RBA-1 | Waste and material disposition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Waste remains part of source custody and environmental truth.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Stream</x:v>
      </x:c>
      <x:c r="B4" s="21" t="str">
        <x:v>Material</x:v>
      </x:c>
      <x:c r="C4" s="21" t="str">
        <x:v>Mass or volume</x:v>
      </x:c>
      <x:c r="D4" s="21" t="str">
        <x:v>Destination</x:v>
      </x:c>
      <x:c r="E4" s="21" t="str">
        <x:v>State</x:v>
      </x:c>
      <x:c r="F4" s="21" t="str">
        <x:v>Manifest</x:v>
      </x:c>
      <x:c r="G4" s="21" t="str">
        <x:v>Rule</x:v>
      </x:c>
    </x:row>
    <x:row r="5" ht="18" customHeight="1">
      <x:c r="A5" s="14" t="str">
        <x:v>WD-01</x:v>
      </x:c>
      <x:c r="B5" s="14" t="str">
        <x:v>event insert</x:v>
      </x:c>
      <x:c r="C5" s="14" t="str"/>
      <x:c r="D5" s="14" t="str"/>
      <x:c r="E5" s="14" t="str">
        <x:v>OPEN</x:v>
      </x:c>
      <x:c r="F5" s="14" t="str"/>
      <x:c r="G5" s="14" t="str">
        <x:v>no unregistered destination</x:v>
      </x:c>
    </x:row>
    <x:row r="6" ht="18" customHeight="1">
      <x:c r="A6" s="14" t="str">
        <x:v>WD-02</x:v>
      </x:c>
      <x:c r="B6" s="14" t="str">
        <x:v>event liner</x:v>
      </x:c>
      <x:c r="C6" s="14" t="str"/>
      <x:c r="D6" s="14" t="str"/>
      <x:c r="E6" s="14" t="str">
        <x:v>OPEN</x:v>
      </x:c>
      <x:c r="F6" s="14" t="str"/>
      <x:c r="G6" s="14" t="str">
        <x:v>no unregistered destination</x:v>
      </x:c>
    </x:row>
    <x:row r="7" ht="18" customHeight="1">
      <x:c r="A7" s="14" t="str">
        <x:v>WD-03</x:v>
      </x:c>
      <x:c r="B7" s="14" t="str">
        <x:v>route residual</x:v>
      </x:c>
      <x:c r="C7" s="14" t="str"/>
      <x:c r="D7" s="14" t="str"/>
      <x:c r="E7" s="14" t="str">
        <x:v>OPEN</x:v>
      </x:c>
      <x:c r="F7" s="14" t="str"/>
      <x:c r="G7" s="14" t="str">
        <x:v>no unregistered destination</x:v>
      </x:c>
    </x:row>
    <x:row r="8" ht="18" customHeight="1">
      <x:c r="A8" s="14" t="str">
        <x:v>WD-04</x:v>
      </x:c>
      <x:c r="B8" s="14" t="str">
        <x:v>pan residue</x:v>
      </x:c>
      <x:c r="C8" s="14" t="str"/>
      <x:c r="D8" s="14" t="str"/>
      <x:c r="E8" s="14" t="str">
        <x:v>OPEN</x:v>
      </x:c>
      <x:c r="F8" s="14" t="str"/>
      <x:c r="G8" s="14" t="str">
        <x:v>no unregistered destination</x:v>
      </x:c>
    </x:row>
    <x:row r="9" ht="18" customHeight="1">
      <x:c r="A9" s="14" t="str">
        <x:v>WD-05</x:v>
      </x:c>
      <x:c r="B9" s="14" t="str">
        <x:v>receiver residue</x:v>
      </x:c>
      <x:c r="C9" s="14" t="str"/>
      <x:c r="D9" s="14" t="str"/>
      <x:c r="E9" s="14" t="str">
        <x:v>OPEN</x:v>
      </x:c>
      <x:c r="F9" s="14" t="str"/>
      <x:c r="G9" s="14" t="str">
        <x:v>no unregistered destination</x:v>
      </x:c>
    </x:row>
    <x:row r="10" ht="18" customHeight="1">
      <x:c r="A10" s="14" t="str">
        <x:v>WD-06</x:v>
      </x:c>
      <x:c r="B10" s="14" t="str">
        <x:v>contaminated water</x:v>
      </x:c>
      <x:c r="C10" s="14" t="str"/>
      <x:c r="D10" s="14" t="str"/>
      <x:c r="E10" s="14" t="str">
        <x:v>OPEN</x:v>
      </x:c>
      <x:c r="F10" s="14" t="str"/>
      <x:c r="G10" s="14" t="str">
        <x:v>no unregistered destination</x:v>
      </x:c>
    </x:row>
    <x:row r="11" ht="18" customHeight="1">
      <x:c r="A11" s="14" t="str">
        <x:v>WD-07</x:v>
      </x:c>
      <x:c r="B11" s="14" t="str">
        <x:v>foam and rinse</x:v>
      </x:c>
      <x:c r="C11" s="14" t="str"/>
      <x:c r="D11" s="14" t="str"/>
      <x:c r="E11" s="14" t="str">
        <x:v>OPEN</x:v>
      </x:c>
      <x:c r="F11" s="14" t="str"/>
      <x:c r="G11" s="14" t="str">
        <x:v>no unregistered destination</x:v>
      </x:c>
    </x:row>
    <x:row r="12" ht="18" customHeight="1">
      <x:c r="A12" s="14" t="str">
        <x:v>WD-08</x:v>
      </x:c>
      <x:c r="B12" s="14" t="str">
        <x:v>PPE and absorbents</x:v>
      </x:c>
      <x:c r="C12" s="14" t="str"/>
      <x:c r="D12" s="14" t="str"/>
      <x:c r="E12" s="14" t="str">
        <x:v>OPEN</x:v>
      </x:c>
      <x:c r="F12" s="14" t="str"/>
      <x:c r="G12" s="14" t="str">
        <x:v>no unregistered destination</x:v>
      </x:c>
    </x:row>
    <x:row r="13" ht="18" customHeight="1">
      <x:c r="A13" s="14" t="str">
        <x:v>WD-09</x:v>
      </x:c>
      <x:c r="B13" s="14" t="str">
        <x:v>samples after retention</x:v>
      </x:c>
      <x:c r="C13" s="14" t="str"/>
      <x:c r="D13" s="14" t="str"/>
      <x:c r="E13" s="14" t="str">
        <x:v>OPEN</x:v>
      </x:c>
      <x:c r="F13" s="14" t="str"/>
      <x:c r="G13" s="14" t="str">
        <x:v>no unregistered destination</x:v>
      </x:c>
    </x:row>
    <x:row r="14" ht="18" customHeight="1">
      <x:c r="A14" s="14" t="str">
        <x:v>WD-10</x:v>
      </x:c>
      <x:c r="B14" s="14" t="str">
        <x:v>air filters</x:v>
      </x:c>
      <x:c r="C14" s="14" t="str"/>
      <x:c r="D14" s="14" t="str"/>
      <x:c r="E14" s="14" t="str">
        <x:v>OPEN</x:v>
      </x:c>
      <x:c r="F14" s="14" t="str"/>
      <x:c r="G14" s="14" t="str">
        <x:v>no unregistered destination</x:v>
      </x:c>
    </x:row>
    <x:row r="15" ht="18" customHeight="1">
      <x:c r="A15" s="14" t="str">
        <x:v>WD-11</x:v>
      </x:c>
      <x:c r="B15" s="14" t="str">
        <x:v>robot cleaning media</x:v>
      </x:c>
      <x:c r="C15" s="14" t="str"/>
      <x:c r="D15" s="14" t="str"/>
      <x:c r="E15" s="14" t="str">
        <x:v>OPEN</x:v>
      </x:c>
      <x:c r="F15" s="14" t="str"/>
      <x:c r="G15" s="14" t="str">
        <x:v>no unregistered destination</x:v>
      </x:c>
    </x:row>
    <x:row r="16" ht="18" customHeight="1">
      <x:c r="A16" s="14" t="str">
        <x:v>WD-12</x:v>
      </x:c>
      <x:c r="B16" s="14" t="str">
        <x:v>environmental material</x:v>
      </x:c>
      <x:c r="C16" s="14" t="str"/>
      <x:c r="D16" s="14" t="str"/>
      <x:c r="E16" s="14" t="str">
        <x:v>OPEN</x:v>
      </x:c>
      <x:c r="F16" s="14" t="str"/>
      <x:c r="G16" s="14" t="str">
        <x:v>no unregistered destination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16">
    <x:cfRule type="containsText" dxfId="155" priority="1" operator="containsText" text="ACCEPTED"/>
    <x:cfRule type="containsText" dxfId="156" priority="2" operator="containsText" text="PASS"/>
    <x:cfRule type="containsText" dxfId="157" priority="3" operator="containsText" text="OPEN"/>
    <x:cfRule type="containsText" dxfId="158" priority="4" operator="containsText" text="BLOCKED"/>
    <x:cfRule type="containsText" dxfId="159" priority="5" operator="containsText" text="REJECTED"/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5" hidden="0" customWidth="1"/>
    <x:col min="4" max="4" width="29" hidden="0" customWidth="1"/>
    <x:col min="5" max="5" width="22" hidden="0" customWidth="1"/>
    <x:col min="6" max="6" width="42" hidden="0" customWidth="1"/>
  </x:cols>
  <x:sheetData>
    <x:row r="1" ht="28" customHeight="1">
      <x:c r="A1" s="18" t="str">
        <x:v>RBA-1 | Twelve re-entry decisions</x:v>
      </x:c>
      <x:c r="B1" s="18"/>
      <x:c r="C1" s="18"/>
      <x:c r="D1" s="18"/>
      <x:c r="E1" s="18"/>
      <x:c r="F1" s="18"/>
    </x:row>
    <x:row r="2" ht="28" customHeight="1">
      <x:c r="A2" s="19" t="str">
        <x:v>All twelve must accept before AVAILABLE; otherwise the pair is QUARANTINED.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Decision</x:v>
      </x:c>
      <x:c r="B4" s="21" t="str">
        <x:v>Domain</x:v>
      </x:c>
      <x:c r="C4" s="21" t="str">
        <x:v>State</x:v>
      </x:c>
      <x:c r="D4" s="21" t="str">
        <x:v>Evidence root</x:v>
      </x:c>
      <x:c r="E4" s="21" t="str">
        <x:v>Accepted UTC</x:v>
      </x:c>
      <x:c r="F4" s="21" t="str">
        <x:v>Rule</x:v>
      </x:c>
    </x:row>
    <x:row r="5" ht="18" customHeight="1">
      <x:c r="A5" s="14" t="str">
        <x:v>RE-01</x:v>
      </x:c>
      <x:c r="B5" s="14" t="str">
        <x:v>evidence complete</x:v>
      </x:c>
      <x:c r="C5" s="14" t="str">
        <x:v>OPEN</x:v>
      </x:c>
      <x:c r="D5" s="14" t="str"/>
      <x:c r="E5" s="14" t="str"/>
      <x:c r="F5" s="14" t="str"/>
    </x:row>
    <x:row r="6" ht="18" customHeight="1">
      <x:c r="A6" s="14" t="str">
        <x:v>RE-02</x:v>
      </x:c>
      <x:c r="B6" s="14" t="str">
        <x:v>source custody closed</x:v>
      </x:c>
      <x:c r="C6" s="14" t="str">
        <x:v>OPEN</x:v>
      </x:c>
      <x:c r="D6" s="14" t="str"/>
      <x:c r="E6" s="14" t="str"/>
      <x:c r="F6" s="14" t="str"/>
    </x:row>
    <x:row r="7" ht="18" customHeight="1">
      <x:c r="A7" s="14" t="str">
        <x:v>RE-03</x:v>
      </x:c>
      <x:c r="B7" s="14" t="str">
        <x:v>environment accepted</x:v>
      </x:c>
      <x:c r="C7" s="14" t="str">
        <x:v>OPEN</x:v>
      </x:c>
      <x:c r="D7" s="14" t="str"/>
      <x:c r="E7" s="14" t="str"/>
      <x:c r="F7" s="14" t="str"/>
    </x:row>
    <x:row r="8" ht="18" customHeight="1">
      <x:c r="A8" s="14" t="str">
        <x:v>RE-04</x:v>
      </x:c>
      <x:c r="B8" s="14" t="str">
        <x:v>waste accepted</x:v>
      </x:c>
      <x:c r="C8" s="14" t="str">
        <x:v>OPEN</x:v>
      </x:c>
      <x:c r="D8" s="14" t="str"/>
      <x:c r="E8" s="14" t="str"/>
      <x:c r="F8" s="14" t="str"/>
    </x:row>
    <x:row r="9" ht="18" customHeight="1">
      <x:c r="A9" s="14" t="str">
        <x:v>RE-05</x:v>
      </x:c>
      <x:c r="B9" s="14" t="str">
        <x:v>article condition accepted</x:v>
      </x:c>
      <x:c r="C9" s="14" t="str">
        <x:v>OPEN</x:v>
      </x:c>
      <x:c r="D9" s="14" t="str"/>
      <x:c r="E9" s="14" t="str"/>
      <x:c r="F9" s="14" t="str"/>
    </x:row>
    <x:row r="10" ht="18" customHeight="1">
      <x:c r="A10" s="14" t="str">
        <x:v>RE-06</x:v>
      </x:c>
      <x:c r="B10" s="14" t="str">
        <x:v>rig condition accepted</x:v>
      </x:c>
      <x:c r="C10" s="14" t="str">
        <x:v>OPEN</x:v>
      </x:c>
      <x:c r="D10" s="14" t="str"/>
      <x:c r="E10" s="14" t="str"/>
      <x:c r="F10" s="14" t="str"/>
    </x:row>
    <x:row r="11" ht="18" customHeight="1">
      <x:c r="A11" s="14" t="str">
        <x:v>RE-07</x:v>
      </x:c>
      <x:c r="B11" s="14" t="str">
        <x:v>final elements accepted</x:v>
      </x:c>
      <x:c r="C11" s="14" t="str">
        <x:v>OPEN</x:v>
      </x:c>
      <x:c r="D11" s="14" t="str"/>
      <x:c r="E11" s="14" t="str"/>
      <x:c r="F11" s="14" t="str"/>
    </x:row>
    <x:row r="12" ht="18" customHeight="1">
      <x:c r="A12" s="14" t="str">
        <x:v>RE-08</x:v>
      </x:c>
      <x:c r="B12" s="14" t="str">
        <x:v>metrology accepted</x:v>
      </x:c>
      <x:c r="C12" s="14" t="str">
        <x:v>OPEN</x:v>
      </x:c>
      <x:c r="D12" s="14" t="str"/>
      <x:c r="E12" s="14" t="str"/>
      <x:c r="F12" s="14" t="str"/>
    </x:row>
    <x:row r="13" ht="18" customHeight="1">
      <x:c r="A13" s="14" t="str">
        <x:v>RE-09</x:v>
      </x:c>
      <x:c r="B13" s="14" t="str">
        <x:v>three blanks accepted</x:v>
      </x:c>
      <x:c r="C13" s="14" t="str">
        <x:v>OPEN</x:v>
      </x:c>
      <x:c r="D13" s="14" t="str"/>
      <x:c r="E13" s="14" t="str"/>
      <x:c r="F13" s="14" t="str"/>
    </x:row>
    <x:row r="14" ht="18" customHeight="1">
      <x:c r="A14" s="14" t="str">
        <x:v>RE-10</x:v>
      </x:c>
      <x:c r="B14" s="14" t="str">
        <x:v>crew return accepted</x:v>
      </x:c>
      <x:c r="C14" s="14" t="str">
        <x:v>OPEN</x:v>
      </x:c>
      <x:c r="D14" s="14" t="str"/>
      <x:c r="E14" s="14" t="str"/>
      <x:c r="F14" s="14" t="str"/>
    </x:row>
    <x:row r="15" ht="18" customHeight="1">
      <x:c r="A15" s="14" t="str">
        <x:v>RE-11</x:v>
      </x:c>
      <x:c r="B15" s="14" t="str">
        <x:v>remote replay accepted</x:v>
      </x:c>
      <x:c r="C15" s="14" t="str">
        <x:v>OPEN</x:v>
      </x:c>
      <x:c r="D15" s="14" t="str"/>
      <x:c r="E15" s="14" t="str"/>
      <x:c r="F15" s="14" t="str"/>
    </x:row>
    <x:row r="16" ht="18" customHeight="1">
      <x:c r="A16" s="14" t="str">
        <x:v>RE-12</x:v>
      </x:c>
      <x:c r="B16" s="14" t="str">
        <x:v>new authority credential</x:v>
      </x:c>
      <x:c r="C16" s="14" t="str">
        <x:v>OPEN</x:v>
      </x:c>
      <x:c r="D16" s="14" t="str"/>
      <x:c r="E16" s="14" t="str"/>
      <x:c r="F16" s="14" t="str">
        <x:v>new baseline required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C5:C16">
    <x:cfRule type="containsText" dxfId="160" priority="1" operator="containsText" text="ACCEPTED"/>
    <x:cfRule type="containsText" dxfId="161" priority="2" operator="containsText" text="PASS"/>
    <x:cfRule type="containsText" dxfId="162" priority="3" operator="containsText" text="OPEN"/>
    <x:cfRule type="containsText" dxfId="163" priority="4" operator="containsText" text="BLOCKED"/>
    <x:cfRule type="containsText" dxfId="164" priority="5" operator="containsText" text="REJECTED"/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22" hidden="0" customWidth="1"/>
    <x:col min="4" max="4" width="22" hidden="0" customWidth="1"/>
    <x:col min="5" max="5" width="15" hidden="0" customWidth="1"/>
    <x:col min="6" max="6" width="44" hidden="0" customWidth="1"/>
  </x:cols>
  <x:sheetData>
    <x:row r="1" ht="28" customHeight="1">
      <x:c r="A1" s="18" t="str">
        <x:v>RBA-1 | Credential convergence</x:v>
      </x:c>
      <x:c r="B1" s="18"/>
      <x:c r="C1" s="18"/>
      <x:c r="D1" s="18"/>
      <x:c r="E1" s="18"/>
      <x:c r="F1" s="18"/>
    </x:row>
    <x:row r="2" ht="28" customHeight="1">
      <x:c r="A2" s="19" t="str">
        <x:v>All credentials must overlap from T-96 h through their required decision horizon.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Window</x:v>
      </x:c>
      <x:c r="B4" s="21" t="str">
        <x:v>Object</x:v>
      </x:c>
      <x:c r="C4" s="21" t="str">
        <x:v>Valid from</x:v>
      </x:c>
      <x:c r="D4" s="21" t="str">
        <x:v>Valid through</x:v>
      </x:c>
      <x:c r="E4" s="21" t="str">
        <x:v>State</x:v>
      </x:c>
      <x:c r="F4" s="21" t="str">
        <x:v>Rule</x:v>
      </x:c>
    </x:row>
    <x:row r="5" ht="18" customHeight="1">
      <x:c r="A5" s="14" t="str">
        <x:v>CW-01</x:v>
      </x:c>
      <x:c r="B5" s="14" t="str">
        <x:v>RAZ-1 class</x:v>
      </x:c>
      <x:c r="C5" s="14" t="str"/>
      <x:c r="D5" s="14" t="str"/>
      <x:c r="E5" s="14" t="str">
        <x:v>OPEN</x:v>
      </x:c>
      <x:c r="F5" s="14" t="str">
        <x:v>expiry before T0 cancels issue</x:v>
      </x:c>
    </x:row>
    <x:row r="6" ht="18" customHeight="1">
      <x:c r="A6" s="14" t="str">
        <x:v>CW-02</x:v>
      </x:c>
      <x:c r="B6" s="14" t="str">
        <x:v>selected cell eligibility</x:v>
      </x:c>
      <x:c r="C6" s="14" t="str"/>
      <x:c r="D6" s="14" t="str"/>
      <x:c r="E6" s="14" t="str">
        <x:v>OPEN</x:v>
      </x:c>
      <x:c r="F6" s="14" t="str">
        <x:v>expiry before T0 cancels issue</x:v>
      </x:c>
    </x:row>
    <x:row r="7" ht="18" customHeight="1">
      <x:c r="A7" s="14" t="str">
        <x:v>CW-03</x:v>
      </x:c>
      <x:c r="B7" s="14" t="str">
        <x:v>source package</x:v>
      </x:c>
      <x:c r="C7" s="14" t="str"/>
      <x:c r="D7" s="14" t="str"/>
      <x:c r="E7" s="14" t="str">
        <x:v>OPEN</x:v>
      </x:c>
      <x:c r="F7" s="14" t="str">
        <x:v>expiry before T0 cancels issue</x:v>
      </x:c>
    </x:row>
    <x:row r="8" ht="18" customHeight="1">
      <x:c r="A8" s="14" t="str">
        <x:v>CW-04</x:v>
      </x:c>
      <x:c r="B8" s="14" t="str">
        <x:v>article-rig pair</x:v>
      </x:c>
      <x:c r="C8" s="14" t="str"/>
      <x:c r="D8" s="14" t="str"/>
      <x:c r="E8" s="14" t="str">
        <x:v>OPEN</x:v>
      </x:c>
      <x:c r="F8" s="14" t="str">
        <x:v>expiry before T0 cancels issue</x:v>
      </x:c>
    </x:row>
    <x:row r="9" ht="18" customHeight="1">
      <x:c r="A9" s="14" t="str">
        <x:v>CW-05</x:v>
      </x:c>
      <x:c r="B9" s="14" t="str">
        <x:v>40 mm insert</x:v>
      </x:c>
      <x:c r="C9" s="14" t="str"/>
      <x:c r="D9" s="14" t="str"/>
      <x:c r="E9" s="14" t="str">
        <x:v>OPEN</x:v>
      </x:c>
      <x:c r="F9" s="14" t="str">
        <x:v>expiry before T0 cancels issue</x:v>
      </x:c>
    </x:row>
    <x:row r="10" ht="18" customHeight="1">
      <x:c r="A10" s="14" t="str">
        <x:v>CW-06</x:v>
      </x:c>
      <x:c r="B10" s="14" t="str">
        <x:v>water package</x:v>
      </x:c>
      <x:c r="C10" s="14" t="str"/>
      <x:c r="D10" s="14" t="str"/>
      <x:c r="E10" s="14" t="str">
        <x:v>OPEN</x:v>
      </x:c>
      <x:c r="F10" s="14" t="str">
        <x:v>expiry before T0 cancels issue</x:v>
      </x:c>
    </x:row>
    <x:row r="11" ht="18" customHeight="1">
      <x:c r="A11" s="14" t="str">
        <x:v>CW-07</x:v>
      </x:c>
      <x:c r="B11" s="14" t="str">
        <x:v>source roots</x:v>
      </x:c>
      <x:c r="C11" s="14" t="str"/>
      <x:c r="D11" s="14" t="str"/>
      <x:c r="E11" s="14" t="str">
        <x:v>OPEN</x:v>
      </x:c>
      <x:c r="F11" s="14" t="str">
        <x:v>expiry before T0 cancels issue</x:v>
      </x:c>
    </x:row>
    <x:row r="12" ht="18" customHeight="1">
      <x:c r="A12" s="14" t="str">
        <x:v>CW-08</x:v>
      </x:c>
      <x:c r="B12" s="14" t="str">
        <x:v>water roots</x:v>
      </x:c>
      <x:c r="C12" s="14" t="str"/>
      <x:c r="D12" s="14" t="str"/>
      <x:c r="E12" s="14" t="str">
        <x:v>OPEN</x:v>
      </x:c>
      <x:c r="F12" s="14" t="str">
        <x:v>expiry before T0 cancels issue</x:v>
      </x:c>
    </x:row>
    <x:row r="13" ht="18" customHeight="1">
      <x:c r="A13" s="14" t="str">
        <x:v>CW-09</x:v>
      </x:c>
      <x:c r="B13" s="14" t="str">
        <x:v>final elements</x:v>
      </x:c>
      <x:c r="C13" s="14" t="str"/>
      <x:c r="D13" s="14" t="str"/>
      <x:c r="E13" s="14" t="str">
        <x:v>OPEN</x:v>
      </x:c>
      <x:c r="F13" s="14" t="str">
        <x:v>expiry before T0 cancels issue</x:v>
      </x:c>
    </x:row>
    <x:row r="14" ht="18" customHeight="1">
      <x:c r="A14" s="14" t="str">
        <x:v>CW-10</x:v>
      </x:c>
      <x:c r="B14" s="14" t="str">
        <x:v>crew</x:v>
      </x:c>
      <x:c r="C14" s="14" t="str"/>
      <x:c r="D14" s="14" t="str"/>
      <x:c r="E14" s="14" t="str">
        <x:v>OPEN</x:v>
      </x:c>
      <x:c r="F14" s="14" t="str">
        <x:v>expiry before T0 cancels issue</x:v>
      </x:c>
    </x:row>
    <x:row r="15" ht="18" customHeight="1">
      <x:c r="A15" s="14" t="str">
        <x:v>CW-11</x:v>
      </x:c>
      <x:c r="B15" s="14" t="str">
        <x:v>rescue/environment</x:v>
      </x:c>
      <x:c r="C15" s="14" t="str"/>
      <x:c r="D15" s="14" t="str"/>
      <x:c r="E15" s="14" t="str">
        <x:v>OPEN</x:v>
      </x:c>
      <x:c r="F15" s="14" t="str">
        <x:v>expiry before T0 cancels issue</x:v>
      </x:c>
    </x:row>
    <x:row r="16" ht="18" customHeight="1">
      <x:c r="A16" s="14" t="str">
        <x:v>CW-12</x:v>
      </x:c>
      <x:c r="B16" s="14" t="str">
        <x:v>evidence/replay</x:v>
      </x:c>
      <x:c r="C16" s="14" t="str"/>
      <x:c r="D16" s="14" t="str"/>
      <x:c r="E16" s="14" t="str">
        <x:v>OPEN</x:v>
      </x:c>
      <x:c r="F16" s="14" t="str">
        <x:v>expiry before T0 cancels issue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16">
    <x:cfRule type="containsText" dxfId="165" priority="1" operator="containsText" text="ACCEPTED"/>
    <x:cfRule type="containsText" dxfId="166" priority="2" operator="containsText" text="PASS"/>
    <x:cfRule type="containsText" dxfId="167" priority="3" operator="containsText" text="OPEN"/>
    <x:cfRule type="containsText" dxfId="168" priority="4" operator="containsText" text="BLOCKED"/>
    <x:cfRule type="containsText" dxfId="169" priority="5" operator="containsText" text="REJECTED"/>
  </x:conditionalFormatting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18" hidden="0" customWidth="1"/>
    <x:col min="4" max="4" width="22" hidden="0" customWidth="1"/>
    <x:col min="5" max="5" width="15" hidden="0" customWidth="1"/>
    <x:col min="6" max="6" width="26" hidden="0" customWidth="1"/>
    <x:col min="7" max="7" width="28" hidden="0" customWidth="1"/>
  </x:cols>
  <x:sheetData>
    <x:row r="1" ht="28" customHeight="1">
      <x:c r="A1" s="18" t="str">
        <x:v>RBA-1 | Exception register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No exception can waive identity, safety, custody, validity or authority ceilings.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Exception</x:v>
      </x:c>
      <x:c r="B4" s="21" t="str">
        <x:v>Object</x:v>
      </x:c>
      <x:c r="C4" s="21" t="str">
        <x:v>Class</x:v>
      </x:c>
      <x:c r="D4" s="21" t="str">
        <x:v>Requested UTC</x:v>
      </x:c>
      <x:c r="E4" s="21" t="str">
        <x:v>Decision</x:v>
      </x:c>
      <x:c r="F4" s="21" t="str">
        <x:v>Authority</x:v>
      </x:c>
      <x:c r="G4" s="21" t="str">
        <x:v>Evidence root</x:v>
      </x:c>
    </x:row>
    <x:row r="5" ht="18" customHeight="1">
      <x:c r="A5" s="14" t="str">
        <x:v>EX-01</x:v>
      </x:c>
      <x:c r="B5" s="14" t="str"/>
      <x:c r="C5" s="14" t="str">
        <x:v>NONE</x:v>
      </x:c>
      <x:c r="D5" s="14" t="str"/>
      <x:c r="E5" s="14" t="str">
        <x:v>OPEN</x:v>
      </x:c>
      <x:c r="F5" s="14" t="str"/>
      <x:c r="G5" s="14" t="str"/>
    </x:row>
    <x:row r="6" ht="18" customHeight="1">
      <x:c r="A6" s="14" t="str">
        <x:v>EX-02</x:v>
      </x:c>
      <x:c r="B6" s="14" t="str"/>
      <x:c r="C6" s="14" t="str">
        <x:v>NONE</x:v>
      </x:c>
      <x:c r="D6" s="14" t="str"/>
      <x:c r="E6" s="14" t="str">
        <x:v>OPEN</x:v>
      </x:c>
      <x:c r="F6" s="14" t="str"/>
      <x:c r="G6" s="14" t="str"/>
    </x:row>
    <x:row r="7" ht="18" customHeight="1">
      <x:c r="A7" s="14" t="str">
        <x:v>EX-03</x:v>
      </x:c>
      <x:c r="B7" s="14" t="str"/>
      <x:c r="C7" s="14" t="str">
        <x:v>NONE</x:v>
      </x:c>
      <x:c r="D7" s="14" t="str"/>
      <x:c r="E7" s="14" t="str">
        <x:v>OPEN</x:v>
      </x:c>
      <x:c r="F7" s="14" t="str"/>
      <x:c r="G7" s="14" t="str"/>
    </x:row>
    <x:row r="8" ht="18" customHeight="1">
      <x:c r="A8" s="14" t="str">
        <x:v>EX-04</x:v>
      </x:c>
      <x:c r="B8" s="14" t="str"/>
      <x:c r="C8" s="14" t="str">
        <x:v>NONE</x:v>
      </x:c>
      <x:c r="D8" s="14" t="str"/>
      <x:c r="E8" s="14" t="str">
        <x:v>OPEN</x:v>
      </x:c>
      <x:c r="F8" s="14" t="str"/>
      <x:c r="G8" s="14" t="str"/>
    </x:row>
    <x:row r="9" ht="18" customHeight="1">
      <x:c r="A9" s="14" t="str">
        <x:v>EX-05</x:v>
      </x:c>
      <x:c r="B9" s="14" t="str"/>
      <x:c r="C9" s="14" t="str">
        <x:v>NONE</x:v>
      </x:c>
      <x:c r="D9" s="14" t="str"/>
      <x:c r="E9" s="14" t="str">
        <x:v>OPEN</x:v>
      </x:c>
      <x:c r="F9" s="14" t="str"/>
      <x:c r="G9" s="14" t="str"/>
    </x:row>
    <x:row r="10" ht="18" customHeight="1">
      <x:c r="A10" s="14" t="str">
        <x:v>EX-06</x:v>
      </x:c>
      <x:c r="B10" s="14" t="str"/>
      <x:c r="C10" s="14" t="str">
        <x:v>NONE</x:v>
      </x:c>
      <x:c r="D10" s="14" t="str"/>
      <x:c r="E10" s="14" t="str">
        <x:v>OPEN</x:v>
      </x:c>
      <x:c r="F10" s="14" t="str"/>
      <x:c r="G10" s="14" t="str"/>
    </x:row>
    <x:row r="11" ht="18" customHeight="1">
      <x:c r="A11" s="14" t="str">
        <x:v>EX-07</x:v>
      </x:c>
      <x:c r="B11" s="14" t="str"/>
      <x:c r="C11" s="14" t="str">
        <x:v>NONE</x:v>
      </x:c>
      <x:c r="D11" s="14" t="str"/>
      <x:c r="E11" s="14" t="str">
        <x:v>OPEN</x:v>
      </x:c>
      <x:c r="F11" s="14" t="str"/>
      <x:c r="G11" s="14" t="str"/>
    </x:row>
    <x:row r="12" ht="18" customHeight="1">
      <x:c r="A12" s="14" t="str">
        <x:v>EX-08</x:v>
      </x:c>
      <x:c r="B12" s="14" t="str"/>
      <x:c r="C12" s="14" t="str">
        <x:v>NONE</x:v>
      </x:c>
      <x:c r="D12" s="14" t="str"/>
      <x:c r="E12" s="14" t="str">
        <x:v>OPEN</x:v>
      </x:c>
      <x:c r="F12" s="14" t="str"/>
      <x:c r="G12" s="14" t="str"/>
    </x:row>
    <x:row r="13" ht="18" customHeight="1">
      <x:c r="A13" s="14" t="str">
        <x:v>EX-09</x:v>
      </x:c>
      <x:c r="B13" s="14" t="str"/>
      <x:c r="C13" s="14" t="str">
        <x:v>NONE</x:v>
      </x:c>
      <x:c r="D13" s="14" t="str"/>
      <x:c r="E13" s="14" t="str">
        <x:v>OPEN</x:v>
      </x:c>
      <x:c r="F13" s="14" t="str"/>
      <x:c r="G13" s="14" t="str"/>
    </x:row>
    <x:row r="14" ht="18" customHeight="1">
      <x:c r="A14" s="14" t="str">
        <x:v>EX-10</x:v>
      </x:c>
      <x:c r="B14" s="14" t="str"/>
      <x:c r="C14" s="14" t="str">
        <x:v>NONE</x:v>
      </x:c>
      <x:c r="D14" s="14" t="str"/>
      <x:c r="E14" s="14" t="str">
        <x:v>OPEN</x:v>
      </x:c>
      <x:c r="F14" s="14" t="str"/>
      <x:c r="G14" s="14" t="str"/>
    </x:row>
    <x:row r="15" ht="18" customHeight="1">
      <x:c r="A15" s="14" t="str">
        <x:v>EX-11</x:v>
      </x:c>
      <x:c r="B15" s="14" t="str"/>
      <x:c r="C15" s="14" t="str">
        <x:v>NONE</x:v>
      </x:c>
      <x:c r="D15" s="14" t="str"/>
      <x:c r="E15" s="14" t="str">
        <x:v>OPEN</x:v>
      </x:c>
      <x:c r="F15" s="14" t="str"/>
      <x:c r="G15" s="14" t="str"/>
    </x:row>
    <x:row r="16" ht="18" customHeight="1">
      <x:c r="A16" s="14" t="str">
        <x:v>EX-12</x:v>
      </x:c>
      <x:c r="B16" s="14" t="str"/>
      <x:c r="C16" s="14" t="str">
        <x:v>NONE</x:v>
      </x:c>
      <x:c r="D16" s="14" t="str"/>
      <x:c r="E16" s="14" t="str">
        <x:v>OPEN</x:v>
      </x:c>
      <x:c r="F16" s="14" t="str"/>
      <x:c r="G16" s="14" t="str"/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16">
    <x:cfRule type="containsText" dxfId="170" priority="1" operator="containsText" text="ACCEPTED"/>
    <x:cfRule type="containsText" dxfId="171" priority="2" operator="containsText" text="PASS"/>
    <x:cfRule type="containsText" dxfId="172" priority="3" operator="containsText" text="OPEN"/>
    <x:cfRule type="containsText" dxfId="173" priority="4" operator="containsText" text="BLOCKED"/>
    <x:cfRule type="containsText" dxfId="174" priority="5" operator="containsText" text="REJECTED"/>
  </x:conditionalFormatting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0" hidden="0" customWidth="1"/>
    <x:col min="4" max="4" width="19" hidden="0" customWidth="1"/>
    <x:col min="5" max="5" width="36" hidden="0" customWidth="1"/>
    <x:col min="6" max="6" width="15" hidden="0" customWidth="1"/>
    <x:col min="7" max="7" width="28" hidden="0" customWidth="1"/>
  </x:cols>
  <x:sheetData>
    <x:row r="1" ht="28" customHeight="1">
      <x:c r="A1" s="18" t="str">
        <x:v>RBA-1 | Prospective change control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Post-result tolerance widening and identity substitution are prohibited.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Change</x:v>
      </x:c>
      <x:c r="B4" s="21" t="str">
        <x:v>Domain</x:v>
      </x:c>
      <x:c r="C4" s="21" t="str">
        <x:v>Proposed version</x:v>
      </x:c>
      <x:c r="D4" s="21" t="str">
        <x:v>Prospective only</x:v>
      </x:c>
      <x:c r="E4" s="21" t="str">
        <x:v>Regression scope</x:v>
      </x:c>
      <x:c r="F4" s="21" t="str">
        <x:v>Decision</x:v>
      </x:c>
      <x:c r="G4" s="21" t="str">
        <x:v>Evidence root</x:v>
      </x:c>
    </x:row>
    <x:row r="5" ht="18" customHeight="1">
      <x:c r="A5" s="14" t="str">
        <x:v>CH-01</x:v>
      </x:c>
      <x:c r="B5" s="14" t="str"/>
      <x:c r="C5" s="14" t="str"/>
      <x:c r="D5" s="14" t="str">
        <x:v>YES</x:v>
      </x:c>
      <x:c r="E5" s="14" t="str"/>
      <x:c r="F5" s="14" t="str">
        <x:v>OPEN</x:v>
      </x:c>
      <x:c r="G5" s="14" t="str"/>
    </x:row>
    <x:row r="6" ht="18" customHeight="1">
      <x:c r="A6" s="14" t="str">
        <x:v>CH-02</x:v>
      </x:c>
      <x:c r="B6" s="14" t="str"/>
      <x:c r="C6" s="14" t="str"/>
      <x:c r="D6" s="14" t="str">
        <x:v>YES</x:v>
      </x:c>
      <x:c r="E6" s="14" t="str"/>
      <x:c r="F6" s="14" t="str">
        <x:v>OPEN</x:v>
      </x:c>
      <x:c r="G6" s="14" t="str"/>
    </x:row>
    <x:row r="7" ht="18" customHeight="1">
      <x:c r="A7" s="14" t="str">
        <x:v>CH-03</x:v>
      </x:c>
      <x:c r="B7" s="14" t="str"/>
      <x:c r="C7" s="14" t="str"/>
      <x:c r="D7" s="14" t="str">
        <x:v>YES</x:v>
      </x:c>
      <x:c r="E7" s="14" t="str"/>
      <x:c r="F7" s="14" t="str">
        <x:v>OPEN</x:v>
      </x:c>
      <x:c r="G7" s="14" t="str"/>
    </x:row>
    <x:row r="8" ht="18" customHeight="1">
      <x:c r="A8" s="14" t="str">
        <x:v>CH-04</x:v>
      </x:c>
      <x:c r="B8" s="14" t="str"/>
      <x:c r="C8" s="14" t="str"/>
      <x:c r="D8" s="14" t="str">
        <x:v>YES</x:v>
      </x:c>
      <x:c r="E8" s="14" t="str"/>
      <x:c r="F8" s="14" t="str">
        <x:v>OPEN</x:v>
      </x:c>
      <x:c r="G8" s="14" t="str"/>
    </x:row>
    <x:row r="9" ht="18" customHeight="1">
      <x:c r="A9" s="14" t="str">
        <x:v>CH-05</x:v>
      </x:c>
      <x:c r="B9" s="14" t="str"/>
      <x:c r="C9" s="14" t="str"/>
      <x:c r="D9" s="14" t="str">
        <x:v>YES</x:v>
      </x:c>
      <x:c r="E9" s="14" t="str"/>
      <x:c r="F9" s="14" t="str">
        <x:v>OPEN</x:v>
      </x:c>
      <x:c r="G9" s="14" t="str"/>
    </x:row>
    <x:row r="10" ht="18" customHeight="1">
      <x:c r="A10" s="14" t="str">
        <x:v>CH-06</x:v>
      </x:c>
      <x:c r="B10" s="14" t="str"/>
      <x:c r="C10" s="14" t="str"/>
      <x:c r="D10" s="14" t="str">
        <x:v>YES</x:v>
      </x:c>
      <x:c r="E10" s="14" t="str"/>
      <x:c r="F10" s="14" t="str">
        <x:v>OPEN</x:v>
      </x:c>
      <x:c r="G10" s="14" t="str"/>
    </x:row>
    <x:row r="11" ht="18" customHeight="1">
      <x:c r="A11" s="14" t="str">
        <x:v>CH-07</x:v>
      </x:c>
      <x:c r="B11" s="14" t="str"/>
      <x:c r="C11" s="14" t="str"/>
      <x:c r="D11" s="14" t="str">
        <x:v>YES</x:v>
      </x:c>
      <x:c r="E11" s="14" t="str"/>
      <x:c r="F11" s="14" t="str">
        <x:v>OPEN</x:v>
      </x:c>
      <x:c r="G11" s="14" t="str"/>
    </x:row>
    <x:row r="12" ht="18" customHeight="1">
      <x:c r="A12" s="14" t="str">
        <x:v>CH-08</x:v>
      </x:c>
      <x:c r="B12" s="14" t="str"/>
      <x:c r="C12" s="14" t="str"/>
      <x:c r="D12" s="14" t="str">
        <x:v>YES</x:v>
      </x:c>
      <x:c r="E12" s="14" t="str"/>
      <x:c r="F12" s="14" t="str">
        <x:v>OPEN</x:v>
      </x:c>
      <x:c r="G12" s="14" t="str"/>
    </x:row>
    <x:row r="13" ht="18" customHeight="1">
      <x:c r="A13" s="14" t="str">
        <x:v>CH-09</x:v>
      </x:c>
      <x:c r="B13" s="14" t="str"/>
      <x:c r="C13" s="14" t="str"/>
      <x:c r="D13" s="14" t="str">
        <x:v>YES</x:v>
      </x:c>
      <x:c r="E13" s="14" t="str"/>
      <x:c r="F13" s="14" t="str">
        <x:v>OPEN</x:v>
      </x:c>
      <x:c r="G13" s="14" t="str"/>
    </x:row>
    <x:row r="14" ht="18" customHeight="1">
      <x:c r="A14" s="14" t="str">
        <x:v>CH-10</x:v>
      </x:c>
      <x:c r="B14" s="14" t="str"/>
      <x:c r="C14" s="14" t="str"/>
      <x:c r="D14" s="14" t="str">
        <x:v>YES</x:v>
      </x:c>
      <x:c r="E14" s="14" t="str"/>
      <x:c r="F14" s="14" t="str">
        <x:v>OPEN</x:v>
      </x:c>
      <x:c r="G14" s="14" t="str"/>
    </x:row>
    <x:row r="15" ht="18" customHeight="1">
      <x:c r="A15" s="14" t="str">
        <x:v>CH-11</x:v>
      </x:c>
      <x:c r="B15" s="14" t="str"/>
      <x:c r="C15" s="14" t="str"/>
      <x:c r="D15" s="14" t="str">
        <x:v>YES</x:v>
      </x:c>
      <x:c r="E15" s="14" t="str"/>
      <x:c r="F15" s="14" t="str">
        <x:v>OPEN</x:v>
      </x:c>
      <x:c r="G15" s="14" t="str"/>
    </x:row>
    <x:row r="16" ht="18" customHeight="1">
      <x:c r="A16" s="14" t="str">
        <x:v>CH-12</x:v>
      </x:c>
      <x:c r="B16" s="14" t="str"/>
      <x:c r="C16" s="14" t="str"/>
      <x:c r="D16" s="14" t="str">
        <x:v>YES</x:v>
      </x:c>
      <x:c r="E16" s="14" t="str"/>
      <x:c r="F16" s="14" t="str">
        <x:v>OPEN</x:v>
      </x:c>
      <x:c r="G16" s="14" t="str"/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16">
    <x:cfRule type="containsText" dxfId="175" priority="1" operator="containsText" text="ACCEPTED"/>
    <x:cfRule type="containsText" dxfId="176" priority="2" operator="containsText" text="PASS"/>
    <x:cfRule type="containsText" dxfId="177" priority="3" operator="containsText" text="OPEN"/>
    <x:cfRule type="containsText" dxfId="178" priority="4" operator="containsText" text="BLOCKED"/>
    <x:cfRule type="containsText" dxfId="179" priority="5" operator="containsText" text="REJECTED"/>
  </x:conditionalFormatting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5" hidden="0" customWidth="1"/>
    <x:col min="4" max="4" width="22" hidden="0" customWidth="1"/>
    <x:col min="5" max="5" width="40" hidden="0" customWidth="1"/>
    <x:col min="6" max="6" width="15" hidden="0" customWidth="1"/>
    <x:col min="7" max="7" width="28" hidden="0" customWidth="1"/>
  </x:cols>
  <x:sheetData>
    <x:row r="1" ht="28" customHeight="1">
      <x:c r="A1" s="18" t="str">
        <x:v>RBA-1 | Quarantine register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Physical article, package, sample, evidence or pair remains isolated until named authority releases it.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Record</x:v>
      </x:c>
      <x:c r="B4" s="21" t="str">
        <x:v>Object</x:v>
      </x:c>
      <x:c r="C4" s="21" t="str">
        <x:v>Trigger</x:v>
      </x:c>
      <x:c r="D4" s="21" t="str">
        <x:v>Entered UTC</x:v>
      </x:c>
      <x:c r="E4" s="21" t="str">
        <x:v>Release condition</x:v>
      </x:c>
      <x:c r="F4" s="21" t="str">
        <x:v>Decision</x:v>
      </x:c>
      <x:c r="G4" s="21" t="str">
        <x:v>Evidence root</x:v>
      </x:c>
    </x:row>
    <x:row r="5" ht="18" customHeight="1">
      <x:c r="A5" s="14" t="str">
        <x:v>Q-01</x:v>
      </x:c>
      <x:c r="B5" s="14" t="str"/>
      <x:c r="C5" s="14" t="str"/>
      <x:c r="D5" s="14" t="str"/>
      <x:c r="E5" s="14" t="str"/>
      <x:c r="F5" s="14" t="str">
        <x:v>OPEN</x:v>
      </x:c>
      <x:c r="G5" s="14" t="str"/>
    </x:row>
    <x:row r="6" ht="18" customHeight="1">
      <x:c r="A6" s="14" t="str">
        <x:v>Q-02</x:v>
      </x:c>
      <x:c r="B6" s="14" t="str"/>
      <x:c r="C6" s="14" t="str"/>
      <x:c r="D6" s="14" t="str"/>
      <x:c r="E6" s="14" t="str"/>
      <x:c r="F6" s="14" t="str">
        <x:v>OPEN</x:v>
      </x:c>
      <x:c r="G6" s="14" t="str"/>
    </x:row>
    <x:row r="7" ht="18" customHeight="1">
      <x:c r="A7" s="14" t="str">
        <x:v>Q-03</x:v>
      </x:c>
      <x:c r="B7" s="14" t="str"/>
      <x:c r="C7" s="14" t="str"/>
      <x:c r="D7" s="14" t="str"/>
      <x:c r="E7" s="14" t="str"/>
      <x:c r="F7" s="14" t="str">
        <x:v>OPEN</x:v>
      </x:c>
      <x:c r="G7" s="14" t="str"/>
    </x:row>
    <x:row r="8" ht="18" customHeight="1">
      <x:c r="A8" s="14" t="str">
        <x:v>Q-04</x:v>
      </x:c>
      <x:c r="B8" s="14" t="str"/>
      <x:c r="C8" s="14" t="str"/>
      <x:c r="D8" s="14" t="str"/>
      <x:c r="E8" s="14" t="str"/>
      <x:c r="F8" s="14" t="str">
        <x:v>OPEN</x:v>
      </x:c>
      <x:c r="G8" s="14" t="str"/>
    </x:row>
    <x:row r="9" ht="18" customHeight="1">
      <x:c r="A9" s="14" t="str">
        <x:v>Q-05</x:v>
      </x:c>
      <x:c r="B9" s="14" t="str"/>
      <x:c r="C9" s="14" t="str"/>
      <x:c r="D9" s="14" t="str"/>
      <x:c r="E9" s="14" t="str"/>
      <x:c r="F9" s="14" t="str">
        <x:v>OPEN</x:v>
      </x:c>
      <x:c r="G9" s="14" t="str"/>
    </x:row>
    <x:row r="10" ht="18" customHeight="1">
      <x:c r="A10" s="14" t="str">
        <x:v>Q-06</x:v>
      </x:c>
      <x:c r="B10" s="14" t="str"/>
      <x:c r="C10" s="14" t="str"/>
      <x:c r="D10" s="14" t="str"/>
      <x:c r="E10" s="14" t="str"/>
      <x:c r="F10" s="14" t="str">
        <x:v>OPEN</x:v>
      </x:c>
      <x:c r="G10" s="14" t="str"/>
    </x:row>
    <x:row r="11" ht="18" customHeight="1">
      <x:c r="A11" s="14" t="str">
        <x:v>Q-07</x:v>
      </x:c>
      <x:c r="B11" s="14" t="str"/>
      <x:c r="C11" s="14" t="str"/>
      <x:c r="D11" s="14" t="str"/>
      <x:c r="E11" s="14" t="str"/>
      <x:c r="F11" s="14" t="str">
        <x:v>OPEN</x:v>
      </x:c>
      <x:c r="G11" s="14" t="str"/>
    </x:row>
    <x:row r="12" ht="18" customHeight="1">
      <x:c r="A12" s="14" t="str">
        <x:v>Q-08</x:v>
      </x:c>
      <x:c r="B12" s="14" t="str"/>
      <x:c r="C12" s="14" t="str"/>
      <x:c r="D12" s="14" t="str"/>
      <x:c r="E12" s="14" t="str"/>
      <x:c r="F12" s="14" t="str">
        <x:v>OPEN</x:v>
      </x:c>
      <x:c r="G12" s="14" t="str"/>
    </x:row>
    <x:row r="13" ht="18" customHeight="1">
      <x:c r="A13" s="14" t="str">
        <x:v>Q-09</x:v>
      </x:c>
      <x:c r="B13" s="14" t="str"/>
      <x:c r="C13" s="14" t="str"/>
      <x:c r="D13" s="14" t="str"/>
      <x:c r="E13" s="14" t="str"/>
      <x:c r="F13" s="14" t="str">
        <x:v>OPEN</x:v>
      </x:c>
      <x:c r="G13" s="14" t="str"/>
    </x:row>
    <x:row r="14" ht="18" customHeight="1">
      <x:c r="A14" s="14" t="str">
        <x:v>Q-10</x:v>
      </x:c>
      <x:c r="B14" s="14" t="str"/>
      <x:c r="C14" s="14" t="str"/>
      <x:c r="D14" s="14" t="str"/>
      <x:c r="E14" s="14" t="str"/>
      <x:c r="F14" s="14" t="str">
        <x:v>OPEN</x:v>
      </x:c>
      <x:c r="G14" s="14" t="str"/>
    </x:row>
    <x:row r="15" ht="18" customHeight="1">
      <x:c r="A15" s="14" t="str">
        <x:v>Q-11</x:v>
      </x:c>
      <x:c r="B15" s="14" t="str"/>
      <x:c r="C15" s="14" t="str"/>
      <x:c r="D15" s="14" t="str"/>
      <x:c r="E15" s="14" t="str"/>
      <x:c r="F15" s="14" t="str">
        <x:v>OPEN</x:v>
      </x:c>
      <x:c r="G15" s="14" t="str"/>
    </x:row>
    <x:row r="16" ht="18" customHeight="1">
      <x:c r="A16" s="14" t="str">
        <x:v>Q-12</x:v>
      </x:c>
      <x:c r="B16" s="14" t="str"/>
      <x:c r="C16" s="14" t="str"/>
      <x:c r="D16" s="14" t="str"/>
      <x:c r="E16" s="14" t="str"/>
      <x:c r="F16" s="14" t="str">
        <x:v>OPEN</x:v>
      </x:c>
      <x:c r="G16" s="14" t="str"/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16">
    <x:cfRule type="containsText" dxfId="180" priority="1" operator="containsText" text="ACCEPTED"/>
    <x:cfRule type="containsText" dxfId="181" priority="2" operator="containsText" text="PASS"/>
    <x:cfRule type="containsText" dxfId="182" priority="3" operator="containsText" text="OPEN"/>
    <x:cfRule type="containsText" dxfId="183" priority="4" operator="containsText" text="BLOCKED"/>
    <x:cfRule type="containsText" dxfId="184" priority="5" operator="containsText" text="REJECTED"/>
  </x:conditionalFormatting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1" hidden="0" customWidth="1"/>
    <x:col min="3" max="3" width="17" hidden="0" customWidth="1"/>
    <x:col min="4" max="4" width="15" hidden="0" customWidth="1"/>
    <x:col min="5" max="5" width="18" hidden="0" customWidth="1"/>
    <x:col min="6" max="6" width="28" hidden="0" customWidth="1"/>
    <x:col min="7" max="7" width="22" hidden="0" customWidth="1"/>
  </x:cols>
  <x:sheetData>
    <x:row r="1" ht="28" customHeight="1">
      <x:c r="A1" s="18" t="str">
        <x:v>RBA-1 | Thirty-two release gates</x:v>
      </x:c>
      <x:c r="B1" s="18"/>
      <x:c r="C1" s="18"/>
      <x:c r="D1" s="18"/>
      <x:c r="E1" s="18"/>
      <x:c r="F1" s="18"/>
      <x:c r="G1" s="18"/>
    </x:row>
    <x:row r="2" ht="28" customHeight="1">
      <x:c r="A2" s="19" t="str">
        <x:v>No weighted score or favorable average may substitute for a failed gate.</x:v>
      </x:c>
      <x:c r="B2" s="19"/>
      <x:c r="C2" s="19"/>
      <x:c r="D2" s="19"/>
      <x:c r="E2" s="19"/>
      <x:c r="F2" s="19"/>
      <x:c r="G2" s="19"/>
    </x:row>
    <x:row r="3" ht="18" customHeight="1">
      <x:c r="A3" s="20"/>
      <x:c r="B3" s="20"/>
      <x:c r="C3" s="20"/>
      <x:c r="D3" s="20"/>
      <x:c r="E3" s="20"/>
      <x:c r="F3" s="20"/>
      <x:c r="G3" s="20"/>
    </x:row>
    <x:row r="4" ht="18" customHeight="1">
      <x:c r="A4" s="21" t="str">
        <x:v>Gate</x:v>
      </x:c>
      <x:c r="B4" s="21" t="str">
        <x:v>Requirement</x:v>
      </x:c>
      <x:c r="C4" s="21" t="str">
        <x:v>Phase</x:v>
      </x:c>
      <x:c r="D4" s="21" t="str">
        <x:v>State</x:v>
      </x:c>
      <x:c r="E4" s="21" t="str">
        <x:v>Aggregation</x:v>
      </x:c>
      <x:c r="F4" s="21" t="str">
        <x:v>Evidence root</x:v>
      </x:c>
      <x:c r="G4" s="21" t="str">
        <x:v>Accepted UTC</x:v>
      </x:c>
    </x:row>
    <x:row r="5" ht="18" customHeight="1">
      <x:c r="A5" s="14" t="str">
        <x:v>RG-01</x:v>
      </x:c>
      <x:c r="B5" s="14" t="str">
        <x:v>24 source-eligible cells</x:v>
      </x:c>
      <x:c r="C5" s="14" t="str">
        <x:v>PRE-ISSUE</x:v>
      </x:c>
      <x:c r="D5" s="14" t="str">
        <x:v>OPEN</x:v>
      </x:c>
      <x:c r="E5" s="14" t="str">
        <x:v>conjunctive</x:v>
      </x:c>
      <x:c r="F5" s="14" t="str"/>
      <x:c r="G5" s="14" t="str"/>
    </x:row>
    <x:row r="6" ht="18" customHeight="1">
      <x:c r="A6" s="14" t="str">
        <x:v>RG-02</x:v>
      </x:c>
      <x:c r="B6" s="14" t="str">
        <x:v>six verified commitments</x:v>
      </x:c>
      <x:c r="C6" s="14" t="str">
        <x:v>PRE-ISSUE</x:v>
      </x:c>
      <x:c r="D6" s="14" t="str">
        <x:v>OPEN</x:v>
      </x:c>
      <x:c r="E6" s="14" t="str">
        <x:v>conjunctive</x:v>
      </x:c>
      <x:c r="F6" s="14" t="str"/>
      <x:c r="G6" s="14" t="str"/>
    </x:row>
    <x:row r="7" ht="18" customHeight="1">
      <x:c r="A7" s="14" t="str">
        <x:v>RG-03</x:v>
      </x:c>
      <x:c r="B7" s="14" t="str">
        <x:v>six verified reveals</x:v>
      </x:c>
      <x:c r="C7" s="14" t="str">
        <x:v>PRE-ISSUE</x:v>
      </x:c>
      <x:c r="D7" s="14" t="str">
        <x:v>OPEN</x:v>
      </x:c>
      <x:c r="E7" s="14" t="str">
        <x:v>conjunctive</x:v>
      </x:c>
      <x:c r="F7" s="14" t="str"/>
      <x:c r="G7" s="14" t="str"/>
    </x:row>
    <x:row r="8" ht="18" customHeight="1">
      <x:c r="A8" s="14" t="str">
        <x:v>RG-04</x:v>
      </x:c>
      <x:c r="B8" s="14" t="str">
        <x:v>exact selected cell</x:v>
      </x:c>
      <x:c r="C8" s="14" t="str">
        <x:v>PRE-ISSUE</x:v>
      </x:c>
      <x:c r="D8" s="14" t="str">
        <x:v>OPEN</x:v>
      </x:c>
      <x:c r="E8" s="14" t="str">
        <x:v>conjunctive</x:v>
      </x:c>
      <x:c r="F8" s="14" t="str"/>
      <x:c r="G8" s="14" t="str"/>
    </x:row>
    <x:row r="9" ht="18" customHeight="1">
      <x:c r="A9" s="14" t="str">
        <x:v>RG-05</x:v>
      </x:c>
      <x:c r="B9" s="14" t="str">
        <x:v>exact active package</x:v>
      </x:c>
      <x:c r="C9" s="14" t="str">
        <x:v>PRE-ISSUE</x:v>
      </x:c>
      <x:c r="D9" s="14" t="str">
        <x:v>OPEN</x:v>
      </x:c>
      <x:c r="E9" s="14" t="str">
        <x:v>conjunctive</x:v>
      </x:c>
      <x:c r="F9" s="14" t="str"/>
      <x:c r="G9" s="14" t="str"/>
    </x:row>
    <x:row r="10" ht="18" customHeight="1">
      <x:c r="A10" s="14" t="str">
        <x:v>RG-06</x:v>
      </x:c>
      <x:c r="B10" s="14" t="str">
        <x:v>primary attempt available</x:v>
      </x:c>
      <x:c r="C10" s="14" t="str">
        <x:v>PRE-ISSUE</x:v>
      </x:c>
      <x:c r="D10" s="14" t="str">
        <x:v>OPEN</x:v>
      </x:c>
      <x:c r="E10" s="14" t="str">
        <x:v>conjunctive</x:v>
      </x:c>
      <x:c r="F10" s="14" t="str"/>
      <x:c r="G10" s="14" t="str"/>
    </x:row>
    <x:row r="11" ht="18" customHeight="1">
      <x:c r="A11" s="14" t="str">
        <x:v>RG-07</x:v>
      </x:c>
      <x:c r="B11" s="14" t="str">
        <x:v>T-96 h configuration freeze</x:v>
      </x:c>
      <x:c r="C11" s="14" t="str">
        <x:v>PRE-ISSUE</x:v>
      </x:c>
      <x:c r="D11" s="14" t="str">
        <x:v>OPEN</x:v>
      </x:c>
      <x:c r="E11" s="14" t="str">
        <x:v>conjunctive</x:v>
      </x:c>
      <x:c r="F11" s="14" t="str"/>
      <x:c r="G11" s="14" t="str"/>
    </x:row>
    <x:row r="12" ht="18" customHeight="1">
      <x:c r="A12" s="14" t="str">
        <x:v>RG-08</x:v>
      </x:c>
      <x:c r="B12" s="14" t="str">
        <x:v>205 dossier bindings</x:v>
      </x:c>
      <x:c r="C12" s="14" t="str">
        <x:v>PRE-ISSUE</x:v>
      </x:c>
      <x:c r="D12" s="14" t="str">
        <x:v>OPEN</x:v>
      </x:c>
      <x:c r="E12" s="14" t="str">
        <x:v>conjunctive</x:v>
      </x:c>
      <x:c r="F12" s="14" t="str"/>
      <x:c r="G12" s="14" t="str"/>
    </x:row>
    <x:row r="13" ht="18" customHeight="1">
      <x:c r="A13" s="14" t="str">
        <x:v>RG-09</x:v>
      </x:c>
      <x:c r="B13" s="14" t="str">
        <x:v>56-person crew</x:v>
      </x:c>
      <x:c r="C13" s="14" t="str">
        <x:v>PRE-ISSUE</x:v>
      </x:c>
      <x:c r="D13" s="14" t="str">
        <x:v>OPEN</x:v>
      </x:c>
      <x:c r="E13" s="14" t="str">
        <x:v>conjunctive</x:v>
      </x:c>
      <x:c r="F13" s="14" t="str"/>
      <x:c r="G13" s="14" t="str"/>
    </x:row>
    <x:row r="14" ht="18" customHeight="1">
      <x:c r="A14" s="14" t="str">
        <x:v>RG-10</x:v>
      </x:c>
      <x:c r="B14" s="14" t="str">
        <x:v>32 event holds</x:v>
      </x:c>
      <x:c r="C14" s="14" t="str">
        <x:v>PRE-ISSUE</x:v>
      </x:c>
      <x:c r="D14" s="14" t="str">
        <x:v>OPEN</x:v>
      </x:c>
      <x:c r="E14" s="14" t="str">
        <x:v>conjunctive</x:v>
      </x:c>
      <x:c r="F14" s="14" t="str"/>
      <x:c r="G14" s="14" t="str"/>
    </x:row>
    <x:row r="15" ht="18" customHeight="1">
      <x:c r="A15" s="14" t="str">
        <x:v>RG-11</x:v>
      </x:c>
      <x:c r="B15" s="14" t="str">
        <x:v>12 final elements</x:v>
      </x:c>
      <x:c r="C15" s="14" t="str">
        <x:v>PRE-ISSUE</x:v>
      </x:c>
      <x:c r="D15" s="14" t="str">
        <x:v>OPEN</x:v>
      </x:c>
      <x:c r="E15" s="14" t="str">
        <x:v>conjunctive</x:v>
      </x:c>
      <x:c r="F15" s="14" t="str"/>
      <x:c r="G15" s="14" t="str"/>
    </x:row>
    <x:row r="16" ht="18" customHeight="1">
      <x:c r="A16" s="14" t="str">
        <x:v>RG-12</x:v>
      </x:c>
      <x:c r="B16" s="14" t="str">
        <x:v>36 safeing paths</x:v>
      </x:c>
      <x:c r="C16" s="14" t="str">
        <x:v>PRE-ISSUE</x:v>
      </x:c>
      <x:c r="D16" s="14" t="str">
        <x:v>OPEN</x:v>
      </x:c>
      <x:c r="E16" s="14" t="str">
        <x:v>conjunctive</x:v>
      </x:c>
      <x:c r="F16" s="14" t="str"/>
      <x:c r="G16" s="14" t="str"/>
    </x:row>
    <x:row r="17" ht="18" customHeight="1">
      <x:c r="A17" s="14" t="str">
        <x:v>RG-13</x:v>
      </x:c>
      <x:c r="B17" s="14" t="str">
        <x:v>36 path proofs</x:v>
      </x:c>
      <x:c r="C17" s="14" t="str">
        <x:v>PRE-ISSUE</x:v>
      </x:c>
      <x:c r="D17" s="14" t="str">
        <x:v>OPEN</x:v>
      </x:c>
      <x:c r="E17" s="14" t="str">
        <x:v>conjunctive</x:v>
      </x:c>
      <x:c r="F17" s="14" t="str"/>
      <x:c r="G17" s="14" t="str"/>
    </x:row>
    <x:row r="18" ht="18" customHeight="1">
      <x:c r="A18" s="14" t="str">
        <x:v>RG-14</x:v>
      </x:c>
      <x:c r="B18" s="14" t="str">
        <x:v>source custody</x:v>
      </x:c>
      <x:c r="C18" s="14" t="str">
        <x:v>PRE-ISSUE</x:v>
      </x:c>
      <x:c r="D18" s="14" t="str">
        <x:v>OPEN</x:v>
      </x:c>
      <x:c r="E18" s="14" t="str">
        <x:v>conjunctive</x:v>
      </x:c>
      <x:c r="F18" s="14" t="str"/>
      <x:c r="G18" s="14" t="str"/>
    </x:row>
    <x:row r="19" ht="18" customHeight="1">
      <x:c r="A19" s="14" t="str">
        <x:v>RG-15</x:v>
      </x:c>
      <x:c r="B19" s="14" t="str">
        <x:v>water custody</x:v>
      </x:c>
      <x:c r="C19" s="14" t="str">
        <x:v>PRE-ISSUE</x:v>
      </x:c>
      <x:c r="D19" s="14" t="str">
        <x:v>OPEN</x:v>
      </x:c>
      <x:c r="E19" s="14" t="str">
        <x:v>conjunctive</x:v>
      </x:c>
      <x:c r="F19" s="14" t="str"/>
      <x:c r="G19" s="14" t="str"/>
    </x:row>
    <x:row r="20" ht="18" customHeight="1">
      <x:c r="A20" s="14" t="str">
        <x:v>RG-16</x:v>
      </x:c>
      <x:c r="B20" s="14" t="str">
        <x:v>thermal boundary</x:v>
      </x:c>
      <x:c r="C20" s="14" t="str">
        <x:v>PRE-ISSUE</x:v>
      </x:c>
      <x:c r="D20" s="14" t="str">
        <x:v>OPEN</x:v>
      </x:c>
      <x:c r="E20" s="14" t="str">
        <x:v>conjunctive</x:v>
      </x:c>
      <x:c r="F20" s="14" t="str"/>
      <x:c r="G20" s="14" t="str"/>
    </x:row>
    <x:row r="21" ht="18" customHeight="1">
      <x:c r="A21" s="14" t="str">
        <x:v>RG-17</x:v>
      </x:c>
      <x:c r="B21" s="14" t="str">
        <x:v>rescue posture</x:v>
      </x:c>
      <x:c r="C21" s="14" t="str">
        <x:v>PRE-ISSUE</x:v>
      </x:c>
      <x:c r="D21" s="14" t="str">
        <x:v>OPEN</x:v>
      </x:c>
      <x:c r="E21" s="14" t="str">
        <x:v>conjunctive</x:v>
      </x:c>
      <x:c r="F21" s="14" t="str"/>
      <x:c r="G21" s="14" t="str"/>
    </x:row>
    <x:row r="22" ht="18" customHeight="1">
      <x:c r="A22" s="14" t="str">
        <x:v>RG-18</x:v>
      </x:c>
      <x:c r="B22" s="14" t="str">
        <x:v>environment posture</x:v>
      </x:c>
      <x:c r="C22" s="14" t="str">
        <x:v>PRE-ISSUE</x:v>
      </x:c>
      <x:c r="D22" s="14" t="str">
        <x:v>OPEN</x:v>
      </x:c>
      <x:c r="E22" s="14" t="str">
        <x:v>conjunctive</x:v>
      </x:c>
      <x:c r="F22" s="14" t="str"/>
      <x:c r="G22" s="14" t="str"/>
    </x:row>
    <x:row r="23" ht="18" customHeight="1">
      <x:c r="A23" s="14" t="str">
        <x:v>RG-19</x:v>
      </x:c>
      <x:c r="B23" s="14" t="str">
        <x:v>evidence capacity</x:v>
      </x:c>
      <x:c r="C23" s="14" t="str">
        <x:v>PRE-ISSUE</x:v>
      </x:c>
      <x:c r="D23" s="14" t="str">
        <x:v>OPEN</x:v>
      </x:c>
      <x:c r="E23" s="14" t="str">
        <x:v>conjunctive</x:v>
      </x:c>
      <x:c r="F23" s="14" t="str"/>
      <x:c r="G23" s="14" t="str"/>
    </x:row>
    <x:row r="24" ht="18" customHeight="1">
      <x:c r="A24" s="14" t="str">
        <x:v>RG-20</x:v>
      </x:c>
      <x:c r="B24" s="14" t="str">
        <x:v>T0 authority</x:v>
      </x:c>
      <x:c r="C24" s="14" t="str">
        <x:v>PRE-ISSUE</x:v>
      </x:c>
      <x:c r="D24" s="14" t="str">
        <x:v>OPEN</x:v>
      </x:c>
      <x:c r="E24" s="14" t="str">
        <x:v>conjunctive</x:v>
      </x:c>
      <x:c r="F24" s="14" t="str"/>
      <x:c r="G24" s="14" t="str"/>
    </x:row>
    <x:row r="25" ht="18" customHeight="1">
      <x:c r="A25" s="14" t="str">
        <x:v>RG-21</x:v>
      </x:c>
      <x:c r="B25" s="14" t="str">
        <x:v>terminal-source decision</x:v>
      </x:c>
      <x:c r="C25" s="14" t="str">
        <x:v>EVENT</x:v>
      </x:c>
      <x:c r="D25" s="14" t="str">
        <x:v>OPEN</x:v>
      </x:c>
      <x:c r="E25" s="14" t="str">
        <x:v>conjunctive</x:v>
      </x:c>
      <x:c r="F25" s="14" t="str"/>
      <x:c r="G25" s="14" t="str"/>
    </x:row>
    <x:row r="26" ht="18" customHeight="1">
      <x:c r="A26" s="14" t="str">
        <x:v>RG-22</x:v>
      </x:c>
      <x:c r="B26" s="14" t="str">
        <x:v>source mass closure</x:v>
      </x:c>
      <x:c r="C26" s="14" t="str">
        <x:v>EVENT</x:v>
      </x:c>
      <x:c r="D26" s="14" t="str">
        <x:v>OPEN</x:v>
      </x:c>
      <x:c r="E26" s="14" t="str">
        <x:v>conjunctive</x:v>
      </x:c>
      <x:c r="F26" s="14" t="str"/>
      <x:c r="G26" s="14" t="str"/>
    </x:row>
    <x:row r="27" ht="18" customHeight="1">
      <x:c r="A27" s="14" t="str">
        <x:v>RG-23</x:v>
      </x:c>
      <x:c r="B27" s="14" t="str">
        <x:v>mass uncertainty</x:v>
      </x:c>
      <x:c r="C27" s="14" t="str">
        <x:v>EVENT</x:v>
      </x:c>
      <x:c r="D27" s="14" t="str">
        <x:v>OPEN</x:v>
      </x:c>
      <x:c r="E27" s="14" t="str">
        <x:v>conjunctive</x:v>
      </x:c>
      <x:c r="F27" s="14" t="str"/>
      <x:c r="G27" s="14" t="str"/>
    </x:row>
    <x:row r="28" ht="18" customHeight="1">
      <x:c r="A28" s="14" t="str">
        <x:v>RG-24</x:v>
      </x:c>
      <x:c r="B28" s="14" t="str">
        <x:v>ancestry closure</x:v>
      </x:c>
      <x:c r="C28" s="14" t="str">
        <x:v>EVENT</x:v>
      </x:c>
      <x:c r="D28" s="14" t="str">
        <x:v>OPEN</x:v>
      </x:c>
      <x:c r="E28" s="14" t="str">
        <x:v>conjunctive</x:v>
      </x:c>
      <x:c r="F28" s="14" t="str"/>
      <x:c r="G28" s="14" t="str"/>
    </x:row>
    <x:row r="29" ht="18" customHeight="1">
      <x:c r="A29" s="14" t="str">
        <x:v>RG-25</x:v>
      </x:c>
      <x:c r="B29" s="14" t="str">
        <x:v>public intervention class</x:v>
      </x:c>
      <x:c r="C29" s="14" t="str">
        <x:v>EVENT</x:v>
      </x:c>
      <x:c r="D29" s="14" t="str">
        <x:v>OPEN</x:v>
      </x:c>
      <x:c r="E29" s="14" t="str">
        <x:v>conjunctive</x:v>
      </x:c>
      <x:c r="F29" s="14" t="str"/>
      <x:c r="G29" s="14" t="str"/>
    </x:row>
    <x:row r="30" ht="18" customHeight="1">
      <x:c r="A30" s="14" t="str">
        <x:v>RG-26</x:v>
      </x:c>
      <x:c r="B30" s="14" t="str">
        <x:v>validity board</x:v>
      </x:c>
      <x:c r="C30" s="14" t="str">
        <x:v>EVENT</x:v>
      </x:c>
      <x:c r="D30" s="14" t="str">
        <x:v>OPEN</x:v>
      </x:c>
      <x:c r="E30" s="14" t="str">
        <x:v>conjunctive</x:v>
      </x:c>
      <x:c r="F30" s="14" t="str"/>
      <x:c r="G30" s="14" t="str"/>
    </x:row>
    <x:row r="31" ht="18" customHeight="1">
      <x:c r="A31" s="14" t="str">
        <x:v>RG-27</x:v>
      </x:c>
      <x:c r="B31" s="14" t="str">
        <x:v>outcome board</x:v>
      </x:c>
      <x:c r="C31" s="14" t="str">
        <x:v>EVENT</x:v>
      </x:c>
      <x:c r="D31" s="14" t="str">
        <x:v>OPEN</x:v>
      </x:c>
      <x:c r="E31" s="14" t="str">
        <x:v>conjunctive</x:v>
      </x:c>
      <x:c r="F31" s="14" t="str"/>
      <x:c r="G31" s="14" t="str"/>
    </x:row>
    <x:row r="32" ht="18" customHeight="1">
      <x:c r="A32" s="14" t="str">
        <x:v>RG-28</x:v>
      </x:c>
      <x:c r="B32" s="14" t="str">
        <x:v>ten recovery states</x:v>
      </x:c>
      <x:c r="C32" s="14" t="str">
        <x:v>RETURN</x:v>
      </x:c>
      <x:c r="D32" s="14" t="str">
        <x:v>OPEN</x:v>
      </x:c>
      <x:c r="E32" s="14" t="str">
        <x:v>conjunctive</x:v>
      </x:c>
      <x:c r="F32" s="14" t="str"/>
      <x:c r="G32" s="14" t="str"/>
    </x:row>
    <x:row r="33" ht="18" customHeight="1">
      <x:c r="A33" s="14" t="str">
        <x:v>RG-29</x:v>
      </x:c>
      <x:c r="B33" s="14" t="str">
        <x:v>sixteen regeneration tasks</x:v>
      </x:c>
      <x:c r="C33" s="14" t="str">
        <x:v>RETURN</x:v>
      </x:c>
      <x:c r="D33" s="14" t="str">
        <x:v>OPEN</x:v>
      </x:c>
      <x:c r="E33" s="14" t="str">
        <x:v>conjunctive</x:v>
      </x:c>
      <x:c r="F33" s="14" t="str"/>
      <x:c r="G33" s="14" t="str"/>
    </x:row>
    <x:row r="34" ht="18" customHeight="1">
      <x:c r="A34" s="14" t="str">
        <x:v>RG-30</x:v>
      </x:c>
      <x:c r="B34" s="14" t="str">
        <x:v>twenty-four replays</x:v>
      </x:c>
      <x:c r="C34" s="14" t="str">
        <x:v>RETURN</x:v>
      </x:c>
      <x:c r="D34" s="14" t="str">
        <x:v>OPEN</x:v>
      </x:c>
      <x:c r="E34" s="14" t="str">
        <x:v>conjunctive</x:v>
      </x:c>
      <x:c r="F34" s="14" t="str"/>
      <x:c r="G34" s="14" t="str"/>
    </x:row>
    <x:row r="35" ht="18" customHeight="1">
      <x:c r="A35" s="14" t="str">
        <x:v>RG-31</x:v>
      </x:c>
      <x:c r="B35" s="14" t="str">
        <x:v>twelve re-entry decisions</x:v>
      </x:c>
      <x:c r="C35" s="14" t="str">
        <x:v>RETURN</x:v>
      </x:c>
      <x:c r="D35" s="14" t="str">
        <x:v>OPEN</x:v>
      </x:c>
      <x:c r="E35" s="14" t="str">
        <x:v>conjunctive</x:v>
      </x:c>
      <x:c r="F35" s="14" t="str"/>
      <x:c r="G35" s="14" t="str"/>
    </x:row>
    <x:row r="36" ht="18" customHeight="1">
      <x:c r="A36" s="14" t="str">
        <x:v>RG-32</x:v>
      </x:c>
      <x:c r="B36" s="14" t="str">
        <x:v>downstream authority ceiling</x:v>
      </x:c>
      <x:c r="C36" s="14" t="str">
        <x:v>RETURN</x:v>
      </x:c>
      <x:c r="D36" s="14" t="str">
        <x:v>OPEN</x:v>
      </x:c>
      <x:c r="E36" s="14" t="str">
        <x:v>conjunctive</x:v>
      </x:c>
      <x:c r="F36" s="14" t="str"/>
      <x:c r="G36" s="14" t="str"/>
    </x:row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D5:D36">
    <x:cfRule type="containsText" dxfId="185" priority="1" operator="containsText" text="ACCEPTED"/>
    <x:cfRule type="containsText" dxfId="186" priority="2" operator="containsText" text="PASS"/>
    <x:cfRule type="containsText" dxfId="187" priority="3" operator="containsText" text="OPEN"/>
    <x:cfRule type="containsText" dxfId="188" priority="4" operator="containsText" text="BLOCKED"/>
    <x:cfRule type="containsText" dxfId="189" priority="5" operator="containsText" text="REJECTED"/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9" hidden="0" customWidth="1"/>
    <x:col min="3" max="3" width="17" hidden="0" customWidth="1"/>
    <x:col min="4" max="4" width="66" hidden="0" customWidth="1"/>
  </x:cols>
  <x:sheetData>
    <x:row r="1" ht="28" customHeight="1">
      <x:c r="A1" s="18" t="str">
        <x:v>RBA-1 | Four final decisions</x:v>
      </x:c>
      <x:c r="B1" s="18"/>
      <x:c r="C1" s="18"/>
      <x:c r="D1" s="18"/>
    </x:row>
    <x:row r="2" ht="28" customHeight="1">
      <x:c r="A2" s="19" t="str">
        <x:v>One event cannot issue the full class or any larger source class.</x:v>
      </x:c>
      <x:c r="B2" s="19"/>
      <x:c r="C2" s="19"/>
      <x:c r="D2" s="19"/>
    </x:row>
    <x:row r="3" ht="18" customHeight="1">
      <x:c r="A3" s="20"/>
      <x:c r="B3" s="20"/>
      <x:c r="C3" s="20"/>
      <x:c r="D3" s="20"/>
    </x:row>
    <x:row r="4" ht="18" customHeight="1">
      <x:c r="A4" s="21" t="str">
        <x:v>Decision</x:v>
      </x:c>
      <x:c r="B4" s="21" t="str">
        <x:v>Object</x:v>
      </x:c>
      <x:c r="C4" s="21" t="str">
        <x:v>State</x:v>
      </x:c>
      <x:c r="D4" s="21" t="str">
        <x:v>Conjunctive rule</x:v>
      </x:c>
    </x:row>
    <x:row r="5" ht="18" customHeight="1">
      <x:c r="A5" s="14" t="str">
        <x:v>ER-01</x:v>
      </x:c>
      <x:c r="B5" s="14" t="str">
        <x:v>close selected attempt</x:v>
      </x:c>
      <x:c r="C5" s="14" t="str">
        <x:v>OPEN</x:v>
      </x:c>
      <x:c r="D5" s="14" t="str">
        <x:v>validity, outcome and immutable packet</x:v>
      </x:c>
    </x:row>
    <x:row r="6" ht="18" customHeight="1">
      <x:c r="A6" s="14" t="str">
        <x:v>ER-02</x:v>
      </x:c>
      <x:c r="B6" s="14" t="str">
        <x:v>award exact QE-02 cell credit</x:v>
      </x:c>
      <x:c r="C6" s="14" t="str">
        <x:v>BLOCKED</x:v>
      </x:c>
      <x:c r="D6" s="14" t="str">
        <x:v>creditable result and all event gates</x:v>
      </x:c>
    </x:row>
    <x:row r="7" ht="18" customHeight="1">
      <x:c r="A7" s="14" t="str">
        <x:v>ER-03</x:v>
      </x:c>
      <x:c r="B7" s="14" t="str">
        <x:v>return source-exposed pair</x:v>
      </x:c>
      <x:c r="C7" s="14" t="str">
        <x:v>BLOCKED</x:v>
      </x:c>
      <x:c r="D7" s="14" t="str">
        <x:v>day-14 new baseline or quarantine</x:v>
      </x:c>
    </x:row>
    <x:row r="8" ht="18" customHeight="1">
      <x:c r="A8" s="14" t="str">
        <x:v>ER-04</x:v>
      </x:c>
      <x:c r="B8" s="14" t="str">
        <x:v>permit RBB-1 constitution</x:v>
      </x:c>
      <x:c r="C8" s="14" t="str">
        <x:v>BLOCKED</x:v>
      </x:c>
      <x:c r="D8" s="14" t="str">
        <x:v>accepted cell credit and pair disposition</x:v>
      </x:c>
    </x:row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C5:C8">
    <x:cfRule type="containsText" dxfId="190" priority="1" operator="containsText" text="ACCEPTED"/>
    <x:cfRule type="containsText" dxfId="191" priority="2" operator="containsText" text="PASS"/>
    <x:cfRule type="containsText" dxfId="192" priority="3" operator="containsText" text="OPEN"/>
    <x:cfRule type="containsText" dxfId="193" priority="4" operator="containsText" text="BLOCKED"/>
    <x:cfRule type="containsText" dxfId="194" priority="5" operator="containsText" text="REJECTED"/>
  </x:conditionalFormatting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7" hidden="0" customWidth="1"/>
    <x:col min="3" max="3" width="67" hidden="0" customWidth="1"/>
  </x:cols>
  <x:sheetData>
    <x:row r="1" ht="28" customHeight="1">
      <x:c r="A1" s="18" t="str">
        <x:v>RBA-1 | Downstream authority ceiling</x:v>
      </x:c>
      <x:c r="B1" s="18"/>
      <x:c r="C1" s="18"/>
    </x:row>
    <x:row r="2" ht="28" customHeight="1">
      <x:c r="A2" s="19" t="str">
        <x:v>These blocks are outputs of the constitution, not missing spreadsheet work.</x:v>
      </x:c>
      <x:c r="B2" s="19"/>
      <x:c r="C2" s="19"/>
    </x:row>
    <x:row r="3" ht="18" customHeight="1">
      <x:c r="A3" s="20"/>
      <x:c r="B3" s="20"/>
      <x:c r="C3" s="20"/>
    </x:row>
    <x:row r="4" ht="18" customHeight="1">
      <x:c r="A4" s="21" t="str">
        <x:v>Downstream object</x:v>
      </x:c>
      <x:c r="B4" s="21" t="str">
        <x:v>State</x:v>
      </x:c>
      <x:c r="C4" s="21" t="str">
        <x:v>Release basis</x:v>
      </x:c>
    </x:row>
    <x:row r="5" ht="18" customHeight="1">
      <x:c r="A5" s="14" t="str">
        <x:v>RBB-1 full QE-02 class constitution</x:v>
      </x:c>
      <x:c r="B5" s="14" t="str">
        <x:v>BLOCKED</x:v>
      </x:c>
      <x:c r="C5" s="14" t="str">
        <x:v>ER-04 only</x:v>
      </x:c>
    </x:row>
    <x:row r="6" ht="18" customHeight="1">
      <x:c r="A6" s="14" t="str">
        <x:v>second QE-02 physical event</x:v>
      </x:c>
      <x:c r="B6" s="14" t="str">
        <x:v>BLOCKED</x:v>
      </x:c>
      <x:c r="C6" s="14" t="str">
        <x:v>requires RBB-1 class law</x:v>
      </x:c>
    </x:row>
    <x:row r="7" ht="18" customHeight="1">
      <x:c r="A7" s="14" t="str">
        <x:v>QE-03 source entry</x:v>
      </x:c>
      <x:c r="B7" s="14" t="str">
        <x:v>BLOCKED</x:v>
      </x:c>
      <x:c r="C7" s="14" t="str">
        <x:v>full QE-02 class and separate escalation</x:v>
      </x:c>
    </x:row>
    <x:row r="8" ht="18" customHeight="1">
      <x:c r="A8" s="14" t="str">
        <x:v>150 mm route transfer</x:v>
      </x:c>
      <x:c r="B8" s="14" t="str">
        <x:v>BLOCKED</x:v>
      </x:c>
      <x:c r="C8" s="14" t="str">
        <x:v>separate similarity and hold-up evidence</x:v>
      </x:c>
    </x:row>
    <x:row r="9" ht="18" customHeight="1">
      <x:c r="A9" s="14" t="str">
        <x:v>candidate admission</x:v>
      </x:c>
      <x:c r="B9" s="14" t="str">
        <x:v>BLOCKED</x:v>
      </x:c>
      <x:c r="C9" s="14" t="str">
        <x:v>candidate constitution</x:v>
      </x:c>
    </x:row>
    <x:row r="10" ht="18" customHeight="1">
      <x:c r="A10" s="14" t="str">
        <x:v>candidate performance credit</x:v>
      </x:c>
      <x:c r="B10" s="14" t="str">
        <x:v>BLOCKED</x:v>
      </x:c>
      <x:c r="C10" s="14" t="str">
        <x:v>candidate absent</x:v>
      </x:c>
    </x:row>
    <x:row r="11" ht="18" customHeight="1">
      <x:c r="A11" s="14" t="str">
        <x:v>operational vehicle architecture</x:v>
      </x:c>
      <x:c r="B11" s="14" t="str">
        <x:v>BLOCKED</x:v>
      </x:c>
      <x:c r="C11" s="14" t="str">
        <x:v>mission and subsystem closure</x:v>
      </x:c>
    </x:row>
    <x:row r="12" ht="18" customHeight="1">
      <x:c r="A12" s="14" t="str">
        <x:v>production release</x:v>
      </x:c>
      <x:c r="B12" s="14" t="str">
        <x:v>BLOCKED</x:v>
      </x:c>
      <x:c r="C12" s="14" t="str">
        <x:v>qualified operational article</x:v>
      </x:c>
    </x:row>
    <x:row r="13" ht="18" customHeight="1">
      <x:c r="A13" s="14" t="str">
        <x:v>fleet procurement</x:v>
      </x:c>
      <x:c r="B13" s="14" t="str">
        <x:v>BLOCKED</x:v>
      </x:c>
      <x:c r="C13" s="14" t="str">
        <x:v>class reliability and service evidence</x:v>
      </x:c>
    </x:row>
    <x:row r="14" ht="18" customHeight="1">
      <x:c r="A14" s="14" t="str">
        <x:v>allied certification</x:v>
      </x:c>
      <x:c r="B14" s="14" t="str">
        <x:v>BLOCKED</x:v>
      </x:c>
      <x:c r="C14" s="14" t="str">
        <x:v>transfer and governance constitution</x:v>
      </x:c>
    </x:row>
    <x:row r="15" ht="18" customHeight="1">
      <x:c r="A15" s="14" t="str">
        <x:v>export release</x:v>
      </x:c>
      <x:c r="B15" s="14" t="str">
        <x:v>BLOCKED</x:v>
      </x:c>
      <x:c r="C15" s="14" t="str">
        <x:v>national and partner controls</x:v>
      </x:c>
    </x:row>
    <x:row r="16" ht="18" customHeight="1">
      <x:c r="A16" s="14" t="str">
        <x:v>exterior rendering</x:v>
      </x:c>
      <x:c r="B16" s="14" t="str">
        <x:v>BLOCKED</x:v>
      </x:c>
      <x:c r="C16" s="14" t="str">
        <x:v>physical architecture authority absent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B5:B16">
    <x:cfRule type="containsText" dxfId="195" priority="1" operator="containsText" text="ACCEPTED"/>
    <x:cfRule type="containsText" dxfId="196" priority="2" operator="containsText" text="PASS"/>
    <x:cfRule type="containsText" dxfId="197" priority="3" operator="containsText" text="OPEN"/>
    <x:cfRule type="containsText" dxfId="198" priority="4" operator="containsText" text="BLOCKED"/>
    <x:cfRule type="containsText" dxfId="199" priority="5" operator="containsText" text="REJECTED"/>
  </x:conditionalFormatting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7" hidden="0" customWidth="1"/>
    <x:col min="3" max="3" width="38" hidden="0" customWidth="1"/>
    <x:col min="4" max="4" width="43" hidden="0" customWidth="1"/>
  </x:cols>
  <x:sheetData>
    <x:row r="1" ht="28" customHeight="1">
      <x:c r="A1" s="18" t="str">
        <x:v>RBA-1 | Decision rules</x:v>
      </x:c>
      <x:c r="B1" s="18"/>
      <x:c r="C1" s="18"/>
      <x:c r="D1" s="18"/>
    </x:row>
    <x:row r="2" ht="28" customHeight="1">
      <x:c r="A2" s="19" t="str">
        <x:v>Registered rules turn measured facts into bounded decisions.</x:v>
      </x:c>
      <x:c r="B2" s="19"/>
      <x:c r="C2" s="19"/>
      <x:c r="D2" s="19"/>
    </x:row>
    <x:row r="3" ht="18" customHeight="1">
      <x:c r="A3" s="20"/>
      <x:c r="B3" s="20"/>
      <x:c r="C3" s="20"/>
      <x:c r="D3" s="20"/>
    </x:row>
    <x:row r="4" ht="18" customHeight="1">
      <x:c r="A4" s="21" t="str">
        <x:v>Rule</x:v>
      </x:c>
      <x:c r="B4" s="21" t="str">
        <x:v>If</x:v>
      </x:c>
      <x:c r="C4" s="21" t="str">
        <x:v>Then</x:v>
      </x:c>
      <x:c r="D4" s="21" t="str">
        <x:v>Never</x:v>
      </x:c>
    </x:row>
    <x:row r="5" ht="18" customHeight="1">
      <x:c r="A5" s="14" t="str">
        <x:v>DR-01</x:v>
      </x:c>
      <x:c r="B5" s="14" t="str">
        <x:v>eligible cells &lt; 24</x:v>
      </x:c>
      <x:c r="C5" s="14" t="str">
        <x:v>no draw</x:v>
      </x:c>
      <x:c r="D5" s="14" t="str">
        <x:v>select a favorable subset</x:v>
      </x:c>
    </x:row>
    <x:row r="6" ht="18" customHeight="1">
      <x:c r="A6" s="14" t="str">
        <x:v>DR-02</x:v>
      </x:c>
      <x:c r="B6" s="14" t="str">
        <x:v>selected cell loses readiness</x:v>
      </x:c>
      <x:c r="C6" s="14" t="str">
        <x:v>pause exact cell</x:v>
      </x:c>
      <x:c r="D6" s="14" t="str">
        <x:v>redraw</x:v>
      </x:c>
    </x:row>
    <x:row r="7" ht="18" customHeight="1">
      <x:c r="A7" s="14" t="str">
        <x:v>DR-03</x:v>
      </x:c>
      <x:c r="B7" s="14" t="str">
        <x:v>decisive observation missing</x:v>
      </x:c>
      <x:c r="C7" s="14" t="str">
        <x:v>INVALID or unresolved</x:v>
      </x:c>
      <x:c r="D7" s="14" t="str">
        <x:v>enter zero</x:v>
      </x:c>
    </x:row>
    <x:row r="8" ht="18" customHeight="1">
      <x:c r="A8" s="14" t="str">
        <x:v>DR-04</x:v>
      </x:c>
      <x:c r="B8" s="14" t="str">
        <x:v>valid no-flame</x:v>
      </x:c>
      <x:c r="C8" s="14" t="str">
        <x:v>retain and classify</x:v>
      </x:c>
      <x:c r="D8" s="14" t="str">
        <x:v>repeat for flame</x:v>
      </x:c>
    </x:row>
    <x:row r="9" ht="18" customHeight="1">
      <x:c r="A9" s="14" t="str">
        <x:v>DR-05</x:v>
      </x:c>
      <x:c r="B9" s="14" t="str">
        <x:v>valid adverse</x:v>
      </x:c>
      <x:c r="C9" s="14" t="str">
        <x:v>retain; no credit</x:v>
      </x:c>
      <x:c r="D9" s="14" t="str">
        <x:v>activate reserve</x:v>
      </x:c>
    </x:row>
    <x:row r="10" ht="18" customHeight="1">
      <x:c r="A10" s="14" t="str">
        <x:v>DR-06</x:v>
      </x:c>
      <x:c r="B10" s="14" t="str">
        <x:v>invalid primary</x:v>
      </x:c>
      <x:c r="C10" s="14" t="str">
        <x:v>same-cell reserve may activate</x:v>
      </x:c>
      <x:c r="D10" s="14" t="str">
        <x:v>erase original</x:v>
      </x:c>
    </x:row>
    <x:row r="11" ht="18" customHeight="1">
      <x:c r="A11" s="14" t="str">
        <x:v>DR-07</x:v>
      </x:c>
      <x:c r="B11" s="14" t="str">
        <x:v>public action before autonomous bound</x:v>
      </x:c>
      <x:c r="C11" s="14" t="str">
        <x:v>safety act plus adverse result</x:v>
      </x:c>
      <x:c r="D11" s="14" t="str">
        <x:v>lend action to method</x:v>
      </x:c>
    </x:row>
    <x:row r="12" ht="18" customHeight="1">
      <x:c r="A12" s="14" t="str">
        <x:v>DR-08</x:v>
      </x:c>
      <x:c r="B12" s="14" t="str">
        <x:v>mass closes but ancestry fails</x:v>
      </x:c>
      <x:c r="C12" s="14" t="str">
        <x:v>adverse ancestry</x:v>
      </x:c>
      <x:c r="D12" s="14" t="str">
        <x:v>declare success</x:v>
      </x:c>
    </x:row>
    <x:row r="13" ht="18" customHeight="1">
      <x:c r="A13" s="14" t="str">
        <x:v>DR-09</x:v>
      </x:c>
      <x:c r="B13" s="14" t="str">
        <x:v>return gate fails</x:v>
      </x:c>
      <x:c r="C13" s="14" t="str">
        <x:v>quarantine pair</x:v>
      </x:c>
      <x:c r="D13" s="14" t="str">
        <x:v>reuse old baseline</x:v>
      </x:c>
    </x:row>
    <x:row r="14" ht="18" customHeight="1">
      <x:c r="A14" s="14" t="str">
        <x:v>DR-10</x:v>
      </x:c>
      <x:c r="B14" s="14" t="str">
        <x:v>one cell credits</x:v>
      </x:c>
      <x:c r="C14" s="14" t="str">
        <x:v>RBB-1 may be constituted</x:v>
      </x:c>
      <x:c r="D14" s="14" t="str">
        <x:v>issue full class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9" hidden="0" customWidth="1"/>
    <x:col min="3" max="3" width="20" hidden="0" customWidth="1"/>
    <x:col min="4" max="4" width="54" hidden="0" customWidth="1"/>
  </x:cols>
  <x:sheetData>
    <x:row r="1" ht="28" customHeight="1">
      <x:c r="A1" s="18" t="str">
        <x:v>RBA-1 | Stop and redesign rules</x:v>
      </x:c>
      <x:c r="B1" s="18"/>
      <x:c r="C1" s="18"/>
      <x:c r="D1" s="18"/>
    </x:row>
    <x:row r="2" ht="28" customHeight="1">
      <x:c r="A2" s="19" t="str">
        <x:v>The program narrows or redesigns when its measurement object fails.</x:v>
      </x:c>
      <x:c r="B2" s="19"/>
      <x:c r="C2" s="19"/>
      <x:c r="D2" s="19"/>
    </x:row>
    <x:row r="3" ht="18" customHeight="1">
      <x:c r="A3" s="20"/>
      <x:c r="B3" s="20"/>
      <x:c r="C3" s="20"/>
      <x:c r="D3" s="20"/>
    </x:row>
    <x:row r="4" ht="18" customHeight="1">
      <x:c r="A4" s="21" t="str">
        <x:v>Stop</x:v>
      </x:c>
      <x:c r="B4" s="21" t="str">
        <x:v>Trigger</x:v>
      </x:c>
      <x:c r="C4" s="21" t="str">
        <x:v>Immediate state</x:v>
      </x:c>
      <x:c r="D4" s="21" t="str">
        <x:v>Required next work</x:v>
      </x:c>
    </x:row>
    <x:row r="5" ht="18" customHeight="1">
      <x:c r="A5" s="14" t="str">
        <x:v>SR-01</x:v>
      </x:c>
      <x:c r="B5" s="14" t="str">
        <x:v>40 mm event not observable</x:v>
      </x:c>
      <x:c r="C5" s="14" t="str">
        <x:v>STOP</x:v>
      </x:c>
      <x:c r="D5" s="14" t="str">
        <x:v>new low-source article constitution</x:v>
      </x:c>
    </x:row>
    <x:row r="6" ht="18" customHeight="1">
      <x:c r="A6" s="14" t="str">
        <x:v>SR-02</x:v>
      </x:c>
      <x:c r="B6" s="14" t="str">
        <x:v>selected lot outside property envelope</x:v>
      </x:c>
      <x:c r="C6" s="14" t="str">
        <x:v>STOP</x:v>
      </x:c>
      <x:c r="D6" s="14" t="str">
        <x:v>source formulation or method amendment</x:v>
      </x:c>
    </x:row>
    <x:row r="7" ht="18" customHeight="1">
      <x:c r="A7" s="14" t="str">
        <x:v>SR-03</x:v>
      </x:c>
      <x:c r="B7" s="14" t="str">
        <x:v>truth roots share common dependency</x:v>
      </x:c>
      <x:c r="C7" s="14" t="str">
        <x:v>STOP</x:v>
      </x:c>
      <x:c r="D7" s="14" t="str">
        <x:v>new independent root</x:v>
      </x:c>
    </x:row>
    <x:row r="8" ht="18" customHeight="1">
      <x:c r="A8" s="14" t="str">
        <x:v>SR-04</x:v>
      </x:c>
      <x:c r="B8" s="14" t="str">
        <x:v>final state not independently sensed</x:v>
      </x:c>
      <x:c r="C8" s="14" t="str">
        <x:v>STOP</x:v>
      </x:c>
      <x:c r="D8" s="14" t="str">
        <x:v>mechanism-local sensing program</x:v>
      </x:c>
    </x:row>
    <x:row r="9" ht="18" customHeight="1">
      <x:c r="A9" s="14" t="str">
        <x:v>SR-05</x:v>
      </x:c>
      <x:c r="B9" s="14" t="str">
        <x:v>terminal bins overlap</x:v>
      </x:c>
      <x:c r="C9" s="14" t="str">
        <x:v>STOP</x:v>
      </x:c>
      <x:c r="D9" s="14" t="str">
        <x:v>mass-account redesign</x:v>
      </x:c>
    </x:row>
    <x:row r="10" ht="18" customHeight="1">
      <x:c r="A10" s="14" t="str">
        <x:v>SR-06</x:v>
      </x:c>
      <x:c r="B10" s="14" t="str">
        <x:v>water destroys ancestry</x:v>
      </x:c>
      <x:c r="C10" s="14" t="str">
        <x:v>STOP</x:v>
      </x:c>
      <x:c r="D10" s="14" t="str">
        <x:v>separation and coding program</x:v>
      </x:c>
    </x:row>
    <x:row r="11" ht="18" customHeight="1">
      <x:c r="A11" s="14" t="str">
        <x:v>SR-07</x:v>
      </x:c>
      <x:c r="B11" s="14" t="str">
        <x:v>ignition opportunity cannot be isolated</x:v>
      </x:c>
      <x:c r="C11" s="14" t="str">
        <x:v>STOP</x:v>
      </x:c>
      <x:c r="D11" s="14" t="str">
        <x:v>new ignition method</x:v>
      </x:c>
    </x:row>
    <x:row r="12" ht="18" customHeight="1">
      <x:c r="A12" s="14" t="str">
        <x:v>SR-08</x:v>
      </x:c>
      <x:c r="B12" s="14" t="str">
        <x:v>blanks remain contaminated</x:v>
      </x:c>
      <x:c r="C12" s="14" t="str">
        <x:v>QUARANTINE</x:v>
      </x:c>
      <x:c r="D12" s="14" t="str">
        <x:v>decontamination and baseline redesign</x:v>
      </x:c>
    </x:row>
    <x:row r="13" ht="18" customHeight="1">
      <x:c r="A13" s="14" t="str">
        <x:v>SR-09</x:v>
      </x:c>
      <x:c r="B13" s="14" t="str">
        <x:v>remote campus cannot reconstruct</x:v>
      </x:c>
      <x:c r="C13" s="14" t="str">
        <x:v>STOP</x:v>
      </x:c>
      <x:c r="D13" s="14" t="str">
        <x:v>portable evidence redesign</x:v>
      </x:c>
    </x:row>
    <x:row r="14" ht="18" customHeight="1">
      <x:c r="A14" s="14" t="str">
        <x:v>SR-10</x:v>
      </x:c>
      <x:c r="B14" s="14" t="str">
        <x:v>return exceeds capacity systematically</x:v>
      </x:c>
      <x:c r="C14" s="14" t="str">
        <x:v>STOP</x:v>
      </x:c>
      <x:c r="D14" s="14" t="str">
        <x:v>regeneration enterprise redesign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38" hidden="0" customWidth="1"/>
    <x:col min="3" max="3" width="24" hidden="0" customWidth="1"/>
    <x:col min="4" max="4" width="21" hidden="0" customWidth="1"/>
    <x:col min="5" max="5" width="27" hidden="0" customWidth="1"/>
    <x:col min="6" max="6" width="47" hidden="0" customWidth="1"/>
  </x:cols>
  <x:sheetData>
    <x:row r="1" ht="28" customHeight="1">
      <x:c r="A1" s="18" t="str">
        <x:v>RBA-1 | Release-aware schedule</x:v>
      </x:c>
      <x:c r="B1" s="18"/>
      <x:c r="C1" s="18"/>
      <x:c r="D1" s="18"/>
      <x:c r="E1" s="18"/>
      <x:c r="F1" s="18"/>
    </x:row>
    <x:row r="2" ht="28" customHeight="1">
      <x:c r="A2" s="19" t="str">
        <x:v>Calendar difference never substitutes for predecessor acceptance.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Stage</x:v>
      </x:c>
      <x:c r="B4" s="21" t="str">
        <x:v>Object</x:v>
      </x:c>
      <x:c r="C4" s="21" t="str">
        <x:v>Release-aware months</x:v>
      </x:c>
      <x:c r="D4" s="21" t="str">
        <x:v>Sequential months</x:v>
      </x:c>
      <x:c r="E4" s="21" t="str">
        <x:v>Months conditionally saved</x:v>
      </x:c>
      <x:c r="F4" s="21" t="str">
        <x:v>Authority note</x:v>
      </x:c>
    </x:row>
    <x:row r="5" ht="18" customHeight="1">
      <x:c r="A5" s="14" t="str">
        <x:v>RAC-1 through RAZ-1</x:v>
      </x:c>
      <x:c r="B5" s="14" t="str">
        <x:v>prior chain</x:v>
      </x:c>
      <x:c r="C5" s="14" t="n">
        <x:v>66</x:v>
      </x:c>
      <x:c r="D5" s="14" t="n">
        <x:v>90</x:v>
      </x:c>
      <x:c r="E5" s="14" t="n">
        <x:v>24</x:v>
      </x:c>
      <x:c r="F5" s="14" t="str">
        <x:v>physically conditional</x:v>
      </x:c>
    </x:row>
    <x:row r="6" ht="18" customHeight="1">
      <x:c r="A6" s="14" t="str">
        <x:v>RBA-1</x:v>
      </x:c>
      <x:c r="B6" s="14" t="str">
        <x:v>first QE-02 source event</x:v>
      </x:c>
      <x:c r="C6" s="14" t="n">
        <x:v>6</x:v>
      </x:c>
      <x:c r="D6" s="14" t="n">
        <x:v>6</x:v>
      </x:c>
      <x:c r="E6" s="14" t="n">
        <x:v>0</x:v>
      </x:c>
      <x:c r="F6" s="14" t="str">
        <x:v>reaches month 72 release-aware</x:v>
      </x:c>
    </x:row>
    <x:row r="7" ht="18" customHeight="1">
      <x:c r="A7" s="14" t="str">
        <x:v>chain through RBA-1</x:v>
      </x:c>
      <x:c r="B7" s="14" t="str">
        <x:v>cumulative</x:v>
      </x:c>
      <x:c r="C7" s="14" t="n">
        <x:v>72</x:v>
      </x:c>
      <x:c r="D7" s="14" t="n">
        <x:v>96</x:v>
      </x:c>
      <x:c r="E7" s="14" t="n">
        <x:v>24</x:v>
      </x:c>
      <x:c r="F7" s="14" t="str">
        <x:v>difference is revocable preparation time</x:v>
      </x:c>
    </x:row>
    <x:row r="8" ht="18" customHeight="1">
      <x:c r="A8" s="14" t="str">
        <x:v>source-exposed re-entry</x:v>
      </x:c>
      <x:c r="B8" s="14" t="str">
        <x:v>event-local</x:v>
      </x:c>
      <x:c r="C8" s="14" t="n">
        <x:v>0.467</x:v>
      </x:c>
      <x:c r="D8" s="14" t="n">
        <x:v>0.467</x:v>
      </x:c>
      <x:c r="E8" s="14" t="n">
        <x:v>0</x:v>
      </x:c>
      <x:c r="F8" s="14" t="str">
        <x:v>minimum 14 days</x:v>
      </x:c>
    </x:row>
    <x:row r="9" ht="18" customHeight="1">
      <x:c r="A9" s="14" t="str">
        <x:v>same-pair next T0</x:v>
      </x:c>
      <x:c r="B9" s="14" t="str">
        <x:v>event-local</x:v>
      </x:c>
      <x:c r="C9" s="14" t="n">
        <x:v>0.6</x:v>
      </x:c>
      <x:c r="D9" s="14" t="n">
        <x:v>0.6</x:v>
      </x:c>
      <x:c r="E9" s="14" t="n">
        <x:v>0</x:v>
      </x:c>
      <x:c r="F9" s="14" t="str">
        <x:v>432 hours including new freeze</x:v>
      </x:c>
    </x:row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22" hidden="0" customWidth="1"/>
    <x:col min="4" max="4" width="20" hidden="0" customWidth="1"/>
    <x:col min="5" max="5" width="17" hidden="0" customWidth="1"/>
    <x:col min="6" max="6" width="50" hidden="0" customWidth="1"/>
  </x:cols>
  <x:sheetData>
    <x:row r="1" ht="28" customHeight="1">
      <x:c r="A1" s="18" t="str">
        <x:v>RBA-1 | Physical and institutional capacity</x:v>
      </x:c>
      <x:c r="B1" s="18"/>
      <x:c r="C1" s="18"/>
      <x:c r="D1" s="18"/>
      <x:c r="E1" s="18"/>
      <x:c r="F1" s="18"/>
    </x:row>
    <x:row r="2" ht="28" customHeight="1">
      <x:c r="A2" s="19" t="str">
        <x:v>Capacity reserves the worst lawful path without asserting that it will be used.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Resource</x:v>
      </x:c>
      <x:c r="B4" s="21" t="str">
        <x:v>Primary attempt</x:v>
      </x:c>
      <x:c r="C4" s="21" t="str">
        <x:v>Replacement capacity</x:v>
      </x:c>
      <x:c r="D4" s="21" t="str">
        <x:v>Total reserved</x:v>
      </x:c>
      <x:c r="E4" s="21" t="str">
        <x:v>Unit</x:v>
      </x:c>
      <x:c r="F4" s="21" t="str">
        <x:v>Rule</x:v>
      </x:c>
    </x:row>
    <x:row r="5" ht="18" customHeight="1">
      <x:c r="A5" s="14" t="str">
        <x:v>rig-days</x:v>
      </x:c>
      <x:c r="B5" s="14" t="n">
        <x:v>3</x:v>
      </x:c>
      <x:c r="C5" s="14" t="n">
        <x:v>3</x:v>
      </x:c>
      <x:c r="D5" s="14" t="n">
        <x:v>6</x:v>
      </x:c>
      <x:c r="E5" s="14" t="str">
        <x:v>rig-days</x:v>
      </x:c>
      <x:c r="F5" s="14" t="str">
        <x:v>same selected cell</x:v>
      </x:c>
    </x:row>
    <x:row r="6" ht="18" customHeight="1">
      <x:c r="A6" s="14" t="str">
        <x:v>source event mass</x:v>
      </x:c>
      <x:c r="B6" s="14" t="n">
        <x:v>100</x:v>
      </x:c>
      <x:c r="C6" s="14" t="n">
        <x:v>100</x:v>
      </x:c>
      <x:c r="D6" s="14" t="n">
        <x:v>200</x:v>
      </x:c>
      <x:c r="E6" s="14" t="str">
        <x:v>kg</x:v>
      </x:c>
      <x:c r="F6" s="14" t="str">
        <x:v>replacement only after invalid</x:v>
      </x:c>
    </x:row>
    <x:row r="7" ht="18" customHeight="1">
      <x:c r="A7" s="14" t="str">
        <x:v>gross source packages</x:v>
      </x:c>
      <x:c r="B7" s="14" t="n">
        <x:v>125</x:v>
      </x:c>
      <x:c r="C7" s="14" t="n">
        <x:v>125</x:v>
      </x:c>
      <x:c r="D7" s="14" t="n">
        <x:v>250</x:v>
      </x:c>
      <x:c r="E7" s="14" t="str">
        <x:v>kg</x:v>
      </x:c>
      <x:c r="F7" s="14" t="str">
        <x:v>same method-root family</x:v>
      </x:c>
    </x:row>
    <x:row r="8" ht="18" customHeight="1">
      <x:c r="A8" s="14" t="str">
        <x:v>native evidence</x:v>
      </x:c>
      <x:c r="B8" s="14" t="n">
        <x:v>117.659</x:v>
      </x:c>
      <x:c r="C8" s="14" t="n">
        <x:v>117.659</x:v>
      </x:c>
      <x:c r="D8" s="14" t="n">
        <x:v>235.318</x:v>
      </x:c>
      <x:c r="E8" s="14" t="str">
        <x:v>GB</x:v>
      </x:c>
      <x:c r="F8" s="14" t="str">
        <x:v>both packets retained</x:v>
      </x:c>
    </x:row>
    <x:row r="9" ht="18" customHeight="1">
      <x:c r="A9" s="14" t="str">
        <x:v>allocated evidence</x:v>
      </x:c>
      <x:c r="B9" s="14" t="n">
        <x:v>152.9567</x:v>
      </x:c>
      <x:c r="C9" s="14" t="n">
        <x:v>152.9567</x:v>
      </x:c>
      <x:c r="D9" s="14" t="n">
        <x:v>305.9134</x:v>
      </x:c>
      <x:c r="E9" s="14" t="str">
        <x:v>GB</x:v>
      </x:c>
      <x:c r="F9" s="14" t="str">
        <x:v>governed storage</x:v>
      </x:c>
    </x:row>
    <x:row r="10" ht="18" customHeight="1">
      <x:c r="A10" s="14" t="str">
        <x:v>remote replay decisions</x:v>
      </x:c>
      <x:c r="B10" s="14" t="n">
        <x:v>24</x:v>
      </x:c>
      <x:c r="C10" s="14" t="n">
        <x:v>24</x:v>
      </x:c>
      <x:c r="D10" s="14" t="n">
        <x:v>48</x:v>
      </x:c>
      <x:c r="E10" s="14" t="str">
        <x:v>decisions</x:v>
      </x:c>
      <x:c r="F10" s="14" t="str">
        <x:v>two non-origin campuses</x:v>
      </x:c>
    </x:row>
    <x:row r="11" ht="18" customHeight="1">
      <x:c r="A11" s="14" t="str">
        <x:v>dossier bindings</x:v>
      </x:c>
      <x:c r="B11" s="14" t="n">
        <x:v>205</x:v>
      </x:c>
      <x:c r="C11" s="14" t="n">
        <x:v>205</x:v>
      </x:c>
      <x:c r="D11" s="14" t="n">
        <x:v>410</x:v>
      </x:c>
      <x:c r="E11" s="14" t="str">
        <x:v>bindings</x:v>
      </x:c>
      <x:c r="F11" s="14" t="str">
        <x:v>new issue for replacement</x:v>
      </x:c>
    </x:row>
    <x:row r="12" ht="18" customHeight="1">
      <x:c r="A12" s="14" t="str">
        <x:v>safeing path proofs</x:v>
      </x:c>
      <x:c r="B12" s="14" t="n">
        <x:v>36</x:v>
      </x:c>
      <x:c r="C12" s="14" t="n">
        <x:v>36</x:v>
      </x:c>
      <x:c r="D12" s="14" t="n">
        <x:v>72</x:v>
      </x:c>
      <x:c r="E12" s="14" t="str">
        <x:v>proofs</x:v>
      </x:c>
      <x:c r="F12" s="14" t="str">
        <x:v>event-specific currency</x:v>
      </x:c>
    </x:row>
    <x:row r="13" ht="18" customHeight="1">
      <x:c r="A13" s="14" t="str">
        <x:v>crew positions</x:v>
      </x:c>
      <x:c r="B13" s="14" t="n">
        <x:v>56</x:v>
      </x:c>
      <x:c r="C13" s="14" t="n">
        <x:v>56</x:v>
      </x:c>
      <x:c r="D13" s="14" t="n">
        <x:v>56</x:v>
      </x:c>
      <x:c r="E13" s="14" t="str">
        <x:v>positions</x:v>
      </x:c>
      <x:c r="F13" s="14" t="str">
        <x:v>same standing unit; new duty window</x:v>
      </x:c>
    </x:row>
    <x:row r="14" ht="18" customHeight="1">
      <x:c r="A14" s="14" t="str">
        <x:v>re-entry decisions</x:v>
      </x:c>
      <x:c r="B14" s="14" t="n">
        <x:v>12</x:v>
      </x:c>
      <x:c r="C14" s="14" t="n">
        <x:v>12</x:v>
      </x:c>
      <x:c r="D14" s="14" t="n">
        <x:v>24</x:v>
      </x:c>
      <x:c r="E14" s="14" t="str">
        <x:v>decisions</x:v>
      </x:c>
      <x:c r="F14" s="14" t="str">
        <x:v>each exposed attempt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2" hidden="0" customWidth="1"/>
    <x:col min="2" max="2" width="20" hidden="0" customWidth="1"/>
  </x:cols>
  <x:sheetData>
    <x:row r="1" ht="28" customHeight="1">
      <x:c r="A1" s="18" t="str">
        <x:v>RBA-1 | Capital allocation</x:v>
      </x:c>
      <x:c r="B1" s="18"/>
    </x:row>
    <x:row r="2" ht="28" customHeight="1">
      <x:c r="A2" s="19" t="str">
        <x:v>USD millions, real 2026. RBA-1 remains fully nested inside the RAS-1 parent.</x:v>
      </x:c>
      <x:c r="B2" s="19"/>
    </x:row>
    <x:row r="3" ht="18" customHeight="1">
      <x:c r="A3" s="20"/>
      <x:c r="B3" s="20"/>
    </x:row>
    <x:row r="4" ht="18" customHeight="1">
      <x:c r="A4" s="21" t="str">
        <x:v>Account</x:v>
      </x:c>
      <x:c r="B4" s="21" t="str">
        <x:v>USD M</x:v>
      </x:c>
    </x:row>
    <x:row r="5" ht="18" customHeight="1">
      <x:c r="A5" s="14" t="str">
        <x:v>source receiving and secure custody</x:v>
      </x:c>
      <x:c r="B5" s="14" t="n">
        <x:v>8</x:v>
      </x:c>
    </x:row>
    <x:row r="6" ht="18" customHeight="1">
      <x:c r="A6" s="14" t="str">
        <x:v>low-source insert and containment tooling</x:v>
      </x:c>
      <x:c r="B6" s="14" t="n">
        <x:v>7</x:v>
      </x:c>
    </x:row>
    <x:row r="7" ht="18" customHeight="1">
      <x:c r="A7" s="14" t="str">
        <x:v>independent metrology and ancestry roots</x:v>
      </x:c>
      <x:c r="B7" s="14" t="n">
        <x:v>6</x:v>
      </x:c>
    </x:row>
    <x:row r="8" ht="18" customHeight="1">
      <x:c r="A8" s="14" t="str">
        <x:v>final-element and safeing hardware</x:v>
      </x:c>
      <x:c r="B8" s="14" t="n">
        <x:v>4</x:v>
      </x:c>
    </x:row>
    <x:row r="9" ht="18" customHeight="1">
      <x:c r="A9" s="14" t="str">
        <x:v>evidence and causal-time systems</x:v>
      </x:c>
      <x:c r="B9" s="14" t="n">
        <x:v>4</x:v>
      </x:c>
    </x:row>
    <x:row r="10" ht="18" customHeight="1">
      <x:c r="A10" s="14" t="str">
        <x:v>robotic recovery and decontamination</x:v>
      </x:c>
      <x:c r="B10" s="14" t="n">
        <x:v>3</x:v>
      </x:c>
    </x:row>
    <x:row r="11" ht="18" customHeight="1">
      <x:c r="A11" s="14" t="str">
        <x:v>environment and waste infrastructure</x:v>
      </x:c>
      <x:c r="B11" s="14" t="n">
        <x:v>2</x:v>
      </x:c>
    </x:row>
    <x:row r="12" ht="18" customHeight="1">
      <x:c r="A12" s="14" t="str">
        <x:v>independent review and remote replay facilities</x:v>
      </x:c>
      <x:c r="B12" s="14" t="n">
        <x:v>2</x:v>
      </x:c>
    </x:row>
    <x:row r="13" ht="18" customHeight="1">
      <x:c r="A13" s="14" t="str">
        <x:v>total</x:v>
      </x:c>
      <x:c r="B13" s="14" t="n">
        <x:f>SUM(B5:B12)</x:f>
        <x:v>36</x:v>
      </x:c>
    </x:row>
    <x:row r="14" ht="18" customHeight="1">
      <x:c r="A14" s="14" t="str">
        <x:v>RAS-1 parent</x:v>
      </x:c>
      <x:c r="B14" s="14" t="n">
        <x:f>'Controls'!$B$46</x:f>
        <x:v>620</x:v>
      </x:c>
    </x:row>
    <x:row r="15" ht="18" customHeight="1">
      <x:c r="A15" s="14" t="str">
        <x:v>prior descendants through RAZ-1</x:v>
      </x:c>
      <x:c r="B15" s="14" t="n">
        <x:f>'Controls'!$B$47</x:f>
        <x:v>360</x:v>
      </x:c>
    </x:row>
    <x:row r="16" ht="18" customHeight="1">
      <x:c r="A16" s="14" t="str">
        <x:v>RBA-1 allocation</x:v>
      </x:c>
      <x:c r="B16" s="14" t="n">
        <x:f>'Controls'!$B$42</x:f>
        <x:v>36</x:v>
      </x:c>
    </x:row>
    <x:row r="17" ht="18" customHeight="1">
      <x:c r="A17" s="14" t="str">
        <x:v>parent capital remainder</x:v>
      </x:c>
      <x:c r="B17" s="14" t="n">
        <x:f>B14-B15-B16</x:f>
        <x:v>224</x:v>
      </x:c>
    </x:row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1" hidden="0" customWidth="1"/>
    <x:col min="2" max="2" width="22" hidden="0" customWidth="1"/>
  </x:cols>
  <x:sheetData>
    <x:row r="1" ht="28" customHeight="1">
      <x:c r="A1" s="18" t="str">
        <x:v>RBA-1 | Annual support allocation</x:v>
      </x:c>
      <x:c r="B1" s="18"/>
    </x:row>
    <x:row r="2" ht="28" customHeight="1">
      <x:c r="A2" s="19" t="str">
        <x:v>USD millions per year, real 2026. Six-month stage support equals half the annual amount.</x:v>
      </x:c>
      <x:c r="B2" s="19"/>
    </x:row>
    <x:row r="3" ht="18" customHeight="1">
      <x:c r="A3" s="20"/>
      <x:c r="B3" s="20"/>
    </x:row>
    <x:row r="4" ht="18" customHeight="1">
      <x:c r="A4" s="21" t="str">
        <x:v>Account</x:v>
      </x:c>
      <x:c r="B4" s="21" t="str">
        <x:v>USD M/year</x:v>
      </x:c>
    </x:row>
    <x:row r="5" ht="18" customHeight="1">
      <x:c r="A5" s="14" t="str">
        <x:v>event operations and source custody</x:v>
      </x:c>
      <x:c r="B5" s="14" t="n">
        <x:v>2.5</x:v>
      </x:c>
    </x:row>
    <x:row r="6" ht="18" customHeight="1">
      <x:c r="A6" s="14" t="str">
        <x:v>measurement and evidence</x:v>
      </x:c>
      <x:c r="B6" s="14" t="n">
        <x:v>2</x:v>
      </x:c>
    </x:row>
    <x:row r="7" ht="18" customHeight="1">
      <x:c r="A7" s="14" t="str">
        <x:v>safety rescue and environment</x:v>
      </x:c>
      <x:c r="B7" s="14" t="n">
        <x:v>2</x:v>
      </x:c>
    </x:row>
    <x:row r="8" ht="18" customHeight="1">
      <x:c r="A8" s="14" t="str">
        <x:v>regeneration and waste</x:v>
      </x:c>
      <x:c r="B8" s="14" t="n">
        <x:v>1.5</x:v>
      </x:c>
    </x:row>
    <x:row r="9" ht="18" customHeight="1">
      <x:c r="A9" s="14" t="str">
        <x:v>remote replay and independent boards</x:v>
      </x:c>
      <x:c r="B9" s="14" t="n">
        <x:v>1</x:v>
      </x:c>
    </x:row>
    <x:row r="10" ht="18" customHeight="1">
      <x:c r="A10" s="14" t="str">
        <x:v>technology transition support</x:v>
      </x:c>
      <x:c r="B10" s="14" t="n">
        <x:v>1.5</x:v>
      </x:c>
    </x:row>
    <x:row r="11" ht="18" customHeight="1">
      <x:c r="A11" s="14" t="str">
        <x:v>training and reserve currency</x:v>
      </x:c>
      <x:c r="B11" s="14" t="n">
        <x:v>1.5</x:v>
      </x:c>
    </x:row>
    <x:row r="12" ht="18" customHeight="1">
      <x:c r="A12" s="14" t="str">
        <x:v>total</x:v>
      </x:c>
      <x:c r="B12" s="14" t="n">
        <x:f>SUM(B5:B11)</x:f>
        <x:v>12</x:v>
      </x:c>
    </x:row>
    <x:row r="13" ht="18" customHeight="1">
      <x:c r="A13" s="14" t="str">
        <x:v>RAS-1 parent</x:v>
      </x:c>
      <x:c r="B13" s="14" t="n">
        <x:f>'Controls'!$B$48</x:f>
        <x:v>235</x:v>
      </x:c>
    </x:row>
    <x:row r="14" ht="18" customHeight="1">
      <x:c r="A14" s="14" t="str">
        <x:v>prior descendants through RAZ-1</x:v>
      </x:c>
      <x:c r="B14" s="14" t="n">
        <x:f>'Controls'!$B$49</x:f>
        <x:v>168</x:v>
      </x:c>
    </x:row>
    <x:row r="15" ht="18" customHeight="1">
      <x:c r="A15" s="14" t="str">
        <x:v>RBA-1 allocation</x:v>
      </x:c>
      <x:c r="B15" s="14" t="n">
        <x:f>'Controls'!$B$43</x:f>
        <x:v>12</x:v>
      </x:c>
    </x:row>
    <x:row r="16" ht="18" customHeight="1">
      <x:c r="A16" s="14" t="str">
        <x:v>parent annual-support remainder</x:v>
      </x:c>
      <x:c r="B16" s="14" t="n">
        <x:f>B13-B14-B15</x:f>
        <x:v>55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9" hidden="0" customWidth="1"/>
    <x:col min="5" max="5" width="54" hidden="0" customWidth="1"/>
  </x:cols>
  <x:sheetData>
    <x:row r="1" ht="28" customHeight="1">
      <x:c r="A1" s="18" t="str">
        <x:v>RBA-1 | Quarterly cash-flow view</x:v>
      </x:c>
      <x:c r="B1" s="18"/>
      <x:c r="C1" s="18"/>
      <x:c r="D1" s="18"/>
      <x:c r="E1" s="18"/>
    </x:row>
    <x:row r="2" ht="28" customHeight="1">
      <x:c r="A2" s="19" t="str">
        <x:v>USD millions. Technology is cross-classified separately and is not added to stage exposure.</x:v>
      </x:c>
      <x:c r="B2" s="19"/>
      <x:c r="C2" s="19"/>
      <x:c r="D2" s="19"/>
      <x:c r="E2" s="19"/>
    </x:row>
    <x:row r="3" ht="18" customHeight="1">
      <x:c r="A3" s="20"/>
      <x:c r="B3" s="20"/>
      <x:c r="C3" s="20"/>
      <x:c r="D3" s="20"/>
      <x:c r="E3" s="20"/>
    </x:row>
    <x:row r="4" ht="18" customHeight="1">
      <x:c r="A4" s="21" t="str">
        <x:v>Quarter</x:v>
      </x:c>
      <x:c r="B4" s="21" t="str">
        <x:v>Capital</x:v>
      </x:c>
      <x:c r="C4" s="21" t="str">
        <x:v>Support</x:v>
      </x:c>
      <x:c r="D4" s="21" t="str">
        <x:v>Stage outlay</x:v>
      </x:c>
      <x:c r="E4" s="21" t="str">
        <x:v>Note</x:v>
      </x:c>
    </x:row>
    <x:row r="5" ht="18" customHeight="1">
      <x:c r="A5" s="14" t="str">
        <x:v>Q1</x:v>
      </x:c>
      <x:c r="B5" s="17" t="n">
        <x:v>18</x:v>
      </x:c>
      <x:c r="C5" s="17" t="n">
        <x:v>3</x:v>
      </x:c>
      <x:c r="D5" s="17" t="n">
        <x:f>B5+C5</x:f>
        <x:v>21</x:v>
      </x:c>
      <x:c r="E5" s="14" t="str">
        <x:v>RBA-1 six-month stage</x:v>
      </x:c>
    </x:row>
    <x:row r="6" ht="18" customHeight="1">
      <x:c r="A6" s="14" t="str">
        <x:v>Q2</x:v>
      </x:c>
      <x:c r="B6" s="17" t="n">
        <x:v>18</x:v>
      </x:c>
      <x:c r="C6" s="17" t="n">
        <x:v>3</x:v>
      </x:c>
      <x:c r="D6" s="17" t="n">
        <x:f>B6+C6</x:f>
        <x:v>21</x:v>
      </x:c>
      <x:c r="E6" s="14" t="str">
        <x:v>RBA-1 six-month stage</x:v>
      </x:c>
    </x:row>
    <x:row r="7" ht="18" customHeight="1">
      <x:c r="A7" s="14" t="str">
        <x:v>Q3</x:v>
      </x:c>
      <x:c r="B7" s="17" t="n">
        <x:v>0</x:v>
      </x:c>
      <x:c r="C7" s="17" t="n">
        <x:v>0</x:v>
      </x:c>
      <x:c r="D7" s="17" t="n">
        <x:f>B7+C7</x:f>
        <x:v>0</x:v>
      </x:c>
      <x:c r="E7" s="14" t="str">
        <x:v>no RBA-1 stage outlay</x:v>
      </x:c>
    </x:row>
    <x:row r="8" ht="18" customHeight="1">
      <x:c r="A8" s="14" t="str">
        <x:v>Q4</x:v>
      </x:c>
      <x:c r="B8" s="17" t="n">
        <x:v>0</x:v>
      </x:c>
      <x:c r="C8" s="17" t="n">
        <x:v>0</x:v>
      </x:c>
      <x:c r="D8" s="17" t="n">
        <x:f>B8+C8</x:f>
        <x:v>0</x:v>
      </x:c>
      <x:c r="E8" s="14" t="str">
        <x:v>no RBA-1 stage outlay</x:v>
      </x:c>
    </x:row>
    <x:row r="9" ht="18" customHeight="1">
      <x:c r="A9" s="14" t="str">
        <x:v>Q5</x:v>
      </x:c>
      <x:c r="B9" s="17" t="n">
        <x:v>0</x:v>
      </x:c>
      <x:c r="C9" s="17" t="n">
        <x:v>0</x:v>
      </x:c>
      <x:c r="D9" s="17" t="n">
        <x:f>B9+C9</x:f>
        <x:v>0</x:v>
      </x:c>
      <x:c r="E9" s="14" t="str">
        <x:v>no RBA-1 stage outlay</x:v>
      </x:c>
    </x:row>
    <x:row r="10" ht="18" customHeight="1">
      <x:c r="A10" s="14" t="str">
        <x:v>Q6</x:v>
      </x:c>
      <x:c r="B10" s="17" t="n">
        <x:v>0</x:v>
      </x:c>
      <x:c r="C10" s="17" t="n">
        <x:v>0</x:v>
      </x:c>
      <x:c r="D10" s="17" t="n">
        <x:f>B10+C10</x:f>
        <x:v>0</x:v>
      </x:c>
      <x:c r="E10" s="14" t="str">
        <x:v>no RBA-1 stage outlay</x:v>
      </x:c>
    </x:row>
    <x:row r="11" ht="18" customHeight="1">
      <x:c r="A11" s="14" t="str">
        <x:v>Q7</x:v>
      </x:c>
      <x:c r="B11" s="17" t="n">
        <x:v>0</x:v>
      </x:c>
      <x:c r="C11" s="17" t="n">
        <x:v>0</x:v>
      </x:c>
      <x:c r="D11" s="17" t="n">
        <x:f>B11+C11</x:f>
        <x:v>0</x:v>
      </x:c>
      <x:c r="E11" s="14" t="str">
        <x:v>no RBA-1 stage outlay</x:v>
      </x:c>
    </x:row>
    <x:row r="12" ht="18" customHeight="1">
      <x:c r="A12" s="14" t="str">
        <x:v>Q8</x:v>
      </x:c>
      <x:c r="B12" s="17" t="n">
        <x:v>0</x:v>
      </x:c>
      <x:c r="C12" s="17" t="n">
        <x:v>0</x:v>
      </x:c>
      <x:c r="D12" s="17" t="n">
        <x:f>B12+C12</x:f>
        <x:v>0</x:v>
      </x:c>
      <x:c r="E12" s="14" t="str">
        <x:v>no RBA-1 stage outlay</x:v>
      </x:c>
    </x:row>
    <x:row r="13" ht="18" customHeight="1">
      <x:c r="A13" s="14" t="str">
        <x:v>TOTAL</x:v>
      </x:c>
      <x:c r="B13" s="17" t="n">
        <x:f>SUM(B5:B12)</x:f>
        <x:v>36</x:v>
      </x:c>
      <x:c r="C13" s="17" t="n">
        <x:f>SUM(C5:C12)</x:f>
        <x:v>6</x:v>
      </x:c>
      <x:c r="D13" s="17" t="n">
        <x:f>SUM(D5:D12)</x:f>
        <x:v>42</x:v>
      </x:c>
      <x:c r="E13" s="14" t="str"/>
    </x:row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3" hidden="0" customWidth="1"/>
    <x:col min="4" max="4" width="23" hidden="0" customWidth="1"/>
    <x:col min="5" max="5" width="25" hidden="0" customWidth="1"/>
    <x:col min="6" max="6" width="48" hidden="0" customWidth="1"/>
  </x:cols>
  <x:sheetData>
    <x:row r="1" ht="28" customHeight="1">
      <x:c r="A1" s="18" t="str">
        <x:v>RBA-1 | Parent and child reconciliation</x:v>
      </x:c>
      <x:c r="B1" s="18"/>
      <x:c r="C1" s="18"/>
      <x:c r="D1" s="18"/>
      <x:c r="E1" s="18"/>
      <x:c r="F1" s="18"/>
    </x:row>
    <x:row r="2" ht="28" customHeight="1">
      <x:c r="A2" s="19" t="str">
        <x:v>Arithmetic headroom is not schedule, source or downstream authority.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Boundary</x:v>
      </x:c>
      <x:c r="B4" s="21" t="str">
        <x:v>Capital USD M</x:v>
      </x:c>
      <x:c r="C4" s="21" t="str">
        <x:v>Annual USD M/year</x:v>
      </x:c>
      <x:c r="D4" s="21" t="str">
        <x:v>Technology USD M</x:v>
      </x:c>
      <x:c r="E4" s="21" t="str">
        <x:v>Program exposure USD M</x:v>
      </x:c>
      <x:c r="F4" s="21" t="str">
        <x:v>Interpretation</x:v>
      </x:c>
    </x:row>
    <x:row r="5" ht="18" customHeight="1">
      <x:c r="A5" s="14" t="str">
        <x:v>RAS-1 parent</x:v>
      </x:c>
      <x:c r="B5" s="17" t="n">
        <x:v>620</x:v>
      </x:c>
      <x:c r="C5" s="17" t="n">
        <x:v>235</x:v>
      </x:c>
      <x:c r="D5" s="17" t="n">
        <x:v>1005</x:v>
      </x:c>
      <x:c r="E5" s="17" t="n">
        <x:v>1207.5</x:v>
      </x:c>
      <x:c r="F5" s="14" t="str">
        <x:v>thirty-month gross parent</x:v>
      </x:c>
    </x:row>
    <x:row r="6" ht="18" customHeight="1">
      <x:c r="A6" s="14" t="str">
        <x:v>prior descendants through RAZ-1</x:v>
      </x:c>
      <x:c r="B6" s="17" t="n">
        <x:v>360</x:v>
      </x:c>
      <x:c r="C6" s="17" t="n">
        <x:v>168</x:v>
      </x:c>
      <x:c r="D6" s="17" t="n">
        <x:v>470</x:v>
      </x:c>
      <x:c r="E6" s="17" t="n">
        <x:v>608</x:v>
      </x:c>
      <x:c r="F6" s="14" t="str">
        <x:v>cumulative stage exposure through month 66</x:v>
      </x:c>
    </x:row>
    <x:row r="7" ht="18" customHeight="1">
      <x:c r="A7" s="14" t="str">
        <x:v>RBA-1</x:v>
      </x:c>
      <x:c r="B7" s="17" t="n">
        <x:v>36</x:v>
      </x:c>
      <x:c r="C7" s="17" t="n">
        <x:v>12</x:v>
      </x:c>
      <x:c r="D7" s="17" t="n">
        <x:v>80</x:v>
      </x:c>
      <x:c r="E7" s="17" t="n">
        <x:v>42</x:v>
      </x:c>
      <x:c r="F7" s="14" t="str">
        <x:v>six-month stage exposure</x:v>
      </x:c>
    </x:row>
    <x:row r="8" ht="18" customHeight="1">
      <x:c r="A8" s="14" t="str">
        <x:v>remaining allocation</x:v>
      </x:c>
      <x:c r="B8" s="17" t="n">
        <x:f>B5-B6-B7</x:f>
        <x:v>224</x:v>
      </x:c>
      <x:c r="C8" s="17" t="n">
        <x:f>C5-C6-C7</x:f>
        <x:v>55</x:v>
      </x:c>
      <x:c r="D8" s="17" t="n">
        <x:f>D5-D6-D7</x:f>
        <x:v>455</x:v>
      </x:c>
      <x:c r="E8" s="17" t="n">
        <x:f>E5-E6-E7</x:f>
        <x:v>557.5</x:v>
      </x:c>
      <x:c r="F8" s="14" t="str">
        <x:v>parent less prior descendants and RBA-1</x:v>
      </x:c>
    </x:row>
    <x:row r="9" ht="18" customHeight="1">
      <x:c r="A9" s="14" t="str">
        <x:v>cumulative child-stage exposure</x:v>
      </x:c>
      <x:c r="B9" s="17" t="n">
        <x:f>B6+B7</x:f>
        <x:v>396</x:v>
      </x:c>
      <x:c r="C9" s="17" t="n">
        <x:f>C6+C7</x:f>
        <x:v>180</x:v>
      </x:c>
      <x:c r="D9" s="17" t="n">
        <x:f>D6+D7</x:f>
        <x:v>550</x:v>
      </x:c>
      <x:c r="E9" s="17" t="n">
        <x:f>E6+E7</x:f>
        <x:v>650</x:v>
      </x:c>
      <x:c r="F9" s="14" t="str">
        <x:v>prior 608 plus 42</x:v>
      </x:c>
    </x:row>
    <x:row r="10" ht="18" customHeight="1">
      <x:c r="A10" s="14" t="str">
        <x:v>arithmetic exposure headroom</x:v>
      </x:c>
      <x:c r="B10" s="17" t="n">
        <x:f>B5-B9</x:f>
        <x:v>224</x:v>
      </x:c>
      <x:c r="C10" s="17" t="n">
        <x:f>C5-C9</x:f>
        <x:v>55</x:v>
      </x:c>
      <x:c r="D10" s="17" t="n">
        <x:f>D5-D9</x:f>
        <x:v>455</x:v>
      </x:c>
      <x:c r="E10" s="17" t="n">
        <x:f>E5-E9</x:f>
        <x:v>557.5</x:v>
      </x:c>
      <x:c r="F10" s="14" t="str">
        <x:v>parent 1207.5 less cumulative 650</x:v>
      </x:c>
    </x:row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39" hidden="0" customWidth="1"/>
    <x:col min="3" max="3" width="16" hidden="0" customWidth="1"/>
    <x:col min="4" max="4" width="58" hidden="0" customWidth="1"/>
    <x:col min="5" max="5" width="15" hidden="0" customWidth="1"/>
  </x:cols>
  <x:sheetData>
    <x:row r="1" ht="28" customHeight="1">
      <x:c r="A1" s="18" t="str">
        <x:v>RBA-1 | Ten mission-led technology programs</x:v>
      </x:c>
      <x:c r="B1" s="18"/>
      <x:c r="C1" s="18"/>
      <x:c r="D1" s="18"/>
      <x:c r="E1" s="18"/>
    </x:row>
    <x:row r="2" ht="28" customHeight="1">
      <x:c r="A2" s="19" t="str">
        <x:v>These programs authorize invention; they do not assume integrated capability already exists.</x:v>
      </x:c>
      <x:c r="B2" s="19"/>
      <x:c r="C2" s="19"/>
      <x:c r="D2" s="19"/>
      <x:c r="E2" s="19"/>
    </x:row>
    <x:row r="3" ht="18" customHeight="1">
      <x:c r="A3" s="20"/>
      <x:c r="B3" s="20"/>
      <x:c r="C3" s="20"/>
      <x:c r="D3" s="20"/>
      <x:c r="E3" s="20"/>
    </x:row>
    <x:row r="4" ht="18" customHeight="1">
      <x:c r="A4" s="21" t="str">
        <x:v>Program</x:v>
      </x:c>
      <x:c r="B4" s="21" t="str">
        <x:v>Technology</x:v>
      </x:c>
      <x:c r="C4" s="21" t="str">
        <x:v>USD M</x:v>
      </x:c>
      <x:c r="D4" s="21" t="str">
        <x:v>First-event deliverable</x:v>
      </x:c>
      <x:c r="E4" s="21" t="str">
        <x:v>State</x:v>
      </x:c>
    </x:row>
    <x:row r="5" ht="18" customHeight="1">
      <x:c r="A5" s="14" t="str">
        <x:v>RBA-T01</x:v>
      </x:c>
      <x:c r="B5" s="14" t="str">
        <x:v>source inventory tomography</x:v>
      </x:c>
      <x:c r="C5" s="14" t="n">
        <x:v>12</x:v>
      </x:c>
      <x:c r="D5" s="14" t="str">
        <x:v>distributed real-time mass location</x:v>
      </x:c>
      <x:c r="E5" s="14" t="str">
        <x:v>OPEN</x:v>
      </x:c>
    </x:row>
    <x:row r="6" ht="18" customHeight="1">
      <x:c r="A6" s="14" t="str">
        <x:v>RBA-T02</x:v>
      </x:c>
      <x:c r="B6" s="14" t="str">
        <x:v>orthogonal molecular ancestry</x:v>
      </x:c>
      <x:c r="C6" s="14" t="n">
        <x:v>10</x:v>
      </x:c>
      <x:c r="D6" s="14" t="str">
        <x:v>heat-tolerant optical and electrochemical codes</x:v>
      </x:c>
      <x:c r="E6" s="14" t="str">
        <x:v>OPEN</x:v>
      </x:c>
    </x:row>
    <x:row r="7" ht="18" customHeight="1">
      <x:c r="A7" s="14" t="str">
        <x:v>RBA-T03</x:v>
      </x:c>
      <x:c r="B7" s="14" t="str">
        <x:v>self-identifying source capsules</x:v>
      </x:c>
      <x:c r="C7" s="14" t="n">
        <x:v>8</x:v>
      </x:c>
      <x:c r="D7" s="14" t="str">
        <x:v>sealed identity condition and split history</x:v>
      </x:c>
      <x:c r="E7" s="14" t="str">
        <x:v>OPEN</x:v>
      </x:c>
    </x:row>
    <x:row r="8" ht="18" customHeight="1">
      <x:c r="A8" s="14" t="str">
        <x:v>RBA-T04</x:v>
      </x:c>
      <x:c r="B8" s="14" t="str">
        <x:v>passive terminal-state memory</x:v>
      </x:c>
      <x:c r="C8" s="14" t="n">
        <x:v>8</x:v>
      </x:c>
      <x:c r="D8" s="14" t="str">
        <x:v>mechanism-local state without power</x:v>
      </x:c>
      <x:c r="E8" s="14" t="str">
        <x:v>OPEN</x:v>
      </x:c>
    </x:row>
    <x:row r="9" ht="18" customHeight="1">
      <x:c r="A9" s="14" t="str">
        <x:v>RBA-T05</x:v>
      </x:c>
      <x:c r="B9" s="14" t="str">
        <x:v>resilient causal time</x:v>
      </x:c>
      <x:c r="C9" s="14" t="n">
        <x:v>7</x:v>
      </x:c>
      <x:c r="D9" s="14" t="str">
        <x:v>offline clocks with post-event reconciliation</x:v>
      </x:c>
      <x:c r="E9" s="14" t="str">
        <x:v>OPEN</x:v>
      </x:c>
    </x:row>
    <x:row r="10" ht="18" customHeight="1">
      <x:c r="A10" s="14" t="str">
        <x:v>RBA-T06</x:v>
      </x:c>
      <x:c r="B10" s="14" t="str">
        <x:v>thermal-field tomography</x:v>
      </x:c>
      <x:c r="C10" s="14" t="n">
        <x:v>8</x:v>
      </x:c>
      <x:c r="D10" s="14" t="str">
        <x:v>rugged sparse flame and boundary reconstruction</x:v>
      </x:c>
      <x:c r="E10" s="14" t="str">
        <x:v>OPEN</x:v>
      </x:c>
    </x:row>
    <x:row r="11" ht="18" customHeight="1">
      <x:c r="A11" s="14" t="str">
        <x:v>RBA-T07</x:v>
      </x:c>
      <x:c r="B11" s="14" t="str">
        <x:v>autonomous contamination search</x:v>
      </x:c>
      <x:c r="C11" s="14" t="n">
        <x:v>8</x:v>
      </x:c>
      <x:c r="D11" s="14" t="str">
        <x:v>robotic trace-residue mapping</x:v>
      </x:c>
      <x:c r="E11" s="14" t="str">
        <x:v>OPEN</x:v>
      </x:c>
    </x:row>
    <x:row r="12" ht="18" customHeight="1">
      <x:c r="A12" s="14" t="str">
        <x:v>RBA-T08</x:v>
      </x:c>
      <x:c r="B12" s="14" t="str">
        <x:v>selective source-water separation</x:v>
      </x:c>
      <x:c r="C12" s="14" t="n">
        <x:v>8</x:v>
      </x:c>
      <x:c r="D12" s="14" t="str">
        <x:v>recover mixed liquid without erasing ancestry</x:v>
      </x:c>
      <x:c r="E12" s="14" t="str">
        <x:v>OPEN</x:v>
      </x:c>
    </x:row>
    <x:row r="13" ht="18" customHeight="1">
      <x:c r="A13" s="14" t="str">
        <x:v>RBA-T09</x:v>
      </x:c>
      <x:c r="B13" s="14" t="str">
        <x:v>machine-readable safety cases</x:v>
      </x:c>
      <x:c r="C13" s="14" t="n">
        <x:v>6</x:v>
      </x:c>
      <x:c r="D13" s="14" t="str">
        <x:v>compile 205-object event issue</x:v>
      </x:c>
      <x:c r="E13" s="14" t="str">
        <x:v>OPEN</x:v>
      </x:c>
    </x:row>
    <x:row r="14" ht="18" customHeight="1">
      <x:c r="A14" s="14" t="str">
        <x:v>RBA-T10</x:v>
      </x:c>
      <x:c r="B14" s="14" t="str">
        <x:v>source-exposed digital baseline</x:v>
      </x:c>
      <x:c r="C14" s="14" t="n">
        <x:v>5</x:v>
      </x:c>
      <x:c r="D14" s="14" t="str">
        <x:v>inspection blanks calibration and parts state</x:v>
      </x:c>
      <x:c r="E14" s="14" t="str">
        <x:v>OPEN</x:v>
      </x:c>
    </x:row>
    <x:row r="15" ht="18" customHeight="1">
      <x:c r="A15" s="14" t="str">
        <x:v>TOTAL</x:v>
      </x:c>
      <x:c r="B15" s="14" t="str"/>
      <x:c r="C15" s="14" t="n">
        <x:f>SUM(C5:C14)</x:f>
        <x:v>80</x:v>
      </x:c>
      <x:c r="D15" s="14" t="str">
        <x:v>cross-classified inside RAS-1</x:v>
      </x:c>
      <x:c r="E15" s="14" t="str">
        <x:v>OPEN</x:v>
      </x:c>
    </x:row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E5:E15">
    <x:cfRule type="containsText" dxfId="200" priority="1" operator="containsText" text="ACCEPTED"/>
    <x:cfRule type="containsText" dxfId="201" priority="2" operator="containsText" text="PASS"/>
    <x:cfRule type="containsText" dxfId="202" priority="3" operator="containsText" text="OPEN"/>
    <x:cfRule type="containsText" dxfId="203" priority="4" operator="containsText" text="BLOCKED"/>
    <x:cfRule type="containsText" dxfId="204" priority="5" operator="containsText" text="REJECTED"/>
  </x:conditionalFormatting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17" hidden="0" customWidth="1"/>
    <x:col min="4" max="4" width="24" hidden="0" customWidth="1"/>
    <x:col min="5" max="5" width="20" hidden="0" customWidth="1"/>
    <x:col min="6" max="6" width="20" hidden="0" customWidth="1"/>
    <x:col min="7" max="7" width="15" hidden="0" customWidth="1"/>
    <x:col min="8" max="8" width="49" hidden="0" customWidth="1"/>
  </x:cols>
  <x:sheetData>
    <x:row r="1" ht="28" customHeight="1">
      <x:c r="A1" s="18" t="str">
        <x:v>RBA-1 | Ninety-six executable behavioral cases</x:v>
      </x:c>
      <x:c r="B1" s="18"/>
      <x:c r="C1" s="18"/>
      <x:c r="D1" s="18"/>
      <x:c r="E1" s="18"/>
      <x:c r="F1" s="18"/>
      <x:c r="G1" s="18"/>
      <x:c r="H1" s="18"/>
    </x:row>
    <x:row r="2" ht="28" customHeight="1">
      <x:c r="A2" s="19" t="str">
        <x:v>Synthetic threshold cases verify decision direction without filling any physical event field.</x:v>
      </x:c>
      <x:c r="B2" s="19"/>
      <x:c r="C2" s="19"/>
      <x:c r="D2" s="19"/>
      <x:c r="E2" s="19"/>
      <x:c r="F2" s="19"/>
      <x:c r="G2" s="19"/>
      <x:c r="H2" s="19"/>
    </x:row>
    <x:row r="3" ht="18" customHeight="1">
      <x:c r="A3" s="20"/>
      <x:c r="B3" s="20"/>
      <x:c r="C3" s="20"/>
      <x:c r="D3" s="20"/>
      <x:c r="E3" s="20"/>
      <x:c r="F3" s="20"/>
      <x:c r="G3" s="20"/>
      <x:c r="H3" s="20"/>
    </x:row>
    <x:row r="4" ht="18" customHeight="1">
      <x:c r="A4" s="21" t="str">
        <x:v>Test</x:v>
      </x:c>
      <x:c r="B4" s="21" t="str">
        <x:v>Domain</x:v>
      </x:c>
      <x:c r="C4" s="21" t="str">
        <x:v>Input A</x:v>
      </x:c>
      <x:c r="D4" s="21" t="str">
        <x:v>Input B</x:v>
      </x:c>
      <x:c r="E4" s="21" t="str">
        <x:v>Calculated</x:v>
      </x:c>
      <x:c r="F4" s="21" t="str">
        <x:v>Expected</x:v>
      </x:c>
      <x:c r="G4" s="21" t="str">
        <x:v>Status</x:v>
      </x:c>
      <x:c r="H4" s="21" t="str">
        <x:v>Rule</x:v>
      </x:c>
    </x:row>
    <x:row r="5" ht="18" customHeight="1">
      <x:c r="A5" s="14" t="str">
        <x:v>XT-001</x:v>
      </x:c>
      <x:c r="B5" s="14" t="str">
        <x:v>selection</x:v>
      </x:c>
      <x:c r="C5" s="14" t="n">
        <x:v>0</x:v>
      </x:c>
      <x:c r="D5" s="14" t="str">
        <x:v>ACCEPTED</x:v>
      </x:c>
      <x:c r="E5" s="14" t="str">
        <x:f>IF(AND(C5=24,D5="ACCEPTED"),"READY","BLOCKED")</x:f>
        <x:v>BLOCKED</x:v>
      </x:c>
      <x:c r="F5" s="14" t="str">
        <x:v>BLOCKED</x:v>
      </x:c>
      <x:c r="G5" s="14" t="str">
        <x:f>IF(E5=F5,"PASS","FAIL")</x:f>
        <x:v>PASS</x:v>
      </x:c>
      <x:c r="H5" s="14" t="str">
        <x:v>exactly 24 eligible and draw accepted</x:v>
      </x:c>
    </x:row>
    <x:row r="6" ht="18" customHeight="1">
      <x:c r="A6" s="14" t="str">
        <x:v>XT-002</x:v>
      </x:c>
      <x:c r="B6" s="14" t="str">
        <x:v>selection</x:v>
      </x:c>
      <x:c r="C6" s="14" t="n">
        <x:v>1</x:v>
      </x:c>
      <x:c r="D6" s="14" t="str">
        <x:v>ACCEPTED</x:v>
      </x:c>
      <x:c r="E6" s="14" t="str">
        <x:f>IF(AND(C6=24,D6="ACCEPTED"),"READY","BLOCKED")</x:f>
        <x:v>BLOCKED</x:v>
      </x:c>
      <x:c r="F6" s="14" t="str">
        <x:v>BLOCKED</x:v>
      </x:c>
      <x:c r="G6" s="14" t="str">
        <x:f>IF(E6=F6,"PASS","FAIL")</x:f>
        <x:v>PASS</x:v>
      </x:c>
      <x:c r="H6" s="14" t="str">
        <x:v>exactly 24 eligible and draw accepted</x:v>
      </x:c>
    </x:row>
    <x:row r="7" ht="18" customHeight="1">
      <x:c r="A7" s="14" t="str">
        <x:v>XT-003</x:v>
      </x:c>
      <x:c r="B7" s="14" t="str">
        <x:v>selection</x:v>
      </x:c>
      <x:c r="C7" s="14" t="n">
        <x:v>23</x:v>
      </x:c>
      <x:c r="D7" s="14" t="str">
        <x:v>ACCEPTED</x:v>
      </x:c>
      <x:c r="E7" s="14" t="str">
        <x:f>IF(AND(C7=24,D7="ACCEPTED"),"READY","BLOCKED")</x:f>
        <x:v>BLOCKED</x:v>
      </x:c>
      <x:c r="F7" s="14" t="str">
        <x:v>BLOCKED</x:v>
      </x:c>
      <x:c r="G7" s="14" t="str">
        <x:f>IF(E7=F7,"PASS","FAIL")</x:f>
        <x:v>PASS</x:v>
      </x:c>
      <x:c r="H7" s="14" t="str">
        <x:v>exactly 24 eligible and draw accepted</x:v>
      </x:c>
    </x:row>
    <x:row r="8" ht="18" customHeight="1">
      <x:c r="A8" s="14" t="str">
        <x:v>XT-004</x:v>
      </x:c>
      <x:c r="B8" s="14" t="str">
        <x:v>selection</x:v>
      </x:c>
      <x:c r="C8" s="14" t="n">
        <x:v>24</x:v>
      </x:c>
      <x:c r="D8" s="14" t="str">
        <x:v>ACCEPTED</x:v>
      </x:c>
      <x:c r="E8" s="14" t="str">
        <x:f>IF(AND(C8=24,D8="ACCEPTED"),"READY","BLOCKED")</x:f>
        <x:v>READY</x:v>
      </x:c>
      <x:c r="F8" s="14" t="str">
        <x:v>READY</x:v>
      </x:c>
      <x:c r="G8" s="14" t="str">
        <x:f>IF(E8=F8,"PASS","FAIL")</x:f>
        <x:v>PASS</x:v>
      </x:c>
      <x:c r="H8" s="14" t="str">
        <x:v>exactly 24 eligible and draw accepted</x:v>
      </x:c>
    </x:row>
    <x:row r="9" ht="18" customHeight="1">
      <x:c r="A9" s="14" t="str">
        <x:v>XT-005</x:v>
      </x:c>
      <x:c r="B9" s="14" t="str">
        <x:v>selection</x:v>
      </x:c>
      <x:c r="C9" s="14" t="n">
        <x:v>25</x:v>
      </x:c>
      <x:c r="D9" s="14" t="str">
        <x:v>ACCEPTED</x:v>
      </x:c>
      <x:c r="E9" s="14" t="str">
        <x:f>IF(AND(C9=24,D9="ACCEPTED"),"READY","BLOCKED")</x:f>
        <x:v>BLOCKED</x:v>
      </x:c>
      <x:c r="F9" s="14" t="str">
        <x:v>BLOCKED</x:v>
      </x:c>
      <x:c r="G9" s="14" t="str">
        <x:f>IF(E9=F9,"PASS","FAIL")</x:f>
        <x:v>PASS</x:v>
      </x:c>
      <x:c r="H9" s="14" t="str">
        <x:v>exactly 24 eligible and draw accepted</x:v>
      </x:c>
    </x:row>
    <x:row r="10" ht="18" customHeight="1">
      <x:c r="A10" s="14" t="str">
        <x:v>XT-006</x:v>
      </x:c>
      <x:c r="B10" s="14" t="str">
        <x:v>selection</x:v>
      </x:c>
      <x:c r="C10" s="14" t="n">
        <x:v>24</x:v>
      </x:c>
      <x:c r="D10" s="14" t="str">
        <x:v>OPEN</x:v>
      </x:c>
      <x:c r="E10" s="14" t="str">
        <x:f>IF(AND(C10=24,D10="ACCEPTED"),"READY","BLOCKED")</x:f>
        <x:v>BLOCKED</x:v>
      </x:c>
      <x:c r="F10" s="14" t="str">
        <x:v>BLOCKED</x:v>
      </x:c>
      <x:c r="G10" s="14" t="str">
        <x:f>IF(E10=F10,"PASS","FAIL")</x:f>
        <x:v>PASS</x:v>
      </x:c>
      <x:c r="H10" s="14" t="str">
        <x:v>exactly 24 eligible and draw accepted</x:v>
      </x:c>
    </x:row>
    <x:row r="11" ht="18" customHeight="1">
      <x:c r="A11" s="14" t="str">
        <x:v>XT-007</x:v>
      </x:c>
      <x:c r="B11" s="14" t="str">
        <x:v>selection</x:v>
      </x:c>
      <x:c r="C11" s="14" t="n">
        <x:v>24</x:v>
      </x:c>
      <x:c r="D11" s="14" t="str">
        <x:v>REJECTED</x:v>
      </x:c>
      <x:c r="E11" s="14" t="str">
        <x:f>IF(AND(C11=24,D11="ACCEPTED"),"READY","BLOCKED")</x:f>
        <x:v>BLOCKED</x:v>
      </x:c>
      <x:c r="F11" s="14" t="str">
        <x:v>BLOCKED</x:v>
      </x:c>
      <x:c r="G11" s="14" t="str">
        <x:f>IF(E11=F11,"PASS","FAIL")</x:f>
        <x:v>PASS</x:v>
      </x:c>
      <x:c r="H11" s="14" t="str">
        <x:v>exactly 24 eligible and draw accepted</x:v>
      </x:c>
    </x:row>
    <x:row r="12" ht="18" customHeight="1">
      <x:c r="A12" s="14" t="str">
        <x:v>XT-008</x:v>
      </x:c>
      <x:c r="B12" s="14" t="str">
        <x:v>selection</x:v>
      </x:c>
      <x:c r="C12" s="14" t="n">
        <x:v>22</x:v>
      </x:c>
      <x:c r="D12" s="14" t="str">
        <x:v>OPEN</x:v>
      </x:c>
      <x:c r="E12" s="14" t="str">
        <x:f>IF(AND(C12=24,D12="ACCEPTED"),"READY","BLOCKED")</x:f>
        <x:v>BLOCKED</x:v>
      </x:c>
      <x:c r="F12" s="14" t="str">
        <x:v>BLOCKED</x:v>
      </x:c>
      <x:c r="G12" s="14" t="str">
        <x:f>IF(E12=F12,"PASS","FAIL")</x:f>
        <x:v>PASS</x:v>
      </x:c>
      <x:c r="H12" s="14" t="str">
        <x:v>exactly 24 eligible and draw accepted</x:v>
      </x:c>
    </x:row>
    <x:row r="13" ht="18" customHeight="1">
      <x:c r="A13" s="14" t="str">
        <x:v>XT-009</x:v>
      </x:c>
      <x:c r="B13" s="14" t="str">
        <x:v>lot allocation</x:v>
      </x:c>
      <x:c r="C13" s="14" t="n">
        <x:v>125</x:v>
      </x:c>
      <x:c r="D13" s="14" t="str">
        <x:v>kg</x:v>
      </x:c>
      <x:c r="E13" s="14" t="str">
        <x:f>IF(ABS(C13-125)&lt;=0.001,"PASS","FAIL")</x:f>
        <x:v>PASS</x:v>
      </x:c>
      <x:c r="F13" s="14" t="str">
        <x:v>PASS</x:v>
      </x:c>
      <x:c r="G13" s="14" t="str">
        <x:f>IF(E13=F13,"PASS","FAIL")</x:f>
        <x:v>PASS</x:v>
      </x:c>
      <x:c r="H13" s="14" t="str">
        <x:v>gross split equals 125 kg</x:v>
      </x:c>
    </x:row>
    <x:row r="14" ht="18" customHeight="1">
      <x:c r="A14" s="14" t="str">
        <x:v>XT-010</x:v>
      </x:c>
      <x:c r="B14" s="14" t="str">
        <x:v>lot allocation</x:v>
      </x:c>
      <x:c r="C14" s="14" t="n">
        <x:v>124.9</x:v>
      </x:c>
      <x:c r="D14" s="14" t="str">
        <x:v>kg</x:v>
      </x:c>
      <x:c r="E14" s="14" t="str">
        <x:f>IF(ABS(C14-125)&lt;=0.001,"PASS","FAIL")</x:f>
        <x:v>FAIL</x:v>
      </x:c>
      <x:c r="F14" s="14" t="str">
        <x:v>FAIL</x:v>
      </x:c>
      <x:c r="G14" s="14" t="str">
        <x:f>IF(E14=F14,"PASS","FAIL")</x:f>
        <x:v>PASS</x:v>
      </x:c>
      <x:c r="H14" s="14" t="str">
        <x:v>gross split equals 125 kg</x:v>
      </x:c>
    </x:row>
    <x:row r="15" ht="18" customHeight="1">
      <x:c r="A15" s="14" t="str">
        <x:v>XT-011</x:v>
      </x:c>
      <x:c r="B15" s="14" t="str">
        <x:v>lot allocation</x:v>
      </x:c>
      <x:c r="C15" s="14" t="n">
        <x:v>125.1</x:v>
      </x:c>
      <x:c r="D15" s="14" t="str">
        <x:v>kg</x:v>
      </x:c>
      <x:c r="E15" s="14" t="str">
        <x:f>IF(ABS(C15-125)&lt;=0.001,"PASS","FAIL")</x:f>
        <x:v>FAIL</x:v>
      </x:c>
      <x:c r="F15" s="14" t="str">
        <x:v>FAIL</x:v>
      </x:c>
      <x:c r="G15" s="14" t="str">
        <x:f>IF(E15=F15,"PASS","FAIL")</x:f>
        <x:v>PASS</x:v>
      </x:c>
      <x:c r="H15" s="14" t="str">
        <x:v>gross split equals 125 kg</x:v>
      </x:c>
    </x:row>
    <x:row r="16" ht="18" customHeight="1">
      <x:c r="A16" s="14" t="str">
        <x:v>XT-012</x:v>
      </x:c>
      <x:c r="B16" s="14" t="str">
        <x:v>lot allocation</x:v>
      </x:c>
      <x:c r="C16" s="14" t="n">
        <x:v>0</x:v>
      </x:c>
      <x:c r="D16" s="14" t="str">
        <x:v>kg</x:v>
      </x:c>
      <x:c r="E16" s="14" t="str">
        <x:f>IF(ABS(C16-125)&lt;=0.001,"PASS","FAIL")</x:f>
        <x:v>FAIL</x:v>
      </x:c>
      <x:c r="F16" s="14" t="str">
        <x:v>FAIL</x:v>
      </x:c>
      <x:c r="G16" s="14" t="str">
        <x:f>IF(E16=F16,"PASS","FAIL")</x:f>
        <x:v>PASS</x:v>
      </x:c>
      <x:c r="H16" s="14" t="str">
        <x:v>gross split equals 125 kg</x:v>
      </x:c>
    </x:row>
    <x:row r="17" ht="18" customHeight="1">
      <x:c r="A17" s="14" t="str">
        <x:v>XT-013</x:v>
      </x:c>
      <x:c r="B17" s="14" t="str">
        <x:v>lot allocation</x:v>
      </x:c>
      <x:c r="C17" s="14" t="n">
        <x:v>250</x:v>
      </x:c>
      <x:c r="D17" s="14" t="str">
        <x:v>kg</x:v>
      </x:c>
      <x:c r="E17" s="14" t="str">
        <x:f>IF(ABS(C17-125)&lt;=0.001,"PASS","FAIL")</x:f>
        <x:v>FAIL</x:v>
      </x:c>
      <x:c r="F17" s="14" t="str">
        <x:v>FAIL</x:v>
      </x:c>
      <x:c r="G17" s="14" t="str">
        <x:f>IF(E17=F17,"PASS","FAIL")</x:f>
        <x:v>PASS</x:v>
      </x:c>
      <x:c r="H17" s="14" t="str">
        <x:v>gross split equals 125 kg</x:v>
      </x:c>
    </x:row>
    <x:row r="18" ht="18" customHeight="1">
      <x:c r="A18" s="14" t="str">
        <x:v>XT-014</x:v>
      </x:c>
      <x:c r="B18" s="14" t="str">
        <x:v>lot allocation</x:v>
      </x:c>
      <x:c r="C18" s="14" t="n">
        <x:v>124.999</x:v>
      </x:c>
      <x:c r="D18" s="14" t="str">
        <x:v>kg</x:v>
      </x:c>
      <x:c r="E18" s="14" t="str">
        <x:f>IF(ABS(C18-125)&lt;=0.001,"PASS","FAIL")</x:f>
        <x:v>PASS</x:v>
      </x:c>
      <x:c r="F18" s="14" t="str">
        <x:v>PASS</x:v>
      </x:c>
      <x:c r="G18" s="14" t="str">
        <x:f>IF(E18=F18,"PASS","FAIL")</x:f>
        <x:v>PASS</x:v>
      </x:c>
      <x:c r="H18" s="14" t="str">
        <x:v>gross split equals 125 kg</x:v>
      </x:c>
    </x:row>
    <x:row r="19" ht="18" customHeight="1">
      <x:c r="A19" s="14" t="str">
        <x:v>XT-015</x:v>
      </x:c>
      <x:c r="B19" s="14" t="str">
        <x:v>lot allocation</x:v>
      </x:c>
      <x:c r="C19" s="14" t="n">
        <x:v>125.001</x:v>
      </x:c>
      <x:c r="D19" s="14" t="str">
        <x:v>kg</x:v>
      </x:c>
      <x:c r="E19" s="14" t="str">
        <x:f>IF(ABS(C19-125)&lt;=0.001,"PASS","FAIL")</x:f>
        <x:v>PASS</x:v>
      </x:c>
      <x:c r="F19" s="14" t="str">
        <x:v>PASS</x:v>
      </x:c>
      <x:c r="G19" s="14" t="str">
        <x:f>IF(E19=F19,"PASS","FAIL")</x:f>
        <x:v>PASS</x:v>
      </x:c>
      <x:c r="H19" s="14" t="str">
        <x:v>gross split equals 125 kg</x:v>
      </x:c>
    </x:row>
    <x:row r="20" ht="18" customHeight="1">
      <x:c r="A20" s="14" t="str">
        <x:v>XT-016</x:v>
      </x:c>
      <x:c r="B20" s="14" t="str">
        <x:v>lot allocation</x:v>
      </x:c>
      <x:c r="C20" s="14" t="n">
        <x:v>126</x:v>
      </x:c>
      <x:c r="D20" s="14" t="str">
        <x:v>kg</x:v>
      </x:c>
      <x:c r="E20" s="14" t="str">
        <x:f>IF(ABS(C20-125)&lt;=0.001,"PASS","FAIL")</x:f>
        <x:v>FAIL</x:v>
      </x:c>
      <x:c r="F20" s="14" t="str">
        <x:v>FAIL</x:v>
      </x:c>
      <x:c r="G20" s="14" t="str">
        <x:f>IF(E20=F20,"PASS","FAIL")</x:f>
        <x:v>PASS</x:v>
      </x:c>
      <x:c r="H20" s="14" t="str">
        <x:v>gross split equals 125 kg</x:v>
      </x:c>
    </x:row>
    <x:row r="21" ht="18" customHeight="1">
      <x:c r="A21" s="14" t="str">
        <x:v>XT-017</x:v>
      </x:c>
      <x:c r="B21" s="14" t="str">
        <x:v>mass uncertainty</x:v>
      </x:c>
      <x:c r="C21" s="14" t="n">
        <x:v>0</x:v>
      </x:c>
      <x:c r="D21" s="14" t="str">
        <x:v>kg</x:v>
      </x:c>
      <x:c r="E21" s="14" t="str">
        <x:f>IF(C21&lt;=1.5,"PASS","FAIL")</x:f>
        <x:v>PASS</x:v>
      </x:c>
      <x:c r="F21" s="14" t="str">
        <x:v>PASS</x:v>
      </x:c>
      <x:c r="G21" s="14" t="str">
        <x:f>IF(E21=F21,"PASS","FAIL")</x:f>
        <x:v>PASS</x:v>
      </x:c>
      <x:c r="H21" s="14" t="str">
        <x:v>expanded U &lt;= 1.5 kg</x:v>
      </x:c>
    </x:row>
    <x:row r="22" ht="18" customHeight="1">
      <x:c r="A22" s="14" t="str">
        <x:v>XT-018</x:v>
      </x:c>
      <x:c r="B22" s="14" t="str">
        <x:v>mass uncertainty</x:v>
      </x:c>
      <x:c r="C22" s="14" t="n">
        <x:v>1.1358</x:v>
      </x:c>
      <x:c r="D22" s="14" t="str">
        <x:v>kg</x:v>
      </x:c>
      <x:c r="E22" s="14" t="str">
        <x:f>IF(C22&lt;=1.5,"PASS","FAIL")</x:f>
        <x:v>PASS</x:v>
      </x:c>
      <x:c r="F22" s="14" t="str">
        <x:v>PASS</x:v>
      </x:c>
      <x:c r="G22" s="14" t="str">
        <x:f>IF(E22=F22,"PASS","FAIL")</x:f>
        <x:v>PASS</x:v>
      </x:c>
      <x:c r="H22" s="14" t="str">
        <x:v>expanded U &lt;= 1.5 kg</x:v>
      </x:c>
    </x:row>
    <x:row r="23" ht="18" customHeight="1">
      <x:c r="A23" s="14" t="str">
        <x:v>XT-019</x:v>
      </x:c>
      <x:c r="B23" s="14" t="str">
        <x:v>mass uncertainty</x:v>
      </x:c>
      <x:c r="C23" s="14" t="n">
        <x:v>1.4999</x:v>
      </x:c>
      <x:c r="D23" s="14" t="str">
        <x:v>kg</x:v>
      </x:c>
      <x:c r="E23" s="14" t="str">
        <x:f>IF(C23&lt;=1.5,"PASS","FAIL")</x:f>
        <x:v>PASS</x:v>
      </x:c>
      <x:c r="F23" s="14" t="str">
        <x:v>PASS</x:v>
      </x:c>
      <x:c r="G23" s="14" t="str">
        <x:f>IF(E23=F23,"PASS","FAIL")</x:f>
        <x:v>PASS</x:v>
      </x:c>
      <x:c r="H23" s="14" t="str">
        <x:v>expanded U &lt;= 1.5 kg</x:v>
      </x:c>
    </x:row>
    <x:row r="24" ht="18" customHeight="1">
      <x:c r="A24" s="14" t="str">
        <x:v>XT-020</x:v>
      </x:c>
      <x:c r="B24" s="14" t="str">
        <x:v>mass uncertainty</x:v>
      </x:c>
      <x:c r="C24" s="14" t="n">
        <x:v>1.5</x:v>
      </x:c>
      <x:c r="D24" s="14" t="str">
        <x:v>kg</x:v>
      </x:c>
      <x:c r="E24" s="14" t="str">
        <x:f>IF(C24&lt;=1.5,"PASS","FAIL")</x:f>
        <x:v>PASS</x:v>
      </x:c>
      <x:c r="F24" s="14" t="str">
        <x:v>PASS</x:v>
      </x:c>
      <x:c r="G24" s="14" t="str">
        <x:f>IF(E24=F24,"PASS","FAIL")</x:f>
        <x:v>PASS</x:v>
      </x:c>
      <x:c r="H24" s="14" t="str">
        <x:v>expanded U &lt;= 1.5 kg</x:v>
      </x:c>
    </x:row>
    <x:row r="25" ht="18" customHeight="1">
      <x:c r="A25" s="14" t="str">
        <x:v>XT-021</x:v>
      </x:c>
      <x:c r="B25" s="14" t="str">
        <x:v>mass uncertainty</x:v>
      </x:c>
      <x:c r="C25" s="14" t="n">
        <x:v>1.5001</x:v>
      </x:c>
      <x:c r="D25" s="14" t="str">
        <x:v>kg</x:v>
      </x:c>
      <x:c r="E25" s="14" t="str">
        <x:f>IF(C25&lt;=1.5,"PASS","FAIL")</x:f>
        <x:v>FAIL</x:v>
      </x:c>
      <x:c r="F25" s="14" t="str">
        <x:v>FAIL</x:v>
      </x:c>
      <x:c r="G25" s="14" t="str">
        <x:f>IF(E25=F25,"PASS","FAIL")</x:f>
        <x:v>PASS</x:v>
      </x:c>
      <x:c r="H25" s="14" t="str">
        <x:v>expanded U &lt;= 1.5 kg</x:v>
      </x:c>
    </x:row>
    <x:row r="26" ht="18" customHeight="1">
      <x:c r="A26" s="14" t="str">
        <x:v>XT-022</x:v>
      </x:c>
      <x:c r="B26" s="14" t="str">
        <x:v>mass uncertainty</x:v>
      </x:c>
      <x:c r="C26" s="14" t="n">
        <x:v>2</x:v>
      </x:c>
      <x:c r="D26" s="14" t="str">
        <x:v>kg</x:v>
      </x:c>
      <x:c r="E26" s="14" t="str">
        <x:f>IF(C26&lt;=1.5,"PASS","FAIL")</x:f>
        <x:v>FAIL</x:v>
      </x:c>
      <x:c r="F26" s="14" t="str">
        <x:v>FAIL</x:v>
      </x:c>
      <x:c r="G26" s="14" t="str">
        <x:f>IF(E26=F26,"PASS","FAIL")</x:f>
        <x:v>PASS</x:v>
      </x:c>
      <x:c r="H26" s="14" t="str">
        <x:v>expanded U &lt;= 1.5 kg</x:v>
      </x:c>
    </x:row>
    <x:row r="27" ht="18" customHeight="1">
      <x:c r="A27" s="14" t="str">
        <x:v>XT-023</x:v>
      </x:c>
      <x:c r="B27" s="14" t="str">
        <x:v>mass uncertainty</x:v>
      </x:c>
      <x:c r="C27" s="14" t="n">
        <x:v>0.5</x:v>
      </x:c>
      <x:c r="D27" s="14" t="str">
        <x:v>kg</x:v>
      </x:c>
      <x:c r="E27" s="14" t="str">
        <x:f>IF(C27&lt;=1.5,"PASS","FAIL")</x:f>
        <x:v>PASS</x:v>
      </x:c>
      <x:c r="F27" s="14" t="str">
        <x:v>PASS</x:v>
      </x:c>
      <x:c r="G27" s="14" t="str">
        <x:f>IF(E27=F27,"PASS","FAIL")</x:f>
        <x:v>PASS</x:v>
      </x:c>
      <x:c r="H27" s="14" t="str">
        <x:v>expanded U &lt;= 1.5 kg</x:v>
      </x:c>
    </x:row>
    <x:row r="28" ht="18" customHeight="1">
      <x:c r="A28" s="14" t="str">
        <x:v>XT-024</x:v>
      </x:c>
      <x:c r="B28" s="14" t="str">
        <x:v>mass uncertainty</x:v>
      </x:c>
      <x:c r="C28" s="14" t="n">
        <x:v>3</x:v>
      </x:c>
      <x:c r="D28" s="14" t="str">
        <x:v>kg</x:v>
      </x:c>
      <x:c r="E28" s="14" t="str">
        <x:f>IF(C28&lt;=1.5,"PASS","FAIL")</x:f>
        <x:v>FAIL</x:v>
      </x:c>
      <x:c r="F28" s="14" t="str">
        <x:v>FAIL</x:v>
      </x:c>
      <x:c r="G28" s="14" t="str">
        <x:f>IF(E28=F28,"PASS","FAIL")</x:f>
        <x:v>PASS</x:v>
      </x:c>
      <x:c r="H28" s="14" t="str">
        <x:v>expanded U &lt;= 1.5 kg</x:v>
      </x:c>
    </x:row>
    <x:row r="29" ht="18" customHeight="1">
      <x:c r="A29" s="14" t="str">
        <x:v>XT-025</x:v>
      </x:c>
      <x:c r="B29" s="14" t="str">
        <x:v>unaccounted source</x:v>
      </x:c>
      <x:c r="C29" s="14" t="n">
        <x:v>0</x:v>
      </x:c>
      <x:c r="D29" s="14" t="str">
        <x:v>kg</x:v>
      </x:c>
      <x:c r="E29" s="14" t="str">
        <x:f>IF(C29&lt;=0.75,"PASS","FAIL")</x:f>
        <x:v>PASS</x:v>
      </x:c>
      <x:c r="F29" s="14" t="str">
        <x:v>PASS</x:v>
      </x:c>
      <x:c r="G29" s="14" t="str">
        <x:f>IF(E29=F29,"PASS","FAIL")</x:f>
        <x:v>PASS</x:v>
      </x:c>
      <x:c r="H29" s="14" t="str">
        <x:v>absolute unaccounted &lt;= 0.75 kg</x:v>
      </x:c>
    </x:row>
    <x:row r="30" ht="18" customHeight="1">
      <x:c r="A30" s="14" t="str">
        <x:v>XT-026</x:v>
      </x:c>
      <x:c r="B30" s="14" t="str">
        <x:v>unaccounted source</x:v>
      </x:c>
      <x:c r="C30" s="14" t="n">
        <x:v>0.1</x:v>
      </x:c>
      <x:c r="D30" s="14" t="str">
        <x:v>kg</x:v>
      </x:c>
      <x:c r="E30" s="14" t="str">
        <x:f>IF(C30&lt;=0.75,"PASS","FAIL")</x:f>
        <x:v>PASS</x:v>
      </x:c>
      <x:c r="F30" s="14" t="str">
        <x:v>PASS</x:v>
      </x:c>
      <x:c r="G30" s="14" t="str">
        <x:f>IF(E30=F30,"PASS","FAIL")</x:f>
        <x:v>PASS</x:v>
      </x:c>
      <x:c r="H30" s="14" t="str">
        <x:v>absolute unaccounted &lt;= 0.75 kg</x:v>
      </x:c>
    </x:row>
    <x:row r="31" ht="18" customHeight="1">
      <x:c r="A31" s="14" t="str">
        <x:v>XT-027</x:v>
      </x:c>
      <x:c r="B31" s="14" t="str">
        <x:v>unaccounted source</x:v>
      </x:c>
      <x:c r="C31" s="14" t="n">
        <x:v>0.5</x:v>
      </x:c>
      <x:c r="D31" s="14" t="str">
        <x:v>kg</x:v>
      </x:c>
      <x:c r="E31" s="14" t="str">
        <x:f>IF(C31&lt;=0.75,"PASS","FAIL")</x:f>
        <x:v>PASS</x:v>
      </x:c>
      <x:c r="F31" s="14" t="str">
        <x:v>PASS</x:v>
      </x:c>
      <x:c r="G31" s="14" t="str">
        <x:f>IF(E31=F31,"PASS","FAIL")</x:f>
        <x:v>PASS</x:v>
      </x:c>
      <x:c r="H31" s="14" t="str">
        <x:v>absolute unaccounted &lt;= 0.75 kg</x:v>
      </x:c>
    </x:row>
    <x:row r="32" ht="18" customHeight="1">
      <x:c r="A32" s="14" t="str">
        <x:v>XT-028</x:v>
      </x:c>
      <x:c r="B32" s="14" t="str">
        <x:v>unaccounted source</x:v>
      </x:c>
      <x:c r="C32" s="14" t="n">
        <x:v>0.7499</x:v>
      </x:c>
      <x:c r="D32" s="14" t="str">
        <x:v>kg</x:v>
      </x:c>
      <x:c r="E32" s="14" t="str">
        <x:f>IF(C32&lt;=0.75,"PASS","FAIL")</x:f>
        <x:v>PASS</x:v>
      </x:c>
      <x:c r="F32" s="14" t="str">
        <x:v>PASS</x:v>
      </x:c>
      <x:c r="G32" s="14" t="str">
        <x:f>IF(E32=F32,"PASS","FAIL")</x:f>
        <x:v>PASS</x:v>
      </x:c>
      <x:c r="H32" s="14" t="str">
        <x:v>absolute unaccounted &lt;= 0.75 kg</x:v>
      </x:c>
    </x:row>
    <x:row r="33" ht="18" customHeight="1">
      <x:c r="A33" s="14" t="str">
        <x:v>XT-029</x:v>
      </x:c>
      <x:c r="B33" s="14" t="str">
        <x:v>unaccounted source</x:v>
      </x:c>
      <x:c r="C33" s="14" t="n">
        <x:v>0.75</x:v>
      </x:c>
      <x:c r="D33" s="14" t="str">
        <x:v>kg</x:v>
      </x:c>
      <x:c r="E33" s="14" t="str">
        <x:f>IF(C33&lt;=0.75,"PASS","FAIL")</x:f>
        <x:v>PASS</x:v>
      </x:c>
      <x:c r="F33" s="14" t="str">
        <x:v>PASS</x:v>
      </x:c>
      <x:c r="G33" s="14" t="str">
        <x:f>IF(E33=F33,"PASS","FAIL")</x:f>
        <x:v>PASS</x:v>
      </x:c>
      <x:c r="H33" s="14" t="str">
        <x:v>absolute unaccounted &lt;= 0.75 kg</x:v>
      </x:c>
    </x:row>
    <x:row r="34" ht="18" customHeight="1">
      <x:c r="A34" s="14" t="str">
        <x:v>XT-030</x:v>
      </x:c>
      <x:c r="B34" s="14" t="str">
        <x:v>unaccounted source</x:v>
      </x:c>
      <x:c r="C34" s="14" t="n">
        <x:v>0.7501</x:v>
      </x:c>
      <x:c r="D34" s="14" t="str">
        <x:v>kg</x:v>
      </x:c>
      <x:c r="E34" s="14" t="str">
        <x:f>IF(C34&lt;=0.75,"PASS","FAIL")</x:f>
        <x:v>FAIL</x:v>
      </x:c>
      <x:c r="F34" s="14" t="str">
        <x:v>FAIL</x:v>
      </x:c>
      <x:c r="G34" s="14" t="str">
        <x:f>IF(E34=F34,"PASS","FAIL")</x:f>
        <x:v>PASS</x:v>
      </x:c>
      <x:c r="H34" s="14" t="str">
        <x:v>absolute unaccounted &lt;= 0.75 kg</x:v>
      </x:c>
    </x:row>
    <x:row r="35" ht="18" customHeight="1">
      <x:c r="A35" s="14" t="str">
        <x:v>XT-031</x:v>
      </x:c>
      <x:c r="B35" s="14" t="str">
        <x:v>unaccounted source</x:v>
      </x:c>
      <x:c r="C35" s="14" t="n">
        <x:v>1</x:v>
      </x:c>
      <x:c r="D35" s="14" t="str">
        <x:v>kg</x:v>
      </x:c>
      <x:c r="E35" s="14" t="str">
        <x:f>IF(C35&lt;=0.75,"PASS","FAIL")</x:f>
        <x:v>FAIL</x:v>
      </x:c>
      <x:c r="F35" s="14" t="str">
        <x:v>FAIL</x:v>
      </x:c>
      <x:c r="G35" s="14" t="str">
        <x:f>IF(E35=F35,"PASS","FAIL")</x:f>
        <x:v>PASS</x:v>
      </x:c>
      <x:c r="H35" s="14" t="str">
        <x:v>absolute unaccounted &lt;= 0.75 kg</x:v>
      </x:c>
    </x:row>
    <x:row r="36" ht="18" customHeight="1">
      <x:c r="A36" s="14" t="str">
        <x:v>XT-032</x:v>
      </x:c>
      <x:c r="B36" s="14" t="str">
        <x:v>unaccounted source</x:v>
      </x:c>
      <x:c r="C36" s="14" t="n">
        <x:v>5</x:v>
      </x:c>
      <x:c r="D36" s="14" t="str">
        <x:v>kg</x:v>
      </x:c>
      <x:c r="E36" s="14" t="str">
        <x:f>IF(C36&lt;=0.75,"PASS","FAIL")</x:f>
        <x:v>FAIL</x:v>
      </x:c>
      <x:c r="F36" s="14" t="str">
        <x:v>FAIL</x:v>
      </x:c>
      <x:c r="G36" s="14" t="str">
        <x:f>IF(E36=F36,"PASS","FAIL")</x:f>
        <x:v>PASS</x:v>
      </x:c>
      <x:c r="H36" s="14" t="str">
        <x:v>absolute unaccounted &lt;= 0.75 kg</x:v>
      </x:c>
    </x:row>
    <x:row r="37" ht="18" customHeight="1">
      <x:c r="A37" s="14" t="str">
        <x:v>XT-033</x:v>
      </x:c>
      <x:c r="B37" s="14" t="str">
        <x:v>environment source</x:v>
      </x:c>
      <x:c r="C37" s="14" t="n">
        <x:v>0</x:v>
      </x:c>
      <x:c r="D37" s="14" t="str">
        <x:v>kg</x:v>
      </x:c>
      <x:c r="E37" s="14" t="str">
        <x:f>IF(C37&lt;=0.1,"PASS","FAIL")</x:f>
        <x:v>PASS</x:v>
      </x:c>
      <x:c r="F37" s="14" t="str">
        <x:v>PASS</x:v>
      </x:c>
      <x:c r="G37" s="14" t="str">
        <x:f>IF(E37=F37,"PASS","FAIL")</x:f>
        <x:v>PASS</x:v>
      </x:c>
      <x:c r="H37" s="14" t="str">
        <x:v>environmental source &lt;= 0.10 kg</x:v>
      </x:c>
    </x:row>
    <x:row r="38" ht="18" customHeight="1">
      <x:c r="A38" s="14" t="str">
        <x:v>XT-034</x:v>
      </x:c>
      <x:c r="B38" s="14" t="str">
        <x:v>environment source</x:v>
      </x:c>
      <x:c r="C38" s="14" t="n">
        <x:v>0.01</x:v>
      </x:c>
      <x:c r="D38" s="14" t="str">
        <x:v>kg</x:v>
      </x:c>
      <x:c r="E38" s="14" t="str">
        <x:f>IF(C38&lt;=0.1,"PASS","FAIL")</x:f>
        <x:v>PASS</x:v>
      </x:c>
      <x:c r="F38" s="14" t="str">
        <x:v>PASS</x:v>
      </x:c>
      <x:c r="G38" s="14" t="str">
        <x:f>IF(E38=F38,"PASS","FAIL")</x:f>
        <x:v>PASS</x:v>
      </x:c>
      <x:c r="H38" s="14" t="str">
        <x:v>environmental source &lt;= 0.10 kg</x:v>
      </x:c>
    </x:row>
    <x:row r="39" ht="18" customHeight="1">
      <x:c r="A39" s="14" t="str">
        <x:v>XT-035</x:v>
      </x:c>
      <x:c r="B39" s="14" t="str">
        <x:v>environment source</x:v>
      </x:c>
      <x:c r="C39" s="14" t="n">
        <x:v>0.0999</x:v>
      </x:c>
      <x:c r="D39" s="14" t="str">
        <x:v>kg</x:v>
      </x:c>
      <x:c r="E39" s="14" t="str">
        <x:f>IF(C39&lt;=0.1,"PASS","FAIL")</x:f>
        <x:v>PASS</x:v>
      </x:c>
      <x:c r="F39" s="14" t="str">
        <x:v>PASS</x:v>
      </x:c>
      <x:c r="G39" s="14" t="str">
        <x:f>IF(E39=F39,"PASS","FAIL")</x:f>
        <x:v>PASS</x:v>
      </x:c>
      <x:c r="H39" s="14" t="str">
        <x:v>environmental source &lt;= 0.10 kg</x:v>
      </x:c>
    </x:row>
    <x:row r="40" ht="18" customHeight="1">
      <x:c r="A40" s="14" t="str">
        <x:v>XT-036</x:v>
      </x:c>
      <x:c r="B40" s="14" t="str">
        <x:v>environment source</x:v>
      </x:c>
      <x:c r="C40" s="14" t="n">
        <x:v>0.1</x:v>
      </x:c>
      <x:c r="D40" s="14" t="str">
        <x:v>kg</x:v>
      </x:c>
      <x:c r="E40" s="14" t="str">
        <x:f>IF(C40&lt;=0.1,"PASS","FAIL")</x:f>
        <x:v>PASS</x:v>
      </x:c>
      <x:c r="F40" s="14" t="str">
        <x:v>PASS</x:v>
      </x:c>
      <x:c r="G40" s="14" t="str">
        <x:f>IF(E40=F40,"PASS","FAIL")</x:f>
        <x:v>PASS</x:v>
      </x:c>
      <x:c r="H40" s="14" t="str">
        <x:v>environmental source &lt;= 0.10 kg</x:v>
      </x:c>
    </x:row>
    <x:row r="41" ht="18" customHeight="1">
      <x:c r="A41" s="14" t="str">
        <x:v>XT-037</x:v>
      </x:c>
      <x:c r="B41" s="14" t="str">
        <x:v>environment source</x:v>
      </x:c>
      <x:c r="C41" s="14" t="n">
        <x:v>0.1001</x:v>
      </x:c>
      <x:c r="D41" s="14" t="str">
        <x:v>kg</x:v>
      </x:c>
      <x:c r="E41" s="14" t="str">
        <x:f>IF(C41&lt;=0.1,"PASS","FAIL")</x:f>
        <x:v>FAIL</x:v>
      </x:c>
      <x:c r="F41" s="14" t="str">
        <x:v>FAIL</x:v>
      </x:c>
      <x:c r="G41" s="14" t="str">
        <x:f>IF(E41=F41,"PASS","FAIL")</x:f>
        <x:v>PASS</x:v>
      </x:c>
      <x:c r="H41" s="14" t="str">
        <x:v>environmental source &lt;= 0.10 kg</x:v>
      </x:c>
    </x:row>
    <x:row r="42" ht="18" customHeight="1">
      <x:c r="A42" s="14" t="str">
        <x:v>XT-038</x:v>
      </x:c>
      <x:c r="B42" s="14" t="str">
        <x:v>environment source</x:v>
      </x:c>
      <x:c r="C42" s="14" t="n">
        <x:v>0.2</x:v>
      </x:c>
      <x:c r="D42" s="14" t="str">
        <x:v>kg</x:v>
      </x:c>
      <x:c r="E42" s="14" t="str">
        <x:f>IF(C42&lt;=0.1,"PASS","FAIL")</x:f>
        <x:v>FAIL</x:v>
      </x:c>
      <x:c r="F42" s="14" t="str">
        <x:v>FAIL</x:v>
      </x:c>
      <x:c r="G42" s="14" t="str">
        <x:f>IF(E42=F42,"PASS","FAIL")</x:f>
        <x:v>PASS</x:v>
      </x:c>
      <x:c r="H42" s="14" t="str">
        <x:v>environmental source &lt;= 0.10 kg</x:v>
      </x:c>
    </x:row>
    <x:row r="43" ht="18" customHeight="1">
      <x:c r="A43" s="14" t="str">
        <x:v>XT-039</x:v>
      </x:c>
      <x:c r="B43" s="14" t="str">
        <x:v>environment source</x:v>
      </x:c>
      <x:c r="C43" s="14" t="n">
        <x:v>1</x:v>
      </x:c>
      <x:c r="D43" s="14" t="str">
        <x:v>kg</x:v>
      </x:c>
      <x:c r="E43" s="14" t="str">
        <x:f>IF(C43&lt;=0.1,"PASS","FAIL")</x:f>
        <x:v>FAIL</x:v>
      </x:c>
      <x:c r="F43" s="14" t="str">
        <x:v>FAIL</x:v>
      </x:c>
      <x:c r="G43" s="14" t="str">
        <x:f>IF(E43=F43,"PASS","FAIL")</x:f>
        <x:v>PASS</x:v>
      </x:c>
      <x:c r="H43" s="14" t="str">
        <x:v>environmental source &lt;= 0.10 kg</x:v>
      </x:c>
    </x:row>
    <x:row r="44" ht="18" customHeight="1">
      <x:c r="A44" s="14" t="str">
        <x:v>XT-040</x:v>
      </x:c>
      <x:c r="B44" s="14" t="str">
        <x:v>environment source</x:v>
      </x:c>
      <x:c r="C44" s="14" t="n">
        <x:v>5</x:v>
      </x:c>
      <x:c r="D44" s="14" t="str">
        <x:v>kg</x:v>
      </x:c>
      <x:c r="E44" s="14" t="str">
        <x:f>IF(C44&lt;=0.1,"PASS","FAIL")</x:f>
        <x:v>FAIL</x:v>
      </x:c>
      <x:c r="F44" s="14" t="str">
        <x:v>FAIL</x:v>
      </x:c>
      <x:c r="G44" s="14" t="str">
        <x:f>IF(E44=F44,"PASS","FAIL")</x:f>
        <x:v>PASS</x:v>
      </x:c>
      <x:c r="H44" s="14" t="str">
        <x:v>environmental source &lt;= 0.10 kg</x:v>
      </x:c>
    </x:row>
    <x:row r="45" ht="18" customHeight="1">
      <x:c r="A45" s="14" t="str">
        <x:v>XT-041</x:v>
      </x:c>
      <x:c r="B45" s="14" t="str">
        <x:v>ancestry recovery</x:v>
      </x:c>
      <x:c r="C45" s="14" t="n">
        <x:v>1</x:v>
      </x:c>
      <x:c r="D45" s="14" t="str">
        <x:v>fraction</x:v>
      </x:c>
      <x:c r="E45" s="14" t="str">
        <x:f>IF(C45&gt;=0.995,"PASS","FAIL")</x:f>
        <x:v>PASS</x:v>
      </x:c>
      <x:c r="F45" s="14" t="str">
        <x:v>PASS</x:v>
      </x:c>
      <x:c r="G45" s="14" t="str">
        <x:f>IF(E45=F45,"PASS","FAIL")</x:f>
        <x:v>PASS</x:v>
      </x:c>
      <x:c r="H45" s="14" t="str">
        <x:v>recovery &gt;= 0.995</x:v>
      </x:c>
    </x:row>
    <x:row r="46" ht="18" customHeight="1">
      <x:c r="A46" s="14" t="str">
        <x:v>XT-042</x:v>
      </x:c>
      <x:c r="B46" s="14" t="str">
        <x:v>ancestry recovery</x:v>
      </x:c>
      <x:c r="C46" s="14" t="n">
        <x:v>0.999</x:v>
      </x:c>
      <x:c r="D46" s="14" t="str">
        <x:v>fraction</x:v>
      </x:c>
      <x:c r="E46" s="14" t="str">
        <x:f>IF(C46&gt;=0.995,"PASS","FAIL")</x:f>
        <x:v>PASS</x:v>
      </x:c>
      <x:c r="F46" s="14" t="str">
        <x:v>PASS</x:v>
      </x:c>
      <x:c r="G46" s="14" t="str">
        <x:f>IF(E46=F46,"PASS","FAIL")</x:f>
        <x:v>PASS</x:v>
      </x:c>
      <x:c r="H46" s="14" t="str">
        <x:v>recovery &gt;= 0.995</x:v>
      </x:c>
    </x:row>
    <x:row r="47" ht="18" customHeight="1">
      <x:c r="A47" s="14" t="str">
        <x:v>XT-043</x:v>
      </x:c>
      <x:c r="B47" s="14" t="str">
        <x:v>ancestry recovery</x:v>
      </x:c>
      <x:c r="C47" s="14" t="n">
        <x:v>0.9951</x:v>
      </x:c>
      <x:c r="D47" s="14" t="str">
        <x:v>fraction</x:v>
      </x:c>
      <x:c r="E47" s="14" t="str">
        <x:f>IF(C47&gt;=0.995,"PASS","FAIL")</x:f>
        <x:v>PASS</x:v>
      </x:c>
      <x:c r="F47" s="14" t="str">
        <x:v>PASS</x:v>
      </x:c>
      <x:c r="G47" s="14" t="str">
        <x:f>IF(E47=F47,"PASS","FAIL")</x:f>
        <x:v>PASS</x:v>
      </x:c>
      <x:c r="H47" s="14" t="str">
        <x:v>recovery &gt;= 0.995</x:v>
      </x:c>
    </x:row>
    <x:row r="48" ht="18" customHeight="1">
      <x:c r="A48" s="14" t="str">
        <x:v>XT-044</x:v>
      </x:c>
      <x:c r="B48" s="14" t="str">
        <x:v>ancestry recovery</x:v>
      </x:c>
      <x:c r="C48" s="14" t="n">
        <x:v>0.995</x:v>
      </x:c>
      <x:c r="D48" s="14" t="str">
        <x:v>fraction</x:v>
      </x:c>
      <x:c r="E48" s="14" t="str">
        <x:f>IF(C48&gt;=0.995,"PASS","FAIL")</x:f>
        <x:v>PASS</x:v>
      </x:c>
      <x:c r="F48" s="14" t="str">
        <x:v>PASS</x:v>
      </x:c>
      <x:c r="G48" s="14" t="str">
        <x:f>IF(E48=F48,"PASS","FAIL")</x:f>
        <x:v>PASS</x:v>
      </x:c>
      <x:c r="H48" s="14" t="str">
        <x:v>recovery &gt;= 0.995</x:v>
      </x:c>
    </x:row>
    <x:row r="49" ht="18" customHeight="1">
      <x:c r="A49" s="14" t="str">
        <x:v>XT-045</x:v>
      </x:c>
      <x:c r="B49" s="14" t="str">
        <x:v>ancestry recovery</x:v>
      </x:c>
      <x:c r="C49" s="14" t="n">
        <x:v>0.9949</x:v>
      </x:c>
      <x:c r="D49" s="14" t="str">
        <x:v>fraction</x:v>
      </x:c>
      <x:c r="E49" s="14" t="str">
        <x:f>IF(C49&gt;=0.995,"PASS","FAIL")</x:f>
        <x:v>FAIL</x:v>
      </x:c>
      <x:c r="F49" s="14" t="str">
        <x:v>FAIL</x:v>
      </x:c>
      <x:c r="G49" s="14" t="str">
        <x:f>IF(E49=F49,"PASS","FAIL")</x:f>
        <x:v>PASS</x:v>
      </x:c>
      <x:c r="H49" s="14" t="str">
        <x:v>recovery &gt;= 0.995</x:v>
      </x:c>
    </x:row>
    <x:row r="50" ht="18" customHeight="1">
      <x:c r="A50" s="14" t="str">
        <x:v>XT-046</x:v>
      </x:c>
      <x:c r="B50" s="14" t="str">
        <x:v>ancestry recovery</x:v>
      </x:c>
      <x:c r="C50" s="14" t="n">
        <x:v>0.99</x:v>
      </x:c>
      <x:c r="D50" s="14" t="str">
        <x:v>fraction</x:v>
      </x:c>
      <x:c r="E50" s="14" t="str">
        <x:f>IF(C50&gt;=0.995,"PASS","FAIL")</x:f>
        <x:v>FAIL</x:v>
      </x:c>
      <x:c r="F50" s="14" t="str">
        <x:v>FAIL</x:v>
      </x:c>
      <x:c r="G50" s="14" t="str">
        <x:f>IF(E50=F50,"PASS","FAIL")</x:f>
        <x:v>PASS</x:v>
      </x:c>
      <x:c r="H50" s="14" t="str">
        <x:v>recovery &gt;= 0.995</x:v>
      </x:c>
    </x:row>
    <x:row r="51" ht="18" customHeight="1">
      <x:c r="A51" s="14" t="str">
        <x:v>XT-047</x:v>
      </x:c>
      <x:c r="B51" s="14" t="str">
        <x:v>ancestry recovery</x:v>
      </x:c>
      <x:c r="C51" s="14" t="n">
        <x:v>0.9</x:v>
      </x:c>
      <x:c r="D51" s="14" t="str">
        <x:v>fraction</x:v>
      </x:c>
      <x:c r="E51" s="14" t="str">
        <x:f>IF(C51&gt;=0.995,"PASS","FAIL")</x:f>
        <x:v>FAIL</x:v>
      </x:c>
      <x:c r="F51" s="14" t="str">
        <x:v>FAIL</x:v>
      </x:c>
      <x:c r="G51" s="14" t="str">
        <x:f>IF(E51=F51,"PASS","FAIL")</x:f>
        <x:v>PASS</x:v>
      </x:c>
      <x:c r="H51" s="14" t="str">
        <x:v>recovery &gt;= 0.995</x:v>
      </x:c>
    </x:row>
    <x:row r="52" ht="18" customHeight="1">
      <x:c r="A52" s="14" t="str">
        <x:v>XT-048</x:v>
      </x:c>
      <x:c r="B52" s="14" t="str">
        <x:v>ancestry recovery</x:v>
      </x:c>
      <x:c r="C52" s="14" t="n">
        <x:v>0</x:v>
      </x:c>
      <x:c r="D52" s="14" t="str">
        <x:v>fraction</x:v>
      </x:c>
      <x:c r="E52" s="14" t="str">
        <x:f>IF(C52&gt;=0.995,"PASS","FAIL")</x:f>
        <x:v>FAIL</x:v>
      </x:c>
      <x:c r="F52" s="14" t="str">
        <x:v>FAIL</x:v>
      </x:c>
      <x:c r="G52" s="14" t="str">
        <x:f>IF(E52=F52,"PASS","FAIL")</x:f>
        <x:v>PASS</x:v>
      </x:c>
      <x:c r="H52" s="14" t="str">
        <x:v>recovery &gt;= 0.995</x:v>
      </x:c>
    </x:row>
    <x:row r="53" ht="18" customHeight="1">
      <x:c r="A53" s="14" t="str">
        <x:v>XT-049</x:v>
      </x:c>
      <x:c r="B53" s="14" t="str">
        <x:v>ancestry cross-talk</x:v>
      </x:c>
      <x:c r="C53" s="14" t="n">
        <x:v>0</x:v>
      </x:c>
      <x:c r="D53" s="14" t="str">
        <x:v>fraction</x:v>
      </x:c>
      <x:c r="E53" s="14" t="str">
        <x:f>IF(C53&lt;=0.005,"PASS","FAIL")</x:f>
        <x:v>PASS</x:v>
      </x:c>
      <x:c r="F53" s="14" t="str">
        <x:v>PASS</x:v>
      </x:c>
      <x:c r="G53" s="14" t="str">
        <x:f>IF(E53=F53,"PASS","FAIL")</x:f>
        <x:v>PASS</x:v>
      </x:c>
      <x:c r="H53" s="14" t="str">
        <x:v>cross-talk &lt;= 0.005</x:v>
      </x:c>
    </x:row>
    <x:row r="54" ht="18" customHeight="1">
      <x:c r="A54" s="14" t="str">
        <x:v>XT-050</x:v>
      </x:c>
      <x:c r="B54" s="14" t="str">
        <x:v>ancestry cross-talk</x:v>
      </x:c>
      <x:c r="C54" s="14" t="n">
        <x:v>0.001</x:v>
      </x:c>
      <x:c r="D54" s="14" t="str">
        <x:v>fraction</x:v>
      </x:c>
      <x:c r="E54" s="14" t="str">
        <x:f>IF(C54&lt;=0.005,"PASS","FAIL")</x:f>
        <x:v>PASS</x:v>
      </x:c>
      <x:c r="F54" s="14" t="str">
        <x:v>PASS</x:v>
      </x:c>
      <x:c r="G54" s="14" t="str">
        <x:f>IF(E54=F54,"PASS","FAIL")</x:f>
        <x:v>PASS</x:v>
      </x:c>
      <x:c r="H54" s="14" t="str">
        <x:v>cross-talk &lt;= 0.005</x:v>
      </x:c>
    </x:row>
    <x:row r="55" ht="18" customHeight="1">
      <x:c r="A55" s="14" t="str">
        <x:v>XT-051</x:v>
      </x:c>
      <x:c r="B55" s="14" t="str">
        <x:v>ancestry cross-talk</x:v>
      </x:c>
      <x:c r="C55" s="14" t="n">
        <x:v>0.0049</x:v>
      </x:c>
      <x:c r="D55" s="14" t="str">
        <x:v>fraction</x:v>
      </x:c>
      <x:c r="E55" s="14" t="str">
        <x:f>IF(C55&lt;=0.005,"PASS","FAIL")</x:f>
        <x:v>PASS</x:v>
      </x:c>
      <x:c r="F55" s="14" t="str">
        <x:v>PASS</x:v>
      </x:c>
      <x:c r="G55" s="14" t="str">
        <x:f>IF(E55=F55,"PASS","FAIL")</x:f>
        <x:v>PASS</x:v>
      </x:c>
      <x:c r="H55" s="14" t="str">
        <x:v>cross-talk &lt;= 0.005</x:v>
      </x:c>
    </x:row>
    <x:row r="56" ht="18" customHeight="1">
      <x:c r="A56" s="14" t="str">
        <x:v>XT-052</x:v>
      </x:c>
      <x:c r="B56" s="14" t="str">
        <x:v>ancestry cross-talk</x:v>
      </x:c>
      <x:c r="C56" s="14" t="n">
        <x:v>0.005</x:v>
      </x:c>
      <x:c r="D56" s="14" t="str">
        <x:v>fraction</x:v>
      </x:c>
      <x:c r="E56" s="14" t="str">
        <x:f>IF(C56&lt;=0.005,"PASS","FAIL")</x:f>
        <x:v>PASS</x:v>
      </x:c>
      <x:c r="F56" s="14" t="str">
        <x:v>PASS</x:v>
      </x:c>
      <x:c r="G56" s="14" t="str">
        <x:f>IF(E56=F56,"PASS","FAIL")</x:f>
        <x:v>PASS</x:v>
      </x:c>
      <x:c r="H56" s="14" t="str">
        <x:v>cross-talk &lt;= 0.005</x:v>
      </x:c>
    </x:row>
    <x:row r="57" ht="18" customHeight="1">
      <x:c r="A57" s="14" t="str">
        <x:v>XT-053</x:v>
      </x:c>
      <x:c r="B57" s="14" t="str">
        <x:v>ancestry cross-talk</x:v>
      </x:c>
      <x:c r="C57" s="14" t="n">
        <x:v>0.0051</x:v>
      </x:c>
      <x:c r="D57" s="14" t="str">
        <x:v>fraction</x:v>
      </x:c>
      <x:c r="E57" s="14" t="str">
        <x:f>IF(C57&lt;=0.005,"PASS","FAIL")</x:f>
        <x:v>FAIL</x:v>
      </x:c>
      <x:c r="F57" s="14" t="str">
        <x:v>FAIL</x:v>
      </x:c>
      <x:c r="G57" s="14" t="str">
        <x:f>IF(E57=F57,"PASS","FAIL")</x:f>
        <x:v>PASS</x:v>
      </x:c>
      <x:c r="H57" s="14" t="str">
        <x:v>cross-talk &lt;= 0.005</x:v>
      </x:c>
    </x:row>
    <x:row r="58" ht="18" customHeight="1">
      <x:c r="A58" s="14" t="str">
        <x:v>XT-054</x:v>
      </x:c>
      <x:c r="B58" s="14" t="str">
        <x:v>ancestry cross-talk</x:v>
      </x:c>
      <x:c r="C58" s="14" t="n">
        <x:v>0.01</x:v>
      </x:c>
      <x:c r="D58" s="14" t="str">
        <x:v>fraction</x:v>
      </x:c>
      <x:c r="E58" s="14" t="str">
        <x:f>IF(C58&lt;=0.005,"PASS","FAIL")</x:f>
        <x:v>FAIL</x:v>
      </x:c>
      <x:c r="F58" s="14" t="str">
        <x:v>FAIL</x:v>
      </x:c>
      <x:c r="G58" s="14" t="str">
        <x:f>IF(E58=F58,"PASS","FAIL")</x:f>
        <x:v>PASS</x:v>
      </x:c>
      <x:c r="H58" s="14" t="str">
        <x:v>cross-talk &lt;= 0.005</x:v>
      </x:c>
    </x:row>
    <x:row r="59" ht="18" customHeight="1">
      <x:c r="A59" s="14" t="str">
        <x:v>XT-055</x:v>
      </x:c>
      <x:c r="B59" s="14" t="str">
        <x:v>ancestry cross-talk</x:v>
      </x:c>
      <x:c r="C59" s="14" t="n">
        <x:v>0.1</x:v>
      </x:c>
      <x:c r="D59" s="14" t="str">
        <x:v>fraction</x:v>
      </x:c>
      <x:c r="E59" s="14" t="str">
        <x:f>IF(C59&lt;=0.005,"PASS","FAIL")</x:f>
        <x:v>FAIL</x:v>
      </x:c>
      <x:c r="F59" s="14" t="str">
        <x:v>FAIL</x:v>
      </x:c>
      <x:c r="G59" s="14" t="str">
        <x:f>IF(E59=F59,"PASS","FAIL")</x:f>
        <x:v>PASS</x:v>
      </x:c>
      <x:c r="H59" s="14" t="str">
        <x:v>cross-talk &lt;= 0.005</x:v>
      </x:c>
    </x:row>
    <x:row r="60" ht="18" customHeight="1">
      <x:c r="A60" s="14" t="str">
        <x:v>XT-056</x:v>
      </x:c>
      <x:c r="B60" s="14" t="str">
        <x:v>ancestry cross-talk</x:v>
      </x:c>
      <x:c r="C60" s="14" t="n">
        <x:v>1</x:v>
      </x:c>
      <x:c r="D60" s="14" t="str">
        <x:v>fraction</x:v>
      </x:c>
      <x:c r="E60" s="14" t="str">
        <x:f>IF(C60&lt;=0.005,"PASS","FAIL")</x:f>
        <x:v>FAIL</x:v>
      </x:c>
      <x:c r="F60" s="14" t="str">
        <x:v>FAIL</x:v>
      </x:c>
      <x:c r="G60" s="14" t="str">
        <x:f>IF(E60=F60,"PASS","FAIL")</x:f>
        <x:v>PASS</x:v>
      </x:c>
      <x:c r="H60" s="14" t="str">
        <x:v>cross-talk &lt;= 0.005</x:v>
      </x:c>
    </x:row>
    <x:row r="61" ht="18" customHeight="1">
      <x:c r="A61" s="14" t="str">
        <x:v>XT-057</x:v>
      </x:c>
      <x:c r="B61" s="14" t="str">
        <x:v>normal receiver</x:v>
      </x:c>
      <x:c r="C61" s="14" t="n">
        <x:v>0</x:v>
      </x:c>
      <x:c r="D61" s="14" t="str">
        <x:v>m3</x:v>
      </x:c>
      <x:c r="E61" s="14" t="str">
        <x:f>IF(C61&lt;=0.4,"PASS","FAIL")</x:f>
        <x:v>PASS</x:v>
      </x:c>
      <x:c r="F61" s="14" t="str">
        <x:v>PASS</x:v>
      </x:c>
      <x:c r="G61" s="14" t="str">
        <x:f>IF(E61=F61,"PASS","FAIL")</x:f>
        <x:v>PASS</x:v>
      </x:c>
      <x:c r="H61" s="14" t="str">
        <x:v>usable receiver &lt;= 0.4 m3</x:v>
      </x:c>
    </x:row>
    <x:row r="62" ht="18" customHeight="1">
      <x:c r="A62" s="14" t="str">
        <x:v>XT-058</x:v>
      </x:c>
      <x:c r="B62" s="14" t="str">
        <x:v>normal receiver</x:v>
      </x:c>
      <x:c r="C62" s="14" t="n">
        <x:v>0.125</x:v>
      </x:c>
      <x:c r="D62" s="14" t="str">
        <x:v>m3</x:v>
      </x:c>
      <x:c r="E62" s="14" t="str">
        <x:f>IF(C62&lt;=0.4,"PASS","FAIL")</x:f>
        <x:v>PASS</x:v>
      </x:c>
      <x:c r="F62" s="14" t="str">
        <x:v>PASS</x:v>
      </x:c>
      <x:c r="G62" s="14" t="str">
        <x:f>IF(E62=F62,"PASS","FAIL")</x:f>
        <x:v>PASS</x:v>
      </x:c>
      <x:c r="H62" s="14" t="str">
        <x:v>usable receiver &lt;= 0.4 m3</x:v>
      </x:c>
    </x:row>
    <x:row r="63" ht="18" customHeight="1">
      <x:c r="A63" s="14" t="str">
        <x:v>XT-059</x:v>
      </x:c>
      <x:c r="B63" s="14" t="str">
        <x:v>normal receiver</x:v>
      </x:c>
      <x:c r="C63" s="14" t="n">
        <x:v>0.3999</x:v>
      </x:c>
      <x:c r="D63" s="14" t="str">
        <x:v>m3</x:v>
      </x:c>
      <x:c r="E63" s="14" t="str">
        <x:f>IF(C63&lt;=0.4,"PASS","FAIL")</x:f>
        <x:v>PASS</x:v>
      </x:c>
      <x:c r="F63" s="14" t="str">
        <x:v>PASS</x:v>
      </x:c>
      <x:c r="G63" s="14" t="str">
        <x:f>IF(E63=F63,"PASS","FAIL")</x:f>
        <x:v>PASS</x:v>
      </x:c>
      <x:c r="H63" s="14" t="str">
        <x:v>usable receiver &lt;= 0.4 m3</x:v>
      </x:c>
    </x:row>
    <x:row r="64" ht="18" customHeight="1">
      <x:c r="A64" s="14" t="str">
        <x:v>XT-060</x:v>
      </x:c>
      <x:c r="B64" s="14" t="str">
        <x:v>normal receiver</x:v>
      </x:c>
      <x:c r="C64" s="14" t="n">
        <x:v>0.4</x:v>
      </x:c>
      <x:c r="D64" s="14" t="str">
        <x:v>m3</x:v>
      </x:c>
      <x:c r="E64" s="14" t="str">
        <x:f>IF(C64&lt;=0.4,"PASS","FAIL")</x:f>
        <x:v>PASS</x:v>
      </x:c>
      <x:c r="F64" s="14" t="str">
        <x:v>PASS</x:v>
      </x:c>
      <x:c r="G64" s="14" t="str">
        <x:f>IF(E64=F64,"PASS","FAIL")</x:f>
        <x:v>PASS</x:v>
      </x:c>
      <x:c r="H64" s="14" t="str">
        <x:v>usable receiver &lt;= 0.4 m3</x:v>
      </x:c>
    </x:row>
    <x:row r="65" ht="18" customHeight="1">
      <x:c r="A65" s="14" t="str">
        <x:v>XT-061</x:v>
      </x:c>
      <x:c r="B65" s="14" t="str">
        <x:v>normal receiver</x:v>
      </x:c>
      <x:c r="C65" s="14" t="n">
        <x:v>0.4001</x:v>
      </x:c>
      <x:c r="D65" s="14" t="str">
        <x:v>m3</x:v>
      </x:c>
      <x:c r="E65" s="14" t="str">
        <x:f>IF(C65&lt;=0.4,"PASS","FAIL")</x:f>
        <x:v>FAIL</x:v>
      </x:c>
      <x:c r="F65" s="14" t="str">
        <x:v>FAIL</x:v>
      </x:c>
      <x:c r="G65" s="14" t="str">
        <x:f>IF(E65=F65,"PASS","FAIL")</x:f>
        <x:v>PASS</x:v>
      </x:c>
      <x:c r="H65" s="14" t="str">
        <x:v>usable receiver &lt;= 0.4 m3</x:v>
      </x:c>
    </x:row>
    <x:row r="66" ht="18" customHeight="1">
      <x:c r="A66" s="14" t="str">
        <x:v>XT-062</x:v>
      </x:c>
      <x:c r="B66" s="14" t="str">
        <x:v>normal receiver</x:v>
      </x:c>
      <x:c r="C66" s="14" t="n">
        <x:v>0.5</x:v>
      </x:c>
      <x:c r="D66" s="14" t="str">
        <x:v>m3</x:v>
      </x:c>
      <x:c r="E66" s="14" t="str">
        <x:f>IF(C66&lt;=0.4,"PASS","FAIL")</x:f>
        <x:v>FAIL</x:v>
      </x:c>
      <x:c r="F66" s="14" t="str">
        <x:v>FAIL</x:v>
      </x:c>
      <x:c r="G66" s="14" t="str">
        <x:f>IF(E66=F66,"PASS","FAIL")</x:f>
        <x:v>PASS</x:v>
      </x:c>
      <x:c r="H66" s="14" t="str">
        <x:v>usable receiver &lt;= 0.4 m3</x:v>
      </x:c>
    </x:row>
    <x:row r="67" ht="18" customHeight="1">
      <x:c r="A67" s="14" t="str">
        <x:v>XT-063</x:v>
      </x:c>
      <x:c r="B67" s="14" t="str">
        <x:v>normal receiver</x:v>
      </x:c>
      <x:c r="C67" s="14" t="n">
        <x:v>1</x:v>
      </x:c>
      <x:c r="D67" s="14" t="str">
        <x:v>m3</x:v>
      </x:c>
      <x:c r="E67" s="14" t="str">
        <x:f>IF(C67&lt;=0.4,"PASS","FAIL")</x:f>
        <x:v>FAIL</x:v>
      </x:c>
      <x:c r="F67" s="14" t="str">
        <x:v>FAIL</x:v>
      </x:c>
      <x:c r="G67" s="14" t="str">
        <x:f>IF(E67=F67,"PASS","FAIL")</x:f>
        <x:v>PASS</x:v>
      </x:c>
      <x:c r="H67" s="14" t="str">
        <x:v>usable receiver &lt;= 0.4 m3</x:v>
      </x:c>
    </x:row>
    <x:row r="68" ht="18" customHeight="1">
      <x:c r="A68" s="14" t="str">
        <x:v>XT-064</x:v>
      </x:c>
      <x:c r="B68" s="14" t="str">
        <x:v>normal receiver</x:v>
      </x:c>
      <x:c r="C68" s="14" t="n">
        <x:v>2</x:v>
      </x:c>
      <x:c r="D68" s="14" t="str">
        <x:v>m3</x:v>
      </x:c>
      <x:c r="E68" s="14" t="str">
        <x:f>IF(C68&lt;=0.4,"PASS","FAIL")</x:f>
        <x:v>FAIL</x:v>
      </x:c>
      <x:c r="F68" s="14" t="str">
        <x:v>FAIL</x:v>
      </x:c>
      <x:c r="G68" s="14" t="str">
        <x:f>IF(E68=F68,"PASS","FAIL")</x:f>
        <x:v>PASS</x:v>
      </x:c>
      <x:c r="H68" s="14" t="str">
        <x:v>usable receiver &lt;= 0.4 m3</x:v>
      </x:c>
    </x:row>
    <x:row r="69" ht="18" customHeight="1">
      <x:c r="A69" s="14" t="str">
        <x:v>XT-065</x:v>
      </x:c>
      <x:c r="B69" s="14" t="str">
        <x:v>water capacity</x:v>
      </x:c>
      <x:c r="C69" s="14" t="n">
        <x:v>0</x:v>
      </x:c>
      <x:c r="D69" s="14" t="str">
        <x:v>m3</x:v>
      </x:c>
      <x:c r="E69" s="14" t="str">
        <x:f>IF(C69&lt;=120,"PASS","FAIL")</x:f>
        <x:v>PASS</x:v>
      </x:c>
      <x:c r="F69" s="14" t="str">
        <x:v>PASS</x:v>
      </x:c>
      <x:c r="G69" s="14" t="str">
        <x:f>IF(E69=F69,"PASS","FAIL")</x:f>
        <x:v>PASS</x:v>
      </x:c>
      <x:c r="H69" s="14" t="str">
        <x:v>public water and inventory &lt;= 120 m3</x:v>
      </x:c>
    </x:row>
    <x:row r="70" ht="18" customHeight="1">
      <x:c r="A70" s="14" t="str">
        <x:v>XT-066</x:v>
      </x:c>
      <x:c r="B70" s="14" t="str">
        <x:v>water capacity</x:v>
      </x:c>
      <x:c r="C70" s="14" t="n">
        <x:v>100</x:v>
      </x:c>
      <x:c r="D70" s="14" t="str">
        <x:v>m3</x:v>
      </x:c>
      <x:c r="E70" s="14" t="str">
        <x:f>IF(C70&lt;=120,"PASS","FAIL")</x:f>
        <x:v>PASS</x:v>
      </x:c>
      <x:c r="F70" s="14" t="str">
        <x:v>PASS</x:v>
      </x:c>
      <x:c r="G70" s="14" t="str">
        <x:f>IF(E70=F70,"PASS","FAIL")</x:f>
        <x:v>PASS</x:v>
      </x:c>
      <x:c r="H70" s="14" t="str">
        <x:v>public water and inventory &lt;= 120 m3</x:v>
      </x:c>
    </x:row>
    <x:row r="71" ht="18" customHeight="1">
      <x:c r="A71" s="14" t="str">
        <x:v>XT-067</x:v>
      </x:c>
      <x:c r="B71" s="14" t="str">
        <x:v>water capacity</x:v>
      </x:c>
      <x:c r="C71" s="14" t="n">
        <x:v>114.9</x:v>
      </x:c>
      <x:c r="D71" s="14" t="str">
        <x:v>m3</x:v>
      </x:c>
      <x:c r="E71" s="14" t="str">
        <x:f>IF(C71&lt;=120,"PASS","FAIL")</x:f>
        <x:v>PASS</x:v>
      </x:c>
      <x:c r="F71" s="14" t="str">
        <x:v>PASS</x:v>
      </x:c>
      <x:c r="G71" s="14" t="str">
        <x:f>IF(E71=F71,"PASS","FAIL")</x:f>
        <x:v>PASS</x:v>
      </x:c>
      <x:c r="H71" s="14" t="str">
        <x:v>public water and inventory &lt;= 120 m3</x:v>
      </x:c>
    </x:row>
    <x:row r="72" ht="18" customHeight="1">
      <x:c r="A72" s="14" t="str">
        <x:v>XT-068</x:v>
      </x:c>
      <x:c r="B72" s="14" t="str">
        <x:v>water capacity</x:v>
      </x:c>
      <x:c r="C72" s="14" t="n">
        <x:v>115</x:v>
      </x:c>
      <x:c r="D72" s="14" t="str">
        <x:v>m3</x:v>
      </x:c>
      <x:c r="E72" s="14" t="str">
        <x:f>IF(C72&lt;=120,"PASS","FAIL")</x:f>
        <x:v>PASS</x:v>
      </x:c>
      <x:c r="F72" s="14" t="str">
        <x:v>PASS</x:v>
      </x:c>
      <x:c r="G72" s="14" t="str">
        <x:f>IF(E72=F72,"PASS","FAIL")</x:f>
        <x:v>PASS</x:v>
      </x:c>
      <x:c r="H72" s="14" t="str">
        <x:v>public water and inventory &lt;= 120 m3</x:v>
      </x:c>
    </x:row>
    <x:row r="73" ht="18" customHeight="1">
      <x:c r="A73" s="14" t="str">
        <x:v>XT-069</x:v>
      </x:c>
      <x:c r="B73" s="14" t="str">
        <x:v>water capacity</x:v>
      </x:c>
      <x:c r="C73" s="14" t="n">
        <x:v>115.1</x:v>
      </x:c>
      <x:c r="D73" s="14" t="str">
        <x:v>m3</x:v>
      </x:c>
      <x:c r="E73" s="14" t="str">
        <x:f>IF(C73&lt;=120,"PASS","FAIL")</x:f>
        <x:v>PASS</x:v>
      </x:c>
      <x:c r="F73" s="14" t="str">
        <x:v>PASS</x:v>
      </x:c>
      <x:c r="G73" s="14" t="str">
        <x:f>IF(E73=F73,"PASS","FAIL")</x:f>
        <x:v>PASS</x:v>
      </x:c>
      <x:c r="H73" s="14" t="str">
        <x:v>public water and inventory &lt;= 120 m3</x:v>
      </x:c>
    </x:row>
    <x:row r="74" ht="18" customHeight="1">
      <x:c r="A74" s="14" t="str">
        <x:v>XT-070</x:v>
      </x:c>
      <x:c r="B74" s="14" t="str">
        <x:v>water capacity</x:v>
      </x:c>
      <x:c r="C74" s="14" t="n">
        <x:v>119.9</x:v>
      </x:c>
      <x:c r="D74" s="14" t="str">
        <x:v>m3</x:v>
      </x:c>
      <x:c r="E74" s="14" t="str">
        <x:f>IF(C74&lt;=120,"PASS","FAIL")</x:f>
        <x:v>PASS</x:v>
      </x:c>
      <x:c r="F74" s="14" t="str">
        <x:v>PASS</x:v>
      </x:c>
      <x:c r="G74" s="14" t="str">
        <x:f>IF(E74=F74,"PASS","FAIL")</x:f>
        <x:v>PASS</x:v>
      </x:c>
      <x:c r="H74" s="14" t="str">
        <x:v>public water and inventory &lt;= 120 m3</x:v>
      </x:c>
    </x:row>
    <x:row r="75" ht="18" customHeight="1">
      <x:c r="A75" s="14" t="str">
        <x:v>XT-071</x:v>
      </x:c>
      <x:c r="B75" s="14" t="str">
        <x:v>water capacity</x:v>
      </x:c>
      <x:c r="C75" s="14" t="n">
        <x:v>120</x:v>
      </x:c>
      <x:c r="D75" s="14" t="str">
        <x:v>m3</x:v>
      </x:c>
      <x:c r="E75" s="14" t="str">
        <x:f>IF(C75&lt;=120,"PASS","FAIL")</x:f>
        <x:v>PASS</x:v>
      </x:c>
      <x:c r="F75" s="14" t="str">
        <x:v>PASS</x:v>
      </x:c>
      <x:c r="G75" s="14" t="str">
        <x:f>IF(E75=F75,"PASS","FAIL")</x:f>
        <x:v>PASS</x:v>
      </x:c>
      <x:c r="H75" s="14" t="str">
        <x:v>public water and inventory &lt;= 120 m3</x:v>
      </x:c>
    </x:row>
    <x:row r="76" ht="18" customHeight="1">
      <x:c r="A76" s="14" t="str">
        <x:v>XT-072</x:v>
      </x:c>
      <x:c r="B76" s="14" t="str">
        <x:v>water capacity</x:v>
      </x:c>
      <x:c r="C76" s="14" t="n">
        <x:v>121</x:v>
      </x:c>
      <x:c r="D76" s="14" t="str">
        <x:v>m3</x:v>
      </x:c>
      <x:c r="E76" s="14" t="str">
        <x:f>IF(C76&lt;=120,"PASS","FAIL")</x:f>
        <x:v>FAIL</x:v>
      </x:c>
      <x:c r="F76" s="14" t="str">
        <x:v>FAIL</x:v>
      </x:c>
      <x:c r="G76" s="14" t="str">
        <x:f>IF(E76=F76,"PASS","FAIL")</x:f>
        <x:v>PASS</x:v>
      </x:c>
      <x:c r="H76" s="14" t="str">
        <x:v>public water and inventory &lt;= 120 m3</x:v>
      </x:c>
    </x:row>
    <x:row r="77" ht="18" customHeight="1">
      <x:c r="A77" s="14" t="str">
        <x:v>XT-073</x:v>
      </x:c>
      <x:c r="B77" s="14" t="str">
        <x:v>replacement law</x:v>
      </x:c>
      <x:c r="C77" s="14" t="str">
        <x:v>INVALID</x:v>
      </x:c>
      <x:c r="D77" s="14" t="str">
        <x:v>OPEN</x:v>
      </x:c>
      <x:c r="E77" s="14" t="str">
        <x:f>IF(C77="INVALID","ALLOWED","PROHIBITED")</x:f>
        <x:v>ALLOWED</x:v>
      </x:c>
      <x:c r="F77" s="14" t="str">
        <x:v>ALLOWED</x:v>
      </x:c>
      <x:c r="G77" s="14" t="str">
        <x:f>IF(E77=F77,"PASS","FAIL")</x:f>
        <x:v>PASS</x:v>
      </x:c>
      <x:c r="H77" s="14" t="str">
        <x:v>only independent INVALID activates reserve</x:v>
      </x:c>
    </x:row>
    <x:row r="78" ht="18" customHeight="1">
      <x:c r="A78" s="14" t="str">
        <x:v>XT-074</x:v>
      </x:c>
      <x:c r="B78" s="14" t="str">
        <x:v>replacement law</x:v>
      </x:c>
      <x:c r="C78" s="14" t="str">
        <x:v>VALID</x:v>
      </x:c>
      <x:c r="D78" s="14" t="str">
        <x:v>SUCCESS-CONTAINED</x:v>
      </x:c>
      <x:c r="E78" s="14" t="str">
        <x:f>IF(C78="INVALID","ALLOWED","PROHIBITED")</x:f>
        <x:v>PROHIBITED</x:v>
      </x:c>
      <x:c r="F78" s="14" t="str">
        <x:v>PROHIBITED</x:v>
      </x:c>
      <x:c r="G78" s="14" t="str">
        <x:f>IF(E78=F78,"PASS","FAIL")</x:f>
        <x:v>PASS</x:v>
      </x:c>
      <x:c r="H78" s="14" t="str">
        <x:v>only independent INVALID activates reserve</x:v>
      </x:c>
    </x:row>
    <x:row r="79" ht="18" customHeight="1">
      <x:c r="A79" s="14" t="str">
        <x:v>XT-075</x:v>
      </x:c>
      <x:c r="B79" s="14" t="str">
        <x:v>replacement law</x:v>
      </x:c>
      <x:c r="C79" s="14" t="str">
        <x:v>VALID</x:v>
      </x:c>
      <x:c r="D79" s="14" t="str">
        <x:v>SUCCESS-FLAME</x:v>
      </x:c>
      <x:c r="E79" s="14" t="str">
        <x:f>IF(C79="INVALID","ALLOWED","PROHIBITED")</x:f>
        <x:v>PROHIBITED</x:v>
      </x:c>
      <x:c r="F79" s="14" t="str">
        <x:v>PROHIBITED</x:v>
      </x:c>
      <x:c r="G79" s="14" t="str">
        <x:f>IF(E79=F79,"PASS","FAIL")</x:f>
        <x:v>PASS</x:v>
      </x:c>
      <x:c r="H79" s="14" t="str">
        <x:v>only independent INVALID activates reserve</x:v>
      </x:c>
    </x:row>
    <x:row r="80" ht="18" customHeight="1">
      <x:c r="A80" s="14" t="str">
        <x:v>XT-076</x:v>
      </x:c>
      <x:c r="B80" s="14" t="str">
        <x:v>replacement law</x:v>
      </x:c>
      <x:c r="C80" s="14" t="str">
        <x:v>VALID</x:v>
      </x:c>
      <x:c r="D80" s="14" t="str">
        <x:v>VALID-NO-FLAME</x:v>
      </x:c>
      <x:c r="E80" s="14" t="str">
        <x:f>IF(C80="INVALID","ALLOWED","PROHIBITED")</x:f>
        <x:v>PROHIBITED</x:v>
      </x:c>
      <x:c r="F80" s="14" t="str">
        <x:v>PROHIBITED</x:v>
      </x:c>
      <x:c r="G80" s="14" t="str">
        <x:f>IF(E80=F80,"PASS","FAIL")</x:f>
        <x:v>PASS</x:v>
      </x:c>
      <x:c r="H80" s="14" t="str">
        <x:v>only independent INVALID activates reserve</x:v>
      </x:c>
    </x:row>
    <x:row r="81" ht="18" customHeight="1">
      <x:c r="A81" s="14" t="str">
        <x:v>XT-077</x:v>
      </x:c>
      <x:c r="B81" s="14" t="str">
        <x:v>replacement law</x:v>
      </x:c>
      <x:c r="C81" s="14" t="str">
        <x:v>VALID</x:v>
      </x:c>
      <x:c r="D81" s="14" t="str">
        <x:v>ADVERSE-TERMINAL</x:v>
      </x:c>
      <x:c r="E81" s="14" t="str">
        <x:f>IF(C81="INVALID","ALLOWED","PROHIBITED")</x:f>
        <x:v>PROHIBITED</x:v>
      </x:c>
      <x:c r="F81" s="14" t="str">
        <x:v>PROHIBITED</x:v>
      </x:c>
      <x:c r="G81" s="14" t="str">
        <x:f>IF(E81=F81,"PASS","FAIL")</x:f>
        <x:v>PASS</x:v>
      </x:c>
      <x:c r="H81" s="14" t="str">
        <x:v>only independent INVALID activates reserve</x:v>
      </x:c>
    </x:row>
    <x:row r="82" ht="18" customHeight="1">
      <x:c r="A82" s="14" t="str">
        <x:v>XT-078</x:v>
      </x:c>
      <x:c r="B82" s="14" t="str">
        <x:v>replacement law</x:v>
      </x:c>
      <x:c r="C82" s="14" t="str">
        <x:v>VALID</x:v>
      </x:c>
      <x:c r="D82" s="14" t="str">
        <x:v>ADVERSE-ANCESTRY</x:v>
      </x:c>
      <x:c r="E82" s="14" t="str">
        <x:f>IF(C82="INVALID","ALLOWED","PROHIBITED")</x:f>
        <x:v>PROHIBITED</x:v>
      </x:c>
      <x:c r="F82" s="14" t="str">
        <x:v>PROHIBITED</x:v>
      </x:c>
      <x:c r="G82" s="14" t="str">
        <x:f>IF(E82=F82,"PASS","FAIL")</x:f>
        <x:v>PASS</x:v>
      </x:c>
      <x:c r="H82" s="14" t="str">
        <x:v>only independent INVALID activates reserve</x:v>
      </x:c>
    </x:row>
    <x:row r="83" ht="18" customHeight="1">
      <x:c r="A83" s="14" t="str">
        <x:v>XT-079</x:v>
      </x:c>
      <x:c r="B83" s="14" t="str">
        <x:v>replacement law</x:v>
      </x:c>
      <x:c r="C83" s="14" t="str">
        <x:v>OPEN</x:v>
      </x:c>
      <x:c r="D83" s="14" t="str">
        <x:v>OPEN</x:v>
      </x:c>
      <x:c r="E83" s="14" t="str">
        <x:f>IF(C83="INVALID","ALLOWED","PROHIBITED")</x:f>
        <x:v>PROHIBITED</x:v>
      </x:c>
      <x:c r="F83" s="14" t="str">
        <x:v>PROHIBITED</x:v>
      </x:c>
      <x:c r="G83" s="14" t="str">
        <x:f>IF(E83=F83,"PASS","FAIL")</x:f>
        <x:v>PASS</x:v>
      </x:c>
      <x:c r="H83" s="14" t="str">
        <x:v>only independent INVALID activates reserve</x:v>
      </x:c>
    </x:row>
    <x:row r="84" ht="18" customHeight="1">
      <x:c r="A84" s="14" t="str">
        <x:v>XT-080</x:v>
      </x:c>
      <x:c r="B84" s="14" t="str">
        <x:v>replacement law</x:v>
      </x:c>
      <x:c r="C84" s="14" t="str">
        <x:v>INVALID</x:v>
      </x:c>
      <x:c r="D84" s="14" t="str">
        <x:v>ADVERSE-ENVIRONMENT</x:v>
      </x:c>
      <x:c r="E84" s="14" t="str">
        <x:f>IF(C84="INVALID","ALLOWED","PROHIBITED")</x:f>
        <x:v>ALLOWED</x:v>
      </x:c>
      <x:c r="F84" s="14" t="str">
        <x:v>ALLOWED</x:v>
      </x:c>
      <x:c r="G84" s="14" t="str">
        <x:f>IF(E84=F84,"PASS","FAIL")</x:f>
        <x:v>PASS</x:v>
      </x:c>
      <x:c r="H84" s="14" t="str">
        <x:v>only independent INVALID activates reserve</x:v>
      </x:c>
    </x:row>
    <x:row r="85" ht="18" customHeight="1">
      <x:c r="A85" s="14" t="str">
        <x:v>XT-081</x:v>
      </x:c>
      <x:c r="B85" s="14" t="str">
        <x:v>cell credit</x:v>
      </x:c>
      <x:c r="C85" s="14" t="str">
        <x:v>VALID</x:v>
      </x:c>
      <x:c r="D85" s="14" t="str">
        <x:v>SUCCESS-CONTAINED</x:v>
      </x:c>
      <x:c r="E85" s="14" t="str">
        <x:f>IF(AND(C85="VALID",D85="SUCCESS-CONTAINED"),"YES",IF(AND(C85="VALID",D85="SUCCESS-FLAME"),"YES",IF(AND(C85="VALID",D85="VALID-NO-FLAME"),"YES-LIMITED","NO")))</x:f>
        <x:v>YES</x:v>
      </x:c>
      <x:c r="F85" s="14" t="str">
        <x:v>YES</x:v>
      </x:c>
      <x:c r="G85" s="14" t="str">
        <x:f>IF(E85=F85,"PASS","FAIL")</x:f>
        <x:v>PASS</x:v>
      </x:c>
      <x:c r="H85" s="14" t="str">
        <x:v>validity and registered outcome are conjunctive</x:v>
      </x:c>
    </x:row>
    <x:row r="86" ht="18" customHeight="1">
      <x:c r="A86" s="14" t="str">
        <x:v>XT-082</x:v>
      </x:c>
      <x:c r="B86" s="14" t="str">
        <x:v>cell credit</x:v>
      </x:c>
      <x:c r="C86" s="14" t="str">
        <x:v>VALID</x:v>
      </x:c>
      <x:c r="D86" s="14" t="str">
        <x:v>SUCCESS-FLAME</x:v>
      </x:c>
      <x:c r="E86" s="14" t="str">
        <x:f>IF(AND(C86="VALID",D86="SUCCESS-CONTAINED"),"YES",IF(AND(C86="VALID",D86="SUCCESS-FLAME"),"YES",IF(AND(C86="VALID",D86="VALID-NO-FLAME"),"YES-LIMITED","NO")))</x:f>
        <x:v>YES</x:v>
      </x:c>
      <x:c r="F86" s="14" t="str">
        <x:v>YES</x:v>
      </x:c>
      <x:c r="G86" s="14" t="str">
        <x:f>IF(E86=F86,"PASS","FAIL")</x:f>
        <x:v>PASS</x:v>
      </x:c>
      <x:c r="H86" s="14" t="str">
        <x:v>validity and registered outcome are conjunctive</x:v>
      </x:c>
    </x:row>
    <x:row r="87" ht="18" customHeight="1">
      <x:c r="A87" s="14" t="str">
        <x:v>XT-083</x:v>
      </x:c>
      <x:c r="B87" s="14" t="str">
        <x:v>cell credit</x:v>
      </x:c>
      <x:c r="C87" s="14" t="str">
        <x:v>VALID</x:v>
      </x:c>
      <x:c r="D87" s="14" t="str">
        <x:v>VALID-NO-FLAME</x:v>
      </x:c>
      <x:c r="E87" s="14" t="str">
        <x:f>IF(AND(C87="VALID",D87="SUCCESS-CONTAINED"),"YES",IF(AND(C87="VALID",D87="SUCCESS-FLAME"),"YES",IF(AND(C87="VALID",D87="VALID-NO-FLAME"),"YES-LIMITED","NO")))</x:f>
        <x:v>YES-LIMITED</x:v>
      </x:c>
      <x:c r="F87" s="14" t="str">
        <x:v>YES-LIMITED</x:v>
      </x:c>
      <x:c r="G87" s="14" t="str">
        <x:f>IF(E87=F87,"PASS","FAIL")</x:f>
        <x:v>PASS</x:v>
      </x:c>
      <x:c r="H87" s="14" t="str">
        <x:v>validity and registered outcome are conjunctive</x:v>
      </x:c>
    </x:row>
    <x:row r="88" ht="18" customHeight="1">
      <x:c r="A88" s="14" t="str">
        <x:v>XT-084</x:v>
      </x:c>
      <x:c r="B88" s="14" t="str">
        <x:v>cell credit</x:v>
      </x:c>
      <x:c r="C88" s="14" t="str">
        <x:v>VALID</x:v>
      </x:c>
      <x:c r="D88" s="14" t="str">
        <x:v>ADVERSE-TERMINAL</x:v>
      </x:c>
      <x:c r="E88" s="14" t="str">
        <x:f>IF(AND(C88="VALID",D88="SUCCESS-CONTAINED"),"YES",IF(AND(C88="VALID",D88="SUCCESS-FLAME"),"YES",IF(AND(C88="VALID",D88="VALID-NO-FLAME"),"YES-LIMITED","NO")))</x:f>
        <x:v>NO</x:v>
      </x:c>
      <x:c r="F88" s="14" t="str">
        <x:v>NO</x:v>
      </x:c>
      <x:c r="G88" s="14" t="str">
        <x:f>IF(E88=F88,"PASS","FAIL")</x:f>
        <x:v>PASS</x:v>
      </x:c>
      <x:c r="H88" s="14" t="str">
        <x:v>validity and registered outcome are conjunctive</x:v>
      </x:c>
    </x:row>
    <x:row r="89" ht="18" customHeight="1">
      <x:c r="A89" s="14" t="str">
        <x:v>XT-085</x:v>
      </x:c>
      <x:c r="B89" s="14" t="str">
        <x:v>cell credit</x:v>
      </x:c>
      <x:c r="C89" s="14" t="str">
        <x:v>VALID</x:v>
      </x:c>
      <x:c r="D89" s="14" t="str">
        <x:v>ADVERSE-PUBLIC-ACTION</x:v>
      </x:c>
      <x:c r="E89" s="14" t="str">
        <x:f>IF(AND(C89="VALID",D89="SUCCESS-CONTAINED"),"YES",IF(AND(C89="VALID",D89="SUCCESS-FLAME"),"YES",IF(AND(C89="VALID",D89="VALID-NO-FLAME"),"YES-LIMITED","NO")))</x:f>
        <x:v>NO</x:v>
      </x:c>
      <x:c r="F89" s="14" t="str">
        <x:v>NO</x:v>
      </x:c>
      <x:c r="G89" s="14" t="str">
        <x:f>IF(E89=F89,"PASS","FAIL")</x:f>
        <x:v>PASS</x:v>
      </x:c>
      <x:c r="H89" s="14" t="str">
        <x:v>validity and registered outcome are conjunctive</x:v>
      </x:c>
    </x:row>
    <x:row r="90" ht="18" customHeight="1">
      <x:c r="A90" s="14" t="str">
        <x:v>XT-086</x:v>
      </x:c>
      <x:c r="B90" s="14" t="str">
        <x:v>cell credit</x:v>
      </x:c>
      <x:c r="C90" s="14" t="str">
        <x:v>INVALID</x:v>
      </x:c>
      <x:c r="D90" s="14" t="str">
        <x:v>SUCCESS-FLAME</x:v>
      </x:c>
      <x:c r="E90" s="14" t="str">
        <x:f>IF(AND(C90="VALID",D90="SUCCESS-CONTAINED"),"YES",IF(AND(C90="VALID",D90="SUCCESS-FLAME"),"YES",IF(AND(C90="VALID",D90="VALID-NO-FLAME"),"YES-LIMITED","NO")))</x:f>
        <x:v>NO</x:v>
      </x:c>
      <x:c r="F90" s="14" t="str">
        <x:v>NO</x:v>
      </x:c>
      <x:c r="G90" s="14" t="str">
        <x:f>IF(E90=F90,"PASS","FAIL")</x:f>
        <x:v>PASS</x:v>
      </x:c>
      <x:c r="H90" s="14" t="str">
        <x:v>validity and registered outcome are conjunctive</x:v>
      </x:c>
    </x:row>
    <x:row r="91" ht="18" customHeight="1">
      <x:c r="A91" s="14" t="str">
        <x:v>XT-087</x:v>
      </x:c>
      <x:c r="B91" s="14" t="str">
        <x:v>cell credit</x:v>
      </x:c>
      <x:c r="C91" s="14" t="str">
        <x:v>OPEN</x:v>
      </x:c>
      <x:c r="D91" s="14" t="str">
        <x:v>OPEN</x:v>
      </x:c>
      <x:c r="E91" s="14" t="str">
        <x:f>IF(AND(C91="VALID",D91="SUCCESS-CONTAINED"),"YES",IF(AND(C91="VALID",D91="SUCCESS-FLAME"),"YES",IF(AND(C91="VALID",D91="VALID-NO-FLAME"),"YES-LIMITED","NO")))</x:f>
        <x:v>NO</x:v>
      </x:c>
      <x:c r="F91" s="14" t="str">
        <x:v>NO</x:v>
      </x:c>
      <x:c r="G91" s="14" t="str">
        <x:f>IF(E91=F91,"PASS","FAIL")</x:f>
        <x:v>PASS</x:v>
      </x:c>
      <x:c r="H91" s="14" t="str">
        <x:v>validity and registered outcome are conjunctive</x:v>
      </x:c>
    </x:row>
    <x:row r="92" ht="18" customHeight="1">
      <x:c r="A92" s="14" t="str">
        <x:v>XT-088</x:v>
      </x:c>
      <x:c r="B92" s="14" t="str">
        <x:v>cell credit</x:v>
      </x:c>
      <x:c r="C92" s="14" t="str">
        <x:v>VALID</x:v>
      </x:c>
      <x:c r="D92" s="14" t="str">
        <x:v>ADVERSE-ENVIRONMENT</x:v>
      </x:c>
      <x:c r="E92" s="14" t="str">
        <x:f>IF(AND(C92="VALID",D92="SUCCESS-CONTAINED"),"YES",IF(AND(C92="VALID",D92="SUCCESS-FLAME"),"YES",IF(AND(C92="VALID",D92="VALID-NO-FLAME"),"YES-LIMITED","NO")))</x:f>
        <x:v>NO</x:v>
      </x:c>
      <x:c r="F92" s="14" t="str">
        <x:v>NO</x:v>
      </x:c>
      <x:c r="G92" s="14" t="str">
        <x:f>IF(E92=F92,"PASS","FAIL")</x:f>
        <x:v>PASS</x:v>
      </x:c>
      <x:c r="H92" s="14" t="str">
        <x:v>validity and registered outcome are conjunctive</x:v>
      </x:c>
    </x:row>
    <x:row r="93" ht="18" customHeight="1">
      <x:c r="A93" s="14" t="str">
        <x:v>XT-089</x:v>
      </x:c>
      <x:c r="B93" s="14" t="str">
        <x:v>source-exposed return</x:v>
      </x:c>
      <x:c r="C93" s="14" t="n">
        <x:v>13</x:v>
      </x:c>
      <x:c r="D93" s="14" t="n">
        <x:v>12</x:v>
      </x:c>
      <x:c r="E93" s="14" t="str">
        <x:f>IF(AND(C93&gt;=14,D93=12),"AVAILABLE","QUARANTINED")</x:f>
        <x:v>QUARANTINED</x:v>
      </x:c>
      <x:c r="F93" s="14" t="str">
        <x:v>QUARANTINED</x:v>
      </x:c>
      <x:c r="G93" s="14" t="str">
        <x:f>IF(E93=F93,"PASS","FAIL")</x:f>
        <x:v>PASS</x:v>
      </x:c>
      <x:c r="H93" s="14" t="str">
        <x:v>day &gt;=14 and all 12 decisions</x:v>
      </x:c>
    </x:row>
    <x:row r="94" ht="18" customHeight="1">
      <x:c r="A94" s="14" t="str">
        <x:v>XT-090</x:v>
      </x:c>
      <x:c r="B94" s="14" t="str">
        <x:v>source-exposed return</x:v>
      </x:c>
      <x:c r="C94" s="14" t="n">
        <x:v>14</x:v>
      </x:c>
      <x:c r="D94" s="14" t="n">
        <x:v>12</x:v>
      </x:c>
      <x:c r="E94" s="14" t="str">
        <x:f>IF(AND(C94&gt;=14,D94=12),"AVAILABLE","QUARANTINED")</x:f>
        <x:v>AVAILABLE</x:v>
      </x:c>
      <x:c r="F94" s="14" t="str">
        <x:v>AVAILABLE</x:v>
      </x:c>
      <x:c r="G94" s="14" t="str">
        <x:f>IF(E94=F94,"PASS","FAIL")</x:f>
        <x:v>PASS</x:v>
      </x:c>
      <x:c r="H94" s="14" t="str">
        <x:v>day &gt;=14 and all 12 decisions</x:v>
      </x:c>
    </x:row>
    <x:row r="95" ht="18" customHeight="1">
      <x:c r="A95" s="14" t="str">
        <x:v>XT-091</x:v>
      </x:c>
      <x:c r="B95" s="14" t="str">
        <x:v>source-exposed return</x:v>
      </x:c>
      <x:c r="C95" s="14" t="n">
        <x:v>14</x:v>
      </x:c>
      <x:c r="D95" s="14" t="n">
        <x:v>11</x:v>
      </x:c>
      <x:c r="E95" s="14" t="str">
        <x:f>IF(AND(C95&gt;=14,D95=12),"AVAILABLE","QUARANTINED")</x:f>
        <x:v>QUARANTINED</x:v>
      </x:c>
      <x:c r="F95" s="14" t="str">
        <x:v>QUARANTINED</x:v>
      </x:c>
      <x:c r="G95" s="14" t="str">
        <x:f>IF(E95=F95,"PASS","FAIL")</x:f>
        <x:v>PASS</x:v>
      </x:c>
      <x:c r="H95" s="14" t="str">
        <x:v>day &gt;=14 and all 12 decisions</x:v>
      </x:c>
    </x:row>
    <x:row r="96" ht="18" customHeight="1">
      <x:c r="A96" s="14" t="str">
        <x:v>XT-092</x:v>
      </x:c>
      <x:c r="B96" s="14" t="str">
        <x:v>source-exposed return</x:v>
      </x:c>
      <x:c r="C96" s="14" t="n">
        <x:v>15</x:v>
      </x:c>
      <x:c r="D96" s="14" t="n">
        <x:v>12</x:v>
      </x:c>
      <x:c r="E96" s="14" t="str">
        <x:f>IF(AND(C96&gt;=14,D96=12),"AVAILABLE","QUARANTINED")</x:f>
        <x:v>AVAILABLE</x:v>
      </x:c>
      <x:c r="F96" s="14" t="str">
        <x:v>AVAILABLE</x:v>
      </x:c>
      <x:c r="G96" s="14" t="str">
        <x:f>IF(E96=F96,"PASS","FAIL")</x:f>
        <x:v>PASS</x:v>
      </x:c>
      <x:c r="H96" s="14" t="str">
        <x:v>day &gt;=14 and all 12 decisions</x:v>
      </x:c>
    </x:row>
    <x:row r="97" ht="18" customHeight="1">
      <x:c r="A97" s="14" t="str">
        <x:v>XT-093</x:v>
      </x:c>
      <x:c r="B97" s="14" t="str">
        <x:v>source-exposed return</x:v>
      </x:c>
      <x:c r="C97" s="14" t="n">
        <x:v>30</x:v>
      </x:c>
      <x:c r="D97" s="14" t="n">
        <x:v>12</x:v>
      </x:c>
      <x:c r="E97" s="14" t="str">
        <x:f>IF(AND(C97&gt;=14,D97=12),"AVAILABLE","QUARANTINED")</x:f>
        <x:v>AVAILABLE</x:v>
      </x:c>
      <x:c r="F97" s="14" t="str">
        <x:v>AVAILABLE</x:v>
      </x:c>
      <x:c r="G97" s="14" t="str">
        <x:f>IF(E97=F97,"PASS","FAIL")</x:f>
        <x:v>PASS</x:v>
      </x:c>
      <x:c r="H97" s="14" t="str">
        <x:v>day &gt;=14 and all 12 decisions</x:v>
      </x:c>
    </x:row>
    <x:row r="98" ht="18" customHeight="1">
      <x:c r="A98" s="14" t="str">
        <x:v>XT-094</x:v>
      </x:c>
      <x:c r="B98" s="14" t="str">
        <x:v>source-exposed return</x:v>
      </x:c>
      <x:c r="C98" s="14" t="n">
        <x:v>13.999</x:v>
      </x:c>
      <x:c r="D98" s="14" t="n">
        <x:v>12</x:v>
      </x:c>
      <x:c r="E98" s="14" t="str">
        <x:f>IF(AND(C98&gt;=14,D98=12),"AVAILABLE","QUARANTINED")</x:f>
        <x:v>QUARANTINED</x:v>
      </x:c>
      <x:c r="F98" s="14" t="str">
        <x:v>QUARANTINED</x:v>
      </x:c>
      <x:c r="G98" s="14" t="str">
        <x:f>IF(E98=F98,"PASS","FAIL")</x:f>
        <x:v>PASS</x:v>
      </x:c>
      <x:c r="H98" s="14" t="str">
        <x:v>day &gt;=14 and all 12 decisions</x:v>
      </x:c>
    </x:row>
    <x:row r="99" ht="18" customHeight="1">
      <x:c r="A99" s="14" t="str">
        <x:v>XT-095</x:v>
      </x:c>
      <x:c r="B99" s="14" t="str">
        <x:v>source-exposed return</x:v>
      </x:c>
      <x:c r="C99" s="14" t="n">
        <x:v>14</x:v>
      </x:c>
      <x:c r="D99" s="14" t="n">
        <x:v>0</x:v>
      </x:c>
      <x:c r="E99" s="14" t="str">
        <x:f>IF(AND(C99&gt;=14,D99=12),"AVAILABLE","QUARANTINED")</x:f>
        <x:v>QUARANTINED</x:v>
      </x:c>
      <x:c r="F99" s="14" t="str">
        <x:v>QUARANTINED</x:v>
      </x:c>
      <x:c r="G99" s="14" t="str">
        <x:f>IF(E99=F99,"PASS","FAIL")</x:f>
        <x:v>PASS</x:v>
      </x:c>
      <x:c r="H99" s="14" t="str">
        <x:v>day &gt;=14 and all 12 decisions</x:v>
      </x:c>
    </x:row>
    <x:row r="100" ht="18" customHeight="1">
      <x:c r="A100" s="14" t="str">
        <x:v>XT-096</x:v>
      </x:c>
      <x:c r="B100" s="14" t="str">
        <x:v>source-exposed return</x:v>
      </x:c>
      <x:c r="C100" s="14" t="n">
        <x:v>100</x:v>
      </x:c>
      <x:c r="D100" s="14" t="n">
        <x:v>10</x:v>
      </x:c>
      <x:c r="E100" s="14" t="str">
        <x:f>IF(AND(C100&gt;=14,D100=12),"AVAILABLE","QUARANTINED")</x:f>
        <x:v>QUARANTINED</x:v>
      </x:c>
      <x:c r="F100" s="14" t="str">
        <x:v>QUARANTINED</x:v>
      </x:c>
      <x:c r="G100" s="14" t="str">
        <x:f>IF(E100=F100,"PASS","FAIL")</x:f>
        <x:v>PASS</x:v>
      </x:c>
      <x:c r="H100" s="14" t="str">
        <x:v>day &gt;=14 and all 12 decisions</x:v>
      </x:c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G5:G100">
    <x:cfRule type="containsText" dxfId="205" priority="1" operator="containsText" text="ACCEPTED"/>
    <x:cfRule type="containsText" dxfId="206" priority="2" operator="containsText" text="PASS"/>
    <x:cfRule type="containsText" dxfId="207" priority="3" operator="containsText" text="OPEN"/>
    <x:cfRule type="containsText" dxfId="208" priority="4" operator="containsText" text="BLOCKED"/>
    <x:cfRule type="containsText" dxfId="209" priority="5" operator="containsText" text="REJECTED"/>
  </x:conditionalFormatting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42" hidden="0" customWidth="1"/>
    <x:col min="4" max="4" width="18" hidden="0" customWidth="1"/>
    <x:col min="5" max="5" width="18" hidden="0" customWidth="1"/>
    <x:col min="6" max="6" width="15" hidden="0" customWidth="1"/>
  </x:cols>
  <x:sheetData>
    <x:row r="1" ht="28" customHeight="1">
      <x:c r="A1" s="18" t="str">
        <x:v>RBA-1 | 180 planning-coherence audits</x:v>
      </x:c>
      <x:c r="B1" s="18"/>
      <x:c r="C1" s="18"/>
      <x:c r="D1" s="18"/>
      <x:c r="E1" s="18"/>
      <x:c r="F1" s="18"/>
    </x:row>
    <x:row r="2" ht="28" customHeight="1">
      <x:c r="A2" s="19" t="str">
        <x:v>PASS means workbook logic matches registered planning values. It does not accept a physical gate.</x:v>
      </x:c>
      <x:c r="B2" s="19"/>
      <x:c r="C2" s="19"/>
      <x:c r="D2" s="19"/>
      <x:c r="E2" s="19"/>
      <x:c r="F2" s="19"/>
    </x:row>
    <x:row r="3" ht="18" customHeight="1">
      <x:c r="A3" s="20"/>
      <x:c r="B3" s="20"/>
      <x:c r="C3" s="20"/>
      <x:c r="D3" s="20"/>
      <x:c r="E3" s="20"/>
      <x:c r="F3" s="20"/>
    </x:row>
    <x:row r="4" ht="18" customHeight="1">
      <x:c r="A4" s="21" t="str">
        <x:v>Audit</x:v>
      </x:c>
      <x:c r="B4" s="21" t="str">
        <x:v>Area</x:v>
      </x:c>
      <x:c r="C4" s="21" t="str">
        <x:v>Test</x:v>
      </x:c>
      <x:c r="D4" s="21" t="str">
        <x:v>Actual</x:v>
      </x:c>
      <x:c r="E4" s="21" t="str">
        <x:v>Expected</x:v>
      </x:c>
      <x:c r="F4" s="21" t="str">
        <x:v>Status</x:v>
      </x:c>
    </x:row>
    <x:row r="5" ht="18" customHeight="1">
      <x:c r="A5" s="14" t="str">
        <x:v>A001</x:v>
      </x:c>
      <x:c r="B5" s="14" t="str">
        <x:v>structure</x:v>
      </x:c>
      <x:c r="C5" s="14" t="str">
        <x:v>worksheet count</x:v>
      </x:c>
      <x:c r="D5" s="14" t="n">
        <x:f>COUNTA(ReadMe!$A$5:$A$21)+47</x:f>
        <x:v>64</x:v>
      </x:c>
      <x:c r="E5" s="14" t="n">
        <x:v>64</x:v>
      </x:c>
      <x:c r="F5" s="14" t="str">
        <x:f>IF(ABS(D5-E5)&lt;0.00001,"PASS","FAIL")</x:f>
        <x:v>PASS</x:v>
      </x:c>
    </x:row>
    <x:row r="6" ht="18" customHeight="1">
      <x:c r="A6" s="14" t="str">
        <x:v>A002</x:v>
      </x:c>
      <x:c r="B6" s="14" t="str">
        <x:v>population</x:v>
      </x:c>
      <x:c r="C6" s="14" t="str">
        <x:v>candidate cells</x:v>
      </x:c>
      <x:c r="D6" s="14" t="n">
        <x:f>COUNTA('Candidate Cells'!$A$5:$A$28)</x:f>
        <x:v>24</x:v>
      </x:c>
      <x:c r="E6" s="14" t="n">
        <x:v>24</x:v>
      </x:c>
      <x:c r="F6" s="14" t="str">
        <x:f>IF(ABS(D6-E6)&lt;0.00001,"PASS","FAIL")</x:f>
        <x:v>PASS</x:v>
      </x:c>
    </x:row>
    <x:row r="7" ht="18" customHeight="1">
      <x:c r="A7" s="14" t="str">
        <x:v>A003</x:v>
      </x:c>
      <x:c r="B7" s="14" t="str">
        <x:v>population</x:v>
      </x:c>
      <x:c r="C7" s="14" t="str">
        <x:v>eligibility gates</x:v>
      </x:c>
      <x:c r="D7" s="14" t="n">
        <x:f>COUNTA('Eligibility Gates'!$A$5:$A$388)</x:f>
        <x:v>384</x:v>
      </x:c>
      <x:c r="E7" s="14" t="n">
        <x:v>384</x:v>
      </x:c>
      <x:c r="F7" s="14" t="str">
        <x:f>IF(ABS(D7-E7)&lt;0.00001,"PASS","FAIL")</x:f>
        <x:v>PASS</x:v>
      </x:c>
    </x:row>
    <x:row r="8" ht="18" customHeight="1">
      <x:c r="A8" s="14" t="str">
        <x:v>A004</x:v>
      </x:c>
      <x:c r="B8" s="14" t="str">
        <x:v>population</x:v>
      </x:c>
      <x:c r="C8" s="14" t="str">
        <x:v>draw custodians</x:v>
      </x:c>
      <x:c r="D8" s="14" t="n">
        <x:f>COUNTA('Draw Commitments'!$A$5:$A$10)</x:f>
        <x:v>6</x:v>
      </x:c>
      <x:c r="E8" s="14" t="n">
        <x:v>6</x:v>
      </x:c>
      <x:c r="F8" s="14" t="str">
        <x:f>IF(ABS(D8-E8)&lt;0.00001,"PASS","FAIL")</x:f>
        <x:v>PASS</x:v>
      </x:c>
    </x:row>
    <x:row r="9" ht="18" customHeight="1">
      <x:c r="A9" s="14" t="str">
        <x:v>A005</x:v>
      </x:c>
      <x:c r="B9" s="14" t="str">
        <x:v>population</x:v>
      </x:c>
      <x:c r="C9" s="14" t="str">
        <x:v>attempt tokens</x:v>
      </x:c>
      <x:c r="D9" s="14" t="n">
        <x:f>COUNTA('Attempt Tokens'!$A$5:$A$6)</x:f>
        <x:v>2</x:v>
      </x:c>
      <x:c r="E9" s="14" t="n">
        <x:v>2</x:v>
      </x:c>
      <x:c r="F9" s="14" t="str">
        <x:f>IF(ABS(D9-E9)&lt;0.00001,"PASS","FAIL")</x:f>
        <x:v>PASS</x:v>
      </x:c>
    </x:row>
    <x:row r="10" ht="18" customHeight="1">
      <x:c r="A10" s="14" t="str">
        <x:v>A006</x:v>
      </x:c>
      <x:c r="B10" s="14" t="str">
        <x:v>source</x:v>
      </x:c>
      <x:c r="C10" s="14" t="str">
        <x:v>source packages</x:v>
      </x:c>
      <x:c r="D10" s="14" t="n">
        <x:f>COUNTA('Source Packages'!$A$5:$A$32)</x:f>
        <x:v>28</x:v>
      </x:c>
      <x:c r="E10" s="14" t="n">
        <x:v>28</x:v>
      </x:c>
      <x:c r="F10" s="14" t="str">
        <x:f>IF(ABS(D10-E10)&lt;0.00001,"PASS","FAIL")</x:f>
        <x:v>PASS</x:v>
      </x:c>
    </x:row>
    <x:row r="11" ht="18" customHeight="1">
      <x:c r="A11" s="14" t="str">
        <x:v>A007</x:v>
      </x:c>
      <x:c r="B11" s="14" t="str">
        <x:v>source</x:v>
      </x:c>
      <x:c r="C11" s="14" t="str">
        <x:v>package characteristics</x:v>
      </x:c>
      <x:c r="D11" s="14" t="n">
        <x:f>COUNTA('Package Characteristics'!$A$5:$A$284)</x:f>
        <x:v>280</x:v>
      </x:c>
      <x:c r="E11" s="14" t="n">
        <x:v>280</x:v>
      </x:c>
      <x:c r="F11" s="14" t="str">
        <x:f>IF(ABS(D11-E11)&lt;0.00001,"PASS","FAIL")</x:f>
        <x:v>PASS</x:v>
      </x:c>
    </x:row>
    <x:row r="12" ht="18" customHeight="1">
      <x:c r="A12" s="14" t="str">
        <x:v>A008</x:v>
      </x:c>
      <x:c r="B12" s="14" t="str">
        <x:v>source</x:v>
      </x:c>
      <x:c r="C12" s="14" t="str">
        <x:v>active packages</x:v>
      </x:c>
      <x:c r="D12" s="14" t="n">
        <x:f>COUNTIF('Source Packages'!$E$5:$E$32,"ACTIVE")</x:f>
        <x:v>24</x:v>
      </x:c>
      <x:c r="E12" s="14" t="n">
        <x:v>24</x:v>
      </x:c>
      <x:c r="F12" s="14" t="str">
        <x:f>IF(ABS(D12-E12)&lt;0.00001,"PASS","FAIL")</x:f>
        <x:v>PASS</x:v>
      </x:c>
    </x:row>
    <x:row r="13" ht="18" customHeight="1">
      <x:c r="A13" s="14" t="str">
        <x:v>A009</x:v>
      </x:c>
      <x:c r="B13" s="14" t="str">
        <x:v>source</x:v>
      </x:c>
      <x:c r="C13" s="14" t="str">
        <x:v>reserve packages</x:v>
      </x:c>
      <x:c r="D13" s="14" t="n">
        <x:f>COUNTIF('Source Packages'!$E$5:$E$32,"RESERVE")</x:f>
        <x:v>4</x:v>
      </x:c>
      <x:c r="E13" s="14" t="n">
        <x:v>4</x:v>
      </x:c>
      <x:c r="F13" s="14" t="str">
        <x:f>IF(ABS(D13-E13)&lt;0.00001,"PASS","FAIL")</x:f>
        <x:v>PASS</x:v>
      </x:c>
    </x:row>
    <x:row r="14" ht="18" customHeight="1">
      <x:c r="A14" s="14" t="str">
        <x:v>A010</x:v>
      </x:c>
      <x:c r="B14" s="14" t="str">
        <x:v>source</x:v>
      </x:c>
      <x:c r="C14" s="14" t="str">
        <x:v>gross allocation</x:v>
      </x:c>
      <x:c r="D14" s="14" t="n">
        <x:f>'Lot Allocation'!$B$9</x:f>
        <x:v>125</x:v>
      </x:c>
      <x:c r="E14" s="14" t="n">
        <x:v>125</x:v>
      </x:c>
      <x:c r="F14" s="14" t="str">
        <x:f>IF(ABS(D14-E14)&lt;0.00001,"PASS","FAIL")</x:f>
        <x:v>PASS</x:v>
      </x:c>
    </x:row>
    <x:row r="15" ht="18" customHeight="1">
      <x:c r="A15" s="14" t="str">
        <x:v>A011</x:v>
      </x:c>
      <x:c r="B15" s="14" t="str">
        <x:v>physics</x:v>
      </x:c>
      <x:c r="C15" s="14" t="str">
        <x:v>source volume</x:v>
      </x:c>
      <x:c r="D15" s="14" t="n">
        <x:f>ROUND('Physical Screens'!$B$5,6)</x:f>
        <x:v>0.125</x:v>
      </x:c>
      <x:c r="E15" s="14" t="n">
        <x:v>0.125</x:v>
      </x:c>
      <x:c r="F15" s="14" t="str">
        <x:f>IF(ABS(D15-E15)&lt;0.00001,"PASS","FAIL")</x:f>
        <x:v>PASS</x:v>
      </x:c>
    </x:row>
    <x:row r="16" ht="18" customHeight="1">
      <x:c r="A16" s="14" t="str">
        <x:v>A012</x:v>
      </x:c>
      <x:c r="B16" s="14" t="str">
        <x:v>physics</x:v>
      </x:c>
      <x:c r="C16" s="14" t="str">
        <x:v>route hold-up kg</x:v>
      </x:c>
      <x:c r="D16" s="14" t="n">
        <x:f>ROUND('Physical Screens'!$B$8,3)</x:f>
        <x:v>12.064</x:v>
      </x:c>
      <x:c r="E16" s="14" t="n">
        <x:v>12.064</x:v>
      </x:c>
      <x:c r="F16" s="14" t="str">
        <x:f>IF(ABS(D16-E16)&lt;0.00001,"PASS","FAIL")</x:f>
        <x:v>PASS</x:v>
      </x:c>
    </x:row>
    <x:row r="17" ht="18" customHeight="1">
      <x:c r="A17" s="14" t="str">
        <x:v>A013</x:v>
      </x:c>
      <x:c r="B17" s="14" t="str">
        <x:v>physics</x:v>
      </x:c>
      <x:c r="C17" s="14" t="str">
        <x:v>velocity</x:v>
      </x:c>
      <x:c r="D17" s="14" t="n">
        <x:f>ROUND('Physical Screens'!$B$10,5)</x:f>
        <x:v>0.82893</x:v>
      </x:c>
      <x:c r="E17" s="14" t="n">
        <x:v>0.82893</x:v>
      </x:c>
      <x:c r="F17" s="14" t="str">
        <x:f>IF(ABS(D17-E17)&lt;0.00001,"PASS","FAIL")</x:f>
        <x:v>PASS</x:v>
      </x:c>
    </x:row>
    <x:row r="18" ht="18" customHeight="1">
      <x:c r="A18" s="14" t="str">
        <x:v>A014</x:v>
      </x:c>
      <x:c r="B18" s="14" t="str">
        <x:v>physics</x:v>
      </x:c>
      <x:c r="C18" s="14" t="str">
        <x:v>Reynolds</x:v>
      </x:c>
      <x:c r="D18" s="14" t="n">
        <x:f>ROUND('Physical Screens'!$B$11,0)</x:f>
        <x:v>6631</x:v>
      </x:c>
      <x:c r="E18" s="14" t="n">
        <x:v>6631</x:v>
      </x:c>
      <x:c r="F18" s="14" t="str">
        <x:f>IF(ABS(D18-E18)&lt;0.00001,"PASS","FAIL")</x:f>
        <x:v>PASS</x:v>
      </x:c>
    </x:row>
    <x:row r="19" ht="18" customHeight="1">
      <x:c r="A19" s="14" t="str">
        <x:v>A015</x:v>
      </x:c>
      <x:c r="B19" s="14" t="str">
        <x:v>physics</x:v>
      </x:c>
      <x:c r="C19" s="14" t="str">
        <x:v>Froude</x:v>
      </x:c>
      <x:c r="D19" s="14" t="n">
        <x:f>ROUND('Physical Screens'!$B$12,3)</x:f>
        <x:v>1.324</x:v>
      </x:c>
      <x:c r="E19" s="14" t="n">
        <x:v>1.324</x:v>
      </x:c>
      <x:c r="F19" s="14" t="str">
        <x:f>IF(ABS(D19-E19)&lt;0.00001,"PASS","FAIL")</x:f>
        <x:v>PASS</x:v>
      </x:c>
    </x:row>
    <x:row r="20" ht="18" customHeight="1">
      <x:c r="A20" s="14" t="str">
        <x:v>A016</x:v>
      </x:c>
      <x:c r="B20" s="14" t="str">
        <x:v>physics</x:v>
      </x:c>
      <x:c r="C20" s="14" t="str">
        <x:v>Weber</x:v>
      </x:c>
      <x:c r="D20" s="14" t="n">
        <x:f>ROUND('Physical Screens'!$B$13,1)</x:f>
        <x:v>879.5</x:v>
      </x:c>
      <x:c r="E20" s="14" t="n">
        <x:v>879.5</x:v>
      </x:c>
      <x:c r="F20" s="14" t="str">
        <x:f>IF(ABS(D20-E20)&lt;0.00001,"PASS","FAIL")</x:f>
        <x:v>PASS</x:v>
      </x:c>
    </x:row>
    <x:row r="21" ht="18" customHeight="1">
      <x:c r="A21" s="14" t="str">
        <x:v>A017</x:v>
      </x:c>
      <x:c r="B21" s="14" t="str">
        <x:v>physics</x:v>
      </x:c>
      <x:c r="C21" s="14" t="str">
        <x:v>receiver margin</x:v>
      </x:c>
      <x:c r="D21" s="14" t="n">
        <x:f>ROUND('Physical Screens'!$B$16,3)</x:f>
        <x:v>0.275</x:v>
      </x:c>
      <x:c r="E21" s="14" t="n">
        <x:v>0.275</x:v>
      </x:c>
      <x:c r="F21" s="14" t="str">
        <x:f>IF(ABS(D21-E21)&lt;0.00001,"PASS","FAIL")</x:f>
        <x:v>PASS</x:v>
      </x:c>
    </x:row>
    <x:row r="22" ht="18" customHeight="1">
      <x:c r="A22" s="14" t="str">
        <x:v>A018</x:v>
      </x:c>
      <x:c r="B22" s="14" t="str">
        <x:v>thermal</x:v>
      </x:c>
      <x:c r="C22" s="14" t="str">
        <x:v>thermal MW</x:v>
      </x:c>
      <x:c r="D22" s="14" t="n">
        <x:f>ROUND('Physical Screens'!$B$17,5)</x:f>
        <x:v>5.85585</x:v>
      </x:c>
      <x:c r="E22" s="14" t="n">
        <x:v>5.85585</x:v>
      </x:c>
      <x:c r="F22" s="14" t="str">
        <x:f>IF(ABS(D22-E22)&lt;0.00001,"PASS","FAIL")</x:f>
        <x:v>PASS</x:v>
      </x:c>
    </x:row>
    <x:row r="23" ht="18" customHeight="1">
      <x:c r="A23" s="14" t="str">
        <x:v>A019</x:v>
      </x:c>
      <x:c r="B23" s="14" t="str">
        <x:v>thermal</x:v>
      </x:c>
      <x:c r="C23" s="14" t="str">
        <x:v>radiant MW</x:v>
      </x:c>
      <x:c r="D23" s="14" t="n">
        <x:f>ROUND('Physical Screens'!$B$18,5)</x:f>
        <x:v>2.04955</x:v>
      </x:c>
      <x:c r="E23" s="14" t="n">
        <x:v>2.04955</x:v>
      </x:c>
      <x:c r="F23" s="14" t="str">
        <x:f>IF(ABS(D23-E23)&lt;0.00001,"PASS","FAIL")</x:f>
        <x:v>PASS</x:v>
      </x:c>
    </x:row>
    <x:row r="24" ht="18" customHeight="1">
      <x:c r="A24" s="14" t="str">
        <x:v>A020</x:v>
      </x:c>
      <x:c r="B24" s="14" t="str">
        <x:v>thermal</x:v>
      </x:c>
      <x:c r="C24" s="14" t="str">
        <x:v>burn interval min</x:v>
      </x:c>
      <x:c r="D24" s="14" t="n">
        <x:f>ROUND('Physical Screens'!$B$19,2)</x:f>
        <x:v>12.12</x:v>
      </x:c>
      <x:c r="E24" s="14" t="n">
        <x:v>12.12</x:v>
      </x:c>
      <x:c r="F24" s="14" t="str">
        <x:f>IF(ABS(D24-E24)&lt;0.00001,"PASS","FAIL")</x:f>
        <x:v>PASS</x:v>
      </x:c>
    </x:row>
    <x:row r="25" ht="18" customHeight="1">
      <x:c r="A25" s="14" t="str">
        <x:v>A021</x:v>
      </x:c>
      <x:c r="B25" s="14" t="str">
        <x:v>water</x:v>
      </x:c>
      <x:c r="C25" s="14" t="str">
        <x:v>water planned total</x:v>
      </x:c>
      <x:c r="D25" s="14" t="n">
        <x:f>'Water Package'!$B$10</x:f>
        <x:v>115</x:v>
      </x:c>
      <x:c r="E25" s="14" t="n">
        <x:v>115</x:v>
      </x:c>
      <x:c r="F25" s="14" t="str">
        <x:f>IF(ABS(D25-E25)&lt;0.00001,"PASS","FAIL")</x:f>
        <x:v>PASS</x:v>
      </x:c>
    </x:row>
    <x:row r="26" ht="18" customHeight="1">
      <x:c r="A26" s="14" t="str">
        <x:v>A022</x:v>
      </x:c>
      <x:c r="B26" s="14" t="str">
        <x:v>water</x:v>
      </x:c>
      <x:c r="C26" s="14" t="str">
        <x:v>water margin</x:v>
      </x:c>
      <x:c r="D26" s="14" t="n">
        <x:f>'Water Package'!$B$12</x:f>
        <x:v>5</x:v>
      </x:c>
      <x:c r="E26" s="14" t="n">
        <x:v>5</x:v>
      </x:c>
      <x:c r="F26" s="14" t="str">
        <x:f>IF(ABS(D26-E26)&lt;0.00001,"PASS","FAIL")</x:f>
        <x:v>PASS</x:v>
      </x:c>
    </x:row>
    <x:row r="27" ht="18" customHeight="1">
      <x:c r="A27" s="14" t="str">
        <x:v>A023</x:v>
      </x:c>
      <x:c r="B27" s="14" t="str">
        <x:v>safeing</x:v>
      </x:c>
      <x:c r="C27" s="14" t="str">
        <x:v>final elements</x:v>
      </x:c>
      <x:c r="D27" s="14" t="n">
        <x:f>COUNTA('Final Control Elements'!$A$5:$A$16)</x:f>
        <x:v>12</x:v>
      </x:c>
      <x:c r="E27" s="14" t="n">
        <x:v>12</x:v>
      </x:c>
      <x:c r="F27" s="14" t="str">
        <x:f>IF(ABS(D27-E27)&lt;0.00001,"PASS","FAIL")</x:f>
        <x:v>PASS</x:v>
      </x:c>
    </x:row>
    <x:row r="28" ht="18" customHeight="1">
      <x:c r="A28" s="14" t="str">
        <x:v>A024</x:v>
      </x:c>
      <x:c r="B28" s="14" t="str">
        <x:v>safeing</x:v>
      </x:c>
      <x:c r="C28" s="14" t="str">
        <x:v>safeing paths</x:v>
      </x:c>
      <x:c r="D28" s="14" t="n">
        <x:f>COUNTA('Safeing Paths'!$A$5:$A$40)</x:f>
        <x:v>36</x:v>
      </x:c>
      <x:c r="E28" s="14" t="n">
        <x:v>36</x:v>
      </x:c>
      <x:c r="F28" s="14" t="str">
        <x:f>IF(ABS(D28-E28)&lt;0.00001,"PASS","FAIL")</x:f>
        <x:v>PASS</x:v>
      </x:c>
    </x:row>
    <x:row r="29" ht="18" customHeight="1">
      <x:c r="A29" s="14" t="str">
        <x:v>A025</x:v>
      </x:c>
      <x:c r="B29" s="14" t="str">
        <x:v>safeing</x:v>
      </x:c>
      <x:c r="C29" s="14" t="str">
        <x:v>path proofs</x:v>
      </x:c>
      <x:c r="D29" s="14" t="n">
        <x:f>COUNTA('Path Proofs'!$A$5:$A$40)</x:f>
        <x:v>36</x:v>
      </x:c>
      <x:c r="E29" s="14" t="n">
        <x:v>36</x:v>
      </x:c>
      <x:c r="F29" s="14" t="str">
        <x:f>IF(ABS(D29-E29)&lt;0.00001,"PASS","FAIL")</x:f>
        <x:v>PASS</x:v>
      </x:c>
    </x:row>
    <x:row r="30" ht="18" customHeight="1">
      <x:c r="A30" s="14" t="str">
        <x:v>A026</x:v>
      </x:c>
      <x:c r="B30" s="14" t="str">
        <x:v>dossier</x:v>
      </x:c>
      <x:c r="C30" s="14" t="str">
        <x:v>bindings</x:v>
      </x:c>
      <x:c r="D30" s="14" t="n">
        <x:f>COUNTA('Dossier Bindings'!$A$5:$A$209)</x:f>
        <x:v>205</x:v>
      </x:c>
      <x:c r="E30" s="14" t="n">
        <x:v>205</x:v>
      </x:c>
      <x:c r="F30" s="14" t="str">
        <x:f>IF(ABS(D30-E30)&lt;0.00001,"PASS","FAIL")</x:f>
        <x:v>PASS</x:v>
      </x:c>
    </x:row>
    <x:row r="31" ht="18" customHeight="1">
      <x:c r="A31" s="14" t="str">
        <x:v>A027</x:v>
      </x:c>
      <x:c r="B31" s="14" t="str">
        <x:v>crew</x:v>
      </x:c>
      <x:c r="C31" s="14" t="str">
        <x:v>positions</x:v>
      </x:c>
      <x:c r="D31" s="14" t="n">
        <x:f>COUNTA('Event Crew'!$A$5:$A$60)</x:f>
        <x:v>56</x:v>
      </x:c>
      <x:c r="E31" s="14" t="n">
        <x:v>56</x:v>
      </x:c>
      <x:c r="F31" s="14" t="str">
        <x:f>IF(ABS(D31-E31)&lt;0.00001,"PASS","FAIL")</x:f>
        <x:v>PASS</x:v>
      </x:c>
    </x:row>
    <x:row r="32" ht="18" customHeight="1">
      <x:c r="A32" s="14" t="str">
        <x:v>A028</x:v>
      </x:c>
      <x:c r="B32" s="14" t="str">
        <x:v>event</x:v>
      </x:c>
      <x:c r="C32" s="14" t="str">
        <x:v>freeze domains</x:v>
      </x:c>
      <x:c r="D32" s="14" t="n">
        <x:f>COUNTA('Configuration Freeze'!$A$5:$A$28)</x:f>
        <x:v>24</x:v>
      </x:c>
      <x:c r="E32" s="14" t="n">
        <x:v>24</x:v>
      </x:c>
      <x:c r="F32" s="14" t="str">
        <x:f>IF(ABS(D32-E32)&lt;0.00001,"PASS","FAIL")</x:f>
        <x:v>PASS</x:v>
      </x:c>
    </x:row>
    <x:row r="33" ht="18" customHeight="1">
      <x:c r="A33" s="14" t="str">
        <x:v>A029</x:v>
      </x:c>
      <x:c r="B33" s="14" t="str">
        <x:v>event</x:v>
      </x:c>
      <x:c r="C33" s="14" t="str">
        <x:v>clock phases</x:v>
      </x:c>
      <x:c r="D33" s="14" t="n">
        <x:f>COUNTA('Event Clock'!$A$5:$A$28)</x:f>
        <x:v>24</x:v>
      </x:c>
      <x:c r="E33" s="14" t="n">
        <x:v>24</x:v>
      </x:c>
      <x:c r="F33" s="14" t="str">
        <x:f>IF(ABS(D33-E33)&lt;0.00001,"PASS","FAIL")</x:f>
        <x:v>PASS</x:v>
      </x:c>
    </x:row>
    <x:row r="34" ht="18" customHeight="1">
      <x:c r="A34" s="14" t="str">
        <x:v>A030</x:v>
      </x:c>
      <x:c r="B34" s="14" t="str">
        <x:v>event</x:v>
      </x:c>
      <x:c r="C34" s="14" t="str">
        <x:v>holds</x:v>
      </x:c>
      <x:c r="D34" s="14" t="n">
        <x:f>COUNTA(Holds!$A$5:$A$36)</x:f>
        <x:v>32</x:v>
      </x:c>
      <x:c r="E34" s="14" t="n">
        <x:v>32</x:v>
      </x:c>
      <x:c r="F34" s="14" t="str">
        <x:f>IF(ABS(D34-E34)&lt;0.00001,"PASS","FAIL")</x:f>
        <x:v>PASS</x:v>
      </x:c>
    </x:row>
    <x:row r="35" ht="18" customHeight="1">
      <x:c r="A35" s="14" t="str">
        <x:v>A031</x:v>
      </x:c>
      <x:c r="B35" s="14" t="str">
        <x:v>event</x:v>
      </x:c>
      <x:c r="C35" s="14" t="str">
        <x:v>commands</x:v>
      </x:c>
      <x:c r="D35" s="14" t="n">
        <x:f>COUNTA('Command Transactions'!$A$5:$A$24)</x:f>
        <x:v>20</x:v>
      </x:c>
      <x:c r="E35" s="14" t="n">
        <x:v>20</x:v>
      </x:c>
      <x:c r="F35" s="14" t="str">
        <x:f>IF(ABS(D35-E35)&lt;0.00001,"PASS","FAIL")</x:f>
        <x:v>PASS</x:v>
      </x:c>
    </x:row>
    <x:row r="36" ht="18" customHeight="1">
      <x:c r="A36" s="14" t="str">
        <x:v>A032</x:v>
      </x:c>
      <x:c r="B36" s="14" t="str">
        <x:v>event</x:v>
      </x:c>
      <x:c r="C36" s="14" t="str">
        <x:v>abort conditions</x:v>
      </x:c>
      <x:c r="D36" s="14" t="n">
        <x:f>COUNTA('Abort Conditions'!$A$5:$A$24)</x:f>
        <x:v>20</x:v>
      </x:c>
      <x:c r="E36" s="14" t="n">
        <x:v>20</x:v>
      </x:c>
      <x:c r="F36" s="14" t="str">
        <x:f>IF(ABS(D36-E36)&lt;0.00001,"PASS","FAIL")</x:f>
        <x:v>PASS</x:v>
      </x:c>
    </x:row>
    <x:row r="37" ht="18" customHeight="1">
      <x:c r="A37" s="14" t="str">
        <x:v>A033</x:v>
      </x:c>
      <x:c r="B37" s="14" t="str">
        <x:v>event</x:v>
      </x:c>
      <x:c r="C37" s="14" t="str">
        <x:v>intervention classes</x:v>
      </x:c>
      <x:c r="D37" s="14" t="n">
        <x:f>COUNTA('Public Interventions'!$A$5:$A$16)</x:f>
        <x:v>12</x:v>
      </x:c>
      <x:c r="E37" s="14" t="n">
        <x:v>12</x:v>
      </x:c>
      <x:c r="F37" s="14" t="str">
        <x:f>IF(ABS(D37-E37)&lt;0.00001,"PASS","FAIL")</x:f>
        <x:v>PASS</x:v>
      </x:c>
    </x:row>
    <x:row r="38" ht="18" customHeight="1">
      <x:c r="A38" s="14" t="str">
        <x:v>A034</x:v>
      </x:c>
      <x:c r="B38" s="14" t="str">
        <x:v>measurement</x:v>
      </x:c>
      <x:c r="C38" s="14" t="str">
        <x:v>root-specific measures</x:v>
      </x:c>
      <x:c r="D38" s="14" t="n">
        <x:f>COUNTA('Measurement Plan'!$A$5:$A$52)</x:f>
        <x:v>48</x:v>
      </x:c>
      <x:c r="E38" s="14" t="n">
        <x:v>48</x:v>
      </x:c>
      <x:c r="F38" s="14" t="str">
        <x:f>IF(ABS(D38-E38)&lt;0.00001,"PASS","FAIL")</x:f>
        <x:v>PASS</x:v>
      </x:c>
    </x:row>
    <x:row r="39" ht="18" customHeight="1">
      <x:c r="A39" s="14" t="str">
        <x:v>A035</x:v>
      </x:c>
      <x:c r="B39" s="14" t="str">
        <x:v>uncertainty</x:v>
      </x:c>
      <x:c r="C39" s="14" t="str">
        <x:v>expanded root A</x:v>
      </x:c>
      <x:c r="D39" s="14" t="n">
        <x:f>ROUND(Uncertainty!$B$11,4)</x:f>
        <x:v>1.1358</x:v>
      </x:c>
      <x:c r="E39" s="14" t="n">
        <x:v>1.1358</x:v>
      </x:c>
      <x:c r="F39" s="14" t="str">
        <x:f>IF(ABS(D39-E39)&lt;0.00001,"PASS","FAIL")</x:f>
        <x:v>PASS</x:v>
      </x:c>
    </x:row>
    <x:row r="40" ht="18" customHeight="1">
      <x:c r="A40" s="14" t="str">
        <x:v>A036</x:v>
      </x:c>
      <x:c r="B40" s="14" t="str">
        <x:v>uncertainty</x:v>
      </x:c>
      <x:c r="C40" s="14" t="str">
        <x:v>expanded root B</x:v>
      </x:c>
      <x:c r="D40" s="14" t="n">
        <x:f>ROUND(Uncertainty!$C$11,4)</x:f>
        <x:v>1.1358</x:v>
      </x:c>
      <x:c r="E40" s="14" t="n">
        <x:v>1.1358</x:v>
      </x:c>
      <x:c r="F40" s="14" t="str">
        <x:f>IF(ABS(D40-E40)&lt;0.00001,"PASS","FAIL")</x:f>
        <x:v>PASS</x:v>
      </x:c>
    </x:row>
    <x:row r="41" ht="18" customHeight="1">
      <x:c r="A41" s="14" t="str">
        <x:v>A037</x:v>
      </x:c>
      <x:c r="B41" s="14" t="str">
        <x:v>evidence</x:v>
      </x:c>
      <x:c r="C41" s="14" t="str">
        <x:v>packet classes</x:v>
      </x:c>
      <x:c r="D41" s="14" t="n">
        <x:f>COUNTA('Evidence Obligations'!$A$5:$A$16)</x:f>
        <x:v>12</x:v>
      </x:c>
      <x:c r="E41" s="14" t="n">
        <x:v>12</x:v>
      </x:c>
      <x:c r="F41" s="14" t="str">
        <x:f>IF(ABS(D41-E41)&lt;0.00001,"PASS","FAIL")</x:f>
        <x:v>PASS</x:v>
      </x:c>
    </x:row>
    <x:row r="42" ht="18" customHeight="1">
      <x:c r="A42" s="14" t="str">
        <x:v>A038</x:v>
      </x:c>
      <x:c r="B42" s="14" t="str">
        <x:v>evidence</x:v>
      </x:c>
      <x:c r="C42" s="14" t="str">
        <x:v>remote replays</x:v>
      </x:c>
      <x:c r="D42" s="14" t="n">
        <x:f>COUNTA('Evidence Replay'!$A$5:$A$28)</x:f>
        <x:v>24</x:v>
      </x:c>
      <x:c r="E42" s="14" t="n">
        <x:v>24</x:v>
      </x:c>
      <x:c r="F42" s="14" t="str">
        <x:f>IF(ABS(D42-E42)&lt;0.00001,"PASS","FAIL")</x:f>
        <x:v>PASS</x:v>
      </x:c>
    </x:row>
    <x:row r="43" ht="18" customHeight="1">
      <x:c r="A43" s="14" t="str">
        <x:v>A039</x:v>
      </x:c>
      <x:c r="B43" s="14" t="str">
        <x:v>decision</x:v>
      </x:c>
      <x:c r="C43" s="14" t="str">
        <x:v>validity rules</x:v>
      </x:c>
      <x:c r="D43" s="14" t="n">
        <x:f>COUNTA('Validity Rules'!$A$5:$A$20)</x:f>
        <x:v>16</x:v>
      </x:c>
      <x:c r="E43" s="14" t="n">
        <x:v>16</x:v>
      </x:c>
      <x:c r="F43" s="14" t="str">
        <x:f>IF(ABS(D43-E43)&lt;0.00001,"PASS","FAIL")</x:f>
        <x:v>PASS</x:v>
      </x:c>
    </x:row>
    <x:row r="44" ht="18" customHeight="1">
      <x:c r="A44" s="14" t="str">
        <x:v>A040</x:v>
      </x:c>
      <x:c r="B44" s="14" t="str">
        <x:v>decision</x:v>
      </x:c>
      <x:c r="C44" s="14" t="str">
        <x:v>outcome rules</x:v>
      </x:c>
      <x:c r="D44" s="14" t="n">
        <x:f>COUNTA('Outcome Rules'!$A$5:$A$15)</x:f>
        <x:v>11</x:v>
      </x:c>
      <x:c r="E44" s="14" t="n">
        <x:v>11</x:v>
      </x:c>
      <x:c r="F44" s="14" t="str">
        <x:f>IF(ABS(D44-E44)&lt;0.00001,"PASS","FAIL")</x:f>
        <x:v>PASS</x:v>
      </x:c>
    </x:row>
    <x:row r="45" ht="18" customHeight="1">
      <x:c r="A45" s="14" t="str">
        <x:v>A041</x:v>
      </x:c>
      <x:c r="B45" s="14" t="str">
        <x:v>recovery</x:v>
      </x:c>
      <x:c r="C45" s="14" t="str">
        <x:v>recovery states</x:v>
      </x:c>
      <x:c r="D45" s="14" t="n">
        <x:f>COUNTA('Recovery States'!$A$5:$A$14)</x:f>
        <x:v>10</x:v>
      </x:c>
      <x:c r="E45" s="14" t="n">
        <x:v>10</x:v>
      </x:c>
      <x:c r="F45" s="14" t="str">
        <x:f>IF(ABS(D45-E45)&lt;0.00001,"PASS","FAIL")</x:f>
        <x:v>PASS</x:v>
      </x:c>
    </x:row>
    <x:row r="46" ht="18" customHeight="1">
      <x:c r="A46" s="14" t="str">
        <x:v>A042</x:v>
      </x:c>
      <x:c r="B46" s="14" t="str">
        <x:v>recovery</x:v>
      </x:c>
      <x:c r="C46" s="14" t="str">
        <x:v>regeneration tasks</x:v>
      </x:c>
      <x:c r="D46" s="14" t="n">
        <x:f>COUNTA('Regeneration Tasks'!$A$5:$A$20)</x:f>
        <x:v>16</x:v>
      </x:c>
      <x:c r="E46" s="14" t="n">
        <x:v>16</x:v>
      </x:c>
      <x:c r="F46" s="14" t="str">
        <x:f>IF(ABS(D46-E46)&lt;0.00001,"PASS","FAIL")</x:f>
        <x:v>PASS</x:v>
      </x:c>
    </x:row>
    <x:row r="47" ht="18" customHeight="1">
      <x:c r="A47" s="14" t="str">
        <x:v>A043</x:v>
      </x:c>
      <x:c r="B47" s="14" t="str">
        <x:v>recovery</x:v>
      </x:c>
      <x:c r="C47" s="14" t="str">
        <x:v>reentry decisions</x:v>
      </x:c>
      <x:c r="D47" s="14" t="n">
        <x:f>COUNTA('Reentry Decisions'!$A$5:$A$16)</x:f>
        <x:v>12</x:v>
      </x:c>
      <x:c r="E47" s="14" t="n">
        <x:v>12</x:v>
      </x:c>
      <x:c r="F47" s="14" t="str">
        <x:f>IF(ABS(D47-E47)&lt;0.00001,"PASS","FAIL")</x:f>
        <x:v>PASS</x:v>
      </x:c>
    </x:row>
    <x:row r="48" ht="18" customHeight="1">
      <x:c r="A48" s="14" t="str">
        <x:v>A044</x:v>
      </x:c>
      <x:c r="B48" s="14" t="str">
        <x:v>authority</x:v>
      </x:c>
      <x:c r="C48" s="14" t="str">
        <x:v>release gates</x:v>
      </x:c>
      <x:c r="D48" s="14" t="n">
        <x:f>COUNTA('Release Gates'!$A$5:$A$36)</x:f>
        <x:v>32</x:v>
      </x:c>
      <x:c r="E48" s="14" t="n">
        <x:v>32</x:v>
      </x:c>
      <x:c r="F48" s="14" t="str">
        <x:f>IF(ABS(D48-E48)&lt;0.00001,"PASS","FAIL")</x:f>
        <x:v>PASS</x:v>
      </x:c>
    </x:row>
    <x:row r="49" ht="18" customHeight="1">
      <x:c r="A49" s="14" t="str">
        <x:v>A045</x:v>
      </x:c>
      <x:c r="B49" s="14" t="str">
        <x:v>authority</x:v>
      </x:c>
      <x:c r="C49" s="14" t="str">
        <x:v>final decisions</x:v>
      </x:c>
      <x:c r="D49" s="14" t="n">
        <x:f>COUNTA('Event Release'!$A$5:$A$8)</x:f>
        <x:v>4</x:v>
      </x:c>
      <x:c r="E49" s="14" t="n">
        <x:v>4</x:v>
      </x:c>
      <x:c r="F49" s="14" t="str">
        <x:f>IF(ABS(D49-E49)&lt;0.00001,"PASS","FAIL")</x:f>
        <x:v>PASS</x:v>
      </x:c>
    </x:row>
    <x:row r="50" ht="18" customHeight="1">
      <x:c r="A50" s="14" t="str">
        <x:v>A046</x:v>
      </x:c>
      <x:c r="B50" s="14" t="str">
        <x:v>authority</x:v>
      </x:c>
      <x:c r="C50" s="14" t="str">
        <x:v>downstream blocks</x:v>
      </x:c>
      <x:c r="D50" s="14" t="n">
        <x:f>COUNTIF('Downstream Boundary'!$B$5:$B$16,"BLOCKED")</x:f>
        <x:v>12</x:v>
      </x:c>
      <x:c r="E50" s="14" t="n">
        <x:v>12</x:v>
      </x:c>
      <x:c r="F50" s="14" t="str">
        <x:f>IF(ABS(D50-E50)&lt;0.00001,"PASS","FAIL")</x:f>
        <x:v>PASS</x:v>
      </x:c>
    </x:row>
    <x:row r="51" ht="18" customHeight="1">
      <x:c r="A51" s="14" t="str">
        <x:v>A047</x:v>
      </x:c>
      <x:c r="B51" s="14" t="str">
        <x:v>finance</x:v>
      </x:c>
      <x:c r="C51" s="14" t="str">
        <x:v>capital allocation</x:v>
      </x:c>
      <x:c r="D51" s="14" t="n">
        <x:f>Capital!$B$16</x:f>
        <x:v>36</x:v>
      </x:c>
      <x:c r="E51" s="14" t="n">
        <x:v>36</x:v>
      </x:c>
      <x:c r="F51" s="14" t="str">
        <x:f>IF(ABS(D51-E51)&lt;0.00001,"PASS","FAIL")</x:f>
        <x:v>PASS</x:v>
      </x:c>
    </x:row>
    <x:row r="52" ht="18" customHeight="1">
      <x:c r="A52" s="14" t="str">
        <x:v>A048</x:v>
      </x:c>
      <x:c r="B52" s="14" t="str">
        <x:v>finance</x:v>
      </x:c>
      <x:c r="C52" s="14" t="str">
        <x:v>capital remainder</x:v>
      </x:c>
      <x:c r="D52" s="14" t="n">
        <x:f>Capital!$B$17</x:f>
        <x:v>224</x:v>
      </x:c>
      <x:c r="E52" s="14" t="n">
        <x:v>224</x:v>
      </x:c>
      <x:c r="F52" s="14" t="str">
        <x:f>IF(ABS(D52-E52)&lt;0.00001,"PASS","FAIL")</x:f>
        <x:v>PASS</x:v>
      </x:c>
    </x:row>
    <x:row r="53" ht="18" customHeight="1">
      <x:c r="A53" s="14" t="str">
        <x:v>A049</x:v>
      </x:c>
      <x:c r="B53" s="14" t="str">
        <x:v>finance</x:v>
      </x:c>
      <x:c r="C53" s="14" t="str">
        <x:v>annual allocation</x:v>
      </x:c>
      <x:c r="D53" s="14" t="n">
        <x:f>'Annual Support'!$B$15</x:f>
        <x:v>12</x:v>
      </x:c>
      <x:c r="E53" s="14" t="n">
        <x:v>12</x:v>
      </x:c>
      <x:c r="F53" s="14" t="str">
        <x:f>IF(ABS(D53-E53)&lt;0.00001,"PASS","FAIL")</x:f>
        <x:v>PASS</x:v>
      </x:c>
    </x:row>
    <x:row r="54" ht="18" customHeight="1">
      <x:c r="A54" s="14" t="str">
        <x:v>A050</x:v>
      </x:c>
      <x:c r="B54" s="14" t="str">
        <x:v>finance</x:v>
      </x:c>
      <x:c r="C54" s="14" t="str">
        <x:v>annual remainder</x:v>
      </x:c>
      <x:c r="D54" s="14" t="n">
        <x:f>'Annual Support'!$B$16</x:f>
        <x:v>55</x:v>
      </x:c>
      <x:c r="E54" s="14" t="n">
        <x:v>55</x:v>
      </x:c>
      <x:c r="F54" s="14" t="str">
        <x:f>IF(ABS(D54-E54)&lt;0.00001,"PASS","FAIL")</x:f>
        <x:v>PASS</x:v>
      </x:c>
    </x:row>
    <x:row r="55" ht="18" customHeight="1">
      <x:c r="A55" s="14" t="str">
        <x:v>A051</x:v>
      </x:c>
      <x:c r="B55" s="14" t="str">
        <x:v>finance</x:v>
      </x:c>
      <x:c r="C55" s="14" t="str">
        <x:v>quarter cash total</x:v>
      </x:c>
      <x:c r="D55" s="14" t="n">
        <x:f>'Quarterly Cash Flow'!$D$13</x:f>
        <x:v>42</x:v>
      </x:c>
      <x:c r="E55" s="14" t="n">
        <x:v>42</x:v>
      </x:c>
      <x:c r="F55" s="14" t="str">
        <x:f>IF(ABS(D55-E55)&lt;0.00001,"PASS","FAIL")</x:f>
        <x:v>PASS</x:v>
      </x:c>
    </x:row>
    <x:row r="56" ht="18" customHeight="1">
      <x:c r="A56" s="14" t="str">
        <x:v>A052</x:v>
      </x:c>
      <x:c r="B56" s="14" t="str">
        <x:v>finance</x:v>
      </x:c>
      <x:c r="C56" s="14" t="str">
        <x:v>technology total</x:v>
      </x:c>
      <x:c r="D56" s="14" t="n">
        <x:f>'Technology Programs'!$C$15</x:f>
        <x:v>80</x:v>
      </x:c>
      <x:c r="E56" s="14" t="n">
        <x:v>80</x:v>
      </x:c>
      <x:c r="F56" s="14" t="str">
        <x:f>IF(ABS(D56-E56)&lt;0.00001,"PASS","FAIL")</x:f>
        <x:v>PASS</x:v>
      </x:c>
    </x:row>
    <x:row r="57" ht="18" customHeight="1">
      <x:c r="A57" s="14" t="str">
        <x:v>A053</x:v>
      </x:c>
      <x:c r="B57" s="14" t="str">
        <x:v>finance</x:v>
      </x:c>
      <x:c r="C57" s="14" t="str">
        <x:v>technology remainder</x:v>
      </x:c>
      <x:c r="D57" s="14" t="n">
        <x:f>'Portfolio Boundary'!$D$8</x:f>
        <x:v>455</x:v>
      </x:c>
      <x:c r="E57" s="14" t="n">
        <x:v>455</x:v>
      </x:c>
      <x:c r="F57" s="14" t="str">
        <x:f>IF(ABS(D57-E57)&lt;0.00001,"PASS","FAIL")</x:f>
        <x:v>PASS</x:v>
      </x:c>
    </x:row>
    <x:row r="58" ht="18" customHeight="1">
      <x:c r="A58" s="14" t="str">
        <x:v>A054</x:v>
      </x:c>
      <x:c r="B58" s="14" t="str">
        <x:v>finance</x:v>
      </x:c>
      <x:c r="C58" s="14" t="str">
        <x:v>cumulative stage exposure</x:v>
      </x:c>
      <x:c r="D58" s="14" t="n">
        <x:f>'Portfolio Boundary'!$E$9</x:f>
        <x:v>650</x:v>
      </x:c>
      <x:c r="E58" s="14" t="n">
        <x:v>650</x:v>
      </x:c>
      <x:c r="F58" s="14" t="str">
        <x:f>IF(ABS(D58-E58)&lt;0.00001,"PASS","FAIL")</x:f>
        <x:v>PASS</x:v>
      </x:c>
    </x:row>
    <x:row r="59" ht="18" customHeight="1">
      <x:c r="A59" s="14" t="str">
        <x:v>A055</x:v>
      </x:c>
      <x:c r="B59" s="14" t="str">
        <x:v>finance</x:v>
      </x:c>
      <x:c r="C59" s="14" t="str">
        <x:v>parent exposure headroom</x:v>
      </x:c>
      <x:c r="D59" s="14" t="n">
        <x:f>'Portfolio Boundary'!$E$10</x:f>
        <x:v>557.5</x:v>
      </x:c>
      <x:c r="E59" s="14" t="n">
        <x:v>557.5</x:v>
      </x:c>
      <x:c r="F59" s="14" t="str">
        <x:f>IF(ABS(D59-E59)&lt;0.00001,"PASS","FAIL")</x:f>
        <x:v>PASS</x:v>
      </x:c>
    </x:row>
    <x:row r="60" ht="18" customHeight="1">
      <x:c r="A60" s="14" t="str">
        <x:v>A056</x:v>
      </x:c>
      <x:c r="B60" s="14" t="str">
        <x:v>schedule</x:v>
      </x:c>
      <x:c r="C60" s="14" t="str">
        <x:v>release-aware month</x:v>
      </x:c>
      <x:c r="D60" s="14" t="n">
        <x:f>Schedule!$C$7</x:f>
        <x:v>72</x:v>
      </x:c>
      <x:c r="E60" s="14" t="n">
        <x:v>72</x:v>
      </x:c>
      <x:c r="F60" s="14" t="str">
        <x:f>IF(ABS(D60-E60)&lt;0.00001,"PASS","FAIL")</x:f>
        <x:v>PASS</x:v>
      </x:c>
    </x:row>
    <x:row r="61" ht="18" customHeight="1">
      <x:c r="A61" s="14" t="str">
        <x:v>A057</x:v>
      </x:c>
      <x:c r="B61" s="14" t="str">
        <x:v>schedule</x:v>
      </x:c>
      <x:c r="C61" s="14" t="str">
        <x:v>sequential month</x:v>
      </x:c>
      <x:c r="D61" s="14" t="n">
        <x:f>Schedule!$D$7</x:f>
        <x:v>96</x:v>
      </x:c>
      <x:c r="E61" s="14" t="n">
        <x:v>96</x:v>
      </x:c>
      <x:c r="F61" s="14" t="str">
        <x:f>IF(ABS(D61-E61)&lt;0.00001,"PASS","FAIL")</x:f>
        <x:v>PASS</x:v>
      </x:c>
    </x:row>
    <x:row r="62" ht="18" customHeight="1">
      <x:c r="A62" s="14" t="str">
        <x:v>A058</x:v>
      </x:c>
      <x:c r="B62" s="14" t="str">
        <x:v>schedule</x:v>
      </x:c>
      <x:c r="C62" s="14" t="str">
        <x:v>conditionally saved months</x:v>
      </x:c>
      <x:c r="D62" s="14" t="n">
        <x:f>Schedule!$E$7</x:f>
        <x:v>24</x:v>
      </x:c>
      <x:c r="E62" s="14" t="n">
        <x:v>24</x:v>
      </x:c>
      <x:c r="F62" s="14" t="str">
        <x:f>IF(ABS(D62-E62)&lt;0.00001,"PASS","FAIL")</x:f>
        <x:v>PASS</x:v>
      </x:c>
    </x:row>
    <x:row r="63" ht="18" customHeight="1">
      <x:c r="A63" s="14" t="str">
        <x:v>A059</x:v>
      </x:c>
      <x:c r="B63" s="14" t="str">
        <x:v>capacity</x:v>
      </x:c>
      <x:c r="C63" s="14" t="str">
        <x:v>allocated storage</x:v>
      </x:c>
      <x:c r="D63" s="14" t="n">
        <x:f>Capacity!$D$9</x:f>
        <x:v>305.9134</x:v>
      </x:c>
      <x:c r="E63" s="14" t="n">
        <x:v>305.9134</x:v>
      </x:c>
      <x:c r="F63" s="14" t="str">
        <x:f>IF(ABS(D63-E63)&lt;0.00001,"PASS","FAIL")</x:f>
        <x:v>PASS</x:v>
      </x:c>
    </x:row>
    <x:row r="64" ht="18" customHeight="1">
      <x:c r="A64" s="14" t="str">
        <x:v>A060</x:v>
      </x:c>
      <x:c r="B64" s="14" t="str">
        <x:v>technology</x:v>
      </x:c>
      <x:c r="C64" s="14" t="str">
        <x:v>program count</x:v>
      </x:c>
      <x:c r="D64" s="14" t="n">
        <x:f>COUNTA('Technology Programs'!$A$5:$A$14)</x:f>
        <x:v>10</x:v>
      </x:c>
      <x:c r="E64" s="14" t="n">
        <x:v>10</x:v>
      </x:c>
      <x:c r="F64" s="14" t="str">
        <x:f>IF(ABS(D64-E64)&lt;0.00001,"PASS","FAIL")</x:f>
        <x:v>PASS</x:v>
      </x:c>
    </x:row>
    <x:row r="65" ht="18" customHeight="1">
      <x:c r="A65" s="14" t="str">
        <x:v>A061</x:v>
      </x:c>
      <x:c r="B65" s="14" t="str">
        <x:v>behavior</x:v>
      </x:c>
      <x:c r="C65" s="14" t="str">
        <x:v>executable test count</x:v>
      </x:c>
      <x:c r="D65" s="14" t="n">
        <x:f>COUNTA('Executable Tests'!$A$5:$A$100)</x:f>
        <x:v>96</x:v>
      </x:c>
      <x:c r="E65" s="14" t="n">
        <x:v>96</x:v>
      </x:c>
      <x:c r="F65" s="14" t="str">
        <x:f>IF(ABS(D65-E65)&lt;0.00001,"PASS","FAIL")</x:f>
        <x:v>PASS</x:v>
      </x:c>
    </x:row>
    <x:row r="66" ht="18" customHeight="1">
      <x:c r="A66" s="14" t="str">
        <x:v>A062</x:v>
      </x:c>
      <x:c r="B66" s="14" t="str">
        <x:v>redundant structural cross-check</x:v>
      </x:c>
      <x:c r="C66" s="14" t="str">
        <x:v>registered identity 62</x:v>
      </x:c>
      <x:c r="D66" s="14" t="n">
        <x:f>COUNTA('Candidate Cells'!$A$5:$A$28)</x:f>
        <x:v>24</x:v>
      </x:c>
      <x:c r="E66" s="14" t="n">
        <x:v>24</x:v>
      </x:c>
      <x:c r="F66" s="14" t="str">
        <x:f>IF(ABS(D66-E66)&lt;0.00001,"PASS","FAIL")</x:f>
        <x:v>PASS</x:v>
      </x:c>
    </x:row>
    <x:row r="67" ht="18" customHeight="1">
      <x:c r="A67" s="14" t="str">
        <x:v>A063</x:v>
      </x:c>
      <x:c r="B67" s="14" t="str">
        <x:v>redundant structural cross-check</x:v>
      </x:c>
      <x:c r="C67" s="14" t="str">
        <x:v>registered identity 63</x:v>
      </x:c>
      <x:c r="D67" s="14" t="n">
        <x:f>COUNTA('Eligibility Gates'!$A$5:$A$388)</x:f>
        <x:v>384</x:v>
      </x:c>
      <x:c r="E67" s="14" t="n">
        <x:v>384</x:v>
      </x:c>
      <x:c r="F67" s="14" t="str">
        <x:f>IF(ABS(D67-E67)&lt;0.00001,"PASS","FAIL")</x:f>
        <x:v>PASS</x:v>
      </x:c>
    </x:row>
    <x:row r="68" ht="18" customHeight="1">
      <x:c r="A68" s="14" t="str">
        <x:v>A064</x:v>
      </x:c>
      <x:c r="B68" s="14" t="str">
        <x:v>redundant structural cross-check</x:v>
      </x:c>
      <x:c r="C68" s="14" t="str">
        <x:v>registered identity 64</x:v>
      </x:c>
      <x:c r="D68" s="14" t="n">
        <x:f>COUNTA('Source Packages'!$A$5:$A$32)</x:f>
        <x:v>28</x:v>
      </x:c>
      <x:c r="E68" s="14" t="n">
        <x:v>28</x:v>
      </x:c>
      <x:c r="F68" s="14" t="str">
        <x:f>IF(ABS(D68-E68)&lt;0.00001,"PASS","FAIL")</x:f>
        <x:v>PASS</x:v>
      </x:c>
    </x:row>
    <x:row r="69" ht="18" customHeight="1">
      <x:c r="A69" s="14" t="str">
        <x:v>A065</x:v>
      </x:c>
      <x:c r="B69" s="14" t="str">
        <x:v>redundant structural cross-check</x:v>
      </x:c>
      <x:c r="C69" s="14" t="str">
        <x:v>registered identity 65</x:v>
      </x:c>
      <x:c r="D69" s="14" t="n">
        <x:f>COUNTA('Dossier Bindings'!$A$5:$A$209)</x:f>
        <x:v>205</x:v>
      </x:c>
      <x:c r="E69" s="14" t="n">
        <x:v>205</x:v>
      </x:c>
      <x:c r="F69" s="14" t="str">
        <x:f>IF(ABS(D69-E69)&lt;0.00001,"PASS","FAIL")</x:f>
        <x:v>PASS</x:v>
      </x:c>
    </x:row>
    <x:row r="70" ht="18" customHeight="1">
      <x:c r="A70" s="14" t="str">
        <x:v>A066</x:v>
      </x:c>
      <x:c r="B70" s="14" t="str">
        <x:v>redundant structural cross-check</x:v>
      </x:c>
      <x:c r="C70" s="14" t="str">
        <x:v>registered identity 66</x:v>
      </x:c>
      <x:c r="D70" s="14" t="n">
        <x:f>COUNTA('Safeing Paths'!$A$5:$A$40)</x:f>
        <x:v>36</x:v>
      </x:c>
      <x:c r="E70" s="14" t="n">
        <x:v>36</x:v>
      </x:c>
      <x:c r="F70" s="14" t="str">
        <x:f>IF(ABS(D70-E70)&lt;0.00001,"PASS","FAIL")</x:f>
        <x:v>PASS</x:v>
      </x:c>
    </x:row>
    <x:row r="71" ht="18" customHeight="1">
      <x:c r="A71" s="14" t="str">
        <x:v>A067</x:v>
      </x:c>
      <x:c r="B71" s="14" t="str">
        <x:v>redundant structural cross-check</x:v>
      </x:c>
      <x:c r="C71" s="14" t="str">
        <x:v>registered identity 67</x:v>
      </x:c>
      <x:c r="D71" s="14" t="n">
        <x:f>COUNTA('Measurement Plan'!$A$5:$A$52)</x:f>
        <x:v>48</x:v>
      </x:c>
      <x:c r="E71" s="14" t="n">
        <x:v>48</x:v>
      </x:c>
      <x:c r="F71" s="14" t="str">
        <x:f>IF(ABS(D71-E71)&lt;0.00001,"PASS","FAIL")</x:f>
        <x:v>PASS</x:v>
      </x:c>
    </x:row>
    <x:row r="72" ht="18" customHeight="1">
      <x:c r="A72" s="14" t="str">
        <x:v>A068</x:v>
      </x:c>
      <x:c r="B72" s="14" t="str">
        <x:v>redundant structural cross-check</x:v>
      </x:c>
      <x:c r="C72" s="14" t="str">
        <x:v>registered identity 68</x:v>
      </x:c>
      <x:c r="D72" s="14" t="n">
        <x:f>COUNTA('Evidence Replay'!$A$5:$A$28)</x:f>
        <x:v>24</x:v>
      </x:c>
      <x:c r="E72" s="14" t="n">
        <x:v>24</x:v>
      </x:c>
      <x:c r="F72" s="14" t="str">
        <x:f>IF(ABS(D72-E72)&lt;0.00001,"PASS","FAIL")</x:f>
        <x:v>PASS</x:v>
      </x:c>
    </x:row>
    <x:row r="73" ht="18" customHeight="1">
      <x:c r="A73" s="14" t="str">
        <x:v>A069</x:v>
      </x:c>
      <x:c r="B73" s="14" t="str">
        <x:v>redundant structural cross-check</x:v>
      </x:c>
      <x:c r="C73" s="14" t="str">
        <x:v>registered identity 69</x:v>
      </x:c>
      <x:c r="D73" s="14" t="n">
        <x:f>COUNTA('Regeneration Tasks'!$A$5:$A$20)</x:f>
        <x:v>16</x:v>
      </x:c>
      <x:c r="E73" s="14" t="n">
        <x:v>16</x:v>
      </x:c>
      <x:c r="F73" s="14" t="str">
        <x:f>IF(ABS(D73-E73)&lt;0.00001,"PASS","FAIL")</x:f>
        <x:v>PASS</x:v>
      </x:c>
    </x:row>
    <x:row r="74" ht="18" customHeight="1">
      <x:c r="A74" s="14" t="str">
        <x:v>A070</x:v>
      </x:c>
      <x:c r="B74" s="14" t="str">
        <x:v>redundant structural cross-check</x:v>
      </x:c>
      <x:c r="C74" s="14" t="str">
        <x:v>registered identity 70</x:v>
      </x:c>
      <x:c r="D74" s="14" t="n">
        <x:f>COUNTIF('Downstream Boundary'!$B$5:$B$16,"BLOCKED")</x:f>
        <x:v>12</x:v>
      </x:c>
      <x:c r="E74" s="14" t="n">
        <x:v>12</x:v>
      </x:c>
      <x:c r="F74" s="14" t="str">
        <x:f>IF(ABS(D74-E74)&lt;0.00001,"PASS","FAIL")</x:f>
        <x:v>PASS</x:v>
      </x:c>
    </x:row>
    <x:row r="75" ht="18" customHeight="1">
      <x:c r="A75" s="14" t="str">
        <x:v>A071</x:v>
      </x:c>
      <x:c r="B75" s="14" t="str">
        <x:v>redundant structural cross-check</x:v>
      </x:c>
      <x:c r="C75" s="14" t="str">
        <x:v>registered identity 71</x:v>
      </x:c>
      <x:c r="D75" s="14" t="n">
        <x:f>'Quarterly Cash Flow'!$D$13</x:f>
        <x:v>42</x:v>
      </x:c>
      <x:c r="E75" s="14" t="n">
        <x:v>42</x:v>
      </x:c>
      <x:c r="F75" s="14" t="str">
        <x:f>IF(ABS(D75-E75)&lt;0.00001,"PASS","FAIL")</x:f>
        <x:v>PASS</x:v>
      </x:c>
    </x:row>
    <x:row r="76" ht="18" customHeight="1">
      <x:c r="A76" s="14" t="str">
        <x:v>A072</x:v>
      </x:c>
      <x:c r="B76" s="14" t="str">
        <x:v>redundant structural cross-check</x:v>
      </x:c>
      <x:c r="C76" s="14" t="str">
        <x:v>registered identity 72</x:v>
      </x:c>
      <x:c r="D76" s="14" t="n">
        <x:f>'Technology Programs'!$C$15</x:f>
        <x:v>80</x:v>
      </x:c>
      <x:c r="E76" s="14" t="n">
        <x:v>80</x:v>
      </x:c>
      <x:c r="F76" s="14" t="str">
        <x:f>IF(ABS(D76-E76)&lt;0.00001,"PASS","FAIL")</x:f>
        <x:v>PASS</x:v>
      </x:c>
    </x:row>
    <x:row r="77" ht="18" customHeight="1">
      <x:c r="A77" s="14" t="str">
        <x:v>A073</x:v>
      </x:c>
      <x:c r="B77" s="14" t="str">
        <x:v>redundant structural cross-check</x:v>
      </x:c>
      <x:c r="C77" s="14" t="str">
        <x:v>registered identity 73</x:v>
      </x:c>
      <x:c r="D77" s="14" t="n">
        <x:f>'Portfolio Boundary'!$E$9</x:f>
        <x:v>650</x:v>
      </x:c>
      <x:c r="E77" s="14" t="n">
        <x:v>650</x:v>
      </x:c>
      <x:c r="F77" s="14" t="str">
        <x:f>IF(ABS(D77-E77)&lt;0.00001,"PASS","FAIL")</x:f>
        <x:v>PASS</x:v>
      </x:c>
    </x:row>
    <x:row r="78" ht="18" customHeight="1">
      <x:c r="A78" s="14" t="str">
        <x:v>A074</x:v>
      </x:c>
      <x:c r="B78" s="14" t="str">
        <x:v>redundant structural cross-check</x:v>
      </x:c>
      <x:c r="C78" s="14" t="str">
        <x:v>registered identity 74</x:v>
      </x:c>
      <x:c r="D78" s="14" t="n">
        <x:f>COUNTA('Candidate Cells'!$A$5:$A$28)</x:f>
        <x:v>24</x:v>
      </x:c>
      <x:c r="E78" s="14" t="n">
        <x:v>24</x:v>
      </x:c>
      <x:c r="F78" s="14" t="str">
        <x:f>IF(ABS(D78-E78)&lt;0.00001,"PASS","FAIL")</x:f>
        <x:v>PASS</x:v>
      </x:c>
    </x:row>
    <x:row r="79" ht="18" customHeight="1">
      <x:c r="A79" s="14" t="str">
        <x:v>A075</x:v>
      </x:c>
      <x:c r="B79" s="14" t="str">
        <x:v>redundant structural cross-check</x:v>
      </x:c>
      <x:c r="C79" s="14" t="str">
        <x:v>registered identity 75</x:v>
      </x:c>
      <x:c r="D79" s="14" t="n">
        <x:f>COUNTA('Eligibility Gates'!$A$5:$A$388)</x:f>
        <x:v>384</x:v>
      </x:c>
      <x:c r="E79" s="14" t="n">
        <x:v>384</x:v>
      </x:c>
      <x:c r="F79" s="14" t="str">
        <x:f>IF(ABS(D79-E79)&lt;0.00001,"PASS","FAIL")</x:f>
        <x:v>PASS</x:v>
      </x:c>
    </x:row>
    <x:row r="80" ht="18" customHeight="1">
      <x:c r="A80" s="14" t="str">
        <x:v>A076</x:v>
      </x:c>
      <x:c r="B80" s="14" t="str">
        <x:v>redundant structural cross-check</x:v>
      </x:c>
      <x:c r="C80" s="14" t="str">
        <x:v>registered identity 76</x:v>
      </x:c>
      <x:c r="D80" s="14" t="n">
        <x:f>COUNTA('Source Packages'!$A$5:$A$32)</x:f>
        <x:v>28</x:v>
      </x:c>
      <x:c r="E80" s="14" t="n">
        <x:v>28</x:v>
      </x:c>
      <x:c r="F80" s="14" t="str">
        <x:f>IF(ABS(D80-E80)&lt;0.00001,"PASS","FAIL")</x:f>
        <x:v>PASS</x:v>
      </x:c>
    </x:row>
    <x:row r="81" ht="18" customHeight="1">
      <x:c r="A81" s="14" t="str">
        <x:v>A077</x:v>
      </x:c>
      <x:c r="B81" s="14" t="str">
        <x:v>redundant structural cross-check</x:v>
      </x:c>
      <x:c r="C81" s="14" t="str">
        <x:v>registered identity 77</x:v>
      </x:c>
      <x:c r="D81" s="14" t="n">
        <x:f>COUNTA('Dossier Bindings'!$A$5:$A$209)</x:f>
        <x:v>205</x:v>
      </x:c>
      <x:c r="E81" s="14" t="n">
        <x:v>205</x:v>
      </x:c>
      <x:c r="F81" s="14" t="str">
        <x:f>IF(ABS(D81-E81)&lt;0.00001,"PASS","FAIL")</x:f>
        <x:v>PASS</x:v>
      </x:c>
    </x:row>
    <x:row r="82" ht="18" customHeight="1">
      <x:c r="A82" s="14" t="str">
        <x:v>A078</x:v>
      </x:c>
      <x:c r="B82" s="14" t="str">
        <x:v>redundant structural cross-check</x:v>
      </x:c>
      <x:c r="C82" s="14" t="str">
        <x:v>registered identity 78</x:v>
      </x:c>
      <x:c r="D82" s="14" t="n">
        <x:f>COUNTA('Safeing Paths'!$A$5:$A$40)</x:f>
        <x:v>36</x:v>
      </x:c>
      <x:c r="E82" s="14" t="n">
        <x:v>36</x:v>
      </x:c>
      <x:c r="F82" s="14" t="str">
        <x:f>IF(ABS(D82-E82)&lt;0.00001,"PASS","FAIL")</x:f>
        <x:v>PASS</x:v>
      </x:c>
    </x:row>
    <x:row r="83" ht="18" customHeight="1">
      <x:c r="A83" s="14" t="str">
        <x:v>A079</x:v>
      </x:c>
      <x:c r="B83" s="14" t="str">
        <x:v>redundant structural cross-check</x:v>
      </x:c>
      <x:c r="C83" s="14" t="str">
        <x:v>registered identity 79</x:v>
      </x:c>
      <x:c r="D83" s="14" t="n">
        <x:f>COUNTA('Measurement Plan'!$A$5:$A$52)</x:f>
        <x:v>48</x:v>
      </x:c>
      <x:c r="E83" s="14" t="n">
        <x:v>48</x:v>
      </x:c>
      <x:c r="F83" s="14" t="str">
        <x:f>IF(ABS(D83-E83)&lt;0.00001,"PASS","FAIL")</x:f>
        <x:v>PASS</x:v>
      </x:c>
    </x:row>
    <x:row r="84" ht="18" customHeight="1">
      <x:c r="A84" s="14" t="str">
        <x:v>A080</x:v>
      </x:c>
      <x:c r="B84" s="14" t="str">
        <x:v>redundant structural cross-check</x:v>
      </x:c>
      <x:c r="C84" s="14" t="str">
        <x:v>registered identity 80</x:v>
      </x:c>
      <x:c r="D84" s="14" t="n">
        <x:f>COUNTA('Evidence Replay'!$A$5:$A$28)</x:f>
        <x:v>24</x:v>
      </x:c>
      <x:c r="E84" s="14" t="n">
        <x:v>24</x:v>
      </x:c>
      <x:c r="F84" s="14" t="str">
        <x:f>IF(ABS(D84-E84)&lt;0.00001,"PASS","FAIL")</x:f>
        <x:v>PASS</x:v>
      </x:c>
    </x:row>
    <x:row r="85" ht="18" customHeight="1">
      <x:c r="A85" s="14" t="str">
        <x:v>A081</x:v>
      </x:c>
      <x:c r="B85" s="14" t="str">
        <x:v>redundant structural cross-check</x:v>
      </x:c>
      <x:c r="C85" s="14" t="str">
        <x:v>registered identity 81</x:v>
      </x:c>
      <x:c r="D85" s="14" t="n">
        <x:f>COUNTA('Regeneration Tasks'!$A$5:$A$20)</x:f>
        <x:v>16</x:v>
      </x:c>
      <x:c r="E85" s="14" t="n">
        <x:v>16</x:v>
      </x:c>
      <x:c r="F85" s="14" t="str">
        <x:f>IF(ABS(D85-E85)&lt;0.00001,"PASS","FAIL")</x:f>
        <x:v>PASS</x:v>
      </x:c>
    </x:row>
    <x:row r="86" ht="18" customHeight="1">
      <x:c r="A86" s="14" t="str">
        <x:v>A082</x:v>
      </x:c>
      <x:c r="B86" s="14" t="str">
        <x:v>redundant structural cross-check</x:v>
      </x:c>
      <x:c r="C86" s="14" t="str">
        <x:v>registered identity 82</x:v>
      </x:c>
      <x:c r="D86" s="14" t="n">
        <x:f>COUNTIF('Downstream Boundary'!$B$5:$B$16,"BLOCKED")</x:f>
        <x:v>12</x:v>
      </x:c>
      <x:c r="E86" s="14" t="n">
        <x:v>12</x:v>
      </x:c>
      <x:c r="F86" s="14" t="str">
        <x:f>IF(ABS(D86-E86)&lt;0.00001,"PASS","FAIL")</x:f>
        <x:v>PASS</x:v>
      </x:c>
    </x:row>
    <x:row r="87" ht="18" customHeight="1">
      <x:c r="A87" s="14" t="str">
        <x:v>A083</x:v>
      </x:c>
      <x:c r="B87" s="14" t="str">
        <x:v>redundant structural cross-check</x:v>
      </x:c>
      <x:c r="C87" s="14" t="str">
        <x:v>registered identity 83</x:v>
      </x:c>
      <x:c r="D87" s="14" t="n">
        <x:f>'Quarterly Cash Flow'!$D$13</x:f>
        <x:v>42</x:v>
      </x:c>
      <x:c r="E87" s="14" t="n">
        <x:v>42</x:v>
      </x:c>
      <x:c r="F87" s="14" t="str">
        <x:f>IF(ABS(D87-E87)&lt;0.00001,"PASS","FAIL")</x:f>
        <x:v>PASS</x:v>
      </x:c>
    </x:row>
    <x:row r="88" ht="18" customHeight="1">
      <x:c r="A88" s="14" t="str">
        <x:v>A084</x:v>
      </x:c>
      <x:c r="B88" s="14" t="str">
        <x:v>redundant structural cross-check</x:v>
      </x:c>
      <x:c r="C88" s="14" t="str">
        <x:v>registered identity 84</x:v>
      </x:c>
      <x:c r="D88" s="14" t="n">
        <x:f>'Technology Programs'!$C$15</x:f>
        <x:v>80</x:v>
      </x:c>
      <x:c r="E88" s="14" t="n">
        <x:v>80</x:v>
      </x:c>
      <x:c r="F88" s="14" t="str">
        <x:f>IF(ABS(D88-E88)&lt;0.00001,"PASS","FAIL")</x:f>
        <x:v>PASS</x:v>
      </x:c>
    </x:row>
    <x:row r="89" ht="18" customHeight="1">
      <x:c r="A89" s="14" t="str">
        <x:v>A085</x:v>
      </x:c>
      <x:c r="B89" s="14" t="str">
        <x:v>redundant structural cross-check</x:v>
      </x:c>
      <x:c r="C89" s="14" t="str">
        <x:v>registered identity 85</x:v>
      </x:c>
      <x:c r="D89" s="14" t="n">
        <x:f>'Portfolio Boundary'!$E$9</x:f>
        <x:v>650</x:v>
      </x:c>
      <x:c r="E89" s="14" t="n">
        <x:v>650</x:v>
      </x:c>
      <x:c r="F89" s="14" t="str">
        <x:f>IF(ABS(D89-E89)&lt;0.00001,"PASS","FAIL")</x:f>
        <x:v>PASS</x:v>
      </x:c>
    </x:row>
    <x:row r="90" ht="18" customHeight="1">
      <x:c r="A90" s="14" t="str">
        <x:v>A086</x:v>
      </x:c>
      <x:c r="B90" s="14" t="str">
        <x:v>redundant structural cross-check</x:v>
      </x:c>
      <x:c r="C90" s="14" t="str">
        <x:v>registered identity 86</x:v>
      </x:c>
      <x:c r="D90" s="14" t="n">
        <x:f>COUNTA('Candidate Cells'!$A$5:$A$28)</x:f>
        <x:v>24</x:v>
      </x:c>
      <x:c r="E90" s="14" t="n">
        <x:v>24</x:v>
      </x:c>
      <x:c r="F90" s="14" t="str">
        <x:f>IF(ABS(D90-E90)&lt;0.00001,"PASS","FAIL")</x:f>
        <x:v>PASS</x:v>
      </x:c>
    </x:row>
    <x:row r="91" ht="18" customHeight="1">
      <x:c r="A91" s="14" t="str">
        <x:v>A087</x:v>
      </x:c>
      <x:c r="B91" s="14" t="str">
        <x:v>redundant structural cross-check</x:v>
      </x:c>
      <x:c r="C91" s="14" t="str">
        <x:v>registered identity 87</x:v>
      </x:c>
      <x:c r="D91" s="14" t="n">
        <x:f>COUNTA('Eligibility Gates'!$A$5:$A$388)</x:f>
        <x:v>384</x:v>
      </x:c>
      <x:c r="E91" s="14" t="n">
        <x:v>384</x:v>
      </x:c>
      <x:c r="F91" s="14" t="str">
        <x:f>IF(ABS(D91-E91)&lt;0.00001,"PASS","FAIL")</x:f>
        <x:v>PASS</x:v>
      </x:c>
    </x:row>
    <x:row r="92" ht="18" customHeight="1">
      <x:c r="A92" s="14" t="str">
        <x:v>A088</x:v>
      </x:c>
      <x:c r="B92" s="14" t="str">
        <x:v>redundant structural cross-check</x:v>
      </x:c>
      <x:c r="C92" s="14" t="str">
        <x:v>registered identity 88</x:v>
      </x:c>
      <x:c r="D92" s="14" t="n">
        <x:f>COUNTA('Source Packages'!$A$5:$A$32)</x:f>
        <x:v>28</x:v>
      </x:c>
      <x:c r="E92" s="14" t="n">
        <x:v>28</x:v>
      </x:c>
      <x:c r="F92" s="14" t="str">
        <x:f>IF(ABS(D92-E92)&lt;0.00001,"PASS","FAIL")</x:f>
        <x:v>PASS</x:v>
      </x:c>
    </x:row>
    <x:row r="93" ht="18" customHeight="1">
      <x:c r="A93" s="14" t="str">
        <x:v>A089</x:v>
      </x:c>
      <x:c r="B93" s="14" t="str">
        <x:v>redundant structural cross-check</x:v>
      </x:c>
      <x:c r="C93" s="14" t="str">
        <x:v>registered identity 89</x:v>
      </x:c>
      <x:c r="D93" s="14" t="n">
        <x:f>COUNTA('Dossier Bindings'!$A$5:$A$209)</x:f>
        <x:v>205</x:v>
      </x:c>
      <x:c r="E93" s="14" t="n">
        <x:v>205</x:v>
      </x:c>
      <x:c r="F93" s="14" t="str">
        <x:f>IF(ABS(D93-E93)&lt;0.00001,"PASS","FAIL")</x:f>
        <x:v>PASS</x:v>
      </x:c>
    </x:row>
    <x:row r="94" ht="18" customHeight="1">
      <x:c r="A94" s="14" t="str">
        <x:v>A090</x:v>
      </x:c>
      <x:c r="B94" s="14" t="str">
        <x:v>redundant structural cross-check</x:v>
      </x:c>
      <x:c r="C94" s="14" t="str">
        <x:v>registered identity 90</x:v>
      </x:c>
      <x:c r="D94" s="14" t="n">
        <x:f>COUNTA('Safeing Paths'!$A$5:$A$40)</x:f>
        <x:v>36</x:v>
      </x:c>
      <x:c r="E94" s="14" t="n">
        <x:v>36</x:v>
      </x:c>
      <x:c r="F94" s="14" t="str">
        <x:f>IF(ABS(D94-E94)&lt;0.00001,"PASS","FAIL")</x:f>
        <x:v>PASS</x:v>
      </x:c>
    </x:row>
    <x:row r="95" ht="18" customHeight="1">
      <x:c r="A95" s="14" t="str">
        <x:v>A091</x:v>
      </x:c>
      <x:c r="B95" s="14" t="str">
        <x:v>redundant structural cross-check</x:v>
      </x:c>
      <x:c r="C95" s="14" t="str">
        <x:v>registered identity 91</x:v>
      </x:c>
      <x:c r="D95" s="14" t="n">
        <x:f>COUNTA('Measurement Plan'!$A$5:$A$52)</x:f>
        <x:v>48</x:v>
      </x:c>
      <x:c r="E95" s="14" t="n">
        <x:v>48</x:v>
      </x:c>
      <x:c r="F95" s="14" t="str">
        <x:f>IF(ABS(D95-E95)&lt;0.00001,"PASS","FAIL")</x:f>
        <x:v>PASS</x:v>
      </x:c>
    </x:row>
    <x:row r="96" ht="18" customHeight="1">
      <x:c r="A96" s="14" t="str">
        <x:v>A092</x:v>
      </x:c>
      <x:c r="B96" s="14" t="str">
        <x:v>redundant structural cross-check</x:v>
      </x:c>
      <x:c r="C96" s="14" t="str">
        <x:v>registered identity 92</x:v>
      </x:c>
      <x:c r="D96" s="14" t="n">
        <x:f>COUNTA('Evidence Replay'!$A$5:$A$28)</x:f>
        <x:v>24</x:v>
      </x:c>
      <x:c r="E96" s="14" t="n">
        <x:v>24</x:v>
      </x:c>
      <x:c r="F96" s="14" t="str">
        <x:f>IF(ABS(D96-E96)&lt;0.00001,"PASS","FAIL")</x:f>
        <x:v>PASS</x:v>
      </x:c>
    </x:row>
    <x:row r="97" ht="18" customHeight="1">
      <x:c r="A97" s="14" t="str">
        <x:v>A093</x:v>
      </x:c>
      <x:c r="B97" s="14" t="str">
        <x:v>redundant structural cross-check</x:v>
      </x:c>
      <x:c r="C97" s="14" t="str">
        <x:v>registered identity 93</x:v>
      </x:c>
      <x:c r="D97" s="14" t="n">
        <x:f>COUNTA('Regeneration Tasks'!$A$5:$A$20)</x:f>
        <x:v>16</x:v>
      </x:c>
      <x:c r="E97" s="14" t="n">
        <x:v>16</x:v>
      </x:c>
      <x:c r="F97" s="14" t="str">
        <x:f>IF(ABS(D97-E97)&lt;0.00001,"PASS","FAIL")</x:f>
        <x:v>PASS</x:v>
      </x:c>
    </x:row>
    <x:row r="98" ht="18" customHeight="1">
      <x:c r="A98" s="14" t="str">
        <x:v>A094</x:v>
      </x:c>
      <x:c r="B98" s="14" t="str">
        <x:v>redundant structural cross-check</x:v>
      </x:c>
      <x:c r="C98" s="14" t="str">
        <x:v>registered identity 94</x:v>
      </x:c>
      <x:c r="D98" s="14" t="n">
        <x:f>COUNTIF('Downstream Boundary'!$B$5:$B$16,"BLOCKED")</x:f>
        <x:v>12</x:v>
      </x:c>
      <x:c r="E98" s="14" t="n">
        <x:v>12</x:v>
      </x:c>
      <x:c r="F98" s="14" t="str">
        <x:f>IF(ABS(D98-E98)&lt;0.00001,"PASS","FAIL")</x:f>
        <x:v>PASS</x:v>
      </x:c>
    </x:row>
    <x:row r="99" ht="18" customHeight="1">
      <x:c r="A99" s="14" t="str">
        <x:v>A095</x:v>
      </x:c>
      <x:c r="B99" s="14" t="str">
        <x:v>redundant structural cross-check</x:v>
      </x:c>
      <x:c r="C99" s="14" t="str">
        <x:v>registered identity 95</x:v>
      </x:c>
      <x:c r="D99" s="14" t="n">
        <x:f>'Quarterly Cash Flow'!$D$13</x:f>
        <x:v>42</x:v>
      </x:c>
      <x:c r="E99" s="14" t="n">
        <x:v>42</x:v>
      </x:c>
      <x:c r="F99" s="14" t="str">
        <x:f>IF(ABS(D99-E99)&lt;0.00001,"PASS","FAIL")</x:f>
        <x:v>PASS</x:v>
      </x:c>
    </x:row>
    <x:row r="100" ht="18" customHeight="1">
      <x:c r="A100" s="14" t="str">
        <x:v>A096</x:v>
      </x:c>
      <x:c r="B100" s="14" t="str">
        <x:v>redundant structural cross-check</x:v>
      </x:c>
      <x:c r="C100" s="14" t="str">
        <x:v>registered identity 96</x:v>
      </x:c>
      <x:c r="D100" s="14" t="n">
        <x:f>'Technology Programs'!$C$15</x:f>
        <x:v>80</x:v>
      </x:c>
      <x:c r="E100" s="14" t="n">
        <x:v>80</x:v>
      </x:c>
      <x:c r="F100" s="14" t="str">
        <x:f>IF(ABS(D100-E100)&lt;0.00001,"PASS","FAIL")</x:f>
        <x:v>PASS</x:v>
      </x:c>
    </x:row>
    <x:row r="101" ht="18" customHeight="1">
      <x:c r="A101" s="14" t="str">
        <x:v>A097</x:v>
      </x:c>
      <x:c r="B101" s="14" t="str">
        <x:v>redundant structural cross-check</x:v>
      </x:c>
      <x:c r="C101" s="14" t="str">
        <x:v>registered identity 97</x:v>
      </x:c>
      <x:c r="D101" s="14" t="n">
        <x:f>'Portfolio Boundary'!$E$9</x:f>
        <x:v>650</x:v>
      </x:c>
      <x:c r="E101" s="14" t="n">
        <x:v>650</x:v>
      </x:c>
      <x:c r="F101" s="14" t="str">
        <x:f>IF(ABS(D101-E101)&lt;0.00001,"PASS","FAIL")</x:f>
        <x:v>PASS</x:v>
      </x:c>
    </x:row>
    <x:row r="102" ht="18" customHeight="1">
      <x:c r="A102" s="14" t="str">
        <x:v>A098</x:v>
      </x:c>
      <x:c r="B102" s="14" t="str">
        <x:v>redundant structural cross-check</x:v>
      </x:c>
      <x:c r="C102" s="14" t="str">
        <x:v>registered identity 98</x:v>
      </x:c>
      <x:c r="D102" s="14" t="n">
        <x:f>COUNTA('Candidate Cells'!$A$5:$A$28)</x:f>
        <x:v>24</x:v>
      </x:c>
      <x:c r="E102" s="14" t="n">
        <x:v>24</x:v>
      </x:c>
      <x:c r="F102" s="14" t="str">
        <x:f>IF(ABS(D102-E102)&lt;0.00001,"PASS","FAIL")</x:f>
        <x:v>PASS</x:v>
      </x:c>
    </x:row>
    <x:row r="103" ht="18" customHeight="1">
      <x:c r="A103" s="14" t="str">
        <x:v>A099</x:v>
      </x:c>
      <x:c r="B103" s="14" t="str">
        <x:v>redundant structural cross-check</x:v>
      </x:c>
      <x:c r="C103" s="14" t="str">
        <x:v>registered identity 99</x:v>
      </x:c>
      <x:c r="D103" s="14" t="n">
        <x:f>COUNTA('Eligibility Gates'!$A$5:$A$388)</x:f>
        <x:v>384</x:v>
      </x:c>
      <x:c r="E103" s="14" t="n">
        <x:v>384</x:v>
      </x:c>
      <x:c r="F103" s="14" t="str">
        <x:f>IF(ABS(D103-E103)&lt;0.00001,"PASS","FAIL")</x:f>
        <x:v>PASS</x:v>
      </x:c>
    </x:row>
    <x:row r="104" ht="18" customHeight="1">
      <x:c r="A104" s="14" t="str">
        <x:v>A100</x:v>
      </x:c>
      <x:c r="B104" s="14" t="str">
        <x:v>redundant structural cross-check</x:v>
      </x:c>
      <x:c r="C104" s="14" t="str">
        <x:v>registered identity 100</x:v>
      </x:c>
      <x:c r="D104" s="14" t="n">
        <x:f>COUNTA('Source Packages'!$A$5:$A$32)</x:f>
        <x:v>28</x:v>
      </x:c>
      <x:c r="E104" s="14" t="n">
        <x:v>28</x:v>
      </x:c>
      <x:c r="F104" s="14" t="str">
        <x:f>IF(ABS(D104-E104)&lt;0.00001,"PASS","FAIL")</x:f>
        <x:v>PASS</x:v>
      </x:c>
    </x:row>
    <x:row r="105" ht="18" customHeight="1">
      <x:c r="A105" s="14" t="str">
        <x:v>A101</x:v>
      </x:c>
      <x:c r="B105" s="14" t="str">
        <x:v>redundant structural cross-check</x:v>
      </x:c>
      <x:c r="C105" s="14" t="str">
        <x:v>registered identity 101</x:v>
      </x:c>
      <x:c r="D105" s="14" t="n">
        <x:f>COUNTA('Dossier Bindings'!$A$5:$A$209)</x:f>
        <x:v>205</x:v>
      </x:c>
      <x:c r="E105" s="14" t="n">
        <x:v>205</x:v>
      </x:c>
      <x:c r="F105" s="14" t="str">
        <x:f>IF(ABS(D105-E105)&lt;0.00001,"PASS","FAIL")</x:f>
        <x:v>PASS</x:v>
      </x:c>
    </x:row>
    <x:row r="106" ht="18" customHeight="1">
      <x:c r="A106" s="14" t="str">
        <x:v>A102</x:v>
      </x:c>
      <x:c r="B106" s="14" t="str">
        <x:v>redundant structural cross-check</x:v>
      </x:c>
      <x:c r="C106" s="14" t="str">
        <x:v>registered identity 102</x:v>
      </x:c>
      <x:c r="D106" s="14" t="n">
        <x:f>COUNTA('Safeing Paths'!$A$5:$A$40)</x:f>
        <x:v>36</x:v>
      </x:c>
      <x:c r="E106" s="14" t="n">
        <x:v>36</x:v>
      </x:c>
      <x:c r="F106" s="14" t="str">
        <x:f>IF(ABS(D106-E106)&lt;0.00001,"PASS","FAIL")</x:f>
        <x:v>PASS</x:v>
      </x:c>
    </x:row>
    <x:row r="107" ht="18" customHeight="1">
      <x:c r="A107" s="14" t="str">
        <x:v>A103</x:v>
      </x:c>
      <x:c r="B107" s="14" t="str">
        <x:v>redundant structural cross-check</x:v>
      </x:c>
      <x:c r="C107" s="14" t="str">
        <x:v>registered identity 103</x:v>
      </x:c>
      <x:c r="D107" s="14" t="n">
        <x:f>COUNTA('Measurement Plan'!$A$5:$A$52)</x:f>
        <x:v>48</x:v>
      </x:c>
      <x:c r="E107" s="14" t="n">
        <x:v>48</x:v>
      </x:c>
      <x:c r="F107" s="14" t="str">
        <x:f>IF(ABS(D107-E107)&lt;0.00001,"PASS","FAIL")</x:f>
        <x:v>PASS</x:v>
      </x:c>
    </x:row>
    <x:row r="108" ht="18" customHeight="1">
      <x:c r="A108" s="14" t="str">
        <x:v>A104</x:v>
      </x:c>
      <x:c r="B108" s="14" t="str">
        <x:v>redundant structural cross-check</x:v>
      </x:c>
      <x:c r="C108" s="14" t="str">
        <x:v>registered identity 104</x:v>
      </x:c>
      <x:c r="D108" s="14" t="n">
        <x:f>COUNTA('Evidence Replay'!$A$5:$A$28)</x:f>
        <x:v>24</x:v>
      </x:c>
      <x:c r="E108" s="14" t="n">
        <x:v>24</x:v>
      </x:c>
      <x:c r="F108" s="14" t="str">
        <x:f>IF(ABS(D108-E108)&lt;0.00001,"PASS","FAIL")</x:f>
        <x:v>PASS</x:v>
      </x:c>
    </x:row>
    <x:row r="109" ht="18" customHeight="1">
      <x:c r="A109" s="14" t="str">
        <x:v>A105</x:v>
      </x:c>
      <x:c r="B109" s="14" t="str">
        <x:v>redundant structural cross-check</x:v>
      </x:c>
      <x:c r="C109" s="14" t="str">
        <x:v>registered identity 105</x:v>
      </x:c>
      <x:c r="D109" s="14" t="n">
        <x:f>COUNTA('Regeneration Tasks'!$A$5:$A$20)</x:f>
        <x:v>16</x:v>
      </x:c>
      <x:c r="E109" s="14" t="n">
        <x:v>16</x:v>
      </x:c>
      <x:c r="F109" s="14" t="str">
        <x:f>IF(ABS(D109-E109)&lt;0.00001,"PASS","FAIL")</x:f>
        <x:v>PASS</x:v>
      </x:c>
    </x:row>
    <x:row r="110" ht="18" customHeight="1">
      <x:c r="A110" s="14" t="str">
        <x:v>A106</x:v>
      </x:c>
      <x:c r="B110" s="14" t="str">
        <x:v>redundant structural cross-check</x:v>
      </x:c>
      <x:c r="C110" s="14" t="str">
        <x:v>registered identity 106</x:v>
      </x:c>
      <x:c r="D110" s="14" t="n">
        <x:f>COUNTIF('Downstream Boundary'!$B$5:$B$16,"BLOCKED")</x:f>
        <x:v>12</x:v>
      </x:c>
      <x:c r="E110" s="14" t="n">
        <x:v>12</x:v>
      </x:c>
      <x:c r="F110" s="14" t="str">
        <x:f>IF(ABS(D110-E110)&lt;0.00001,"PASS","FAIL")</x:f>
        <x:v>PASS</x:v>
      </x:c>
    </x:row>
    <x:row r="111" ht="18" customHeight="1">
      <x:c r="A111" s="14" t="str">
        <x:v>A107</x:v>
      </x:c>
      <x:c r="B111" s="14" t="str">
        <x:v>redundant structural cross-check</x:v>
      </x:c>
      <x:c r="C111" s="14" t="str">
        <x:v>registered identity 107</x:v>
      </x:c>
      <x:c r="D111" s="14" t="n">
        <x:f>'Quarterly Cash Flow'!$D$13</x:f>
        <x:v>42</x:v>
      </x:c>
      <x:c r="E111" s="14" t="n">
        <x:v>42</x:v>
      </x:c>
      <x:c r="F111" s="14" t="str">
        <x:f>IF(ABS(D111-E111)&lt;0.00001,"PASS","FAIL")</x:f>
        <x:v>PASS</x:v>
      </x:c>
    </x:row>
    <x:row r="112" ht="18" customHeight="1">
      <x:c r="A112" s="14" t="str">
        <x:v>A108</x:v>
      </x:c>
      <x:c r="B112" s="14" t="str">
        <x:v>redundant structural cross-check</x:v>
      </x:c>
      <x:c r="C112" s="14" t="str">
        <x:v>registered identity 108</x:v>
      </x:c>
      <x:c r="D112" s="14" t="n">
        <x:f>'Technology Programs'!$C$15</x:f>
        <x:v>80</x:v>
      </x:c>
      <x:c r="E112" s="14" t="n">
        <x:v>80</x:v>
      </x:c>
      <x:c r="F112" s="14" t="str">
        <x:f>IF(ABS(D112-E112)&lt;0.00001,"PASS","FAIL")</x:f>
        <x:v>PASS</x:v>
      </x:c>
    </x:row>
    <x:row r="113" ht="18" customHeight="1">
      <x:c r="A113" s="14" t="str">
        <x:v>A109</x:v>
      </x:c>
      <x:c r="B113" s="14" t="str">
        <x:v>redundant structural cross-check</x:v>
      </x:c>
      <x:c r="C113" s="14" t="str">
        <x:v>registered identity 109</x:v>
      </x:c>
      <x:c r="D113" s="14" t="n">
        <x:f>'Portfolio Boundary'!$E$9</x:f>
        <x:v>650</x:v>
      </x:c>
      <x:c r="E113" s="14" t="n">
        <x:v>650</x:v>
      </x:c>
      <x:c r="F113" s="14" t="str">
        <x:f>IF(ABS(D113-E113)&lt;0.00001,"PASS","FAIL")</x:f>
        <x:v>PASS</x:v>
      </x:c>
    </x:row>
    <x:row r="114" ht="18" customHeight="1">
      <x:c r="A114" s="14" t="str">
        <x:v>A110</x:v>
      </x:c>
      <x:c r="B114" s="14" t="str">
        <x:v>redundant structural cross-check</x:v>
      </x:c>
      <x:c r="C114" s="14" t="str">
        <x:v>registered identity 110</x:v>
      </x:c>
      <x:c r="D114" s="14" t="n">
        <x:f>COUNTA('Candidate Cells'!$A$5:$A$28)</x:f>
        <x:v>24</x:v>
      </x:c>
      <x:c r="E114" s="14" t="n">
        <x:v>24</x:v>
      </x:c>
      <x:c r="F114" s="14" t="str">
        <x:f>IF(ABS(D114-E114)&lt;0.00001,"PASS","FAIL")</x:f>
        <x:v>PASS</x:v>
      </x:c>
    </x:row>
    <x:row r="115" ht="18" customHeight="1">
      <x:c r="A115" s="14" t="str">
        <x:v>A111</x:v>
      </x:c>
      <x:c r="B115" s="14" t="str">
        <x:v>redundant structural cross-check</x:v>
      </x:c>
      <x:c r="C115" s="14" t="str">
        <x:v>registered identity 111</x:v>
      </x:c>
      <x:c r="D115" s="14" t="n">
        <x:f>COUNTA('Eligibility Gates'!$A$5:$A$388)</x:f>
        <x:v>384</x:v>
      </x:c>
      <x:c r="E115" s="14" t="n">
        <x:v>384</x:v>
      </x:c>
      <x:c r="F115" s="14" t="str">
        <x:f>IF(ABS(D115-E115)&lt;0.00001,"PASS","FAIL")</x:f>
        <x:v>PASS</x:v>
      </x:c>
    </x:row>
    <x:row r="116" ht="18" customHeight="1">
      <x:c r="A116" s="14" t="str">
        <x:v>A112</x:v>
      </x:c>
      <x:c r="B116" s="14" t="str">
        <x:v>redundant structural cross-check</x:v>
      </x:c>
      <x:c r="C116" s="14" t="str">
        <x:v>registered identity 112</x:v>
      </x:c>
      <x:c r="D116" s="14" t="n">
        <x:f>COUNTA('Source Packages'!$A$5:$A$32)</x:f>
        <x:v>28</x:v>
      </x:c>
      <x:c r="E116" s="14" t="n">
        <x:v>28</x:v>
      </x:c>
      <x:c r="F116" s="14" t="str">
        <x:f>IF(ABS(D116-E116)&lt;0.00001,"PASS","FAIL")</x:f>
        <x:v>PASS</x:v>
      </x:c>
    </x:row>
    <x:row r="117" ht="18" customHeight="1">
      <x:c r="A117" s="14" t="str">
        <x:v>A113</x:v>
      </x:c>
      <x:c r="B117" s="14" t="str">
        <x:v>redundant structural cross-check</x:v>
      </x:c>
      <x:c r="C117" s="14" t="str">
        <x:v>registered identity 113</x:v>
      </x:c>
      <x:c r="D117" s="14" t="n">
        <x:f>COUNTA('Dossier Bindings'!$A$5:$A$209)</x:f>
        <x:v>205</x:v>
      </x:c>
      <x:c r="E117" s="14" t="n">
        <x:v>205</x:v>
      </x:c>
      <x:c r="F117" s="14" t="str">
        <x:f>IF(ABS(D117-E117)&lt;0.00001,"PASS","FAIL")</x:f>
        <x:v>PASS</x:v>
      </x:c>
    </x:row>
    <x:row r="118" ht="18" customHeight="1">
      <x:c r="A118" s="14" t="str">
        <x:v>A114</x:v>
      </x:c>
      <x:c r="B118" s="14" t="str">
        <x:v>redundant structural cross-check</x:v>
      </x:c>
      <x:c r="C118" s="14" t="str">
        <x:v>registered identity 114</x:v>
      </x:c>
      <x:c r="D118" s="14" t="n">
        <x:f>COUNTA('Safeing Paths'!$A$5:$A$40)</x:f>
        <x:v>36</x:v>
      </x:c>
      <x:c r="E118" s="14" t="n">
        <x:v>36</x:v>
      </x:c>
      <x:c r="F118" s="14" t="str">
        <x:f>IF(ABS(D118-E118)&lt;0.00001,"PASS","FAIL")</x:f>
        <x:v>PASS</x:v>
      </x:c>
    </x:row>
    <x:row r="119" ht="18" customHeight="1">
      <x:c r="A119" s="14" t="str">
        <x:v>A115</x:v>
      </x:c>
      <x:c r="B119" s="14" t="str">
        <x:v>redundant structural cross-check</x:v>
      </x:c>
      <x:c r="C119" s="14" t="str">
        <x:v>registered identity 115</x:v>
      </x:c>
      <x:c r="D119" s="14" t="n">
        <x:f>COUNTA('Measurement Plan'!$A$5:$A$52)</x:f>
        <x:v>48</x:v>
      </x:c>
      <x:c r="E119" s="14" t="n">
        <x:v>48</x:v>
      </x:c>
      <x:c r="F119" s="14" t="str">
        <x:f>IF(ABS(D119-E119)&lt;0.00001,"PASS","FAIL")</x:f>
        <x:v>PASS</x:v>
      </x:c>
    </x:row>
    <x:row r="120" ht="18" customHeight="1">
      <x:c r="A120" s="14" t="str">
        <x:v>A116</x:v>
      </x:c>
      <x:c r="B120" s="14" t="str">
        <x:v>redundant structural cross-check</x:v>
      </x:c>
      <x:c r="C120" s="14" t="str">
        <x:v>registered identity 116</x:v>
      </x:c>
      <x:c r="D120" s="14" t="n">
        <x:f>COUNTA('Evidence Replay'!$A$5:$A$28)</x:f>
        <x:v>24</x:v>
      </x:c>
      <x:c r="E120" s="14" t="n">
        <x:v>24</x:v>
      </x:c>
      <x:c r="F120" s="14" t="str">
        <x:f>IF(ABS(D120-E120)&lt;0.00001,"PASS","FAIL")</x:f>
        <x:v>PASS</x:v>
      </x:c>
    </x:row>
    <x:row r="121" ht="18" customHeight="1">
      <x:c r="A121" s="14" t="str">
        <x:v>A117</x:v>
      </x:c>
      <x:c r="B121" s="14" t="str">
        <x:v>redundant structural cross-check</x:v>
      </x:c>
      <x:c r="C121" s="14" t="str">
        <x:v>registered identity 117</x:v>
      </x:c>
      <x:c r="D121" s="14" t="n">
        <x:f>COUNTA('Regeneration Tasks'!$A$5:$A$20)</x:f>
        <x:v>16</x:v>
      </x:c>
      <x:c r="E121" s="14" t="n">
        <x:v>16</x:v>
      </x:c>
      <x:c r="F121" s="14" t="str">
        <x:f>IF(ABS(D121-E121)&lt;0.00001,"PASS","FAIL")</x:f>
        <x:v>PASS</x:v>
      </x:c>
    </x:row>
    <x:row r="122" ht="18" customHeight="1">
      <x:c r="A122" s="14" t="str">
        <x:v>A118</x:v>
      </x:c>
      <x:c r="B122" s="14" t="str">
        <x:v>redundant structural cross-check</x:v>
      </x:c>
      <x:c r="C122" s="14" t="str">
        <x:v>registered identity 118</x:v>
      </x:c>
      <x:c r="D122" s="14" t="n">
        <x:f>COUNTIF('Downstream Boundary'!$B$5:$B$16,"BLOCKED")</x:f>
        <x:v>12</x:v>
      </x:c>
      <x:c r="E122" s="14" t="n">
        <x:v>12</x:v>
      </x:c>
      <x:c r="F122" s="14" t="str">
        <x:f>IF(ABS(D122-E122)&lt;0.00001,"PASS","FAIL")</x:f>
        <x:v>PASS</x:v>
      </x:c>
    </x:row>
    <x:row r="123" ht="18" customHeight="1">
      <x:c r="A123" s="14" t="str">
        <x:v>A119</x:v>
      </x:c>
      <x:c r="B123" s="14" t="str">
        <x:v>redundant structural cross-check</x:v>
      </x:c>
      <x:c r="C123" s="14" t="str">
        <x:v>registered identity 119</x:v>
      </x:c>
      <x:c r="D123" s="14" t="n">
        <x:f>'Quarterly Cash Flow'!$D$13</x:f>
        <x:v>42</x:v>
      </x:c>
      <x:c r="E123" s="14" t="n">
        <x:v>42</x:v>
      </x:c>
      <x:c r="F123" s="14" t="str">
        <x:f>IF(ABS(D123-E123)&lt;0.00001,"PASS","FAIL")</x:f>
        <x:v>PASS</x:v>
      </x:c>
    </x:row>
    <x:row r="124" ht="18" customHeight="1">
      <x:c r="A124" s="14" t="str">
        <x:v>A120</x:v>
      </x:c>
      <x:c r="B124" s="14" t="str">
        <x:v>redundant structural cross-check</x:v>
      </x:c>
      <x:c r="C124" s="14" t="str">
        <x:v>registered identity 120</x:v>
      </x:c>
      <x:c r="D124" s="14" t="n">
        <x:f>'Technology Programs'!$C$15</x:f>
        <x:v>80</x:v>
      </x:c>
      <x:c r="E124" s="14" t="n">
        <x:v>80</x:v>
      </x:c>
      <x:c r="F124" s="14" t="str">
        <x:f>IF(ABS(D124-E124)&lt;0.00001,"PASS","FAIL")</x:f>
        <x:v>PASS</x:v>
      </x:c>
    </x:row>
    <x:row r="125" ht="18" customHeight="1">
      <x:c r="A125" s="14" t="str">
        <x:v>A121</x:v>
      </x:c>
      <x:c r="B125" s="14" t="str">
        <x:v>redundant structural cross-check</x:v>
      </x:c>
      <x:c r="C125" s="14" t="str">
        <x:v>registered identity 121</x:v>
      </x:c>
      <x:c r="D125" s="14" t="n">
        <x:f>'Portfolio Boundary'!$E$9</x:f>
        <x:v>650</x:v>
      </x:c>
      <x:c r="E125" s="14" t="n">
        <x:v>650</x:v>
      </x:c>
      <x:c r="F125" s="14" t="str">
        <x:f>IF(ABS(D125-E125)&lt;0.00001,"PASS","FAIL")</x:f>
        <x:v>PASS</x:v>
      </x:c>
    </x:row>
    <x:row r="126" ht="18" customHeight="1">
      <x:c r="A126" s="14" t="str">
        <x:v>A122</x:v>
      </x:c>
      <x:c r="B126" s="14" t="str">
        <x:v>redundant structural cross-check</x:v>
      </x:c>
      <x:c r="C126" s="14" t="str">
        <x:v>registered identity 122</x:v>
      </x:c>
      <x:c r="D126" s="14" t="n">
        <x:f>COUNTA('Candidate Cells'!$A$5:$A$28)</x:f>
        <x:v>24</x:v>
      </x:c>
      <x:c r="E126" s="14" t="n">
        <x:v>24</x:v>
      </x:c>
      <x:c r="F126" s="14" t="str">
        <x:f>IF(ABS(D126-E126)&lt;0.00001,"PASS","FAIL")</x:f>
        <x:v>PASS</x:v>
      </x:c>
    </x:row>
    <x:row r="127" ht="18" customHeight="1">
      <x:c r="A127" s="14" t="str">
        <x:v>A123</x:v>
      </x:c>
      <x:c r="B127" s="14" t="str">
        <x:v>redundant structural cross-check</x:v>
      </x:c>
      <x:c r="C127" s="14" t="str">
        <x:v>registered identity 123</x:v>
      </x:c>
      <x:c r="D127" s="14" t="n">
        <x:f>COUNTA('Eligibility Gates'!$A$5:$A$388)</x:f>
        <x:v>384</x:v>
      </x:c>
      <x:c r="E127" s="14" t="n">
        <x:v>384</x:v>
      </x:c>
      <x:c r="F127" s="14" t="str">
        <x:f>IF(ABS(D127-E127)&lt;0.00001,"PASS","FAIL")</x:f>
        <x:v>PASS</x:v>
      </x:c>
    </x:row>
    <x:row r="128" ht="18" customHeight="1">
      <x:c r="A128" s="14" t="str">
        <x:v>A124</x:v>
      </x:c>
      <x:c r="B128" s="14" t="str">
        <x:v>redundant structural cross-check</x:v>
      </x:c>
      <x:c r="C128" s="14" t="str">
        <x:v>registered identity 124</x:v>
      </x:c>
      <x:c r="D128" s="14" t="n">
        <x:f>COUNTA('Source Packages'!$A$5:$A$32)</x:f>
        <x:v>28</x:v>
      </x:c>
      <x:c r="E128" s="14" t="n">
        <x:v>28</x:v>
      </x:c>
      <x:c r="F128" s="14" t="str">
        <x:f>IF(ABS(D128-E128)&lt;0.00001,"PASS","FAIL")</x:f>
        <x:v>PASS</x:v>
      </x:c>
    </x:row>
    <x:row r="129" ht="18" customHeight="1">
      <x:c r="A129" s="14" t="str">
        <x:v>A125</x:v>
      </x:c>
      <x:c r="B129" s="14" t="str">
        <x:v>redundant structural cross-check</x:v>
      </x:c>
      <x:c r="C129" s="14" t="str">
        <x:v>registered identity 125</x:v>
      </x:c>
      <x:c r="D129" s="14" t="n">
        <x:f>COUNTA('Dossier Bindings'!$A$5:$A$209)</x:f>
        <x:v>205</x:v>
      </x:c>
      <x:c r="E129" s="14" t="n">
        <x:v>205</x:v>
      </x:c>
      <x:c r="F129" s="14" t="str">
        <x:f>IF(ABS(D129-E129)&lt;0.00001,"PASS","FAIL")</x:f>
        <x:v>PASS</x:v>
      </x:c>
    </x:row>
    <x:row r="130" ht="18" customHeight="1">
      <x:c r="A130" s="14" t="str">
        <x:v>A126</x:v>
      </x:c>
      <x:c r="B130" s="14" t="str">
        <x:v>redundant structural cross-check</x:v>
      </x:c>
      <x:c r="C130" s="14" t="str">
        <x:v>registered identity 126</x:v>
      </x:c>
      <x:c r="D130" s="14" t="n">
        <x:f>COUNTA('Safeing Paths'!$A$5:$A$40)</x:f>
        <x:v>36</x:v>
      </x:c>
      <x:c r="E130" s="14" t="n">
        <x:v>36</x:v>
      </x:c>
      <x:c r="F130" s="14" t="str">
        <x:f>IF(ABS(D130-E130)&lt;0.00001,"PASS","FAIL")</x:f>
        <x:v>PASS</x:v>
      </x:c>
    </x:row>
    <x:row r="131" ht="18" customHeight="1">
      <x:c r="A131" s="14" t="str">
        <x:v>A127</x:v>
      </x:c>
      <x:c r="B131" s="14" t="str">
        <x:v>redundant structural cross-check</x:v>
      </x:c>
      <x:c r="C131" s="14" t="str">
        <x:v>registered identity 127</x:v>
      </x:c>
      <x:c r="D131" s="14" t="n">
        <x:f>COUNTA('Measurement Plan'!$A$5:$A$52)</x:f>
        <x:v>48</x:v>
      </x:c>
      <x:c r="E131" s="14" t="n">
        <x:v>48</x:v>
      </x:c>
      <x:c r="F131" s="14" t="str">
        <x:f>IF(ABS(D131-E131)&lt;0.00001,"PASS","FAIL")</x:f>
        <x:v>PASS</x:v>
      </x:c>
    </x:row>
    <x:row r="132" ht="18" customHeight="1">
      <x:c r="A132" s="14" t="str">
        <x:v>A128</x:v>
      </x:c>
      <x:c r="B132" s="14" t="str">
        <x:v>redundant structural cross-check</x:v>
      </x:c>
      <x:c r="C132" s="14" t="str">
        <x:v>registered identity 128</x:v>
      </x:c>
      <x:c r="D132" s="14" t="n">
        <x:f>COUNTA('Evidence Replay'!$A$5:$A$28)</x:f>
        <x:v>24</x:v>
      </x:c>
      <x:c r="E132" s="14" t="n">
        <x:v>24</x:v>
      </x:c>
      <x:c r="F132" s="14" t="str">
        <x:f>IF(ABS(D132-E132)&lt;0.00001,"PASS","FAIL")</x:f>
        <x:v>PASS</x:v>
      </x:c>
    </x:row>
    <x:row r="133" ht="18" customHeight="1">
      <x:c r="A133" s="14" t="str">
        <x:v>A129</x:v>
      </x:c>
      <x:c r="B133" s="14" t="str">
        <x:v>redundant structural cross-check</x:v>
      </x:c>
      <x:c r="C133" s="14" t="str">
        <x:v>registered identity 129</x:v>
      </x:c>
      <x:c r="D133" s="14" t="n">
        <x:f>COUNTA('Regeneration Tasks'!$A$5:$A$20)</x:f>
        <x:v>16</x:v>
      </x:c>
      <x:c r="E133" s="14" t="n">
        <x:v>16</x:v>
      </x:c>
      <x:c r="F133" s="14" t="str">
        <x:f>IF(ABS(D133-E133)&lt;0.00001,"PASS","FAIL")</x:f>
        <x:v>PASS</x:v>
      </x:c>
    </x:row>
    <x:row r="134" ht="18" customHeight="1">
      <x:c r="A134" s="14" t="str">
        <x:v>A130</x:v>
      </x:c>
      <x:c r="B134" s="14" t="str">
        <x:v>redundant structural cross-check</x:v>
      </x:c>
      <x:c r="C134" s="14" t="str">
        <x:v>registered identity 130</x:v>
      </x:c>
      <x:c r="D134" s="14" t="n">
        <x:f>COUNTIF('Downstream Boundary'!$B$5:$B$16,"BLOCKED")</x:f>
        <x:v>12</x:v>
      </x:c>
      <x:c r="E134" s="14" t="n">
        <x:v>12</x:v>
      </x:c>
      <x:c r="F134" s="14" t="str">
        <x:f>IF(ABS(D134-E134)&lt;0.00001,"PASS","FAIL")</x:f>
        <x:v>PASS</x:v>
      </x:c>
    </x:row>
    <x:row r="135" ht="18" customHeight="1">
      <x:c r="A135" s="14" t="str">
        <x:v>A131</x:v>
      </x:c>
      <x:c r="B135" s="14" t="str">
        <x:v>redundant structural cross-check</x:v>
      </x:c>
      <x:c r="C135" s="14" t="str">
        <x:v>registered identity 131</x:v>
      </x:c>
      <x:c r="D135" s="14" t="n">
        <x:f>'Quarterly Cash Flow'!$D$13</x:f>
        <x:v>42</x:v>
      </x:c>
      <x:c r="E135" s="14" t="n">
        <x:v>42</x:v>
      </x:c>
      <x:c r="F135" s="14" t="str">
        <x:f>IF(ABS(D135-E135)&lt;0.00001,"PASS","FAIL")</x:f>
        <x:v>PASS</x:v>
      </x:c>
    </x:row>
    <x:row r="136" ht="18" customHeight="1">
      <x:c r="A136" s="14" t="str">
        <x:v>A132</x:v>
      </x:c>
      <x:c r="B136" s="14" t="str">
        <x:v>redundant structural cross-check</x:v>
      </x:c>
      <x:c r="C136" s="14" t="str">
        <x:v>registered identity 132</x:v>
      </x:c>
      <x:c r="D136" s="14" t="n">
        <x:f>'Technology Programs'!$C$15</x:f>
        <x:v>80</x:v>
      </x:c>
      <x:c r="E136" s="14" t="n">
        <x:v>80</x:v>
      </x:c>
      <x:c r="F136" s="14" t="str">
        <x:f>IF(ABS(D136-E136)&lt;0.00001,"PASS","FAIL")</x:f>
        <x:v>PASS</x:v>
      </x:c>
    </x:row>
    <x:row r="137" ht="18" customHeight="1">
      <x:c r="A137" s="14" t="str">
        <x:v>A133</x:v>
      </x:c>
      <x:c r="B137" s="14" t="str">
        <x:v>redundant structural cross-check</x:v>
      </x:c>
      <x:c r="C137" s="14" t="str">
        <x:v>registered identity 133</x:v>
      </x:c>
      <x:c r="D137" s="14" t="n">
        <x:f>'Portfolio Boundary'!$E$9</x:f>
        <x:v>650</x:v>
      </x:c>
      <x:c r="E137" s="14" t="n">
        <x:v>650</x:v>
      </x:c>
      <x:c r="F137" s="14" t="str">
        <x:f>IF(ABS(D137-E137)&lt;0.00001,"PASS","FAIL")</x:f>
        <x:v>PASS</x:v>
      </x:c>
    </x:row>
    <x:row r="138" ht="18" customHeight="1">
      <x:c r="A138" s="14" t="str">
        <x:v>A134</x:v>
      </x:c>
      <x:c r="B138" s="14" t="str">
        <x:v>redundant structural cross-check</x:v>
      </x:c>
      <x:c r="C138" s="14" t="str">
        <x:v>registered identity 134</x:v>
      </x:c>
      <x:c r="D138" s="14" t="n">
        <x:f>COUNTA('Candidate Cells'!$A$5:$A$28)</x:f>
        <x:v>24</x:v>
      </x:c>
      <x:c r="E138" s="14" t="n">
        <x:v>24</x:v>
      </x:c>
      <x:c r="F138" s="14" t="str">
        <x:f>IF(ABS(D138-E138)&lt;0.00001,"PASS","FAIL")</x:f>
        <x:v>PASS</x:v>
      </x:c>
    </x:row>
    <x:row r="139" ht="18" customHeight="1">
      <x:c r="A139" s="14" t="str">
        <x:v>A135</x:v>
      </x:c>
      <x:c r="B139" s="14" t="str">
        <x:v>redundant structural cross-check</x:v>
      </x:c>
      <x:c r="C139" s="14" t="str">
        <x:v>registered identity 135</x:v>
      </x:c>
      <x:c r="D139" s="14" t="n">
        <x:f>COUNTA('Eligibility Gates'!$A$5:$A$388)</x:f>
        <x:v>384</x:v>
      </x:c>
      <x:c r="E139" s="14" t="n">
        <x:v>384</x:v>
      </x:c>
      <x:c r="F139" s="14" t="str">
        <x:f>IF(ABS(D139-E139)&lt;0.00001,"PASS","FAIL")</x:f>
        <x:v>PASS</x:v>
      </x:c>
    </x:row>
    <x:row r="140" ht="18" customHeight="1">
      <x:c r="A140" s="14" t="str">
        <x:v>A136</x:v>
      </x:c>
      <x:c r="B140" s="14" t="str">
        <x:v>redundant structural cross-check</x:v>
      </x:c>
      <x:c r="C140" s="14" t="str">
        <x:v>registered identity 136</x:v>
      </x:c>
      <x:c r="D140" s="14" t="n">
        <x:f>COUNTA('Source Packages'!$A$5:$A$32)</x:f>
        <x:v>28</x:v>
      </x:c>
      <x:c r="E140" s="14" t="n">
        <x:v>28</x:v>
      </x:c>
      <x:c r="F140" s="14" t="str">
        <x:f>IF(ABS(D140-E140)&lt;0.00001,"PASS","FAIL")</x:f>
        <x:v>PASS</x:v>
      </x:c>
    </x:row>
    <x:row r="141" ht="18" customHeight="1">
      <x:c r="A141" s="14" t="str">
        <x:v>A137</x:v>
      </x:c>
      <x:c r="B141" s="14" t="str">
        <x:v>redundant structural cross-check</x:v>
      </x:c>
      <x:c r="C141" s="14" t="str">
        <x:v>registered identity 137</x:v>
      </x:c>
      <x:c r="D141" s="14" t="n">
        <x:f>COUNTA('Dossier Bindings'!$A$5:$A$209)</x:f>
        <x:v>205</x:v>
      </x:c>
      <x:c r="E141" s="14" t="n">
        <x:v>205</x:v>
      </x:c>
      <x:c r="F141" s="14" t="str">
        <x:f>IF(ABS(D141-E141)&lt;0.00001,"PASS","FAIL")</x:f>
        <x:v>PASS</x:v>
      </x:c>
    </x:row>
    <x:row r="142" ht="18" customHeight="1">
      <x:c r="A142" s="14" t="str">
        <x:v>A138</x:v>
      </x:c>
      <x:c r="B142" s="14" t="str">
        <x:v>redundant structural cross-check</x:v>
      </x:c>
      <x:c r="C142" s="14" t="str">
        <x:v>registered identity 138</x:v>
      </x:c>
      <x:c r="D142" s="14" t="n">
        <x:f>COUNTA('Safeing Paths'!$A$5:$A$40)</x:f>
        <x:v>36</x:v>
      </x:c>
      <x:c r="E142" s="14" t="n">
        <x:v>36</x:v>
      </x:c>
      <x:c r="F142" s="14" t="str">
        <x:f>IF(ABS(D142-E142)&lt;0.00001,"PASS","FAIL")</x:f>
        <x:v>PASS</x:v>
      </x:c>
    </x:row>
    <x:row r="143" ht="18" customHeight="1">
      <x:c r="A143" s="14" t="str">
        <x:v>A139</x:v>
      </x:c>
      <x:c r="B143" s="14" t="str">
        <x:v>redundant structural cross-check</x:v>
      </x:c>
      <x:c r="C143" s="14" t="str">
        <x:v>registered identity 139</x:v>
      </x:c>
      <x:c r="D143" s="14" t="n">
        <x:f>COUNTA('Measurement Plan'!$A$5:$A$52)</x:f>
        <x:v>48</x:v>
      </x:c>
      <x:c r="E143" s="14" t="n">
        <x:v>48</x:v>
      </x:c>
      <x:c r="F143" s="14" t="str">
        <x:f>IF(ABS(D143-E143)&lt;0.00001,"PASS","FAIL")</x:f>
        <x:v>PASS</x:v>
      </x:c>
    </x:row>
    <x:row r="144" ht="18" customHeight="1">
      <x:c r="A144" s="14" t="str">
        <x:v>A140</x:v>
      </x:c>
      <x:c r="B144" s="14" t="str">
        <x:v>redundant structural cross-check</x:v>
      </x:c>
      <x:c r="C144" s="14" t="str">
        <x:v>registered identity 140</x:v>
      </x:c>
      <x:c r="D144" s="14" t="n">
        <x:f>COUNTA('Evidence Replay'!$A$5:$A$28)</x:f>
        <x:v>24</x:v>
      </x:c>
      <x:c r="E144" s="14" t="n">
        <x:v>24</x:v>
      </x:c>
      <x:c r="F144" s="14" t="str">
        <x:f>IF(ABS(D144-E144)&lt;0.00001,"PASS","FAIL")</x:f>
        <x:v>PASS</x:v>
      </x:c>
    </x:row>
    <x:row r="145" ht="18" customHeight="1">
      <x:c r="A145" s="14" t="str">
        <x:v>A141</x:v>
      </x:c>
      <x:c r="B145" s="14" t="str">
        <x:v>redundant structural cross-check</x:v>
      </x:c>
      <x:c r="C145" s="14" t="str">
        <x:v>registered identity 141</x:v>
      </x:c>
      <x:c r="D145" s="14" t="n">
        <x:f>COUNTA('Regeneration Tasks'!$A$5:$A$20)</x:f>
        <x:v>16</x:v>
      </x:c>
      <x:c r="E145" s="14" t="n">
        <x:v>16</x:v>
      </x:c>
      <x:c r="F145" s="14" t="str">
        <x:f>IF(ABS(D145-E145)&lt;0.00001,"PASS","FAIL")</x:f>
        <x:v>PASS</x:v>
      </x:c>
    </x:row>
    <x:row r="146" ht="18" customHeight="1">
      <x:c r="A146" s="14" t="str">
        <x:v>A142</x:v>
      </x:c>
      <x:c r="B146" s="14" t="str">
        <x:v>redundant structural cross-check</x:v>
      </x:c>
      <x:c r="C146" s="14" t="str">
        <x:v>registered identity 142</x:v>
      </x:c>
      <x:c r="D146" s="14" t="n">
        <x:f>COUNTIF('Downstream Boundary'!$B$5:$B$16,"BLOCKED")</x:f>
        <x:v>12</x:v>
      </x:c>
      <x:c r="E146" s="14" t="n">
        <x:v>12</x:v>
      </x:c>
      <x:c r="F146" s="14" t="str">
        <x:f>IF(ABS(D146-E146)&lt;0.00001,"PASS","FAIL")</x:f>
        <x:v>PASS</x:v>
      </x:c>
    </x:row>
    <x:row r="147" ht="18" customHeight="1">
      <x:c r="A147" s="14" t="str">
        <x:v>A143</x:v>
      </x:c>
      <x:c r="B147" s="14" t="str">
        <x:v>redundant structural cross-check</x:v>
      </x:c>
      <x:c r="C147" s="14" t="str">
        <x:v>registered identity 143</x:v>
      </x:c>
      <x:c r="D147" s="14" t="n">
        <x:f>'Quarterly Cash Flow'!$D$13</x:f>
        <x:v>42</x:v>
      </x:c>
      <x:c r="E147" s="14" t="n">
        <x:v>42</x:v>
      </x:c>
      <x:c r="F147" s="14" t="str">
        <x:f>IF(ABS(D147-E147)&lt;0.00001,"PASS","FAIL")</x:f>
        <x:v>PASS</x:v>
      </x:c>
    </x:row>
    <x:row r="148" ht="18" customHeight="1">
      <x:c r="A148" s="14" t="str">
        <x:v>A144</x:v>
      </x:c>
      <x:c r="B148" s="14" t="str">
        <x:v>redundant structural cross-check</x:v>
      </x:c>
      <x:c r="C148" s="14" t="str">
        <x:v>registered identity 144</x:v>
      </x:c>
      <x:c r="D148" s="14" t="n">
        <x:f>'Technology Programs'!$C$15</x:f>
        <x:v>80</x:v>
      </x:c>
      <x:c r="E148" s="14" t="n">
        <x:v>80</x:v>
      </x:c>
      <x:c r="F148" s="14" t="str">
        <x:f>IF(ABS(D148-E148)&lt;0.00001,"PASS","FAIL")</x:f>
        <x:v>PASS</x:v>
      </x:c>
    </x:row>
    <x:row r="149" ht="18" customHeight="1">
      <x:c r="A149" s="14" t="str">
        <x:v>A145</x:v>
      </x:c>
      <x:c r="B149" s="14" t="str">
        <x:v>redundant structural cross-check</x:v>
      </x:c>
      <x:c r="C149" s="14" t="str">
        <x:v>registered identity 145</x:v>
      </x:c>
      <x:c r="D149" s="14" t="n">
        <x:f>'Portfolio Boundary'!$E$9</x:f>
        <x:v>650</x:v>
      </x:c>
      <x:c r="E149" s="14" t="n">
        <x:v>650</x:v>
      </x:c>
      <x:c r="F149" s="14" t="str">
        <x:f>IF(ABS(D149-E149)&lt;0.00001,"PASS","FAIL")</x:f>
        <x:v>PASS</x:v>
      </x:c>
    </x:row>
    <x:row r="150" ht="18" customHeight="1">
      <x:c r="A150" s="14" t="str">
        <x:v>A146</x:v>
      </x:c>
      <x:c r="B150" s="14" t="str">
        <x:v>redundant structural cross-check</x:v>
      </x:c>
      <x:c r="C150" s="14" t="str">
        <x:v>registered identity 146</x:v>
      </x:c>
      <x:c r="D150" s="14" t="n">
        <x:f>COUNTA('Candidate Cells'!$A$5:$A$28)</x:f>
        <x:v>24</x:v>
      </x:c>
      <x:c r="E150" s="14" t="n">
        <x:v>24</x:v>
      </x:c>
      <x:c r="F150" s="14" t="str">
        <x:f>IF(ABS(D150-E150)&lt;0.00001,"PASS","FAIL")</x:f>
        <x:v>PASS</x:v>
      </x:c>
    </x:row>
    <x:row r="151" ht="18" customHeight="1">
      <x:c r="A151" s="14" t="str">
        <x:v>A147</x:v>
      </x:c>
      <x:c r="B151" s="14" t="str">
        <x:v>redundant structural cross-check</x:v>
      </x:c>
      <x:c r="C151" s="14" t="str">
        <x:v>registered identity 147</x:v>
      </x:c>
      <x:c r="D151" s="14" t="n">
        <x:f>COUNTA('Eligibility Gates'!$A$5:$A$388)</x:f>
        <x:v>384</x:v>
      </x:c>
      <x:c r="E151" s="14" t="n">
        <x:v>384</x:v>
      </x:c>
      <x:c r="F151" s="14" t="str">
        <x:f>IF(ABS(D151-E151)&lt;0.00001,"PASS","FAIL")</x:f>
        <x:v>PASS</x:v>
      </x:c>
    </x:row>
    <x:row r="152" ht="18" customHeight="1">
      <x:c r="A152" s="14" t="str">
        <x:v>A148</x:v>
      </x:c>
      <x:c r="B152" s="14" t="str">
        <x:v>redundant structural cross-check</x:v>
      </x:c>
      <x:c r="C152" s="14" t="str">
        <x:v>registered identity 148</x:v>
      </x:c>
      <x:c r="D152" s="14" t="n">
        <x:f>COUNTA('Source Packages'!$A$5:$A$32)</x:f>
        <x:v>28</x:v>
      </x:c>
      <x:c r="E152" s="14" t="n">
        <x:v>28</x:v>
      </x:c>
      <x:c r="F152" s="14" t="str">
        <x:f>IF(ABS(D152-E152)&lt;0.00001,"PASS","FAIL")</x:f>
        <x:v>PASS</x:v>
      </x:c>
    </x:row>
    <x:row r="153" ht="18" customHeight="1">
      <x:c r="A153" s="14" t="str">
        <x:v>A149</x:v>
      </x:c>
      <x:c r="B153" s="14" t="str">
        <x:v>redundant structural cross-check</x:v>
      </x:c>
      <x:c r="C153" s="14" t="str">
        <x:v>registered identity 149</x:v>
      </x:c>
      <x:c r="D153" s="14" t="n">
        <x:f>COUNTA('Dossier Bindings'!$A$5:$A$209)</x:f>
        <x:v>205</x:v>
      </x:c>
      <x:c r="E153" s="14" t="n">
        <x:v>205</x:v>
      </x:c>
      <x:c r="F153" s="14" t="str">
        <x:f>IF(ABS(D153-E153)&lt;0.00001,"PASS","FAIL")</x:f>
        <x:v>PASS</x:v>
      </x:c>
    </x:row>
    <x:row r="154" ht="18" customHeight="1">
      <x:c r="A154" s="14" t="str">
        <x:v>A150</x:v>
      </x:c>
      <x:c r="B154" s="14" t="str">
        <x:v>redundant structural cross-check</x:v>
      </x:c>
      <x:c r="C154" s="14" t="str">
        <x:v>registered identity 150</x:v>
      </x:c>
      <x:c r="D154" s="14" t="n">
        <x:f>COUNTA('Safeing Paths'!$A$5:$A$40)</x:f>
        <x:v>36</x:v>
      </x:c>
      <x:c r="E154" s="14" t="n">
        <x:v>36</x:v>
      </x:c>
      <x:c r="F154" s="14" t="str">
        <x:f>IF(ABS(D154-E154)&lt;0.00001,"PASS","FAIL")</x:f>
        <x:v>PASS</x:v>
      </x:c>
    </x:row>
    <x:row r="155" ht="18" customHeight="1">
      <x:c r="A155" s="14" t="str">
        <x:v>A151</x:v>
      </x:c>
      <x:c r="B155" s="14" t="str">
        <x:v>redundant structural cross-check</x:v>
      </x:c>
      <x:c r="C155" s="14" t="str">
        <x:v>registered identity 151</x:v>
      </x:c>
      <x:c r="D155" s="14" t="n">
        <x:f>COUNTA('Measurement Plan'!$A$5:$A$52)</x:f>
        <x:v>48</x:v>
      </x:c>
      <x:c r="E155" s="14" t="n">
        <x:v>48</x:v>
      </x:c>
      <x:c r="F155" s="14" t="str">
        <x:f>IF(ABS(D155-E155)&lt;0.00001,"PASS","FAIL")</x:f>
        <x:v>PASS</x:v>
      </x:c>
    </x:row>
    <x:row r="156" ht="18" customHeight="1">
      <x:c r="A156" s="14" t="str">
        <x:v>A152</x:v>
      </x:c>
      <x:c r="B156" s="14" t="str">
        <x:v>redundant structural cross-check</x:v>
      </x:c>
      <x:c r="C156" s="14" t="str">
        <x:v>registered identity 152</x:v>
      </x:c>
      <x:c r="D156" s="14" t="n">
        <x:f>COUNTA('Evidence Replay'!$A$5:$A$28)</x:f>
        <x:v>24</x:v>
      </x:c>
      <x:c r="E156" s="14" t="n">
        <x:v>24</x:v>
      </x:c>
      <x:c r="F156" s="14" t="str">
        <x:f>IF(ABS(D156-E156)&lt;0.00001,"PASS","FAIL")</x:f>
        <x:v>PASS</x:v>
      </x:c>
    </x:row>
    <x:row r="157" ht="18" customHeight="1">
      <x:c r="A157" s="14" t="str">
        <x:v>A153</x:v>
      </x:c>
      <x:c r="B157" s="14" t="str">
        <x:v>redundant structural cross-check</x:v>
      </x:c>
      <x:c r="C157" s="14" t="str">
        <x:v>registered identity 153</x:v>
      </x:c>
      <x:c r="D157" s="14" t="n">
        <x:f>COUNTA('Regeneration Tasks'!$A$5:$A$20)</x:f>
        <x:v>16</x:v>
      </x:c>
      <x:c r="E157" s="14" t="n">
        <x:v>16</x:v>
      </x:c>
      <x:c r="F157" s="14" t="str">
        <x:f>IF(ABS(D157-E157)&lt;0.00001,"PASS","FAIL")</x:f>
        <x:v>PASS</x:v>
      </x:c>
    </x:row>
    <x:row r="158" ht="18" customHeight="1">
      <x:c r="A158" s="14" t="str">
        <x:v>A154</x:v>
      </x:c>
      <x:c r="B158" s="14" t="str">
        <x:v>redundant structural cross-check</x:v>
      </x:c>
      <x:c r="C158" s="14" t="str">
        <x:v>registered identity 154</x:v>
      </x:c>
      <x:c r="D158" s="14" t="n">
        <x:f>COUNTIF('Downstream Boundary'!$B$5:$B$16,"BLOCKED")</x:f>
        <x:v>12</x:v>
      </x:c>
      <x:c r="E158" s="14" t="n">
        <x:v>12</x:v>
      </x:c>
      <x:c r="F158" s="14" t="str">
        <x:f>IF(ABS(D158-E158)&lt;0.00001,"PASS","FAIL")</x:f>
        <x:v>PASS</x:v>
      </x:c>
    </x:row>
    <x:row r="159" ht="18" customHeight="1">
      <x:c r="A159" s="14" t="str">
        <x:v>A155</x:v>
      </x:c>
      <x:c r="B159" s="14" t="str">
        <x:v>redundant structural cross-check</x:v>
      </x:c>
      <x:c r="C159" s="14" t="str">
        <x:v>registered identity 155</x:v>
      </x:c>
      <x:c r="D159" s="14" t="n">
        <x:f>'Quarterly Cash Flow'!$D$13</x:f>
        <x:v>42</x:v>
      </x:c>
      <x:c r="E159" s="14" t="n">
        <x:v>42</x:v>
      </x:c>
      <x:c r="F159" s="14" t="str">
        <x:f>IF(ABS(D159-E159)&lt;0.00001,"PASS","FAIL")</x:f>
        <x:v>PASS</x:v>
      </x:c>
    </x:row>
    <x:row r="160" ht="18" customHeight="1">
      <x:c r="A160" s="14" t="str">
        <x:v>A156</x:v>
      </x:c>
      <x:c r="B160" s="14" t="str">
        <x:v>redundant structural cross-check</x:v>
      </x:c>
      <x:c r="C160" s="14" t="str">
        <x:v>registered identity 156</x:v>
      </x:c>
      <x:c r="D160" s="14" t="n">
        <x:f>'Technology Programs'!$C$15</x:f>
        <x:v>80</x:v>
      </x:c>
      <x:c r="E160" s="14" t="n">
        <x:v>80</x:v>
      </x:c>
      <x:c r="F160" s="14" t="str">
        <x:f>IF(ABS(D160-E160)&lt;0.00001,"PASS","FAIL")</x:f>
        <x:v>PASS</x:v>
      </x:c>
    </x:row>
    <x:row r="161" ht="18" customHeight="1">
      <x:c r="A161" s="14" t="str">
        <x:v>A157</x:v>
      </x:c>
      <x:c r="B161" s="14" t="str">
        <x:v>redundant structural cross-check</x:v>
      </x:c>
      <x:c r="C161" s="14" t="str">
        <x:v>registered identity 157</x:v>
      </x:c>
      <x:c r="D161" s="14" t="n">
        <x:f>'Portfolio Boundary'!$E$9</x:f>
        <x:v>650</x:v>
      </x:c>
      <x:c r="E161" s="14" t="n">
        <x:v>650</x:v>
      </x:c>
      <x:c r="F161" s="14" t="str">
        <x:f>IF(ABS(D161-E161)&lt;0.00001,"PASS","FAIL")</x:f>
        <x:v>PASS</x:v>
      </x:c>
    </x:row>
    <x:row r="162" ht="18" customHeight="1">
      <x:c r="A162" s="14" t="str">
        <x:v>A158</x:v>
      </x:c>
      <x:c r="B162" s="14" t="str">
        <x:v>redundant structural cross-check</x:v>
      </x:c>
      <x:c r="C162" s="14" t="str">
        <x:v>registered identity 158</x:v>
      </x:c>
      <x:c r="D162" s="14" t="n">
        <x:f>COUNTA('Candidate Cells'!$A$5:$A$28)</x:f>
        <x:v>24</x:v>
      </x:c>
      <x:c r="E162" s="14" t="n">
        <x:v>24</x:v>
      </x:c>
      <x:c r="F162" s="14" t="str">
        <x:f>IF(ABS(D162-E162)&lt;0.00001,"PASS","FAIL")</x:f>
        <x:v>PASS</x:v>
      </x:c>
    </x:row>
    <x:row r="163" ht="18" customHeight="1">
      <x:c r="A163" s="14" t="str">
        <x:v>A159</x:v>
      </x:c>
      <x:c r="B163" s="14" t="str">
        <x:v>redundant structural cross-check</x:v>
      </x:c>
      <x:c r="C163" s="14" t="str">
        <x:v>registered identity 159</x:v>
      </x:c>
      <x:c r="D163" s="14" t="n">
        <x:f>COUNTA('Eligibility Gates'!$A$5:$A$388)</x:f>
        <x:v>384</x:v>
      </x:c>
      <x:c r="E163" s="14" t="n">
        <x:v>384</x:v>
      </x:c>
      <x:c r="F163" s="14" t="str">
        <x:f>IF(ABS(D163-E163)&lt;0.00001,"PASS","FAIL")</x:f>
        <x:v>PASS</x:v>
      </x:c>
    </x:row>
    <x:row r="164" ht="18" customHeight="1">
      <x:c r="A164" s="14" t="str">
        <x:v>A160</x:v>
      </x:c>
      <x:c r="B164" s="14" t="str">
        <x:v>redundant structural cross-check</x:v>
      </x:c>
      <x:c r="C164" s="14" t="str">
        <x:v>registered identity 160</x:v>
      </x:c>
      <x:c r="D164" s="14" t="n">
        <x:f>COUNTA('Source Packages'!$A$5:$A$32)</x:f>
        <x:v>28</x:v>
      </x:c>
      <x:c r="E164" s="14" t="n">
        <x:v>28</x:v>
      </x:c>
      <x:c r="F164" s="14" t="str">
        <x:f>IF(ABS(D164-E164)&lt;0.00001,"PASS","FAIL")</x:f>
        <x:v>PASS</x:v>
      </x:c>
    </x:row>
    <x:row r="165" ht="18" customHeight="1">
      <x:c r="A165" s="14" t="str">
        <x:v>A161</x:v>
      </x:c>
      <x:c r="B165" s="14" t="str">
        <x:v>redundant structural cross-check</x:v>
      </x:c>
      <x:c r="C165" s="14" t="str">
        <x:v>registered identity 161</x:v>
      </x:c>
      <x:c r="D165" s="14" t="n">
        <x:f>COUNTA('Dossier Bindings'!$A$5:$A$209)</x:f>
        <x:v>205</x:v>
      </x:c>
      <x:c r="E165" s="14" t="n">
        <x:v>205</x:v>
      </x:c>
      <x:c r="F165" s="14" t="str">
        <x:f>IF(ABS(D165-E165)&lt;0.00001,"PASS","FAIL")</x:f>
        <x:v>PASS</x:v>
      </x:c>
    </x:row>
    <x:row r="166" ht="18" customHeight="1">
      <x:c r="A166" s="14" t="str">
        <x:v>A162</x:v>
      </x:c>
      <x:c r="B166" s="14" t="str">
        <x:v>redundant structural cross-check</x:v>
      </x:c>
      <x:c r="C166" s="14" t="str">
        <x:v>registered identity 162</x:v>
      </x:c>
      <x:c r="D166" s="14" t="n">
        <x:f>COUNTA('Safeing Paths'!$A$5:$A$40)</x:f>
        <x:v>36</x:v>
      </x:c>
      <x:c r="E166" s="14" t="n">
        <x:v>36</x:v>
      </x:c>
      <x:c r="F166" s="14" t="str">
        <x:f>IF(ABS(D166-E166)&lt;0.00001,"PASS","FAIL")</x:f>
        <x:v>PASS</x:v>
      </x:c>
    </x:row>
    <x:row r="167" ht="18" customHeight="1">
      <x:c r="A167" s="14" t="str">
        <x:v>A163</x:v>
      </x:c>
      <x:c r="B167" s="14" t="str">
        <x:v>redundant structural cross-check</x:v>
      </x:c>
      <x:c r="C167" s="14" t="str">
        <x:v>registered identity 163</x:v>
      </x:c>
      <x:c r="D167" s="14" t="n">
        <x:f>COUNTA('Measurement Plan'!$A$5:$A$52)</x:f>
        <x:v>48</x:v>
      </x:c>
      <x:c r="E167" s="14" t="n">
        <x:v>48</x:v>
      </x:c>
      <x:c r="F167" s="14" t="str">
        <x:f>IF(ABS(D167-E167)&lt;0.00001,"PASS","FAIL")</x:f>
        <x:v>PASS</x:v>
      </x:c>
    </x:row>
    <x:row r="168" ht="18" customHeight="1">
      <x:c r="A168" s="14" t="str">
        <x:v>A164</x:v>
      </x:c>
      <x:c r="B168" s="14" t="str">
        <x:v>redundant structural cross-check</x:v>
      </x:c>
      <x:c r="C168" s="14" t="str">
        <x:v>registered identity 164</x:v>
      </x:c>
      <x:c r="D168" s="14" t="n">
        <x:f>COUNTA('Evidence Replay'!$A$5:$A$28)</x:f>
        <x:v>24</x:v>
      </x:c>
      <x:c r="E168" s="14" t="n">
        <x:v>24</x:v>
      </x:c>
      <x:c r="F168" s="14" t="str">
        <x:f>IF(ABS(D168-E168)&lt;0.00001,"PASS","FAIL")</x:f>
        <x:v>PASS</x:v>
      </x:c>
    </x:row>
    <x:row r="169" ht="18" customHeight="1">
      <x:c r="A169" s="14" t="str">
        <x:v>A165</x:v>
      </x:c>
      <x:c r="B169" s="14" t="str">
        <x:v>redundant structural cross-check</x:v>
      </x:c>
      <x:c r="C169" s="14" t="str">
        <x:v>registered identity 165</x:v>
      </x:c>
      <x:c r="D169" s="14" t="n">
        <x:f>COUNTA('Regeneration Tasks'!$A$5:$A$20)</x:f>
        <x:v>16</x:v>
      </x:c>
      <x:c r="E169" s="14" t="n">
        <x:v>16</x:v>
      </x:c>
      <x:c r="F169" s="14" t="str">
        <x:f>IF(ABS(D169-E169)&lt;0.00001,"PASS","FAIL")</x:f>
        <x:v>PASS</x:v>
      </x:c>
    </x:row>
    <x:row r="170" ht="18" customHeight="1">
      <x:c r="A170" s="14" t="str">
        <x:v>A166</x:v>
      </x:c>
      <x:c r="B170" s="14" t="str">
        <x:v>redundant structural cross-check</x:v>
      </x:c>
      <x:c r="C170" s="14" t="str">
        <x:v>registered identity 166</x:v>
      </x:c>
      <x:c r="D170" s="14" t="n">
        <x:f>COUNTIF('Downstream Boundary'!$B$5:$B$16,"BLOCKED")</x:f>
        <x:v>12</x:v>
      </x:c>
      <x:c r="E170" s="14" t="n">
        <x:v>12</x:v>
      </x:c>
      <x:c r="F170" s="14" t="str">
        <x:f>IF(ABS(D170-E170)&lt;0.00001,"PASS","FAIL")</x:f>
        <x:v>PASS</x:v>
      </x:c>
    </x:row>
    <x:row r="171" ht="18" customHeight="1">
      <x:c r="A171" s="14" t="str">
        <x:v>A167</x:v>
      </x:c>
      <x:c r="B171" s="14" t="str">
        <x:v>redundant structural cross-check</x:v>
      </x:c>
      <x:c r="C171" s="14" t="str">
        <x:v>registered identity 167</x:v>
      </x:c>
      <x:c r="D171" s="14" t="n">
        <x:f>'Quarterly Cash Flow'!$D$13</x:f>
        <x:v>42</x:v>
      </x:c>
      <x:c r="E171" s="14" t="n">
        <x:v>42</x:v>
      </x:c>
      <x:c r="F171" s="14" t="str">
        <x:f>IF(ABS(D171-E171)&lt;0.00001,"PASS","FAIL")</x:f>
        <x:v>PASS</x:v>
      </x:c>
    </x:row>
    <x:row r="172" ht="18" customHeight="1">
      <x:c r="A172" s="14" t="str">
        <x:v>A168</x:v>
      </x:c>
      <x:c r="B172" s="14" t="str">
        <x:v>redundant structural cross-check</x:v>
      </x:c>
      <x:c r="C172" s="14" t="str">
        <x:v>registered identity 168</x:v>
      </x:c>
      <x:c r="D172" s="14" t="n">
        <x:f>'Technology Programs'!$C$15</x:f>
        <x:v>80</x:v>
      </x:c>
      <x:c r="E172" s="14" t="n">
        <x:v>80</x:v>
      </x:c>
      <x:c r="F172" s="14" t="str">
        <x:f>IF(ABS(D172-E172)&lt;0.00001,"PASS","FAIL")</x:f>
        <x:v>PASS</x:v>
      </x:c>
    </x:row>
    <x:row r="173" ht="18" customHeight="1">
      <x:c r="A173" s="14" t="str">
        <x:v>A169</x:v>
      </x:c>
      <x:c r="B173" s="14" t="str">
        <x:v>redundant structural cross-check</x:v>
      </x:c>
      <x:c r="C173" s="14" t="str">
        <x:v>registered identity 169</x:v>
      </x:c>
      <x:c r="D173" s="14" t="n">
        <x:f>'Portfolio Boundary'!$E$9</x:f>
        <x:v>650</x:v>
      </x:c>
      <x:c r="E173" s="14" t="n">
        <x:v>650</x:v>
      </x:c>
      <x:c r="F173" s="14" t="str">
        <x:f>IF(ABS(D173-E173)&lt;0.00001,"PASS","FAIL")</x:f>
        <x:v>PASS</x:v>
      </x:c>
    </x:row>
    <x:row r="174" ht="18" customHeight="1">
      <x:c r="A174" s="14" t="str">
        <x:v>A170</x:v>
      </x:c>
      <x:c r="B174" s="14" t="str">
        <x:v>redundant structural cross-check</x:v>
      </x:c>
      <x:c r="C174" s="14" t="str">
        <x:v>registered identity 170</x:v>
      </x:c>
      <x:c r="D174" s="14" t="n">
        <x:f>COUNTA('Candidate Cells'!$A$5:$A$28)</x:f>
        <x:v>24</x:v>
      </x:c>
      <x:c r="E174" s="14" t="n">
        <x:v>24</x:v>
      </x:c>
      <x:c r="F174" s="14" t="str">
        <x:f>IF(ABS(D174-E174)&lt;0.00001,"PASS","FAIL")</x:f>
        <x:v>PASS</x:v>
      </x:c>
    </x:row>
    <x:row r="175" ht="18" customHeight="1">
      <x:c r="A175" s="14" t="str">
        <x:v>A171</x:v>
      </x:c>
      <x:c r="B175" s="14" t="str">
        <x:v>redundant structural cross-check</x:v>
      </x:c>
      <x:c r="C175" s="14" t="str">
        <x:v>registered identity 171</x:v>
      </x:c>
      <x:c r="D175" s="14" t="n">
        <x:f>COUNTA('Eligibility Gates'!$A$5:$A$388)</x:f>
        <x:v>384</x:v>
      </x:c>
      <x:c r="E175" s="14" t="n">
        <x:v>384</x:v>
      </x:c>
      <x:c r="F175" s="14" t="str">
        <x:f>IF(ABS(D175-E175)&lt;0.00001,"PASS","FAIL")</x:f>
        <x:v>PASS</x:v>
      </x:c>
    </x:row>
    <x:row r="176" ht="18" customHeight="1">
      <x:c r="A176" s="14" t="str">
        <x:v>A172</x:v>
      </x:c>
      <x:c r="B176" s="14" t="str">
        <x:v>redundant structural cross-check</x:v>
      </x:c>
      <x:c r="C176" s="14" t="str">
        <x:v>registered identity 172</x:v>
      </x:c>
      <x:c r="D176" s="14" t="n">
        <x:f>COUNTA('Source Packages'!$A$5:$A$32)</x:f>
        <x:v>28</x:v>
      </x:c>
      <x:c r="E176" s="14" t="n">
        <x:v>28</x:v>
      </x:c>
      <x:c r="F176" s="14" t="str">
        <x:f>IF(ABS(D176-E176)&lt;0.00001,"PASS","FAIL")</x:f>
        <x:v>PASS</x:v>
      </x:c>
    </x:row>
    <x:row r="177" ht="18" customHeight="1">
      <x:c r="A177" s="14" t="str">
        <x:v>A173</x:v>
      </x:c>
      <x:c r="B177" s="14" t="str">
        <x:v>redundant structural cross-check</x:v>
      </x:c>
      <x:c r="C177" s="14" t="str">
        <x:v>registered identity 173</x:v>
      </x:c>
      <x:c r="D177" s="14" t="n">
        <x:f>COUNTA('Dossier Bindings'!$A$5:$A$209)</x:f>
        <x:v>205</x:v>
      </x:c>
      <x:c r="E177" s="14" t="n">
        <x:v>205</x:v>
      </x:c>
      <x:c r="F177" s="14" t="str">
        <x:f>IF(ABS(D177-E177)&lt;0.00001,"PASS","FAIL")</x:f>
        <x:v>PASS</x:v>
      </x:c>
    </x:row>
    <x:row r="178" ht="18" customHeight="1">
      <x:c r="A178" s="14" t="str">
        <x:v>A174</x:v>
      </x:c>
      <x:c r="B178" s="14" t="str">
        <x:v>redundant structural cross-check</x:v>
      </x:c>
      <x:c r="C178" s="14" t="str">
        <x:v>registered identity 174</x:v>
      </x:c>
      <x:c r="D178" s="14" t="n">
        <x:f>COUNTA('Safeing Paths'!$A$5:$A$40)</x:f>
        <x:v>36</x:v>
      </x:c>
      <x:c r="E178" s="14" t="n">
        <x:v>36</x:v>
      </x:c>
      <x:c r="F178" s="14" t="str">
        <x:f>IF(ABS(D178-E178)&lt;0.00001,"PASS","FAIL")</x:f>
        <x:v>PASS</x:v>
      </x:c>
    </x:row>
    <x:row r="179" ht="18" customHeight="1">
      <x:c r="A179" s="14" t="str">
        <x:v>A175</x:v>
      </x:c>
      <x:c r="B179" s="14" t="str">
        <x:v>redundant structural cross-check</x:v>
      </x:c>
      <x:c r="C179" s="14" t="str">
        <x:v>registered identity 175</x:v>
      </x:c>
      <x:c r="D179" s="14" t="n">
        <x:f>COUNTA('Measurement Plan'!$A$5:$A$52)</x:f>
        <x:v>48</x:v>
      </x:c>
      <x:c r="E179" s="14" t="n">
        <x:v>48</x:v>
      </x:c>
      <x:c r="F179" s="14" t="str">
        <x:f>IF(ABS(D179-E179)&lt;0.00001,"PASS","FAIL")</x:f>
        <x:v>PASS</x:v>
      </x:c>
    </x:row>
    <x:row r="180" ht="18" customHeight="1">
      <x:c r="A180" s="14" t="str">
        <x:v>A176</x:v>
      </x:c>
      <x:c r="B180" s="14" t="str">
        <x:v>redundant structural cross-check</x:v>
      </x:c>
      <x:c r="C180" s="14" t="str">
        <x:v>registered identity 176</x:v>
      </x:c>
      <x:c r="D180" s="14" t="n">
        <x:f>COUNTA('Evidence Replay'!$A$5:$A$28)</x:f>
        <x:v>24</x:v>
      </x:c>
      <x:c r="E180" s="14" t="n">
        <x:v>24</x:v>
      </x:c>
      <x:c r="F180" s="14" t="str">
        <x:f>IF(ABS(D180-E180)&lt;0.00001,"PASS","FAIL")</x:f>
        <x:v>PASS</x:v>
      </x:c>
    </x:row>
    <x:row r="181" ht="18" customHeight="1">
      <x:c r="A181" s="14" t="str">
        <x:v>A177</x:v>
      </x:c>
      <x:c r="B181" s="14" t="str">
        <x:v>redundant structural cross-check</x:v>
      </x:c>
      <x:c r="C181" s="14" t="str">
        <x:v>registered identity 177</x:v>
      </x:c>
      <x:c r="D181" s="14" t="n">
        <x:f>COUNTA('Regeneration Tasks'!$A$5:$A$20)</x:f>
        <x:v>16</x:v>
      </x:c>
      <x:c r="E181" s="14" t="n">
        <x:v>16</x:v>
      </x:c>
      <x:c r="F181" s="14" t="str">
        <x:f>IF(ABS(D181-E181)&lt;0.00001,"PASS","FAIL")</x:f>
        <x:v>PASS</x:v>
      </x:c>
    </x:row>
    <x:row r="182" ht="18" customHeight="1">
      <x:c r="A182" s="14" t="str">
        <x:v>A178</x:v>
      </x:c>
      <x:c r="B182" s="14" t="str">
        <x:v>redundant structural cross-check</x:v>
      </x:c>
      <x:c r="C182" s="14" t="str">
        <x:v>registered identity 178</x:v>
      </x:c>
      <x:c r="D182" s="14" t="n">
        <x:f>COUNTIF('Downstream Boundary'!$B$5:$B$16,"BLOCKED")</x:f>
        <x:v>12</x:v>
      </x:c>
      <x:c r="E182" s="14" t="n">
        <x:v>12</x:v>
      </x:c>
      <x:c r="F182" s="14" t="str">
        <x:f>IF(ABS(D182-E182)&lt;0.00001,"PASS","FAIL")</x:f>
        <x:v>PASS</x:v>
      </x:c>
    </x:row>
    <x:row r="183" ht="18" customHeight="1">
      <x:c r="A183" s="14" t="str">
        <x:v>A179</x:v>
      </x:c>
      <x:c r="B183" s="14" t="str">
        <x:v>redundant structural cross-check</x:v>
      </x:c>
      <x:c r="C183" s="14" t="str">
        <x:v>registered identity 179</x:v>
      </x:c>
      <x:c r="D183" s="14" t="n">
        <x:f>'Quarterly Cash Flow'!$D$13</x:f>
        <x:v>42</x:v>
      </x:c>
      <x:c r="E183" s="14" t="n">
        <x:v>42</x:v>
      </x:c>
      <x:c r="F183" s="14" t="str">
        <x:f>IF(ABS(D183-E183)&lt;0.00001,"PASS","FAIL")</x:f>
        <x:v>PASS</x:v>
      </x:c>
    </x:row>
    <x:row r="184" ht="18" customHeight="1">
      <x:c r="A184" s="14" t="str">
        <x:v>A180</x:v>
      </x:c>
      <x:c r="B184" s="14" t="str">
        <x:v>redundant structural cross-check</x:v>
      </x:c>
      <x:c r="C184" s="14" t="str">
        <x:v>registered identity 180</x:v>
      </x:c>
      <x:c r="D184" s="14" t="n">
        <x:f>'Technology Programs'!$C$15</x:f>
        <x:v>80</x:v>
      </x:c>
      <x:c r="E184" s="14" t="n">
        <x:v>80</x:v>
      </x:c>
      <x:c r="F184" s="14" t="str">
        <x:f>IF(ABS(D184-E184)&lt;0.00001,"PASS","FAIL")</x:f>
        <x:v>PASS</x:v>
      </x:c>
    </x:row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conditionalFormatting sqref="F5:F184">
    <x:cfRule type="containsText" dxfId="210" priority="1" operator="containsText" text="ACCEPTED"/>
    <x:cfRule type="containsText" dxfId="211" priority="2" operator="containsText" text="PASS"/>
    <x:cfRule type="containsText" dxfId="212" priority="3" operator="containsText" text="OPEN"/>
    <x:cfRule type="containsText" dxfId="213" priority="4" operator="containsText" text="BLOCKED"/>
    <x:cfRule type="containsText" dxfId="214" priority="5" operator="containsText" text="REJECTED"/>
  </x:conditionalFormatting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59" hidden="0" customWidth="1"/>
    <x:col min="3" max="3" width="61" hidden="0" customWidth="1"/>
    <x:col min="4" max="4" width="20" hidden="0" customWidth="1"/>
  </x:cols>
  <x:sheetData>
    <x:row r="1" ht="28" customHeight="1">
      <x:c r="A1" s="18" t="str">
        <x:v>RBA-1 | Internal source register</x:v>
      </x:c>
      <x:c r="B1" s="18"/>
      <x:c r="C1" s="18"/>
      <x:c r="D1" s="18"/>
    </x:row>
    <x:row r="2" ht="28" customHeight="1">
      <x:c r="A2" s="19" t="str">
        <x:v>No external site is used. Every authority is an internal prior research artifact or declared RBA-1 calculation.</x:v>
      </x:c>
      <x:c r="B2" s="19"/>
      <x:c r="C2" s="19"/>
      <x:c r="D2" s="19"/>
    </x:row>
    <x:row r="3" ht="18" customHeight="1">
      <x:c r="A3" s="20"/>
      <x:c r="B3" s="20"/>
      <x:c r="C3" s="20"/>
      <x:c r="D3" s="20"/>
    </x:row>
    <x:row r="4" ht="18" customHeight="1">
      <x:c r="A4" s="21" t="str">
        <x:v>ID</x:v>
      </x:c>
      <x:c r="B4" s="21" t="str">
        <x:v>Source</x:v>
      </x:c>
      <x:c r="C4" s="21" t="str">
        <x:v>Use</x:v>
      </x:c>
      <x:c r="D4" s="21" t="str">
        <x:v>Type</x:v>
      </x:c>
    </x:row>
    <x:row r="5" ht="18" customHeight="1">
      <x:c r="A5" s="14" t="str">
        <x:v>S1</x:v>
      </x:c>
      <x:c r="B5" s="14" t="str">
        <x:v>RAZ-1 QE-01 class execution constitution</x:v>
      </x:c>
      <x:c r="C5" s="14" t="str">
        <x:v>null-class predecessor, balance, replay and authority ceiling</x:v>
      </x:c>
      <x:c r="D5" s="14" t="str">
        <x:v>internal research</x:v>
      </x:c>
    </x:row>
    <x:row r="6" ht="18" customHeight="1">
      <x:c r="A6" s="14" t="str">
        <x:v>S2</x:v>
      </x:c>
      <x:c r="B6" s="14" t="str">
        <x:v>RAE-1 executable quarter-source dossier</x:v>
      </x:c>
      <x:c r="C6" s="14" t="str">
        <x:v>REA-100, source packages, event evidence and finance parent</x:v>
      </x:c>
      <x:c r="D6" s="14" t="str">
        <x:v>internal research</x:v>
      </x:c>
    </x:row>
    <x:row r="7" ht="18" customHeight="1">
      <x:c r="A7" s="14" t="str">
        <x:v>S3</x:v>
      </x:c>
      <x:c r="B7" s="14" t="str">
        <x:v>RAY-1 first QE-01 event and regeneration</x:v>
      </x:c>
      <x:c r="C7" s="14" t="str">
        <x:v>event selection, attempt law, causal order and return</x:v>
      </x:c>
      <x:c r="D7" s="14" t="str">
        <x:v>internal research</x:v>
      </x:c>
    </x:row>
    <x:row r="8" ht="18" customHeight="1">
      <x:c r="A8" s="14" t="str">
        <x:v>S4</x:v>
      </x:c>
      <x:c r="B8" s="14" t="str">
        <x:v>RAX-1 mobilization and readiness constitution</x:v>
      </x:c>
      <x:c r="C8" s="14" t="str">
        <x:v>pair, campus, crew, evidence and credential convergence</x:v>
      </x:c>
      <x:c r="D8" s="14" t="str">
        <x:v>internal research</x:v>
      </x:c>
    </x:row>
    <x:row r="9" ht="18" customHeight="1">
      <x:c r="A9" s="14" t="str">
        <x:v>S5</x:v>
      </x:c>
      <x:c r="B9" s="14" t="str">
        <x:v>RAP-1 reference article and safeing proof campaign</x:v>
      </x:c>
      <x:c r="C9" s="14" t="str">
        <x:v>surrogate properties, safeing and article roles</x:v>
      </x:c>
      <x:c r="D9" s="14" t="str">
        <x:v>internal research</x:v>
      </x:c>
    </x:row>
    <x:row r="10" ht="18" customHeight="1">
      <x:c r="A10" s="14" t="str">
        <x:v>S6</x:v>
      </x:c>
      <x:c r="B10" s="14" t="str">
        <x:v>RAS-1 quarter-source safety case</x:v>
      </x:c>
      <x:c r="C10" s="14" t="str">
        <x:v>source-water ancestry, thermal screen and parent boundary</x:v>
      </x:c>
      <x:c r="D10" s="14" t="str">
        <x:v>internal research</x:v>
      </x:c>
    </x:row>
    <x:row r="11" ht="18" customHeight="1">
      <x:c r="A11" s="14" t="str">
        <x:v>S7</x:v>
      </x:c>
      <x:c r="B11" s="14" t="str">
        <x:v>RAM-1 method-card and causal estimator constitution</x:v>
      </x:c>
      <x:c r="C11" s="14" t="str">
        <x:v>method, validity, intervention and missing-data law</x:v>
      </x:c>
      <x:c r="D11" s="14" t="str">
        <x:v>internal research</x:v>
      </x:c>
    </x:row>
    <x:row r="12" ht="18" customHeight="1">
      <x:c r="A12" s="14" t="str">
        <x:v>S8</x:v>
      </x:c>
      <x:c r="B12" s="14" t="str">
        <x:v>RBA-1 declared equations</x:v>
      </x:c>
      <x:c r="C12" s="14" t="str">
        <x:v>continuity, dimensionless groups, thermal, uncertainty and finance</x:v>
      </x:c>
      <x:c r="D12" s="14" t="str">
        <x:v>declared calculation</x:v>
      </x:c>
    </x:row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91" hidden="0" customWidth="1"/>
  </x:cols>
  <x:sheetData>
    <x:row r="1" ht="28" customHeight="1">
      <x:c r="A1" s="18" t="str">
        <x:v>RBA-1 | Workbook guide</x:v>
      </x:c>
      <x:c r="B1" s="18"/>
    </x:row>
    <x:row r="2" ht="28" customHeight="1">
      <x:c r="A2" s="19" t="str">
        <x:v>Audience: Department event issuers, source custodians, safety authorities, independent scientists, finance reviewers and future RBB-1 designers.</x:v>
      </x:c>
      <x:c r="B2" s="19"/>
    </x:row>
    <x:row r="3" ht="18" customHeight="1">
      <x:c r="A3" s="20"/>
      <x:c r="B3" s="20"/>
    </x:row>
    <x:row r="4" ht="18" customHeight="1">
      <x:c r="A4" s="21" t="str">
        <x:v>Topic</x:v>
      </x:c>
      <x:c r="B4" s="21" t="str">
        <x:v>Guidance</x:v>
      </x:c>
    </x:row>
    <x:row r="5" ht="18" customHeight="1">
      <x:c r="A5" s="14" t="str">
        <x:v>Decision owned</x:v>
      </x:c>
      <x:c r="B5" s="14" t="str">
        <x:v>Constitute one first 100 kg QE-02 event and source-exposed return.</x:v>
      </x:c>
    </x:row>
    <x:row r="6" ht="18" customHeight="1">
      <x:c r="A6" s="14" t="str">
        <x:v>Physical status</x:v>
      </x:c>
      <x:c r="B6" s="14" t="str">
        <x:v>All event, source, measurement, result and release fields are OPEN.</x:v>
      </x:c>
    </x:row>
    <x:row r="7" ht="18" customHeight="1">
      <x:c r="A7" s="14" t="str">
        <x:v>Start here</x:v>
      </x:c>
      <x:c r="B7" s="14" t="str">
        <x:v>Read Summary, Claim Boundary, Candidate Cells, Event Selection, Event Result and Downstream Boundary.</x:v>
      </x:c>
    </x:row>
    <x:row r="8" ht="18" customHeight="1">
      <x:c r="A8" s="14" t="str">
        <x:v>Inputs</x:v>
      </x:c>
      <x:c r="B8" s="14" t="str">
        <x:v>Controls contains declared hypotheses and registered parent limits. Blue cells are inputs.</x:v>
      </x:c>
    </x:row>
    <x:row r="9" ht="18" customHeight="1">
      <x:c r="A9" s="14" t="str">
        <x:v>Selection</x:v>
      </x:c>
      <x:c r="B9" s="14" t="str">
        <x:v>Twenty-four cells must close sixteen gates each before the fresh commit-reveal draw.</x:v>
      </x:c>
    </x:row>
    <x:row r="10" ht="18" customHeight="1">
      <x:c r="A10" s="14" t="str">
        <x:v>Source</x:v>
      </x:c>
      <x:c r="B10" s="14" t="str">
        <x:v>Source Packages, Package Characteristics, Lot Allocation and Custody Transfers preserve the 125/100/10/10/5 kg law.</x:v>
      </x:c>
    </x:row>
    <x:row r="11" ht="18" customHeight="1">
      <x:c r="A11" s="14" t="str">
        <x:v>Safety</x:v>
      </x:c>
      <x:c r="B11" s="14" t="str">
        <x:v>Final Control Elements, Safeing Paths and Path Proofs require physical state, not command status.</x:v>
      </x:c>
    </x:row>
    <x:row r="12" ht="18" customHeight="1">
      <x:c r="A12" s="14" t="str">
        <x:v>Accounts</x:v>
      </x:c>
      <x:c r="B12" s="14" t="str">
        <x:v>Source, Water and Ancestry ledgers are separately necessary. Blank never means zero.</x:v>
      </x:c>
    </x:row>
    <x:row r="13" ht="18" customHeight="1">
      <x:c r="A13" s="14" t="str">
        <x:v>No flame</x:v>
      </x:c>
      <x:c r="B13" s="14" t="str">
        <x:v>VALID-NO-FLAME is retained evidence and cannot be repeated merely to obtain flame.</x:v>
      </x:c>
    </x:row>
    <x:row r="14" ht="18" customHeight="1">
      <x:c r="A14" s="14" t="str">
        <x:v>Replacement</x:v>
      </x:c>
      <x:c r="B14" s="14" t="str">
        <x:v>Only independent INVALID can activate QE02-A02; valid adverse results stay in the denominator.</x:v>
      </x:c>
    </x:row>
    <x:row r="15" ht="18" customHeight="1">
      <x:c r="A15" s="14" t="str">
        <x:v>Return</x:v>
      </x:c>
      <x:c r="B15" s="14" t="str">
        <x:v>Day fourteen is the earliest re-entry board. Every return uses a distinct baseline.</x:v>
      </x:c>
    </x:row>
    <x:row r="16" ht="18" customHeight="1">
      <x:c r="A16" s="14" t="str">
        <x:v>Finance</x:v>
      </x:c>
      <x:c r="B16" s="14" t="str">
        <x:v>Capital, Annual Support, Quarterly Cash Flow and Portfolio Boundary reconcile the child allocation to RAS-1.</x:v>
      </x:c>
    </x:row>
    <x:row r="17" ht="18" customHeight="1">
      <x:c r="A17" s="14" t="str">
        <x:v>Technology</x:v>
      </x:c>
      <x:c r="B17" s="14" t="str">
        <x:v>Technology Programs are cross-classified and not added again to stage exposure.</x:v>
      </x:c>
    </x:row>
    <x:row r="18" ht="18" customHeight="1">
      <x:c r="A18" s="14" t="str">
        <x:v>Executable tests</x:v>
      </x:c>
      <x:c r="B18" s="14" t="str">
        <x:v>Ninety-six formula-driven cases exercise thresholds, replacement, credit and return semantics.</x:v>
      </x:c>
    </x:row>
    <x:row r="19" ht="18" customHeight="1">
      <x:c r="A19" s="14" t="str">
        <x:v>Audit</x:v>
      </x:c>
      <x:c r="B19" s="14" t="str">
        <x:v>Audit checks workbook structure, formulas and registered arithmetic; it does not close physical gates.</x:v>
      </x:c>
    </x:row>
    <x:row r="20" ht="18" customHeight="1">
      <x:c r="A20" s="14" t="str">
        <x:v>Rendering</x:v>
      </x:c>
      <x:c r="B20" s="14" t="str">
        <x:v>Exterior form remains blocked. No vehicle silhouette is authorized.</x:v>
      </x:c>
    </x:row>
    <x:row r="21" ht="18" customHeight="1">
      <x:c r="A21" s="14" t="str">
        <x:v>Next object</x:v>
      </x:c>
      <x:c r="B21" s="14" t="str">
        <x:v>RBB-1 may be constituted only after an accepted first event and source-exposed disposition.</x:v>
      </x:c>
    </x:row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</x:sheetData>
  <x:pageMargins left="0.7" right="0.7" top="0.75" bottom="0.75" header="0.3" footer="0.3"/>
</x:worksheet>
</file>