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60827c8b2548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a39c96260a04f78"/>
    <x:sheet xmlns:r="http://schemas.openxmlformats.org/officeDocument/2006/relationships" name="Control Inputs" sheetId="2" r:id="R97bd8f03e2874ba7"/>
    <x:sheet xmlns:r="http://schemas.openxmlformats.org/officeDocument/2006/relationships" name="Demand" sheetId="3" r:id="R2b6d695d6a2e4631"/>
    <x:sheet xmlns:r="http://schemas.openxmlformats.org/officeDocument/2006/relationships" name="Token Ledger" sheetId="4" r:id="Raed03d57c7884acf"/>
    <x:sheet xmlns:r="http://schemas.openxmlformats.org/officeDocument/2006/relationships" name="Event Mix" sheetId="5" r:id="R003055886a224dab"/>
    <x:sheet xmlns:r="http://schemas.openxmlformats.org/officeDocument/2006/relationships" name="Daily Control" sheetId="6" r:id="Rff46c505e08747d2"/>
    <x:sheet xmlns:r="http://schemas.openxmlformats.org/officeDocument/2006/relationships" name="Station Grid" sheetId="7" r:id="R741512a6fbde461d"/>
    <x:sheet xmlns:r="http://schemas.openxmlformats.org/officeDocument/2006/relationships" name="Support Loads" sheetId="8" r:id="R18a2429a1a904af9"/>
    <x:sheet xmlns:r="http://schemas.openxmlformats.org/officeDocument/2006/relationships" name="Loss Sequence" sheetId="9" r:id="Rf2f65fe00a294d6e"/>
    <x:sheet xmlns:r="http://schemas.openxmlformats.org/officeDocument/2006/relationships" name="Conservation" sheetId="10" r:id="Raf6b2cbc290a4806"/>
    <x:sheet xmlns:r="http://schemas.openxmlformats.org/officeDocument/2006/relationships" name="Roster" sheetId="11" r:id="R866da33de4914c67"/>
    <x:sheet xmlns:r="http://schemas.openxmlformats.org/officeDocument/2006/relationships" name="Authority Matrix" sheetId="12" r:id="Rc23347395bd348dc"/>
    <x:sheet xmlns:r="http://schemas.openxmlformats.org/officeDocument/2006/relationships" name="Milestones" sheetId="13" r:id="R3507e985c6a94049"/>
    <x:sheet xmlns:r="http://schemas.openxmlformats.org/officeDocument/2006/relationships" name="Operating Draw" sheetId="14" r:id="Rf9c46fbe6ba3467b"/>
    <x:sheet xmlns:r="http://schemas.openxmlformats.org/officeDocument/2006/relationships" name="Release Gates" sheetId="15" r:id="R0e5f777366504236"/>
    <x:sheet xmlns:r="http://schemas.openxmlformats.org/officeDocument/2006/relationships" name="Audit" sheetId="16" r:id="Ra3d04f5a07cb4185"/>
    <x:sheet xmlns:r="http://schemas.openxmlformats.org/officeDocument/2006/relationships" name="ReadMe" sheetId="17" r:id="R06477fb0815d48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00"/>
    <x:numFmt numFmtId="201" formatCode="0.0%"/>
    <x:numFmt numFmtId="202" formatCode="0.000"/>
    <x:numFmt numFmtId="203" formatCode="0.000000"/>
    <x:numFmt numFmtId="204" formatCode="#,##0.000000"/>
  </x:numFmts>
  <x:fonts count="9">
    <x:font>
      <x:sz val="11"/>
      <x:name val="Carlito"/>
    </x:font>
    <x:font>
      <x:b/>
      <x:sz val="15"/>
      <x:color rgb="FF17324D"/>
      <x:name val="Arial"/>
    </x:font>
    <x:font>
      <x:i/>
      <x:sz val="10"/>
      <x:color rgb="FF52636F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17324D"/>
      <x:name val="Arial"/>
    </x:font>
    <x:font>
      <x:b/>
      <x:sz val="10"/>
      <x:color rgb="FF1F2933"/>
      <x:name val="Arial"/>
    </x:font>
    <x:font>
      <x:sz val="10"/>
      <x:color rgb="FF1F2933"/>
      <x:name val="Arial"/>
    </x:font>
    <x:font>
      <x:i/>
      <x:sz val="10"/>
      <x:color rgb="FF1F29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4"/>
      </x:patternFill>
    </x:fill>
  </x:fills>
  <x:borders count="14">
    <x:border/>
    <x:border>
      <x:bottom style="thin">
        <x:color rgb="FF17324D"/>
      </x:bottom>
    </x:border>
    <x:border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bottom style="thin">
        <x:color rgb="FF17324D"/>
      </x:bottom>
    </x:border>
    <x:border>
      <x:right style="thin">
        <x:color rgb="FFFFFFFF"/>
      </x:right>
      <x:bottom style="thin">
        <x:color rgb="FFD8E0E5"/>
      </x:bottom>
    </x:border>
    <x:border>
      <x:left style="thin">
        <x:color rgb="FFFFFFFF"/>
      </x:left>
      <x:right style="thin">
        <x:color rgb="FFFFFFFF"/>
      </x:right>
      <x:bottom style="thin">
        <x:color rgb="FFD8E0E5"/>
      </x:bottom>
    </x:border>
    <x:border>
      <x:top style="thin">
        <x:color rgb="FFD8E0E5"/>
      </x:top>
      <x:bottom style="thin">
        <x:color rgb="FFD8E0E5"/>
      </x:bottom>
    </x:border>
    <x:border>
      <x:right style="thin">
        <x:color rgb="FFFFFFFF"/>
      </x:right>
      <x:top style="thin">
        <x:color rgb="FFD8E0E5"/>
      </x:top>
      <x:bottom style="thin">
        <x:color rgb="FFD8E0E5"/>
      </x:bottom>
    </x:border>
    <x:border>
      <x:top style="thin">
        <x:color rgb="FFD8E0E5"/>
      </x:top>
      <x:bottom style="thin">
        <x:color rgb="FF17324D"/>
      </x:bottom>
    </x:border>
    <x:border>
      <x:right style="thin">
        <x:color rgb="FFFFFFFF"/>
      </x:right>
      <x:top style="thin">
        <x:color rgb="FFD8E0E5"/>
      </x:top>
      <x:bottom style="thin">
        <x:color rgb="FF17324D"/>
      </x:bottom>
    </x:border>
    <x:border>
      <x:left style="thin">
        <x:color rgb="FFAEBBC5"/>
      </x:left>
      <x:top style="thin">
        <x:color rgb="FFAEBBC5"/>
      </x:top>
      <x:bottom style="thin">
        <x:color rgb="FFAEBBC5"/>
      </x:bottom>
    </x:border>
    <x:border>
      <x:top style="thin">
        <x:color rgb="FFAEBBC5"/>
      </x:top>
      <x:bottom style="thin">
        <x:color rgb="FFAEBBC5"/>
      </x:bottom>
    </x:border>
    <x:border>
      <x:right style="thin">
        <x:color rgb="FFAEBBC5"/>
      </x:right>
      <x:top style="thin">
        <x:color rgb="FFAEBBC5"/>
      </x:top>
      <x:bottom style="thin">
        <x:color rgb="FFAEBBC5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200" fontId="4" fillId="0" borderId="7" xfId="0" applyNumberFormat="1" applyFont="1" applyFill="1" applyBorder="1" applyAlignment="1">
      <x:alignment wrapText="1"/>
    </x:xf>
    <x:xf numFmtId="200" fontId="4" fillId="0" borderId="9" xfId="0" applyNumberFormat="1" applyFont="1" applyFill="1" applyBorder="1" applyAlignment="1">
      <x:alignment wrapText="1"/>
    </x:xf>
    <x:xf numFmtId="201" fontId="4" fillId="0" borderId="7" xfId="0" applyNumberFormat="1" applyFont="1" applyFill="1" applyBorder="1" applyAlignment="1">
      <x:alignment wrapText="1"/>
    </x:xf>
    <x:xf numFmtId="201" fontId="4" fillId="0" borderId="9" xfId="0" applyNumberFormat="1" applyFont="1" applyFill="1" applyBorder="1" applyAlignment="1">
      <x:alignment wrapText="1"/>
    </x:xf>
    <x:xf numFmtId="201" fontId="0" fillId="0" borderId="7" xfId="0" applyNumberFormat="1" applyFont="1" applyFill="1" applyBorder="1"/>
    <x:xf numFmtId="201" fontId="0" fillId="0" borderId="9" xfId="0" applyNumberFormat="1" applyFont="1" applyFill="1" applyBorder="1"/>
    <x:xf numFmtId="202" fontId="0" fillId="0" borderId="7" xfId="0" applyNumberFormat="1" applyFont="1" applyFill="1" applyBorder="1"/>
    <x:xf numFmtId="202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11" xfId="0" applyNumberFormat="1" applyFont="1" applyFill="1" applyBorder="1"/>
    <x:xf numFmtId="0" fontId="5" fillId="3" borderId="12" xfId="0" applyNumberFormat="1" applyFont="1" applyFill="1" applyBorder="1"/>
    <x:xf numFmtId="0" fontId="5" fillId="3" borderId="13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3" fontId="0" fillId="0" borderId="7" xfId="0" applyNumberFormat="1" applyFont="1" applyFill="1" applyBorder="1"/>
    <x:xf numFmtId="203" fontId="0" fillId="0" borderId="9" xfId="0" applyNumberFormat="1" applyFont="1" applyFill="1" applyBorder="1"/>
    <x:xf numFmtId="203" fontId="0" fillId="0" borderId="0" xfId="0" applyNumberFormat="1" applyFont="1" applyFill="1" applyBorder="1"/>
    <x:xf numFmtId="204" fontId="0" fillId="0" borderId="7" xfId="0" applyNumberFormat="1" applyFont="1" applyFill="1" applyBorder="1"/>
    <x:xf numFmtId="204" fontId="0" fillId="0" borderId="9" xfId="0" applyNumberFormat="1" applyFont="1" applyFill="1" applyBorder="1"/>
    <x:xf numFmtId="204" fontId="0" fillId="0" borderId="7" xfId="0" applyNumberFormat="1" applyFont="1" applyFill="1" applyBorder="1" applyAlignment="1">
      <x:alignment wrapText="1"/>
    </x:xf>
    <x:xf numFmtId="204" fontId="0" fillId="0" borderId="9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7" fillId="0" borderId="1" xfId="0" applyNumberFormat="1" applyFont="1" applyFill="1" applyBorder="1"/>
    <x:xf numFmtId="0" fontId="6" fillId="3" borderId="11" xfId="0" applyNumberFormat="1" applyFont="1" applyFill="1" applyBorder="1"/>
    <x:xf numFmtId="0" fontId="6" fillId="3" borderId="12" xfId="0" applyNumberFormat="1" applyFont="1" applyFill="1" applyBorder="1"/>
    <x:xf numFmtId="0" fontId="6" fillId="3" borderId="13" xfId="0" applyNumberFormat="1" applyFont="1" applyFill="1" applyBorder="1"/>
    <x:xf numFmtId="201" fontId="7" fillId="0" borderId="0" xfId="0" applyNumberFormat="1" applyFont="1" applyFill="1" applyBorder="1"/>
    <x:xf numFmtId="203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6" fillId="2" borderId="5" xfId="0" applyNumberFormat="1" applyFont="1" applyFill="1" applyBorder="1" applyAlignment="1">
      <x:alignment horizontal="center" vertical="center" wrapText="1"/>
    </x:xf>
    <x:xf numFmtId="0" fontId="6" fillId="2" borderId="6" xfId="0" applyNumberFormat="1" applyFont="1" applyFill="1" applyBorder="1" applyAlignment="1">
      <x:alignment horizontal="center" vertical="center" wrapText="1"/>
    </x:xf>
    <x:xf numFmtId="0" fontId="7" fillId="0" borderId="7" xfId="0" applyNumberFormat="1" applyFont="1" applyFill="1" applyBorder="1"/>
    <x:xf numFmtId="0" fontId="7" fillId="0" borderId="7" xfId="0" applyNumberFormat="1" applyFont="1" applyFill="1" applyBorder="1" applyAlignment="1">
      <x:alignment wrapText="1"/>
    </x:xf>
    <x:xf numFmtId="200" fontId="7" fillId="0" borderId="7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wrapText="1"/>
    </x:xf>
    <x:xf numFmtId="201" fontId="7" fillId="0" borderId="7" xfId="0" applyNumberFormat="1" applyFont="1" applyFill="1" applyBorder="1" applyAlignment="1">
      <x:alignment wrapText="1"/>
    </x:xf>
    <x:xf numFmtId="0" fontId="7" fillId="0" borderId="9" xfId="0" applyNumberFormat="1" applyFont="1" applyFill="1" applyBorder="1"/>
    <x:xf numFmtId="0" fontId="7" fillId="0" borderId="9" xfId="0" applyNumberFormat="1" applyFont="1" applyFill="1" applyBorder="1" applyAlignment="1">
      <x:alignment wrapText="1"/>
    </x:xf>
    <x:xf numFmtId="201" fontId="7" fillId="0" borderId="9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wrapText="1"/>
    </x:xf>
    <x:xf numFmtId="201" fontId="7" fillId="0" borderId="7" xfId="0" applyNumberFormat="1" applyFont="1" applyFill="1" applyBorder="1"/>
    <x:xf numFmtId="202" fontId="7" fillId="0" borderId="7" xfId="0" applyNumberFormat="1" applyFont="1" applyFill="1" applyBorder="1"/>
    <x:xf numFmtId="0" fontId="7" fillId="0" borderId="8" xfId="0" applyNumberFormat="1" applyFont="1" applyFill="1" applyBorder="1"/>
    <x:xf numFmtId="201" fontId="7" fillId="0" borderId="9" xfId="0" applyNumberFormat="1" applyFont="1" applyFill="1" applyBorder="1"/>
    <x:xf numFmtId="202" fontId="7" fillId="0" borderId="9" xfId="0" applyNumberFormat="1" applyFont="1" applyFill="1" applyBorder="1"/>
    <x:xf numFmtId="0" fontId="7" fillId="0" borderId="10" xfId="0" applyNumberFormat="1" applyFont="1" applyFill="1" applyBorder="1"/>
    <x:xf numFmtId="203" fontId="7" fillId="0" borderId="7" xfId="0" applyNumberFormat="1" applyFont="1" applyFill="1" applyBorder="1"/>
    <x:xf numFmtId="203" fontId="7" fillId="0" borderId="9" xfId="0" applyNumberFormat="1" applyFont="1" applyFill="1" applyBorder="1"/>
    <x:xf numFmtId="204" fontId="7" fillId="0" borderId="7" xfId="0" applyNumberFormat="1" applyFont="1" applyFill="1" applyBorder="1" applyAlignment="1">
      <x:alignment wrapText="1"/>
    </x:xf>
    <x:xf numFmtId="204" fontId="7" fillId="0" borderId="9" xfId="0" applyNumberFormat="1" applyFont="1" applyFill="1" applyBorder="1" applyAlignment="1">
      <x:alignment wrapText="1"/>
    </x:xf>
  </x:cellXfs>
  <x:cellStyles count="1">
    <x:cellStyle name="Normal" xfId="0"/>
  </x:cellStyles>
  <x:dxfs count="432"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d1e0632e0f4638" /><Relationship Type="http://schemas.openxmlformats.org/officeDocument/2006/relationships/theme" Target="/xl/theme/theme1.xml" Id="R74aa69ce2ef34798" /><Relationship Type="http://schemas.openxmlformats.org/officeDocument/2006/relationships/sharedStrings" Target="/xl/sharedStrings.xml" Id="R6a5b7b49e0a346e6" /><Relationship Type="http://schemas.openxmlformats.org/officeDocument/2006/relationships/worksheet" Target="/xl/worksheets/sheet1.xml" Id="R3a39c96260a04f78" /><Relationship Type="http://schemas.openxmlformats.org/officeDocument/2006/relationships/worksheet" Target="/xl/worksheets/sheet2.xml" Id="R97bd8f03e2874ba7" /><Relationship Type="http://schemas.openxmlformats.org/officeDocument/2006/relationships/worksheet" Target="/xl/worksheets/sheet3.xml" Id="R2b6d695d6a2e4631" /><Relationship Type="http://schemas.openxmlformats.org/officeDocument/2006/relationships/worksheet" Target="/xl/worksheets/sheet4.xml" Id="Raed03d57c7884acf" /><Relationship Type="http://schemas.openxmlformats.org/officeDocument/2006/relationships/worksheet" Target="/xl/worksheets/sheet5.xml" Id="R003055886a224dab" /><Relationship Type="http://schemas.openxmlformats.org/officeDocument/2006/relationships/worksheet" Target="/xl/worksheets/sheet6.xml" Id="Rff46c505e08747d2" /><Relationship Type="http://schemas.openxmlformats.org/officeDocument/2006/relationships/worksheet" Target="/xl/worksheets/sheet7.xml" Id="R741512a6fbde461d" /><Relationship Type="http://schemas.openxmlformats.org/officeDocument/2006/relationships/worksheet" Target="/xl/worksheets/sheet8.xml" Id="R18a2429a1a904af9" /><Relationship Type="http://schemas.openxmlformats.org/officeDocument/2006/relationships/worksheet" Target="/xl/worksheets/sheet9.xml" Id="Rf2f65fe00a294d6e" /><Relationship Type="http://schemas.openxmlformats.org/officeDocument/2006/relationships/worksheet" Target="/xl/worksheets/sheet10.xml" Id="Raf6b2cbc290a4806" /><Relationship Type="http://schemas.openxmlformats.org/officeDocument/2006/relationships/worksheet" Target="/xl/worksheets/sheet11.xml" Id="R866da33de4914c67" /><Relationship Type="http://schemas.openxmlformats.org/officeDocument/2006/relationships/worksheet" Target="/xl/worksheets/sheet12.xml" Id="Rc23347395bd348dc" /><Relationship Type="http://schemas.openxmlformats.org/officeDocument/2006/relationships/worksheet" Target="/xl/worksheets/sheet13.xml" Id="R3507e985c6a94049" /><Relationship Type="http://schemas.openxmlformats.org/officeDocument/2006/relationships/worksheet" Target="/xl/worksheets/sheet14.xml" Id="Rf9c46fbe6ba3467b" /><Relationship Type="http://schemas.openxmlformats.org/officeDocument/2006/relationships/worksheet" Target="/xl/worksheets/sheet15.xml" Id="R0e5f777366504236" /><Relationship Type="http://schemas.openxmlformats.org/officeDocument/2006/relationships/worksheet" Target="/xl/worksheets/sheet16.xml" Id="Ra3d04f5a07cb4185" /><Relationship Type="http://schemas.openxmlformats.org/officeDocument/2006/relationships/worksheet" Target="/xl/worksheets/sheet17.xml" Id="R06477fb0815d48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2" max="2" width="27" hidden="0" customWidth="1"/>
    <x:col min="3" max="3" width="26" hidden="0" customWidth="1"/>
    <x:col min="4" max="4" width="16" hidden="0" customWidth="1"/>
    <x:col min="5" max="5" width="16" hidden="0" customWidth="1"/>
    <x:col min="6" max="6" width="29" hidden="0" customWidth="1"/>
    <x:col min="7" max="7" width="24" hidden="0" customWidth="1"/>
    <x:col min="8" max="8" width="21" hidden="0" customWidth="1"/>
    <x:col min="9" max="9" width="18" hidden="0" customWidth="1"/>
    <x:col min="10" max="10" width="18" hidden="0" customWidth="1"/>
  </x:cols>
  <x:sheetData>
    <x:row r="2">
      <x:c r="B2" s="1" t="str">
        <x:v>F36 first campaign wave and complete-campus-loss rehearsal</x:v>
      </x:c>
      <x:c r="C2" s="54"/>
      <x:c r="D2" s="54"/>
      <x:c r="E2" s="54"/>
      <x:c r="F2" s="54"/>
      <x:c r="G2" s="54"/>
      <x:c r="H2" s="54"/>
      <x:c r="I2" s="54"/>
      <x:c r="J2" s="54"/>
    </x:row>
    <x:row r="3">
      <x:c r="B3" s="2" t="str">
        <x:v>The ninety-day plan preserves root balance, evidence identity and P90 capacity after NRC-B is denied on day 38.</x:v>
      </x:c>
      <x:c r="C3" s="54"/>
      <x:c r="D3" s="54"/>
      <x:c r="E3" s="54"/>
      <x:c r="F3" s="54"/>
      <x:c r="G3" s="54"/>
      <x:c r="H3" s="54"/>
      <x:c r="I3" s="54"/>
      <x:c r="J3" s="54"/>
    </x:row>
    <x:row r="4">
      <x:c r="B4" s="56"/>
      <x:c r="C4" s="56"/>
      <x:c r="D4" s="56"/>
      <x:c r="E4" s="56"/>
      <x:c r="F4" s="56"/>
      <x:c r="G4" s="56"/>
      <x:c r="H4" s="56"/>
      <x:c r="I4" s="56"/>
      <x:c r="J4" s="56"/>
    </x:row>
    <x:row r="5">
      <x:c r="B5" s="54"/>
      <x:c r="C5" s="54"/>
      <x:c r="D5" s="54"/>
      <x:c r="E5" s="54"/>
      <x:c r="F5" s="54"/>
      <x:c r="G5" s="54"/>
      <x:c r="H5" s="54"/>
      <x:c r="I5" s="54"/>
      <x:c r="J5" s="54"/>
    </x:row>
    <x:row r="6">
      <x:c r="B6" s="57" t="str">
        <x:v>Wave result</x:v>
      </x:c>
      <x:c r="C6" s="58" t="str">
        <x:v>Wave result</x:v>
      </x:c>
      <x:c r="D6" s="58" t="str">
        <x:v>Wave result</x:v>
      </x:c>
      <x:c r="E6" s="58" t="str">
        <x:v>Wave result</x:v>
      </x:c>
      <x:c r="F6" s="57" t="str">
        <x:v>Present authority state</x:v>
      </x:c>
      <x:c r="G6" s="58" t="str">
        <x:v>Present authority state</x:v>
      </x:c>
      <x:c r="H6" s="58" t="str">
        <x:v>Present authority state</x:v>
      </x:c>
      <x:c r="I6" s="58" t="str">
        <x:v>Present authority state</x:v>
      </x:c>
      <x:c r="J6" s="59" t="str">
        <x:v>Present authority state</x:v>
      </x:c>
    </x:row>
    <x:row r="7">
      <x:c r="B7" s="54" t="str">
        <x:v>Closure credit objective</x:v>
      </x:c>
      <x:c r="C7" s="54" t="str">
        <x:v>root-balanced</x:v>
      </x:c>
      <x:c r="D7" s="54" t="n">
        <x:f>'Control Inputs'!D10</x:f>
        <x:v>18</x:v>
      </x:c>
      <x:c r="E7" s="54" t="str">
        <x:v>credits</x:v>
      </x:c>
      <x:c r="F7" s="54" t="str">
        <x:v>Planning package</x:v>
      </x:c>
      <x:c r="G7" s="54" t="str">
        <x:v>18 content gates</x:v>
      </x:c>
      <x:c r="H7" s="54" t="str">
        <x:f>'Release Gates'!D38</x:f>
        <x:v>AUTHORIZED</x:v>
      </x:c>
      <x:c r="I7" s="54"/>
      <x:c r="J7" s="54"/>
    </x:row>
    <x:row r="8">
      <x:c r="B8" s="54" t="str">
        <x:v>Damage credit objective</x:v>
      </x:c>
      <x:c r="C8" s="54" t="str">
        <x:v>root-balanced</x:v>
      </x:c>
      <x:c r="D8" s="54" t="n">
        <x:f>'Control Inputs'!D21</x:f>
        <x:v>6</x:v>
      </x:c>
      <x:c r="E8" s="54" t="str">
        <x:v>credits</x:v>
      </x:c>
      <x:c r="F8" s="54" t="str">
        <x:v>Rehearsal approval</x:v>
      </x:c>
      <x:c r="G8" s="54" t="str">
        <x:v>constituted decision</x:v>
      </x:c>
      <x:c r="H8" s="54" t="str">
        <x:f>'Release Gates'!D39</x:f>
        <x:v>HOLD</x:v>
      </x:c>
      <x:c r="I8" s="54"/>
      <x:c r="J8" s="54"/>
    </x:row>
    <x:row r="9">
      <x:c r="B9" s="54" t="str">
        <x:v>Closure P90 reservation</x:v>
      </x:c>
      <x:c r="C9" s="54" t="str">
        <x:v>including invalidity reserve</x:v>
      </x:c>
      <x:c r="D9" s="54" t="n">
        <x:f>Demand!J7</x:f>
        <x:v>24</x:v>
      </x:c>
      <x:c r="E9" s="54" t="str">
        <x:v>slots</x:v>
      </x:c>
      <x:c r="F9" s="54" t="str">
        <x:v>Named rosters</x:v>
      </x:c>
      <x:c r="G9" s="54" t="str">
        <x:v>qualified people</x:v>
      </x:c>
      <x:c r="H9" s="54" t="str">
        <x:f>'Release Gates'!D40</x:f>
        <x:v>HOLD</x:v>
      </x:c>
      <x:c r="I9" s="54"/>
      <x:c r="J9" s="54"/>
    </x:row>
    <x:row r="10">
      <x:c r="B10" s="54" t="str">
        <x:v>Damage P90 reservation</x:v>
      </x:c>
      <x:c r="C10" s="54" t="str">
        <x:v>including invalidity reserve</x:v>
      </x:c>
      <x:c r="D10" s="54" t="n">
        <x:f>Demand!J8</x:f>
        <x:v>10</x:v>
      </x:c>
      <x:c r="E10" s="54" t="str">
        <x:v>slots</x:v>
      </x:c>
      <x:c r="F10" s="54" t="str">
        <x:v>Physical articles and lanes</x:v>
      </x:c>
      <x:c r="G10" s="54" t="str">
        <x:v>registered and READY</x:v>
      </x:c>
      <x:c r="H10" s="54" t="str">
        <x:f>'Release Gates'!D41</x:f>
        <x:v>HOLD</x:v>
      </x:c>
      <x:c r="I10" s="54"/>
      <x:c r="J10" s="54"/>
    </x:row>
    <x:row r="11">
      <x:c r="B11" s="54" t="str">
        <x:v>Loss injection</x:v>
      </x:c>
      <x:c r="C11" s="54" t="str">
        <x:v>complete campus denial</x:v>
      </x:c>
      <x:c r="D11" s="54" t="n">
        <x:f>'Control Inputs'!D8</x:f>
        <x:v>38</x:v>
      </x:c>
      <x:c r="E11" s="54" t="str">
        <x:v>day</x:v>
      </x:c>
      <x:c r="F11" s="54" t="str">
        <x:v>Seed and wave admission</x:v>
      </x:c>
      <x:c r="G11" s="54" t="str">
        <x:v>live commitments</x:v>
      </x:c>
      <x:c r="H11" s="54" t="str">
        <x:f>'Release Gates'!D42</x:f>
        <x:v>HOLD</x:v>
      </x:c>
      <x:c r="I11" s="54"/>
      <x:c r="J11" s="54"/>
    </x:row>
    <x:row r="12">
      <x:c r="B12" s="54" t="str">
        <x:v>Active interrupted tokens</x:v>
      </x:c>
      <x:c r="C12" s="54" t="str">
        <x:v>new identities required</x:v>
      </x:c>
      <x:c r="D12" s="54" t="n">
        <x:f>'Control Inputs'!D81</x:f>
        <x:v>4</x:v>
      </x:c>
      <x:c r="E12" s="54" t="str">
        <x:v>tokens</x:v>
      </x:c>
      <x:c r="F12" s="54" t="str">
        <x:v>Loss and conservation</x:v>
      </x:c>
      <x:c r="G12" s="54" t="str">
        <x:v>observed evidence</x:v>
      </x:c>
      <x:c r="H12" s="54" t="str">
        <x:f>'Release Gates'!D43</x:f>
        <x:v>HOLD</x:v>
      </x:c>
      <x:c r="I12" s="54"/>
      <x:c r="J12" s="54"/>
    </x:row>
    <x:row r="13">
      <x:c r="B13" s="54" t="str">
        <x:v>Outside-only packet</x:v>
      </x:c>
      <x:c r="C13" s="54" t="str">
        <x:v>completed, still adjudicating</x:v>
      </x:c>
      <x:c r="D13" s="54" t="n">
        <x:f>'Control Inputs'!D82</x:f>
        <x:v>1</x:v>
      </x:c>
      <x:c r="E13" s="54" t="str">
        <x:v>packet</x:v>
      </x:c>
      <x:c r="F13" s="54" t="str">
        <x:v>Residual execution</x:v>
      </x:c>
      <x:c r="G13" s="54" t="str">
        <x:v>through contingency horizon</x:v>
      </x:c>
      <x:c r="H13" s="54" t="str">
        <x:f>'Release Gates'!D44</x:f>
        <x:v>HOLD</x:v>
      </x:c>
      <x:c r="I13" s="54"/>
      <x:c r="J13" s="54"/>
    </x:row>
    <x:row r="14">
      <x:c r="B14" s="54" t="str">
        <x:v>Closure residual utilization</x:v>
      </x:c>
      <x:c r="C14" s="54" t="str">
        <x:v>maximum reserved wave</x:v>
      </x:c>
      <x:c r="D14" s="60" t="n">
        <x:f>'Support Loads'!H7</x:f>
        <x:v>0.6505828137706695</x:v>
      </x:c>
      <x:c r="E14" s="54" t="str">
        <x:v>utilization</x:v>
      </x:c>
      <x:c r="F14" s="54" t="str">
        <x:v>Terminal wave credits</x:v>
      </x:c>
      <x:c r="G14" s="54" t="str">
        <x:v>18 closure and 6 damage</x:v>
      </x:c>
      <x:c r="H14" s="54" t="str">
        <x:f>'Release Gates'!D45</x:f>
        <x:v>HOLD</x:v>
      </x:c>
      <x:c r="I14" s="54"/>
      <x:c r="J14" s="54"/>
    </x:row>
    <x:row r="15">
      <x:c r="B15" s="54" t="str">
        <x:v>Damage residual utilization</x:v>
      </x:c>
      <x:c r="C15" s="54" t="str">
        <x:v>maximum reserved wave</x:v>
      </x:c>
      <x:c r="D15" s="60" t="n">
        <x:f>'Support Loads'!H8</x:f>
        <x:v>0.6153846153846154</x:v>
      </x:c>
      <x:c r="E15" s="54" t="str">
        <x:v>utilization</x:v>
      </x:c>
      <x:c r="F15" s="54" t="str">
        <x:v>Production/form and rendering</x:v>
      </x:c>
      <x:c r="G15" s="54" t="str">
        <x:v>parent F36 chain</x:v>
      </x:c>
      <x:c r="H15" s="54" t="str">
        <x:f>'Release Gates'!D46</x:f>
        <x:v>BLOCKED</x:v>
      </x:c>
      <x:c r="I15" s="54"/>
      <x:c r="J15" s="54"/>
    </x:row>
    <x:row r="16">
      <x:c r="B16" s="54" t="str">
        <x:v>Residual public personnel</x:v>
      </x:c>
      <x:c r="C16" s="54" t="str">
        <x:v>no NRC-B personnel</x:v>
      </x:c>
      <x:c r="D16" s="54" t="n">
        <x:f>Roster!D41</x:f>
        <x:v>820</x:v>
      </x:c>
      <x:c r="E16" s="54" t="str">
        <x:v>people</x:v>
      </x:c>
      <x:c r="F16" s="54"/>
      <x:c r="G16" s="54"/>
      <x:c r="H16" s="54"/>
      <x:c r="I16" s="54"/>
      <x:c r="J16" s="54"/>
    </x:row>
    <x:row r="17">
      <x:c r="B17" s="54" t="str">
        <x:v>Ninety-day operating draw</x:v>
      </x:c>
      <x:c r="C17" s="54" t="str">
        <x:v>inside Pass 104</x:v>
      </x:c>
      <x:c r="D17" s="61" t="n">
        <x:f>'Operating Draw'!D20</x:f>
        <x:v>0.09813698630136987</x:v>
      </x:c>
      <x:c r="E17" s="54" t="str">
        <x:v>USD B</x:v>
      </x:c>
      <x:c r="F17" s="54"/>
      <x:c r="G17" s="54"/>
      <x:c r="H17" s="54"/>
      <x:c r="I17" s="54"/>
      <x:c r="J17" s="54"/>
    </x:row>
    <x:row r="18">
      <x:c r="B18" s="54" t="str">
        <x:v>Terminal integrated decision</x:v>
      </x:c>
      <x:c r="C18" s="54" t="str">
        <x:v>wave horizon</x:v>
      </x:c>
      <x:c r="D18" s="54" t="n">
        <x:f>'Control Inputs'!D7</x:f>
        <x:v>90</x:v>
      </x:c>
      <x:c r="E18" s="54" t="str">
        <x:v>day</x:v>
      </x:c>
      <x:c r="F18" s="54"/>
      <x:c r="G18" s="54"/>
      <x:c r="H18" s="54"/>
      <x:c r="I18" s="54"/>
      <x:c r="J18" s="54"/>
    </x:row>
    <x:row r="19">
      <x:c r="B19" s="54"/>
      <x:c r="C19" s="54"/>
      <x:c r="D19" s="54"/>
      <x:c r="E19" s="54"/>
      <x:c r="F19" s="54"/>
      <x:c r="G19" s="54"/>
      <x:c r="H19" s="54"/>
      <x:c r="I19" s="54"/>
      <x:c r="J19" s="54"/>
    </x:row>
    <x:row r="20">
      <x:c r="B20" s="54"/>
      <x:c r="C20" s="54"/>
      <x:c r="D20" s="54"/>
      <x:c r="E20" s="54"/>
      <x:c r="F20" s="54"/>
      <x:c r="G20" s="54"/>
      <x:c r="H20" s="54"/>
      <x:c r="I20" s="54"/>
      <x:c r="J20" s="54"/>
    </x:row>
    <x:row r="21">
      <x:c r="B21" s="54"/>
      <x:c r="C21" s="54"/>
      <x:c r="D21" s="54"/>
      <x:c r="E21" s="54"/>
      <x:c r="F21" s="54"/>
      <x:c r="G21" s="54"/>
      <x:c r="H21" s="54"/>
      <x:c r="I21" s="54"/>
      <x:c r="J21" s="54"/>
    </x:row>
    <x:row r="22">
      <x:c r="B22" s="57" t="str">
        <x:v>Decisive operating judgments</x:v>
      </x:c>
      <x:c r="C22" s="58" t="str">
        <x:v>Decisive operating judgments</x:v>
      </x:c>
      <x:c r="D22" s="58" t="str">
        <x:v>Decisive operating judgments</x:v>
      </x:c>
      <x:c r="E22" s="58" t="str">
        <x:v>Decisive operating judgments</x:v>
      </x:c>
      <x:c r="F22" s="58" t="str">
        <x:v>Decisive operating judgments</x:v>
      </x:c>
      <x:c r="G22" s="58" t="str">
        <x:v>Decisive operating judgments</x:v>
      </x:c>
      <x:c r="H22" s="58" t="str">
        <x:v>Decisive operating judgments</x:v>
      </x:c>
      <x:c r="I22" s="58" t="str">
        <x:v>Decisive operating judgments</x:v>
      </x:c>
      <x:c r="J22" s="59" t="str">
        <x:v>Decisive operating judgments</x:v>
      </x:c>
    </x:row>
    <x:row r="23" ht="42" customHeight="1">
      <x:c r="B23" s="53" t="str">
        <x:v>Token</x:v>
      </x:c>
      <x:c r="C23" s="62" t="str">
        <x:v>An interrupted event is permanent evidence; a replacement receives a new identity.</x:v>
      </x:c>
      <x:c r="D23" s="62"/>
      <x:c r="E23" s="62"/>
      <x:c r="F23" s="62"/>
      <x:c r="G23" s="62"/>
      <x:c r="H23" s="62"/>
      <x:c r="I23" s="62"/>
      <x:c r="J23" s="62"/>
    </x:row>
    <x:row r="24" ht="42" customHeight="1">
      <x:c r="B24" s="53" t="str">
        <x:v>Campus loss</x:v>
      </x:c>
      <x:c r="C24" s="62" t="str">
        <x:v>NRC-B people, stations, services, stores, originals and access disappear for the wave.</x:v>
      </x:c>
      <x:c r="D24" s="62"/>
      <x:c r="E24" s="62"/>
      <x:c r="F24" s="62"/>
      <x:c r="G24" s="62"/>
      <x:c r="H24" s="62"/>
      <x:c r="I24" s="62"/>
      <x:c r="J24" s="62"/>
    </x:row>
    <x:row r="25" ht="42" customHeight="1">
      <x:c r="B25" s="53" t="str">
        <x:v>Remote packet</x:v>
      </x:c>
      <x:c r="C25" s="62" t="str">
        <x:v>CW-C010 may close only from the outside original and transferred forensic package.</x:v>
      </x:c>
      <x:c r="D25" s="62"/>
      <x:c r="E25" s="62"/>
      <x:c r="F25" s="62"/>
      <x:c r="G25" s="62"/>
      <x:c r="H25" s="62"/>
      <x:c r="I25" s="62"/>
      <x:c r="J25" s="62"/>
    </x:row>
    <x:row r="26" ht="42" customHeight="1">
      <x:c r="B26" s="53" t="str">
        <x:v>Work in process</x:v>
      </x:c>
      <x:c r="C26" s="62" t="str">
        <x:v>Four closure and three damage events are the hard national ceilings.</x:v>
      </x:c>
      <x:c r="D26" s="62"/>
      <x:c r="E26" s="62"/>
      <x:c r="F26" s="62"/>
      <x:c r="G26" s="62"/>
      <x:c r="H26" s="62"/>
      <x:c r="I26" s="62"/>
      <x:c r="J26" s="62"/>
    </x:row>
    <x:row r="27" ht="42" customHeight="1">
      <x:c r="B27" s="53" t="str">
        <x:v>Conservation</x:v>
      </x:c>
      <x:c r="C27" s="62" t="str">
        <x:v>Inaccessible safe-hold custody remains an obligation and never becomes zero.</x:v>
      </x:c>
      <x:c r="D27" s="62"/>
      <x:c r="E27" s="62"/>
      <x:c r="F27" s="62"/>
      <x:c r="G27" s="62"/>
      <x:c r="H27" s="62"/>
      <x:c r="I27" s="62"/>
      <x:c r="J27" s="62"/>
    </x:row>
    <x:row r="28" ht="42" customHeight="1">
      <x:c r="B28" s="53" t="str">
        <x:v>Roster</x:v>
      </x:c>
      <x:c r="C28" s="62" t="str">
        <x:v>Only 820 surviving public personnel count; affiliates do not inherit public powers.</x:v>
      </x:c>
      <x:c r="D28" s="62"/>
      <x:c r="E28" s="62"/>
      <x:c r="F28" s="62"/>
      <x:c r="G28" s="62"/>
      <x:c r="H28" s="62"/>
      <x:c r="I28" s="62"/>
      <x:c r="J28" s="62"/>
    </x:row>
    <x:row r="29" ht="42" customHeight="1">
      <x:c r="B29" s="53" t="str">
        <x:v>Finance</x:v>
      </x:c>
      <x:c r="C29" s="62" t="str">
        <x:v>USD 0.098137B is the exact 90/365 operating share; no new capital is created.</x:v>
      </x:c>
      <x:c r="D29" s="62"/>
      <x:c r="E29" s="62"/>
      <x:c r="F29" s="62"/>
      <x:c r="G29" s="62"/>
      <x:c r="H29" s="62"/>
      <x:c r="I29" s="62"/>
      <x:c r="J29" s="62"/>
    </x:row>
    <x:row r="30" ht="42" customHeight="1">
      <x:c r="B30" s="53" t="str">
        <x:v>Form</x:v>
      </x:c>
      <x:c r="C30" s="62" t="str">
        <x:v>Planning authorizes no live seed, event, root, production form or rendering.</x:v>
      </x:c>
      <x:c r="D30" s="62"/>
      <x:c r="E30" s="62"/>
      <x:c r="F30" s="62"/>
      <x:c r="G30" s="62"/>
      <x:c r="H30" s="62"/>
      <x:c r="I30" s="62"/>
      <x:c r="J30" s="62"/>
    </x:row>
  </x:sheetData>
  <x:mergeCells>
    <x:mergeCell ref="B3:J3"/>
    <x:mergeCell ref="B6:J6"/>
    <x:mergeCell ref="F6:J6"/>
    <x:mergeCell ref="B22:J22"/>
    <x:mergeCell ref="C23:J23"/>
    <x:mergeCell ref="C24:J24"/>
    <x:mergeCell ref="C25:J25"/>
    <x:mergeCell ref="C26:J26"/>
    <x:mergeCell ref="C27:J27"/>
    <x:mergeCell ref="C28:J28"/>
    <x:mergeCell ref="C29:J29"/>
    <x:mergeCell ref="C30:J30"/>
  </x:mergeCells>
  <x:conditionalFormatting sqref="H7:H15">
    <x:cfRule type="containsText" dxfId="228" priority="1" operator="containsText" text="FAIL"/>
    <x:cfRule type="containsText" dxfId="229" priority="2" operator="containsText" text="BLOCKED"/>
    <x:cfRule type="containsText" dxfId="230" priority="3" operator="containsText" text="HOLD"/>
    <x:cfRule type="containsText" dxfId="231" priority="4" operator="containsText" text="OPEN"/>
    <x:cfRule type="containsText" dxfId="232" priority="5" operator="containsText" text="RANGE-INVALID"/>
    <x:cfRule type="containsText" dxfId="233" priority="6" operator="containsText" text="INDETERMINATE"/>
    <x:cfRule type="containsText" dxfId="234" priority="7" operator="containsText" text="PASS"/>
    <x:cfRule type="containsText" dxfId="235" priority="8" operator="containsText" text="AUTHORIZED"/>
    <x:cfRule type="containsText" dxfId="236" priority="9" operator="containsText" text="RELEASED"/>
    <x:cfRule type="containsText" dxfId="237" priority="10" operator="containsText" text="ADMITTED"/>
    <x:cfRule type="containsText" dxfId="238" priority="11" operator="containsText" text="MODELED CREDIT"/>
    <x:cfRule type="containsText" dxfId="239" priority="12" operator="containsText" text="PLANNING COMPLET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D5F8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53" hidden="0" customWidth="1"/>
    <x:col min="4" max="4" width="20" hidden="0" customWidth="1"/>
    <x:col min="5" max="5" width="22" hidden="0" customWidth="1"/>
    <x:col min="6" max="6" width="17" hidden="0" customWidth="1"/>
    <x:col min="7" max="7" width="31" hidden="0" customWidth="1"/>
  </x:cols>
  <x:sheetData>
    <x:row r="2">
      <x:c r="B2" s="1" t="str">
        <x:v>First-wave control inputs</x:v>
      </x:c>
      <x:c r="C2" s="54"/>
      <x:c r="D2" s="54"/>
      <x:c r="E2" s="54"/>
      <x:c r="F2" s="54"/>
      <x:c r="G2" s="54"/>
    </x:row>
    <x:row r="3">
      <x:c r="B3" s="2" t="str">
        <x:v>Blue-font values are inherited requirements or prospective assumptions. Physical evidence remains zero.</x:v>
      </x:c>
      <x:c r="C3" s="54"/>
      <x:c r="D3" s="54"/>
      <x:c r="E3" s="54"/>
      <x:c r="F3" s="54"/>
      <x:c r="G3" s="54"/>
    </x:row>
    <x:row r="4">
      <x:c r="B4" s="56"/>
      <x:c r="C4" s="56"/>
      <x:c r="D4" s="56"/>
      <x:c r="E4" s="56"/>
      <x:c r="F4" s="56"/>
      <x:c r="G4" s="56"/>
    </x:row>
    <x:row r="5">
      <x:c r="B5" s="54"/>
      <x:c r="C5" s="54"/>
      <x:c r="D5" s="54"/>
      <x:c r="E5" s="54"/>
      <x:c r="F5" s="54"/>
      <x:c r="G5" s="54"/>
    </x:row>
    <x:row r="6">
      <x:c r="B6" s="15" t="str">
        <x:v>ID</x:v>
      </x:c>
      <x:c r="C6" s="16" t="str">
        <x:v>Control</x:v>
      </x:c>
      <x:c r="D6" s="16" t="str">
        <x:v>Value</x:v>
      </x:c>
      <x:c r="E6" s="16" t="str">
        <x:v>Unit</x:v>
      </x:c>
      <x:c r="F6" s="16" t="str">
        <x:v>State</x:v>
      </x:c>
      <x:c r="G6" s="16" t="str">
        <x:v>Authority</x:v>
      </x:c>
    </x:row>
    <x:row r="7" ht="25" customHeight="1">
      <x:c r="B7" s="65" t="str">
        <x:v>I01</x:v>
      </x:c>
      <x:c r="C7" s="66" t="str">
        <x:v>Wave horizon</x:v>
      </x:c>
      <x:c r="D7" s="30" t="n">
        <x:v>90</x:v>
      </x:c>
      <x:c r="E7" s="66" t="str">
        <x:v>days</x:v>
      </x:c>
      <x:c r="F7" s="66" t="str">
        <x:v>FROZEN</x:v>
      </x:c>
      <x:c r="G7" s="68" t="str">
        <x:v>Pass 105</x:v>
      </x:c>
    </x:row>
    <x:row r="8" ht="25" customHeight="1">
      <x:c r="B8" s="65" t="str">
        <x:v>I02</x:v>
      </x:c>
      <x:c r="C8" s="66" t="str">
        <x:v>Campus-loss day</x:v>
      </x:c>
      <x:c r="D8" s="30" t="n">
        <x:v>38</x:v>
      </x:c>
      <x:c r="E8" s="66" t="str">
        <x:v>day</x:v>
      </x:c>
      <x:c r="F8" s="66" t="str">
        <x:v>FROZEN</x:v>
      </x:c>
      <x:c r="G8" s="68" t="str">
        <x:v>Pass 105</x:v>
      </x:c>
    </x:row>
    <x:row r="9" ht="25" customHeight="1">
      <x:c r="B9" s="65" t="str">
        <x:v>I03</x:v>
      </x:c>
      <x:c r="C9" s="66" t="str">
        <x:v>Lost campus</x:v>
      </x:c>
      <x:c r="D9" s="30" t="str">
        <x:v>NRC-B</x:v>
      </x:c>
      <x:c r="E9" s="66" t="str">
        <x:v>campus</x:v>
      </x:c>
      <x:c r="F9" s="66" t="str">
        <x:v>FROZEN</x:v>
      </x:c>
      <x:c r="G9" s="68" t="str">
        <x:v>Pass 105</x:v>
      </x:c>
    </x:row>
    <x:row r="10" ht="25" customHeight="1">
      <x:c r="B10" s="65" t="str">
        <x:v>I04</x:v>
      </x:c>
      <x:c r="C10" s="66" t="str">
        <x:v>Closure credit objective</x:v>
      </x:c>
      <x:c r="D10" s="30" t="n">
        <x:v>18</x:v>
      </x:c>
      <x:c r="E10" s="66" t="str">
        <x:v>credits</x:v>
      </x:c>
      <x:c r="F10" s="66" t="str">
        <x:v>DESIGN</x:v>
      </x:c>
      <x:c r="G10" s="68" t="str">
        <x:v>Pass 105</x:v>
      </x:c>
    </x:row>
    <x:row r="11" ht="25" customHeight="1">
      <x:c r="B11" s="65" t="str">
        <x:v>I05</x:v>
      </x:c>
      <x:c r="C11" s="66" t="str">
        <x:v>Closure invalid-rate assumption</x:v>
      </x:c>
      <x:c r="D11" s="32" t="n">
        <x:v>0.15</x:v>
      </x:c>
      <x:c r="E11" s="66" t="str">
        <x:v>share</x:v>
      </x:c>
      <x:c r="F11" s="66" t="str">
        <x:v>DESIGN</x:v>
      </x:c>
      <x:c r="G11" s="68" t="str">
        <x:v>Pass 104 lineage</x:v>
      </x:c>
    </x:row>
    <x:row r="12" ht="25" customHeight="1">
      <x:c r="B12" s="65" t="str">
        <x:v>I06</x:v>
      </x:c>
      <x:c r="C12" s="66" t="str">
        <x:v>P90 normal-approximation z</x:v>
      </x:c>
      <x:c r="D12" s="30" t="n">
        <x:v>1.2816</x:v>
      </x:c>
      <x:c r="E12" s="66" t="str">
        <x:v>z</x:v>
      </x:c>
      <x:c r="F12" s="66" t="str">
        <x:v>DESIGN</x:v>
      </x:c>
      <x:c r="G12" s="68" t="str">
        <x:v>Pass 104 lineage</x:v>
      </x:c>
    </x:row>
    <x:row r="13" ht="25" customHeight="1">
      <x:c r="B13" s="65" t="str">
        <x:v>I07</x:v>
      </x:c>
      <x:c r="C13" s="66" t="str">
        <x:v>Closure complete station cycle</x:v>
      </x:c>
      <x:c r="D13" s="30" t="n">
        <x:v>8</x:v>
      </x:c>
      <x:c r="E13" s="66" t="str">
        <x:v>days</x:v>
      </x:c>
      <x:c r="F13" s="66" t="str">
        <x:v>DESIGN</x:v>
      </x:c>
      <x:c r="G13" s="68" t="str">
        <x:v>Pass 104 lineage</x:v>
      </x:c>
    </x:row>
    <x:row r="14" ht="25" customHeight="1">
      <x:c r="B14" s="65" t="str">
        <x:v>I08</x:v>
      </x:c>
      <x:c r="C14" s="66" t="str">
        <x:v>Closure packet latency</x:v>
      </x:c>
      <x:c r="D14" s="30" t="n">
        <x:v>6</x:v>
      </x:c>
      <x:c r="E14" s="66" t="str">
        <x:v>days</x:v>
      </x:c>
      <x:c r="F14" s="66" t="str">
        <x:v>DESIGN</x:v>
      </x:c>
      <x:c r="G14" s="68" t="str">
        <x:v>Pass 105</x:v>
      </x:c>
    </x:row>
    <x:row r="15" ht="25" customHeight="1">
      <x:c r="B15" s="65" t="str">
        <x:v>I09</x:v>
      </x:c>
      <x:c r="C15" s="66" t="str">
        <x:v>Closure productive availability</x:v>
      </x:c>
      <x:c r="D15" s="32" t="n">
        <x:v>0.68</x:v>
      </x:c>
      <x:c r="E15" s="66" t="str">
        <x:v>share</x:v>
      </x:c>
      <x:c r="F15" s="66" t="str">
        <x:v>DESIGN</x:v>
      </x:c>
      <x:c r="G15" s="68" t="str">
        <x:v>Pass 104 lineage</x:v>
      </x:c>
    </x:row>
    <x:row r="16" ht="25" customHeight="1">
      <x:c r="B16" s="65" t="str">
        <x:v>I10</x:v>
      </x:c>
      <x:c r="C16" s="66" t="str">
        <x:v>Closure bays before loss</x:v>
      </x:c>
      <x:c r="D16" s="30" t="n">
        <x:v>6</x:v>
      </x:c>
      <x:c r="E16" s="66" t="str">
        <x:v>bays</x:v>
      </x:c>
      <x:c r="F16" s="66" t="str">
        <x:v>FROZEN</x:v>
      </x:c>
      <x:c r="G16" s="68" t="str">
        <x:v>Pass 104</x:v>
      </x:c>
    </x:row>
    <x:row r="17" ht="25" customHeight="1">
      <x:c r="B17" s="65" t="str">
        <x:v>I11</x:v>
      </x:c>
      <x:c r="C17" s="66" t="str">
        <x:v>Closure bays lost</x:v>
      </x:c>
      <x:c r="D17" s="30" t="n">
        <x:v>2</x:v>
      </x:c>
      <x:c r="E17" s="66" t="str">
        <x:v>bays</x:v>
      </x:c>
      <x:c r="F17" s="66" t="str">
        <x:v>FROZEN</x:v>
      </x:c>
      <x:c r="G17" s="68" t="str">
        <x:v>complete campus</x:v>
      </x:c>
    </x:row>
    <x:row r="18" ht="25" customHeight="1">
      <x:c r="B18" s="65" t="str">
        <x:v>I12</x:v>
      </x:c>
      <x:c r="C18" s="66" t="str">
        <x:v>Closure WIP ceiling</x:v>
      </x:c>
      <x:c r="D18" s="30" t="n">
        <x:v>4</x:v>
      </x:c>
      <x:c r="E18" s="66" t="str">
        <x:v>events</x:v>
      </x:c>
      <x:c r="F18" s="66" t="str">
        <x:v>DESIGN</x:v>
      </x:c>
      <x:c r="G18" s="68" t="str">
        <x:v>Pass 105</x:v>
      </x:c>
    </x:row>
    <x:row r="19" ht="25" customHeight="1">
      <x:c r="B19" s="65" t="str">
        <x:v>I13</x:v>
      </x:c>
      <x:c r="C19" s="66" t="str">
        <x:v>Closure packet queue ceiling before loss</x:v>
      </x:c>
      <x:c r="D19" s="30" t="n">
        <x:v>6</x:v>
      </x:c>
      <x:c r="E19" s="66" t="str">
        <x:v>packets</x:v>
      </x:c>
      <x:c r="F19" s="66" t="str">
        <x:v>DESIGN</x:v>
      </x:c>
      <x:c r="G19" s="68" t="str">
        <x:v>Pass 105</x:v>
      </x:c>
    </x:row>
    <x:row r="20" ht="25" customHeight="1">
      <x:c r="B20" s="65" t="str">
        <x:v>I14</x:v>
      </x:c>
      <x:c r="C20" s="66" t="str">
        <x:v>Closure packet queue ceiling after loss</x:v>
      </x:c>
      <x:c r="D20" s="30" t="n">
        <x:v>4</x:v>
      </x:c>
      <x:c r="E20" s="66" t="str">
        <x:v>packets</x:v>
      </x:c>
      <x:c r="F20" s="66" t="str">
        <x:v>DESIGN</x:v>
      </x:c>
      <x:c r="G20" s="68" t="str">
        <x:v>Pass 105</x:v>
      </x:c>
    </x:row>
    <x:row r="21" ht="25" customHeight="1">
      <x:c r="B21" s="65" t="str">
        <x:v>I15</x:v>
      </x:c>
      <x:c r="C21" s="66" t="str">
        <x:v>Damage credit objective</x:v>
      </x:c>
      <x:c r="D21" s="30" t="n">
        <x:v>6</x:v>
      </x:c>
      <x:c r="E21" s="66" t="str">
        <x:v>credits</x:v>
      </x:c>
      <x:c r="F21" s="66" t="str">
        <x:v>DESIGN</x:v>
      </x:c>
      <x:c r="G21" s="68" t="str">
        <x:v>Pass 105</x:v>
      </x:c>
    </x:row>
    <x:row r="22" ht="25" customHeight="1">
      <x:c r="B22" s="65" t="str">
        <x:v>I16</x:v>
      </x:c>
      <x:c r="C22" s="66" t="str">
        <x:v>Damage invalid-rate assumption</x:v>
      </x:c>
      <x:c r="D22" s="32" t="n">
        <x:v>0.2</x:v>
      </x:c>
      <x:c r="E22" s="66" t="str">
        <x:v>share</x:v>
      </x:c>
      <x:c r="F22" s="66" t="str">
        <x:v>DESIGN</x:v>
      </x:c>
      <x:c r="G22" s="68" t="str">
        <x:v>Pass 104 lineage</x:v>
      </x:c>
    </x:row>
    <x:row r="23" ht="25" customHeight="1">
      <x:c r="B23" s="65" t="str">
        <x:v>I17</x:v>
      </x:c>
      <x:c r="C23" s="66" t="str">
        <x:v>Damage complete station cycle</x:v>
      </x:c>
      <x:c r="D23" s="30" t="n">
        <x:v>14</x:v>
      </x:c>
      <x:c r="E23" s="66" t="str">
        <x:v>days</x:v>
      </x:c>
      <x:c r="F23" s="66" t="str">
        <x:v>DESIGN</x:v>
      </x:c>
      <x:c r="G23" s="68" t="str">
        <x:v>Pass 104 lineage</x:v>
      </x:c>
    </x:row>
    <x:row r="24" ht="25" customHeight="1">
      <x:c r="B24" s="65" t="str">
        <x:v>I18</x:v>
      </x:c>
      <x:c r="C24" s="66" t="str">
        <x:v>Damage packet latency</x:v>
      </x:c>
      <x:c r="D24" s="30" t="n">
        <x:v>8</x:v>
      </x:c>
      <x:c r="E24" s="66" t="str">
        <x:v>days</x:v>
      </x:c>
      <x:c r="F24" s="66" t="str">
        <x:v>DESIGN</x:v>
      </x:c>
      <x:c r="G24" s="68" t="str">
        <x:v>Pass 105</x:v>
      </x:c>
    </x:row>
    <x:row r="25" ht="25" customHeight="1">
      <x:c r="B25" s="65" t="str">
        <x:v>I19</x:v>
      </x:c>
      <x:c r="C25" s="66" t="str">
        <x:v>Damage productive availability</x:v>
      </x:c>
      <x:c r="D25" s="32" t="n">
        <x:v>0.65</x:v>
      </x:c>
      <x:c r="E25" s="66" t="str">
        <x:v>share</x:v>
      </x:c>
      <x:c r="F25" s="66" t="str">
        <x:v>DESIGN</x:v>
      </x:c>
      <x:c r="G25" s="68" t="str">
        <x:v>Pass 104 lineage</x:v>
      </x:c>
    </x:row>
    <x:row r="26" ht="25" customHeight="1">
      <x:c r="B26" s="65" t="str">
        <x:v>I20</x:v>
      </x:c>
      <x:c r="C26" s="66" t="str">
        <x:v>Damage cells before loss</x:v>
      </x:c>
      <x:c r="D26" s="30" t="n">
        <x:v>6</x:v>
      </x:c>
      <x:c r="E26" s="66" t="str">
        <x:v>cells</x:v>
      </x:c>
      <x:c r="F26" s="66" t="str">
        <x:v>FROZEN</x:v>
      </x:c>
      <x:c r="G26" s="68" t="str">
        <x:v>Pass 104</x:v>
      </x:c>
    </x:row>
    <x:row r="27" ht="25" customHeight="1">
      <x:c r="B27" s="65" t="str">
        <x:v>I21</x:v>
      </x:c>
      <x:c r="C27" s="66" t="str">
        <x:v>Damage cells lost</x:v>
      </x:c>
      <x:c r="D27" s="30" t="n">
        <x:v>2</x:v>
      </x:c>
      <x:c r="E27" s="66" t="str">
        <x:v>cells</x:v>
      </x:c>
      <x:c r="F27" s="66" t="str">
        <x:v>FROZEN</x:v>
      </x:c>
      <x:c r="G27" s="68" t="str">
        <x:v>complete campus</x:v>
      </x:c>
    </x:row>
    <x:row r="28" ht="25" customHeight="1">
      <x:c r="B28" s="65" t="str">
        <x:v>I22</x:v>
      </x:c>
      <x:c r="C28" s="66" t="str">
        <x:v>Damage WIP ceiling</x:v>
      </x:c>
      <x:c r="D28" s="30" t="n">
        <x:v>3</x:v>
      </x:c>
      <x:c r="E28" s="66" t="str">
        <x:v>events</x:v>
      </x:c>
      <x:c r="F28" s="66" t="str">
        <x:v>DESIGN</x:v>
      </x:c>
      <x:c r="G28" s="68" t="str">
        <x:v>Pass 105</x:v>
      </x:c>
    </x:row>
    <x:row r="29" ht="25" customHeight="1">
      <x:c r="B29" s="65" t="str">
        <x:v>I23</x:v>
      </x:c>
      <x:c r="C29" s="66" t="str">
        <x:v>Damage packet queue ceiling before loss</x:v>
      </x:c>
      <x:c r="D29" s="30" t="n">
        <x:v>3</x:v>
      </x:c>
      <x:c r="E29" s="66" t="str">
        <x:v>packets</x:v>
      </x:c>
      <x:c r="F29" s="66" t="str">
        <x:v>DESIGN</x:v>
      </x:c>
      <x:c r="G29" s="68" t="str">
        <x:v>Pass 105</x:v>
      </x:c>
    </x:row>
    <x:row r="30" ht="25" customHeight="1">
      <x:c r="B30" s="65" t="str">
        <x:v>I24</x:v>
      </x:c>
      <x:c r="C30" s="66" t="str">
        <x:v>Damage packet queue ceiling after loss</x:v>
      </x:c>
      <x:c r="D30" s="30" t="n">
        <x:v>3</x:v>
      </x:c>
      <x:c r="E30" s="66" t="str">
        <x:v>packets</x:v>
      </x:c>
      <x:c r="F30" s="66" t="str">
        <x:v>DESIGN</x:v>
      </x:c>
      <x:c r="G30" s="68" t="str">
        <x:v>Pass 105</x:v>
      </x:c>
    </x:row>
    <x:row r="31" ht="25" customHeight="1">
      <x:c r="B31" s="65" t="str">
        <x:v>I25</x:v>
      </x:c>
      <x:c r="C31" s="66" t="str">
        <x:v>First damage start</x:v>
      </x:c>
      <x:c r="D31" s="30" t="n">
        <x:v>15</x:v>
      </x:c>
      <x:c r="E31" s="66" t="str">
        <x:v>day</x:v>
      </x:c>
      <x:c r="F31" s="66" t="str">
        <x:v>FROZEN</x:v>
      </x:c>
      <x:c r="G31" s="68" t="str">
        <x:v>nominal closure prerequisite</x:v>
      </x:c>
    </x:row>
    <x:row r="32" ht="25" customHeight="1">
      <x:c r="B32" s="65" t="str">
        <x:v>I26</x:v>
      </x:c>
      <x:c r="C32" s="66" t="str">
        <x:v>Forensic days per closure attempt</x:v>
      </x:c>
      <x:c r="D32" s="30" t="n">
        <x:v>2</x:v>
      </x:c>
      <x:c r="E32" s="66" t="str">
        <x:v>line-days</x:v>
      </x:c>
      <x:c r="F32" s="66" t="str">
        <x:v>DESIGN</x:v>
      </x:c>
      <x:c r="G32" s="68" t="str">
        <x:v>Pass 104 lineage</x:v>
      </x:c>
    </x:row>
    <x:row r="33" ht="25" customHeight="1">
      <x:c r="B33" s="65" t="str">
        <x:v>I27</x:v>
      </x:c>
      <x:c r="C33" s="66" t="str">
        <x:v>Forensic days per damage attempt</x:v>
      </x:c>
      <x:c r="D33" s="30" t="n">
        <x:v>5</x:v>
      </x:c>
      <x:c r="E33" s="66" t="str">
        <x:v>line-days</x:v>
      </x:c>
      <x:c r="F33" s="66" t="str">
        <x:v>DESIGN</x:v>
      </x:c>
      <x:c r="G33" s="68" t="str">
        <x:v>Pass 104 lineage</x:v>
      </x:c>
    </x:row>
    <x:row r="34" ht="25" customHeight="1">
      <x:c r="B34" s="65" t="str">
        <x:v>I28</x:v>
      </x:c>
      <x:c r="C34" s="66" t="str">
        <x:v>Forensic productive availability</x:v>
      </x:c>
      <x:c r="D34" s="32" t="n">
        <x:v>0.7</x:v>
      </x:c>
      <x:c r="E34" s="66" t="str">
        <x:v>share</x:v>
      </x:c>
      <x:c r="F34" s="66" t="str">
        <x:v>DESIGN</x:v>
      </x:c>
      <x:c r="G34" s="68" t="str">
        <x:v>Pass 104 lineage</x:v>
      </x:c>
    </x:row>
    <x:row r="35" ht="25" customHeight="1">
      <x:c r="B35" s="65" t="str">
        <x:v>I29</x:v>
      </x:c>
      <x:c r="C35" s="66" t="str">
        <x:v>Forensic lines before loss</x:v>
      </x:c>
      <x:c r="D35" s="30" t="n">
        <x:v>3</x:v>
      </x:c>
      <x:c r="E35" s="66" t="str">
        <x:v>lines</x:v>
      </x:c>
      <x:c r="F35" s="66" t="str">
        <x:v>FROZEN</x:v>
      </x:c>
      <x:c r="G35" s="68" t="str">
        <x:v>Pass 104</x:v>
      </x:c>
    </x:row>
    <x:row r="36" ht="25" customHeight="1">
      <x:c r="B36" s="65" t="str">
        <x:v>I30</x:v>
      </x:c>
      <x:c r="C36" s="66" t="str">
        <x:v>Forensic lines lost</x:v>
      </x:c>
      <x:c r="D36" s="30" t="n">
        <x:v>1</x:v>
      </x:c>
      <x:c r="E36" s="66" t="str">
        <x:v>line</x:v>
      </x:c>
      <x:c r="F36" s="66" t="str">
        <x:v>FROZEN</x:v>
      </x:c>
      <x:c r="G36" s="68" t="str">
        <x:v>complete campus</x:v>
      </x:c>
    </x:row>
    <x:row r="37" ht="25" customHeight="1">
      <x:c r="B37" s="65" t="str">
        <x:v>I31</x:v>
      </x:c>
      <x:c r="C37" s="66" t="str">
        <x:v>Assay panels per closure attempt</x:v>
      </x:c>
      <x:c r="D37" s="30" t="n">
        <x:v>24</x:v>
      </x:c>
      <x:c r="E37" s="66" t="str">
        <x:v>panels</x:v>
      </x:c>
      <x:c r="F37" s="66" t="str">
        <x:v>DESIGN</x:v>
      </x:c>
      <x:c r="G37" s="68" t="str">
        <x:v>Pass 104 lineage</x:v>
      </x:c>
    </x:row>
    <x:row r="38" ht="25" customHeight="1">
      <x:c r="B38" s="65" t="str">
        <x:v>I32</x:v>
      </x:c>
      <x:c r="C38" s="66" t="str">
        <x:v>Assay panels per damage attempt</x:v>
      </x:c>
      <x:c r="D38" s="30" t="n">
        <x:v>120</x:v>
      </x:c>
      <x:c r="E38" s="66" t="str">
        <x:v>panels</x:v>
      </x:c>
      <x:c r="F38" s="66" t="str">
        <x:v>DESIGN</x:v>
      </x:c>
      <x:c r="G38" s="68" t="str">
        <x:v>Pass 104 lineage</x:v>
      </x:c>
    </x:row>
    <x:row r="39" ht="25" customHeight="1">
      <x:c r="B39" s="65" t="str">
        <x:v>I33</x:v>
      </x:c>
      <x:c r="C39" s="66" t="str">
        <x:v>Assay panels per lab-day</x:v>
      </x:c>
      <x:c r="D39" s="30" t="n">
        <x:v>14</x:v>
      </x:c>
      <x:c r="E39" s="66" t="str">
        <x:v>panels/day</x:v>
      </x:c>
      <x:c r="F39" s="66" t="str">
        <x:v>DESIGN</x:v>
      </x:c>
      <x:c r="G39" s="68" t="str">
        <x:v>Pass 104 lineage</x:v>
      </x:c>
    </x:row>
    <x:row r="40" ht="25" customHeight="1">
      <x:c r="B40" s="65" t="str">
        <x:v>I34</x:v>
      </x:c>
      <x:c r="C40" s="66" t="str">
        <x:v>Laboratory productive availability</x:v>
      </x:c>
      <x:c r="D40" s="32" t="n">
        <x:v>0.65</x:v>
      </x:c>
      <x:c r="E40" s="66" t="str">
        <x:v>share</x:v>
      </x:c>
      <x:c r="F40" s="66" t="str">
        <x:v>DESIGN</x:v>
      </x:c>
      <x:c r="G40" s="68" t="str">
        <x:v>Pass 104 lineage</x:v>
      </x:c>
    </x:row>
    <x:row r="41" ht="25" customHeight="1">
      <x:c r="B41" s="65" t="str">
        <x:v>I35</x:v>
      </x:c>
      <x:c r="C41" s="66" t="str">
        <x:v>Laboratories before loss</x:v>
      </x:c>
      <x:c r="D41" s="30" t="n">
        <x:v>6</x:v>
      </x:c>
      <x:c r="E41" s="66" t="str">
        <x:v>labs</x:v>
      </x:c>
      <x:c r="F41" s="66" t="str">
        <x:v>FROZEN</x:v>
      </x:c>
      <x:c r="G41" s="68" t="str">
        <x:v>Pass 104</x:v>
      </x:c>
    </x:row>
    <x:row r="42" ht="25" customHeight="1">
      <x:c r="B42" s="65" t="str">
        <x:v>I36</x:v>
      </x:c>
      <x:c r="C42" s="66" t="str">
        <x:v>Laboratories lost</x:v>
      </x:c>
      <x:c r="D42" s="30" t="n">
        <x:v>2</x:v>
      </x:c>
      <x:c r="E42" s="66" t="str">
        <x:v>labs</x:v>
      </x:c>
      <x:c r="F42" s="66" t="str">
        <x:v>FROZEN</x:v>
      </x:c>
      <x:c r="G42" s="68" t="str">
        <x:v>complete campus</x:v>
      </x:c>
    </x:row>
    <x:row r="43" ht="25" customHeight="1">
      <x:c r="B43" s="65" t="str">
        <x:v>I37</x:v>
      </x:c>
      <x:c r="C43" s="66" t="str">
        <x:v>Metrology brackets per attempt</x:v>
      </x:c>
      <x:c r="D43" s="30" t="n">
        <x:v>2</x:v>
      </x:c>
      <x:c r="E43" s="66" t="str">
        <x:v>brackets</x:v>
      </x:c>
      <x:c r="F43" s="66" t="str">
        <x:v>FROZEN</x:v>
      </x:c>
      <x:c r="G43" s="68" t="str">
        <x:v>Pass 104</x:v>
      </x:c>
    </x:row>
    <x:row r="44" ht="25" customHeight="1">
      <x:c r="B44" s="65" t="str">
        <x:v>I38</x:v>
      </x:c>
      <x:c r="C44" s="66" t="str">
        <x:v>Brackets per team-week</x:v>
      </x:c>
      <x:c r="D44" s="30" t="n">
        <x:v>5</x:v>
      </x:c>
      <x:c r="E44" s="66" t="str">
        <x:v>brackets/week</x:v>
      </x:c>
      <x:c r="F44" s="66" t="str">
        <x:v>DESIGN</x:v>
      </x:c>
      <x:c r="G44" s="68" t="str">
        <x:v>Pass 104 lineage</x:v>
      </x:c>
    </x:row>
    <x:row r="45" ht="25" customHeight="1">
      <x:c r="B45" s="65" t="str">
        <x:v>I39</x:v>
      </x:c>
      <x:c r="C45" s="66" t="str">
        <x:v>Metrology productive availability</x:v>
      </x:c>
      <x:c r="D45" s="32" t="n">
        <x:v>0.7</x:v>
      </x:c>
      <x:c r="E45" s="66" t="str">
        <x:v>share</x:v>
      </x:c>
      <x:c r="F45" s="66" t="str">
        <x:v>DESIGN</x:v>
      </x:c>
      <x:c r="G45" s="68" t="str">
        <x:v>Pass 104 lineage</x:v>
      </x:c>
    </x:row>
    <x:row r="46" ht="25" customHeight="1">
      <x:c r="B46" s="65" t="str">
        <x:v>I40</x:v>
      </x:c>
      <x:c r="C46" s="66" t="str">
        <x:v>Metrology teams before loss</x:v>
      </x:c>
      <x:c r="D46" s="30" t="n">
        <x:v>6</x:v>
      </x:c>
      <x:c r="E46" s="66" t="str">
        <x:v>teams</x:v>
      </x:c>
      <x:c r="F46" s="66" t="str">
        <x:v>FROZEN</x:v>
      </x:c>
      <x:c r="G46" s="68" t="str">
        <x:v>Pass 104</x:v>
      </x:c>
    </x:row>
    <x:row r="47" ht="25" customHeight="1">
      <x:c r="B47" s="65" t="str">
        <x:v>I41</x:v>
      </x:c>
      <x:c r="C47" s="66" t="str">
        <x:v>Metrology teams lost</x:v>
      </x:c>
      <x:c r="D47" s="30" t="n">
        <x:v>2</x:v>
      </x:c>
      <x:c r="E47" s="66" t="str">
        <x:v>teams</x:v>
      </x:c>
      <x:c r="F47" s="66" t="str">
        <x:v>FROZEN</x:v>
      </x:c>
      <x:c r="G47" s="68" t="str">
        <x:v>complete campus</x:v>
      </x:c>
    </x:row>
    <x:row r="48" ht="25" customHeight="1">
      <x:c r="B48" s="65" t="str">
        <x:v>I42</x:v>
      </x:c>
      <x:c r="C48" s="66" t="str">
        <x:v>Replay hours per closure attempt</x:v>
      </x:c>
      <x:c r="D48" s="30" t="n">
        <x:v>20</x:v>
      </x:c>
      <x:c r="E48" s="66" t="str">
        <x:v>hours</x:v>
      </x:c>
      <x:c r="F48" s="66" t="str">
        <x:v>DESIGN</x:v>
      </x:c>
      <x:c r="G48" s="68" t="str">
        <x:v>two passes</x:v>
      </x:c>
    </x:row>
    <x:row r="49" ht="25" customHeight="1">
      <x:c r="B49" s="65" t="str">
        <x:v>I43</x:v>
      </x:c>
      <x:c r="C49" s="66" t="str">
        <x:v>Replay hours per damage attempt</x:v>
      </x:c>
      <x:c r="D49" s="30" t="n">
        <x:v>16</x:v>
      </x:c>
      <x:c r="E49" s="66" t="str">
        <x:v>hours</x:v>
      </x:c>
      <x:c r="F49" s="66" t="str">
        <x:v>DESIGN</x:v>
      </x:c>
      <x:c r="G49" s="68" t="str">
        <x:v>two passes</x:v>
      </x:c>
    </x:row>
    <x:row r="50" ht="25" customHeight="1">
      <x:c r="B50" s="65" t="str">
        <x:v>I44</x:v>
      </x:c>
      <x:c r="C50" s="66" t="str">
        <x:v>Replay hours per cell-day</x:v>
      </x:c>
      <x:c r="D50" s="30" t="n">
        <x:v>16</x:v>
      </x:c>
      <x:c r="E50" s="66" t="str">
        <x:v>hours/day</x:v>
      </x:c>
      <x:c r="F50" s="66" t="str">
        <x:v>DESIGN</x:v>
      </x:c>
      <x:c r="G50" s="68" t="str">
        <x:v>Pass 104 lineage</x:v>
      </x:c>
    </x:row>
    <x:row r="51" ht="25" customHeight="1">
      <x:c r="B51" s="65" t="str">
        <x:v>I45</x:v>
      </x:c>
      <x:c r="C51" s="66" t="str">
        <x:v>Replay productive availability</x:v>
      </x:c>
      <x:c r="D51" s="32" t="n">
        <x:v>0.65</x:v>
      </x:c>
      <x:c r="E51" s="66" t="str">
        <x:v>share</x:v>
      </x:c>
      <x:c r="F51" s="66" t="str">
        <x:v>DESIGN</x:v>
      </x:c>
      <x:c r="G51" s="68" t="str">
        <x:v>Pass 104 lineage</x:v>
      </x:c>
    </x:row>
    <x:row r="52" ht="25" customHeight="1">
      <x:c r="B52" s="65" t="str">
        <x:v>I46</x:v>
      </x:c>
      <x:c r="C52" s="66" t="str">
        <x:v>Replay cells before loss</x:v>
      </x:c>
      <x:c r="D52" s="30" t="n">
        <x:v>6</x:v>
      </x:c>
      <x:c r="E52" s="66" t="str">
        <x:v>cells</x:v>
      </x:c>
      <x:c r="F52" s="66" t="str">
        <x:v>FROZEN</x:v>
      </x:c>
      <x:c r="G52" s="68" t="str">
        <x:v>Pass 104</x:v>
      </x:c>
    </x:row>
    <x:row r="53" ht="25" customHeight="1">
      <x:c r="B53" s="65" t="str">
        <x:v>I47</x:v>
      </x:c>
      <x:c r="C53" s="66" t="str">
        <x:v>Replay cells lost</x:v>
      </x:c>
      <x:c r="D53" s="30" t="n">
        <x:v>2</x:v>
      </x:c>
      <x:c r="E53" s="66" t="str">
        <x:v>cells</x:v>
      </x:c>
      <x:c r="F53" s="66" t="str">
        <x:v>FROZEN</x:v>
      </x:c>
      <x:c r="G53" s="68" t="str">
        <x:v>complete campus</x:v>
      </x:c>
    </x:row>
    <x:row r="54" ht="25" customHeight="1">
      <x:c r="B54" s="65" t="str">
        <x:v>I48</x:v>
      </x:c>
      <x:c r="C54" s="66" t="str">
        <x:v>Maximum blind events in reserved wave</x:v>
      </x:c>
      <x:c r="D54" s="30" t="n">
        <x:v>22</x:v>
      </x:c>
      <x:c r="E54" s="66" t="str">
        <x:v>events</x:v>
      </x:c>
      <x:c r="F54" s="66" t="str">
        <x:v>DESIGN</x:v>
      </x:c>
      <x:c r="G54" s="68" t="str">
        <x:v>Pass 105</x:v>
      </x:c>
    </x:row>
    <x:row r="55" ht="25" customHeight="1">
      <x:c r="B55" s="65" t="str">
        <x:v>I49</x:v>
      </x:c>
      <x:c r="C55" s="66" t="str">
        <x:v>Blind events per shop-week</x:v>
      </x:c>
      <x:c r="D55" s="30" t="n">
        <x:v>2</x:v>
      </x:c>
      <x:c r="E55" s="66" t="str">
        <x:v>events/week</x:v>
      </x:c>
      <x:c r="F55" s="66" t="str">
        <x:v>DESIGN</x:v>
      </x:c>
      <x:c r="G55" s="68" t="str">
        <x:v>Pass 104 lineage</x:v>
      </x:c>
    </x:row>
    <x:row r="56" ht="25" customHeight="1">
      <x:c r="B56" s="65" t="str">
        <x:v>I50</x:v>
      </x:c>
      <x:c r="C56" s="66" t="str">
        <x:v>Blind-shop productive availability</x:v>
      </x:c>
      <x:c r="D56" s="32" t="n">
        <x:v>0.65</x:v>
      </x:c>
      <x:c r="E56" s="66" t="str">
        <x:v>share</x:v>
      </x:c>
      <x:c r="F56" s="66" t="str">
        <x:v>DESIGN</x:v>
      </x:c>
      <x:c r="G56" s="68" t="str">
        <x:v>Pass 104 lineage</x:v>
      </x:c>
    </x:row>
    <x:row r="57" ht="25" customHeight="1">
      <x:c r="B57" s="65" t="str">
        <x:v>I51</x:v>
      </x:c>
      <x:c r="C57" s="66" t="str">
        <x:v>Blind shops before loss</x:v>
      </x:c>
      <x:c r="D57" s="30" t="n">
        <x:v>3</x:v>
      </x:c>
      <x:c r="E57" s="66" t="str">
        <x:v>shops</x:v>
      </x:c>
      <x:c r="F57" s="66" t="str">
        <x:v>FROZEN</x:v>
      </x:c>
      <x:c r="G57" s="68" t="str">
        <x:v>Pass 104</x:v>
      </x:c>
    </x:row>
    <x:row r="58" ht="25" customHeight="1">
      <x:c r="B58" s="65" t="str">
        <x:v>I52</x:v>
      </x:c>
      <x:c r="C58" s="66" t="str">
        <x:v>Blind shops lost</x:v>
      </x:c>
      <x:c r="D58" s="30" t="n">
        <x:v>1</x:v>
      </x:c>
      <x:c r="E58" s="66" t="str">
        <x:v>shop</x:v>
      </x:c>
      <x:c r="F58" s="66" t="str">
        <x:v>FROZEN</x:v>
      </x:c>
      <x:c r="G58" s="68" t="str">
        <x:v>complete campus</x:v>
      </x:c>
    </x:row>
    <x:row r="59" ht="25" customHeight="1">
      <x:c r="B59" s="65" t="str">
        <x:v>I53</x:v>
      </x:c>
      <x:c r="C59" s="66" t="str">
        <x:v>Direct public personnel</x:v>
      </x:c>
      <x:c r="D59" s="30" t="n">
        <x:v>1230</x:v>
      </x:c>
      <x:c r="E59" s="66" t="str">
        <x:v>people</x:v>
      </x:c>
      <x:c r="F59" s="66" t="str">
        <x:v>FROZEN</x:v>
      </x:c>
      <x:c r="G59" s="68" t="str">
        <x:v>Pass 104</x:v>
      </x:c>
    </x:row>
    <x:row r="60" ht="25" customHeight="1">
      <x:c r="B60" s="65" t="str">
        <x:v>I54</x:v>
      </x:c>
      <x:c r="C60" s="66" t="str">
        <x:v>Personnel per campus</x:v>
      </x:c>
      <x:c r="D60" s="30" t="n">
        <x:v>410</x:v>
      </x:c>
      <x:c r="E60" s="66" t="str">
        <x:v>people</x:v>
      </x:c>
      <x:c r="F60" s="66" t="str">
        <x:v>FROZEN</x:v>
      </x:c>
      <x:c r="G60" s="68" t="str">
        <x:v>Pass 104</x:v>
      </x:c>
    </x:row>
    <x:row r="61" ht="25" customHeight="1">
      <x:c r="B61" s="65" t="str">
        <x:v>I55</x:v>
      </x:c>
      <x:c r="C61" s="66" t="str">
        <x:v>Qualified industrial affiliates</x:v>
      </x:c>
      <x:c r="D61" s="30" t="n">
        <x:v>1850</x:v>
      </x:c>
      <x:c r="E61" s="66" t="str">
        <x:v>people</x:v>
      </x:c>
      <x:c r="F61" s="66" t="str">
        <x:v>FROZEN</x:v>
      </x:c>
      <x:c r="G61" s="68" t="str">
        <x:v>Pass 104</x:v>
      </x:c>
    </x:row>
    <x:row r="62" ht="25" customHeight="1">
      <x:c r="B62" s="65" t="str">
        <x:v>I56</x:v>
      </x:c>
      <x:c r="C62" s="66" t="str">
        <x:v>Annual range support</x:v>
      </x:c>
      <x:c r="D62" s="30" t="n">
        <x:v>0.398</x:v>
      </x:c>
      <x:c r="E62" s="66" t="str">
        <x:v>USD B/year</x:v>
      </x:c>
      <x:c r="F62" s="66" t="str">
        <x:v>FROZEN</x:v>
      </x:c>
      <x:c r="G62" s="68" t="str">
        <x:v>Pass 104</x:v>
      </x:c>
    </x:row>
    <x:row r="63" ht="25" customHeight="1">
      <x:c r="B63" s="65" t="str">
        <x:v>I57</x:v>
      </x:c>
      <x:c r="C63" s="66" t="str">
        <x:v>Planning content complete</x:v>
      </x:c>
      <x:c r="D63" s="30" t="n">
        <x:v>1</x:v>
      </x:c>
      <x:c r="E63" s="66" t="str">
        <x:v>binary</x:v>
      </x:c>
      <x:c r="F63" s="66" t="str">
        <x:v>PLANNING</x:v>
      </x:c>
      <x:c r="G63" s="68" t="str">
        <x:v>this workbook</x:v>
      </x:c>
    </x:row>
    <x:row r="64" ht="25" customHeight="1">
      <x:c r="B64" s="65" t="str">
        <x:v>I58</x:v>
      </x:c>
      <x:c r="C64" s="66" t="str">
        <x:v>Constituted rehearsal approval</x:v>
      </x:c>
      <x:c r="D64" s="30" t="n">
        <x:v>0</x:v>
      </x:c>
      <x:c r="E64" s="66" t="str">
        <x:v>binary</x:v>
      </x:c>
      <x:c r="F64" s="66" t="str">
        <x:v>OPEN</x:v>
      </x:c>
      <x:c r="G64" s="68" t="str">
        <x:v>not granted</x:v>
      </x:c>
    </x:row>
    <x:row r="65" ht="25" customHeight="1">
      <x:c r="B65" s="65" t="str">
        <x:v>I59</x:v>
      </x:c>
      <x:c r="C65" s="66" t="str">
        <x:v>Named qualified rosters</x:v>
      </x:c>
      <x:c r="D65" s="30" t="n">
        <x:v>0</x:v>
      </x:c>
      <x:c r="E65" s="66" t="str">
        <x:v>binary</x:v>
      </x:c>
      <x:c r="F65" s="66" t="str">
        <x:v>OPEN</x:v>
      </x:c>
      <x:c r="G65" s="68" t="str">
        <x:v>not constituted</x:v>
      </x:c>
    </x:row>
    <x:row r="66" ht="25" customHeight="1">
      <x:c r="B66" s="65" t="str">
        <x:v>I60</x:v>
      </x:c>
      <x:c r="C66" s="66" t="str">
        <x:v>Physical articles and cassettes registered</x:v>
      </x:c>
      <x:c r="D66" s="30" t="n">
        <x:v>0</x:v>
      </x:c>
      <x:c r="E66" s="66" t="str">
        <x:v>binary</x:v>
      </x:c>
      <x:c r="F66" s="66" t="str">
        <x:v>OPEN</x:v>
      </x:c>
      <x:c r="G66" s="68" t="str">
        <x:v>none registered</x:v>
      </x:c>
    </x:row>
    <x:row r="67" ht="25" customHeight="1">
      <x:c r="B67" s="65" t="str">
        <x:v>I61</x:v>
      </x:c>
      <x:c r="C67" s="66" t="str">
        <x:v>Service lanes ready</x:v>
      </x:c>
      <x:c r="D67" s="30" t="n">
        <x:v>0</x:v>
      </x:c>
      <x:c r="E67" s="66" t="str">
        <x:v>binary</x:v>
      </x:c>
      <x:c r="F67" s="66" t="str">
        <x:v>OPEN</x:v>
      </x:c>
      <x:c r="G67" s="68" t="str">
        <x:v>none commissioned</x:v>
      </x:c>
    </x:row>
    <x:row r="68" ht="25" customHeight="1">
      <x:c r="B68" s="65" t="str">
        <x:v>I62</x:v>
      </x:c>
      <x:c r="C68" s="66" t="str">
        <x:v>Live seed commitments sealed</x:v>
      </x:c>
      <x:c r="D68" s="30" t="n">
        <x:v>0</x:v>
      </x:c>
      <x:c r="E68" s="66" t="str">
        <x:v>binary</x:v>
      </x:c>
      <x:c r="F68" s="66" t="str">
        <x:v>OPEN</x:v>
      </x:c>
      <x:c r="G68" s="68" t="str">
        <x:v>not executed</x:v>
      </x:c>
    </x:row>
    <x:row r="69" ht="25" customHeight="1">
      <x:c r="B69" s="65" t="str">
        <x:v>I63</x:v>
      </x:c>
      <x:c r="C69" s="66" t="str">
        <x:v>First wave admitted</x:v>
      </x:c>
      <x:c r="D69" s="30" t="n">
        <x:v>0</x:v>
      </x:c>
      <x:c r="E69" s="66" t="str">
        <x:v>binary</x:v>
      </x:c>
      <x:c r="F69" s="66" t="str">
        <x:v>OPEN</x:v>
      </x:c>
      <x:c r="G69" s="68" t="str">
        <x:v>not admitted</x:v>
      </x:c>
    </x:row>
    <x:row r="70" ht="25" customHeight="1">
      <x:c r="B70" s="65" t="str">
        <x:v>I64</x:v>
      </x:c>
      <x:c r="C70" s="66" t="str">
        <x:v>Campus-loss injection executed</x:v>
      </x:c>
      <x:c r="D70" s="30" t="n">
        <x:v>0</x:v>
      </x:c>
      <x:c r="E70" s="66" t="str">
        <x:v>binary</x:v>
      </x:c>
      <x:c r="F70" s="66" t="str">
        <x:v>OPEN</x:v>
      </x:c>
      <x:c r="G70" s="68" t="str">
        <x:v>not executed</x:v>
      </x:c>
    </x:row>
    <x:row r="71" ht="25" customHeight="1">
      <x:c r="B71" s="65" t="str">
        <x:v>I65</x:v>
      </x:c>
      <x:c r="C71" s="66" t="str">
        <x:v>Observed conservation passed</x:v>
      </x:c>
      <x:c r="D71" s="30" t="n">
        <x:v>0</x:v>
      </x:c>
      <x:c r="E71" s="66" t="str">
        <x:v>binary</x:v>
      </x:c>
      <x:c r="F71" s="66" t="str">
        <x:v>OPEN</x:v>
      </x:c>
      <x:c r="G71" s="68" t="str">
        <x:v>no observation</x:v>
      </x:c>
    </x:row>
    <x:row r="72" ht="25" customHeight="1">
      <x:c r="B72" s="65" t="str">
        <x:v>I66</x:v>
      </x:c>
      <x:c r="C72" s="66" t="str">
        <x:v>Residual schedule executed</x:v>
      </x:c>
      <x:c r="D72" s="30" t="n">
        <x:v>0</x:v>
      </x:c>
      <x:c r="E72" s="66" t="str">
        <x:v>binary</x:v>
      </x:c>
      <x:c r="F72" s="66" t="str">
        <x:v>OPEN</x:v>
      </x:c>
      <x:c r="G72" s="68" t="str">
        <x:v>not executed</x:v>
      </x:c>
    </x:row>
    <x:row r="73" ht="25" customHeight="1">
      <x:c r="B73" s="65" t="str">
        <x:v>I67</x:v>
      </x:c>
      <x:c r="C73" s="66" t="str">
        <x:v>Observed admitted closure credits</x:v>
      </x:c>
      <x:c r="D73" s="30" t="n">
        <x:v>0</x:v>
      </x:c>
      <x:c r="E73" s="66" t="str">
        <x:v>credits</x:v>
      </x:c>
      <x:c r="F73" s="66" t="str">
        <x:v>OPEN</x:v>
      </x:c>
      <x:c r="G73" s="68" t="str">
        <x:v>none observed</x:v>
      </x:c>
    </x:row>
    <x:row r="74" ht="25" customHeight="1">
      <x:c r="B74" s="65" t="str">
        <x:v>I68</x:v>
      </x:c>
      <x:c r="C74" s="66" t="str">
        <x:v>Observed admitted damage credits</x:v>
      </x:c>
      <x:c r="D74" s="30" t="n">
        <x:v>0</x:v>
      </x:c>
      <x:c r="E74" s="66" t="str">
        <x:v>credits</x:v>
      </x:c>
      <x:c r="F74" s="66" t="str">
        <x:v>OPEN</x:v>
      </x:c>
      <x:c r="G74" s="68" t="str">
        <x:v>none observed</x:v>
      </x:c>
    </x:row>
    <x:row r="75" ht="25" customHeight="1">
      <x:c r="B75" s="65" t="str">
        <x:v>I69</x:v>
      </x:c>
      <x:c r="C75" s="66" t="str">
        <x:v>Production/form authority</x:v>
      </x:c>
      <x:c r="D75" s="30" t="n">
        <x:v>0</x:v>
      </x:c>
      <x:c r="E75" s="66" t="str">
        <x:v>binary</x:v>
      </x:c>
      <x:c r="F75" s="66" t="str">
        <x:v>BLOCKED</x:v>
      </x:c>
      <x:c r="G75" s="68" t="str">
        <x:v>parent F36 chain</x:v>
      </x:c>
    </x:row>
    <x:row r="76" ht="25" customHeight="1">
      <x:c r="B76" s="65" t="str">
        <x:v>I70</x:v>
      </x:c>
      <x:c r="C76" s="66" t="str">
        <x:v>Exterior rendering authority</x:v>
      </x:c>
      <x:c r="D76" s="30" t="n">
        <x:v>0</x:v>
      </x:c>
      <x:c r="E76" s="66" t="str">
        <x:v>binary</x:v>
      </x:c>
      <x:c r="F76" s="66" t="str">
        <x:v>BLOCKED</x:v>
      </x:c>
      <x:c r="G76" s="68" t="str">
        <x:v>parent F36 chain</x:v>
      </x:c>
    </x:row>
    <x:row r="77" ht="25" customHeight="1">
      <x:c r="B77" s="65" t="str">
        <x:v>I71</x:v>
      </x:c>
      <x:c r="C77" s="66" t="str">
        <x:v>National start-freeze target</x:v>
      </x:c>
      <x:c r="D77" s="30" t="n">
        <x:v>5</x:v>
      </x:c>
      <x:c r="E77" s="66" t="str">
        <x:v>minutes</x:v>
      </x:c>
      <x:c r="F77" s="66" t="str">
        <x:v>DESIGN</x:v>
      </x:c>
      <x:c r="G77" s="68" t="str">
        <x:v>Pass 105</x:v>
      </x:c>
    </x:row>
    <x:row r="78" ht="25" customHeight="1">
      <x:c r="B78" s="65" t="str">
        <x:v>I72</x:v>
      </x:c>
      <x:c r="C78" s="66" t="str">
        <x:v>Residual-plan target</x:v>
      </x:c>
      <x:c r="D78" s="30" t="n">
        <x:v>12</x:v>
      </x:c>
      <x:c r="E78" s="66" t="str">
        <x:v>hours</x:v>
      </x:c>
      <x:c r="F78" s="66" t="str">
        <x:v>DESIGN</x:v>
      </x:c>
      <x:c r="G78" s="68" t="str">
        <x:v>Pass 105</x:v>
      </x:c>
    </x:row>
    <x:row r="79" ht="25" customHeight="1">
      <x:c r="B79" s="65" t="str">
        <x:v>I73</x:v>
      </x:c>
      <x:c r="C79" s="66" t="str">
        <x:v>Replacement-start target</x:v>
      </x:c>
      <x:c r="D79" s="30" t="n">
        <x:v>96</x:v>
      </x:c>
      <x:c r="E79" s="66" t="str">
        <x:v>hours</x:v>
      </x:c>
      <x:c r="F79" s="66" t="str">
        <x:v>DESIGN</x:v>
      </x:c>
      <x:c r="G79" s="68" t="str">
        <x:v>Pass 105</x:v>
      </x:c>
    </x:row>
    <x:row r="80" ht="25" customHeight="1">
      <x:c r="B80" s="65" t="str">
        <x:v>I74</x:v>
      </x:c>
      <x:c r="C80" s="66" t="str">
        <x:v>Originals per event</x:v>
      </x:c>
      <x:c r="D80" s="30" t="n">
        <x:v>2</x:v>
      </x:c>
      <x:c r="E80" s="66" t="str">
        <x:v>originals</x:v>
      </x:c>
      <x:c r="F80" s="66" t="str">
        <x:v>FROZEN</x:v>
      </x:c>
      <x:c r="G80" s="68" t="str">
        <x:v>Pass 103</x:v>
      </x:c>
    </x:row>
    <x:row r="81" ht="25" customHeight="1">
      <x:c r="B81" s="65" t="str">
        <x:v>I75</x:v>
      </x:c>
      <x:c r="C81" s="66" t="str">
        <x:v>Expected active interrupted tokens</x:v>
      </x:c>
      <x:c r="D81" s="30" t="n">
        <x:v>4</x:v>
      </x:c>
      <x:c r="E81" s="66" t="str">
        <x:v>tokens</x:v>
      </x:c>
      <x:c r="F81" s="66" t="str">
        <x:v>DESIGN</x:v>
      </x:c>
      <x:c r="G81" s="68" t="str">
        <x:v>Pass 105</x:v>
      </x:c>
    </x:row>
    <x:row r="82" ht="25" customHeight="1">
      <x:c r="B82" s="65" t="str">
        <x:v>I76</x:v>
      </x:c>
      <x:c r="C82" s="66" t="str">
        <x:v>Expected outside-only packet</x:v>
      </x:c>
      <x:c r="D82" s="30" t="n">
        <x:v>1</x:v>
      </x:c>
      <x:c r="E82" s="66" t="str">
        <x:v>packet</x:v>
      </x:c>
      <x:c r="F82" s="66" t="str">
        <x:v>DESIGN</x:v>
      </x:c>
      <x:c r="G82" s="68" t="str">
        <x:v>Pass 105</x:v>
      </x:c>
    </x:row>
    <x:row r="83" ht="25" customHeight="1">
      <x:c r="B83" s="70" t="str">
        <x:v>I77</x:v>
      </x:c>
      <x:c r="C83" s="71" t="str">
        <x:v>Residual utilization ceiling</x:v>
      </x:c>
      <x:c r="D83" s="33" t="n">
        <x:v>0.7</x:v>
      </x:c>
      <x:c r="E83" s="71" t="str">
        <x:v>share</x:v>
      </x:c>
      <x:c r="F83" s="71" t="str">
        <x:v>DESIGN</x:v>
      </x:c>
      <x:c r="G83" s="73" t="str">
        <x:v>Pass 104</x:v>
      </x:c>
    </x:row>
  </x:sheetData>
  <x:mergeCells>
    <x:mergeCell ref="B3:G3"/>
  </x:mergeCells>
  <x:conditionalFormatting sqref="F7:F83">
    <x:cfRule type="containsText" dxfId="0" priority="1" operator="containsText" text="FAIL"/>
    <x:cfRule type="containsText" dxfId="1" priority="2" operator="containsText" text="BLOCKED"/>
    <x:cfRule type="containsText" dxfId="2" priority="3" operator="containsText" text="HOLD"/>
    <x:cfRule type="containsText" dxfId="3" priority="4" operator="containsText" text="OPEN"/>
    <x:cfRule type="containsText" dxfId="4" priority="5" operator="containsText" text="RANGE-INVALID"/>
    <x:cfRule type="containsText" dxfId="5" priority="6" operator="containsText" text="INDETERMINATE"/>
    <x:cfRule type="containsText" dxfId="6" priority="7" operator="containsText" text="PASS"/>
    <x:cfRule type="containsText" dxfId="7" priority="8" operator="containsText" text="AUTHORIZED"/>
    <x:cfRule type="containsText" dxfId="8" priority="9" operator="containsText" text="RELEASED"/>
    <x:cfRule type="containsText" dxfId="9" priority="10" operator="containsText" text="ADMITTED"/>
    <x:cfRule type="containsText" dxfId="10" priority="11" operator="containsText" text="MODELED CREDIT"/>
    <x:cfRule type="containsText" dxfId="11" priority="12" operator="containsText" text="PLANNING COMPLETE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8C7D1"/>
  </x:sheetPr>
  <x:sheetViews>
    <x:sheetView showGridLines="0" workbookViewId="0"/>
  </x:sheetViews>
  <x:sheetFormatPr defaultRowHeight="15"/>
  <x:cols>
    <x:col min="2" max="2" width="15" hidden="0" customWidth="1"/>
    <x:col min="3" max="3" width="18" hidden="0" customWidth="1"/>
    <x:col min="4" max="4" width="16" hidden="0" customWidth="1"/>
    <x:col min="5" max="5" width="20" hidden="0" customWidth="1"/>
    <x:col min="6" max="6" width="15" hidden="0" customWidth="1"/>
    <x:col min="7" max="7" width="15" hidden="0" customWidth="1"/>
    <x:col min="8" max="8" width="13" hidden="0" customWidth="1"/>
    <x:col min="9" max="9" width="16" hidden="0" customWidth="1"/>
    <x:col min="10" max="10" width="22" hidden="0" customWidth="1"/>
    <x:col min="11" max="11" width="22" hidden="0" customWidth="1"/>
  </x:cols>
  <x:sheetData>
    <x:row r="2">
      <x:c r="B2" s="1" t="str">
        <x:v>P90 reservation from first-wave credits</x:v>
      </x:c>
      <x:c r="C2" s="54"/>
      <x:c r="D2" s="54"/>
      <x:c r="E2" s="54"/>
      <x:c r="F2" s="54"/>
      <x:c r="G2" s="54"/>
      <x:c r="H2" s="54"/>
      <x:c r="I2" s="54"/>
      <x:c r="J2" s="54"/>
      <x:c r="K2" s="54"/>
    </x:row>
    <x:row r="3">
      <x:c r="B3" s="2" t="str">
        <x:v>Prospective invalidity protects calendar capacity but never creates an automatic repeat.</x:v>
      </x:c>
      <x:c r="C3" s="54"/>
      <x:c r="D3" s="54"/>
      <x:c r="E3" s="54"/>
      <x:c r="F3" s="54"/>
      <x:c r="G3" s="54"/>
      <x:c r="H3" s="54"/>
      <x:c r="I3" s="54"/>
      <x:c r="J3" s="54"/>
      <x:c r="K3" s="54"/>
    </x:row>
    <x:row r="4">
      <x:c r="B4" s="56"/>
      <x:c r="C4" s="56"/>
      <x:c r="D4" s="56"/>
      <x:c r="E4" s="56"/>
      <x:c r="F4" s="56"/>
      <x:c r="G4" s="56"/>
      <x:c r="H4" s="56"/>
      <x:c r="I4" s="56"/>
      <x:c r="J4" s="56"/>
      <x:c r="K4" s="56"/>
    </x:row>
    <x:row r="5">
      <x:c r="B5" s="54"/>
      <x:c r="C5" s="54"/>
      <x:c r="D5" s="54"/>
      <x:c r="E5" s="54"/>
      <x:c r="F5" s="54"/>
      <x:c r="G5" s="54"/>
      <x:c r="H5" s="54"/>
      <x:c r="I5" s="54"/>
      <x:c r="J5" s="54"/>
      <x:c r="K5" s="54"/>
    </x:row>
    <x:row r="6">
      <x:c r="B6" s="15" t="str">
        <x:v>Lane</x:v>
      </x:c>
      <x:c r="C6" s="16" t="str">
        <x:v>Required credits</x:v>
      </x:c>
      <x:c r="D6" s="16" t="str">
        <x:v>Invalid rate</x:v>
      </x:c>
      <x:c r="E6" s="16" t="str">
        <x:v>Expected attempts</x:v>
      </x:c>
      <x:c r="F6" s="16" t="str">
        <x:v>Variance</x:v>
      </x:c>
      <x:c r="G6" s="16" t="str">
        <x:v>Std dev</x:v>
      </x:c>
      <x:c r="H6" s="16" t="str">
        <x:v>P90 z</x:v>
      </x:c>
      <x:c r="I6" s="16" t="str">
        <x:v>P90 raw</x:v>
      </x:c>
      <x:c r="J6" s="16" t="str">
        <x:v>P90 reserved slots</x:v>
      </x:c>
      <x:c r="K6" s="16" t="str">
        <x:v>Reserved station-days</x:v>
      </x:c>
    </x:row>
    <x:row r="7">
      <x:c r="B7" s="65" t="str">
        <x:v>Closure</x:v>
      </x:c>
      <x:c r="C7" s="65" t="n">
        <x:f>'Control Inputs'!D10</x:f>
        <x:v>18</x:v>
      </x:c>
      <x:c r="D7" s="74" t="n">
        <x:f>'Control Inputs'!D11</x:f>
        <x:v>0.15</x:v>
      </x:c>
      <x:c r="E7" s="75" t="n">
        <x:f>C7/(1-D7)</x:f>
        <x:v>21.176470588235293</x:v>
      </x:c>
      <x:c r="F7" s="75" t="n">
        <x:f>C7*D7/POWER(1-D7,2)</x:f>
        <x:v>3.737024221453287</x:v>
      </x:c>
      <x:c r="G7" s="75" t="n">
        <x:f>SQRT(F7)</x:f>
        <x:v>1.9331384382535275</x:v>
      </x:c>
      <x:c r="H7" s="75" t="n">
        <x:f>'Control Inputs'!D12</x:f>
        <x:v>1.2816</x:v>
      </x:c>
      <x:c r="I7" s="75" t="n">
        <x:f>E7+H7*G7</x:f>
        <x:v>23.653980810701015</x:v>
      </x:c>
      <x:c r="J7" s="65" t="n">
        <x:f>ROUNDUP(I7,0)</x:f>
        <x:v>24</x:v>
      </x:c>
      <x:c r="K7" s="76" t="n">
        <x:f>J7*'Control Inputs'!D13</x:f>
        <x:v>192</x:v>
      </x:c>
    </x:row>
    <x:row r="8">
      <x:c r="B8" s="70" t="str">
        <x:v>Damage</x:v>
      </x:c>
      <x:c r="C8" s="70" t="n">
        <x:f>'Control Inputs'!D21</x:f>
        <x:v>6</x:v>
      </x:c>
      <x:c r="D8" s="77" t="n">
        <x:f>'Control Inputs'!D22</x:f>
        <x:v>0.2</x:v>
      </x:c>
      <x:c r="E8" s="78" t="n">
        <x:f>C8/(1-D8)</x:f>
        <x:v>7.5</x:v>
      </x:c>
      <x:c r="F8" s="78" t="n">
        <x:f>C8*D8/POWER(1-D8,2)</x:f>
        <x:v>1.875</x:v>
      </x:c>
      <x:c r="G8" s="78" t="n">
        <x:f>SQRT(F8)</x:f>
        <x:v>1.3693063937629153</x:v>
      </x:c>
      <x:c r="H8" s="78" t="n">
        <x:f>'Control Inputs'!D12</x:f>
        <x:v>1.2816</x:v>
      </x:c>
      <x:c r="I8" s="78" t="n">
        <x:f>E8+H8*G8</x:f>
        <x:v>9.254903074246553</x:v>
      </x:c>
      <x:c r="J8" s="70" t="n">
        <x:f>ROUNDUP(I8,0)</x:f>
        <x:v>10</x:v>
      </x:c>
      <x:c r="K8" s="79" t="n">
        <x:f>J8*'Control Inputs'!D23</x:f>
        <x:v>140</x:v>
      </x:c>
    </x:row>
    <x:row r="9">
      <x:c r="B9" s="54"/>
      <x:c r="C9" s="54"/>
      <x:c r="D9" s="54"/>
      <x:c r="E9" s="54"/>
      <x:c r="F9" s="54"/>
      <x:c r="G9" s="54"/>
      <x:c r="H9" s="54"/>
      <x:c r="I9" s="54"/>
      <x:c r="J9" s="54"/>
      <x:c r="K9" s="54"/>
    </x:row>
    <x:row r="10">
      <x:c r="B10" s="54"/>
      <x:c r="C10" s="54"/>
      <x:c r="D10" s="54"/>
      <x:c r="E10" s="54"/>
      <x:c r="F10" s="54"/>
      <x:c r="G10" s="54"/>
      <x:c r="H10" s="54"/>
      <x:c r="I10" s="54"/>
      <x:c r="J10" s="54"/>
      <x:c r="K10" s="54"/>
    </x:row>
    <x:row r="11">
      <x:c r="B11" s="54"/>
      <x:c r="C11" s="54"/>
      <x:c r="D11" s="54"/>
      <x:c r="E11" s="54"/>
      <x:c r="F11" s="54"/>
      <x:c r="G11" s="54"/>
      <x:c r="H11" s="54"/>
      <x:c r="I11" s="54"/>
      <x:c r="J11" s="54"/>
      <x:c r="K11" s="54"/>
    </x:row>
    <x:row r="12">
      <x:c r="B12" s="57" t="str">
        <x:v>Interpretation</x:v>
      </x:c>
      <x:c r="C12" s="58" t="str">
        <x:v>Interpretation</x:v>
      </x:c>
      <x:c r="D12" s="58" t="str">
        <x:v>Interpretation</x:v>
      </x:c>
      <x:c r="E12" s="58" t="str">
        <x:v>Interpretation</x:v>
      </x:c>
      <x:c r="F12" s="58" t="str">
        <x:v>Interpretation</x:v>
      </x:c>
      <x:c r="G12" s="58" t="str">
        <x:v>Interpretation</x:v>
      </x:c>
      <x:c r="H12" s="58" t="str">
        <x:v>Interpretation</x:v>
      </x:c>
      <x:c r="I12" s="58" t="str">
        <x:v>Interpretation</x:v>
      </x:c>
      <x:c r="J12" s="58" t="str">
        <x:v>Interpretation</x:v>
      </x:c>
      <x:c r="K12" s="59" t="str">
        <x:v>Interpretation</x:v>
      </x:c>
    </x:row>
    <x:row r="13" ht="38" customHeight="1">
      <x:c r="B13" s="54" t="str">
        <x:v>Reservation</x:v>
      </x:c>
      <x:c r="C13" s="62" t="str">
        <x:v>Six closure and four damage reserve intervals are protected, not automatically executed.</x:v>
      </x:c>
      <x:c r="D13" s="62"/>
      <x:c r="E13" s="62"/>
      <x:c r="F13" s="62"/>
      <x:c r="G13" s="62"/>
      <x:c r="H13" s="62"/>
      <x:c r="I13" s="62"/>
      <x:c r="J13" s="62"/>
      <x:c r="K13" s="62"/>
    </x:row>
    <x:row r="14" ht="38" customHeight="1">
      <x:c r="B14" s="54" t="str">
        <x:v>Eligible replacement</x:v>
      </x:c>
      <x:c r="C14" s="62" t="str">
        <x:v>Only an independently verified range cause may activate a reserve token.</x:v>
      </x:c>
      <x:c r="D14" s="62"/>
      <x:c r="E14" s="62"/>
      <x:c r="F14" s="62"/>
      <x:c r="G14" s="62"/>
      <x:c r="H14" s="62"/>
      <x:c r="I14" s="62"/>
      <x:c r="J14" s="62"/>
      <x:c r="K14" s="62"/>
    </x:row>
    <x:row r="15" ht="38" customHeight="1">
      <x:c r="B15" s="54" t="str">
        <x:v>Valid article failure</x:v>
      </x:c>
      <x:c r="C15" s="62" t="str">
        <x:v>No automatic repeat. The result remains part of the root record.</x:v>
      </x:c>
      <x:c r="D15" s="62"/>
      <x:c r="E15" s="62"/>
      <x:c r="F15" s="62"/>
      <x:c r="G15" s="62"/>
      <x:c r="H15" s="62"/>
      <x:c r="I15" s="62"/>
      <x:c r="J15" s="62"/>
      <x:c r="K15" s="62"/>
    </x:row>
    <x:row r="16" ht="38" customHeight="1">
      <x:c r="B16" s="54" t="str">
        <x:v>Observed update</x:v>
      </x:c>
      <x:c r="C16" s="62" t="str">
        <x:v>Replace the approximation with preregistered empirical queue modeling after the wave.</x:v>
      </x:c>
      <x:c r="D16" s="62"/>
      <x:c r="E16" s="62"/>
      <x:c r="F16" s="62"/>
      <x:c r="G16" s="62"/>
      <x:c r="H16" s="62"/>
      <x:c r="I16" s="62"/>
      <x:c r="J16" s="62"/>
      <x:c r="K16" s="62"/>
    </x:row>
  </x:sheetData>
  <x:mergeCells>
    <x:mergeCell ref="B3:K3"/>
    <x:mergeCell ref="B12:K12"/>
    <x:mergeCell ref="C13:K13"/>
    <x:mergeCell ref="C14:K14"/>
    <x:mergeCell ref="C15:K15"/>
    <x:mergeCell ref="C16:K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B8C7D1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12" hidden="0" customWidth="1"/>
    <x:col min="4" max="4" width="21" hidden="0" customWidth="1"/>
    <x:col min="5" max="5" width="13" hidden="0" customWidth="1"/>
    <x:col min="6" max="6" width="35" hidden="0" customWidth="1"/>
    <x:col min="7" max="7" width="15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5" hidden="0" customWidth="1"/>
    <x:col min="13" max="13" width="15" hidden="0" customWidth="1"/>
    <x:col min="14" max="14" width="18" hidden="0" customWidth="1"/>
    <x:col min="15" max="15" width="23" hidden="0" customWidth="1"/>
    <x:col min="16" max="16" width="25" hidden="0" customWidth="1"/>
    <x:col min="17" max="17" width="16" hidden="0" customWidth="1"/>
    <x:col min="18" max="18" width="16" hidden="0" customWidth="1"/>
    <x:col min="19" max="19" width="20" hidden="0" customWidth="1"/>
    <x:col min="20" max="20" width="16" hidden="0" customWidth="1"/>
    <x:col min="21" max="21" width="15" hidden="0" customWidth="1"/>
    <x:col min="22" max="22" width="16" hidden="0" customWidth="1"/>
    <x:col min="23" max="23" width="16" hidden="0" customWidth="1"/>
  </x:cols>
  <x:sheetData>
    <x:row r="2">
      <x:c r="B2" s="1" t="str">
        <x:v>Immutable first-wave token ledger</x:v>
      </x:c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</x:row>
    <x:row r="3">
      <x:c r="B3" s="2" t="str">
        <x:v>Every event binds physical identity, station time and support burden. Modeled dispositions are not observed results.</x:v>
      </x:c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  <x:c r="N3" s="54"/>
      <x:c r="O3" s="54"/>
      <x:c r="P3" s="54"/>
      <x:c r="Q3" s="54"/>
      <x:c r="R3" s="54"/>
      <x:c r="S3" s="54"/>
      <x:c r="T3" s="54"/>
      <x:c r="U3" s="54"/>
      <x:c r="V3" s="54"/>
      <x:c r="W3" s="54"/>
    </x:row>
    <x:row r="4">
      <x:c r="B4" s="56"/>
      <x:c r="C4" s="56"/>
      <x:c r="D4" s="56"/>
      <x:c r="E4" s="56"/>
      <x:c r="F4" s="56"/>
      <x:c r="G4" s="56"/>
      <x:c r="H4" s="56"/>
      <x:c r="I4" s="56"/>
      <x:c r="J4" s="56"/>
      <x:c r="K4" s="56"/>
      <x:c r="L4" s="56"/>
      <x:c r="M4" s="56"/>
      <x:c r="N4" s="56"/>
      <x:c r="O4" s="56"/>
      <x:c r="P4" s="56"/>
      <x:c r="Q4" s="56"/>
      <x:c r="R4" s="56"/>
      <x:c r="S4" s="56"/>
      <x:c r="T4" s="56"/>
      <x:c r="U4" s="56"/>
      <x:c r="V4" s="56"/>
      <x:c r="W4" s="56"/>
    </x:row>
    <x:row r="5">
      <x:c r="B5" s="54"/>
      <x:c r="C5" s="54"/>
      <x:c r="D5" s="54"/>
      <x:c r="E5" s="54"/>
      <x:c r="F5" s="54"/>
      <x:c r="G5" s="54"/>
      <x:c r="H5" s="54"/>
      <x:c r="I5" s="54"/>
      <x:c r="J5" s="54"/>
      <x:c r="K5" s="54"/>
      <x:c r="L5" s="54"/>
      <x:c r="M5" s="54"/>
      <x:c r="N5" s="54"/>
      <x:c r="O5" s="54"/>
      <x:c r="P5" s="54"/>
      <x:c r="Q5" s="54"/>
      <x:c r="R5" s="54"/>
      <x:c r="S5" s="54"/>
      <x:c r="T5" s="54"/>
      <x:c r="U5" s="54"/>
      <x:c r="V5" s="54"/>
      <x:c r="W5" s="54"/>
    </x:row>
    <x:row r="6">
      <x:c r="B6" s="15" t="str">
        <x:v>Token</x:v>
      </x:c>
      <x:c r="C6" s="16" t="str">
        <x:v>Lane</x:v>
      </x:c>
      <x:c r="D6" s="16" t="str">
        <x:v>Role</x:v>
      </x:c>
      <x:c r="E6" s="16" t="str">
        <x:v>Root</x:v>
      </x:c>
      <x:c r="F6" s="16" t="str">
        <x:v>Condition</x:v>
      </x:c>
      <x:c r="G6" s="16" t="str">
        <x:v>Disclosure</x:v>
      </x:c>
      <x:c r="H6" s="16" t="str">
        <x:v>Campus</x:v>
      </x:c>
      <x:c r="I6" s="16" t="str">
        <x:v>Station</x:v>
      </x:c>
      <x:c r="J6" s="16" t="str">
        <x:v>Start day</x:v>
      </x:c>
      <x:c r="K6" s="16" t="str">
        <x:v>End day</x:v>
      </x:c>
      <x:c r="L6" s="16" t="str">
        <x:v>Packet due</x:v>
      </x:c>
      <x:c r="M6" s="16" t="str">
        <x:v>Parent token</x:v>
      </x:c>
      <x:c r="N6" s="16" t="str">
        <x:v>Activated in loss case</x:v>
      </x:c>
      <x:c r="O6" s="16" t="str">
        <x:v>Loss class</x:v>
      </x:c>
      <x:c r="P6" s="16" t="str">
        <x:v>Modeled disposition</x:v>
      </x:c>
      <x:c r="Q6" s="16" t="str">
        <x:v>Modeled credit</x:v>
      </x:c>
      <x:c r="R6" s="16" t="str">
        <x:v>Assay panels</x:v>
      </x:c>
      <x:c r="S6" s="16" t="str">
        <x:v>Forensic line-days</x:v>
      </x:c>
      <x:c r="T6" s="16" t="str">
        <x:v>Replay hours</x:v>
      </x:c>
      <x:c r="U6" s="16" t="str">
        <x:v>Blind event</x:v>
      </x:c>
      <x:c r="V6" s="16" t="str">
        <x:v>Planning state</x:v>
      </x:c>
      <x:c r="W6" s="16" t="str">
        <x:v>Effective end</x:v>
      </x:c>
    </x:row>
    <x:row r="7" ht="31" customHeight="1">
      <x:c r="B7" s="65" t="str">
        <x:v>CW-C001</x:v>
      </x:c>
      <x:c r="C7" s="65" t="str">
        <x:v>Closure</x:v>
      </x:c>
      <x:c r="D7" s="66" t="str">
        <x:v>PRIMARY</x:v>
      </x:c>
      <x:c r="E7" s="66" t="str">
        <x:v>R1</x:v>
      </x:c>
      <x:c r="F7" s="66" t="str">
        <x:v>declared nominal</x:v>
      </x:c>
      <x:c r="G7" s="66" t="str">
        <x:v>DISCLOSED</x:v>
      </x:c>
      <x:c r="H7" s="66" t="str">
        <x:v>NRC-A</x:v>
      </x:c>
      <x:c r="I7" s="66" t="str">
        <x:v>CB-A1</x:v>
      </x:c>
      <x:c r="J7" s="66" t="n">
        <x:v>1</x:v>
      </x:c>
      <x:c r="K7" s="66" t="n">
        <x:v>9</x:v>
      </x:c>
      <x:c r="L7" s="66" t="n">
        <x:v>15</x:v>
      </x:c>
      <x:c r="M7" s="66" t="str"/>
      <x:c r="N7" s="66" t="n">
        <x:v>1</x:v>
      </x:c>
      <x:c r="O7" s="66" t="str">
        <x:f>IF(AND(H7='Control Inputs'!D9,J7&lt;'Control Inputs'!D8,K7&gt;'Control Inputs'!D8),"ACTIVE_INTERRUPTED",IF(AND(H7='Control Inputs'!D9,K7&lt;='Control Inputs'!D8,L7&gt;'Control Inputs'!D8),"REMOTE_PACKET",IF(AND(H7='Control Inputs'!D9,L7&lt;='Control Inputs'!D8),"PRELOSS_TERMINAL","UNAFFECTED")))</x:f>
        <x:v>UNAFFECTED</x:v>
      </x:c>
      <x:c r="P7" s="66" t="str">
        <x:f>IF(N7=0,"HELD",IF(O7="ACTIVE_INTERRUPTED","MODELED RANGE-INVALID","MODELED CREDIT"))</x:f>
        <x:v>MODELED CREDIT</x:v>
      </x:c>
      <x:c r="Q7" s="66" t="n">
        <x:f>IF(P7="MODELED CREDIT",1,0)</x:f>
        <x:v>1</x:v>
      </x:c>
      <x:c r="R7" s="66" t="n">
        <x:f>IF(N7=1,IF(C7="Closure",'Control Inputs'!D37,'Control Inputs'!D38),0)</x:f>
        <x:v>24</x:v>
      </x:c>
      <x:c r="S7" s="66" t="n">
        <x:f>IF(N7=1,IF(C7="Closure",'Control Inputs'!D32,'Control Inputs'!D33),0)</x:f>
        <x:v>2</x:v>
      </x:c>
      <x:c r="T7" s="66" t="n">
        <x:f>IF(N7=1,IF(C7="Closure",'Control Inputs'!D48,'Control Inputs'!D49),0)</x:f>
        <x:v>20</x:v>
      </x:c>
      <x:c r="U7" s="66" t="n">
        <x:f>IF(AND(N7=1,OR(G7="BLIND",G7="SEALED")),1,0)</x:f>
        <x:v>0</x:v>
      </x:c>
      <x:c r="V7" s="66" t="str">
        <x:v>PLANNING</x:v>
      </x:c>
      <x:c r="W7" s="76" t="n">
        <x:f>IF(O7="ACTIVE_INTERRUPTED",'Control Inputs'!D8,K7)</x:f>
        <x:v>9</x:v>
      </x:c>
    </x:row>
    <x:row r="8" ht="31" customHeight="1">
      <x:c r="B8" s="65" t="str">
        <x:v>CW-C002</x:v>
      </x:c>
      <x:c r="C8" s="65" t="str">
        <x:v>Closure</x:v>
      </x:c>
      <x:c r="D8" s="66" t="str">
        <x:v>PRIMARY</x:v>
      </x:c>
      <x:c r="E8" s="66" t="str">
        <x:v>R2</x:v>
      </x:c>
      <x:c r="F8" s="66" t="str">
        <x:v>declared nominal</x:v>
      </x:c>
      <x:c r="G8" s="66" t="str">
        <x:v>DISCLOSED</x:v>
      </x:c>
      <x:c r="H8" s="66" t="str">
        <x:v>NRC-B</x:v>
      </x:c>
      <x:c r="I8" s="66" t="str">
        <x:v>CB-B1</x:v>
      </x:c>
      <x:c r="J8" s="66" t="n">
        <x:v>1</x:v>
      </x:c>
      <x:c r="K8" s="66" t="n">
        <x:v>9</x:v>
      </x:c>
      <x:c r="L8" s="66" t="n">
        <x:v>15</x:v>
      </x:c>
      <x:c r="M8" s="66" t="str"/>
      <x:c r="N8" s="66" t="n">
        <x:v>1</x:v>
      </x:c>
      <x:c r="O8" s="66" t="str">
        <x:f>IF(AND(H8='Control Inputs'!D9,J8&lt;'Control Inputs'!D8,K8&gt;'Control Inputs'!D8),"ACTIVE_INTERRUPTED",IF(AND(H8='Control Inputs'!D9,K8&lt;='Control Inputs'!D8,L8&gt;'Control Inputs'!D8),"REMOTE_PACKET",IF(AND(H8='Control Inputs'!D9,L8&lt;='Control Inputs'!D8),"PRELOSS_TERMINAL","UNAFFECTED")))</x:f>
        <x:v>PRELOSS_TERMINAL</x:v>
      </x:c>
      <x:c r="P8" s="66" t="str">
        <x:f>IF(N8=0,"HELD",IF(O8="ACTIVE_INTERRUPTED","MODELED RANGE-INVALID","MODELED CREDIT"))</x:f>
        <x:v>MODELED CREDIT</x:v>
      </x:c>
      <x:c r="Q8" s="66" t="n">
        <x:f>IF(P8="MODELED CREDIT",1,0)</x:f>
        <x:v>1</x:v>
      </x:c>
      <x:c r="R8" s="66" t="n">
        <x:f>IF(N8=1,IF(C8="Closure",'Control Inputs'!D37,'Control Inputs'!D38),0)</x:f>
        <x:v>24</x:v>
      </x:c>
      <x:c r="S8" s="66" t="n">
        <x:f>IF(N8=1,IF(C8="Closure",'Control Inputs'!D32,'Control Inputs'!D33),0)</x:f>
        <x:v>2</x:v>
      </x:c>
      <x:c r="T8" s="66" t="n">
        <x:f>IF(N8=1,IF(C8="Closure",'Control Inputs'!D48,'Control Inputs'!D49),0)</x:f>
        <x:v>20</x:v>
      </x:c>
      <x:c r="U8" s="66" t="n">
        <x:f>IF(AND(N8=1,OR(G8="BLIND",G8="SEALED")),1,0)</x:f>
        <x:v>0</x:v>
      </x:c>
      <x:c r="V8" s="66" t="str">
        <x:v>PLANNING</x:v>
      </x:c>
      <x:c r="W8" s="76" t="n">
        <x:f>IF(O8="ACTIVE_INTERRUPTED",'Control Inputs'!D8,K8)</x:f>
        <x:v>9</x:v>
      </x:c>
    </x:row>
    <x:row r="9" ht="31" customHeight="1">
      <x:c r="B9" s="65" t="str">
        <x:v>CW-C003</x:v>
      </x:c>
      <x:c r="C9" s="65" t="str">
        <x:v>Closure</x:v>
      </x:c>
      <x:c r="D9" s="66" t="str">
        <x:v>PRIMARY</x:v>
      </x:c>
      <x:c r="E9" s="66" t="str">
        <x:v>R3</x:v>
      </x:c>
      <x:c r="F9" s="66" t="str">
        <x:v>declared nominal</x:v>
      </x:c>
      <x:c r="G9" s="66" t="str">
        <x:v>DISCLOSED</x:v>
      </x:c>
      <x:c r="H9" s="66" t="str">
        <x:v>NRC-C</x:v>
      </x:c>
      <x:c r="I9" s="66" t="str">
        <x:v>CB-C1</x:v>
      </x:c>
      <x:c r="J9" s="66" t="n">
        <x:v>1</x:v>
      </x:c>
      <x:c r="K9" s="66" t="n">
        <x:v>9</x:v>
      </x:c>
      <x:c r="L9" s="66" t="n">
        <x:v>15</x:v>
      </x:c>
      <x:c r="M9" s="66" t="str"/>
      <x:c r="N9" s="66" t="n">
        <x:v>1</x:v>
      </x:c>
      <x:c r="O9" s="66" t="str">
        <x:f>IF(AND(H9='Control Inputs'!D9,J9&lt;'Control Inputs'!D8,K9&gt;'Control Inputs'!D8),"ACTIVE_INTERRUPTED",IF(AND(H9='Control Inputs'!D9,K9&lt;='Control Inputs'!D8,L9&gt;'Control Inputs'!D8),"REMOTE_PACKET",IF(AND(H9='Control Inputs'!D9,L9&lt;='Control Inputs'!D8),"PRELOSS_TERMINAL","UNAFFECTED")))</x:f>
        <x:v>UNAFFECTED</x:v>
      </x:c>
      <x:c r="P9" s="66" t="str">
        <x:f>IF(N9=0,"HELD",IF(O9="ACTIVE_INTERRUPTED","MODELED RANGE-INVALID","MODELED CREDIT"))</x:f>
        <x:v>MODELED CREDIT</x:v>
      </x:c>
      <x:c r="Q9" s="66" t="n">
        <x:f>IF(P9="MODELED CREDIT",1,0)</x:f>
        <x:v>1</x:v>
      </x:c>
      <x:c r="R9" s="66" t="n">
        <x:f>IF(N9=1,IF(C9="Closure",'Control Inputs'!D37,'Control Inputs'!D38),0)</x:f>
        <x:v>24</x:v>
      </x:c>
      <x:c r="S9" s="66" t="n">
        <x:f>IF(N9=1,IF(C9="Closure",'Control Inputs'!D32,'Control Inputs'!D33),0)</x:f>
        <x:v>2</x:v>
      </x:c>
      <x:c r="T9" s="66" t="n">
        <x:f>IF(N9=1,IF(C9="Closure",'Control Inputs'!D48,'Control Inputs'!D49),0)</x:f>
        <x:v>20</x:v>
      </x:c>
      <x:c r="U9" s="66" t="n">
        <x:f>IF(AND(N9=1,OR(G9="BLIND",G9="SEALED")),1,0)</x:f>
        <x:v>0</x:v>
      </x:c>
      <x:c r="V9" s="66" t="str">
        <x:v>PLANNING</x:v>
      </x:c>
      <x:c r="W9" s="76" t="n">
        <x:f>IF(O9="ACTIVE_INTERRUPTED",'Control Inputs'!D8,K9)</x:f>
        <x:v>9</x:v>
      </x:c>
    </x:row>
    <x:row r="10" ht="31" customHeight="1">
      <x:c r="B10" s="65" t="str">
        <x:v>CW-C004</x:v>
      </x:c>
      <x:c r="C10" s="65" t="str">
        <x:v>Closure</x:v>
      </x:c>
      <x:c r="D10" s="66" t="str">
        <x:v>PRIMARY</x:v>
      </x:c>
      <x:c r="E10" s="66" t="str">
        <x:v>R1</x:v>
      </x:c>
      <x:c r="F10" s="66" t="str">
        <x:v>declared process edge</x:v>
      </x:c>
      <x:c r="G10" s="66" t="str">
        <x:v>DISCLOSED</x:v>
      </x:c>
      <x:c r="H10" s="66" t="str">
        <x:v>NRC-A</x:v>
      </x:c>
      <x:c r="I10" s="66" t="str">
        <x:v>CB-A2</x:v>
      </x:c>
      <x:c r="J10" s="66" t="n">
        <x:v>10</x:v>
      </x:c>
      <x:c r="K10" s="66" t="n">
        <x:v>18</x:v>
      </x:c>
      <x:c r="L10" s="66" t="n">
        <x:v>24</x:v>
      </x:c>
      <x:c r="M10" s="66" t="str"/>
      <x:c r="N10" s="66" t="n">
        <x:v>1</x:v>
      </x:c>
      <x:c r="O10" s="66" t="str">
        <x:f>IF(AND(H10='Control Inputs'!D9,J10&lt;'Control Inputs'!D8,K10&gt;'Control Inputs'!D8),"ACTIVE_INTERRUPTED",IF(AND(H10='Control Inputs'!D9,K10&lt;='Control Inputs'!D8,L10&gt;'Control Inputs'!D8),"REMOTE_PACKET",IF(AND(H10='Control Inputs'!D9,L10&lt;='Control Inputs'!D8),"PRELOSS_TERMINAL","UNAFFECTED")))</x:f>
        <x:v>UNAFFECTED</x:v>
      </x:c>
      <x:c r="P10" s="66" t="str">
        <x:f>IF(N10=0,"HELD",IF(O10="ACTIVE_INTERRUPTED","MODELED RANGE-INVALID","MODELED CREDIT"))</x:f>
        <x:v>MODELED CREDIT</x:v>
      </x:c>
      <x:c r="Q10" s="66" t="n">
        <x:f>IF(P10="MODELED CREDIT",1,0)</x:f>
        <x:v>1</x:v>
      </x:c>
      <x:c r="R10" s="66" t="n">
        <x:f>IF(N10=1,IF(C10="Closure",'Control Inputs'!D37,'Control Inputs'!D38),0)</x:f>
        <x:v>24</x:v>
      </x:c>
      <x:c r="S10" s="66" t="n">
        <x:f>IF(N10=1,IF(C10="Closure",'Control Inputs'!D32,'Control Inputs'!D33),0)</x:f>
        <x:v>2</x:v>
      </x:c>
      <x:c r="T10" s="66" t="n">
        <x:f>IF(N10=1,IF(C10="Closure",'Control Inputs'!D48,'Control Inputs'!D49),0)</x:f>
        <x:v>20</x:v>
      </x:c>
      <x:c r="U10" s="66" t="n">
        <x:f>IF(AND(N10=1,OR(G10="BLIND",G10="SEALED")),1,0)</x:f>
        <x:v>0</x:v>
      </x:c>
      <x:c r="V10" s="66" t="str">
        <x:v>PLANNING</x:v>
      </x:c>
      <x:c r="W10" s="76" t="n">
        <x:f>IF(O10="ACTIVE_INTERRUPTED",'Control Inputs'!D8,K10)</x:f>
        <x:v>18</x:v>
      </x:c>
    </x:row>
    <x:row r="11" ht="31" customHeight="1">
      <x:c r="B11" s="65" t="str">
        <x:v>CW-C005</x:v>
      </x:c>
      <x:c r="C11" s="65" t="str">
        <x:v>Closure</x:v>
      </x:c>
      <x:c r="D11" s="66" t="str">
        <x:v>PRIMARY</x:v>
      </x:c>
      <x:c r="E11" s="66" t="str">
        <x:v>R2</x:v>
      </x:c>
      <x:c r="F11" s="66" t="str">
        <x:v>declared process edge</x:v>
      </x:c>
      <x:c r="G11" s="66" t="str">
        <x:v>DISCLOSED</x:v>
      </x:c>
      <x:c r="H11" s="66" t="str">
        <x:v>NRC-B</x:v>
      </x:c>
      <x:c r="I11" s="66" t="str">
        <x:v>CB-B2</x:v>
      </x:c>
      <x:c r="J11" s="66" t="n">
        <x:v>10</x:v>
      </x:c>
      <x:c r="K11" s="66" t="n">
        <x:v>18</x:v>
      </x:c>
      <x:c r="L11" s="66" t="n">
        <x:v>24</x:v>
      </x:c>
      <x:c r="M11" s="66" t="str"/>
      <x:c r="N11" s="66" t="n">
        <x:v>1</x:v>
      </x:c>
      <x:c r="O11" s="66" t="str">
        <x:f>IF(AND(H11='Control Inputs'!D9,J11&lt;'Control Inputs'!D8,K11&gt;'Control Inputs'!D8),"ACTIVE_INTERRUPTED",IF(AND(H11='Control Inputs'!D9,K11&lt;='Control Inputs'!D8,L11&gt;'Control Inputs'!D8),"REMOTE_PACKET",IF(AND(H11='Control Inputs'!D9,L11&lt;='Control Inputs'!D8),"PRELOSS_TERMINAL","UNAFFECTED")))</x:f>
        <x:v>PRELOSS_TERMINAL</x:v>
      </x:c>
      <x:c r="P11" s="66" t="str">
        <x:f>IF(N11=0,"HELD",IF(O11="ACTIVE_INTERRUPTED","MODELED RANGE-INVALID","MODELED CREDIT"))</x:f>
        <x:v>MODELED CREDIT</x:v>
      </x:c>
      <x:c r="Q11" s="66" t="n">
        <x:f>IF(P11="MODELED CREDIT",1,0)</x:f>
        <x:v>1</x:v>
      </x:c>
      <x:c r="R11" s="66" t="n">
        <x:f>IF(N11=1,IF(C11="Closure",'Control Inputs'!D37,'Control Inputs'!D38),0)</x:f>
        <x:v>24</x:v>
      </x:c>
      <x:c r="S11" s="66" t="n">
        <x:f>IF(N11=1,IF(C11="Closure",'Control Inputs'!D32,'Control Inputs'!D33),0)</x:f>
        <x:v>2</x:v>
      </x:c>
      <x:c r="T11" s="66" t="n">
        <x:f>IF(N11=1,IF(C11="Closure",'Control Inputs'!D48,'Control Inputs'!D49),0)</x:f>
        <x:v>20</x:v>
      </x:c>
      <x:c r="U11" s="66" t="n">
        <x:f>IF(AND(N11=1,OR(G11="BLIND",G11="SEALED")),1,0)</x:f>
        <x:v>0</x:v>
      </x:c>
      <x:c r="V11" s="66" t="str">
        <x:v>PLANNING</x:v>
      </x:c>
      <x:c r="W11" s="76" t="n">
        <x:f>IF(O11="ACTIVE_INTERRUPTED",'Control Inputs'!D8,K11)</x:f>
        <x:v>18</x:v>
      </x:c>
    </x:row>
    <x:row r="12" ht="31" customHeight="1">
      <x:c r="B12" s="65" t="str">
        <x:v>CW-C006</x:v>
      </x:c>
      <x:c r="C12" s="65" t="str">
        <x:v>Closure</x:v>
      </x:c>
      <x:c r="D12" s="66" t="str">
        <x:v>PRIMARY</x:v>
      </x:c>
      <x:c r="E12" s="66" t="str">
        <x:v>R3</x:v>
      </x:c>
      <x:c r="F12" s="66" t="str">
        <x:v>declared process edge</x:v>
      </x:c>
      <x:c r="G12" s="66" t="str">
        <x:v>DISCLOSED</x:v>
      </x:c>
      <x:c r="H12" s="66" t="str">
        <x:v>NRC-C</x:v>
      </x:c>
      <x:c r="I12" s="66" t="str">
        <x:v>CB-C2</x:v>
      </x:c>
      <x:c r="J12" s="66" t="n">
        <x:v>10</x:v>
      </x:c>
      <x:c r="K12" s="66" t="n">
        <x:v>18</x:v>
      </x:c>
      <x:c r="L12" s="66" t="n">
        <x:v>24</x:v>
      </x:c>
      <x:c r="M12" s="66" t="str"/>
      <x:c r="N12" s="66" t="n">
        <x:v>1</x:v>
      </x:c>
      <x:c r="O12" s="66" t="str">
        <x:f>IF(AND(H12='Control Inputs'!D9,J12&lt;'Control Inputs'!D8,K12&gt;'Control Inputs'!D8),"ACTIVE_INTERRUPTED",IF(AND(H12='Control Inputs'!D9,K12&lt;='Control Inputs'!D8,L12&gt;'Control Inputs'!D8),"REMOTE_PACKET",IF(AND(H12='Control Inputs'!D9,L12&lt;='Control Inputs'!D8),"PRELOSS_TERMINAL","UNAFFECTED")))</x:f>
        <x:v>UNAFFECTED</x:v>
      </x:c>
      <x:c r="P12" s="66" t="str">
        <x:f>IF(N12=0,"HELD",IF(O12="ACTIVE_INTERRUPTED","MODELED RANGE-INVALID","MODELED CREDIT"))</x:f>
        <x:v>MODELED CREDIT</x:v>
      </x:c>
      <x:c r="Q12" s="66" t="n">
        <x:f>IF(P12="MODELED CREDIT",1,0)</x:f>
        <x:v>1</x:v>
      </x:c>
      <x:c r="R12" s="66" t="n">
        <x:f>IF(N12=1,IF(C12="Closure",'Control Inputs'!D37,'Control Inputs'!D38),0)</x:f>
        <x:v>24</x:v>
      </x:c>
      <x:c r="S12" s="66" t="n">
        <x:f>IF(N12=1,IF(C12="Closure",'Control Inputs'!D32,'Control Inputs'!D33),0)</x:f>
        <x:v>2</x:v>
      </x:c>
      <x:c r="T12" s="66" t="n">
        <x:f>IF(N12=1,IF(C12="Closure",'Control Inputs'!D48,'Control Inputs'!D49),0)</x:f>
        <x:v>20</x:v>
      </x:c>
      <x:c r="U12" s="66" t="n">
        <x:f>IF(AND(N12=1,OR(G12="BLIND",G12="SEALED")),1,0)</x:f>
        <x:v>0</x:v>
      </x:c>
      <x:c r="V12" s="66" t="str">
        <x:v>PLANNING</x:v>
      </x:c>
      <x:c r="W12" s="76" t="n">
        <x:f>IF(O12="ACTIVE_INTERRUPTED",'Control Inputs'!D8,K12)</x:f>
        <x:v>18</x:v>
      </x:c>
    </x:row>
    <x:row r="13" ht="31" customHeight="1">
      <x:c r="B13" s="65" t="str">
        <x:v>CW-C007</x:v>
      </x:c>
      <x:c r="C13" s="65" t="str">
        <x:v>Closure</x:v>
      </x:c>
      <x:c r="D13" s="66" t="str">
        <x:v>PRIMARY</x:v>
      </x:c>
      <x:c r="E13" s="66" t="str">
        <x:v>R1</x:v>
      </x:c>
      <x:c r="F13" s="66" t="str">
        <x:v>known defect</x:v>
      </x:c>
      <x:c r="G13" s="66" t="str">
        <x:v>DISCLOSED</x:v>
      </x:c>
      <x:c r="H13" s="66" t="str">
        <x:v>NRC-A</x:v>
      </x:c>
      <x:c r="I13" s="66" t="str">
        <x:v>CB-A1</x:v>
      </x:c>
      <x:c r="J13" s="66" t="n">
        <x:v>19</x:v>
      </x:c>
      <x:c r="K13" s="66" t="n">
        <x:v>27</x:v>
      </x:c>
      <x:c r="L13" s="66" t="n">
        <x:v>33</x:v>
      </x:c>
      <x:c r="M13" s="66" t="str"/>
      <x:c r="N13" s="66" t="n">
        <x:v>1</x:v>
      </x:c>
      <x:c r="O13" s="66" t="str">
        <x:f>IF(AND(H13='Control Inputs'!D9,J13&lt;'Control Inputs'!D8,K13&gt;'Control Inputs'!D8),"ACTIVE_INTERRUPTED",IF(AND(H13='Control Inputs'!D9,K13&lt;='Control Inputs'!D8,L13&gt;'Control Inputs'!D8),"REMOTE_PACKET",IF(AND(H13='Control Inputs'!D9,L13&lt;='Control Inputs'!D8),"PRELOSS_TERMINAL","UNAFFECTED")))</x:f>
        <x:v>UNAFFECTED</x:v>
      </x:c>
      <x:c r="P13" s="66" t="str">
        <x:f>IF(N13=0,"HELD",IF(O13="ACTIVE_INTERRUPTED","MODELED RANGE-INVALID","MODELED CREDIT"))</x:f>
        <x:v>MODELED CREDIT</x:v>
      </x:c>
      <x:c r="Q13" s="66" t="n">
        <x:f>IF(P13="MODELED CREDIT",1,0)</x:f>
        <x:v>1</x:v>
      </x:c>
      <x:c r="R13" s="66" t="n">
        <x:f>IF(N13=1,IF(C13="Closure",'Control Inputs'!D37,'Control Inputs'!D38),0)</x:f>
        <x:v>24</x:v>
      </x:c>
      <x:c r="S13" s="66" t="n">
        <x:f>IF(N13=1,IF(C13="Closure",'Control Inputs'!D32,'Control Inputs'!D33),0)</x:f>
        <x:v>2</x:v>
      </x:c>
      <x:c r="T13" s="66" t="n">
        <x:f>IF(N13=1,IF(C13="Closure",'Control Inputs'!D48,'Control Inputs'!D49),0)</x:f>
        <x:v>20</x:v>
      </x:c>
      <x:c r="U13" s="66" t="n">
        <x:f>IF(AND(N13=1,OR(G13="BLIND",G13="SEALED")),1,0)</x:f>
        <x:v>0</x:v>
      </x:c>
      <x:c r="V13" s="66" t="str">
        <x:v>PLANNING</x:v>
      </x:c>
      <x:c r="W13" s="76" t="n">
        <x:f>IF(O13="ACTIVE_INTERRUPTED",'Control Inputs'!D8,K13)</x:f>
        <x:v>27</x:v>
      </x:c>
    </x:row>
    <x:row r="14" ht="31" customHeight="1">
      <x:c r="B14" s="65" t="str">
        <x:v>CW-C008</x:v>
      </x:c>
      <x:c r="C14" s="65" t="str">
        <x:v>Closure</x:v>
      </x:c>
      <x:c r="D14" s="66" t="str">
        <x:v>PRIMARY</x:v>
      </x:c>
      <x:c r="E14" s="66" t="str">
        <x:v>R2</x:v>
      </x:c>
      <x:c r="F14" s="66" t="str">
        <x:v>known defect</x:v>
      </x:c>
      <x:c r="G14" s="66" t="str">
        <x:v>DISCLOSED</x:v>
      </x:c>
      <x:c r="H14" s="66" t="str">
        <x:v>NRC-B</x:v>
      </x:c>
      <x:c r="I14" s="66" t="str">
        <x:v>CB-B1</x:v>
      </x:c>
      <x:c r="J14" s="66" t="n">
        <x:v>19</x:v>
      </x:c>
      <x:c r="K14" s="66" t="n">
        <x:v>27</x:v>
      </x:c>
      <x:c r="L14" s="66" t="n">
        <x:v>33</x:v>
      </x:c>
      <x:c r="M14" s="66" t="str"/>
      <x:c r="N14" s="66" t="n">
        <x:v>1</x:v>
      </x:c>
      <x:c r="O14" s="66" t="str">
        <x:f>IF(AND(H14='Control Inputs'!D9,J14&lt;'Control Inputs'!D8,K14&gt;'Control Inputs'!D8),"ACTIVE_INTERRUPTED",IF(AND(H14='Control Inputs'!D9,K14&lt;='Control Inputs'!D8,L14&gt;'Control Inputs'!D8),"REMOTE_PACKET",IF(AND(H14='Control Inputs'!D9,L14&lt;='Control Inputs'!D8),"PRELOSS_TERMINAL","UNAFFECTED")))</x:f>
        <x:v>PRELOSS_TERMINAL</x:v>
      </x:c>
      <x:c r="P14" s="66" t="str">
        <x:f>IF(N14=0,"HELD",IF(O14="ACTIVE_INTERRUPTED","MODELED RANGE-INVALID","MODELED CREDIT"))</x:f>
        <x:v>MODELED CREDIT</x:v>
      </x:c>
      <x:c r="Q14" s="66" t="n">
        <x:f>IF(P14="MODELED CREDIT",1,0)</x:f>
        <x:v>1</x:v>
      </x:c>
      <x:c r="R14" s="66" t="n">
        <x:f>IF(N14=1,IF(C14="Closure",'Control Inputs'!D37,'Control Inputs'!D38),0)</x:f>
        <x:v>24</x:v>
      </x:c>
      <x:c r="S14" s="66" t="n">
        <x:f>IF(N14=1,IF(C14="Closure",'Control Inputs'!D32,'Control Inputs'!D33),0)</x:f>
        <x:v>2</x:v>
      </x:c>
      <x:c r="T14" s="66" t="n">
        <x:f>IF(N14=1,IF(C14="Closure",'Control Inputs'!D48,'Control Inputs'!D49),0)</x:f>
        <x:v>20</x:v>
      </x:c>
      <x:c r="U14" s="66" t="n">
        <x:f>IF(AND(N14=1,OR(G14="BLIND",G14="SEALED")),1,0)</x:f>
        <x:v>0</x:v>
      </x:c>
      <x:c r="V14" s="66" t="str">
        <x:v>PLANNING</x:v>
      </x:c>
      <x:c r="W14" s="76" t="n">
        <x:f>IF(O14="ACTIVE_INTERRUPTED",'Control Inputs'!D8,K14)</x:f>
        <x:v>27</x:v>
      </x:c>
    </x:row>
    <x:row r="15" ht="31" customHeight="1">
      <x:c r="B15" s="65" t="str">
        <x:v>CW-C009</x:v>
      </x:c>
      <x:c r="C15" s="65" t="str">
        <x:v>Closure</x:v>
      </x:c>
      <x:c r="D15" s="66" t="str">
        <x:v>PRIMARY</x:v>
      </x:c>
      <x:c r="E15" s="66" t="str">
        <x:v>R3</x:v>
      </x:c>
      <x:c r="F15" s="66" t="str">
        <x:v>known defect</x:v>
      </x:c>
      <x:c r="G15" s="66" t="str">
        <x:v>DISCLOSED</x:v>
      </x:c>
      <x:c r="H15" s="66" t="str">
        <x:v>NRC-C</x:v>
      </x:c>
      <x:c r="I15" s="66" t="str">
        <x:v>CB-C1</x:v>
      </x:c>
      <x:c r="J15" s="66" t="n">
        <x:v>19</x:v>
      </x:c>
      <x:c r="K15" s="66" t="n">
        <x:v>27</x:v>
      </x:c>
      <x:c r="L15" s="66" t="n">
        <x:v>33</x:v>
      </x:c>
      <x:c r="M15" s="66" t="str"/>
      <x:c r="N15" s="66" t="n">
        <x:v>1</x:v>
      </x:c>
      <x:c r="O15" s="66" t="str">
        <x:f>IF(AND(H15='Control Inputs'!D9,J15&lt;'Control Inputs'!D8,K15&gt;'Control Inputs'!D8),"ACTIVE_INTERRUPTED",IF(AND(H15='Control Inputs'!D9,K15&lt;='Control Inputs'!D8,L15&gt;'Control Inputs'!D8),"REMOTE_PACKET",IF(AND(H15='Control Inputs'!D9,L15&lt;='Control Inputs'!D8),"PRELOSS_TERMINAL","UNAFFECTED")))</x:f>
        <x:v>UNAFFECTED</x:v>
      </x:c>
      <x:c r="P15" s="66" t="str">
        <x:f>IF(N15=0,"HELD",IF(O15="ACTIVE_INTERRUPTED","MODELED RANGE-INVALID","MODELED CREDIT"))</x:f>
        <x:v>MODELED CREDIT</x:v>
      </x:c>
      <x:c r="Q15" s="66" t="n">
        <x:f>IF(P15="MODELED CREDIT",1,0)</x:f>
        <x:v>1</x:v>
      </x:c>
      <x:c r="R15" s="66" t="n">
        <x:f>IF(N15=1,IF(C15="Closure",'Control Inputs'!D37,'Control Inputs'!D38),0)</x:f>
        <x:v>24</x:v>
      </x:c>
      <x:c r="S15" s="66" t="n">
        <x:f>IF(N15=1,IF(C15="Closure",'Control Inputs'!D32,'Control Inputs'!D33),0)</x:f>
        <x:v>2</x:v>
      </x:c>
      <x:c r="T15" s="66" t="n">
        <x:f>IF(N15=1,IF(C15="Closure",'Control Inputs'!D48,'Control Inputs'!D49),0)</x:f>
        <x:v>20</x:v>
      </x:c>
      <x:c r="U15" s="66" t="n">
        <x:f>IF(AND(N15=1,OR(G15="BLIND",G15="SEALED")),1,0)</x:f>
        <x:v>0</x:v>
      </x:c>
      <x:c r="V15" s="66" t="str">
        <x:v>PLANNING</x:v>
      </x:c>
      <x:c r="W15" s="76" t="n">
        <x:f>IF(O15="ACTIVE_INTERRUPTED",'Control Inputs'!D8,K15)</x:f>
        <x:v>27</x:v>
      </x:c>
    </x:row>
    <x:row r="16" ht="31" customHeight="1">
      <x:c r="B16" s="65" t="str">
        <x:v>CW-C010</x:v>
      </x:c>
      <x:c r="C16" s="65" t="str">
        <x:v>Closure</x:v>
      </x:c>
      <x:c r="D16" s="66" t="str">
        <x:v>PRIMARY</x:v>
      </x:c>
      <x:c r="E16" s="66" t="str">
        <x:v>R1</x:v>
      </x:c>
      <x:c r="F16" s="66" t="str">
        <x:v>blind physical defect</x:v>
      </x:c>
      <x:c r="G16" s="66" t="str">
        <x:v>BLIND</x:v>
      </x:c>
      <x:c r="H16" s="66" t="str">
        <x:v>NRC-B</x:v>
      </x:c>
      <x:c r="I16" s="66" t="str">
        <x:v>CB-B2</x:v>
      </x:c>
      <x:c r="J16" s="66" t="n">
        <x:v>27</x:v>
      </x:c>
      <x:c r="K16" s="66" t="n">
        <x:v>35</x:v>
      </x:c>
      <x:c r="L16" s="66" t="n">
        <x:v>41</x:v>
      </x:c>
      <x:c r="M16" s="66" t="str"/>
      <x:c r="N16" s="66" t="n">
        <x:v>1</x:v>
      </x:c>
      <x:c r="O16" s="66" t="str">
        <x:f>IF(AND(H16='Control Inputs'!D9,J16&lt;'Control Inputs'!D8,K16&gt;'Control Inputs'!D8),"ACTIVE_INTERRUPTED",IF(AND(H16='Control Inputs'!D9,K16&lt;='Control Inputs'!D8,L16&gt;'Control Inputs'!D8),"REMOTE_PACKET",IF(AND(H16='Control Inputs'!D9,L16&lt;='Control Inputs'!D8),"PRELOSS_TERMINAL","UNAFFECTED")))</x:f>
        <x:v>REMOTE_PACKET</x:v>
      </x:c>
      <x:c r="P16" s="66" t="str">
        <x:f>IF(N16=0,"HELD",IF(O16="ACTIVE_INTERRUPTED","MODELED RANGE-INVALID","MODELED CREDIT"))</x:f>
        <x:v>MODELED CREDIT</x:v>
      </x:c>
      <x:c r="Q16" s="66" t="n">
        <x:f>IF(P16="MODELED CREDIT",1,0)</x:f>
        <x:v>1</x:v>
      </x:c>
      <x:c r="R16" s="66" t="n">
        <x:f>IF(N16=1,IF(C16="Closure",'Control Inputs'!D37,'Control Inputs'!D38),0)</x:f>
        <x:v>24</x:v>
      </x:c>
      <x:c r="S16" s="66" t="n">
        <x:f>IF(N16=1,IF(C16="Closure",'Control Inputs'!D32,'Control Inputs'!D33),0)</x:f>
        <x:v>2</x:v>
      </x:c>
      <x:c r="T16" s="66" t="n">
        <x:f>IF(N16=1,IF(C16="Closure",'Control Inputs'!D48,'Control Inputs'!D49),0)</x:f>
        <x:v>20</x:v>
      </x:c>
      <x:c r="U16" s="66" t="n">
        <x:f>IF(AND(N16=1,OR(G16="BLIND",G16="SEALED")),1,0)</x:f>
        <x:v>1</x:v>
      </x:c>
      <x:c r="V16" s="66" t="str">
        <x:v>PLANNING</x:v>
      </x:c>
      <x:c r="W16" s="76" t="n">
        <x:f>IF(O16="ACTIVE_INTERRUPTED",'Control Inputs'!D8,K16)</x:f>
        <x:v>35</x:v>
      </x:c>
    </x:row>
    <x:row r="17" ht="31" customHeight="1">
      <x:c r="B17" s="65" t="str">
        <x:v>CW-C011</x:v>
      </x:c>
      <x:c r="C17" s="65" t="str">
        <x:v>Closure</x:v>
      </x:c>
      <x:c r="D17" s="66" t="str">
        <x:v>PRIMARY</x:v>
      </x:c>
      <x:c r="E17" s="66" t="str">
        <x:v>R2</x:v>
      </x:c>
      <x:c r="F17" s="66" t="str">
        <x:v>blind physical defect</x:v>
      </x:c>
      <x:c r="G17" s="66" t="str">
        <x:v>BLIND</x:v>
      </x:c>
      <x:c r="H17" s="66" t="str">
        <x:v>NRC-C</x:v>
      </x:c>
      <x:c r="I17" s="66" t="str">
        <x:v>CB-C2</x:v>
      </x:c>
      <x:c r="J17" s="66" t="n">
        <x:v>27</x:v>
      </x:c>
      <x:c r="K17" s="66" t="n">
        <x:v>35</x:v>
      </x:c>
      <x:c r="L17" s="66" t="n">
        <x:v>41</x:v>
      </x:c>
      <x:c r="M17" s="66" t="str"/>
      <x:c r="N17" s="66" t="n">
        <x:v>1</x:v>
      </x:c>
      <x:c r="O17" s="66" t="str">
        <x:f>IF(AND(H17='Control Inputs'!D9,J17&lt;'Control Inputs'!D8,K17&gt;'Control Inputs'!D8),"ACTIVE_INTERRUPTED",IF(AND(H17='Control Inputs'!D9,K17&lt;='Control Inputs'!D8,L17&gt;'Control Inputs'!D8),"REMOTE_PACKET",IF(AND(H17='Control Inputs'!D9,L17&lt;='Control Inputs'!D8),"PRELOSS_TERMINAL","UNAFFECTED")))</x:f>
        <x:v>UNAFFECTED</x:v>
      </x:c>
      <x:c r="P17" s="66" t="str">
        <x:f>IF(N17=0,"HELD",IF(O17="ACTIVE_INTERRUPTED","MODELED RANGE-INVALID","MODELED CREDIT"))</x:f>
        <x:v>MODELED CREDIT</x:v>
      </x:c>
      <x:c r="Q17" s="66" t="n">
        <x:f>IF(P17="MODELED CREDIT",1,0)</x:f>
        <x:v>1</x:v>
      </x:c>
      <x:c r="R17" s="66" t="n">
        <x:f>IF(N17=1,IF(C17="Closure",'Control Inputs'!D37,'Control Inputs'!D38),0)</x:f>
        <x:v>24</x:v>
      </x:c>
      <x:c r="S17" s="66" t="n">
        <x:f>IF(N17=1,IF(C17="Closure",'Control Inputs'!D32,'Control Inputs'!D33),0)</x:f>
        <x:v>2</x:v>
      </x:c>
      <x:c r="T17" s="66" t="n">
        <x:f>IF(N17=1,IF(C17="Closure",'Control Inputs'!D48,'Control Inputs'!D49),0)</x:f>
        <x:v>20</x:v>
      </x:c>
      <x:c r="U17" s="66" t="n">
        <x:f>IF(AND(N17=1,OR(G17="BLIND",G17="SEALED")),1,0)</x:f>
        <x:v>1</x:v>
      </x:c>
      <x:c r="V17" s="66" t="str">
        <x:v>PLANNING</x:v>
      </x:c>
      <x:c r="W17" s="76" t="n">
        <x:f>IF(O17="ACTIVE_INTERRUPTED",'Control Inputs'!D8,K17)</x:f>
        <x:v>35</x:v>
      </x:c>
    </x:row>
    <x:row r="18" ht="31" customHeight="1">
      <x:c r="B18" s="65" t="str">
        <x:v>CW-C012</x:v>
      </x:c>
      <x:c r="C18" s="65" t="str">
        <x:v>Closure</x:v>
      </x:c>
      <x:c r="D18" s="66" t="str">
        <x:v>PRIMARY</x:v>
      </x:c>
      <x:c r="E18" s="66" t="str">
        <x:v>R3</x:v>
      </x:c>
      <x:c r="F18" s="66" t="str">
        <x:v>blind physical defect</x:v>
      </x:c>
      <x:c r="G18" s="66" t="str">
        <x:v>BLIND</x:v>
      </x:c>
      <x:c r="H18" s="66" t="str">
        <x:v>NRC-A</x:v>
      </x:c>
      <x:c r="I18" s="66" t="str">
        <x:v>CB-A1</x:v>
      </x:c>
      <x:c r="J18" s="66" t="n">
        <x:v>32</x:v>
      </x:c>
      <x:c r="K18" s="66" t="n">
        <x:v>40</x:v>
      </x:c>
      <x:c r="L18" s="66" t="n">
        <x:v>46</x:v>
      </x:c>
      <x:c r="M18" s="66" t="str"/>
      <x:c r="N18" s="66" t="n">
        <x:v>1</x:v>
      </x:c>
      <x:c r="O18" s="66" t="str">
        <x:f>IF(AND(H18='Control Inputs'!D9,J18&lt;'Control Inputs'!D8,K18&gt;'Control Inputs'!D8),"ACTIVE_INTERRUPTED",IF(AND(H18='Control Inputs'!D9,K18&lt;='Control Inputs'!D8,L18&gt;'Control Inputs'!D8),"REMOTE_PACKET",IF(AND(H18='Control Inputs'!D9,L18&lt;='Control Inputs'!D8),"PRELOSS_TERMINAL","UNAFFECTED")))</x:f>
        <x:v>UNAFFECTED</x:v>
      </x:c>
      <x:c r="P18" s="66" t="str">
        <x:f>IF(N18=0,"HELD",IF(O18="ACTIVE_INTERRUPTED","MODELED RANGE-INVALID","MODELED CREDIT"))</x:f>
        <x:v>MODELED CREDIT</x:v>
      </x:c>
      <x:c r="Q18" s="66" t="n">
        <x:f>IF(P18="MODELED CREDIT",1,0)</x:f>
        <x:v>1</x:v>
      </x:c>
      <x:c r="R18" s="66" t="n">
        <x:f>IF(N18=1,IF(C18="Closure",'Control Inputs'!D37,'Control Inputs'!D38),0)</x:f>
        <x:v>24</x:v>
      </x:c>
      <x:c r="S18" s="66" t="n">
        <x:f>IF(N18=1,IF(C18="Closure",'Control Inputs'!D32,'Control Inputs'!D33),0)</x:f>
        <x:v>2</x:v>
      </x:c>
      <x:c r="T18" s="66" t="n">
        <x:f>IF(N18=1,IF(C18="Closure",'Control Inputs'!D48,'Control Inputs'!D49),0)</x:f>
        <x:v>20</x:v>
      </x:c>
      <x:c r="U18" s="66" t="n">
        <x:f>IF(AND(N18=1,OR(G18="BLIND",G18="SEALED")),1,0)</x:f>
        <x:v>1</x:v>
      </x:c>
      <x:c r="V18" s="66" t="str">
        <x:v>PLANNING</x:v>
      </x:c>
      <x:c r="W18" s="76" t="n">
        <x:f>IF(O18="ACTIVE_INTERRUPTED",'Control Inputs'!D8,K18)</x:f>
        <x:v>40</x:v>
      </x:c>
    </x:row>
    <x:row r="19" ht="31" customHeight="1">
      <x:c r="B19" s="65" t="str">
        <x:v>CW-C013</x:v>
      </x:c>
      <x:c r="C19" s="65" t="str">
        <x:v>Closure</x:v>
      </x:c>
      <x:c r="D19" s="66" t="str">
        <x:v>PRIMARY</x:v>
      </x:c>
      <x:c r="E19" s="66" t="str">
        <x:v>R1</x:v>
      </x:c>
      <x:c r="F19" s="66" t="str">
        <x:v>blind configuration defect</x:v>
      </x:c>
      <x:c r="G19" s="66" t="str">
        <x:v>BLIND</x:v>
      </x:c>
      <x:c r="H19" s="66" t="str">
        <x:v>NRC-C</x:v>
      </x:c>
      <x:c r="I19" s="66" t="str">
        <x:v>CB-C1</x:v>
      </x:c>
      <x:c r="J19" s="66" t="n">
        <x:v>32</x:v>
      </x:c>
      <x:c r="K19" s="66" t="n">
        <x:v>40</x:v>
      </x:c>
      <x:c r="L19" s="66" t="n">
        <x:v>46</x:v>
      </x:c>
      <x:c r="M19" s="66" t="str"/>
      <x:c r="N19" s="66" t="n">
        <x:v>1</x:v>
      </x:c>
      <x:c r="O19" s="66" t="str">
        <x:f>IF(AND(H19='Control Inputs'!D9,J19&lt;'Control Inputs'!D8,K19&gt;'Control Inputs'!D8),"ACTIVE_INTERRUPTED",IF(AND(H19='Control Inputs'!D9,K19&lt;='Control Inputs'!D8,L19&gt;'Control Inputs'!D8),"REMOTE_PACKET",IF(AND(H19='Control Inputs'!D9,L19&lt;='Control Inputs'!D8),"PRELOSS_TERMINAL","UNAFFECTED")))</x:f>
        <x:v>UNAFFECTED</x:v>
      </x:c>
      <x:c r="P19" s="66" t="str">
        <x:f>IF(N19=0,"HELD",IF(O19="ACTIVE_INTERRUPTED","MODELED RANGE-INVALID","MODELED CREDIT"))</x:f>
        <x:v>MODELED CREDIT</x:v>
      </x:c>
      <x:c r="Q19" s="66" t="n">
        <x:f>IF(P19="MODELED CREDIT",1,0)</x:f>
        <x:v>1</x:v>
      </x:c>
      <x:c r="R19" s="66" t="n">
        <x:f>IF(N19=1,IF(C19="Closure",'Control Inputs'!D37,'Control Inputs'!D38),0)</x:f>
        <x:v>24</x:v>
      </x:c>
      <x:c r="S19" s="66" t="n">
        <x:f>IF(N19=1,IF(C19="Closure",'Control Inputs'!D32,'Control Inputs'!D33),0)</x:f>
        <x:v>2</x:v>
      </x:c>
      <x:c r="T19" s="66" t="n">
        <x:f>IF(N19=1,IF(C19="Closure",'Control Inputs'!D48,'Control Inputs'!D49),0)</x:f>
        <x:v>20</x:v>
      </x:c>
      <x:c r="U19" s="66" t="n">
        <x:f>IF(AND(N19=1,OR(G19="BLIND",G19="SEALED")),1,0)</x:f>
        <x:v>1</x:v>
      </x:c>
      <x:c r="V19" s="66" t="str">
        <x:v>PLANNING</x:v>
      </x:c>
      <x:c r="W19" s="76" t="n">
        <x:f>IF(O19="ACTIVE_INTERRUPTED",'Control Inputs'!D8,K19)</x:f>
        <x:v>40</x:v>
      </x:c>
    </x:row>
    <x:row r="20" ht="31" customHeight="1">
      <x:c r="B20" s="65" t="str">
        <x:v>CW-C014</x:v>
      </x:c>
      <x:c r="C20" s="65" t="str">
        <x:v>Closure</x:v>
      </x:c>
      <x:c r="D20" s="66" t="str">
        <x:v>PRIMARY</x:v>
      </x:c>
      <x:c r="E20" s="66" t="str">
        <x:v>R2</x:v>
      </x:c>
      <x:c r="F20" s="66" t="str">
        <x:v>blind configuration defect</x:v>
      </x:c>
      <x:c r="G20" s="66" t="str">
        <x:v>BLIND</x:v>
      </x:c>
      <x:c r="H20" s="66" t="str">
        <x:v>NRC-B</x:v>
      </x:c>
      <x:c r="I20" s="66" t="str">
        <x:v>CB-B2</x:v>
      </x:c>
      <x:c r="J20" s="66" t="n">
        <x:v>35</x:v>
      </x:c>
      <x:c r="K20" s="66" t="n">
        <x:v>43</x:v>
      </x:c>
      <x:c r="L20" s="66" t="n">
        <x:v>49</x:v>
      </x:c>
      <x:c r="M20" s="66" t="str"/>
      <x:c r="N20" s="66" t="n">
        <x:v>1</x:v>
      </x:c>
      <x:c r="O20" s="66" t="str">
        <x:f>IF(AND(H20='Control Inputs'!D9,J20&lt;'Control Inputs'!D8,K20&gt;'Control Inputs'!D8),"ACTIVE_INTERRUPTED",IF(AND(H20='Control Inputs'!D9,K20&lt;='Control Inputs'!D8,L20&gt;'Control Inputs'!D8),"REMOTE_PACKET",IF(AND(H20='Control Inputs'!D9,L20&lt;='Control Inputs'!D8),"PRELOSS_TERMINAL","UNAFFECTED")))</x:f>
        <x:v>ACTIVE_INTERRUPTED</x:v>
      </x:c>
      <x:c r="P20" s="66" t="str">
        <x:f>IF(N20=0,"HELD",IF(O20="ACTIVE_INTERRUPTED","MODELED RANGE-INVALID","MODELED CREDIT"))</x:f>
        <x:v>MODELED RANGE-INVALID</x:v>
      </x:c>
      <x:c r="Q20" s="66" t="n">
        <x:f>IF(P20="MODELED CREDIT",1,0)</x:f>
        <x:v>0</x:v>
      </x:c>
      <x:c r="R20" s="66" t="n">
        <x:f>IF(N20=1,IF(C20="Closure",'Control Inputs'!D37,'Control Inputs'!D38),0)</x:f>
        <x:v>24</x:v>
      </x:c>
      <x:c r="S20" s="66" t="n">
        <x:f>IF(N20=1,IF(C20="Closure",'Control Inputs'!D32,'Control Inputs'!D33),0)</x:f>
        <x:v>2</x:v>
      </x:c>
      <x:c r="T20" s="66" t="n">
        <x:f>IF(N20=1,IF(C20="Closure",'Control Inputs'!D48,'Control Inputs'!D49),0)</x:f>
        <x:v>20</x:v>
      </x:c>
      <x:c r="U20" s="66" t="n">
        <x:f>IF(AND(N20=1,OR(G20="BLIND",G20="SEALED")),1,0)</x:f>
        <x:v>1</x:v>
      </x:c>
      <x:c r="V20" s="66" t="str">
        <x:v>PLANNING</x:v>
      </x:c>
      <x:c r="W20" s="76" t="n">
        <x:f>IF(O20="ACTIVE_INTERRUPTED",'Control Inputs'!D8,K20)</x:f>
        <x:v>38</x:v>
      </x:c>
    </x:row>
    <x:row r="21" ht="31" customHeight="1">
      <x:c r="B21" s="65" t="str">
        <x:v>CW-C015</x:v>
      </x:c>
      <x:c r="C21" s="65" t="str">
        <x:v>Closure</x:v>
      </x:c>
      <x:c r="D21" s="66" t="str">
        <x:v>PRIMARY</x:v>
      </x:c>
      <x:c r="E21" s="66" t="str">
        <x:v>R3</x:v>
      </x:c>
      <x:c r="F21" s="66" t="str">
        <x:v>blind configuration defect</x:v>
      </x:c>
      <x:c r="G21" s="66" t="str">
        <x:v>BLIND</x:v>
      </x:c>
      <x:c r="H21" s="66" t="str">
        <x:v>NRC-B</x:v>
      </x:c>
      <x:c r="I21" s="66" t="str">
        <x:v>CB-B1</x:v>
      </x:c>
      <x:c r="J21" s="66" t="n">
        <x:v>35</x:v>
      </x:c>
      <x:c r="K21" s="66" t="n">
        <x:v>43</x:v>
      </x:c>
      <x:c r="L21" s="66" t="n">
        <x:v>49</x:v>
      </x:c>
      <x:c r="M21" s="66" t="str"/>
      <x:c r="N21" s="66" t="n">
        <x:v>1</x:v>
      </x:c>
      <x:c r="O21" s="66" t="str">
        <x:f>IF(AND(H21='Control Inputs'!D9,J21&lt;'Control Inputs'!D8,K21&gt;'Control Inputs'!D8),"ACTIVE_INTERRUPTED",IF(AND(H21='Control Inputs'!D9,K21&lt;='Control Inputs'!D8,L21&gt;'Control Inputs'!D8),"REMOTE_PACKET",IF(AND(H21='Control Inputs'!D9,L21&lt;='Control Inputs'!D8),"PRELOSS_TERMINAL","UNAFFECTED")))</x:f>
        <x:v>ACTIVE_INTERRUPTED</x:v>
      </x:c>
      <x:c r="P21" s="66" t="str">
        <x:f>IF(N21=0,"HELD",IF(O21="ACTIVE_INTERRUPTED","MODELED RANGE-INVALID","MODELED CREDIT"))</x:f>
        <x:v>MODELED RANGE-INVALID</x:v>
      </x:c>
      <x:c r="Q21" s="66" t="n">
        <x:f>IF(P21="MODELED CREDIT",1,0)</x:f>
        <x:v>0</x:v>
      </x:c>
      <x:c r="R21" s="66" t="n">
        <x:f>IF(N21=1,IF(C21="Closure",'Control Inputs'!D37,'Control Inputs'!D38),0)</x:f>
        <x:v>24</x:v>
      </x:c>
      <x:c r="S21" s="66" t="n">
        <x:f>IF(N21=1,IF(C21="Closure",'Control Inputs'!D32,'Control Inputs'!D33),0)</x:f>
        <x:v>2</x:v>
      </x:c>
      <x:c r="T21" s="66" t="n">
        <x:f>IF(N21=1,IF(C21="Closure",'Control Inputs'!D48,'Control Inputs'!D49),0)</x:f>
        <x:v>20</x:v>
      </x:c>
      <x:c r="U21" s="66" t="n">
        <x:f>IF(AND(N21=1,OR(G21="BLIND",G21="SEALED")),1,0)</x:f>
        <x:v>1</x:v>
      </x:c>
      <x:c r="V21" s="66" t="str">
        <x:v>PLANNING</x:v>
      </x:c>
      <x:c r="W21" s="76" t="n">
        <x:f>IF(O21="ACTIVE_INTERRUPTED",'Control Inputs'!D8,K21)</x:f>
        <x:v>38</x:v>
      </x:c>
    </x:row>
    <x:row r="22" ht="31" customHeight="1">
      <x:c r="B22" s="65" t="str">
        <x:v>CW-C016</x:v>
      </x:c>
      <x:c r="C22" s="65" t="str">
        <x:v>Closure</x:v>
      </x:c>
      <x:c r="D22" s="66" t="str">
        <x:v>PRIMARY</x:v>
      </x:c>
      <x:c r="E22" s="66" t="str">
        <x:v>R1</x:v>
      </x:c>
      <x:c r="F22" s="66" t="str">
        <x:v>clean blind control</x:v>
      </x:c>
      <x:c r="G22" s="66" t="str">
        <x:v>BLIND</x:v>
      </x:c>
      <x:c r="H22" s="66" t="str">
        <x:v>NRC-A</x:v>
      </x:c>
      <x:c r="I22" s="66" t="str">
        <x:v>CB-A2</x:v>
      </x:c>
      <x:c r="J22" s="66" t="n">
        <x:v>42</x:v>
      </x:c>
      <x:c r="K22" s="66" t="n">
        <x:v>50</x:v>
      </x:c>
      <x:c r="L22" s="66" t="n">
        <x:v>56</x:v>
      </x:c>
      <x:c r="M22" s="66" t="str"/>
      <x:c r="N22" s="66" t="n">
        <x:v>1</x:v>
      </x:c>
      <x:c r="O22" s="66" t="str">
        <x:f>IF(AND(H22='Control Inputs'!D9,J22&lt;'Control Inputs'!D8,K22&gt;'Control Inputs'!D8),"ACTIVE_INTERRUPTED",IF(AND(H22='Control Inputs'!D9,K22&lt;='Control Inputs'!D8,L22&gt;'Control Inputs'!D8),"REMOTE_PACKET",IF(AND(H22='Control Inputs'!D9,L22&lt;='Control Inputs'!D8),"PRELOSS_TERMINAL","UNAFFECTED")))</x:f>
        <x:v>UNAFFECTED</x:v>
      </x:c>
      <x:c r="P22" s="66" t="str">
        <x:f>IF(N22=0,"HELD",IF(O22="ACTIVE_INTERRUPTED","MODELED RANGE-INVALID","MODELED CREDIT"))</x:f>
        <x:v>MODELED CREDIT</x:v>
      </x:c>
      <x:c r="Q22" s="66" t="n">
        <x:f>IF(P22="MODELED CREDIT",1,0)</x:f>
        <x:v>1</x:v>
      </x:c>
      <x:c r="R22" s="66" t="n">
        <x:f>IF(N22=1,IF(C22="Closure",'Control Inputs'!D37,'Control Inputs'!D38),0)</x:f>
        <x:v>24</x:v>
      </x:c>
      <x:c r="S22" s="66" t="n">
        <x:f>IF(N22=1,IF(C22="Closure",'Control Inputs'!D32,'Control Inputs'!D33),0)</x:f>
        <x:v>2</x:v>
      </x:c>
      <x:c r="T22" s="66" t="n">
        <x:f>IF(N22=1,IF(C22="Closure",'Control Inputs'!D48,'Control Inputs'!D49),0)</x:f>
        <x:v>20</x:v>
      </x:c>
      <x:c r="U22" s="66" t="n">
        <x:f>IF(AND(N22=1,OR(G22="BLIND",G22="SEALED")),1,0)</x:f>
        <x:v>1</x:v>
      </x:c>
      <x:c r="V22" s="66" t="str">
        <x:v>PLANNING</x:v>
      </x:c>
      <x:c r="W22" s="76" t="n">
        <x:f>IF(O22="ACTIVE_INTERRUPTED",'Control Inputs'!D8,K22)</x:f>
        <x:v>50</x:v>
      </x:c>
    </x:row>
    <x:row r="23" ht="31" customHeight="1">
      <x:c r="B23" s="65" t="str">
        <x:v>CW-C017</x:v>
      </x:c>
      <x:c r="C23" s="65" t="str">
        <x:v>Closure</x:v>
      </x:c>
      <x:c r="D23" s="66" t="str">
        <x:v>PRIMARY</x:v>
      </x:c>
      <x:c r="E23" s="66" t="str">
        <x:v>R2</x:v>
      </x:c>
      <x:c r="F23" s="66" t="str">
        <x:v>clean blind control</x:v>
      </x:c>
      <x:c r="G23" s="66" t="str">
        <x:v>BLIND</x:v>
      </x:c>
      <x:c r="H23" s="66" t="str">
        <x:v>NRC-C</x:v>
      </x:c>
      <x:c r="I23" s="66" t="str">
        <x:v>CB-C2</x:v>
      </x:c>
      <x:c r="J23" s="66" t="n">
        <x:v>42</x:v>
      </x:c>
      <x:c r="K23" s="66" t="n">
        <x:v>50</x:v>
      </x:c>
      <x:c r="L23" s="66" t="n">
        <x:v>56</x:v>
      </x:c>
      <x:c r="M23" s="66" t="str"/>
      <x:c r="N23" s="66" t="n">
        <x:v>1</x:v>
      </x:c>
      <x:c r="O23" s="66" t="str">
        <x:f>IF(AND(H23='Control Inputs'!D9,J23&lt;'Control Inputs'!D8,K23&gt;'Control Inputs'!D8),"ACTIVE_INTERRUPTED",IF(AND(H23='Control Inputs'!D9,K23&lt;='Control Inputs'!D8,L23&gt;'Control Inputs'!D8),"REMOTE_PACKET",IF(AND(H23='Control Inputs'!D9,L23&lt;='Control Inputs'!D8),"PRELOSS_TERMINAL","UNAFFECTED")))</x:f>
        <x:v>UNAFFECTED</x:v>
      </x:c>
      <x:c r="P23" s="66" t="str">
        <x:f>IF(N23=0,"HELD",IF(O23="ACTIVE_INTERRUPTED","MODELED RANGE-INVALID","MODELED CREDIT"))</x:f>
        <x:v>MODELED CREDIT</x:v>
      </x:c>
      <x:c r="Q23" s="66" t="n">
        <x:f>IF(P23="MODELED CREDIT",1,0)</x:f>
        <x:v>1</x:v>
      </x:c>
      <x:c r="R23" s="66" t="n">
        <x:f>IF(N23=1,IF(C23="Closure",'Control Inputs'!D37,'Control Inputs'!D38),0)</x:f>
        <x:v>24</x:v>
      </x:c>
      <x:c r="S23" s="66" t="n">
        <x:f>IF(N23=1,IF(C23="Closure",'Control Inputs'!D32,'Control Inputs'!D33),0)</x:f>
        <x:v>2</x:v>
      </x:c>
      <x:c r="T23" s="66" t="n">
        <x:f>IF(N23=1,IF(C23="Closure",'Control Inputs'!D48,'Control Inputs'!D49),0)</x:f>
        <x:v>20</x:v>
      </x:c>
      <x:c r="U23" s="66" t="n">
        <x:f>IF(AND(N23=1,OR(G23="BLIND",G23="SEALED")),1,0)</x:f>
        <x:v>1</x:v>
      </x:c>
      <x:c r="V23" s="66" t="str">
        <x:v>PLANNING</x:v>
      </x:c>
      <x:c r="W23" s="76" t="n">
        <x:f>IF(O23="ACTIVE_INTERRUPTED",'Control Inputs'!D8,K23)</x:f>
        <x:v>50</x:v>
      </x:c>
    </x:row>
    <x:row r="24" ht="31" customHeight="1">
      <x:c r="B24" s="65" t="str">
        <x:v>CW-C018</x:v>
      </x:c>
      <x:c r="C24" s="65" t="str">
        <x:v>Closure</x:v>
      </x:c>
      <x:c r="D24" s="66" t="str">
        <x:v>PRIMARY</x:v>
      </x:c>
      <x:c r="E24" s="66" t="str">
        <x:v>R3</x:v>
      </x:c>
      <x:c r="F24" s="66" t="str">
        <x:v>clean blind control</x:v>
      </x:c>
      <x:c r="G24" s="66" t="str">
        <x:v>BLIND</x:v>
      </x:c>
      <x:c r="H24" s="66" t="str">
        <x:v>NRC-A</x:v>
      </x:c>
      <x:c r="I24" s="66" t="str">
        <x:v>CB-A1</x:v>
      </x:c>
      <x:c r="J24" s="66" t="n">
        <x:v>50</x:v>
      </x:c>
      <x:c r="K24" s="66" t="n">
        <x:v>58</x:v>
      </x:c>
      <x:c r="L24" s="66" t="n">
        <x:v>64</x:v>
      </x:c>
      <x:c r="M24" s="66" t="str"/>
      <x:c r="N24" s="66" t="n">
        <x:v>1</x:v>
      </x:c>
      <x:c r="O24" s="66" t="str">
        <x:f>IF(AND(H24='Control Inputs'!D9,J24&lt;'Control Inputs'!D8,K24&gt;'Control Inputs'!D8),"ACTIVE_INTERRUPTED",IF(AND(H24='Control Inputs'!D9,K24&lt;='Control Inputs'!D8,L24&gt;'Control Inputs'!D8),"REMOTE_PACKET",IF(AND(H24='Control Inputs'!D9,L24&lt;='Control Inputs'!D8),"PRELOSS_TERMINAL","UNAFFECTED")))</x:f>
        <x:v>UNAFFECTED</x:v>
      </x:c>
      <x:c r="P24" s="66" t="str">
        <x:f>IF(N24=0,"HELD",IF(O24="ACTIVE_INTERRUPTED","MODELED RANGE-INVALID","MODELED CREDIT"))</x:f>
        <x:v>MODELED CREDIT</x:v>
      </x:c>
      <x:c r="Q24" s="66" t="n">
        <x:f>IF(P24="MODELED CREDIT",1,0)</x:f>
        <x:v>1</x:v>
      </x:c>
      <x:c r="R24" s="66" t="n">
        <x:f>IF(N24=1,IF(C24="Closure",'Control Inputs'!D37,'Control Inputs'!D38),0)</x:f>
        <x:v>24</x:v>
      </x:c>
      <x:c r="S24" s="66" t="n">
        <x:f>IF(N24=1,IF(C24="Closure",'Control Inputs'!D32,'Control Inputs'!D33),0)</x:f>
        <x:v>2</x:v>
      </x:c>
      <x:c r="T24" s="66" t="n">
        <x:f>IF(N24=1,IF(C24="Closure",'Control Inputs'!D48,'Control Inputs'!D49),0)</x:f>
        <x:v>20</x:v>
      </x:c>
      <x:c r="U24" s="66" t="n">
        <x:f>IF(AND(N24=1,OR(G24="BLIND",G24="SEALED")),1,0)</x:f>
        <x:v>1</x:v>
      </x:c>
      <x:c r="V24" s="66" t="str">
        <x:v>PLANNING</x:v>
      </x:c>
      <x:c r="W24" s="76" t="n">
        <x:f>IF(O24="ACTIVE_INTERRUPTED",'Control Inputs'!D8,K24)</x:f>
        <x:v>58</x:v>
      </x:c>
    </x:row>
    <x:row r="25" ht="31" customHeight="1">
      <x:c r="B25" s="65" t="str">
        <x:v>CW-CR01</x:v>
      </x:c>
      <x:c r="C25" s="65" t="str">
        <x:v>Closure</x:v>
      </x:c>
      <x:c r="D25" s="66" t="str">
        <x:v>LOSS REPLACEMENT</x:v>
      </x:c>
      <x:c r="E25" s="66" t="str">
        <x:v>R2</x:v>
      </x:c>
      <x:c r="F25" s="66" t="str">
        <x:v>fresh blind configuration defect</x:v>
      </x:c>
      <x:c r="G25" s="66" t="str">
        <x:v>BLIND</x:v>
      </x:c>
      <x:c r="H25" s="66" t="str">
        <x:v>NRC-A</x:v>
      </x:c>
      <x:c r="I25" s="66" t="str">
        <x:v>CB-A1</x:v>
      </x:c>
      <x:c r="J25" s="66" t="n">
        <x:v>42</x:v>
      </x:c>
      <x:c r="K25" s="66" t="n">
        <x:v>50</x:v>
      </x:c>
      <x:c r="L25" s="66" t="n">
        <x:v>56</x:v>
      </x:c>
      <x:c r="M25" s="66" t="str">
        <x:v>CW-C014</x:v>
      </x:c>
      <x:c r="N25" s="66" t="n">
        <x:v>1</x:v>
      </x:c>
      <x:c r="O25" s="66" t="str">
        <x:f>IF(AND(H25='Control Inputs'!D9,J25&lt;'Control Inputs'!D8,K25&gt;'Control Inputs'!D8),"ACTIVE_INTERRUPTED",IF(AND(H25='Control Inputs'!D9,K25&lt;='Control Inputs'!D8,L25&gt;'Control Inputs'!D8),"REMOTE_PACKET",IF(AND(H25='Control Inputs'!D9,L25&lt;='Control Inputs'!D8),"PRELOSS_TERMINAL","UNAFFECTED")))</x:f>
        <x:v>UNAFFECTED</x:v>
      </x:c>
      <x:c r="P25" s="66" t="str">
        <x:f>IF(N25=0,"HELD",IF(O25="ACTIVE_INTERRUPTED","MODELED RANGE-INVALID","MODELED CREDIT"))</x:f>
        <x:v>MODELED CREDIT</x:v>
      </x:c>
      <x:c r="Q25" s="66" t="n">
        <x:f>IF(P25="MODELED CREDIT",1,0)</x:f>
        <x:v>1</x:v>
      </x:c>
      <x:c r="R25" s="66" t="n">
        <x:f>IF(N25=1,IF(C25="Closure",'Control Inputs'!D37,'Control Inputs'!D38),0)</x:f>
        <x:v>24</x:v>
      </x:c>
      <x:c r="S25" s="66" t="n">
        <x:f>IF(N25=1,IF(C25="Closure",'Control Inputs'!D32,'Control Inputs'!D33),0)</x:f>
        <x:v>2</x:v>
      </x:c>
      <x:c r="T25" s="66" t="n">
        <x:f>IF(N25=1,IF(C25="Closure",'Control Inputs'!D48,'Control Inputs'!D49),0)</x:f>
        <x:v>20</x:v>
      </x:c>
      <x:c r="U25" s="66" t="n">
        <x:f>IF(AND(N25=1,OR(G25="BLIND",G25="SEALED")),1,0)</x:f>
        <x:v>1</x:v>
      </x:c>
      <x:c r="V25" s="66" t="str">
        <x:v>PLANNING</x:v>
      </x:c>
      <x:c r="W25" s="76" t="n">
        <x:f>IF(O25="ACTIVE_INTERRUPTED",'Control Inputs'!D8,K25)</x:f>
        <x:v>50</x:v>
      </x:c>
    </x:row>
    <x:row r="26" ht="31" customHeight="1">
      <x:c r="B26" s="65" t="str">
        <x:v>CW-CR02</x:v>
      </x:c>
      <x:c r="C26" s="65" t="str">
        <x:v>Closure</x:v>
      </x:c>
      <x:c r="D26" s="66" t="str">
        <x:v>LOSS REPLACEMENT</x:v>
      </x:c>
      <x:c r="E26" s="66" t="str">
        <x:v>R3</x:v>
      </x:c>
      <x:c r="F26" s="66" t="str">
        <x:v>fresh blind configuration defect</x:v>
      </x:c>
      <x:c r="G26" s="66" t="str">
        <x:v>BLIND</x:v>
      </x:c>
      <x:c r="H26" s="66" t="str">
        <x:v>NRC-C</x:v>
      </x:c>
      <x:c r="I26" s="66" t="str">
        <x:v>CB-C1</x:v>
      </x:c>
      <x:c r="J26" s="66" t="n">
        <x:v>42</x:v>
      </x:c>
      <x:c r="K26" s="66" t="n">
        <x:v>50</x:v>
      </x:c>
      <x:c r="L26" s="66" t="n">
        <x:v>56</x:v>
      </x:c>
      <x:c r="M26" s="66" t="str">
        <x:v>CW-C015</x:v>
      </x:c>
      <x:c r="N26" s="66" t="n">
        <x:v>1</x:v>
      </x:c>
      <x:c r="O26" s="66" t="str">
        <x:f>IF(AND(H26='Control Inputs'!D9,J26&lt;'Control Inputs'!D8,K26&gt;'Control Inputs'!D8),"ACTIVE_INTERRUPTED",IF(AND(H26='Control Inputs'!D9,K26&lt;='Control Inputs'!D8,L26&gt;'Control Inputs'!D8),"REMOTE_PACKET",IF(AND(H26='Control Inputs'!D9,L26&lt;='Control Inputs'!D8),"PRELOSS_TERMINAL","UNAFFECTED")))</x:f>
        <x:v>UNAFFECTED</x:v>
      </x:c>
      <x:c r="P26" s="66" t="str">
        <x:f>IF(N26=0,"HELD",IF(O26="ACTIVE_INTERRUPTED","MODELED RANGE-INVALID","MODELED CREDIT"))</x:f>
        <x:v>MODELED CREDIT</x:v>
      </x:c>
      <x:c r="Q26" s="66" t="n">
        <x:f>IF(P26="MODELED CREDIT",1,0)</x:f>
        <x:v>1</x:v>
      </x:c>
      <x:c r="R26" s="66" t="n">
        <x:f>IF(N26=1,IF(C26="Closure",'Control Inputs'!D37,'Control Inputs'!D38),0)</x:f>
        <x:v>24</x:v>
      </x:c>
      <x:c r="S26" s="66" t="n">
        <x:f>IF(N26=1,IF(C26="Closure",'Control Inputs'!D32,'Control Inputs'!D33),0)</x:f>
        <x:v>2</x:v>
      </x:c>
      <x:c r="T26" s="66" t="n">
        <x:f>IF(N26=1,IF(C26="Closure",'Control Inputs'!D48,'Control Inputs'!D49),0)</x:f>
        <x:v>20</x:v>
      </x:c>
      <x:c r="U26" s="66" t="n">
        <x:f>IF(AND(N26=1,OR(G26="BLIND",G26="SEALED")),1,0)</x:f>
        <x:v>1</x:v>
      </x:c>
      <x:c r="V26" s="66" t="str">
        <x:v>PLANNING</x:v>
      </x:c>
      <x:c r="W26" s="76" t="n">
        <x:f>IF(O26="ACTIVE_INTERRUPTED",'Control Inputs'!D8,K26)</x:f>
        <x:v>50</x:v>
      </x:c>
    </x:row>
    <x:row r="27" ht="31" customHeight="1">
      <x:c r="B27" s="65" t="str">
        <x:v>CW-CR03</x:v>
      </x:c>
      <x:c r="C27" s="65" t="str">
        <x:v>Closure</x:v>
      </x:c>
      <x:c r="D27" s="66" t="str">
        <x:v>CONTINGENT</x:v>
      </x:c>
      <x:c r="E27" s="66" t="str">
        <x:v>CONTINGENT</x:v>
      </x:c>
      <x:c r="F27" s="66" t="str">
        <x:v>causal assignment</x:v>
      </x:c>
      <x:c r="G27" s="66" t="str">
        <x:v>BLIND</x:v>
      </x:c>
      <x:c r="H27" s="66" t="str">
        <x:v>NRC-C</x:v>
      </x:c>
      <x:c r="I27" s="66" t="str">
        <x:v>CB-C1</x:v>
      </x:c>
      <x:c r="J27" s="66" t="n">
        <x:v>51</x:v>
      </x:c>
      <x:c r="K27" s="66" t="n">
        <x:v>59</x:v>
      </x:c>
      <x:c r="L27" s="66" t="n">
        <x:v>65</x:v>
      </x:c>
      <x:c r="M27" s="66" t="str"/>
      <x:c r="N27" s="66" t="n">
        <x:v>0</x:v>
      </x:c>
      <x:c r="O27" s="66" t="str">
        <x:f>IF(AND(H27='Control Inputs'!D9,J27&lt;'Control Inputs'!D8,K27&gt;'Control Inputs'!D8),"ACTIVE_INTERRUPTED",IF(AND(H27='Control Inputs'!D9,K27&lt;='Control Inputs'!D8,L27&gt;'Control Inputs'!D8),"REMOTE_PACKET",IF(AND(H27='Control Inputs'!D9,L27&lt;='Control Inputs'!D8),"PRELOSS_TERMINAL","UNAFFECTED")))</x:f>
        <x:v>UNAFFECTED</x:v>
      </x:c>
      <x:c r="P27" s="66" t="str">
        <x:f>IF(N27=0,"HELD",IF(O27="ACTIVE_INTERRUPTED","MODELED RANGE-INVALID","MODELED CREDIT"))</x:f>
        <x:v>HELD</x:v>
      </x:c>
      <x:c r="Q27" s="66" t="n">
        <x:f>IF(P27="MODELED CREDIT",1,0)</x:f>
        <x:v>0</x:v>
      </x:c>
      <x:c r="R27" s="66" t="n">
        <x:f>IF(N27=1,IF(C27="Closure",'Control Inputs'!D37,'Control Inputs'!D38),0)</x:f>
        <x:v>0</x:v>
      </x:c>
      <x:c r="S27" s="66" t="n">
        <x:f>IF(N27=1,IF(C27="Closure",'Control Inputs'!D32,'Control Inputs'!D33),0)</x:f>
        <x:v>0</x:v>
      </x:c>
      <x:c r="T27" s="66" t="n">
        <x:f>IF(N27=1,IF(C27="Closure",'Control Inputs'!D48,'Control Inputs'!D49),0)</x:f>
        <x:v>0</x:v>
      </x:c>
      <x:c r="U27" s="66" t="n">
        <x:f>IF(AND(N27=1,OR(G27="BLIND",G27="SEALED")),1,0)</x:f>
        <x:v>0</x:v>
      </x:c>
      <x:c r="V27" s="66" t="str">
        <x:v>PLANNING</x:v>
      </x:c>
      <x:c r="W27" s="76" t="n">
        <x:f>IF(O27="ACTIVE_INTERRUPTED",'Control Inputs'!D8,K27)</x:f>
        <x:v>59</x:v>
      </x:c>
    </x:row>
    <x:row r="28" ht="31" customHeight="1">
      <x:c r="B28" s="65" t="str">
        <x:v>CW-CR04</x:v>
      </x:c>
      <x:c r="C28" s="65" t="str">
        <x:v>Closure</x:v>
      </x:c>
      <x:c r="D28" s="66" t="str">
        <x:v>CONTINGENT</x:v>
      </x:c>
      <x:c r="E28" s="66" t="str">
        <x:v>CONTINGENT</x:v>
      </x:c>
      <x:c r="F28" s="66" t="str">
        <x:v>causal assignment</x:v>
      </x:c>
      <x:c r="G28" s="66" t="str">
        <x:v>BLIND</x:v>
      </x:c>
      <x:c r="H28" s="66" t="str">
        <x:v>NRC-A</x:v>
      </x:c>
      <x:c r="I28" s="66" t="str">
        <x:v>CB-A2</x:v>
      </x:c>
      <x:c r="J28" s="66" t="n">
        <x:v>51</x:v>
      </x:c>
      <x:c r="K28" s="66" t="n">
        <x:v>59</x:v>
      </x:c>
      <x:c r="L28" s="66" t="n">
        <x:v>65</x:v>
      </x:c>
      <x:c r="M28" s="66" t="str"/>
      <x:c r="N28" s="66" t="n">
        <x:v>0</x:v>
      </x:c>
      <x:c r="O28" s="66" t="str">
        <x:f>IF(AND(H28='Control Inputs'!D9,J28&lt;'Control Inputs'!D8,K28&gt;'Control Inputs'!D8),"ACTIVE_INTERRUPTED",IF(AND(H28='Control Inputs'!D9,K28&lt;='Control Inputs'!D8,L28&gt;'Control Inputs'!D8),"REMOTE_PACKET",IF(AND(H28='Control Inputs'!D9,L28&lt;='Control Inputs'!D8),"PRELOSS_TERMINAL","UNAFFECTED")))</x:f>
        <x:v>UNAFFECTED</x:v>
      </x:c>
      <x:c r="P28" s="66" t="str">
        <x:f>IF(N28=0,"HELD",IF(O28="ACTIVE_INTERRUPTED","MODELED RANGE-INVALID","MODELED CREDIT"))</x:f>
        <x:v>HELD</x:v>
      </x:c>
      <x:c r="Q28" s="66" t="n">
        <x:f>IF(P28="MODELED CREDIT",1,0)</x:f>
        <x:v>0</x:v>
      </x:c>
      <x:c r="R28" s="66" t="n">
        <x:f>IF(N28=1,IF(C28="Closure",'Control Inputs'!D37,'Control Inputs'!D38),0)</x:f>
        <x:v>0</x:v>
      </x:c>
      <x:c r="S28" s="66" t="n">
        <x:f>IF(N28=1,IF(C28="Closure",'Control Inputs'!D32,'Control Inputs'!D33),0)</x:f>
        <x:v>0</x:v>
      </x:c>
      <x:c r="T28" s="66" t="n">
        <x:f>IF(N28=1,IF(C28="Closure",'Control Inputs'!D48,'Control Inputs'!D49),0)</x:f>
        <x:v>0</x:v>
      </x:c>
      <x:c r="U28" s="66" t="n">
        <x:f>IF(AND(N28=1,OR(G28="BLIND",G28="SEALED")),1,0)</x:f>
        <x:v>0</x:v>
      </x:c>
      <x:c r="V28" s="66" t="str">
        <x:v>PLANNING</x:v>
      </x:c>
      <x:c r="W28" s="76" t="n">
        <x:f>IF(O28="ACTIVE_INTERRUPTED",'Control Inputs'!D8,K28)</x:f>
        <x:v>59</x:v>
      </x:c>
    </x:row>
    <x:row r="29" ht="31" customHeight="1">
      <x:c r="B29" s="65" t="str">
        <x:v>CW-CR05</x:v>
      </x:c>
      <x:c r="C29" s="65" t="str">
        <x:v>Closure</x:v>
      </x:c>
      <x:c r="D29" s="66" t="str">
        <x:v>CONTINGENT</x:v>
      </x:c>
      <x:c r="E29" s="66" t="str">
        <x:v>CONTINGENT</x:v>
      </x:c>
      <x:c r="F29" s="66" t="str">
        <x:v>causal assignment</x:v>
      </x:c>
      <x:c r="G29" s="66" t="str">
        <x:v>BLIND</x:v>
      </x:c>
      <x:c r="H29" s="66" t="str">
        <x:v>NRC-C</x:v>
      </x:c>
      <x:c r="I29" s="66" t="str">
        <x:v>CB-C2</x:v>
      </x:c>
      <x:c r="J29" s="66" t="n">
        <x:v>60</x:v>
      </x:c>
      <x:c r="K29" s="66" t="n">
        <x:v>68</x:v>
      </x:c>
      <x:c r="L29" s="66" t="n">
        <x:v>74</x:v>
      </x:c>
      <x:c r="M29" s="66" t="str"/>
      <x:c r="N29" s="66" t="n">
        <x:v>0</x:v>
      </x:c>
      <x:c r="O29" s="66" t="str">
        <x:f>IF(AND(H29='Control Inputs'!D9,J29&lt;'Control Inputs'!D8,K29&gt;'Control Inputs'!D8),"ACTIVE_INTERRUPTED",IF(AND(H29='Control Inputs'!D9,K29&lt;='Control Inputs'!D8,L29&gt;'Control Inputs'!D8),"REMOTE_PACKET",IF(AND(H29='Control Inputs'!D9,L29&lt;='Control Inputs'!D8),"PRELOSS_TERMINAL","UNAFFECTED")))</x:f>
        <x:v>UNAFFECTED</x:v>
      </x:c>
      <x:c r="P29" s="66" t="str">
        <x:f>IF(N29=0,"HELD",IF(O29="ACTIVE_INTERRUPTED","MODELED RANGE-INVALID","MODELED CREDIT"))</x:f>
        <x:v>HELD</x:v>
      </x:c>
      <x:c r="Q29" s="66" t="n">
        <x:f>IF(P29="MODELED CREDIT",1,0)</x:f>
        <x:v>0</x:v>
      </x:c>
      <x:c r="R29" s="66" t="n">
        <x:f>IF(N29=1,IF(C29="Closure",'Control Inputs'!D37,'Control Inputs'!D38),0)</x:f>
        <x:v>0</x:v>
      </x:c>
      <x:c r="S29" s="66" t="n">
        <x:f>IF(N29=1,IF(C29="Closure",'Control Inputs'!D32,'Control Inputs'!D33),0)</x:f>
        <x:v>0</x:v>
      </x:c>
      <x:c r="T29" s="66" t="n">
        <x:f>IF(N29=1,IF(C29="Closure",'Control Inputs'!D48,'Control Inputs'!D49),0)</x:f>
        <x:v>0</x:v>
      </x:c>
      <x:c r="U29" s="66" t="n">
        <x:f>IF(AND(N29=1,OR(G29="BLIND",G29="SEALED")),1,0)</x:f>
        <x:v>0</x:v>
      </x:c>
      <x:c r="V29" s="66" t="str">
        <x:v>PLANNING</x:v>
      </x:c>
      <x:c r="W29" s="76" t="n">
        <x:f>IF(O29="ACTIVE_INTERRUPTED",'Control Inputs'!D8,K29)</x:f>
        <x:v>68</x:v>
      </x:c>
    </x:row>
    <x:row r="30" ht="31" customHeight="1">
      <x:c r="B30" s="65" t="str">
        <x:v>CW-CR06</x:v>
      </x:c>
      <x:c r="C30" s="65" t="str">
        <x:v>Closure</x:v>
      </x:c>
      <x:c r="D30" s="66" t="str">
        <x:v>CONTINGENT</x:v>
      </x:c>
      <x:c r="E30" s="66" t="str">
        <x:v>CONTINGENT</x:v>
      </x:c>
      <x:c r="F30" s="66" t="str">
        <x:v>causal assignment</x:v>
      </x:c>
      <x:c r="G30" s="66" t="str">
        <x:v>BLIND</x:v>
      </x:c>
      <x:c r="H30" s="66" t="str">
        <x:v>NRC-A</x:v>
      </x:c>
      <x:c r="I30" s="66" t="str">
        <x:v>CB-A1</x:v>
      </x:c>
      <x:c r="J30" s="66" t="n">
        <x:v>69</x:v>
      </x:c>
      <x:c r="K30" s="66" t="n">
        <x:v>77</x:v>
      </x:c>
      <x:c r="L30" s="66" t="n">
        <x:v>83</x:v>
      </x:c>
      <x:c r="M30" s="66" t="str"/>
      <x:c r="N30" s="66" t="n">
        <x:v>0</x:v>
      </x:c>
      <x:c r="O30" s="66" t="str">
        <x:f>IF(AND(H30='Control Inputs'!D9,J30&lt;'Control Inputs'!D8,K30&gt;'Control Inputs'!D8),"ACTIVE_INTERRUPTED",IF(AND(H30='Control Inputs'!D9,K30&lt;='Control Inputs'!D8,L30&gt;'Control Inputs'!D8),"REMOTE_PACKET",IF(AND(H30='Control Inputs'!D9,L30&lt;='Control Inputs'!D8),"PRELOSS_TERMINAL","UNAFFECTED")))</x:f>
        <x:v>UNAFFECTED</x:v>
      </x:c>
      <x:c r="P30" s="66" t="str">
        <x:f>IF(N30=0,"HELD",IF(O30="ACTIVE_INTERRUPTED","MODELED RANGE-INVALID","MODELED CREDIT"))</x:f>
        <x:v>HELD</x:v>
      </x:c>
      <x:c r="Q30" s="66" t="n">
        <x:f>IF(P30="MODELED CREDIT",1,0)</x:f>
        <x:v>0</x:v>
      </x:c>
      <x:c r="R30" s="66" t="n">
        <x:f>IF(N30=1,IF(C30="Closure",'Control Inputs'!D37,'Control Inputs'!D38),0)</x:f>
        <x:v>0</x:v>
      </x:c>
      <x:c r="S30" s="66" t="n">
        <x:f>IF(N30=1,IF(C30="Closure",'Control Inputs'!D32,'Control Inputs'!D33),0)</x:f>
        <x:v>0</x:v>
      </x:c>
      <x:c r="T30" s="66" t="n">
        <x:f>IF(N30=1,IF(C30="Closure",'Control Inputs'!D48,'Control Inputs'!D49),0)</x:f>
        <x:v>0</x:v>
      </x:c>
      <x:c r="U30" s="66" t="n">
        <x:f>IF(AND(N30=1,OR(G30="BLIND",G30="SEALED")),1,0)</x:f>
        <x:v>0</x:v>
      </x:c>
      <x:c r="V30" s="66" t="str">
        <x:v>PLANNING</x:v>
      </x:c>
      <x:c r="W30" s="76" t="n">
        <x:f>IF(O30="ACTIVE_INTERRUPTED",'Control Inputs'!D8,K30)</x:f>
        <x:v>77</x:v>
      </x:c>
    </x:row>
    <x:row r="31" ht="31" customHeight="1">
      <x:c r="B31" s="65" t="str">
        <x:v>CW-D001</x:v>
      </x:c>
      <x:c r="C31" s="65" t="str">
        <x:v>Damage</x:v>
      </x:c>
      <x:c r="D31" s="66" t="str">
        <x:v>PRIMARY</x:v>
      </x:c>
      <x:c r="E31" s="66" t="str">
        <x:v>R1</x:v>
      </x:c>
      <x:c r="F31" s="66" t="str">
        <x:v>disclosed D01 transection</x:v>
      </x:c>
      <x:c r="G31" s="66" t="str">
        <x:v>DISCLOSED</x:v>
      </x:c>
      <x:c r="H31" s="66" t="str">
        <x:v>NRC-A</x:v>
      </x:c>
      <x:c r="I31" s="66" t="str">
        <x:v>DC-A1</x:v>
      </x:c>
      <x:c r="J31" s="66" t="n">
        <x:v>15</x:v>
      </x:c>
      <x:c r="K31" s="66" t="n">
        <x:v>29</x:v>
      </x:c>
      <x:c r="L31" s="66" t="n">
        <x:v>37</x:v>
      </x:c>
      <x:c r="M31" s="66" t="str"/>
      <x:c r="N31" s="66" t="n">
        <x:v>1</x:v>
      </x:c>
      <x:c r="O31" s="66" t="str">
        <x:f>IF(AND(H31='Control Inputs'!D9,J31&lt;'Control Inputs'!D8,K31&gt;'Control Inputs'!D8),"ACTIVE_INTERRUPTED",IF(AND(H31='Control Inputs'!D9,K31&lt;='Control Inputs'!D8,L31&gt;'Control Inputs'!D8),"REMOTE_PACKET",IF(AND(H31='Control Inputs'!D9,L31&lt;='Control Inputs'!D8),"PRELOSS_TERMINAL","UNAFFECTED")))</x:f>
        <x:v>UNAFFECTED</x:v>
      </x:c>
      <x:c r="P31" s="66" t="str">
        <x:f>IF(N31=0,"HELD",IF(O31="ACTIVE_INTERRUPTED","MODELED RANGE-INVALID","MODELED CREDIT"))</x:f>
        <x:v>MODELED CREDIT</x:v>
      </x:c>
      <x:c r="Q31" s="66" t="n">
        <x:f>IF(P31="MODELED CREDIT",1,0)</x:f>
        <x:v>1</x:v>
      </x:c>
      <x:c r="R31" s="66" t="n">
        <x:f>IF(N31=1,IF(C31="Closure",'Control Inputs'!D37,'Control Inputs'!D38),0)</x:f>
        <x:v>120</x:v>
      </x:c>
      <x:c r="S31" s="66" t="n">
        <x:f>IF(N31=1,IF(C31="Closure",'Control Inputs'!D32,'Control Inputs'!D33),0)</x:f>
        <x:v>5</x:v>
      </x:c>
      <x:c r="T31" s="66" t="n">
        <x:f>IF(N31=1,IF(C31="Closure",'Control Inputs'!D48,'Control Inputs'!D49),0)</x:f>
        <x:v>16</x:v>
      </x:c>
      <x:c r="U31" s="66" t="n">
        <x:f>IF(AND(N31=1,OR(G31="BLIND",G31="SEALED")),1,0)</x:f>
        <x:v>0</x:v>
      </x:c>
      <x:c r="V31" s="66" t="str">
        <x:v>PLANNING</x:v>
      </x:c>
      <x:c r="W31" s="76" t="n">
        <x:f>IF(O31="ACTIVE_INTERRUPTED",'Control Inputs'!D8,K31)</x:f>
        <x:v>29</x:v>
      </x:c>
    </x:row>
    <x:row r="32" ht="31" customHeight="1">
      <x:c r="B32" s="65" t="str">
        <x:v>CW-D002</x:v>
      </x:c>
      <x:c r="C32" s="65" t="str">
        <x:v>Damage</x:v>
      </x:c>
      <x:c r="D32" s="66" t="str">
        <x:v>PRIMARY</x:v>
      </x:c>
      <x:c r="E32" s="66" t="str">
        <x:v>R2</x:v>
      </x:c>
      <x:c r="F32" s="66" t="str">
        <x:v>disclosed D01 transection</x:v>
      </x:c>
      <x:c r="G32" s="66" t="str">
        <x:v>DISCLOSED</x:v>
      </x:c>
      <x:c r="H32" s="66" t="str">
        <x:v>NRC-B</x:v>
      </x:c>
      <x:c r="I32" s="66" t="str">
        <x:v>DC-B1</x:v>
      </x:c>
      <x:c r="J32" s="66" t="n">
        <x:v>15</x:v>
      </x:c>
      <x:c r="K32" s="66" t="n">
        <x:v>29</x:v>
      </x:c>
      <x:c r="L32" s="66" t="n">
        <x:v>37</x:v>
      </x:c>
      <x:c r="M32" s="66" t="str"/>
      <x:c r="N32" s="66" t="n">
        <x:v>1</x:v>
      </x:c>
      <x:c r="O32" s="66" t="str">
        <x:f>IF(AND(H32='Control Inputs'!D9,J32&lt;'Control Inputs'!D8,K32&gt;'Control Inputs'!D8),"ACTIVE_INTERRUPTED",IF(AND(H32='Control Inputs'!D9,K32&lt;='Control Inputs'!D8,L32&gt;'Control Inputs'!D8),"REMOTE_PACKET",IF(AND(H32='Control Inputs'!D9,L32&lt;='Control Inputs'!D8),"PRELOSS_TERMINAL","UNAFFECTED")))</x:f>
        <x:v>PRELOSS_TERMINAL</x:v>
      </x:c>
      <x:c r="P32" s="66" t="str">
        <x:f>IF(N32=0,"HELD",IF(O32="ACTIVE_INTERRUPTED","MODELED RANGE-INVALID","MODELED CREDIT"))</x:f>
        <x:v>MODELED CREDIT</x:v>
      </x:c>
      <x:c r="Q32" s="66" t="n">
        <x:f>IF(P32="MODELED CREDIT",1,0)</x:f>
        <x:v>1</x:v>
      </x:c>
      <x:c r="R32" s="66" t="n">
        <x:f>IF(N32=1,IF(C32="Closure",'Control Inputs'!D37,'Control Inputs'!D38),0)</x:f>
        <x:v>120</x:v>
      </x:c>
      <x:c r="S32" s="66" t="n">
        <x:f>IF(N32=1,IF(C32="Closure",'Control Inputs'!D32,'Control Inputs'!D33),0)</x:f>
        <x:v>5</x:v>
      </x:c>
      <x:c r="T32" s="66" t="n">
        <x:f>IF(N32=1,IF(C32="Closure",'Control Inputs'!D48,'Control Inputs'!D49),0)</x:f>
        <x:v>16</x:v>
      </x:c>
      <x:c r="U32" s="66" t="n">
        <x:f>IF(AND(N32=1,OR(G32="BLIND",G32="SEALED")),1,0)</x:f>
        <x:v>0</x:v>
      </x:c>
      <x:c r="V32" s="66" t="str">
        <x:v>PLANNING</x:v>
      </x:c>
      <x:c r="W32" s="76" t="n">
        <x:f>IF(O32="ACTIVE_INTERRUPTED",'Control Inputs'!D8,K32)</x:f>
        <x:v>29</x:v>
      </x:c>
    </x:row>
    <x:row r="33" ht="31" customHeight="1">
      <x:c r="B33" s="65" t="str">
        <x:v>CW-D003</x:v>
      </x:c>
      <x:c r="C33" s="65" t="str">
        <x:v>Damage</x:v>
      </x:c>
      <x:c r="D33" s="66" t="str">
        <x:v>PRIMARY</x:v>
      </x:c>
      <x:c r="E33" s="66" t="str">
        <x:v>R3</x:v>
      </x:c>
      <x:c r="F33" s="66" t="str">
        <x:v>disclosed D01 transection</x:v>
      </x:c>
      <x:c r="G33" s="66" t="str">
        <x:v>DISCLOSED</x:v>
      </x:c>
      <x:c r="H33" s="66" t="str">
        <x:v>NRC-C</x:v>
      </x:c>
      <x:c r="I33" s="66" t="str">
        <x:v>DC-C1</x:v>
      </x:c>
      <x:c r="J33" s="66" t="n">
        <x:v>15</x:v>
      </x:c>
      <x:c r="K33" s="66" t="n">
        <x:v>29</x:v>
      </x:c>
      <x:c r="L33" s="66" t="n">
        <x:v>37</x:v>
      </x:c>
      <x:c r="M33" s="66" t="str"/>
      <x:c r="N33" s="66" t="n">
        <x:v>1</x:v>
      </x:c>
      <x:c r="O33" s="66" t="str">
        <x:f>IF(AND(H33='Control Inputs'!D9,J33&lt;'Control Inputs'!D8,K33&gt;'Control Inputs'!D8),"ACTIVE_INTERRUPTED",IF(AND(H33='Control Inputs'!D9,K33&lt;='Control Inputs'!D8,L33&gt;'Control Inputs'!D8),"REMOTE_PACKET",IF(AND(H33='Control Inputs'!D9,L33&lt;='Control Inputs'!D8),"PRELOSS_TERMINAL","UNAFFECTED")))</x:f>
        <x:v>UNAFFECTED</x:v>
      </x:c>
      <x:c r="P33" s="66" t="str">
        <x:f>IF(N33=0,"HELD",IF(O33="ACTIVE_INTERRUPTED","MODELED RANGE-INVALID","MODELED CREDIT"))</x:f>
        <x:v>MODELED CREDIT</x:v>
      </x:c>
      <x:c r="Q33" s="66" t="n">
        <x:f>IF(P33="MODELED CREDIT",1,0)</x:f>
        <x:v>1</x:v>
      </x:c>
      <x:c r="R33" s="66" t="n">
        <x:f>IF(N33=1,IF(C33="Closure",'Control Inputs'!D37,'Control Inputs'!D38),0)</x:f>
        <x:v>120</x:v>
      </x:c>
      <x:c r="S33" s="66" t="n">
        <x:f>IF(N33=1,IF(C33="Closure",'Control Inputs'!D32,'Control Inputs'!D33),0)</x:f>
        <x:v>5</x:v>
      </x:c>
      <x:c r="T33" s="66" t="n">
        <x:f>IF(N33=1,IF(C33="Closure",'Control Inputs'!D48,'Control Inputs'!D49),0)</x:f>
        <x:v>16</x:v>
      </x:c>
      <x:c r="U33" s="66" t="n">
        <x:f>IF(AND(N33=1,OR(G33="BLIND",G33="SEALED")),1,0)</x:f>
        <x:v>0</x:v>
      </x:c>
      <x:c r="V33" s="66" t="str">
        <x:v>PLANNING</x:v>
      </x:c>
      <x:c r="W33" s="76" t="n">
        <x:f>IF(O33="ACTIVE_INTERRUPTED",'Control Inputs'!D8,K33)</x:f>
        <x:v>29</x:v>
      </x:c>
    </x:row>
    <x:row r="34" ht="31" customHeight="1">
      <x:c r="B34" s="65" t="str">
        <x:v>CW-D004</x:v>
      </x:c>
      <x:c r="C34" s="65" t="str">
        <x:v>Damage</x:v>
      </x:c>
      <x:c r="D34" s="66" t="str">
        <x:v>PRIMARY</x:v>
      </x:c>
      <x:c r="E34" s="66" t="str">
        <x:v>R1</x:v>
      </x:c>
      <x:c r="F34" s="66" t="str">
        <x:v>sealed permitted combination</x:v>
      </x:c>
      <x:c r="G34" s="66" t="str">
        <x:v>SEALED</x:v>
      </x:c>
      <x:c r="H34" s="66" t="str">
        <x:v>NRC-A</x:v>
      </x:c>
      <x:c r="I34" s="66" t="str">
        <x:v>DC-A2</x:v>
      </x:c>
      <x:c r="J34" s="66" t="n">
        <x:v>37</x:v>
      </x:c>
      <x:c r="K34" s="66" t="n">
        <x:v>51</x:v>
      </x:c>
      <x:c r="L34" s="66" t="n">
        <x:v>59</x:v>
      </x:c>
      <x:c r="M34" s="66" t="str"/>
      <x:c r="N34" s="66" t="n">
        <x:v>1</x:v>
      </x:c>
      <x:c r="O34" s="66" t="str">
        <x:f>IF(AND(H34='Control Inputs'!D9,J34&lt;'Control Inputs'!D8,K34&gt;'Control Inputs'!D8),"ACTIVE_INTERRUPTED",IF(AND(H34='Control Inputs'!D9,K34&lt;='Control Inputs'!D8,L34&gt;'Control Inputs'!D8),"REMOTE_PACKET",IF(AND(H34='Control Inputs'!D9,L34&lt;='Control Inputs'!D8),"PRELOSS_TERMINAL","UNAFFECTED")))</x:f>
        <x:v>UNAFFECTED</x:v>
      </x:c>
      <x:c r="P34" s="66" t="str">
        <x:f>IF(N34=0,"HELD",IF(O34="ACTIVE_INTERRUPTED","MODELED RANGE-INVALID","MODELED CREDIT"))</x:f>
        <x:v>MODELED CREDIT</x:v>
      </x:c>
      <x:c r="Q34" s="66" t="n">
        <x:f>IF(P34="MODELED CREDIT",1,0)</x:f>
        <x:v>1</x:v>
      </x:c>
      <x:c r="R34" s="66" t="n">
        <x:f>IF(N34=1,IF(C34="Closure",'Control Inputs'!D37,'Control Inputs'!D38),0)</x:f>
        <x:v>120</x:v>
      </x:c>
      <x:c r="S34" s="66" t="n">
        <x:f>IF(N34=1,IF(C34="Closure",'Control Inputs'!D32,'Control Inputs'!D33),0)</x:f>
        <x:v>5</x:v>
      </x:c>
      <x:c r="T34" s="66" t="n">
        <x:f>IF(N34=1,IF(C34="Closure",'Control Inputs'!D48,'Control Inputs'!D49),0)</x:f>
        <x:v>16</x:v>
      </x:c>
      <x:c r="U34" s="66" t="n">
        <x:f>IF(AND(N34=1,OR(G34="BLIND",G34="SEALED")),1,0)</x:f>
        <x:v>1</x:v>
      </x:c>
      <x:c r="V34" s="66" t="str">
        <x:v>PLANNING</x:v>
      </x:c>
      <x:c r="W34" s="76" t="n">
        <x:f>IF(O34="ACTIVE_INTERRUPTED",'Control Inputs'!D8,K34)</x:f>
        <x:v>51</x:v>
      </x:c>
    </x:row>
    <x:row r="35" ht="31" customHeight="1">
      <x:c r="B35" s="65" t="str">
        <x:v>CW-D005</x:v>
      </x:c>
      <x:c r="C35" s="65" t="str">
        <x:v>Damage</x:v>
      </x:c>
      <x:c r="D35" s="66" t="str">
        <x:v>PRIMARY</x:v>
      </x:c>
      <x:c r="E35" s="66" t="str">
        <x:v>R2</x:v>
      </x:c>
      <x:c r="F35" s="66" t="str">
        <x:v>sealed permitted combination</x:v>
      </x:c>
      <x:c r="G35" s="66" t="str">
        <x:v>SEALED</x:v>
      </x:c>
      <x:c r="H35" s="66" t="str">
        <x:v>NRC-B</x:v>
      </x:c>
      <x:c r="I35" s="66" t="str">
        <x:v>DC-B2</x:v>
      </x:c>
      <x:c r="J35" s="66" t="n">
        <x:v>37</x:v>
      </x:c>
      <x:c r="K35" s="66" t="n">
        <x:v>51</x:v>
      </x:c>
      <x:c r="L35" s="66" t="n">
        <x:v>59</x:v>
      </x:c>
      <x:c r="M35" s="66" t="str"/>
      <x:c r="N35" s="66" t="n">
        <x:v>1</x:v>
      </x:c>
      <x:c r="O35" s="66" t="str">
        <x:f>IF(AND(H35='Control Inputs'!D9,J35&lt;'Control Inputs'!D8,K35&gt;'Control Inputs'!D8),"ACTIVE_INTERRUPTED",IF(AND(H35='Control Inputs'!D9,K35&lt;='Control Inputs'!D8,L35&gt;'Control Inputs'!D8),"REMOTE_PACKET",IF(AND(H35='Control Inputs'!D9,L35&lt;='Control Inputs'!D8),"PRELOSS_TERMINAL","UNAFFECTED")))</x:f>
        <x:v>ACTIVE_INTERRUPTED</x:v>
      </x:c>
      <x:c r="P35" s="66" t="str">
        <x:f>IF(N35=0,"HELD",IF(O35="ACTIVE_INTERRUPTED","MODELED RANGE-INVALID","MODELED CREDIT"))</x:f>
        <x:v>MODELED RANGE-INVALID</x:v>
      </x:c>
      <x:c r="Q35" s="66" t="n">
        <x:f>IF(P35="MODELED CREDIT",1,0)</x:f>
        <x:v>0</x:v>
      </x:c>
      <x:c r="R35" s="66" t="n">
        <x:f>IF(N35=1,IF(C35="Closure",'Control Inputs'!D37,'Control Inputs'!D38),0)</x:f>
        <x:v>120</x:v>
      </x:c>
      <x:c r="S35" s="66" t="n">
        <x:f>IF(N35=1,IF(C35="Closure",'Control Inputs'!D32,'Control Inputs'!D33),0)</x:f>
        <x:v>5</x:v>
      </x:c>
      <x:c r="T35" s="66" t="n">
        <x:f>IF(N35=1,IF(C35="Closure",'Control Inputs'!D48,'Control Inputs'!D49),0)</x:f>
        <x:v>16</x:v>
      </x:c>
      <x:c r="U35" s="66" t="n">
        <x:f>IF(AND(N35=1,OR(G35="BLIND",G35="SEALED")),1,0)</x:f>
        <x:v>1</x:v>
      </x:c>
      <x:c r="V35" s="66" t="str">
        <x:v>PLANNING</x:v>
      </x:c>
      <x:c r="W35" s="76" t="n">
        <x:f>IF(O35="ACTIVE_INTERRUPTED",'Control Inputs'!D8,K35)</x:f>
        <x:v>38</x:v>
      </x:c>
    </x:row>
    <x:row r="36" ht="31" customHeight="1">
      <x:c r="B36" s="65" t="str">
        <x:v>CW-D006</x:v>
      </x:c>
      <x:c r="C36" s="65" t="str">
        <x:v>Damage</x:v>
      </x:c>
      <x:c r="D36" s="66" t="str">
        <x:v>PRIMARY</x:v>
      </x:c>
      <x:c r="E36" s="66" t="str">
        <x:v>R3</x:v>
      </x:c>
      <x:c r="F36" s="66" t="str">
        <x:v>sealed permitted combination</x:v>
      </x:c>
      <x:c r="G36" s="66" t="str">
        <x:v>SEALED</x:v>
      </x:c>
      <x:c r="H36" s="66" t="str">
        <x:v>NRC-B</x:v>
      </x:c>
      <x:c r="I36" s="66" t="str">
        <x:v>DC-B1</x:v>
      </x:c>
      <x:c r="J36" s="66" t="n">
        <x:v>37</x:v>
      </x:c>
      <x:c r="K36" s="66" t="n">
        <x:v>51</x:v>
      </x:c>
      <x:c r="L36" s="66" t="n">
        <x:v>59</x:v>
      </x:c>
      <x:c r="M36" s="66" t="str"/>
      <x:c r="N36" s="66" t="n">
        <x:v>1</x:v>
      </x:c>
      <x:c r="O36" s="66" t="str">
        <x:f>IF(AND(H36='Control Inputs'!D9,J36&lt;'Control Inputs'!D8,K36&gt;'Control Inputs'!D8),"ACTIVE_INTERRUPTED",IF(AND(H36='Control Inputs'!D9,K36&lt;='Control Inputs'!D8,L36&gt;'Control Inputs'!D8),"REMOTE_PACKET",IF(AND(H36='Control Inputs'!D9,L36&lt;='Control Inputs'!D8),"PRELOSS_TERMINAL","UNAFFECTED")))</x:f>
        <x:v>ACTIVE_INTERRUPTED</x:v>
      </x:c>
      <x:c r="P36" s="66" t="str">
        <x:f>IF(N36=0,"HELD",IF(O36="ACTIVE_INTERRUPTED","MODELED RANGE-INVALID","MODELED CREDIT"))</x:f>
        <x:v>MODELED RANGE-INVALID</x:v>
      </x:c>
      <x:c r="Q36" s="66" t="n">
        <x:f>IF(P36="MODELED CREDIT",1,0)</x:f>
        <x:v>0</x:v>
      </x:c>
      <x:c r="R36" s="66" t="n">
        <x:f>IF(N36=1,IF(C36="Closure",'Control Inputs'!D37,'Control Inputs'!D38),0)</x:f>
        <x:v>120</x:v>
      </x:c>
      <x:c r="S36" s="66" t="n">
        <x:f>IF(N36=1,IF(C36="Closure",'Control Inputs'!D32,'Control Inputs'!D33),0)</x:f>
        <x:v>5</x:v>
      </x:c>
      <x:c r="T36" s="66" t="n">
        <x:f>IF(N36=1,IF(C36="Closure",'Control Inputs'!D48,'Control Inputs'!D49),0)</x:f>
        <x:v>16</x:v>
      </x:c>
      <x:c r="U36" s="66" t="n">
        <x:f>IF(AND(N36=1,OR(G36="BLIND",G36="SEALED")),1,0)</x:f>
        <x:v>1</x:v>
      </x:c>
      <x:c r="V36" s="66" t="str">
        <x:v>PLANNING</x:v>
      </x:c>
      <x:c r="W36" s="76" t="n">
        <x:f>IF(O36="ACTIVE_INTERRUPTED",'Control Inputs'!D8,K36)</x:f>
        <x:v>38</x:v>
      </x:c>
    </x:row>
    <x:row r="37" ht="31" customHeight="1">
      <x:c r="B37" s="65" t="str">
        <x:v>CW-DR01</x:v>
      </x:c>
      <x:c r="C37" s="65" t="str">
        <x:v>Damage</x:v>
      </x:c>
      <x:c r="D37" s="66" t="str">
        <x:v>LOSS REPLACEMENT</x:v>
      </x:c>
      <x:c r="E37" s="66" t="str">
        <x:v>R2</x:v>
      </x:c>
      <x:c r="F37" s="66" t="str">
        <x:v>fresh sealed replacement</x:v>
      </x:c>
      <x:c r="G37" s="66" t="str">
        <x:v>SEALED</x:v>
      </x:c>
      <x:c r="H37" s="66" t="str">
        <x:v>NRC-A</x:v>
      </x:c>
      <x:c r="I37" s="66" t="str">
        <x:v>DC-A1</x:v>
      </x:c>
      <x:c r="J37" s="66" t="n">
        <x:v>42</x:v>
      </x:c>
      <x:c r="K37" s="66" t="n">
        <x:v>56</x:v>
      </x:c>
      <x:c r="L37" s="66" t="n">
        <x:v>64</x:v>
      </x:c>
      <x:c r="M37" s="66" t="str">
        <x:v>CW-D005</x:v>
      </x:c>
      <x:c r="N37" s="66" t="n">
        <x:v>1</x:v>
      </x:c>
      <x:c r="O37" s="66" t="str">
        <x:f>IF(AND(H37='Control Inputs'!D9,J37&lt;'Control Inputs'!D8,K37&gt;'Control Inputs'!D8),"ACTIVE_INTERRUPTED",IF(AND(H37='Control Inputs'!D9,K37&lt;='Control Inputs'!D8,L37&gt;'Control Inputs'!D8),"REMOTE_PACKET",IF(AND(H37='Control Inputs'!D9,L37&lt;='Control Inputs'!D8),"PRELOSS_TERMINAL","UNAFFECTED")))</x:f>
        <x:v>UNAFFECTED</x:v>
      </x:c>
      <x:c r="P37" s="66" t="str">
        <x:f>IF(N37=0,"HELD",IF(O37="ACTIVE_INTERRUPTED","MODELED RANGE-INVALID","MODELED CREDIT"))</x:f>
        <x:v>MODELED CREDIT</x:v>
      </x:c>
      <x:c r="Q37" s="66" t="n">
        <x:f>IF(P37="MODELED CREDIT",1,0)</x:f>
        <x:v>1</x:v>
      </x:c>
      <x:c r="R37" s="66" t="n">
        <x:f>IF(N37=1,IF(C37="Closure",'Control Inputs'!D37,'Control Inputs'!D38),0)</x:f>
        <x:v>120</x:v>
      </x:c>
      <x:c r="S37" s="66" t="n">
        <x:f>IF(N37=1,IF(C37="Closure",'Control Inputs'!D32,'Control Inputs'!D33),0)</x:f>
        <x:v>5</x:v>
      </x:c>
      <x:c r="T37" s="66" t="n">
        <x:f>IF(N37=1,IF(C37="Closure",'Control Inputs'!D48,'Control Inputs'!D49),0)</x:f>
        <x:v>16</x:v>
      </x:c>
      <x:c r="U37" s="66" t="n">
        <x:f>IF(AND(N37=1,OR(G37="BLIND",G37="SEALED")),1,0)</x:f>
        <x:v>1</x:v>
      </x:c>
      <x:c r="V37" s="66" t="str">
        <x:v>PLANNING</x:v>
      </x:c>
      <x:c r="W37" s="76" t="n">
        <x:f>IF(O37="ACTIVE_INTERRUPTED",'Control Inputs'!D8,K37)</x:f>
        <x:v>56</x:v>
      </x:c>
    </x:row>
    <x:row r="38" ht="31" customHeight="1">
      <x:c r="B38" s="65" t="str">
        <x:v>CW-DR02</x:v>
      </x:c>
      <x:c r="C38" s="65" t="str">
        <x:v>Damage</x:v>
      </x:c>
      <x:c r="D38" s="66" t="str">
        <x:v>LOSS REPLACEMENT</x:v>
      </x:c>
      <x:c r="E38" s="66" t="str">
        <x:v>R3</x:v>
      </x:c>
      <x:c r="F38" s="66" t="str">
        <x:v>fresh sealed replacement</x:v>
      </x:c>
      <x:c r="G38" s="66" t="str">
        <x:v>SEALED</x:v>
      </x:c>
      <x:c r="H38" s="66" t="str">
        <x:v>NRC-C</x:v>
      </x:c>
      <x:c r="I38" s="66" t="str">
        <x:v>DC-C1</x:v>
      </x:c>
      <x:c r="J38" s="66" t="n">
        <x:v>42</x:v>
      </x:c>
      <x:c r="K38" s="66" t="n">
        <x:v>56</x:v>
      </x:c>
      <x:c r="L38" s="66" t="n">
        <x:v>64</x:v>
      </x:c>
      <x:c r="M38" s="66" t="str">
        <x:v>CW-D006</x:v>
      </x:c>
      <x:c r="N38" s="66" t="n">
        <x:v>1</x:v>
      </x:c>
      <x:c r="O38" s="66" t="str">
        <x:f>IF(AND(H38='Control Inputs'!D9,J38&lt;'Control Inputs'!D8,K38&gt;'Control Inputs'!D8),"ACTIVE_INTERRUPTED",IF(AND(H38='Control Inputs'!D9,K38&lt;='Control Inputs'!D8,L38&gt;'Control Inputs'!D8),"REMOTE_PACKET",IF(AND(H38='Control Inputs'!D9,L38&lt;='Control Inputs'!D8),"PRELOSS_TERMINAL","UNAFFECTED")))</x:f>
        <x:v>UNAFFECTED</x:v>
      </x:c>
      <x:c r="P38" s="66" t="str">
        <x:f>IF(N38=0,"HELD",IF(O38="ACTIVE_INTERRUPTED","MODELED RANGE-INVALID","MODELED CREDIT"))</x:f>
        <x:v>MODELED CREDIT</x:v>
      </x:c>
      <x:c r="Q38" s="66" t="n">
        <x:f>IF(P38="MODELED CREDIT",1,0)</x:f>
        <x:v>1</x:v>
      </x:c>
      <x:c r="R38" s="66" t="n">
        <x:f>IF(N38=1,IF(C38="Closure",'Control Inputs'!D37,'Control Inputs'!D38),0)</x:f>
        <x:v>120</x:v>
      </x:c>
      <x:c r="S38" s="66" t="n">
        <x:f>IF(N38=1,IF(C38="Closure",'Control Inputs'!D32,'Control Inputs'!D33),0)</x:f>
        <x:v>5</x:v>
      </x:c>
      <x:c r="T38" s="66" t="n">
        <x:f>IF(N38=1,IF(C38="Closure",'Control Inputs'!D48,'Control Inputs'!D49),0)</x:f>
        <x:v>16</x:v>
      </x:c>
      <x:c r="U38" s="66" t="n">
        <x:f>IF(AND(N38=1,OR(G38="BLIND",G38="SEALED")),1,0)</x:f>
        <x:v>1</x:v>
      </x:c>
      <x:c r="V38" s="66" t="str">
        <x:v>PLANNING</x:v>
      </x:c>
      <x:c r="W38" s="76" t="n">
        <x:f>IF(O38="ACTIVE_INTERRUPTED",'Control Inputs'!D8,K38)</x:f>
        <x:v>56</x:v>
      </x:c>
    </x:row>
    <x:row r="39" ht="31" customHeight="1">
      <x:c r="B39" s="65" t="str">
        <x:v>CW-DR03</x:v>
      </x:c>
      <x:c r="C39" s="65" t="str">
        <x:v>Damage</x:v>
      </x:c>
      <x:c r="D39" s="66" t="str">
        <x:v>CONTINGENT</x:v>
      </x:c>
      <x:c r="E39" s="66" t="str">
        <x:v>CONTINGENT</x:v>
      </x:c>
      <x:c r="F39" s="66" t="str">
        <x:v>fresh permitted injury state</x:v>
      </x:c>
      <x:c r="G39" s="66" t="str">
        <x:v>SEALED</x:v>
      </x:c>
      <x:c r="H39" s="66" t="str">
        <x:v>NRC-A</x:v>
      </x:c>
      <x:c r="I39" s="66" t="str">
        <x:v>DC-A2</x:v>
      </x:c>
      <x:c r="J39" s="66" t="n">
        <x:v>56</x:v>
      </x:c>
      <x:c r="K39" s="66" t="n">
        <x:v>70</x:v>
      </x:c>
      <x:c r="L39" s="66" t="n">
        <x:v>78</x:v>
      </x:c>
      <x:c r="M39" s="66" t="str"/>
      <x:c r="N39" s="66" t="n">
        <x:v>0</x:v>
      </x:c>
      <x:c r="O39" s="66" t="str">
        <x:f>IF(AND(H39='Control Inputs'!D9,J39&lt;'Control Inputs'!D8,K39&gt;'Control Inputs'!D8),"ACTIVE_INTERRUPTED",IF(AND(H39='Control Inputs'!D9,K39&lt;='Control Inputs'!D8,L39&gt;'Control Inputs'!D8),"REMOTE_PACKET",IF(AND(H39='Control Inputs'!D9,L39&lt;='Control Inputs'!D8),"PRELOSS_TERMINAL","UNAFFECTED")))</x:f>
        <x:v>UNAFFECTED</x:v>
      </x:c>
      <x:c r="P39" s="66" t="str">
        <x:f>IF(N39=0,"HELD",IF(O39="ACTIVE_INTERRUPTED","MODELED RANGE-INVALID","MODELED CREDIT"))</x:f>
        <x:v>HELD</x:v>
      </x:c>
      <x:c r="Q39" s="66" t="n">
        <x:f>IF(P39="MODELED CREDIT",1,0)</x:f>
        <x:v>0</x:v>
      </x:c>
      <x:c r="R39" s="66" t="n">
        <x:f>IF(N39=1,IF(C39="Closure",'Control Inputs'!D37,'Control Inputs'!D38),0)</x:f>
        <x:v>0</x:v>
      </x:c>
      <x:c r="S39" s="66" t="n">
        <x:f>IF(N39=1,IF(C39="Closure",'Control Inputs'!D32,'Control Inputs'!D33),0)</x:f>
        <x:v>0</x:v>
      </x:c>
      <x:c r="T39" s="66" t="n">
        <x:f>IF(N39=1,IF(C39="Closure",'Control Inputs'!D48,'Control Inputs'!D49),0)</x:f>
        <x:v>0</x:v>
      </x:c>
      <x:c r="U39" s="66" t="n">
        <x:f>IF(AND(N39=1,OR(G39="BLIND",G39="SEALED")),1,0)</x:f>
        <x:v>0</x:v>
      </x:c>
      <x:c r="V39" s="66" t="str">
        <x:v>PLANNING</x:v>
      </x:c>
      <x:c r="W39" s="76" t="n">
        <x:f>IF(O39="ACTIVE_INTERRUPTED",'Control Inputs'!D8,K39)</x:f>
        <x:v>70</x:v>
      </x:c>
    </x:row>
    <x:row r="40" ht="31" customHeight="1">
      <x:c r="B40" s="70" t="str">
        <x:v>CW-DR04</x:v>
      </x:c>
      <x:c r="C40" s="70" t="str">
        <x:v>Damage</x:v>
      </x:c>
      <x:c r="D40" s="71" t="str">
        <x:v>CONTINGENT</x:v>
      </x:c>
      <x:c r="E40" s="71" t="str">
        <x:v>CONTINGENT</x:v>
      </x:c>
      <x:c r="F40" s="71" t="str">
        <x:v>fresh permitted injury state</x:v>
      </x:c>
      <x:c r="G40" s="71" t="str">
        <x:v>SEALED</x:v>
      </x:c>
      <x:c r="H40" s="71" t="str">
        <x:v>NRC-C</x:v>
      </x:c>
      <x:c r="I40" s="71" t="str">
        <x:v>DC-C2</x:v>
      </x:c>
      <x:c r="J40" s="71" t="n">
        <x:v>56</x:v>
      </x:c>
      <x:c r="K40" s="71" t="n">
        <x:v>70</x:v>
      </x:c>
      <x:c r="L40" s="71" t="n">
        <x:v>78</x:v>
      </x:c>
      <x:c r="M40" s="71" t="str"/>
      <x:c r="N40" s="71" t="n">
        <x:v>0</x:v>
      </x:c>
      <x:c r="O40" s="71" t="str">
        <x:f>IF(AND(H40='Control Inputs'!D9,J40&lt;'Control Inputs'!D8,K40&gt;'Control Inputs'!D8),"ACTIVE_INTERRUPTED",IF(AND(H40='Control Inputs'!D9,K40&lt;='Control Inputs'!D8,L40&gt;'Control Inputs'!D8),"REMOTE_PACKET",IF(AND(H40='Control Inputs'!D9,L40&lt;='Control Inputs'!D8),"PRELOSS_TERMINAL","UNAFFECTED")))</x:f>
        <x:v>UNAFFECTED</x:v>
      </x:c>
      <x:c r="P40" s="71" t="str">
        <x:f>IF(N40=0,"HELD",IF(O40="ACTIVE_INTERRUPTED","MODELED RANGE-INVALID","MODELED CREDIT"))</x:f>
        <x:v>HELD</x:v>
      </x:c>
      <x:c r="Q40" s="71" t="n">
        <x:f>IF(P40="MODELED CREDIT",1,0)</x:f>
        <x:v>0</x:v>
      </x:c>
      <x:c r="R40" s="71" t="n">
        <x:f>IF(N40=1,IF(C40="Closure",'Control Inputs'!D37,'Control Inputs'!D38),0)</x:f>
        <x:v>0</x:v>
      </x:c>
      <x:c r="S40" s="71" t="n">
        <x:f>IF(N40=1,IF(C40="Closure",'Control Inputs'!D32,'Control Inputs'!D33),0)</x:f>
        <x:v>0</x:v>
      </x:c>
      <x:c r="T40" s="71" t="n">
        <x:f>IF(N40=1,IF(C40="Closure",'Control Inputs'!D48,'Control Inputs'!D49),0)</x:f>
        <x:v>0</x:v>
      </x:c>
      <x:c r="U40" s="71" t="n">
        <x:f>IF(AND(N40=1,OR(G40="BLIND",G40="SEALED")),1,0)</x:f>
        <x:v>0</x:v>
      </x:c>
      <x:c r="V40" s="71" t="str">
        <x:v>PLANNING</x:v>
      </x:c>
      <x:c r="W40" s="79" t="n">
        <x:f>IF(O40="ACTIVE_INTERRUPTED",'Control Inputs'!D8,K40)</x:f>
        <x:v>70</x:v>
      </x:c>
    </x:row>
  </x:sheetData>
  <x:mergeCells>
    <x:mergeCell ref="B3:W3"/>
  </x:mergeCells>
  <x:conditionalFormatting sqref="O7:V40">
    <x:cfRule type="containsText" dxfId="12" priority="1" operator="containsText" text="FAIL"/>
    <x:cfRule type="containsText" dxfId="13" priority="2" operator="containsText" text="BLOCKED"/>
    <x:cfRule type="containsText" dxfId="14" priority="3" operator="containsText" text="HOLD"/>
    <x:cfRule type="containsText" dxfId="15" priority="4" operator="containsText" text="OPEN"/>
    <x:cfRule type="containsText" dxfId="16" priority="5" operator="containsText" text="RANGE-INVALID"/>
    <x:cfRule type="containsText" dxfId="17" priority="6" operator="containsText" text="INDETERMINATE"/>
    <x:cfRule type="containsText" dxfId="18" priority="7" operator="containsText" text="PASS"/>
    <x:cfRule type="containsText" dxfId="19" priority="8" operator="containsText" text="AUTHORIZED"/>
    <x:cfRule type="containsText" dxfId="20" priority="9" operator="containsText" text="RELEASED"/>
    <x:cfRule type="containsText" dxfId="21" priority="10" operator="containsText" text="ADMITTED"/>
    <x:cfRule type="containsText" dxfId="22" priority="11" operator="containsText" text="MODELED CREDIT"/>
    <x:cfRule type="containsText" dxfId="23" priority="12" operator="containsText" text="PLANNING COMPLETE"/>
    <x:cfRule type="containsText" dxfId="252" priority="13" operator="containsText" text="FAIL"/>
    <x:cfRule type="containsText" dxfId="253" priority="14" operator="containsText" text="BLOCKED"/>
    <x:cfRule type="containsText" dxfId="254" priority="15" operator="containsText" text="HOLD"/>
    <x:cfRule type="containsText" dxfId="255" priority="16" operator="containsText" text="OPEN"/>
    <x:cfRule type="containsText" dxfId="256" priority="17" operator="containsText" text="RANGE-INVALID"/>
    <x:cfRule type="containsText" dxfId="257" priority="18" operator="containsText" text="INDETERMINATE"/>
    <x:cfRule type="containsText" dxfId="258" priority="19" operator="containsText" text="PASS"/>
    <x:cfRule type="containsText" dxfId="259" priority="20" operator="containsText" text="AUTHORIZED"/>
    <x:cfRule type="containsText" dxfId="260" priority="21" operator="containsText" text="RELEASED"/>
    <x:cfRule type="containsText" dxfId="261" priority="22" operator="containsText" text="ADMITTED"/>
    <x:cfRule type="containsText" dxfId="262" priority="23" operator="containsText" text="MODELED CREDIT"/>
    <x:cfRule type="containsText" dxfId="263" priority="24" operator="containsText" text="PLANNING COMPLETE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B8C7D1"/>
  </x:sheetPr>
  <x:sheetViews>
    <x:sheetView showGridLines="0" workbookViewId="0"/>
  </x:sheetViews>
  <x:sheetFormatPr defaultRowHeight="15"/>
  <x:cols>
    <x:col min="2" max="2" width="12" hidden="0" customWidth="1"/>
    <x:col min="3" max="3" width="19" hidden="0" customWidth="1"/>
    <x:col min="4" max="4" width="20" hidden="0" customWidth="1"/>
    <x:col min="5" max="5" width="21" hidden="0" customWidth="1"/>
    <x:col min="6" max="6" width="18" hidden="0" customWidth="1"/>
    <x:col min="7" max="7" width="18" hidden="0" customWidth="1"/>
    <x:col min="8" max="8" width="20" hidden="0" customWidth="1"/>
    <x:col min="9" max="9" width="20" hidden="0" customWidth="1"/>
    <x:col min="10" max="10" width="14" hidden="0" customWidth="1"/>
  </x:cols>
  <x:sheetData>
    <x:row r="2">
      <x:c r="B2" s="1" t="str">
        <x:v>Root balance after the declared loss</x:v>
      </x:c>
      <x:c r="C2" s="54"/>
      <x:c r="D2" s="54"/>
      <x:c r="E2" s="54"/>
      <x:c r="F2" s="54"/>
      <x:c r="G2" s="54"/>
      <x:c r="H2" s="54"/>
      <x:c r="I2" s="54"/>
      <x:c r="J2" s="54"/>
    </x:row>
    <x:row r="3">
      <x:c r="B3" s="2" t="str">
        <x:v>Replacement tokens restore the intended evidence classes without erasing interrupted records.</x:v>
      </x:c>
      <x:c r="C3" s="54"/>
      <x:c r="D3" s="54"/>
      <x:c r="E3" s="54"/>
      <x:c r="F3" s="54"/>
      <x:c r="G3" s="54"/>
      <x:c r="H3" s="54"/>
      <x:c r="I3" s="54"/>
      <x:c r="J3" s="54"/>
    </x:row>
    <x:row r="4">
      <x:c r="B4" s="56"/>
      <x:c r="C4" s="56"/>
      <x:c r="D4" s="56"/>
      <x:c r="E4" s="56"/>
      <x:c r="F4" s="56"/>
      <x:c r="G4" s="56"/>
      <x:c r="H4" s="56"/>
      <x:c r="I4" s="56"/>
      <x:c r="J4" s="56"/>
    </x:row>
    <x:row r="5">
      <x:c r="B5" s="54"/>
      <x:c r="C5" s="54"/>
      <x:c r="D5" s="54"/>
      <x:c r="E5" s="54"/>
      <x:c r="F5" s="54"/>
      <x:c r="G5" s="54"/>
      <x:c r="H5" s="54"/>
      <x:c r="I5" s="54"/>
      <x:c r="J5" s="54"/>
    </x:row>
    <x:row r="6">
      <x:c r="B6" s="15" t="str">
        <x:v>Root</x:v>
      </x:c>
      <x:c r="C6" s="16" t="str">
        <x:v>Closure primaries</x:v>
      </x:c>
      <x:c r="D6" s="16" t="str">
        <x:v>Closure interrupted</x:v>
      </x:c>
      <x:c r="E6" s="16" t="str">
        <x:v>Closure replacements</x:v>
      </x:c>
      <x:c r="F6" s="16" t="str">
        <x:v>Closure credits</x:v>
      </x:c>
      <x:c r="G6" s="16" t="str">
        <x:v>Damage primaries</x:v>
      </x:c>
      <x:c r="H6" s="16" t="str">
        <x:v>Damage interrupted</x:v>
      </x:c>
      <x:c r="I6" s="16" t="str">
        <x:v>Damage replacements</x:v>
      </x:c>
      <x:c r="J6" s="16" t="str">
        <x:v>Gate</x:v>
      </x:c>
    </x:row>
    <x:row r="7">
      <x:c r="B7" s="65" t="str">
        <x:v>R1</x:v>
      </x:c>
      <x:c r="C7" s="65" t="n">
        <x:f>COUNTIFS('Token Ledger'!$C$7:$C$40,"Closure",'Token Ledger'!$D$7:$D$40,"PRIMARY",'Token Ledger'!$E$7:$E$40,B7)</x:f>
        <x:v>6</x:v>
      </x:c>
      <x:c r="D7" s="65" t="n">
        <x:f>COUNTIFS('Token Ledger'!$C$7:$C$40,"Closure",'Token Ledger'!$E$7:$E$40,B7,'Token Ledger'!$O$7:$O$40,"ACTIVE_INTERRUPTED")</x:f>
        <x:v>0</x:v>
      </x:c>
      <x:c r="E7" s="65" t="n">
        <x:f>COUNTIFS('Token Ledger'!$C$7:$C$40,"Closure",'Token Ledger'!$D$7:$D$40,"LOSS REPLACEMENT",'Token Ledger'!$E$7:$E$40,B7,'Token Ledger'!$N$7:$N$40,1)</x:f>
        <x:v>0</x:v>
      </x:c>
      <x:c r="F7" s="65" t="n">
        <x:f>SUMIFS('Token Ledger'!$Q$7:$Q$40,'Token Ledger'!$C$7:$C$40,"Closure",'Token Ledger'!$E$7:$E$40,B7)</x:f>
        <x:v>6</x:v>
      </x:c>
      <x:c r="G7" s="65" t="n">
        <x:f>COUNTIFS('Token Ledger'!$C$7:$C$40,"Damage",'Token Ledger'!$D$7:$D$40,"PRIMARY",'Token Ledger'!$E$7:$E$40,B7)</x:f>
        <x:v>2</x:v>
      </x:c>
      <x:c r="H7" s="65" t="n">
        <x:f>COUNTIFS('Token Ledger'!$C$7:$C$40,"Damage",'Token Ledger'!$E$7:$E$40,B7,'Token Ledger'!$O$7:$O$40,"ACTIVE_INTERRUPTED")</x:f>
        <x:v>0</x:v>
      </x:c>
      <x:c r="I7" s="65" t="n">
        <x:f>SUMIFS('Token Ledger'!$Q$7:$Q$40,'Token Ledger'!$C$7:$C$40,"Damage",'Token Ledger'!$E$7:$E$40,B7)</x:f>
        <x:v>2</x:v>
      </x:c>
      <x:c r="J7" s="76" t="str">
        <x:f>IF(AND(C7=6,F7=6,G7=2,I7=2),"PASS","FAIL")</x:f>
        <x:v>PASS</x:v>
      </x:c>
    </x:row>
    <x:row r="8">
      <x:c r="B8" s="65" t="str">
        <x:v>R2</x:v>
      </x:c>
      <x:c r="C8" s="65" t="n">
        <x:f>COUNTIFS('Token Ledger'!$C$7:$C$40,"Closure",'Token Ledger'!$D$7:$D$40,"PRIMARY",'Token Ledger'!$E$7:$E$40,B8)</x:f>
        <x:v>6</x:v>
      </x:c>
      <x:c r="D8" s="65" t="n">
        <x:f>COUNTIFS('Token Ledger'!$C$7:$C$40,"Closure",'Token Ledger'!$E$7:$E$40,B8,'Token Ledger'!$O$7:$O$40,"ACTIVE_INTERRUPTED")</x:f>
        <x:v>1</x:v>
      </x:c>
      <x:c r="E8" s="65" t="n">
        <x:f>COUNTIFS('Token Ledger'!$C$7:$C$40,"Closure",'Token Ledger'!$D$7:$D$40,"LOSS REPLACEMENT",'Token Ledger'!$E$7:$E$40,B8,'Token Ledger'!$N$7:$N$40,1)</x:f>
        <x:v>1</x:v>
      </x:c>
      <x:c r="F8" s="65" t="n">
        <x:f>SUMIFS('Token Ledger'!$Q$7:$Q$40,'Token Ledger'!$C$7:$C$40,"Closure",'Token Ledger'!$E$7:$E$40,B8)</x:f>
        <x:v>6</x:v>
      </x:c>
      <x:c r="G8" s="65" t="n">
        <x:f>COUNTIFS('Token Ledger'!$C$7:$C$40,"Damage",'Token Ledger'!$D$7:$D$40,"PRIMARY",'Token Ledger'!$E$7:$E$40,B8)</x:f>
        <x:v>2</x:v>
      </x:c>
      <x:c r="H8" s="65" t="n">
        <x:f>COUNTIFS('Token Ledger'!$C$7:$C$40,"Damage",'Token Ledger'!$E$7:$E$40,B8,'Token Ledger'!$O$7:$O$40,"ACTIVE_INTERRUPTED")</x:f>
        <x:v>1</x:v>
      </x:c>
      <x:c r="I8" s="65" t="n">
        <x:f>SUMIFS('Token Ledger'!$Q$7:$Q$40,'Token Ledger'!$C$7:$C$40,"Damage",'Token Ledger'!$E$7:$E$40,B8)</x:f>
        <x:v>2</x:v>
      </x:c>
      <x:c r="J8" s="76" t="str">
        <x:f>IF(AND(C8=6,F8=6,G8=2,I8=2),"PASS","FAIL")</x:f>
        <x:v>PASS</x:v>
      </x:c>
    </x:row>
    <x:row r="9">
      <x:c r="B9" s="70" t="str">
        <x:v>R3</x:v>
      </x:c>
      <x:c r="C9" s="70" t="n">
        <x:f>COUNTIFS('Token Ledger'!$C$7:$C$40,"Closure",'Token Ledger'!$D$7:$D$40,"PRIMARY",'Token Ledger'!$E$7:$E$40,B9)</x:f>
        <x:v>6</x:v>
      </x:c>
      <x:c r="D9" s="70" t="n">
        <x:f>COUNTIFS('Token Ledger'!$C$7:$C$40,"Closure",'Token Ledger'!$E$7:$E$40,B9,'Token Ledger'!$O$7:$O$40,"ACTIVE_INTERRUPTED")</x:f>
        <x:v>1</x:v>
      </x:c>
      <x:c r="E9" s="70" t="n">
        <x:f>COUNTIFS('Token Ledger'!$C$7:$C$40,"Closure",'Token Ledger'!$D$7:$D$40,"LOSS REPLACEMENT",'Token Ledger'!$E$7:$E$40,B9,'Token Ledger'!$N$7:$N$40,1)</x:f>
        <x:v>1</x:v>
      </x:c>
      <x:c r="F9" s="70" t="n">
        <x:f>SUMIFS('Token Ledger'!$Q$7:$Q$40,'Token Ledger'!$C$7:$C$40,"Closure",'Token Ledger'!$E$7:$E$40,B9)</x:f>
        <x:v>6</x:v>
      </x:c>
      <x:c r="G9" s="70" t="n">
        <x:f>COUNTIFS('Token Ledger'!$C$7:$C$40,"Damage",'Token Ledger'!$D$7:$D$40,"PRIMARY",'Token Ledger'!$E$7:$E$40,B9)</x:f>
        <x:v>2</x:v>
      </x:c>
      <x:c r="H9" s="70" t="n">
        <x:f>COUNTIFS('Token Ledger'!$C$7:$C$40,"Damage",'Token Ledger'!$E$7:$E$40,B9,'Token Ledger'!$O$7:$O$40,"ACTIVE_INTERRUPTED")</x:f>
        <x:v>1</x:v>
      </x:c>
      <x:c r="I9" s="70" t="n">
        <x:f>SUMIFS('Token Ledger'!$Q$7:$Q$40,'Token Ledger'!$C$7:$C$40,"Damage",'Token Ledger'!$E$7:$E$40,B9)</x:f>
        <x:v>2</x:v>
      </x:c>
      <x:c r="J9" s="79" t="str">
        <x:f>IF(AND(C9=6,F9=6,G9=2,I9=2),"PASS","FAIL")</x:f>
        <x:v>PASS</x:v>
      </x:c>
    </x:row>
    <x:row r="10">
      <x:c r="B10" s="54"/>
      <x:c r="C10" s="54"/>
      <x:c r="D10" s="54"/>
      <x:c r="E10" s="54"/>
      <x:c r="F10" s="54"/>
      <x:c r="G10" s="54"/>
      <x:c r="H10" s="54"/>
      <x:c r="I10" s="54"/>
      <x:c r="J10" s="54"/>
    </x:row>
    <x:row r="11">
      <x:c r="B11" s="54"/>
      <x:c r="C11" s="54"/>
      <x:c r="D11" s="54"/>
      <x:c r="E11" s="54"/>
      <x:c r="F11" s="54"/>
      <x:c r="G11" s="54"/>
      <x:c r="H11" s="54"/>
      <x:c r="I11" s="54"/>
      <x:c r="J11" s="54"/>
    </x:row>
    <x:row r="12">
      <x:c r="B12" s="54"/>
      <x:c r="C12" s="54"/>
      <x:c r="D12" s="54"/>
      <x:c r="E12" s="54"/>
      <x:c r="F12" s="54"/>
      <x:c r="G12" s="54"/>
      <x:c r="H12" s="54"/>
      <x:c r="I12" s="54"/>
      <x:c r="J12" s="54"/>
    </x:row>
    <x:row r="13">
      <x:c r="B13" s="57" t="str">
        <x:v>Primary condition coverage</x:v>
      </x:c>
      <x:c r="C13" s="58" t="str">
        <x:v>Primary condition coverage</x:v>
      </x:c>
      <x:c r="D13" s="58" t="str">
        <x:v>Primary condition coverage</x:v>
      </x:c>
      <x:c r="E13" s="58" t="str">
        <x:v>Primary condition coverage</x:v>
      </x:c>
      <x:c r="F13" s="58" t="str">
        <x:v>Primary condition coverage</x:v>
      </x:c>
      <x:c r="G13" s="58" t="str">
        <x:v>Primary condition coverage</x:v>
      </x:c>
      <x:c r="H13" s="58" t="str">
        <x:v>Primary condition coverage</x:v>
      </x:c>
      <x:c r="I13" s="58" t="str">
        <x:v>Primary condition coverage</x:v>
      </x:c>
      <x:c r="J13" s="59" t="str">
        <x:v>Primary condition coverage</x:v>
      </x:c>
    </x:row>
    <x:row r="14">
      <x:c r="B14" s="15" t="str">
        <x:v>Lane</x:v>
      </x:c>
      <x:c r="C14" s="16" t="str">
        <x:v>Condition family</x:v>
      </x:c>
      <x:c r="D14" s="16" t="str">
        <x:v>Primary count</x:v>
      </x:c>
      <x:c r="E14" s="16" t="str">
        <x:v>Gate</x:v>
      </x:c>
      <x:c r="F14" s="54"/>
      <x:c r="G14" s="54"/>
      <x:c r="H14" s="54"/>
      <x:c r="I14" s="54"/>
      <x:c r="J14" s="54"/>
    </x:row>
    <x:row r="15" ht="30" customHeight="1">
      <x:c r="B15" s="65" t="str">
        <x:v>Closure</x:v>
      </x:c>
      <x:c r="C15" s="65" t="str">
        <x:v>declared nominal</x:v>
      </x:c>
      <x:c r="D15" s="65" t="n">
        <x:f>COUNTIFS('Token Ledger'!$C$7:$C$40,B15,'Token Ledger'!$D$7:$D$40,"PRIMARY",'Token Ledger'!$F$7:$F$40,C15)</x:f>
        <x:v>3</x:v>
      </x:c>
      <x:c r="E15" s="76" t="str">
        <x:f>IF(D15=3,"PASS","FAIL")</x:f>
        <x:v>PASS</x:v>
      </x:c>
      <x:c r="F15" s="54"/>
      <x:c r="G15" s="54"/>
      <x:c r="H15" s="54"/>
      <x:c r="I15" s="54"/>
      <x:c r="J15" s="54"/>
    </x:row>
    <x:row r="16" ht="30" customHeight="1">
      <x:c r="B16" s="65" t="str">
        <x:v>Closure</x:v>
      </x:c>
      <x:c r="C16" s="65" t="str">
        <x:v>declared process edge</x:v>
      </x:c>
      <x:c r="D16" s="65" t="n">
        <x:f>COUNTIFS('Token Ledger'!$C$7:$C$40,B16,'Token Ledger'!$D$7:$D$40,"PRIMARY",'Token Ledger'!$F$7:$F$40,C16)</x:f>
        <x:v>3</x:v>
      </x:c>
      <x:c r="E16" s="76" t="str">
        <x:f>IF(D16=3,"PASS","FAIL")</x:f>
        <x:v>PASS</x:v>
      </x:c>
      <x:c r="F16" s="54"/>
      <x:c r="G16" s="54"/>
      <x:c r="H16" s="54"/>
      <x:c r="I16" s="54"/>
      <x:c r="J16" s="54"/>
    </x:row>
    <x:row r="17" ht="30" customHeight="1">
      <x:c r="B17" s="65" t="str">
        <x:v>Closure</x:v>
      </x:c>
      <x:c r="C17" s="65" t="str">
        <x:v>known defect</x:v>
      </x:c>
      <x:c r="D17" s="65" t="n">
        <x:f>COUNTIFS('Token Ledger'!$C$7:$C$40,B17,'Token Ledger'!$D$7:$D$40,"PRIMARY",'Token Ledger'!$F$7:$F$40,C17)</x:f>
        <x:v>3</x:v>
      </x:c>
      <x:c r="E17" s="76" t="str">
        <x:f>IF(D17=3,"PASS","FAIL")</x:f>
        <x:v>PASS</x:v>
      </x:c>
      <x:c r="F17" s="54"/>
      <x:c r="G17" s="54"/>
      <x:c r="H17" s="54"/>
      <x:c r="I17" s="54"/>
      <x:c r="J17" s="54"/>
    </x:row>
    <x:row r="18" ht="30" customHeight="1">
      <x:c r="B18" s="65" t="str">
        <x:v>Closure</x:v>
      </x:c>
      <x:c r="C18" s="65" t="str">
        <x:v>blind physical defect</x:v>
      </x:c>
      <x:c r="D18" s="65" t="n">
        <x:f>COUNTIFS('Token Ledger'!$C$7:$C$40,B18,'Token Ledger'!$D$7:$D$40,"PRIMARY",'Token Ledger'!$F$7:$F$40,C18)</x:f>
        <x:v>3</x:v>
      </x:c>
      <x:c r="E18" s="76" t="str">
        <x:f>IF(D18=3,"PASS","FAIL")</x:f>
        <x:v>PASS</x:v>
      </x:c>
      <x:c r="F18" s="54"/>
      <x:c r="G18" s="54"/>
      <x:c r="H18" s="54"/>
      <x:c r="I18" s="54"/>
      <x:c r="J18" s="54"/>
    </x:row>
    <x:row r="19" ht="30" customHeight="1">
      <x:c r="B19" s="65" t="str">
        <x:v>Closure</x:v>
      </x:c>
      <x:c r="C19" s="65" t="str">
        <x:v>blind configuration defect</x:v>
      </x:c>
      <x:c r="D19" s="65" t="n">
        <x:f>COUNTIFS('Token Ledger'!$C$7:$C$40,B19,'Token Ledger'!$D$7:$D$40,"PRIMARY",'Token Ledger'!$F$7:$F$40,C19)</x:f>
        <x:v>3</x:v>
      </x:c>
      <x:c r="E19" s="76" t="str">
        <x:f>IF(D19=3,"PASS","FAIL")</x:f>
        <x:v>PASS</x:v>
      </x:c>
      <x:c r="F19" s="54"/>
      <x:c r="G19" s="54"/>
      <x:c r="H19" s="54"/>
      <x:c r="I19" s="54"/>
      <x:c r="J19" s="54"/>
    </x:row>
    <x:row r="20" ht="30" customHeight="1">
      <x:c r="B20" s="65" t="str">
        <x:v>Closure</x:v>
      </x:c>
      <x:c r="C20" s="65" t="str">
        <x:v>clean blind control</x:v>
      </x:c>
      <x:c r="D20" s="65" t="n">
        <x:f>COUNTIFS('Token Ledger'!$C$7:$C$40,B20,'Token Ledger'!$D$7:$D$40,"PRIMARY",'Token Ledger'!$F$7:$F$40,C20)</x:f>
        <x:v>3</x:v>
      </x:c>
      <x:c r="E20" s="76" t="str">
        <x:f>IF(D20=3,"PASS","FAIL")</x:f>
        <x:v>PASS</x:v>
      </x:c>
      <x:c r="F20" s="54"/>
      <x:c r="G20" s="54"/>
      <x:c r="H20" s="54"/>
      <x:c r="I20" s="54"/>
      <x:c r="J20" s="54"/>
    </x:row>
    <x:row r="21" ht="30" customHeight="1">
      <x:c r="B21" s="65" t="str">
        <x:v>Damage</x:v>
      </x:c>
      <x:c r="C21" s="65" t="str">
        <x:v>disclosed D01 transection</x:v>
      </x:c>
      <x:c r="D21" s="65" t="n">
        <x:f>COUNTIFS('Token Ledger'!$C$7:$C$40,B21,'Token Ledger'!$D$7:$D$40,"PRIMARY",'Token Ledger'!$F$7:$F$40,C21)</x:f>
        <x:v>3</x:v>
      </x:c>
      <x:c r="E21" s="76" t="str">
        <x:f>IF(D21=3,"PASS","FAIL")</x:f>
        <x:v>PASS</x:v>
      </x:c>
      <x:c r="F21" s="54"/>
      <x:c r="G21" s="54"/>
      <x:c r="H21" s="54"/>
      <x:c r="I21" s="54"/>
      <x:c r="J21" s="54"/>
    </x:row>
    <x:row r="22" ht="30" customHeight="1">
      <x:c r="B22" s="70" t="str">
        <x:v>Damage</x:v>
      </x:c>
      <x:c r="C22" s="70" t="str">
        <x:v>sealed permitted combination</x:v>
      </x:c>
      <x:c r="D22" s="70" t="n">
        <x:f>COUNTIFS('Token Ledger'!$C$7:$C$40,B22,'Token Ledger'!$D$7:$D$40,"PRIMARY",'Token Ledger'!$F$7:$F$40,C22)</x:f>
        <x:v>3</x:v>
      </x:c>
      <x:c r="E22" s="79" t="str">
        <x:f>IF(D22=3,"PASS","FAIL")</x:f>
        <x:v>PASS</x:v>
      </x:c>
      <x:c r="F22" s="54"/>
      <x:c r="G22" s="54"/>
      <x:c r="H22" s="54"/>
      <x:c r="I22" s="54"/>
      <x:c r="J22" s="54"/>
    </x:row>
  </x:sheetData>
  <x:mergeCells>
    <x:mergeCell ref="B3:J3"/>
    <x:mergeCell ref="B13:J13"/>
  </x:mergeCells>
  <x:conditionalFormatting sqref="J7:J9">
    <x:cfRule type="containsText" dxfId="24" priority="1" operator="containsText" text="FAIL"/>
    <x:cfRule type="containsText" dxfId="25" priority="2" operator="containsText" text="BLOCKED"/>
    <x:cfRule type="containsText" dxfId="26" priority="3" operator="containsText" text="HOLD"/>
    <x:cfRule type="containsText" dxfId="27" priority="4" operator="containsText" text="OPEN"/>
    <x:cfRule type="containsText" dxfId="28" priority="5" operator="containsText" text="RANGE-INVALID"/>
    <x:cfRule type="containsText" dxfId="29" priority="6" operator="containsText" text="INDETERMINATE"/>
    <x:cfRule type="containsText" dxfId="30" priority="7" operator="containsText" text="PASS"/>
    <x:cfRule type="containsText" dxfId="31" priority="8" operator="containsText" text="AUTHORIZED"/>
    <x:cfRule type="containsText" dxfId="32" priority="9" operator="containsText" text="RELEASED"/>
    <x:cfRule type="containsText" dxfId="33" priority="10" operator="containsText" text="ADMITTED"/>
    <x:cfRule type="containsText" dxfId="34" priority="11" operator="containsText" text="MODELED CREDIT"/>
    <x:cfRule type="containsText" dxfId="35" priority="12" operator="containsText" text="PLANNING COMPLETE"/>
    <x:cfRule type="containsText" dxfId="276" priority="37" operator="containsText" text="FAIL"/>
    <x:cfRule type="containsText" dxfId="277" priority="38" operator="containsText" text="BLOCKED"/>
    <x:cfRule type="containsText" dxfId="278" priority="39" operator="containsText" text="HOLD"/>
    <x:cfRule type="containsText" dxfId="279" priority="40" operator="containsText" text="OPEN"/>
    <x:cfRule type="containsText" dxfId="280" priority="41" operator="containsText" text="RANGE-INVALID"/>
    <x:cfRule type="containsText" dxfId="281" priority="42" operator="containsText" text="INDETERMINATE"/>
    <x:cfRule type="containsText" dxfId="282" priority="43" operator="containsText" text="PASS"/>
    <x:cfRule type="containsText" dxfId="283" priority="44" operator="containsText" text="AUTHORIZED"/>
    <x:cfRule type="containsText" dxfId="284" priority="45" operator="containsText" text="RELEASED"/>
    <x:cfRule type="containsText" dxfId="285" priority="46" operator="containsText" text="ADMITTED"/>
    <x:cfRule type="containsText" dxfId="286" priority="47" operator="containsText" text="MODELED CREDIT"/>
    <x:cfRule type="containsText" dxfId="287" priority="48" operator="containsText" text="PLANNING COMPLETE"/>
  </x:conditionalFormatting>
  <x:conditionalFormatting sqref="E15:E22">
    <x:cfRule type="containsText" dxfId="36" priority="13" operator="containsText" text="FAIL"/>
    <x:cfRule type="containsText" dxfId="37" priority="14" operator="containsText" text="BLOCKED"/>
    <x:cfRule type="containsText" dxfId="38" priority="15" operator="containsText" text="HOLD"/>
    <x:cfRule type="containsText" dxfId="39" priority="16" operator="containsText" text="OPEN"/>
    <x:cfRule type="containsText" dxfId="40" priority="17" operator="containsText" text="RANGE-INVALID"/>
    <x:cfRule type="containsText" dxfId="41" priority="18" operator="containsText" text="INDETERMINATE"/>
    <x:cfRule type="containsText" dxfId="42" priority="19" operator="containsText" text="PASS"/>
    <x:cfRule type="containsText" dxfId="43" priority="20" operator="containsText" text="AUTHORIZED"/>
    <x:cfRule type="containsText" dxfId="44" priority="21" operator="containsText" text="RELEASED"/>
    <x:cfRule type="containsText" dxfId="45" priority="22" operator="containsText" text="ADMITTED"/>
    <x:cfRule type="containsText" dxfId="46" priority="23" operator="containsText" text="MODELED CREDIT"/>
    <x:cfRule type="containsText" dxfId="47" priority="24" operator="containsText" text="PLANNING COMPLETE"/>
    <x:cfRule type="containsText" dxfId="264" priority="25" operator="containsText" text="FAIL"/>
    <x:cfRule type="containsText" dxfId="265" priority="26" operator="containsText" text="BLOCKED"/>
    <x:cfRule type="containsText" dxfId="266" priority="27" operator="containsText" text="HOLD"/>
    <x:cfRule type="containsText" dxfId="267" priority="28" operator="containsText" text="OPEN"/>
    <x:cfRule type="containsText" dxfId="268" priority="29" operator="containsText" text="RANGE-INVALID"/>
    <x:cfRule type="containsText" dxfId="269" priority="30" operator="containsText" text="INDETERMINATE"/>
    <x:cfRule type="containsText" dxfId="270" priority="31" operator="containsText" text="PASS"/>
    <x:cfRule type="containsText" dxfId="271" priority="32" operator="containsText" text="AUTHORIZED"/>
    <x:cfRule type="containsText" dxfId="272" priority="33" operator="containsText" text="RELEASED"/>
    <x:cfRule type="containsText" dxfId="273" priority="34" operator="containsText" text="ADMITTED"/>
    <x:cfRule type="containsText" dxfId="274" priority="35" operator="containsText" text="MODELED CREDIT"/>
    <x:cfRule type="containsText" dxfId="275" priority="36" operator="containsText" text="PLANNING COMPLETE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B8C7D1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2" max="2" width="9" hidden="0" customWidth="1"/>
    <x:col min="3" max="3" width="15" hidden="0" customWidth="1"/>
    <x:col min="4" max="4" width="18" hidden="0" customWidth="1"/>
    <x:col min="5" max="5" width="15" hidden="0" customWidth="1"/>
    <x:col min="6" max="6" width="18" hidden="0" customWidth="1"/>
    <x:col min="7" max="7" width="21" hidden="0" customWidth="1"/>
    <x:col min="8" max="8" width="21" hidden="0" customWidth="1"/>
    <x:col min="9" max="9" width="22" hidden="0" customWidth="1"/>
    <x:col min="10" max="10" width="22" hidden="0" customWidth="1"/>
    <x:col min="11" max="11" width="16" hidden="0" customWidth="1"/>
    <x:col min="12" max="12" width="16" hidden="0" customWidth="1"/>
    <x:col min="13" max="13" width="18" hidden="0" customWidth="1"/>
    <x:col min="14" max="14" width="18" hidden="0" customWidth="1"/>
    <x:col min="15" max="15" width="20" hidden="0" customWidth="1"/>
    <x:col min="16" max="16" width="20" hidden="0" customWidth="1"/>
    <x:col min="17" max="17" width="15" hidden="0" customWidth="1"/>
    <x:col min="18" max="18" width="42" hidden="0" customWidth="1"/>
  </x:cols>
  <x:sheetData>
    <x:row r="2">
      <x:c r="B2" s="1" t="str">
        <x:v>Ninety-day work-in-process and packet control</x:v>
      </x:c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</x:row>
    <x:row r="3">
      <x:c r="B3" s="2" t="str">
        <x:v>Daily formulas count active work, protected reservations, terminal credits and queue limits through the campus loss.</x:v>
      </x:c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  <x:c r="N3" s="54"/>
      <x:c r="O3" s="54"/>
      <x:c r="P3" s="54"/>
      <x:c r="Q3" s="54"/>
      <x:c r="R3" s="54"/>
    </x:row>
    <x:row r="4">
      <x:c r="B4" s="56"/>
      <x:c r="C4" s="56"/>
      <x:c r="D4" s="56"/>
      <x:c r="E4" s="56"/>
      <x:c r="F4" s="56"/>
      <x:c r="G4" s="56"/>
      <x:c r="H4" s="56"/>
      <x:c r="I4" s="56"/>
      <x:c r="J4" s="56"/>
      <x:c r="K4" s="56"/>
      <x:c r="L4" s="56"/>
      <x:c r="M4" s="56"/>
      <x:c r="N4" s="56"/>
      <x:c r="O4" s="56"/>
      <x:c r="P4" s="56"/>
      <x:c r="Q4" s="56"/>
      <x:c r="R4" s="56"/>
    </x:row>
    <x:row r="5">
      <x:c r="B5" s="54"/>
      <x:c r="C5" s="54"/>
      <x:c r="D5" s="54"/>
      <x:c r="E5" s="54"/>
      <x:c r="F5" s="54"/>
      <x:c r="G5" s="54"/>
      <x:c r="H5" s="54"/>
      <x:c r="I5" s="54"/>
      <x:c r="J5" s="54"/>
      <x:c r="K5" s="54"/>
      <x:c r="L5" s="54"/>
      <x:c r="M5" s="54"/>
      <x:c r="N5" s="54"/>
      <x:c r="O5" s="54"/>
      <x:c r="P5" s="54"/>
      <x:c r="Q5" s="54"/>
      <x:c r="R5" s="54"/>
    </x:row>
    <x:row r="6">
      <x:c r="B6" s="15" t="str">
        <x:v>Day</x:v>
      </x:c>
      <x:c r="C6" s="16" t="str">
        <x:v>Closure WIP</x:v>
      </x:c>
      <x:c r="D6" s="16" t="str">
        <x:v>Closure reserved</x:v>
      </x:c>
      <x:c r="E6" s="16" t="str">
        <x:v>Damage WIP</x:v>
      </x:c>
      <x:c r="F6" s="16" t="str">
        <x:v>Damage reserved</x:v>
      </x:c>
      <x:c r="G6" s="16" t="str">
        <x:v>Closure packet queue</x:v>
      </x:c>
      <x:c r="H6" s="16" t="str">
        <x:v>Damage packet queue</x:v>
      </x:c>
      <x:c r="I6" s="16" t="str">
        <x:v>Closure credits terminal</x:v>
      </x:c>
      <x:c r="J6" s="16" t="str">
        <x:v>Damage credits terminal</x:v>
      </x:c>
      <x:c r="K6" s="16" t="str">
        <x:v>Activated starts</x:v>
      </x:c>
      <x:c r="L6" s="16" t="str">
        <x:v>Freeze breach</x:v>
      </x:c>
      <x:c r="M6" s="16" t="str">
        <x:v>Closure WIP gate</x:v>
      </x:c>
      <x:c r="N6" s="16" t="str">
        <x:v>Damage WIP gate</x:v>
      </x:c>
      <x:c r="O6" s="16" t="str">
        <x:v>Closure queue gate</x:v>
      </x:c>
      <x:c r="P6" s="16" t="str">
        <x:v>Damage queue gate</x:v>
      </x:c>
      <x:c r="Q6" s="16" t="str">
        <x:v>Daily gate</x:v>
      </x:c>
      <x:c r="R6" s="16" t="str">
        <x:v>Note</x:v>
      </x:c>
    </x:row>
    <x:row r="7" ht="24" customHeight="1">
      <x:c r="B7" s="65" t="n">
        <x:v>1</x:v>
      </x:c>
      <x:c r="C7" s="65" t="n">
        <x:f>COUNTIFS('Token Ledger'!$C$7:$C$40,"Closure",'Token Ledger'!$N$7:$N$40,1,'Token Ledger'!$J$7:$J$40,"&lt;="&amp;B7,'Token Ledger'!$W$7:$W$40,"&gt;"&amp;B7)</x:f>
        <x:v>3</x:v>
      </x:c>
      <x:c r="D7" s="65" t="n">
        <x:f>COUNTIFS('Token Ledger'!$C$7:$C$40,"Closure",'Token Ledger'!$J$7:$J$40,"&lt;="&amp;B7,'Token Ledger'!$K$7:$K$40,"&gt;"&amp;B7)</x:f>
        <x:v>3</x:v>
      </x:c>
      <x:c r="E7" s="65" t="n">
        <x:f>COUNTIFS('Token Ledger'!$C$7:$C$40,"Damage",'Token Ledger'!$N$7:$N$40,1,'Token Ledger'!$J$7:$J$40,"&lt;="&amp;B7,'Token Ledger'!$W$7:$W$40,"&gt;"&amp;B7)</x:f>
        <x:v>0</x:v>
      </x:c>
      <x:c r="F7" s="65" t="n">
        <x:f>COUNTIFS('Token Ledger'!$C$7:$C$40,"Damage",'Token Ledger'!$J$7:$J$40,"&lt;="&amp;B7,'Token Ledger'!$K$7:$K$40,"&gt;"&amp;B7)</x:f>
        <x:v>0</x:v>
      </x:c>
      <x:c r="G7" s="65" t="n">
        <x:f>COUNTIFS('Token Ledger'!$C$7:$C$40,"Closure",'Token Ledger'!$P$7:$P$40,"MODELED CREDIT",'Token Ledger'!$K$7:$K$40,"&lt;="&amp;B7,'Token Ledger'!$L$7:$L$40,"&gt;"&amp;B7)</x:f>
        <x:v>0</x:v>
      </x:c>
      <x:c r="H7" s="65" t="n">
        <x:f>COUNTIFS('Token Ledger'!$C$7:$C$40,"Damage",'Token Ledger'!$P$7:$P$40,"MODELED CREDIT",'Token Ledger'!$K$7:$K$40,"&lt;="&amp;B7,'Token Ledger'!$L$7:$L$40,"&gt;"&amp;B7)</x:f>
        <x:v>0</x:v>
      </x:c>
      <x:c r="I7" s="65" t="n">
        <x:f>SUMIFS('Token Ledger'!$Q$7:$Q$40,'Token Ledger'!$C$7:$C$40,"Closure",'Token Ledger'!$L$7:$L$40,"&lt;="&amp;B7)</x:f>
        <x:v>0</x:v>
      </x:c>
      <x:c r="J7" s="65" t="n">
        <x:f>SUMIFS('Token Ledger'!$Q$7:$Q$40,'Token Ledger'!$C$7:$C$40,"Damage",'Token Ledger'!$L$7:$L$40,"&lt;="&amp;B7)</x:f>
        <x:v>0</x:v>
      </x:c>
      <x:c r="K7" s="65" t="n">
        <x:f>COUNTIFS('Token Ledger'!$N$7:$N$40,1,'Token Ledger'!$J$7:$J$40,B7)</x:f>
        <x:v>3</x:v>
      </x:c>
      <x:c r="L7" s="65" t="n">
        <x:f>IF(B7='Control Inputs'!D8,K7,0)</x:f>
        <x:v>0</x:v>
      </x:c>
      <x:c r="M7" s="65" t="str">
        <x:f>IF(C7&lt;='Control Inputs'!D18,"PASS","FAIL")</x:f>
        <x:v>PASS</x:v>
      </x:c>
      <x:c r="N7" s="65" t="str">
        <x:f>IF(E7&lt;='Control Inputs'!D28,"PASS","FAIL")</x:f>
        <x:v>PASS</x:v>
      </x:c>
      <x:c r="O7" s="65" t="str">
        <x:f>IF(G7&lt;=IF(B7&lt;'Control Inputs'!D8,'Control Inputs'!D19,'Control Inputs'!D20),"PASS","FAIL")</x:f>
        <x:v>PASS</x:v>
      </x:c>
      <x:c r="P7" s="65" t="str">
        <x:f>IF(H7&lt;=IF(B7&lt;'Control Inputs'!D8,'Control Inputs'!D29,'Control Inputs'!D30),"PASS","FAIL")</x:f>
        <x:v>PASS</x:v>
      </x:c>
      <x:c r="Q7" s="65" t="str">
        <x:f>IF(AND(L7=0,M7="PASS",N7="PASS",O7="PASS",P7="PASS"),"PASS","FAIL")</x:f>
        <x:v>PASS</x:v>
      </x:c>
      <x:c r="R7" s="76" t="str"/>
    </x:row>
    <x:row r="8" ht="24" customHeight="1">
      <x:c r="B8" s="65" t="n">
        <x:v>2</x:v>
      </x:c>
      <x:c r="C8" s="65" t="n">
        <x:f>COUNTIFS('Token Ledger'!$C$7:$C$40,"Closure",'Token Ledger'!$N$7:$N$40,1,'Token Ledger'!$J$7:$J$40,"&lt;="&amp;B8,'Token Ledger'!$W$7:$W$40,"&gt;"&amp;B8)</x:f>
        <x:v>3</x:v>
      </x:c>
      <x:c r="D8" s="65" t="n">
        <x:f>COUNTIFS('Token Ledger'!$C$7:$C$40,"Closure",'Token Ledger'!$J$7:$J$40,"&lt;="&amp;B8,'Token Ledger'!$K$7:$K$40,"&gt;"&amp;B8)</x:f>
        <x:v>3</x:v>
      </x:c>
      <x:c r="E8" s="65" t="n">
        <x:f>COUNTIFS('Token Ledger'!$C$7:$C$40,"Damage",'Token Ledger'!$N$7:$N$40,1,'Token Ledger'!$J$7:$J$40,"&lt;="&amp;B8,'Token Ledger'!$W$7:$W$40,"&gt;"&amp;B8)</x:f>
        <x:v>0</x:v>
      </x:c>
      <x:c r="F8" s="65" t="n">
        <x:f>COUNTIFS('Token Ledger'!$C$7:$C$40,"Damage",'Token Ledger'!$J$7:$J$40,"&lt;="&amp;B8,'Token Ledger'!$K$7:$K$40,"&gt;"&amp;B8)</x:f>
        <x:v>0</x:v>
      </x:c>
      <x:c r="G8" s="65" t="n">
        <x:f>COUNTIFS('Token Ledger'!$C$7:$C$40,"Closure",'Token Ledger'!$P$7:$P$40,"MODELED CREDIT",'Token Ledger'!$K$7:$K$40,"&lt;="&amp;B8,'Token Ledger'!$L$7:$L$40,"&gt;"&amp;B8)</x:f>
        <x:v>0</x:v>
      </x:c>
      <x:c r="H8" s="65" t="n">
        <x:f>COUNTIFS('Token Ledger'!$C$7:$C$40,"Damage",'Token Ledger'!$P$7:$P$40,"MODELED CREDIT",'Token Ledger'!$K$7:$K$40,"&lt;="&amp;B8,'Token Ledger'!$L$7:$L$40,"&gt;"&amp;B8)</x:f>
        <x:v>0</x:v>
      </x:c>
      <x:c r="I8" s="65" t="n">
        <x:f>SUMIFS('Token Ledger'!$Q$7:$Q$40,'Token Ledger'!$C$7:$C$40,"Closure",'Token Ledger'!$L$7:$L$40,"&lt;="&amp;B8)</x:f>
        <x:v>0</x:v>
      </x:c>
      <x:c r="J8" s="65" t="n">
        <x:f>SUMIFS('Token Ledger'!$Q$7:$Q$40,'Token Ledger'!$C$7:$C$40,"Damage",'Token Ledger'!$L$7:$L$40,"&lt;="&amp;B8)</x:f>
        <x:v>0</x:v>
      </x:c>
      <x:c r="K8" s="65" t="n">
        <x:f>COUNTIFS('Token Ledger'!$N$7:$N$40,1,'Token Ledger'!$J$7:$J$40,B8)</x:f>
        <x:v>0</x:v>
      </x:c>
      <x:c r="L8" s="65" t="n">
        <x:f>IF(B8='Control Inputs'!D8,K8,0)</x:f>
        <x:v>0</x:v>
      </x:c>
      <x:c r="M8" s="65" t="str">
        <x:f>IF(C8&lt;='Control Inputs'!D18,"PASS","FAIL")</x:f>
        <x:v>PASS</x:v>
      </x:c>
      <x:c r="N8" s="65" t="str">
        <x:f>IF(E8&lt;='Control Inputs'!D28,"PASS","FAIL")</x:f>
        <x:v>PASS</x:v>
      </x:c>
      <x:c r="O8" s="65" t="str">
        <x:f>IF(G8&lt;=IF(B8&lt;'Control Inputs'!D8,'Control Inputs'!D19,'Control Inputs'!D20),"PASS","FAIL")</x:f>
        <x:v>PASS</x:v>
      </x:c>
      <x:c r="P8" s="65" t="str">
        <x:f>IF(H8&lt;=IF(B8&lt;'Control Inputs'!D8,'Control Inputs'!D29,'Control Inputs'!D30),"PASS","FAIL")</x:f>
        <x:v>PASS</x:v>
      </x:c>
      <x:c r="Q8" s="65" t="str">
        <x:f>IF(AND(L8=0,M8="PASS",N8="PASS",O8="PASS",P8="PASS"),"PASS","FAIL")</x:f>
        <x:v>PASS</x:v>
      </x:c>
      <x:c r="R8" s="76" t="str"/>
    </x:row>
    <x:row r="9" ht="24" customHeight="1">
      <x:c r="B9" s="65" t="n">
        <x:v>3</x:v>
      </x:c>
      <x:c r="C9" s="65" t="n">
        <x:f>COUNTIFS('Token Ledger'!$C$7:$C$40,"Closure",'Token Ledger'!$N$7:$N$40,1,'Token Ledger'!$J$7:$J$40,"&lt;="&amp;B9,'Token Ledger'!$W$7:$W$40,"&gt;"&amp;B9)</x:f>
        <x:v>3</x:v>
      </x:c>
      <x:c r="D9" s="65" t="n">
        <x:f>COUNTIFS('Token Ledger'!$C$7:$C$40,"Closure",'Token Ledger'!$J$7:$J$40,"&lt;="&amp;B9,'Token Ledger'!$K$7:$K$40,"&gt;"&amp;B9)</x:f>
        <x:v>3</x:v>
      </x:c>
      <x:c r="E9" s="65" t="n">
        <x:f>COUNTIFS('Token Ledger'!$C$7:$C$40,"Damage",'Token Ledger'!$N$7:$N$40,1,'Token Ledger'!$J$7:$J$40,"&lt;="&amp;B9,'Token Ledger'!$W$7:$W$40,"&gt;"&amp;B9)</x:f>
        <x:v>0</x:v>
      </x:c>
      <x:c r="F9" s="65" t="n">
        <x:f>COUNTIFS('Token Ledger'!$C$7:$C$40,"Damage",'Token Ledger'!$J$7:$J$40,"&lt;="&amp;B9,'Token Ledger'!$K$7:$K$40,"&gt;"&amp;B9)</x:f>
        <x:v>0</x:v>
      </x:c>
      <x:c r="G9" s="65" t="n">
        <x:f>COUNTIFS('Token Ledger'!$C$7:$C$40,"Closure",'Token Ledger'!$P$7:$P$40,"MODELED CREDIT",'Token Ledger'!$K$7:$K$40,"&lt;="&amp;B9,'Token Ledger'!$L$7:$L$40,"&gt;"&amp;B9)</x:f>
        <x:v>0</x:v>
      </x:c>
      <x:c r="H9" s="65" t="n">
        <x:f>COUNTIFS('Token Ledger'!$C$7:$C$40,"Damage",'Token Ledger'!$P$7:$P$40,"MODELED CREDIT",'Token Ledger'!$K$7:$K$40,"&lt;="&amp;B9,'Token Ledger'!$L$7:$L$40,"&gt;"&amp;B9)</x:f>
        <x:v>0</x:v>
      </x:c>
      <x:c r="I9" s="65" t="n">
        <x:f>SUMIFS('Token Ledger'!$Q$7:$Q$40,'Token Ledger'!$C$7:$C$40,"Closure",'Token Ledger'!$L$7:$L$40,"&lt;="&amp;B9)</x:f>
        <x:v>0</x:v>
      </x:c>
      <x:c r="J9" s="65" t="n">
        <x:f>SUMIFS('Token Ledger'!$Q$7:$Q$40,'Token Ledger'!$C$7:$C$40,"Damage",'Token Ledger'!$L$7:$L$40,"&lt;="&amp;B9)</x:f>
        <x:v>0</x:v>
      </x:c>
      <x:c r="K9" s="65" t="n">
        <x:f>COUNTIFS('Token Ledger'!$N$7:$N$40,1,'Token Ledger'!$J$7:$J$40,B9)</x:f>
        <x:v>0</x:v>
      </x:c>
      <x:c r="L9" s="65" t="n">
        <x:f>IF(B9='Control Inputs'!D8,K9,0)</x:f>
        <x:v>0</x:v>
      </x:c>
      <x:c r="M9" s="65" t="str">
        <x:f>IF(C9&lt;='Control Inputs'!D18,"PASS","FAIL")</x:f>
        <x:v>PASS</x:v>
      </x:c>
      <x:c r="N9" s="65" t="str">
        <x:f>IF(E9&lt;='Control Inputs'!D28,"PASS","FAIL")</x:f>
        <x:v>PASS</x:v>
      </x:c>
      <x:c r="O9" s="65" t="str">
        <x:f>IF(G9&lt;=IF(B9&lt;'Control Inputs'!D8,'Control Inputs'!D19,'Control Inputs'!D20),"PASS","FAIL")</x:f>
        <x:v>PASS</x:v>
      </x:c>
      <x:c r="P9" s="65" t="str">
        <x:f>IF(H9&lt;=IF(B9&lt;'Control Inputs'!D8,'Control Inputs'!D29,'Control Inputs'!D30),"PASS","FAIL")</x:f>
        <x:v>PASS</x:v>
      </x:c>
      <x:c r="Q9" s="65" t="str">
        <x:f>IF(AND(L9=0,M9="PASS",N9="PASS",O9="PASS",P9="PASS"),"PASS","FAIL")</x:f>
        <x:v>PASS</x:v>
      </x:c>
      <x:c r="R9" s="76" t="str"/>
    </x:row>
    <x:row r="10" ht="24" customHeight="1">
      <x:c r="B10" s="65" t="n">
        <x:v>4</x:v>
      </x:c>
      <x:c r="C10" s="65" t="n">
        <x:f>COUNTIFS('Token Ledger'!$C$7:$C$40,"Closure",'Token Ledger'!$N$7:$N$40,1,'Token Ledger'!$J$7:$J$40,"&lt;="&amp;B10,'Token Ledger'!$W$7:$W$40,"&gt;"&amp;B10)</x:f>
        <x:v>3</x:v>
      </x:c>
      <x:c r="D10" s="65" t="n">
        <x:f>COUNTIFS('Token Ledger'!$C$7:$C$40,"Closure",'Token Ledger'!$J$7:$J$40,"&lt;="&amp;B10,'Token Ledger'!$K$7:$K$40,"&gt;"&amp;B10)</x:f>
        <x:v>3</x:v>
      </x:c>
      <x:c r="E10" s="65" t="n">
        <x:f>COUNTIFS('Token Ledger'!$C$7:$C$40,"Damage",'Token Ledger'!$N$7:$N$40,1,'Token Ledger'!$J$7:$J$40,"&lt;="&amp;B10,'Token Ledger'!$W$7:$W$40,"&gt;"&amp;B10)</x:f>
        <x:v>0</x:v>
      </x:c>
      <x:c r="F10" s="65" t="n">
        <x:f>COUNTIFS('Token Ledger'!$C$7:$C$40,"Damage",'Token Ledger'!$J$7:$J$40,"&lt;="&amp;B10,'Token Ledger'!$K$7:$K$40,"&gt;"&amp;B10)</x:f>
        <x:v>0</x:v>
      </x:c>
      <x:c r="G10" s="65" t="n">
        <x:f>COUNTIFS('Token Ledger'!$C$7:$C$40,"Closure",'Token Ledger'!$P$7:$P$40,"MODELED CREDIT",'Token Ledger'!$K$7:$K$40,"&lt;="&amp;B10,'Token Ledger'!$L$7:$L$40,"&gt;"&amp;B10)</x:f>
        <x:v>0</x:v>
      </x:c>
      <x:c r="H10" s="65" t="n">
        <x:f>COUNTIFS('Token Ledger'!$C$7:$C$40,"Damage",'Token Ledger'!$P$7:$P$40,"MODELED CREDIT",'Token Ledger'!$K$7:$K$40,"&lt;="&amp;B10,'Token Ledger'!$L$7:$L$40,"&gt;"&amp;B10)</x:f>
        <x:v>0</x:v>
      </x:c>
      <x:c r="I10" s="65" t="n">
        <x:f>SUMIFS('Token Ledger'!$Q$7:$Q$40,'Token Ledger'!$C$7:$C$40,"Closure",'Token Ledger'!$L$7:$L$40,"&lt;="&amp;B10)</x:f>
        <x:v>0</x:v>
      </x:c>
      <x:c r="J10" s="65" t="n">
        <x:f>SUMIFS('Token Ledger'!$Q$7:$Q$40,'Token Ledger'!$C$7:$C$40,"Damage",'Token Ledger'!$L$7:$L$40,"&lt;="&amp;B10)</x:f>
        <x:v>0</x:v>
      </x:c>
      <x:c r="K10" s="65" t="n">
        <x:f>COUNTIFS('Token Ledger'!$N$7:$N$40,1,'Token Ledger'!$J$7:$J$40,B10)</x:f>
        <x:v>0</x:v>
      </x:c>
      <x:c r="L10" s="65" t="n">
        <x:f>IF(B10='Control Inputs'!D8,K10,0)</x:f>
        <x:v>0</x:v>
      </x:c>
      <x:c r="M10" s="65" t="str">
        <x:f>IF(C10&lt;='Control Inputs'!D18,"PASS","FAIL")</x:f>
        <x:v>PASS</x:v>
      </x:c>
      <x:c r="N10" s="65" t="str">
        <x:f>IF(E10&lt;='Control Inputs'!D28,"PASS","FAIL")</x:f>
        <x:v>PASS</x:v>
      </x:c>
      <x:c r="O10" s="65" t="str">
        <x:f>IF(G10&lt;=IF(B10&lt;'Control Inputs'!D8,'Control Inputs'!D19,'Control Inputs'!D20),"PASS","FAIL")</x:f>
        <x:v>PASS</x:v>
      </x:c>
      <x:c r="P10" s="65" t="str">
        <x:f>IF(H10&lt;=IF(B10&lt;'Control Inputs'!D8,'Control Inputs'!D29,'Control Inputs'!D30),"PASS","FAIL")</x:f>
        <x:v>PASS</x:v>
      </x:c>
      <x:c r="Q10" s="65" t="str">
        <x:f>IF(AND(L10=0,M10="PASS",N10="PASS",O10="PASS",P10="PASS"),"PASS","FAIL")</x:f>
        <x:v>PASS</x:v>
      </x:c>
      <x:c r="R10" s="76" t="str"/>
    </x:row>
    <x:row r="11" ht="24" customHeight="1">
      <x:c r="B11" s="65" t="n">
        <x:v>5</x:v>
      </x:c>
      <x:c r="C11" s="65" t="n">
        <x:f>COUNTIFS('Token Ledger'!$C$7:$C$40,"Closure",'Token Ledger'!$N$7:$N$40,1,'Token Ledger'!$J$7:$J$40,"&lt;="&amp;B11,'Token Ledger'!$W$7:$W$40,"&gt;"&amp;B11)</x:f>
        <x:v>3</x:v>
      </x:c>
      <x:c r="D11" s="65" t="n">
        <x:f>COUNTIFS('Token Ledger'!$C$7:$C$40,"Closure",'Token Ledger'!$J$7:$J$40,"&lt;="&amp;B11,'Token Ledger'!$K$7:$K$40,"&gt;"&amp;B11)</x:f>
        <x:v>3</x:v>
      </x:c>
      <x:c r="E11" s="65" t="n">
        <x:f>COUNTIFS('Token Ledger'!$C$7:$C$40,"Damage",'Token Ledger'!$N$7:$N$40,1,'Token Ledger'!$J$7:$J$40,"&lt;="&amp;B11,'Token Ledger'!$W$7:$W$40,"&gt;"&amp;B11)</x:f>
        <x:v>0</x:v>
      </x:c>
      <x:c r="F11" s="65" t="n">
        <x:f>COUNTIFS('Token Ledger'!$C$7:$C$40,"Damage",'Token Ledger'!$J$7:$J$40,"&lt;="&amp;B11,'Token Ledger'!$K$7:$K$40,"&gt;"&amp;B11)</x:f>
        <x:v>0</x:v>
      </x:c>
      <x:c r="G11" s="65" t="n">
        <x:f>COUNTIFS('Token Ledger'!$C$7:$C$40,"Closure",'Token Ledger'!$P$7:$P$40,"MODELED CREDIT",'Token Ledger'!$K$7:$K$40,"&lt;="&amp;B11,'Token Ledger'!$L$7:$L$40,"&gt;"&amp;B11)</x:f>
        <x:v>0</x:v>
      </x:c>
      <x:c r="H11" s="65" t="n">
        <x:f>COUNTIFS('Token Ledger'!$C$7:$C$40,"Damage",'Token Ledger'!$P$7:$P$40,"MODELED CREDIT",'Token Ledger'!$K$7:$K$40,"&lt;="&amp;B11,'Token Ledger'!$L$7:$L$40,"&gt;"&amp;B11)</x:f>
        <x:v>0</x:v>
      </x:c>
      <x:c r="I11" s="65" t="n">
        <x:f>SUMIFS('Token Ledger'!$Q$7:$Q$40,'Token Ledger'!$C$7:$C$40,"Closure",'Token Ledger'!$L$7:$L$40,"&lt;="&amp;B11)</x:f>
        <x:v>0</x:v>
      </x:c>
      <x:c r="J11" s="65" t="n">
        <x:f>SUMIFS('Token Ledger'!$Q$7:$Q$40,'Token Ledger'!$C$7:$C$40,"Damage",'Token Ledger'!$L$7:$L$40,"&lt;="&amp;B11)</x:f>
        <x:v>0</x:v>
      </x:c>
      <x:c r="K11" s="65" t="n">
        <x:f>COUNTIFS('Token Ledger'!$N$7:$N$40,1,'Token Ledger'!$J$7:$J$40,B11)</x:f>
        <x:v>0</x:v>
      </x:c>
      <x:c r="L11" s="65" t="n">
        <x:f>IF(B11='Control Inputs'!D8,K11,0)</x:f>
        <x:v>0</x:v>
      </x:c>
      <x:c r="M11" s="65" t="str">
        <x:f>IF(C11&lt;='Control Inputs'!D18,"PASS","FAIL")</x:f>
        <x:v>PASS</x:v>
      </x:c>
      <x:c r="N11" s="65" t="str">
        <x:f>IF(E11&lt;='Control Inputs'!D28,"PASS","FAIL")</x:f>
        <x:v>PASS</x:v>
      </x:c>
      <x:c r="O11" s="65" t="str">
        <x:f>IF(G11&lt;=IF(B11&lt;'Control Inputs'!D8,'Control Inputs'!D19,'Control Inputs'!D20),"PASS","FAIL")</x:f>
        <x:v>PASS</x:v>
      </x:c>
      <x:c r="P11" s="65" t="str">
        <x:f>IF(H11&lt;=IF(B11&lt;'Control Inputs'!D8,'Control Inputs'!D29,'Control Inputs'!D30),"PASS","FAIL")</x:f>
        <x:v>PASS</x:v>
      </x:c>
      <x:c r="Q11" s="65" t="str">
        <x:f>IF(AND(L11=0,M11="PASS",N11="PASS",O11="PASS",P11="PASS"),"PASS","FAIL")</x:f>
        <x:v>PASS</x:v>
      </x:c>
      <x:c r="R11" s="76" t="str"/>
    </x:row>
    <x:row r="12" ht="24" customHeight="1">
      <x:c r="B12" s="65" t="n">
        <x:v>6</x:v>
      </x:c>
      <x:c r="C12" s="65" t="n">
        <x:f>COUNTIFS('Token Ledger'!$C$7:$C$40,"Closure",'Token Ledger'!$N$7:$N$40,1,'Token Ledger'!$J$7:$J$40,"&lt;="&amp;B12,'Token Ledger'!$W$7:$W$40,"&gt;"&amp;B12)</x:f>
        <x:v>3</x:v>
      </x:c>
      <x:c r="D12" s="65" t="n">
        <x:f>COUNTIFS('Token Ledger'!$C$7:$C$40,"Closure",'Token Ledger'!$J$7:$J$40,"&lt;="&amp;B12,'Token Ledger'!$K$7:$K$40,"&gt;"&amp;B12)</x:f>
        <x:v>3</x:v>
      </x:c>
      <x:c r="E12" s="65" t="n">
        <x:f>COUNTIFS('Token Ledger'!$C$7:$C$40,"Damage",'Token Ledger'!$N$7:$N$40,1,'Token Ledger'!$J$7:$J$40,"&lt;="&amp;B12,'Token Ledger'!$W$7:$W$40,"&gt;"&amp;B12)</x:f>
        <x:v>0</x:v>
      </x:c>
      <x:c r="F12" s="65" t="n">
        <x:f>COUNTIFS('Token Ledger'!$C$7:$C$40,"Damage",'Token Ledger'!$J$7:$J$40,"&lt;="&amp;B12,'Token Ledger'!$K$7:$K$40,"&gt;"&amp;B12)</x:f>
        <x:v>0</x:v>
      </x:c>
      <x:c r="G12" s="65" t="n">
        <x:f>COUNTIFS('Token Ledger'!$C$7:$C$40,"Closure",'Token Ledger'!$P$7:$P$40,"MODELED CREDIT",'Token Ledger'!$K$7:$K$40,"&lt;="&amp;B12,'Token Ledger'!$L$7:$L$40,"&gt;"&amp;B12)</x:f>
        <x:v>0</x:v>
      </x:c>
      <x:c r="H12" s="65" t="n">
        <x:f>COUNTIFS('Token Ledger'!$C$7:$C$40,"Damage",'Token Ledger'!$P$7:$P$40,"MODELED CREDIT",'Token Ledger'!$K$7:$K$40,"&lt;="&amp;B12,'Token Ledger'!$L$7:$L$40,"&gt;"&amp;B12)</x:f>
        <x:v>0</x:v>
      </x:c>
      <x:c r="I12" s="65" t="n">
        <x:f>SUMIFS('Token Ledger'!$Q$7:$Q$40,'Token Ledger'!$C$7:$C$40,"Closure",'Token Ledger'!$L$7:$L$40,"&lt;="&amp;B12)</x:f>
        <x:v>0</x:v>
      </x:c>
      <x:c r="J12" s="65" t="n">
        <x:f>SUMIFS('Token Ledger'!$Q$7:$Q$40,'Token Ledger'!$C$7:$C$40,"Damage",'Token Ledger'!$L$7:$L$40,"&lt;="&amp;B12)</x:f>
        <x:v>0</x:v>
      </x:c>
      <x:c r="K12" s="65" t="n">
        <x:f>COUNTIFS('Token Ledger'!$N$7:$N$40,1,'Token Ledger'!$J$7:$J$40,B12)</x:f>
        <x:v>0</x:v>
      </x:c>
      <x:c r="L12" s="65" t="n">
        <x:f>IF(B12='Control Inputs'!D8,K12,0)</x:f>
        <x:v>0</x:v>
      </x:c>
      <x:c r="M12" s="65" t="str">
        <x:f>IF(C12&lt;='Control Inputs'!D18,"PASS","FAIL")</x:f>
        <x:v>PASS</x:v>
      </x:c>
      <x:c r="N12" s="65" t="str">
        <x:f>IF(E12&lt;='Control Inputs'!D28,"PASS","FAIL")</x:f>
        <x:v>PASS</x:v>
      </x:c>
      <x:c r="O12" s="65" t="str">
        <x:f>IF(G12&lt;=IF(B12&lt;'Control Inputs'!D8,'Control Inputs'!D19,'Control Inputs'!D20),"PASS","FAIL")</x:f>
        <x:v>PASS</x:v>
      </x:c>
      <x:c r="P12" s="65" t="str">
        <x:f>IF(H12&lt;=IF(B12&lt;'Control Inputs'!D8,'Control Inputs'!D29,'Control Inputs'!D30),"PASS","FAIL")</x:f>
        <x:v>PASS</x:v>
      </x:c>
      <x:c r="Q12" s="65" t="str">
        <x:f>IF(AND(L12=0,M12="PASS",N12="PASS",O12="PASS",P12="PASS"),"PASS","FAIL")</x:f>
        <x:v>PASS</x:v>
      </x:c>
      <x:c r="R12" s="76" t="str"/>
    </x:row>
    <x:row r="13" ht="24" customHeight="1">
      <x:c r="B13" s="65" t="n">
        <x:v>7</x:v>
      </x:c>
      <x:c r="C13" s="65" t="n">
        <x:f>COUNTIFS('Token Ledger'!$C$7:$C$40,"Closure",'Token Ledger'!$N$7:$N$40,1,'Token Ledger'!$J$7:$J$40,"&lt;="&amp;B13,'Token Ledger'!$W$7:$W$40,"&gt;"&amp;B13)</x:f>
        <x:v>3</x:v>
      </x:c>
      <x:c r="D13" s="65" t="n">
        <x:f>COUNTIFS('Token Ledger'!$C$7:$C$40,"Closure",'Token Ledger'!$J$7:$J$40,"&lt;="&amp;B13,'Token Ledger'!$K$7:$K$40,"&gt;"&amp;B13)</x:f>
        <x:v>3</x:v>
      </x:c>
      <x:c r="E13" s="65" t="n">
        <x:f>COUNTIFS('Token Ledger'!$C$7:$C$40,"Damage",'Token Ledger'!$N$7:$N$40,1,'Token Ledger'!$J$7:$J$40,"&lt;="&amp;B13,'Token Ledger'!$W$7:$W$40,"&gt;"&amp;B13)</x:f>
        <x:v>0</x:v>
      </x:c>
      <x:c r="F13" s="65" t="n">
        <x:f>COUNTIFS('Token Ledger'!$C$7:$C$40,"Damage",'Token Ledger'!$J$7:$J$40,"&lt;="&amp;B13,'Token Ledger'!$K$7:$K$40,"&gt;"&amp;B13)</x:f>
        <x:v>0</x:v>
      </x:c>
      <x:c r="G13" s="65" t="n">
        <x:f>COUNTIFS('Token Ledger'!$C$7:$C$40,"Closure",'Token Ledger'!$P$7:$P$40,"MODELED CREDIT",'Token Ledger'!$K$7:$K$40,"&lt;="&amp;B13,'Token Ledger'!$L$7:$L$40,"&gt;"&amp;B13)</x:f>
        <x:v>0</x:v>
      </x:c>
      <x:c r="H13" s="65" t="n">
        <x:f>COUNTIFS('Token Ledger'!$C$7:$C$40,"Damage",'Token Ledger'!$P$7:$P$40,"MODELED CREDIT",'Token Ledger'!$K$7:$K$40,"&lt;="&amp;B13,'Token Ledger'!$L$7:$L$40,"&gt;"&amp;B13)</x:f>
        <x:v>0</x:v>
      </x:c>
      <x:c r="I13" s="65" t="n">
        <x:f>SUMIFS('Token Ledger'!$Q$7:$Q$40,'Token Ledger'!$C$7:$C$40,"Closure",'Token Ledger'!$L$7:$L$40,"&lt;="&amp;B13)</x:f>
        <x:v>0</x:v>
      </x:c>
      <x:c r="J13" s="65" t="n">
        <x:f>SUMIFS('Token Ledger'!$Q$7:$Q$40,'Token Ledger'!$C$7:$C$40,"Damage",'Token Ledger'!$L$7:$L$40,"&lt;="&amp;B13)</x:f>
        <x:v>0</x:v>
      </x:c>
      <x:c r="K13" s="65" t="n">
        <x:f>COUNTIFS('Token Ledger'!$N$7:$N$40,1,'Token Ledger'!$J$7:$J$40,B13)</x:f>
        <x:v>0</x:v>
      </x:c>
      <x:c r="L13" s="65" t="n">
        <x:f>IF(B13='Control Inputs'!D8,K13,0)</x:f>
        <x:v>0</x:v>
      </x:c>
      <x:c r="M13" s="65" t="str">
        <x:f>IF(C13&lt;='Control Inputs'!D18,"PASS","FAIL")</x:f>
        <x:v>PASS</x:v>
      </x:c>
      <x:c r="N13" s="65" t="str">
        <x:f>IF(E13&lt;='Control Inputs'!D28,"PASS","FAIL")</x:f>
        <x:v>PASS</x:v>
      </x:c>
      <x:c r="O13" s="65" t="str">
        <x:f>IF(G13&lt;=IF(B13&lt;'Control Inputs'!D8,'Control Inputs'!D19,'Control Inputs'!D20),"PASS","FAIL")</x:f>
        <x:v>PASS</x:v>
      </x:c>
      <x:c r="P13" s="65" t="str">
        <x:f>IF(H13&lt;=IF(B13&lt;'Control Inputs'!D8,'Control Inputs'!D29,'Control Inputs'!D30),"PASS","FAIL")</x:f>
        <x:v>PASS</x:v>
      </x:c>
      <x:c r="Q13" s="65" t="str">
        <x:f>IF(AND(L13=0,M13="PASS",N13="PASS",O13="PASS",P13="PASS"),"PASS","FAIL")</x:f>
        <x:v>PASS</x:v>
      </x:c>
      <x:c r="R13" s="76" t="str"/>
    </x:row>
    <x:row r="14" ht="24" customHeight="1">
      <x:c r="B14" s="65" t="n">
        <x:v>8</x:v>
      </x:c>
      <x:c r="C14" s="65" t="n">
        <x:f>COUNTIFS('Token Ledger'!$C$7:$C$40,"Closure",'Token Ledger'!$N$7:$N$40,1,'Token Ledger'!$J$7:$J$40,"&lt;="&amp;B14,'Token Ledger'!$W$7:$W$40,"&gt;"&amp;B14)</x:f>
        <x:v>3</x:v>
      </x:c>
      <x:c r="D14" s="65" t="n">
        <x:f>COUNTIFS('Token Ledger'!$C$7:$C$40,"Closure",'Token Ledger'!$J$7:$J$40,"&lt;="&amp;B14,'Token Ledger'!$K$7:$K$40,"&gt;"&amp;B14)</x:f>
        <x:v>3</x:v>
      </x:c>
      <x:c r="E14" s="65" t="n">
        <x:f>COUNTIFS('Token Ledger'!$C$7:$C$40,"Damage",'Token Ledger'!$N$7:$N$40,1,'Token Ledger'!$J$7:$J$40,"&lt;="&amp;B14,'Token Ledger'!$W$7:$W$40,"&gt;"&amp;B14)</x:f>
        <x:v>0</x:v>
      </x:c>
      <x:c r="F14" s="65" t="n">
        <x:f>COUNTIFS('Token Ledger'!$C$7:$C$40,"Damage",'Token Ledger'!$J$7:$J$40,"&lt;="&amp;B14,'Token Ledger'!$K$7:$K$40,"&gt;"&amp;B14)</x:f>
        <x:v>0</x:v>
      </x:c>
      <x:c r="G14" s="65" t="n">
        <x:f>COUNTIFS('Token Ledger'!$C$7:$C$40,"Closure",'Token Ledger'!$P$7:$P$40,"MODELED CREDIT",'Token Ledger'!$K$7:$K$40,"&lt;="&amp;B14,'Token Ledger'!$L$7:$L$40,"&gt;"&amp;B14)</x:f>
        <x:v>0</x:v>
      </x:c>
      <x:c r="H14" s="65" t="n">
        <x:f>COUNTIFS('Token Ledger'!$C$7:$C$40,"Damage",'Token Ledger'!$P$7:$P$40,"MODELED CREDIT",'Token Ledger'!$K$7:$K$40,"&lt;="&amp;B14,'Token Ledger'!$L$7:$L$40,"&gt;"&amp;B14)</x:f>
        <x:v>0</x:v>
      </x:c>
      <x:c r="I14" s="65" t="n">
        <x:f>SUMIFS('Token Ledger'!$Q$7:$Q$40,'Token Ledger'!$C$7:$C$40,"Closure",'Token Ledger'!$L$7:$L$40,"&lt;="&amp;B14)</x:f>
        <x:v>0</x:v>
      </x:c>
      <x:c r="J14" s="65" t="n">
        <x:f>SUMIFS('Token Ledger'!$Q$7:$Q$40,'Token Ledger'!$C$7:$C$40,"Damage",'Token Ledger'!$L$7:$L$40,"&lt;="&amp;B14)</x:f>
        <x:v>0</x:v>
      </x:c>
      <x:c r="K14" s="65" t="n">
        <x:f>COUNTIFS('Token Ledger'!$N$7:$N$40,1,'Token Ledger'!$J$7:$J$40,B14)</x:f>
        <x:v>0</x:v>
      </x:c>
      <x:c r="L14" s="65" t="n">
        <x:f>IF(B14='Control Inputs'!D8,K14,0)</x:f>
        <x:v>0</x:v>
      </x:c>
      <x:c r="M14" s="65" t="str">
        <x:f>IF(C14&lt;='Control Inputs'!D18,"PASS","FAIL")</x:f>
        <x:v>PASS</x:v>
      </x:c>
      <x:c r="N14" s="65" t="str">
        <x:f>IF(E14&lt;='Control Inputs'!D28,"PASS","FAIL")</x:f>
        <x:v>PASS</x:v>
      </x:c>
      <x:c r="O14" s="65" t="str">
        <x:f>IF(G14&lt;=IF(B14&lt;'Control Inputs'!D8,'Control Inputs'!D19,'Control Inputs'!D20),"PASS","FAIL")</x:f>
        <x:v>PASS</x:v>
      </x:c>
      <x:c r="P14" s="65" t="str">
        <x:f>IF(H14&lt;=IF(B14&lt;'Control Inputs'!D8,'Control Inputs'!D29,'Control Inputs'!D30),"PASS","FAIL")</x:f>
        <x:v>PASS</x:v>
      </x:c>
      <x:c r="Q14" s="65" t="str">
        <x:f>IF(AND(L14=0,M14="PASS",N14="PASS",O14="PASS",P14="PASS"),"PASS","FAIL")</x:f>
        <x:v>PASS</x:v>
      </x:c>
      <x:c r="R14" s="76" t="str"/>
    </x:row>
    <x:row r="15" ht="24" customHeight="1">
      <x:c r="B15" s="65" t="n">
        <x:v>9</x:v>
      </x:c>
      <x:c r="C15" s="65" t="n">
        <x:f>COUNTIFS('Token Ledger'!$C$7:$C$40,"Closure",'Token Ledger'!$N$7:$N$40,1,'Token Ledger'!$J$7:$J$40,"&lt;="&amp;B15,'Token Ledger'!$W$7:$W$40,"&gt;"&amp;B15)</x:f>
        <x:v>0</x:v>
      </x:c>
      <x:c r="D15" s="65" t="n">
        <x:f>COUNTIFS('Token Ledger'!$C$7:$C$40,"Closure",'Token Ledger'!$J$7:$J$40,"&lt;="&amp;B15,'Token Ledger'!$K$7:$K$40,"&gt;"&amp;B15)</x:f>
        <x:v>0</x:v>
      </x:c>
      <x:c r="E15" s="65" t="n">
        <x:f>COUNTIFS('Token Ledger'!$C$7:$C$40,"Damage",'Token Ledger'!$N$7:$N$40,1,'Token Ledger'!$J$7:$J$40,"&lt;="&amp;B15,'Token Ledger'!$W$7:$W$40,"&gt;"&amp;B15)</x:f>
        <x:v>0</x:v>
      </x:c>
      <x:c r="F15" s="65" t="n">
        <x:f>COUNTIFS('Token Ledger'!$C$7:$C$40,"Damage",'Token Ledger'!$J$7:$J$40,"&lt;="&amp;B15,'Token Ledger'!$K$7:$K$40,"&gt;"&amp;B15)</x:f>
        <x:v>0</x:v>
      </x:c>
      <x:c r="G15" s="65" t="n">
        <x:f>COUNTIFS('Token Ledger'!$C$7:$C$40,"Closure",'Token Ledger'!$P$7:$P$40,"MODELED CREDIT",'Token Ledger'!$K$7:$K$40,"&lt;="&amp;B15,'Token Ledger'!$L$7:$L$40,"&gt;"&amp;B15)</x:f>
        <x:v>3</x:v>
      </x:c>
      <x:c r="H15" s="65" t="n">
        <x:f>COUNTIFS('Token Ledger'!$C$7:$C$40,"Damage",'Token Ledger'!$P$7:$P$40,"MODELED CREDIT",'Token Ledger'!$K$7:$K$40,"&lt;="&amp;B15,'Token Ledger'!$L$7:$L$40,"&gt;"&amp;B15)</x:f>
        <x:v>0</x:v>
      </x:c>
      <x:c r="I15" s="65" t="n">
        <x:f>SUMIFS('Token Ledger'!$Q$7:$Q$40,'Token Ledger'!$C$7:$C$40,"Closure",'Token Ledger'!$L$7:$L$40,"&lt;="&amp;B15)</x:f>
        <x:v>0</x:v>
      </x:c>
      <x:c r="J15" s="65" t="n">
        <x:f>SUMIFS('Token Ledger'!$Q$7:$Q$40,'Token Ledger'!$C$7:$C$40,"Damage",'Token Ledger'!$L$7:$L$40,"&lt;="&amp;B15)</x:f>
        <x:v>0</x:v>
      </x:c>
      <x:c r="K15" s="65" t="n">
        <x:f>COUNTIFS('Token Ledger'!$N$7:$N$40,1,'Token Ledger'!$J$7:$J$40,B15)</x:f>
        <x:v>0</x:v>
      </x:c>
      <x:c r="L15" s="65" t="n">
        <x:f>IF(B15='Control Inputs'!D8,K15,0)</x:f>
        <x:v>0</x:v>
      </x:c>
      <x:c r="M15" s="65" t="str">
        <x:f>IF(C15&lt;='Control Inputs'!D18,"PASS","FAIL")</x:f>
        <x:v>PASS</x:v>
      </x:c>
      <x:c r="N15" s="65" t="str">
        <x:f>IF(E15&lt;='Control Inputs'!D28,"PASS","FAIL")</x:f>
        <x:v>PASS</x:v>
      </x:c>
      <x:c r="O15" s="65" t="str">
        <x:f>IF(G15&lt;=IF(B15&lt;'Control Inputs'!D8,'Control Inputs'!D19,'Control Inputs'!D20),"PASS","FAIL")</x:f>
        <x:v>PASS</x:v>
      </x:c>
      <x:c r="P15" s="65" t="str">
        <x:f>IF(H15&lt;=IF(B15&lt;'Control Inputs'!D8,'Control Inputs'!D29,'Control Inputs'!D30),"PASS","FAIL")</x:f>
        <x:v>PASS</x:v>
      </x:c>
      <x:c r="Q15" s="65" t="str">
        <x:f>IF(AND(L15=0,M15="PASS",N15="PASS",O15="PASS",P15="PASS"),"PASS","FAIL")</x:f>
        <x:v>PASS</x:v>
      </x:c>
      <x:c r="R15" s="76" t="str"/>
    </x:row>
    <x:row r="16" ht="24" customHeight="1">
      <x:c r="B16" s="65" t="n">
        <x:v>10</x:v>
      </x:c>
      <x:c r="C16" s="65" t="n">
        <x:f>COUNTIFS('Token Ledger'!$C$7:$C$40,"Closure",'Token Ledger'!$N$7:$N$40,1,'Token Ledger'!$J$7:$J$40,"&lt;="&amp;B16,'Token Ledger'!$W$7:$W$40,"&gt;"&amp;B16)</x:f>
        <x:v>3</x:v>
      </x:c>
      <x:c r="D16" s="65" t="n">
        <x:f>COUNTIFS('Token Ledger'!$C$7:$C$40,"Closure",'Token Ledger'!$J$7:$J$40,"&lt;="&amp;B16,'Token Ledger'!$K$7:$K$40,"&gt;"&amp;B16)</x:f>
        <x:v>3</x:v>
      </x:c>
      <x:c r="E16" s="65" t="n">
        <x:f>COUNTIFS('Token Ledger'!$C$7:$C$40,"Damage",'Token Ledger'!$N$7:$N$40,1,'Token Ledger'!$J$7:$J$40,"&lt;="&amp;B16,'Token Ledger'!$W$7:$W$40,"&gt;"&amp;B16)</x:f>
        <x:v>0</x:v>
      </x:c>
      <x:c r="F16" s="65" t="n">
        <x:f>COUNTIFS('Token Ledger'!$C$7:$C$40,"Damage",'Token Ledger'!$J$7:$J$40,"&lt;="&amp;B16,'Token Ledger'!$K$7:$K$40,"&gt;"&amp;B16)</x:f>
        <x:v>0</x:v>
      </x:c>
      <x:c r="G16" s="65" t="n">
        <x:f>COUNTIFS('Token Ledger'!$C$7:$C$40,"Closure",'Token Ledger'!$P$7:$P$40,"MODELED CREDIT",'Token Ledger'!$K$7:$K$40,"&lt;="&amp;B16,'Token Ledger'!$L$7:$L$40,"&gt;"&amp;B16)</x:f>
        <x:v>3</x:v>
      </x:c>
      <x:c r="H16" s="65" t="n">
        <x:f>COUNTIFS('Token Ledger'!$C$7:$C$40,"Damage",'Token Ledger'!$P$7:$P$40,"MODELED CREDIT",'Token Ledger'!$K$7:$K$40,"&lt;="&amp;B16,'Token Ledger'!$L$7:$L$40,"&gt;"&amp;B16)</x:f>
        <x:v>0</x:v>
      </x:c>
      <x:c r="I16" s="65" t="n">
        <x:f>SUMIFS('Token Ledger'!$Q$7:$Q$40,'Token Ledger'!$C$7:$C$40,"Closure",'Token Ledger'!$L$7:$L$40,"&lt;="&amp;B16)</x:f>
        <x:v>0</x:v>
      </x:c>
      <x:c r="J16" s="65" t="n">
        <x:f>SUMIFS('Token Ledger'!$Q$7:$Q$40,'Token Ledger'!$C$7:$C$40,"Damage",'Token Ledger'!$L$7:$L$40,"&lt;="&amp;B16)</x:f>
        <x:v>0</x:v>
      </x:c>
      <x:c r="K16" s="65" t="n">
        <x:f>COUNTIFS('Token Ledger'!$N$7:$N$40,1,'Token Ledger'!$J$7:$J$40,B16)</x:f>
        <x:v>3</x:v>
      </x:c>
      <x:c r="L16" s="65" t="n">
        <x:f>IF(B16='Control Inputs'!D8,K16,0)</x:f>
        <x:v>0</x:v>
      </x:c>
      <x:c r="M16" s="65" t="str">
        <x:f>IF(C16&lt;='Control Inputs'!D18,"PASS","FAIL")</x:f>
        <x:v>PASS</x:v>
      </x:c>
      <x:c r="N16" s="65" t="str">
        <x:f>IF(E16&lt;='Control Inputs'!D28,"PASS","FAIL")</x:f>
        <x:v>PASS</x:v>
      </x:c>
      <x:c r="O16" s="65" t="str">
        <x:f>IF(G16&lt;=IF(B16&lt;'Control Inputs'!D8,'Control Inputs'!D19,'Control Inputs'!D20),"PASS","FAIL")</x:f>
        <x:v>PASS</x:v>
      </x:c>
      <x:c r="P16" s="65" t="str">
        <x:f>IF(H16&lt;=IF(B16&lt;'Control Inputs'!D8,'Control Inputs'!D29,'Control Inputs'!D30),"PASS","FAIL")</x:f>
        <x:v>PASS</x:v>
      </x:c>
      <x:c r="Q16" s="65" t="str">
        <x:f>IF(AND(L16=0,M16="PASS",N16="PASS",O16="PASS",P16="PASS"),"PASS","FAIL")</x:f>
        <x:v>PASS</x:v>
      </x:c>
      <x:c r="R16" s="76" t="str"/>
    </x:row>
    <x:row r="17" ht="24" customHeight="1">
      <x:c r="B17" s="65" t="n">
        <x:v>11</x:v>
      </x:c>
      <x:c r="C17" s="65" t="n">
        <x:f>COUNTIFS('Token Ledger'!$C$7:$C$40,"Closure",'Token Ledger'!$N$7:$N$40,1,'Token Ledger'!$J$7:$J$40,"&lt;="&amp;B17,'Token Ledger'!$W$7:$W$40,"&gt;"&amp;B17)</x:f>
        <x:v>3</x:v>
      </x:c>
      <x:c r="D17" s="65" t="n">
        <x:f>COUNTIFS('Token Ledger'!$C$7:$C$40,"Closure",'Token Ledger'!$J$7:$J$40,"&lt;="&amp;B17,'Token Ledger'!$K$7:$K$40,"&gt;"&amp;B17)</x:f>
        <x:v>3</x:v>
      </x:c>
      <x:c r="E17" s="65" t="n">
        <x:f>COUNTIFS('Token Ledger'!$C$7:$C$40,"Damage",'Token Ledger'!$N$7:$N$40,1,'Token Ledger'!$J$7:$J$40,"&lt;="&amp;B17,'Token Ledger'!$W$7:$W$40,"&gt;"&amp;B17)</x:f>
        <x:v>0</x:v>
      </x:c>
      <x:c r="F17" s="65" t="n">
        <x:f>COUNTIFS('Token Ledger'!$C$7:$C$40,"Damage",'Token Ledger'!$J$7:$J$40,"&lt;="&amp;B17,'Token Ledger'!$K$7:$K$40,"&gt;"&amp;B17)</x:f>
        <x:v>0</x:v>
      </x:c>
      <x:c r="G17" s="65" t="n">
        <x:f>COUNTIFS('Token Ledger'!$C$7:$C$40,"Closure",'Token Ledger'!$P$7:$P$40,"MODELED CREDIT",'Token Ledger'!$K$7:$K$40,"&lt;="&amp;B17,'Token Ledger'!$L$7:$L$40,"&gt;"&amp;B17)</x:f>
        <x:v>3</x:v>
      </x:c>
      <x:c r="H17" s="65" t="n">
        <x:f>COUNTIFS('Token Ledger'!$C$7:$C$40,"Damage",'Token Ledger'!$P$7:$P$40,"MODELED CREDIT",'Token Ledger'!$K$7:$K$40,"&lt;="&amp;B17,'Token Ledger'!$L$7:$L$40,"&gt;"&amp;B17)</x:f>
        <x:v>0</x:v>
      </x:c>
      <x:c r="I17" s="65" t="n">
        <x:f>SUMIFS('Token Ledger'!$Q$7:$Q$40,'Token Ledger'!$C$7:$C$40,"Closure",'Token Ledger'!$L$7:$L$40,"&lt;="&amp;B17)</x:f>
        <x:v>0</x:v>
      </x:c>
      <x:c r="J17" s="65" t="n">
        <x:f>SUMIFS('Token Ledger'!$Q$7:$Q$40,'Token Ledger'!$C$7:$C$40,"Damage",'Token Ledger'!$L$7:$L$40,"&lt;="&amp;B17)</x:f>
        <x:v>0</x:v>
      </x:c>
      <x:c r="K17" s="65" t="n">
        <x:f>COUNTIFS('Token Ledger'!$N$7:$N$40,1,'Token Ledger'!$J$7:$J$40,B17)</x:f>
        <x:v>0</x:v>
      </x:c>
      <x:c r="L17" s="65" t="n">
        <x:f>IF(B17='Control Inputs'!D8,K17,0)</x:f>
        <x:v>0</x:v>
      </x:c>
      <x:c r="M17" s="65" t="str">
        <x:f>IF(C17&lt;='Control Inputs'!D18,"PASS","FAIL")</x:f>
        <x:v>PASS</x:v>
      </x:c>
      <x:c r="N17" s="65" t="str">
        <x:f>IF(E17&lt;='Control Inputs'!D28,"PASS","FAIL")</x:f>
        <x:v>PASS</x:v>
      </x:c>
      <x:c r="O17" s="65" t="str">
        <x:f>IF(G17&lt;=IF(B17&lt;'Control Inputs'!D8,'Control Inputs'!D19,'Control Inputs'!D20),"PASS","FAIL")</x:f>
        <x:v>PASS</x:v>
      </x:c>
      <x:c r="P17" s="65" t="str">
        <x:f>IF(H17&lt;=IF(B17&lt;'Control Inputs'!D8,'Control Inputs'!D29,'Control Inputs'!D30),"PASS","FAIL")</x:f>
        <x:v>PASS</x:v>
      </x:c>
      <x:c r="Q17" s="65" t="str">
        <x:f>IF(AND(L17=0,M17="PASS",N17="PASS",O17="PASS",P17="PASS"),"PASS","FAIL")</x:f>
        <x:v>PASS</x:v>
      </x:c>
      <x:c r="R17" s="76" t="str"/>
    </x:row>
    <x:row r="18" ht="24" customHeight="1">
      <x:c r="B18" s="65" t="n">
        <x:v>12</x:v>
      </x:c>
      <x:c r="C18" s="65" t="n">
        <x:f>COUNTIFS('Token Ledger'!$C$7:$C$40,"Closure",'Token Ledger'!$N$7:$N$40,1,'Token Ledger'!$J$7:$J$40,"&lt;="&amp;B18,'Token Ledger'!$W$7:$W$40,"&gt;"&amp;B18)</x:f>
        <x:v>3</x:v>
      </x:c>
      <x:c r="D18" s="65" t="n">
        <x:f>COUNTIFS('Token Ledger'!$C$7:$C$40,"Closure",'Token Ledger'!$J$7:$J$40,"&lt;="&amp;B18,'Token Ledger'!$K$7:$K$40,"&gt;"&amp;B18)</x:f>
        <x:v>3</x:v>
      </x:c>
      <x:c r="E18" s="65" t="n">
        <x:f>COUNTIFS('Token Ledger'!$C$7:$C$40,"Damage",'Token Ledger'!$N$7:$N$40,1,'Token Ledger'!$J$7:$J$40,"&lt;="&amp;B18,'Token Ledger'!$W$7:$W$40,"&gt;"&amp;B18)</x:f>
        <x:v>0</x:v>
      </x:c>
      <x:c r="F18" s="65" t="n">
        <x:f>COUNTIFS('Token Ledger'!$C$7:$C$40,"Damage",'Token Ledger'!$J$7:$J$40,"&lt;="&amp;B18,'Token Ledger'!$K$7:$K$40,"&gt;"&amp;B18)</x:f>
        <x:v>0</x:v>
      </x:c>
      <x:c r="G18" s="65" t="n">
        <x:f>COUNTIFS('Token Ledger'!$C$7:$C$40,"Closure",'Token Ledger'!$P$7:$P$40,"MODELED CREDIT",'Token Ledger'!$K$7:$K$40,"&lt;="&amp;B18,'Token Ledger'!$L$7:$L$40,"&gt;"&amp;B18)</x:f>
        <x:v>3</x:v>
      </x:c>
      <x:c r="H18" s="65" t="n">
        <x:f>COUNTIFS('Token Ledger'!$C$7:$C$40,"Damage",'Token Ledger'!$P$7:$P$40,"MODELED CREDIT",'Token Ledger'!$K$7:$K$40,"&lt;="&amp;B18,'Token Ledger'!$L$7:$L$40,"&gt;"&amp;B18)</x:f>
        <x:v>0</x:v>
      </x:c>
      <x:c r="I18" s="65" t="n">
        <x:f>SUMIFS('Token Ledger'!$Q$7:$Q$40,'Token Ledger'!$C$7:$C$40,"Closure",'Token Ledger'!$L$7:$L$40,"&lt;="&amp;B18)</x:f>
        <x:v>0</x:v>
      </x:c>
      <x:c r="J18" s="65" t="n">
        <x:f>SUMIFS('Token Ledger'!$Q$7:$Q$40,'Token Ledger'!$C$7:$C$40,"Damage",'Token Ledger'!$L$7:$L$40,"&lt;="&amp;B18)</x:f>
        <x:v>0</x:v>
      </x:c>
      <x:c r="K18" s="65" t="n">
        <x:f>COUNTIFS('Token Ledger'!$N$7:$N$40,1,'Token Ledger'!$J$7:$J$40,B18)</x:f>
        <x:v>0</x:v>
      </x:c>
      <x:c r="L18" s="65" t="n">
        <x:f>IF(B18='Control Inputs'!D8,K18,0)</x:f>
        <x:v>0</x:v>
      </x:c>
      <x:c r="M18" s="65" t="str">
        <x:f>IF(C18&lt;='Control Inputs'!D18,"PASS","FAIL")</x:f>
        <x:v>PASS</x:v>
      </x:c>
      <x:c r="N18" s="65" t="str">
        <x:f>IF(E18&lt;='Control Inputs'!D28,"PASS","FAIL")</x:f>
        <x:v>PASS</x:v>
      </x:c>
      <x:c r="O18" s="65" t="str">
        <x:f>IF(G18&lt;=IF(B18&lt;'Control Inputs'!D8,'Control Inputs'!D19,'Control Inputs'!D20),"PASS","FAIL")</x:f>
        <x:v>PASS</x:v>
      </x:c>
      <x:c r="P18" s="65" t="str">
        <x:f>IF(H18&lt;=IF(B18&lt;'Control Inputs'!D8,'Control Inputs'!D29,'Control Inputs'!D30),"PASS","FAIL")</x:f>
        <x:v>PASS</x:v>
      </x:c>
      <x:c r="Q18" s="65" t="str">
        <x:f>IF(AND(L18=0,M18="PASS",N18="PASS",O18="PASS",P18="PASS"),"PASS","FAIL")</x:f>
        <x:v>PASS</x:v>
      </x:c>
      <x:c r="R18" s="76" t="str"/>
    </x:row>
    <x:row r="19" ht="24" customHeight="1">
      <x:c r="B19" s="65" t="n">
        <x:v>13</x:v>
      </x:c>
      <x:c r="C19" s="65" t="n">
        <x:f>COUNTIFS('Token Ledger'!$C$7:$C$40,"Closure",'Token Ledger'!$N$7:$N$40,1,'Token Ledger'!$J$7:$J$40,"&lt;="&amp;B19,'Token Ledger'!$W$7:$W$40,"&gt;"&amp;B19)</x:f>
        <x:v>3</x:v>
      </x:c>
      <x:c r="D19" s="65" t="n">
        <x:f>COUNTIFS('Token Ledger'!$C$7:$C$40,"Closure",'Token Ledger'!$J$7:$J$40,"&lt;="&amp;B19,'Token Ledger'!$K$7:$K$40,"&gt;"&amp;B19)</x:f>
        <x:v>3</x:v>
      </x:c>
      <x:c r="E19" s="65" t="n">
        <x:f>COUNTIFS('Token Ledger'!$C$7:$C$40,"Damage",'Token Ledger'!$N$7:$N$40,1,'Token Ledger'!$J$7:$J$40,"&lt;="&amp;B19,'Token Ledger'!$W$7:$W$40,"&gt;"&amp;B19)</x:f>
        <x:v>0</x:v>
      </x:c>
      <x:c r="F19" s="65" t="n">
        <x:f>COUNTIFS('Token Ledger'!$C$7:$C$40,"Damage",'Token Ledger'!$J$7:$J$40,"&lt;="&amp;B19,'Token Ledger'!$K$7:$K$40,"&gt;"&amp;B19)</x:f>
        <x:v>0</x:v>
      </x:c>
      <x:c r="G19" s="65" t="n">
        <x:f>COUNTIFS('Token Ledger'!$C$7:$C$40,"Closure",'Token Ledger'!$P$7:$P$40,"MODELED CREDIT",'Token Ledger'!$K$7:$K$40,"&lt;="&amp;B19,'Token Ledger'!$L$7:$L$40,"&gt;"&amp;B19)</x:f>
        <x:v>3</x:v>
      </x:c>
      <x:c r="H19" s="65" t="n">
        <x:f>COUNTIFS('Token Ledger'!$C$7:$C$40,"Damage",'Token Ledger'!$P$7:$P$40,"MODELED CREDIT",'Token Ledger'!$K$7:$K$40,"&lt;="&amp;B19,'Token Ledger'!$L$7:$L$40,"&gt;"&amp;B19)</x:f>
        <x:v>0</x:v>
      </x:c>
      <x:c r="I19" s="65" t="n">
        <x:f>SUMIFS('Token Ledger'!$Q$7:$Q$40,'Token Ledger'!$C$7:$C$40,"Closure",'Token Ledger'!$L$7:$L$40,"&lt;="&amp;B19)</x:f>
        <x:v>0</x:v>
      </x:c>
      <x:c r="J19" s="65" t="n">
        <x:f>SUMIFS('Token Ledger'!$Q$7:$Q$40,'Token Ledger'!$C$7:$C$40,"Damage",'Token Ledger'!$L$7:$L$40,"&lt;="&amp;B19)</x:f>
        <x:v>0</x:v>
      </x:c>
      <x:c r="K19" s="65" t="n">
        <x:f>COUNTIFS('Token Ledger'!$N$7:$N$40,1,'Token Ledger'!$J$7:$J$40,B19)</x:f>
        <x:v>0</x:v>
      </x:c>
      <x:c r="L19" s="65" t="n">
        <x:f>IF(B19='Control Inputs'!D8,K19,0)</x:f>
        <x:v>0</x:v>
      </x:c>
      <x:c r="M19" s="65" t="str">
        <x:f>IF(C19&lt;='Control Inputs'!D18,"PASS","FAIL")</x:f>
        <x:v>PASS</x:v>
      </x:c>
      <x:c r="N19" s="65" t="str">
        <x:f>IF(E19&lt;='Control Inputs'!D28,"PASS","FAIL")</x:f>
        <x:v>PASS</x:v>
      </x:c>
      <x:c r="O19" s="65" t="str">
        <x:f>IF(G19&lt;=IF(B19&lt;'Control Inputs'!D8,'Control Inputs'!D19,'Control Inputs'!D20),"PASS","FAIL")</x:f>
        <x:v>PASS</x:v>
      </x:c>
      <x:c r="P19" s="65" t="str">
        <x:f>IF(H19&lt;=IF(B19&lt;'Control Inputs'!D8,'Control Inputs'!D29,'Control Inputs'!D30),"PASS","FAIL")</x:f>
        <x:v>PASS</x:v>
      </x:c>
      <x:c r="Q19" s="65" t="str">
        <x:f>IF(AND(L19=0,M19="PASS",N19="PASS",O19="PASS",P19="PASS"),"PASS","FAIL")</x:f>
        <x:v>PASS</x:v>
      </x:c>
      <x:c r="R19" s="76" t="str"/>
    </x:row>
    <x:row r="20" ht="24" customHeight="1">
      <x:c r="B20" s="65" t="n">
        <x:v>14</x:v>
      </x:c>
      <x:c r="C20" s="65" t="n">
        <x:f>COUNTIFS('Token Ledger'!$C$7:$C$40,"Closure",'Token Ledger'!$N$7:$N$40,1,'Token Ledger'!$J$7:$J$40,"&lt;="&amp;B20,'Token Ledger'!$W$7:$W$40,"&gt;"&amp;B20)</x:f>
        <x:v>3</x:v>
      </x:c>
      <x:c r="D20" s="65" t="n">
        <x:f>COUNTIFS('Token Ledger'!$C$7:$C$40,"Closure",'Token Ledger'!$J$7:$J$40,"&lt;="&amp;B20,'Token Ledger'!$K$7:$K$40,"&gt;"&amp;B20)</x:f>
        <x:v>3</x:v>
      </x:c>
      <x:c r="E20" s="65" t="n">
        <x:f>COUNTIFS('Token Ledger'!$C$7:$C$40,"Damage",'Token Ledger'!$N$7:$N$40,1,'Token Ledger'!$J$7:$J$40,"&lt;="&amp;B20,'Token Ledger'!$W$7:$W$40,"&gt;"&amp;B20)</x:f>
        <x:v>0</x:v>
      </x:c>
      <x:c r="F20" s="65" t="n">
        <x:f>COUNTIFS('Token Ledger'!$C$7:$C$40,"Damage",'Token Ledger'!$J$7:$J$40,"&lt;="&amp;B20,'Token Ledger'!$K$7:$K$40,"&gt;"&amp;B20)</x:f>
        <x:v>0</x:v>
      </x:c>
      <x:c r="G20" s="65" t="n">
        <x:f>COUNTIFS('Token Ledger'!$C$7:$C$40,"Closure",'Token Ledger'!$P$7:$P$40,"MODELED CREDIT",'Token Ledger'!$K$7:$K$40,"&lt;="&amp;B20,'Token Ledger'!$L$7:$L$40,"&gt;"&amp;B20)</x:f>
        <x:v>3</x:v>
      </x:c>
      <x:c r="H20" s="65" t="n">
        <x:f>COUNTIFS('Token Ledger'!$C$7:$C$40,"Damage",'Token Ledger'!$P$7:$P$40,"MODELED CREDIT",'Token Ledger'!$K$7:$K$40,"&lt;="&amp;B20,'Token Ledger'!$L$7:$L$40,"&gt;"&amp;B20)</x:f>
        <x:v>0</x:v>
      </x:c>
      <x:c r="I20" s="65" t="n">
        <x:f>SUMIFS('Token Ledger'!$Q$7:$Q$40,'Token Ledger'!$C$7:$C$40,"Closure",'Token Ledger'!$L$7:$L$40,"&lt;="&amp;B20)</x:f>
        <x:v>0</x:v>
      </x:c>
      <x:c r="J20" s="65" t="n">
        <x:f>SUMIFS('Token Ledger'!$Q$7:$Q$40,'Token Ledger'!$C$7:$C$40,"Damage",'Token Ledger'!$L$7:$L$40,"&lt;="&amp;B20)</x:f>
        <x:v>0</x:v>
      </x:c>
      <x:c r="K20" s="65" t="n">
        <x:f>COUNTIFS('Token Ledger'!$N$7:$N$40,1,'Token Ledger'!$J$7:$J$40,B20)</x:f>
        <x:v>0</x:v>
      </x:c>
      <x:c r="L20" s="65" t="n">
        <x:f>IF(B20='Control Inputs'!D8,K20,0)</x:f>
        <x:v>0</x:v>
      </x:c>
      <x:c r="M20" s="65" t="str">
        <x:f>IF(C20&lt;='Control Inputs'!D18,"PASS","FAIL")</x:f>
        <x:v>PASS</x:v>
      </x:c>
      <x:c r="N20" s="65" t="str">
        <x:f>IF(E20&lt;='Control Inputs'!D28,"PASS","FAIL")</x:f>
        <x:v>PASS</x:v>
      </x:c>
      <x:c r="O20" s="65" t="str">
        <x:f>IF(G20&lt;=IF(B20&lt;'Control Inputs'!D8,'Control Inputs'!D19,'Control Inputs'!D20),"PASS","FAIL")</x:f>
        <x:v>PASS</x:v>
      </x:c>
      <x:c r="P20" s="65" t="str">
        <x:f>IF(H20&lt;=IF(B20&lt;'Control Inputs'!D8,'Control Inputs'!D29,'Control Inputs'!D30),"PASS","FAIL")</x:f>
        <x:v>PASS</x:v>
      </x:c>
      <x:c r="Q20" s="65" t="str">
        <x:f>IF(AND(L20=0,M20="PASS",N20="PASS",O20="PASS",P20="PASS"),"PASS","FAIL")</x:f>
        <x:v>PASS</x:v>
      </x:c>
      <x:c r="R20" s="76" t="str"/>
    </x:row>
    <x:row r="21" ht="24" customHeight="1">
      <x:c r="B21" s="65" t="n">
        <x:v>15</x:v>
      </x:c>
      <x:c r="C21" s="65" t="n">
        <x:f>COUNTIFS('Token Ledger'!$C$7:$C$40,"Closure",'Token Ledger'!$N$7:$N$40,1,'Token Ledger'!$J$7:$J$40,"&lt;="&amp;B21,'Token Ledger'!$W$7:$W$40,"&gt;"&amp;B21)</x:f>
        <x:v>3</x:v>
      </x:c>
      <x:c r="D21" s="65" t="n">
        <x:f>COUNTIFS('Token Ledger'!$C$7:$C$40,"Closure",'Token Ledger'!$J$7:$J$40,"&lt;="&amp;B21,'Token Ledger'!$K$7:$K$40,"&gt;"&amp;B21)</x:f>
        <x:v>3</x:v>
      </x:c>
      <x:c r="E21" s="65" t="n">
        <x:f>COUNTIFS('Token Ledger'!$C$7:$C$40,"Damage",'Token Ledger'!$N$7:$N$40,1,'Token Ledger'!$J$7:$J$40,"&lt;="&amp;B21,'Token Ledger'!$W$7:$W$40,"&gt;"&amp;B21)</x:f>
        <x:v>3</x:v>
      </x:c>
      <x:c r="F21" s="65" t="n">
        <x:f>COUNTIFS('Token Ledger'!$C$7:$C$40,"Damage",'Token Ledger'!$J$7:$J$40,"&lt;="&amp;B21,'Token Ledger'!$K$7:$K$40,"&gt;"&amp;B21)</x:f>
        <x:v>3</x:v>
      </x:c>
      <x:c r="G21" s="65" t="n">
        <x:f>COUNTIFS('Token Ledger'!$C$7:$C$40,"Closure",'Token Ledger'!$P$7:$P$40,"MODELED CREDIT",'Token Ledger'!$K$7:$K$40,"&lt;="&amp;B21,'Token Ledger'!$L$7:$L$40,"&gt;"&amp;B21)</x:f>
        <x:v>0</x:v>
      </x:c>
      <x:c r="H21" s="65" t="n">
        <x:f>COUNTIFS('Token Ledger'!$C$7:$C$40,"Damage",'Token Ledger'!$P$7:$P$40,"MODELED CREDIT",'Token Ledger'!$K$7:$K$40,"&lt;="&amp;B21,'Token Ledger'!$L$7:$L$40,"&gt;"&amp;B21)</x:f>
        <x:v>0</x:v>
      </x:c>
      <x:c r="I21" s="65" t="n">
        <x:f>SUMIFS('Token Ledger'!$Q$7:$Q$40,'Token Ledger'!$C$7:$C$40,"Closure",'Token Ledger'!$L$7:$L$40,"&lt;="&amp;B21)</x:f>
        <x:v>3</x:v>
      </x:c>
      <x:c r="J21" s="65" t="n">
        <x:f>SUMIFS('Token Ledger'!$Q$7:$Q$40,'Token Ledger'!$C$7:$C$40,"Damage",'Token Ledger'!$L$7:$L$40,"&lt;="&amp;B21)</x:f>
        <x:v>0</x:v>
      </x:c>
      <x:c r="K21" s="65" t="n">
        <x:f>COUNTIFS('Token Ledger'!$N$7:$N$40,1,'Token Ledger'!$J$7:$J$40,B21)</x:f>
        <x:v>3</x:v>
      </x:c>
      <x:c r="L21" s="65" t="n">
        <x:f>IF(B21='Control Inputs'!D8,K21,0)</x:f>
        <x:v>0</x:v>
      </x:c>
      <x:c r="M21" s="65" t="str">
        <x:f>IF(C21&lt;='Control Inputs'!D18,"PASS","FAIL")</x:f>
        <x:v>PASS</x:v>
      </x:c>
      <x:c r="N21" s="65" t="str">
        <x:f>IF(E21&lt;='Control Inputs'!D28,"PASS","FAIL")</x:f>
        <x:v>PASS</x:v>
      </x:c>
      <x:c r="O21" s="65" t="str">
        <x:f>IF(G21&lt;=IF(B21&lt;'Control Inputs'!D8,'Control Inputs'!D19,'Control Inputs'!D20),"PASS","FAIL")</x:f>
        <x:v>PASS</x:v>
      </x:c>
      <x:c r="P21" s="65" t="str">
        <x:f>IF(H21&lt;=IF(B21&lt;'Control Inputs'!D8,'Control Inputs'!D29,'Control Inputs'!D30),"PASS","FAIL")</x:f>
        <x:v>PASS</x:v>
      </x:c>
      <x:c r="Q21" s="65" t="str">
        <x:f>IF(AND(L21=0,M21="PASS",N21="PASS",O21="PASS",P21="PASS"),"PASS","FAIL")</x:f>
        <x:v>PASS</x:v>
      </x:c>
      <x:c r="R21" s="76" t="str"/>
    </x:row>
    <x:row r="22" ht="24" customHeight="1">
      <x:c r="B22" s="65" t="n">
        <x:v>16</x:v>
      </x:c>
      <x:c r="C22" s="65" t="n">
        <x:f>COUNTIFS('Token Ledger'!$C$7:$C$40,"Closure",'Token Ledger'!$N$7:$N$40,1,'Token Ledger'!$J$7:$J$40,"&lt;="&amp;B22,'Token Ledger'!$W$7:$W$40,"&gt;"&amp;B22)</x:f>
        <x:v>3</x:v>
      </x:c>
      <x:c r="D22" s="65" t="n">
        <x:f>COUNTIFS('Token Ledger'!$C$7:$C$40,"Closure",'Token Ledger'!$J$7:$J$40,"&lt;="&amp;B22,'Token Ledger'!$K$7:$K$40,"&gt;"&amp;B22)</x:f>
        <x:v>3</x:v>
      </x:c>
      <x:c r="E22" s="65" t="n">
        <x:f>COUNTIFS('Token Ledger'!$C$7:$C$40,"Damage",'Token Ledger'!$N$7:$N$40,1,'Token Ledger'!$J$7:$J$40,"&lt;="&amp;B22,'Token Ledger'!$W$7:$W$40,"&gt;"&amp;B22)</x:f>
        <x:v>3</x:v>
      </x:c>
      <x:c r="F22" s="65" t="n">
        <x:f>COUNTIFS('Token Ledger'!$C$7:$C$40,"Damage",'Token Ledger'!$J$7:$J$40,"&lt;="&amp;B22,'Token Ledger'!$K$7:$K$40,"&gt;"&amp;B22)</x:f>
        <x:v>3</x:v>
      </x:c>
      <x:c r="G22" s="65" t="n">
        <x:f>COUNTIFS('Token Ledger'!$C$7:$C$40,"Closure",'Token Ledger'!$P$7:$P$40,"MODELED CREDIT",'Token Ledger'!$K$7:$K$40,"&lt;="&amp;B22,'Token Ledger'!$L$7:$L$40,"&gt;"&amp;B22)</x:f>
        <x:v>0</x:v>
      </x:c>
      <x:c r="H22" s="65" t="n">
        <x:f>COUNTIFS('Token Ledger'!$C$7:$C$40,"Damage",'Token Ledger'!$P$7:$P$40,"MODELED CREDIT",'Token Ledger'!$K$7:$K$40,"&lt;="&amp;B22,'Token Ledger'!$L$7:$L$40,"&gt;"&amp;B22)</x:f>
        <x:v>0</x:v>
      </x:c>
      <x:c r="I22" s="65" t="n">
        <x:f>SUMIFS('Token Ledger'!$Q$7:$Q$40,'Token Ledger'!$C$7:$C$40,"Closure",'Token Ledger'!$L$7:$L$40,"&lt;="&amp;B22)</x:f>
        <x:v>3</x:v>
      </x:c>
      <x:c r="J22" s="65" t="n">
        <x:f>SUMIFS('Token Ledger'!$Q$7:$Q$40,'Token Ledger'!$C$7:$C$40,"Damage",'Token Ledger'!$L$7:$L$40,"&lt;="&amp;B22)</x:f>
        <x:v>0</x:v>
      </x:c>
      <x:c r="K22" s="65" t="n">
        <x:f>COUNTIFS('Token Ledger'!$N$7:$N$40,1,'Token Ledger'!$J$7:$J$40,B22)</x:f>
        <x:v>0</x:v>
      </x:c>
      <x:c r="L22" s="65" t="n">
        <x:f>IF(B22='Control Inputs'!D8,K22,0)</x:f>
        <x:v>0</x:v>
      </x:c>
      <x:c r="M22" s="65" t="str">
        <x:f>IF(C22&lt;='Control Inputs'!D18,"PASS","FAIL")</x:f>
        <x:v>PASS</x:v>
      </x:c>
      <x:c r="N22" s="65" t="str">
        <x:f>IF(E22&lt;='Control Inputs'!D28,"PASS","FAIL")</x:f>
        <x:v>PASS</x:v>
      </x:c>
      <x:c r="O22" s="65" t="str">
        <x:f>IF(G22&lt;=IF(B22&lt;'Control Inputs'!D8,'Control Inputs'!D19,'Control Inputs'!D20),"PASS","FAIL")</x:f>
        <x:v>PASS</x:v>
      </x:c>
      <x:c r="P22" s="65" t="str">
        <x:f>IF(H22&lt;=IF(B22&lt;'Control Inputs'!D8,'Control Inputs'!D29,'Control Inputs'!D30),"PASS","FAIL")</x:f>
        <x:v>PASS</x:v>
      </x:c>
      <x:c r="Q22" s="65" t="str">
        <x:f>IF(AND(L22=0,M22="PASS",N22="PASS",O22="PASS",P22="PASS"),"PASS","FAIL")</x:f>
        <x:v>PASS</x:v>
      </x:c>
      <x:c r="R22" s="76" t="str"/>
    </x:row>
    <x:row r="23" ht="24" customHeight="1">
      <x:c r="B23" s="65" t="n">
        <x:v>17</x:v>
      </x:c>
      <x:c r="C23" s="65" t="n">
        <x:f>COUNTIFS('Token Ledger'!$C$7:$C$40,"Closure",'Token Ledger'!$N$7:$N$40,1,'Token Ledger'!$J$7:$J$40,"&lt;="&amp;B23,'Token Ledger'!$W$7:$W$40,"&gt;"&amp;B23)</x:f>
        <x:v>3</x:v>
      </x:c>
      <x:c r="D23" s="65" t="n">
        <x:f>COUNTIFS('Token Ledger'!$C$7:$C$40,"Closure",'Token Ledger'!$J$7:$J$40,"&lt;="&amp;B23,'Token Ledger'!$K$7:$K$40,"&gt;"&amp;B23)</x:f>
        <x:v>3</x:v>
      </x:c>
      <x:c r="E23" s="65" t="n">
        <x:f>COUNTIFS('Token Ledger'!$C$7:$C$40,"Damage",'Token Ledger'!$N$7:$N$40,1,'Token Ledger'!$J$7:$J$40,"&lt;="&amp;B23,'Token Ledger'!$W$7:$W$40,"&gt;"&amp;B23)</x:f>
        <x:v>3</x:v>
      </x:c>
      <x:c r="F23" s="65" t="n">
        <x:f>COUNTIFS('Token Ledger'!$C$7:$C$40,"Damage",'Token Ledger'!$J$7:$J$40,"&lt;="&amp;B23,'Token Ledger'!$K$7:$K$40,"&gt;"&amp;B23)</x:f>
        <x:v>3</x:v>
      </x:c>
      <x:c r="G23" s="65" t="n">
        <x:f>COUNTIFS('Token Ledger'!$C$7:$C$40,"Closure",'Token Ledger'!$P$7:$P$40,"MODELED CREDIT",'Token Ledger'!$K$7:$K$40,"&lt;="&amp;B23,'Token Ledger'!$L$7:$L$40,"&gt;"&amp;B23)</x:f>
        <x:v>0</x:v>
      </x:c>
      <x:c r="H23" s="65" t="n">
        <x:f>COUNTIFS('Token Ledger'!$C$7:$C$40,"Damage",'Token Ledger'!$P$7:$P$40,"MODELED CREDIT",'Token Ledger'!$K$7:$K$40,"&lt;="&amp;B23,'Token Ledger'!$L$7:$L$40,"&gt;"&amp;B23)</x:f>
        <x:v>0</x:v>
      </x:c>
      <x:c r="I23" s="65" t="n">
        <x:f>SUMIFS('Token Ledger'!$Q$7:$Q$40,'Token Ledger'!$C$7:$C$40,"Closure",'Token Ledger'!$L$7:$L$40,"&lt;="&amp;B23)</x:f>
        <x:v>3</x:v>
      </x:c>
      <x:c r="J23" s="65" t="n">
        <x:f>SUMIFS('Token Ledger'!$Q$7:$Q$40,'Token Ledger'!$C$7:$C$40,"Damage",'Token Ledger'!$L$7:$L$40,"&lt;="&amp;B23)</x:f>
        <x:v>0</x:v>
      </x:c>
      <x:c r="K23" s="65" t="n">
        <x:f>COUNTIFS('Token Ledger'!$N$7:$N$40,1,'Token Ledger'!$J$7:$J$40,B23)</x:f>
        <x:v>0</x:v>
      </x:c>
      <x:c r="L23" s="65" t="n">
        <x:f>IF(B23='Control Inputs'!D8,K23,0)</x:f>
        <x:v>0</x:v>
      </x:c>
      <x:c r="M23" s="65" t="str">
        <x:f>IF(C23&lt;='Control Inputs'!D18,"PASS","FAIL")</x:f>
        <x:v>PASS</x:v>
      </x:c>
      <x:c r="N23" s="65" t="str">
        <x:f>IF(E23&lt;='Control Inputs'!D28,"PASS","FAIL")</x:f>
        <x:v>PASS</x:v>
      </x:c>
      <x:c r="O23" s="65" t="str">
        <x:f>IF(G23&lt;=IF(B23&lt;'Control Inputs'!D8,'Control Inputs'!D19,'Control Inputs'!D20),"PASS","FAIL")</x:f>
        <x:v>PASS</x:v>
      </x:c>
      <x:c r="P23" s="65" t="str">
        <x:f>IF(H23&lt;=IF(B23&lt;'Control Inputs'!D8,'Control Inputs'!D29,'Control Inputs'!D30),"PASS","FAIL")</x:f>
        <x:v>PASS</x:v>
      </x:c>
      <x:c r="Q23" s="65" t="str">
        <x:f>IF(AND(L23=0,M23="PASS",N23="PASS",O23="PASS",P23="PASS"),"PASS","FAIL")</x:f>
        <x:v>PASS</x:v>
      </x:c>
      <x:c r="R23" s="76" t="str"/>
    </x:row>
    <x:row r="24" ht="24" customHeight="1">
      <x:c r="B24" s="65" t="n">
        <x:v>18</x:v>
      </x:c>
      <x:c r="C24" s="65" t="n">
        <x:f>COUNTIFS('Token Ledger'!$C$7:$C$40,"Closure",'Token Ledger'!$N$7:$N$40,1,'Token Ledger'!$J$7:$J$40,"&lt;="&amp;B24,'Token Ledger'!$W$7:$W$40,"&gt;"&amp;B24)</x:f>
        <x:v>0</x:v>
      </x:c>
      <x:c r="D24" s="65" t="n">
        <x:f>COUNTIFS('Token Ledger'!$C$7:$C$40,"Closure",'Token Ledger'!$J$7:$J$40,"&lt;="&amp;B24,'Token Ledger'!$K$7:$K$40,"&gt;"&amp;B24)</x:f>
        <x:v>0</x:v>
      </x:c>
      <x:c r="E24" s="65" t="n">
        <x:f>COUNTIFS('Token Ledger'!$C$7:$C$40,"Damage",'Token Ledger'!$N$7:$N$40,1,'Token Ledger'!$J$7:$J$40,"&lt;="&amp;B24,'Token Ledger'!$W$7:$W$40,"&gt;"&amp;B24)</x:f>
        <x:v>3</x:v>
      </x:c>
      <x:c r="F24" s="65" t="n">
        <x:f>COUNTIFS('Token Ledger'!$C$7:$C$40,"Damage",'Token Ledger'!$J$7:$J$40,"&lt;="&amp;B24,'Token Ledger'!$K$7:$K$40,"&gt;"&amp;B24)</x:f>
        <x:v>3</x:v>
      </x:c>
      <x:c r="G24" s="65" t="n">
        <x:f>COUNTIFS('Token Ledger'!$C$7:$C$40,"Closure",'Token Ledger'!$P$7:$P$40,"MODELED CREDIT",'Token Ledger'!$K$7:$K$40,"&lt;="&amp;B24,'Token Ledger'!$L$7:$L$40,"&gt;"&amp;B24)</x:f>
        <x:v>3</x:v>
      </x:c>
      <x:c r="H24" s="65" t="n">
        <x:f>COUNTIFS('Token Ledger'!$C$7:$C$40,"Damage",'Token Ledger'!$P$7:$P$40,"MODELED CREDIT",'Token Ledger'!$K$7:$K$40,"&lt;="&amp;B24,'Token Ledger'!$L$7:$L$40,"&gt;"&amp;B24)</x:f>
        <x:v>0</x:v>
      </x:c>
      <x:c r="I24" s="65" t="n">
        <x:f>SUMIFS('Token Ledger'!$Q$7:$Q$40,'Token Ledger'!$C$7:$C$40,"Closure",'Token Ledger'!$L$7:$L$40,"&lt;="&amp;B24)</x:f>
        <x:v>3</x:v>
      </x:c>
      <x:c r="J24" s="65" t="n">
        <x:f>SUMIFS('Token Ledger'!$Q$7:$Q$40,'Token Ledger'!$C$7:$C$40,"Damage",'Token Ledger'!$L$7:$L$40,"&lt;="&amp;B24)</x:f>
        <x:v>0</x:v>
      </x:c>
      <x:c r="K24" s="65" t="n">
        <x:f>COUNTIFS('Token Ledger'!$N$7:$N$40,1,'Token Ledger'!$J$7:$J$40,B24)</x:f>
        <x:v>0</x:v>
      </x:c>
      <x:c r="L24" s="65" t="n">
        <x:f>IF(B24='Control Inputs'!D8,K24,0)</x:f>
        <x:v>0</x:v>
      </x:c>
      <x:c r="M24" s="65" t="str">
        <x:f>IF(C24&lt;='Control Inputs'!D18,"PASS","FAIL")</x:f>
        <x:v>PASS</x:v>
      </x:c>
      <x:c r="N24" s="65" t="str">
        <x:f>IF(E24&lt;='Control Inputs'!D28,"PASS","FAIL")</x:f>
        <x:v>PASS</x:v>
      </x:c>
      <x:c r="O24" s="65" t="str">
        <x:f>IF(G24&lt;=IF(B24&lt;'Control Inputs'!D8,'Control Inputs'!D19,'Control Inputs'!D20),"PASS","FAIL")</x:f>
        <x:v>PASS</x:v>
      </x:c>
      <x:c r="P24" s="65" t="str">
        <x:f>IF(H24&lt;=IF(B24&lt;'Control Inputs'!D8,'Control Inputs'!D29,'Control Inputs'!D30),"PASS","FAIL")</x:f>
        <x:v>PASS</x:v>
      </x:c>
      <x:c r="Q24" s="65" t="str">
        <x:f>IF(AND(L24=0,M24="PASS",N24="PASS",O24="PASS",P24="PASS"),"PASS","FAIL")</x:f>
        <x:v>PASS</x:v>
      </x:c>
      <x:c r="R24" s="76" t="str"/>
    </x:row>
    <x:row r="25" ht="24" customHeight="1">
      <x:c r="B25" s="65" t="n">
        <x:v>19</x:v>
      </x:c>
      <x:c r="C25" s="65" t="n">
        <x:f>COUNTIFS('Token Ledger'!$C$7:$C$40,"Closure",'Token Ledger'!$N$7:$N$40,1,'Token Ledger'!$J$7:$J$40,"&lt;="&amp;B25,'Token Ledger'!$W$7:$W$40,"&gt;"&amp;B25)</x:f>
        <x:v>3</x:v>
      </x:c>
      <x:c r="D25" s="65" t="n">
        <x:f>COUNTIFS('Token Ledger'!$C$7:$C$40,"Closure",'Token Ledger'!$J$7:$J$40,"&lt;="&amp;B25,'Token Ledger'!$K$7:$K$40,"&gt;"&amp;B25)</x:f>
        <x:v>3</x:v>
      </x:c>
      <x:c r="E25" s="65" t="n">
        <x:f>COUNTIFS('Token Ledger'!$C$7:$C$40,"Damage",'Token Ledger'!$N$7:$N$40,1,'Token Ledger'!$J$7:$J$40,"&lt;="&amp;B25,'Token Ledger'!$W$7:$W$40,"&gt;"&amp;B25)</x:f>
        <x:v>3</x:v>
      </x:c>
      <x:c r="F25" s="65" t="n">
        <x:f>COUNTIFS('Token Ledger'!$C$7:$C$40,"Damage",'Token Ledger'!$J$7:$J$40,"&lt;="&amp;B25,'Token Ledger'!$K$7:$K$40,"&gt;"&amp;B25)</x:f>
        <x:v>3</x:v>
      </x:c>
      <x:c r="G25" s="65" t="n">
        <x:f>COUNTIFS('Token Ledger'!$C$7:$C$40,"Closure",'Token Ledger'!$P$7:$P$40,"MODELED CREDIT",'Token Ledger'!$K$7:$K$40,"&lt;="&amp;B25,'Token Ledger'!$L$7:$L$40,"&gt;"&amp;B25)</x:f>
        <x:v>3</x:v>
      </x:c>
      <x:c r="H25" s="65" t="n">
        <x:f>COUNTIFS('Token Ledger'!$C$7:$C$40,"Damage",'Token Ledger'!$P$7:$P$40,"MODELED CREDIT",'Token Ledger'!$K$7:$K$40,"&lt;="&amp;B25,'Token Ledger'!$L$7:$L$40,"&gt;"&amp;B25)</x:f>
        <x:v>0</x:v>
      </x:c>
      <x:c r="I25" s="65" t="n">
        <x:f>SUMIFS('Token Ledger'!$Q$7:$Q$40,'Token Ledger'!$C$7:$C$40,"Closure",'Token Ledger'!$L$7:$L$40,"&lt;="&amp;B25)</x:f>
        <x:v>3</x:v>
      </x:c>
      <x:c r="J25" s="65" t="n">
        <x:f>SUMIFS('Token Ledger'!$Q$7:$Q$40,'Token Ledger'!$C$7:$C$40,"Damage",'Token Ledger'!$L$7:$L$40,"&lt;="&amp;B25)</x:f>
        <x:v>0</x:v>
      </x:c>
      <x:c r="K25" s="65" t="n">
        <x:f>COUNTIFS('Token Ledger'!$N$7:$N$40,1,'Token Ledger'!$J$7:$J$40,B25)</x:f>
        <x:v>3</x:v>
      </x:c>
      <x:c r="L25" s="65" t="n">
        <x:f>IF(B25='Control Inputs'!D8,K25,0)</x:f>
        <x:v>0</x:v>
      </x:c>
      <x:c r="M25" s="65" t="str">
        <x:f>IF(C25&lt;='Control Inputs'!D18,"PASS","FAIL")</x:f>
        <x:v>PASS</x:v>
      </x:c>
      <x:c r="N25" s="65" t="str">
        <x:f>IF(E25&lt;='Control Inputs'!D28,"PASS","FAIL")</x:f>
        <x:v>PASS</x:v>
      </x:c>
      <x:c r="O25" s="65" t="str">
        <x:f>IF(G25&lt;=IF(B25&lt;'Control Inputs'!D8,'Control Inputs'!D19,'Control Inputs'!D20),"PASS","FAIL")</x:f>
        <x:v>PASS</x:v>
      </x:c>
      <x:c r="P25" s="65" t="str">
        <x:f>IF(H25&lt;=IF(B25&lt;'Control Inputs'!D8,'Control Inputs'!D29,'Control Inputs'!D30),"PASS","FAIL")</x:f>
        <x:v>PASS</x:v>
      </x:c>
      <x:c r="Q25" s="65" t="str">
        <x:f>IF(AND(L25=0,M25="PASS",N25="PASS",O25="PASS",P25="PASS"),"PASS","FAIL")</x:f>
        <x:v>PASS</x:v>
      </x:c>
      <x:c r="R25" s="76" t="str"/>
    </x:row>
    <x:row r="26" ht="24" customHeight="1">
      <x:c r="B26" s="65" t="n">
        <x:v>20</x:v>
      </x:c>
      <x:c r="C26" s="65" t="n">
        <x:f>COUNTIFS('Token Ledger'!$C$7:$C$40,"Closure",'Token Ledger'!$N$7:$N$40,1,'Token Ledger'!$J$7:$J$40,"&lt;="&amp;B26,'Token Ledger'!$W$7:$W$40,"&gt;"&amp;B26)</x:f>
        <x:v>3</x:v>
      </x:c>
      <x:c r="D26" s="65" t="n">
        <x:f>COUNTIFS('Token Ledger'!$C$7:$C$40,"Closure",'Token Ledger'!$J$7:$J$40,"&lt;="&amp;B26,'Token Ledger'!$K$7:$K$40,"&gt;"&amp;B26)</x:f>
        <x:v>3</x:v>
      </x:c>
      <x:c r="E26" s="65" t="n">
        <x:f>COUNTIFS('Token Ledger'!$C$7:$C$40,"Damage",'Token Ledger'!$N$7:$N$40,1,'Token Ledger'!$J$7:$J$40,"&lt;="&amp;B26,'Token Ledger'!$W$7:$W$40,"&gt;"&amp;B26)</x:f>
        <x:v>3</x:v>
      </x:c>
      <x:c r="F26" s="65" t="n">
        <x:f>COUNTIFS('Token Ledger'!$C$7:$C$40,"Damage",'Token Ledger'!$J$7:$J$40,"&lt;="&amp;B26,'Token Ledger'!$K$7:$K$40,"&gt;"&amp;B26)</x:f>
        <x:v>3</x:v>
      </x:c>
      <x:c r="G26" s="65" t="n">
        <x:f>COUNTIFS('Token Ledger'!$C$7:$C$40,"Closure",'Token Ledger'!$P$7:$P$40,"MODELED CREDIT",'Token Ledger'!$K$7:$K$40,"&lt;="&amp;B26,'Token Ledger'!$L$7:$L$40,"&gt;"&amp;B26)</x:f>
        <x:v>3</x:v>
      </x:c>
      <x:c r="H26" s="65" t="n">
        <x:f>COUNTIFS('Token Ledger'!$C$7:$C$40,"Damage",'Token Ledger'!$P$7:$P$40,"MODELED CREDIT",'Token Ledger'!$K$7:$K$40,"&lt;="&amp;B26,'Token Ledger'!$L$7:$L$40,"&gt;"&amp;B26)</x:f>
        <x:v>0</x:v>
      </x:c>
      <x:c r="I26" s="65" t="n">
        <x:f>SUMIFS('Token Ledger'!$Q$7:$Q$40,'Token Ledger'!$C$7:$C$40,"Closure",'Token Ledger'!$L$7:$L$40,"&lt;="&amp;B26)</x:f>
        <x:v>3</x:v>
      </x:c>
      <x:c r="J26" s="65" t="n">
        <x:f>SUMIFS('Token Ledger'!$Q$7:$Q$40,'Token Ledger'!$C$7:$C$40,"Damage",'Token Ledger'!$L$7:$L$40,"&lt;="&amp;B26)</x:f>
        <x:v>0</x:v>
      </x:c>
      <x:c r="K26" s="65" t="n">
        <x:f>COUNTIFS('Token Ledger'!$N$7:$N$40,1,'Token Ledger'!$J$7:$J$40,B26)</x:f>
        <x:v>0</x:v>
      </x:c>
      <x:c r="L26" s="65" t="n">
        <x:f>IF(B26='Control Inputs'!D8,K26,0)</x:f>
        <x:v>0</x:v>
      </x:c>
      <x:c r="M26" s="65" t="str">
        <x:f>IF(C26&lt;='Control Inputs'!D18,"PASS","FAIL")</x:f>
        <x:v>PASS</x:v>
      </x:c>
      <x:c r="N26" s="65" t="str">
        <x:f>IF(E26&lt;='Control Inputs'!D28,"PASS","FAIL")</x:f>
        <x:v>PASS</x:v>
      </x:c>
      <x:c r="O26" s="65" t="str">
        <x:f>IF(G26&lt;=IF(B26&lt;'Control Inputs'!D8,'Control Inputs'!D19,'Control Inputs'!D20),"PASS","FAIL")</x:f>
        <x:v>PASS</x:v>
      </x:c>
      <x:c r="P26" s="65" t="str">
        <x:f>IF(H26&lt;=IF(B26&lt;'Control Inputs'!D8,'Control Inputs'!D29,'Control Inputs'!D30),"PASS","FAIL")</x:f>
        <x:v>PASS</x:v>
      </x:c>
      <x:c r="Q26" s="65" t="str">
        <x:f>IF(AND(L26=0,M26="PASS",N26="PASS",O26="PASS",P26="PASS"),"PASS","FAIL")</x:f>
        <x:v>PASS</x:v>
      </x:c>
      <x:c r="R26" s="76" t="str"/>
    </x:row>
    <x:row r="27" ht="24" customHeight="1">
      <x:c r="B27" s="65" t="n">
        <x:v>21</x:v>
      </x:c>
      <x:c r="C27" s="65" t="n">
        <x:f>COUNTIFS('Token Ledger'!$C$7:$C$40,"Closure",'Token Ledger'!$N$7:$N$40,1,'Token Ledger'!$J$7:$J$40,"&lt;="&amp;B27,'Token Ledger'!$W$7:$W$40,"&gt;"&amp;B27)</x:f>
        <x:v>3</x:v>
      </x:c>
      <x:c r="D27" s="65" t="n">
        <x:f>COUNTIFS('Token Ledger'!$C$7:$C$40,"Closure",'Token Ledger'!$J$7:$J$40,"&lt;="&amp;B27,'Token Ledger'!$K$7:$K$40,"&gt;"&amp;B27)</x:f>
        <x:v>3</x:v>
      </x:c>
      <x:c r="E27" s="65" t="n">
        <x:f>COUNTIFS('Token Ledger'!$C$7:$C$40,"Damage",'Token Ledger'!$N$7:$N$40,1,'Token Ledger'!$J$7:$J$40,"&lt;="&amp;B27,'Token Ledger'!$W$7:$W$40,"&gt;"&amp;B27)</x:f>
        <x:v>3</x:v>
      </x:c>
      <x:c r="F27" s="65" t="n">
        <x:f>COUNTIFS('Token Ledger'!$C$7:$C$40,"Damage",'Token Ledger'!$J$7:$J$40,"&lt;="&amp;B27,'Token Ledger'!$K$7:$K$40,"&gt;"&amp;B27)</x:f>
        <x:v>3</x:v>
      </x:c>
      <x:c r="G27" s="65" t="n">
        <x:f>COUNTIFS('Token Ledger'!$C$7:$C$40,"Closure",'Token Ledger'!$P$7:$P$40,"MODELED CREDIT",'Token Ledger'!$K$7:$K$40,"&lt;="&amp;B27,'Token Ledger'!$L$7:$L$40,"&gt;"&amp;B27)</x:f>
        <x:v>3</x:v>
      </x:c>
      <x:c r="H27" s="65" t="n">
        <x:f>COUNTIFS('Token Ledger'!$C$7:$C$40,"Damage",'Token Ledger'!$P$7:$P$40,"MODELED CREDIT",'Token Ledger'!$K$7:$K$40,"&lt;="&amp;B27,'Token Ledger'!$L$7:$L$40,"&gt;"&amp;B27)</x:f>
        <x:v>0</x:v>
      </x:c>
      <x:c r="I27" s="65" t="n">
        <x:f>SUMIFS('Token Ledger'!$Q$7:$Q$40,'Token Ledger'!$C$7:$C$40,"Closure",'Token Ledger'!$L$7:$L$40,"&lt;="&amp;B27)</x:f>
        <x:v>3</x:v>
      </x:c>
      <x:c r="J27" s="65" t="n">
        <x:f>SUMIFS('Token Ledger'!$Q$7:$Q$40,'Token Ledger'!$C$7:$C$40,"Damage",'Token Ledger'!$L$7:$L$40,"&lt;="&amp;B27)</x:f>
        <x:v>0</x:v>
      </x:c>
      <x:c r="K27" s="65" t="n">
        <x:f>COUNTIFS('Token Ledger'!$N$7:$N$40,1,'Token Ledger'!$J$7:$J$40,B27)</x:f>
        <x:v>0</x:v>
      </x:c>
      <x:c r="L27" s="65" t="n">
        <x:f>IF(B27='Control Inputs'!D8,K27,0)</x:f>
        <x:v>0</x:v>
      </x:c>
      <x:c r="M27" s="65" t="str">
        <x:f>IF(C27&lt;='Control Inputs'!D18,"PASS","FAIL")</x:f>
        <x:v>PASS</x:v>
      </x:c>
      <x:c r="N27" s="65" t="str">
        <x:f>IF(E27&lt;='Control Inputs'!D28,"PASS","FAIL")</x:f>
        <x:v>PASS</x:v>
      </x:c>
      <x:c r="O27" s="65" t="str">
        <x:f>IF(G27&lt;=IF(B27&lt;'Control Inputs'!D8,'Control Inputs'!D19,'Control Inputs'!D20),"PASS","FAIL")</x:f>
        <x:v>PASS</x:v>
      </x:c>
      <x:c r="P27" s="65" t="str">
        <x:f>IF(H27&lt;=IF(B27&lt;'Control Inputs'!D8,'Control Inputs'!D29,'Control Inputs'!D30),"PASS","FAIL")</x:f>
        <x:v>PASS</x:v>
      </x:c>
      <x:c r="Q27" s="65" t="str">
        <x:f>IF(AND(L27=0,M27="PASS",N27="PASS",O27="PASS",P27="PASS"),"PASS","FAIL")</x:f>
        <x:v>PASS</x:v>
      </x:c>
      <x:c r="R27" s="76" t="str"/>
    </x:row>
    <x:row r="28" ht="24" customHeight="1">
      <x:c r="B28" s="65" t="n">
        <x:v>22</x:v>
      </x:c>
      <x:c r="C28" s="65" t="n">
        <x:f>COUNTIFS('Token Ledger'!$C$7:$C$40,"Closure",'Token Ledger'!$N$7:$N$40,1,'Token Ledger'!$J$7:$J$40,"&lt;="&amp;B28,'Token Ledger'!$W$7:$W$40,"&gt;"&amp;B28)</x:f>
        <x:v>3</x:v>
      </x:c>
      <x:c r="D28" s="65" t="n">
        <x:f>COUNTIFS('Token Ledger'!$C$7:$C$40,"Closure",'Token Ledger'!$J$7:$J$40,"&lt;="&amp;B28,'Token Ledger'!$K$7:$K$40,"&gt;"&amp;B28)</x:f>
        <x:v>3</x:v>
      </x:c>
      <x:c r="E28" s="65" t="n">
        <x:f>COUNTIFS('Token Ledger'!$C$7:$C$40,"Damage",'Token Ledger'!$N$7:$N$40,1,'Token Ledger'!$J$7:$J$40,"&lt;="&amp;B28,'Token Ledger'!$W$7:$W$40,"&gt;"&amp;B28)</x:f>
        <x:v>3</x:v>
      </x:c>
      <x:c r="F28" s="65" t="n">
        <x:f>COUNTIFS('Token Ledger'!$C$7:$C$40,"Damage",'Token Ledger'!$J$7:$J$40,"&lt;="&amp;B28,'Token Ledger'!$K$7:$K$40,"&gt;"&amp;B28)</x:f>
        <x:v>3</x:v>
      </x:c>
      <x:c r="G28" s="65" t="n">
        <x:f>COUNTIFS('Token Ledger'!$C$7:$C$40,"Closure",'Token Ledger'!$P$7:$P$40,"MODELED CREDIT",'Token Ledger'!$K$7:$K$40,"&lt;="&amp;B28,'Token Ledger'!$L$7:$L$40,"&gt;"&amp;B28)</x:f>
        <x:v>3</x:v>
      </x:c>
      <x:c r="H28" s="65" t="n">
        <x:f>COUNTIFS('Token Ledger'!$C$7:$C$40,"Damage",'Token Ledger'!$P$7:$P$40,"MODELED CREDIT",'Token Ledger'!$K$7:$K$40,"&lt;="&amp;B28,'Token Ledger'!$L$7:$L$40,"&gt;"&amp;B28)</x:f>
        <x:v>0</x:v>
      </x:c>
      <x:c r="I28" s="65" t="n">
        <x:f>SUMIFS('Token Ledger'!$Q$7:$Q$40,'Token Ledger'!$C$7:$C$40,"Closure",'Token Ledger'!$L$7:$L$40,"&lt;="&amp;B28)</x:f>
        <x:v>3</x:v>
      </x:c>
      <x:c r="J28" s="65" t="n">
        <x:f>SUMIFS('Token Ledger'!$Q$7:$Q$40,'Token Ledger'!$C$7:$C$40,"Damage",'Token Ledger'!$L$7:$L$40,"&lt;="&amp;B28)</x:f>
        <x:v>0</x:v>
      </x:c>
      <x:c r="K28" s="65" t="n">
        <x:f>COUNTIFS('Token Ledger'!$N$7:$N$40,1,'Token Ledger'!$J$7:$J$40,B28)</x:f>
        <x:v>0</x:v>
      </x:c>
      <x:c r="L28" s="65" t="n">
        <x:f>IF(B28='Control Inputs'!D8,K28,0)</x:f>
        <x:v>0</x:v>
      </x:c>
      <x:c r="M28" s="65" t="str">
        <x:f>IF(C28&lt;='Control Inputs'!D18,"PASS","FAIL")</x:f>
        <x:v>PASS</x:v>
      </x:c>
      <x:c r="N28" s="65" t="str">
        <x:f>IF(E28&lt;='Control Inputs'!D28,"PASS","FAIL")</x:f>
        <x:v>PASS</x:v>
      </x:c>
      <x:c r="O28" s="65" t="str">
        <x:f>IF(G28&lt;=IF(B28&lt;'Control Inputs'!D8,'Control Inputs'!D19,'Control Inputs'!D20),"PASS","FAIL")</x:f>
        <x:v>PASS</x:v>
      </x:c>
      <x:c r="P28" s="65" t="str">
        <x:f>IF(H28&lt;=IF(B28&lt;'Control Inputs'!D8,'Control Inputs'!D29,'Control Inputs'!D30),"PASS","FAIL")</x:f>
        <x:v>PASS</x:v>
      </x:c>
      <x:c r="Q28" s="65" t="str">
        <x:f>IF(AND(L28=0,M28="PASS",N28="PASS",O28="PASS",P28="PASS"),"PASS","FAIL")</x:f>
        <x:v>PASS</x:v>
      </x:c>
      <x:c r="R28" s="76" t="str"/>
    </x:row>
    <x:row r="29" ht="24" customHeight="1">
      <x:c r="B29" s="65" t="n">
        <x:v>23</x:v>
      </x:c>
      <x:c r="C29" s="65" t="n">
        <x:f>COUNTIFS('Token Ledger'!$C$7:$C$40,"Closure",'Token Ledger'!$N$7:$N$40,1,'Token Ledger'!$J$7:$J$40,"&lt;="&amp;B29,'Token Ledger'!$W$7:$W$40,"&gt;"&amp;B29)</x:f>
        <x:v>3</x:v>
      </x:c>
      <x:c r="D29" s="65" t="n">
        <x:f>COUNTIFS('Token Ledger'!$C$7:$C$40,"Closure",'Token Ledger'!$J$7:$J$40,"&lt;="&amp;B29,'Token Ledger'!$K$7:$K$40,"&gt;"&amp;B29)</x:f>
        <x:v>3</x:v>
      </x:c>
      <x:c r="E29" s="65" t="n">
        <x:f>COUNTIFS('Token Ledger'!$C$7:$C$40,"Damage",'Token Ledger'!$N$7:$N$40,1,'Token Ledger'!$J$7:$J$40,"&lt;="&amp;B29,'Token Ledger'!$W$7:$W$40,"&gt;"&amp;B29)</x:f>
        <x:v>3</x:v>
      </x:c>
      <x:c r="F29" s="65" t="n">
        <x:f>COUNTIFS('Token Ledger'!$C$7:$C$40,"Damage",'Token Ledger'!$J$7:$J$40,"&lt;="&amp;B29,'Token Ledger'!$K$7:$K$40,"&gt;"&amp;B29)</x:f>
        <x:v>3</x:v>
      </x:c>
      <x:c r="G29" s="65" t="n">
        <x:f>COUNTIFS('Token Ledger'!$C$7:$C$40,"Closure",'Token Ledger'!$P$7:$P$40,"MODELED CREDIT",'Token Ledger'!$K$7:$K$40,"&lt;="&amp;B29,'Token Ledger'!$L$7:$L$40,"&gt;"&amp;B29)</x:f>
        <x:v>3</x:v>
      </x:c>
      <x:c r="H29" s="65" t="n">
        <x:f>COUNTIFS('Token Ledger'!$C$7:$C$40,"Damage",'Token Ledger'!$P$7:$P$40,"MODELED CREDIT",'Token Ledger'!$K$7:$K$40,"&lt;="&amp;B29,'Token Ledger'!$L$7:$L$40,"&gt;"&amp;B29)</x:f>
        <x:v>0</x:v>
      </x:c>
      <x:c r="I29" s="65" t="n">
        <x:f>SUMIFS('Token Ledger'!$Q$7:$Q$40,'Token Ledger'!$C$7:$C$40,"Closure",'Token Ledger'!$L$7:$L$40,"&lt;="&amp;B29)</x:f>
        <x:v>3</x:v>
      </x:c>
      <x:c r="J29" s="65" t="n">
        <x:f>SUMIFS('Token Ledger'!$Q$7:$Q$40,'Token Ledger'!$C$7:$C$40,"Damage",'Token Ledger'!$L$7:$L$40,"&lt;="&amp;B29)</x:f>
        <x:v>0</x:v>
      </x:c>
      <x:c r="K29" s="65" t="n">
        <x:f>COUNTIFS('Token Ledger'!$N$7:$N$40,1,'Token Ledger'!$J$7:$J$40,B29)</x:f>
        <x:v>0</x:v>
      </x:c>
      <x:c r="L29" s="65" t="n">
        <x:f>IF(B29='Control Inputs'!D8,K29,0)</x:f>
        <x:v>0</x:v>
      </x:c>
      <x:c r="M29" s="65" t="str">
        <x:f>IF(C29&lt;='Control Inputs'!D18,"PASS","FAIL")</x:f>
        <x:v>PASS</x:v>
      </x:c>
      <x:c r="N29" s="65" t="str">
        <x:f>IF(E29&lt;='Control Inputs'!D28,"PASS","FAIL")</x:f>
        <x:v>PASS</x:v>
      </x:c>
      <x:c r="O29" s="65" t="str">
        <x:f>IF(G29&lt;=IF(B29&lt;'Control Inputs'!D8,'Control Inputs'!D19,'Control Inputs'!D20),"PASS","FAIL")</x:f>
        <x:v>PASS</x:v>
      </x:c>
      <x:c r="P29" s="65" t="str">
        <x:f>IF(H29&lt;=IF(B29&lt;'Control Inputs'!D8,'Control Inputs'!D29,'Control Inputs'!D30),"PASS","FAIL")</x:f>
        <x:v>PASS</x:v>
      </x:c>
      <x:c r="Q29" s="65" t="str">
        <x:f>IF(AND(L29=0,M29="PASS",N29="PASS",O29="PASS",P29="PASS"),"PASS","FAIL")</x:f>
        <x:v>PASS</x:v>
      </x:c>
      <x:c r="R29" s="76" t="str"/>
    </x:row>
    <x:row r="30" ht="24" customHeight="1">
      <x:c r="B30" s="65" t="n">
        <x:v>24</x:v>
      </x:c>
      <x:c r="C30" s="65" t="n">
        <x:f>COUNTIFS('Token Ledger'!$C$7:$C$40,"Closure",'Token Ledger'!$N$7:$N$40,1,'Token Ledger'!$J$7:$J$40,"&lt;="&amp;B30,'Token Ledger'!$W$7:$W$40,"&gt;"&amp;B30)</x:f>
        <x:v>3</x:v>
      </x:c>
      <x:c r="D30" s="65" t="n">
        <x:f>COUNTIFS('Token Ledger'!$C$7:$C$40,"Closure",'Token Ledger'!$J$7:$J$40,"&lt;="&amp;B30,'Token Ledger'!$K$7:$K$40,"&gt;"&amp;B30)</x:f>
        <x:v>3</x:v>
      </x:c>
      <x:c r="E30" s="65" t="n">
        <x:f>COUNTIFS('Token Ledger'!$C$7:$C$40,"Damage",'Token Ledger'!$N$7:$N$40,1,'Token Ledger'!$J$7:$J$40,"&lt;="&amp;B30,'Token Ledger'!$W$7:$W$40,"&gt;"&amp;B30)</x:f>
        <x:v>3</x:v>
      </x:c>
      <x:c r="F30" s="65" t="n">
        <x:f>COUNTIFS('Token Ledger'!$C$7:$C$40,"Damage",'Token Ledger'!$J$7:$J$40,"&lt;="&amp;B30,'Token Ledger'!$K$7:$K$40,"&gt;"&amp;B30)</x:f>
        <x:v>3</x:v>
      </x:c>
      <x:c r="G30" s="65" t="n">
        <x:f>COUNTIFS('Token Ledger'!$C$7:$C$40,"Closure",'Token Ledger'!$P$7:$P$40,"MODELED CREDIT",'Token Ledger'!$K$7:$K$40,"&lt;="&amp;B30,'Token Ledger'!$L$7:$L$40,"&gt;"&amp;B30)</x:f>
        <x:v>0</x:v>
      </x:c>
      <x:c r="H30" s="65" t="n">
        <x:f>COUNTIFS('Token Ledger'!$C$7:$C$40,"Damage",'Token Ledger'!$P$7:$P$40,"MODELED CREDIT",'Token Ledger'!$K$7:$K$40,"&lt;="&amp;B30,'Token Ledger'!$L$7:$L$40,"&gt;"&amp;B30)</x:f>
        <x:v>0</x:v>
      </x:c>
      <x:c r="I30" s="65" t="n">
        <x:f>SUMIFS('Token Ledger'!$Q$7:$Q$40,'Token Ledger'!$C$7:$C$40,"Closure",'Token Ledger'!$L$7:$L$40,"&lt;="&amp;B30)</x:f>
        <x:v>6</x:v>
      </x:c>
      <x:c r="J30" s="65" t="n">
        <x:f>SUMIFS('Token Ledger'!$Q$7:$Q$40,'Token Ledger'!$C$7:$C$40,"Damage",'Token Ledger'!$L$7:$L$40,"&lt;="&amp;B30)</x:f>
        <x:v>0</x:v>
      </x:c>
      <x:c r="K30" s="65" t="n">
        <x:f>COUNTIFS('Token Ledger'!$N$7:$N$40,1,'Token Ledger'!$J$7:$J$40,B30)</x:f>
        <x:v>0</x:v>
      </x:c>
      <x:c r="L30" s="65" t="n">
        <x:f>IF(B30='Control Inputs'!D8,K30,0)</x:f>
        <x:v>0</x:v>
      </x:c>
      <x:c r="M30" s="65" t="str">
        <x:f>IF(C30&lt;='Control Inputs'!D18,"PASS","FAIL")</x:f>
        <x:v>PASS</x:v>
      </x:c>
      <x:c r="N30" s="65" t="str">
        <x:f>IF(E30&lt;='Control Inputs'!D28,"PASS","FAIL")</x:f>
        <x:v>PASS</x:v>
      </x:c>
      <x:c r="O30" s="65" t="str">
        <x:f>IF(G30&lt;=IF(B30&lt;'Control Inputs'!D8,'Control Inputs'!D19,'Control Inputs'!D20),"PASS","FAIL")</x:f>
        <x:v>PASS</x:v>
      </x:c>
      <x:c r="P30" s="65" t="str">
        <x:f>IF(H30&lt;=IF(B30&lt;'Control Inputs'!D8,'Control Inputs'!D29,'Control Inputs'!D30),"PASS","FAIL")</x:f>
        <x:v>PASS</x:v>
      </x:c>
      <x:c r="Q30" s="65" t="str">
        <x:f>IF(AND(L30=0,M30="PASS",N30="PASS",O30="PASS",P30="PASS"),"PASS","FAIL")</x:f>
        <x:v>PASS</x:v>
      </x:c>
      <x:c r="R30" s="76" t="str"/>
    </x:row>
    <x:row r="31" ht="24" customHeight="1">
      <x:c r="B31" s="65" t="n">
        <x:v>25</x:v>
      </x:c>
      <x:c r="C31" s="65" t="n">
        <x:f>COUNTIFS('Token Ledger'!$C$7:$C$40,"Closure",'Token Ledger'!$N$7:$N$40,1,'Token Ledger'!$J$7:$J$40,"&lt;="&amp;B31,'Token Ledger'!$W$7:$W$40,"&gt;"&amp;B31)</x:f>
        <x:v>3</x:v>
      </x:c>
      <x:c r="D31" s="65" t="n">
        <x:f>COUNTIFS('Token Ledger'!$C$7:$C$40,"Closure",'Token Ledger'!$J$7:$J$40,"&lt;="&amp;B31,'Token Ledger'!$K$7:$K$40,"&gt;"&amp;B31)</x:f>
        <x:v>3</x:v>
      </x:c>
      <x:c r="E31" s="65" t="n">
        <x:f>COUNTIFS('Token Ledger'!$C$7:$C$40,"Damage",'Token Ledger'!$N$7:$N$40,1,'Token Ledger'!$J$7:$J$40,"&lt;="&amp;B31,'Token Ledger'!$W$7:$W$40,"&gt;"&amp;B31)</x:f>
        <x:v>3</x:v>
      </x:c>
      <x:c r="F31" s="65" t="n">
        <x:f>COUNTIFS('Token Ledger'!$C$7:$C$40,"Damage",'Token Ledger'!$J$7:$J$40,"&lt;="&amp;B31,'Token Ledger'!$K$7:$K$40,"&gt;"&amp;B31)</x:f>
        <x:v>3</x:v>
      </x:c>
      <x:c r="G31" s="65" t="n">
        <x:f>COUNTIFS('Token Ledger'!$C$7:$C$40,"Closure",'Token Ledger'!$P$7:$P$40,"MODELED CREDIT",'Token Ledger'!$K$7:$K$40,"&lt;="&amp;B31,'Token Ledger'!$L$7:$L$40,"&gt;"&amp;B31)</x:f>
        <x:v>0</x:v>
      </x:c>
      <x:c r="H31" s="65" t="n">
        <x:f>COUNTIFS('Token Ledger'!$C$7:$C$40,"Damage",'Token Ledger'!$P$7:$P$40,"MODELED CREDIT",'Token Ledger'!$K$7:$K$40,"&lt;="&amp;B31,'Token Ledger'!$L$7:$L$40,"&gt;"&amp;B31)</x:f>
        <x:v>0</x:v>
      </x:c>
      <x:c r="I31" s="65" t="n">
        <x:f>SUMIFS('Token Ledger'!$Q$7:$Q$40,'Token Ledger'!$C$7:$C$40,"Closure",'Token Ledger'!$L$7:$L$40,"&lt;="&amp;B31)</x:f>
        <x:v>6</x:v>
      </x:c>
      <x:c r="J31" s="65" t="n">
        <x:f>SUMIFS('Token Ledger'!$Q$7:$Q$40,'Token Ledger'!$C$7:$C$40,"Damage",'Token Ledger'!$L$7:$L$40,"&lt;="&amp;B31)</x:f>
        <x:v>0</x:v>
      </x:c>
      <x:c r="K31" s="65" t="n">
        <x:f>COUNTIFS('Token Ledger'!$N$7:$N$40,1,'Token Ledger'!$J$7:$J$40,B31)</x:f>
        <x:v>0</x:v>
      </x:c>
      <x:c r="L31" s="65" t="n">
        <x:f>IF(B31='Control Inputs'!D8,K31,0)</x:f>
        <x:v>0</x:v>
      </x:c>
      <x:c r="M31" s="65" t="str">
        <x:f>IF(C31&lt;='Control Inputs'!D18,"PASS","FAIL")</x:f>
        <x:v>PASS</x:v>
      </x:c>
      <x:c r="N31" s="65" t="str">
        <x:f>IF(E31&lt;='Control Inputs'!D28,"PASS","FAIL")</x:f>
        <x:v>PASS</x:v>
      </x:c>
      <x:c r="O31" s="65" t="str">
        <x:f>IF(G31&lt;=IF(B31&lt;'Control Inputs'!D8,'Control Inputs'!D19,'Control Inputs'!D20),"PASS","FAIL")</x:f>
        <x:v>PASS</x:v>
      </x:c>
      <x:c r="P31" s="65" t="str">
        <x:f>IF(H31&lt;=IF(B31&lt;'Control Inputs'!D8,'Control Inputs'!D29,'Control Inputs'!D30),"PASS","FAIL")</x:f>
        <x:v>PASS</x:v>
      </x:c>
      <x:c r="Q31" s="65" t="str">
        <x:f>IF(AND(L31=0,M31="PASS",N31="PASS",O31="PASS",P31="PASS"),"PASS","FAIL")</x:f>
        <x:v>PASS</x:v>
      </x:c>
      <x:c r="R31" s="76" t="str"/>
    </x:row>
    <x:row r="32" ht="24" customHeight="1">
      <x:c r="B32" s="65" t="n">
        <x:v>26</x:v>
      </x:c>
      <x:c r="C32" s="65" t="n">
        <x:f>COUNTIFS('Token Ledger'!$C$7:$C$40,"Closure",'Token Ledger'!$N$7:$N$40,1,'Token Ledger'!$J$7:$J$40,"&lt;="&amp;B32,'Token Ledger'!$W$7:$W$40,"&gt;"&amp;B32)</x:f>
        <x:v>3</x:v>
      </x:c>
      <x:c r="D32" s="65" t="n">
        <x:f>COUNTIFS('Token Ledger'!$C$7:$C$40,"Closure",'Token Ledger'!$J$7:$J$40,"&lt;="&amp;B32,'Token Ledger'!$K$7:$K$40,"&gt;"&amp;B32)</x:f>
        <x:v>3</x:v>
      </x:c>
      <x:c r="E32" s="65" t="n">
        <x:f>COUNTIFS('Token Ledger'!$C$7:$C$40,"Damage",'Token Ledger'!$N$7:$N$40,1,'Token Ledger'!$J$7:$J$40,"&lt;="&amp;B32,'Token Ledger'!$W$7:$W$40,"&gt;"&amp;B32)</x:f>
        <x:v>3</x:v>
      </x:c>
      <x:c r="F32" s="65" t="n">
        <x:f>COUNTIFS('Token Ledger'!$C$7:$C$40,"Damage",'Token Ledger'!$J$7:$J$40,"&lt;="&amp;B32,'Token Ledger'!$K$7:$K$40,"&gt;"&amp;B32)</x:f>
        <x:v>3</x:v>
      </x:c>
      <x:c r="G32" s="65" t="n">
        <x:f>COUNTIFS('Token Ledger'!$C$7:$C$40,"Closure",'Token Ledger'!$P$7:$P$40,"MODELED CREDIT",'Token Ledger'!$K$7:$K$40,"&lt;="&amp;B32,'Token Ledger'!$L$7:$L$40,"&gt;"&amp;B32)</x:f>
        <x:v>0</x:v>
      </x:c>
      <x:c r="H32" s="65" t="n">
        <x:f>COUNTIFS('Token Ledger'!$C$7:$C$40,"Damage",'Token Ledger'!$P$7:$P$40,"MODELED CREDIT",'Token Ledger'!$K$7:$K$40,"&lt;="&amp;B32,'Token Ledger'!$L$7:$L$40,"&gt;"&amp;B32)</x:f>
        <x:v>0</x:v>
      </x:c>
      <x:c r="I32" s="65" t="n">
        <x:f>SUMIFS('Token Ledger'!$Q$7:$Q$40,'Token Ledger'!$C$7:$C$40,"Closure",'Token Ledger'!$L$7:$L$40,"&lt;="&amp;B32)</x:f>
        <x:v>6</x:v>
      </x:c>
      <x:c r="J32" s="65" t="n">
        <x:f>SUMIFS('Token Ledger'!$Q$7:$Q$40,'Token Ledger'!$C$7:$C$40,"Damage",'Token Ledger'!$L$7:$L$40,"&lt;="&amp;B32)</x:f>
        <x:v>0</x:v>
      </x:c>
      <x:c r="K32" s="65" t="n">
        <x:f>COUNTIFS('Token Ledger'!$N$7:$N$40,1,'Token Ledger'!$J$7:$J$40,B32)</x:f>
        <x:v>0</x:v>
      </x:c>
      <x:c r="L32" s="65" t="n">
        <x:f>IF(B32='Control Inputs'!D8,K32,0)</x:f>
        <x:v>0</x:v>
      </x:c>
      <x:c r="M32" s="65" t="str">
        <x:f>IF(C32&lt;='Control Inputs'!D18,"PASS","FAIL")</x:f>
        <x:v>PASS</x:v>
      </x:c>
      <x:c r="N32" s="65" t="str">
        <x:f>IF(E32&lt;='Control Inputs'!D28,"PASS","FAIL")</x:f>
        <x:v>PASS</x:v>
      </x:c>
      <x:c r="O32" s="65" t="str">
        <x:f>IF(G32&lt;=IF(B32&lt;'Control Inputs'!D8,'Control Inputs'!D19,'Control Inputs'!D20),"PASS","FAIL")</x:f>
        <x:v>PASS</x:v>
      </x:c>
      <x:c r="P32" s="65" t="str">
        <x:f>IF(H32&lt;=IF(B32&lt;'Control Inputs'!D8,'Control Inputs'!D29,'Control Inputs'!D30),"PASS","FAIL")</x:f>
        <x:v>PASS</x:v>
      </x:c>
      <x:c r="Q32" s="65" t="str">
        <x:f>IF(AND(L32=0,M32="PASS",N32="PASS",O32="PASS",P32="PASS"),"PASS","FAIL")</x:f>
        <x:v>PASS</x:v>
      </x:c>
      <x:c r="R32" s="76" t="str"/>
    </x:row>
    <x:row r="33" ht="24" customHeight="1">
      <x:c r="B33" s="65" t="n">
        <x:v>27</x:v>
      </x:c>
      <x:c r="C33" s="65" t="n">
        <x:f>COUNTIFS('Token Ledger'!$C$7:$C$40,"Closure",'Token Ledger'!$N$7:$N$40,1,'Token Ledger'!$J$7:$J$40,"&lt;="&amp;B33,'Token Ledger'!$W$7:$W$40,"&gt;"&amp;B33)</x:f>
        <x:v>2</x:v>
      </x:c>
      <x:c r="D33" s="65" t="n">
        <x:f>COUNTIFS('Token Ledger'!$C$7:$C$40,"Closure",'Token Ledger'!$J$7:$J$40,"&lt;="&amp;B33,'Token Ledger'!$K$7:$K$40,"&gt;"&amp;B33)</x:f>
        <x:v>2</x:v>
      </x:c>
      <x:c r="E33" s="65" t="n">
        <x:f>COUNTIFS('Token Ledger'!$C$7:$C$40,"Damage",'Token Ledger'!$N$7:$N$40,1,'Token Ledger'!$J$7:$J$40,"&lt;="&amp;B33,'Token Ledger'!$W$7:$W$40,"&gt;"&amp;B33)</x:f>
        <x:v>3</x:v>
      </x:c>
      <x:c r="F33" s="65" t="n">
        <x:f>COUNTIFS('Token Ledger'!$C$7:$C$40,"Damage",'Token Ledger'!$J$7:$J$40,"&lt;="&amp;B33,'Token Ledger'!$K$7:$K$40,"&gt;"&amp;B33)</x:f>
        <x:v>3</x:v>
      </x:c>
      <x:c r="G33" s="65" t="n">
        <x:f>COUNTIFS('Token Ledger'!$C$7:$C$40,"Closure",'Token Ledger'!$P$7:$P$40,"MODELED CREDIT",'Token Ledger'!$K$7:$K$40,"&lt;="&amp;B33,'Token Ledger'!$L$7:$L$40,"&gt;"&amp;B33)</x:f>
        <x:v>3</x:v>
      </x:c>
      <x:c r="H33" s="65" t="n">
        <x:f>COUNTIFS('Token Ledger'!$C$7:$C$40,"Damage",'Token Ledger'!$P$7:$P$40,"MODELED CREDIT",'Token Ledger'!$K$7:$K$40,"&lt;="&amp;B33,'Token Ledger'!$L$7:$L$40,"&gt;"&amp;B33)</x:f>
        <x:v>0</x:v>
      </x:c>
      <x:c r="I33" s="65" t="n">
        <x:f>SUMIFS('Token Ledger'!$Q$7:$Q$40,'Token Ledger'!$C$7:$C$40,"Closure",'Token Ledger'!$L$7:$L$40,"&lt;="&amp;B33)</x:f>
        <x:v>6</x:v>
      </x:c>
      <x:c r="J33" s="65" t="n">
        <x:f>SUMIFS('Token Ledger'!$Q$7:$Q$40,'Token Ledger'!$C$7:$C$40,"Damage",'Token Ledger'!$L$7:$L$40,"&lt;="&amp;B33)</x:f>
        <x:v>0</x:v>
      </x:c>
      <x:c r="K33" s="65" t="n">
        <x:f>COUNTIFS('Token Ledger'!$N$7:$N$40,1,'Token Ledger'!$J$7:$J$40,B33)</x:f>
        <x:v>2</x:v>
      </x:c>
      <x:c r="L33" s="65" t="n">
        <x:f>IF(B33='Control Inputs'!D8,K33,0)</x:f>
        <x:v>0</x:v>
      </x:c>
      <x:c r="M33" s="65" t="str">
        <x:f>IF(C33&lt;='Control Inputs'!D18,"PASS","FAIL")</x:f>
        <x:v>PASS</x:v>
      </x:c>
      <x:c r="N33" s="65" t="str">
        <x:f>IF(E33&lt;='Control Inputs'!D28,"PASS","FAIL")</x:f>
        <x:v>PASS</x:v>
      </x:c>
      <x:c r="O33" s="65" t="str">
        <x:f>IF(G33&lt;=IF(B33&lt;'Control Inputs'!D8,'Control Inputs'!D19,'Control Inputs'!D20),"PASS","FAIL")</x:f>
        <x:v>PASS</x:v>
      </x:c>
      <x:c r="P33" s="65" t="str">
        <x:f>IF(H33&lt;=IF(B33&lt;'Control Inputs'!D8,'Control Inputs'!D29,'Control Inputs'!D30),"PASS","FAIL")</x:f>
        <x:v>PASS</x:v>
      </x:c>
      <x:c r="Q33" s="65" t="str">
        <x:f>IF(AND(L33=0,M33="PASS",N33="PASS",O33="PASS",P33="PASS"),"PASS","FAIL")</x:f>
        <x:v>PASS</x:v>
      </x:c>
      <x:c r="R33" s="76" t="str"/>
    </x:row>
    <x:row r="34" ht="24" customHeight="1">
      <x:c r="B34" s="65" t="n">
        <x:v>28</x:v>
      </x:c>
      <x:c r="C34" s="65" t="n">
        <x:f>COUNTIFS('Token Ledger'!$C$7:$C$40,"Closure",'Token Ledger'!$N$7:$N$40,1,'Token Ledger'!$J$7:$J$40,"&lt;="&amp;B34,'Token Ledger'!$W$7:$W$40,"&gt;"&amp;B34)</x:f>
        <x:v>2</x:v>
      </x:c>
      <x:c r="D34" s="65" t="n">
        <x:f>COUNTIFS('Token Ledger'!$C$7:$C$40,"Closure",'Token Ledger'!$J$7:$J$40,"&lt;="&amp;B34,'Token Ledger'!$K$7:$K$40,"&gt;"&amp;B34)</x:f>
        <x:v>2</x:v>
      </x:c>
      <x:c r="E34" s="65" t="n">
        <x:f>COUNTIFS('Token Ledger'!$C$7:$C$40,"Damage",'Token Ledger'!$N$7:$N$40,1,'Token Ledger'!$J$7:$J$40,"&lt;="&amp;B34,'Token Ledger'!$W$7:$W$40,"&gt;"&amp;B34)</x:f>
        <x:v>3</x:v>
      </x:c>
      <x:c r="F34" s="65" t="n">
        <x:f>COUNTIFS('Token Ledger'!$C$7:$C$40,"Damage",'Token Ledger'!$J$7:$J$40,"&lt;="&amp;B34,'Token Ledger'!$K$7:$K$40,"&gt;"&amp;B34)</x:f>
        <x:v>3</x:v>
      </x:c>
      <x:c r="G34" s="65" t="n">
        <x:f>COUNTIFS('Token Ledger'!$C$7:$C$40,"Closure",'Token Ledger'!$P$7:$P$40,"MODELED CREDIT",'Token Ledger'!$K$7:$K$40,"&lt;="&amp;B34,'Token Ledger'!$L$7:$L$40,"&gt;"&amp;B34)</x:f>
        <x:v>3</x:v>
      </x:c>
      <x:c r="H34" s="65" t="n">
        <x:f>COUNTIFS('Token Ledger'!$C$7:$C$40,"Damage",'Token Ledger'!$P$7:$P$40,"MODELED CREDIT",'Token Ledger'!$K$7:$K$40,"&lt;="&amp;B34,'Token Ledger'!$L$7:$L$40,"&gt;"&amp;B34)</x:f>
        <x:v>0</x:v>
      </x:c>
      <x:c r="I34" s="65" t="n">
        <x:f>SUMIFS('Token Ledger'!$Q$7:$Q$40,'Token Ledger'!$C$7:$C$40,"Closure",'Token Ledger'!$L$7:$L$40,"&lt;="&amp;B34)</x:f>
        <x:v>6</x:v>
      </x:c>
      <x:c r="J34" s="65" t="n">
        <x:f>SUMIFS('Token Ledger'!$Q$7:$Q$40,'Token Ledger'!$C$7:$C$40,"Damage",'Token Ledger'!$L$7:$L$40,"&lt;="&amp;B34)</x:f>
        <x:v>0</x:v>
      </x:c>
      <x:c r="K34" s="65" t="n">
        <x:f>COUNTIFS('Token Ledger'!$N$7:$N$40,1,'Token Ledger'!$J$7:$J$40,B34)</x:f>
        <x:v>0</x:v>
      </x:c>
      <x:c r="L34" s="65" t="n">
        <x:f>IF(B34='Control Inputs'!D8,K34,0)</x:f>
        <x:v>0</x:v>
      </x:c>
      <x:c r="M34" s="65" t="str">
        <x:f>IF(C34&lt;='Control Inputs'!D18,"PASS","FAIL")</x:f>
        <x:v>PASS</x:v>
      </x:c>
      <x:c r="N34" s="65" t="str">
        <x:f>IF(E34&lt;='Control Inputs'!D28,"PASS","FAIL")</x:f>
        <x:v>PASS</x:v>
      </x:c>
      <x:c r="O34" s="65" t="str">
        <x:f>IF(G34&lt;=IF(B34&lt;'Control Inputs'!D8,'Control Inputs'!D19,'Control Inputs'!D20),"PASS","FAIL")</x:f>
        <x:v>PASS</x:v>
      </x:c>
      <x:c r="P34" s="65" t="str">
        <x:f>IF(H34&lt;=IF(B34&lt;'Control Inputs'!D8,'Control Inputs'!D29,'Control Inputs'!D30),"PASS","FAIL")</x:f>
        <x:v>PASS</x:v>
      </x:c>
      <x:c r="Q34" s="65" t="str">
        <x:f>IF(AND(L34=0,M34="PASS",N34="PASS",O34="PASS",P34="PASS"),"PASS","FAIL")</x:f>
        <x:v>PASS</x:v>
      </x:c>
      <x:c r="R34" s="76" t="str"/>
    </x:row>
    <x:row r="35" ht="24" customHeight="1">
      <x:c r="B35" s="65" t="n">
        <x:v>29</x:v>
      </x:c>
      <x:c r="C35" s="65" t="n">
        <x:f>COUNTIFS('Token Ledger'!$C$7:$C$40,"Closure",'Token Ledger'!$N$7:$N$40,1,'Token Ledger'!$J$7:$J$40,"&lt;="&amp;B35,'Token Ledger'!$W$7:$W$40,"&gt;"&amp;B35)</x:f>
        <x:v>2</x:v>
      </x:c>
      <x:c r="D35" s="65" t="n">
        <x:f>COUNTIFS('Token Ledger'!$C$7:$C$40,"Closure",'Token Ledger'!$J$7:$J$40,"&lt;="&amp;B35,'Token Ledger'!$K$7:$K$40,"&gt;"&amp;B35)</x:f>
        <x:v>2</x:v>
      </x:c>
      <x:c r="E35" s="65" t="n">
        <x:f>COUNTIFS('Token Ledger'!$C$7:$C$40,"Damage",'Token Ledger'!$N$7:$N$40,1,'Token Ledger'!$J$7:$J$40,"&lt;="&amp;B35,'Token Ledger'!$W$7:$W$40,"&gt;"&amp;B35)</x:f>
        <x:v>0</x:v>
      </x:c>
      <x:c r="F35" s="65" t="n">
        <x:f>COUNTIFS('Token Ledger'!$C$7:$C$40,"Damage",'Token Ledger'!$J$7:$J$40,"&lt;="&amp;B35,'Token Ledger'!$K$7:$K$40,"&gt;"&amp;B35)</x:f>
        <x:v>0</x:v>
      </x:c>
      <x:c r="G35" s="65" t="n">
        <x:f>COUNTIFS('Token Ledger'!$C$7:$C$40,"Closure",'Token Ledger'!$P$7:$P$40,"MODELED CREDIT",'Token Ledger'!$K$7:$K$40,"&lt;="&amp;B35,'Token Ledger'!$L$7:$L$40,"&gt;"&amp;B35)</x:f>
        <x:v>3</x:v>
      </x:c>
      <x:c r="H35" s="65" t="n">
        <x:f>COUNTIFS('Token Ledger'!$C$7:$C$40,"Damage",'Token Ledger'!$P$7:$P$40,"MODELED CREDIT",'Token Ledger'!$K$7:$K$40,"&lt;="&amp;B35,'Token Ledger'!$L$7:$L$40,"&gt;"&amp;B35)</x:f>
        <x:v>3</x:v>
      </x:c>
      <x:c r="I35" s="65" t="n">
        <x:f>SUMIFS('Token Ledger'!$Q$7:$Q$40,'Token Ledger'!$C$7:$C$40,"Closure",'Token Ledger'!$L$7:$L$40,"&lt;="&amp;B35)</x:f>
        <x:v>6</x:v>
      </x:c>
      <x:c r="J35" s="65" t="n">
        <x:f>SUMIFS('Token Ledger'!$Q$7:$Q$40,'Token Ledger'!$C$7:$C$40,"Damage",'Token Ledger'!$L$7:$L$40,"&lt;="&amp;B35)</x:f>
        <x:v>0</x:v>
      </x:c>
      <x:c r="K35" s="65" t="n">
        <x:f>COUNTIFS('Token Ledger'!$N$7:$N$40,1,'Token Ledger'!$J$7:$J$40,B35)</x:f>
        <x:v>0</x:v>
      </x:c>
      <x:c r="L35" s="65" t="n">
        <x:f>IF(B35='Control Inputs'!D8,K35,0)</x:f>
        <x:v>0</x:v>
      </x:c>
      <x:c r="M35" s="65" t="str">
        <x:f>IF(C35&lt;='Control Inputs'!D18,"PASS","FAIL")</x:f>
        <x:v>PASS</x:v>
      </x:c>
      <x:c r="N35" s="65" t="str">
        <x:f>IF(E35&lt;='Control Inputs'!D28,"PASS","FAIL")</x:f>
        <x:v>PASS</x:v>
      </x:c>
      <x:c r="O35" s="65" t="str">
        <x:f>IF(G35&lt;=IF(B35&lt;'Control Inputs'!D8,'Control Inputs'!D19,'Control Inputs'!D20),"PASS","FAIL")</x:f>
        <x:v>PASS</x:v>
      </x:c>
      <x:c r="P35" s="65" t="str">
        <x:f>IF(H35&lt;=IF(B35&lt;'Control Inputs'!D8,'Control Inputs'!D29,'Control Inputs'!D30),"PASS","FAIL")</x:f>
        <x:v>PASS</x:v>
      </x:c>
      <x:c r="Q35" s="65" t="str">
        <x:f>IF(AND(L35=0,M35="PASS",N35="PASS",O35="PASS",P35="PASS"),"PASS","FAIL")</x:f>
        <x:v>PASS</x:v>
      </x:c>
      <x:c r="R35" s="76" t="str"/>
    </x:row>
    <x:row r="36" ht="24" customHeight="1">
      <x:c r="B36" s="65" t="n">
        <x:v>30</x:v>
      </x:c>
      <x:c r="C36" s="65" t="n">
        <x:f>COUNTIFS('Token Ledger'!$C$7:$C$40,"Closure",'Token Ledger'!$N$7:$N$40,1,'Token Ledger'!$J$7:$J$40,"&lt;="&amp;B36,'Token Ledger'!$W$7:$W$40,"&gt;"&amp;B36)</x:f>
        <x:v>2</x:v>
      </x:c>
      <x:c r="D36" s="65" t="n">
        <x:f>COUNTIFS('Token Ledger'!$C$7:$C$40,"Closure",'Token Ledger'!$J$7:$J$40,"&lt;="&amp;B36,'Token Ledger'!$K$7:$K$40,"&gt;"&amp;B36)</x:f>
        <x:v>2</x:v>
      </x:c>
      <x:c r="E36" s="65" t="n">
        <x:f>COUNTIFS('Token Ledger'!$C$7:$C$40,"Damage",'Token Ledger'!$N$7:$N$40,1,'Token Ledger'!$J$7:$J$40,"&lt;="&amp;B36,'Token Ledger'!$W$7:$W$40,"&gt;"&amp;B36)</x:f>
        <x:v>0</x:v>
      </x:c>
      <x:c r="F36" s="65" t="n">
        <x:f>COUNTIFS('Token Ledger'!$C$7:$C$40,"Damage",'Token Ledger'!$J$7:$J$40,"&lt;="&amp;B36,'Token Ledger'!$K$7:$K$40,"&gt;"&amp;B36)</x:f>
        <x:v>0</x:v>
      </x:c>
      <x:c r="G36" s="65" t="n">
        <x:f>COUNTIFS('Token Ledger'!$C$7:$C$40,"Closure",'Token Ledger'!$P$7:$P$40,"MODELED CREDIT",'Token Ledger'!$K$7:$K$40,"&lt;="&amp;B36,'Token Ledger'!$L$7:$L$40,"&gt;"&amp;B36)</x:f>
        <x:v>3</x:v>
      </x:c>
      <x:c r="H36" s="65" t="n">
        <x:f>COUNTIFS('Token Ledger'!$C$7:$C$40,"Damage",'Token Ledger'!$P$7:$P$40,"MODELED CREDIT",'Token Ledger'!$K$7:$K$40,"&lt;="&amp;B36,'Token Ledger'!$L$7:$L$40,"&gt;"&amp;B36)</x:f>
        <x:v>3</x:v>
      </x:c>
      <x:c r="I36" s="65" t="n">
        <x:f>SUMIFS('Token Ledger'!$Q$7:$Q$40,'Token Ledger'!$C$7:$C$40,"Closure",'Token Ledger'!$L$7:$L$40,"&lt;="&amp;B36)</x:f>
        <x:v>6</x:v>
      </x:c>
      <x:c r="J36" s="65" t="n">
        <x:f>SUMIFS('Token Ledger'!$Q$7:$Q$40,'Token Ledger'!$C$7:$C$40,"Damage",'Token Ledger'!$L$7:$L$40,"&lt;="&amp;B36)</x:f>
        <x:v>0</x:v>
      </x:c>
      <x:c r="K36" s="65" t="n">
        <x:f>COUNTIFS('Token Ledger'!$N$7:$N$40,1,'Token Ledger'!$J$7:$J$40,B36)</x:f>
        <x:v>0</x:v>
      </x:c>
      <x:c r="L36" s="65" t="n">
        <x:f>IF(B36='Control Inputs'!D8,K36,0)</x:f>
        <x:v>0</x:v>
      </x:c>
      <x:c r="M36" s="65" t="str">
        <x:f>IF(C36&lt;='Control Inputs'!D18,"PASS","FAIL")</x:f>
        <x:v>PASS</x:v>
      </x:c>
      <x:c r="N36" s="65" t="str">
        <x:f>IF(E36&lt;='Control Inputs'!D28,"PASS","FAIL")</x:f>
        <x:v>PASS</x:v>
      </x:c>
      <x:c r="O36" s="65" t="str">
        <x:f>IF(G36&lt;=IF(B36&lt;'Control Inputs'!D8,'Control Inputs'!D19,'Control Inputs'!D20),"PASS","FAIL")</x:f>
        <x:v>PASS</x:v>
      </x:c>
      <x:c r="P36" s="65" t="str">
        <x:f>IF(H36&lt;=IF(B36&lt;'Control Inputs'!D8,'Control Inputs'!D29,'Control Inputs'!D30),"PASS","FAIL")</x:f>
        <x:v>PASS</x:v>
      </x:c>
      <x:c r="Q36" s="65" t="str">
        <x:f>IF(AND(L36=0,M36="PASS",N36="PASS",O36="PASS",P36="PASS"),"PASS","FAIL")</x:f>
        <x:v>PASS</x:v>
      </x:c>
      <x:c r="R36" s="76" t="str"/>
    </x:row>
    <x:row r="37" ht="24" customHeight="1">
      <x:c r="B37" s="65" t="n">
        <x:v>31</x:v>
      </x:c>
      <x:c r="C37" s="65" t="n">
        <x:f>COUNTIFS('Token Ledger'!$C$7:$C$40,"Closure",'Token Ledger'!$N$7:$N$40,1,'Token Ledger'!$J$7:$J$40,"&lt;="&amp;B37,'Token Ledger'!$W$7:$W$40,"&gt;"&amp;B37)</x:f>
        <x:v>2</x:v>
      </x:c>
      <x:c r="D37" s="65" t="n">
        <x:f>COUNTIFS('Token Ledger'!$C$7:$C$40,"Closure",'Token Ledger'!$J$7:$J$40,"&lt;="&amp;B37,'Token Ledger'!$K$7:$K$40,"&gt;"&amp;B37)</x:f>
        <x:v>2</x:v>
      </x:c>
      <x:c r="E37" s="65" t="n">
        <x:f>COUNTIFS('Token Ledger'!$C$7:$C$40,"Damage",'Token Ledger'!$N$7:$N$40,1,'Token Ledger'!$J$7:$J$40,"&lt;="&amp;B37,'Token Ledger'!$W$7:$W$40,"&gt;"&amp;B37)</x:f>
        <x:v>0</x:v>
      </x:c>
      <x:c r="F37" s="65" t="n">
        <x:f>COUNTIFS('Token Ledger'!$C$7:$C$40,"Damage",'Token Ledger'!$J$7:$J$40,"&lt;="&amp;B37,'Token Ledger'!$K$7:$K$40,"&gt;"&amp;B37)</x:f>
        <x:v>0</x:v>
      </x:c>
      <x:c r="G37" s="65" t="n">
        <x:f>COUNTIFS('Token Ledger'!$C$7:$C$40,"Closure",'Token Ledger'!$P$7:$P$40,"MODELED CREDIT",'Token Ledger'!$K$7:$K$40,"&lt;="&amp;B37,'Token Ledger'!$L$7:$L$40,"&gt;"&amp;B37)</x:f>
        <x:v>3</x:v>
      </x:c>
      <x:c r="H37" s="65" t="n">
        <x:f>COUNTIFS('Token Ledger'!$C$7:$C$40,"Damage",'Token Ledger'!$P$7:$P$40,"MODELED CREDIT",'Token Ledger'!$K$7:$K$40,"&lt;="&amp;B37,'Token Ledger'!$L$7:$L$40,"&gt;"&amp;B37)</x:f>
        <x:v>3</x:v>
      </x:c>
      <x:c r="I37" s="65" t="n">
        <x:f>SUMIFS('Token Ledger'!$Q$7:$Q$40,'Token Ledger'!$C$7:$C$40,"Closure",'Token Ledger'!$L$7:$L$40,"&lt;="&amp;B37)</x:f>
        <x:v>6</x:v>
      </x:c>
      <x:c r="J37" s="65" t="n">
        <x:f>SUMIFS('Token Ledger'!$Q$7:$Q$40,'Token Ledger'!$C$7:$C$40,"Damage",'Token Ledger'!$L$7:$L$40,"&lt;="&amp;B37)</x:f>
        <x:v>0</x:v>
      </x:c>
      <x:c r="K37" s="65" t="n">
        <x:f>COUNTIFS('Token Ledger'!$N$7:$N$40,1,'Token Ledger'!$J$7:$J$40,B37)</x:f>
        <x:v>0</x:v>
      </x:c>
      <x:c r="L37" s="65" t="n">
        <x:f>IF(B37='Control Inputs'!D8,K37,0)</x:f>
        <x:v>0</x:v>
      </x:c>
      <x:c r="M37" s="65" t="str">
        <x:f>IF(C37&lt;='Control Inputs'!D18,"PASS","FAIL")</x:f>
        <x:v>PASS</x:v>
      </x:c>
      <x:c r="N37" s="65" t="str">
        <x:f>IF(E37&lt;='Control Inputs'!D28,"PASS","FAIL")</x:f>
        <x:v>PASS</x:v>
      </x:c>
      <x:c r="O37" s="65" t="str">
        <x:f>IF(G37&lt;=IF(B37&lt;'Control Inputs'!D8,'Control Inputs'!D19,'Control Inputs'!D20),"PASS","FAIL")</x:f>
        <x:v>PASS</x:v>
      </x:c>
      <x:c r="P37" s="65" t="str">
        <x:f>IF(H37&lt;=IF(B37&lt;'Control Inputs'!D8,'Control Inputs'!D29,'Control Inputs'!D30),"PASS","FAIL")</x:f>
        <x:v>PASS</x:v>
      </x:c>
      <x:c r="Q37" s="65" t="str">
        <x:f>IF(AND(L37=0,M37="PASS",N37="PASS",O37="PASS",P37="PASS"),"PASS","FAIL")</x:f>
        <x:v>PASS</x:v>
      </x:c>
      <x:c r="R37" s="76" t="str"/>
    </x:row>
    <x:row r="38" ht="24" customHeight="1">
      <x:c r="B38" s="65" t="n">
        <x:v>32</x:v>
      </x:c>
      <x:c r="C38" s="65" t="n">
        <x:f>COUNTIFS('Token Ledger'!$C$7:$C$40,"Closure",'Token Ledger'!$N$7:$N$40,1,'Token Ledger'!$J$7:$J$40,"&lt;="&amp;B38,'Token Ledger'!$W$7:$W$40,"&gt;"&amp;B38)</x:f>
        <x:v>4</x:v>
      </x:c>
      <x:c r="D38" s="65" t="n">
        <x:f>COUNTIFS('Token Ledger'!$C$7:$C$40,"Closure",'Token Ledger'!$J$7:$J$40,"&lt;="&amp;B38,'Token Ledger'!$K$7:$K$40,"&gt;"&amp;B38)</x:f>
        <x:v>4</x:v>
      </x:c>
      <x:c r="E38" s="65" t="n">
        <x:f>COUNTIFS('Token Ledger'!$C$7:$C$40,"Damage",'Token Ledger'!$N$7:$N$40,1,'Token Ledger'!$J$7:$J$40,"&lt;="&amp;B38,'Token Ledger'!$W$7:$W$40,"&gt;"&amp;B38)</x:f>
        <x:v>0</x:v>
      </x:c>
      <x:c r="F38" s="65" t="n">
        <x:f>COUNTIFS('Token Ledger'!$C$7:$C$40,"Damage",'Token Ledger'!$J$7:$J$40,"&lt;="&amp;B38,'Token Ledger'!$K$7:$K$40,"&gt;"&amp;B38)</x:f>
        <x:v>0</x:v>
      </x:c>
      <x:c r="G38" s="65" t="n">
        <x:f>COUNTIFS('Token Ledger'!$C$7:$C$40,"Closure",'Token Ledger'!$P$7:$P$40,"MODELED CREDIT",'Token Ledger'!$K$7:$K$40,"&lt;="&amp;B38,'Token Ledger'!$L$7:$L$40,"&gt;"&amp;B38)</x:f>
        <x:v>3</x:v>
      </x:c>
      <x:c r="H38" s="65" t="n">
        <x:f>COUNTIFS('Token Ledger'!$C$7:$C$40,"Damage",'Token Ledger'!$P$7:$P$40,"MODELED CREDIT",'Token Ledger'!$K$7:$K$40,"&lt;="&amp;B38,'Token Ledger'!$L$7:$L$40,"&gt;"&amp;B38)</x:f>
        <x:v>3</x:v>
      </x:c>
      <x:c r="I38" s="65" t="n">
        <x:f>SUMIFS('Token Ledger'!$Q$7:$Q$40,'Token Ledger'!$C$7:$C$40,"Closure",'Token Ledger'!$L$7:$L$40,"&lt;="&amp;B38)</x:f>
        <x:v>6</x:v>
      </x:c>
      <x:c r="J38" s="65" t="n">
        <x:f>SUMIFS('Token Ledger'!$Q$7:$Q$40,'Token Ledger'!$C$7:$C$40,"Damage",'Token Ledger'!$L$7:$L$40,"&lt;="&amp;B38)</x:f>
        <x:v>0</x:v>
      </x:c>
      <x:c r="K38" s="65" t="n">
        <x:f>COUNTIFS('Token Ledger'!$N$7:$N$40,1,'Token Ledger'!$J$7:$J$40,B38)</x:f>
        <x:v>2</x:v>
      </x:c>
      <x:c r="L38" s="65" t="n">
        <x:f>IF(B38='Control Inputs'!D8,K38,0)</x:f>
        <x:v>0</x:v>
      </x:c>
      <x:c r="M38" s="65" t="str">
        <x:f>IF(C38&lt;='Control Inputs'!D18,"PASS","FAIL")</x:f>
        <x:v>PASS</x:v>
      </x:c>
      <x:c r="N38" s="65" t="str">
        <x:f>IF(E38&lt;='Control Inputs'!D28,"PASS","FAIL")</x:f>
        <x:v>PASS</x:v>
      </x:c>
      <x:c r="O38" s="65" t="str">
        <x:f>IF(G38&lt;=IF(B38&lt;'Control Inputs'!D8,'Control Inputs'!D19,'Control Inputs'!D20),"PASS","FAIL")</x:f>
        <x:v>PASS</x:v>
      </x:c>
      <x:c r="P38" s="65" t="str">
        <x:f>IF(H38&lt;=IF(B38&lt;'Control Inputs'!D8,'Control Inputs'!D29,'Control Inputs'!D30),"PASS","FAIL")</x:f>
        <x:v>PASS</x:v>
      </x:c>
      <x:c r="Q38" s="65" t="str">
        <x:f>IF(AND(L38=0,M38="PASS",N38="PASS",O38="PASS",P38="PASS"),"PASS","FAIL")</x:f>
        <x:v>PASS</x:v>
      </x:c>
      <x:c r="R38" s="76" t="str"/>
    </x:row>
    <x:row r="39" ht="24" customHeight="1">
      <x:c r="B39" s="65" t="n">
        <x:v>33</x:v>
      </x:c>
      <x:c r="C39" s="65" t="n">
        <x:f>COUNTIFS('Token Ledger'!$C$7:$C$40,"Closure",'Token Ledger'!$N$7:$N$40,1,'Token Ledger'!$J$7:$J$40,"&lt;="&amp;B39,'Token Ledger'!$W$7:$W$40,"&gt;"&amp;B39)</x:f>
        <x:v>4</x:v>
      </x:c>
      <x:c r="D39" s="65" t="n">
        <x:f>COUNTIFS('Token Ledger'!$C$7:$C$40,"Closure",'Token Ledger'!$J$7:$J$40,"&lt;="&amp;B39,'Token Ledger'!$K$7:$K$40,"&gt;"&amp;B39)</x:f>
        <x:v>4</x:v>
      </x:c>
      <x:c r="E39" s="65" t="n">
        <x:f>COUNTIFS('Token Ledger'!$C$7:$C$40,"Damage",'Token Ledger'!$N$7:$N$40,1,'Token Ledger'!$J$7:$J$40,"&lt;="&amp;B39,'Token Ledger'!$W$7:$W$40,"&gt;"&amp;B39)</x:f>
        <x:v>0</x:v>
      </x:c>
      <x:c r="F39" s="65" t="n">
        <x:f>COUNTIFS('Token Ledger'!$C$7:$C$40,"Damage",'Token Ledger'!$J$7:$J$40,"&lt;="&amp;B39,'Token Ledger'!$K$7:$K$40,"&gt;"&amp;B39)</x:f>
        <x:v>0</x:v>
      </x:c>
      <x:c r="G39" s="65" t="n">
        <x:f>COUNTIFS('Token Ledger'!$C$7:$C$40,"Closure",'Token Ledger'!$P$7:$P$40,"MODELED CREDIT",'Token Ledger'!$K$7:$K$40,"&lt;="&amp;B39,'Token Ledger'!$L$7:$L$40,"&gt;"&amp;B39)</x:f>
        <x:v>0</x:v>
      </x:c>
      <x:c r="H39" s="65" t="n">
        <x:f>COUNTIFS('Token Ledger'!$C$7:$C$40,"Damage",'Token Ledger'!$P$7:$P$40,"MODELED CREDIT",'Token Ledger'!$K$7:$K$40,"&lt;="&amp;B39,'Token Ledger'!$L$7:$L$40,"&gt;"&amp;B39)</x:f>
        <x:v>3</x:v>
      </x:c>
      <x:c r="I39" s="65" t="n">
        <x:f>SUMIFS('Token Ledger'!$Q$7:$Q$40,'Token Ledger'!$C$7:$C$40,"Closure",'Token Ledger'!$L$7:$L$40,"&lt;="&amp;B39)</x:f>
        <x:v>9</x:v>
      </x:c>
      <x:c r="J39" s="65" t="n">
        <x:f>SUMIFS('Token Ledger'!$Q$7:$Q$40,'Token Ledger'!$C$7:$C$40,"Damage",'Token Ledger'!$L$7:$L$40,"&lt;="&amp;B39)</x:f>
        <x:v>0</x:v>
      </x:c>
      <x:c r="K39" s="65" t="n">
        <x:f>COUNTIFS('Token Ledger'!$N$7:$N$40,1,'Token Ledger'!$J$7:$J$40,B39)</x:f>
        <x:v>0</x:v>
      </x:c>
      <x:c r="L39" s="65" t="n">
        <x:f>IF(B39='Control Inputs'!D8,K39,0)</x:f>
        <x:v>0</x:v>
      </x:c>
      <x:c r="M39" s="65" t="str">
        <x:f>IF(C39&lt;='Control Inputs'!D18,"PASS","FAIL")</x:f>
        <x:v>PASS</x:v>
      </x:c>
      <x:c r="N39" s="65" t="str">
        <x:f>IF(E39&lt;='Control Inputs'!D28,"PASS","FAIL")</x:f>
        <x:v>PASS</x:v>
      </x:c>
      <x:c r="O39" s="65" t="str">
        <x:f>IF(G39&lt;=IF(B39&lt;'Control Inputs'!D8,'Control Inputs'!D19,'Control Inputs'!D20),"PASS","FAIL")</x:f>
        <x:v>PASS</x:v>
      </x:c>
      <x:c r="P39" s="65" t="str">
        <x:f>IF(H39&lt;=IF(B39&lt;'Control Inputs'!D8,'Control Inputs'!D29,'Control Inputs'!D30),"PASS","FAIL")</x:f>
        <x:v>PASS</x:v>
      </x:c>
      <x:c r="Q39" s="65" t="str">
        <x:f>IF(AND(L39=0,M39="PASS",N39="PASS",O39="PASS",P39="PASS"),"PASS","FAIL")</x:f>
        <x:v>PASS</x:v>
      </x:c>
      <x:c r="R39" s="76" t="str"/>
    </x:row>
    <x:row r="40" ht="24" customHeight="1">
      <x:c r="B40" s="65" t="n">
        <x:v>34</x:v>
      </x:c>
      <x:c r="C40" s="65" t="n">
        <x:f>COUNTIFS('Token Ledger'!$C$7:$C$40,"Closure",'Token Ledger'!$N$7:$N$40,1,'Token Ledger'!$J$7:$J$40,"&lt;="&amp;B40,'Token Ledger'!$W$7:$W$40,"&gt;"&amp;B40)</x:f>
        <x:v>4</x:v>
      </x:c>
      <x:c r="D40" s="65" t="n">
        <x:f>COUNTIFS('Token Ledger'!$C$7:$C$40,"Closure",'Token Ledger'!$J$7:$J$40,"&lt;="&amp;B40,'Token Ledger'!$K$7:$K$40,"&gt;"&amp;B40)</x:f>
        <x:v>4</x:v>
      </x:c>
      <x:c r="E40" s="65" t="n">
        <x:f>COUNTIFS('Token Ledger'!$C$7:$C$40,"Damage",'Token Ledger'!$N$7:$N$40,1,'Token Ledger'!$J$7:$J$40,"&lt;="&amp;B40,'Token Ledger'!$W$7:$W$40,"&gt;"&amp;B40)</x:f>
        <x:v>0</x:v>
      </x:c>
      <x:c r="F40" s="65" t="n">
        <x:f>COUNTIFS('Token Ledger'!$C$7:$C$40,"Damage",'Token Ledger'!$J$7:$J$40,"&lt;="&amp;B40,'Token Ledger'!$K$7:$K$40,"&gt;"&amp;B40)</x:f>
        <x:v>0</x:v>
      </x:c>
      <x:c r="G40" s="65" t="n">
        <x:f>COUNTIFS('Token Ledger'!$C$7:$C$40,"Closure",'Token Ledger'!$P$7:$P$40,"MODELED CREDIT",'Token Ledger'!$K$7:$K$40,"&lt;="&amp;B40,'Token Ledger'!$L$7:$L$40,"&gt;"&amp;B40)</x:f>
        <x:v>0</x:v>
      </x:c>
      <x:c r="H40" s="65" t="n">
        <x:f>COUNTIFS('Token Ledger'!$C$7:$C$40,"Damage",'Token Ledger'!$P$7:$P$40,"MODELED CREDIT",'Token Ledger'!$K$7:$K$40,"&lt;="&amp;B40,'Token Ledger'!$L$7:$L$40,"&gt;"&amp;B40)</x:f>
        <x:v>3</x:v>
      </x:c>
      <x:c r="I40" s="65" t="n">
        <x:f>SUMIFS('Token Ledger'!$Q$7:$Q$40,'Token Ledger'!$C$7:$C$40,"Closure",'Token Ledger'!$L$7:$L$40,"&lt;="&amp;B40)</x:f>
        <x:v>9</x:v>
      </x:c>
      <x:c r="J40" s="65" t="n">
        <x:f>SUMIFS('Token Ledger'!$Q$7:$Q$40,'Token Ledger'!$C$7:$C$40,"Damage",'Token Ledger'!$L$7:$L$40,"&lt;="&amp;B40)</x:f>
        <x:v>0</x:v>
      </x:c>
      <x:c r="K40" s="65" t="n">
        <x:f>COUNTIFS('Token Ledger'!$N$7:$N$40,1,'Token Ledger'!$J$7:$J$40,B40)</x:f>
        <x:v>0</x:v>
      </x:c>
      <x:c r="L40" s="65" t="n">
        <x:f>IF(B40='Control Inputs'!D8,K40,0)</x:f>
        <x:v>0</x:v>
      </x:c>
      <x:c r="M40" s="65" t="str">
        <x:f>IF(C40&lt;='Control Inputs'!D18,"PASS","FAIL")</x:f>
        <x:v>PASS</x:v>
      </x:c>
      <x:c r="N40" s="65" t="str">
        <x:f>IF(E40&lt;='Control Inputs'!D28,"PASS","FAIL")</x:f>
        <x:v>PASS</x:v>
      </x:c>
      <x:c r="O40" s="65" t="str">
        <x:f>IF(G40&lt;=IF(B40&lt;'Control Inputs'!D8,'Control Inputs'!D19,'Control Inputs'!D20),"PASS","FAIL")</x:f>
        <x:v>PASS</x:v>
      </x:c>
      <x:c r="P40" s="65" t="str">
        <x:f>IF(H40&lt;=IF(B40&lt;'Control Inputs'!D8,'Control Inputs'!D29,'Control Inputs'!D30),"PASS","FAIL")</x:f>
        <x:v>PASS</x:v>
      </x:c>
      <x:c r="Q40" s="65" t="str">
        <x:f>IF(AND(L40=0,M40="PASS",N40="PASS",O40="PASS",P40="PASS"),"PASS","FAIL")</x:f>
        <x:v>PASS</x:v>
      </x:c>
      <x:c r="R40" s="76" t="str"/>
    </x:row>
    <x:row r="41" ht="24" customHeight="1">
      <x:c r="B41" s="65" t="n">
        <x:v>35</x:v>
      </x:c>
      <x:c r="C41" s="65" t="n">
        <x:f>COUNTIFS('Token Ledger'!$C$7:$C$40,"Closure",'Token Ledger'!$N$7:$N$40,1,'Token Ledger'!$J$7:$J$40,"&lt;="&amp;B41,'Token Ledger'!$W$7:$W$40,"&gt;"&amp;B41)</x:f>
        <x:v>4</x:v>
      </x:c>
      <x:c r="D41" s="65" t="n">
        <x:f>COUNTIFS('Token Ledger'!$C$7:$C$40,"Closure",'Token Ledger'!$J$7:$J$40,"&lt;="&amp;B41,'Token Ledger'!$K$7:$K$40,"&gt;"&amp;B41)</x:f>
        <x:v>4</x:v>
      </x:c>
      <x:c r="E41" s="65" t="n">
        <x:f>COUNTIFS('Token Ledger'!$C$7:$C$40,"Damage",'Token Ledger'!$N$7:$N$40,1,'Token Ledger'!$J$7:$J$40,"&lt;="&amp;B41,'Token Ledger'!$W$7:$W$40,"&gt;"&amp;B41)</x:f>
        <x:v>0</x:v>
      </x:c>
      <x:c r="F41" s="65" t="n">
        <x:f>COUNTIFS('Token Ledger'!$C$7:$C$40,"Damage",'Token Ledger'!$J$7:$J$40,"&lt;="&amp;B41,'Token Ledger'!$K$7:$K$40,"&gt;"&amp;B41)</x:f>
        <x:v>0</x:v>
      </x:c>
      <x:c r="G41" s="65" t="n">
        <x:f>COUNTIFS('Token Ledger'!$C$7:$C$40,"Closure",'Token Ledger'!$P$7:$P$40,"MODELED CREDIT",'Token Ledger'!$K$7:$K$40,"&lt;="&amp;B41,'Token Ledger'!$L$7:$L$40,"&gt;"&amp;B41)</x:f>
        <x:v>2</x:v>
      </x:c>
      <x:c r="H41" s="65" t="n">
        <x:f>COUNTIFS('Token Ledger'!$C$7:$C$40,"Damage",'Token Ledger'!$P$7:$P$40,"MODELED CREDIT",'Token Ledger'!$K$7:$K$40,"&lt;="&amp;B41,'Token Ledger'!$L$7:$L$40,"&gt;"&amp;B41)</x:f>
        <x:v>3</x:v>
      </x:c>
      <x:c r="I41" s="65" t="n">
        <x:f>SUMIFS('Token Ledger'!$Q$7:$Q$40,'Token Ledger'!$C$7:$C$40,"Closure",'Token Ledger'!$L$7:$L$40,"&lt;="&amp;B41)</x:f>
        <x:v>9</x:v>
      </x:c>
      <x:c r="J41" s="65" t="n">
        <x:f>SUMIFS('Token Ledger'!$Q$7:$Q$40,'Token Ledger'!$C$7:$C$40,"Damage",'Token Ledger'!$L$7:$L$40,"&lt;="&amp;B41)</x:f>
        <x:v>0</x:v>
      </x:c>
      <x:c r="K41" s="65" t="n">
        <x:f>COUNTIFS('Token Ledger'!$N$7:$N$40,1,'Token Ledger'!$J$7:$J$40,B41)</x:f>
        <x:v>2</x:v>
      </x:c>
      <x:c r="L41" s="65" t="n">
        <x:f>IF(B41='Control Inputs'!D8,K41,0)</x:f>
        <x:v>0</x:v>
      </x:c>
      <x:c r="M41" s="65" t="str">
        <x:f>IF(C41&lt;='Control Inputs'!D18,"PASS","FAIL")</x:f>
        <x:v>PASS</x:v>
      </x:c>
      <x:c r="N41" s="65" t="str">
        <x:f>IF(E41&lt;='Control Inputs'!D28,"PASS","FAIL")</x:f>
        <x:v>PASS</x:v>
      </x:c>
      <x:c r="O41" s="65" t="str">
        <x:f>IF(G41&lt;=IF(B41&lt;'Control Inputs'!D8,'Control Inputs'!D19,'Control Inputs'!D20),"PASS","FAIL")</x:f>
        <x:v>PASS</x:v>
      </x:c>
      <x:c r="P41" s="65" t="str">
        <x:f>IF(H41&lt;=IF(B41&lt;'Control Inputs'!D8,'Control Inputs'!D29,'Control Inputs'!D30),"PASS","FAIL")</x:f>
        <x:v>PASS</x:v>
      </x:c>
      <x:c r="Q41" s="65" t="str">
        <x:f>IF(AND(L41=0,M41="PASS",N41="PASS",O41="PASS",P41="PASS"),"PASS","FAIL")</x:f>
        <x:v>PASS</x:v>
      </x:c>
      <x:c r="R41" s="76" t="str"/>
    </x:row>
    <x:row r="42" ht="24" customHeight="1">
      <x:c r="B42" s="65" t="n">
        <x:v>36</x:v>
      </x:c>
      <x:c r="C42" s="65" t="n">
        <x:f>COUNTIFS('Token Ledger'!$C$7:$C$40,"Closure",'Token Ledger'!$N$7:$N$40,1,'Token Ledger'!$J$7:$J$40,"&lt;="&amp;B42,'Token Ledger'!$W$7:$W$40,"&gt;"&amp;B42)</x:f>
        <x:v>4</x:v>
      </x:c>
      <x:c r="D42" s="65" t="n">
        <x:f>COUNTIFS('Token Ledger'!$C$7:$C$40,"Closure",'Token Ledger'!$J$7:$J$40,"&lt;="&amp;B42,'Token Ledger'!$K$7:$K$40,"&gt;"&amp;B42)</x:f>
        <x:v>4</x:v>
      </x:c>
      <x:c r="E42" s="65" t="n">
        <x:f>COUNTIFS('Token Ledger'!$C$7:$C$40,"Damage",'Token Ledger'!$N$7:$N$40,1,'Token Ledger'!$J$7:$J$40,"&lt;="&amp;B42,'Token Ledger'!$W$7:$W$40,"&gt;"&amp;B42)</x:f>
        <x:v>0</x:v>
      </x:c>
      <x:c r="F42" s="65" t="n">
        <x:f>COUNTIFS('Token Ledger'!$C$7:$C$40,"Damage",'Token Ledger'!$J$7:$J$40,"&lt;="&amp;B42,'Token Ledger'!$K$7:$K$40,"&gt;"&amp;B42)</x:f>
        <x:v>0</x:v>
      </x:c>
      <x:c r="G42" s="65" t="n">
        <x:f>COUNTIFS('Token Ledger'!$C$7:$C$40,"Closure",'Token Ledger'!$P$7:$P$40,"MODELED CREDIT",'Token Ledger'!$K$7:$K$40,"&lt;="&amp;B42,'Token Ledger'!$L$7:$L$40,"&gt;"&amp;B42)</x:f>
        <x:v>2</x:v>
      </x:c>
      <x:c r="H42" s="65" t="n">
        <x:f>COUNTIFS('Token Ledger'!$C$7:$C$40,"Damage",'Token Ledger'!$P$7:$P$40,"MODELED CREDIT",'Token Ledger'!$K$7:$K$40,"&lt;="&amp;B42,'Token Ledger'!$L$7:$L$40,"&gt;"&amp;B42)</x:f>
        <x:v>3</x:v>
      </x:c>
      <x:c r="I42" s="65" t="n">
        <x:f>SUMIFS('Token Ledger'!$Q$7:$Q$40,'Token Ledger'!$C$7:$C$40,"Closure",'Token Ledger'!$L$7:$L$40,"&lt;="&amp;B42)</x:f>
        <x:v>9</x:v>
      </x:c>
      <x:c r="J42" s="65" t="n">
        <x:f>SUMIFS('Token Ledger'!$Q$7:$Q$40,'Token Ledger'!$C$7:$C$40,"Damage",'Token Ledger'!$L$7:$L$40,"&lt;="&amp;B42)</x:f>
        <x:v>0</x:v>
      </x:c>
      <x:c r="K42" s="65" t="n">
        <x:f>COUNTIFS('Token Ledger'!$N$7:$N$40,1,'Token Ledger'!$J$7:$J$40,B42)</x:f>
        <x:v>0</x:v>
      </x:c>
      <x:c r="L42" s="65" t="n">
        <x:f>IF(B42='Control Inputs'!D8,K42,0)</x:f>
        <x:v>0</x:v>
      </x:c>
      <x:c r="M42" s="65" t="str">
        <x:f>IF(C42&lt;='Control Inputs'!D18,"PASS","FAIL")</x:f>
        <x:v>PASS</x:v>
      </x:c>
      <x:c r="N42" s="65" t="str">
        <x:f>IF(E42&lt;='Control Inputs'!D28,"PASS","FAIL")</x:f>
        <x:v>PASS</x:v>
      </x:c>
      <x:c r="O42" s="65" t="str">
        <x:f>IF(G42&lt;=IF(B42&lt;'Control Inputs'!D8,'Control Inputs'!D19,'Control Inputs'!D20),"PASS","FAIL")</x:f>
        <x:v>PASS</x:v>
      </x:c>
      <x:c r="P42" s="65" t="str">
        <x:f>IF(H42&lt;=IF(B42&lt;'Control Inputs'!D8,'Control Inputs'!D29,'Control Inputs'!D30),"PASS","FAIL")</x:f>
        <x:v>PASS</x:v>
      </x:c>
      <x:c r="Q42" s="65" t="str">
        <x:f>IF(AND(L42=0,M42="PASS",N42="PASS",O42="PASS",P42="PASS"),"PASS","FAIL")</x:f>
        <x:v>PASS</x:v>
      </x:c>
      <x:c r="R42" s="76" t="str"/>
    </x:row>
    <x:row r="43" ht="24" customHeight="1">
      <x:c r="B43" s="65" t="n">
        <x:v>37</x:v>
      </x:c>
      <x:c r="C43" s="65" t="n">
        <x:f>COUNTIFS('Token Ledger'!$C$7:$C$40,"Closure",'Token Ledger'!$N$7:$N$40,1,'Token Ledger'!$J$7:$J$40,"&lt;="&amp;B43,'Token Ledger'!$W$7:$W$40,"&gt;"&amp;B43)</x:f>
        <x:v>4</x:v>
      </x:c>
      <x:c r="D43" s="65" t="n">
        <x:f>COUNTIFS('Token Ledger'!$C$7:$C$40,"Closure",'Token Ledger'!$J$7:$J$40,"&lt;="&amp;B43,'Token Ledger'!$K$7:$K$40,"&gt;"&amp;B43)</x:f>
        <x:v>4</x:v>
      </x:c>
      <x:c r="E43" s="65" t="n">
        <x:f>COUNTIFS('Token Ledger'!$C$7:$C$40,"Damage",'Token Ledger'!$N$7:$N$40,1,'Token Ledger'!$J$7:$J$40,"&lt;="&amp;B43,'Token Ledger'!$W$7:$W$40,"&gt;"&amp;B43)</x:f>
        <x:v>3</x:v>
      </x:c>
      <x:c r="F43" s="65" t="n">
        <x:f>COUNTIFS('Token Ledger'!$C$7:$C$40,"Damage",'Token Ledger'!$J$7:$J$40,"&lt;="&amp;B43,'Token Ledger'!$K$7:$K$40,"&gt;"&amp;B43)</x:f>
        <x:v>3</x:v>
      </x:c>
      <x:c r="G43" s="65" t="n">
        <x:f>COUNTIFS('Token Ledger'!$C$7:$C$40,"Closure",'Token Ledger'!$P$7:$P$40,"MODELED CREDIT",'Token Ledger'!$K$7:$K$40,"&lt;="&amp;B43,'Token Ledger'!$L$7:$L$40,"&gt;"&amp;B43)</x:f>
        <x:v>2</x:v>
      </x:c>
      <x:c r="H43" s="65" t="n">
        <x:f>COUNTIFS('Token Ledger'!$C$7:$C$40,"Damage",'Token Ledger'!$P$7:$P$40,"MODELED CREDIT",'Token Ledger'!$K$7:$K$40,"&lt;="&amp;B43,'Token Ledger'!$L$7:$L$40,"&gt;"&amp;B43)</x:f>
        <x:v>0</x:v>
      </x:c>
      <x:c r="I43" s="65" t="n">
        <x:f>SUMIFS('Token Ledger'!$Q$7:$Q$40,'Token Ledger'!$C$7:$C$40,"Closure",'Token Ledger'!$L$7:$L$40,"&lt;="&amp;B43)</x:f>
        <x:v>9</x:v>
      </x:c>
      <x:c r="J43" s="65" t="n">
        <x:f>SUMIFS('Token Ledger'!$Q$7:$Q$40,'Token Ledger'!$C$7:$C$40,"Damage",'Token Ledger'!$L$7:$L$40,"&lt;="&amp;B43)</x:f>
        <x:v>3</x:v>
      </x:c>
      <x:c r="K43" s="65" t="n">
        <x:f>COUNTIFS('Token Ledger'!$N$7:$N$40,1,'Token Ledger'!$J$7:$J$40,B43)</x:f>
        <x:v>3</x:v>
      </x:c>
      <x:c r="L43" s="65" t="n">
        <x:f>IF(B43='Control Inputs'!D8,K43,0)</x:f>
        <x:v>0</x:v>
      </x:c>
      <x:c r="M43" s="65" t="str">
        <x:f>IF(C43&lt;='Control Inputs'!D18,"PASS","FAIL")</x:f>
        <x:v>PASS</x:v>
      </x:c>
      <x:c r="N43" s="65" t="str">
        <x:f>IF(E43&lt;='Control Inputs'!D28,"PASS","FAIL")</x:f>
        <x:v>PASS</x:v>
      </x:c>
      <x:c r="O43" s="65" t="str">
        <x:f>IF(G43&lt;=IF(B43&lt;'Control Inputs'!D8,'Control Inputs'!D19,'Control Inputs'!D20),"PASS","FAIL")</x:f>
        <x:v>PASS</x:v>
      </x:c>
      <x:c r="P43" s="65" t="str">
        <x:f>IF(H43&lt;=IF(B43&lt;'Control Inputs'!D8,'Control Inputs'!D29,'Control Inputs'!D30),"PASS","FAIL")</x:f>
        <x:v>PASS</x:v>
      </x:c>
      <x:c r="Q43" s="65" t="str">
        <x:f>IF(AND(L43=0,M43="PASS",N43="PASS",O43="PASS",P43="PASS"),"PASS","FAIL")</x:f>
        <x:v>PASS</x:v>
      </x:c>
      <x:c r="R43" s="76" t="str"/>
    </x:row>
    <x:row r="44" ht="24" customHeight="1">
      <x:c r="B44" s="65" t="n">
        <x:v>38</x:v>
      </x:c>
      <x:c r="C44" s="65" t="n">
        <x:f>COUNTIFS('Token Ledger'!$C$7:$C$40,"Closure",'Token Ledger'!$N$7:$N$40,1,'Token Ledger'!$J$7:$J$40,"&lt;="&amp;B44,'Token Ledger'!$W$7:$W$40,"&gt;"&amp;B44)</x:f>
        <x:v>2</x:v>
      </x:c>
      <x:c r="D44" s="65" t="n">
        <x:f>COUNTIFS('Token Ledger'!$C$7:$C$40,"Closure",'Token Ledger'!$J$7:$J$40,"&lt;="&amp;B44,'Token Ledger'!$K$7:$K$40,"&gt;"&amp;B44)</x:f>
        <x:v>4</x:v>
      </x:c>
      <x:c r="E44" s="65" t="n">
        <x:f>COUNTIFS('Token Ledger'!$C$7:$C$40,"Damage",'Token Ledger'!$N$7:$N$40,1,'Token Ledger'!$J$7:$J$40,"&lt;="&amp;B44,'Token Ledger'!$W$7:$W$40,"&gt;"&amp;B44)</x:f>
        <x:v>1</x:v>
      </x:c>
      <x:c r="F44" s="65" t="n">
        <x:f>COUNTIFS('Token Ledger'!$C$7:$C$40,"Damage",'Token Ledger'!$J$7:$J$40,"&lt;="&amp;B44,'Token Ledger'!$K$7:$K$40,"&gt;"&amp;B44)</x:f>
        <x:v>3</x:v>
      </x:c>
      <x:c r="G44" s="65" t="n">
        <x:f>COUNTIFS('Token Ledger'!$C$7:$C$40,"Closure",'Token Ledger'!$P$7:$P$40,"MODELED CREDIT",'Token Ledger'!$K$7:$K$40,"&lt;="&amp;B44,'Token Ledger'!$L$7:$L$40,"&gt;"&amp;B44)</x:f>
        <x:v>2</x:v>
      </x:c>
      <x:c r="H44" s="65" t="n">
        <x:f>COUNTIFS('Token Ledger'!$C$7:$C$40,"Damage",'Token Ledger'!$P$7:$P$40,"MODELED CREDIT",'Token Ledger'!$K$7:$K$40,"&lt;="&amp;B44,'Token Ledger'!$L$7:$L$40,"&gt;"&amp;B44)</x:f>
        <x:v>0</x:v>
      </x:c>
      <x:c r="I44" s="65" t="n">
        <x:f>SUMIFS('Token Ledger'!$Q$7:$Q$40,'Token Ledger'!$C$7:$C$40,"Closure",'Token Ledger'!$L$7:$L$40,"&lt;="&amp;B44)</x:f>
        <x:v>9</x:v>
      </x:c>
      <x:c r="J44" s="65" t="n">
        <x:f>SUMIFS('Token Ledger'!$Q$7:$Q$40,'Token Ledger'!$C$7:$C$40,"Damage",'Token Ledger'!$L$7:$L$40,"&lt;="&amp;B44)</x:f>
        <x:v>3</x:v>
      </x:c>
      <x:c r="K44" s="65" t="n">
        <x:f>COUNTIFS('Token Ledger'!$N$7:$N$40,1,'Token Ledger'!$J$7:$J$40,B44)</x:f>
        <x:v>0</x:v>
      </x:c>
      <x:c r="L44" s="65" t="n">
        <x:f>IF(B44='Control Inputs'!D8,K44,0)</x:f>
        <x:v>0</x:v>
      </x:c>
      <x:c r="M44" s="65" t="str">
        <x:f>IF(C44&lt;='Control Inputs'!D18,"PASS","FAIL")</x:f>
        <x:v>PASS</x:v>
      </x:c>
      <x:c r="N44" s="65" t="str">
        <x:f>IF(E44&lt;='Control Inputs'!D28,"PASS","FAIL")</x:f>
        <x:v>PASS</x:v>
      </x:c>
      <x:c r="O44" s="65" t="str">
        <x:f>IF(G44&lt;=IF(B44&lt;'Control Inputs'!D8,'Control Inputs'!D19,'Control Inputs'!D20),"PASS","FAIL")</x:f>
        <x:v>PASS</x:v>
      </x:c>
      <x:c r="P44" s="65" t="str">
        <x:f>IF(H44&lt;=IF(B44&lt;'Control Inputs'!D8,'Control Inputs'!D29,'Control Inputs'!D30),"PASS","FAIL")</x:f>
        <x:v>PASS</x:v>
      </x:c>
      <x:c r="Q44" s="65" t="str">
        <x:f>IF(AND(L44=0,M44="PASS",N44="PASS",O44="PASS",P44="PASS"),"PASS","FAIL")</x:f>
        <x:v>PASS</x:v>
      </x:c>
      <x:c r="R44" s="76" t="str">
        <x:v>NRC-B denied; national start freeze</x:v>
      </x:c>
    </x:row>
    <x:row r="45" ht="24" customHeight="1">
      <x:c r="B45" s="65" t="n">
        <x:v>39</x:v>
      </x:c>
      <x:c r="C45" s="65" t="n">
        <x:f>COUNTIFS('Token Ledger'!$C$7:$C$40,"Closure",'Token Ledger'!$N$7:$N$40,1,'Token Ledger'!$J$7:$J$40,"&lt;="&amp;B45,'Token Ledger'!$W$7:$W$40,"&gt;"&amp;B45)</x:f>
        <x:v>2</x:v>
      </x:c>
      <x:c r="D45" s="65" t="n">
        <x:f>COUNTIFS('Token Ledger'!$C$7:$C$40,"Closure",'Token Ledger'!$J$7:$J$40,"&lt;="&amp;B45,'Token Ledger'!$K$7:$K$40,"&gt;"&amp;B45)</x:f>
        <x:v>4</x:v>
      </x:c>
      <x:c r="E45" s="65" t="n">
        <x:f>COUNTIFS('Token Ledger'!$C$7:$C$40,"Damage",'Token Ledger'!$N$7:$N$40,1,'Token Ledger'!$J$7:$J$40,"&lt;="&amp;B45,'Token Ledger'!$W$7:$W$40,"&gt;"&amp;B45)</x:f>
        <x:v>1</x:v>
      </x:c>
      <x:c r="F45" s="65" t="n">
        <x:f>COUNTIFS('Token Ledger'!$C$7:$C$40,"Damage",'Token Ledger'!$J$7:$J$40,"&lt;="&amp;B45,'Token Ledger'!$K$7:$K$40,"&gt;"&amp;B45)</x:f>
        <x:v>3</x:v>
      </x:c>
      <x:c r="G45" s="65" t="n">
        <x:f>COUNTIFS('Token Ledger'!$C$7:$C$40,"Closure",'Token Ledger'!$P$7:$P$40,"MODELED CREDIT",'Token Ledger'!$K$7:$K$40,"&lt;="&amp;B45,'Token Ledger'!$L$7:$L$40,"&gt;"&amp;B45)</x:f>
        <x:v>2</x:v>
      </x:c>
      <x:c r="H45" s="65" t="n">
        <x:f>COUNTIFS('Token Ledger'!$C$7:$C$40,"Damage",'Token Ledger'!$P$7:$P$40,"MODELED CREDIT",'Token Ledger'!$K$7:$K$40,"&lt;="&amp;B45,'Token Ledger'!$L$7:$L$40,"&gt;"&amp;B45)</x:f>
        <x:v>0</x:v>
      </x:c>
      <x:c r="I45" s="65" t="n">
        <x:f>SUMIFS('Token Ledger'!$Q$7:$Q$40,'Token Ledger'!$C$7:$C$40,"Closure",'Token Ledger'!$L$7:$L$40,"&lt;="&amp;B45)</x:f>
        <x:v>9</x:v>
      </x:c>
      <x:c r="J45" s="65" t="n">
        <x:f>SUMIFS('Token Ledger'!$Q$7:$Q$40,'Token Ledger'!$C$7:$C$40,"Damage",'Token Ledger'!$L$7:$L$40,"&lt;="&amp;B45)</x:f>
        <x:v>3</x:v>
      </x:c>
      <x:c r="K45" s="65" t="n">
        <x:f>COUNTIFS('Token Ledger'!$N$7:$N$40,1,'Token Ledger'!$J$7:$J$40,B45)</x:f>
        <x:v>0</x:v>
      </x:c>
      <x:c r="L45" s="65" t="n">
        <x:f>IF(B45='Control Inputs'!D8,K45,0)</x:f>
        <x:v>0</x:v>
      </x:c>
      <x:c r="M45" s="65" t="str">
        <x:f>IF(C45&lt;='Control Inputs'!D18,"PASS","FAIL")</x:f>
        <x:v>PASS</x:v>
      </x:c>
      <x:c r="N45" s="65" t="str">
        <x:f>IF(E45&lt;='Control Inputs'!D28,"PASS","FAIL")</x:f>
        <x:v>PASS</x:v>
      </x:c>
      <x:c r="O45" s="65" t="str">
        <x:f>IF(G45&lt;=IF(B45&lt;'Control Inputs'!D8,'Control Inputs'!D19,'Control Inputs'!D20),"PASS","FAIL")</x:f>
        <x:v>PASS</x:v>
      </x:c>
      <x:c r="P45" s="65" t="str">
        <x:f>IF(H45&lt;=IF(B45&lt;'Control Inputs'!D8,'Control Inputs'!D29,'Control Inputs'!D30),"PASS","FAIL")</x:f>
        <x:v>PASS</x:v>
      </x:c>
      <x:c r="Q45" s="65" t="str">
        <x:f>IF(AND(L45=0,M45="PASS",N45="PASS",O45="PASS",P45="PASS"),"PASS","FAIL")</x:f>
        <x:v>PASS</x:v>
      </x:c>
      <x:c r="R45" s="76" t="str"/>
    </x:row>
    <x:row r="46" ht="24" customHeight="1">
      <x:c r="B46" s="65" t="n">
        <x:v>40</x:v>
      </x:c>
      <x:c r="C46" s="65" t="n">
        <x:f>COUNTIFS('Token Ledger'!$C$7:$C$40,"Closure",'Token Ledger'!$N$7:$N$40,1,'Token Ledger'!$J$7:$J$40,"&lt;="&amp;B46,'Token Ledger'!$W$7:$W$40,"&gt;"&amp;B46)</x:f>
        <x:v>0</x:v>
      </x:c>
      <x:c r="D46" s="65" t="n">
        <x:f>COUNTIFS('Token Ledger'!$C$7:$C$40,"Closure",'Token Ledger'!$J$7:$J$40,"&lt;="&amp;B46,'Token Ledger'!$K$7:$K$40,"&gt;"&amp;B46)</x:f>
        <x:v>2</x:v>
      </x:c>
      <x:c r="E46" s="65" t="n">
        <x:f>COUNTIFS('Token Ledger'!$C$7:$C$40,"Damage",'Token Ledger'!$N$7:$N$40,1,'Token Ledger'!$J$7:$J$40,"&lt;="&amp;B46,'Token Ledger'!$W$7:$W$40,"&gt;"&amp;B46)</x:f>
        <x:v>1</x:v>
      </x:c>
      <x:c r="F46" s="65" t="n">
        <x:f>COUNTIFS('Token Ledger'!$C$7:$C$40,"Damage",'Token Ledger'!$J$7:$J$40,"&lt;="&amp;B46,'Token Ledger'!$K$7:$K$40,"&gt;"&amp;B46)</x:f>
        <x:v>3</x:v>
      </x:c>
      <x:c r="G46" s="65" t="n">
        <x:f>COUNTIFS('Token Ledger'!$C$7:$C$40,"Closure",'Token Ledger'!$P$7:$P$40,"MODELED CREDIT",'Token Ledger'!$K$7:$K$40,"&lt;="&amp;B46,'Token Ledger'!$L$7:$L$40,"&gt;"&amp;B46)</x:f>
        <x:v>4</x:v>
      </x:c>
      <x:c r="H46" s="65" t="n">
        <x:f>COUNTIFS('Token Ledger'!$C$7:$C$40,"Damage",'Token Ledger'!$P$7:$P$40,"MODELED CREDIT",'Token Ledger'!$K$7:$K$40,"&lt;="&amp;B46,'Token Ledger'!$L$7:$L$40,"&gt;"&amp;B46)</x:f>
        <x:v>0</x:v>
      </x:c>
      <x:c r="I46" s="65" t="n">
        <x:f>SUMIFS('Token Ledger'!$Q$7:$Q$40,'Token Ledger'!$C$7:$C$40,"Closure",'Token Ledger'!$L$7:$L$40,"&lt;="&amp;B46)</x:f>
        <x:v>9</x:v>
      </x:c>
      <x:c r="J46" s="65" t="n">
        <x:f>SUMIFS('Token Ledger'!$Q$7:$Q$40,'Token Ledger'!$C$7:$C$40,"Damage",'Token Ledger'!$L$7:$L$40,"&lt;="&amp;B46)</x:f>
        <x:v>3</x:v>
      </x:c>
      <x:c r="K46" s="65" t="n">
        <x:f>COUNTIFS('Token Ledger'!$N$7:$N$40,1,'Token Ledger'!$J$7:$J$40,B46)</x:f>
        <x:v>0</x:v>
      </x:c>
      <x:c r="L46" s="65" t="n">
        <x:f>IF(B46='Control Inputs'!D8,K46,0)</x:f>
        <x:v>0</x:v>
      </x:c>
      <x:c r="M46" s="65" t="str">
        <x:f>IF(C46&lt;='Control Inputs'!D18,"PASS","FAIL")</x:f>
        <x:v>PASS</x:v>
      </x:c>
      <x:c r="N46" s="65" t="str">
        <x:f>IF(E46&lt;='Control Inputs'!D28,"PASS","FAIL")</x:f>
        <x:v>PASS</x:v>
      </x:c>
      <x:c r="O46" s="65" t="str">
        <x:f>IF(G46&lt;=IF(B46&lt;'Control Inputs'!D8,'Control Inputs'!D19,'Control Inputs'!D20),"PASS","FAIL")</x:f>
        <x:v>PASS</x:v>
      </x:c>
      <x:c r="P46" s="65" t="str">
        <x:f>IF(H46&lt;=IF(B46&lt;'Control Inputs'!D8,'Control Inputs'!D29,'Control Inputs'!D30),"PASS","FAIL")</x:f>
        <x:v>PASS</x:v>
      </x:c>
      <x:c r="Q46" s="65" t="str">
        <x:f>IF(AND(L46=0,M46="PASS",N46="PASS",O46="PASS",P46="PASS"),"PASS","FAIL")</x:f>
        <x:v>PASS</x:v>
      </x:c>
      <x:c r="R46" s="76" t="str"/>
    </x:row>
    <x:row r="47" ht="24" customHeight="1">
      <x:c r="B47" s="65" t="n">
        <x:v>41</x:v>
      </x:c>
      <x:c r="C47" s="65" t="n">
        <x:f>COUNTIFS('Token Ledger'!$C$7:$C$40,"Closure",'Token Ledger'!$N$7:$N$40,1,'Token Ledger'!$J$7:$J$40,"&lt;="&amp;B47,'Token Ledger'!$W$7:$W$40,"&gt;"&amp;B47)</x:f>
        <x:v>0</x:v>
      </x:c>
      <x:c r="D47" s="65" t="n">
        <x:f>COUNTIFS('Token Ledger'!$C$7:$C$40,"Closure",'Token Ledger'!$J$7:$J$40,"&lt;="&amp;B47,'Token Ledger'!$K$7:$K$40,"&gt;"&amp;B47)</x:f>
        <x:v>2</x:v>
      </x:c>
      <x:c r="E47" s="65" t="n">
        <x:f>COUNTIFS('Token Ledger'!$C$7:$C$40,"Damage",'Token Ledger'!$N$7:$N$40,1,'Token Ledger'!$J$7:$J$40,"&lt;="&amp;B47,'Token Ledger'!$W$7:$W$40,"&gt;"&amp;B47)</x:f>
        <x:v>1</x:v>
      </x:c>
      <x:c r="F47" s="65" t="n">
        <x:f>COUNTIFS('Token Ledger'!$C$7:$C$40,"Damage",'Token Ledger'!$J$7:$J$40,"&lt;="&amp;B47,'Token Ledger'!$K$7:$K$40,"&gt;"&amp;B47)</x:f>
        <x:v>3</x:v>
      </x:c>
      <x:c r="G47" s="65" t="n">
        <x:f>COUNTIFS('Token Ledger'!$C$7:$C$40,"Closure",'Token Ledger'!$P$7:$P$40,"MODELED CREDIT",'Token Ledger'!$K$7:$K$40,"&lt;="&amp;B47,'Token Ledger'!$L$7:$L$40,"&gt;"&amp;B47)</x:f>
        <x:v>2</x:v>
      </x:c>
      <x:c r="H47" s="65" t="n">
        <x:f>COUNTIFS('Token Ledger'!$C$7:$C$40,"Damage",'Token Ledger'!$P$7:$P$40,"MODELED CREDIT",'Token Ledger'!$K$7:$K$40,"&lt;="&amp;B47,'Token Ledger'!$L$7:$L$40,"&gt;"&amp;B47)</x:f>
        <x:v>0</x:v>
      </x:c>
      <x:c r="I47" s="65" t="n">
        <x:f>SUMIFS('Token Ledger'!$Q$7:$Q$40,'Token Ledger'!$C$7:$C$40,"Closure",'Token Ledger'!$L$7:$L$40,"&lt;="&amp;B47)</x:f>
        <x:v>11</x:v>
      </x:c>
      <x:c r="J47" s="65" t="n">
        <x:f>SUMIFS('Token Ledger'!$Q$7:$Q$40,'Token Ledger'!$C$7:$C$40,"Damage",'Token Ledger'!$L$7:$L$40,"&lt;="&amp;B47)</x:f>
        <x:v>3</x:v>
      </x:c>
      <x:c r="K47" s="65" t="n">
        <x:f>COUNTIFS('Token Ledger'!$N$7:$N$40,1,'Token Ledger'!$J$7:$J$40,B47)</x:f>
        <x:v>0</x:v>
      </x:c>
      <x:c r="L47" s="65" t="n">
        <x:f>IF(B47='Control Inputs'!D8,K47,0)</x:f>
        <x:v>0</x:v>
      </x:c>
      <x:c r="M47" s="65" t="str">
        <x:f>IF(C47&lt;='Control Inputs'!D18,"PASS","FAIL")</x:f>
        <x:v>PASS</x:v>
      </x:c>
      <x:c r="N47" s="65" t="str">
        <x:f>IF(E47&lt;='Control Inputs'!D28,"PASS","FAIL")</x:f>
        <x:v>PASS</x:v>
      </x:c>
      <x:c r="O47" s="65" t="str">
        <x:f>IF(G47&lt;=IF(B47&lt;'Control Inputs'!D8,'Control Inputs'!D19,'Control Inputs'!D20),"PASS","FAIL")</x:f>
        <x:v>PASS</x:v>
      </x:c>
      <x:c r="P47" s="65" t="str">
        <x:f>IF(H47&lt;=IF(B47&lt;'Control Inputs'!D8,'Control Inputs'!D29,'Control Inputs'!D30),"PASS","FAIL")</x:f>
        <x:v>PASS</x:v>
      </x:c>
      <x:c r="Q47" s="65" t="str">
        <x:f>IF(AND(L47=0,M47="PASS",N47="PASS",O47="PASS",P47="PASS"),"PASS","FAIL")</x:f>
        <x:v>PASS</x:v>
      </x:c>
      <x:c r="R47" s="76" t="str"/>
    </x:row>
    <x:row r="48" ht="24" customHeight="1">
      <x:c r="B48" s="65" t="n">
        <x:v>42</x:v>
      </x:c>
      <x:c r="C48" s="65" t="n">
        <x:f>COUNTIFS('Token Ledger'!$C$7:$C$40,"Closure",'Token Ledger'!$N$7:$N$40,1,'Token Ledger'!$J$7:$J$40,"&lt;="&amp;B48,'Token Ledger'!$W$7:$W$40,"&gt;"&amp;B48)</x:f>
        <x:v>4</x:v>
      </x:c>
      <x:c r="D48" s="65" t="n">
        <x:f>COUNTIFS('Token Ledger'!$C$7:$C$40,"Closure",'Token Ledger'!$J$7:$J$40,"&lt;="&amp;B48,'Token Ledger'!$K$7:$K$40,"&gt;"&amp;B48)</x:f>
        <x:v>6</x:v>
      </x:c>
      <x:c r="E48" s="65" t="n">
        <x:f>COUNTIFS('Token Ledger'!$C$7:$C$40,"Damage",'Token Ledger'!$N$7:$N$40,1,'Token Ledger'!$J$7:$J$40,"&lt;="&amp;B48,'Token Ledger'!$W$7:$W$40,"&gt;"&amp;B48)</x:f>
        <x:v>3</x:v>
      </x:c>
      <x:c r="F48" s="65" t="n">
        <x:f>COUNTIFS('Token Ledger'!$C$7:$C$40,"Damage",'Token Ledger'!$J$7:$J$40,"&lt;="&amp;B48,'Token Ledger'!$K$7:$K$40,"&gt;"&amp;B48)</x:f>
        <x:v>5</x:v>
      </x:c>
      <x:c r="G48" s="65" t="n">
        <x:f>COUNTIFS('Token Ledger'!$C$7:$C$40,"Closure",'Token Ledger'!$P$7:$P$40,"MODELED CREDIT",'Token Ledger'!$K$7:$K$40,"&lt;="&amp;B48,'Token Ledger'!$L$7:$L$40,"&gt;"&amp;B48)</x:f>
        <x:v>2</x:v>
      </x:c>
      <x:c r="H48" s="65" t="n">
        <x:f>COUNTIFS('Token Ledger'!$C$7:$C$40,"Damage",'Token Ledger'!$P$7:$P$40,"MODELED CREDIT",'Token Ledger'!$K$7:$K$40,"&lt;="&amp;B48,'Token Ledger'!$L$7:$L$40,"&gt;"&amp;B48)</x:f>
        <x:v>0</x:v>
      </x:c>
      <x:c r="I48" s="65" t="n">
        <x:f>SUMIFS('Token Ledger'!$Q$7:$Q$40,'Token Ledger'!$C$7:$C$40,"Closure",'Token Ledger'!$L$7:$L$40,"&lt;="&amp;B48)</x:f>
        <x:v>11</x:v>
      </x:c>
      <x:c r="J48" s="65" t="n">
        <x:f>SUMIFS('Token Ledger'!$Q$7:$Q$40,'Token Ledger'!$C$7:$C$40,"Damage",'Token Ledger'!$L$7:$L$40,"&lt;="&amp;B48)</x:f>
        <x:v>3</x:v>
      </x:c>
      <x:c r="K48" s="65" t="n">
        <x:f>COUNTIFS('Token Ledger'!$N$7:$N$40,1,'Token Ledger'!$J$7:$J$40,B48)</x:f>
        <x:v>6</x:v>
      </x:c>
      <x:c r="L48" s="65" t="n">
        <x:f>IF(B48='Control Inputs'!D8,K48,0)</x:f>
        <x:v>0</x:v>
      </x:c>
      <x:c r="M48" s="65" t="str">
        <x:f>IF(C48&lt;='Control Inputs'!D18,"PASS","FAIL")</x:f>
        <x:v>PASS</x:v>
      </x:c>
      <x:c r="N48" s="65" t="str">
        <x:f>IF(E48&lt;='Control Inputs'!D28,"PASS","FAIL")</x:f>
        <x:v>PASS</x:v>
      </x:c>
      <x:c r="O48" s="65" t="str">
        <x:f>IF(G48&lt;=IF(B48&lt;'Control Inputs'!D8,'Control Inputs'!D19,'Control Inputs'!D20),"PASS","FAIL")</x:f>
        <x:v>PASS</x:v>
      </x:c>
      <x:c r="P48" s="65" t="str">
        <x:f>IF(H48&lt;=IF(B48&lt;'Control Inputs'!D8,'Control Inputs'!D29,'Control Inputs'!D30),"PASS","FAIL")</x:f>
        <x:v>PASS</x:v>
      </x:c>
      <x:c r="Q48" s="65" t="str">
        <x:f>IF(AND(L48=0,M48="PASS",N48="PASS",O48="PASS",P48="PASS"),"PASS","FAIL")</x:f>
        <x:v>PASS</x:v>
      </x:c>
      <x:c r="R48" s="76" t="str">
        <x:v>four closure and two damage replacements/primaries begin</x:v>
      </x:c>
    </x:row>
    <x:row r="49" ht="24" customHeight="1">
      <x:c r="B49" s="65" t="n">
        <x:v>43</x:v>
      </x:c>
      <x:c r="C49" s="65" t="n">
        <x:f>COUNTIFS('Token Ledger'!$C$7:$C$40,"Closure",'Token Ledger'!$N$7:$N$40,1,'Token Ledger'!$J$7:$J$40,"&lt;="&amp;B49,'Token Ledger'!$W$7:$W$40,"&gt;"&amp;B49)</x:f>
        <x:v>4</x:v>
      </x:c>
      <x:c r="D49" s="65" t="n">
        <x:f>COUNTIFS('Token Ledger'!$C$7:$C$40,"Closure",'Token Ledger'!$J$7:$J$40,"&lt;="&amp;B49,'Token Ledger'!$K$7:$K$40,"&gt;"&amp;B49)</x:f>
        <x:v>4</x:v>
      </x:c>
      <x:c r="E49" s="65" t="n">
        <x:f>COUNTIFS('Token Ledger'!$C$7:$C$40,"Damage",'Token Ledger'!$N$7:$N$40,1,'Token Ledger'!$J$7:$J$40,"&lt;="&amp;B49,'Token Ledger'!$W$7:$W$40,"&gt;"&amp;B49)</x:f>
        <x:v>3</x:v>
      </x:c>
      <x:c r="F49" s="65" t="n">
        <x:f>COUNTIFS('Token Ledger'!$C$7:$C$40,"Damage",'Token Ledger'!$J$7:$J$40,"&lt;="&amp;B49,'Token Ledger'!$K$7:$K$40,"&gt;"&amp;B49)</x:f>
        <x:v>5</x:v>
      </x:c>
      <x:c r="G49" s="65" t="n">
        <x:f>COUNTIFS('Token Ledger'!$C$7:$C$40,"Closure",'Token Ledger'!$P$7:$P$40,"MODELED CREDIT",'Token Ledger'!$K$7:$K$40,"&lt;="&amp;B49,'Token Ledger'!$L$7:$L$40,"&gt;"&amp;B49)</x:f>
        <x:v>2</x:v>
      </x:c>
      <x:c r="H49" s="65" t="n">
        <x:f>COUNTIFS('Token Ledger'!$C$7:$C$40,"Damage",'Token Ledger'!$P$7:$P$40,"MODELED CREDIT",'Token Ledger'!$K$7:$K$40,"&lt;="&amp;B49,'Token Ledger'!$L$7:$L$40,"&gt;"&amp;B49)</x:f>
        <x:v>0</x:v>
      </x:c>
      <x:c r="I49" s="65" t="n">
        <x:f>SUMIFS('Token Ledger'!$Q$7:$Q$40,'Token Ledger'!$C$7:$C$40,"Closure",'Token Ledger'!$L$7:$L$40,"&lt;="&amp;B49)</x:f>
        <x:v>11</x:v>
      </x:c>
      <x:c r="J49" s="65" t="n">
        <x:f>SUMIFS('Token Ledger'!$Q$7:$Q$40,'Token Ledger'!$C$7:$C$40,"Damage",'Token Ledger'!$L$7:$L$40,"&lt;="&amp;B49)</x:f>
        <x:v>3</x:v>
      </x:c>
      <x:c r="K49" s="65" t="n">
        <x:f>COUNTIFS('Token Ledger'!$N$7:$N$40,1,'Token Ledger'!$J$7:$J$40,B49)</x:f>
        <x:v>0</x:v>
      </x:c>
      <x:c r="L49" s="65" t="n">
        <x:f>IF(B49='Control Inputs'!D8,K49,0)</x:f>
        <x:v>0</x:v>
      </x:c>
      <x:c r="M49" s="65" t="str">
        <x:f>IF(C49&lt;='Control Inputs'!D18,"PASS","FAIL")</x:f>
        <x:v>PASS</x:v>
      </x:c>
      <x:c r="N49" s="65" t="str">
        <x:f>IF(E49&lt;='Control Inputs'!D28,"PASS","FAIL")</x:f>
        <x:v>PASS</x:v>
      </x:c>
      <x:c r="O49" s="65" t="str">
        <x:f>IF(G49&lt;=IF(B49&lt;'Control Inputs'!D8,'Control Inputs'!D19,'Control Inputs'!D20),"PASS","FAIL")</x:f>
        <x:v>PASS</x:v>
      </x:c>
      <x:c r="P49" s="65" t="str">
        <x:f>IF(H49&lt;=IF(B49&lt;'Control Inputs'!D8,'Control Inputs'!D29,'Control Inputs'!D30),"PASS","FAIL")</x:f>
        <x:v>PASS</x:v>
      </x:c>
      <x:c r="Q49" s="65" t="str">
        <x:f>IF(AND(L49=0,M49="PASS",N49="PASS",O49="PASS",P49="PASS"),"PASS","FAIL")</x:f>
        <x:v>PASS</x:v>
      </x:c>
      <x:c r="R49" s="76" t="str"/>
    </x:row>
    <x:row r="50" ht="24" customHeight="1">
      <x:c r="B50" s="65" t="n">
        <x:v>44</x:v>
      </x:c>
      <x:c r="C50" s="65" t="n">
        <x:f>COUNTIFS('Token Ledger'!$C$7:$C$40,"Closure",'Token Ledger'!$N$7:$N$40,1,'Token Ledger'!$J$7:$J$40,"&lt;="&amp;B50,'Token Ledger'!$W$7:$W$40,"&gt;"&amp;B50)</x:f>
        <x:v>4</x:v>
      </x:c>
      <x:c r="D50" s="65" t="n">
        <x:f>COUNTIFS('Token Ledger'!$C$7:$C$40,"Closure",'Token Ledger'!$J$7:$J$40,"&lt;="&amp;B50,'Token Ledger'!$K$7:$K$40,"&gt;"&amp;B50)</x:f>
        <x:v>4</x:v>
      </x:c>
      <x:c r="E50" s="65" t="n">
        <x:f>COUNTIFS('Token Ledger'!$C$7:$C$40,"Damage",'Token Ledger'!$N$7:$N$40,1,'Token Ledger'!$J$7:$J$40,"&lt;="&amp;B50,'Token Ledger'!$W$7:$W$40,"&gt;"&amp;B50)</x:f>
        <x:v>3</x:v>
      </x:c>
      <x:c r="F50" s="65" t="n">
        <x:f>COUNTIFS('Token Ledger'!$C$7:$C$40,"Damage",'Token Ledger'!$J$7:$J$40,"&lt;="&amp;B50,'Token Ledger'!$K$7:$K$40,"&gt;"&amp;B50)</x:f>
        <x:v>5</x:v>
      </x:c>
      <x:c r="G50" s="65" t="n">
        <x:f>COUNTIFS('Token Ledger'!$C$7:$C$40,"Closure",'Token Ledger'!$P$7:$P$40,"MODELED CREDIT",'Token Ledger'!$K$7:$K$40,"&lt;="&amp;B50,'Token Ledger'!$L$7:$L$40,"&gt;"&amp;B50)</x:f>
        <x:v>2</x:v>
      </x:c>
      <x:c r="H50" s="65" t="n">
        <x:f>COUNTIFS('Token Ledger'!$C$7:$C$40,"Damage",'Token Ledger'!$P$7:$P$40,"MODELED CREDIT",'Token Ledger'!$K$7:$K$40,"&lt;="&amp;B50,'Token Ledger'!$L$7:$L$40,"&gt;"&amp;B50)</x:f>
        <x:v>0</x:v>
      </x:c>
      <x:c r="I50" s="65" t="n">
        <x:f>SUMIFS('Token Ledger'!$Q$7:$Q$40,'Token Ledger'!$C$7:$C$40,"Closure",'Token Ledger'!$L$7:$L$40,"&lt;="&amp;B50)</x:f>
        <x:v>11</x:v>
      </x:c>
      <x:c r="J50" s="65" t="n">
        <x:f>SUMIFS('Token Ledger'!$Q$7:$Q$40,'Token Ledger'!$C$7:$C$40,"Damage",'Token Ledger'!$L$7:$L$40,"&lt;="&amp;B50)</x:f>
        <x:v>3</x:v>
      </x:c>
      <x:c r="K50" s="65" t="n">
        <x:f>COUNTIFS('Token Ledger'!$N$7:$N$40,1,'Token Ledger'!$J$7:$J$40,B50)</x:f>
        <x:v>0</x:v>
      </x:c>
      <x:c r="L50" s="65" t="n">
        <x:f>IF(B50='Control Inputs'!D8,K50,0)</x:f>
        <x:v>0</x:v>
      </x:c>
      <x:c r="M50" s="65" t="str">
        <x:f>IF(C50&lt;='Control Inputs'!D18,"PASS","FAIL")</x:f>
        <x:v>PASS</x:v>
      </x:c>
      <x:c r="N50" s="65" t="str">
        <x:f>IF(E50&lt;='Control Inputs'!D28,"PASS","FAIL")</x:f>
        <x:v>PASS</x:v>
      </x:c>
      <x:c r="O50" s="65" t="str">
        <x:f>IF(G50&lt;=IF(B50&lt;'Control Inputs'!D8,'Control Inputs'!D19,'Control Inputs'!D20),"PASS","FAIL")</x:f>
        <x:v>PASS</x:v>
      </x:c>
      <x:c r="P50" s="65" t="str">
        <x:f>IF(H50&lt;=IF(B50&lt;'Control Inputs'!D8,'Control Inputs'!D29,'Control Inputs'!D30),"PASS","FAIL")</x:f>
        <x:v>PASS</x:v>
      </x:c>
      <x:c r="Q50" s="65" t="str">
        <x:f>IF(AND(L50=0,M50="PASS",N50="PASS",O50="PASS",P50="PASS"),"PASS","FAIL")</x:f>
        <x:v>PASS</x:v>
      </x:c>
      <x:c r="R50" s="76" t="str"/>
    </x:row>
    <x:row r="51" ht="24" customHeight="1">
      <x:c r="B51" s="65" t="n">
        <x:v>45</x:v>
      </x:c>
      <x:c r="C51" s="65" t="n">
        <x:f>COUNTIFS('Token Ledger'!$C$7:$C$40,"Closure",'Token Ledger'!$N$7:$N$40,1,'Token Ledger'!$J$7:$J$40,"&lt;="&amp;B51,'Token Ledger'!$W$7:$W$40,"&gt;"&amp;B51)</x:f>
        <x:v>4</x:v>
      </x:c>
      <x:c r="D51" s="65" t="n">
        <x:f>COUNTIFS('Token Ledger'!$C$7:$C$40,"Closure",'Token Ledger'!$J$7:$J$40,"&lt;="&amp;B51,'Token Ledger'!$K$7:$K$40,"&gt;"&amp;B51)</x:f>
        <x:v>4</x:v>
      </x:c>
      <x:c r="E51" s="65" t="n">
        <x:f>COUNTIFS('Token Ledger'!$C$7:$C$40,"Damage",'Token Ledger'!$N$7:$N$40,1,'Token Ledger'!$J$7:$J$40,"&lt;="&amp;B51,'Token Ledger'!$W$7:$W$40,"&gt;"&amp;B51)</x:f>
        <x:v>3</x:v>
      </x:c>
      <x:c r="F51" s="65" t="n">
        <x:f>COUNTIFS('Token Ledger'!$C$7:$C$40,"Damage",'Token Ledger'!$J$7:$J$40,"&lt;="&amp;B51,'Token Ledger'!$K$7:$K$40,"&gt;"&amp;B51)</x:f>
        <x:v>5</x:v>
      </x:c>
      <x:c r="G51" s="65" t="n">
        <x:f>COUNTIFS('Token Ledger'!$C$7:$C$40,"Closure",'Token Ledger'!$P$7:$P$40,"MODELED CREDIT",'Token Ledger'!$K$7:$K$40,"&lt;="&amp;B51,'Token Ledger'!$L$7:$L$40,"&gt;"&amp;B51)</x:f>
        <x:v>2</x:v>
      </x:c>
      <x:c r="H51" s="65" t="n">
        <x:f>COUNTIFS('Token Ledger'!$C$7:$C$40,"Damage",'Token Ledger'!$P$7:$P$40,"MODELED CREDIT",'Token Ledger'!$K$7:$K$40,"&lt;="&amp;B51,'Token Ledger'!$L$7:$L$40,"&gt;"&amp;B51)</x:f>
        <x:v>0</x:v>
      </x:c>
      <x:c r="I51" s="65" t="n">
        <x:f>SUMIFS('Token Ledger'!$Q$7:$Q$40,'Token Ledger'!$C$7:$C$40,"Closure",'Token Ledger'!$L$7:$L$40,"&lt;="&amp;B51)</x:f>
        <x:v>11</x:v>
      </x:c>
      <x:c r="J51" s="65" t="n">
        <x:f>SUMIFS('Token Ledger'!$Q$7:$Q$40,'Token Ledger'!$C$7:$C$40,"Damage",'Token Ledger'!$L$7:$L$40,"&lt;="&amp;B51)</x:f>
        <x:v>3</x:v>
      </x:c>
      <x:c r="K51" s="65" t="n">
        <x:f>COUNTIFS('Token Ledger'!$N$7:$N$40,1,'Token Ledger'!$J$7:$J$40,B51)</x:f>
        <x:v>0</x:v>
      </x:c>
      <x:c r="L51" s="65" t="n">
        <x:f>IF(B51='Control Inputs'!D8,K51,0)</x:f>
        <x:v>0</x:v>
      </x:c>
      <x:c r="M51" s="65" t="str">
        <x:f>IF(C51&lt;='Control Inputs'!D18,"PASS","FAIL")</x:f>
        <x:v>PASS</x:v>
      </x:c>
      <x:c r="N51" s="65" t="str">
        <x:f>IF(E51&lt;='Control Inputs'!D28,"PASS","FAIL")</x:f>
        <x:v>PASS</x:v>
      </x:c>
      <x:c r="O51" s="65" t="str">
        <x:f>IF(G51&lt;=IF(B51&lt;'Control Inputs'!D8,'Control Inputs'!D19,'Control Inputs'!D20),"PASS","FAIL")</x:f>
        <x:v>PASS</x:v>
      </x:c>
      <x:c r="P51" s="65" t="str">
        <x:f>IF(H51&lt;=IF(B51&lt;'Control Inputs'!D8,'Control Inputs'!D29,'Control Inputs'!D30),"PASS","FAIL")</x:f>
        <x:v>PASS</x:v>
      </x:c>
      <x:c r="Q51" s="65" t="str">
        <x:f>IF(AND(L51=0,M51="PASS",N51="PASS",O51="PASS",P51="PASS"),"PASS","FAIL")</x:f>
        <x:v>PASS</x:v>
      </x:c>
      <x:c r="R51" s="76" t="str"/>
    </x:row>
    <x:row r="52" ht="24" customHeight="1">
      <x:c r="B52" s="65" t="n">
        <x:v>46</x:v>
      </x:c>
      <x:c r="C52" s="65" t="n">
        <x:f>COUNTIFS('Token Ledger'!$C$7:$C$40,"Closure",'Token Ledger'!$N$7:$N$40,1,'Token Ledger'!$J$7:$J$40,"&lt;="&amp;B52,'Token Ledger'!$W$7:$W$40,"&gt;"&amp;B52)</x:f>
        <x:v>4</x:v>
      </x:c>
      <x:c r="D52" s="65" t="n">
        <x:f>COUNTIFS('Token Ledger'!$C$7:$C$40,"Closure",'Token Ledger'!$J$7:$J$40,"&lt;="&amp;B52,'Token Ledger'!$K$7:$K$40,"&gt;"&amp;B52)</x:f>
        <x:v>4</x:v>
      </x:c>
      <x:c r="E52" s="65" t="n">
        <x:f>COUNTIFS('Token Ledger'!$C$7:$C$40,"Damage",'Token Ledger'!$N$7:$N$40,1,'Token Ledger'!$J$7:$J$40,"&lt;="&amp;B52,'Token Ledger'!$W$7:$W$40,"&gt;"&amp;B52)</x:f>
        <x:v>3</x:v>
      </x:c>
      <x:c r="F52" s="65" t="n">
        <x:f>COUNTIFS('Token Ledger'!$C$7:$C$40,"Damage",'Token Ledger'!$J$7:$J$40,"&lt;="&amp;B52,'Token Ledger'!$K$7:$K$40,"&gt;"&amp;B52)</x:f>
        <x:v>5</x:v>
      </x:c>
      <x:c r="G52" s="65" t="n">
        <x:f>COUNTIFS('Token Ledger'!$C$7:$C$40,"Closure",'Token Ledger'!$P$7:$P$40,"MODELED CREDIT",'Token Ledger'!$K$7:$K$40,"&lt;="&amp;B52,'Token Ledger'!$L$7:$L$40,"&gt;"&amp;B52)</x:f>
        <x:v>0</x:v>
      </x:c>
      <x:c r="H52" s="65" t="n">
        <x:f>COUNTIFS('Token Ledger'!$C$7:$C$40,"Damage",'Token Ledger'!$P$7:$P$40,"MODELED CREDIT",'Token Ledger'!$K$7:$K$40,"&lt;="&amp;B52,'Token Ledger'!$L$7:$L$40,"&gt;"&amp;B52)</x:f>
        <x:v>0</x:v>
      </x:c>
      <x:c r="I52" s="65" t="n">
        <x:f>SUMIFS('Token Ledger'!$Q$7:$Q$40,'Token Ledger'!$C$7:$C$40,"Closure",'Token Ledger'!$L$7:$L$40,"&lt;="&amp;B52)</x:f>
        <x:v>13</x:v>
      </x:c>
      <x:c r="J52" s="65" t="n">
        <x:f>SUMIFS('Token Ledger'!$Q$7:$Q$40,'Token Ledger'!$C$7:$C$40,"Damage",'Token Ledger'!$L$7:$L$40,"&lt;="&amp;B52)</x:f>
        <x:v>3</x:v>
      </x:c>
      <x:c r="K52" s="65" t="n">
        <x:f>COUNTIFS('Token Ledger'!$N$7:$N$40,1,'Token Ledger'!$J$7:$J$40,B52)</x:f>
        <x:v>0</x:v>
      </x:c>
      <x:c r="L52" s="65" t="n">
        <x:f>IF(B52='Control Inputs'!D8,K52,0)</x:f>
        <x:v>0</x:v>
      </x:c>
      <x:c r="M52" s="65" t="str">
        <x:f>IF(C52&lt;='Control Inputs'!D18,"PASS","FAIL")</x:f>
        <x:v>PASS</x:v>
      </x:c>
      <x:c r="N52" s="65" t="str">
        <x:f>IF(E52&lt;='Control Inputs'!D28,"PASS","FAIL")</x:f>
        <x:v>PASS</x:v>
      </x:c>
      <x:c r="O52" s="65" t="str">
        <x:f>IF(G52&lt;=IF(B52&lt;'Control Inputs'!D8,'Control Inputs'!D19,'Control Inputs'!D20),"PASS","FAIL")</x:f>
        <x:v>PASS</x:v>
      </x:c>
      <x:c r="P52" s="65" t="str">
        <x:f>IF(H52&lt;=IF(B52&lt;'Control Inputs'!D8,'Control Inputs'!D29,'Control Inputs'!D30),"PASS","FAIL")</x:f>
        <x:v>PASS</x:v>
      </x:c>
      <x:c r="Q52" s="65" t="str">
        <x:f>IF(AND(L52=0,M52="PASS",N52="PASS",O52="PASS",P52="PASS"),"PASS","FAIL")</x:f>
        <x:v>PASS</x:v>
      </x:c>
      <x:c r="R52" s="76" t="str"/>
    </x:row>
    <x:row r="53" ht="24" customHeight="1">
      <x:c r="B53" s="65" t="n">
        <x:v>47</x:v>
      </x:c>
      <x:c r="C53" s="65" t="n">
        <x:f>COUNTIFS('Token Ledger'!$C$7:$C$40,"Closure",'Token Ledger'!$N$7:$N$40,1,'Token Ledger'!$J$7:$J$40,"&lt;="&amp;B53,'Token Ledger'!$W$7:$W$40,"&gt;"&amp;B53)</x:f>
        <x:v>4</x:v>
      </x:c>
      <x:c r="D53" s="65" t="n">
        <x:f>COUNTIFS('Token Ledger'!$C$7:$C$40,"Closure",'Token Ledger'!$J$7:$J$40,"&lt;="&amp;B53,'Token Ledger'!$K$7:$K$40,"&gt;"&amp;B53)</x:f>
        <x:v>4</x:v>
      </x:c>
      <x:c r="E53" s="65" t="n">
        <x:f>COUNTIFS('Token Ledger'!$C$7:$C$40,"Damage",'Token Ledger'!$N$7:$N$40,1,'Token Ledger'!$J$7:$J$40,"&lt;="&amp;B53,'Token Ledger'!$W$7:$W$40,"&gt;"&amp;B53)</x:f>
        <x:v>3</x:v>
      </x:c>
      <x:c r="F53" s="65" t="n">
        <x:f>COUNTIFS('Token Ledger'!$C$7:$C$40,"Damage",'Token Ledger'!$J$7:$J$40,"&lt;="&amp;B53,'Token Ledger'!$K$7:$K$40,"&gt;"&amp;B53)</x:f>
        <x:v>5</x:v>
      </x:c>
      <x:c r="G53" s="65" t="n">
        <x:f>COUNTIFS('Token Ledger'!$C$7:$C$40,"Closure",'Token Ledger'!$P$7:$P$40,"MODELED CREDIT",'Token Ledger'!$K$7:$K$40,"&lt;="&amp;B53,'Token Ledger'!$L$7:$L$40,"&gt;"&amp;B53)</x:f>
        <x:v>0</x:v>
      </x:c>
      <x:c r="H53" s="65" t="n">
        <x:f>COUNTIFS('Token Ledger'!$C$7:$C$40,"Damage",'Token Ledger'!$P$7:$P$40,"MODELED CREDIT",'Token Ledger'!$K$7:$K$40,"&lt;="&amp;B53,'Token Ledger'!$L$7:$L$40,"&gt;"&amp;B53)</x:f>
        <x:v>0</x:v>
      </x:c>
      <x:c r="I53" s="65" t="n">
        <x:f>SUMIFS('Token Ledger'!$Q$7:$Q$40,'Token Ledger'!$C$7:$C$40,"Closure",'Token Ledger'!$L$7:$L$40,"&lt;="&amp;B53)</x:f>
        <x:v>13</x:v>
      </x:c>
      <x:c r="J53" s="65" t="n">
        <x:f>SUMIFS('Token Ledger'!$Q$7:$Q$40,'Token Ledger'!$C$7:$C$40,"Damage",'Token Ledger'!$L$7:$L$40,"&lt;="&amp;B53)</x:f>
        <x:v>3</x:v>
      </x:c>
      <x:c r="K53" s="65" t="n">
        <x:f>COUNTIFS('Token Ledger'!$N$7:$N$40,1,'Token Ledger'!$J$7:$J$40,B53)</x:f>
        <x:v>0</x:v>
      </x:c>
      <x:c r="L53" s="65" t="n">
        <x:f>IF(B53='Control Inputs'!D8,K53,0)</x:f>
        <x:v>0</x:v>
      </x:c>
      <x:c r="M53" s="65" t="str">
        <x:f>IF(C53&lt;='Control Inputs'!D18,"PASS","FAIL")</x:f>
        <x:v>PASS</x:v>
      </x:c>
      <x:c r="N53" s="65" t="str">
        <x:f>IF(E53&lt;='Control Inputs'!D28,"PASS","FAIL")</x:f>
        <x:v>PASS</x:v>
      </x:c>
      <x:c r="O53" s="65" t="str">
        <x:f>IF(G53&lt;=IF(B53&lt;'Control Inputs'!D8,'Control Inputs'!D19,'Control Inputs'!D20),"PASS","FAIL")</x:f>
        <x:v>PASS</x:v>
      </x:c>
      <x:c r="P53" s="65" t="str">
        <x:f>IF(H53&lt;=IF(B53&lt;'Control Inputs'!D8,'Control Inputs'!D29,'Control Inputs'!D30),"PASS","FAIL")</x:f>
        <x:v>PASS</x:v>
      </x:c>
      <x:c r="Q53" s="65" t="str">
        <x:f>IF(AND(L53=0,M53="PASS",N53="PASS",O53="PASS",P53="PASS"),"PASS","FAIL")</x:f>
        <x:v>PASS</x:v>
      </x:c>
      <x:c r="R53" s="76" t="str"/>
    </x:row>
    <x:row r="54" ht="24" customHeight="1">
      <x:c r="B54" s="65" t="n">
        <x:v>48</x:v>
      </x:c>
      <x:c r="C54" s="65" t="n">
        <x:f>COUNTIFS('Token Ledger'!$C$7:$C$40,"Closure",'Token Ledger'!$N$7:$N$40,1,'Token Ledger'!$J$7:$J$40,"&lt;="&amp;B54,'Token Ledger'!$W$7:$W$40,"&gt;"&amp;B54)</x:f>
        <x:v>4</x:v>
      </x:c>
      <x:c r="D54" s="65" t="n">
        <x:f>COUNTIFS('Token Ledger'!$C$7:$C$40,"Closure",'Token Ledger'!$J$7:$J$40,"&lt;="&amp;B54,'Token Ledger'!$K$7:$K$40,"&gt;"&amp;B54)</x:f>
        <x:v>4</x:v>
      </x:c>
      <x:c r="E54" s="65" t="n">
        <x:f>COUNTIFS('Token Ledger'!$C$7:$C$40,"Damage",'Token Ledger'!$N$7:$N$40,1,'Token Ledger'!$J$7:$J$40,"&lt;="&amp;B54,'Token Ledger'!$W$7:$W$40,"&gt;"&amp;B54)</x:f>
        <x:v>3</x:v>
      </x:c>
      <x:c r="F54" s="65" t="n">
        <x:f>COUNTIFS('Token Ledger'!$C$7:$C$40,"Damage",'Token Ledger'!$J$7:$J$40,"&lt;="&amp;B54,'Token Ledger'!$K$7:$K$40,"&gt;"&amp;B54)</x:f>
        <x:v>5</x:v>
      </x:c>
      <x:c r="G54" s="65" t="n">
        <x:f>COUNTIFS('Token Ledger'!$C$7:$C$40,"Closure",'Token Ledger'!$P$7:$P$40,"MODELED CREDIT",'Token Ledger'!$K$7:$K$40,"&lt;="&amp;B54,'Token Ledger'!$L$7:$L$40,"&gt;"&amp;B54)</x:f>
        <x:v>0</x:v>
      </x:c>
      <x:c r="H54" s="65" t="n">
        <x:f>COUNTIFS('Token Ledger'!$C$7:$C$40,"Damage",'Token Ledger'!$P$7:$P$40,"MODELED CREDIT",'Token Ledger'!$K$7:$K$40,"&lt;="&amp;B54,'Token Ledger'!$L$7:$L$40,"&gt;"&amp;B54)</x:f>
        <x:v>0</x:v>
      </x:c>
      <x:c r="I54" s="65" t="n">
        <x:f>SUMIFS('Token Ledger'!$Q$7:$Q$40,'Token Ledger'!$C$7:$C$40,"Closure",'Token Ledger'!$L$7:$L$40,"&lt;="&amp;B54)</x:f>
        <x:v>13</x:v>
      </x:c>
      <x:c r="J54" s="65" t="n">
        <x:f>SUMIFS('Token Ledger'!$Q$7:$Q$40,'Token Ledger'!$C$7:$C$40,"Damage",'Token Ledger'!$L$7:$L$40,"&lt;="&amp;B54)</x:f>
        <x:v>3</x:v>
      </x:c>
      <x:c r="K54" s="65" t="n">
        <x:f>COUNTIFS('Token Ledger'!$N$7:$N$40,1,'Token Ledger'!$J$7:$J$40,B54)</x:f>
        <x:v>0</x:v>
      </x:c>
      <x:c r="L54" s="65" t="n">
        <x:f>IF(B54='Control Inputs'!D8,K54,0)</x:f>
        <x:v>0</x:v>
      </x:c>
      <x:c r="M54" s="65" t="str">
        <x:f>IF(C54&lt;='Control Inputs'!D18,"PASS","FAIL")</x:f>
        <x:v>PASS</x:v>
      </x:c>
      <x:c r="N54" s="65" t="str">
        <x:f>IF(E54&lt;='Control Inputs'!D28,"PASS","FAIL")</x:f>
        <x:v>PASS</x:v>
      </x:c>
      <x:c r="O54" s="65" t="str">
        <x:f>IF(G54&lt;=IF(B54&lt;'Control Inputs'!D8,'Control Inputs'!D19,'Control Inputs'!D20),"PASS","FAIL")</x:f>
        <x:v>PASS</x:v>
      </x:c>
      <x:c r="P54" s="65" t="str">
        <x:f>IF(H54&lt;=IF(B54&lt;'Control Inputs'!D8,'Control Inputs'!D29,'Control Inputs'!D30),"PASS","FAIL")</x:f>
        <x:v>PASS</x:v>
      </x:c>
      <x:c r="Q54" s="65" t="str">
        <x:f>IF(AND(L54=0,M54="PASS",N54="PASS",O54="PASS",P54="PASS"),"PASS","FAIL")</x:f>
        <x:v>PASS</x:v>
      </x:c>
      <x:c r="R54" s="76" t="str"/>
    </x:row>
    <x:row r="55" ht="24" customHeight="1">
      <x:c r="B55" s="65" t="n">
        <x:v>49</x:v>
      </x:c>
      <x:c r="C55" s="65" t="n">
        <x:f>COUNTIFS('Token Ledger'!$C$7:$C$40,"Closure",'Token Ledger'!$N$7:$N$40,1,'Token Ledger'!$J$7:$J$40,"&lt;="&amp;B55,'Token Ledger'!$W$7:$W$40,"&gt;"&amp;B55)</x:f>
        <x:v>4</x:v>
      </x:c>
      <x:c r="D55" s="65" t="n">
        <x:f>COUNTIFS('Token Ledger'!$C$7:$C$40,"Closure",'Token Ledger'!$J$7:$J$40,"&lt;="&amp;B55,'Token Ledger'!$K$7:$K$40,"&gt;"&amp;B55)</x:f>
        <x:v>4</x:v>
      </x:c>
      <x:c r="E55" s="65" t="n">
        <x:f>COUNTIFS('Token Ledger'!$C$7:$C$40,"Damage",'Token Ledger'!$N$7:$N$40,1,'Token Ledger'!$J$7:$J$40,"&lt;="&amp;B55,'Token Ledger'!$W$7:$W$40,"&gt;"&amp;B55)</x:f>
        <x:v>3</x:v>
      </x:c>
      <x:c r="F55" s="65" t="n">
        <x:f>COUNTIFS('Token Ledger'!$C$7:$C$40,"Damage",'Token Ledger'!$J$7:$J$40,"&lt;="&amp;B55,'Token Ledger'!$K$7:$K$40,"&gt;"&amp;B55)</x:f>
        <x:v>5</x:v>
      </x:c>
      <x:c r="G55" s="65" t="n">
        <x:f>COUNTIFS('Token Ledger'!$C$7:$C$40,"Closure",'Token Ledger'!$P$7:$P$40,"MODELED CREDIT",'Token Ledger'!$K$7:$K$40,"&lt;="&amp;B55,'Token Ledger'!$L$7:$L$40,"&gt;"&amp;B55)</x:f>
        <x:v>0</x:v>
      </x:c>
      <x:c r="H55" s="65" t="n">
        <x:f>COUNTIFS('Token Ledger'!$C$7:$C$40,"Damage",'Token Ledger'!$P$7:$P$40,"MODELED CREDIT",'Token Ledger'!$K$7:$K$40,"&lt;="&amp;B55,'Token Ledger'!$L$7:$L$40,"&gt;"&amp;B55)</x:f>
        <x:v>0</x:v>
      </x:c>
      <x:c r="I55" s="65" t="n">
        <x:f>SUMIFS('Token Ledger'!$Q$7:$Q$40,'Token Ledger'!$C$7:$C$40,"Closure",'Token Ledger'!$L$7:$L$40,"&lt;="&amp;B55)</x:f>
        <x:v>13</x:v>
      </x:c>
      <x:c r="J55" s="65" t="n">
        <x:f>SUMIFS('Token Ledger'!$Q$7:$Q$40,'Token Ledger'!$C$7:$C$40,"Damage",'Token Ledger'!$L$7:$L$40,"&lt;="&amp;B55)</x:f>
        <x:v>3</x:v>
      </x:c>
      <x:c r="K55" s="65" t="n">
        <x:f>COUNTIFS('Token Ledger'!$N$7:$N$40,1,'Token Ledger'!$J$7:$J$40,B55)</x:f>
        <x:v>0</x:v>
      </x:c>
      <x:c r="L55" s="65" t="n">
        <x:f>IF(B55='Control Inputs'!D8,K55,0)</x:f>
        <x:v>0</x:v>
      </x:c>
      <x:c r="M55" s="65" t="str">
        <x:f>IF(C55&lt;='Control Inputs'!D18,"PASS","FAIL")</x:f>
        <x:v>PASS</x:v>
      </x:c>
      <x:c r="N55" s="65" t="str">
        <x:f>IF(E55&lt;='Control Inputs'!D28,"PASS","FAIL")</x:f>
        <x:v>PASS</x:v>
      </x:c>
      <x:c r="O55" s="65" t="str">
        <x:f>IF(G55&lt;=IF(B55&lt;'Control Inputs'!D8,'Control Inputs'!D19,'Control Inputs'!D20),"PASS","FAIL")</x:f>
        <x:v>PASS</x:v>
      </x:c>
      <x:c r="P55" s="65" t="str">
        <x:f>IF(H55&lt;=IF(B55&lt;'Control Inputs'!D8,'Control Inputs'!D29,'Control Inputs'!D30),"PASS","FAIL")</x:f>
        <x:v>PASS</x:v>
      </x:c>
      <x:c r="Q55" s="65" t="str">
        <x:f>IF(AND(L55=0,M55="PASS",N55="PASS",O55="PASS",P55="PASS"),"PASS","FAIL")</x:f>
        <x:v>PASS</x:v>
      </x:c>
      <x:c r="R55" s="76" t="str"/>
    </x:row>
    <x:row r="56" ht="24" customHeight="1">
      <x:c r="B56" s="65" t="n">
        <x:v>50</x:v>
      </x:c>
      <x:c r="C56" s="65" t="n">
        <x:f>COUNTIFS('Token Ledger'!$C$7:$C$40,"Closure",'Token Ledger'!$N$7:$N$40,1,'Token Ledger'!$J$7:$J$40,"&lt;="&amp;B56,'Token Ledger'!$W$7:$W$40,"&gt;"&amp;B56)</x:f>
        <x:v>1</x:v>
      </x:c>
      <x:c r="D56" s="65" t="n">
        <x:f>COUNTIFS('Token Ledger'!$C$7:$C$40,"Closure",'Token Ledger'!$J$7:$J$40,"&lt;="&amp;B56,'Token Ledger'!$K$7:$K$40,"&gt;"&amp;B56)</x:f>
        <x:v>1</x:v>
      </x:c>
      <x:c r="E56" s="65" t="n">
        <x:f>COUNTIFS('Token Ledger'!$C$7:$C$40,"Damage",'Token Ledger'!$N$7:$N$40,1,'Token Ledger'!$J$7:$J$40,"&lt;="&amp;B56,'Token Ledger'!$W$7:$W$40,"&gt;"&amp;B56)</x:f>
        <x:v>3</x:v>
      </x:c>
      <x:c r="F56" s="65" t="n">
        <x:f>COUNTIFS('Token Ledger'!$C$7:$C$40,"Damage",'Token Ledger'!$J$7:$J$40,"&lt;="&amp;B56,'Token Ledger'!$K$7:$K$40,"&gt;"&amp;B56)</x:f>
        <x:v>5</x:v>
      </x:c>
      <x:c r="G56" s="65" t="n">
        <x:f>COUNTIFS('Token Ledger'!$C$7:$C$40,"Closure",'Token Ledger'!$P$7:$P$40,"MODELED CREDIT",'Token Ledger'!$K$7:$K$40,"&lt;="&amp;B56,'Token Ledger'!$L$7:$L$40,"&gt;"&amp;B56)</x:f>
        <x:v>4</x:v>
      </x:c>
      <x:c r="H56" s="65" t="n">
        <x:f>COUNTIFS('Token Ledger'!$C$7:$C$40,"Damage",'Token Ledger'!$P$7:$P$40,"MODELED CREDIT",'Token Ledger'!$K$7:$K$40,"&lt;="&amp;B56,'Token Ledger'!$L$7:$L$40,"&gt;"&amp;B56)</x:f>
        <x:v>0</x:v>
      </x:c>
      <x:c r="I56" s="65" t="n">
        <x:f>SUMIFS('Token Ledger'!$Q$7:$Q$40,'Token Ledger'!$C$7:$C$40,"Closure",'Token Ledger'!$L$7:$L$40,"&lt;="&amp;B56)</x:f>
        <x:v>13</x:v>
      </x:c>
      <x:c r="J56" s="65" t="n">
        <x:f>SUMIFS('Token Ledger'!$Q$7:$Q$40,'Token Ledger'!$C$7:$C$40,"Damage",'Token Ledger'!$L$7:$L$40,"&lt;="&amp;B56)</x:f>
        <x:v>3</x:v>
      </x:c>
      <x:c r="K56" s="65" t="n">
        <x:f>COUNTIFS('Token Ledger'!$N$7:$N$40,1,'Token Ledger'!$J$7:$J$40,B56)</x:f>
        <x:v>1</x:v>
      </x:c>
      <x:c r="L56" s="65" t="n">
        <x:f>IF(B56='Control Inputs'!D8,K56,0)</x:f>
        <x:v>0</x:v>
      </x:c>
      <x:c r="M56" s="65" t="str">
        <x:f>IF(C56&lt;='Control Inputs'!D18,"PASS","FAIL")</x:f>
        <x:v>PASS</x:v>
      </x:c>
      <x:c r="N56" s="65" t="str">
        <x:f>IF(E56&lt;='Control Inputs'!D28,"PASS","FAIL")</x:f>
        <x:v>PASS</x:v>
      </x:c>
      <x:c r="O56" s="65" t="str">
        <x:f>IF(G56&lt;=IF(B56&lt;'Control Inputs'!D8,'Control Inputs'!D19,'Control Inputs'!D20),"PASS","FAIL")</x:f>
        <x:v>PASS</x:v>
      </x:c>
      <x:c r="P56" s="65" t="str">
        <x:f>IF(H56&lt;=IF(B56&lt;'Control Inputs'!D8,'Control Inputs'!D29,'Control Inputs'!D30),"PASS","FAIL")</x:f>
        <x:v>PASS</x:v>
      </x:c>
      <x:c r="Q56" s="65" t="str">
        <x:f>IF(AND(L56=0,M56="PASS",N56="PASS",O56="PASS",P56="PASS"),"PASS","FAIL")</x:f>
        <x:v>PASS</x:v>
      </x:c>
      <x:c r="R56" s="76" t="str"/>
    </x:row>
    <x:row r="57" ht="24" customHeight="1">
      <x:c r="B57" s="65" t="n">
        <x:v>51</x:v>
      </x:c>
      <x:c r="C57" s="65" t="n">
        <x:f>COUNTIFS('Token Ledger'!$C$7:$C$40,"Closure",'Token Ledger'!$N$7:$N$40,1,'Token Ledger'!$J$7:$J$40,"&lt;="&amp;B57,'Token Ledger'!$W$7:$W$40,"&gt;"&amp;B57)</x:f>
        <x:v>1</x:v>
      </x:c>
      <x:c r="D57" s="65" t="n">
        <x:f>COUNTIFS('Token Ledger'!$C$7:$C$40,"Closure",'Token Ledger'!$J$7:$J$40,"&lt;="&amp;B57,'Token Ledger'!$K$7:$K$40,"&gt;"&amp;B57)</x:f>
        <x:v>3</x:v>
      </x:c>
      <x:c r="E57" s="65" t="n">
        <x:f>COUNTIFS('Token Ledger'!$C$7:$C$40,"Damage",'Token Ledger'!$N$7:$N$40,1,'Token Ledger'!$J$7:$J$40,"&lt;="&amp;B57,'Token Ledger'!$W$7:$W$40,"&gt;"&amp;B57)</x:f>
        <x:v>2</x:v>
      </x:c>
      <x:c r="F57" s="65" t="n">
        <x:f>COUNTIFS('Token Ledger'!$C$7:$C$40,"Damage",'Token Ledger'!$J$7:$J$40,"&lt;="&amp;B57,'Token Ledger'!$K$7:$K$40,"&gt;"&amp;B57)</x:f>
        <x:v>2</x:v>
      </x:c>
      <x:c r="G57" s="65" t="n">
        <x:f>COUNTIFS('Token Ledger'!$C$7:$C$40,"Closure",'Token Ledger'!$P$7:$P$40,"MODELED CREDIT",'Token Ledger'!$K$7:$K$40,"&lt;="&amp;B57,'Token Ledger'!$L$7:$L$40,"&gt;"&amp;B57)</x:f>
        <x:v>4</x:v>
      </x:c>
      <x:c r="H57" s="65" t="n">
        <x:f>COUNTIFS('Token Ledger'!$C$7:$C$40,"Damage",'Token Ledger'!$P$7:$P$40,"MODELED CREDIT",'Token Ledger'!$K$7:$K$40,"&lt;="&amp;B57,'Token Ledger'!$L$7:$L$40,"&gt;"&amp;B57)</x:f>
        <x:v>1</x:v>
      </x:c>
      <x:c r="I57" s="65" t="n">
        <x:f>SUMIFS('Token Ledger'!$Q$7:$Q$40,'Token Ledger'!$C$7:$C$40,"Closure",'Token Ledger'!$L$7:$L$40,"&lt;="&amp;B57)</x:f>
        <x:v>13</x:v>
      </x:c>
      <x:c r="J57" s="65" t="n">
        <x:f>SUMIFS('Token Ledger'!$Q$7:$Q$40,'Token Ledger'!$C$7:$C$40,"Damage",'Token Ledger'!$L$7:$L$40,"&lt;="&amp;B57)</x:f>
        <x:v>3</x:v>
      </x:c>
      <x:c r="K57" s="65" t="n">
        <x:f>COUNTIFS('Token Ledger'!$N$7:$N$40,1,'Token Ledger'!$J$7:$J$40,B57)</x:f>
        <x:v>0</x:v>
      </x:c>
      <x:c r="L57" s="65" t="n">
        <x:f>IF(B57='Control Inputs'!D8,K57,0)</x:f>
        <x:v>0</x:v>
      </x:c>
      <x:c r="M57" s="65" t="str">
        <x:f>IF(C57&lt;='Control Inputs'!D18,"PASS","FAIL")</x:f>
        <x:v>PASS</x:v>
      </x:c>
      <x:c r="N57" s="65" t="str">
        <x:f>IF(E57&lt;='Control Inputs'!D28,"PASS","FAIL")</x:f>
        <x:v>PASS</x:v>
      </x:c>
      <x:c r="O57" s="65" t="str">
        <x:f>IF(G57&lt;=IF(B57&lt;'Control Inputs'!D8,'Control Inputs'!D19,'Control Inputs'!D20),"PASS","FAIL")</x:f>
        <x:v>PASS</x:v>
      </x:c>
      <x:c r="P57" s="65" t="str">
        <x:f>IF(H57&lt;=IF(B57&lt;'Control Inputs'!D8,'Control Inputs'!D29,'Control Inputs'!D30),"PASS","FAIL")</x:f>
        <x:v>PASS</x:v>
      </x:c>
      <x:c r="Q57" s="65" t="str">
        <x:f>IF(AND(L57=0,M57="PASS",N57="PASS",O57="PASS",P57="PASS"),"PASS","FAIL")</x:f>
        <x:v>PASS</x:v>
      </x:c>
      <x:c r="R57" s="76" t="str"/>
    </x:row>
    <x:row r="58" ht="24" customHeight="1">
      <x:c r="B58" s="65" t="n">
        <x:v>52</x:v>
      </x:c>
      <x:c r="C58" s="65" t="n">
        <x:f>COUNTIFS('Token Ledger'!$C$7:$C$40,"Closure",'Token Ledger'!$N$7:$N$40,1,'Token Ledger'!$J$7:$J$40,"&lt;="&amp;B58,'Token Ledger'!$W$7:$W$40,"&gt;"&amp;B58)</x:f>
        <x:v>1</x:v>
      </x:c>
      <x:c r="D58" s="65" t="n">
        <x:f>COUNTIFS('Token Ledger'!$C$7:$C$40,"Closure",'Token Ledger'!$J$7:$J$40,"&lt;="&amp;B58,'Token Ledger'!$K$7:$K$40,"&gt;"&amp;B58)</x:f>
        <x:v>3</x:v>
      </x:c>
      <x:c r="E58" s="65" t="n">
        <x:f>COUNTIFS('Token Ledger'!$C$7:$C$40,"Damage",'Token Ledger'!$N$7:$N$40,1,'Token Ledger'!$J$7:$J$40,"&lt;="&amp;B58,'Token Ledger'!$W$7:$W$40,"&gt;"&amp;B58)</x:f>
        <x:v>2</x:v>
      </x:c>
      <x:c r="F58" s="65" t="n">
        <x:f>COUNTIFS('Token Ledger'!$C$7:$C$40,"Damage",'Token Ledger'!$J$7:$J$40,"&lt;="&amp;B58,'Token Ledger'!$K$7:$K$40,"&gt;"&amp;B58)</x:f>
        <x:v>2</x:v>
      </x:c>
      <x:c r="G58" s="65" t="n">
        <x:f>COUNTIFS('Token Ledger'!$C$7:$C$40,"Closure",'Token Ledger'!$P$7:$P$40,"MODELED CREDIT",'Token Ledger'!$K$7:$K$40,"&lt;="&amp;B58,'Token Ledger'!$L$7:$L$40,"&gt;"&amp;B58)</x:f>
        <x:v>4</x:v>
      </x:c>
      <x:c r="H58" s="65" t="n">
        <x:f>COUNTIFS('Token Ledger'!$C$7:$C$40,"Damage",'Token Ledger'!$P$7:$P$40,"MODELED CREDIT",'Token Ledger'!$K$7:$K$40,"&lt;="&amp;B58,'Token Ledger'!$L$7:$L$40,"&gt;"&amp;B58)</x:f>
        <x:v>1</x:v>
      </x:c>
      <x:c r="I58" s="65" t="n">
        <x:f>SUMIFS('Token Ledger'!$Q$7:$Q$40,'Token Ledger'!$C$7:$C$40,"Closure",'Token Ledger'!$L$7:$L$40,"&lt;="&amp;B58)</x:f>
        <x:v>13</x:v>
      </x:c>
      <x:c r="J58" s="65" t="n">
        <x:f>SUMIFS('Token Ledger'!$Q$7:$Q$40,'Token Ledger'!$C$7:$C$40,"Damage",'Token Ledger'!$L$7:$L$40,"&lt;="&amp;B58)</x:f>
        <x:v>3</x:v>
      </x:c>
      <x:c r="K58" s="65" t="n">
        <x:f>COUNTIFS('Token Ledger'!$N$7:$N$40,1,'Token Ledger'!$J$7:$J$40,B58)</x:f>
        <x:v>0</x:v>
      </x:c>
      <x:c r="L58" s="65" t="n">
        <x:f>IF(B58='Control Inputs'!D8,K58,0)</x:f>
        <x:v>0</x:v>
      </x:c>
      <x:c r="M58" s="65" t="str">
        <x:f>IF(C58&lt;='Control Inputs'!D18,"PASS","FAIL")</x:f>
        <x:v>PASS</x:v>
      </x:c>
      <x:c r="N58" s="65" t="str">
        <x:f>IF(E58&lt;='Control Inputs'!D28,"PASS","FAIL")</x:f>
        <x:v>PASS</x:v>
      </x:c>
      <x:c r="O58" s="65" t="str">
        <x:f>IF(G58&lt;=IF(B58&lt;'Control Inputs'!D8,'Control Inputs'!D19,'Control Inputs'!D20),"PASS","FAIL")</x:f>
        <x:v>PASS</x:v>
      </x:c>
      <x:c r="P58" s="65" t="str">
        <x:f>IF(H58&lt;=IF(B58&lt;'Control Inputs'!D8,'Control Inputs'!D29,'Control Inputs'!D30),"PASS","FAIL")</x:f>
        <x:v>PASS</x:v>
      </x:c>
      <x:c r="Q58" s="65" t="str">
        <x:f>IF(AND(L58=0,M58="PASS",N58="PASS",O58="PASS",P58="PASS"),"PASS","FAIL")</x:f>
        <x:v>PASS</x:v>
      </x:c>
      <x:c r="R58" s="76" t="str"/>
    </x:row>
    <x:row r="59" ht="24" customHeight="1">
      <x:c r="B59" s="65" t="n">
        <x:v>53</x:v>
      </x:c>
      <x:c r="C59" s="65" t="n">
        <x:f>COUNTIFS('Token Ledger'!$C$7:$C$40,"Closure",'Token Ledger'!$N$7:$N$40,1,'Token Ledger'!$J$7:$J$40,"&lt;="&amp;B59,'Token Ledger'!$W$7:$W$40,"&gt;"&amp;B59)</x:f>
        <x:v>1</x:v>
      </x:c>
      <x:c r="D59" s="65" t="n">
        <x:f>COUNTIFS('Token Ledger'!$C$7:$C$40,"Closure",'Token Ledger'!$J$7:$J$40,"&lt;="&amp;B59,'Token Ledger'!$K$7:$K$40,"&gt;"&amp;B59)</x:f>
        <x:v>3</x:v>
      </x:c>
      <x:c r="E59" s="65" t="n">
        <x:f>COUNTIFS('Token Ledger'!$C$7:$C$40,"Damage",'Token Ledger'!$N$7:$N$40,1,'Token Ledger'!$J$7:$J$40,"&lt;="&amp;B59,'Token Ledger'!$W$7:$W$40,"&gt;"&amp;B59)</x:f>
        <x:v>2</x:v>
      </x:c>
      <x:c r="F59" s="65" t="n">
        <x:f>COUNTIFS('Token Ledger'!$C$7:$C$40,"Damage",'Token Ledger'!$J$7:$J$40,"&lt;="&amp;B59,'Token Ledger'!$K$7:$K$40,"&gt;"&amp;B59)</x:f>
        <x:v>2</x:v>
      </x:c>
      <x:c r="G59" s="65" t="n">
        <x:f>COUNTIFS('Token Ledger'!$C$7:$C$40,"Closure",'Token Ledger'!$P$7:$P$40,"MODELED CREDIT",'Token Ledger'!$K$7:$K$40,"&lt;="&amp;B59,'Token Ledger'!$L$7:$L$40,"&gt;"&amp;B59)</x:f>
        <x:v>4</x:v>
      </x:c>
      <x:c r="H59" s="65" t="n">
        <x:f>COUNTIFS('Token Ledger'!$C$7:$C$40,"Damage",'Token Ledger'!$P$7:$P$40,"MODELED CREDIT",'Token Ledger'!$K$7:$K$40,"&lt;="&amp;B59,'Token Ledger'!$L$7:$L$40,"&gt;"&amp;B59)</x:f>
        <x:v>1</x:v>
      </x:c>
      <x:c r="I59" s="65" t="n">
        <x:f>SUMIFS('Token Ledger'!$Q$7:$Q$40,'Token Ledger'!$C$7:$C$40,"Closure",'Token Ledger'!$L$7:$L$40,"&lt;="&amp;B59)</x:f>
        <x:v>13</x:v>
      </x:c>
      <x:c r="J59" s="65" t="n">
        <x:f>SUMIFS('Token Ledger'!$Q$7:$Q$40,'Token Ledger'!$C$7:$C$40,"Damage",'Token Ledger'!$L$7:$L$40,"&lt;="&amp;B59)</x:f>
        <x:v>3</x:v>
      </x:c>
      <x:c r="K59" s="65" t="n">
        <x:f>COUNTIFS('Token Ledger'!$N$7:$N$40,1,'Token Ledger'!$J$7:$J$40,B59)</x:f>
        <x:v>0</x:v>
      </x:c>
      <x:c r="L59" s="65" t="n">
        <x:f>IF(B59='Control Inputs'!D8,K59,0)</x:f>
        <x:v>0</x:v>
      </x:c>
      <x:c r="M59" s="65" t="str">
        <x:f>IF(C59&lt;='Control Inputs'!D18,"PASS","FAIL")</x:f>
        <x:v>PASS</x:v>
      </x:c>
      <x:c r="N59" s="65" t="str">
        <x:f>IF(E59&lt;='Control Inputs'!D28,"PASS","FAIL")</x:f>
        <x:v>PASS</x:v>
      </x:c>
      <x:c r="O59" s="65" t="str">
        <x:f>IF(G59&lt;=IF(B59&lt;'Control Inputs'!D8,'Control Inputs'!D19,'Control Inputs'!D20),"PASS","FAIL")</x:f>
        <x:v>PASS</x:v>
      </x:c>
      <x:c r="P59" s="65" t="str">
        <x:f>IF(H59&lt;=IF(B59&lt;'Control Inputs'!D8,'Control Inputs'!D29,'Control Inputs'!D30),"PASS","FAIL")</x:f>
        <x:v>PASS</x:v>
      </x:c>
      <x:c r="Q59" s="65" t="str">
        <x:f>IF(AND(L59=0,M59="PASS",N59="PASS",O59="PASS",P59="PASS"),"PASS","FAIL")</x:f>
        <x:v>PASS</x:v>
      </x:c>
      <x:c r="R59" s="76" t="str"/>
    </x:row>
    <x:row r="60" ht="24" customHeight="1">
      <x:c r="B60" s="65" t="n">
        <x:v>54</x:v>
      </x:c>
      <x:c r="C60" s="65" t="n">
        <x:f>COUNTIFS('Token Ledger'!$C$7:$C$40,"Closure",'Token Ledger'!$N$7:$N$40,1,'Token Ledger'!$J$7:$J$40,"&lt;="&amp;B60,'Token Ledger'!$W$7:$W$40,"&gt;"&amp;B60)</x:f>
        <x:v>1</x:v>
      </x:c>
      <x:c r="D60" s="65" t="n">
        <x:f>COUNTIFS('Token Ledger'!$C$7:$C$40,"Closure",'Token Ledger'!$J$7:$J$40,"&lt;="&amp;B60,'Token Ledger'!$K$7:$K$40,"&gt;"&amp;B60)</x:f>
        <x:v>3</x:v>
      </x:c>
      <x:c r="E60" s="65" t="n">
        <x:f>COUNTIFS('Token Ledger'!$C$7:$C$40,"Damage",'Token Ledger'!$N$7:$N$40,1,'Token Ledger'!$J$7:$J$40,"&lt;="&amp;B60,'Token Ledger'!$W$7:$W$40,"&gt;"&amp;B60)</x:f>
        <x:v>2</x:v>
      </x:c>
      <x:c r="F60" s="65" t="n">
        <x:f>COUNTIFS('Token Ledger'!$C$7:$C$40,"Damage",'Token Ledger'!$J$7:$J$40,"&lt;="&amp;B60,'Token Ledger'!$K$7:$K$40,"&gt;"&amp;B60)</x:f>
        <x:v>2</x:v>
      </x:c>
      <x:c r="G60" s="65" t="n">
        <x:f>COUNTIFS('Token Ledger'!$C$7:$C$40,"Closure",'Token Ledger'!$P$7:$P$40,"MODELED CREDIT",'Token Ledger'!$K$7:$K$40,"&lt;="&amp;B60,'Token Ledger'!$L$7:$L$40,"&gt;"&amp;B60)</x:f>
        <x:v>4</x:v>
      </x:c>
      <x:c r="H60" s="65" t="n">
        <x:f>COUNTIFS('Token Ledger'!$C$7:$C$40,"Damage",'Token Ledger'!$P$7:$P$40,"MODELED CREDIT",'Token Ledger'!$K$7:$K$40,"&lt;="&amp;B60,'Token Ledger'!$L$7:$L$40,"&gt;"&amp;B60)</x:f>
        <x:v>1</x:v>
      </x:c>
      <x:c r="I60" s="65" t="n">
        <x:f>SUMIFS('Token Ledger'!$Q$7:$Q$40,'Token Ledger'!$C$7:$C$40,"Closure",'Token Ledger'!$L$7:$L$40,"&lt;="&amp;B60)</x:f>
        <x:v>13</x:v>
      </x:c>
      <x:c r="J60" s="65" t="n">
        <x:f>SUMIFS('Token Ledger'!$Q$7:$Q$40,'Token Ledger'!$C$7:$C$40,"Damage",'Token Ledger'!$L$7:$L$40,"&lt;="&amp;B60)</x:f>
        <x:v>3</x:v>
      </x:c>
      <x:c r="K60" s="65" t="n">
        <x:f>COUNTIFS('Token Ledger'!$N$7:$N$40,1,'Token Ledger'!$J$7:$J$40,B60)</x:f>
        <x:v>0</x:v>
      </x:c>
      <x:c r="L60" s="65" t="n">
        <x:f>IF(B60='Control Inputs'!D8,K60,0)</x:f>
        <x:v>0</x:v>
      </x:c>
      <x:c r="M60" s="65" t="str">
        <x:f>IF(C60&lt;='Control Inputs'!D18,"PASS","FAIL")</x:f>
        <x:v>PASS</x:v>
      </x:c>
      <x:c r="N60" s="65" t="str">
        <x:f>IF(E60&lt;='Control Inputs'!D28,"PASS","FAIL")</x:f>
        <x:v>PASS</x:v>
      </x:c>
      <x:c r="O60" s="65" t="str">
        <x:f>IF(G60&lt;=IF(B60&lt;'Control Inputs'!D8,'Control Inputs'!D19,'Control Inputs'!D20),"PASS","FAIL")</x:f>
        <x:v>PASS</x:v>
      </x:c>
      <x:c r="P60" s="65" t="str">
        <x:f>IF(H60&lt;=IF(B60&lt;'Control Inputs'!D8,'Control Inputs'!D29,'Control Inputs'!D30),"PASS","FAIL")</x:f>
        <x:v>PASS</x:v>
      </x:c>
      <x:c r="Q60" s="65" t="str">
        <x:f>IF(AND(L60=0,M60="PASS",N60="PASS",O60="PASS",P60="PASS"),"PASS","FAIL")</x:f>
        <x:v>PASS</x:v>
      </x:c>
      <x:c r="R60" s="76" t="str"/>
    </x:row>
    <x:row r="61" ht="24" customHeight="1">
      <x:c r="B61" s="65" t="n">
        <x:v>55</x:v>
      </x:c>
      <x:c r="C61" s="65" t="n">
        <x:f>COUNTIFS('Token Ledger'!$C$7:$C$40,"Closure",'Token Ledger'!$N$7:$N$40,1,'Token Ledger'!$J$7:$J$40,"&lt;="&amp;B61,'Token Ledger'!$W$7:$W$40,"&gt;"&amp;B61)</x:f>
        <x:v>1</x:v>
      </x:c>
      <x:c r="D61" s="65" t="n">
        <x:f>COUNTIFS('Token Ledger'!$C$7:$C$40,"Closure",'Token Ledger'!$J$7:$J$40,"&lt;="&amp;B61,'Token Ledger'!$K$7:$K$40,"&gt;"&amp;B61)</x:f>
        <x:v>3</x:v>
      </x:c>
      <x:c r="E61" s="65" t="n">
        <x:f>COUNTIFS('Token Ledger'!$C$7:$C$40,"Damage",'Token Ledger'!$N$7:$N$40,1,'Token Ledger'!$J$7:$J$40,"&lt;="&amp;B61,'Token Ledger'!$W$7:$W$40,"&gt;"&amp;B61)</x:f>
        <x:v>2</x:v>
      </x:c>
      <x:c r="F61" s="65" t="n">
        <x:f>COUNTIFS('Token Ledger'!$C$7:$C$40,"Damage",'Token Ledger'!$J$7:$J$40,"&lt;="&amp;B61,'Token Ledger'!$K$7:$K$40,"&gt;"&amp;B61)</x:f>
        <x:v>2</x:v>
      </x:c>
      <x:c r="G61" s="65" t="n">
        <x:f>COUNTIFS('Token Ledger'!$C$7:$C$40,"Closure",'Token Ledger'!$P$7:$P$40,"MODELED CREDIT",'Token Ledger'!$K$7:$K$40,"&lt;="&amp;B61,'Token Ledger'!$L$7:$L$40,"&gt;"&amp;B61)</x:f>
        <x:v>4</x:v>
      </x:c>
      <x:c r="H61" s="65" t="n">
        <x:f>COUNTIFS('Token Ledger'!$C$7:$C$40,"Damage",'Token Ledger'!$P$7:$P$40,"MODELED CREDIT",'Token Ledger'!$K$7:$K$40,"&lt;="&amp;B61,'Token Ledger'!$L$7:$L$40,"&gt;"&amp;B61)</x:f>
        <x:v>1</x:v>
      </x:c>
      <x:c r="I61" s="65" t="n">
        <x:f>SUMIFS('Token Ledger'!$Q$7:$Q$40,'Token Ledger'!$C$7:$C$40,"Closure",'Token Ledger'!$L$7:$L$40,"&lt;="&amp;B61)</x:f>
        <x:v>13</x:v>
      </x:c>
      <x:c r="J61" s="65" t="n">
        <x:f>SUMIFS('Token Ledger'!$Q$7:$Q$40,'Token Ledger'!$C$7:$C$40,"Damage",'Token Ledger'!$L$7:$L$40,"&lt;="&amp;B61)</x:f>
        <x:v>3</x:v>
      </x:c>
      <x:c r="K61" s="65" t="n">
        <x:f>COUNTIFS('Token Ledger'!$N$7:$N$40,1,'Token Ledger'!$J$7:$J$40,B61)</x:f>
        <x:v>0</x:v>
      </x:c>
      <x:c r="L61" s="65" t="n">
        <x:f>IF(B61='Control Inputs'!D8,K61,0)</x:f>
        <x:v>0</x:v>
      </x:c>
      <x:c r="M61" s="65" t="str">
        <x:f>IF(C61&lt;='Control Inputs'!D18,"PASS","FAIL")</x:f>
        <x:v>PASS</x:v>
      </x:c>
      <x:c r="N61" s="65" t="str">
        <x:f>IF(E61&lt;='Control Inputs'!D28,"PASS","FAIL")</x:f>
        <x:v>PASS</x:v>
      </x:c>
      <x:c r="O61" s="65" t="str">
        <x:f>IF(G61&lt;=IF(B61&lt;'Control Inputs'!D8,'Control Inputs'!D19,'Control Inputs'!D20),"PASS","FAIL")</x:f>
        <x:v>PASS</x:v>
      </x:c>
      <x:c r="P61" s="65" t="str">
        <x:f>IF(H61&lt;=IF(B61&lt;'Control Inputs'!D8,'Control Inputs'!D29,'Control Inputs'!D30),"PASS","FAIL")</x:f>
        <x:v>PASS</x:v>
      </x:c>
      <x:c r="Q61" s="65" t="str">
        <x:f>IF(AND(L61=0,M61="PASS",N61="PASS",O61="PASS",P61="PASS"),"PASS","FAIL")</x:f>
        <x:v>PASS</x:v>
      </x:c>
      <x:c r="R61" s="76" t="str"/>
    </x:row>
    <x:row r="62" ht="24" customHeight="1">
      <x:c r="B62" s="65" t="n">
        <x:v>56</x:v>
      </x:c>
      <x:c r="C62" s="65" t="n">
        <x:f>COUNTIFS('Token Ledger'!$C$7:$C$40,"Closure",'Token Ledger'!$N$7:$N$40,1,'Token Ledger'!$J$7:$J$40,"&lt;="&amp;B62,'Token Ledger'!$W$7:$W$40,"&gt;"&amp;B62)</x:f>
        <x:v>1</x:v>
      </x:c>
      <x:c r="D62" s="65" t="n">
        <x:f>COUNTIFS('Token Ledger'!$C$7:$C$40,"Closure",'Token Ledger'!$J$7:$J$40,"&lt;="&amp;B62,'Token Ledger'!$K$7:$K$40,"&gt;"&amp;B62)</x:f>
        <x:v>3</x:v>
      </x:c>
      <x:c r="E62" s="65" t="n">
        <x:f>COUNTIFS('Token Ledger'!$C$7:$C$40,"Damage",'Token Ledger'!$N$7:$N$40,1,'Token Ledger'!$J$7:$J$40,"&lt;="&amp;B62,'Token Ledger'!$W$7:$W$40,"&gt;"&amp;B62)</x:f>
        <x:v>0</x:v>
      </x:c>
      <x:c r="F62" s="65" t="n">
        <x:f>COUNTIFS('Token Ledger'!$C$7:$C$40,"Damage",'Token Ledger'!$J$7:$J$40,"&lt;="&amp;B62,'Token Ledger'!$K$7:$K$40,"&gt;"&amp;B62)</x:f>
        <x:v>2</x:v>
      </x:c>
      <x:c r="G62" s="65" t="n">
        <x:f>COUNTIFS('Token Ledger'!$C$7:$C$40,"Closure",'Token Ledger'!$P$7:$P$40,"MODELED CREDIT",'Token Ledger'!$K$7:$K$40,"&lt;="&amp;B62,'Token Ledger'!$L$7:$L$40,"&gt;"&amp;B62)</x:f>
        <x:v>0</x:v>
      </x:c>
      <x:c r="H62" s="65" t="n">
        <x:f>COUNTIFS('Token Ledger'!$C$7:$C$40,"Damage",'Token Ledger'!$P$7:$P$40,"MODELED CREDIT",'Token Ledger'!$K$7:$K$40,"&lt;="&amp;B62,'Token Ledger'!$L$7:$L$40,"&gt;"&amp;B62)</x:f>
        <x:v>3</x:v>
      </x:c>
      <x:c r="I62" s="65" t="n">
        <x:f>SUMIFS('Token Ledger'!$Q$7:$Q$40,'Token Ledger'!$C$7:$C$40,"Closure",'Token Ledger'!$L$7:$L$40,"&lt;="&amp;B62)</x:f>
        <x:v>17</x:v>
      </x:c>
      <x:c r="J62" s="65" t="n">
        <x:f>SUMIFS('Token Ledger'!$Q$7:$Q$40,'Token Ledger'!$C$7:$C$40,"Damage",'Token Ledger'!$L$7:$L$40,"&lt;="&amp;B62)</x:f>
        <x:v>3</x:v>
      </x:c>
      <x:c r="K62" s="65" t="n">
        <x:f>COUNTIFS('Token Ledger'!$N$7:$N$40,1,'Token Ledger'!$J$7:$J$40,B62)</x:f>
        <x:v>0</x:v>
      </x:c>
      <x:c r="L62" s="65" t="n">
        <x:f>IF(B62='Control Inputs'!D8,K62,0)</x:f>
        <x:v>0</x:v>
      </x:c>
      <x:c r="M62" s="65" t="str">
        <x:f>IF(C62&lt;='Control Inputs'!D18,"PASS","FAIL")</x:f>
        <x:v>PASS</x:v>
      </x:c>
      <x:c r="N62" s="65" t="str">
        <x:f>IF(E62&lt;='Control Inputs'!D28,"PASS","FAIL")</x:f>
        <x:v>PASS</x:v>
      </x:c>
      <x:c r="O62" s="65" t="str">
        <x:f>IF(G62&lt;=IF(B62&lt;'Control Inputs'!D8,'Control Inputs'!D19,'Control Inputs'!D20),"PASS","FAIL")</x:f>
        <x:v>PASS</x:v>
      </x:c>
      <x:c r="P62" s="65" t="str">
        <x:f>IF(H62&lt;=IF(B62&lt;'Control Inputs'!D8,'Control Inputs'!D29,'Control Inputs'!D30),"PASS","FAIL")</x:f>
        <x:v>PASS</x:v>
      </x:c>
      <x:c r="Q62" s="65" t="str">
        <x:f>IF(AND(L62=0,M62="PASS",N62="PASS",O62="PASS",P62="PASS"),"PASS","FAIL")</x:f>
        <x:v>PASS</x:v>
      </x:c>
      <x:c r="R62" s="76" t="str"/>
    </x:row>
    <x:row r="63" ht="24" customHeight="1">
      <x:c r="B63" s="65" t="n">
        <x:v>57</x:v>
      </x:c>
      <x:c r="C63" s="65" t="n">
        <x:f>COUNTIFS('Token Ledger'!$C$7:$C$40,"Closure",'Token Ledger'!$N$7:$N$40,1,'Token Ledger'!$J$7:$J$40,"&lt;="&amp;B63,'Token Ledger'!$W$7:$W$40,"&gt;"&amp;B63)</x:f>
        <x:v>1</x:v>
      </x:c>
      <x:c r="D63" s="65" t="n">
        <x:f>COUNTIFS('Token Ledger'!$C$7:$C$40,"Closure",'Token Ledger'!$J$7:$J$40,"&lt;="&amp;B63,'Token Ledger'!$K$7:$K$40,"&gt;"&amp;B63)</x:f>
        <x:v>3</x:v>
      </x:c>
      <x:c r="E63" s="65" t="n">
        <x:f>COUNTIFS('Token Ledger'!$C$7:$C$40,"Damage",'Token Ledger'!$N$7:$N$40,1,'Token Ledger'!$J$7:$J$40,"&lt;="&amp;B63,'Token Ledger'!$W$7:$W$40,"&gt;"&amp;B63)</x:f>
        <x:v>0</x:v>
      </x:c>
      <x:c r="F63" s="65" t="n">
        <x:f>COUNTIFS('Token Ledger'!$C$7:$C$40,"Damage",'Token Ledger'!$J$7:$J$40,"&lt;="&amp;B63,'Token Ledger'!$K$7:$K$40,"&gt;"&amp;B63)</x:f>
        <x:v>2</x:v>
      </x:c>
      <x:c r="G63" s="65" t="n">
        <x:f>COUNTIFS('Token Ledger'!$C$7:$C$40,"Closure",'Token Ledger'!$P$7:$P$40,"MODELED CREDIT",'Token Ledger'!$K$7:$K$40,"&lt;="&amp;B63,'Token Ledger'!$L$7:$L$40,"&gt;"&amp;B63)</x:f>
        <x:v>0</x:v>
      </x:c>
      <x:c r="H63" s="65" t="n">
        <x:f>COUNTIFS('Token Ledger'!$C$7:$C$40,"Damage",'Token Ledger'!$P$7:$P$40,"MODELED CREDIT",'Token Ledger'!$K$7:$K$40,"&lt;="&amp;B63,'Token Ledger'!$L$7:$L$40,"&gt;"&amp;B63)</x:f>
        <x:v>3</x:v>
      </x:c>
      <x:c r="I63" s="65" t="n">
        <x:f>SUMIFS('Token Ledger'!$Q$7:$Q$40,'Token Ledger'!$C$7:$C$40,"Closure",'Token Ledger'!$L$7:$L$40,"&lt;="&amp;B63)</x:f>
        <x:v>17</x:v>
      </x:c>
      <x:c r="J63" s="65" t="n">
        <x:f>SUMIFS('Token Ledger'!$Q$7:$Q$40,'Token Ledger'!$C$7:$C$40,"Damage",'Token Ledger'!$L$7:$L$40,"&lt;="&amp;B63)</x:f>
        <x:v>3</x:v>
      </x:c>
      <x:c r="K63" s="65" t="n">
        <x:f>COUNTIFS('Token Ledger'!$N$7:$N$40,1,'Token Ledger'!$J$7:$J$40,B63)</x:f>
        <x:v>0</x:v>
      </x:c>
      <x:c r="L63" s="65" t="n">
        <x:f>IF(B63='Control Inputs'!D8,K63,0)</x:f>
        <x:v>0</x:v>
      </x:c>
      <x:c r="M63" s="65" t="str">
        <x:f>IF(C63&lt;='Control Inputs'!D18,"PASS","FAIL")</x:f>
        <x:v>PASS</x:v>
      </x:c>
      <x:c r="N63" s="65" t="str">
        <x:f>IF(E63&lt;='Control Inputs'!D28,"PASS","FAIL")</x:f>
        <x:v>PASS</x:v>
      </x:c>
      <x:c r="O63" s="65" t="str">
        <x:f>IF(G63&lt;=IF(B63&lt;'Control Inputs'!D8,'Control Inputs'!D19,'Control Inputs'!D20),"PASS","FAIL")</x:f>
        <x:v>PASS</x:v>
      </x:c>
      <x:c r="P63" s="65" t="str">
        <x:f>IF(H63&lt;=IF(B63&lt;'Control Inputs'!D8,'Control Inputs'!D29,'Control Inputs'!D30),"PASS","FAIL")</x:f>
        <x:v>PASS</x:v>
      </x:c>
      <x:c r="Q63" s="65" t="str">
        <x:f>IF(AND(L63=0,M63="PASS",N63="PASS",O63="PASS",P63="PASS"),"PASS","FAIL")</x:f>
        <x:v>PASS</x:v>
      </x:c>
      <x:c r="R63" s="76" t="str"/>
    </x:row>
    <x:row r="64" ht="24" customHeight="1">
      <x:c r="B64" s="65" t="n">
        <x:v>58</x:v>
      </x:c>
      <x:c r="C64" s="65" t="n">
        <x:f>COUNTIFS('Token Ledger'!$C$7:$C$40,"Closure",'Token Ledger'!$N$7:$N$40,1,'Token Ledger'!$J$7:$J$40,"&lt;="&amp;B64,'Token Ledger'!$W$7:$W$40,"&gt;"&amp;B64)</x:f>
        <x:v>0</x:v>
      </x:c>
      <x:c r="D64" s="65" t="n">
        <x:f>COUNTIFS('Token Ledger'!$C$7:$C$40,"Closure",'Token Ledger'!$J$7:$J$40,"&lt;="&amp;B64,'Token Ledger'!$K$7:$K$40,"&gt;"&amp;B64)</x:f>
        <x:v>2</x:v>
      </x:c>
      <x:c r="E64" s="65" t="n">
        <x:f>COUNTIFS('Token Ledger'!$C$7:$C$40,"Damage",'Token Ledger'!$N$7:$N$40,1,'Token Ledger'!$J$7:$J$40,"&lt;="&amp;B64,'Token Ledger'!$W$7:$W$40,"&gt;"&amp;B64)</x:f>
        <x:v>0</x:v>
      </x:c>
      <x:c r="F64" s="65" t="n">
        <x:f>COUNTIFS('Token Ledger'!$C$7:$C$40,"Damage",'Token Ledger'!$J$7:$J$40,"&lt;="&amp;B64,'Token Ledger'!$K$7:$K$40,"&gt;"&amp;B64)</x:f>
        <x:v>2</x:v>
      </x:c>
      <x:c r="G64" s="65" t="n">
        <x:f>COUNTIFS('Token Ledger'!$C$7:$C$40,"Closure",'Token Ledger'!$P$7:$P$40,"MODELED CREDIT",'Token Ledger'!$K$7:$K$40,"&lt;="&amp;B64,'Token Ledger'!$L$7:$L$40,"&gt;"&amp;B64)</x:f>
        <x:v>1</x:v>
      </x:c>
      <x:c r="H64" s="65" t="n">
        <x:f>COUNTIFS('Token Ledger'!$C$7:$C$40,"Damage",'Token Ledger'!$P$7:$P$40,"MODELED CREDIT",'Token Ledger'!$K$7:$K$40,"&lt;="&amp;B64,'Token Ledger'!$L$7:$L$40,"&gt;"&amp;B64)</x:f>
        <x:v>3</x:v>
      </x:c>
      <x:c r="I64" s="65" t="n">
        <x:f>SUMIFS('Token Ledger'!$Q$7:$Q$40,'Token Ledger'!$C$7:$C$40,"Closure",'Token Ledger'!$L$7:$L$40,"&lt;="&amp;B64)</x:f>
        <x:v>17</x:v>
      </x:c>
      <x:c r="J64" s="65" t="n">
        <x:f>SUMIFS('Token Ledger'!$Q$7:$Q$40,'Token Ledger'!$C$7:$C$40,"Damage",'Token Ledger'!$L$7:$L$40,"&lt;="&amp;B64)</x:f>
        <x:v>3</x:v>
      </x:c>
      <x:c r="K64" s="65" t="n">
        <x:f>COUNTIFS('Token Ledger'!$N$7:$N$40,1,'Token Ledger'!$J$7:$J$40,B64)</x:f>
        <x:v>0</x:v>
      </x:c>
      <x:c r="L64" s="65" t="n">
        <x:f>IF(B64='Control Inputs'!D8,K64,0)</x:f>
        <x:v>0</x:v>
      </x:c>
      <x:c r="M64" s="65" t="str">
        <x:f>IF(C64&lt;='Control Inputs'!D18,"PASS","FAIL")</x:f>
        <x:v>PASS</x:v>
      </x:c>
      <x:c r="N64" s="65" t="str">
        <x:f>IF(E64&lt;='Control Inputs'!D28,"PASS","FAIL")</x:f>
        <x:v>PASS</x:v>
      </x:c>
      <x:c r="O64" s="65" t="str">
        <x:f>IF(G64&lt;=IF(B64&lt;'Control Inputs'!D8,'Control Inputs'!D19,'Control Inputs'!D20),"PASS","FAIL")</x:f>
        <x:v>PASS</x:v>
      </x:c>
      <x:c r="P64" s="65" t="str">
        <x:f>IF(H64&lt;=IF(B64&lt;'Control Inputs'!D8,'Control Inputs'!D29,'Control Inputs'!D30),"PASS","FAIL")</x:f>
        <x:v>PASS</x:v>
      </x:c>
      <x:c r="Q64" s="65" t="str">
        <x:f>IF(AND(L64=0,M64="PASS",N64="PASS",O64="PASS",P64="PASS"),"PASS","FAIL")</x:f>
        <x:v>PASS</x:v>
      </x:c>
      <x:c r="R64" s="76" t="str"/>
    </x:row>
    <x:row r="65" ht="24" customHeight="1">
      <x:c r="B65" s="65" t="n">
        <x:v>59</x:v>
      </x:c>
      <x:c r="C65" s="65" t="n">
        <x:f>COUNTIFS('Token Ledger'!$C$7:$C$40,"Closure",'Token Ledger'!$N$7:$N$40,1,'Token Ledger'!$J$7:$J$40,"&lt;="&amp;B65,'Token Ledger'!$W$7:$W$40,"&gt;"&amp;B65)</x:f>
        <x:v>0</x:v>
      </x:c>
      <x:c r="D65" s="65" t="n">
        <x:f>COUNTIFS('Token Ledger'!$C$7:$C$40,"Closure",'Token Ledger'!$J$7:$J$40,"&lt;="&amp;B65,'Token Ledger'!$K$7:$K$40,"&gt;"&amp;B65)</x:f>
        <x:v>0</x:v>
      </x:c>
      <x:c r="E65" s="65" t="n">
        <x:f>COUNTIFS('Token Ledger'!$C$7:$C$40,"Damage",'Token Ledger'!$N$7:$N$40,1,'Token Ledger'!$J$7:$J$40,"&lt;="&amp;B65,'Token Ledger'!$W$7:$W$40,"&gt;"&amp;B65)</x:f>
        <x:v>0</x:v>
      </x:c>
      <x:c r="F65" s="65" t="n">
        <x:f>COUNTIFS('Token Ledger'!$C$7:$C$40,"Damage",'Token Ledger'!$J$7:$J$40,"&lt;="&amp;B65,'Token Ledger'!$K$7:$K$40,"&gt;"&amp;B65)</x:f>
        <x:v>2</x:v>
      </x:c>
      <x:c r="G65" s="65" t="n">
        <x:f>COUNTIFS('Token Ledger'!$C$7:$C$40,"Closure",'Token Ledger'!$P$7:$P$40,"MODELED CREDIT",'Token Ledger'!$K$7:$K$40,"&lt;="&amp;B65,'Token Ledger'!$L$7:$L$40,"&gt;"&amp;B65)</x:f>
        <x:v>1</x:v>
      </x:c>
      <x:c r="H65" s="65" t="n">
        <x:f>COUNTIFS('Token Ledger'!$C$7:$C$40,"Damage",'Token Ledger'!$P$7:$P$40,"MODELED CREDIT",'Token Ledger'!$K$7:$K$40,"&lt;="&amp;B65,'Token Ledger'!$L$7:$L$40,"&gt;"&amp;B65)</x:f>
        <x:v>2</x:v>
      </x:c>
      <x:c r="I65" s="65" t="n">
        <x:f>SUMIFS('Token Ledger'!$Q$7:$Q$40,'Token Ledger'!$C$7:$C$40,"Closure",'Token Ledger'!$L$7:$L$40,"&lt;="&amp;B65)</x:f>
        <x:v>17</x:v>
      </x:c>
      <x:c r="J65" s="65" t="n">
        <x:f>SUMIFS('Token Ledger'!$Q$7:$Q$40,'Token Ledger'!$C$7:$C$40,"Damage",'Token Ledger'!$L$7:$L$40,"&lt;="&amp;B65)</x:f>
        <x:v>4</x:v>
      </x:c>
      <x:c r="K65" s="65" t="n">
        <x:f>COUNTIFS('Token Ledger'!$N$7:$N$40,1,'Token Ledger'!$J$7:$J$40,B65)</x:f>
        <x:v>0</x:v>
      </x:c>
      <x:c r="L65" s="65" t="n">
        <x:f>IF(B65='Control Inputs'!D8,K65,0)</x:f>
        <x:v>0</x:v>
      </x:c>
      <x:c r="M65" s="65" t="str">
        <x:f>IF(C65&lt;='Control Inputs'!D18,"PASS","FAIL")</x:f>
        <x:v>PASS</x:v>
      </x:c>
      <x:c r="N65" s="65" t="str">
        <x:f>IF(E65&lt;='Control Inputs'!D28,"PASS","FAIL")</x:f>
        <x:v>PASS</x:v>
      </x:c>
      <x:c r="O65" s="65" t="str">
        <x:f>IF(G65&lt;=IF(B65&lt;'Control Inputs'!D8,'Control Inputs'!D19,'Control Inputs'!D20),"PASS","FAIL")</x:f>
        <x:v>PASS</x:v>
      </x:c>
      <x:c r="P65" s="65" t="str">
        <x:f>IF(H65&lt;=IF(B65&lt;'Control Inputs'!D8,'Control Inputs'!D29,'Control Inputs'!D30),"PASS","FAIL")</x:f>
        <x:v>PASS</x:v>
      </x:c>
      <x:c r="Q65" s="65" t="str">
        <x:f>IF(AND(L65=0,M65="PASS",N65="PASS",O65="PASS",P65="PASS"),"PASS","FAIL")</x:f>
        <x:v>PASS</x:v>
      </x:c>
      <x:c r="R65" s="76" t="str"/>
    </x:row>
    <x:row r="66" ht="24" customHeight="1">
      <x:c r="B66" s="65" t="n">
        <x:v>60</x:v>
      </x:c>
      <x:c r="C66" s="65" t="n">
        <x:f>COUNTIFS('Token Ledger'!$C$7:$C$40,"Closure",'Token Ledger'!$N$7:$N$40,1,'Token Ledger'!$J$7:$J$40,"&lt;="&amp;B66,'Token Ledger'!$W$7:$W$40,"&gt;"&amp;B66)</x:f>
        <x:v>0</x:v>
      </x:c>
      <x:c r="D66" s="65" t="n">
        <x:f>COUNTIFS('Token Ledger'!$C$7:$C$40,"Closure",'Token Ledger'!$J$7:$J$40,"&lt;="&amp;B66,'Token Ledger'!$K$7:$K$40,"&gt;"&amp;B66)</x:f>
        <x:v>1</x:v>
      </x:c>
      <x:c r="E66" s="65" t="n">
        <x:f>COUNTIFS('Token Ledger'!$C$7:$C$40,"Damage",'Token Ledger'!$N$7:$N$40,1,'Token Ledger'!$J$7:$J$40,"&lt;="&amp;B66,'Token Ledger'!$W$7:$W$40,"&gt;"&amp;B66)</x:f>
        <x:v>0</x:v>
      </x:c>
      <x:c r="F66" s="65" t="n">
        <x:f>COUNTIFS('Token Ledger'!$C$7:$C$40,"Damage",'Token Ledger'!$J$7:$J$40,"&lt;="&amp;B66,'Token Ledger'!$K$7:$K$40,"&gt;"&amp;B66)</x:f>
        <x:v>2</x:v>
      </x:c>
      <x:c r="G66" s="65" t="n">
        <x:f>COUNTIFS('Token Ledger'!$C$7:$C$40,"Closure",'Token Ledger'!$P$7:$P$40,"MODELED CREDIT",'Token Ledger'!$K$7:$K$40,"&lt;="&amp;B66,'Token Ledger'!$L$7:$L$40,"&gt;"&amp;B66)</x:f>
        <x:v>1</x:v>
      </x:c>
      <x:c r="H66" s="65" t="n">
        <x:f>COUNTIFS('Token Ledger'!$C$7:$C$40,"Damage",'Token Ledger'!$P$7:$P$40,"MODELED CREDIT",'Token Ledger'!$K$7:$K$40,"&lt;="&amp;B66,'Token Ledger'!$L$7:$L$40,"&gt;"&amp;B66)</x:f>
        <x:v>2</x:v>
      </x:c>
      <x:c r="I66" s="65" t="n">
        <x:f>SUMIFS('Token Ledger'!$Q$7:$Q$40,'Token Ledger'!$C$7:$C$40,"Closure",'Token Ledger'!$L$7:$L$40,"&lt;="&amp;B66)</x:f>
        <x:v>17</x:v>
      </x:c>
      <x:c r="J66" s="65" t="n">
        <x:f>SUMIFS('Token Ledger'!$Q$7:$Q$40,'Token Ledger'!$C$7:$C$40,"Damage",'Token Ledger'!$L$7:$L$40,"&lt;="&amp;B66)</x:f>
        <x:v>4</x:v>
      </x:c>
      <x:c r="K66" s="65" t="n">
        <x:f>COUNTIFS('Token Ledger'!$N$7:$N$40,1,'Token Ledger'!$J$7:$J$40,B66)</x:f>
        <x:v>0</x:v>
      </x:c>
      <x:c r="L66" s="65" t="n">
        <x:f>IF(B66='Control Inputs'!D8,K66,0)</x:f>
        <x:v>0</x:v>
      </x:c>
      <x:c r="M66" s="65" t="str">
        <x:f>IF(C66&lt;='Control Inputs'!D18,"PASS","FAIL")</x:f>
        <x:v>PASS</x:v>
      </x:c>
      <x:c r="N66" s="65" t="str">
        <x:f>IF(E66&lt;='Control Inputs'!D28,"PASS","FAIL")</x:f>
        <x:v>PASS</x:v>
      </x:c>
      <x:c r="O66" s="65" t="str">
        <x:f>IF(G66&lt;=IF(B66&lt;'Control Inputs'!D8,'Control Inputs'!D19,'Control Inputs'!D20),"PASS","FAIL")</x:f>
        <x:v>PASS</x:v>
      </x:c>
      <x:c r="P66" s="65" t="str">
        <x:f>IF(H66&lt;=IF(B66&lt;'Control Inputs'!D8,'Control Inputs'!D29,'Control Inputs'!D30),"PASS","FAIL")</x:f>
        <x:v>PASS</x:v>
      </x:c>
      <x:c r="Q66" s="65" t="str">
        <x:f>IF(AND(L66=0,M66="PASS",N66="PASS",O66="PASS",P66="PASS"),"PASS","FAIL")</x:f>
        <x:v>PASS</x:v>
      </x:c>
      <x:c r="R66" s="76" t="str"/>
    </x:row>
    <x:row r="67" ht="24" customHeight="1">
      <x:c r="B67" s="65" t="n">
        <x:v>61</x:v>
      </x:c>
      <x:c r="C67" s="65" t="n">
        <x:f>COUNTIFS('Token Ledger'!$C$7:$C$40,"Closure",'Token Ledger'!$N$7:$N$40,1,'Token Ledger'!$J$7:$J$40,"&lt;="&amp;B67,'Token Ledger'!$W$7:$W$40,"&gt;"&amp;B67)</x:f>
        <x:v>0</x:v>
      </x:c>
      <x:c r="D67" s="65" t="n">
        <x:f>COUNTIFS('Token Ledger'!$C$7:$C$40,"Closure",'Token Ledger'!$J$7:$J$40,"&lt;="&amp;B67,'Token Ledger'!$K$7:$K$40,"&gt;"&amp;B67)</x:f>
        <x:v>1</x:v>
      </x:c>
      <x:c r="E67" s="65" t="n">
        <x:f>COUNTIFS('Token Ledger'!$C$7:$C$40,"Damage",'Token Ledger'!$N$7:$N$40,1,'Token Ledger'!$J$7:$J$40,"&lt;="&amp;B67,'Token Ledger'!$W$7:$W$40,"&gt;"&amp;B67)</x:f>
        <x:v>0</x:v>
      </x:c>
      <x:c r="F67" s="65" t="n">
        <x:f>COUNTIFS('Token Ledger'!$C$7:$C$40,"Damage",'Token Ledger'!$J$7:$J$40,"&lt;="&amp;B67,'Token Ledger'!$K$7:$K$40,"&gt;"&amp;B67)</x:f>
        <x:v>2</x:v>
      </x:c>
      <x:c r="G67" s="65" t="n">
        <x:f>COUNTIFS('Token Ledger'!$C$7:$C$40,"Closure",'Token Ledger'!$P$7:$P$40,"MODELED CREDIT",'Token Ledger'!$K$7:$K$40,"&lt;="&amp;B67,'Token Ledger'!$L$7:$L$40,"&gt;"&amp;B67)</x:f>
        <x:v>1</x:v>
      </x:c>
      <x:c r="H67" s="65" t="n">
        <x:f>COUNTIFS('Token Ledger'!$C$7:$C$40,"Damage",'Token Ledger'!$P$7:$P$40,"MODELED CREDIT",'Token Ledger'!$K$7:$K$40,"&lt;="&amp;B67,'Token Ledger'!$L$7:$L$40,"&gt;"&amp;B67)</x:f>
        <x:v>2</x:v>
      </x:c>
      <x:c r="I67" s="65" t="n">
        <x:f>SUMIFS('Token Ledger'!$Q$7:$Q$40,'Token Ledger'!$C$7:$C$40,"Closure",'Token Ledger'!$L$7:$L$40,"&lt;="&amp;B67)</x:f>
        <x:v>17</x:v>
      </x:c>
      <x:c r="J67" s="65" t="n">
        <x:f>SUMIFS('Token Ledger'!$Q$7:$Q$40,'Token Ledger'!$C$7:$C$40,"Damage",'Token Ledger'!$L$7:$L$40,"&lt;="&amp;B67)</x:f>
        <x:v>4</x:v>
      </x:c>
      <x:c r="K67" s="65" t="n">
        <x:f>COUNTIFS('Token Ledger'!$N$7:$N$40,1,'Token Ledger'!$J$7:$J$40,B67)</x:f>
        <x:v>0</x:v>
      </x:c>
      <x:c r="L67" s="65" t="n">
        <x:f>IF(B67='Control Inputs'!D8,K67,0)</x:f>
        <x:v>0</x:v>
      </x:c>
      <x:c r="M67" s="65" t="str">
        <x:f>IF(C67&lt;='Control Inputs'!D18,"PASS","FAIL")</x:f>
        <x:v>PASS</x:v>
      </x:c>
      <x:c r="N67" s="65" t="str">
        <x:f>IF(E67&lt;='Control Inputs'!D28,"PASS","FAIL")</x:f>
        <x:v>PASS</x:v>
      </x:c>
      <x:c r="O67" s="65" t="str">
        <x:f>IF(G67&lt;=IF(B67&lt;'Control Inputs'!D8,'Control Inputs'!D19,'Control Inputs'!D20),"PASS","FAIL")</x:f>
        <x:v>PASS</x:v>
      </x:c>
      <x:c r="P67" s="65" t="str">
        <x:f>IF(H67&lt;=IF(B67&lt;'Control Inputs'!D8,'Control Inputs'!D29,'Control Inputs'!D30),"PASS","FAIL")</x:f>
        <x:v>PASS</x:v>
      </x:c>
      <x:c r="Q67" s="65" t="str">
        <x:f>IF(AND(L67=0,M67="PASS",N67="PASS",O67="PASS",P67="PASS"),"PASS","FAIL")</x:f>
        <x:v>PASS</x:v>
      </x:c>
      <x:c r="R67" s="76" t="str"/>
    </x:row>
    <x:row r="68" ht="24" customHeight="1">
      <x:c r="B68" s="65" t="n">
        <x:v>62</x:v>
      </x:c>
      <x:c r="C68" s="65" t="n">
        <x:f>COUNTIFS('Token Ledger'!$C$7:$C$40,"Closure",'Token Ledger'!$N$7:$N$40,1,'Token Ledger'!$J$7:$J$40,"&lt;="&amp;B68,'Token Ledger'!$W$7:$W$40,"&gt;"&amp;B68)</x:f>
        <x:v>0</x:v>
      </x:c>
      <x:c r="D68" s="65" t="n">
        <x:f>COUNTIFS('Token Ledger'!$C$7:$C$40,"Closure",'Token Ledger'!$J$7:$J$40,"&lt;="&amp;B68,'Token Ledger'!$K$7:$K$40,"&gt;"&amp;B68)</x:f>
        <x:v>1</x:v>
      </x:c>
      <x:c r="E68" s="65" t="n">
        <x:f>COUNTIFS('Token Ledger'!$C$7:$C$40,"Damage",'Token Ledger'!$N$7:$N$40,1,'Token Ledger'!$J$7:$J$40,"&lt;="&amp;B68,'Token Ledger'!$W$7:$W$40,"&gt;"&amp;B68)</x:f>
        <x:v>0</x:v>
      </x:c>
      <x:c r="F68" s="65" t="n">
        <x:f>COUNTIFS('Token Ledger'!$C$7:$C$40,"Damage",'Token Ledger'!$J$7:$J$40,"&lt;="&amp;B68,'Token Ledger'!$K$7:$K$40,"&gt;"&amp;B68)</x:f>
        <x:v>2</x:v>
      </x:c>
      <x:c r="G68" s="65" t="n">
        <x:f>COUNTIFS('Token Ledger'!$C$7:$C$40,"Closure",'Token Ledger'!$P$7:$P$40,"MODELED CREDIT",'Token Ledger'!$K$7:$K$40,"&lt;="&amp;B68,'Token Ledger'!$L$7:$L$40,"&gt;"&amp;B68)</x:f>
        <x:v>1</x:v>
      </x:c>
      <x:c r="H68" s="65" t="n">
        <x:f>COUNTIFS('Token Ledger'!$C$7:$C$40,"Damage",'Token Ledger'!$P$7:$P$40,"MODELED CREDIT",'Token Ledger'!$K$7:$K$40,"&lt;="&amp;B68,'Token Ledger'!$L$7:$L$40,"&gt;"&amp;B68)</x:f>
        <x:v>2</x:v>
      </x:c>
      <x:c r="I68" s="65" t="n">
        <x:f>SUMIFS('Token Ledger'!$Q$7:$Q$40,'Token Ledger'!$C$7:$C$40,"Closure",'Token Ledger'!$L$7:$L$40,"&lt;="&amp;B68)</x:f>
        <x:v>17</x:v>
      </x:c>
      <x:c r="J68" s="65" t="n">
        <x:f>SUMIFS('Token Ledger'!$Q$7:$Q$40,'Token Ledger'!$C$7:$C$40,"Damage",'Token Ledger'!$L$7:$L$40,"&lt;="&amp;B68)</x:f>
        <x:v>4</x:v>
      </x:c>
      <x:c r="K68" s="65" t="n">
        <x:f>COUNTIFS('Token Ledger'!$N$7:$N$40,1,'Token Ledger'!$J$7:$J$40,B68)</x:f>
        <x:v>0</x:v>
      </x:c>
      <x:c r="L68" s="65" t="n">
        <x:f>IF(B68='Control Inputs'!D8,K68,0)</x:f>
        <x:v>0</x:v>
      </x:c>
      <x:c r="M68" s="65" t="str">
        <x:f>IF(C68&lt;='Control Inputs'!D18,"PASS","FAIL")</x:f>
        <x:v>PASS</x:v>
      </x:c>
      <x:c r="N68" s="65" t="str">
        <x:f>IF(E68&lt;='Control Inputs'!D28,"PASS","FAIL")</x:f>
        <x:v>PASS</x:v>
      </x:c>
      <x:c r="O68" s="65" t="str">
        <x:f>IF(G68&lt;=IF(B68&lt;'Control Inputs'!D8,'Control Inputs'!D19,'Control Inputs'!D20),"PASS","FAIL")</x:f>
        <x:v>PASS</x:v>
      </x:c>
      <x:c r="P68" s="65" t="str">
        <x:f>IF(H68&lt;=IF(B68&lt;'Control Inputs'!D8,'Control Inputs'!D29,'Control Inputs'!D30),"PASS","FAIL")</x:f>
        <x:v>PASS</x:v>
      </x:c>
      <x:c r="Q68" s="65" t="str">
        <x:f>IF(AND(L68=0,M68="PASS",N68="PASS",O68="PASS",P68="PASS"),"PASS","FAIL")</x:f>
        <x:v>PASS</x:v>
      </x:c>
      <x:c r="R68" s="76" t="str"/>
    </x:row>
    <x:row r="69" ht="24" customHeight="1">
      <x:c r="B69" s="65" t="n">
        <x:v>63</x:v>
      </x:c>
      <x:c r="C69" s="65" t="n">
        <x:f>COUNTIFS('Token Ledger'!$C$7:$C$40,"Closure",'Token Ledger'!$N$7:$N$40,1,'Token Ledger'!$J$7:$J$40,"&lt;="&amp;B69,'Token Ledger'!$W$7:$W$40,"&gt;"&amp;B69)</x:f>
        <x:v>0</x:v>
      </x:c>
      <x:c r="D69" s="65" t="n">
        <x:f>COUNTIFS('Token Ledger'!$C$7:$C$40,"Closure",'Token Ledger'!$J$7:$J$40,"&lt;="&amp;B69,'Token Ledger'!$K$7:$K$40,"&gt;"&amp;B69)</x:f>
        <x:v>1</x:v>
      </x:c>
      <x:c r="E69" s="65" t="n">
        <x:f>COUNTIFS('Token Ledger'!$C$7:$C$40,"Damage",'Token Ledger'!$N$7:$N$40,1,'Token Ledger'!$J$7:$J$40,"&lt;="&amp;B69,'Token Ledger'!$W$7:$W$40,"&gt;"&amp;B69)</x:f>
        <x:v>0</x:v>
      </x:c>
      <x:c r="F69" s="65" t="n">
        <x:f>COUNTIFS('Token Ledger'!$C$7:$C$40,"Damage",'Token Ledger'!$J$7:$J$40,"&lt;="&amp;B69,'Token Ledger'!$K$7:$K$40,"&gt;"&amp;B69)</x:f>
        <x:v>2</x:v>
      </x:c>
      <x:c r="G69" s="65" t="n">
        <x:f>COUNTIFS('Token Ledger'!$C$7:$C$40,"Closure",'Token Ledger'!$P$7:$P$40,"MODELED CREDIT",'Token Ledger'!$K$7:$K$40,"&lt;="&amp;B69,'Token Ledger'!$L$7:$L$40,"&gt;"&amp;B69)</x:f>
        <x:v>1</x:v>
      </x:c>
      <x:c r="H69" s="65" t="n">
        <x:f>COUNTIFS('Token Ledger'!$C$7:$C$40,"Damage",'Token Ledger'!$P$7:$P$40,"MODELED CREDIT",'Token Ledger'!$K$7:$K$40,"&lt;="&amp;B69,'Token Ledger'!$L$7:$L$40,"&gt;"&amp;B69)</x:f>
        <x:v>2</x:v>
      </x:c>
      <x:c r="I69" s="65" t="n">
        <x:f>SUMIFS('Token Ledger'!$Q$7:$Q$40,'Token Ledger'!$C$7:$C$40,"Closure",'Token Ledger'!$L$7:$L$40,"&lt;="&amp;B69)</x:f>
        <x:v>17</x:v>
      </x:c>
      <x:c r="J69" s="65" t="n">
        <x:f>SUMIFS('Token Ledger'!$Q$7:$Q$40,'Token Ledger'!$C$7:$C$40,"Damage",'Token Ledger'!$L$7:$L$40,"&lt;="&amp;B69)</x:f>
        <x:v>4</x:v>
      </x:c>
      <x:c r="K69" s="65" t="n">
        <x:f>COUNTIFS('Token Ledger'!$N$7:$N$40,1,'Token Ledger'!$J$7:$J$40,B69)</x:f>
        <x:v>0</x:v>
      </x:c>
      <x:c r="L69" s="65" t="n">
        <x:f>IF(B69='Control Inputs'!D8,K69,0)</x:f>
        <x:v>0</x:v>
      </x:c>
      <x:c r="M69" s="65" t="str">
        <x:f>IF(C69&lt;='Control Inputs'!D18,"PASS","FAIL")</x:f>
        <x:v>PASS</x:v>
      </x:c>
      <x:c r="N69" s="65" t="str">
        <x:f>IF(E69&lt;='Control Inputs'!D28,"PASS","FAIL")</x:f>
        <x:v>PASS</x:v>
      </x:c>
      <x:c r="O69" s="65" t="str">
        <x:f>IF(G69&lt;=IF(B69&lt;'Control Inputs'!D8,'Control Inputs'!D19,'Control Inputs'!D20),"PASS","FAIL")</x:f>
        <x:v>PASS</x:v>
      </x:c>
      <x:c r="P69" s="65" t="str">
        <x:f>IF(H69&lt;=IF(B69&lt;'Control Inputs'!D8,'Control Inputs'!D29,'Control Inputs'!D30),"PASS","FAIL")</x:f>
        <x:v>PASS</x:v>
      </x:c>
      <x:c r="Q69" s="65" t="str">
        <x:f>IF(AND(L69=0,M69="PASS",N69="PASS",O69="PASS",P69="PASS"),"PASS","FAIL")</x:f>
        <x:v>PASS</x:v>
      </x:c>
      <x:c r="R69" s="76" t="str"/>
    </x:row>
    <x:row r="70" ht="24" customHeight="1">
      <x:c r="B70" s="65" t="n">
        <x:v>64</x:v>
      </x:c>
      <x:c r="C70" s="65" t="n">
        <x:f>COUNTIFS('Token Ledger'!$C$7:$C$40,"Closure",'Token Ledger'!$N$7:$N$40,1,'Token Ledger'!$J$7:$J$40,"&lt;="&amp;B70,'Token Ledger'!$W$7:$W$40,"&gt;"&amp;B70)</x:f>
        <x:v>0</x:v>
      </x:c>
      <x:c r="D70" s="65" t="n">
        <x:f>COUNTIFS('Token Ledger'!$C$7:$C$40,"Closure",'Token Ledger'!$J$7:$J$40,"&lt;="&amp;B70,'Token Ledger'!$K$7:$K$40,"&gt;"&amp;B70)</x:f>
        <x:v>1</x:v>
      </x:c>
      <x:c r="E70" s="65" t="n">
        <x:f>COUNTIFS('Token Ledger'!$C$7:$C$40,"Damage",'Token Ledger'!$N$7:$N$40,1,'Token Ledger'!$J$7:$J$40,"&lt;="&amp;B70,'Token Ledger'!$W$7:$W$40,"&gt;"&amp;B70)</x:f>
        <x:v>0</x:v>
      </x:c>
      <x:c r="F70" s="65" t="n">
        <x:f>COUNTIFS('Token Ledger'!$C$7:$C$40,"Damage",'Token Ledger'!$J$7:$J$40,"&lt;="&amp;B70,'Token Ledger'!$K$7:$K$40,"&gt;"&amp;B70)</x:f>
        <x:v>2</x:v>
      </x:c>
      <x:c r="G70" s="65" t="n">
        <x:f>COUNTIFS('Token Ledger'!$C$7:$C$40,"Closure",'Token Ledger'!$P$7:$P$40,"MODELED CREDIT",'Token Ledger'!$K$7:$K$40,"&lt;="&amp;B70,'Token Ledger'!$L$7:$L$40,"&gt;"&amp;B70)</x:f>
        <x:v>0</x:v>
      </x:c>
      <x:c r="H70" s="65" t="n">
        <x:f>COUNTIFS('Token Ledger'!$C$7:$C$40,"Damage",'Token Ledger'!$P$7:$P$40,"MODELED CREDIT",'Token Ledger'!$K$7:$K$40,"&lt;="&amp;B70,'Token Ledger'!$L$7:$L$40,"&gt;"&amp;B70)</x:f>
        <x:v>0</x:v>
      </x:c>
      <x:c r="I70" s="65" t="n">
        <x:f>SUMIFS('Token Ledger'!$Q$7:$Q$40,'Token Ledger'!$C$7:$C$40,"Closure",'Token Ledger'!$L$7:$L$40,"&lt;="&amp;B70)</x:f>
        <x:v>18</x:v>
      </x:c>
      <x:c r="J70" s="65" t="n">
        <x:f>SUMIFS('Token Ledger'!$Q$7:$Q$40,'Token Ledger'!$C$7:$C$40,"Damage",'Token Ledger'!$L$7:$L$40,"&lt;="&amp;B70)</x:f>
        <x:v>6</x:v>
      </x:c>
      <x:c r="K70" s="65" t="n">
        <x:f>COUNTIFS('Token Ledger'!$N$7:$N$40,1,'Token Ledger'!$J$7:$J$40,B70)</x:f>
        <x:v>0</x:v>
      </x:c>
      <x:c r="L70" s="65" t="n">
        <x:f>IF(B70='Control Inputs'!D8,K70,0)</x:f>
        <x:v>0</x:v>
      </x:c>
      <x:c r="M70" s="65" t="str">
        <x:f>IF(C70&lt;='Control Inputs'!D18,"PASS","FAIL")</x:f>
        <x:v>PASS</x:v>
      </x:c>
      <x:c r="N70" s="65" t="str">
        <x:f>IF(E70&lt;='Control Inputs'!D28,"PASS","FAIL")</x:f>
        <x:v>PASS</x:v>
      </x:c>
      <x:c r="O70" s="65" t="str">
        <x:f>IF(G70&lt;=IF(B70&lt;'Control Inputs'!D8,'Control Inputs'!D19,'Control Inputs'!D20),"PASS","FAIL")</x:f>
        <x:v>PASS</x:v>
      </x:c>
      <x:c r="P70" s="65" t="str">
        <x:f>IF(H70&lt;=IF(B70&lt;'Control Inputs'!D8,'Control Inputs'!D29,'Control Inputs'!D30),"PASS","FAIL")</x:f>
        <x:v>PASS</x:v>
      </x:c>
      <x:c r="Q70" s="65" t="str">
        <x:f>IF(AND(L70=0,M70="PASS",N70="PASS",O70="PASS",P70="PASS"),"PASS","FAIL")</x:f>
        <x:v>PASS</x:v>
      </x:c>
      <x:c r="R70" s="76" t="str">
        <x:v>modeled credit objectives terminal</x:v>
      </x:c>
    </x:row>
    <x:row r="71" ht="24" customHeight="1">
      <x:c r="B71" s="65" t="n">
        <x:v>65</x:v>
      </x:c>
      <x:c r="C71" s="65" t="n">
        <x:f>COUNTIFS('Token Ledger'!$C$7:$C$40,"Closure",'Token Ledger'!$N$7:$N$40,1,'Token Ledger'!$J$7:$J$40,"&lt;="&amp;B71,'Token Ledger'!$W$7:$W$40,"&gt;"&amp;B71)</x:f>
        <x:v>0</x:v>
      </x:c>
      <x:c r="D71" s="65" t="n">
        <x:f>COUNTIFS('Token Ledger'!$C$7:$C$40,"Closure",'Token Ledger'!$J$7:$J$40,"&lt;="&amp;B71,'Token Ledger'!$K$7:$K$40,"&gt;"&amp;B71)</x:f>
        <x:v>1</x:v>
      </x:c>
      <x:c r="E71" s="65" t="n">
        <x:f>COUNTIFS('Token Ledger'!$C$7:$C$40,"Damage",'Token Ledger'!$N$7:$N$40,1,'Token Ledger'!$J$7:$J$40,"&lt;="&amp;B71,'Token Ledger'!$W$7:$W$40,"&gt;"&amp;B71)</x:f>
        <x:v>0</x:v>
      </x:c>
      <x:c r="F71" s="65" t="n">
        <x:f>COUNTIFS('Token Ledger'!$C$7:$C$40,"Damage",'Token Ledger'!$J$7:$J$40,"&lt;="&amp;B71,'Token Ledger'!$K$7:$K$40,"&gt;"&amp;B71)</x:f>
        <x:v>2</x:v>
      </x:c>
      <x:c r="G71" s="65" t="n">
        <x:f>COUNTIFS('Token Ledger'!$C$7:$C$40,"Closure",'Token Ledger'!$P$7:$P$40,"MODELED CREDIT",'Token Ledger'!$K$7:$K$40,"&lt;="&amp;B71,'Token Ledger'!$L$7:$L$40,"&gt;"&amp;B71)</x:f>
        <x:v>0</x:v>
      </x:c>
      <x:c r="H71" s="65" t="n">
        <x:f>COUNTIFS('Token Ledger'!$C$7:$C$40,"Damage",'Token Ledger'!$P$7:$P$40,"MODELED CREDIT",'Token Ledger'!$K$7:$K$40,"&lt;="&amp;B71,'Token Ledger'!$L$7:$L$40,"&gt;"&amp;B71)</x:f>
        <x:v>0</x:v>
      </x:c>
      <x:c r="I71" s="65" t="n">
        <x:f>SUMIFS('Token Ledger'!$Q$7:$Q$40,'Token Ledger'!$C$7:$C$40,"Closure",'Token Ledger'!$L$7:$L$40,"&lt;="&amp;B71)</x:f>
        <x:v>18</x:v>
      </x:c>
      <x:c r="J71" s="65" t="n">
        <x:f>SUMIFS('Token Ledger'!$Q$7:$Q$40,'Token Ledger'!$C$7:$C$40,"Damage",'Token Ledger'!$L$7:$L$40,"&lt;="&amp;B71)</x:f>
        <x:v>6</x:v>
      </x:c>
      <x:c r="K71" s="65" t="n">
        <x:f>COUNTIFS('Token Ledger'!$N$7:$N$40,1,'Token Ledger'!$J$7:$J$40,B71)</x:f>
        <x:v>0</x:v>
      </x:c>
      <x:c r="L71" s="65" t="n">
        <x:f>IF(B71='Control Inputs'!D8,K71,0)</x:f>
        <x:v>0</x:v>
      </x:c>
      <x:c r="M71" s="65" t="str">
        <x:f>IF(C71&lt;='Control Inputs'!D18,"PASS","FAIL")</x:f>
        <x:v>PASS</x:v>
      </x:c>
      <x:c r="N71" s="65" t="str">
        <x:f>IF(E71&lt;='Control Inputs'!D28,"PASS","FAIL")</x:f>
        <x:v>PASS</x:v>
      </x:c>
      <x:c r="O71" s="65" t="str">
        <x:f>IF(G71&lt;=IF(B71&lt;'Control Inputs'!D8,'Control Inputs'!D19,'Control Inputs'!D20),"PASS","FAIL")</x:f>
        <x:v>PASS</x:v>
      </x:c>
      <x:c r="P71" s="65" t="str">
        <x:f>IF(H71&lt;=IF(B71&lt;'Control Inputs'!D8,'Control Inputs'!D29,'Control Inputs'!D30),"PASS","FAIL")</x:f>
        <x:v>PASS</x:v>
      </x:c>
      <x:c r="Q71" s="65" t="str">
        <x:f>IF(AND(L71=0,M71="PASS",N71="PASS",O71="PASS",P71="PASS"),"PASS","FAIL")</x:f>
        <x:v>PASS</x:v>
      </x:c>
      <x:c r="R71" s="76" t="str"/>
    </x:row>
    <x:row r="72" ht="24" customHeight="1">
      <x:c r="B72" s="65" t="n">
        <x:v>66</x:v>
      </x:c>
      <x:c r="C72" s="65" t="n">
        <x:f>COUNTIFS('Token Ledger'!$C$7:$C$40,"Closure",'Token Ledger'!$N$7:$N$40,1,'Token Ledger'!$J$7:$J$40,"&lt;="&amp;B72,'Token Ledger'!$W$7:$W$40,"&gt;"&amp;B72)</x:f>
        <x:v>0</x:v>
      </x:c>
      <x:c r="D72" s="65" t="n">
        <x:f>COUNTIFS('Token Ledger'!$C$7:$C$40,"Closure",'Token Ledger'!$J$7:$J$40,"&lt;="&amp;B72,'Token Ledger'!$K$7:$K$40,"&gt;"&amp;B72)</x:f>
        <x:v>1</x:v>
      </x:c>
      <x:c r="E72" s="65" t="n">
        <x:f>COUNTIFS('Token Ledger'!$C$7:$C$40,"Damage",'Token Ledger'!$N$7:$N$40,1,'Token Ledger'!$J$7:$J$40,"&lt;="&amp;B72,'Token Ledger'!$W$7:$W$40,"&gt;"&amp;B72)</x:f>
        <x:v>0</x:v>
      </x:c>
      <x:c r="F72" s="65" t="n">
        <x:f>COUNTIFS('Token Ledger'!$C$7:$C$40,"Damage",'Token Ledger'!$J$7:$J$40,"&lt;="&amp;B72,'Token Ledger'!$K$7:$K$40,"&gt;"&amp;B72)</x:f>
        <x:v>2</x:v>
      </x:c>
      <x:c r="G72" s="65" t="n">
        <x:f>COUNTIFS('Token Ledger'!$C$7:$C$40,"Closure",'Token Ledger'!$P$7:$P$40,"MODELED CREDIT",'Token Ledger'!$K$7:$K$40,"&lt;="&amp;B72,'Token Ledger'!$L$7:$L$40,"&gt;"&amp;B72)</x:f>
        <x:v>0</x:v>
      </x:c>
      <x:c r="H72" s="65" t="n">
        <x:f>COUNTIFS('Token Ledger'!$C$7:$C$40,"Damage",'Token Ledger'!$P$7:$P$40,"MODELED CREDIT",'Token Ledger'!$K$7:$K$40,"&lt;="&amp;B72,'Token Ledger'!$L$7:$L$40,"&gt;"&amp;B72)</x:f>
        <x:v>0</x:v>
      </x:c>
      <x:c r="I72" s="65" t="n">
        <x:f>SUMIFS('Token Ledger'!$Q$7:$Q$40,'Token Ledger'!$C$7:$C$40,"Closure",'Token Ledger'!$L$7:$L$40,"&lt;="&amp;B72)</x:f>
        <x:v>18</x:v>
      </x:c>
      <x:c r="J72" s="65" t="n">
        <x:f>SUMIFS('Token Ledger'!$Q$7:$Q$40,'Token Ledger'!$C$7:$C$40,"Damage",'Token Ledger'!$L$7:$L$40,"&lt;="&amp;B72)</x:f>
        <x:v>6</x:v>
      </x:c>
      <x:c r="K72" s="65" t="n">
        <x:f>COUNTIFS('Token Ledger'!$N$7:$N$40,1,'Token Ledger'!$J$7:$J$40,B72)</x:f>
        <x:v>0</x:v>
      </x:c>
      <x:c r="L72" s="65" t="n">
        <x:f>IF(B72='Control Inputs'!D8,K72,0)</x:f>
        <x:v>0</x:v>
      </x:c>
      <x:c r="M72" s="65" t="str">
        <x:f>IF(C72&lt;='Control Inputs'!D18,"PASS","FAIL")</x:f>
        <x:v>PASS</x:v>
      </x:c>
      <x:c r="N72" s="65" t="str">
        <x:f>IF(E72&lt;='Control Inputs'!D28,"PASS","FAIL")</x:f>
        <x:v>PASS</x:v>
      </x:c>
      <x:c r="O72" s="65" t="str">
        <x:f>IF(G72&lt;=IF(B72&lt;'Control Inputs'!D8,'Control Inputs'!D19,'Control Inputs'!D20),"PASS","FAIL")</x:f>
        <x:v>PASS</x:v>
      </x:c>
      <x:c r="P72" s="65" t="str">
        <x:f>IF(H72&lt;=IF(B72&lt;'Control Inputs'!D8,'Control Inputs'!D29,'Control Inputs'!D30),"PASS","FAIL")</x:f>
        <x:v>PASS</x:v>
      </x:c>
      <x:c r="Q72" s="65" t="str">
        <x:f>IF(AND(L72=0,M72="PASS",N72="PASS",O72="PASS",P72="PASS"),"PASS","FAIL")</x:f>
        <x:v>PASS</x:v>
      </x:c>
      <x:c r="R72" s="76" t="str"/>
    </x:row>
    <x:row r="73" ht="24" customHeight="1">
      <x:c r="B73" s="65" t="n">
        <x:v>67</x:v>
      </x:c>
      <x:c r="C73" s="65" t="n">
        <x:f>COUNTIFS('Token Ledger'!$C$7:$C$40,"Closure",'Token Ledger'!$N$7:$N$40,1,'Token Ledger'!$J$7:$J$40,"&lt;="&amp;B73,'Token Ledger'!$W$7:$W$40,"&gt;"&amp;B73)</x:f>
        <x:v>0</x:v>
      </x:c>
      <x:c r="D73" s="65" t="n">
        <x:f>COUNTIFS('Token Ledger'!$C$7:$C$40,"Closure",'Token Ledger'!$J$7:$J$40,"&lt;="&amp;B73,'Token Ledger'!$K$7:$K$40,"&gt;"&amp;B73)</x:f>
        <x:v>1</x:v>
      </x:c>
      <x:c r="E73" s="65" t="n">
        <x:f>COUNTIFS('Token Ledger'!$C$7:$C$40,"Damage",'Token Ledger'!$N$7:$N$40,1,'Token Ledger'!$J$7:$J$40,"&lt;="&amp;B73,'Token Ledger'!$W$7:$W$40,"&gt;"&amp;B73)</x:f>
        <x:v>0</x:v>
      </x:c>
      <x:c r="F73" s="65" t="n">
        <x:f>COUNTIFS('Token Ledger'!$C$7:$C$40,"Damage",'Token Ledger'!$J$7:$J$40,"&lt;="&amp;B73,'Token Ledger'!$K$7:$K$40,"&gt;"&amp;B73)</x:f>
        <x:v>2</x:v>
      </x:c>
      <x:c r="G73" s="65" t="n">
        <x:f>COUNTIFS('Token Ledger'!$C$7:$C$40,"Closure",'Token Ledger'!$P$7:$P$40,"MODELED CREDIT",'Token Ledger'!$K$7:$K$40,"&lt;="&amp;B73,'Token Ledger'!$L$7:$L$40,"&gt;"&amp;B73)</x:f>
        <x:v>0</x:v>
      </x:c>
      <x:c r="H73" s="65" t="n">
        <x:f>COUNTIFS('Token Ledger'!$C$7:$C$40,"Damage",'Token Ledger'!$P$7:$P$40,"MODELED CREDIT",'Token Ledger'!$K$7:$K$40,"&lt;="&amp;B73,'Token Ledger'!$L$7:$L$40,"&gt;"&amp;B73)</x:f>
        <x:v>0</x:v>
      </x:c>
      <x:c r="I73" s="65" t="n">
        <x:f>SUMIFS('Token Ledger'!$Q$7:$Q$40,'Token Ledger'!$C$7:$C$40,"Closure",'Token Ledger'!$L$7:$L$40,"&lt;="&amp;B73)</x:f>
        <x:v>18</x:v>
      </x:c>
      <x:c r="J73" s="65" t="n">
        <x:f>SUMIFS('Token Ledger'!$Q$7:$Q$40,'Token Ledger'!$C$7:$C$40,"Damage",'Token Ledger'!$L$7:$L$40,"&lt;="&amp;B73)</x:f>
        <x:v>6</x:v>
      </x:c>
      <x:c r="K73" s="65" t="n">
        <x:f>COUNTIFS('Token Ledger'!$N$7:$N$40,1,'Token Ledger'!$J$7:$J$40,B73)</x:f>
        <x:v>0</x:v>
      </x:c>
      <x:c r="L73" s="65" t="n">
        <x:f>IF(B73='Control Inputs'!D8,K73,0)</x:f>
        <x:v>0</x:v>
      </x:c>
      <x:c r="M73" s="65" t="str">
        <x:f>IF(C73&lt;='Control Inputs'!D18,"PASS","FAIL")</x:f>
        <x:v>PASS</x:v>
      </x:c>
      <x:c r="N73" s="65" t="str">
        <x:f>IF(E73&lt;='Control Inputs'!D28,"PASS","FAIL")</x:f>
        <x:v>PASS</x:v>
      </x:c>
      <x:c r="O73" s="65" t="str">
        <x:f>IF(G73&lt;=IF(B73&lt;'Control Inputs'!D8,'Control Inputs'!D19,'Control Inputs'!D20),"PASS","FAIL")</x:f>
        <x:v>PASS</x:v>
      </x:c>
      <x:c r="P73" s="65" t="str">
        <x:f>IF(H73&lt;=IF(B73&lt;'Control Inputs'!D8,'Control Inputs'!D29,'Control Inputs'!D30),"PASS","FAIL")</x:f>
        <x:v>PASS</x:v>
      </x:c>
      <x:c r="Q73" s="65" t="str">
        <x:f>IF(AND(L73=0,M73="PASS",N73="PASS",O73="PASS",P73="PASS"),"PASS","FAIL")</x:f>
        <x:v>PASS</x:v>
      </x:c>
      <x:c r="R73" s="76" t="str"/>
    </x:row>
    <x:row r="74" ht="24" customHeight="1">
      <x:c r="B74" s="65" t="n">
        <x:v>68</x:v>
      </x:c>
      <x:c r="C74" s="65" t="n">
        <x:f>COUNTIFS('Token Ledger'!$C$7:$C$40,"Closure",'Token Ledger'!$N$7:$N$40,1,'Token Ledger'!$J$7:$J$40,"&lt;="&amp;B74,'Token Ledger'!$W$7:$W$40,"&gt;"&amp;B74)</x:f>
        <x:v>0</x:v>
      </x:c>
      <x:c r="D74" s="65" t="n">
        <x:f>COUNTIFS('Token Ledger'!$C$7:$C$40,"Closure",'Token Ledger'!$J$7:$J$40,"&lt;="&amp;B74,'Token Ledger'!$K$7:$K$40,"&gt;"&amp;B74)</x:f>
        <x:v>0</x:v>
      </x:c>
      <x:c r="E74" s="65" t="n">
        <x:f>COUNTIFS('Token Ledger'!$C$7:$C$40,"Damage",'Token Ledger'!$N$7:$N$40,1,'Token Ledger'!$J$7:$J$40,"&lt;="&amp;B74,'Token Ledger'!$W$7:$W$40,"&gt;"&amp;B74)</x:f>
        <x:v>0</x:v>
      </x:c>
      <x:c r="F74" s="65" t="n">
        <x:f>COUNTIFS('Token Ledger'!$C$7:$C$40,"Damage",'Token Ledger'!$J$7:$J$40,"&lt;="&amp;B74,'Token Ledger'!$K$7:$K$40,"&gt;"&amp;B74)</x:f>
        <x:v>2</x:v>
      </x:c>
      <x:c r="G74" s="65" t="n">
        <x:f>COUNTIFS('Token Ledger'!$C$7:$C$40,"Closure",'Token Ledger'!$P$7:$P$40,"MODELED CREDIT",'Token Ledger'!$K$7:$K$40,"&lt;="&amp;B74,'Token Ledger'!$L$7:$L$40,"&gt;"&amp;B74)</x:f>
        <x:v>0</x:v>
      </x:c>
      <x:c r="H74" s="65" t="n">
        <x:f>COUNTIFS('Token Ledger'!$C$7:$C$40,"Damage",'Token Ledger'!$P$7:$P$40,"MODELED CREDIT",'Token Ledger'!$K$7:$K$40,"&lt;="&amp;B74,'Token Ledger'!$L$7:$L$40,"&gt;"&amp;B74)</x:f>
        <x:v>0</x:v>
      </x:c>
      <x:c r="I74" s="65" t="n">
        <x:f>SUMIFS('Token Ledger'!$Q$7:$Q$40,'Token Ledger'!$C$7:$C$40,"Closure",'Token Ledger'!$L$7:$L$40,"&lt;="&amp;B74)</x:f>
        <x:v>18</x:v>
      </x:c>
      <x:c r="J74" s="65" t="n">
        <x:f>SUMIFS('Token Ledger'!$Q$7:$Q$40,'Token Ledger'!$C$7:$C$40,"Damage",'Token Ledger'!$L$7:$L$40,"&lt;="&amp;B74)</x:f>
        <x:v>6</x:v>
      </x:c>
      <x:c r="K74" s="65" t="n">
        <x:f>COUNTIFS('Token Ledger'!$N$7:$N$40,1,'Token Ledger'!$J$7:$J$40,B74)</x:f>
        <x:v>0</x:v>
      </x:c>
      <x:c r="L74" s="65" t="n">
        <x:f>IF(B74='Control Inputs'!D8,K74,0)</x:f>
        <x:v>0</x:v>
      </x:c>
      <x:c r="M74" s="65" t="str">
        <x:f>IF(C74&lt;='Control Inputs'!D18,"PASS","FAIL")</x:f>
        <x:v>PASS</x:v>
      </x:c>
      <x:c r="N74" s="65" t="str">
        <x:f>IF(E74&lt;='Control Inputs'!D28,"PASS","FAIL")</x:f>
        <x:v>PASS</x:v>
      </x:c>
      <x:c r="O74" s="65" t="str">
        <x:f>IF(G74&lt;=IF(B74&lt;'Control Inputs'!D8,'Control Inputs'!D19,'Control Inputs'!D20),"PASS","FAIL")</x:f>
        <x:v>PASS</x:v>
      </x:c>
      <x:c r="P74" s="65" t="str">
        <x:f>IF(H74&lt;=IF(B74&lt;'Control Inputs'!D8,'Control Inputs'!D29,'Control Inputs'!D30),"PASS","FAIL")</x:f>
        <x:v>PASS</x:v>
      </x:c>
      <x:c r="Q74" s="65" t="str">
        <x:f>IF(AND(L74=0,M74="PASS",N74="PASS",O74="PASS",P74="PASS"),"PASS","FAIL")</x:f>
        <x:v>PASS</x:v>
      </x:c>
      <x:c r="R74" s="76" t="str"/>
    </x:row>
    <x:row r="75" ht="24" customHeight="1">
      <x:c r="B75" s="65" t="n">
        <x:v>69</x:v>
      </x:c>
      <x:c r="C75" s="65" t="n">
        <x:f>COUNTIFS('Token Ledger'!$C$7:$C$40,"Closure",'Token Ledger'!$N$7:$N$40,1,'Token Ledger'!$J$7:$J$40,"&lt;="&amp;B75,'Token Ledger'!$W$7:$W$40,"&gt;"&amp;B75)</x:f>
        <x:v>0</x:v>
      </x:c>
      <x:c r="D75" s="65" t="n">
        <x:f>COUNTIFS('Token Ledger'!$C$7:$C$40,"Closure",'Token Ledger'!$J$7:$J$40,"&lt;="&amp;B75,'Token Ledger'!$K$7:$K$40,"&gt;"&amp;B75)</x:f>
        <x:v>1</x:v>
      </x:c>
      <x:c r="E75" s="65" t="n">
        <x:f>COUNTIFS('Token Ledger'!$C$7:$C$40,"Damage",'Token Ledger'!$N$7:$N$40,1,'Token Ledger'!$J$7:$J$40,"&lt;="&amp;B75,'Token Ledger'!$W$7:$W$40,"&gt;"&amp;B75)</x:f>
        <x:v>0</x:v>
      </x:c>
      <x:c r="F75" s="65" t="n">
        <x:f>COUNTIFS('Token Ledger'!$C$7:$C$40,"Damage",'Token Ledger'!$J$7:$J$40,"&lt;="&amp;B75,'Token Ledger'!$K$7:$K$40,"&gt;"&amp;B75)</x:f>
        <x:v>2</x:v>
      </x:c>
      <x:c r="G75" s="65" t="n">
        <x:f>COUNTIFS('Token Ledger'!$C$7:$C$40,"Closure",'Token Ledger'!$P$7:$P$40,"MODELED CREDIT",'Token Ledger'!$K$7:$K$40,"&lt;="&amp;B75,'Token Ledger'!$L$7:$L$40,"&gt;"&amp;B75)</x:f>
        <x:v>0</x:v>
      </x:c>
      <x:c r="H75" s="65" t="n">
        <x:f>COUNTIFS('Token Ledger'!$C$7:$C$40,"Damage",'Token Ledger'!$P$7:$P$40,"MODELED CREDIT",'Token Ledger'!$K$7:$K$40,"&lt;="&amp;B75,'Token Ledger'!$L$7:$L$40,"&gt;"&amp;B75)</x:f>
        <x:v>0</x:v>
      </x:c>
      <x:c r="I75" s="65" t="n">
        <x:f>SUMIFS('Token Ledger'!$Q$7:$Q$40,'Token Ledger'!$C$7:$C$40,"Closure",'Token Ledger'!$L$7:$L$40,"&lt;="&amp;B75)</x:f>
        <x:v>18</x:v>
      </x:c>
      <x:c r="J75" s="65" t="n">
        <x:f>SUMIFS('Token Ledger'!$Q$7:$Q$40,'Token Ledger'!$C$7:$C$40,"Damage",'Token Ledger'!$L$7:$L$40,"&lt;="&amp;B75)</x:f>
        <x:v>6</x:v>
      </x:c>
      <x:c r="K75" s="65" t="n">
        <x:f>COUNTIFS('Token Ledger'!$N$7:$N$40,1,'Token Ledger'!$J$7:$J$40,B75)</x:f>
        <x:v>0</x:v>
      </x:c>
      <x:c r="L75" s="65" t="n">
        <x:f>IF(B75='Control Inputs'!D8,K75,0)</x:f>
        <x:v>0</x:v>
      </x:c>
      <x:c r="M75" s="65" t="str">
        <x:f>IF(C75&lt;='Control Inputs'!D18,"PASS","FAIL")</x:f>
        <x:v>PASS</x:v>
      </x:c>
      <x:c r="N75" s="65" t="str">
        <x:f>IF(E75&lt;='Control Inputs'!D28,"PASS","FAIL")</x:f>
        <x:v>PASS</x:v>
      </x:c>
      <x:c r="O75" s="65" t="str">
        <x:f>IF(G75&lt;=IF(B75&lt;'Control Inputs'!D8,'Control Inputs'!D19,'Control Inputs'!D20),"PASS","FAIL")</x:f>
        <x:v>PASS</x:v>
      </x:c>
      <x:c r="P75" s="65" t="str">
        <x:f>IF(H75&lt;=IF(B75&lt;'Control Inputs'!D8,'Control Inputs'!D29,'Control Inputs'!D30),"PASS","FAIL")</x:f>
        <x:v>PASS</x:v>
      </x:c>
      <x:c r="Q75" s="65" t="str">
        <x:f>IF(AND(L75=0,M75="PASS",N75="PASS",O75="PASS",P75="PASS"),"PASS","FAIL")</x:f>
        <x:v>PASS</x:v>
      </x:c>
      <x:c r="R75" s="76" t="str"/>
    </x:row>
    <x:row r="76" ht="24" customHeight="1">
      <x:c r="B76" s="65" t="n">
        <x:v>70</x:v>
      </x:c>
      <x:c r="C76" s="65" t="n">
        <x:f>COUNTIFS('Token Ledger'!$C$7:$C$40,"Closure",'Token Ledger'!$N$7:$N$40,1,'Token Ledger'!$J$7:$J$40,"&lt;="&amp;B76,'Token Ledger'!$W$7:$W$40,"&gt;"&amp;B76)</x:f>
        <x:v>0</x:v>
      </x:c>
      <x:c r="D76" s="65" t="n">
        <x:f>COUNTIFS('Token Ledger'!$C$7:$C$40,"Closure",'Token Ledger'!$J$7:$J$40,"&lt;="&amp;B76,'Token Ledger'!$K$7:$K$40,"&gt;"&amp;B76)</x:f>
        <x:v>1</x:v>
      </x:c>
      <x:c r="E76" s="65" t="n">
        <x:f>COUNTIFS('Token Ledger'!$C$7:$C$40,"Damage",'Token Ledger'!$N$7:$N$40,1,'Token Ledger'!$J$7:$J$40,"&lt;="&amp;B76,'Token Ledger'!$W$7:$W$40,"&gt;"&amp;B76)</x:f>
        <x:v>0</x:v>
      </x:c>
      <x:c r="F76" s="65" t="n">
        <x:f>COUNTIFS('Token Ledger'!$C$7:$C$40,"Damage",'Token Ledger'!$J$7:$J$40,"&lt;="&amp;B76,'Token Ledger'!$K$7:$K$40,"&gt;"&amp;B76)</x:f>
        <x:v>0</x:v>
      </x:c>
      <x:c r="G76" s="65" t="n">
        <x:f>COUNTIFS('Token Ledger'!$C$7:$C$40,"Closure",'Token Ledger'!$P$7:$P$40,"MODELED CREDIT",'Token Ledger'!$K$7:$K$40,"&lt;="&amp;B76,'Token Ledger'!$L$7:$L$40,"&gt;"&amp;B76)</x:f>
        <x:v>0</x:v>
      </x:c>
      <x:c r="H76" s="65" t="n">
        <x:f>COUNTIFS('Token Ledger'!$C$7:$C$40,"Damage",'Token Ledger'!$P$7:$P$40,"MODELED CREDIT",'Token Ledger'!$K$7:$K$40,"&lt;="&amp;B76,'Token Ledger'!$L$7:$L$40,"&gt;"&amp;B76)</x:f>
        <x:v>0</x:v>
      </x:c>
      <x:c r="I76" s="65" t="n">
        <x:f>SUMIFS('Token Ledger'!$Q$7:$Q$40,'Token Ledger'!$C$7:$C$40,"Closure",'Token Ledger'!$L$7:$L$40,"&lt;="&amp;B76)</x:f>
        <x:v>18</x:v>
      </x:c>
      <x:c r="J76" s="65" t="n">
        <x:f>SUMIFS('Token Ledger'!$Q$7:$Q$40,'Token Ledger'!$C$7:$C$40,"Damage",'Token Ledger'!$L$7:$L$40,"&lt;="&amp;B76)</x:f>
        <x:v>6</x:v>
      </x:c>
      <x:c r="K76" s="65" t="n">
        <x:f>COUNTIFS('Token Ledger'!$N$7:$N$40,1,'Token Ledger'!$J$7:$J$40,B76)</x:f>
        <x:v>0</x:v>
      </x:c>
      <x:c r="L76" s="65" t="n">
        <x:f>IF(B76='Control Inputs'!D8,K76,0)</x:f>
        <x:v>0</x:v>
      </x:c>
      <x:c r="M76" s="65" t="str">
        <x:f>IF(C76&lt;='Control Inputs'!D18,"PASS","FAIL")</x:f>
        <x:v>PASS</x:v>
      </x:c>
      <x:c r="N76" s="65" t="str">
        <x:f>IF(E76&lt;='Control Inputs'!D28,"PASS","FAIL")</x:f>
        <x:v>PASS</x:v>
      </x:c>
      <x:c r="O76" s="65" t="str">
        <x:f>IF(G76&lt;=IF(B76&lt;'Control Inputs'!D8,'Control Inputs'!D19,'Control Inputs'!D20),"PASS","FAIL")</x:f>
        <x:v>PASS</x:v>
      </x:c>
      <x:c r="P76" s="65" t="str">
        <x:f>IF(H76&lt;=IF(B76&lt;'Control Inputs'!D8,'Control Inputs'!D29,'Control Inputs'!D30),"PASS","FAIL")</x:f>
        <x:v>PASS</x:v>
      </x:c>
      <x:c r="Q76" s="65" t="str">
        <x:f>IF(AND(L76=0,M76="PASS",N76="PASS",O76="PASS",P76="PASS"),"PASS","FAIL")</x:f>
        <x:v>PASS</x:v>
      </x:c>
      <x:c r="R76" s="76" t="str"/>
    </x:row>
    <x:row r="77" ht="24" customHeight="1">
      <x:c r="B77" s="65" t="n">
        <x:v>71</x:v>
      </x:c>
      <x:c r="C77" s="65" t="n">
        <x:f>COUNTIFS('Token Ledger'!$C$7:$C$40,"Closure",'Token Ledger'!$N$7:$N$40,1,'Token Ledger'!$J$7:$J$40,"&lt;="&amp;B77,'Token Ledger'!$W$7:$W$40,"&gt;"&amp;B77)</x:f>
        <x:v>0</x:v>
      </x:c>
      <x:c r="D77" s="65" t="n">
        <x:f>COUNTIFS('Token Ledger'!$C$7:$C$40,"Closure",'Token Ledger'!$J$7:$J$40,"&lt;="&amp;B77,'Token Ledger'!$K$7:$K$40,"&gt;"&amp;B77)</x:f>
        <x:v>1</x:v>
      </x:c>
      <x:c r="E77" s="65" t="n">
        <x:f>COUNTIFS('Token Ledger'!$C$7:$C$40,"Damage",'Token Ledger'!$N$7:$N$40,1,'Token Ledger'!$J$7:$J$40,"&lt;="&amp;B77,'Token Ledger'!$W$7:$W$40,"&gt;"&amp;B77)</x:f>
        <x:v>0</x:v>
      </x:c>
      <x:c r="F77" s="65" t="n">
        <x:f>COUNTIFS('Token Ledger'!$C$7:$C$40,"Damage",'Token Ledger'!$J$7:$J$40,"&lt;="&amp;B77,'Token Ledger'!$K$7:$K$40,"&gt;"&amp;B77)</x:f>
        <x:v>0</x:v>
      </x:c>
      <x:c r="G77" s="65" t="n">
        <x:f>COUNTIFS('Token Ledger'!$C$7:$C$40,"Closure",'Token Ledger'!$P$7:$P$40,"MODELED CREDIT",'Token Ledger'!$K$7:$K$40,"&lt;="&amp;B77,'Token Ledger'!$L$7:$L$40,"&gt;"&amp;B77)</x:f>
        <x:v>0</x:v>
      </x:c>
      <x:c r="H77" s="65" t="n">
        <x:f>COUNTIFS('Token Ledger'!$C$7:$C$40,"Damage",'Token Ledger'!$P$7:$P$40,"MODELED CREDIT",'Token Ledger'!$K$7:$K$40,"&lt;="&amp;B77,'Token Ledger'!$L$7:$L$40,"&gt;"&amp;B77)</x:f>
        <x:v>0</x:v>
      </x:c>
      <x:c r="I77" s="65" t="n">
        <x:f>SUMIFS('Token Ledger'!$Q$7:$Q$40,'Token Ledger'!$C$7:$C$40,"Closure",'Token Ledger'!$L$7:$L$40,"&lt;="&amp;B77)</x:f>
        <x:v>18</x:v>
      </x:c>
      <x:c r="J77" s="65" t="n">
        <x:f>SUMIFS('Token Ledger'!$Q$7:$Q$40,'Token Ledger'!$C$7:$C$40,"Damage",'Token Ledger'!$L$7:$L$40,"&lt;="&amp;B77)</x:f>
        <x:v>6</x:v>
      </x:c>
      <x:c r="K77" s="65" t="n">
        <x:f>COUNTIFS('Token Ledger'!$N$7:$N$40,1,'Token Ledger'!$J$7:$J$40,B77)</x:f>
        <x:v>0</x:v>
      </x:c>
      <x:c r="L77" s="65" t="n">
        <x:f>IF(B77='Control Inputs'!D8,K77,0)</x:f>
        <x:v>0</x:v>
      </x:c>
      <x:c r="M77" s="65" t="str">
        <x:f>IF(C77&lt;='Control Inputs'!D18,"PASS","FAIL")</x:f>
        <x:v>PASS</x:v>
      </x:c>
      <x:c r="N77" s="65" t="str">
        <x:f>IF(E77&lt;='Control Inputs'!D28,"PASS","FAIL")</x:f>
        <x:v>PASS</x:v>
      </x:c>
      <x:c r="O77" s="65" t="str">
        <x:f>IF(G77&lt;=IF(B77&lt;'Control Inputs'!D8,'Control Inputs'!D19,'Control Inputs'!D20),"PASS","FAIL")</x:f>
        <x:v>PASS</x:v>
      </x:c>
      <x:c r="P77" s="65" t="str">
        <x:f>IF(H77&lt;=IF(B77&lt;'Control Inputs'!D8,'Control Inputs'!D29,'Control Inputs'!D30),"PASS","FAIL")</x:f>
        <x:v>PASS</x:v>
      </x:c>
      <x:c r="Q77" s="65" t="str">
        <x:f>IF(AND(L77=0,M77="PASS",N77="PASS",O77="PASS",P77="PASS"),"PASS","FAIL")</x:f>
        <x:v>PASS</x:v>
      </x:c>
      <x:c r="R77" s="76" t="str"/>
    </x:row>
    <x:row r="78" ht="24" customHeight="1">
      <x:c r="B78" s="65" t="n">
        <x:v>72</x:v>
      </x:c>
      <x:c r="C78" s="65" t="n">
        <x:f>COUNTIFS('Token Ledger'!$C$7:$C$40,"Closure",'Token Ledger'!$N$7:$N$40,1,'Token Ledger'!$J$7:$J$40,"&lt;="&amp;B78,'Token Ledger'!$W$7:$W$40,"&gt;"&amp;B78)</x:f>
        <x:v>0</x:v>
      </x:c>
      <x:c r="D78" s="65" t="n">
        <x:f>COUNTIFS('Token Ledger'!$C$7:$C$40,"Closure",'Token Ledger'!$J$7:$J$40,"&lt;="&amp;B78,'Token Ledger'!$K$7:$K$40,"&gt;"&amp;B78)</x:f>
        <x:v>1</x:v>
      </x:c>
      <x:c r="E78" s="65" t="n">
        <x:f>COUNTIFS('Token Ledger'!$C$7:$C$40,"Damage",'Token Ledger'!$N$7:$N$40,1,'Token Ledger'!$J$7:$J$40,"&lt;="&amp;B78,'Token Ledger'!$W$7:$W$40,"&gt;"&amp;B78)</x:f>
        <x:v>0</x:v>
      </x:c>
      <x:c r="F78" s="65" t="n">
        <x:f>COUNTIFS('Token Ledger'!$C$7:$C$40,"Damage",'Token Ledger'!$J$7:$J$40,"&lt;="&amp;B78,'Token Ledger'!$K$7:$K$40,"&gt;"&amp;B78)</x:f>
        <x:v>0</x:v>
      </x:c>
      <x:c r="G78" s="65" t="n">
        <x:f>COUNTIFS('Token Ledger'!$C$7:$C$40,"Closure",'Token Ledger'!$P$7:$P$40,"MODELED CREDIT",'Token Ledger'!$K$7:$K$40,"&lt;="&amp;B78,'Token Ledger'!$L$7:$L$40,"&gt;"&amp;B78)</x:f>
        <x:v>0</x:v>
      </x:c>
      <x:c r="H78" s="65" t="n">
        <x:f>COUNTIFS('Token Ledger'!$C$7:$C$40,"Damage",'Token Ledger'!$P$7:$P$40,"MODELED CREDIT",'Token Ledger'!$K$7:$K$40,"&lt;="&amp;B78,'Token Ledger'!$L$7:$L$40,"&gt;"&amp;B78)</x:f>
        <x:v>0</x:v>
      </x:c>
      <x:c r="I78" s="65" t="n">
        <x:f>SUMIFS('Token Ledger'!$Q$7:$Q$40,'Token Ledger'!$C$7:$C$40,"Closure",'Token Ledger'!$L$7:$L$40,"&lt;="&amp;B78)</x:f>
        <x:v>18</x:v>
      </x:c>
      <x:c r="J78" s="65" t="n">
        <x:f>SUMIFS('Token Ledger'!$Q$7:$Q$40,'Token Ledger'!$C$7:$C$40,"Damage",'Token Ledger'!$L$7:$L$40,"&lt;="&amp;B78)</x:f>
        <x:v>6</x:v>
      </x:c>
      <x:c r="K78" s="65" t="n">
        <x:f>COUNTIFS('Token Ledger'!$N$7:$N$40,1,'Token Ledger'!$J$7:$J$40,B78)</x:f>
        <x:v>0</x:v>
      </x:c>
      <x:c r="L78" s="65" t="n">
        <x:f>IF(B78='Control Inputs'!D8,K78,0)</x:f>
        <x:v>0</x:v>
      </x:c>
      <x:c r="M78" s="65" t="str">
        <x:f>IF(C78&lt;='Control Inputs'!D18,"PASS","FAIL")</x:f>
        <x:v>PASS</x:v>
      </x:c>
      <x:c r="N78" s="65" t="str">
        <x:f>IF(E78&lt;='Control Inputs'!D28,"PASS","FAIL")</x:f>
        <x:v>PASS</x:v>
      </x:c>
      <x:c r="O78" s="65" t="str">
        <x:f>IF(G78&lt;=IF(B78&lt;'Control Inputs'!D8,'Control Inputs'!D19,'Control Inputs'!D20),"PASS","FAIL")</x:f>
        <x:v>PASS</x:v>
      </x:c>
      <x:c r="P78" s="65" t="str">
        <x:f>IF(H78&lt;=IF(B78&lt;'Control Inputs'!D8,'Control Inputs'!D29,'Control Inputs'!D30),"PASS","FAIL")</x:f>
        <x:v>PASS</x:v>
      </x:c>
      <x:c r="Q78" s="65" t="str">
        <x:f>IF(AND(L78=0,M78="PASS",N78="PASS",O78="PASS",P78="PASS"),"PASS","FAIL")</x:f>
        <x:v>PASS</x:v>
      </x:c>
      <x:c r="R78" s="76" t="str"/>
    </x:row>
    <x:row r="79" ht="24" customHeight="1">
      <x:c r="B79" s="65" t="n">
        <x:v>73</x:v>
      </x:c>
      <x:c r="C79" s="65" t="n">
        <x:f>COUNTIFS('Token Ledger'!$C$7:$C$40,"Closure",'Token Ledger'!$N$7:$N$40,1,'Token Ledger'!$J$7:$J$40,"&lt;="&amp;B79,'Token Ledger'!$W$7:$W$40,"&gt;"&amp;B79)</x:f>
        <x:v>0</x:v>
      </x:c>
      <x:c r="D79" s="65" t="n">
        <x:f>COUNTIFS('Token Ledger'!$C$7:$C$40,"Closure",'Token Ledger'!$J$7:$J$40,"&lt;="&amp;B79,'Token Ledger'!$K$7:$K$40,"&gt;"&amp;B79)</x:f>
        <x:v>1</x:v>
      </x:c>
      <x:c r="E79" s="65" t="n">
        <x:f>COUNTIFS('Token Ledger'!$C$7:$C$40,"Damage",'Token Ledger'!$N$7:$N$40,1,'Token Ledger'!$J$7:$J$40,"&lt;="&amp;B79,'Token Ledger'!$W$7:$W$40,"&gt;"&amp;B79)</x:f>
        <x:v>0</x:v>
      </x:c>
      <x:c r="F79" s="65" t="n">
        <x:f>COUNTIFS('Token Ledger'!$C$7:$C$40,"Damage",'Token Ledger'!$J$7:$J$40,"&lt;="&amp;B79,'Token Ledger'!$K$7:$K$40,"&gt;"&amp;B79)</x:f>
        <x:v>0</x:v>
      </x:c>
      <x:c r="G79" s="65" t="n">
        <x:f>COUNTIFS('Token Ledger'!$C$7:$C$40,"Closure",'Token Ledger'!$P$7:$P$40,"MODELED CREDIT",'Token Ledger'!$K$7:$K$40,"&lt;="&amp;B79,'Token Ledger'!$L$7:$L$40,"&gt;"&amp;B79)</x:f>
        <x:v>0</x:v>
      </x:c>
      <x:c r="H79" s="65" t="n">
        <x:f>COUNTIFS('Token Ledger'!$C$7:$C$40,"Damage",'Token Ledger'!$P$7:$P$40,"MODELED CREDIT",'Token Ledger'!$K$7:$K$40,"&lt;="&amp;B79,'Token Ledger'!$L$7:$L$40,"&gt;"&amp;B79)</x:f>
        <x:v>0</x:v>
      </x:c>
      <x:c r="I79" s="65" t="n">
        <x:f>SUMIFS('Token Ledger'!$Q$7:$Q$40,'Token Ledger'!$C$7:$C$40,"Closure",'Token Ledger'!$L$7:$L$40,"&lt;="&amp;B79)</x:f>
        <x:v>18</x:v>
      </x:c>
      <x:c r="J79" s="65" t="n">
        <x:f>SUMIFS('Token Ledger'!$Q$7:$Q$40,'Token Ledger'!$C$7:$C$40,"Damage",'Token Ledger'!$L$7:$L$40,"&lt;="&amp;B79)</x:f>
        <x:v>6</x:v>
      </x:c>
      <x:c r="K79" s="65" t="n">
        <x:f>COUNTIFS('Token Ledger'!$N$7:$N$40,1,'Token Ledger'!$J$7:$J$40,B79)</x:f>
        <x:v>0</x:v>
      </x:c>
      <x:c r="L79" s="65" t="n">
        <x:f>IF(B79='Control Inputs'!D8,K79,0)</x:f>
        <x:v>0</x:v>
      </x:c>
      <x:c r="M79" s="65" t="str">
        <x:f>IF(C79&lt;='Control Inputs'!D18,"PASS","FAIL")</x:f>
        <x:v>PASS</x:v>
      </x:c>
      <x:c r="N79" s="65" t="str">
        <x:f>IF(E79&lt;='Control Inputs'!D28,"PASS","FAIL")</x:f>
        <x:v>PASS</x:v>
      </x:c>
      <x:c r="O79" s="65" t="str">
        <x:f>IF(G79&lt;=IF(B79&lt;'Control Inputs'!D8,'Control Inputs'!D19,'Control Inputs'!D20),"PASS","FAIL")</x:f>
        <x:v>PASS</x:v>
      </x:c>
      <x:c r="P79" s="65" t="str">
        <x:f>IF(H79&lt;=IF(B79&lt;'Control Inputs'!D8,'Control Inputs'!D29,'Control Inputs'!D30),"PASS","FAIL")</x:f>
        <x:v>PASS</x:v>
      </x:c>
      <x:c r="Q79" s="65" t="str">
        <x:f>IF(AND(L79=0,M79="PASS",N79="PASS",O79="PASS",P79="PASS"),"PASS","FAIL")</x:f>
        <x:v>PASS</x:v>
      </x:c>
      <x:c r="R79" s="76" t="str"/>
    </x:row>
    <x:row r="80" ht="24" customHeight="1">
      <x:c r="B80" s="65" t="n">
        <x:v>74</x:v>
      </x:c>
      <x:c r="C80" s="65" t="n">
        <x:f>COUNTIFS('Token Ledger'!$C$7:$C$40,"Closure",'Token Ledger'!$N$7:$N$40,1,'Token Ledger'!$J$7:$J$40,"&lt;="&amp;B80,'Token Ledger'!$W$7:$W$40,"&gt;"&amp;B80)</x:f>
        <x:v>0</x:v>
      </x:c>
      <x:c r="D80" s="65" t="n">
        <x:f>COUNTIFS('Token Ledger'!$C$7:$C$40,"Closure",'Token Ledger'!$J$7:$J$40,"&lt;="&amp;B80,'Token Ledger'!$K$7:$K$40,"&gt;"&amp;B80)</x:f>
        <x:v>1</x:v>
      </x:c>
      <x:c r="E80" s="65" t="n">
        <x:f>COUNTIFS('Token Ledger'!$C$7:$C$40,"Damage",'Token Ledger'!$N$7:$N$40,1,'Token Ledger'!$J$7:$J$40,"&lt;="&amp;B80,'Token Ledger'!$W$7:$W$40,"&gt;"&amp;B80)</x:f>
        <x:v>0</x:v>
      </x:c>
      <x:c r="F80" s="65" t="n">
        <x:f>COUNTIFS('Token Ledger'!$C$7:$C$40,"Damage",'Token Ledger'!$J$7:$J$40,"&lt;="&amp;B80,'Token Ledger'!$K$7:$K$40,"&gt;"&amp;B80)</x:f>
        <x:v>0</x:v>
      </x:c>
      <x:c r="G80" s="65" t="n">
        <x:f>COUNTIFS('Token Ledger'!$C$7:$C$40,"Closure",'Token Ledger'!$P$7:$P$40,"MODELED CREDIT",'Token Ledger'!$K$7:$K$40,"&lt;="&amp;B80,'Token Ledger'!$L$7:$L$40,"&gt;"&amp;B80)</x:f>
        <x:v>0</x:v>
      </x:c>
      <x:c r="H80" s="65" t="n">
        <x:f>COUNTIFS('Token Ledger'!$C$7:$C$40,"Damage",'Token Ledger'!$P$7:$P$40,"MODELED CREDIT",'Token Ledger'!$K$7:$K$40,"&lt;="&amp;B80,'Token Ledger'!$L$7:$L$40,"&gt;"&amp;B80)</x:f>
        <x:v>0</x:v>
      </x:c>
      <x:c r="I80" s="65" t="n">
        <x:f>SUMIFS('Token Ledger'!$Q$7:$Q$40,'Token Ledger'!$C$7:$C$40,"Closure",'Token Ledger'!$L$7:$L$40,"&lt;="&amp;B80)</x:f>
        <x:v>18</x:v>
      </x:c>
      <x:c r="J80" s="65" t="n">
        <x:f>SUMIFS('Token Ledger'!$Q$7:$Q$40,'Token Ledger'!$C$7:$C$40,"Damage",'Token Ledger'!$L$7:$L$40,"&lt;="&amp;B80)</x:f>
        <x:v>6</x:v>
      </x:c>
      <x:c r="K80" s="65" t="n">
        <x:f>COUNTIFS('Token Ledger'!$N$7:$N$40,1,'Token Ledger'!$J$7:$J$40,B80)</x:f>
        <x:v>0</x:v>
      </x:c>
      <x:c r="L80" s="65" t="n">
        <x:f>IF(B80='Control Inputs'!D8,K80,0)</x:f>
        <x:v>0</x:v>
      </x:c>
      <x:c r="M80" s="65" t="str">
        <x:f>IF(C80&lt;='Control Inputs'!D18,"PASS","FAIL")</x:f>
        <x:v>PASS</x:v>
      </x:c>
      <x:c r="N80" s="65" t="str">
        <x:f>IF(E80&lt;='Control Inputs'!D28,"PASS","FAIL")</x:f>
        <x:v>PASS</x:v>
      </x:c>
      <x:c r="O80" s="65" t="str">
        <x:f>IF(G80&lt;=IF(B80&lt;'Control Inputs'!D8,'Control Inputs'!D19,'Control Inputs'!D20),"PASS","FAIL")</x:f>
        <x:v>PASS</x:v>
      </x:c>
      <x:c r="P80" s="65" t="str">
        <x:f>IF(H80&lt;=IF(B80&lt;'Control Inputs'!D8,'Control Inputs'!D29,'Control Inputs'!D30),"PASS","FAIL")</x:f>
        <x:v>PASS</x:v>
      </x:c>
      <x:c r="Q80" s="65" t="str">
        <x:f>IF(AND(L80=0,M80="PASS",N80="PASS",O80="PASS",P80="PASS"),"PASS","FAIL")</x:f>
        <x:v>PASS</x:v>
      </x:c>
      <x:c r="R80" s="76" t="str"/>
    </x:row>
    <x:row r="81" ht="24" customHeight="1">
      <x:c r="B81" s="65" t="n">
        <x:v>75</x:v>
      </x:c>
      <x:c r="C81" s="65" t="n">
        <x:f>COUNTIFS('Token Ledger'!$C$7:$C$40,"Closure",'Token Ledger'!$N$7:$N$40,1,'Token Ledger'!$J$7:$J$40,"&lt;="&amp;B81,'Token Ledger'!$W$7:$W$40,"&gt;"&amp;B81)</x:f>
        <x:v>0</x:v>
      </x:c>
      <x:c r="D81" s="65" t="n">
        <x:f>COUNTIFS('Token Ledger'!$C$7:$C$40,"Closure",'Token Ledger'!$J$7:$J$40,"&lt;="&amp;B81,'Token Ledger'!$K$7:$K$40,"&gt;"&amp;B81)</x:f>
        <x:v>1</x:v>
      </x:c>
      <x:c r="E81" s="65" t="n">
        <x:f>COUNTIFS('Token Ledger'!$C$7:$C$40,"Damage",'Token Ledger'!$N$7:$N$40,1,'Token Ledger'!$J$7:$J$40,"&lt;="&amp;B81,'Token Ledger'!$W$7:$W$40,"&gt;"&amp;B81)</x:f>
        <x:v>0</x:v>
      </x:c>
      <x:c r="F81" s="65" t="n">
        <x:f>COUNTIFS('Token Ledger'!$C$7:$C$40,"Damage",'Token Ledger'!$J$7:$J$40,"&lt;="&amp;B81,'Token Ledger'!$K$7:$K$40,"&gt;"&amp;B81)</x:f>
        <x:v>0</x:v>
      </x:c>
      <x:c r="G81" s="65" t="n">
        <x:f>COUNTIFS('Token Ledger'!$C$7:$C$40,"Closure",'Token Ledger'!$P$7:$P$40,"MODELED CREDIT",'Token Ledger'!$K$7:$K$40,"&lt;="&amp;B81,'Token Ledger'!$L$7:$L$40,"&gt;"&amp;B81)</x:f>
        <x:v>0</x:v>
      </x:c>
      <x:c r="H81" s="65" t="n">
        <x:f>COUNTIFS('Token Ledger'!$C$7:$C$40,"Damage",'Token Ledger'!$P$7:$P$40,"MODELED CREDIT",'Token Ledger'!$K$7:$K$40,"&lt;="&amp;B81,'Token Ledger'!$L$7:$L$40,"&gt;"&amp;B81)</x:f>
        <x:v>0</x:v>
      </x:c>
      <x:c r="I81" s="65" t="n">
        <x:f>SUMIFS('Token Ledger'!$Q$7:$Q$40,'Token Ledger'!$C$7:$C$40,"Closure",'Token Ledger'!$L$7:$L$40,"&lt;="&amp;B81)</x:f>
        <x:v>18</x:v>
      </x:c>
      <x:c r="J81" s="65" t="n">
        <x:f>SUMIFS('Token Ledger'!$Q$7:$Q$40,'Token Ledger'!$C$7:$C$40,"Damage",'Token Ledger'!$L$7:$L$40,"&lt;="&amp;B81)</x:f>
        <x:v>6</x:v>
      </x:c>
      <x:c r="K81" s="65" t="n">
        <x:f>COUNTIFS('Token Ledger'!$N$7:$N$40,1,'Token Ledger'!$J$7:$J$40,B81)</x:f>
        <x:v>0</x:v>
      </x:c>
      <x:c r="L81" s="65" t="n">
        <x:f>IF(B81='Control Inputs'!D8,K81,0)</x:f>
        <x:v>0</x:v>
      </x:c>
      <x:c r="M81" s="65" t="str">
        <x:f>IF(C81&lt;='Control Inputs'!D18,"PASS","FAIL")</x:f>
        <x:v>PASS</x:v>
      </x:c>
      <x:c r="N81" s="65" t="str">
        <x:f>IF(E81&lt;='Control Inputs'!D28,"PASS","FAIL")</x:f>
        <x:v>PASS</x:v>
      </x:c>
      <x:c r="O81" s="65" t="str">
        <x:f>IF(G81&lt;=IF(B81&lt;'Control Inputs'!D8,'Control Inputs'!D19,'Control Inputs'!D20),"PASS","FAIL")</x:f>
        <x:v>PASS</x:v>
      </x:c>
      <x:c r="P81" s="65" t="str">
        <x:f>IF(H81&lt;=IF(B81&lt;'Control Inputs'!D8,'Control Inputs'!D29,'Control Inputs'!D30),"PASS","FAIL")</x:f>
        <x:v>PASS</x:v>
      </x:c>
      <x:c r="Q81" s="65" t="str">
        <x:f>IF(AND(L81=0,M81="PASS",N81="PASS",O81="PASS",P81="PASS"),"PASS","FAIL")</x:f>
        <x:v>PASS</x:v>
      </x:c>
      <x:c r="R81" s="76" t="str"/>
    </x:row>
    <x:row r="82" ht="24" customHeight="1">
      <x:c r="B82" s="65" t="n">
        <x:v>76</x:v>
      </x:c>
      <x:c r="C82" s="65" t="n">
        <x:f>COUNTIFS('Token Ledger'!$C$7:$C$40,"Closure",'Token Ledger'!$N$7:$N$40,1,'Token Ledger'!$J$7:$J$40,"&lt;="&amp;B82,'Token Ledger'!$W$7:$W$40,"&gt;"&amp;B82)</x:f>
        <x:v>0</x:v>
      </x:c>
      <x:c r="D82" s="65" t="n">
        <x:f>COUNTIFS('Token Ledger'!$C$7:$C$40,"Closure",'Token Ledger'!$J$7:$J$40,"&lt;="&amp;B82,'Token Ledger'!$K$7:$K$40,"&gt;"&amp;B82)</x:f>
        <x:v>1</x:v>
      </x:c>
      <x:c r="E82" s="65" t="n">
        <x:f>COUNTIFS('Token Ledger'!$C$7:$C$40,"Damage",'Token Ledger'!$N$7:$N$40,1,'Token Ledger'!$J$7:$J$40,"&lt;="&amp;B82,'Token Ledger'!$W$7:$W$40,"&gt;"&amp;B82)</x:f>
        <x:v>0</x:v>
      </x:c>
      <x:c r="F82" s="65" t="n">
        <x:f>COUNTIFS('Token Ledger'!$C$7:$C$40,"Damage",'Token Ledger'!$J$7:$J$40,"&lt;="&amp;B82,'Token Ledger'!$K$7:$K$40,"&gt;"&amp;B82)</x:f>
        <x:v>0</x:v>
      </x:c>
      <x:c r="G82" s="65" t="n">
        <x:f>COUNTIFS('Token Ledger'!$C$7:$C$40,"Closure",'Token Ledger'!$P$7:$P$40,"MODELED CREDIT",'Token Ledger'!$K$7:$K$40,"&lt;="&amp;B82,'Token Ledger'!$L$7:$L$40,"&gt;"&amp;B82)</x:f>
        <x:v>0</x:v>
      </x:c>
      <x:c r="H82" s="65" t="n">
        <x:f>COUNTIFS('Token Ledger'!$C$7:$C$40,"Damage",'Token Ledger'!$P$7:$P$40,"MODELED CREDIT",'Token Ledger'!$K$7:$K$40,"&lt;="&amp;B82,'Token Ledger'!$L$7:$L$40,"&gt;"&amp;B82)</x:f>
        <x:v>0</x:v>
      </x:c>
      <x:c r="I82" s="65" t="n">
        <x:f>SUMIFS('Token Ledger'!$Q$7:$Q$40,'Token Ledger'!$C$7:$C$40,"Closure",'Token Ledger'!$L$7:$L$40,"&lt;="&amp;B82)</x:f>
        <x:v>18</x:v>
      </x:c>
      <x:c r="J82" s="65" t="n">
        <x:f>SUMIFS('Token Ledger'!$Q$7:$Q$40,'Token Ledger'!$C$7:$C$40,"Damage",'Token Ledger'!$L$7:$L$40,"&lt;="&amp;B82)</x:f>
        <x:v>6</x:v>
      </x:c>
      <x:c r="K82" s="65" t="n">
        <x:f>COUNTIFS('Token Ledger'!$N$7:$N$40,1,'Token Ledger'!$J$7:$J$40,B82)</x:f>
        <x:v>0</x:v>
      </x:c>
      <x:c r="L82" s="65" t="n">
        <x:f>IF(B82='Control Inputs'!D8,K82,0)</x:f>
        <x:v>0</x:v>
      </x:c>
      <x:c r="M82" s="65" t="str">
        <x:f>IF(C82&lt;='Control Inputs'!D18,"PASS","FAIL")</x:f>
        <x:v>PASS</x:v>
      </x:c>
      <x:c r="N82" s="65" t="str">
        <x:f>IF(E82&lt;='Control Inputs'!D28,"PASS","FAIL")</x:f>
        <x:v>PASS</x:v>
      </x:c>
      <x:c r="O82" s="65" t="str">
        <x:f>IF(G82&lt;=IF(B82&lt;'Control Inputs'!D8,'Control Inputs'!D19,'Control Inputs'!D20),"PASS","FAIL")</x:f>
        <x:v>PASS</x:v>
      </x:c>
      <x:c r="P82" s="65" t="str">
        <x:f>IF(H82&lt;=IF(B82&lt;'Control Inputs'!D8,'Control Inputs'!D29,'Control Inputs'!D30),"PASS","FAIL")</x:f>
        <x:v>PASS</x:v>
      </x:c>
      <x:c r="Q82" s="65" t="str">
        <x:f>IF(AND(L82=0,M82="PASS",N82="PASS",O82="PASS",P82="PASS"),"PASS","FAIL")</x:f>
        <x:v>PASS</x:v>
      </x:c>
      <x:c r="R82" s="76" t="str"/>
    </x:row>
    <x:row r="83" ht="24" customHeight="1">
      <x:c r="B83" s="65" t="n">
        <x:v>77</x:v>
      </x:c>
      <x:c r="C83" s="65" t="n">
        <x:f>COUNTIFS('Token Ledger'!$C$7:$C$40,"Closure",'Token Ledger'!$N$7:$N$40,1,'Token Ledger'!$J$7:$J$40,"&lt;="&amp;B83,'Token Ledger'!$W$7:$W$40,"&gt;"&amp;B83)</x:f>
        <x:v>0</x:v>
      </x:c>
      <x:c r="D83" s="65" t="n">
        <x:f>COUNTIFS('Token Ledger'!$C$7:$C$40,"Closure",'Token Ledger'!$J$7:$J$40,"&lt;="&amp;B83,'Token Ledger'!$K$7:$K$40,"&gt;"&amp;B83)</x:f>
        <x:v>0</x:v>
      </x:c>
      <x:c r="E83" s="65" t="n">
        <x:f>COUNTIFS('Token Ledger'!$C$7:$C$40,"Damage",'Token Ledger'!$N$7:$N$40,1,'Token Ledger'!$J$7:$J$40,"&lt;="&amp;B83,'Token Ledger'!$W$7:$W$40,"&gt;"&amp;B83)</x:f>
        <x:v>0</x:v>
      </x:c>
      <x:c r="F83" s="65" t="n">
        <x:f>COUNTIFS('Token Ledger'!$C$7:$C$40,"Damage",'Token Ledger'!$J$7:$J$40,"&lt;="&amp;B83,'Token Ledger'!$K$7:$K$40,"&gt;"&amp;B83)</x:f>
        <x:v>0</x:v>
      </x:c>
      <x:c r="G83" s="65" t="n">
        <x:f>COUNTIFS('Token Ledger'!$C$7:$C$40,"Closure",'Token Ledger'!$P$7:$P$40,"MODELED CREDIT",'Token Ledger'!$K$7:$K$40,"&lt;="&amp;B83,'Token Ledger'!$L$7:$L$40,"&gt;"&amp;B83)</x:f>
        <x:v>0</x:v>
      </x:c>
      <x:c r="H83" s="65" t="n">
        <x:f>COUNTIFS('Token Ledger'!$C$7:$C$40,"Damage",'Token Ledger'!$P$7:$P$40,"MODELED CREDIT",'Token Ledger'!$K$7:$K$40,"&lt;="&amp;B83,'Token Ledger'!$L$7:$L$40,"&gt;"&amp;B83)</x:f>
        <x:v>0</x:v>
      </x:c>
      <x:c r="I83" s="65" t="n">
        <x:f>SUMIFS('Token Ledger'!$Q$7:$Q$40,'Token Ledger'!$C$7:$C$40,"Closure",'Token Ledger'!$L$7:$L$40,"&lt;="&amp;B83)</x:f>
        <x:v>18</x:v>
      </x:c>
      <x:c r="J83" s="65" t="n">
        <x:f>SUMIFS('Token Ledger'!$Q$7:$Q$40,'Token Ledger'!$C$7:$C$40,"Damage",'Token Ledger'!$L$7:$L$40,"&lt;="&amp;B83)</x:f>
        <x:v>6</x:v>
      </x:c>
      <x:c r="K83" s="65" t="n">
        <x:f>COUNTIFS('Token Ledger'!$N$7:$N$40,1,'Token Ledger'!$J$7:$J$40,B83)</x:f>
        <x:v>0</x:v>
      </x:c>
      <x:c r="L83" s="65" t="n">
        <x:f>IF(B83='Control Inputs'!D8,K83,0)</x:f>
        <x:v>0</x:v>
      </x:c>
      <x:c r="M83" s="65" t="str">
        <x:f>IF(C83&lt;='Control Inputs'!D18,"PASS","FAIL")</x:f>
        <x:v>PASS</x:v>
      </x:c>
      <x:c r="N83" s="65" t="str">
        <x:f>IF(E83&lt;='Control Inputs'!D28,"PASS","FAIL")</x:f>
        <x:v>PASS</x:v>
      </x:c>
      <x:c r="O83" s="65" t="str">
        <x:f>IF(G83&lt;=IF(B83&lt;'Control Inputs'!D8,'Control Inputs'!D19,'Control Inputs'!D20),"PASS","FAIL")</x:f>
        <x:v>PASS</x:v>
      </x:c>
      <x:c r="P83" s="65" t="str">
        <x:f>IF(H83&lt;=IF(B83&lt;'Control Inputs'!D8,'Control Inputs'!D29,'Control Inputs'!D30),"PASS","FAIL")</x:f>
        <x:v>PASS</x:v>
      </x:c>
      <x:c r="Q83" s="65" t="str">
        <x:f>IF(AND(L83=0,M83="PASS",N83="PASS",O83="PASS",P83="PASS"),"PASS","FAIL")</x:f>
        <x:v>PASS</x:v>
      </x:c>
      <x:c r="R83" s="76" t="str"/>
    </x:row>
    <x:row r="84" ht="24" customHeight="1">
      <x:c r="B84" s="65" t="n">
        <x:v>78</x:v>
      </x:c>
      <x:c r="C84" s="65" t="n">
        <x:f>COUNTIFS('Token Ledger'!$C$7:$C$40,"Closure",'Token Ledger'!$N$7:$N$40,1,'Token Ledger'!$J$7:$J$40,"&lt;="&amp;B84,'Token Ledger'!$W$7:$W$40,"&gt;"&amp;B84)</x:f>
        <x:v>0</x:v>
      </x:c>
      <x:c r="D84" s="65" t="n">
        <x:f>COUNTIFS('Token Ledger'!$C$7:$C$40,"Closure",'Token Ledger'!$J$7:$J$40,"&lt;="&amp;B84,'Token Ledger'!$K$7:$K$40,"&gt;"&amp;B84)</x:f>
        <x:v>0</x:v>
      </x:c>
      <x:c r="E84" s="65" t="n">
        <x:f>COUNTIFS('Token Ledger'!$C$7:$C$40,"Damage",'Token Ledger'!$N$7:$N$40,1,'Token Ledger'!$J$7:$J$40,"&lt;="&amp;B84,'Token Ledger'!$W$7:$W$40,"&gt;"&amp;B84)</x:f>
        <x:v>0</x:v>
      </x:c>
      <x:c r="F84" s="65" t="n">
        <x:f>COUNTIFS('Token Ledger'!$C$7:$C$40,"Damage",'Token Ledger'!$J$7:$J$40,"&lt;="&amp;B84,'Token Ledger'!$K$7:$K$40,"&gt;"&amp;B84)</x:f>
        <x:v>0</x:v>
      </x:c>
      <x:c r="G84" s="65" t="n">
        <x:f>COUNTIFS('Token Ledger'!$C$7:$C$40,"Closure",'Token Ledger'!$P$7:$P$40,"MODELED CREDIT",'Token Ledger'!$K$7:$K$40,"&lt;="&amp;B84,'Token Ledger'!$L$7:$L$40,"&gt;"&amp;B84)</x:f>
        <x:v>0</x:v>
      </x:c>
      <x:c r="H84" s="65" t="n">
        <x:f>COUNTIFS('Token Ledger'!$C$7:$C$40,"Damage",'Token Ledger'!$P$7:$P$40,"MODELED CREDIT",'Token Ledger'!$K$7:$K$40,"&lt;="&amp;B84,'Token Ledger'!$L$7:$L$40,"&gt;"&amp;B84)</x:f>
        <x:v>0</x:v>
      </x:c>
      <x:c r="I84" s="65" t="n">
        <x:f>SUMIFS('Token Ledger'!$Q$7:$Q$40,'Token Ledger'!$C$7:$C$40,"Closure",'Token Ledger'!$L$7:$L$40,"&lt;="&amp;B84)</x:f>
        <x:v>18</x:v>
      </x:c>
      <x:c r="J84" s="65" t="n">
        <x:f>SUMIFS('Token Ledger'!$Q$7:$Q$40,'Token Ledger'!$C$7:$C$40,"Damage",'Token Ledger'!$L$7:$L$40,"&lt;="&amp;B84)</x:f>
        <x:v>6</x:v>
      </x:c>
      <x:c r="K84" s="65" t="n">
        <x:f>COUNTIFS('Token Ledger'!$N$7:$N$40,1,'Token Ledger'!$J$7:$J$40,B84)</x:f>
        <x:v>0</x:v>
      </x:c>
      <x:c r="L84" s="65" t="n">
        <x:f>IF(B84='Control Inputs'!D8,K84,0)</x:f>
        <x:v>0</x:v>
      </x:c>
      <x:c r="M84" s="65" t="str">
        <x:f>IF(C84&lt;='Control Inputs'!D18,"PASS","FAIL")</x:f>
        <x:v>PASS</x:v>
      </x:c>
      <x:c r="N84" s="65" t="str">
        <x:f>IF(E84&lt;='Control Inputs'!D28,"PASS","FAIL")</x:f>
        <x:v>PASS</x:v>
      </x:c>
      <x:c r="O84" s="65" t="str">
        <x:f>IF(G84&lt;=IF(B84&lt;'Control Inputs'!D8,'Control Inputs'!D19,'Control Inputs'!D20),"PASS","FAIL")</x:f>
        <x:v>PASS</x:v>
      </x:c>
      <x:c r="P84" s="65" t="str">
        <x:f>IF(H84&lt;=IF(B84&lt;'Control Inputs'!D8,'Control Inputs'!D29,'Control Inputs'!D30),"PASS","FAIL")</x:f>
        <x:v>PASS</x:v>
      </x:c>
      <x:c r="Q84" s="65" t="str">
        <x:f>IF(AND(L84=0,M84="PASS",N84="PASS",O84="PASS",P84="PASS"),"PASS","FAIL")</x:f>
        <x:v>PASS</x:v>
      </x:c>
      <x:c r="R84" s="76" t="str"/>
    </x:row>
    <x:row r="85" ht="24" customHeight="1">
      <x:c r="B85" s="65" t="n">
        <x:v>79</x:v>
      </x:c>
      <x:c r="C85" s="65" t="n">
        <x:f>COUNTIFS('Token Ledger'!$C$7:$C$40,"Closure",'Token Ledger'!$N$7:$N$40,1,'Token Ledger'!$J$7:$J$40,"&lt;="&amp;B85,'Token Ledger'!$W$7:$W$40,"&gt;"&amp;B85)</x:f>
        <x:v>0</x:v>
      </x:c>
      <x:c r="D85" s="65" t="n">
        <x:f>COUNTIFS('Token Ledger'!$C$7:$C$40,"Closure",'Token Ledger'!$J$7:$J$40,"&lt;="&amp;B85,'Token Ledger'!$K$7:$K$40,"&gt;"&amp;B85)</x:f>
        <x:v>0</x:v>
      </x:c>
      <x:c r="E85" s="65" t="n">
        <x:f>COUNTIFS('Token Ledger'!$C$7:$C$40,"Damage",'Token Ledger'!$N$7:$N$40,1,'Token Ledger'!$J$7:$J$40,"&lt;="&amp;B85,'Token Ledger'!$W$7:$W$40,"&gt;"&amp;B85)</x:f>
        <x:v>0</x:v>
      </x:c>
      <x:c r="F85" s="65" t="n">
        <x:f>COUNTIFS('Token Ledger'!$C$7:$C$40,"Damage",'Token Ledger'!$J$7:$J$40,"&lt;="&amp;B85,'Token Ledger'!$K$7:$K$40,"&gt;"&amp;B85)</x:f>
        <x:v>0</x:v>
      </x:c>
      <x:c r="G85" s="65" t="n">
        <x:f>COUNTIFS('Token Ledger'!$C$7:$C$40,"Closure",'Token Ledger'!$P$7:$P$40,"MODELED CREDIT",'Token Ledger'!$K$7:$K$40,"&lt;="&amp;B85,'Token Ledger'!$L$7:$L$40,"&gt;"&amp;B85)</x:f>
        <x:v>0</x:v>
      </x:c>
      <x:c r="H85" s="65" t="n">
        <x:f>COUNTIFS('Token Ledger'!$C$7:$C$40,"Damage",'Token Ledger'!$P$7:$P$40,"MODELED CREDIT",'Token Ledger'!$K$7:$K$40,"&lt;="&amp;B85,'Token Ledger'!$L$7:$L$40,"&gt;"&amp;B85)</x:f>
        <x:v>0</x:v>
      </x:c>
      <x:c r="I85" s="65" t="n">
        <x:f>SUMIFS('Token Ledger'!$Q$7:$Q$40,'Token Ledger'!$C$7:$C$40,"Closure",'Token Ledger'!$L$7:$L$40,"&lt;="&amp;B85)</x:f>
        <x:v>18</x:v>
      </x:c>
      <x:c r="J85" s="65" t="n">
        <x:f>SUMIFS('Token Ledger'!$Q$7:$Q$40,'Token Ledger'!$C$7:$C$40,"Damage",'Token Ledger'!$L$7:$L$40,"&lt;="&amp;B85)</x:f>
        <x:v>6</x:v>
      </x:c>
      <x:c r="K85" s="65" t="n">
        <x:f>COUNTIFS('Token Ledger'!$N$7:$N$40,1,'Token Ledger'!$J$7:$J$40,B85)</x:f>
        <x:v>0</x:v>
      </x:c>
      <x:c r="L85" s="65" t="n">
        <x:f>IF(B85='Control Inputs'!D8,K85,0)</x:f>
        <x:v>0</x:v>
      </x:c>
      <x:c r="M85" s="65" t="str">
        <x:f>IF(C85&lt;='Control Inputs'!D18,"PASS","FAIL")</x:f>
        <x:v>PASS</x:v>
      </x:c>
      <x:c r="N85" s="65" t="str">
        <x:f>IF(E85&lt;='Control Inputs'!D28,"PASS","FAIL")</x:f>
        <x:v>PASS</x:v>
      </x:c>
      <x:c r="O85" s="65" t="str">
        <x:f>IF(G85&lt;=IF(B85&lt;'Control Inputs'!D8,'Control Inputs'!D19,'Control Inputs'!D20),"PASS","FAIL")</x:f>
        <x:v>PASS</x:v>
      </x:c>
      <x:c r="P85" s="65" t="str">
        <x:f>IF(H85&lt;=IF(B85&lt;'Control Inputs'!D8,'Control Inputs'!D29,'Control Inputs'!D30),"PASS","FAIL")</x:f>
        <x:v>PASS</x:v>
      </x:c>
      <x:c r="Q85" s="65" t="str">
        <x:f>IF(AND(L85=0,M85="PASS",N85="PASS",O85="PASS",P85="PASS"),"PASS","FAIL")</x:f>
        <x:v>PASS</x:v>
      </x:c>
      <x:c r="R85" s="76" t="str"/>
    </x:row>
    <x:row r="86" ht="24" customHeight="1">
      <x:c r="B86" s="65" t="n">
        <x:v>80</x:v>
      </x:c>
      <x:c r="C86" s="65" t="n">
        <x:f>COUNTIFS('Token Ledger'!$C$7:$C$40,"Closure",'Token Ledger'!$N$7:$N$40,1,'Token Ledger'!$J$7:$J$40,"&lt;="&amp;B86,'Token Ledger'!$W$7:$W$40,"&gt;"&amp;B86)</x:f>
        <x:v>0</x:v>
      </x:c>
      <x:c r="D86" s="65" t="n">
        <x:f>COUNTIFS('Token Ledger'!$C$7:$C$40,"Closure",'Token Ledger'!$J$7:$J$40,"&lt;="&amp;B86,'Token Ledger'!$K$7:$K$40,"&gt;"&amp;B86)</x:f>
        <x:v>0</x:v>
      </x:c>
      <x:c r="E86" s="65" t="n">
        <x:f>COUNTIFS('Token Ledger'!$C$7:$C$40,"Damage",'Token Ledger'!$N$7:$N$40,1,'Token Ledger'!$J$7:$J$40,"&lt;="&amp;B86,'Token Ledger'!$W$7:$W$40,"&gt;"&amp;B86)</x:f>
        <x:v>0</x:v>
      </x:c>
      <x:c r="F86" s="65" t="n">
        <x:f>COUNTIFS('Token Ledger'!$C$7:$C$40,"Damage",'Token Ledger'!$J$7:$J$40,"&lt;="&amp;B86,'Token Ledger'!$K$7:$K$40,"&gt;"&amp;B86)</x:f>
        <x:v>0</x:v>
      </x:c>
      <x:c r="G86" s="65" t="n">
        <x:f>COUNTIFS('Token Ledger'!$C$7:$C$40,"Closure",'Token Ledger'!$P$7:$P$40,"MODELED CREDIT",'Token Ledger'!$K$7:$K$40,"&lt;="&amp;B86,'Token Ledger'!$L$7:$L$40,"&gt;"&amp;B86)</x:f>
        <x:v>0</x:v>
      </x:c>
      <x:c r="H86" s="65" t="n">
        <x:f>COUNTIFS('Token Ledger'!$C$7:$C$40,"Damage",'Token Ledger'!$P$7:$P$40,"MODELED CREDIT",'Token Ledger'!$K$7:$K$40,"&lt;="&amp;B86,'Token Ledger'!$L$7:$L$40,"&gt;"&amp;B86)</x:f>
        <x:v>0</x:v>
      </x:c>
      <x:c r="I86" s="65" t="n">
        <x:f>SUMIFS('Token Ledger'!$Q$7:$Q$40,'Token Ledger'!$C$7:$C$40,"Closure",'Token Ledger'!$L$7:$L$40,"&lt;="&amp;B86)</x:f>
        <x:v>18</x:v>
      </x:c>
      <x:c r="J86" s="65" t="n">
        <x:f>SUMIFS('Token Ledger'!$Q$7:$Q$40,'Token Ledger'!$C$7:$C$40,"Damage",'Token Ledger'!$L$7:$L$40,"&lt;="&amp;B86)</x:f>
        <x:v>6</x:v>
      </x:c>
      <x:c r="K86" s="65" t="n">
        <x:f>COUNTIFS('Token Ledger'!$N$7:$N$40,1,'Token Ledger'!$J$7:$J$40,B86)</x:f>
        <x:v>0</x:v>
      </x:c>
      <x:c r="L86" s="65" t="n">
        <x:f>IF(B86='Control Inputs'!D8,K86,0)</x:f>
        <x:v>0</x:v>
      </x:c>
      <x:c r="M86" s="65" t="str">
        <x:f>IF(C86&lt;='Control Inputs'!D18,"PASS","FAIL")</x:f>
        <x:v>PASS</x:v>
      </x:c>
      <x:c r="N86" s="65" t="str">
        <x:f>IF(E86&lt;='Control Inputs'!D28,"PASS","FAIL")</x:f>
        <x:v>PASS</x:v>
      </x:c>
      <x:c r="O86" s="65" t="str">
        <x:f>IF(G86&lt;=IF(B86&lt;'Control Inputs'!D8,'Control Inputs'!D19,'Control Inputs'!D20),"PASS","FAIL")</x:f>
        <x:v>PASS</x:v>
      </x:c>
      <x:c r="P86" s="65" t="str">
        <x:f>IF(H86&lt;=IF(B86&lt;'Control Inputs'!D8,'Control Inputs'!D29,'Control Inputs'!D30),"PASS","FAIL")</x:f>
        <x:v>PASS</x:v>
      </x:c>
      <x:c r="Q86" s="65" t="str">
        <x:f>IF(AND(L86=0,M86="PASS",N86="PASS",O86="PASS",P86="PASS"),"PASS","FAIL")</x:f>
        <x:v>PASS</x:v>
      </x:c>
      <x:c r="R86" s="76" t="str"/>
    </x:row>
    <x:row r="87" ht="24" customHeight="1">
      <x:c r="B87" s="65" t="n">
        <x:v>81</x:v>
      </x:c>
      <x:c r="C87" s="65" t="n">
        <x:f>COUNTIFS('Token Ledger'!$C$7:$C$40,"Closure",'Token Ledger'!$N$7:$N$40,1,'Token Ledger'!$J$7:$J$40,"&lt;="&amp;B87,'Token Ledger'!$W$7:$W$40,"&gt;"&amp;B87)</x:f>
        <x:v>0</x:v>
      </x:c>
      <x:c r="D87" s="65" t="n">
        <x:f>COUNTIFS('Token Ledger'!$C$7:$C$40,"Closure",'Token Ledger'!$J$7:$J$40,"&lt;="&amp;B87,'Token Ledger'!$K$7:$K$40,"&gt;"&amp;B87)</x:f>
        <x:v>0</x:v>
      </x:c>
      <x:c r="E87" s="65" t="n">
        <x:f>COUNTIFS('Token Ledger'!$C$7:$C$40,"Damage",'Token Ledger'!$N$7:$N$40,1,'Token Ledger'!$J$7:$J$40,"&lt;="&amp;B87,'Token Ledger'!$W$7:$W$40,"&gt;"&amp;B87)</x:f>
        <x:v>0</x:v>
      </x:c>
      <x:c r="F87" s="65" t="n">
        <x:f>COUNTIFS('Token Ledger'!$C$7:$C$40,"Damage",'Token Ledger'!$J$7:$J$40,"&lt;="&amp;B87,'Token Ledger'!$K$7:$K$40,"&gt;"&amp;B87)</x:f>
        <x:v>0</x:v>
      </x:c>
      <x:c r="G87" s="65" t="n">
        <x:f>COUNTIFS('Token Ledger'!$C$7:$C$40,"Closure",'Token Ledger'!$P$7:$P$40,"MODELED CREDIT",'Token Ledger'!$K$7:$K$40,"&lt;="&amp;B87,'Token Ledger'!$L$7:$L$40,"&gt;"&amp;B87)</x:f>
        <x:v>0</x:v>
      </x:c>
      <x:c r="H87" s="65" t="n">
        <x:f>COUNTIFS('Token Ledger'!$C$7:$C$40,"Damage",'Token Ledger'!$P$7:$P$40,"MODELED CREDIT",'Token Ledger'!$K$7:$K$40,"&lt;="&amp;B87,'Token Ledger'!$L$7:$L$40,"&gt;"&amp;B87)</x:f>
        <x:v>0</x:v>
      </x:c>
      <x:c r="I87" s="65" t="n">
        <x:f>SUMIFS('Token Ledger'!$Q$7:$Q$40,'Token Ledger'!$C$7:$C$40,"Closure",'Token Ledger'!$L$7:$L$40,"&lt;="&amp;B87)</x:f>
        <x:v>18</x:v>
      </x:c>
      <x:c r="J87" s="65" t="n">
        <x:f>SUMIFS('Token Ledger'!$Q$7:$Q$40,'Token Ledger'!$C$7:$C$40,"Damage",'Token Ledger'!$L$7:$L$40,"&lt;="&amp;B87)</x:f>
        <x:v>6</x:v>
      </x:c>
      <x:c r="K87" s="65" t="n">
        <x:f>COUNTIFS('Token Ledger'!$N$7:$N$40,1,'Token Ledger'!$J$7:$J$40,B87)</x:f>
        <x:v>0</x:v>
      </x:c>
      <x:c r="L87" s="65" t="n">
        <x:f>IF(B87='Control Inputs'!D8,K87,0)</x:f>
        <x:v>0</x:v>
      </x:c>
      <x:c r="M87" s="65" t="str">
        <x:f>IF(C87&lt;='Control Inputs'!D18,"PASS","FAIL")</x:f>
        <x:v>PASS</x:v>
      </x:c>
      <x:c r="N87" s="65" t="str">
        <x:f>IF(E87&lt;='Control Inputs'!D28,"PASS","FAIL")</x:f>
        <x:v>PASS</x:v>
      </x:c>
      <x:c r="O87" s="65" t="str">
        <x:f>IF(G87&lt;=IF(B87&lt;'Control Inputs'!D8,'Control Inputs'!D19,'Control Inputs'!D20),"PASS","FAIL")</x:f>
        <x:v>PASS</x:v>
      </x:c>
      <x:c r="P87" s="65" t="str">
        <x:f>IF(H87&lt;=IF(B87&lt;'Control Inputs'!D8,'Control Inputs'!D29,'Control Inputs'!D30),"PASS","FAIL")</x:f>
        <x:v>PASS</x:v>
      </x:c>
      <x:c r="Q87" s="65" t="str">
        <x:f>IF(AND(L87=0,M87="PASS",N87="PASS",O87="PASS",P87="PASS"),"PASS","FAIL")</x:f>
        <x:v>PASS</x:v>
      </x:c>
      <x:c r="R87" s="76" t="str"/>
    </x:row>
    <x:row r="88" ht="24" customHeight="1">
      <x:c r="B88" s="65" t="n">
        <x:v>82</x:v>
      </x:c>
      <x:c r="C88" s="65" t="n">
        <x:f>COUNTIFS('Token Ledger'!$C$7:$C$40,"Closure",'Token Ledger'!$N$7:$N$40,1,'Token Ledger'!$J$7:$J$40,"&lt;="&amp;B88,'Token Ledger'!$W$7:$W$40,"&gt;"&amp;B88)</x:f>
        <x:v>0</x:v>
      </x:c>
      <x:c r="D88" s="65" t="n">
        <x:f>COUNTIFS('Token Ledger'!$C$7:$C$40,"Closure",'Token Ledger'!$J$7:$J$40,"&lt;="&amp;B88,'Token Ledger'!$K$7:$K$40,"&gt;"&amp;B88)</x:f>
        <x:v>0</x:v>
      </x:c>
      <x:c r="E88" s="65" t="n">
        <x:f>COUNTIFS('Token Ledger'!$C$7:$C$40,"Damage",'Token Ledger'!$N$7:$N$40,1,'Token Ledger'!$J$7:$J$40,"&lt;="&amp;B88,'Token Ledger'!$W$7:$W$40,"&gt;"&amp;B88)</x:f>
        <x:v>0</x:v>
      </x:c>
      <x:c r="F88" s="65" t="n">
        <x:f>COUNTIFS('Token Ledger'!$C$7:$C$40,"Damage",'Token Ledger'!$J$7:$J$40,"&lt;="&amp;B88,'Token Ledger'!$K$7:$K$40,"&gt;"&amp;B88)</x:f>
        <x:v>0</x:v>
      </x:c>
      <x:c r="G88" s="65" t="n">
        <x:f>COUNTIFS('Token Ledger'!$C$7:$C$40,"Closure",'Token Ledger'!$P$7:$P$40,"MODELED CREDIT",'Token Ledger'!$K$7:$K$40,"&lt;="&amp;B88,'Token Ledger'!$L$7:$L$40,"&gt;"&amp;B88)</x:f>
        <x:v>0</x:v>
      </x:c>
      <x:c r="H88" s="65" t="n">
        <x:f>COUNTIFS('Token Ledger'!$C$7:$C$40,"Damage",'Token Ledger'!$P$7:$P$40,"MODELED CREDIT",'Token Ledger'!$K$7:$K$40,"&lt;="&amp;B88,'Token Ledger'!$L$7:$L$40,"&gt;"&amp;B88)</x:f>
        <x:v>0</x:v>
      </x:c>
      <x:c r="I88" s="65" t="n">
        <x:f>SUMIFS('Token Ledger'!$Q$7:$Q$40,'Token Ledger'!$C$7:$C$40,"Closure",'Token Ledger'!$L$7:$L$40,"&lt;="&amp;B88)</x:f>
        <x:v>18</x:v>
      </x:c>
      <x:c r="J88" s="65" t="n">
        <x:f>SUMIFS('Token Ledger'!$Q$7:$Q$40,'Token Ledger'!$C$7:$C$40,"Damage",'Token Ledger'!$L$7:$L$40,"&lt;="&amp;B88)</x:f>
        <x:v>6</x:v>
      </x:c>
      <x:c r="K88" s="65" t="n">
        <x:f>COUNTIFS('Token Ledger'!$N$7:$N$40,1,'Token Ledger'!$J$7:$J$40,B88)</x:f>
        <x:v>0</x:v>
      </x:c>
      <x:c r="L88" s="65" t="n">
        <x:f>IF(B88='Control Inputs'!D8,K88,0)</x:f>
        <x:v>0</x:v>
      </x:c>
      <x:c r="M88" s="65" t="str">
        <x:f>IF(C88&lt;='Control Inputs'!D18,"PASS","FAIL")</x:f>
        <x:v>PASS</x:v>
      </x:c>
      <x:c r="N88" s="65" t="str">
        <x:f>IF(E88&lt;='Control Inputs'!D28,"PASS","FAIL")</x:f>
        <x:v>PASS</x:v>
      </x:c>
      <x:c r="O88" s="65" t="str">
        <x:f>IF(G88&lt;=IF(B88&lt;'Control Inputs'!D8,'Control Inputs'!D19,'Control Inputs'!D20),"PASS","FAIL")</x:f>
        <x:v>PASS</x:v>
      </x:c>
      <x:c r="P88" s="65" t="str">
        <x:f>IF(H88&lt;=IF(B88&lt;'Control Inputs'!D8,'Control Inputs'!D29,'Control Inputs'!D30),"PASS","FAIL")</x:f>
        <x:v>PASS</x:v>
      </x:c>
      <x:c r="Q88" s="65" t="str">
        <x:f>IF(AND(L88=0,M88="PASS",N88="PASS",O88="PASS",P88="PASS"),"PASS","FAIL")</x:f>
        <x:v>PASS</x:v>
      </x:c>
      <x:c r="R88" s="76" t="str"/>
    </x:row>
    <x:row r="89" ht="24" customHeight="1">
      <x:c r="B89" s="65" t="n">
        <x:v>83</x:v>
      </x:c>
      <x:c r="C89" s="65" t="n">
        <x:f>COUNTIFS('Token Ledger'!$C$7:$C$40,"Closure",'Token Ledger'!$N$7:$N$40,1,'Token Ledger'!$J$7:$J$40,"&lt;="&amp;B89,'Token Ledger'!$W$7:$W$40,"&gt;"&amp;B89)</x:f>
        <x:v>0</x:v>
      </x:c>
      <x:c r="D89" s="65" t="n">
        <x:f>COUNTIFS('Token Ledger'!$C$7:$C$40,"Closure",'Token Ledger'!$J$7:$J$40,"&lt;="&amp;B89,'Token Ledger'!$K$7:$K$40,"&gt;"&amp;B89)</x:f>
        <x:v>0</x:v>
      </x:c>
      <x:c r="E89" s="65" t="n">
        <x:f>COUNTIFS('Token Ledger'!$C$7:$C$40,"Damage",'Token Ledger'!$N$7:$N$40,1,'Token Ledger'!$J$7:$J$40,"&lt;="&amp;B89,'Token Ledger'!$W$7:$W$40,"&gt;"&amp;B89)</x:f>
        <x:v>0</x:v>
      </x:c>
      <x:c r="F89" s="65" t="n">
        <x:f>COUNTIFS('Token Ledger'!$C$7:$C$40,"Damage",'Token Ledger'!$J$7:$J$40,"&lt;="&amp;B89,'Token Ledger'!$K$7:$K$40,"&gt;"&amp;B89)</x:f>
        <x:v>0</x:v>
      </x:c>
      <x:c r="G89" s="65" t="n">
        <x:f>COUNTIFS('Token Ledger'!$C$7:$C$40,"Closure",'Token Ledger'!$P$7:$P$40,"MODELED CREDIT",'Token Ledger'!$K$7:$K$40,"&lt;="&amp;B89,'Token Ledger'!$L$7:$L$40,"&gt;"&amp;B89)</x:f>
        <x:v>0</x:v>
      </x:c>
      <x:c r="H89" s="65" t="n">
        <x:f>COUNTIFS('Token Ledger'!$C$7:$C$40,"Damage",'Token Ledger'!$P$7:$P$40,"MODELED CREDIT",'Token Ledger'!$K$7:$K$40,"&lt;="&amp;B89,'Token Ledger'!$L$7:$L$40,"&gt;"&amp;B89)</x:f>
        <x:v>0</x:v>
      </x:c>
      <x:c r="I89" s="65" t="n">
        <x:f>SUMIFS('Token Ledger'!$Q$7:$Q$40,'Token Ledger'!$C$7:$C$40,"Closure",'Token Ledger'!$L$7:$L$40,"&lt;="&amp;B89)</x:f>
        <x:v>18</x:v>
      </x:c>
      <x:c r="J89" s="65" t="n">
        <x:f>SUMIFS('Token Ledger'!$Q$7:$Q$40,'Token Ledger'!$C$7:$C$40,"Damage",'Token Ledger'!$L$7:$L$40,"&lt;="&amp;B89)</x:f>
        <x:v>6</x:v>
      </x:c>
      <x:c r="K89" s="65" t="n">
        <x:f>COUNTIFS('Token Ledger'!$N$7:$N$40,1,'Token Ledger'!$J$7:$J$40,B89)</x:f>
        <x:v>0</x:v>
      </x:c>
      <x:c r="L89" s="65" t="n">
        <x:f>IF(B89='Control Inputs'!D8,K89,0)</x:f>
        <x:v>0</x:v>
      </x:c>
      <x:c r="M89" s="65" t="str">
        <x:f>IF(C89&lt;='Control Inputs'!D18,"PASS","FAIL")</x:f>
        <x:v>PASS</x:v>
      </x:c>
      <x:c r="N89" s="65" t="str">
        <x:f>IF(E89&lt;='Control Inputs'!D28,"PASS","FAIL")</x:f>
        <x:v>PASS</x:v>
      </x:c>
      <x:c r="O89" s="65" t="str">
        <x:f>IF(G89&lt;=IF(B89&lt;'Control Inputs'!D8,'Control Inputs'!D19,'Control Inputs'!D20),"PASS","FAIL")</x:f>
        <x:v>PASS</x:v>
      </x:c>
      <x:c r="P89" s="65" t="str">
        <x:f>IF(H89&lt;=IF(B89&lt;'Control Inputs'!D8,'Control Inputs'!D29,'Control Inputs'!D30),"PASS","FAIL")</x:f>
        <x:v>PASS</x:v>
      </x:c>
      <x:c r="Q89" s="65" t="str">
        <x:f>IF(AND(L89=0,M89="PASS",N89="PASS",O89="PASS",P89="PASS"),"PASS","FAIL")</x:f>
        <x:v>PASS</x:v>
      </x:c>
      <x:c r="R89" s="76" t="str"/>
    </x:row>
    <x:row r="90" ht="24" customHeight="1">
      <x:c r="B90" s="65" t="n">
        <x:v>84</x:v>
      </x:c>
      <x:c r="C90" s="65" t="n">
        <x:f>COUNTIFS('Token Ledger'!$C$7:$C$40,"Closure",'Token Ledger'!$N$7:$N$40,1,'Token Ledger'!$J$7:$J$40,"&lt;="&amp;B90,'Token Ledger'!$W$7:$W$40,"&gt;"&amp;B90)</x:f>
        <x:v>0</x:v>
      </x:c>
      <x:c r="D90" s="65" t="n">
        <x:f>COUNTIFS('Token Ledger'!$C$7:$C$40,"Closure",'Token Ledger'!$J$7:$J$40,"&lt;="&amp;B90,'Token Ledger'!$K$7:$K$40,"&gt;"&amp;B90)</x:f>
        <x:v>0</x:v>
      </x:c>
      <x:c r="E90" s="65" t="n">
        <x:f>COUNTIFS('Token Ledger'!$C$7:$C$40,"Damage",'Token Ledger'!$N$7:$N$40,1,'Token Ledger'!$J$7:$J$40,"&lt;="&amp;B90,'Token Ledger'!$W$7:$W$40,"&gt;"&amp;B90)</x:f>
        <x:v>0</x:v>
      </x:c>
      <x:c r="F90" s="65" t="n">
        <x:f>COUNTIFS('Token Ledger'!$C$7:$C$40,"Damage",'Token Ledger'!$J$7:$J$40,"&lt;="&amp;B90,'Token Ledger'!$K$7:$K$40,"&gt;"&amp;B90)</x:f>
        <x:v>0</x:v>
      </x:c>
      <x:c r="G90" s="65" t="n">
        <x:f>COUNTIFS('Token Ledger'!$C$7:$C$40,"Closure",'Token Ledger'!$P$7:$P$40,"MODELED CREDIT",'Token Ledger'!$K$7:$K$40,"&lt;="&amp;B90,'Token Ledger'!$L$7:$L$40,"&gt;"&amp;B90)</x:f>
        <x:v>0</x:v>
      </x:c>
      <x:c r="H90" s="65" t="n">
        <x:f>COUNTIFS('Token Ledger'!$C$7:$C$40,"Damage",'Token Ledger'!$P$7:$P$40,"MODELED CREDIT",'Token Ledger'!$K$7:$K$40,"&lt;="&amp;B90,'Token Ledger'!$L$7:$L$40,"&gt;"&amp;B90)</x:f>
        <x:v>0</x:v>
      </x:c>
      <x:c r="I90" s="65" t="n">
        <x:f>SUMIFS('Token Ledger'!$Q$7:$Q$40,'Token Ledger'!$C$7:$C$40,"Closure",'Token Ledger'!$L$7:$L$40,"&lt;="&amp;B90)</x:f>
        <x:v>18</x:v>
      </x:c>
      <x:c r="J90" s="65" t="n">
        <x:f>SUMIFS('Token Ledger'!$Q$7:$Q$40,'Token Ledger'!$C$7:$C$40,"Damage",'Token Ledger'!$L$7:$L$40,"&lt;="&amp;B90)</x:f>
        <x:v>6</x:v>
      </x:c>
      <x:c r="K90" s="65" t="n">
        <x:f>COUNTIFS('Token Ledger'!$N$7:$N$40,1,'Token Ledger'!$J$7:$J$40,B90)</x:f>
        <x:v>0</x:v>
      </x:c>
      <x:c r="L90" s="65" t="n">
        <x:f>IF(B90='Control Inputs'!D8,K90,0)</x:f>
        <x:v>0</x:v>
      </x:c>
      <x:c r="M90" s="65" t="str">
        <x:f>IF(C90&lt;='Control Inputs'!D18,"PASS","FAIL")</x:f>
        <x:v>PASS</x:v>
      </x:c>
      <x:c r="N90" s="65" t="str">
        <x:f>IF(E90&lt;='Control Inputs'!D28,"PASS","FAIL")</x:f>
        <x:v>PASS</x:v>
      </x:c>
      <x:c r="O90" s="65" t="str">
        <x:f>IF(G90&lt;=IF(B90&lt;'Control Inputs'!D8,'Control Inputs'!D19,'Control Inputs'!D20),"PASS","FAIL")</x:f>
        <x:v>PASS</x:v>
      </x:c>
      <x:c r="P90" s="65" t="str">
        <x:f>IF(H90&lt;=IF(B90&lt;'Control Inputs'!D8,'Control Inputs'!D29,'Control Inputs'!D30),"PASS","FAIL")</x:f>
        <x:v>PASS</x:v>
      </x:c>
      <x:c r="Q90" s="65" t="str">
        <x:f>IF(AND(L90=0,M90="PASS",N90="PASS",O90="PASS",P90="PASS"),"PASS","FAIL")</x:f>
        <x:v>PASS</x:v>
      </x:c>
      <x:c r="R90" s="76" t="str"/>
    </x:row>
    <x:row r="91" ht="24" customHeight="1">
      <x:c r="B91" s="65" t="n">
        <x:v>85</x:v>
      </x:c>
      <x:c r="C91" s="65" t="n">
        <x:f>COUNTIFS('Token Ledger'!$C$7:$C$40,"Closure",'Token Ledger'!$N$7:$N$40,1,'Token Ledger'!$J$7:$J$40,"&lt;="&amp;B91,'Token Ledger'!$W$7:$W$40,"&gt;"&amp;B91)</x:f>
        <x:v>0</x:v>
      </x:c>
      <x:c r="D91" s="65" t="n">
        <x:f>COUNTIFS('Token Ledger'!$C$7:$C$40,"Closure",'Token Ledger'!$J$7:$J$40,"&lt;="&amp;B91,'Token Ledger'!$K$7:$K$40,"&gt;"&amp;B91)</x:f>
        <x:v>0</x:v>
      </x:c>
      <x:c r="E91" s="65" t="n">
        <x:f>COUNTIFS('Token Ledger'!$C$7:$C$40,"Damage",'Token Ledger'!$N$7:$N$40,1,'Token Ledger'!$J$7:$J$40,"&lt;="&amp;B91,'Token Ledger'!$W$7:$W$40,"&gt;"&amp;B91)</x:f>
        <x:v>0</x:v>
      </x:c>
      <x:c r="F91" s="65" t="n">
        <x:f>COUNTIFS('Token Ledger'!$C$7:$C$40,"Damage",'Token Ledger'!$J$7:$J$40,"&lt;="&amp;B91,'Token Ledger'!$K$7:$K$40,"&gt;"&amp;B91)</x:f>
        <x:v>0</x:v>
      </x:c>
      <x:c r="G91" s="65" t="n">
        <x:f>COUNTIFS('Token Ledger'!$C$7:$C$40,"Closure",'Token Ledger'!$P$7:$P$40,"MODELED CREDIT",'Token Ledger'!$K$7:$K$40,"&lt;="&amp;B91,'Token Ledger'!$L$7:$L$40,"&gt;"&amp;B91)</x:f>
        <x:v>0</x:v>
      </x:c>
      <x:c r="H91" s="65" t="n">
        <x:f>COUNTIFS('Token Ledger'!$C$7:$C$40,"Damage",'Token Ledger'!$P$7:$P$40,"MODELED CREDIT",'Token Ledger'!$K$7:$K$40,"&lt;="&amp;B91,'Token Ledger'!$L$7:$L$40,"&gt;"&amp;B91)</x:f>
        <x:v>0</x:v>
      </x:c>
      <x:c r="I91" s="65" t="n">
        <x:f>SUMIFS('Token Ledger'!$Q$7:$Q$40,'Token Ledger'!$C$7:$C$40,"Closure",'Token Ledger'!$L$7:$L$40,"&lt;="&amp;B91)</x:f>
        <x:v>18</x:v>
      </x:c>
      <x:c r="J91" s="65" t="n">
        <x:f>SUMIFS('Token Ledger'!$Q$7:$Q$40,'Token Ledger'!$C$7:$C$40,"Damage",'Token Ledger'!$L$7:$L$40,"&lt;="&amp;B91)</x:f>
        <x:v>6</x:v>
      </x:c>
      <x:c r="K91" s="65" t="n">
        <x:f>COUNTIFS('Token Ledger'!$N$7:$N$40,1,'Token Ledger'!$J$7:$J$40,B91)</x:f>
        <x:v>0</x:v>
      </x:c>
      <x:c r="L91" s="65" t="n">
        <x:f>IF(B91='Control Inputs'!D8,K91,0)</x:f>
        <x:v>0</x:v>
      </x:c>
      <x:c r="M91" s="65" t="str">
        <x:f>IF(C91&lt;='Control Inputs'!D18,"PASS","FAIL")</x:f>
        <x:v>PASS</x:v>
      </x:c>
      <x:c r="N91" s="65" t="str">
        <x:f>IF(E91&lt;='Control Inputs'!D28,"PASS","FAIL")</x:f>
        <x:v>PASS</x:v>
      </x:c>
      <x:c r="O91" s="65" t="str">
        <x:f>IF(G91&lt;=IF(B91&lt;'Control Inputs'!D8,'Control Inputs'!D19,'Control Inputs'!D20),"PASS","FAIL")</x:f>
        <x:v>PASS</x:v>
      </x:c>
      <x:c r="P91" s="65" t="str">
        <x:f>IF(H91&lt;=IF(B91&lt;'Control Inputs'!D8,'Control Inputs'!D29,'Control Inputs'!D30),"PASS","FAIL")</x:f>
        <x:v>PASS</x:v>
      </x:c>
      <x:c r="Q91" s="65" t="str">
        <x:f>IF(AND(L91=0,M91="PASS",N91="PASS",O91="PASS",P91="PASS"),"PASS","FAIL")</x:f>
        <x:v>PASS</x:v>
      </x:c>
      <x:c r="R91" s="76" t="str"/>
    </x:row>
    <x:row r="92" ht="24" customHeight="1">
      <x:c r="B92" s="65" t="n">
        <x:v>86</x:v>
      </x:c>
      <x:c r="C92" s="65" t="n">
        <x:f>COUNTIFS('Token Ledger'!$C$7:$C$40,"Closure",'Token Ledger'!$N$7:$N$40,1,'Token Ledger'!$J$7:$J$40,"&lt;="&amp;B92,'Token Ledger'!$W$7:$W$40,"&gt;"&amp;B92)</x:f>
        <x:v>0</x:v>
      </x:c>
      <x:c r="D92" s="65" t="n">
        <x:f>COUNTIFS('Token Ledger'!$C$7:$C$40,"Closure",'Token Ledger'!$J$7:$J$40,"&lt;="&amp;B92,'Token Ledger'!$K$7:$K$40,"&gt;"&amp;B92)</x:f>
        <x:v>0</x:v>
      </x:c>
      <x:c r="E92" s="65" t="n">
        <x:f>COUNTIFS('Token Ledger'!$C$7:$C$40,"Damage",'Token Ledger'!$N$7:$N$40,1,'Token Ledger'!$J$7:$J$40,"&lt;="&amp;B92,'Token Ledger'!$W$7:$W$40,"&gt;"&amp;B92)</x:f>
        <x:v>0</x:v>
      </x:c>
      <x:c r="F92" s="65" t="n">
        <x:f>COUNTIFS('Token Ledger'!$C$7:$C$40,"Damage",'Token Ledger'!$J$7:$J$40,"&lt;="&amp;B92,'Token Ledger'!$K$7:$K$40,"&gt;"&amp;B92)</x:f>
        <x:v>0</x:v>
      </x:c>
      <x:c r="G92" s="65" t="n">
        <x:f>COUNTIFS('Token Ledger'!$C$7:$C$40,"Closure",'Token Ledger'!$P$7:$P$40,"MODELED CREDIT",'Token Ledger'!$K$7:$K$40,"&lt;="&amp;B92,'Token Ledger'!$L$7:$L$40,"&gt;"&amp;B92)</x:f>
        <x:v>0</x:v>
      </x:c>
      <x:c r="H92" s="65" t="n">
        <x:f>COUNTIFS('Token Ledger'!$C$7:$C$40,"Damage",'Token Ledger'!$P$7:$P$40,"MODELED CREDIT",'Token Ledger'!$K$7:$K$40,"&lt;="&amp;B92,'Token Ledger'!$L$7:$L$40,"&gt;"&amp;B92)</x:f>
        <x:v>0</x:v>
      </x:c>
      <x:c r="I92" s="65" t="n">
        <x:f>SUMIFS('Token Ledger'!$Q$7:$Q$40,'Token Ledger'!$C$7:$C$40,"Closure",'Token Ledger'!$L$7:$L$40,"&lt;="&amp;B92)</x:f>
        <x:v>18</x:v>
      </x:c>
      <x:c r="J92" s="65" t="n">
        <x:f>SUMIFS('Token Ledger'!$Q$7:$Q$40,'Token Ledger'!$C$7:$C$40,"Damage",'Token Ledger'!$L$7:$L$40,"&lt;="&amp;B92)</x:f>
        <x:v>6</x:v>
      </x:c>
      <x:c r="K92" s="65" t="n">
        <x:f>COUNTIFS('Token Ledger'!$N$7:$N$40,1,'Token Ledger'!$J$7:$J$40,B92)</x:f>
        <x:v>0</x:v>
      </x:c>
      <x:c r="L92" s="65" t="n">
        <x:f>IF(B92='Control Inputs'!D8,K92,0)</x:f>
        <x:v>0</x:v>
      </x:c>
      <x:c r="M92" s="65" t="str">
        <x:f>IF(C92&lt;='Control Inputs'!D18,"PASS","FAIL")</x:f>
        <x:v>PASS</x:v>
      </x:c>
      <x:c r="N92" s="65" t="str">
        <x:f>IF(E92&lt;='Control Inputs'!D28,"PASS","FAIL")</x:f>
        <x:v>PASS</x:v>
      </x:c>
      <x:c r="O92" s="65" t="str">
        <x:f>IF(G92&lt;=IF(B92&lt;'Control Inputs'!D8,'Control Inputs'!D19,'Control Inputs'!D20),"PASS","FAIL")</x:f>
        <x:v>PASS</x:v>
      </x:c>
      <x:c r="P92" s="65" t="str">
        <x:f>IF(H92&lt;=IF(B92&lt;'Control Inputs'!D8,'Control Inputs'!D29,'Control Inputs'!D30),"PASS","FAIL")</x:f>
        <x:v>PASS</x:v>
      </x:c>
      <x:c r="Q92" s="65" t="str">
        <x:f>IF(AND(L92=0,M92="PASS",N92="PASS",O92="PASS",P92="PASS"),"PASS","FAIL")</x:f>
        <x:v>PASS</x:v>
      </x:c>
      <x:c r="R92" s="76" t="str"/>
    </x:row>
    <x:row r="93" ht="24" customHeight="1">
      <x:c r="B93" s="65" t="n">
        <x:v>87</x:v>
      </x:c>
      <x:c r="C93" s="65" t="n">
        <x:f>COUNTIFS('Token Ledger'!$C$7:$C$40,"Closure",'Token Ledger'!$N$7:$N$40,1,'Token Ledger'!$J$7:$J$40,"&lt;="&amp;B93,'Token Ledger'!$W$7:$W$40,"&gt;"&amp;B93)</x:f>
        <x:v>0</x:v>
      </x:c>
      <x:c r="D93" s="65" t="n">
        <x:f>COUNTIFS('Token Ledger'!$C$7:$C$40,"Closure",'Token Ledger'!$J$7:$J$40,"&lt;="&amp;B93,'Token Ledger'!$K$7:$K$40,"&gt;"&amp;B93)</x:f>
        <x:v>0</x:v>
      </x:c>
      <x:c r="E93" s="65" t="n">
        <x:f>COUNTIFS('Token Ledger'!$C$7:$C$40,"Damage",'Token Ledger'!$N$7:$N$40,1,'Token Ledger'!$J$7:$J$40,"&lt;="&amp;B93,'Token Ledger'!$W$7:$W$40,"&gt;"&amp;B93)</x:f>
        <x:v>0</x:v>
      </x:c>
      <x:c r="F93" s="65" t="n">
        <x:f>COUNTIFS('Token Ledger'!$C$7:$C$40,"Damage",'Token Ledger'!$J$7:$J$40,"&lt;="&amp;B93,'Token Ledger'!$K$7:$K$40,"&gt;"&amp;B93)</x:f>
        <x:v>0</x:v>
      </x:c>
      <x:c r="G93" s="65" t="n">
        <x:f>COUNTIFS('Token Ledger'!$C$7:$C$40,"Closure",'Token Ledger'!$P$7:$P$40,"MODELED CREDIT",'Token Ledger'!$K$7:$K$40,"&lt;="&amp;B93,'Token Ledger'!$L$7:$L$40,"&gt;"&amp;B93)</x:f>
        <x:v>0</x:v>
      </x:c>
      <x:c r="H93" s="65" t="n">
        <x:f>COUNTIFS('Token Ledger'!$C$7:$C$40,"Damage",'Token Ledger'!$P$7:$P$40,"MODELED CREDIT",'Token Ledger'!$K$7:$K$40,"&lt;="&amp;B93,'Token Ledger'!$L$7:$L$40,"&gt;"&amp;B93)</x:f>
        <x:v>0</x:v>
      </x:c>
      <x:c r="I93" s="65" t="n">
        <x:f>SUMIFS('Token Ledger'!$Q$7:$Q$40,'Token Ledger'!$C$7:$C$40,"Closure",'Token Ledger'!$L$7:$L$40,"&lt;="&amp;B93)</x:f>
        <x:v>18</x:v>
      </x:c>
      <x:c r="J93" s="65" t="n">
        <x:f>SUMIFS('Token Ledger'!$Q$7:$Q$40,'Token Ledger'!$C$7:$C$40,"Damage",'Token Ledger'!$L$7:$L$40,"&lt;="&amp;B93)</x:f>
        <x:v>6</x:v>
      </x:c>
      <x:c r="K93" s="65" t="n">
        <x:f>COUNTIFS('Token Ledger'!$N$7:$N$40,1,'Token Ledger'!$J$7:$J$40,B93)</x:f>
        <x:v>0</x:v>
      </x:c>
      <x:c r="L93" s="65" t="n">
        <x:f>IF(B93='Control Inputs'!D8,K93,0)</x:f>
        <x:v>0</x:v>
      </x:c>
      <x:c r="M93" s="65" t="str">
        <x:f>IF(C93&lt;='Control Inputs'!D18,"PASS","FAIL")</x:f>
        <x:v>PASS</x:v>
      </x:c>
      <x:c r="N93" s="65" t="str">
        <x:f>IF(E93&lt;='Control Inputs'!D28,"PASS","FAIL")</x:f>
        <x:v>PASS</x:v>
      </x:c>
      <x:c r="O93" s="65" t="str">
        <x:f>IF(G93&lt;=IF(B93&lt;'Control Inputs'!D8,'Control Inputs'!D19,'Control Inputs'!D20),"PASS","FAIL")</x:f>
        <x:v>PASS</x:v>
      </x:c>
      <x:c r="P93" s="65" t="str">
        <x:f>IF(H93&lt;=IF(B93&lt;'Control Inputs'!D8,'Control Inputs'!D29,'Control Inputs'!D30),"PASS","FAIL")</x:f>
        <x:v>PASS</x:v>
      </x:c>
      <x:c r="Q93" s="65" t="str">
        <x:f>IF(AND(L93=0,M93="PASS",N93="PASS",O93="PASS",P93="PASS"),"PASS","FAIL")</x:f>
        <x:v>PASS</x:v>
      </x:c>
      <x:c r="R93" s="76" t="str"/>
    </x:row>
    <x:row r="94" ht="24" customHeight="1">
      <x:c r="B94" s="65" t="n">
        <x:v>88</x:v>
      </x:c>
      <x:c r="C94" s="65" t="n">
        <x:f>COUNTIFS('Token Ledger'!$C$7:$C$40,"Closure",'Token Ledger'!$N$7:$N$40,1,'Token Ledger'!$J$7:$J$40,"&lt;="&amp;B94,'Token Ledger'!$W$7:$W$40,"&gt;"&amp;B94)</x:f>
        <x:v>0</x:v>
      </x:c>
      <x:c r="D94" s="65" t="n">
        <x:f>COUNTIFS('Token Ledger'!$C$7:$C$40,"Closure",'Token Ledger'!$J$7:$J$40,"&lt;="&amp;B94,'Token Ledger'!$K$7:$K$40,"&gt;"&amp;B94)</x:f>
        <x:v>0</x:v>
      </x:c>
      <x:c r="E94" s="65" t="n">
        <x:f>COUNTIFS('Token Ledger'!$C$7:$C$40,"Damage",'Token Ledger'!$N$7:$N$40,1,'Token Ledger'!$J$7:$J$40,"&lt;="&amp;B94,'Token Ledger'!$W$7:$W$40,"&gt;"&amp;B94)</x:f>
        <x:v>0</x:v>
      </x:c>
      <x:c r="F94" s="65" t="n">
        <x:f>COUNTIFS('Token Ledger'!$C$7:$C$40,"Damage",'Token Ledger'!$J$7:$J$40,"&lt;="&amp;B94,'Token Ledger'!$K$7:$K$40,"&gt;"&amp;B94)</x:f>
        <x:v>0</x:v>
      </x:c>
      <x:c r="G94" s="65" t="n">
        <x:f>COUNTIFS('Token Ledger'!$C$7:$C$40,"Closure",'Token Ledger'!$P$7:$P$40,"MODELED CREDIT",'Token Ledger'!$K$7:$K$40,"&lt;="&amp;B94,'Token Ledger'!$L$7:$L$40,"&gt;"&amp;B94)</x:f>
        <x:v>0</x:v>
      </x:c>
      <x:c r="H94" s="65" t="n">
        <x:f>COUNTIFS('Token Ledger'!$C$7:$C$40,"Damage",'Token Ledger'!$P$7:$P$40,"MODELED CREDIT",'Token Ledger'!$K$7:$K$40,"&lt;="&amp;B94,'Token Ledger'!$L$7:$L$40,"&gt;"&amp;B94)</x:f>
        <x:v>0</x:v>
      </x:c>
      <x:c r="I94" s="65" t="n">
        <x:f>SUMIFS('Token Ledger'!$Q$7:$Q$40,'Token Ledger'!$C$7:$C$40,"Closure",'Token Ledger'!$L$7:$L$40,"&lt;="&amp;B94)</x:f>
        <x:v>18</x:v>
      </x:c>
      <x:c r="J94" s="65" t="n">
        <x:f>SUMIFS('Token Ledger'!$Q$7:$Q$40,'Token Ledger'!$C$7:$C$40,"Damage",'Token Ledger'!$L$7:$L$40,"&lt;="&amp;B94)</x:f>
        <x:v>6</x:v>
      </x:c>
      <x:c r="K94" s="65" t="n">
        <x:f>COUNTIFS('Token Ledger'!$N$7:$N$40,1,'Token Ledger'!$J$7:$J$40,B94)</x:f>
        <x:v>0</x:v>
      </x:c>
      <x:c r="L94" s="65" t="n">
        <x:f>IF(B94='Control Inputs'!D8,K94,0)</x:f>
        <x:v>0</x:v>
      </x:c>
      <x:c r="M94" s="65" t="str">
        <x:f>IF(C94&lt;='Control Inputs'!D18,"PASS","FAIL")</x:f>
        <x:v>PASS</x:v>
      </x:c>
      <x:c r="N94" s="65" t="str">
        <x:f>IF(E94&lt;='Control Inputs'!D28,"PASS","FAIL")</x:f>
        <x:v>PASS</x:v>
      </x:c>
      <x:c r="O94" s="65" t="str">
        <x:f>IF(G94&lt;=IF(B94&lt;'Control Inputs'!D8,'Control Inputs'!D19,'Control Inputs'!D20),"PASS","FAIL")</x:f>
        <x:v>PASS</x:v>
      </x:c>
      <x:c r="P94" s="65" t="str">
        <x:f>IF(H94&lt;=IF(B94&lt;'Control Inputs'!D8,'Control Inputs'!D29,'Control Inputs'!D30),"PASS","FAIL")</x:f>
        <x:v>PASS</x:v>
      </x:c>
      <x:c r="Q94" s="65" t="str">
        <x:f>IF(AND(L94=0,M94="PASS",N94="PASS",O94="PASS",P94="PASS"),"PASS","FAIL")</x:f>
        <x:v>PASS</x:v>
      </x:c>
      <x:c r="R94" s="76" t="str"/>
    </x:row>
    <x:row r="95" ht="24" customHeight="1">
      <x:c r="B95" s="65" t="n">
        <x:v>89</x:v>
      </x:c>
      <x:c r="C95" s="65" t="n">
        <x:f>COUNTIFS('Token Ledger'!$C$7:$C$40,"Closure",'Token Ledger'!$N$7:$N$40,1,'Token Ledger'!$J$7:$J$40,"&lt;="&amp;B95,'Token Ledger'!$W$7:$W$40,"&gt;"&amp;B95)</x:f>
        <x:v>0</x:v>
      </x:c>
      <x:c r="D95" s="65" t="n">
        <x:f>COUNTIFS('Token Ledger'!$C$7:$C$40,"Closure",'Token Ledger'!$J$7:$J$40,"&lt;="&amp;B95,'Token Ledger'!$K$7:$K$40,"&gt;"&amp;B95)</x:f>
        <x:v>0</x:v>
      </x:c>
      <x:c r="E95" s="65" t="n">
        <x:f>COUNTIFS('Token Ledger'!$C$7:$C$40,"Damage",'Token Ledger'!$N$7:$N$40,1,'Token Ledger'!$J$7:$J$40,"&lt;="&amp;B95,'Token Ledger'!$W$7:$W$40,"&gt;"&amp;B95)</x:f>
        <x:v>0</x:v>
      </x:c>
      <x:c r="F95" s="65" t="n">
        <x:f>COUNTIFS('Token Ledger'!$C$7:$C$40,"Damage",'Token Ledger'!$J$7:$J$40,"&lt;="&amp;B95,'Token Ledger'!$K$7:$K$40,"&gt;"&amp;B95)</x:f>
        <x:v>0</x:v>
      </x:c>
      <x:c r="G95" s="65" t="n">
        <x:f>COUNTIFS('Token Ledger'!$C$7:$C$40,"Closure",'Token Ledger'!$P$7:$P$40,"MODELED CREDIT",'Token Ledger'!$K$7:$K$40,"&lt;="&amp;B95,'Token Ledger'!$L$7:$L$40,"&gt;"&amp;B95)</x:f>
        <x:v>0</x:v>
      </x:c>
      <x:c r="H95" s="65" t="n">
        <x:f>COUNTIFS('Token Ledger'!$C$7:$C$40,"Damage",'Token Ledger'!$P$7:$P$40,"MODELED CREDIT",'Token Ledger'!$K$7:$K$40,"&lt;="&amp;B95,'Token Ledger'!$L$7:$L$40,"&gt;"&amp;B95)</x:f>
        <x:v>0</x:v>
      </x:c>
      <x:c r="I95" s="65" t="n">
        <x:f>SUMIFS('Token Ledger'!$Q$7:$Q$40,'Token Ledger'!$C$7:$C$40,"Closure",'Token Ledger'!$L$7:$L$40,"&lt;="&amp;B95)</x:f>
        <x:v>18</x:v>
      </x:c>
      <x:c r="J95" s="65" t="n">
        <x:f>SUMIFS('Token Ledger'!$Q$7:$Q$40,'Token Ledger'!$C$7:$C$40,"Damage",'Token Ledger'!$L$7:$L$40,"&lt;="&amp;B95)</x:f>
        <x:v>6</x:v>
      </x:c>
      <x:c r="K95" s="65" t="n">
        <x:f>COUNTIFS('Token Ledger'!$N$7:$N$40,1,'Token Ledger'!$J$7:$J$40,B95)</x:f>
        <x:v>0</x:v>
      </x:c>
      <x:c r="L95" s="65" t="n">
        <x:f>IF(B95='Control Inputs'!D8,K95,0)</x:f>
        <x:v>0</x:v>
      </x:c>
      <x:c r="M95" s="65" t="str">
        <x:f>IF(C95&lt;='Control Inputs'!D18,"PASS","FAIL")</x:f>
        <x:v>PASS</x:v>
      </x:c>
      <x:c r="N95" s="65" t="str">
        <x:f>IF(E95&lt;='Control Inputs'!D28,"PASS","FAIL")</x:f>
        <x:v>PASS</x:v>
      </x:c>
      <x:c r="O95" s="65" t="str">
        <x:f>IF(G95&lt;=IF(B95&lt;'Control Inputs'!D8,'Control Inputs'!D19,'Control Inputs'!D20),"PASS","FAIL")</x:f>
        <x:v>PASS</x:v>
      </x:c>
      <x:c r="P95" s="65" t="str">
        <x:f>IF(H95&lt;=IF(B95&lt;'Control Inputs'!D8,'Control Inputs'!D29,'Control Inputs'!D30),"PASS","FAIL")</x:f>
        <x:v>PASS</x:v>
      </x:c>
      <x:c r="Q95" s="65" t="str">
        <x:f>IF(AND(L95=0,M95="PASS",N95="PASS",O95="PASS",P95="PASS"),"PASS","FAIL")</x:f>
        <x:v>PASS</x:v>
      </x:c>
      <x:c r="R95" s="76" t="str"/>
    </x:row>
    <x:row r="96" ht="24" customHeight="1">
      <x:c r="B96" s="70" t="n">
        <x:v>90</x:v>
      </x:c>
      <x:c r="C96" s="70" t="n">
        <x:f>COUNTIFS('Token Ledger'!$C$7:$C$40,"Closure",'Token Ledger'!$N$7:$N$40,1,'Token Ledger'!$J$7:$J$40,"&lt;="&amp;B96,'Token Ledger'!$W$7:$W$40,"&gt;"&amp;B96)</x:f>
        <x:v>0</x:v>
      </x:c>
      <x:c r="D96" s="70" t="n">
        <x:f>COUNTIFS('Token Ledger'!$C$7:$C$40,"Closure",'Token Ledger'!$J$7:$J$40,"&lt;="&amp;B96,'Token Ledger'!$K$7:$K$40,"&gt;"&amp;B96)</x:f>
        <x:v>0</x:v>
      </x:c>
      <x:c r="E96" s="70" t="n">
        <x:f>COUNTIFS('Token Ledger'!$C$7:$C$40,"Damage",'Token Ledger'!$N$7:$N$40,1,'Token Ledger'!$J$7:$J$40,"&lt;="&amp;B96,'Token Ledger'!$W$7:$W$40,"&gt;"&amp;B96)</x:f>
        <x:v>0</x:v>
      </x:c>
      <x:c r="F96" s="70" t="n">
        <x:f>COUNTIFS('Token Ledger'!$C$7:$C$40,"Damage",'Token Ledger'!$J$7:$J$40,"&lt;="&amp;B96,'Token Ledger'!$K$7:$K$40,"&gt;"&amp;B96)</x:f>
        <x:v>0</x:v>
      </x:c>
      <x:c r="G96" s="70" t="n">
        <x:f>COUNTIFS('Token Ledger'!$C$7:$C$40,"Closure",'Token Ledger'!$P$7:$P$40,"MODELED CREDIT",'Token Ledger'!$K$7:$K$40,"&lt;="&amp;B96,'Token Ledger'!$L$7:$L$40,"&gt;"&amp;B96)</x:f>
        <x:v>0</x:v>
      </x:c>
      <x:c r="H96" s="70" t="n">
        <x:f>COUNTIFS('Token Ledger'!$C$7:$C$40,"Damage",'Token Ledger'!$P$7:$P$40,"MODELED CREDIT",'Token Ledger'!$K$7:$K$40,"&lt;="&amp;B96,'Token Ledger'!$L$7:$L$40,"&gt;"&amp;B96)</x:f>
        <x:v>0</x:v>
      </x:c>
      <x:c r="I96" s="70" t="n">
        <x:f>SUMIFS('Token Ledger'!$Q$7:$Q$40,'Token Ledger'!$C$7:$C$40,"Closure",'Token Ledger'!$L$7:$L$40,"&lt;="&amp;B96)</x:f>
        <x:v>18</x:v>
      </x:c>
      <x:c r="J96" s="70" t="n">
        <x:f>SUMIFS('Token Ledger'!$Q$7:$Q$40,'Token Ledger'!$C$7:$C$40,"Damage",'Token Ledger'!$L$7:$L$40,"&lt;="&amp;B96)</x:f>
        <x:v>6</x:v>
      </x:c>
      <x:c r="K96" s="70" t="n">
        <x:f>COUNTIFS('Token Ledger'!$N$7:$N$40,1,'Token Ledger'!$J$7:$J$40,B96)</x:f>
        <x:v>0</x:v>
      </x:c>
      <x:c r="L96" s="70" t="n">
        <x:f>IF(B96='Control Inputs'!D8,K96,0)</x:f>
        <x:v>0</x:v>
      </x:c>
      <x:c r="M96" s="70" t="str">
        <x:f>IF(C96&lt;='Control Inputs'!D18,"PASS","FAIL")</x:f>
        <x:v>PASS</x:v>
      </x:c>
      <x:c r="N96" s="70" t="str">
        <x:f>IF(E96&lt;='Control Inputs'!D28,"PASS","FAIL")</x:f>
        <x:v>PASS</x:v>
      </x:c>
      <x:c r="O96" s="70" t="str">
        <x:f>IF(G96&lt;=IF(B96&lt;'Control Inputs'!D8,'Control Inputs'!D19,'Control Inputs'!D20),"PASS","FAIL")</x:f>
        <x:v>PASS</x:v>
      </x:c>
      <x:c r="P96" s="70" t="str">
        <x:f>IF(H96&lt;=IF(B96&lt;'Control Inputs'!D8,'Control Inputs'!D29,'Control Inputs'!D30),"PASS","FAIL")</x:f>
        <x:v>PASS</x:v>
      </x:c>
      <x:c r="Q96" s="70" t="str">
        <x:f>IF(AND(L96=0,M96="PASS",N96="PASS",O96="PASS",P96="PASS"),"PASS","FAIL")</x:f>
        <x:v>PASS</x:v>
      </x:c>
      <x:c r="R96" s="79" t="str">
        <x:v>integrated board</x:v>
      </x:c>
    </x:row>
  </x:sheetData>
  <x:mergeCells>
    <x:mergeCell ref="B3:R3"/>
  </x:mergeCells>
  <x:conditionalFormatting sqref="M7:Q96">
    <x:cfRule type="containsText" dxfId="48" priority="1" operator="containsText" text="FAIL"/>
    <x:cfRule type="containsText" dxfId="49" priority="2" operator="containsText" text="BLOCKED"/>
    <x:cfRule type="containsText" dxfId="50" priority="3" operator="containsText" text="HOLD"/>
    <x:cfRule type="containsText" dxfId="51" priority="4" operator="containsText" text="OPEN"/>
    <x:cfRule type="containsText" dxfId="52" priority="5" operator="containsText" text="RANGE-INVALID"/>
    <x:cfRule type="containsText" dxfId="53" priority="6" operator="containsText" text="INDETERMINATE"/>
    <x:cfRule type="containsText" dxfId="54" priority="7" operator="containsText" text="PASS"/>
    <x:cfRule type="containsText" dxfId="55" priority="8" operator="containsText" text="AUTHORIZED"/>
    <x:cfRule type="containsText" dxfId="56" priority="9" operator="containsText" text="RELEASED"/>
    <x:cfRule type="containsText" dxfId="57" priority="10" operator="containsText" text="ADMITTED"/>
    <x:cfRule type="containsText" dxfId="58" priority="11" operator="containsText" text="MODELED CREDIT"/>
    <x:cfRule type="containsText" dxfId="59" priority="12" operator="containsText" text="PLANNING COMPLETE"/>
    <x:cfRule type="containsText" dxfId="288" priority="13" operator="containsText" text="FAIL"/>
    <x:cfRule type="containsText" dxfId="289" priority="14" operator="containsText" text="BLOCKED"/>
    <x:cfRule type="containsText" dxfId="290" priority="15" operator="containsText" text="HOLD"/>
    <x:cfRule type="containsText" dxfId="291" priority="16" operator="containsText" text="OPEN"/>
    <x:cfRule type="containsText" dxfId="292" priority="17" operator="containsText" text="RANGE-INVALID"/>
    <x:cfRule type="containsText" dxfId="293" priority="18" operator="containsText" text="INDETERMINATE"/>
    <x:cfRule type="containsText" dxfId="294" priority="19" operator="containsText" text="PASS"/>
    <x:cfRule type="containsText" dxfId="295" priority="20" operator="containsText" text="AUTHORIZED"/>
    <x:cfRule type="containsText" dxfId="296" priority="21" operator="containsText" text="RELEASED"/>
    <x:cfRule type="containsText" dxfId="297" priority="22" operator="containsText" text="ADMITTED"/>
    <x:cfRule type="containsText" dxfId="298" priority="23" operator="containsText" text="MODELED CREDIT"/>
    <x:cfRule type="containsText" dxfId="299" priority="24" operator="containsText" text="PLANNING COMPLETE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B8C7D1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2" max="2" width="17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2">
      <x:c r="B2" s="1" t="str">
        <x:v>Station reservation grid</x:v>
      </x:c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</x:row>
    <x:row r="3">
      <x:c r="B3" s="2" t="str">
        <x:v>A value above one means two immutable station intervals overlap. All P90 reservations remain visible even when held.</x:v>
      </x:c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  <x:c r="N3" s="54"/>
    </x:row>
    <x:row r="4">
      <x:c r="B4" s="56"/>
      <x:c r="C4" s="56"/>
      <x:c r="D4" s="56"/>
      <x:c r="E4" s="56"/>
      <x:c r="F4" s="56"/>
      <x:c r="G4" s="56"/>
      <x:c r="H4" s="56"/>
      <x:c r="I4" s="56"/>
      <x:c r="J4" s="56"/>
      <x:c r="K4" s="56"/>
      <x:c r="L4" s="56"/>
      <x:c r="M4" s="56"/>
      <x:c r="N4" s="56"/>
    </x:row>
    <x:row r="5">
      <x:c r="B5" s="54"/>
      <x:c r="C5" s="54"/>
      <x:c r="D5" s="54"/>
      <x:c r="E5" s="54"/>
      <x:c r="F5" s="54"/>
      <x:c r="G5" s="54"/>
      <x:c r="H5" s="54"/>
      <x:c r="I5" s="54"/>
      <x:c r="J5" s="54"/>
      <x:c r="K5" s="54"/>
      <x:c r="L5" s="54"/>
      <x:c r="M5" s="54"/>
      <x:c r="N5" s="54"/>
    </x:row>
    <x:row r="6">
      <x:c r="B6" s="15" t="str">
        <x:v>Day</x:v>
      </x:c>
      <x:c r="C6" s="16" t="str">
        <x:v>CB-A1</x:v>
      </x:c>
      <x:c r="D6" s="16" t="str">
        <x:v>CB-A2</x:v>
      </x:c>
      <x:c r="E6" s="16" t="str">
        <x:v>CB-B1</x:v>
      </x:c>
      <x:c r="F6" s="16" t="str">
        <x:v>CB-B2</x:v>
      </x:c>
      <x:c r="G6" s="16" t="str">
        <x:v>CB-C1</x:v>
      </x:c>
      <x:c r="H6" s="16" t="str">
        <x:v>CB-C2</x:v>
      </x:c>
      <x:c r="I6" s="16" t="str">
        <x:v>DC-A1</x:v>
      </x:c>
      <x:c r="J6" s="16" t="str">
        <x:v>DC-A2</x:v>
      </x:c>
      <x:c r="K6" s="16" t="str">
        <x:v>DC-B1</x:v>
      </x:c>
      <x:c r="L6" s="16" t="str">
        <x:v>DC-B2</x:v>
      </x:c>
      <x:c r="M6" s="16" t="str">
        <x:v>DC-C1</x:v>
      </x:c>
      <x:c r="N6" s="16" t="str">
        <x:v>DC-C2</x:v>
      </x:c>
    </x:row>
    <x:row r="7">
      <x:c r="B7" s="65" t="n">
        <x:v>1</x:v>
      </x:c>
      <x:c r="C7" s="65" t="n">
        <x:f>COUNTIFS('Token Ledger'!$I$7:$I$40,C$6,'Token Ledger'!$J$7:$J$40,"&lt;="&amp;$B7,'Token Ledger'!$K$7:$K$40,"&gt;"&amp;$B7)</x:f>
        <x:v>1</x:v>
      </x:c>
      <x:c r="D7" s="65" t="n">
        <x:f>COUNTIFS('Token Ledger'!$I$7:$I$40,D$6,'Token Ledger'!$J$7:$J$40,"&lt;="&amp;$B7,'Token Ledger'!$K$7:$K$40,"&gt;"&amp;$B7)</x:f>
        <x:v>0</x:v>
      </x:c>
      <x:c r="E7" s="65" t="n">
        <x:f>COUNTIFS('Token Ledger'!$I$7:$I$40,E$6,'Token Ledger'!$J$7:$J$40,"&lt;="&amp;$B7,'Token Ledger'!$K$7:$K$40,"&gt;"&amp;$B7)</x:f>
        <x:v>1</x:v>
      </x:c>
      <x:c r="F7" s="65" t="n">
        <x:f>COUNTIFS('Token Ledger'!$I$7:$I$40,F$6,'Token Ledger'!$J$7:$J$40,"&lt;="&amp;$B7,'Token Ledger'!$K$7:$K$40,"&gt;"&amp;$B7)</x:f>
        <x:v>0</x:v>
      </x:c>
      <x:c r="G7" s="65" t="n">
        <x:f>COUNTIFS('Token Ledger'!$I$7:$I$40,G$6,'Token Ledger'!$J$7:$J$40,"&lt;="&amp;$B7,'Token Ledger'!$K$7:$K$40,"&gt;"&amp;$B7)</x:f>
        <x:v>1</x:v>
      </x:c>
      <x:c r="H7" s="65" t="n">
        <x:f>COUNTIFS('Token Ledger'!$I$7:$I$40,H$6,'Token Ledger'!$J$7:$J$40,"&lt;="&amp;$B7,'Token Ledger'!$K$7:$K$40,"&gt;"&amp;$B7)</x:f>
        <x:v>0</x:v>
      </x:c>
      <x:c r="I7" s="65" t="n">
        <x:f>COUNTIFS('Token Ledger'!$I$7:$I$40,I$6,'Token Ledger'!$J$7:$J$40,"&lt;="&amp;$B7,'Token Ledger'!$K$7:$K$40,"&gt;"&amp;$B7)</x:f>
        <x:v>0</x:v>
      </x:c>
      <x:c r="J7" s="65" t="n">
        <x:f>COUNTIFS('Token Ledger'!$I$7:$I$40,J$6,'Token Ledger'!$J$7:$J$40,"&lt;="&amp;$B7,'Token Ledger'!$K$7:$K$40,"&gt;"&amp;$B7)</x:f>
        <x:v>0</x:v>
      </x:c>
      <x:c r="K7" s="65" t="n">
        <x:f>COUNTIFS('Token Ledger'!$I$7:$I$40,K$6,'Token Ledger'!$J$7:$J$40,"&lt;="&amp;$B7,'Token Ledger'!$K$7:$K$40,"&gt;"&amp;$B7)</x:f>
        <x:v>0</x:v>
      </x:c>
      <x:c r="L7" s="65" t="n">
        <x:f>COUNTIFS('Token Ledger'!$I$7:$I$40,L$6,'Token Ledger'!$J$7:$J$40,"&lt;="&amp;$B7,'Token Ledger'!$K$7:$K$40,"&gt;"&amp;$B7)</x:f>
        <x:v>0</x:v>
      </x:c>
      <x:c r="M7" s="65" t="n">
        <x:f>COUNTIFS('Token Ledger'!$I$7:$I$40,M$6,'Token Ledger'!$J$7:$J$40,"&lt;="&amp;$B7,'Token Ledger'!$K$7:$K$40,"&gt;"&amp;$B7)</x:f>
        <x:v>0</x:v>
      </x:c>
      <x:c r="N7" s="76" t="n">
        <x:f>COUNTIFS('Token Ledger'!$I$7:$I$40,N$6,'Token Ledger'!$J$7:$J$40,"&lt;="&amp;$B7,'Token Ledger'!$K$7:$K$40,"&gt;"&amp;$B7)</x:f>
        <x:v>0</x:v>
      </x:c>
    </x:row>
    <x:row r="8">
      <x:c r="B8" s="65" t="n">
        <x:v>2</x:v>
      </x:c>
      <x:c r="C8" s="65" t="n">
        <x:f>COUNTIFS('Token Ledger'!$I$7:$I$40,C$6,'Token Ledger'!$J$7:$J$40,"&lt;="&amp;$B8,'Token Ledger'!$K$7:$K$40,"&gt;"&amp;$B8)</x:f>
        <x:v>1</x:v>
      </x:c>
      <x:c r="D8" s="65" t="n">
        <x:f>COUNTIFS('Token Ledger'!$I$7:$I$40,D$6,'Token Ledger'!$J$7:$J$40,"&lt;="&amp;$B8,'Token Ledger'!$K$7:$K$40,"&gt;"&amp;$B8)</x:f>
        <x:v>0</x:v>
      </x:c>
      <x:c r="E8" s="65" t="n">
        <x:f>COUNTIFS('Token Ledger'!$I$7:$I$40,E$6,'Token Ledger'!$J$7:$J$40,"&lt;="&amp;$B8,'Token Ledger'!$K$7:$K$40,"&gt;"&amp;$B8)</x:f>
        <x:v>1</x:v>
      </x:c>
      <x:c r="F8" s="65" t="n">
        <x:f>COUNTIFS('Token Ledger'!$I$7:$I$40,F$6,'Token Ledger'!$J$7:$J$40,"&lt;="&amp;$B8,'Token Ledger'!$K$7:$K$40,"&gt;"&amp;$B8)</x:f>
        <x:v>0</x:v>
      </x:c>
      <x:c r="G8" s="65" t="n">
        <x:f>COUNTIFS('Token Ledger'!$I$7:$I$40,G$6,'Token Ledger'!$J$7:$J$40,"&lt;="&amp;$B8,'Token Ledger'!$K$7:$K$40,"&gt;"&amp;$B8)</x:f>
        <x:v>1</x:v>
      </x:c>
      <x:c r="H8" s="65" t="n">
        <x:f>COUNTIFS('Token Ledger'!$I$7:$I$40,H$6,'Token Ledger'!$J$7:$J$40,"&lt;="&amp;$B8,'Token Ledger'!$K$7:$K$40,"&gt;"&amp;$B8)</x:f>
        <x:v>0</x:v>
      </x:c>
      <x:c r="I8" s="65" t="n">
        <x:f>COUNTIFS('Token Ledger'!$I$7:$I$40,I$6,'Token Ledger'!$J$7:$J$40,"&lt;="&amp;$B8,'Token Ledger'!$K$7:$K$40,"&gt;"&amp;$B8)</x:f>
        <x:v>0</x:v>
      </x:c>
      <x:c r="J8" s="65" t="n">
        <x:f>COUNTIFS('Token Ledger'!$I$7:$I$40,J$6,'Token Ledger'!$J$7:$J$40,"&lt;="&amp;$B8,'Token Ledger'!$K$7:$K$40,"&gt;"&amp;$B8)</x:f>
        <x:v>0</x:v>
      </x:c>
      <x:c r="K8" s="65" t="n">
        <x:f>COUNTIFS('Token Ledger'!$I$7:$I$40,K$6,'Token Ledger'!$J$7:$J$40,"&lt;="&amp;$B8,'Token Ledger'!$K$7:$K$40,"&gt;"&amp;$B8)</x:f>
        <x:v>0</x:v>
      </x:c>
      <x:c r="L8" s="65" t="n">
        <x:f>COUNTIFS('Token Ledger'!$I$7:$I$40,L$6,'Token Ledger'!$J$7:$J$40,"&lt;="&amp;$B8,'Token Ledger'!$K$7:$K$40,"&gt;"&amp;$B8)</x:f>
        <x:v>0</x:v>
      </x:c>
      <x:c r="M8" s="65" t="n">
        <x:f>COUNTIFS('Token Ledger'!$I$7:$I$40,M$6,'Token Ledger'!$J$7:$J$40,"&lt;="&amp;$B8,'Token Ledger'!$K$7:$K$40,"&gt;"&amp;$B8)</x:f>
        <x:v>0</x:v>
      </x:c>
      <x:c r="N8" s="76" t="n">
        <x:f>COUNTIFS('Token Ledger'!$I$7:$I$40,N$6,'Token Ledger'!$J$7:$J$40,"&lt;="&amp;$B8,'Token Ledger'!$K$7:$K$40,"&gt;"&amp;$B8)</x:f>
        <x:v>0</x:v>
      </x:c>
    </x:row>
    <x:row r="9">
      <x:c r="B9" s="65" t="n">
        <x:v>3</x:v>
      </x:c>
      <x:c r="C9" s="65" t="n">
        <x:f>COUNTIFS('Token Ledger'!$I$7:$I$40,C$6,'Token Ledger'!$J$7:$J$40,"&lt;="&amp;$B9,'Token Ledger'!$K$7:$K$40,"&gt;"&amp;$B9)</x:f>
        <x:v>1</x:v>
      </x:c>
      <x:c r="D9" s="65" t="n">
        <x:f>COUNTIFS('Token Ledger'!$I$7:$I$40,D$6,'Token Ledger'!$J$7:$J$40,"&lt;="&amp;$B9,'Token Ledger'!$K$7:$K$40,"&gt;"&amp;$B9)</x:f>
        <x:v>0</x:v>
      </x:c>
      <x:c r="E9" s="65" t="n">
        <x:f>COUNTIFS('Token Ledger'!$I$7:$I$40,E$6,'Token Ledger'!$J$7:$J$40,"&lt;="&amp;$B9,'Token Ledger'!$K$7:$K$40,"&gt;"&amp;$B9)</x:f>
        <x:v>1</x:v>
      </x:c>
      <x:c r="F9" s="65" t="n">
        <x:f>COUNTIFS('Token Ledger'!$I$7:$I$40,F$6,'Token Ledger'!$J$7:$J$40,"&lt;="&amp;$B9,'Token Ledger'!$K$7:$K$40,"&gt;"&amp;$B9)</x:f>
        <x:v>0</x:v>
      </x:c>
      <x:c r="G9" s="65" t="n">
        <x:f>COUNTIFS('Token Ledger'!$I$7:$I$40,G$6,'Token Ledger'!$J$7:$J$40,"&lt;="&amp;$B9,'Token Ledger'!$K$7:$K$40,"&gt;"&amp;$B9)</x:f>
        <x:v>1</x:v>
      </x:c>
      <x:c r="H9" s="65" t="n">
        <x:f>COUNTIFS('Token Ledger'!$I$7:$I$40,H$6,'Token Ledger'!$J$7:$J$40,"&lt;="&amp;$B9,'Token Ledger'!$K$7:$K$40,"&gt;"&amp;$B9)</x:f>
        <x:v>0</x:v>
      </x:c>
      <x:c r="I9" s="65" t="n">
        <x:f>COUNTIFS('Token Ledger'!$I$7:$I$40,I$6,'Token Ledger'!$J$7:$J$40,"&lt;="&amp;$B9,'Token Ledger'!$K$7:$K$40,"&gt;"&amp;$B9)</x:f>
        <x:v>0</x:v>
      </x:c>
      <x:c r="J9" s="65" t="n">
        <x:f>COUNTIFS('Token Ledger'!$I$7:$I$40,J$6,'Token Ledger'!$J$7:$J$40,"&lt;="&amp;$B9,'Token Ledger'!$K$7:$K$40,"&gt;"&amp;$B9)</x:f>
        <x:v>0</x:v>
      </x:c>
      <x:c r="K9" s="65" t="n">
        <x:f>COUNTIFS('Token Ledger'!$I$7:$I$40,K$6,'Token Ledger'!$J$7:$J$40,"&lt;="&amp;$B9,'Token Ledger'!$K$7:$K$40,"&gt;"&amp;$B9)</x:f>
        <x:v>0</x:v>
      </x:c>
      <x:c r="L9" s="65" t="n">
        <x:f>COUNTIFS('Token Ledger'!$I$7:$I$40,L$6,'Token Ledger'!$J$7:$J$40,"&lt;="&amp;$B9,'Token Ledger'!$K$7:$K$40,"&gt;"&amp;$B9)</x:f>
        <x:v>0</x:v>
      </x:c>
      <x:c r="M9" s="65" t="n">
        <x:f>COUNTIFS('Token Ledger'!$I$7:$I$40,M$6,'Token Ledger'!$J$7:$J$40,"&lt;="&amp;$B9,'Token Ledger'!$K$7:$K$40,"&gt;"&amp;$B9)</x:f>
        <x:v>0</x:v>
      </x:c>
      <x:c r="N9" s="76" t="n">
        <x:f>COUNTIFS('Token Ledger'!$I$7:$I$40,N$6,'Token Ledger'!$J$7:$J$40,"&lt;="&amp;$B9,'Token Ledger'!$K$7:$K$40,"&gt;"&amp;$B9)</x:f>
        <x:v>0</x:v>
      </x:c>
    </x:row>
    <x:row r="10">
      <x:c r="B10" s="65" t="n">
        <x:v>4</x:v>
      </x:c>
      <x:c r="C10" s="65" t="n">
        <x:f>COUNTIFS('Token Ledger'!$I$7:$I$40,C$6,'Token Ledger'!$J$7:$J$40,"&lt;="&amp;$B10,'Token Ledger'!$K$7:$K$40,"&gt;"&amp;$B10)</x:f>
        <x:v>1</x:v>
      </x:c>
      <x:c r="D10" s="65" t="n">
        <x:f>COUNTIFS('Token Ledger'!$I$7:$I$40,D$6,'Token Ledger'!$J$7:$J$40,"&lt;="&amp;$B10,'Token Ledger'!$K$7:$K$40,"&gt;"&amp;$B10)</x:f>
        <x:v>0</x:v>
      </x:c>
      <x:c r="E10" s="65" t="n">
        <x:f>COUNTIFS('Token Ledger'!$I$7:$I$40,E$6,'Token Ledger'!$J$7:$J$40,"&lt;="&amp;$B10,'Token Ledger'!$K$7:$K$40,"&gt;"&amp;$B10)</x:f>
        <x:v>1</x:v>
      </x:c>
      <x:c r="F10" s="65" t="n">
        <x:f>COUNTIFS('Token Ledger'!$I$7:$I$40,F$6,'Token Ledger'!$J$7:$J$40,"&lt;="&amp;$B10,'Token Ledger'!$K$7:$K$40,"&gt;"&amp;$B10)</x:f>
        <x:v>0</x:v>
      </x:c>
      <x:c r="G10" s="65" t="n">
        <x:f>COUNTIFS('Token Ledger'!$I$7:$I$40,G$6,'Token Ledger'!$J$7:$J$40,"&lt;="&amp;$B10,'Token Ledger'!$K$7:$K$40,"&gt;"&amp;$B10)</x:f>
        <x:v>1</x:v>
      </x:c>
      <x:c r="H10" s="65" t="n">
        <x:f>COUNTIFS('Token Ledger'!$I$7:$I$40,H$6,'Token Ledger'!$J$7:$J$40,"&lt;="&amp;$B10,'Token Ledger'!$K$7:$K$40,"&gt;"&amp;$B10)</x:f>
        <x:v>0</x:v>
      </x:c>
      <x:c r="I10" s="65" t="n">
        <x:f>COUNTIFS('Token Ledger'!$I$7:$I$40,I$6,'Token Ledger'!$J$7:$J$40,"&lt;="&amp;$B10,'Token Ledger'!$K$7:$K$40,"&gt;"&amp;$B10)</x:f>
        <x:v>0</x:v>
      </x:c>
      <x:c r="J10" s="65" t="n">
        <x:f>COUNTIFS('Token Ledger'!$I$7:$I$40,J$6,'Token Ledger'!$J$7:$J$40,"&lt;="&amp;$B10,'Token Ledger'!$K$7:$K$40,"&gt;"&amp;$B10)</x:f>
        <x:v>0</x:v>
      </x:c>
      <x:c r="K10" s="65" t="n">
        <x:f>COUNTIFS('Token Ledger'!$I$7:$I$40,K$6,'Token Ledger'!$J$7:$J$40,"&lt;="&amp;$B10,'Token Ledger'!$K$7:$K$40,"&gt;"&amp;$B10)</x:f>
        <x:v>0</x:v>
      </x:c>
      <x:c r="L10" s="65" t="n">
        <x:f>COUNTIFS('Token Ledger'!$I$7:$I$40,L$6,'Token Ledger'!$J$7:$J$40,"&lt;="&amp;$B10,'Token Ledger'!$K$7:$K$40,"&gt;"&amp;$B10)</x:f>
        <x:v>0</x:v>
      </x:c>
      <x:c r="M10" s="65" t="n">
        <x:f>COUNTIFS('Token Ledger'!$I$7:$I$40,M$6,'Token Ledger'!$J$7:$J$40,"&lt;="&amp;$B10,'Token Ledger'!$K$7:$K$40,"&gt;"&amp;$B10)</x:f>
        <x:v>0</x:v>
      </x:c>
      <x:c r="N10" s="76" t="n">
        <x:f>COUNTIFS('Token Ledger'!$I$7:$I$40,N$6,'Token Ledger'!$J$7:$J$40,"&lt;="&amp;$B10,'Token Ledger'!$K$7:$K$40,"&gt;"&amp;$B10)</x:f>
        <x:v>0</x:v>
      </x:c>
    </x:row>
    <x:row r="11">
      <x:c r="B11" s="65" t="n">
        <x:v>5</x:v>
      </x:c>
      <x:c r="C11" s="65" t="n">
        <x:f>COUNTIFS('Token Ledger'!$I$7:$I$40,C$6,'Token Ledger'!$J$7:$J$40,"&lt;="&amp;$B11,'Token Ledger'!$K$7:$K$40,"&gt;"&amp;$B11)</x:f>
        <x:v>1</x:v>
      </x:c>
      <x:c r="D11" s="65" t="n">
        <x:f>COUNTIFS('Token Ledger'!$I$7:$I$40,D$6,'Token Ledger'!$J$7:$J$40,"&lt;="&amp;$B11,'Token Ledger'!$K$7:$K$40,"&gt;"&amp;$B11)</x:f>
        <x:v>0</x:v>
      </x:c>
      <x:c r="E11" s="65" t="n">
        <x:f>COUNTIFS('Token Ledger'!$I$7:$I$40,E$6,'Token Ledger'!$J$7:$J$40,"&lt;="&amp;$B11,'Token Ledger'!$K$7:$K$40,"&gt;"&amp;$B11)</x:f>
        <x:v>1</x:v>
      </x:c>
      <x:c r="F11" s="65" t="n">
        <x:f>COUNTIFS('Token Ledger'!$I$7:$I$40,F$6,'Token Ledger'!$J$7:$J$40,"&lt;="&amp;$B11,'Token Ledger'!$K$7:$K$40,"&gt;"&amp;$B11)</x:f>
        <x:v>0</x:v>
      </x:c>
      <x:c r="G11" s="65" t="n">
        <x:f>COUNTIFS('Token Ledger'!$I$7:$I$40,G$6,'Token Ledger'!$J$7:$J$40,"&lt;="&amp;$B11,'Token Ledger'!$K$7:$K$40,"&gt;"&amp;$B11)</x:f>
        <x:v>1</x:v>
      </x:c>
      <x:c r="H11" s="65" t="n">
        <x:f>COUNTIFS('Token Ledger'!$I$7:$I$40,H$6,'Token Ledger'!$J$7:$J$40,"&lt;="&amp;$B11,'Token Ledger'!$K$7:$K$40,"&gt;"&amp;$B11)</x:f>
        <x:v>0</x:v>
      </x:c>
      <x:c r="I11" s="65" t="n">
        <x:f>COUNTIFS('Token Ledger'!$I$7:$I$40,I$6,'Token Ledger'!$J$7:$J$40,"&lt;="&amp;$B11,'Token Ledger'!$K$7:$K$40,"&gt;"&amp;$B11)</x:f>
        <x:v>0</x:v>
      </x:c>
      <x:c r="J11" s="65" t="n">
        <x:f>COUNTIFS('Token Ledger'!$I$7:$I$40,J$6,'Token Ledger'!$J$7:$J$40,"&lt;="&amp;$B11,'Token Ledger'!$K$7:$K$40,"&gt;"&amp;$B11)</x:f>
        <x:v>0</x:v>
      </x:c>
      <x:c r="K11" s="65" t="n">
        <x:f>COUNTIFS('Token Ledger'!$I$7:$I$40,K$6,'Token Ledger'!$J$7:$J$40,"&lt;="&amp;$B11,'Token Ledger'!$K$7:$K$40,"&gt;"&amp;$B11)</x:f>
        <x:v>0</x:v>
      </x:c>
      <x:c r="L11" s="65" t="n">
        <x:f>COUNTIFS('Token Ledger'!$I$7:$I$40,L$6,'Token Ledger'!$J$7:$J$40,"&lt;="&amp;$B11,'Token Ledger'!$K$7:$K$40,"&gt;"&amp;$B11)</x:f>
        <x:v>0</x:v>
      </x:c>
      <x:c r="M11" s="65" t="n">
        <x:f>COUNTIFS('Token Ledger'!$I$7:$I$40,M$6,'Token Ledger'!$J$7:$J$40,"&lt;="&amp;$B11,'Token Ledger'!$K$7:$K$40,"&gt;"&amp;$B11)</x:f>
        <x:v>0</x:v>
      </x:c>
      <x:c r="N11" s="76" t="n">
        <x:f>COUNTIFS('Token Ledger'!$I$7:$I$40,N$6,'Token Ledger'!$J$7:$J$40,"&lt;="&amp;$B11,'Token Ledger'!$K$7:$K$40,"&gt;"&amp;$B11)</x:f>
        <x:v>0</x:v>
      </x:c>
    </x:row>
    <x:row r="12">
      <x:c r="B12" s="65" t="n">
        <x:v>6</x:v>
      </x:c>
      <x:c r="C12" s="65" t="n">
        <x:f>COUNTIFS('Token Ledger'!$I$7:$I$40,C$6,'Token Ledger'!$J$7:$J$40,"&lt;="&amp;$B12,'Token Ledger'!$K$7:$K$40,"&gt;"&amp;$B12)</x:f>
        <x:v>1</x:v>
      </x:c>
      <x:c r="D12" s="65" t="n">
        <x:f>COUNTIFS('Token Ledger'!$I$7:$I$40,D$6,'Token Ledger'!$J$7:$J$40,"&lt;="&amp;$B12,'Token Ledger'!$K$7:$K$40,"&gt;"&amp;$B12)</x:f>
        <x:v>0</x:v>
      </x:c>
      <x:c r="E12" s="65" t="n">
        <x:f>COUNTIFS('Token Ledger'!$I$7:$I$40,E$6,'Token Ledger'!$J$7:$J$40,"&lt;="&amp;$B12,'Token Ledger'!$K$7:$K$40,"&gt;"&amp;$B12)</x:f>
        <x:v>1</x:v>
      </x:c>
      <x:c r="F12" s="65" t="n">
        <x:f>COUNTIFS('Token Ledger'!$I$7:$I$40,F$6,'Token Ledger'!$J$7:$J$40,"&lt;="&amp;$B12,'Token Ledger'!$K$7:$K$40,"&gt;"&amp;$B12)</x:f>
        <x:v>0</x:v>
      </x:c>
      <x:c r="G12" s="65" t="n">
        <x:f>COUNTIFS('Token Ledger'!$I$7:$I$40,G$6,'Token Ledger'!$J$7:$J$40,"&lt;="&amp;$B12,'Token Ledger'!$K$7:$K$40,"&gt;"&amp;$B12)</x:f>
        <x:v>1</x:v>
      </x:c>
      <x:c r="H12" s="65" t="n">
        <x:f>COUNTIFS('Token Ledger'!$I$7:$I$40,H$6,'Token Ledger'!$J$7:$J$40,"&lt;="&amp;$B12,'Token Ledger'!$K$7:$K$40,"&gt;"&amp;$B12)</x:f>
        <x:v>0</x:v>
      </x:c>
      <x:c r="I12" s="65" t="n">
        <x:f>COUNTIFS('Token Ledger'!$I$7:$I$40,I$6,'Token Ledger'!$J$7:$J$40,"&lt;="&amp;$B12,'Token Ledger'!$K$7:$K$40,"&gt;"&amp;$B12)</x:f>
        <x:v>0</x:v>
      </x:c>
      <x:c r="J12" s="65" t="n">
        <x:f>COUNTIFS('Token Ledger'!$I$7:$I$40,J$6,'Token Ledger'!$J$7:$J$40,"&lt;="&amp;$B12,'Token Ledger'!$K$7:$K$40,"&gt;"&amp;$B12)</x:f>
        <x:v>0</x:v>
      </x:c>
      <x:c r="K12" s="65" t="n">
        <x:f>COUNTIFS('Token Ledger'!$I$7:$I$40,K$6,'Token Ledger'!$J$7:$J$40,"&lt;="&amp;$B12,'Token Ledger'!$K$7:$K$40,"&gt;"&amp;$B12)</x:f>
        <x:v>0</x:v>
      </x:c>
      <x:c r="L12" s="65" t="n">
        <x:f>COUNTIFS('Token Ledger'!$I$7:$I$40,L$6,'Token Ledger'!$J$7:$J$40,"&lt;="&amp;$B12,'Token Ledger'!$K$7:$K$40,"&gt;"&amp;$B12)</x:f>
        <x:v>0</x:v>
      </x:c>
      <x:c r="M12" s="65" t="n">
        <x:f>COUNTIFS('Token Ledger'!$I$7:$I$40,M$6,'Token Ledger'!$J$7:$J$40,"&lt;="&amp;$B12,'Token Ledger'!$K$7:$K$40,"&gt;"&amp;$B12)</x:f>
        <x:v>0</x:v>
      </x:c>
      <x:c r="N12" s="76" t="n">
        <x:f>COUNTIFS('Token Ledger'!$I$7:$I$40,N$6,'Token Ledger'!$J$7:$J$40,"&lt;="&amp;$B12,'Token Ledger'!$K$7:$K$40,"&gt;"&amp;$B12)</x:f>
        <x:v>0</x:v>
      </x:c>
    </x:row>
    <x:row r="13">
      <x:c r="B13" s="65" t="n">
        <x:v>7</x:v>
      </x:c>
      <x:c r="C13" s="65" t="n">
        <x:f>COUNTIFS('Token Ledger'!$I$7:$I$40,C$6,'Token Ledger'!$J$7:$J$40,"&lt;="&amp;$B13,'Token Ledger'!$K$7:$K$40,"&gt;"&amp;$B13)</x:f>
        <x:v>1</x:v>
      </x:c>
      <x:c r="D13" s="65" t="n">
        <x:f>COUNTIFS('Token Ledger'!$I$7:$I$40,D$6,'Token Ledger'!$J$7:$J$40,"&lt;="&amp;$B13,'Token Ledger'!$K$7:$K$40,"&gt;"&amp;$B13)</x:f>
        <x:v>0</x:v>
      </x:c>
      <x:c r="E13" s="65" t="n">
        <x:f>COUNTIFS('Token Ledger'!$I$7:$I$40,E$6,'Token Ledger'!$J$7:$J$40,"&lt;="&amp;$B13,'Token Ledger'!$K$7:$K$40,"&gt;"&amp;$B13)</x:f>
        <x:v>1</x:v>
      </x:c>
      <x:c r="F13" s="65" t="n">
        <x:f>COUNTIFS('Token Ledger'!$I$7:$I$40,F$6,'Token Ledger'!$J$7:$J$40,"&lt;="&amp;$B13,'Token Ledger'!$K$7:$K$40,"&gt;"&amp;$B13)</x:f>
        <x:v>0</x:v>
      </x:c>
      <x:c r="G13" s="65" t="n">
        <x:f>COUNTIFS('Token Ledger'!$I$7:$I$40,G$6,'Token Ledger'!$J$7:$J$40,"&lt;="&amp;$B13,'Token Ledger'!$K$7:$K$40,"&gt;"&amp;$B13)</x:f>
        <x:v>1</x:v>
      </x:c>
      <x:c r="H13" s="65" t="n">
        <x:f>COUNTIFS('Token Ledger'!$I$7:$I$40,H$6,'Token Ledger'!$J$7:$J$40,"&lt;="&amp;$B13,'Token Ledger'!$K$7:$K$40,"&gt;"&amp;$B13)</x:f>
        <x:v>0</x:v>
      </x:c>
      <x:c r="I13" s="65" t="n">
        <x:f>COUNTIFS('Token Ledger'!$I$7:$I$40,I$6,'Token Ledger'!$J$7:$J$40,"&lt;="&amp;$B13,'Token Ledger'!$K$7:$K$40,"&gt;"&amp;$B13)</x:f>
        <x:v>0</x:v>
      </x:c>
      <x:c r="J13" s="65" t="n">
        <x:f>COUNTIFS('Token Ledger'!$I$7:$I$40,J$6,'Token Ledger'!$J$7:$J$40,"&lt;="&amp;$B13,'Token Ledger'!$K$7:$K$40,"&gt;"&amp;$B13)</x:f>
        <x:v>0</x:v>
      </x:c>
      <x:c r="K13" s="65" t="n">
        <x:f>COUNTIFS('Token Ledger'!$I$7:$I$40,K$6,'Token Ledger'!$J$7:$J$40,"&lt;="&amp;$B13,'Token Ledger'!$K$7:$K$40,"&gt;"&amp;$B13)</x:f>
        <x:v>0</x:v>
      </x:c>
      <x:c r="L13" s="65" t="n">
        <x:f>COUNTIFS('Token Ledger'!$I$7:$I$40,L$6,'Token Ledger'!$J$7:$J$40,"&lt;="&amp;$B13,'Token Ledger'!$K$7:$K$40,"&gt;"&amp;$B13)</x:f>
        <x:v>0</x:v>
      </x:c>
      <x:c r="M13" s="65" t="n">
        <x:f>COUNTIFS('Token Ledger'!$I$7:$I$40,M$6,'Token Ledger'!$J$7:$J$40,"&lt;="&amp;$B13,'Token Ledger'!$K$7:$K$40,"&gt;"&amp;$B13)</x:f>
        <x:v>0</x:v>
      </x:c>
      <x:c r="N13" s="76" t="n">
        <x:f>COUNTIFS('Token Ledger'!$I$7:$I$40,N$6,'Token Ledger'!$J$7:$J$40,"&lt;="&amp;$B13,'Token Ledger'!$K$7:$K$40,"&gt;"&amp;$B13)</x:f>
        <x:v>0</x:v>
      </x:c>
    </x:row>
    <x:row r="14">
      <x:c r="B14" s="65" t="n">
        <x:v>8</x:v>
      </x:c>
      <x:c r="C14" s="65" t="n">
        <x:f>COUNTIFS('Token Ledger'!$I$7:$I$40,C$6,'Token Ledger'!$J$7:$J$40,"&lt;="&amp;$B14,'Token Ledger'!$K$7:$K$40,"&gt;"&amp;$B14)</x:f>
        <x:v>1</x:v>
      </x:c>
      <x:c r="D14" s="65" t="n">
        <x:f>COUNTIFS('Token Ledger'!$I$7:$I$40,D$6,'Token Ledger'!$J$7:$J$40,"&lt;="&amp;$B14,'Token Ledger'!$K$7:$K$40,"&gt;"&amp;$B14)</x:f>
        <x:v>0</x:v>
      </x:c>
      <x:c r="E14" s="65" t="n">
        <x:f>COUNTIFS('Token Ledger'!$I$7:$I$40,E$6,'Token Ledger'!$J$7:$J$40,"&lt;="&amp;$B14,'Token Ledger'!$K$7:$K$40,"&gt;"&amp;$B14)</x:f>
        <x:v>1</x:v>
      </x:c>
      <x:c r="F14" s="65" t="n">
        <x:f>COUNTIFS('Token Ledger'!$I$7:$I$40,F$6,'Token Ledger'!$J$7:$J$40,"&lt;="&amp;$B14,'Token Ledger'!$K$7:$K$40,"&gt;"&amp;$B14)</x:f>
        <x:v>0</x:v>
      </x:c>
      <x:c r="G14" s="65" t="n">
        <x:f>COUNTIFS('Token Ledger'!$I$7:$I$40,G$6,'Token Ledger'!$J$7:$J$40,"&lt;="&amp;$B14,'Token Ledger'!$K$7:$K$40,"&gt;"&amp;$B14)</x:f>
        <x:v>1</x:v>
      </x:c>
      <x:c r="H14" s="65" t="n">
        <x:f>COUNTIFS('Token Ledger'!$I$7:$I$40,H$6,'Token Ledger'!$J$7:$J$40,"&lt;="&amp;$B14,'Token Ledger'!$K$7:$K$40,"&gt;"&amp;$B14)</x:f>
        <x:v>0</x:v>
      </x:c>
      <x:c r="I14" s="65" t="n">
        <x:f>COUNTIFS('Token Ledger'!$I$7:$I$40,I$6,'Token Ledger'!$J$7:$J$40,"&lt;="&amp;$B14,'Token Ledger'!$K$7:$K$40,"&gt;"&amp;$B14)</x:f>
        <x:v>0</x:v>
      </x:c>
      <x:c r="J14" s="65" t="n">
        <x:f>COUNTIFS('Token Ledger'!$I$7:$I$40,J$6,'Token Ledger'!$J$7:$J$40,"&lt;="&amp;$B14,'Token Ledger'!$K$7:$K$40,"&gt;"&amp;$B14)</x:f>
        <x:v>0</x:v>
      </x:c>
      <x:c r="K14" s="65" t="n">
        <x:f>COUNTIFS('Token Ledger'!$I$7:$I$40,K$6,'Token Ledger'!$J$7:$J$40,"&lt;="&amp;$B14,'Token Ledger'!$K$7:$K$40,"&gt;"&amp;$B14)</x:f>
        <x:v>0</x:v>
      </x:c>
      <x:c r="L14" s="65" t="n">
        <x:f>COUNTIFS('Token Ledger'!$I$7:$I$40,L$6,'Token Ledger'!$J$7:$J$40,"&lt;="&amp;$B14,'Token Ledger'!$K$7:$K$40,"&gt;"&amp;$B14)</x:f>
        <x:v>0</x:v>
      </x:c>
      <x:c r="M14" s="65" t="n">
        <x:f>COUNTIFS('Token Ledger'!$I$7:$I$40,M$6,'Token Ledger'!$J$7:$J$40,"&lt;="&amp;$B14,'Token Ledger'!$K$7:$K$40,"&gt;"&amp;$B14)</x:f>
        <x:v>0</x:v>
      </x:c>
      <x:c r="N14" s="76" t="n">
        <x:f>COUNTIFS('Token Ledger'!$I$7:$I$40,N$6,'Token Ledger'!$J$7:$J$40,"&lt;="&amp;$B14,'Token Ledger'!$K$7:$K$40,"&gt;"&amp;$B14)</x:f>
        <x:v>0</x:v>
      </x:c>
    </x:row>
    <x:row r="15">
      <x:c r="B15" s="65" t="n">
        <x:v>9</x:v>
      </x:c>
      <x:c r="C15" s="65" t="n">
        <x:f>COUNTIFS('Token Ledger'!$I$7:$I$40,C$6,'Token Ledger'!$J$7:$J$40,"&lt;="&amp;$B15,'Token Ledger'!$K$7:$K$40,"&gt;"&amp;$B15)</x:f>
        <x:v>0</x:v>
      </x:c>
      <x:c r="D15" s="65" t="n">
        <x:f>COUNTIFS('Token Ledger'!$I$7:$I$40,D$6,'Token Ledger'!$J$7:$J$40,"&lt;="&amp;$B15,'Token Ledger'!$K$7:$K$40,"&gt;"&amp;$B15)</x:f>
        <x:v>0</x:v>
      </x:c>
      <x:c r="E15" s="65" t="n">
        <x:f>COUNTIFS('Token Ledger'!$I$7:$I$40,E$6,'Token Ledger'!$J$7:$J$40,"&lt;="&amp;$B15,'Token Ledger'!$K$7:$K$40,"&gt;"&amp;$B15)</x:f>
        <x:v>0</x:v>
      </x:c>
      <x:c r="F15" s="65" t="n">
        <x:f>COUNTIFS('Token Ledger'!$I$7:$I$40,F$6,'Token Ledger'!$J$7:$J$40,"&lt;="&amp;$B15,'Token Ledger'!$K$7:$K$40,"&gt;"&amp;$B15)</x:f>
        <x:v>0</x:v>
      </x:c>
      <x:c r="G15" s="65" t="n">
        <x:f>COUNTIFS('Token Ledger'!$I$7:$I$40,G$6,'Token Ledger'!$J$7:$J$40,"&lt;="&amp;$B15,'Token Ledger'!$K$7:$K$40,"&gt;"&amp;$B15)</x:f>
        <x:v>0</x:v>
      </x:c>
      <x:c r="H15" s="65" t="n">
        <x:f>COUNTIFS('Token Ledger'!$I$7:$I$40,H$6,'Token Ledger'!$J$7:$J$40,"&lt;="&amp;$B15,'Token Ledger'!$K$7:$K$40,"&gt;"&amp;$B15)</x:f>
        <x:v>0</x:v>
      </x:c>
      <x:c r="I15" s="65" t="n">
        <x:f>COUNTIFS('Token Ledger'!$I$7:$I$40,I$6,'Token Ledger'!$J$7:$J$40,"&lt;="&amp;$B15,'Token Ledger'!$K$7:$K$40,"&gt;"&amp;$B15)</x:f>
        <x:v>0</x:v>
      </x:c>
      <x:c r="J15" s="65" t="n">
        <x:f>COUNTIFS('Token Ledger'!$I$7:$I$40,J$6,'Token Ledger'!$J$7:$J$40,"&lt;="&amp;$B15,'Token Ledger'!$K$7:$K$40,"&gt;"&amp;$B15)</x:f>
        <x:v>0</x:v>
      </x:c>
      <x:c r="K15" s="65" t="n">
        <x:f>COUNTIFS('Token Ledger'!$I$7:$I$40,K$6,'Token Ledger'!$J$7:$J$40,"&lt;="&amp;$B15,'Token Ledger'!$K$7:$K$40,"&gt;"&amp;$B15)</x:f>
        <x:v>0</x:v>
      </x:c>
      <x:c r="L15" s="65" t="n">
        <x:f>COUNTIFS('Token Ledger'!$I$7:$I$40,L$6,'Token Ledger'!$J$7:$J$40,"&lt;="&amp;$B15,'Token Ledger'!$K$7:$K$40,"&gt;"&amp;$B15)</x:f>
        <x:v>0</x:v>
      </x:c>
      <x:c r="M15" s="65" t="n">
        <x:f>COUNTIFS('Token Ledger'!$I$7:$I$40,M$6,'Token Ledger'!$J$7:$J$40,"&lt;="&amp;$B15,'Token Ledger'!$K$7:$K$40,"&gt;"&amp;$B15)</x:f>
        <x:v>0</x:v>
      </x:c>
      <x:c r="N15" s="76" t="n">
        <x:f>COUNTIFS('Token Ledger'!$I$7:$I$40,N$6,'Token Ledger'!$J$7:$J$40,"&lt;="&amp;$B15,'Token Ledger'!$K$7:$K$40,"&gt;"&amp;$B15)</x:f>
        <x:v>0</x:v>
      </x:c>
    </x:row>
    <x:row r="16">
      <x:c r="B16" s="65" t="n">
        <x:v>10</x:v>
      </x:c>
      <x:c r="C16" s="65" t="n">
        <x:f>COUNTIFS('Token Ledger'!$I$7:$I$40,C$6,'Token Ledger'!$J$7:$J$40,"&lt;="&amp;$B16,'Token Ledger'!$K$7:$K$40,"&gt;"&amp;$B16)</x:f>
        <x:v>0</x:v>
      </x:c>
      <x:c r="D16" s="65" t="n">
        <x:f>COUNTIFS('Token Ledger'!$I$7:$I$40,D$6,'Token Ledger'!$J$7:$J$40,"&lt;="&amp;$B16,'Token Ledger'!$K$7:$K$40,"&gt;"&amp;$B16)</x:f>
        <x:v>1</x:v>
      </x:c>
      <x:c r="E16" s="65" t="n">
        <x:f>COUNTIFS('Token Ledger'!$I$7:$I$40,E$6,'Token Ledger'!$J$7:$J$40,"&lt;="&amp;$B16,'Token Ledger'!$K$7:$K$40,"&gt;"&amp;$B16)</x:f>
        <x:v>0</x:v>
      </x:c>
      <x:c r="F16" s="65" t="n">
        <x:f>COUNTIFS('Token Ledger'!$I$7:$I$40,F$6,'Token Ledger'!$J$7:$J$40,"&lt;="&amp;$B16,'Token Ledger'!$K$7:$K$40,"&gt;"&amp;$B16)</x:f>
        <x:v>1</x:v>
      </x:c>
      <x:c r="G16" s="65" t="n">
        <x:f>COUNTIFS('Token Ledger'!$I$7:$I$40,G$6,'Token Ledger'!$J$7:$J$40,"&lt;="&amp;$B16,'Token Ledger'!$K$7:$K$40,"&gt;"&amp;$B16)</x:f>
        <x:v>0</x:v>
      </x:c>
      <x:c r="H16" s="65" t="n">
        <x:f>COUNTIFS('Token Ledger'!$I$7:$I$40,H$6,'Token Ledger'!$J$7:$J$40,"&lt;="&amp;$B16,'Token Ledger'!$K$7:$K$40,"&gt;"&amp;$B16)</x:f>
        <x:v>1</x:v>
      </x:c>
      <x:c r="I16" s="65" t="n">
        <x:f>COUNTIFS('Token Ledger'!$I$7:$I$40,I$6,'Token Ledger'!$J$7:$J$40,"&lt;="&amp;$B16,'Token Ledger'!$K$7:$K$40,"&gt;"&amp;$B16)</x:f>
        <x:v>0</x:v>
      </x:c>
      <x:c r="J16" s="65" t="n">
        <x:f>COUNTIFS('Token Ledger'!$I$7:$I$40,J$6,'Token Ledger'!$J$7:$J$40,"&lt;="&amp;$B16,'Token Ledger'!$K$7:$K$40,"&gt;"&amp;$B16)</x:f>
        <x:v>0</x:v>
      </x:c>
      <x:c r="K16" s="65" t="n">
        <x:f>COUNTIFS('Token Ledger'!$I$7:$I$40,K$6,'Token Ledger'!$J$7:$J$40,"&lt;="&amp;$B16,'Token Ledger'!$K$7:$K$40,"&gt;"&amp;$B16)</x:f>
        <x:v>0</x:v>
      </x:c>
      <x:c r="L16" s="65" t="n">
        <x:f>COUNTIFS('Token Ledger'!$I$7:$I$40,L$6,'Token Ledger'!$J$7:$J$40,"&lt;="&amp;$B16,'Token Ledger'!$K$7:$K$40,"&gt;"&amp;$B16)</x:f>
        <x:v>0</x:v>
      </x:c>
      <x:c r="M16" s="65" t="n">
        <x:f>COUNTIFS('Token Ledger'!$I$7:$I$40,M$6,'Token Ledger'!$J$7:$J$40,"&lt;="&amp;$B16,'Token Ledger'!$K$7:$K$40,"&gt;"&amp;$B16)</x:f>
        <x:v>0</x:v>
      </x:c>
      <x:c r="N16" s="76" t="n">
        <x:f>COUNTIFS('Token Ledger'!$I$7:$I$40,N$6,'Token Ledger'!$J$7:$J$40,"&lt;="&amp;$B16,'Token Ledger'!$K$7:$K$40,"&gt;"&amp;$B16)</x:f>
        <x:v>0</x:v>
      </x:c>
    </x:row>
    <x:row r="17">
      <x:c r="B17" s="65" t="n">
        <x:v>11</x:v>
      </x:c>
      <x:c r="C17" s="65" t="n">
        <x:f>COUNTIFS('Token Ledger'!$I$7:$I$40,C$6,'Token Ledger'!$J$7:$J$40,"&lt;="&amp;$B17,'Token Ledger'!$K$7:$K$40,"&gt;"&amp;$B17)</x:f>
        <x:v>0</x:v>
      </x:c>
      <x:c r="D17" s="65" t="n">
        <x:f>COUNTIFS('Token Ledger'!$I$7:$I$40,D$6,'Token Ledger'!$J$7:$J$40,"&lt;="&amp;$B17,'Token Ledger'!$K$7:$K$40,"&gt;"&amp;$B17)</x:f>
        <x:v>1</x:v>
      </x:c>
      <x:c r="E17" s="65" t="n">
        <x:f>COUNTIFS('Token Ledger'!$I$7:$I$40,E$6,'Token Ledger'!$J$7:$J$40,"&lt;="&amp;$B17,'Token Ledger'!$K$7:$K$40,"&gt;"&amp;$B17)</x:f>
        <x:v>0</x:v>
      </x:c>
      <x:c r="F17" s="65" t="n">
        <x:f>COUNTIFS('Token Ledger'!$I$7:$I$40,F$6,'Token Ledger'!$J$7:$J$40,"&lt;="&amp;$B17,'Token Ledger'!$K$7:$K$40,"&gt;"&amp;$B17)</x:f>
        <x:v>1</x:v>
      </x:c>
      <x:c r="G17" s="65" t="n">
        <x:f>COUNTIFS('Token Ledger'!$I$7:$I$40,G$6,'Token Ledger'!$J$7:$J$40,"&lt;="&amp;$B17,'Token Ledger'!$K$7:$K$40,"&gt;"&amp;$B17)</x:f>
        <x:v>0</x:v>
      </x:c>
      <x:c r="H17" s="65" t="n">
        <x:f>COUNTIFS('Token Ledger'!$I$7:$I$40,H$6,'Token Ledger'!$J$7:$J$40,"&lt;="&amp;$B17,'Token Ledger'!$K$7:$K$40,"&gt;"&amp;$B17)</x:f>
        <x:v>1</x:v>
      </x:c>
      <x:c r="I17" s="65" t="n">
        <x:f>COUNTIFS('Token Ledger'!$I$7:$I$40,I$6,'Token Ledger'!$J$7:$J$40,"&lt;="&amp;$B17,'Token Ledger'!$K$7:$K$40,"&gt;"&amp;$B17)</x:f>
        <x:v>0</x:v>
      </x:c>
      <x:c r="J17" s="65" t="n">
        <x:f>COUNTIFS('Token Ledger'!$I$7:$I$40,J$6,'Token Ledger'!$J$7:$J$40,"&lt;="&amp;$B17,'Token Ledger'!$K$7:$K$40,"&gt;"&amp;$B17)</x:f>
        <x:v>0</x:v>
      </x:c>
      <x:c r="K17" s="65" t="n">
        <x:f>COUNTIFS('Token Ledger'!$I$7:$I$40,K$6,'Token Ledger'!$J$7:$J$40,"&lt;="&amp;$B17,'Token Ledger'!$K$7:$K$40,"&gt;"&amp;$B17)</x:f>
        <x:v>0</x:v>
      </x:c>
      <x:c r="L17" s="65" t="n">
        <x:f>COUNTIFS('Token Ledger'!$I$7:$I$40,L$6,'Token Ledger'!$J$7:$J$40,"&lt;="&amp;$B17,'Token Ledger'!$K$7:$K$40,"&gt;"&amp;$B17)</x:f>
        <x:v>0</x:v>
      </x:c>
      <x:c r="M17" s="65" t="n">
        <x:f>COUNTIFS('Token Ledger'!$I$7:$I$40,M$6,'Token Ledger'!$J$7:$J$40,"&lt;="&amp;$B17,'Token Ledger'!$K$7:$K$40,"&gt;"&amp;$B17)</x:f>
        <x:v>0</x:v>
      </x:c>
      <x:c r="N17" s="76" t="n">
        <x:f>COUNTIFS('Token Ledger'!$I$7:$I$40,N$6,'Token Ledger'!$J$7:$J$40,"&lt;="&amp;$B17,'Token Ledger'!$K$7:$K$40,"&gt;"&amp;$B17)</x:f>
        <x:v>0</x:v>
      </x:c>
    </x:row>
    <x:row r="18">
      <x:c r="B18" s="65" t="n">
        <x:v>12</x:v>
      </x:c>
      <x:c r="C18" s="65" t="n">
        <x:f>COUNTIFS('Token Ledger'!$I$7:$I$40,C$6,'Token Ledger'!$J$7:$J$40,"&lt;="&amp;$B18,'Token Ledger'!$K$7:$K$40,"&gt;"&amp;$B18)</x:f>
        <x:v>0</x:v>
      </x:c>
      <x:c r="D18" s="65" t="n">
        <x:f>COUNTIFS('Token Ledger'!$I$7:$I$40,D$6,'Token Ledger'!$J$7:$J$40,"&lt;="&amp;$B18,'Token Ledger'!$K$7:$K$40,"&gt;"&amp;$B18)</x:f>
        <x:v>1</x:v>
      </x:c>
      <x:c r="E18" s="65" t="n">
        <x:f>COUNTIFS('Token Ledger'!$I$7:$I$40,E$6,'Token Ledger'!$J$7:$J$40,"&lt;="&amp;$B18,'Token Ledger'!$K$7:$K$40,"&gt;"&amp;$B18)</x:f>
        <x:v>0</x:v>
      </x:c>
      <x:c r="F18" s="65" t="n">
        <x:f>COUNTIFS('Token Ledger'!$I$7:$I$40,F$6,'Token Ledger'!$J$7:$J$40,"&lt;="&amp;$B18,'Token Ledger'!$K$7:$K$40,"&gt;"&amp;$B18)</x:f>
        <x:v>1</x:v>
      </x:c>
      <x:c r="G18" s="65" t="n">
        <x:f>COUNTIFS('Token Ledger'!$I$7:$I$40,G$6,'Token Ledger'!$J$7:$J$40,"&lt;="&amp;$B18,'Token Ledger'!$K$7:$K$40,"&gt;"&amp;$B18)</x:f>
        <x:v>0</x:v>
      </x:c>
      <x:c r="H18" s="65" t="n">
        <x:f>COUNTIFS('Token Ledger'!$I$7:$I$40,H$6,'Token Ledger'!$J$7:$J$40,"&lt;="&amp;$B18,'Token Ledger'!$K$7:$K$40,"&gt;"&amp;$B18)</x:f>
        <x:v>1</x:v>
      </x:c>
      <x:c r="I18" s="65" t="n">
        <x:f>COUNTIFS('Token Ledger'!$I$7:$I$40,I$6,'Token Ledger'!$J$7:$J$40,"&lt;="&amp;$B18,'Token Ledger'!$K$7:$K$40,"&gt;"&amp;$B18)</x:f>
        <x:v>0</x:v>
      </x:c>
      <x:c r="J18" s="65" t="n">
        <x:f>COUNTIFS('Token Ledger'!$I$7:$I$40,J$6,'Token Ledger'!$J$7:$J$40,"&lt;="&amp;$B18,'Token Ledger'!$K$7:$K$40,"&gt;"&amp;$B18)</x:f>
        <x:v>0</x:v>
      </x:c>
      <x:c r="K18" s="65" t="n">
        <x:f>COUNTIFS('Token Ledger'!$I$7:$I$40,K$6,'Token Ledger'!$J$7:$J$40,"&lt;="&amp;$B18,'Token Ledger'!$K$7:$K$40,"&gt;"&amp;$B18)</x:f>
        <x:v>0</x:v>
      </x:c>
      <x:c r="L18" s="65" t="n">
        <x:f>COUNTIFS('Token Ledger'!$I$7:$I$40,L$6,'Token Ledger'!$J$7:$J$40,"&lt;="&amp;$B18,'Token Ledger'!$K$7:$K$40,"&gt;"&amp;$B18)</x:f>
        <x:v>0</x:v>
      </x:c>
      <x:c r="M18" s="65" t="n">
        <x:f>COUNTIFS('Token Ledger'!$I$7:$I$40,M$6,'Token Ledger'!$J$7:$J$40,"&lt;="&amp;$B18,'Token Ledger'!$K$7:$K$40,"&gt;"&amp;$B18)</x:f>
        <x:v>0</x:v>
      </x:c>
      <x:c r="N18" s="76" t="n">
        <x:f>COUNTIFS('Token Ledger'!$I$7:$I$40,N$6,'Token Ledger'!$J$7:$J$40,"&lt;="&amp;$B18,'Token Ledger'!$K$7:$K$40,"&gt;"&amp;$B18)</x:f>
        <x:v>0</x:v>
      </x:c>
    </x:row>
    <x:row r="19">
      <x:c r="B19" s="65" t="n">
        <x:v>13</x:v>
      </x:c>
      <x:c r="C19" s="65" t="n">
        <x:f>COUNTIFS('Token Ledger'!$I$7:$I$40,C$6,'Token Ledger'!$J$7:$J$40,"&lt;="&amp;$B19,'Token Ledger'!$K$7:$K$40,"&gt;"&amp;$B19)</x:f>
        <x:v>0</x:v>
      </x:c>
      <x:c r="D19" s="65" t="n">
        <x:f>COUNTIFS('Token Ledger'!$I$7:$I$40,D$6,'Token Ledger'!$J$7:$J$40,"&lt;="&amp;$B19,'Token Ledger'!$K$7:$K$40,"&gt;"&amp;$B19)</x:f>
        <x:v>1</x:v>
      </x:c>
      <x:c r="E19" s="65" t="n">
        <x:f>COUNTIFS('Token Ledger'!$I$7:$I$40,E$6,'Token Ledger'!$J$7:$J$40,"&lt;="&amp;$B19,'Token Ledger'!$K$7:$K$40,"&gt;"&amp;$B19)</x:f>
        <x:v>0</x:v>
      </x:c>
      <x:c r="F19" s="65" t="n">
        <x:f>COUNTIFS('Token Ledger'!$I$7:$I$40,F$6,'Token Ledger'!$J$7:$J$40,"&lt;="&amp;$B19,'Token Ledger'!$K$7:$K$40,"&gt;"&amp;$B19)</x:f>
        <x:v>1</x:v>
      </x:c>
      <x:c r="G19" s="65" t="n">
        <x:f>COUNTIFS('Token Ledger'!$I$7:$I$40,G$6,'Token Ledger'!$J$7:$J$40,"&lt;="&amp;$B19,'Token Ledger'!$K$7:$K$40,"&gt;"&amp;$B19)</x:f>
        <x:v>0</x:v>
      </x:c>
      <x:c r="H19" s="65" t="n">
        <x:f>COUNTIFS('Token Ledger'!$I$7:$I$40,H$6,'Token Ledger'!$J$7:$J$40,"&lt;="&amp;$B19,'Token Ledger'!$K$7:$K$40,"&gt;"&amp;$B19)</x:f>
        <x:v>1</x:v>
      </x:c>
      <x:c r="I19" s="65" t="n">
        <x:f>COUNTIFS('Token Ledger'!$I$7:$I$40,I$6,'Token Ledger'!$J$7:$J$40,"&lt;="&amp;$B19,'Token Ledger'!$K$7:$K$40,"&gt;"&amp;$B19)</x:f>
        <x:v>0</x:v>
      </x:c>
      <x:c r="J19" s="65" t="n">
        <x:f>COUNTIFS('Token Ledger'!$I$7:$I$40,J$6,'Token Ledger'!$J$7:$J$40,"&lt;="&amp;$B19,'Token Ledger'!$K$7:$K$40,"&gt;"&amp;$B19)</x:f>
        <x:v>0</x:v>
      </x:c>
      <x:c r="K19" s="65" t="n">
        <x:f>COUNTIFS('Token Ledger'!$I$7:$I$40,K$6,'Token Ledger'!$J$7:$J$40,"&lt;="&amp;$B19,'Token Ledger'!$K$7:$K$40,"&gt;"&amp;$B19)</x:f>
        <x:v>0</x:v>
      </x:c>
      <x:c r="L19" s="65" t="n">
        <x:f>COUNTIFS('Token Ledger'!$I$7:$I$40,L$6,'Token Ledger'!$J$7:$J$40,"&lt;="&amp;$B19,'Token Ledger'!$K$7:$K$40,"&gt;"&amp;$B19)</x:f>
        <x:v>0</x:v>
      </x:c>
      <x:c r="M19" s="65" t="n">
        <x:f>COUNTIFS('Token Ledger'!$I$7:$I$40,M$6,'Token Ledger'!$J$7:$J$40,"&lt;="&amp;$B19,'Token Ledger'!$K$7:$K$40,"&gt;"&amp;$B19)</x:f>
        <x:v>0</x:v>
      </x:c>
      <x:c r="N19" s="76" t="n">
        <x:f>COUNTIFS('Token Ledger'!$I$7:$I$40,N$6,'Token Ledger'!$J$7:$J$40,"&lt;="&amp;$B19,'Token Ledger'!$K$7:$K$40,"&gt;"&amp;$B19)</x:f>
        <x:v>0</x:v>
      </x:c>
    </x:row>
    <x:row r="20">
      <x:c r="B20" s="65" t="n">
        <x:v>14</x:v>
      </x:c>
      <x:c r="C20" s="65" t="n">
        <x:f>COUNTIFS('Token Ledger'!$I$7:$I$40,C$6,'Token Ledger'!$J$7:$J$40,"&lt;="&amp;$B20,'Token Ledger'!$K$7:$K$40,"&gt;"&amp;$B20)</x:f>
        <x:v>0</x:v>
      </x:c>
      <x:c r="D20" s="65" t="n">
        <x:f>COUNTIFS('Token Ledger'!$I$7:$I$40,D$6,'Token Ledger'!$J$7:$J$40,"&lt;="&amp;$B20,'Token Ledger'!$K$7:$K$40,"&gt;"&amp;$B20)</x:f>
        <x:v>1</x:v>
      </x:c>
      <x:c r="E20" s="65" t="n">
        <x:f>COUNTIFS('Token Ledger'!$I$7:$I$40,E$6,'Token Ledger'!$J$7:$J$40,"&lt;="&amp;$B20,'Token Ledger'!$K$7:$K$40,"&gt;"&amp;$B20)</x:f>
        <x:v>0</x:v>
      </x:c>
      <x:c r="F20" s="65" t="n">
        <x:f>COUNTIFS('Token Ledger'!$I$7:$I$40,F$6,'Token Ledger'!$J$7:$J$40,"&lt;="&amp;$B20,'Token Ledger'!$K$7:$K$40,"&gt;"&amp;$B20)</x:f>
        <x:v>1</x:v>
      </x:c>
      <x:c r="G20" s="65" t="n">
        <x:f>COUNTIFS('Token Ledger'!$I$7:$I$40,G$6,'Token Ledger'!$J$7:$J$40,"&lt;="&amp;$B20,'Token Ledger'!$K$7:$K$40,"&gt;"&amp;$B20)</x:f>
        <x:v>0</x:v>
      </x:c>
      <x:c r="H20" s="65" t="n">
        <x:f>COUNTIFS('Token Ledger'!$I$7:$I$40,H$6,'Token Ledger'!$J$7:$J$40,"&lt;="&amp;$B20,'Token Ledger'!$K$7:$K$40,"&gt;"&amp;$B20)</x:f>
        <x:v>1</x:v>
      </x:c>
      <x:c r="I20" s="65" t="n">
        <x:f>COUNTIFS('Token Ledger'!$I$7:$I$40,I$6,'Token Ledger'!$J$7:$J$40,"&lt;="&amp;$B20,'Token Ledger'!$K$7:$K$40,"&gt;"&amp;$B20)</x:f>
        <x:v>0</x:v>
      </x:c>
      <x:c r="J20" s="65" t="n">
        <x:f>COUNTIFS('Token Ledger'!$I$7:$I$40,J$6,'Token Ledger'!$J$7:$J$40,"&lt;="&amp;$B20,'Token Ledger'!$K$7:$K$40,"&gt;"&amp;$B20)</x:f>
        <x:v>0</x:v>
      </x:c>
      <x:c r="K20" s="65" t="n">
        <x:f>COUNTIFS('Token Ledger'!$I$7:$I$40,K$6,'Token Ledger'!$J$7:$J$40,"&lt;="&amp;$B20,'Token Ledger'!$K$7:$K$40,"&gt;"&amp;$B20)</x:f>
        <x:v>0</x:v>
      </x:c>
      <x:c r="L20" s="65" t="n">
        <x:f>COUNTIFS('Token Ledger'!$I$7:$I$40,L$6,'Token Ledger'!$J$7:$J$40,"&lt;="&amp;$B20,'Token Ledger'!$K$7:$K$40,"&gt;"&amp;$B20)</x:f>
        <x:v>0</x:v>
      </x:c>
      <x:c r="M20" s="65" t="n">
        <x:f>COUNTIFS('Token Ledger'!$I$7:$I$40,M$6,'Token Ledger'!$J$7:$J$40,"&lt;="&amp;$B20,'Token Ledger'!$K$7:$K$40,"&gt;"&amp;$B20)</x:f>
        <x:v>0</x:v>
      </x:c>
      <x:c r="N20" s="76" t="n">
        <x:f>COUNTIFS('Token Ledger'!$I$7:$I$40,N$6,'Token Ledger'!$J$7:$J$40,"&lt;="&amp;$B20,'Token Ledger'!$K$7:$K$40,"&gt;"&amp;$B20)</x:f>
        <x:v>0</x:v>
      </x:c>
    </x:row>
    <x:row r="21">
      <x:c r="B21" s="65" t="n">
        <x:v>15</x:v>
      </x:c>
      <x:c r="C21" s="65" t="n">
        <x:f>COUNTIFS('Token Ledger'!$I$7:$I$40,C$6,'Token Ledger'!$J$7:$J$40,"&lt;="&amp;$B21,'Token Ledger'!$K$7:$K$40,"&gt;"&amp;$B21)</x:f>
        <x:v>0</x:v>
      </x:c>
      <x:c r="D21" s="65" t="n">
        <x:f>COUNTIFS('Token Ledger'!$I$7:$I$40,D$6,'Token Ledger'!$J$7:$J$40,"&lt;="&amp;$B21,'Token Ledger'!$K$7:$K$40,"&gt;"&amp;$B21)</x:f>
        <x:v>1</x:v>
      </x:c>
      <x:c r="E21" s="65" t="n">
        <x:f>COUNTIFS('Token Ledger'!$I$7:$I$40,E$6,'Token Ledger'!$J$7:$J$40,"&lt;="&amp;$B21,'Token Ledger'!$K$7:$K$40,"&gt;"&amp;$B21)</x:f>
        <x:v>0</x:v>
      </x:c>
      <x:c r="F21" s="65" t="n">
        <x:f>COUNTIFS('Token Ledger'!$I$7:$I$40,F$6,'Token Ledger'!$J$7:$J$40,"&lt;="&amp;$B21,'Token Ledger'!$K$7:$K$40,"&gt;"&amp;$B21)</x:f>
        <x:v>1</x:v>
      </x:c>
      <x:c r="G21" s="65" t="n">
        <x:f>COUNTIFS('Token Ledger'!$I$7:$I$40,G$6,'Token Ledger'!$J$7:$J$40,"&lt;="&amp;$B21,'Token Ledger'!$K$7:$K$40,"&gt;"&amp;$B21)</x:f>
        <x:v>0</x:v>
      </x:c>
      <x:c r="H21" s="65" t="n">
        <x:f>COUNTIFS('Token Ledger'!$I$7:$I$40,H$6,'Token Ledger'!$J$7:$J$40,"&lt;="&amp;$B21,'Token Ledger'!$K$7:$K$40,"&gt;"&amp;$B21)</x:f>
        <x:v>1</x:v>
      </x:c>
      <x:c r="I21" s="65" t="n">
        <x:f>COUNTIFS('Token Ledger'!$I$7:$I$40,I$6,'Token Ledger'!$J$7:$J$40,"&lt;="&amp;$B21,'Token Ledger'!$K$7:$K$40,"&gt;"&amp;$B21)</x:f>
        <x:v>1</x:v>
      </x:c>
      <x:c r="J21" s="65" t="n">
        <x:f>COUNTIFS('Token Ledger'!$I$7:$I$40,J$6,'Token Ledger'!$J$7:$J$40,"&lt;="&amp;$B21,'Token Ledger'!$K$7:$K$40,"&gt;"&amp;$B21)</x:f>
        <x:v>0</x:v>
      </x:c>
      <x:c r="K21" s="65" t="n">
        <x:f>COUNTIFS('Token Ledger'!$I$7:$I$40,K$6,'Token Ledger'!$J$7:$J$40,"&lt;="&amp;$B21,'Token Ledger'!$K$7:$K$40,"&gt;"&amp;$B21)</x:f>
        <x:v>1</x:v>
      </x:c>
      <x:c r="L21" s="65" t="n">
        <x:f>COUNTIFS('Token Ledger'!$I$7:$I$40,L$6,'Token Ledger'!$J$7:$J$40,"&lt;="&amp;$B21,'Token Ledger'!$K$7:$K$40,"&gt;"&amp;$B21)</x:f>
        <x:v>0</x:v>
      </x:c>
      <x:c r="M21" s="65" t="n">
        <x:f>COUNTIFS('Token Ledger'!$I$7:$I$40,M$6,'Token Ledger'!$J$7:$J$40,"&lt;="&amp;$B21,'Token Ledger'!$K$7:$K$40,"&gt;"&amp;$B21)</x:f>
        <x:v>1</x:v>
      </x:c>
      <x:c r="N21" s="76" t="n">
        <x:f>COUNTIFS('Token Ledger'!$I$7:$I$40,N$6,'Token Ledger'!$J$7:$J$40,"&lt;="&amp;$B21,'Token Ledger'!$K$7:$K$40,"&gt;"&amp;$B21)</x:f>
        <x:v>0</x:v>
      </x:c>
    </x:row>
    <x:row r="22">
      <x:c r="B22" s="65" t="n">
        <x:v>16</x:v>
      </x:c>
      <x:c r="C22" s="65" t="n">
        <x:f>COUNTIFS('Token Ledger'!$I$7:$I$40,C$6,'Token Ledger'!$J$7:$J$40,"&lt;="&amp;$B22,'Token Ledger'!$K$7:$K$40,"&gt;"&amp;$B22)</x:f>
        <x:v>0</x:v>
      </x:c>
      <x:c r="D22" s="65" t="n">
        <x:f>COUNTIFS('Token Ledger'!$I$7:$I$40,D$6,'Token Ledger'!$J$7:$J$40,"&lt;="&amp;$B22,'Token Ledger'!$K$7:$K$40,"&gt;"&amp;$B22)</x:f>
        <x:v>1</x:v>
      </x:c>
      <x:c r="E22" s="65" t="n">
        <x:f>COUNTIFS('Token Ledger'!$I$7:$I$40,E$6,'Token Ledger'!$J$7:$J$40,"&lt;="&amp;$B22,'Token Ledger'!$K$7:$K$40,"&gt;"&amp;$B22)</x:f>
        <x:v>0</x:v>
      </x:c>
      <x:c r="F22" s="65" t="n">
        <x:f>COUNTIFS('Token Ledger'!$I$7:$I$40,F$6,'Token Ledger'!$J$7:$J$40,"&lt;="&amp;$B22,'Token Ledger'!$K$7:$K$40,"&gt;"&amp;$B22)</x:f>
        <x:v>1</x:v>
      </x:c>
      <x:c r="G22" s="65" t="n">
        <x:f>COUNTIFS('Token Ledger'!$I$7:$I$40,G$6,'Token Ledger'!$J$7:$J$40,"&lt;="&amp;$B22,'Token Ledger'!$K$7:$K$40,"&gt;"&amp;$B22)</x:f>
        <x:v>0</x:v>
      </x:c>
      <x:c r="H22" s="65" t="n">
        <x:f>COUNTIFS('Token Ledger'!$I$7:$I$40,H$6,'Token Ledger'!$J$7:$J$40,"&lt;="&amp;$B22,'Token Ledger'!$K$7:$K$40,"&gt;"&amp;$B22)</x:f>
        <x:v>1</x:v>
      </x:c>
      <x:c r="I22" s="65" t="n">
        <x:f>COUNTIFS('Token Ledger'!$I$7:$I$40,I$6,'Token Ledger'!$J$7:$J$40,"&lt;="&amp;$B22,'Token Ledger'!$K$7:$K$40,"&gt;"&amp;$B22)</x:f>
        <x:v>1</x:v>
      </x:c>
      <x:c r="J22" s="65" t="n">
        <x:f>COUNTIFS('Token Ledger'!$I$7:$I$40,J$6,'Token Ledger'!$J$7:$J$40,"&lt;="&amp;$B22,'Token Ledger'!$K$7:$K$40,"&gt;"&amp;$B22)</x:f>
        <x:v>0</x:v>
      </x:c>
      <x:c r="K22" s="65" t="n">
        <x:f>COUNTIFS('Token Ledger'!$I$7:$I$40,K$6,'Token Ledger'!$J$7:$J$40,"&lt;="&amp;$B22,'Token Ledger'!$K$7:$K$40,"&gt;"&amp;$B22)</x:f>
        <x:v>1</x:v>
      </x:c>
      <x:c r="L22" s="65" t="n">
        <x:f>COUNTIFS('Token Ledger'!$I$7:$I$40,L$6,'Token Ledger'!$J$7:$J$40,"&lt;="&amp;$B22,'Token Ledger'!$K$7:$K$40,"&gt;"&amp;$B22)</x:f>
        <x:v>0</x:v>
      </x:c>
      <x:c r="M22" s="65" t="n">
        <x:f>COUNTIFS('Token Ledger'!$I$7:$I$40,M$6,'Token Ledger'!$J$7:$J$40,"&lt;="&amp;$B22,'Token Ledger'!$K$7:$K$40,"&gt;"&amp;$B22)</x:f>
        <x:v>1</x:v>
      </x:c>
      <x:c r="N22" s="76" t="n">
        <x:f>COUNTIFS('Token Ledger'!$I$7:$I$40,N$6,'Token Ledger'!$J$7:$J$40,"&lt;="&amp;$B22,'Token Ledger'!$K$7:$K$40,"&gt;"&amp;$B22)</x:f>
        <x:v>0</x:v>
      </x:c>
    </x:row>
    <x:row r="23">
      <x:c r="B23" s="65" t="n">
        <x:v>17</x:v>
      </x:c>
      <x:c r="C23" s="65" t="n">
        <x:f>COUNTIFS('Token Ledger'!$I$7:$I$40,C$6,'Token Ledger'!$J$7:$J$40,"&lt;="&amp;$B23,'Token Ledger'!$K$7:$K$40,"&gt;"&amp;$B23)</x:f>
        <x:v>0</x:v>
      </x:c>
      <x:c r="D23" s="65" t="n">
        <x:f>COUNTIFS('Token Ledger'!$I$7:$I$40,D$6,'Token Ledger'!$J$7:$J$40,"&lt;="&amp;$B23,'Token Ledger'!$K$7:$K$40,"&gt;"&amp;$B23)</x:f>
        <x:v>1</x:v>
      </x:c>
      <x:c r="E23" s="65" t="n">
        <x:f>COUNTIFS('Token Ledger'!$I$7:$I$40,E$6,'Token Ledger'!$J$7:$J$40,"&lt;="&amp;$B23,'Token Ledger'!$K$7:$K$40,"&gt;"&amp;$B23)</x:f>
        <x:v>0</x:v>
      </x:c>
      <x:c r="F23" s="65" t="n">
        <x:f>COUNTIFS('Token Ledger'!$I$7:$I$40,F$6,'Token Ledger'!$J$7:$J$40,"&lt;="&amp;$B23,'Token Ledger'!$K$7:$K$40,"&gt;"&amp;$B23)</x:f>
        <x:v>1</x:v>
      </x:c>
      <x:c r="G23" s="65" t="n">
        <x:f>COUNTIFS('Token Ledger'!$I$7:$I$40,G$6,'Token Ledger'!$J$7:$J$40,"&lt;="&amp;$B23,'Token Ledger'!$K$7:$K$40,"&gt;"&amp;$B23)</x:f>
        <x:v>0</x:v>
      </x:c>
      <x:c r="H23" s="65" t="n">
        <x:f>COUNTIFS('Token Ledger'!$I$7:$I$40,H$6,'Token Ledger'!$J$7:$J$40,"&lt;="&amp;$B23,'Token Ledger'!$K$7:$K$40,"&gt;"&amp;$B23)</x:f>
        <x:v>1</x:v>
      </x:c>
      <x:c r="I23" s="65" t="n">
        <x:f>COUNTIFS('Token Ledger'!$I$7:$I$40,I$6,'Token Ledger'!$J$7:$J$40,"&lt;="&amp;$B23,'Token Ledger'!$K$7:$K$40,"&gt;"&amp;$B23)</x:f>
        <x:v>1</x:v>
      </x:c>
      <x:c r="J23" s="65" t="n">
        <x:f>COUNTIFS('Token Ledger'!$I$7:$I$40,J$6,'Token Ledger'!$J$7:$J$40,"&lt;="&amp;$B23,'Token Ledger'!$K$7:$K$40,"&gt;"&amp;$B23)</x:f>
        <x:v>0</x:v>
      </x:c>
      <x:c r="K23" s="65" t="n">
        <x:f>COUNTIFS('Token Ledger'!$I$7:$I$40,K$6,'Token Ledger'!$J$7:$J$40,"&lt;="&amp;$B23,'Token Ledger'!$K$7:$K$40,"&gt;"&amp;$B23)</x:f>
        <x:v>1</x:v>
      </x:c>
      <x:c r="L23" s="65" t="n">
        <x:f>COUNTIFS('Token Ledger'!$I$7:$I$40,L$6,'Token Ledger'!$J$7:$J$40,"&lt;="&amp;$B23,'Token Ledger'!$K$7:$K$40,"&gt;"&amp;$B23)</x:f>
        <x:v>0</x:v>
      </x:c>
      <x:c r="M23" s="65" t="n">
        <x:f>COUNTIFS('Token Ledger'!$I$7:$I$40,M$6,'Token Ledger'!$J$7:$J$40,"&lt;="&amp;$B23,'Token Ledger'!$K$7:$K$40,"&gt;"&amp;$B23)</x:f>
        <x:v>1</x:v>
      </x:c>
      <x:c r="N23" s="76" t="n">
        <x:f>COUNTIFS('Token Ledger'!$I$7:$I$40,N$6,'Token Ledger'!$J$7:$J$40,"&lt;="&amp;$B23,'Token Ledger'!$K$7:$K$40,"&gt;"&amp;$B23)</x:f>
        <x:v>0</x:v>
      </x:c>
    </x:row>
    <x:row r="24">
      <x:c r="B24" s="65" t="n">
        <x:v>18</x:v>
      </x:c>
      <x:c r="C24" s="65" t="n">
        <x:f>COUNTIFS('Token Ledger'!$I$7:$I$40,C$6,'Token Ledger'!$J$7:$J$40,"&lt;="&amp;$B24,'Token Ledger'!$K$7:$K$40,"&gt;"&amp;$B24)</x:f>
        <x:v>0</x:v>
      </x:c>
      <x:c r="D24" s="65" t="n">
        <x:f>COUNTIFS('Token Ledger'!$I$7:$I$40,D$6,'Token Ledger'!$J$7:$J$40,"&lt;="&amp;$B24,'Token Ledger'!$K$7:$K$40,"&gt;"&amp;$B24)</x:f>
        <x:v>0</x:v>
      </x:c>
      <x:c r="E24" s="65" t="n">
        <x:f>COUNTIFS('Token Ledger'!$I$7:$I$40,E$6,'Token Ledger'!$J$7:$J$40,"&lt;="&amp;$B24,'Token Ledger'!$K$7:$K$40,"&gt;"&amp;$B24)</x:f>
        <x:v>0</x:v>
      </x:c>
      <x:c r="F24" s="65" t="n">
        <x:f>COUNTIFS('Token Ledger'!$I$7:$I$40,F$6,'Token Ledger'!$J$7:$J$40,"&lt;="&amp;$B24,'Token Ledger'!$K$7:$K$40,"&gt;"&amp;$B24)</x:f>
        <x:v>0</x:v>
      </x:c>
      <x:c r="G24" s="65" t="n">
        <x:f>COUNTIFS('Token Ledger'!$I$7:$I$40,G$6,'Token Ledger'!$J$7:$J$40,"&lt;="&amp;$B24,'Token Ledger'!$K$7:$K$40,"&gt;"&amp;$B24)</x:f>
        <x:v>0</x:v>
      </x:c>
      <x:c r="H24" s="65" t="n">
        <x:f>COUNTIFS('Token Ledger'!$I$7:$I$40,H$6,'Token Ledger'!$J$7:$J$40,"&lt;="&amp;$B24,'Token Ledger'!$K$7:$K$40,"&gt;"&amp;$B24)</x:f>
        <x:v>0</x:v>
      </x:c>
      <x:c r="I24" s="65" t="n">
        <x:f>COUNTIFS('Token Ledger'!$I$7:$I$40,I$6,'Token Ledger'!$J$7:$J$40,"&lt;="&amp;$B24,'Token Ledger'!$K$7:$K$40,"&gt;"&amp;$B24)</x:f>
        <x:v>1</x:v>
      </x:c>
      <x:c r="J24" s="65" t="n">
        <x:f>COUNTIFS('Token Ledger'!$I$7:$I$40,J$6,'Token Ledger'!$J$7:$J$40,"&lt;="&amp;$B24,'Token Ledger'!$K$7:$K$40,"&gt;"&amp;$B24)</x:f>
        <x:v>0</x:v>
      </x:c>
      <x:c r="K24" s="65" t="n">
        <x:f>COUNTIFS('Token Ledger'!$I$7:$I$40,K$6,'Token Ledger'!$J$7:$J$40,"&lt;="&amp;$B24,'Token Ledger'!$K$7:$K$40,"&gt;"&amp;$B24)</x:f>
        <x:v>1</x:v>
      </x:c>
      <x:c r="L24" s="65" t="n">
        <x:f>COUNTIFS('Token Ledger'!$I$7:$I$40,L$6,'Token Ledger'!$J$7:$J$40,"&lt;="&amp;$B24,'Token Ledger'!$K$7:$K$40,"&gt;"&amp;$B24)</x:f>
        <x:v>0</x:v>
      </x:c>
      <x:c r="M24" s="65" t="n">
        <x:f>COUNTIFS('Token Ledger'!$I$7:$I$40,M$6,'Token Ledger'!$J$7:$J$40,"&lt;="&amp;$B24,'Token Ledger'!$K$7:$K$40,"&gt;"&amp;$B24)</x:f>
        <x:v>1</x:v>
      </x:c>
      <x:c r="N24" s="76" t="n">
        <x:f>COUNTIFS('Token Ledger'!$I$7:$I$40,N$6,'Token Ledger'!$J$7:$J$40,"&lt;="&amp;$B24,'Token Ledger'!$K$7:$K$40,"&gt;"&amp;$B24)</x:f>
        <x:v>0</x:v>
      </x:c>
    </x:row>
    <x:row r="25">
      <x:c r="B25" s="65" t="n">
        <x:v>19</x:v>
      </x:c>
      <x:c r="C25" s="65" t="n">
        <x:f>COUNTIFS('Token Ledger'!$I$7:$I$40,C$6,'Token Ledger'!$J$7:$J$40,"&lt;="&amp;$B25,'Token Ledger'!$K$7:$K$40,"&gt;"&amp;$B25)</x:f>
        <x:v>1</x:v>
      </x:c>
      <x:c r="D25" s="65" t="n">
        <x:f>COUNTIFS('Token Ledger'!$I$7:$I$40,D$6,'Token Ledger'!$J$7:$J$40,"&lt;="&amp;$B25,'Token Ledger'!$K$7:$K$40,"&gt;"&amp;$B25)</x:f>
        <x:v>0</x:v>
      </x:c>
      <x:c r="E25" s="65" t="n">
        <x:f>COUNTIFS('Token Ledger'!$I$7:$I$40,E$6,'Token Ledger'!$J$7:$J$40,"&lt;="&amp;$B25,'Token Ledger'!$K$7:$K$40,"&gt;"&amp;$B25)</x:f>
        <x:v>1</x:v>
      </x:c>
      <x:c r="F25" s="65" t="n">
        <x:f>COUNTIFS('Token Ledger'!$I$7:$I$40,F$6,'Token Ledger'!$J$7:$J$40,"&lt;="&amp;$B25,'Token Ledger'!$K$7:$K$40,"&gt;"&amp;$B25)</x:f>
        <x:v>0</x:v>
      </x:c>
      <x:c r="G25" s="65" t="n">
        <x:f>COUNTIFS('Token Ledger'!$I$7:$I$40,G$6,'Token Ledger'!$J$7:$J$40,"&lt;="&amp;$B25,'Token Ledger'!$K$7:$K$40,"&gt;"&amp;$B25)</x:f>
        <x:v>1</x:v>
      </x:c>
      <x:c r="H25" s="65" t="n">
        <x:f>COUNTIFS('Token Ledger'!$I$7:$I$40,H$6,'Token Ledger'!$J$7:$J$40,"&lt;="&amp;$B25,'Token Ledger'!$K$7:$K$40,"&gt;"&amp;$B25)</x:f>
        <x:v>0</x:v>
      </x:c>
      <x:c r="I25" s="65" t="n">
        <x:f>COUNTIFS('Token Ledger'!$I$7:$I$40,I$6,'Token Ledger'!$J$7:$J$40,"&lt;="&amp;$B25,'Token Ledger'!$K$7:$K$40,"&gt;"&amp;$B25)</x:f>
        <x:v>1</x:v>
      </x:c>
      <x:c r="J25" s="65" t="n">
        <x:f>COUNTIFS('Token Ledger'!$I$7:$I$40,J$6,'Token Ledger'!$J$7:$J$40,"&lt;="&amp;$B25,'Token Ledger'!$K$7:$K$40,"&gt;"&amp;$B25)</x:f>
        <x:v>0</x:v>
      </x:c>
      <x:c r="K25" s="65" t="n">
        <x:f>COUNTIFS('Token Ledger'!$I$7:$I$40,K$6,'Token Ledger'!$J$7:$J$40,"&lt;="&amp;$B25,'Token Ledger'!$K$7:$K$40,"&gt;"&amp;$B25)</x:f>
        <x:v>1</x:v>
      </x:c>
      <x:c r="L25" s="65" t="n">
        <x:f>COUNTIFS('Token Ledger'!$I$7:$I$40,L$6,'Token Ledger'!$J$7:$J$40,"&lt;="&amp;$B25,'Token Ledger'!$K$7:$K$40,"&gt;"&amp;$B25)</x:f>
        <x:v>0</x:v>
      </x:c>
      <x:c r="M25" s="65" t="n">
        <x:f>COUNTIFS('Token Ledger'!$I$7:$I$40,M$6,'Token Ledger'!$J$7:$J$40,"&lt;="&amp;$B25,'Token Ledger'!$K$7:$K$40,"&gt;"&amp;$B25)</x:f>
        <x:v>1</x:v>
      </x:c>
      <x:c r="N25" s="76" t="n">
        <x:f>COUNTIFS('Token Ledger'!$I$7:$I$40,N$6,'Token Ledger'!$J$7:$J$40,"&lt;="&amp;$B25,'Token Ledger'!$K$7:$K$40,"&gt;"&amp;$B25)</x:f>
        <x:v>0</x:v>
      </x:c>
    </x:row>
    <x:row r="26">
      <x:c r="B26" s="65" t="n">
        <x:v>20</x:v>
      </x:c>
      <x:c r="C26" s="65" t="n">
        <x:f>COUNTIFS('Token Ledger'!$I$7:$I$40,C$6,'Token Ledger'!$J$7:$J$40,"&lt;="&amp;$B26,'Token Ledger'!$K$7:$K$40,"&gt;"&amp;$B26)</x:f>
        <x:v>1</x:v>
      </x:c>
      <x:c r="D26" s="65" t="n">
        <x:f>COUNTIFS('Token Ledger'!$I$7:$I$40,D$6,'Token Ledger'!$J$7:$J$40,"&lt;="&amp;$B26,'Token Ledger'!$K$7:$K$40,"&gt;"&amp;$B26)</x:f>
        <x:v>0</x:v>
      </x:c>
      <x:c r="E26" s="65" t="n">
        <x:f>COUNTIFS('Token Ledger'!$I$7:$I$40,E$6,'Token Ledger'!$J$7:$J$40,"&lt;="&amp;$B26,'Token Ledger'!$K$7:$K$40,"&gt;"&amp;$B26)</x:f>
        <x:v>1</x:v>
      </x:c>
      <x:c r="F26" s="65" t="n">
        <x:f>COUNTIFS('Token Ledger'!$I$7:$I$40,F$6,'Token Ledger'!$J$7:$J$40,"&lt;="&amp;$B26,'Token Ledger'!$K$7:$K$40,"&gt;"&amp;$B26)</x:f>
        <x:v>0</x:v>
      </x:c>
      <x:c r="G26" s="65" t="n">
        <x:f>COUNTIFS('Token Ledger'!$I$7:$I$40,G$6,'Token Ledger'!$J$7:$J$40,"&lt;="&amp;$B26,'Token Ledger'!$K$7:$K$40,"&gt;"&amp;$B26)</x:f>
        <x:v>1</x:v>
      </x:c>
      <x:c r="H26" s="65" t="n">
        <x:f>COUNTIFS('Token Ledger'!$I$7:$I$40,H$6,'Token Ledger'!$J$7:$J$40,"&lt;="&amp;$B26,'Token Ledger'!$K$7:$K$40,"&gt;"&amp;$B26)</x:f>
        <x:v>0</x:v>
      </x:c>
      <x:c r="I26" s="65" t="n">
        <x:f>COUNTIFS('Token Ledger'!$I$7:$I$40,I$6,'Token Ledger'!$J$7:$J$40,"&lt;="&amp;$B26,'Token Ledger'!$K$7:$K$40,"&gt;"&amp;$B26)</x:f>
        <x:v>1</x:v>
      </x:c>
      <x:c r="J26" s="65" t="n">
        <x:f>COUNTIFS('Token Ledger'!$I$7:$I$40,J$6,'Token Ledger'!$J$7:$J$40,"&lt;="&amp;$B26,'Token Ledger'!$K$7:$K$40,"&gt;"&amp;$B26)</x:f>
        <x:v>0</x:v>
      </x:c>
      <x:c r="K26" s="65" t="n">
        <x:f>COUNTIFS('Token Ledger'!$I$7:$I$40,K$6,'Token Ledger'!$J$7:$J$40,"&lt;="&amp;$B26,'Token Ledger'!$K$7:$K$40,"&gt;"&amp;$B26)</x:f>
        <x:v>1</x:v>
      </x:c>
      <x:c r="L26" s="65" t="n">
        <x:f>COUNTIFS('Token Ledger'!$I$7:$I$40,L$6,'Token Ledger'!$J$7:$J$40,"&lt;="&amp;$B26,'Token Ledger'!$K$7:$K$40,"&gt;"&amp;$B26)</x:f>
        <x:v>0</x:v>
      </x:c>
      <x:c r="M26" s="65" t="n">
        <x:f>COUNTIFS('Token Ledger'!$I$7:$I$40,M$6,'Token Ledger'!$J$7:$J$40,"&lt;="&amp;$B26,'Token Ledger'!$K$7:$K$40,"&gt;"&amp;$B26)</x:f>
        <x:v>1</x:v>
      </x:c>
      <x:c r="N26" s="76" t="n">
        <x:f>COUNTIFS('Token Ledger'!$I$7:$I$40,N$6,'Token Ledger'!$J$7:$J$40,"&lt;="&amp;$B26,'Token Ledger'!$K$7:$K$40,"&gt;"&amp;$B26)</x:f>
        <x:v>0</x:v>
      </x:c>
    </x:row>
    <x:row r="27">
      <x:c r="B27" s="65" t="n">
        <x:v>21</x:v>
      </x:c>
      <x:c r="C27" s="65" t="n">
        <x:f>COUNTIFS('Token Ledger'!$I$7:$I$40,C$6,'Token Ledger'!$J$7:$J$40,"&lt;="&amp;$B27,'Token Ledger'!$K$7:$K$40,"&gt;"&amp;$B27)</x:f>
        <x:v>1</x:v>
      </x:c>
      <x:c r="D27" s="65" t="n">
        <x:f>COUNTIFS('Token Ledger'!$I$7:$I$40,D$6,'Token Ledger'!$J$7:$J$40,"&lt;="&amp;$B27,'Token Ledger'!$K$7:$K$40,"&gt;"&amp;$B27)</x:f>
        <x:v>0</x:v>
      </x:c>
      <x:c r="E27" s="65" t="n">
        <x:f>COUNTIFS('Token Ledger'!$I$7:$I$40,E$6,'Token Ledger'!$J$7:$J$40,"&lt;="&amp;$B27,'Token Ledger'!$K$7:$K$40,"&gt;"&amp;$B27)</x:f>
        <x:v>1</x:v>
      </x:c>
      <x:c r="F27" s="65" t="n">
        <x:f>COUNTIFS('Token Ledger'!$I$7:$I$40,F$6,'Token Ledger'!$J$7:$J$40,"&lt;="&amp;$B27,'Token Ledger'!$K$7:$K$40,"&gt;"&amp;$B27)</x:f>
        <x:v>0</x:v>
      </x:c>
      <x:c r="G27" s="65" t="n">
        <x:f>COUNTIFS('Token Ledger'!$I$7:$I$40,G$6,'Token Ledger'!$J$7:$J$40,"&lt;="&amp;$B27,'Token Ledger'!$K$7:$K$40,"&gt;"&amp;$B27)</x:f>
        <x:v>1</x:v>
      </x:c>
      <x:c r="H27" s="65" t="n">
        <x:f>COUNTIFS('Token Ledger'!$I$7:$I$40,H$6,'Token Ledger'!$J$7:$J$40,"&lt;="&amp;$B27,'Token Ledger'!$K$7:$K$40,"&gt;"&amp;$B27)</x:f>
        <x:v>0</x:v>
      </x:c>
      <x:c r="I27" s="65" t="n">
        <x:f>COUNTIFS('Token Ledger'!$I$7:$I$40,I$6,'Token Ledger'!$J$7:$J$40,"&lt;="&amp;$B27,'Token Ledger'!$K$7:$K$40,"&gt;"&amp;$B27)</x:f>
        <x:v>1</x:v>
      </x:c>
      <x:c r="J27" s="65" t="n">
        <x:f>COUNTIFS('Token Ledger'!$I$7:$I$40,J$6,'Token Ledger'!$J$7:$J$40,"&lt;="&amp;$B27,'Token Ledger'!$K$7:$K$40,"&gt;"&amp;$B27)</x:f>
        <x:v>0</x:v>
      </x:c>
      <x:c r="K27" s="65" t="n">
        <x:f>COUNTIFS('Token Ledger'!$I$7:$I$40,K$6,'Token Ledger'!$J$7:$J$40,"&lt;="&amp;$B27,'Token Ledger'!$K$7:$K$40,"&gt;"&amp;$B27)</x:f>
        <x:v>1</x:v>
      </x:c>
      <x:c r="L27" s="65" t="n">
        <x:f>COUNTIFS('Token Ledger'!$I$7:$I$40,L$6,'Token Ledger'!$J$7:$J$40,"&lt;="&amp;$B27,'Token Ledger'!$K$7:$K$40,"&gt;"&amp;$B27)</x:f>
        <x:v>0</x:v>
      </x:c>
      <x:c r="M27" s="65" t="n">
        <x:f>COUNTIFS('Token Ledger'!$I$7:$I$40,M$6,'Token Ledger'!$J$7:$J$40,"&lt;="&amp;$B27,'Token Ledger'!$K$7:$K$40,"&gt;"&amp;$B27)</x:f>
        <x:v>1</x:v>
      </x:c>
      <x:c r="N27" s="76" t="n">
        <x:f>COUNTIFS('Token Ledger'!$I$7:$I$40,N$6,'Token Ledger'!$J$7:$J$40,"&lt;="&amp;$B27,'Token Ledger'!$K$7:$K$40,"&gt;"&amp;$B27)</x:f>
        <x:v>0</x:v>
      </x:c>
    </x:row>
    <x:row r="28">
      <x:c r="B28" s="65" t="n">
        <x:v>22</x:v>
      </x:c>
      <x:c r="C28" s="65" t="n">
        <x:f>COUNTIFS('Token Ledger'!$I$7:$I$40,C$6,'Token Ledger'!$J$7:$J$40,"&lt;="&amp;$B28,'Token Ledger'!$K$7:$K$40,"&gt;"&amp;$B28)</x:f>
        <x:v>1</x:v>
      </x:c>
      <x:c r="D28" s="65" t="n">
        <x:f>COUNTIFS('Token Ledger'!$I$7:$I$40,D$6,'Token Ledger'!$J$7:$J$40,"&lt;="&amp;$B28,'Token Ledger'!$K$7:$K$40,"&gt;"&amp;$B28)</x:f>
        <x:v>0</x:v>
      </x:c>
      <x:c r="E28" s="65" t="n">
        <x:f>COUNTIFS('Token Ledger'!$I$7:$I$40,E$6,'Token Ledger'!$J$7:$J$40,"&lt;="&amp;$B28,'Token Ledger'!$K$7:$K$40,"&gt;"&amp;$B28)</x:f>
        <x:v>1</x:v>
      </x:c>
      <x:c r="F28" s="65" t="n">
        <x:f>COUNTIFS('Token Ledger'!$I$7:$I$40,F$6,'Token Ledger'!$J$7:$J$40,"&lt;="&amp;$B28,'Token Ledger'!$K$7:$K$40,"&gt;"&amp;$B28)</x:f>
        <x:v>0</x:v>
      </x:c>
      <x:c r="G28" s="65" t="n">
        <x:f>COUNTIFS('Token Ledger'!$I$7:$I$40,G$6,'Token Ledger'!$J$7:$J$40,"&lt;="&amp;$B28,'Token Ledger'!$K$7:$K$40,"&gt;"&amp;$B28)</x:f>
        <x:v>1</x:v>
      </x:c>
      <x:c r="H28" s="65" t="n">
        <x:f>COUNTIFS('Token Ledger'!$I$7:$I$40,H$6,'Token Ledger'!$J$7:$J$40,"&lt;="&amp;$B28,'Token Ledger'!$K$7:$K$40,"&gt;"&amp;$B28)</x:f>
        <x:v>0</x:v>
      </x:c>
      <x:c r="I28" s="65" t="n">
        <x:f>COUNTIFS('Token Ledger'!$I$7:$I$40,I$6,'Token Ledger'!$J$7:$J$40,"&lt;="&amp;$B28,'Token Ledger'!$K$7:$K$40,"&gt;"&amp;$B28)</x:f>
        <x:v>1</x:v>
      </x:c>
      <x:c r="J28" s="65" t="n">
        <x:f>COUNTIFS('Token Ledger'!$I$7:$I$40,J$6,'Token Ledger'!$J$7:$J$40,"&lt;="&amp;$B28,'Token Ledger'!$K$7:$K$40,"&gt;"&amp;$B28)</x:f>
        <x:v>0</x:v>
      </x:c>
      <x:c r="K28" s="65" t="n">
        <x:f>COUNTIFS('Token Ledger'!$I$7:$I$40,K$6,'Token Ledger'!$J$7:$J$40,"&lt;="&amp;$B28,'Token Ledger'!$K$7:$K$40,"&gt;"&amp;$B28)</x:f>
        <x:v>1</x:v>
      </x:c>
      <x:c r="L28" s="65" t="n">
        <x:f>COUNTIFS('Token Ledger'!$I$7:$I$40,L$6,'Token Ledger'!$J$7:$J$40,"&lt;="&amp;$B28,'Token Ledger'!$K$7:$K$40,"&gt;"&amp;$B28)</x:f>
        <x:v>0</x:v>
      </x:c>
      <x:c r="M28" s="65" t="n">
        <x:f>COUNTIFS('Token Ledger'!$I$7:$I$40,M$6,'Token Ledger'!$J$7:$J$40,"&lt;="&amp;$B28,'Token Ledger'!$K$7:$K$40,"&gt;"&amp;$B28)</x:f>
        <x:v>1</x:v>
      </x:c>
      <x:c r="N28" s="76" t="n">
        <x:f>COUNTIFS('Token Ledger'!$I$7:$I$40,N$6,'Token Ledger'!$J$7:$J$40,"&lt;="&amp;$B28,'Token Ledger'!$K$7:$K$40,"&gt;"&amp;$B28)</x:f>
        <x:v>0</x:v>
      </x:c>
    </x:row>
    <x:row r="29">
      <x:c r="B29" s="65" t="n">
        <x:v>23</x:v>
      </x:c>
      <x:c r="C29" s="65" t="n">
        <x:f>COUNTIFS('Token Ledger'!$I$7:$I$40,C$6,'Token Ledger'!$J$7:$J$40,"&lt;="&amp;$B29,'Token Ledger'!$K$7:$K$40,"&gt;"&amp;$B29)</x:f>
        <x:v>1</x:v>
      </x:c>
      <x:c r="D29" s="65" t="n">
        <x:f>COUNTIFS('Token Ledger'!$I$7:$I$40,D$6,'Token Ledger'!$J$7:$J$40,"&lt;="&amp;$B29,'Token Ledger'!$K$7:$K$40,"&gt;"&amp;$B29)</x:f>
        <x:v>0</x:v>
      </x:c>
      <x:c r="E29" s="65" t="n">
        <x:f>COUNTIFS('Token Ledger'!$I$7:$I$40,E$6,'Token Ledger'!$J$7:$J$40,"&lt;="&amp;$B29,'Token Ledger'!$K$7:$K$40,"&gt;"&amp;$B29)</x:f>
        <x:v>1</x:v>
      </x:c>
      <x:c r="F29" s="65" t="n">
        <x:f>COUNTIFS('Token Ledger'!$I$7:$I$40,F$6,'Token Ledger'!$J$7:$J$40,"&lt;="&amp;$B29,'Token Ledger'!$K$7:$K$40,"&gt;"&amp;$B29)</x:f>
        <x:v>0</x:v>
      </x:c>
      <x:c r="G29" s="65" t="n">
        <x:f>COUNTIFS('Token Ledger'!$I$7:$I$40,G$6,'Token Ledger'!$J$7:$J$40,"&lt;="&amp;$B29,'Token Ledger'!$K$7:$K$40,"&gt;"&amp;$B29)</x:f>
        <x:v>1</x:v>
      </x:c>
      <x:c r="H29" s="65" t="n">
        <x:f>COUNTIFS('Token Ledger'!$I$7:$I$40,H$6,'Token Ledger'!$J$7:$J$40,"&lt;="&amp;$B29,'Token Ledger'!$K$7:$K$40,"&gt;"&amp;$B29)</x:f>
        <x:v>0</x:v>
      </x:c>
      <x:c r="I29" s="65" t="n">
        <x:f>COUNTIFS('Token Ledger'!$I$7:$I$40,I$6,'Token Ledger'!$J$7:$J$40,"&lt;="&amp;$B29,'Token Ledger'!$K$7:$K$40,"&gt;"&amp;$B29)</x:f>
        <x:v>1</x:v>
      </x:c>
      <x:c r="J29" s="65" t="n">
        <x:f>COUNTIFS('Token Ledger'!$I$7:$I$40,J$6,'Token Ledger'!$J$7:$J$40,"&lt;="&amp;$B29,'Token Ledger'!$K$7:$K$40,"&gt;"&amp;$B29)</x:f>
        <x:v>0</x:v>
      </x:c>
      <x:c r="K29" s="65" t="n">
        <x:f>COUNTIFS('Token Ledger'!$I$7:$I$40,K$6,'Token Ledger'!$J$7:$J$40,"&lt;="&amp;$B29,'Token Ledger'!$K$7:$K$40,"&gt;"&amp;$B29)</x:f>
        <x:v>1</x:v>
      </x:c>
      <x:c r="L29" s="65" t="n">
        <x:f>COUNTIFS('Token Ledger'!$I$7:$I$40,L$6,'Token Ledger'!$J$7:$J$40,"&lt;="&amp;$B29,'Token Ledger'!$K$7:$K$40,"&gt;"&amp;$B29)</x:f>
        <x:v>0</x:v>
      </x:c>
      <x:c r="M29" s="65" t="n">
        <x:f>COUNTIFS('Token Ledger'!$I$7:$I$40,M$6,'Token Ledger'!$J$7:$J$40,"&lt;="&amp;$B29,'Token Ledger'!$K$7:$K$40,"&gt;"&amp;$B29)</x:f>
        <x:v>1</x:v>
      </x:c>
      <x:c r="N29" s="76" t="n">
        <x:f>COUNTIFS('Token Ledger'!$I$7:$I$40,N$6,'Token Ledger'!$J$7:$J$40,"&lt;="&amp;$B29,'Token Ledger'!$K$7:$K$40,"&gt;"&amp;$B29)</x:f>
        <x:v>0</x:v>
      </x:c>
    </x:row>
    <x:row r="30">
      <x:c r="B30" s="65" t="n">
        <x:v>24</x:v>
      </x:c>
      <x:c r="C30" s="65" t="n">
        <x:f>COUNTIFS('Token Ledger'!$I$7:$I$40,C$6,'Token Ledger'!$J$7:$J$40,"&lt;="&amp;$B30,'Token Ledger'!$K$7:$K$40,"&gt;"&amp;$B30)</x:f>
        <x:v>1</x:v>
      </x:c>
      <x:c r="D30" s="65" t="n">
        <x:f>COUNTIFS('Token Ledger'!$I$7:$I$40,D$6,'Token Ledger'!$J$7:$J$40,"&lt;="&amp;$B30,'Token Ledger'!$K$7:$K$40,"&gt;"&amp;$B30)</x:f>
        <x:v>0</x:v>
      </x:c>
      <x:c r="E30" s="65" t="n">
        <x:f>COUNTIFS('Token Ledger'!$I$7:$I$40,E$6,'Token Ledger'!$J$7:$J$40,"&lt;="&amp;$B30,'Token Ledger'!$K$7:$K$40,"&gt;"&amp;$B30)</x:f>
        <x:v>1</x:v>
      </x:c>
      <x:c r="F30" s="65" t="n">
        <x:f>COUNTIFS('Token Ledger'!$I$7:$I$40,F$6,'Token Ledger'!$J$7:$J$40,"&lt;="&amp;$B30,'Token Ledger'!$K$7:$K$40,"&gt;"&amp;$B30)</x:f>
        <x:v>0</x:v>
      </x:c>
      <x:c r="G30" s="65" t="n">
        <x:f>COUNTIFS('Token Ledger'!$I$7:$I$40,G$6,'Token Ledger'!$J$7:$J$40,"&lt;="&amp;$B30,'Token Ledger'!$K$7:$K$40,"&gt;"&amp;$B30)</x:f>
        <x:v>1</x:v>
      </x:c>
      <x:c r="H30" s="65" t="n">
        <x:f>COUNTIFS('Token Ledger'!$I$7:$I$40,H$6,'Token Ledger'!$J$7:$J$40,"&lt;="&amp;$B30,'Token Ledger'!$K$7:$K$40,"&gt;"&amp;$B30)</x:f>
        <x:v>0</x:v>
      </x:c>
      <x:c r="I30" s="65" t="n">
        <x:f>COUNTIFS('Token Ledger'!$I$7:$I$40,I$6,'Token Ledger'!$J$7:$J$40,"&lt;="&amp;$B30,'Token Ledger'!$K$7:$K$40,"&gt;"&amp;$B30)</x:f>
        <x:v>1</x:v>
      </x:c>
      <x:c r="J30" s="65" t="n">
        <x:f>COUNTIFS('Token Ledger'!$I$7:$I$40,J$6,'Token Ledger'!$J$7:$J$40,"&lt;="&amp;$B30,'Token Ledger'!$K$7:$K$40,"&gt;"&amp;$B30)</x:f>
        <x:v>0</x:v>
      </x:c>
      <x:c r="K30" s="65" t="n">
        <x:f>COUNTIFS('Token Ledger'!$I$7:$I$40,K$6,'Token Ledger'!$J$7:$J$40,"&lt;="&amp;$B30,'Token Ledger'!$K$7:$K$40,"&gt;"&amp;$B30)</x:f>
        <x:v>1</x:v>
      </x:c>
      <x:c r="L30" s="65" t="n">
        <x:f>COUNTIFS('Token Ledger'!$I$7:$I$40,L$6,'Token Ledger'!$J$7:$J$40,"&lt;="&amp;$B30,'Token Ledger'!$K$7:$K$40,"&gt;"&amp;$B30)</x:f>
        <x:v>0</x:v>
      </x:c>
      <x:c r="M30" s="65" t="n">
        <x:f>COUNTIFS('Token Ledger'!$I$7:$I$40,M$6,'Token Ledger'!$J$7:$J$40,"&lt;="&amp;$B30,'Token Ledger'!$K$7:$K$40,"&gt;"&amp;$B30)</x:f>
        <x:v>1</x:v>
      </x:c>
      <x:c r="N30" s="76" t="n">
        <x:f>COUNTIFS('Token Ledger'!$I$7:$I$40,N$6,'Token Ledger'!$J$7:$J$40,"&lt;="&amp;$B30,'Token Ledger'!$K$7:$K$40,"&gt;"&amp;$B30)</x:f>
        <x:v>0</x:v>
      </x:c>
    </x:row>
    <x:row r="31">
      <x:c r="B31" s="65" t="n">
        <x:v>25</x:v>
      </x:c>
      <x:c r="C31" s="65" t="n">
        <x:f>COUNTIFS('Token Ledger'!$I$7:$I$40,C$6,'Token Ledger'!$J$7:$J$40,"&lt;="&amp;$B31,'Token Ledger'!$K$7:$K$40,"&gt;"&amp;$B31)</x:f>
        <x:v>1</x:v>
      </x:c>
      <x:c r="D31" s="65" t="n">
        <x:f>COUNTIFS('Token Ledger'!$I$7:$I$40,D$6,'Token Ledger'!$J$7:$J$40,"&lt;="&amp;$B31,'Token Ledger'!$K$7:$K$40,"&gt;"&amp;$B31)</x:f>
        <x:v>0</x:v>
      </x:c>
      <x:c r="E31" s="65" t="n">
        <x:f>COUNTIFS('Token Ledger'!$I$7:$I$40,E$6,'Token Ledger'!$J$7:$J$40,"&lt;="&amp;$B31,'Token Ledger'!$K$7:$K$40,"&gt;"&amp;$B31)</x:f>
        <x:v>1</x:v>
      </x:c>
      <x:c r="F31" s="65" t="n">
        <x:f>COUNTIFS('Token Ledger'!$I$7:$I$40,F$6,'Token Ledger'!$J$7:$J$40,"&lt;="&amp;$B31,'Token Ledger'!$K$7:$K$40,"&gt;"&amp;$B31)</x:f>
        <x:v>0</x:v>
      </x:c>
      <x:c r="G31" s="65" t="n">
        <x:f>COUNTIFS('Token Ledger'!$I$7:$I$40,G$6,'Token Ledger'!$J$7:$J$40,"&lt;="&amp;$B31,'Token Ledger'!$K$7:$K$40,"&gt;"&amp;$B31)</x:f>
        <x:v>1</x:v>
      </x:c>
      <x:c r="H31" s="65" t="n">
        <x:f>COUNTIFS('Token Ledger'!$I$7:$I$40,H$6,'Token Ledger'!$J$7:$J$40,"&lt;="&amp;$B31,'Token Ledger'!$K$7:$K$40,"&gt;"&amp;$B31)</x:f>
        <x:v>0</x:v>
      </x:c>
      <x:c r="I31" s="65" t="n">
        <x:f>COUNTIFS('Token Ledger'!$I$7:$I$40,I$6,'Token Ledger'!$J$7:$J$40,"&lt;="&amp;$B31,'Token Ledger'!$K$7:$K$40,"&gt;"&amp;$B31)</x:f>
        <x:v>1</x:v>
      </x:c>
      <x:c r="J31" s="65" t="n">
        <x:f>COUNTIFS('Token Ledger'!$I$7:$I$40,J$6,'Token Ledger'!$J$7:$J$40,"&lt;="&amp;$B31,'Token Ledger'!$K$7:$K$40,"&gt;"&amp;$B31)</x:f>
        <x:v>0</x:v>
      </x:c>
      <x:c r="K31" s="65" t="n">
        <x:f>COUNTIFS('Token Ledger'!$I$7:$I$40,K$6,'Token Ledger'!$J$7:$J$40,"&lt;="&amp;$B31,'Token Ledger'!$K$7:$K$40,"&gt;"&amp;$B31)</x:f>
        <x:v>1</x:v>
      </x:c>
      <x:c r="L31" s="65" t="n">
        <x:f>COUNTIFS('Token Ledger'!$I$7:$I$40,L$6,'Token Ledger'!$J$7:$J$40,"&lt;="&amp;$B31,'Token Ledger'!$K$7:$K$40,"&gt;"&amp;$B31)</x:f>
        <x:v>0</x:v>
      </x:c>
      <x:c r="M31" s="65" t="n">
        <x:f>COUNTIFS('Token Ledger'!$I$7:$I$40,M$6,'Token Ledger'!$J$7:$J$40,"&lt;="&amp;$B31,'Token Ledger'!$K$7:$K$40,"&gt;"&amp;$B31)</x:f>
        <x:v>1</x:v>
      </x:c>
      <x:c r="N31" s="76" t="n">
        <x:f>COUNTIFS('Token Ledger'!$I$7:$I$40,N$6,'Token Ledger'!$J$7:$J$40,"&lt;="&amp;$B31,'Token Ledger'!$K$7:$K$40,"&gt;"&amp;$B31)</x:f>
        <x:v>0</x:v>
      </x:c>
    </x:row>
    <x:row r="32">
      <x:c r="B32" s="65" t="n">
        <x:v>26</x:v>
      </x:c>
      <x:c r="C32" s="65" t="n">
        <x:f>COUNTIFS('Token Ledger'!$I$7:$I$40,C$6,'Token Ledger'!$J$7:$J$40,"&lt;="&amp;$B32,'Token Ledger'!$K$7:$K$40,"&gt;"&amp;$B32)</x:f>
        <x:v>1</x:v>
      </x:c>
      <x:c r="D32" s="65" t="n">
        <x:f>COUNTIFS('Token Ledger'!$I$7:$I$40,D$6,'Token Ledger'!$J$7:$J$40,"&lt;="&amp;$B32,'Token Ledger'!$K$7:$K$40,"&gt;"&amp;$B32)</x:f>
        <x:v>0</x:v>
      </x:c>
      <x:c r="E32" s="65" t="n">
        <x:f>COUNTIFS('Token Ledger'!$I$7:$I$40,E$6,'Token Ledger'!$J$7:$J$40,"&lt;="&amp;$B32,'Token Ledger'!$K$7:$K$40,"&gt;"&amp;$B32)</x:f>
        <x:v>1</x:v>
      </x:c>
      <x:c r="F32" s="65" t="n">
        <x:f>COUNTIFS('Token Ledger'!$I$7:$I$40,F$6,'Token Ledger'!$J$7:$J$40,"&lt;="&amp;$B32,'Token Ledger'!$K$7:$K$40,"&gt;"&amp;$B32)</x:f>
        <x:v>0</x:v>
      </x:c>
      <x:c r="G32" s="65" t="n">
        <x:f>COUNTIFS('Token Ledger'!$I$7:$I$40,G$6,'Token Ledger'!$J$7:$J$40,"&lt;="&amp;$B32,'Token Ledger'!$K$7:$K$40,"&gt;"&amp;$B32)</x:f>
        <x:v>1</x:v>
      </x:c>
      <x:c r="H32" s="65" t="n">
        <x:f>COUNTIFS('Token Ledger'!$I$7:$I$40,H$6,'Token Ledger'!$J$7:$J$40,"&lt;="&amp;$B32,'Token Ledger'!$K$7:$K$40,"&gt;"&amp;$B32)</x:f>
        <x:v>0</x:v>
      </x:c>
      <x:c r="I32" s="65" t="n">
        <x:f>COUNTIFS('Token Ledger'!$I$7:$I$40,I$6,'Token Ledger'!$J$7:$J$40,"&lt;="&amp;$B32,'Token Ledger'!$K$7:$K$40,"&gt;"&amp;$B32)</x:f>
        <x:v>1</x:v>
      </x:c>
      <x:c r="J32" s="65" t="n">
        <x:f>COUNTIFS('Token Ledger'!$I$7:$I$40,J$6,'Token Ledger'!$J$7:$J$40,"&lt;="&amp;$B32,'Token Ledger'!$K$7:$K$40,"&gt;"&amp;$B32)</x:f>
        <x:v>0</x:v>
      </x:c>
      <x:c r="K32" s="65" t="n">
        <x:f>COUNTIFS('Token Ledger'!$I$7:$I$40,K$6,'Token Ledger'!$J$7:$J$40,"&lt;="&amp;$B32,'Token Ledger'!$K$7:$K$40,"&gt;"&amp;$B32)</x:f>
        <x:v>1</x:v>
      </x:c>
      <x:c r="L32" s="65" t="n">
        <x:f>COUNTIFS('Token Ledger'!$I$7:$I$40,L$6,'Token Ledger'!$J$7:$J$40,"&lt;="&amp;$B32,'Token Ledger'!$K$7:$K$40,"&gt;"&amp;$B32)</x:f>
        <x:v>0</x:v>
      </x:c>
      <x:c r="M32" s="65" t="n">
        <x:f>COUNTIFS('Token Ledger'!$I$7:$I$40,M$6,'Token Ledger'!$J$7:$J$40,"&lt;="&amp;$B32,'Token Ledger'!$K$7:$K$40,"&gt;"&amp;$B32)</x:f>
        <x:v>1</x:v>
      </x:c>
      <x:c r="N32" s="76" t="n">
        <x:f>COUNTIFS('Token Ledger'!$I$7:$I$40,N$6,'Token Ledger'!$J$7:$J$40,"&lt;="&amp;$B32,'Token Ledger'!$K$7:$K$40,"&gt;"&amp;$B32)</x:f>
        <x:v>0</x:v>
      </x:c>
    </x:row>
    <x:row r="33">
      <x:c r="B33" s="65" t="n">
        <x:v>27</x:v>
      </x:c>
      <x:c r="C33" s="65" t="n">
        <x:f>COUNTIFS('Token Ledger'!$I$7:$I$40,C$6,'Token Ledger'!$J$7:$J$40,"&lt;="&amp;$B33,'Token Ledger'!$K$7:$K$40,"&gt;"&amp;$B33)</x:f>
        <x:v>0</x:v>
      </x:c>
      <x:c r="D33" s="65" t="n">
        <x:f>COUNTIFS('Token Ledger'!$I$7:$I$40,D$6,'Token Ledger'!$J$7:$J$40,"&lt;="&amp;$B33,'Token Ledger'!$K$7:$K$40,"&gt;"&amp;$B33)</x:f>
        <x:v>0</x:v>
      </x:c>
      <x:c r="E33" s="65" t="n">
        <x:f>COUNTIFS('Token Ledger'!$I$7:$I$40,E$6,'Token Ledger'!$J$7:$J$40,"&lt;="&amp;$B33,'Token Ledger'!$K$7:$K$40,"&gt;"&amp;$B33)</x:f>
        <x:v>0</x:v>
      </x:c>
      <x:c r="F33" s="65" t="n">
        <x:f>COUNTIFS('Token Ledger'!$I$7:$I$40,F$6,'Token Ledger'!$J$7:$J$40,"&lt;="&amp;$B33,'Token Ledger'!$K$7:$K$40,"&gt;"&amp;$B33)</x:f>
        <x:v>1</x:v>
      </x:c>
      <x:c r="G33" s="65" t="n">
        <x:f>COUNTIFS('Token Ledger'!$I$7:$I$40,G$6,'Token Ledger'!$J$7:$J$40,"&lt;="&amp;$B33,'Token Ledger'!$K$7:$K$40,"&gt;"&amp;$B33)</x:f>
        <x:v>0</x:v>
      </x:c>
      <x:c r="H33" s="65" t="n">
        <x:f>COUNTIFS('Token Ledger'!$I$7:$I$40,H$6,'Token Ledger'!$J$7:$J$40,"&lt;="&amp;$B33,'Token Ledger'!$K$7:$K$40,"&gt;"&amp;$B33)</x:f>
        <x:v>1</x:v>
      </x:c>
      <x:c r="I33" s="65" t="n">
        <x:f>COUNTIFS('Token Ledger'!$I$7:$I$40,I$6,'Token Ledger'!$J$7:$J$40,"&lt;="&amp;$B33,'Token Ledger'!$K$7:$K$40,"&gt;"&amp;$B33)</x:f>
        <x:v>1</x:v>
      </x:c>
      <x:c r="J33" s="65" t="n">
        <x:f>COUNTIFS('Token Ledger'!$I$7:$I$40,J$6,'Token Ledger'!$J$7:$J$40,"&lt;="&amp;$B33,'Token Ledger'!$K$7:$K$40,"&gt;"&amp;$B33)</x:f>
        <x:v>0</x:v>
      </x:c>
      <x:c r="K33" s="65" t="n">
        <x:f>COUNTIFS('Token Ledger'!$I$7:$I$40,K$6,'Token Ledger'!$J$7:$J$40,"&lt;="&amp;$B33,'Token Ledger'!$K$7:$K$40,"&gt;"&amp;$B33)</x:f>
        <x:v>1</x:v>
      </x:c>
      <x:c r="L33" s="65" t="n">
        <x:f>COUNTIFS('Token Ledger'!$I$7:$I$40,L$6,'Token Ledger'!$J$7:$J$40,"&lt;="&amp;$B33,'Token Ledger'!$K$7:$K$40,"&gt;"&amp;$B33)</x:f>
        <x:v>0</x:v>
      </x:c>
      <x:c r="M33" s="65" t="n">
        <x:f>COUNTIFS('Token Ledger'!$I$7:$I$40,M$6,'Token Ledger'!$J$7:$J$40,"&lt;="&amp;$B33,'Token Ledger'!$K$7:$K$40,"&gt;"&amp;$B33)</x:f>
        <x:v>1</x:v>
      </x:c>
      <x:c r="N33" s="76" t="n">
        <x:f>COUNTIFS('Token Ledger'!$I$7:$I$40,N$6,'Token Ledger'!$J$7:$J$40,"&lt;="&amp;$B33,'Token Ledger'!$K$7:$K$40,"&gt;"&amp;$B33)</x:f>
        <x:v>0</x:v>
      </x:c>
    </x:row>
    <x:row r="34">
      <x:c r="B34" s="65" t="n">
        <x:v>28</x:v>
      </x:c>
      <x:c r="C34" s="65" t="n">
        <x:f>COUNTIFS('Token Ledger'!$I$7:$I$40,C$6,'Token Ledger'!$J$7:$J$40,"&lt;="&amp;$B34,'Token Ledger'!$K$7:$K$40,"&gt;"&amp;$B34)</x:f>
        <x:v>0</x:v>
      </x:c>
      <x:c r="D34" s="65" t="n">
        <x:f>COUNTIFS('Token Ledger'!$I$7:$I$40,D$6,'Token Ledger'!$J$7:$J$40,"&lt;="&amp;$B34,'Token Ledger'!$K$7:$K$40,"&gt;"&amp;$B34)</x:f>
        <x:v>0</x:v>
      </x:c>
      <x:c r="E34" s="65" t="n">
        <x:f>COUNTIFS('Token Ledger'!$I$7:$I$40,E$6,'Token Ledger'!$J$7:$J$40,"&lt;="&amp;$B34,'Token Ledger'!$K$7:$K$40,"&gt;"&amp;$B34)</x:f>
        <x:v>0</x:v>
      </x:c>
      <x:c r="F34" s="65" t="n">
        <x:f>COUNTIFS('Token Ledger'!$I$7:$I$40,F$6,'Token Ledger'!$J$7:$J$40,"&lt;="&amp;$B34,'Token Ledger'!$K$7:$K$40,"&gt;"&amp;$B34)</x:f>
        <x:v>1</x:v>
      </x:c>
      <x:c r="G34" s="65" t="n">
        <x:f>COUNTIFS('Token Ledger'!$I$7:$I$40,G$6,'Token Ledger'!$J$7:$J$40,"&lt;="&amp;$B34,'Token Ledger'!$K$7:$K$40,"&gt;"&amp;$B34)</x:f>
        <x:v>0</x:v>
      </x:c>
      <x:c r="H34" s="65" t="n">
        <x:f>COUNTIFS('Token Ledger'!$I$7:$I$40,H$6,'Token Ledger'!$J$7:$J$40,"&lt;="&amp;$B34,'Token Ledger'!$K$7:$K$40,"&gt;"&amp;$B34)</x:f>
        <x:v>1</x:v>
      </x:c>
      <x:c r="I34" s="65" t="n">
        <x:f>COUNTIFS('Token Ledger'!$I$7:$I$40,I$6,'Token Ledger'!$J$7:$J$40,"&lt;="&amp;$B34,'Token Ledger'!$K$7:$K$40,"&gt;"&amp;$B34)</x:f>
        <x:v>1</x:v>
      </x:c>
      <x:c r="J34" s="65" t="n">
        <x:f>COUNTIFS('Token Ledger'!$I$7:$I$40,J$6,'Token Ledger'!$J$7:$J$40,"&lt;="&amp;$B34,'Token Ledger'!$K$7:$K$40,"&gt;"&amp;$B34)</x:f>
        <x:v>0</x:v>
      </x:c>
      <x:c r="K34" s="65" t="n">
        <x:f>COUNTIFS('Token Ledger'!$I$7:$I$40,K$6,'Token Ledger'!$J$7:$J$40,"&lt;="&amp;$B34,'Token Ledger'!$K$7:$K$40,"&gt;"&amp;$B34)</x:f>
        <x:v>1</x:v>
      </x:c>
      <x:c r="L34" s="65" t="n">
        <x:f>COUNTIFS('Token Ledger'!$I$7:$I$40,L$6,'Token Ledger'!$J$7:$J$40,"&lt;="&amp;$B34,'Token Ledger'!$K$7:$K$40,"&gt;"&amp;$B34)</x:f>
        <x:v>0</x:v>
      </x:c>
      <x:c r="M34" s="65" t="n">
        <x:f>COUNTIFS('Token Ledger'!$I$7:$I$40,M$6,'Token Ledger'!$J$7:$J$40,"&lt;="&amp;$B34,'Token Ledger'!$K$7:$K$40,"&gt;"&amp;$B34)</x:f>
        <x:v>1</x:v>
      </x:c>
      <x:c r="N34" s="76" t="n">
        <x:f>COUNTIFS('Token Ledger'!$I$7:$I$40,N$6,'Token Ledger'!$J$7:$J$40,"&lt;="&amp;$B34,'Token Ledger'!$K$7:$K$40,"&gt;"&amp;$B34)</x:f>
        <x:v>0</x:v>
      </x:c>
    </x:row>
    <x:row r="35">
      <x:c r="B35" s="65" t="n">
        <x:v>29</x:v>
      </x:c>
      <x:c r="C35" s="65" t="n">
        <x:f>COUNTIFS('Token Ledger'!$I$7:$I$40,C$6,'Token Ledger'!$J$7:$J$40,"&lt;="&amp;$B35,'Token Ledger'!$K$7:$K$40,"&gt;"&amp;$B35)</x:f>
        <x:v>0</x:v>
      </x:c>
      <x:c r="D35" s="65" t="n">
        <x:f>COUNTIFS('Token Ledger'!$I$7:$I$40,D$6,'Token Ledger'!$J$7:$J$40,"&lt;="&amp;$B35,'Token Ledger'!$K$7:$K$40,"&gt;"&amp;$B35)</x:f>
        <x:v>0</x:v>
      </x:c>
      <x:c r="E35" s="65" t="n">
        <x:f>COUNTIFS('Token Ledger'!$I$7:$I$40,E$6,'Token Ledger'!$J$7:$J$40,"&lt;="&amp;$B35,'Token Ledger'!$K$7:$K$40,"&gt;"&amp;$B35)</x:f>
        <x:v>0</x:v>
      </x:c>
      <x:c r="F35" s="65" t="n">
        <x:f>COUNTIFS('Token Ledger'!$I$7:$I$40,F$6,'Token Ledger'!$J$7:$J$40,"&lt;="&amp;$B35,'Token Ledger'!$K$7:$K$40,"&gt;"&amp;$B35)</x:f>
        <x:v>1</x:v>
      </x:c>
      <x:c r="G35" s="65" t="n">
        <x:f>COUNTIFS('Token Ledger'!$I$7:$I$40,G$6,'Token Ledger'!$J$7:$J$40,"&lt;="&amp;$B35,'Token Ledger'!$K$7:$K$40,"&gt;"&amp;$B35)</x:f>
        <x:v>0</x:v>
      </x:c>
      <x:c r="H35" s="65" t="n">
        <x:f>COUNTIFS('Token Ledger'!$I$7:$I$40,H$6,'Token Ledger'!$J$7:$J$40,"&lt;="&amp;$B35,'Token Ledger'!$K$7:$K$40,"&gt;"&amp;$B35)</x:f>
        <x:v>1</x:v>
      </x:c>
      <x:c r="I35" s="65" t="n">
        <x:f>COUNTIFS('Token Ledger'!$I$7:$I$40,I$6,'Token Ledger'!$J$7:$J$40,"&lt;="&amp;$B35,'Token Ledger'!$K$7:$K$40,"&gt;"&amp;$B35)</x:f>
        <x:v>0</x:v>
      </x:c>
      <x:c r="J35" s="65" t="n">
        <x:f>COUNTIFS('Token Ledger'!$I$7:$I$40,J$6,'Token Ledger'!$J$7:$J$40,"&lt;="&amp;$B35,'Token Ledger'!$K$7:$K$40,"&gt;"&amp;$B35)</x:f>
        <x:v>0</x:v>
      </x:c>
      <x:c r="K35" s="65" t="n">
        <x:f>COUNTIFS('Token Ledger'!$I$7:$I$40,K$6,'Token Ledger'!$J$7:$J$40,"&lt;="&amp;$B35,'Token Ledger'!$K$7:$K$40,"&gt;"&amp;$B35)</x:f>
        <x:v>0</x:v>
      </x:c>
      <x:c r="L35" s="65" t="n">
        <x:f>COUNTIFS('Token Ledger'!$I$7:$I$40,L$6,'Token Ledger'!$J$7:$J$40,"&lt;="&amp;$B35,'Token Ledger'!$K$7:$K$40,"&gt;"&amp;$B35)</x:f>
        <x:v>0</x:v>
      </x:c>
      <x:c r="M35" s="65" t="n">
        <x:f>COUNTIFS('Token Ledger'!$I$7:$I$40,M$6,'Token Ledger'!$J$7:$J$40,"&lt;="&amp;$B35,'Token Ledger'!$K$7:$K$40,"&gt;"&amp;$B35)</x:f>
        <x:v>0</x:v>
      </x:c>
      <x:c r="N35" s="76" t="n">
        <x:f>COUNTIFS('Token Ledger'!$I$7:$I$40,N$6,'Token Ledger'!$J$7:$J$40,"&lt;="&amp;$B35,'Token Ledger'!$K$7:$K$40,"&gt;"&amp;$B35)</x:f>
        <x:v>0</x:v>
      </x:c>
    </x:row>
    <x:row r="36">
      <x:c r="B36" s="65" t="n">
        <x:v>30</x:v>
      </x:c>
      <x:c r="C36" s="65" t="n">
        <x:f>COUNTIFS('Token Ledger'!$I$7:$I$40,C$6,'Token Ledger'!$J$7:$J$40,"&lt;="&amp;$B36,'Token Ledger'!$K$7:$K$40,"&gt;"&amp;$B36)</x:f>
        <x:v>0</x:v>
      </x:c>
      <x:c r="D36" s="65" t="n">
        <x:f>COUNTIFS('Token Ledger'!$I$7:$I$40,D$6,'Token Ledger'!$J$7:$J$40,"&lt;="&amp;$B36,'Token Ledger'!$K$7:$K$40,"&gt;"&amp;$B36)</x:f>
        <x:v>0</x:v>
      </x:c>
      <x:c r="E36" s="65" t="n">
        <x:f>COUNTIFS('Token Ledger'!$I$7:$I$40,E$6,'Token Ledger'!$J$7:$J$40,"&lt;="&amp;$B36,'Token Ledger'!$K$7:$K$40,"&gt;"&amp;$B36)</x:f>
        <x:v>0</x:v>
      </x:c>
      <x:c r="F36" s="65" t="n">
        <x:f>COUNTIFS('Token Ledger'!$I$7:$I$40,F$6,'Token Ledger'!$J$7:$J$40,"&lt;="&amp;$B36,'Token Ledger'!$K$7:$K$40,"&gt;"&amp;$B36)</x:f>
        <x:v>1</x:v>
      </x:c>
      <x:c r="G36" s="65" t="n">
        <x:f>COUNTIFS('Token Ledger'!$I$7:$I$40,G$6,'Token Ledger'!$J$7:$J$40,"&lt;="&amp;$B36,'Token Ledger'!$K$7:$K$40,"&gt;"&amp;$B36)</x:f>
        <x:v>0</x:v>
      </x:c>
      <x:c r="H36" s="65" t="n">
        <x:f>COUNTIFS('Token Ledger'!$I$7:$I$40,H$6,'Token Ledger'!$J$7:$J$40,"&lt;="&amp;$B36,'Token Ledger'!$K$7:$K$40,"&gt;"&amp;$B36)</x:f>
        <x:v>1</x:v>
      </x:c>
      <x:c r="I36" s="65" t="n">
        <x:f>COUNTIFS('Token Ledger'!$I$7:$I$40,I$6,'Token Ledger'!$J$7:$J$40,"&lt;="&amp;$B36,'Token Ledger'!$K$7:$K$40,"&gt;"&amp;$B36)</x:f>
        <x:v>0</x:v>
      </x:c>
      <x:c r="J36" s="65" t="n">
        <x:f>COUNTIFS('Token Ledger'!$I$7:$I$40,J$6,'Token Ledger'!$J$7:$J$40,"&lt;="&amp;$B36,'Token Ledger'!$K$7:$K$40,"&gt;"&amp;$B36)</x:f>
        <x:v>0</x:v>
      </x:c>
      <x:c r="K36" s="65" t="n">
        <x:f>COUNTIFS('Token Ledger'!$I$7:$I$40,K$6,'Token Ledger'!$J$7:$J$40,"&lt;="&amp;$B36,'Token Ledger'!$K$7:$K$40,"&gt;"&amp;$B36)</x:f>
        <x:v>0</x:v>
      </x:c>
      <x:c r="L36" s="65" t="n">
        <x:f>COUNTIFS('Token Ledger'!$I$7:$I$40,L$6,'Token Ledger'!$J$7:$J$40,"&lt;="&amp;$B36,'Token Ledger'!$K$7:$K$40,"&gt;"&amp;$B36)</x:f>
        <x:v>0</x:v>
      </x:c>
      <x:c r="M36" s="65" t="n">
        <x:f>COUNTIFS('Token Ledger'!$I$7:$I$40,M$6,'Token Ledger'!$J$7:$J$40,"&lt;="&amp;$B36,'Token Ledger'!$K$7:$K$40,"&gt;"&amp;$B36)</x:f>
        <x:v>0</x:v>
      </x:c>
      <x:c r="N36" s="76" t="n">
        <x:f>COUNTIFS('Token Ledger'!$I$7:$I$40,N$6,'Token Ledger'!$J$7:$J$40,"&lt;="&amp;$B36,'Token Ledger'!$K$7:$K$40,"&gt;"&amp;$B36)</x:f>
        <x:v>0</x:v>
      </x:c>
    </x:row>
    <x:row r="37">
      <x:c r="B37" s="65" t="n">
        <x:v>31</x:v>
      </x:c>
      <x:c r="C37" s="65" t="n">
        <x:f>COUNTIFS('Token Ledger'!$I$7:$I$40,C$6,'Token Ledger'!$J$7:$J$40,"&lt;="&amp;$B37,'Token Ledger'!$K$7:$K$40,"&gt;"&amp;$B37)</x:f>
        <x:v>0</x:v>
      </x:c>
      <x:c r="D37" s="65" t="n">
        <x:f>COUNTIFS('Token Ledger'!$I$7:$I$40,D$6,'Token Ledger'!$J$7:$J$40,"&lt;="&amp;$B37,'Token Ledger'!$K$7:$K$40,"&gt;"&amp;$B37)</x:f>
        <x:v>0</x:v>
      </x:c>
      <x:c r="E37" s="65" t="n">
        <x:f>COUNTIFS('Token Ledger'!$I$7:$I$40,E$6,'Token Ledger'!$J$7:$J$40,"&lt;="&amp;$B37,'Token Ledger'!$K$7:$K$40,"&gt;"&amp;$B37)</x:f>
        <x:v>0</x:v>
      </x:c>
      <x:c r="F37" s="65" t="n">
        <x:f>COUNTIFS('Token Ledger'!$I$7:$I$40,F$6,'Token Ledger'!$J$7:$J$40,"&lt;="&amp;$B37,'Token Ledger'!$K$7:$K$40,"&gt;"&amp;$B37)</x:f>
        <x:v>1</x:v>
      </x:c>
      <x:c r="G37" s="65" t="n">
        <x:f>COUNTIFS('Token Ledger'!$I$7:$I$40,G$6,'Token Ledger'!$J$7:$J$40,"&lt;="&amp;$B37,'Token Ledger'!$K$7:$K$40,"&gt;"&amp;$B37)</x:f>
        <x:v>0</x:v>
      </x:c>
      <x:c r="H37" s="65" t="n">
        <x:f>COUNTIFS('Token Ledger'!$I$7:$I$40,H$6,'Token Ledger'!$J$7:$J$40,"&lt;="&amp;$B37,'Token Ledger'!$K$7:$K$40,"&gt;"&amp;$B37)</x:f>
        <x:v>1</x:v>
      </x:c>
      <x:c r="I37" s="65" t="n">
        <x:f>COUNTIFS('Token Ledger'!$I$7:$I$40,I$6,'Token Ledger'!$J$7:$J$40,"&lt;="&amp;$B37,'Token Ledger'!$K$7:$K$40,"&gt;"&amp;$B37)</x:f>
        <x:v>0</x:v>
      </x:c>
      <x:c r="J37" s="65" t="n">
        <x:f>COUNTIFS('Token Ledger'!$I$7:$I$40,J$6,'Token Ledger'!$J$7:$J$40,"&lt;="&amp;$B37,'Token Ledger'!$K$7:$K$40,"&gt;"&amp;$B37)</x:f>
        <x:v>0</x:v>
      </x:c>
      <x:c r="K37" s="65" t="n">
        <x:f>COUNTIFS('Token Ledger'!$I$7:$I$40,K$6,'Token Ledger'!$J$7:$J$40,"&lt;="&amp;$B37,'Token Ledger'!$K$7:$K$40,"&gt;"&amp;$B37)</x:f>
        <x:v>0</x:v>
      </x:c>
      <x:c r="L37" s="65" t="n">
        <x:f>COUNTIFS('Token Ledger'!$I$7:$I$40,L$6,'Token Ledger'!$J$7:$J$40,"&lt;="&amp;$B37,'Token Ledger'!$K$7:$K$40,"&gt;"&amp;$B37)</x:f>
        <x:v>0</x:v>
      </x:c>
      <x:c r="M37" s="65" t="n">
        <x:f>COUNTIFS('Token Ledger'!$I$7:$I$40,M$6,'Token Ledger'!$J$7:$J$40,"&lt;="&amp;$B37,'Token Ledger'!$K$7:$K$40,"&gt;"&amp;$B37)</x:f>
        <x:v>0</x:v>
      </x:c>
      <x:c r="N37" s="76" t="n">
        <x:f>COUNTIFS('Token Ledger'!$I$7:$I$40,N$6,'Token Ledger'!$J$7:$J$40,"&lt;="&amp;$B37,'Token Ledger'!$K$7:$K$40,"&gt;"&amp;$B37)</x:f>
        <x:v>0</x:v>
      </x:c>
    </x:row>
    <x:row r="38">
      <x:c r="B38" s="65" t="n">
        <x:v>32</x:v>
      </x:c>
      <x:c r="C38" s="65" t="n">
        <x:f>COUNTIFS('Token Ledger'!$I$7:$I$40,C$6,'Token Ledger'!$J$7:$J$40,"&lt;="&amp;$B38,'Token Ledger'!$K$7:$K$40,"&gt;"&amp;$B38)</x:f>
        <x:v>1</x:v>
      </x:c>
      <x:c r="D38" s="65" t="n">
        <x:f>COUNTIFS('Token Ledger'!$I$7:$I$40,D$6,'Token Ledger'!$J$7:$J$40,"&lt;="&amp;$B38,'Token Ledger'!$K$7:$K$40,"&gt;"&amp;$B38)</x:f>
        <x:v>0</x:v>
      </x:c>
      <x:c r="E38" s="65" t="n">
        <x:f>COUNTIFS('Token Ledger'!$I$7:$I$40,E$6,'Token Ledger'!$J$7:$J$40,"&lt;="&amp;$B38,'Token Ledger'!$K$7:$K$40,"&gt;"&amp;$B38)</x:f>
        <x:v>0</x:v>
      </x:c>
      <x:c r="F38" s="65" t="n">
        <x:f>COUNTIFS('Token Ledger'!$I$7:$I$40,F$6,'Token Ledger'!$J$7:$J$40,"&lt;="&amp;$B38,'Token Ledger'!$K$7:$K$40,"&gt;"&amp;$B38)</x:f>
        <x:v>1</x:v>
      </x:c>
      <x:c r="G38" s="65" t="n">
        <x:f>COUNTIFS('Token Ledger'!$I$7:$I$40,G$6,'Token Ledger'!$J$7:$J$40,"&lt;="&amp;$B38,'Token Ledger'!$K$7:$K$40,"&gt;"&amp;$B38)</x:f>
        <x:v>1</x:v>
      </x:c>
      <x:c r="H38" s="65" t="n">
        <x:f>COUNTIFS('Token Ledger'!$I$7:$I$40,H$6,'Token Ledger'!$J$7:$J$40,"&lt;="&amp;$B38,'Token Ledger'!$K$7:$K$40,"&gt;"&amp;$B38)</x:f>
        <x:v>1</x:v>
      </x:c>
      <x:c r="I38" s="65" t="n">
        <x:f>COUNTIFS('Token Ledger'!$I$7:$I$40,I$6,'Token Ledger'!$J$7:$J$40,"&lt;="&amp;$B38,'Token Ledger'!$K$7:$K$40,"&gt;"&amp;$B38)</x:f>
        <x:v>0</x:v>
      </x:c>
      <x:c r="J38" s="65" t="n">
        <x:f>COUNTIFS('Token Ledger'!$I$7:$I$40,J$6,'Token Ledger'!$J$7:$J$40,"&lt;="&amp;$B38,'Token Ledger'!$K$7:$K$40,"&gt;"&amp;$B38)</x:f>
        <x:v>0</x:v>
      </x:c>
      <x:c r="K38" s="65" t="n">
        <x:f>COUNTIFS('Token Ledger'!$I$7:$I$40,K$6,'Token Ledger'!$J$7:$J$40,"&lt;="&amp;$B38,'Token Ledger'!$K$7:$K$40,"&gt;"&amp;$B38)</x:f>
        <x:v>0</x:v>
      </x:c>
      <x:c r="L38" s="65" t="n">
        <x:f>COUNTIFS('Token Ledger'!$I$7:$I$40,L$6,'Token Ledger'!$J$7:$J$40,"&lt;="&amp;$B38,'Token Ledger'!$K$7:$K$40,"&gt;"&amp;$B38)</x:f>
        <x:v>0</x:v>
      </x:c>
      <x:c r="M38" s="65" t="n">
        <x:f>COUNTIFS('Token Ledger'!$I$7:$I$40,M$6,'Token Ledger'!$J$7:$J$40,"&lt;="&amp;$B38,'Token Ledger'!$K$7:$K$40,"&gt;"&amp;$B38)</x:f>
        <x:v>0</x:v>
      </x:c>
      <x:c r="N38" s="76" t="n">
        <x:f>COUNTIFS('Token Ledger'!$I$7:$I$40,N$6,'Token Ledger'!$J$7:$J$40,"&lt;="&amp;$B38,'Token Ledger'!$K$7:$K$40,"&gt;"&amp;$B38)</x:f>
        <x:v>0</x:v>
      </x:c>
    </x:row>
    <x:row r="39">
      <x:c r="B39" s="65" t="n">
        <x:v>33</x:v>
      </x:c>
      <x:c r="C39" s="65" t="n">
        <x:f>COUNTIFS('Token Ledger'!$I$7:$I$40,C$6,'Token Ledger'!$J$7:$J$40,"&lt;="&amp;$B39,'Token Ledger'!$K$7:$K$40,"&gt;"&amp;$B39)</x:f>
        <x:v>1</x:v>
      </x:c>
      <x:c r="D39" s="65" t="n">
        <x:f>COUNTIFS('Token Ledger'!$I$7:$I$40,D$6,'Token Ledger'!$J$7:$J$40,"&lt;="&amp;$B39,'Token Ledger'!$K$7:$K$40,"&gt;"&amp;$B39)</x:f>
        <x:v>0</x:v>
      </x:c>
      <x:c r="E39" s="65" t="n">
        <x:f>COUNTIFS('Token Ledger'!$I$7:$I$40,E$6,'Token Ledger'!$J$7:$J$40,"&lt;="&amp;$B39,'Token Ledger'!$K$7:$K$40,"&gt;"&amp;$B39)</x:f>
        <x:v>0</x:v>
      </x:c>
      <x:c r="F39" s="65" t="n">
        <x:f>COUNTIFS('Token Ledger'!$I$7:$I$40,F$6,'Token Ledger'!$J$7:$J$40,"&lt;="&amp;$B39,'Token Ledger'!$K$7:$K$40,"&gt;"&amp;$B39)</x:f>
        <x:v>1</x:v>
      </x:c>
      <x:c r="G39" s="65" t="n">
        <x:f>COUNTIFS('Token Ledger'!$I$7:$I$40,G$6,'Token Ledger'!$J$7:$J$40,"&lt;="&amp;$B39,'Token Ledger'!$K$7:$K$40,"&gt;"&amp;$B39)</x:f>
        <x:v>1</x:v>
      </x:c>
      <x:c r="H39" s="65" t="n">
        <x:f>COUNTIFS('Token Ledger'!$I$7:$I$40,H$6,'Token Ledger'!$J$7:$J$40,"&lt;="&amp;$B39,'Token Ledger'!$K$7:$K$40,"&gt;"&amp;$B39)</x:f>
        <x:v>1</x:v>
      </x:c>
      <x:c r="I39" s="65" t="n">
        <x:f>COUNTIFS('Token Ledger'!$I$7:$I$40,I$6,'Token Ledger'!$J$7:$J$40,"&lt;="&amp;$B39,'Token Ledger'!$K$7:$K$40,"&gt;"&amp;$B39)</x:f>
        <x:v>0</x:v>
      </x:c>
      <x:c r="J39" s="65" t="n">
        <x:f>COUNTIFS('Token Ledger'!$I$7:$I$40,J$6,'Token Ledger'!$J$7:$J$40,"&lt;="&amp;$B39,'Token Ledger'!$K$7:$K$40,"&gt;"&amp;$B39)</x:f>
        <x:v>0</x:v>
      </x:c>
      <x:c r="K39" s="65" t="n">
        <x:f>COUNTIFS('Token Ledger'!$I$7:$I$40,K$6,'Token Ledger'!$J$7:$J$40,"&lt;="&amp;$B39,'Token Ledger'!$K$7:$K$40,"&gt;"&amp;$B39)</x:f>
        <x:v>0</x:v>
      </x:c>
      <x:c r="L39" s="65" t="n">
        <x:f>COUNTIFS('Token Ledger'!$I$7:$I$40,L$6,'Token Ledger'!$J$7:$J$40,"&lt;="&amp;$B39,'Token Ledger'!$K$7:$K$40,"&gt;"&amp;$B39)</x:f>
        <x:v>0</x:v>
      </x:c>
      <x:c r="M39" s="65" t="n">
        <x:f>COUNTIFS('Token Ledger'!$I$7:$I$40,M$6,'Token Ledger'!$J$7:$J$40,"&lt;="&amp;$B39,'Token Ledger'!$K$7:$K$40,"&gt;"&amp;$B39)</x:f>
        <x:v>0</x:v>
      </x:c>
      <x:c r="N39" s="76" t="n">
        <x:f>COUNTIFS('Token Ledger'!$I$7:$I$40,N$6,'Token Ledger'!$J$7:$J$40,"&lt;="&amp;$B39,'Token Ledger'!$K$7:$K$40,"&gt;"&amp;$B39)</x:f>
        <x:v>0</x:v>
      </x:c>
    </x:row>
    <x:row r="40">
      <x:c r="B40" s="65" t="n">
        <x:v>34</x:v>
      </x:c>
      <x:c r="C40" s="65" t="n">
        <x:f>COUNTIFS('Token Ledger'!$I$7:$I$40,C$6,'Token Ledger'!$J$7:$J$40,"&lt;="&amp;$B40,'Token Ledger'!$K$7:$K$40,"&gt;"&amp;$B40)</x:f>
        <x:v>1</x:v>
      </x:c>
      <x:c r="D40" s="65" t="n">
        <x:f>COUNTIFS('Token Ledger'!$I$7:$I$40,D$6,'Token Ledger'!$J$7:$J$40,"&lt;="&amp;$B40,'Token Ledger'!$K$7:$K$40,"&gt;"&amp;$B40)</x:f>
        <x:v>0</x:v>
      </x:c>
      <x:c r="E40" s="65" t="n">
        <x:f>COUNTIFS('Token Ledger'!$I$7:$I$40,E$6,'Token Ledger'!$J$7:$J$40,"&lt;="&amp;$B40,'Token Ledger'!$K$7:$K$40,"&gt;"&amp;$B40)</x:f>
        <x:v>0</x:v>
      </x:c>
      <x:c r="F40" s="65" t="n">
        <x:f>COUNTIFS('Token Ledger'!$I$7:$I$40,F$6,'Token Ledger'!$J$7:$J$40,"&lt;="&amp;$B40,'Token Ledger'!$K$7:$K$40,"&gt;"&amp;$B40)</x:f>
        <x:v>1</x:v>
      </x:c>
      <x:c r="G40" s="65" t="n">
        <x:f>COUNTIFS('Token Ledger'!$I$7:$I$40,G$6,'Token Ledger'!$J$7:$J$40,"&lt;="&amp;$B40,'Token Ledger'!$K$7:$K$40,"&gt;"&amp;$B40)</x:f>
        <x:v>1</x:v>
      </x:c>
      <x:c r="H40" s="65" t="n">
        <x:f>COUNTIFS('Token Ledger'!$I$7:$I$40,H$6,'Token Ledger'!$J$7:$J$40,"&lt;="&amp;$B40,'Token Ledger'!$K$7:$K$40,"&gt;"&amp;$B40)</x:f>
        <x:v>1</x:v>
      </x:c>
      <x:c r="I40" s="65" t="n">
        <x:f>COUNTIFS('Token Ledger'!$I$7:$I$40,I$6,'Token Ledger'!$J$7:$J$40,"&lt;="&amp;$B40,'Token Ledger'!$K$7:$K$40,"&gt;"&amp;$B40)</x:f>
        <x:v>0</x:v>
      </x:c>
      <x:c r="J40" s="65" t="n">
        <x:f>COUNTIFS('Token Ledger'!$I$7:$I$40,J$6,'Token Ledger'!$J$7:$J$40,"&lt;="&amp;$B40,'Token Ledger'!$K$7:$K$40,"&gt;"&amp;$B40)</x:f>
        <x:v>0</x:v>
      </x:c>
      <x:c r="K40" s="65" t="n">
        <x:f>COUNTIFS('Token Ledger'!$I$7:$I$40,K$6,'Token Ledger'!$J$7:$J$40,"&lt;="&amp;$B40,'Token Ledger'!$K$7:$K$40,"&gt;"&amp;$B40)</x:f>
        <x:v>0</x:v>
      </x:c>
      <x:c r="L40" s="65" t="n">
        <x:f>COUNTIFS('Token Ledger'!$I$7:$I$40,L$6,'Token Ledger'!$J$7:$J$40,"&lt;="&amp;$B40,'Token Ledger'!$K$7:$K$40,"&gt;"&amp;$B40)</x:f>
        <x:v>0</x:v>
      </x:c>
      <x:c r="M40" s="65" t="n">
        <x:f>COUNTIFS('Token Ledger'!$I$7:$I$40,M$6,'Token Ledger'!$J$7:$J$40,"&lt;="&amp;$B40,'Token Ledger'!$K$7:$K$40,"&gt;"&amp;$B40)</x:f>
        <x:v>0</x:v>
      </x:c>
      <x:c r="N40" s="76" t="n">
        <x:f>COUNTIFS('Token Ledger'!$I$7:$I$40,N$6,'Token Ledger'!$J$7:$J$40,"&lt;="&amp;$B40,'Token Ledger'!$K$7:$K$40,"&gt;"&amp;$B40)</x:f>
        <x:v>0</x:v>
      </x:c>
    </x:row>
    <x:row r="41">
      <x:c r="B41" s="65" t="n">
        <x:v>35</x:v>
      </x:c>
      <x:c r="C41" s="65" t="n">
        <x:f>COUNTIFS('Token Ledger'!$I$7:$I$40,C$6,'Token Ledger'!$J$7:$J$40,"&lt;="&amp;$B41,'Token Ledger'!$K$7:$K$40,"&gt;"&amp;$B41)</x:f>
        <x:v>1</x:v>
      </x:c>
      <x:c r="D41" s="65" t="n">
        <x:f>COUNTIFS('Token Ledger'!$I$7:$I$40,D$6,'Token Ledger'!$J$7:$J$40,"&lt;="&amp;$B41,'Token Ledger'!$K$7:$K$40,"&gt;"&amp;$B41)</x:f>
        <x:v>0</x:v>
      </x:c>
      <x:c r="E41" s="65" t="n">
        <x:f>COUNTIFS('Token Ledger'!$I$7:$I$40,E$6,'Token Ledger'!$J$7:$J$40,"&lt;="&amp;$B41,'Token Ledger'!$K$7:$K$40,"&gt;"&amp;$B41)</x:f>
        <x:v>1</x:v>
      </x:c>
      <x:c r="F41" s="65" t="n">
        <x:f>COUNTIFS('Token Ledger'!$I$7:$I$40,F$6,'Token Ledger'!$J$7:$J$40,"&lt;="&amp;$B41,'Token Ledger'!$K$7:$K$40,"&gt;"&amp;$B41)</x:f>
        <x:v>1</x:v>
      </x:c>
      <x:c r="G41" s="65" t="n">
        <x:f>COUNTIFS('Token Ledger'!$I$7:$I$40,G$6,'Token Ledger'!$J$7:$J$40,"&lt;="&amp;$B41,'Token Ledger'!$K$7:$K$40,"&gt;"&amp;$B41)</x:f>
        <x:v>1</x:v>
      </x:c>
      <x:c r="H41" s="65" t="n">
        <x:f>COUNTIFS('Token Ledger'!$I$7:$I$40,H$6,'Token Ledger'!$J$7:$J$40,"&lt;="&amp;$B41,'Token Ledger'!$K$7:$K$40,"&gt;"&amp;$B41)</x:f>
        <x:v>0</x:v>
      </x:c>
      <x:c r="I41" s="65" t="n">
        <x:f>COUNTIFS('Token Ledger'!$I$7:$I$40,I$6,'Token Ledger'!$J$7:$J$40,"&lt;="&amp;$B41,'Token Ledger'!$K$7:$K$40,"&gt;"&amp;$B41)</x:f>
        <x:v>0</x:v>
      </x:c>
      <x:c r="J41" s="65" t="n">
        <x:f>COUNTIFS('Token Ledger'!$I$7:$I$40,J$6,'Token Ledger'!$J$7:$J$40,"&lt;="&amp;$B41,'Token Ledger'!$K$7:$K$40,"&gt;"&amp;$B41)</x:f>
        <x:v>0</x:v>
      </x:c>
      <x:c r="K41" s="65" t="n">
        <x:f>COUNTIFS('Token Ledger'!$I$7:$I$40,K$6,'Token Ledger'!$J$7:$J$40,"&lt;="&amp;$B41,'Token Ledger'!$K$7:$K$40,"&gt;"&amp;$B41)</x:f>
        <x:v>0</x:v>
      </x:c>
      <x:c r="L41" s="65" t="n">
        <x:f>COUNTIFS('Token Ledger'!$I$7:$I$40,L$6,'Token Ledger'!$J$7:$J$40,"&lt;="&amp;$B41,'Token Ledger'!$K$7:$K$40,"&gt;"&amp;$B41)</x:f>
        <x:v>0</x:v>
      </x:c>
      <x:c r="M41" s="65" t="n">
        <x:f>COUNTIFS('Token Ledger'!$I$7:$I$40,M$6,'Token Ledger'!$J$7:$J$40,"&lt;="&amp;$B41,'Token Ledger'!$K$7:$K$40,"&gt;"&amp;$B41)</x:f>
        <x:v>0</x:v>
      </x:c>
      <x:c r="N41" s="76" t="n">
        <x:f>COUNTIFS('Token Ledger'!$I$7:$I$40,N$6,'Token Ledger'!$J$7:$J$40,"&lt;="&amp;$B41,'Token Ledger'!$K$7:$K$40,"&gt;"&amp;$B41)</x:f>
        <x:v>0</x:v>
      </x:c>
    </x:row>
    <x:row r="42">
      <x:c r="B42" s="65" t="n">
        <x:v>36</x:v>
      </x:c>
      <x:c r="C42" s="65" t="n">
        <x:f>COUNTIFS('Token Ledger'!$I$7:$I$40,C$6,'Token Ledger'!$J$7:$J$40,"&lt;="&amp;$B42,'Token Ledger'!$K$7:$K$40,"&gt;"&amp;$B42)</x:f>
        <x:v>1</x:v>
      </x:c>
      <x:c r="D42" s="65" t="n">
        <x:f>COUNTIFS('Token Ledger'!$I$7:$I$40,D$6,'Token Ledger'!$J$7:$J$40,"&lt;="&amp;$B42,'Token Ledger'!$K$7:$K$40,"&gt;"&amp;$B42)</x:f>
        <x:v>0</x:v>
      </x:c>
      <x:c r="E42" s="65" t="n">
        <x:f>COUNTIFS('Token Ledger'!$I$7:$I$40,E$6,'Token Ledger'!$J$7:$J$40,"&lt;="&amp;$B42,'Token Ledger'!$K$7:$K$40,"&gt;"&amp;$B42)</x:f>
        <x:v>1</x:v>
      </x:c>
      <x:c r="F42" s="65" t="n">
        <x:f>COUNTIFS('Token Ledger'!$I$7:$I$40,F$6,'Token Ledger'!$J$7:$J$40,"&lt;="&amp;$B42,'Token Ledger'!$K$7:$K$40,"&gt;"&amp;$B42)</x:f>
        <x:v>1</x:v>
      </x:c>
      <x:c r="G42" s="65" t="n">
        <x:f>COUNTIFS('Token Ledger'!$I$7:$I$40,G$6,'Token Ledger'!$J$7:$J$40,"&lt;="&amp;$B42,'Token Ledger'!$K$7:$K$40,"&gt;"&amp;$B42)</x:f>
        <x:v>1</x:v>
      </x:c>
      <x:c r="H42" s="65" t="n">
        <x:f>COUNTIFS('Token Ledger'!$I$7:$I$40,H$6,'Token Ledger'!$J$7:$J$40,"&lt;="&amp;$B42,'Token Ledger'!$K$7:$K$40,"&gt;"&amp;$B42)</x:f>
        <x:v>0</x:v>
      </x:c>
      <x:c r="I42" s="65" t="n">
        <x:f>COUNTIFS('Token Ledger'!$I$7:$I$40,I$6,'Token Ledger'!$J$7:$J$40,"&lt;="&amp;$B42,'Token Ledger'!$K$7:$K$40,"&gt;"&amp;$B42)</x:f>
        <x:v>0</x:v>
      </x:c>
      <x:c r="J42" s="65" t="n">
        <x:f>COUNTIFS('Token Ledger'!$I$7:$I$40,J$6,'Token Ledger'!$J$7:$J$40,"&lt;="&amp;$B42,'Token Ledger'!$K$7:$K$40,"&gt;"&amp;$B42)</x:f>
        <x:v>0</x:v>
      </x:c>
      <x:c r="K42" s="65" t="n">
        <x:f>COUNTIFS('Token Ledger'!$I$7:$I$40,K$6,'Token Ledger'!$J$7:$J$40,"&lt;="&amp;$B42,'Token Ledger'!$K$7:$K$40,"&gt;"&amp;$B42)</x:f>
        <x:v>0</x:v>
      </x:c>
      <x:c r="L42" s="65" t="n">
        <x:f>COUNTIFS('Token Ledger'!$I$7:$I$40,L$6,'Token Ledger'!$J$7:$J$40,"&lt;="&amp;$B42,'Token Ledger'!$K$7:$K$40,"&gt;"&amp;$B42)</x:f>
        <x:v>0</x:v>
      </x:c>
      <x:c r="M42" s="65" t="n">
        <x:f>COUNTIFS('Token Ledger'!$I$7:$I$40,M$6,'Token Ledger'!$J$7:$J$40,"&lt;="&amp;$B42,'Token Ledger'!$K$7:$K$40,"&gt;"&amp;$B42)</x:f>
        <x:v>0</x:v>
      </x:c>
      <x:c r="N42" s="76" t="n">
        <x:f>COUNTIFS('Token Ledger'!$I$7:$I$40,N$6,'Token Ledger'!$J$7:$J$40,"&lt;="&amp;$B42,'Token Ledger'!$K$7:$K$40,"&gt;"&amp;$B42)</x:f>
        <x:v>0</x:v>
      </x:c>
    </x:row>
    <x:row r="43">
      <x:c r="B43" s="65" t="n">
        <x:v>37</x:v>
      </x:c>
      <x:c r="C43" s="65" t="n">
        <x:f>COUNTIFS('Token Ledger'!$I$7:$I$40,C$6,'Token Ledger'!$J$7:$J$40,"&lt;="&amp;$B43,'Token Ledger'!$K$7:$K$40,"&gt;"&amp;$B43)</x:f>
        <x:v>1</x:v>
      </x:c>
      <x:c r="D43" s="65" t="n">
        <x:f>COUNTIFS('Token Ledger'!$I$7:$I$40,D$6,'Token Ledger'!$J$7:$J$40,"&lt;="&amp;$B43,'Token Ledger'!$K$7:$K$40,"&gt;"&amp;$B43)</x:f>
        <x:v>0</x:v>
      </x:c>
      <x:c r="E43" s="65" t="n">
        <x:f>COUNTIFS('Token Ledger'!$I$7:$I$40,E$6,'Token Ledger'!$J$7:$J$40,"&lt;="&amp;$B43,'Token Ledger'!$K$7:$K$40,"&gt;"&amp;$B43)</x:f>
        <x:v>1</x:v>
      </x:c>
      <x:c r="F43" s="65" t="n">
        <x:f>COUNTIFS('Token Ledger'!$I$7:$I$40,F$6,'Token Ledger'!$J$7:$J$40,"&lt;="&amp;$B43,'Token Ledger'!$K$7:$K$40,"&gt;"&amp;$B43)</x:f>
        <x:v>1</x:v>
      </x:c>
      <x:c r="G43" s="65" t="n">
        <x:f>COUNTIFS('Token Ledger'!$I$7:$I$40,G$6,'Token Ledger'!$J$7:$J$40,"&lt;="&amp;$B43,'Token Ledger'!$K$7:$K$40,"&gt;"&amp;$B43)</x:f>
        <x:v>1</x:v>
      </x:c>
      <x:c r="H43" s="65" t="n">
        <x:f>COUNTIFS('Token Ledger'!$I$7:$I$40,H$6,'Token Ledger'!$J$7:$J$40,"&lt;="&amp;$B43,'Token Ledger'!$K$7:$K$40,"&gt;"&amp;$B43)</x:f>
        <x:v>0</x:v>
      </x:c>
      <x:c r="I43" s="65" t="n">
        <x:f>COUNTIFS('Token Ledger'!$I$7:$I$40,I$6,'Token Ledger'!$J$7:$J$40,"&lt;="&amp;$B43,'Token Ledger'!$K$7:$K$40,"&gt;"&amp;$B43)</x:f>
        <x:v>0</x:v>
      </x:c>
      <x:c r="J43" s="65" t="n">
        <x:f>COUNTIFS('Token Ledger'!$I$7:$I$40,J$6,'Token Ledger'!$J$7:$J$40,"&lt;="&amp;$B43,'Token Ledger'!$K$7:$K$40,"&gt;"&amp;$B43)</x:f>
        <x:v>1</x:v>
      </x:c>
      <x:c r="K43" s="65" t="n">
        <x:f>COUNTIFS('Token Ledger'!$I$7:$I$40,K$6,'Token Ledger'!$J$7:$J$40,"&lt;="&amp;$B43,'Token Ledger'!$K$7:$K$40,"&gt;"&amp;$B43)</x:f>
        <x:v>1</x:v>
      </x:c>
      <x:c r="L43" s="65" t="n">
        <x:f>COUNTIFS('Token Ledger'!$I$7:$I$40,L$6,'Token Ledger'!$J$7:$J$40,"&lt;="&amp;$B43,'Token Ledger'!$K$7:$K$40,"&gt;"&amp;$B43)</x:f>
        <x:v>1</x:v>
      </x:c>
      <x:c r="M43" s="65" t="n">
        <x:f>COUNTIFS('Token Ledger'!$I$7:$I$40,M$6,'Token Ledger'!$J$7:$J$40,"&lt;="&amp;$B43,'Token Ledger'!$K$7:$K$40,"&gt;"&amp;$B43)</x:f>
        <x:v>0</x:v>
      </x:c>
      <x:c r="N43" s="76" t="n">
        <x:f>COUNTIFS('Token Ledger'!$I$7:$I$40,N$6,'Token Ledger'!$J$7:$J$40,"&lt;="&amp;$B43,'Token Ledger'!$K$7:$K$40,"&gt;"&amp;$B43)</x:f>
        <x:v>0</x:v>
      </x:c>
    </x:row>
    <x:row r="44">
      <x:c r="B44" s="65" t="n">
        <x:v>38</x:v>
      </x:c>
      <x:c r="C44" s="65" t="n">
        <x:f>COUNTIFS('Token Ledger'!$I$7:$I$40,C$6,'Token Ledger'!$J$7:$J$40,"&lt;="&amp;$B44,'Token Ledger'!$K$7:$K$40,"&gt;"&amp;$B44)</x:f>
        <x:v>1</x:v>
      </x:c>
      <x:c r="D44" s="65" t="n">
        <x:f>COUNTIFS('Token Ledger'!$I$7:$I$40,D$6,'Token Ledger'!$J$7:$J$40,"&lt;="&amp;$B44,'Token Ledger'!$K$7:$K$40,"&gt;"&amp;$B44)</x:f>
        <x:v>0</x:v>
      </x:c>
      <x:c r="E44" s="65" t="n">
        <x:f>COUNTIFS('Token Ledger'!$I$7:$I$40,E$6,'Token Ledger'!$J$7:$J$40,"&lt;="&amp;$B44,'Token Ledger'!$K$7:$K$40,"&gt;"&amp;$B44)</x:f>
        <x:v>1</x:v>
      </x:c>
      <x:c r="F44" s="65" t="n">
        <x:f>COUNTIFS('Token Ledger'!$I$7:$I$40,F$6,'Token Ledger'!$J$7:$J$40,"&lt;="&amp;$B44,'Token Ledger'!$K$7:$K$40,"&gt;"&amp;$B44)</x:f>
        <x:v>1</x:v>
      </x:c>
      <x:c r="G44" s="65" t="n">
        <x:f>COUNTIFS('Token Ledger'!$I$7:$I$40,G$6,'Token Ledger'!$J$7:$J$40,"&lt;="&amp;$B44,'Token Ledger'!$K$7:$K$40,"&gt;"&amp;$B44)</x:f>
        <x:v>1</x:v>
      </x:c>
      <x:c r="H44" s="65" t="n">
        <x:f>COUNTIFS('Token Ledger'!$I$7:$I$40,H$6,'Token Ledger'!$J$7:$J$40,"&lt;="&amp;$B44,'Token Ledger'!$K$7:$K$40,"&gt;"&amp;$B44)</x:f>
        <x:v>0</x:v>
      </x:c>
      <x:c r="I44" s="65" t="n">
        <x:f>COUNTIFS('Token Ledger'!$I$7:$I$40,I$6,'Token Ledger'!$J$7:$J$40,"&lt;="&amp;$B44,'Token Ledger'!$K$7:$K$40,"&gt;"&amp;$B44)</x:f>
        <x:v>0</x:v>
      </x:c>
      <x:c r="J44" s="65" t="n">
        <x:f>COUNTIFS('Token Ledger'!$I$7:$I$40,J$6,'Token Ledger'!$J$7:$J$40,"&lt;="&amp;$B44,'Token Ledger'!$K$7:$K$40,"&gt;"&amp;$B44)</x:f>
        <x:v>1</x:v>
      </x:c>
      <x:c r="K44" s="65" t="n">
        <x:f>COUNTIFS('Token Ledger'!$I$7:$I$40,K$6,'Token Ledger'!$J$7:$J$40,"&lt;="&amp;$B44,'Token Ledger'!$K$7:$K$40,"&gt;"&amp;$B44)</x:f>
        <x:v>1</x:v>
      </x:c>
      <x:c r="L44" s="65" t="n">
        <x:f>COUNTIFS('Token Ledger'!$I$7:$I$40,L$6,'Token Ledger'!$J$7:$J$40,"&lt;="&amp;$B44,'Token Ledger'!$K$7:$K$40,"&gt;"&amp;$B44)</x:f>
        <x:v>1</x:v>
      </x:c>
      <x:c r="M44" s="65" t="n">
        <x:f>COUNTIFS('Token Ledger'!$I$7:$I$40,M$6,'Token Ledger'!$J$7:$J$40,"&lt;="&amp;$B44,'Token Ledger'!$K$7:$K$40,"&gt;"&amp;$B44)</x:f>
        <x:v>0</x:v>
      </x:c>
      <x:c r="N44" s="76" t="n">
        <x:f>COUNTIFS('Token Ledger'!$I$7:$I$40,N$6,'Token Ledger'!$J$7:$J$40,"&lt;="&amp;$B44,'Token Ledger'!$K$7:$K$40,"&gt;"&amp;$B44)</x:f>
        <x:v>0</x:v>
      </x:c>
    </x:row>
    <x:row r="45">
      <x:c r="B45" s="65" t="n">
        <x:v>39</x:v>
      </x:c>
      <x:c r="C45" s="65" t="n">
        <x:f>COUNTIFS('Token Ledger'!$I$7:$I$40,C$6,'Token Ledger'!$J$7:$J$40,"&lt;="&amp;$B45,'Token Ledger'!$K$7:$K$40,"&gt;"&amp;$B45)</x:f>
        <x:v>1</x:v>
      </x:c>
      <x:c r="D45" s="65" t="n">
        <x:f>COUNTIFS('Token Ledger'!$I$7:$I$40,D$6,'Token Ledger'!$J$7:$J$40,"&lt;="&amp;$B45,'Token Ledger'!$K$7:$K$40,"&gt;"&amp;$B45)</x:f>
        <x:v>0</x:v>
      </x:c>
      <x:c r="E45" s="65" t="n">
        <x:f>COUNTIFS('Token Ledger'!$I$7:$I$40,E$6,'Token Ledger'!$J$7:$J$40,"&lt;="&amp;$B45,'Token Ledger'!$K$7:$K$40,"&gt;"&amp;$B45)</x:f>
        <x:v>1</x:v>
      </x:c>
      <x:c r="F45" s="65" t="n">
        <x:f>COUNTIFS('Token Ledger'!$I$7:$I$40,F$6,'Token Ledger'!$J$7:$J$40,"&lt;="&amp;$B45,'Token Ledger'!$K$7:$K$40,"&gt;"&amp;$B45)</x:f>
        <x:v>1</x:v>
      </x:c>
      <x:c r="G45" s="65" t="n">
        <x:f>COUNTIFS('Token Ledger'!$I$7:$I$40,G$6,'Token Ledger'!$J$7:$J$40,"&lt;="&amp;$B45,'Token Ledger'!$K$7:$K$40,"&gt;"&amp;$B45)</x:f>
        <x:v>1</x:v>
      </x:c>
      <x:c r="H45" s="65" t="n">
        <x:f>COUNTIFS('Token Ledger'!$I$7:$I$40,H$6,'Token Ledger'!$J$7:$J$40,"&lt;="&amp;$B45,'Token Ledger'!$K$7:$K$40,"&gt;"&amp;$B45)</x:f>
        <x:v>0</x:v>
      </x:c>
      <x:c r="I45" s="65" t="n">
        <x:f>COUNTIFS('Token Ledger'!$I$7:$I$40,I$6,'Token Ledger'!$J$7:$J$40,"&lt;="&amp;$B45,'Token Ledger'!$K$7:$K$40,"&gt;"&amp;$B45)</x:f>
        <x:v>0</x:v>
      </x:c>
      <x:c r="J45" s="65" t="n">
        <x:f>COUNTIFS('Token Ledger'!$I$7:$I$40,J$6,'Token Ledger'!$J$7:$J$40,"&lt;="&amp;$B45,'Token Ledger'!$K$7:$K$40,"&gt;"&amp;$B45)</x:f>
        <x:v>1</x:v>
      </x:c>
      <x:c r="K45" s="65" t="n">
        <x:f>COUNTIFS('Token Ledger'!$I$7:$I$40,K$6,'Token Ledger'!$J$7:$J$40,"&lt;="&amp;$B45,'Token Ledger'!$K$7:$K$40,"&gt;"&amp;$B45)</x:f>
        <x:v>1</x:v>
      </x:c>
      <x:c r="L45" s="65" t="n">
        <x:f>COUNTIFS('Token Ledger'!$I$7:$I$40,L$6,'Token Ledger'!$J$7:$J$40,"&lt;="&amp;$B45,'Token Ledger'!$K$7:$K$40,"&gt;"&amp;$B45)</x:f>
        <x:v>1</x:v>
      </x:c>
      <x:c r="M45" s="65" t="n">
        <x:f>COUNTIFS('Token Ledger'!$I$7:$I$40,M$6,'Token Ledger'!$J$7:$J$40,"&lt;="&amp;$B45,'Token Ledger'!$K$7:$K$40,"&gt;"&amp;$B45)</x:f>
        <x:v>0</x:v>
      </x:c>
      <x:c r="N45" s="76" t="n">
        <x:f>COUNTIFS('Token Ledger'!$I$7:$I$40,N$6,'Token Ledger'!$J$7:$J$40,"&lt;="&amp;$B45,'Token Ledger'!$K$7:$K$40,"&gt;"&amp;$B45)</x:f>
        <x:v>0</x:v>
      </x:c>
    </x:row>
    <x:row r="46">
      <x:c r="B46" s="65" t="n">
        <x:v>40</x:v>
      </x:c>
      <x:c r="C46" s="65" t="n">
        <x:f>COUNTIFS('Token Ledger'!$I$7:$I$40,C$6,'Token Ledger'!$J$7:$J$40,"&lt;="&amp;$B46,'Token Ledger'!$K$7:$K$40,"&gt;"&amp;$B46)</x:f>
        <x:v>0</x:v>
      </x:c>
      <x:c r="D46" s="65" t="n">
        <x:f>COUNTIFS('Token Ledger'!$I$7:$I$40,D$6,'Token Ledger'!$J$7:$J$40,"&lt;="&amp;$B46,'Token Ledger'!$K$7:$K$40,"&gt;"&amp;$B46)</x:f>
        <x:v>0</x:v>
      </x:c>
      <x:c r="E46" s="65" t="n">
        <x:f>COUNTIFS('Token Ledger'!$I$7:$I$40,E$6,'Token Ledger'!$J$7:$J$40,"&lt;="&amp;$B46,'Token Ledger'!$K$7:$K$40,"&gt;"&amp;$B46)</x:f>
        <x:v>1</x:v>
      </x:c>
      <x:c r="F46" s="65" t="n">
        <x:f>COUNTIFS('Token Ledger'!$I$7:$I$40,F$6,'Token Ledger'!$J$7:$J$40,"&lt;="&amp;$B46,'Token Ledger'!$K$7:$K$40,"&gt;"&amp;$B46)</x:f>
        <x:v>1</x:v>
      </x:c>
      <x:c r="G46" s="65" t="n">
        <x:f>COUNTIFS('Token Ledger'!$I$7:$I$40,G$6,'Token Ledger'!$J$7:$J$40,"&lt;="&amp;$B46,'Token Ledger'!$K$7:$K$40,"&gt;"&amp;$B46)</x:f>
        <x:v>0</x:v>
      </x:c>
      <x:c r="H46" s="65" t="n">
        <x:f>COUNTIFS('Token Ledger'!$I$7:$I$40,H$6,'Token Ledger'!$J$7:$J$40,"&lt;="&amp;$B46,'Token Ledger'!$K$7:$K$40,"&gt;"&amp;$B46)</x:f>
        <x:v>0</x:v>
      </x:c>
      <x:c r="I46" s="65" t="n">
        <x:f>COUNTIFS('Token Ledger'!$I$7:$I$40,I$6,'Token Ledger'!$J$7:$J$40,"&lt;="&amp;$B46,'Token Ledger'!$K$7:$K$40,"&gt;"&amp;$B46)</x:f>
        <x:v>0</x:v>
      </x:c>
      <x:c r="J46" s="65" t="n">
        <x:f>COUNTIFS('Token Ledger'!$I$7:$I$40,J$6,'Token Ledger'!$J$7:$J$40,"&lt;="&amp;$B46,'Token Ledger'!$K$7:$K$40,"&gt;"&amp;$B46)</x:f>
        <x:v>1</x:v>
      </x:c>
      <x:c r="K46" s="65" t="n">
        <x:f>COUNTIFS('Token Ledger'!$I$7:$I$40,K$6,'Token Ledger'!$J$7:$J$40,"&lt;="&amp;$B46,'Token Ledger'!$K$7:$K$40,"&gt;"&amp;$B46)</x:f>
        <x:v>1</x:v>
      </x:c>
      <x:c r="L46" s="65" t="n">
        <x:f>COUNTIFS('Token Ledger'!$I$7:$I$40,L$6,'Token Ledger'!$J$7:$J$40,"&lt;="&amp;$B46,'Token Ledger'!$K$7:$K$40,"&gt;"&amp;$B46)</x:f>
        <x:v>1</x:v>
      </x:c>
      <x:c r="M46" s="65" t="n">
        <x:f>COUNTIFS('Token Ledger'!$I$7:$I$40,M$6,'Token Ledger'!$J$7:$J$40,"&lt;="&amp;$B46,'Token Ledger'!$K$7:$K$40,"&gt;"&amp;$B46)</x:f>
        <x:v>0</x:v>
      </x:c>
      <x:c r="N46" s="76" t="n">
        <x:f>COUNTIFS('Token Ledger'!$I$7:$I$40,N$6,'Token Ledger'!$J$7:$J$40,"&lt;="&amp;$B46,'Token Ledger'!$K$7:$K$40,"&gt;"&amp;$B46)</x:f>
        <x:v>0</x:v>
      </x:c>
    </x:row>
    <x:row r="47">
      <x:c r="B47" s="65" t="n">
        <x:v>41</x:v>
      </x:c>
      <x:c r="C47" s="65" t="n">
        <x:f>COUNTIFS('Token Ledger'!$I$7:$I$40,C$6,'Token Ledger'!$J$7:$J$40,"&lt;="&amp;$B47,'Token Ledger'!$K$7:$K$40,"&gt;"&amp;$B47)</x:f>
        <x:v>0</x:v>
      </x:c>
      <x:c r="D47" s="65" t="n">
        <x:f>COUNTIFS('Token Ledger'!$I$7:$I$40,D$6,'Token Ledger'!$J$7:$J$40,"&lt;="&amp;$B47,'Token Ledger'!$K$7:$K$40,"&gt;"&amp;$B47)</x:f>
        <x:v>0</x:v>
      </x:c>
      <x:c r="E47" s="65" t="n">
        <x:f>COUNTIFS('Token Ledger'!$I$7:$I$40,E$6,'Token Ledger'!$J$7:$J$40,"&lt;="&amp;$B47,'Token Ledger'!$K$7:$K$40,"&gt;"&amp;$B47)</x:f>
        <x:v>1</x:v>
      </x:c>
      <x:c r="F47" s="65" t="n">
        <x:f>COUNTIFS('Token Ledger'!$I$7:$I$40,F$6,'Token Ledger'!$J$7:$J$40,"&lt;="&amp;$B47,'Token Ledger'!$K$7:$K$40,"&gt;"&amp;$B47)</x:f>
        <x:v>1</x:v>
      </x:c>
      <x:c r="G47" s="65" t="n">
        <x:f>COUNTIFS('Token Ledger'!$I$7:$I$40,G$6,'Token Ledger'!$J$7:$J$40,"&lt;="&amp;$B47,'Token Ledger'!$K$7:$K$40,"&gt;"&amp;$B47)</x:f>
        <x:v>0</x:v>
      </x:c>
      <x:c r="H47" s="65" t="n">
        <x:f>COUNTIFS('Token Ledger'!$I$7:$I$40,H$6,'Token Ledger'!$J$7:$J$40,"&lt;="&amp;$B47,'Token Ledger'!$K$7:$K$40,"&gt;"&amp;$B47)</x:f>
        <x:v>0</x:v>
      </x:c>
      <x:c r="I47" s="65" t="n">
        <x:f>COUNTIFS('Token Ledger'!$I$7:$I$40,I$6,'Token Ledger'!$J$7:$J$40,"&lt;="&amp;$B47,'Token Ledger'!$K$7:$K$40,"&gt;"&amp;$B47)</x:f>
        <x:v>0</x:v>
      </x:c>
      <x:c r="J47" s="65" t="n">
        <x:f>COUNTIFS('Token Ledger'!$I$7:$I$40,J$6,'Token Ledger'!$J$7:$J$40,"&lt;="&amp;$B47,'Token Ledger'!$K$7:$K$40,"&gt;"&amp;$B47)</x:f>
        <x:v>1</x:v>
      </x:c>
      <x:c r="K47" s="65" t="n">
        <x:f>COUNTIFS('Token Ledger'!$I$7:$I$40,K$6,'Token Ledger'!$J$7:$J$40,"&lt;="&amp;$B47,'Token Ledger'!$K$7:$K$40,"&gt;"&amp;$B47)</x:f>
        <x:v>1</x:v>
      </x:c>
      <x:c r="L47" s="65" t="n">
        <x:f>COUNTIFS('Token Ledger'!$I$7:$I$40,L$6,'Token Ledger'!$J$7:$J$40,"&lt;="&amp;$B47,'Token Ledger'!$K$7:$K$40,"&gt;"&amp;$B47)</x:f>
        <x:v>1</x:v>
      </x:c>
      <x:c r="M47" s="65" t="n">
        <x:f>COUNTIFS('Token Ledger'!$I$7:$I$40,M$6,'Token Ledger'!$J$7:$J$40,"&lt;="&amp;$B47,'Token Ledger'!$K$7:$K$40,"&gt;"&amp;$B47)</x:f>
        <x:v>0</x:v>
      </x:c>
      <x:c r="N47" s="76" t="n">
        <x:f>COUNTIFS('Token Ledger'!$I$7:$I$40,N$6,'Token Ledger'!$J$7:$J$40,"&lt;="&amp;$B47,'Token Ledger'!$K$7:$K$40,"&gt;"&amp;$B47)</x:f>
        <x:v>0</x:v>
      </x:c>
    </x:row>
    <x:row r="48">
      <x:c r="B48" s="65" t="n">
        <x:v>42</x:v>
      </x:c>
      <x:c r="C48" s="65" t="n">
        <x:f>COUNTIFS('Token Ledger'!$I$7:$I$40,C$6,'Token Ledger'!$J$7:$J$40,"&lt;="&amp;$B48,'Token Ledger'!$K$7:$K$40,"&gt;"&amp;$B48)</x:f>
        <x:v>1</x:v>
      </x:c>
      <x:c r="D48" s="65" t="n">
        <x:f>COUNTIFS('Token Ledger'!$I$7:$I$40,D$6,'Token Ledger'!$J$7:$J$40,"&lt;="&amp;$B48,'Token Ledger'!$K$7:$K$40,"&gt;"&amp;$B48)</x:f>
        <x:v>1</x:v>
      </x:c>
      <x:c r="E48" s="65" t="n">
        <x:f>COUNTIFS('Token Ledger'!$I$7:$I$40,E$6,'Token Ledger'!$J$7:$J$40,"&lt;="&amp;$B48,'Token Ledger'!$K$7:$K$40,"&gt;"&amp;$B48)</x:f>
        <x:v>1</x:v>
      </x:c>
      <x:c r="F48" s="65" t="n">
        <x:f>COUNTIFS('Token Ledger'!$I$7:$I$40,F$6,'Token Ledger'!$J$7:$J$40,"&lt;="&amp;$B48,'Token Ledger'!$K$7:$K$40,"&gt;"&amp;$B48)</x:f>
        <x:v>1</x:v>
      </x:c>
      <x:c r="G48" s="65" t="n">
        <x:f>COUNTIFS('Token Ledger'!$I$7:$I$40,G$6,'Token Ledger'!$J$7:$J$40,"&lt;="&amp;$B48,'Token Ledger'!$K$7:$K$40,"&gt;"&amp;$B48)</x:f>
        <x:v>1</x:v>
      </x:c>
      <x:c r="H48" s="65" t="n">
        <x:f>COUNTIFS('Token Ledger'!$I$7:$I$40,H$6,'Token Ledger'!$J$7:$J$40,"&lt;="&amp;$B48,'Token Ledger'!$K$7:$K$40,"&gt;"&amp;$B48)</x:f>
        <x:v>1</x:v>
      </x:c>
      <x:c r="I48" s="65" t="n">
        <x:f>COUNTIFS('Token Ledger'!$I$7:$I$40,I$6,'Token Ledger'!$J$7:$J$40,"&lt;="&amp;$B48,'Token Ledger'!$K$7:$K$40,"&gt;"&amp;$B48)</x:f>
        <x:v>1</x:v>
      </x:c>
      <x:c r="J48" s="65" t="n">
        <x:f>COUNTIFS('Token Ledger'!$I$7:$I$40,J$6,'Token Ledger'!$J$7:$J$40,"&lt;="&amp;$B48,'Token Ledger'!$K$7:$K$40,"&gt;"&amp;$B48)</x:f>
        <x:v>1</x:v>
      </x:c>
      <x:c r="K48" s="65" t="n">
        <x:f>COUNTIFS('Token Ledger'!$I$7:$I$40,K$6,'Token Ledger'!$J$7:$J$40,"&lt;="&amp;$B48,'Token Ledger'!$K$7:$K$40,"&gt;"&amp;$B48)</x:f>
        <x:v>1</x:v>
      </x:c>
      <x:c r="L48" s="65" t="n">
        <x:f>COUNTIFS('Token Ledger'!$I$7:$I$40,L$6,'Token Ledger'!$J$7:$J$40,"&lt;="&amp;$B48,'Token Ledger'!$K$7:$K$40,"&gt;"&amp;$B48)</x:f>
        <x:v>1</x:v>
      </x:c>
      <x:c r="M48" s="65" t="n">
        <x:f>COUNTIFS('Token Ledger'!$I$7:$I$40,M$6,'Token Ledger'!$J$7:$J$40,"&lt;="&amp;$B48,'Token Ledger'!$K$7:$K$40,"&gt;"&amp;$B48)</x:f>
        <x:v>1</x:v>
      </x:c>
      <x:c r="N48" s="76" t="n">
        <x:f>COUNTIFS('Token Ledger'!$I$7:$I$40,N$6,'Token Ledger'!$J$7:$J$40,"&lt;="&amp;$B48,'Token Ledger'!$K$7:$K$40,"&gt;"&amp;$B48)</x:f>
        <x:v>0</x:v>
      </x:c>
    </x:row>
    <x:row r="49">
      <x:c r="B49" s="65" t="n">
        <x:v>43</x:v>
      </x:c>
      <x:c r="C49" s="65" t="n">
        <x:f>COUNTIFS('Token Ledger'!$I$7:$I$40,C$6,'Token Ledger'!$J$7:$J$40,"&lt;="&amp;$B49,'Token Ledger'!$K$7:$K$40,"&gt;"&amp;$B49)</x:f>
        <x:v>1</x:v>
      </x:c>
      <x:c r="D49" s="65" t="n">
        <x:f>COUNTIFS('Token Ledger'!$I$7:$I$40,D$6,'Token Ledger'!$J$7:$J$40,"&lt;="&amp;$B49,'Token Ledger'!$K$7:$K$40,"&gt;"&amp;$B49)</x:f>
        <x:v>1</x:v>
      </x:c>
      <x:c r="E49" s="65" t="n">
        <x:f>COUNTIFS('Token Ledger'!$I$7:$I$40,E$6,'Token Ledger'!$J$7:$J$40,"&lt;="&amp;$B49,'Token Ledger'!$K$7:$K$40,"&gt;"&amp;$B49)</x:f>
        <x:v>0</x:v>
      </x:c>
      <x:c r="F49" s="65" t="n">
        <x:f>COUNTIFS('Token Ledger'!$I$7:$I$40,F$6,'Token Ledger'!$J$7:$J$40,"&lt;="&amp;$B49,'Token Ledger'!$K$7:$K$40,"&gt;"&amp;$B49)</x:f>
        <x:v>0</x:v>
      </x:c>
      <x:c r="G49" s="65" t="n">
        <x:f>COUNTIFS('Token Ledger'!$I$7:$I$40,G$6,'Token Ledger'!$J$7:$J$40,"&lt;="&amp;$B49,'Token Ledger'!$K$7:$K$40,"&gt;"&amp;$B49)</x:f>
        <x:v>1</x:v>
      </x:c>
      <x:c r="H49" s="65" t="n">
        <x:f>COUNTIFS('Token Ledger'!$I$7:$I$40,H$6,'Token Ledger'!$J$7:$J$40,"&lt;="&amp;$B49,'Token Ledger'!$K$7:$K$40,"&gt;"&amp;$B49)</x:f>
        <x:v>1</x:v>
      </x:c>
      <x:c r="I49" s="65" t="n">
        <x:f>COUNTIFS('Token Ledger'!$I$7:$I$40,I$6,'Token Ledger'!$J$7:$J$40,"&lt;="&amp;$B49,'Token Ledger'!$K$7:$K$40,"&gt;"&amp;$B49)</x:f>
        <x:v>1</x:v>
      </x:c>
      <x:c r="J49" s="65" t="n">
        <x:f>COUNTIFS('Token Ledger'!$I$7:$I$40,J$6,'Token Ledger'!$J$7:$J$40,"&lt;="&amp;$B49,'Token Ledger'!$K$7:$K$40,"&gt;"&amp;$B49)</x:f>
        <x:v>1</x:v>
      </x:c>
      <x:c r="K49" s="65" t="n">
        <x:f>COUNTIFS('Token Ledger'!$I$7:$I$40,K$6,'Token Ledger'!$J$7:$J$40,"&lt;="&amp;$B49,'Token Ledger'!$K$7:$K$40,"&gt;"&amp;$B49)</x:f>
        <x:v>1</x:v>
      </x:c>
      <x:c r="L49" s="65" t="n">
        <x:f>COUNTIFS('Token Ledger'!$I$7:$I$40,L$6,'Token Ledger'!$J$7:$J$40,"&lt;="&amp;$B49,'Token Ledger'!$K$7:$K$40,"&gt;"&amp;$B49)</x:f>
        <x:v>1</x:v>
      </x:c>
      <x:c r="M49" s="65" t="n">
        <x:f>COUNTIFS('Token Ledger'!$I$7:$I$40,M$6,'Token Ledger'!$J$7:$J$40,"&lt;="&amp;$B49,'Token Ledger'!$K$7:$K$40,"&gt;"&amp;$B49)</x:f>
        <x:v>1</x:v>
      </x:c>
      <x:c r="N49" s="76" t="n">
        <x:f>COUNTIFS('Token Ledger'!$I$7:$I$40,N$6,'Token Ledger'!$J$7:$J$40,"&lt;="&amp;$B49,'Token Ledger'!$K$7:$K$40,"&gt;"&amp;$B49)</x:f>
        <x:v>0</x:v>
      </x:c>
    </x:row>
    <x:row r="50">
      <x:c r="B50" s="65" t="n">
        <x:v>44</x:v>
      </x:c>
      <x:c r="C50" s="65" t="n">
        <x:f>COUNTIFS('Token Ledger'!$I$7:$I$40,C$6,'Token Ledger'!$J$7:$J$40,"&lt;="&amp;$B50,'Token Ledger'!$K$7:$K$40,"&gt;"&amp;$B50)</x:f>
        <x:v>1</x:v>
      </x:c>
      <x:c r="D50" s="65" t="n">
        <x:f>COUNTIFS('Token Ledger'!$I$7:$I$40,D$6,'Token Ledger'!$J$7:$J$40,"&lt;="&amp;$B50,'Token Ledger'!$K$7:$K$40,"&gt;"&amp;$B50)</x:f>
        <x:v>1</x:v>
      </x:c>
      <x:c r="E50" s="65" t="n">
        <x:f>COUNTIFS('Token Ledger'!$I$7:$I$40,E$6,'Token Ledger'!$J$7:$J$40,"&lt;="&amp;$B50,'Token Ledger'!$K$7:$K$40,"&gt;"&amp;$B50)</x:f>
        <x:v>0</x:v>
      </x:c>
      <x:c r="F50" s="65" t="n">
        <x:f>COUNTIFS('Token Ledger'!$I$7:$I$40,F$6,'Token Ledger'!$J$7:$J$40,"&lt;="&amp;$B50,'Token Ledger'!$K$7:$K$40,"&gt;"&amp;$B50)</x:f>
        <x:v>0</x:v>
      </x:c>
      <x:c r="G50" s="65" t="n">
        <x:f>COUNTIFS('Token Ledger'!$I$7:$I$40,G$6,'Token Ledger'!$J$7:$J$40,"&lt;="&amp;$B50,'Token Ledger'!$K$7:$K$40,"&gt;"&amp;$B50)</x:f>
        <x:v>1</x:v>
      </x:c>
      <x:c r="H50" s="65" t="n">
        <x:f>COUNTIFS('Token Ledger'!$I$7:$I$40,H$6,'Token Ledger'!$J$7:$J$40,"&lt;="&amp;$B50,'Token Ledger'!$K$7:$K$40,"&gt;"&amp;$B50)</x:f>
        <x:v>1</x:v>
      </x:c>
      <x:c r="I50" s="65" t="n">
        <x:f>COUNTIFS('Token Ledger'!$I$7:$I$40,I$6,'Token Ledger'!$J$7:$J$40,"&lt;="&amp;$B50,'Token Ledger'!$K$7:$K$40,"&gt;"&amp;$B50)</x:f>
        <x:v>1</x:v>
      </x:c>
      <x:c r="J50" s="65" t="n">
        <x:f>COUNTIFS('Token Ledger'!$I$7:$I$40,J$6,'Token Ledger'!$J$7:$J$40,"&lt;="&amp;$B50,'Token Ledger'!$K$7:$K$40,"&gt;"&amp;$B50)</x:f>
        <x:v>1</x:v>
      </x:c>
      <x:c r="K50" s="65" t="n">
        <x:f>COUNTIFS('Token Ledger'!$I$7:$I$40,K$6,'Token Ledger'!$J$7:$J$40,"&lt;="&amp;$B50,'Token Ledger'!$K$7:$K$40,"&gt;"&amp;$B50)</x:f>
        <x:v>1</x:v>
      </x:c>
      <x:c r="L50" s="65" t="n">
        <x:f>COUNTIFS('Token Ledger'!$I$7:$I$40,L$6,'Token Ledger'!$J$7:$J$40,"&lt;="&amp;$B50,'Token Ledger'!$K$7:$K$40,"&gt;"&amp;$B50)</x:f>
        <x:v>1</x:v>
      </x:c>
      <x:c r="M50" s="65" t="n">
        <x:f>COUNTIFS('Token Ledger'!$I$7:$I$40,M$6,'Token Ledger'!$J$7:$J$40,"&lt;="&amp;$B50,'Token Ledger'!$K$7:$K$40,"&gt;"&amp;$B50)</x:f>
        <x:v>1</x:v>
      </x:c>
      <x:c r="N50" s="76" t="n">
        <x:f>COUNTIFS('Token Ledger'!$I$7:$I$40,N$6,'Token Ledger'!$J$7:$J$40,"&lt;="&amp;$B50,'Token Ledger'!$K$7:$K$40,"&gt;"&amp;$B50)</x:f>
        <x:v>0</x:v>
      </x:c>
    </x:row>
    <x:row r="51">
      <x:c r="B51" s="65" t="n">
        <x:v>45</x:v>
      </x:c>
      <x:c r="C51" s="65" t="n">
        <x:f>COUNTIFS('Token Ledger'!$I$7:$I$40,C$6,'Token Ledger'!$J$7:$J$40,"&lt;="&amp;$B51,'Token Ledger'!$K$7:$K$40,"&gt;"&amp;$B51)</x:f>
        <x:v>1</x:v>
      </x:c>
      <x:c r="D51" s="65" t="n">
        <x:f>COUNTIFS('Token Ledger'!$I$7:$I$40,D$6,'Token Ledger'!$J$7:$J$40,"&lt;="&amp;$B51,'Token Ledger'!$K$7:$K$40,"&gt;"&amp;$B51)</x:f>
        <x:v>1</x:v>
      </x:c>
      <x:c r="E51" s="65" t="n">
        <x:f>COUNTIFS('Token Ledger'!$I$7:$I$40,E$6,'Token Ledger'!$J$7:$J$40,"&lt;="&amp;$B51,'Token Ledger'!$K$7:$K$40,"&gt;"&amp;$B51)</x:f>
        <x:v>0</x:v>
      </x:c>
      <x:c r="F51" s="65" t="n">
        <x:f>COUNTIFS('Token Ledger'!$I$7:$I$40,F$6,'Token Ledger'!$J$7:$J$40,"&lt;="&amp;$B51,'Token Ledger'!$K$7:$K$40,"&gt;"&amp;$B51)</x:f>
        <x:v>0</x:v>
      </x:c>
      <x:c r="G51" s="65" t="n">
        <x:f>COUNTIFS('Token Ledger'!$I$7:$I$40,G$6,'Token Ledger'!$J$7:$J$40,"&lt;="&amp;$B51,'Token Ledger'!$K$7:$K$40,"&gt;"&amp;$B51)</x:f>
        <x:v>1</x:v>
      </x:c>
      <x:c r="H51" s="65" t="n">
        <x:f>COUNTIFS('Token Ledger'!$I$7:$I$40,H$6,'Token Ledger'!$J$7:$J$40,"&lt;="&amp;$B51,'Token Ledger'!$K$7:$K$40,"&gt;"&amp;$B51)</x:f>
        <x:v>1</x:v>
      </x:c>
      <x:c r="I51" s="65" t="n">
        <x:f>COUNTIFS('Token Ledger'!$I$7:$I$40,I$6,'Token Ledger'!$J$7:$J$40,"&lt;="&amp;$B51,'Token Ledger'!$K$7:$K$40,"&gt;"&amp;$B51)</x:f>
        <x:v>1</x:v>
      </x:c>
      <x:c r="J51" s="65" t="n">
        <x:f>COUNTIFS('Token Ledger'!$I$7:$I$40,J$6,'Token Ledger'!$J$7:$J$40,"&lt;="&amp;$B51,'Token Ledger'!$K$7:$K$40,"&gt;"&amp;$B51)</x:f>
        <x:v>1</x:v>
      </x:c>
      <x:c r="K51" s="65" t="n">
        <x:f>COUNTIFS('Token Ledger'!$I$7:$I$40,K$6,'Token Ledger'!$J$7:$J$40,"&lt;="&amp;$B51,'Token Ledger'!$K$7:$K$40,"&gt;"&amp;$B51)</x:f>
        <x:v>1</x:v>
      </x:c>
      <x:c r="L51" s="65" t="n">
        <x:f>COUNTIFS('Token Ledger'!$I$7:$I$40,L$6,'Token Ledger'!$J$7:$J$40,"&lt;="&amp;$B51,'Token Ledger'!$K$7:$K$40,"&gt;"&amp;$B51)</x:f>
        <x:v>1</x:v>
      </x:c>
      <x:c r="M51" s="65" t="n">
        <x:f>COUNTIFS('Token Ledger'!$I$7:$I$40,M$6,'Token Ledger'!$J$7:$J$40,"&lt;="&amp;$B51,'Token Ledger'!$K$7:$K$40,"&gt;"&amp;$B51)</x:f>
        <x:v>1</x:v>
      </x:c>
      <x:c r="N51" s="76" t="n">
        <x:f>COUNTIFS('Token Ledger'!$I$7:$I$40,N$6,'Token Ledger'!$J$7:$J$40,"&lt;="&amp;$B51,'Token Ledger'!$K$7:$K$40,"&gt;"&amp;$B51)</x:f>
        <x:v>0</x:v>
      </x:c>
    </x:row>
    <x:row r="52">
      <x:c r="B52" s="65" t="n">
        <x:v>46</x:v>
      </x:c>
      <x:c r="C52" s="65" t="n">
        <x:f>COUNTIFS('Token Ledger'!$I$7:$I$40,C$6,'Token Ledger'!$J$7:$J$40,"&lt;="&amp;$B52,'Token Ledger'!$K$7:$K$40,"&gt;"&amp;$B52)</x:f>
        <x:v>1</x:v>
      </x:c>
      <x:c r="D52" s="65" t="n">
        <x:f>COUNTIFS('Token Ledger'!$I$7:$I$40,D$6,'Token Ledger'!$J$7:$J$40,"&lt;="&amp;$B52,'Token Ledger'!$K$7:$K$40,"&gt;"&amp;$B52)</x:f>
        <x:v>1</x:v>
      </x:c>
      <x:c r="E52" s="65" t="n">
        <x:f>COUNTIFS('Token Ledger'!$I$7:$I$40,E$6,'Token Ledger'!$J$7:$J$40,"&lt;="&amp;$B52,'Token Ledger'!$K$7:$K$40,"&gt;"&amp;$B52)</x:f>
        <x:v>0</x:v>
      </x:c>
      <x:c r="F52" s="65" t="n">
        <x:f>COUNTIFS('Token Ledger'!$I$7:$I$40,F$6,'Token Ledger'!$J$7:$J$40,"&lt;="&amp;$B52,'Token Ledger'!$K$7:$K$40,"&gt;"&amp;$B52)</x:f>
        <x:v>0</x:v>
      </x:c>
      <x:c r="G52" s="65" t="n">
        <x:f>COUNTIFS('Token Ledger'!$I$7:$I$40,G$6,'Token Ledger'!$J$7:$J$40,"&lt;="&amp;$B52,'Token Ledger'!$K$7:$K$40,"&gt;"&amp;$B52)</x:f>
        <x:v>1</x:v>
      </x:c>
      <x:c r="H52" s="65" t="n">
        <x:f>COUNTIFS('Token Ledger'!$I$7:$I$40,H$6,'Token Ledger'!$J$7:$J$40,"&lt;="&amp;$B52,'Token Ledger'!$K$7:$K$40,"&gt;"&amp;$B52)</x:f>
        <x:v>1</x:v>
      </x:c>
      <x:c r="I52" s="65" t="n">
        <x:f>COUNTIFS('Token Ledger'!$I$7:$I$40,I$6,'Token Ledger'!$J$7:$J$40,"&lt;="&amp;$B52,'Token Ledger'!$K$7:$K$40,"&gt;"&amp;$B52)</x:f>
        <x:v>1</x:v>
      </x:c>
      <x:c r="J52" s="65" t="n">
        <x:f>COUNTIFS('Token Ledger'!$I$7:$I$40,J$6,'Token Ledger'!$J$7:$J$40,"&lt;="&amp;$B52,'Token Ledger'!$K$7:$K$40,"&gt;"&amp;$B52)</x:f>
        <x:v>1</x:v>
      </x:c>
      <x:c r="K52" s="65" t="n">
        <x:f>COUNTIFS('Token Ledger'!$I$7:$I$40,K$6,'Token Ledger'!$J$7:$J$40,"&lt;="&amp;$B52,'Token Ledger'!$K$7:$K$40,"&gt;"&amp;$B52)</x:f>
        <x:v>1</x:v>
      </x:c>
      <x:c r="L52" s="65" t="n">
        <x:f>COUNTIFS('Token Ledger'!$I$7:$I$40,L$6,'Token Ledger'!$J$7:$J$40,"&lt;="&amp;$B52,'Token Ledger'!$K$7:$K$40,"&gt;"&amp;$B52)</x:f>
        <x:v>1</x:v>
      </x:c>
      <x:c r="M52" s="65" t="n">
        <x:f>COUNTIFS('Token Ledger'!$I$7:$I$40,M$6,'Token Ledger'!$J$7:$J$40,"&lt;="&amp;$B52,'Token Ledger'!$K$7:$K$40,"&gt;"&amp;$B52)</x:f>
        <x:v>1</x:v>
      </x:c>
      <x:c r="N52" s="76" t="n">
        <x:f>COUNTIFS('Token Ledger'!$I$7:$I$40,N$6,'Token Ledger'!$J$7:$J$40,"&lt;="&amp;$B52,'Token Ledger'!$K$7:$K$40,"&gt;"&amp;$B52)</x:f>
        <x:v>0</x:v>
      </x:c>
    </x:row>
    <x:row r="53">
      <x:c r="B53" s="65" t="n">
        <x:v>47</x:v>
      </x:c>
      <x:c r="C53" s="65" t="n">
        <x:f>COUNTIFS('Token Ledger'!$I$7:$I$40,C$6,'Token Ledger'!$J$7:$J$40,"&lt;="&amp;$B53,'Token Ledger'!$K$7:$K$40,"&gt;"&amp;$B53)</x:f>
        <x:v>1</x:v>
      </x:c>
      <x:c r="D53" s="65" t="n">
        <x:f>COUNTIFS('Token Ledger'!$I$7:$I$40,D$6,'Token Ledger'!$J$7:$J$40,"&lt;="&amp;$B53,'Token Ledger'!$K$7:$K$40,"&gt;"&amp;$B53)</x:f>
        <x:v>1</x:v>
      </x:c>
      <x:c r="E53" s="65" t="n">
        <x:f>COUNTIFS('Token Ledger'!$I$7:$I$40,E$6,'Token Ledger'!$J$7:$J$40,"&lt;="&amp;$B53,'Token Ledger'!$K$7:$K$40,"&gt;"&amp;$B53)</x:f>
        <x:v>0</x:v>
      </x:c>
      <x:c r="F53" s="65" t="n">
        <x:f>COUNTIFS('Token Ledger'!$I$7:$I$40,F$6,'Token Ledger'!$J$7:$J$40,"&lt;="&amp;$B53,'Token Ledger'!$K$7:$K$40,"&gt;"&amp;$B53)</x:f>
        <x:v>0</x:v>
      </x:c>
      <x:c r="G53" s="65" t="n">
        <x:f>COUNTIFS('Token Ledger'!$I$7:$I$40,G$6,'Token Ledger'!$J$7:$J$40,"&lt;="&amp;$B53,'Token Ledger'!$K$7:$K$40,"&gt;"&amp;$B53)</x:f>
        <x:v>1</x:v>
      </x:c>
      <x:c r="H53" s="65" t="n">
        <x:f>COUNTIFS('Token Ledger'!$I$7:$I$40,H$6,'Token Ledger'!$J$7:$J$40,"&lt;="&amp;$B53,'Token Ledger'!$K$7:$K$40,"&gt;"&amp;$B53)</x:f>
        <x:v>1</x:v>
      </x:c>
      <x:c r="I53" s="65" t="n">
        <x:f>COUNTIFS('Token Ledger'!$I$7:$I$40,I$6,'Token Ledger'!$J$7:$J$40,"&lt;="&amp;$B53,'Token Ledger'!$K$7:$K$40,"&gt;"&amp;$B53)</x:f>
        <x:v>1</x:v>
      </x:c>
      <x:c r="J53" s="65" t="n">
        <x:f>COUNTIFS('Token Ledger'!$I$7:$I$40,J$6,'Token Ledger'!$J$7:$J$40,"&lt;="&amp;$B53,'Token Ledger'!$K$7:$K$40,"&gt;"&amp;$B53)</x:f>
        <x:v>1</x:v>
      </x:c>
      <x:c r="K53" s="65" t="n">
        <x:f>COUNTIFS('Token Ledger'!$I$7:$I$40,K$6,'Token Ledger'!$J$7:$J$40,"&lt;="&amp;$B53,'Token Ledger'!$K$7:$K$40,"&gt;"&amp;$B53)</x:f>
        <x:v>1</x:v>
      </x:c>
      <x:c r="L53" s="65" t="n">
        <x:f>COUNTIFS('Token Ledger'!$I$7:$I$40,L$6,'Token Ledger'!$J$7:$J$40,"&lt;="&amp;$B53,'Token Ledger'!$K$7:$K$40,"&gt;"&amp;$B53)</x:f>
        <x:v>1</x:v>
      </x:c>
      <x:c r="M53" s="65" t="n">
        <x:f>COUNTIFS('Token Ledger'!$I$7:$I$40,M$6,'Token Ledger'!$J$7:$J$40,"&lt;="&amp;$B53,'Token Ledger'!$K$7:$K$40,"&gt;"&amp;$B53)</x:f>
        <x:v>1</x:v>
      </x:c>
      <x:c r="N53" s="76" t="n">
        <x:f>COUNTIFS('Token Ledger'!$I$7:$I$40,N$6,'Token Ledger'!$J$7:$J$40,"&lt;="&amp;$B53,'Token Ledger'!$K$7:$K$40,"&gt;"&amp;$B53)</x:f>
        <x:v>0</x:v>
      </x:c>
    </x:row>
    <x:row r="54">
      <x:c r="B54" s="65" t="n">
        <x:v>48</x:v>
      </x:c>
      <x:c r="C54" s="65" t="n">
        <x:f>COUNTIFS('Token Ledger'!$I$7:$I$40,C$6,'Token Ledger'!$J$7:$J$40,"&lt;="&amp;$B54,'Token Ledger'!$K$7:$K$40,"&gt;"&amp;$B54)</x:f>
        <x:v>1</x:v>
      </x:c>
      <x:c r="D54" s="65" t="n">
        <x:f>COUNTIFS('Token Ledger'!$I$7:$I$40,D$6,'Token Ledger'!$J$7:$J$40,"&lt;="&amp;$B54,'Token Ledger'!$K$7:$K$40,"&gt;"&amp;$B54)</x:f>
        <x:v>1</x:v>
      </x:c>
      <x:c r="E54" s="65" t="n">
        <x:f>COUNTIFS('Token Ledger'!$I$7:$I$40,E$6,'Token Ledger'!$J$7:$J$40,"&lt;="&amp;$B54,'Token Ledger'!$K$7:$K$40,"&gt;"&amp;$B54)</x:f>
        <x:v>0</x:v>
      </x:c>
      <x:c r="F54" s="65" t="n">
        <x:f>COUNTIFS('Token Ledger'!$I$7:$I$40,F$6,'Token Ledger'!$J$7:$J$40,"&lt;="&amp;$B54,'Token Ledger'!$K$7:$K$40,"&gt;"&amp;$B54)</x:f>
        <x:v>0</x:v>
      </x:c>
      <x:c r="G54" s="65" t="n">
        <x:f>COUNTIFS('Token Ledger'!$I$7:$I$40,G$6,'Token Ledger'!$J$7:$J$40,"&lt;="&amp;$B54,'Token Ledger'!$K$7:$K$40,"&gt;"&amp;$B54)</x:f>
        <x:v>1</x:v>
      </x:c>
      <x:c r="H54" s="65" t="n">
        <x:f>COUNTIFS('Token Ledger'!$I$7:$I$40,H$6,'Token Ledger'!$J$7:$J$40,"&lt;="&amp;$B54,'Token Ledger'!$K$7:$K$40,"&gt;"&amp;$B54)</x:f>
        <x:v>1</x:v>
      </x:c>
      <x:c r="I54" s="65" t="n">
        <x:f>COUNTIFS('Token Ledger'!$I$7:$I$40,I$6,'Token Ledger'!$J$7:$J$40,"&lt;="&amp;$B54,'Token Ledger'!$K$7:$K$40,"&gt;"&amp;$B54)</x:f>
        <x:v>1</x:v>
      </x:c>
      <x:c r="J54" s="65" t="n">
        <x:f>COUNTIFS('Token Ledger'!$I$7:$I$40,J$6,'Token Ledger'!$J$7:$J$40,"&lt;="&amp;$B54,'Token Ledger'!$K$7:$K$40,"&gt;"&amp;$B54)</x:f>
        <x:v>1</x:v>
      </x:c>
      <x:c r="K54" s="65" t="n">
        <x:f>COUNTIFS('Token Ledger'!$I$7:$I$40,K$6,'Token Ledger'!$J$7:$J$40,"&lt;="&amp;$B54,'Token Ledger'!$K$7:$K$40,"&gt;"&amp;$B54)</x:f>
        <x:v>1</x:v>
      </x:c>
      <x:c r="L54" s="65" t="n">
        <x:f>COUNTIFS('Token Ledger'!$I$7:$I$40,L$6,'Token Ledger'!$J$7:$J$40,"&lt;="&amp;$B54,'Token Ledger'!$K$7:$K$40,"&gt;"&amp;$B54)</x:f>
        <x:v>1</x:v>
      </x:c>
      <x:c r="M54" s="65" t="n">
        <x:f>COUNTIFS('Token Ledger'!$I$7:$I$40,M$6,'Token Ledger'!$J$7:$J$40,"&lt;="&amp;$B54,'Token Ledger'!$K$7:$K$40,"&gt;"&amp;$B54)</x:f>
        <x:v>1</x:v>
      </x:c>
      <x:c r="N54" s="76" t="n">
        <x:f>COUNTIFS('Token Ledger'!$I$7:$I$40,N$6,'Token Ledger'!$J$7:$J$40,"&lt;="&amp;$B54,'Token Ledger'!$K$7:$K$40,"&gt;"&amp;$B54)</x:f>
        <x:v>0</x:v>
      </x:c>
    </x:row>
    <x:row r="55">
      <x:c r="B55" s="65" t="n">
        <x:v>49</x:v>
      </x:c>
      <x:c r="C55" s="65" t="n">
        <x:f>COUNTIFS('Token Ledger'!$I$7:$I$40,C$6,'Token Ledger'!$J$7:$J$40,"&lt;="&amp;$B55,'Token Ledger'!$K$7:$K$40,"&gt;"&amp;$B55)</x:f>
        <x:v>1</x:v>
      </x:c>
      <x:c r="D55" s="65" t="n">
        <x:f>COUNTIFS('Token Ledger'!$I$7:$I$40,D$6,'Token Ledger'!$J$7:$J$40,"&lt;="&amp;$B55,'Token Ledger'!$K$7:$K$40,"&gt;"&amp;$B55)</x:f>
        <x:v>1</x:v>
      </x:c>
      <x:c r="E55" s="65" t="n">
        <x:f>COUNTIFS('Token Ledger'!$I$7:$I$40,E$6,'Token Ledger'!$J$7:$J$40,"&lt;="&amp;$B55,'Token Ledger'!$K$7:$K$40,"&gt;"&amp;$B55)</x:f>
        <x:v>0</x:v>
      </x:c>
      <x:c r="F55" s="65" t="n">
        <x:f>COUNTIFS('Token Ledger'!$I$7:$I$40,F$6,'Token Ledger'!$J$7:$J$40,"&lt;="&amp;$B55,'Token Ledger'!$K$7:$K$40,"&gt;"&amp;$B55)</x:f>
        <x:v>0</x:v>
      </x:c>
      <x:c r="G55" s="65" t="n">
        <x:f>COUNTIFS('Token Ledger'!$I$7:$I$40,G$6,'Token Ledger'!$J$7:$J$40,"&lt;="&amp;$B55,'Token Ledger'!$K$7:$K$40,"&gt;"&amp;$B55)</x:f>
        <x:v>1</x:v>
      </x:c>
      <x:c r="H55" s="65" t="n">
        <x:f>COUNTIFS('Token Ledger'!$I$7:$I$40,H$6,'Token Ledger'!$J$7:$J$40,"&lt;="&amp;$B55,'Token Ledger'!$K$7:$K$40,"&gt;"&amp;$B55)</x:f>
        <x:v>1</x:v>
      </x:c>
      <x:c r="I55" s="65" t="n">
        <x:f>COUNTIFS('Token Ledger'!$I$7:$I$40,I$6,'Token Ledger'!$J$7:$J$40,"&lt;="&amp;$B55,'Token Ledger'!$K$7:$K$40,"&gt;"&amp;$B55)</x:f>
        <x:v>1</x:v>
      </x:c>
      <x:c r="J55" s="65" t="n">
        <x:f>COUNTIFS('Token Ledger'!$I$7:$I$40,J$6,'Token Ledger'!$J$7:$J$40,"&lt;="&amp;$B55,'Token Ledger'!$K$7:$K$40,"&gt;"&amp;$B55)</x:f>
        <x:v>1</x:v>
      </x:c>
      <x:c r="K55" s="65" t="n">
        <x:f>COUNTIFS('Token Ledger'!$I$7:$I$40,K$6,'Token Ledger'!$J$7:$J$40,"&lt;="&amp;$B55,'Token Ledger'!$K$7:$K$40,"&gt;"&amp;$B55)</x:f>
        <x:v>1</x:v>
      </x:c>
      <x:c r="L55" s="65" t="n">
        <x:f>COUNTIFS('Token Ledger'!$I$7:$I$40,L$6,'Token Ledger'!$J$7:$J$40,"&lt;="&amp;$B55,'Token Ledger'!$K$7:$K$40,"&gt;"&amp;$B55)</x:f>
        <x:v>1</x:v>
      </x:c>
      <x:c r="M55" s="65" t="n">
        <x:f>COUNTIFS('Token Ledger'!$I$7:$I$40,M$6,'Token Ledger'!$J$7:$J$40,"&lt;="&amp;$B55,'Token Ledger'!$K$7:$K$40,"&gt;"&amp;$B55)</x:f>
        <x:v>1</x:v>
      </x:c>
      <x:c r="N55" s="76" t="n">
        <x:f>COUNTIFS('Token Ledger'!$I$7:$I$40,N$6,'Token Ledger'!$J$7:$J$40,"&lt;="&amp;$B55,'Token Ledger'!$K$7:$K$40,"&gt;"&amp;$B55)</x:f>
        <x:v>0</x:v>
      </x:c>
    </x:row>
    <x:row r="56">
      <x:c r="B56" s="65" t="n">
        <x:v>50</x:v>
      </x:c>
      <x:c r="C56" s="65" t="n">
        <x:f>COUNTIFS('Token Ledger'!$I$7:$I$40,C$6,'Token Ledger'!$J$7:$J$40,"&lt;="&amp;$B56,'Token Ledger'!$K$7:$K$40,"&gt;"&amp;$B56)</x:f>
        <x:v>1</x:v>
      </x:c>
      <x:c r="D56" s="65" t="n">
        <x:f>COUNTIFS('Token Ledger'!$I$7:$I$40,D$6,'Token Ledger'!$J$7:$J$40,"&lt;="&amp;$B56,'Token Ledger'!$K$7:$K$40,"&gt;"&amp;$B56)</x:f>
        <x:v>0</x:v>
      </x:c>
      <x:c r="E56" s="65" t="n">
        <x:f>COUNTIFS('Token Ledger'!$I$7:$I$40,E$6,'Token Ledger'!$J$7:$J$40,"&lt;="&amp;$B56,'Token Ledger'!$K$7:$K$40,"&gt;"&amp;$B56)</x:f>
        <x:v>0</x:v>
      </x:c>
      <x:c r="F56" s="65" t="n">
        <x:f>COUNTIFS('Token Ledger'!$I$7:$I$40,F$6,'Token Ledger'!$J$7:$J$40,"&lt;="&amp;$B56,'Token Ledger'!$K$7:$K$40,"&gt;"&amp;$B56)</x:f>
        <x:v>0</x:v>
      </x:c>
      <x:c r="G56" s="65" t="n">
        <x:f>COUNTIFS('Token Ledger'!$I$7:$I$40,G$6,'Token Ledger'!$J$7:$J$40,"&lt;="&amp;$B56,'Token Ledger'!$K$7:$K$40,"&gt;"&amp;$B56)</x:f>
        <x:v>0</x:v>
      </x:c>
      <x:c r="H56" s="65" t="n">
        <x:f>COUNTIFS('Token Ledger'!$I$7:$I$40,H$6,'Token Ledger'!$J$7:$J$40,"&lt;="&amp;$B56,'Token Ledger'!$K$7:$K$40,"&gt;"&amp;$B56)</x:f>
        <x:v>0</x:v>
      </x:c>
      <x:c r="I56" s="65" t="n">
        <x:f>COUNTIFS('Token Ledger'!$I$7:$I$40,I$6,'Token Ledger'!$J$7:$J$40,"&lt;="&amp;$B56,'Token Ledger'!$K$7:$K$40,"&gt;"&amp;$B56)</x:f>
        <x:v>1</x:v>
      </x:c>
      <x:c r="J56" s="65" t="n">
        <x:f>COUNTIFS('Token Ledger'!$I$7:$I$40,J$6,'Token Ledger'!$J$7:$J$40,"&lt;="&amp;$B56,'Token Ledger'!$K$7:$K$40,"&gt;"&amp;$B56)</x:f>
        <x:v>1</x:v>
      </x:c>
      <x:c r="K56" s="65" t="n">
        <x:f>COUNTIFS('Token Ledger'!$I$7:$I$40,K$6,'Token Ledger'!$J$7:$J$40,"&lt;="&amp;$B56,'Token Ledger'!$K$7:$K$40,"&gt;"&amp;$B56)</x:f>
        <x:v>1</x:v>
      </x:c>
      <x:c r="L56" s="65" t="n">
        <x:f>COUNTIFS('Token Ledger'!$I$7:$I$40,L$6,'Token Ledger'!$J$7:$J$40,"&lt;="&amp;$B56,'Token Ledger'!$K$7:$K$40,"&gt;"&amp;$B56)</x:f>
        <x:v>1</x:v>
      </x:c>
      <x:c r="M56" s="65" t="n">
        <x:f>COUNTIFS('Token Ledger'!$I$7:$I$40,M$6,'Token Ledger'!$J$7:$J$40,"&lt;="&amp;$B56,'Token Ledger'!$K$7:$K$40,"&gt;"&amp;$B56)</x:f>
        <x:v>1</x:v>
      </x:c>
      <x:c r="N56" s="76" t="n">
        <x:f>COUNTIFS('Token Ledger'!$I$7:$I$40,N$6,'Token Ledger'!$J$7:$J$40,"&lt;="&amp;$B56,'Token Ledger'!$K$7:$K$40,"&gt;"&amp;$B56)</x:f>
        <x:v>0</x:v>
      </x:c>
    </x:row>
    <x:row r="57">
      <x:c r="B57" s="65" t="n">
        <x:v>51</x:v>
      </x:c>
      <x:c r="C57" s="65" t="n">
        <x:f>COUNTIFS('Token Ledger'!$I$7:$I$40,C$6,'Token Ledger'!$J$7:$J$40,"&lt;="&amp;$B57,'Token Ledger'!$K$7:$K$40,"&gt;"&amp;$B57)</x:f>
        <x:v>1</x:v>
      </x:c>
      <x:c r="D57" s="65" t="n">
        <x:f>COUNTIFS('Token Ledger'!$I$7:$I$40,D$6,'Token Ledger'!$J$7:$J$40,"&lt;="&amp;$B57,'Token Ledger'!$K$7:$K$40,"&gt;"&amp;$B57)</x:f>
        <x:v>1</x:v>
      </x:c>
      <x:c r="E57" s="65" t="n">
        <x:f>COUNTIFS('Token Ledger'!$I$7:$I$40,E$6,'Token Ledger'!$J$7:$J$40,"&lt;="&amp;$B57,'Token Ledger'!$K$7:$K$40,"&gt;"&amp;$B57)</x:f>
        <x:v>0</x:v>
      </x:c>
      <x:c r="F57" s="65" t="n">
        <x:f>COUNTIFS('Token Ledger'!$I$7:$I$40,F$6,'Token Ledger'!$J$7:$J$40,"&lt;="&amp;$B57,'Token Ledger'!$K$7:$K$40,"&gt;"&amp;$B57)</x:f>
        <x:v>0</x:v>
      </x:c>
      <x:c r="G57" s="65" t="n">
        <x:f>COUNTIFS('Token Ledger'!$I$7:$I$40,G$6,'Token Ledger'!$J$7:$J$40,"&lt;="&amp;$B57,'Token Ledger'!$K$7:$K$40,"&gt;"&amp;$B57)</x:f>
        <x:v>1</x:v>
      </x:c>
      <x:c r="H57" s="65" t="n">
        <x:f>COUNTIFS('Token Ledger'!$I$7:$I$40,H$6,'Token Ledger'!$J$7:$J$40,"&lt;="&amp;$B57,'Token Ledger'!$K$7:$K$40,"&gt;"&amp;$B57)</x:f>
        <x:v>0</x:v>
      </x:c>
      <x:c r="I57" s="65" t="n">
        <x:f>COUNTIFS('Token Ledger'!$I$7:$I$40,I$6,'Token Ledger'!$J$7:$J$40,"&lt;="&amp;$B57,'Token Ledger'!$K$7:$K$40,"&gt;"&amp;$B57)</x:f>
        <x:v>1</x:v>
      </x:c>
      <x:c r="J57" s="65" t="n">
        <x:f>COUNTIFS('Token Ledger'!$I$7:$I$40,J$6,'Token Ledger'!$J$7:$J$40,"&lt;="&amp;$B57,'Token Ledger'!$K$7:$K$40,"&gt;"&amp;$B57)</x:f>
        <x:v>0</x:v>
      </x:c>
      <x:c r="K57" s="65" t="n">
        <x:f>COUNTIFS('Token Ledger'!$I$7:$I$40,K$6,'Token Ledger'!$J$7:$J$40,"&lt;="&amp;$B57,'Token Ledger'!$K$7:$K$40,"&gt;"&amp;$B57)</x:f>
        <x:v>0</x:v>
      </x:c>
      <x:c r="L57" s="65" t="n">
        <x:f>COUNTIFS('Token Ledger'!$I$7:$I$40,L$6,'Token Ledger'!$J$7:$J$40,"&lt;="&amp;$B57,'Token Ledger'!$K$7:$K$40,"&gt;"&amp;$B57)</x:f>
        <x:v>0</x:v>
      </x:c>
      <x:c r="M57" s="65" t="n">
        <x:f>COUNTIFS('Token Ledger'!$I$7:$I$40,M$6,'Token Ledger'!$J$7:$J$40,"&lt;="&amp;$B57,'Token Ledger'!$K$7:$K$40,"&gt;"&amp;$B57)</x:f>
        <x:v>1</x:v>
      </x:c>
      <x:c r="N57" s="76" t="n">
        <x:f>COUNTIFS('Token Ledger'!$I$7:$I$40,N$6,'Token Ledger'!$J$7:$J$40,"&lt;="&amp;$B57,'Token Ledger'!$K$7:$K$40,"&gt;"&amp;$B57)</x:f>
        <x:v>0</x:v>
      </x:c>
    </x:row>
    <x:row r="58">
      <x:c r="B58" s="65" t="n">
        <x:v>52</x:v>
      </x:c>
      <x:c r="C58" s="65" t="n">
        <x:f>COUNTIFS('Token Ledger'!$I$7:$I$40,C$6,'Token Ledger'!$J$7:$J$40,"&lt;="&amp;$B58,'Token Ledger'!$K$7:$K$40,"&gt;"&amp;$B58)</x:f>
        <x:v>1</x:v>
      </x:c>
      <x:c r="D58" s="65" t="n">
        <x:f>COUNTIFS('Token Ledger'!$I$7:$I$40,D$6,'Token Ledger'!$J$7:$J$40,"&lt;="&amp;$B58,'Token Ledger'!$K$7:$K$40,"&gt;"&amp;$B58)</x:f>
        <x:v>1</x:v>
      </x:c>
      <x:c r="E58" s="65" t="n">
        <x:f>COUNTIFS('Token Ledger'!$I$7:$I$40,E$6,'Token Ledger'!$J$7:$J$40,"&lt;="&amp;$B58,'Token Ledger'!$K$7:$K$40,"&gt;"&amp;$B58)</x:f>
        <x:v>0</x:v>
      </x:c>
      <x:c r="F58" s="65" t="n">
        <x:f>COUNTIFS('Token Ledger'!$I$7:$I$40,F$6,'Token Ledger'!$J$7:$J$40,"&lt;="&amp;$B58,'Token Ledger'!$K$7:$K$40,"&gt;"&amp;$B58)</x:f>
        <x:v>0</x:v>
      </x:c>
      <x:c r="G58" s="65" t="n">
        <x:f>COUNTIFS('Token Ledger'!$I$7:$I$40,G$6,'Token Ledger'!$J$7:$J$40,"&lt;="&amp;$B58,'Token Ledger'!$K$7:$K$40,"&gt;"&amp;$B58)</x:f>
        <x:v>1</x:v>
      </x:c>
      <x:c r="H58" s="65" t="n">
        <x:f>COUNTIFS('Token Ledger'!$I$7:$I$40,H$6,'Token Ledger'!$J$7:$J$40,"&lt;="&amp;$B58,'Token Ledger'!$K$7:$K$40,"&gt;"&amp;$B58)</x:f>
        <x:v>0</x:v>
      </x:c>
      <x:c r="I58" s="65" t="n">
        <x:f>COUNTIFS('Token Ledger'!$I$7:$I$40,I$6,'Token Ledger'!$J$7:$J$40,"&lt;="&amp;$B58,'Token Ledger'!$K$7:$K$40,"&gt;"&amp;$B58)</x:f>
        <x:v>1</x:v>
      </x:c>
      <x:c r="J58" s="65" t="n">
        <x:f>COUNTIFS('Token Ledger'!$I$7:$I$40,J$6,'Token Ledger'!$J$7:$J$40,"&lt;="&amp;$B58,'Token Ledger'!$K$7:$K$40,"&gt;"&amp;$B58)</x:f>
        <x:v>0</x:v>
      </x:c>
      <x:c r="K58" s="65" t="n">
        <x:f>COUNTIFS('Token Ledger'!$I$7:$I$40,K$6,'Token Ledger'!$J$7:$J$40,"&lt;="&amp;$B58,'Token Ledger'!$K$7:$K$40,"&gt;"&amp;$B58)</x:f>
        <x:v>0</x:v>
      </x:c>
      <x:c r="L58" s="65" t="n">
        <x:f>COUNTIFS('Token Ledger'!$I$7:$I$40,L$6,'Token Ledger'!$J$7:$J$40,"&lt;="&amp;$B58,'Token Ledger'!$K$7:$K$40,"&gt;"&amp;$B58)</x:f>
        <x:v>0</x:v>
      </x:c>
      <x:c r="M58" s="65" t="n">
        <x:f>COUNTIFS('Token Ledger'!$I$7:$I$40,M$6,'Token Ledger'!$J$7:$J$40,"&lt;="&amp;$B58,'Token Ledger'!$K$7:$K$40,"&gt;"&amp;$B58)</x:f>
        <x:v>1</x:v>
      </x:c>
      <x:c r="N58" s="76" t="n">
        <x:f>COUNTIFS('Token Ledger'!$I$7:$I$40,N$6,'Token Ledger'!$J$7:$J$40,"&lt;="&amp;$B58,'Token Ledger'!$K$7:$K$40,"&gt;"&amp;$B58)</x:f>
        <x:v>0</x:v>
      </x:c>
    </x:row>
    <x:row r="59">
      <x:c r="B59" s="65" t="n">
        <x:v>53</x:v>
      </x:c>
      <x:c r="C59" s="65" t="n">
        <x:f>COUNTIFS('Token Ledger'!$I$7:$I$40,C$6,'Token Ledger'!$J$7:$J$40,"&lt;="&amp;$B59,'Token Ledger'!$K$7:$K$40,"&gt;"&amp;$B59)</x:f>
        <x:v>1</x:v>
      </x:c>
      <x:c r="D59" s="65" t="n">
        <x:f>COUNTIFS('Token Ledger'!$I$7:$I$40,D$6,'Token Ledger'!$J$7:$J$40,"&lt;="&amp;$B59,'Token Ledger'!$K$7:$K$40,"&gt;"&amp;$B59)</x:f>
        <x:v>1</x:v>
      </x:c>
      <x:c r="E59" s="65" t="n">
        <x:f>COUNTIFS('Token Ledger'!$I$7:$I$40,E$6,'Token Ledger'!$J$7:$J$40,"&lt;="&amp;$B59,'Token Ledger'!$K$7:$K$40,"&gt;"&amp;$B59)</x:f>
        <x:v>0</x:v>
      </x:c>
      <x:c r="F59" s="65" t="n">
        <x:f>COUNTIFS('Token Ledger'!$I$7:$I$40,F$6,'Token Ledger'!$J$7:$J$40,"&lt;="&amp;$B59,'Token Ledger'!$K$7:$K$40,"&gt;"&amp;$B59)</x:f>
        <x:v>0</x:v>
      </x:c>
      <x:c r="G59" s="65" t="n">
        <x:f>COUNTIFS('Token Ledger'!$I$7:$I$40,G$6,'Token Ledger'!$J$7:$J$40,"&lt;="&amp;$B59,'Token Ledger'!$K$7:$K$40,"&gt;"&amp;$B59)</x:f>
        <x:v>1</x:v>
      </x:c>
      <x:c r="H59" s="65" t="n">
        <x:f>COUNTIFS('Token Ledger'!$I$7:$I$40,H$6,'Token Ledger'!$J$7:$J$40,"&lt;="&amp;$B59,'Token Ledger'!$K$7:$K$40,"&gt;"&amp;$B59)</x:f>
        <x:v>0</x:v>
      </x:c>
      <x:c r="I59" s="65" t="n">
        <x:f>COUNTIFS('Token Ledger'!$I$7:$I$40,I$6,'Token Ledger'!$J$7:$J$40,"&lt;="&amp;$B59,'Token Ledger'!$K$7:$K$40,"&gt;"&amp;$B59)</x:f>
        <x:v>1</x:v>
      </x:c>
      <x:c r="J59" s="65" t="n">
        <x:f>COUNTIFS('Token Ledger'!$I$7:$I$40,J$6,'Token Ledger'!$J$7:$J$40,"&lt;="&amp;$B59,'Token Ledger'!$K$7:$K$40,"&gt;"&amp;$B59)</x:f>
        <x:v>0</x:v>
      </x:c>
      <x:c r="K59" s="65" t="n">
        <x:f>COUNTIFS('Token Ledger'!$I$7:$I$40,K$6,'Token Ledger'!$J$7:$J$40,"&lt;="&amp;$B59,'Token Ledger'!$K$7:$K$40,"&gt;"&amp;$B59)</x:f>
        <x:v>0</x:v>
      </x:c>
      <x:c r="L59" s="65" t="n">
        <x:f>COUNTIFS('Token Ledger'!$I$7:$I$40,L$6,'Token Ledger'!$J$7:$J$40,"&lt;="&amp;$B59,'Token Ledger'!$K$7:$K$40,"&gt;"&amp;$B59)</x:f>
        <x:v>0</x:v>
      </x:c>
      <x:c r="M59" s="65" t="n">
        <x:f>COUNTIFS('Token Ledger'!$I$7:$I$40,M$6,'Token Ledger'!$J$7:$J$40,"&lt;="&amp;$B59,'Token Ledger'!$K$7:$K$40,"&gt;"&amp;$B59)</x:f>
        <x:v>1</x:v>
      </x:c>
      <x:c r="N59" s="76" t="n">
        <x:f>COUNTIFS('Token Ledger'!$I$7:$I$40,N$6,'Token Ledger'!$J$7:$J$40,"&lt;="&amp;$B59,'Token Ledger'!$K$7:$K$40,"&gt;"&amp;$B59)</x:f>
        <x:v>0</x:v>
      </x:c>
    </x:row>
    <x:row r="60">
      <x:c r="B60" s="65" t="n">
        <x:v>54</x:v>
      </x:c>
      <x:c r="C60" s="65" t="n">
        <x:f>COUNTIFS('Token Ledger'!$I$7:$I$40,C$6,'Token Ledger'!$J$7:$J$40,"&lt;="&amp;$B60,'Token Ledger'!$K$7:$K$40,"&gt;"&amp;$B60)</x:f>
        <x:v>1</x:v>
      </x:c>
      <x:c r="D60" s="65" t="n">
        <x:f>COUNTIFS('Token Ledger'!$I$7:$I$40,D$6,'Token Ledger'!$J$7:$J$40,"&lt;="&amp;$B60,'Token Ledger'!$K$7:$K$40,"&gt;"&amp;$B60)</x:f>
        <x:v>1</x:v>
      </x:c>
      <x:c r="E60" s="65" t="n">
        <x:f>COUNTIFS('Token Ledger'!$I$7:$I$40,E$6,'Token Ledger'!$J$7:$J$40,"&lt;="&amp;$B60,'Token Ledger'!$K$7:$K$40,"&gt;"&amp;$B60)</x:f>
        <x:v>0</x:v>
      </x:c>
      <x:c r="F60" s="65" t="n">
        <x:f>COUNTIFS('Token Ledger'!$I$7:$I$40,F$6,'Token Ledger'!$J$7:$J$40,"&lt;="&amp;$B60,'Token Ledger'!$K$7:$K$40,"&gt;"&amp;$B60)</x:f>
        <x:v>0</x:v>
      </x:c>
      <x:c r="G60" s="65" t="n">
        <x:f>COUNTIFS('Token Ledger'!$I$7:$I$40,G$6,'Token Ledger'!$J$7:$J$40,"&lt;="&amp;$B60,'Token Ledger'!$K$7:$K$40,"&gt;"&amp;$B60)</x:f>
        <x:v>1</x:v>
      </x:c>
      <x:c r="H60" s="65" t="n">
        <x:f>COUNTIFS('Token Ledger'!$I$7:$I$40,H$6,'Token Ledger'!$J$7:$J$40,"&lt;="&amp;$B60,'Token Ledger'!$K$7:$K$40,"&gt;"&amp;$B60)</x:f>
        <x:v>0</x:v>
      </x:c>
      <x:c r="I60" s="65" t="n">
        <x:f>COUNTIFS('Token Ledger'!$I$7:$I$40,I$6,'Token Ledger'!$J$7:$J$40,"&lt;="&amp;$B60,'Token Ledger'!$K$7:$K$40,"&gt;"&amp;$B60)</x:f>
        <x:v>1</x:v>
      </x:c>
      <x:c r="J60" s="65" t="n">
        <x:f>COUNTIFS('Token Ledger'!$I$7:$I$40,J$6,'Token Ledger'!$J$7:$J$40,"&lt;="&amp;$B60,'Token Ledger'!$K$7:$K$40,"&gt;"&amp;$B60)</x:f>
        <x:v>0</x:v>
      </x:c>
      <x:c r="K60" s="65" t="n">
        <x:f>COUNTIFS('Token Ledger'!$I$7:$I$40,K$6,'Token Ledger'!$J$7:$J$40,"&lt;="&amp;$B60,'Token Ledger'!$K$7:$K$40,"&gt;"&amp;$B60)</x:f>
        <x:v>0</x:v>
      </x:c>
      <x:c r="L60" s="65" t="n">
        <x:f>COUNTIFS('Token Ledger'!$I$7:$I$40,L$6,'Token Ledger'!$J$7:$J$40,"&lt;="&amp;$B60,'Token Ledger'!$K$7:$K$40,"&gt;"&amp;$B60)</x:f>
        <x:v>0</x:v>
      </x:c>
      <x:c r="M60" s="65" t="n">
        <x:f>COUNTIFS('Token Ledger'!$I$7:$I$40,M$6,'Token Ledger'!$J$7:$J$40,"&lt;="&amp;$B60,'Token Ledger'!$K$7:$K$40,"&gt;"&amp;$B60)</x:f>
        <x:v>1</x:v>
      </x:c>
      <x:c r="N60" s="76" t="n">
        <x:f>COUNTIFS('Token Ledger'!$I$7:$I$40,N$6,'Token Ledger'!$J$7:$J$40,"&lt;="&amp;$B60,'Token Ledger'!$K$7:$K$40,"&gt;"&amp;$B60)</x:f>
        <x:v>0</x:v>
      </x:c>
    </x:row>
    <x:row r="61">
      <x:c r="B61" s="65" t="n">
        <x:v>55</x:v>
      </x:c>
      <x:c r="C61" s="65" t="n">
        <x:f>COUNTIFS('Token Ledger'!$I$7:$I$40,C$6,'Token Ledger'!$J$7:$J$40,"&lt;="&amp;$B61,'Token Ledger'!$K$7:$K$40,"&gt;"&amp;$B61)</x:f>
        <x:v>1</x:v>
      </x:c>
      <x:c r="D61" s="65" t="n">
        <x:f>COUNTIFS('Token Ledger'!$I$7:$I$40,D$6,'Token Ledger'!$J$7:$J$40,"&lt;="&amp;$B61,'Token Ledger'!$K$7:$K$40,"&gt;"&amp;$B61)</x:f>
        <x:v>1</x:v>
      </x:c>
      <x:c r="E61" s="65" t="n">
        <x:f>COUNTIFS('Token Ledger'!$I$7:$I$40,E$6,'Token Ledger'!$J$7:$J$40,"&lt;="&amp;$B61,'Token Ledger'!$K$7:$K$40,"&gt;"&amp;$B61)</x:f>
        <x:v>0</x:v>
      </x:c>
      <x:c r="F61" s="65" t="n">
        <x:f>COUNTIFS('Token Ledger'!$I$7:$I$40,F$6,'Token Ledger'!$J$7:$J$40,"&lt;="&amp;$B61,'Token Ledger'!$K$7:$K$40,"&gt;"&amp;$B61)</x:f>
        <x:v>0</x:v>
      </x:c>
      <x:c r="G61" s="65" t="n">
        <x:f>COUNTIFS('Token Ledger'!$I$7:$I$40,G$6,'Token Ledger'!$J$7:$J$40,"&lt;="&amp;$B61,'Token Ledger'!$K$7:$K$40,"&gt;"&amp;$B61)</x:f>
        <x:v>1</x:v>
      </x:c>
      <x:c r="H61" s="65" t="n">
        <x:f>COUNTIFS('Token Ledger'!$I$7:$I$40,H$6,'Token Ledger'!$J$7:$J$40,"&lt;="&amp;$B61,'Token Ledger'!$K$7:$K$40,"&gt;"&amp;$B61)</x:f>
        <x:v>0</x:v>
      </x:c>
      <x:c r="I61" s="65" t="n">
        <x:f>COUNTIFS('Token Ledger'!$I$7:$I$40,I$6,'Token Ledger'!$J$7:$J$40,"&lt;="&amp;$B61,'Token Ledger'!$K$7:$K$40,"&gt;"&amp;$B61)</x:f>
        <x:v>1</x:v>
      </x:c>
      <x:c r="J61" s="65" t="n">
        <x:f>COUNTIFS('Token Ledger'!$I$7:$I$40,J$6,'Token Ledger'!$J$7:$J$40,"&lt;="&amp;$B61,'Token Ledger'!$K$7:$K$40,"&gt;"&amp;$B61)</x:f>
        <x:v>0</x:v>
      </x:c>
      <x:c r="K61" s="65" t="n">
        <x:f>COUNTIFS('Token Ledger'!$I$7:$I$40,K$6,'Token Ledger'!$J$7:$J$40,"&lt;="&amp;$B61,'Token Ledger'!$K$7:$K$40,"&gt;"&amp;$B61)</x:f>
        <x:v>0</x:v>
      </x:c>
      <x:c r="L61" s="65" t="n">
        <x:f>COUNTIFS('Token Ledger'!$I$7:$I$40,L$6,'Token Ledger'!$J$7:$J$40,"&lt;="&amp;$B61,'Token Ledger'!$K$7:$K$40,"&gt;"&amp;$B61)</x:f>
        <x:v>0</x:v>
      </x:c>
      <x:c r="M61" s="65" t="n">
        <x:f>COUNTIFS('Token Ledger'!$I$7:$I$40,M$6,'Token Ledger'!$J$7:$J$40,"&lt;="&amp;$B61,'Token Ledger'!$K$7:$K$40,"&gt;"&amp;$B61)</x:f>
        <x:v>1</x:v>
      </x:c>
      <x:c r="N61" s="76" t="n">
        <x:f>COUNTIFS('Token Ledger'!$I$7:$I$40,N$6,'Token Ledger'!$J$7:$J$40,"&lt;="&amp;$B61,'Token Ledger'!$K$7:$K$40,"&gt;"&amp;$B61)</x:f>
        <x:v>0</x:v>
      </x:c>
    </x:row>
    <x:row r="62">
      <x:c r="B62" s="65" t="n">
        <x:v>56</x:v>
      </x:c>
      <x:c r="C62" s="65" t="n">
        <x:f>COUNTIFS('Token Ledger'!$I$7:$I$40,C$6,'Token Ledger'!$J$7:$J$40,"&lt;="&amp;$B62,'Token Ledger'!$K$7:$K$40,"&gt;"&amp;$B62)</x:f>
        <x:v>1</x:v>
      </x:c>
      <x:c r="D62" s="65" t="n">
        <x:f>COUNTIFS('Token Ledger'!$I$7:$I$40,D$6,'Token Ledger'!$J$7:$J$40,"&lt;="&amp;$B62,'Token Ledger'!$K$7:$K$40,"&gt;"&amp;$B62)</x:f>
        <x:v>1</x:v>
      </x:c>
      <x:c r="E62" s="65" t="n">
        <x:f>COUNTIFS('Token Ledger'!$I$7:$I$40,E$6,'Token Ledger'!$J$7:$J$40,"&lt;="&amp;$B62,'Token Ledger'!$K$7:$K$40,"&gt;"&amp;$B62)</x:f>
        <x:v>0</x:v>
      </x:c>
      <x:c r="F62" s="65" t="n">
        <x:f>COUNTIFS('Token Ledger'!$I$7:$I$40,F$6,'Token Ledger'!$J$7:$J$40,"&lt;="&amp;$B62,'Token Ledger'!$K$7:$K$40,"&gt;"&amp;$B62)</x:f>
        <x:v>0</x:v>
      </x:c>
      <x:c r="G62" s="65" t="n">
        <x:f>COUNTIFS('Token Ledger'!$I$7:$I$40,G$6,'Token Ledger'!$J$7:$J$40,"&lt;="&amp;$B62,'Token Ledger'!$K$7:$K$40,"&gt;"&amp;$B62)</x:f>
        <x:v>1</x:v>
      </x:c>
      <x:c r="H62" s="65" t="n">
        <x:f>COUNTIFS('Token Ledger'!$I$7:$I$40,H$6,'Token Ledger'!$J$7:$J$40,"&lt;="&amp;$B62,'Token Ledger'!$K$7:$K$40,"&gt;"&amp;$B62)</x:f>
        <x:v>0</x:v>
      </x:c>
      <x:c r="I62" s="65" t="n">
        <x:f>COUNTIFS('Token Ledger'!$I$7:$I$40,I$6,'Token Ledger'!$J$7:$J$40,"&lt;="&amp;$B62,'Token Ledger'!$K$7:$K$40,"&gt;"&amp;$B62)</x:f>
        <x:v>0</x:v>
      </x:c>
      <x:c r="J62" s="65" t="n">
        <x:f>COUNTIFS('Token Ledger'!$I$7:$I$40,J$6,'Token Ledger'!$J$7:$J$40,"&lt;="&amp;$B62,'Token Ledger'!$K$7:$K$40,"&gt;"&amp;$B62)</x:f>
        <x:v>1</x:v>
      </x:c>
      <x:c r="K62" s="65" t="n">
        <x:f>COUNTIFS('Token Ledger'!$I$7:$I$40,K$6,'Token Ledger'!$J$7:$J$40,"&lt;="&amp;$B62,'Token Ledger'!$K$7:$K$40,"&gt;"&amp;$B62)</x:f>
        <x:v>0</x:v>
      </x:c>
      <x:c r="L62" s="65" t="n">
        <x:f>COUNTIFS('Token Ledger'!$I$7:$I$40,L$6,'Token Ledger'!$J$7:$J$40,"&lt;="&amp;$B62,'Token Ledger'!$K$7:$K$40,"&gt;"&amp;$B62)</x:f>
        <x:v>0</x:v>
      </x:c>
      <x:c r="M62" s="65" t="n">
        <x:f>COUNTIFS('Token Ledger'!$I$7:$I$40,M$6,'Token Ledger'!$J$7:$J$40,"&lt;="&amp;$B62,'Token Ledger'!$K$7:$K$40,"&gt;"&amp;$B62)</x:f>
        <x:v>0</x:v>
      </x:c>
      <x:c r="N62" s="76" t="n">
        <x:f>COUNTIFS('Token Ledger'!$I$7:$I$40,N$6,'Token Ledger'!$J$7:$J$40,"&lt;="&amp;$B62,'Token Ledger'!$K$7:$K$40,"&gt;"&amp;$B62)</x:f>
        <x:v>1</x:v>
      </x:c>
    </x:row>
    <x:row r="63">
      <x:c r="B63" s="65" t="n">
        <x:v>57</x:v>
      </x:c>
      <x:c r="C63" s="65" t="n">
        <x:f>COUNTIFS('Token Ledger'!$I$7:$I$40,C$6,'Token Ledger'!$J$7:$J$40,"&lt;="&amp;$B63,'Token Ledger'!$K$7:$K$40,"&gt;"&amp;$B63)</x:f>
        <x:v>1</x:v>
      </x:c>
      <x:c r="D63" s="65" t="n">
        <x:f>COUNTIFS('Token Ledger'!$I$7:$I$40,D$6,'Token Ledger'!$J$7:$J$40,"&lt;="&amp;$B63,'Token Ledger'!$K$7:$K$40,"&gt;"&amp;$B63)</x:f>
        <x:v>1</x:v>
      </x:c>
      <x:c r="E63" s="65" t="n">
        <x:f>COUNTIFS('Token Ledger'!$I$7:$I$40,E$6,'Token Ledger'!$J$7:$J$40,"&lt;="&amp;$B63,'Token Ledger'!$K$7:$K$40,"&gt;"&amp;$B63)</x:f>
        <x:v>0</x:v>
      </x:c>
      <x:c r="F63" s="65" t="n">
        <x:f>COUNTIFS('Token Ledger'!$I$7:$I$40,F$6,'Token Ledger'!$J$7:$J$40,"&lt;="&amp;$B63,'Token Ledger'!$K$7:$K$40,"&gt;"&amp;$B63)</x:f>
        <x:v>0</x:v>
      </x:c>
      <x:c r="G63" s="65" t="n">
        <x:f>COUNTIFS('Token Ledger'!$I$7:$I$40,G$6,'Token Ledger'!$J$7:$J$40,"&lt;="&amp;$B63,'Token Ledger'!$K$7:$K$40,"&gt;"&amp;$B63)</x:f>
        <x:v>1</x:v>
      </x:c>
      <x:c r="H63" s="65" t="n">
        <x:f>COUNTIFS('Token Ledger'!$I$7:$I$40,H$6,'Token Ledger'!$J$7:$J$40,"&lt;="&amp;$B63,'Token Ledger'!$K$7:$K$40,"&gt;"&amp;$B63)</x:f>
        <x:v>0</x:v>
      </x:c>
      <x:c r="I63" s="65" t="n">
        <x:f>COUNTIFS('Token Ledger'!$I$7:$I$40,I$6,'Token Ledger'!$J$7:$J$40,"&lt;="&amp;$B63,'Token Ledger'!$K$7:$K$40,"&gt;"&amp;$B63)</x:f>
        <x:v>0</x:v>
      </x:c>
      <x:c r="J63" s="65" t="n">
        <x:f>COUNTIFS('Token Ledger'!$I$7:$I$40,J$6,'Token Ledger'!$J$7:$J$40,"&lt;="&amp;$B63,'Token Ledger'!$K$7:$K$40,"&gt;"&amp;$B63)</x:f>
        <x:v>1</x:v>
      </x:c>
      <x:c r="K63" s="65" t="n">
        <x:f>COUNTIFS('Token Ledger'!$I$7:$I$40,K$6,'Token Ledger'!$J$7:$J$40,"&lt;="&amp;$B63,'Token Ledger'!$K$7:$K$40,"&gt;"&amp;$B63)</x:f>
        <x:v>0</x:v>
      </x:c>
      <x:c r="L63" s="65" t="n">
        <x:f>COUNTIFS('Token Ledger'!$I$7:$I$40,L$6,'Token Ledger'!$J$7:$J$40,"&lt;="&amp;$B63,'Token Ledger'!$K$7:$K$40,"&gt;"&amp;$B63)</x:f>
        <x:v>0</x:v>
      </x:c>
      <x:c r="M63" s="65" t="n">
        <x:f>COUNTIFS('Token Ledger'!$I$7:$I$40,M$6,'Token Ledger'!$J$7:$J$40,"&lt;="&amp;$B63,'Token Ledger'!$K$7:$K$40,"&gt;"&amp;$B63)</x:f>
        <x:v>0</x:v>
      </x:c>
      <x:c r="N63" s="76" t="n">
        <x:f>COUNTIFS('Token Ledger'!$I$7:$I$40,N$6,'Token Ledger'!$J$7:$J$40,"&lt;="&amp;$B63,'Token Ledger'!$K$7:$K$40,"&gt;"&amp;$B63)</x:f>
        <x:v>1</x:v>
      </x:c>
    </x:row>
    <x:row r="64">
      <x:c r="B64" s="65" t="n">
        <x:v>58</x:v>
      </x:c>
      <x:c r="C64" s="65" t="n">
        <x:f>COUNTIFS('Token Ledger'!$I$7:$I$40,C$6,'Token Ledger'!$J$7:$J$40,"&lt;="&amp;$B64,'Token Ledger'!$K$7:$K$40,"&gt;"&amp;$B64)</x:f>
        <x:v>0</x:v>
      </x:c>
      <x:c r="D64" s="65" t="n">
        <x:f>COUNTIFS('Token Ledger'!$I$7:$I$40,D$6,'Token Ledger'!$J$7:$J$40,"&lt;="&amp;$B64,'Token Ledger'!$K$7:$K$40,"&gt;"&amp;$B64)</x:f>
        <x:v>1</x:v>
      </x:c>
      <x:c r="E64" s="65" t="n">
        <x:f>COUNTIFS('Token Ledger'!$I$7:$I$40,E$6,'Token Ledger'!$J$7:$J$40,"&lt;="&amp;$B64,'Token Ledger'!$K$7:$K$40,"&gt;"&amp;$B64)</x:f>
        <x:v>0</x:v>
      </x:c>
      <x:c r="F64" s="65" t="n">
        <x:f>COUNTIFS('Token Ledger'!$I$7:$I$40,F$6,'Token Ledger'!$J$7:$J$40,"&lt;="&amp;$B64,'Token Ledger'!$K$7:$K$40,"&gt;"&amp;$B64)</x:f>
        <x:v>0</x:v>
      </x:c>
      <x:c r="G64" s="65" t="n">
        <x:f>COUNTIFS('Token Ledger'!$I$7:$I$40,G$6,'Token Ledger'!$J$7:$J$40,"&lt;="&amp;$B64,'Token Ledger'!$K$7:$K$40,"&gt;"&amp;$B64)</x:f>
        <x:v>1</x:v>
      </x:c>
      <x:c r="H64" s="65" t="n">
        <x:f>COUNTIFS('Token Ledger'!$I$7:$I$40,H$6,'Token Ledger'!$J$7:$J$40,"&lt;="&amp;$B64,'Token Ledger'!$K$7:$K$40,"&gt;"&amp;$B64)</x:f>
        <x:v>0</x:v>
      </x:c>
      <x:c r="I64" s="65" t="n">
        <x:f>COUNTIFS('Token Ledger'!$I$7:$I$40,I$6,'Token Ledger'!$J$7:$J$40,"&lt;="&amp;$B64,'Token Ledger'!$K$7:$K$40,"&gt;"&amp;$B64)</x:f>
        <x:v>0</x:v>
      </x:c>
      <x:c r="J64" s="65" t="n">
        <x:f>COUNTIFS('Token Ledger'!$I$7:$I$40,J$6,'Token Ledger'!$J$7:$J$40,"&lt;="&amp;$B64,'Token Ledger'!$K$7:$K$40,"&gt;"&amp;$B64)</x:f>
        <x:v>1</x:v>
      </x:c>
      <x:c r="K64" s="65" t="n">
        <x:f>COUNTIFS('Token Ledger'!$I$7:$I$40,K$6,'Token Ledger'!$J$7:$J$40,"&lt;="&amp;$B64,'Token Ledger'!$K$7:$K$40,"&gt;"&amp;$B64)</x:f>
        <x:v>0</x:v>
      </x:c>
      <x:c r="L64" s="65" t="n">
        <x:f>COUNTIFS('Token Ledger'!$I$7:$I$40,L$6,'Token Ledger'!$J$7:$J$40,"&lt;="&amp;$B64,'Token Ledger'!$K$7:$K$40,"&gt;"&amp;$B64)</x:f>
        <x:v>0</x:v>
      </x:c>
      <x:c r="M64" s="65" t="n">
        <x:f>COUNTIFS('Token Ledger'!$I$7:$I$40,M$6,'Token Ledger'!$J$7:$J$40,"&lt;="&amp;$B64,'Token Ledger'!$K$7:$K$40,"&gt;"&amp;$B64)</x:f>
        <x:v>0</x:v>
      </x:c>
      <x:c r="N64" s="76" t="n">
        <x:f>COUNTIFS('Token Ledger'!$I$7:$I$40,N$6,'Token Ledger'!$J$7:$J$40,"&lt;="&amp;$B64,'Token Ledger'!$K$7:$K$40,"&gt;"&amp;$B64)</x:f>
        <x:v>1</x:v>
      </x:c>
    </x:row>
    <x:row r="65">
      <x:c r="B65" s="65" t="n">
        <x:v>59</x:v>
      </x:c>
      <x:c r="C65" s="65" t="n">
        <x:f>COUNTIFS('Token Ledger'!$I$7:$I$40,C$6,'Token Ledger'!$J$7:$J$40,"&lt;="&amp;$B65,'Token Ledger'!$K$7:$K$40,"&gt;"&amp;$B65)</x:f>
        <x:v>0</x:v>
      </x:c>
      <x:c r="D65" s="65" t="n">
        <x:f>COUNTIFS('Token Ledger'!$I$7:$I$40,D$6,'Token Ledger'!$J$7:$J$40,"&lt;="&amp;$B65,'Token Ledger'!$K$7:$K$40,"&gt;"&amp;$B65)</x:f>
        <x:v>0</x:v>
      </x:c>
      <x:c r="E65" s="65" t="n">
        <x:f>COUNTIFS('Token Ledger'!$I$7:$I$40,E$6,'Token Ledger'!$J$7:$J$40,"&lt;="&amp;$B65,'Token Ledger'!$K$7:$K$40,"&gt;"&amp;$B65)</x:f>
        <x:v>0</x:v>
      </x:c>
      <x:c r="F65" s="65" t="n">
        <x:f>COUNTIFS('Token Ledger'!$I$7:$I$40,F$6,'Token Ledger'!$J$7:$J$40,"&lt;="&amp;$B65,'Token Ledger'!$K$7:$K$40,"&gt;"&amp;$B65)</x:f>
        <x:v>0</x:v>
      </x:c>
      <x:c r="G65" s="65" t="n">
        <x:f>COUNTIFS('Token Ledger'!$I$7:$I$40,G$6,'Token Ledger'!$J$7:$J$40,"&lt;="&amp;$B65,'Token Ledger'!$K$7:$K$40,"&gt;"&amp;$B65)</x:f>
        <x:v>0</x:v>
      </x:c>
      <x:c r="H65" s="65" t="n">
        <x:f>COUNTIFS('Token Ledger'!$I$7:$I$40,H$6,'Token Ledger'!$J$7:$J$40,"&lt;="&amp;$B65,'Token Ledger'!$K$7:$K$40,"&gt;"&amp;$B65)</x:f>
        <x:v>0</x:v>
      </x:c>
      <x:c r="I65" s="65" t="n">
        <x:f>COUNTIFS('Token Ledger'!$I$7:$I$40,I$6,'Token Ledger'!$J$7:$J$40,"&lt;="&amp;$B65,'Token Ledger'!$K$7:$K$40,"&gt;"&amp;$B65)</x:f>
        <x:v>0</x:v>
      </x:c>
      <x:c r="J65" s="65" t="n">
        <x:f>COUNTIFS('Token Ledger'!$I$7:$I$40,J$6,'Token Ledger'!$J$7:$J$40,"&lt;="&amp;$B65,'Token Ledger'!$K$7:$K$40,"&gt;"&amp;$B65)</x:f>
        <x:v>1</x:v>
      </x:c>
      <x:c r="K65" s="65" t="n">
        <x:f>COUNTIFS('Token Ledger'!$I$7:$I$40,K$6,'Token Ledger'!$J$7:$J$40,"&lt;="&amp;$B65,'Token Ledger'!$K$7:$K$40,"&gt;"&amp;$B65)</x:f>
        <x:v>0</x:v>
      </x:c>
      <x:c r="L65" s="65" t="n">
        <x:f>COUNTIFS('Token Ledger'!$I$7:$I$40,L$6,'Token Ledger'!$J$7:$J$40,"&lt;="&amp;$B65,'Token Ledger'!$K$7:$K$40,"&gt;"&amp;$B65)</x:f>
        <x:v>0</x:v>
      </x:c>
      <x:c r="M65" s="65" t="n">
        <x:f>COUNTIFS('Token Ledger'!$I$7:$I$40,M$6,'Token Ledger'!$J$7:$J$40,"&lt;="&amp;$B65,'Token Ledger'!$K$7:$K$40,"&gt;"&amp;$B65)</x:f>
        <x:v>0</x:v>
      </x:c>
      <x:c r="N65" s="76" t="n">
        <x:f>COUNTIFS('Token Ledger'!$I$7:$I$40,N$6,'Token Ledger'!$J$7:$J$40,"&lt;="&amp;$B65,'Token Ledger'!$K$7:$K$40,"&gt;"&amp;$B65)</x:f>
        <x:v>1</x:v>
      </x:c>
    </x:row>
    <x:row r="66">
      <x:c r="B66" s="65" t="n">
        <x:v>60</x:v>
      </x:c>
      <x:c r="C66" s="65" t="n">
        <x:f>COUNTIFS('Token Ledger'!$I$7:$I$40,C$6,'Token Ledger'!$J$7:$J$40,"&lt;="&amp;$B66,'Token Ledger'!$K$7:$K$40,"&gt;"&amp;$B66)</x:f>
        <x:v>0</x:v>
      </x:c>
      <x:c r="D66" s="65" t="n">
        <x:f>COUNTIFS('Token Ledger'!$I$7:$I$40,D$6,'Token Ledger'!$J$7:$J$40,"&lt;="&amp;$B66,'Token Ledger'!$K$7:$K$40,"&gt;"&amp;$B66)</x:f>
        <x:v>0</x:v>
      </x:c>
      <x:c r="E66" s="65" t="n">
        <x:f>COUNTIFS('Token Ledger'!$I$7:$I$40,E$6,'Token Ledger'!$J$7:$J$40,"&lt;="&amp;$B66,'Token Ledger'!$K$7:$K$40,"&gt;"&amp;$B66)</x:f>
        <x:v>0</x:v>
      </x:c>
      <x:c r="F66" s="65" t="n">
        <x:f>COUNTIFS('Token Ledger'!$I$7:$I$40,F$6,'Token Ledger'!$J$7:$J$40,"&lt;="&amp;$B66,'Token Ledger'!$K$7:$K$40,"&gt;"&amp;$B66)</x:f>
        <x:v>0</x:v>
      </x:c>
      <x:c r="G66" s="65" t="n">
        <x:f>COUNTIFS('Token Ledger'!$I$7:$I$40,G$6,'Token Ledger'!$J$7:$J$40,"&lt;="&amp;$B66,'Token Ledger'!$K$7:$K$40,"&gt;"&amp;$B66)</x:f>
        <x:v>0</x:v>
      </x:c>
      <x:c r="H66" s="65" t="n">
        <x:f>COUNTIFS('Token Ledger'!$I$7:$I$40,H$6,'Token Ledger'!$J$7:$J$40,"&lt;="&amp;$B66,'Token Ledger'!$K$7:$K$40,"&gt;"&amp;$B66)</x:f>
        <x:v>1</x:v>
      </x:c>
      <x:c r="I66" s="65" t="n">
        <x:f>COUNTIFS('Token Ledger'!$I$7:$I$40,I$6,'Token Ledger'!$J$7:$J$40,"&lt;="&amp;$B66,'Token Ledger'!$K$7:$K$40,"&gt;"&amp;$B66)</x:f>
        <x:v>0</x:v>
      </x:c>
      <x:c r="J66" s="65" t="n">
        <x:f>COUNTIFS('Token Ledger'!$I$7:$I$40,J$6,'Token Ledger'!$J$7:$J$40,"&lt;="&amp;$B66,'Token Ledger'!$K$7:$K$40,"&gt;"&amp;$B66)</x:f>
        <x:v>1</x:v>
      </x:c>
      <x:c r="K66" s="65" t="n">
        <x:f>COUNTIFS('Token Ledger'!$I$7:$I$40,K$6,'Token Ledger'!$J$7:$J$40,"&lt;="&amp;$B66,'Token Ledger'!$K$7:$K$40,"&gt;"&amp;$B66)</x:f>
        <x:v>0</x:v>
      </x:c>
      <x:c r="L66" s="65" t="n">
        <x:f>COUNTIFS('Token Ledger'!$I$7:$I$40,L$6,'Token Ledger'!$J$7:$J$40,"&lt;="&amp;$B66,'Token Ledger'!$K$7:$K$40,"&gt;"&amp;$B66)</x:f>
        <x:v>0</x:v>
      </x:c>
      <x:c r="M66" s="65" t="n">
        <x:f>COUNTIFS('Token Ledger'!$I$7:$I$40,M$6,'Token Ledger'!$J$7:$J$40,"&lt;="&amp;$B66,'Token Ledger'!$K$7:$K$40,"&gt;"&amp;$B66)</x:f>
        <x:v>0</x:v>
      </x:c>
      <x:c r="N66" s="76" t="n">
        <x:f>COUNTIFS('Token Ledger'!$I$7:$I$40,N$6,'Token Ledger'!$J$7:$J$40,"&lt;="&amp;$B66,'Token Ledger'!$K$7:$K$40,"&gt;"&amp;$B66)</x:f>
        <x:v>1</x:v>
      </x:c>
    </x:row>
    <x:row r="67">
      <x:c r="B67" s="65" t="n">
        <x:v>61</x:v>
      </x:c>
      <x:c r="C67" s="65" t="n">
        <x:f>COUNTIFS('Token Ledger'!$I$7:$I$40,C$6,'Token Ledger'!$J$7:$J$40,"&lt;="&amp;$B67,'Token Ledger'!$K$7:$K$40,"&gt;"&amp;$B67)</x:f>
        <x:v>0</x:v>
      </x:c>
      <x:c r="D67" s="65" t="n">
        <x:f>COUNTIFS('Token Ledger'!$I$7:$I$40,D$6,'Token Ledger'!$J$7:$J$40,"&lt;="&amp;$B67,'Token Ledger'!$K$7:$K$40,"&gt;"&amp;$B67)</x:f>
        <x:v>0</x:v>
      </x:c>
      <x:c r="E67" s="65" t="n">
        <x:f>COUNTIFS('Token Ledger'!$I$7:$I$40,E$6,'Token Ledger'!$J$7:$J$40,"&lt;="&amp;$B67,'Token Ledger'!$K$7:$K$40,"&gt;"&amp;$B67)</x:f>
        <x:v>0</x:v>
      </x:c>
      <x:c r="F67" s="65" t="n">
        <x:f>COUNTIFS('Token Ledger'!$I$7:$I$40,F$6,'Token Ledger'!$J$7:$J$40,"&lt;="&amp;$B67,'Token Ledger'!$K$7:$K$40,"&gt;"&amp;$B67)</x:f>
        <x:v>0</x:v>
      </x:c>
      <x:c r="G67" s="65" t="n">
        <x:f>COUNTIFS('Token Ledger'!$I$7:$I$40,G$6,'Token Ledger'!$J$7:$J$40,"&lt;="&amp;$B67,'Token Ledger'!$K$7:$K$40,"&gt;"&amp;$B67)</x:f>
        <x:v>0</x:v>
      </x:c>
      <x:c r="H67" s="65" t="n">
        <x:f>COUNTIFS('Token Ledger'!$I$7:$I$40,H$6,'Token Ledger'!$J$7:$J$40,"&lt;="&amp;$B67,'Token Ledger'!$K$7:$K$40,"&gt;"&amp;$B67)</x:f>
        <x:v>1</x:v>
      </x:c>
      <x:c r="I67" s="65" t="n">
        <x:f>COUNTIFS('Token Ledger'!$I$7:$I$40,I$6,'Token Ledger'!$J$7:$J$40,"&lt;="&amp;$B67,'Token Ledger'!$K$7:$K$40,"&gt;"&amp;$B67)</x:f>
        <x:v>0</x:v>
      </x:c>
      <x:c r="J67" s="65" t="n">
        <x:f>COUNTIFS('Token Ledger'!$I$7:$I$40,J$6,'Token Ledger'!$J$7:$J$40,"&lt;="&amp;$B67,'Token Ledger'!$K$7:$K$40,"&gt;"&amp;$B67)</x:f>
        <x:v>1</x:v>
      </x:c>
      <x:c r="K67" s="65" t="n">
        <x:f>COUNTIFS('Token Ledger'!$I$7:$I$40,K$6,'Token Ledger'!$J$7:$J$40,"&lt;="&amp;$B67,'Token Ledger'!$K$7:$K$40,"&gt;"&amp;$B67)</x:f>
        <x:v>0</x:v>
      </x:c>
      <x:c r="L67" s="65" t="n">
        <x:f>COUNTIFS('Token Ledger'!$I$7:$I$40,L$6,'Token Ledger'!$J$7:$J$40,"&lt;="&amp;$B67,'Token Ledger'!$K$7:$K$40,"&gt;"&amp;$B67)</x:f>
        <x:v>0</x:v>
      </x:c>
      <x:c r="M67" s="65" t="n">
        <x:f>COUNTIFS('Token Ledger'!$I$7:$I$40,M$6,'Token Ledger'!$J$7:$J$40,"&lt;="&amp;$B67,'Token Ledger'!$K$7:$K$40,"&gt;"&amp;$B67)</x:f>
        <x:v>0</x:v>
      </x:c>
      <x:c r="N67" s="76" t="n">
        <x:f>COUNTIFS('Token Ledger'!$I$7:$I$40,N$6,'Token Ledger'!$J$7:$J$40,"&lt;="&amp;$B67,'Token Ledger'!$K$7:$K$40,"&gt;"&amp;$B67)</x:f>
        <x:v>1</x:v>
      </x:c>
    </x:row>
    <x:row r="68">
      <x:c r="B68" s="65" t="n">
        <x:v>62</x:v>
      </x:c>
      <x:c r="C68" s="65" t="n">
        <x:f>COUNTIFS('Token Ledger'!$I$7:$I$40,C$6,'Token Ledger'!$J$7:$J$40,"&lt;="&amp;$B68,'Token Ledger'!$K$7:$K$40,"&gt;"&amp;$B68)</x:f>
        <x:v>0</x:v>
      </x:c>
      <x:c r="D68" s="65" t="n">
        <x:f>COUNTIFS('Token Ledger'!$I$7:$I$40,D$6,'Token Ledger'!$J$7:$J$40,"&lt;="&amp;$B68,'Token Ledger'!$K$7:$K$40,"&gt;"&amp;$B68)</x:f>
        <x:v>0</x:v>
      </x:c>
      <x:c r="E68" s="65" t="n">
        <x:f>COUNTIFS('Token Ledger'!$I$7:$I$40,E$6,'Token Ledger'!$J$7:$J$40,"&lt;="&amp;$B68,'Token Ledger'!$K$7:$K$40,"&gt;"&amp;$B68)</x:f>
        <x:v>0</x:v>
      </x:c>
      <x:c r="F68" s="65" t="n">
        <x:f>COUNTIFS('Token Ledger'!$I$7:$I$40,F$6,'Token Ledger'!$J$7:$J$40,"&lt;="&amp;$B68,'Token Ledger'!$K$7:$K$40,"&gt;"&amp;$B68)</x:f>
        <x:v>0</x:v>
      </x:c>
      <x:c r="G68" s="65" t="n">
        <x:f>COUNTIFS('Token Ledger'!$I$7:$I$40,G$6,'Token Ledger'!$J$7:$J$40,"&lt;="&amp;$B68,'Token Ledger'!$K$7:$K$40,"&gt;"&amp;$B68)</x:f>
        <x:v>0</x:v>
      </x:c>
      <x:c r="H68" s="65" t="n">
        <x:f>COUNTIFS('Token Ledger'!$I$7:$I$40,H$6,'Token Ledger'!$J$7:$J$40,"&lt;="&amp;$B68,'Token Ledger'!$K$7:$K$40,"&gt;"&amp;$B68)</x:f>
        <x:v>1</x:v>
      </x:c>
      <x:c r="I68" s="65" t="n">
        <x:f>COUNTIFS('Token Ledger'!$I$7:$I$40,I$6,'Token Ledger'!$J$7:$J$40,"&lt;="&amp;$B68,'Token Ledger'!$K$7:$K$40,"&gt;"&amp;$B68)</x:f>
        <x:v>0</x:v>
      </x:c>
      <x:c r="J68" s="65" t="n">
        <x:f>COUNTIFS('Token Ledger'!$I$7:$I$40,J$6,'Token Ledger'!$J$7:$J$40,"&lt;="&amp;$B68,'Token Ledger'!$K$7:$K$40,"&gt;"&amp;$B68)</x:f>
        <x:v>1</x:v>
      </x:c>
      <x:c r="K68" s="65" t="n">
        <x:f>COUNTIFS('Token Ledger'!$I$7:$I$40,K$6,'Token Ledger'!$J$7:$J$40,"&lt;="&amp;$B68,'Token Ledger'!$K$7:$K$40,"&gt;"&amp;$B68)</x:f>
        <x:v>0</x:v>
      </x:c>
      <x:c r="L68" s="65" t="n">
        <x:f>COUNTIFS('Token Ledger'!$I$7:$I$40,L$6,'Token Ledger'!$J$7:$J$40,"&lt;="&amp;$B68,'Token Ledger'!$K$7:$K$40,"&gt;"&amp;$B68)</x:f>
        <x:v>0</x:v>
      </x:c>
      <x:c r="M68" s="65" t="n">
        <x:f>COUNTIFS('Token Ledger'!$I$7:$I$40,M$6,'Token Ledger'!$J$7:$J$40,"&lt;="&amp;$B68,'Token Ledger'!$K$7:$K$40,"&gt;"&amp;$B68)</x:f>
        <x:v>0</x:v>
      </x:c>
      <x:c r="N68" s="76" t="n">
        <x:f>COUNTIFS('Token Ledger'!$I$7:$I$40,N$6,'Token Ledger'!$J$7:$J$40,"&lt;="&amp;$B68,'Token Ledger'!$K$7:$K$40,"&gt;"&amp;$B68)</x:f>
        <x:v>1</x:v>
      </x:c>
    </x:row>
    <x:row r="69">
      <x:c r="B69" s="65" t="n">
        <x:v>63</x:v>
      </x:c>
      <x:c r="C69" s="65" t="n">
        <x:f>COUNTIFS('Token Ledger'!$I$7:$I$40,C$6,'Token Ledger'!$J$7:$J$40,"&lt;="&amp;$B69,'Token Ledger'!$K$7:$K$40,"&gt;"&amp;$B69)</x:f>
        <x:v>0</x:v>
      </x:c>
      <x:c r="D69" s="65" t="n">
        <x:f>COUNTIFS('Token Ledger'!$I$7:$I$40,D$6,'Token Ledger'!$J$7:$J$40,"&lt;="&amp;$B69,'Token Ledger'!$K$7:$K$40,"&gt;"&amp;$B69)</x:f>
        <x:v>0</x:v>
      </x:c>
      <x:c r="E69" s="65" t="n">
        <x:f>COUNTIFS('Token Ledger'!$I$7:$I$40,E$6,'Token Ledger'!$J$7:$J$40,"&lt;="&amp;$B69,'Token Ledger'!$K$7:$K$40,"&gt;"&amp;$B69)</x:f>
        <x:v>0</x:v>
      </x:c>
      <x:c r="F69" s="65" t="n">
        <x:f>COUNTIFS('Token Ledger'!$I$7:$I$40,F$6,'Token Ledger'!$J$7:$J$40,"&lt;="&amp;$B69,'Token Ledger'!$K$7:$K$40,"&gt;"&amp;$B69)</x:f>
        <x:v>0</x:v>
      </x:c>
      <x:c r="G69" s="65" t="n">
        <x:f>COUNTIFS('Token Ledger'!$I$7:$I$40,G$6,'Token Ledger'!$J$7:$J$40,"&lt;="&amp;$B69,'Token Ledger'!$K$7:$K$40,"&gt;"&amp;$B69)</x:f>
        <x:v>0</x:v>
      </x:c>
      <x:c r="H69" s="65" t="n">
        <x:f>COUNTIFS('Token Ledger'!$I$7:$I$40,H$6,'Token Ledger'!$J$7:$J$40,"&lt;="&amp;$B69,'Token Ledger'!$K$7:$K$40,"&gt;"&amp;$B69)</x:f>
        <x:v>1</x:v>
      </x:c>
      <x:c r="I69" s="65" t="n">
        <x:f>COUNTIFS('Token Ledger'!$I$7:$I$40,I$6,'Token Ledger'!$J$7:$J$40,"&lt;="&amp;$B69,'Token Ledger'!$K$7:$K$40,"&gt;"&amp;$B69)</x:f>
        <x:v>0</x:v>
      </x:c>
      <x:c r="J69" s="65" t="n">
        <x:f>COUNTIFS('Token Ledger'!$I$7:$I$40,J$6,'Token Ledger'!$J$7:$J$40,"&lt;="&amp;$B69,'Token Ledger'!$K$7:$K$40,"&gt;"&amp;$B69)</x:f>
        <x:v>1</x:v>
      </x:c>
      <x:c r="K69" s="65" t="n">
        <x:f>COUNTIFS('Token Ledger'!$I$7:$I$40,K$6,'Token Ledger'!$J$7:$J$40,"&lt;="&amp;$B69,'Token Ledger'!$K$7:$K$40,"&gt;"&amp;$B69)</x:f>
        <x:v>0</x:v>
      </x:c>
      <x:c r="L69" s="65" t="n">
        <x:f>COUNTIFS('Token Ledger'!$I$7:$I$40,L$6,'Token Ledger'!$J$7:$J$40,"&lt;="&amp;$B69,'Token Ledger'!$K$7:$K$40,"&gt;"&amp;$B69)</x:f>
        <x:v>0</x:v>
      </x:c>
      <x:c r="M69" s="65" t="n">
        <x:f>COUNTIFS('Token Ledger'!$I$7:$I$40,M$6,'Token Ledger'!$J$7:$J$40,"&lt;="&amp;$B69,'Token Ledger'!$K$7:$K$40,"&gt;"&amp;$B69)</x:f>
        <x:v>0</x:v>
      </x:c>
      <x:c r="N69" s="76" t="n">
        <x:f>COUNTIFS('Token Ledger'!$I$7:$I$40,N$6,'Token Ledger'!$J$7:$J$40,"&lt;="&amp;$B69,'Token Ledger'!$K$7:$K$40,"&gt;"&amp;$B69)</x:f>
        <x:v>1</x:v>
      </x:c>
    </x:row>
    <x:row r="70">
      <x:c r="B70" s="65" t="n">
        <x:v>64</x:v>
      </x:c>
      <x:c r="C70" s="65" t="n">
        <x:f>COUNTIFS('Token Ledger'!$I$7:$I$40,C$6,'Token Ledger'!$J$7:$J$40,"&lt;="&amp;$B70,'Token Ledger'!$K$7:$K$40,"&gt;"&amp;$B70)</x:f>
        <x:v>0</x:v>
      </x:c>
      <x:c r="D70" s="65" t="n">
        <x:f>COUNTIFS('Token Ledger'!$I$7:$I$40,D$6,'Token Ledger'!$J$7:$J$40,"&lt;="&amp;$B70,'Token Ledger'!$K$7:$K$40,"&gt;"&amp;$B70)</x:f>
        <x:v>0</x:v>
      </x:c>
      <x:c r="E70" s="65" t="n">
        <x:f>COUNTIFS('Token Ledger'!$I$7:$I$40,E$6,'Token Ledger'!$J$7:$J$40,"&lt;="&amp;$B70,'Token Ledger'!$K$7:$K$40,"&gt;"&amp;$B70)</x:f>
        <x:v>0</x:v>
      </x:c>
      <x:c r="F70" s="65" t="n">
        <x:f>COUNTIFS('Token Ledger'!$I$7:$I$40,F$6,'Token Ledger'!$J$7:$J$40,"&lt;="&amp;$B70,'Token Ledger'!$K$7:$K$40,"&gt;"&amp;$B70)</x:f>
        <x:v>0</x:v>
      </x:c>
      <x:c r="G70" s="65" t="n">
        <x:f>COUNTIFS('Token Ledger'!$I$7:$I$40,G$6,'Token Ledger'!$J$7:$J$40,"&lt;="&amp;$B70,'Token Ledger'!$K$7:$K$40,"&gt;"&amp;$B70)</x:f>
        <x:v>0</x:v>
      </x:c>
      <x:c r="H70" s="65" t="n">
        <x:f>COUNTIFS('Token Ledger'!$I$7:$I$40,H$6,'Token Ledger'!$J$7:$J$40,"&lt;="&amp;$B70,'Token Ledger'!$K$7:$K$40,"&gt;"&amp;$B70)</x:f>
        <x:v>1</x:v>
      </x:c>
      <x:c r="I70" s="65" t="n">
        <x:f>COUNTIFS('Token Ledger'!$I$7:$I$40,I$6,'Token Ledger'!$J$7:$J$40,"&lt;="&amp;$B70,'Token Ledger'!$K$7:$K$40,"&gt;"&amp;$B70)</x:f>
        <x:v>0</x:v>
      </x:c>
      <x:c r="J70" s="65" t="n">
        <x:f>COUNTIFS('Token Ledger'!$I$7:$I$40,J$6,'Token Ledger'!$J$7:$J$40,"&lt;="&amp;$B70,'Token Ledger'!$K$7:$K$40,"&gt;"&amp;$B70)</x:f>
        <x:v>1</x:v>
      </x:c>
      <x:c r="K70" s="65" t="n">
        <x:f>COUNTIFS('Token Ledger'!$I$7:$I$40,K$6,'Token Ledger'!$J$7:$J$40,"&lt;="&amp;$B70,'Token Ledger'!$K$7:$K$40,"&gt;"&amp;$B70)</x:f>
        <x:v>0</x:v>
      </x:c>
      <x:c r="L70" s="65" t="n">
        <x:f>COUNTIFS('Token Ledger'!$I$7:$I$40,L$6,'Token Ledger'!$J$7:$J$40,"&lt;="&amp;$B70,'Token Ledger'!$K$7:$K$40,"&gt;"&amp;$B70)</x:f>
        <x:v>0</x:v>
      </x:c>
      <x:c r="M70" s="65" t="n">
        <x:f>COUNTIFS('Token Ledger'!$I$7:$I$40,M$6,'Token Ledger'!$J$7:$J$40,"&lt;="&amp;$B70,'Token Ledger'!$K$7:$K$40,"&gt;"&amp;$B70)</x:f>
        <x:v>0</x:v>
      </x:c>
      <x:c r="N70" s="76" t="n">
        <x:f>COUNTIFS('Token Ledger'!$I$7:$I$40,N$6,'Token Ledger'!$J$7:$J$40,"&lt;="&amp;$B70,'Token Ledger'!$K$7:$K$40,"&gt;"&amp;$B70)</x:f>
        <x:v>1</x:v>
      </x:c>
    </x:row>
    <x:row r="71">
      <x:c r="B71" s="65" t="n">
        <x:v>65</x:v>
      </x:c>
      <x:c r="C71" s="65" t="n">
        <x:f>COUNTIFS('Token Ledger'!$I$7:$I$40,C$6,'Token Ledger'!$J$7:$J$40,"&lt;="&amp;$B71,'Token Ledger'!$K$7:$K$40,"&gt;"&amp;$B71)</x:f>
        <x:v>0</x:v>
      </x:c>
      <x:c r="D71" s="65" t="n">
        <x:f>COUNTIFS('Token Ledger'!$I$7:$I$40,D$6,'Token Ledger'!$J$7:$J$40,"&lt;="&amp;$B71,'Token Ledger'!$K$7:$K$40,"&gt;"&amp;$B71)</x:f>
        <x:v>0</x:v>
      </x:c>
      <x:c r="E71" s="65" t="n">
        <x:f>COUNTIFS('Token Ledger'!$I$7:$I$40,E$6,'Token Ledger'!$J$7:$J$40,"&lt;="&amp;$B71,'Token Ledger'!$K$7:$K$40,"&gt;"&amp;$B71)</x:f>
        <x:v>0</x:v>
      </x:c>
      <x:c r="F71" s="65" t="n">
        <x:f>COUNTIFS('Token Ledger'!$I$7:$I$40,F$6,'Token Ledger'!$J$7:$J$40,"&lt;="&amp;$B71,'Token Ledger'!$K$7:$K$40,"&gt;"&amp;$B71)</x:f>
        <x:v>0</x:v>
      </x:c>
      <x:c r="G71" s="65" t="n">
        <x:f>COUNTIFS('Token Ledger'!$I$7:$I$40,G$6,'Token Ledger'!$J$7:$J$40,"&lt;="&amp;$B71,'Token Ledger'!$K$7:$K$40,"&gt;"&amp;$B71)</x:f>
        <x:v>0</x:v>
      </x:c>
      <x:c r="H71" s="65" t="n">
        <x:f>COUNTIFS('Token Ledger'!$I$7:$I$40,H$6,'Token Ledger'!$J$7:$J$40,"&lt;="&amp;$B71,'Token Ledger'!$K$7:$K$40,"&gt;"&amp;$B71)</x:f>
        <x:v>1</x:v>
      </x:c>
      <x:c r="I71" s="65" t="n">
        <x:f>COUNTIFS('Token Ledger'!$I$7:$I$40,I$6,'Token Ledger'!$J$7:$J$40,"&lt;="&amp;$B71,'Token Ledger'!$K$7:$K$40,"&gt;"&amp;$B71)</x:f>
        <x:v>0</x:v>
      </x:c>
      <x:c r="J71" s="65" t="n">
        <x:f>COUNTIFS('Token Ledger'!$I$7:$I$40,J$6,'Token Ledger'!$J$7:$J$40,"&lt;="&amp;$B71,'Token Ledger'!$K$7:$K$40,"&gt;"&amp;$B71)</x:f>
        <x:v>1</x:v>
      </x:c>
      <x:c r="K71" s="65" t="n">
        <x:f>COUNTIFS('Token Ledger'!$I$7:$I$40,K$6,'Token Ledger'!$J$7:$J$40,"&lt;="&amp;$B71,'Token Ledger'!$K$7:$K$40,"&gt;"&amp;$B71)</x:f>
        <x:v>0</x:v>
      </x:c>
      <x:c r="L71" s="65" t="n">
        <x:f>COUNTIFS('Token Ledger'!$I$7:$I$40,L$6,'Token Ledger'!$J$7:$J$40,"&lt;="&amp;$B71,'Token Ledger'!$K$7:$K$40,"&gt;"&amp;$B71)</x:f>
        <x:v>0</x:v>
      </x:c>
      <x:c r="M71" s="65" t="n">
        <x:f>COUNTIFS('Token Ledger'!$I$7:$I$40,M$6,'Token Ledger'!$J$7:$J$40,"&lt;="&amp;$B71,'Token Ledger'!$K$7:$K$40,"&gt;"&amp;$B71)</x:f>
        <x:v>0</x:v>
      </x:c>
      <x:c r="N71" s="76" t="n">
        <x:f>COUNTIFS('Token Ledger'!$I$7:$I$40,N$6,'Token Ledger'!$J$7:$J$40,"&lt;="&amp;$B71,'Token Ledger'!$K$7:$K$40,"&gt;"&amp;$B71)</x:f>
        <x:v>1</x:v>
      </x:c>
    </x:row>
    <x:row r="72">
      <x:c r="B72" s="65" t="n">
        <x:v>66</x:v>
      </x:c>
      <x:c r="C72" s="65" t="n">
        <x:f>COUNTIFS('Token Ledger'!$I$7:$I$40,C$6,'Token Ledger'!$J$7:$J$40,"&lt;="&amp;$B72,'Token Ledger'!$K$7:$K$40,"&gt;"&amp;$B72)</x:f>
        <x:v>0</x:v>
      </x:c>
      <x:c r="D72" s="65" t="n">
        <x:f>COUNTIFS('Token Ledger'!$I$7:$I$40,D$6,'Token Ledger'!$J$7:$J$40,"&lt;="&amp;$B72,'Token Ledger'!$K$7:$K$40,"&gt;"&amp;$B72)</x:f>
        <x:v>0</x:v>
      </x:c>
      <x:c r="E72" s="65" t="n">
        <x:f>COUNTIFS('Token Ledger'!$I$7:$I$40,E$6,'Token Ledger'!$J$7:$J$40,"&lt;="&amp;$B72,'Token Ledger'!$K$7:$K$40,"&gt;"&amp;$B72)</x:f>
        <x:v>0</x:v>
      </x:c>
      <x:c r="F72" s="65" t="n">
        <x:f>COUNTIFS('Token Ledger'!$I$7:$I$40,F$6,'Token Ledger'!$J$7:$J$40,"&lt;="&amp;$B72,'Token Ledger'!$K$7:$K$40,"&gt;"&amp;$B72)</x:f>
        <x:v>0</x:v>
      </x:c>
      <x:c r="G72" s="65" t="n">
        <x:f>COUNTIFS('Token Ledger'!$I$7:$I$40,G$6,'Token Ledger'!$J$7:$J$40,"&lt;="&amp;$B72,'Token Ledger'!$K$7:$K$40,"&gt;"&amp;$B72)</x:f>
        <x:v>0</x:v>
      </x:c>
      <x:c r="H72" s="65" t="n">
        <x:f>COUNTIFS('Token Ledger'!$I$7:$I$40,H$6,'Token Ledger'!$J$7:$J$40,"&lt;="&amp;$B72,'Token Ledger'!$K$7:$K$40,"&gt;"&amp;$B72)</x:f>
        <x:v>1</x:v>
      </x:c>
      <x:c r="I72" s="65" t="n">
        <x:f>COUNTIFS('Token Ledger'!$I$7:$I$40,I$6,'Token Ledger'!$J$7:$J$40,"&lt;="&amp;$B72,'Token Ledger'!$K$7:$K$40,"&gt;"&amp;$B72)</x:f>
        <x:v>0</x:v>
      </x:c>
      <x:c r="J72" s="65" t="n">
        <x:f>COUNTIFS('Token Ledger'!$I$7:$I$40,J$6,'Token Ledger'!$J$7:$J$40,"&lt;="&amp;$B72,'Token Ledger'!$K$7:$K$40,"&gt;"&amp;$B72)</x:f>
        <x:v>1</x:v>
      </x:c>
      <x:c r="K72" s="65" t="n">
        <x:f>COUNTIFS('Token Ledger'!$I$7:$I$40,K$6,'Token Ledger'!$J$7:$J$40,"&lt;="&amp;$B72,'Token Ledger'!$K$7:$K$40,"&gt;"&amp;$B72)</x:f>
        <x:v>0</x:v>
      </x:c>
      <x:c r="L72" s="65" t="n">
        <x:f>COUNTIFS('Token Ledger'!$I$7:$I$40,L$6,'Token Ledger'!$J$7:$J$40,"&lt;="&amp;$B72,'Token Ledger'!$K$7:$K$40,"&gt;"&amp;$B72)</x:f>
        <x:v>0</x:v>
      </x:c>
      <x:c r="M72" s="65" t="n">
        <x:f>COUNTIFS('Token Ledger'!$I$7:$I$40,M$6,'Token Ledger'!$J$7:$J$40,"&lt;="&amp;$B72,'Token Ledger'!$K$7:$K$40,"&gt;"&amp;$B72)</x:f>
        <x:v>0</x:v>
      </x:c>
      <x:c r="N72" s="76" t="n">
        <x:f>COUNTIFS('Token Ledger'!$I$7:$I$40,N$6,'Token Ledger'!$J$7:$J$40,"&lt;="&amp;$B72,'Token Ledger'!$K$7:$K$40,"&gt;"&amp;$B72)</x:f>
        <x:v>1</x:v>
      </x:c>
    </x:row>
    <x:row r="73">
      <x:c r="B73" s="65" t="n">
        <x:v>67</x:v>
      </x:c>
      <x:c r="C73" s="65" t="n">
        <x:f>COUNTIFS('Token Ledger'!$I$7:$I$40,C$6,'Token Ledger'!$J$7:$J$40,"&lt;="&amp;$B73,'Token Ledger'!$K$7:$K$40,"&gt;"&amp;$B73)</x:f>
        <x:v>0</x:v>
      </x:c>
      <x:c r="D73" s="65" t="n">
        <x:f>COUNTIFS('Token Ledger'!$I$7:$I$40,D$6,'Token Ledger'!$J$7:$J$40,"&lt;="&amp;$B73,'Token Ledger'!$K$7:$K$40,"&gt;"&amp;$B73)</x:f>
        <x:v>0</x:v>
      </x:c>
      <x:c r="E73" s="65" t="n">
        <x:f>COUNTIFS('Token Ledger'!$I$7:$I$40,E$6,'Token Ledger'!$J$7:$J$40,"&lt;="&amp;$B73,'Token Ledger'!$K$7:$K$40,"&gt;"&amp;$B73)</x:f>
        <x:v>0</x:v>
      </x:c>
      <x:c r="F73" s="65" t="n">
        <x:f>COUNTIFS('Token Ledger'!$I$7:$I$40,F$6,'Token Ledger'!$J$7:$J$40,"&lt;="&amp;$B73,'Token Ledger'!$K$7:$K$40,"&gt;"&amp;$B73)</x:f>
        <x:v>0</x:v>
      </x:c>
      <x:c r="G73" s="65" t="n">
        <x:f>COUNTIFS('Token Ledger'!$I$7:$I$40,G$6,'Token Ledger'!$J$7:$J$40,"&lt;="&amp;$B73,'Token Ledger'!$K$7:$K$40,"&gt;"&amp;$B73)</x:f>
        <x:v>0</x:v>
      </x:c>
      <x:c r="H73" s="65" t="n">
        <x:f>COUNTIFS('Token Ledger'!$I$7:$I$40,H$6,'Token Ledger'!$J$7:$J$40,"&lt;="&amp;$B73,'Token Ledger'!$K$7:$K$40,"&gt;"&amp;$B73)</x:f>
        <x:v>1</x:v>
      </x:c>
      <x:c r="I73" s="65" t="n">
        <x:f>COUNTIFS('Token Ledger'!$I$7:$I$40,I$6,'Token Ledger'!$J$7:$J$40,"&lt;="&amp;$B73,'Token Ledger'!$K$7:$K$40,"&gt;"&amp;$B73)</x:f>
        <x:v>0</x:v>
      </x:c>
      <x:c r="J73" s="65" t="n">
        <x:f>COUNTIFS('Token Ledger'!$I$7:$I$40,J$6,'Token Ledger'!$J$7:$J$40,"&lt;="&amp;$B73,'Token Ledger'!$K$7:$K$40,"&gt;"&amp;$B73)</x:f>
        <x:v>1</x:v>
      </x:c>
      <x:c r="K73" s="65" t="n">
        <x:f>COUNTIFS('Token Ledger'!$I$7:$I$40,K$6,'Token Ledger'!$J$7:$J$40,"&lt;="&amp;$B73,'Token Ledger'!$K$7:$K$40,"&gt;"&amp;$B73)</x:f>
        <x:v>0</x:v>
      </x:c>
      <x:c r="L73" s="65" t="n">
        <x:f>COUNTIFS('Token Ledger'!$I$7:$I$40,L$6,'Token Ledger'!$J$7:$J$40,"&lt;="&amp;$B73,'Token Ledger'!$K$7:$K$40,"&gt;"&amp;$B73)</x:f>
        <x:v>0</x:v>
      </x:c>
      <x:c r="M73" s="65" t="n">
        <x:f>COUNTIFS('Token Ledger'!$I$7:$I$40,M$6,'Token Ledger'!$J$7:$J$40,"&lt;="&amp;$B73,'Token Ledger'!$K$7:$K$40,"&gt;"&amp;$B73)</x:f>
        <x:v>0</x:v>
      </x:c>
      <x:c r="N73" s="76" t="n">
        <x:f>COUNTIFS('Token Ledger'!$I$7:$I$40,N$6,'Token Ledger'!$J$7:$J$40,"&lt;="&amp;$B73,'Token Ledger'!$K$7:$K$40,"&gt;"&amp;$B73)</x:f>
        <x:v>1</x:v>
      </x:c>
    </x:row>
    <x:row r="74">
      <x:c r="B74" s="65" t="n">
        <x:v>68</x:v>
      </x:c>
      <x:c r="C74" s="65" t="n">
        <x:f>COUNTIFS('Token Ledger'!$I$7:$I$40,C$6,'Token Ledger'!$J$7:$J$40,"&lt;="&amp;$B74,'Token Ledger'!$K$7:$K$40,"&gt;"&amp;$B74)</x:f>
        <x:v>0</x:v>
      </x:c>
      <x:c r="D74" s="65" t="n">
        <x:f>COUNTIFS('Token Ledger'!$I$7:$I$40,D$6,'Token Ledger'!$J$7:$J$40,"&lt;="&amp;$B74,'Token Ledger'!$K$7:$K$40,"&gt;"&amp;$B74)</x:f>
        <x:v>0</x:v>
      </x:c>
      <x:c r="E74" s="65" t="n">
        <x:f>COUNTIFS('Token Ledger'!$I$7:$I$40,E$6,'Token Ledger'!$J$7:$J$40,"&lt;="&amp;$B74,'Token Ledger'!$K$7:$K$40,"&gt;"&amp;$B74)</x:f>
        <x:v>0</x:v>
      </x:c>
      <x:c r="F74" s="65" t="n">
        <x:f>COUNTIFS('Token Ledger'!$I$7:$I$40,F$6,'Token Ledger'!$J$7:$J$40,"&lt;="&amp;$B74,'Token Ledger'!$K$7:$K$40,"&gt;"&amp;$B74)</x:f>
        <x:v>0</x:v>
      </x:c>
      <x:c r="G74" s="65" t="n">
        <x:f>COUNTIFS('Token Ledger'!$I$7:$I$40,G$6,'Token Ledger'!$J$7:$J$40,"&lt;="&amp;$B74,'Token Ledger'!$K$7:$K$40,"&gt;"&amp;$B74)</x:f>
        <x:v>0</x:v>
      </x:c>
      <x:c r="H74" s="65" t="n">
        <x:f>COUNTIFS('Token Ledger'!$I$7:$I$40,H$6,'Token Ledger'!$J$7:$J$40,"&lt;="&amp;$B74,'Token Ledger'!$K$7:$K$40,"&gt;"&amp;$B74)</x:f>
        <x:v>0</x:v>
      </x:c>
      <x:c r="I74" s="65" t="n">
        <x:f>COUNTIFS('Token Ledger'!$I$7:$I$40,I$6,'Token Ledger'!$J$7:$J$40,"&lt;="&amp;$B74,'Token Ledger'!$K$7:$K$40,"&gt;"&amp;$B74)</x:f>
        <x:v>0</x:v>
      </x:c>
      <x:c r="J74" s="65" t="n">
        <x:f>COUNTIFS('Token Ledger'!$I$7:$I$40,J$6,'Token Ledger'!$J$7:$J$40,"&lt;="&amp;$B74,'Token Ledger'!$K$7:$K$40,"&gt;"&amp;$B74)</x:f>
        <x:v>1</x:v>
      </x:c>
      <x:c r="K74" s="65" t="n">
        <x:f>COUNTIFS('Token Ledger'!$I$7:$I$40,K$6,'Token Ledger'!$J$7:$J$40,"&lt;="&amp;$B74,'Token Ledger'!$K$7:$K$40,"&gt;"&amp;$B74)</x:f>
        <x:v>0</x:v>
      </x:c>
      <x:c r="L74" s="65" t="n">
        <x:f>COUNTIFS('Token Ledger'!$I$7:$I$40,L$6,'Token Ledger'!$J$7:$J$40,"&lt;="&amp;$B74,'Token Ledger'!$K$7:$K$40,"&gt;"&amp;$B74)</x:f>
        <x:v>0</x:v>
      </x:c>
      <x:c r="M74" s="65" t="n">
        <x:f>COUNTIFS('Token Ledger'!$I$7:$I$40,M$6,'Token Ledger'!$J$7:$J$40,"&lt;="&amp;$B74,'Token Ledger'!$K$7:$K$40,"&gt;"&amp;$B74)</x:f>
        <x:v>0</x:v>
      </x:c>
      <x:c r="N74" s="76" t="n">
        <x:f>COUNTIFS('Token Ledger'!$I$7:$I$40,N$6,'Token Ledger'!$J$7:$J$40,"&lt;="&amp;$B74,'Token Ledger'!$K$7:$K$40,"&gt;"&amp;$B74)</x:f>
        <x:v>1</x:v>
      </x:c>
    </x:row>
    <x:row r="75">
      <x:c r="B75" s="65" t="n">
        <x:v>69</x:v>
      </x:c>
      <x:c r="C75" s="65" t="n">
        <x:f>COUNTIFS('Token Ledger'!$I$7:$I$40,C$6,'Token Ledger'!$J$7:$J$40,"&lt;="&amp;$B75,'Token Ledger'!$K$7:$K$40,"&gt;"&amp;$B75)</x:f>
        <x:v>1</x:v>
      </x:c>
      <x:c r="D75" s="65" t="n">
        <x:f>COUNTIFS('Token Ledger'!$I$7:$I$40,D$6,'Token Ledger'!$J$7:$J$40,"&lt;="&amp;$B75,'Token Ledger'!$K$7:$K$40,"&gt;"&amp;$B75)</x:f>
        <x:v>0</x:v>
      </x:c>
      <x:c r="E75" s="65" t="n">
        <x:f>COUNTIFS('Token Ledger'!$I$7:$I$40,E$6,'Token Ledger'!$J$7:$J$40,"&lt;="&amp;$B75,'Token Ledger'!$K$7:$K$40,"&gt;"&amp;$B75)</x:f>
        <x:v>0</x:v>
      </x:c>
      <x:c r="F75" s="65" t="n">
        <x:f>COUNTIFS('Token Ledger'!$I$7:$I$40,F$6,'Token Ledger'!$J$7:$J$40,"&lt;="&amp;$B75,'Token Ledger'!$K$7:$K$40,"&gt;"&amp;$B75)</x:f>
        <x:v>0</x:v>
      </x:c>
      <x:c r="G75" s="65" t="n">
        <x:f>COUNTIFS('Token Ledger'!$I$7:$I$40,G$6,'Token Ledger'!$J$7:$J$40,"&lt;="&amp;$B75,'Token Ledger'!$K$7:$K$40,"&gt;"&amp;$B75)</x:f>
        <x:v>0</x:v>
      </x:c>
      <x:c r="H75" s="65" t="n">
        <x:f>COUNTIFS('Token Ledger'!$I$7:$I$40,H$6,'Token Ledger'!$J$7:$J$40,"&lt;="&amp;$B75,'Token Ledger'!$K$7:$K$40,"&gt;"&amp;$B75)</x:f>
        <x:v>0</x:v>
      </x:c>
      <x:c r="I75" s="65" t="n">
        <x:f>COUNTIFS('Token Ledger'!$I$7:$I$40,I$6,'Token Ledger'!$J$7:$J$40,"&lt;="&amp;$B75,'Token Ledger'!$K$7:$K$40,"&gt;"&amp;$B75)</x:f>
        <x:v>0</x:v>
      </x:c>
      <x:c r="J75" s="65" t="n">
        <x:f>COUNTIFS('Token Ledger'!$I$7:$I$40,J$6,'Token Ledger'!$J$7:$J$40,"&lt;="&amp;$B75,'Token Ledger'!$K$7:$K$40,"&gt;"&amp;$B75)</x:f>
        <x:v>1</x:v>
      </x:c>
      <x:c r="K75" s="65" t="n">
        <x:f>COUNTIFS('Token Ledger'!$I$7:$I$40,K$6,'Token Ledger'!$J$7:$J$40,"&lt;="&amp;$B75,'Token Ledger'!$K$7:$K$40,"&gt;"&amp;$B75)</x:f>
        <x:v>0</x:v>
      </x:c>
      <x:c r="L75" s="65" t="n">
        <x:f>COUNTIFS('Token Ledger'!$I$7:$I$40,L$6,'Token Ledger'!$J$7:$J$40,"&lt;="&amp;$B75,'Token Ledger'!$K$7:$K$40,"&gt;"&amp;$B75)</x:f>
        <x:v>0</x:v>
      </x:c>
      <x:c r="M75" s="65" t="n">
        <x:f>COUNTIFS('Token Ledger'!$I$7:$I$40,M$6,'Token Ledger'!$J$7:$J$40,"&lt;="&amp;$B75,'Token Ledger'!$K$7:$K$40,"&gt;"&amp;$B75)</x:f>
        <x:v>0</x:v>
      </x:c>
      <x:c r="N75" s="76" t="n">
        <x:f>COUNTIFS('Token Ledger'!$I$7:$I$40,N$6,'Token Ledger'!$J$7:$J$40,"&lt;="&amp;$B75,'Token Ledger'!$K$7:$K$40,"&gt;"&amp;$B75)</x:f>
        <x:v>1</x:v>
      </x:c>
    </x:row>
    <x:row r="76">
      <x:c r="B76" s="65" t="n">
        <x:v>70</x:v>
      </x:c>
      <x:c r="C76" s="65" t="n">
        <x:f>COUNTIFS('Token Ledger'!$I$7:$I$40,C$6,'Token Ledger'!$J$7:$J$40,"&lt;="&amp;$B76,'Token Ledger'!$K$7:$K$40,"&gt;"&amp;$B76)</x:f>
        <x:v>1</x:v>
      </x:c>
      <x:c r="D76" s="65" t="n">
        <x:f>COUNTIFS('Token Ledger'!$I$7:$I$40,D$6,'Token Ledger'!$J$7:$J$40,"&lt;="&amp;$B76,'Token Ledger'!$K$7:$K$40,"&gt;"&amp;$B76)</x:f>
        <x:v>0</x:v>
      </x:c>
      <x:c r="E76" s="65" t="n">
        <x:f>COUNTIFS('Token Ledger'!$I$7:$I$40,E$6,'Token Ledger'!$J$7:$J$40,"&lt;="&amp;$B76,'Token Ledger'!$K$7:$K$40,"&gt;"&amp;$B76)</x:f>
        <x:v>0</x:v>
      </x:c>
      <x:c r="F76" s="65" t="n">
        <x:f>COUNTIFS('Token Ledger'!$I$7:$I$40,F$6,'Token Ledger'!$J$7:$J$40,"&lt;="&amp;$B76,'Token Ledger'!$K$7:$K$40,"&gt;"&amp;$B76)</x:f>
        <x:v>0</x:v>
      </x:c>
      <x:c r="G76" s="65" t="n">
        <x:f>COUNTIFS('Token Ledger'!$I$7:$I$40,G$6,'Token Ledger'!$J$7:$J$40,"&lt;="&amp;$B76,'Token Ledger'!$K$7:$K$40,"&gt;"&amp;$B76)</x:f>
        <x:v>0</x:v>
      </x:c>
      <x:c r="H76" s="65" t="n">
        <x:f>COUNTIFS('Token Ledger'!$I$7:$I$40,H$6,'Token Ledger'!$J$7:$J$40,"&lt;="&amp;$B76,'Token Ledger'!$K$7:$K$40,"&gt;"&amp;$B76)</x:f>
        <x:v>0</x:v>
      </x:c>
      <x:c r="I76" s="65" t="n">
        <x:f>COUNTIFS('Token Ledger'!$I$7:$I$40,I$6,'Token Ledger'!$J$7:$J$40,"&lt;="&amp;$B76,'Token Ledger'!$K$7:$K$40,"&gt;"&amp;$B76)</x:f>
        <x:v>0</x:v>
      </x:c>
      <x:c r="J76" s="65" t="n">
        <x:f>COUNTIFS('Token Ledger'!$I$7:$I$40,J$6,'Token Ledger'!$J$7:$J$40,"&lt;="&amp;$B76,'Token Ledger'!$K$7:$K$40,"&gt;"&amp;$B76)</x:f>
        <x:v>0</x:v>
      </x:c>
      <x:c r="K76" s="65" t="n">
        <x:f>COUNTIFS('Token Ledger'!$I$7:$I$40,K$6,'Token Ledger'!$J$7:$J$40,"&lt;="&amp;$B76,'Token Ledger'!$K$7:$K$40,"&gt;"&amp;$B76)</x:f>
        <x:v>0</x:v>
      </x:c>
      <x:c r="L76" s="65" t="n">
        <x:f>COUNTIFS('Token Ledger'!$I$7:$I$40,L$6,'Token Ledger'!$J$7:$J$40,"&lt;="&amp;$B76,'Token Ledger'!$K$7:$K$40,"&gt;"&amp;$B76)</x:f>
        <x:v>0</x:v>
      </x:c>
      <x:c r="M76" s="65" t="n">
        <x:f>COUNTIFS('Token Ledger'!$I$7:$I$40,M$6,'Token Ledger'!$J$7:$J$40,"&lt;="&amp;$B76,'Token Ledger'!$K$7:$K$40,"&gt;"&amp;$B76)</x:f>
        <x:v>0</x:v>
      </x:c>
      <x:c r="N76" s="76" t="n">
        <x:f>COUNTIFS('Token Ledger'!$I$7:$I$40,N$6,'Token Ledger'!$J$7:$J$40,"&lt;="&amp;$B76,'Token Ledger'!$K$7:$K$40,"&gt;"&amp;$B76)</x:f>
        <x:v>0</x:v>
      </x:c>
    </x:row>
    <x:row r="77">
      <x:c r="B77" s="65" t="n">
        <x:v>71</x:v>
      </x:c>
      <x:c r="C77" s="65" t="n">
        <x:f>COUNTIFS('Token Ledger'!$I$7:$I$40,C$6,'Token Ledger'!$J$7:$J$40,"&lt;="&amp;$B77,'Token Ledger'!$K$7:$K$40,"&gt;"&amp;$B77)</x:f>
        <x:v>1</x:v>
      </x:c>
      <x:c r="D77" s="65" t="n">
        <x:f>COUNTIFS('Token Ledger'!$I$7:$I$40,D$6,'Token Ledger'!$J$7:$J$40,"&lt;="&amp;$B77,'Token Ledger'!$K$7:$K$40,"&gt;"&amp;$B77)</x:f>
        <x:v>0</x:v>
      </x:c>
      <x:c r="E77" s="65" t="n">
        <x:f>COUNTIFS('Token Ledger'!$I$7:$I$40,E$6,'Token Ledger'!$J$7:$J$40,"&lt;="&amp;$B77,'Token Ledger'!$K$7:$K$40,"&gt;"&amp;$B77)</x:f>
        <x:v>0</x:v>
      </x:c>
      <x:c r="F77" s="65" t="n">
        <x:f>COUNTIFS('Token Ledger'!$I$7:$I$40,F$6,'Token Ledger'!$J$7:$J$40,"&lt;="&amp;$B77,'Token Ledger'!$K$7:$K$40,"&gt;"&amp;$B77)</x:f>
        <x:v>0</x:v>
      </x:c>
      <x:c r="G77" s="65" t="n">
        <x:f>COUNTIFS('Token Ledger'!$I$7:$I$40,G$6,'Token Ledger'!$J$7:$J$40,"&lt;="&amp;$B77,'Token Ledger'!$K$7:$K$40,"&gt;"&amp;$B77)</x:f>
        <x:v>0</x:v>
      </x:c>
      <x:c r="H77" s="65" t="n">
        <x:f>COUNTIFS('Token Ledger'!$I$7:$I$40,H$6,'Token Ledger'!$J$7:$J$40,"&lt;="&amp;$B77,'Token Ledger'!$K$7:$K$40,"&gt;"&amp;$B77)</x:f>
        <x:v>0</x:v>
      </x:c>
      <x:c r="I77" s="65" t="n">
        <x:f>COUNTIFS('Token Ledger'!$I$7:$I$40,I$6,'Token Ledger'!$J$7:$J$40,"&lt;="&amp;$B77,'Token Ledger'!$K$7:$K$40,"&gt;"&amp;$B77)</x:f>
        <x:v>0</x:v>
      </x:c>
      <x:c r="J77" s="65" t="n">
        <x:f>COUNTIFS('Token Ledger'!$I$7:$I$40,J$6,'Token Ledger'!$J$7:$J$40,"&lt;="&amp;$B77,'Token Ledger'!$K$7:$K$40,"&gt;"&amp;$B77)</x:f>
        <x:v>0</x:v>
      </x:c>
      <x:c r="K77" s="65" t="n">
        <x:f>COUNTIFS('Token Ledger'!$I$7:$I$40,K$6,'Token Ledger'!$J$7:$J$40,"&lt;="&amp;$B77,'Token Ledger'!$K$7:$K$40,"&gt;"&amp;$B77)</x:f>
        <x:v>0</x:v>
      </x:c>
      <x:c r="L77" s="65" t="n">
        <x:f>COUNTIFS('Token Ledger'!$I$7:$I$40,L$6,'Token Ledger'!$J$7:$J$40,"&lt;="&amp;$B77,'Token Ledger'!$K$7:$K$40,"&gt;"&amp;$B77)</x:f>
        <x:v>0</x:v>
      </x:c>
      <x:c r="M77" s="65" t="n">
        <x:f>COUNTIFS('Token Ledger'!$I$7:$I$40,M$6,'Token Ledger'!$J$7:$J$40,"&lt;="&amp;$B77,'Token Ledger'!$K$7:$K$40,"&gt;"&amp;$B77)</x:f>
        <x:v>0</x:v>
      </x:c>
      <x:c r="N77" s="76" t="n">
        <x:f>COUNTIFS('Token Ledger'!$I$7:$I$40,N$6,'Token Ledger'!$J$7:$J$40,"&lt;="&amp;$B77,'Token Ledger'!$K$7:$K$40,"&gt;"&amp;$B77)</x:f>
        <x:v>0</x:v>
      </x:c>
    </x:row>
    <x:row r="78">
      <x:c r="B78" s="65" t="n">
        <x:v>72</x:v>
      </x:c>
      <x:c r="C78" s="65" t="n">
        <x:f>COUNTIFS('Token Ledger'!$I$7:$I$40,C$6,'Token Ledger'!$J$7:$J$40,"&lt;="&amp;$B78,'Token Ledger'!$K$7:$K$40,"&gt;"&amp;$B78)</x:f>
        <x:v>1</x:v>
      </x:c>
      <x:c r="D78" s="65" t="n">
        <x:f>COUNTIFS('Token Ledger'!$I$7:$I$40,D$6,'Token Ledger'!$J$7:$J$40,"&lt;="&amp;$B78,'Token Ledger'!$K$7:$K$40,"&gt;"&amp;$B78)</x:f>
        <x:v>0</x:v>
      </x:c>
      <x:c r="E78" s="65" t="n">
        <x:f>COUNTIFS('Token Ledger'!$I$7:$I$40,E$6,'Token Ledger'!$J$7:$J$40,"&lt;="&amp;$B78,'Token Ledger'!$K$7:$K$40,"&gt;"&amp;$B78)</x:f>
        <x:v>0</x:v>
      </x:c>
      <x:c r="F78" s="65" t="n">
        <x:f>COUNTIFS('Token Ledger'!$I$7:$I$40,F$6,'Token Ledger'!$J$7:$J$40,"&lt;="&amp;$B78,'Token Ledger'!$K$7:$K$40,"&gt;"&amp;$B78)</x:f>
        <x:v>0</x:v>
      </x:c>
      <x:c r="G78" s="65" t="n">
        <x:f>COUNTIFS('Token Ledger'!$I$7:$I$40,G$6,'Token Ledger'!$J$7:$J$40,"&lt;="&amp;$B78,'Token Ledger'!$K$7:$K$40,"&gt;"&amp;$B78)</x:f>
        <x:v>0</x:v>
      </x:c>
      <x:c r="H78" s="65" t="n">
        <x:f>COUNTIFS('Token Ledger'!$I$7:$I$40,H$6,'Token Ledger'!$J$7:$J$40,"&lt;="&amp;$B78,'Token Ledger'!$K$7:$K$40,"&gt;"&amp;$B78)</x:f>
        <x:v>0</x:v>
      </x:c>
      <x:c r="I78" s="65" t="n">
        <x:f>COUNTIFS('Token Ledger'!$I$7:$I$40,I$6,'Token Ledger'!$J$7:$J$40,"&lt;="&amp;$B78,'Token Ledger'!$K$7:$K$40,"&gt;"&amp;$B78)</x:f>
        <x:v>0</x:v>
      </x:c>
      <x:c r="J78" s="65" t="n">
        <x:f>COUNTIFS('Token Ledger'!$I$7:$I$40,J$6,'Token Ledger'!$J$7:$J$40,"&lt;="&amp;$B78,'Token Ledger'!$K$7:$K$40,"&gt;"&amp;$B78)</x:f>
        <x:v>0</x:v>
      </x:c>
      <x:c r="K78" s="65" t="n">
        <x:f>COUNTIFS('Token Ledger'!$I$7:$I$40,K$6,'Token Ledger'!$J$7:$J$40,"&lt;="&amp;$B78,'Token Ledger'!$K$7:$K$40,"&gt;"&amp;$B78)</x:f>
        <x:v>0</x:v>
      </x:c>
      <x:c r="L78" s="65" t="n">
        <x:f>COUNTIFS('Token Ledger'!$I$7:$I$40,L$6,'Token Ledger'!$J$7:$J$40,"&lt;="&amp;$B78,'Token Ledger'!$K$7:$K$40,"&gt;"&amp;$B78)</x:f>
        <x:v>0</x:v>
      </x:c>
      <x:c r="M78" s="65" t="n">
        <x:f>COUNTIFS('Token Ledger'!$I$7:$I$40,M$6,'Token Ledger'!$J$7:$J$40,"&lt;="&amp;$B78,'Token Ledger'!$K$7:$K$40,"&gt;"&amp;$B78)</x:f>
        <x:v>0</x:v>
      </x:c>
      <x:c r="N78" s="76" t="n">
        <x:f>COUNTIFS('Token Ledger'!$I$7:$I$40,N$6,'Token Ledger'!$J$7:$J$40,"&lt;="&amp;$B78,'Token Ledger'!$K$7:$K$40,"&gt;"&amp;$B78)</x:f>
        <x:v>0</x:v>
      </x:c>
    </x:row>
    <x:row r="79">
      <x:c r="B79" s="65" t="n">
        <x:v>73</x:v>
      </x:c>
      <x:c r="C79" s="65" t="n">
        <x:f>COUNTIFS('Token Ledger'!$I$7:$I$40,C$6,'Token Ledger'!$J$7:$J$40,"&lt;="&amp;$B79,'Token Ledger'!$K$7:$K$40,"&gt;"&amp;$B79)</x:f>
        <x:v>1</x:v>
      </x:c>
      <x:c r="D79" s="65" t="n">
        <x:f>COUNTIFS('Token Ledger'!$I$7:$I$40,D$6,'Token Ledger'!$J$7:$J$40,"&lt;="&amp;$B79,'Token Ledger'!$K$7:$K$40,"&gt;"&amp;$B79)</x:f>
        <x:v>0</x:v>
      </x:c>
      <x:c r="E79" s="65" t="n">
        <x:f>COUNTIFS('Token Ledger'!$I$7:$I$40,E$6,'Token Ledger'!$J$7:$J$40,"&lt;="&amp;$B79,'Token Ledger'!$K$7:$K$40,"&gt;"&amp;$B79)</x:f>
        <x:v>0</x:v>
      </x:c>
      <x:c r="F79" s="65" t="n">
        <x:f>COUNTIFS('Token Ledger'!$I$7:$I$40,F$6,'Token Ledger'!$J$7:$J$40,"&lt;="&amp;$B79,'Token Ledger'!$K$7:$K$40,"&gt;"&amp;$B79)</x:f>
        <x:v>0</x:v>
      </x:c>
      <x:c r="G79" s="65" t="n">
        <x:f>COUNTIFS('Token Ledger'!$I$7:$I$40,G$6,'Token Ledger'!$J$7:$J$40,"&lt;="&amp;$B79,'Token Ledger'!$K$7:$K$40,"&gt;"&amp;$B79)</x:f>
        <x:v>0</x:v>
      </x:c>
      <x:c r="H79" s="65" t="n">
        <x:f>COUNTIFS('Token Ledger'!$I$7:$I$40,H$6,'Token Ledger'!$J$7:$J$40,"&lt;="&amp;$B79,'Token Ledger'!$K$7:$K$40,"&gt;"&amp;$B79)</x:f>
        <x:v>0</x:v>
      </x:c>
      <x:c r="I79" s="65" t="n">
        <x:f>COUNTIFS('Token Ledger'!$I$7:$I$40,I$6,'Token Ledger'!$J$7:$J$40,"&lt;="&amp;$B79,'Token Ledger'!$K$7:$K$40,"&gt;"&amp;$B79)</x:f>
        <x:v>0</x:v>
      </x:c>
      <x:c r="J79" s="65" t="n">
        <x:f>COUNTIFS('Token Ledger'!$I$7:$I$40,J$6,'Token Ledger'!$J$7:$J$40,"&lt;="&amp;$B79,'Token Ledger'!$K$7:$K$40,"&gt;"&amp;$B79)</x:f>
        <x:v>0</x:v>
      </x:c>
      <x:c r="K79" s="65" t="n">
        <x:f>COUNTIFS('Token Ledger'!$I$7:$I$40,K$6,'Token Ledger'!$J$7:$J$40,"&lt;="&amp;$B79,'Token Ledger'!$K$7:$K$40,"&gt;"&amp;$B79)</x:f>
        <x:v>0</x:v>
      </x:c>
      <x:c r="L79" s="65" t="n">
        <x:f>COUNTIFS('Token Ledger'!$I$7:$I$40,L$6,'Token Ledger'!$J$7:$J$40,"&lt;="&amp;$B79,'Token Ledger'!$K$7:$K$40,"&gt;"&amp;$B79)</x:f>
        <x:v>0</x:v>
      </x:c>
      <x:c r="M79" s="65" t="n">
        <x:f>COUNTIFS('Token Ledger'!$I$7:$I$40,M$6,'Token Ledger'!$J$7:$J$40,"&lt;="&amp;$B79,'Token Ledger'!$K$7:$K$40,"&gt;"&amp;$B79)</x:f>
        <x:v>0</x:v>
      </x:c>
      <x:c r="N79" s="76" t="n">
        <x:f>COUNTIFS('Token Ledger'!$I$7:$I$40,N$6,'Token Ledger'!$J$7:$J$40,"&lt;="&amp;$B79,'Token Ledger'!$K$7:$K$40,"&gt;"&amp;$B79)</x:f>
        <x:v>0</x:v>
      </x:c>
    </x:row>
    <x:row r="80">
      <x:c r="B80" s="65" t="n">
        <x:v>74</x:v>
      </x:c>
      <x:c r="C80" s="65" t="n">
        <x:f>COUNTIFS('Token Ledger'!$I$7:$I$40,C$6,'Token Ledger'!$J$7:$J$40,"&lt;="&amp;$B80,'Token Ledger'!$K$7:$K$40,"&gt;"&amp;$B80)</x:f>
        <x:v>1</x:v>
      </x:c>
      <x:c r="D80" s="65" t="n">
        <x:f>COUNTIFS('Token Ledger'!$I$7:$I$40,D$6,'Token Ledger'!$J$7:$J$40,"&lt;="&amp;$B80,'Token Ledger'!$K$7:$K$40,"&gt;"&amp;$B80)</x:f>
        <x:v>0</x:v>
      </x:c>
      <x:c r="E80" s="65" t="n">
        <x:f>COUNTIFS('Token Ledger'!$I$7:$I$40,E$6,'Token Ledger'!$J$7:$J$40,"&lt;="&amp;$B80,'Token Ledger'!$K$7:$K$40,"&gt;"&amp;$B80)</x:f>
        <x:v>0</x:v>
      </x:c>
      <x:c r="F80" s="65" t="n">
        <x:f>COUNTIFS('Token Ledger'!$I$7:$I$40,F$6,'Token Ledger'!$J$7:$J$40,"&lt;="&amp;$B80,'Token Ledger'!$K$7:$K$40,"&gt;"&amp;$B80)</x:f>
        <x:v>0</x:v>
      </x:c>
      <x:c r="G80" s="65" t="n">
        <x:f>COUNTIFS('Token Ledger'!$I$7:$I$40,G$6,'Token Ledger'!$J$7:$J$40,"&lt;="&amp;$B80,'Token Ledger'!$K$7:$K$40,"&gt;"&amp;$B80)</x:f>
        <x:v>0</x:v>
      </x:c>
      <x:c r="H80" s="65" t="n">
        <x:f>COUNTIFS('Token Ledger'!$I$7:$I$40,H$6,'Token Ledger'!$J$7:$J$40,"&lt;="&amp;$B80,'Token Ledger'!$K$7:$K$40,"&gt;"&amp;$B80)</x:f>
        <x:v>0</x:v>
      </x:c>
      <x:c r="I80" s="65" t="n">
        <x:f>COUNTIFS('Token Ledger'!$I$7:$I$40,I$6,'Token Ledger'!$J$7:$J$40,"&lt;="&amp;$B80,'Token Ledger'!$K$7:$K$40,"&gt;"&amp;$B80)</x:f>
        <x:v>0</x:v>
      </x:c>
      <x:c r="J80" s="65" t="n">
        <x:f>COUNTIFS('Token Ledger'!$I$7:$I$40,J$6,'Token Ledger'!$J$7:$J$40,"&lt;="&amp;$B80,'Token Ledger'!$K$7:$K$40,"&gt;"&amp;$B80)</x:f>
        <x:v>0</x:v>
      </x:c>
      <x:c r="K80" s="65" t="n">
        <x:f>COUNTIFS('Token Ledger'!$I$7:$I$40,K$6,'Token Ledger'!$J$7:$J$40,"&lt;="&amp;$B80,'Token Ledger'!$K$7:$K$40,"&gt;"&amp;$B80)</x:f>
        <x:v>0</x:v>
      </x:c>
      <x:c r="L80" s="65" t="n">
        <x:f>COUNTIFS('Token Ledger'!$I$7:$I$40,L$6,'Token Ledger'!$J$7:$J$40,"&lt;="&amp;$B80,'Token Ledger'!$K$7:$K$40,"&gt;"&amp;$B80)</x:f>
        <x:v>0</x:v>
      </x:c>
      <x:c r="M80" s="65" t="n">
        <x:f>COUNTIFS('Token Ledger'!$I$7:$I$40,M$6,'Token Ledger'!$J$7:$J$40,"&lt;="&amp;$B80,'Token Ledger'!$K$7:$K$40,"&gt;"&amp;$B80)</x:f>
        <x:v>0</x:v>
      </x:c>
      <x:c r="N80" s="76" t="n">
        <x:f>COUNTIFS('Token Ledger'!$I$7:$I$40,N$6,'Token Ledger'!$J$7:$J$40,"&lt;="&amp;$B80,'Token Ledger'!$K$7:$K$40,"&gt;"&amp;$B80)</x:f>
        <x:v>0</x:v>
      </x:c>
    </x:row>
    <x:row r="81">
      <x:c r="B81" s="65" t="n">
        <x:v>75</x:v>
      </x:c>
      <x:c r="C81" s="65" t="n">
        <x:f>COUNTIFS('Token Ledger'!$I$7:$I$40,C$6,'Token Ledger'!$J$7:$J$40,"&lt;="&amp;$B81,'Token Ledger'!$K$7:$K$40,"&gt;"&amp;$B81)</x:f>
        <x:v>1</x:v>
      </x:c>
      <x:c r="D81" s="65" t="n">
        <x:f>COUNTIFS('Token Ledger'!$I$7:$I$40,D$6,'Token Ledger'!$J$7:$J$40,"&lt;="&amp;$B81,'Token Ledger'!$K$7:$K$40,"&gt;"&amp;$B81)</x:f>
        <x:v>0</x:v>
      </x:c>
      <x:c r="E81" s="65" t="n">
        <x:f>COUNTIFS('Token Ledger'!$I$7:$I$40,E$6,'Token Ledger'!$J$7:$J$40,"&lt;="&amp;$B81,'Token Ledger'!$K$7:$K$40,"&gt;"&amp;$B81)</x:f>
        <x:v>0</x:v>
      </x:c>
      <x:c r="F81" s="65" t="n">
        <x:f>COUNTIFS('Token Ledger'!$I$7:$I$40,F$6,'Token Ledger'!$J$7:$J$40,"&lt;="&amp;$B81,'Token Ledger'!$K$7:$K$40,"&gt;"&amp;$B81)</x:f>
        <x:v>0</x:v>
      </x:c>
      <x:c r="G81" s="65" t="n">
        <x:f>COUNTIFS('Token Ledger'!$I$7:$I$40,G$6,'Token Ledger'!$J$7:$J$40,"&lt;="&amp;$B81,'Token Ledger'!$K$7:$K$40,"&gt;"&amp;$B81)</x:f>
        <x:v>0</x:v>
      </x:c>
      <x:c r="H81" s="65" t="n">
        <x:f>COUNTIFS('Token Ledger'!$I$7:$I$40,H$6,'Token Ledger'!$J$7:$J$40,"&lt;="&amp;$B81,'Token Ledger'!$K$7:$K$40,"&gt;"&amp;$B81)</x:f>
        <x:v>0</x:v>
      </x:c>
      <x:c r="I81" s="65" t="n">
        <x:f>COUNTIFS('Token Ledger'!$I$7:$I$40,I$6,'Token Ledger'!$J$7:$J$40,"&lt;="&amp;$B81,'Token Ledger'!$K$7:$K$40,"&gt;"&amp;$B81)</x:f>
        <x:v>0</x:v>
      </x:c>
      <x:c r="J81" s="65" t="n">
        <x:f>COUNTIFS('Token Ledger'!$I$7:$I$40,J$6,'Token Ledger'!$J$7:$J$40,"&lt;="&amp;$B81,'Token Ledger'!$K$7:$K$40,"&gt;"&amp;$B81)</x:f>
        <x:v>0</x:v>
      </x:c>
      <x:c r="K81" s="65" t="n">
        <x:f>COUNTIFS('Token Ledger'!$I$7:$I$40,K$6,'Token Ledger'!$J$7:$J$40,"&lt;="&amp;$B81,'Token Ledger'!$K$7:$K$40,"&gt;"&amp;$B81)</x:f>
        <x:v>0</x:v>
      </x:c>
      <x:c r="L81" s="65" t="n">
        <x:f>COUNTIFS('Token Ledger'!$I$7:$I$40,L$6,'Token Ledger'!$J$7:$J$40,"&lt;="&amp;$B81,'Token Ledger'!$K$7:$K$40,"&gt;"&amp;$B81)</x:f>
        <x:v>0</x:v>
      </x:c>
      <x:c r="M81" s="65" t="n">
        <x:f>COUNTIFS('Token Ledger'!$I$7:$I$40,M$6,'Token Ledger'!$J$7:$J$40,"&lt;="&amp;$B81,'Token Ledger'!$K$7:$K$40,"&gt;"&amp;$B81)</x:f>
        <x:v>0</x:v>
      </x:c>
      <x:c r="N81" s="76" t="n">
        <x:f>COUNTIFS('Token Ledger'!$I$7:$I$40,N$6,'Token Ledger'!$J$7:$J$40,"&lt;="&amp;$B81,'Token Ledger'!$K$7:$K$40,"&gt;"&amp;$B81)</x:f>
        <x:v>0</x:v>
      </x:c>
    </x:row>
    <x:row r="82">
      <x:c r="B82" s="65" t="n">
        <x:v>76</x:v>
      </x:c>
      <x:c r="C82" s="65" t="n">
        <x:f>COUNTIFS('Token Ledger'!$I$7:$I$40,C$6,'Token Ledger'!$J$7:$J$40,"&lt;="&amp;$B82,'Token Ledger'!$K$7:$K$40,"&gt;"&amp;$B82)</x:f>
        <x:v>1</x:v>
      </x:c>
      <x:c r="D82" s="65" t="n">
        <x:f>COUNTIFS('Token Ledger'!$I$7:$I$40,D$6,'Token Ledger'!$J$7:$J$40,"&lt;="&amp;$B82,'Token Ledger'!$K$7:$K$40,"&gt;"&amp;$B82)</x:f>
        <x:v>0</x:v>
      </x:c>
      <x:c r="E82" s="65" t="n">
        <x:f>COUNTIFS('Token Ledger'!$I$7:$I$40,E$6,'Token Ledger'!$J$7:$J$40,"&lt;="&amp;$B82,'Token Ledger'!$K$7:$K$40,"&gt;"&amp;$B82)</x:f>
        <x:v>0</x:v>
      </x:c>
      <x:c r="F82" s="65" t="n">
        <x:f>COUNTIFS('Token Ledger'!$I$7:$I$40,F$6,'Token Ledger'!$J$7:$J$40,"&lt;="&amp;$B82,'Token Ledger'!$K$7:$K$40,"&gt;"&amp;$B82)</x:f>
        <x:v>0</x:v>
      </x:c>
      <x:c r="G82" s="65" t="n">
        <x:f>COUNTIFS('Token Ledger'!$I$7:$I$40,G$6,'Token Ledger'!$J$7:$J$40,"&lt;="&amp;$B82,'Token Ledger'!$K$7:$K$40,"&gt;"&amp;$B82)</x:f>
        <x:v>0</x:v>
      </x:c>
      <x:c r="H82" s="65" t="n">
        <x:f>COUNTIFS('Token Ledger'!$I$7:$I$40,H$6,'Token Ledger'!$J$7:$J$40,"&lt;="&amp;$B82,'Token Ledger'!$K$7:$K$40,"&gt;"&amp;$B82)</x:f>
        <x:v>0</x:v>
      </x:c>
      <x:c r="I82" s="65" t="n">
        <x:f>COUNTIFS('Token Ledger'!$I$7:$I$40,I$6,'Token Ledger'!$J$7:$J$40,"&lt;="&amp;$B82,'Token Ledger'!$K$7:$K$40,"&gt;"&amp;$B82)</x:f>
        <x:v>0</x:v>
      </x:c>
      <x:c r="J82" s="65" t="n">
        <x:f>COUNTIFS('Token Ledger'!$I$7:$I$40,J$6,'Token Ledger'!$J$7:$J$40,"&lt;="&amp;$B82,'Token Ledger'!$K$7:$K$40,"&gt;"&amp;$B82)</x:f>
        <x:v>0</x:v>
      </x:c>
      <x:c r="K82" s="65" t="n">
        <x:f>COUNTIFS('Token Ledger'!$I$7:$I$40,K$6,'Token Ledger'!$J$7:$J$40,"&lt;="&amp;$B82,'Token Ledger'!$K$7:$K$40,"&gt;"&amp;$B82)</x:f>
        <x:v>0</x:v>
      </x:c>
      <x:c r="L82" s="65" t="n">
        <x:f>COUNTIFS('Token Ledger'!$I$7:$I$40,L$6,'Token Ledger'!$J$7:$J$40,"&lt;="&amp;$B82,'Token Ledger'!$K$7:$K$40,"&gt;"&amp;$B82)</x:f>
        <x:v>0</x:v>
      </x:c>
      <x:c r="M82" s="65" t="n">
        <x:f>COUNTIFS('Token Ledger'!$I$7:$I$40,M$6,'Token Ledger'!$J$7:$J$40,"&lt;="&amp;$B82,'Token Ledger'!$K$7:$K$40,"&gt;"&amp;$B82)</x:f>
        <x:v>0</x:v>
      </x:c>
      <x:c r="N82" s="76" t="n">
        <x:f>COUNTIFS('Token Ledger'!$I$7:$I$40,N$6,'Token Ledger'!$J$7:$J$40,"&lt;="&amp;$B82,'Token Ledger'!$K$7:$K$40,"&gt;"&amp;$B82)</x:f>
        <x:v>0</x:v>
      </x:c>
    </x:row>
    <x:row r="83">
      <x:c r="B83" s="65" t="n">
        <x:v>77</x:v>
      </x:c>
      <x:c r="C83" s="65" t="n">
        <x:f>COUNTIFS('Token Ledger'!$I$7:$I$40,C$6,'Token Ledger'!$J$7:$J$40,"&lt;="&amp;$B83,'Token Ledger'!$K$7:$K$40,"&gt;"&amp;$B83)</x:f>
        <x:v>0</x:v>
      </x:c>
      <x:c r="D83" s="65" t="n">
        <x:f>COUNTIFS('Token Ledger'!$I$7:$I$40,D$6,'Token Ledger'!$J$7:$J$40,"&lt;="&amp;$B83,'Token Ledger'!$K$7:$K$40,"&gt;"&amp;$B83)</x:f>
        <x:v>0</x:v>
      </x:c>
      <x:c r="E83" s="65" t="n">
        <x:f>COUNTIFS('Token Ledger'!$I$7:$I$40,E$6,'Token Ledger'!$J$7:$J$40,"&lt;="&amp;$B83,'Token Ledger'!$K$7:$K$40,"&gt;"&amp;$B83)</x:f>
        <x:v>0</x:v>
      </x:c>
      <x:c r="F83" s="65" t="n">
        <x:f>COUNTIFS('Token Ledger'!$I$7:$I$40,F$6,'Token Ledger'!$J$7:$J$40,"&lt;="&amp;$B83,'Token Ledger'!$K$7:$K$40,"&gt;"&amp;$B83)</x:f>
        <x:v>0</x:v>
      </x:c>
      <x:c r="G83" s="65" t="n">
        <x:f>COUNTIFS('Token Ledger'!$I$7:$I$40,G$6,'Token Ledger'!$J$7:$J$40,"&lt;="&amp;$B83,'Token Ledger'!$K$7:$K$40,"&gt;"&amp;$B83)</x:f>
        <x:v>0</x:v>
      </x:c>
      <x:c r="H83" s="65" t="n">
        <x:f>COUNTIFS('Token Ledger'!$I$7:$I$40,H$6,'Token Ledger'!$J$7:$J$40,"&lt;="&amp;$B83,'Token Ledger'!$K$7:$K$40,"&gt;"&amp;$B83)</x:f>
        <x:v>0</x:v>
      </x:c>
      <x:c r="I83" s="65" t="n">
        <x:f>COUNTIFS('Token Ledger'!$I$7:$I$40,I$6,'Token Ledger'!$J$7:$J$40,"&lt;="&amp;$B83,'Token Ledger'!$K$7:$K$40,"&gt;"&amp;$B83)</x:f>
        <x:v>0</x:v>
      </x:c>
      <x:c r="J83" s="65" t="n">
        <x:f>COUNTIFS('Token Ledger'!$I$7:$I$40,J$6,'Token Ledger'!$J$7:$J$40,"&lt;="&amp;$B83,'Token Ledger'!$K$7:$K$40,"&gt;"&amp;$B83)</x:f>
        <x:v>0</x:v>
      </x:c>
      <x:c r="K83" s="65" t="n">
        <x:f>COUNTIFS('Token Ledger'!$I$7:$I$40,K$6,'Token Ledger'!$J$7:$J$40,"&lt;="&amp;$B83,'Token Ledger'!$K$7:$K$40,"&gt;"&amp;$B83)</x:f>
        <x:v>0</x:v>
      </x:c>
      <x:c r="L83" s="65" t="n">
        <x:f>COUNTIFS('Token Ledger'!$I$7:$I$40,L$6,'Token Ledger'!$J$7:$J$40,"&lt;="&amp;$B83,'Token Ledger'!$K$7:$K$40,"&gt;"&amp;$B83)</x:f>
        <x:v>0</x:v>
      </x:c>
      <x:c r="M83" s="65" t="n">
        <x:f>COUNTIFS('Token Ledger'!$I$7:$I$40,M$6,'Token Ledger'!$J$7:$J$40,"&lt;="&amp;$B83,'Token Ledger'!$K$7:$K$40,"&gt;"&amp;$B83)</x:f>
        <x:v>0</x:v>
      </x:c>
      <x:c r="N83" s="76" t="n">
        <x:f>COUNTIFS('Token Ledger'!$I$7:$I$40,N$6,'Token Ledger'!$J$7:$J$40,"&lt;="&amp;$B83,'Token Ledger'!$K$7:$K$40,"&gt;"&amp;$B83)</x:f>
        <x:v>0</x:v>
      </x:c>
    </x:row>
    <x:row r="84">
      <x:c r="B84" s="65" t="n">
        <x:v>78</x:v>
      </x:c>
      <x:c r="C84" s="65" t="n">
        <x:f>COUNTIFS('Token Ledger'!$I$7:$I$40,C$6,'Token Ledger'!$J$7:$J$40,"&lt;="&amp;$B84,'Token Ledger'!$K$7:$K$40,"&gt;"&amp;$B84)</x:f>
        <x:v>0</x:v>
      </x:c>
      <x:c r="D84" s="65" t="n">
        <x:f>COUNTIFS('Token Ledger'!$I$7:$I$40,D$6,'Token Ledger'!$J$7:$J$40,"&lt;="&amp;$B84,'Token Ledger'!$K$7:$K$40,"&gt;"&amp;$B84)</x:f>
        <x:v>0</x:v>
      </x:c>
      <x:c r="E84" s="65" t="n">
        <x:f>COUNTIFS('Token Ledger'!$I$7:$I$40,E$6,'Token Ledger'!$J$7:$J$40,"&lt;="&amp;$B84,'Token Ledger'!$K$7:$K$40,"&gt;"&amp;$B84)</x:f>
        <x:v>0</x:v>
      </x:c>
      <x:c r="F84" s="65" t="n">
        <x:f>COUNTIFS('Token Ledger'!$I$7:$I$40,F$6,'Token Ledger'!$J$7:$J$40,"&lt;="&amp;$B84,'Token Ledger'!$K$7:$K$40,"&gt;"&amp;$B84)</x:f>
        <x:v>0</x:v>
      </x:c>
      <x:c r="G84" s="65" t="n">
        <x:f>COUNTIFS('Token Ledger'!$I$7:$I$40,G$6,'Token Ledger'!$J$7:$J$40,"&lt;="&amp;$B84,'Token Ledger'!$K$7:$K$40,"&gt;"&amp;$B84)</x:f>
        <x:v>0</x:v>
      </x:c>
      <x:c r="H84" s="65" t="n">
        <x:f>COUNTIFS('Token Ledger'!$I$7:$I$40,H$6,'Token Ledger'!$J$7:$J$40,"&lt;="&amp;$B84,'Token Ledger'!$K$7:$K$40,"&gt;"&amp;$B84)</x:f>
        <x:v>0</x:v>
      </x:c>
      <x:c r="I84" s="65" t="n">
        <x:f>COUNTIFS('Token Ledger'!$I$7:$I$40,I$6,'Token Ledger'!$J$7:$J$40,"&lt;="&amp;$B84,'Token Ledger'!$K$7:$K$40,"&gt;"&amp;$B84)</x:f>
        <x:v>0</x:v>
      </x:c>
      <x:c r="J84" s="65" t="n">
        <x:f>COUNTIFS('Token Ledger'!$I$7:$I$40,J$6,'Token Ledger'!$J$7:$J$40,"&lt;="&amp;$B84,'Token Ledger'!$K$7:$K$40,"&gt;"&amp;$B84)</x:f>
        <x:v>0</x:v>
      </x:c>
      <x:c r="K84" s="65" t="n">
        <x:f>COUNTIFS('Token Ledger'!$I$7:$I$40,K$6,'Token Ledger'!$J$7:$J$40,"&lt;="&amp;$B84,'Token Ledger'!$K$7:$K$40,"&gt;"&amp;$B84)</x:f>
        <x:v>0</x:v>
      </x:c>
      <x:c r="L84" s="65" t="n">
        <x:f>COUNTIFS('Token Ledger'!$I$7:$I$40,L$6,'Token Ledger'!$J$7:$J$40,"&lt;="&amp;$B84,'Token Ledger'!$K$7:$K$40,"&gt;"&amp;$B84)</x:f>
        <x:v>0</x:v>
      </x:c>
      <x:c r="M84" s="65" t="n">
        <x:f>COUNTIFS('Token Ledger'!$I$7:$I$40,M$6,'Token Ledger'!$J$7:$J$40,"&lt;="&amp;$B84,'Token Ledger'!$K$7:$K$40,"&gt;"&amp;$B84)</x:f>
        <x:v>0</x:v>
      </x:c>
      <x:c r="N84" s="76" t="n">
        <x:f>COUNTIFS('Token Ledger'!$I$7:$I$40,N$6,'Token Ledger'!$J$7:$J$40,"&lt;="&amp;$B84,'Token Ledger'!$K$7:$K$40,"&gt;"&amp;$B84)</x:f>
        <x:v>0</x:v>
      </x:c>
    </x:row>
    <x:row r="85">
      <x:c r="B85" s="65" t="n">
        <x:v>79</x:v>
      </x:c>
      <x:c r="C85" s="65" t="n">
        <x:f>COUNTIFS('Token Ledger'!$I$7:$I$40,C$6,'Token Ledger'!$J$7:$J$40,"&lt;="&amp;$B85,'Token Ledger'!$K$7:$K$40,"&gt;"&amp;$B85)</x:f>
        <x:v>0</x:v>
      </x:c>
      <x:c r="D85" s="65" t="n">
        <x:f>COUNTIFS('Token Ledger'!$I$7:$I$40,D$6,'Token Ledger'!$J$7:$J$40,"&lt;="&amp;$B85,'Token Ledger'!$K$7:$K$40,"&gt;"&amp;$B85)</x:f>
        <x:v>0</x:v>
      </x:c>
      <x:c r="E85" s="65" t="n">
        <x:f>COUNTIFS('Token Ledger'!$I$7:$I$40,E$6,'Token Ledger'!$J$7:$J$40,"&lt;="&amp;$B85,'Token Ledger'!$K$7:$K$40,"&gt;"&amp;$B85)</x:f>
        <x:v>0</x:v>
      </x:c>
      <x:c r="F85" s="65" t="n">
        <x:f>COUNTIFS('Token Ledger'!$I$7:$I$40,F$6,'Token Ledger'!$J$7:$J$40,"&lt;="&amp;$B85,'Token Ledger'!$K$7:$K$40,"&gt;"&amp;$B85)</x:f>
        <x:v>0</x:v>
      </x:c>
      <x:c r="G85" s="65" t="n">
        <x:f>COUNTIFS('Token Ledger'!$I$7:$I$40,G$6,'Token Ledger'!$J$7:$J$40,"&lt;="&amp;$B85,'Token Ledger'!$K$7:$K$40,"&gt;"&amp;$B85)</x:f>
        <x:v>0</x:v>
      </x:c>
      <x:c r="H85" s="65" t="n">
        <x:f>COUNTIFS('Token Ledger'!$I$7:$I$40,H$6,'Token Ledger'!$J$7:$J$40,"&lt;="&amp;$B85,'Token Ledger'!$K$7:$K$40,"&gt;"&amp;$B85)</x:f>
        <x:v>0</x:v>
      </x:c>
      <x:c r="I85" s="65" t="n">
        <x:f>COUNTIFS('Token Ledger'!$I$7:$I$40,I$6,'Token Ledger'!$J$7:$J$40,"&lt;="&amp;$B85,'Token Ledger'!$K$7:$K$40,"&gt;"&amp;$B85)</x:f>
        <x:v>0</x:v>
      </x:c>
      <x:c r="J85" s="65" t="n">
        <x:f>COUNTIFS('Token Ledger'!$I$7:$I$40,J$6,'Token Ledger'!$J$7:$J$40,"&lt;="&amp;$B85,'Token Ledger'!$K$7:$K$40,"&gt;"&amp;$B85)</x:f>
        <x:v>0</x:v>
      </x:c>
      <x:c r="K85" s="65" t="n">
        <x:f>COUNTIFS('Token Ledger'!$I$7:$I$40,K$6,'Token Ledger'!$J$7:$J$40,"&lt;="&amp;$B85,'Token Ledger'!$K$7:$K$40,"&gt;"&amp;$B85)</x:f>
        <x:v>0</x:v>
      </x:c>
      <x:c r="L85" s="65" t="n">
        <x:f>COUNTIFS('Token Ledger'!$I$7:$I$40,L$6,'Token Ledger'!$J$7:$J$40,"&lt;="&amp;$B85,'Token Ledger'!$K$7:$K$40,"&gt;"&amp;$B85)</x:f>
        <x:v>0</x:v>
      </x:c>
      <x:c r="M85" s="65" t="n">
        <x:f>COUNTIFS('Token Ledger'!$I$7:$I$40,M$6,'Token Ledger'!$J$7:$J$40,"&lt;="&amp;$B85,'Token Ledger'!$K$7:$K$40,"&gt;"&amp;$B85)</x:f>
        <x:v>0</x:v>
      </x:c>
      <x:c r="N85" s="76" t="n">
        <x:f>COUNTIFS('Token Ledger'!$I$7:$I$40,N$6,'Token Ledger'!$J$7:$J$40,"&lt;="&amp;$B85,'Token Ledger'!$K$7:$K$40,"&gt;"&amp;$B85)</x:f>
        <x:v>0</x:v>
      </x:c>
    </x:row>
    <x:row r="86">
      <x:c r="B86" s="65" t="n">
        <x:v>80</x:v>
      </x:c>
      <x:c r="C86" s="65" t="n">
        <x:f>COUNTIFS('Token Ledger'!$I$7:$I$40,C$6,'Token Ledger'!$J$7:$J$40,"&lt;="&amp;$B86,'Token Ledger'!$K$7:$K$40,"&gt;"&amp;$B86)</x:f>
        <x:v>0</x:v>
      </x:c>
      <x:c r="D86" s="65" t="n">
        <x:f>COUNTIFS('Token Ledger'!$I$7:$I$40,D$6,'Token Ledger'!$J$7:$J$40,"&lt;="&amp;$B86,'Token Ledger'!$K$7:$K$40,"&gt;"&amp;$B86)</x:f>
        <x:v>0</x:v>
      </x:c>
      <x:c r="E86" s="65" t="n">
        <x:f>COUNTIFS('Token Ledger'!$I$7:$I$40,E$6,'Token Ledger'!$J$7:$J$40,"&lt;="&amp;$B86,'Token Ledger'!$K$7:$K$40,"&gt;"&amp;$B86)</x:f>
        <x:v>0</x:v>
      </x:c>
      <x:c r="F86" s="65" t="n">
        <x:f>COUNTIFS('Token Ledger'!$I$7:$I$40,F$6,'Token Ledger'!$J$7:$J$40,"&lt;="&amp;$B86,'Token Ledger'!$K$7:$K$40,"&gt;"&amp;$B86)</x:f>
        <x:v>0</x:v>
      </x:c>
      <x:c r="G86" s="65" t="n">
        <x:f>COUNTIFS('Token Ledger'!$I$7:$I$40,G$6,'Token Ledger'!$J$7:$J$40,"&lt;="&amp;$B86,'Token Ledger'!$K$7:$K$40,"&gt;"&amp;$B86)</x:f>
        <x:v>0</x:v>
      </x:c>
      <x:c r="H86" s="65" t="n">
        <x:f>COUNTIFS('Token Ledger'!$I$7:$I$40,H$6,'Token Ledger'!$J$7:$J$40,"&lt;="&amp;$B86,'Token Ledger'!$K$7:$K$40,"&gt;"&amp;$B86)</x:f>
        <x:v>0</x:v>
      </x:c>
      <x:c r="I86" s="65" t="n">
        <x:f>COUNTIFS('Token Ledger'!$I$7:$I$40,I$6,'Token Ledger'!$J$7:$J$40,"&lt;="&amp;$B86,'Token Ledger'!$K$7:$K$40,"&gt;"&amp;$B86)</x:f>
        <x:v>0</x:v>
      </x:c>
      <x:c r="J86" s="65" t="n">
        <x:f>COUNTIFS('Token Ledger'!$I$7:$I$40,J$6,'Token Ledger'!$J$7:$J$40,"&lt;="&amp;$B86,'Token Ledger'!$K$7:$K$40,"&gt;"&amp;$B86)</x:f>
        <x:v>0</x:v>
      </x:c>
      <x:c r="K86" s="65" t="n">
        <x:f>COUNTIFS('Token Ledger'!$I$7:$I$40,K$6,'Token Ledger'!$J$7:$J$40,"&lt;="&amp;$B86,'Token Ledger'!$K$7:$K$40,"&gt;"&amp;$B86)</x:f>
        <x:v>0</x:v>
      </x:c>
      <x:c r="L86" s="65" t="n">
        <x:f>COUNTIFS('Token Ledger'!$I$7:$I$40,L$6,'Token Ledger'!$J$7:$J$40,"&lt;="&amp;$B86,'Token Ledger'!$K$7:$K$40,"&gt;"&amp;$B86)</x:f>
        <x:v>0</x:v>
      </x:c>
      <x:c r="M86" s="65" t="n">
        <x:f>COUNTIFS('Token Ledger'!$I$7:$I$40,M$6,'Token Ledger'!$J$7:$J$40,"&lt;="&amp;$B86,'Token Ledger'!$K$7:$K$40,"&gt;"&amp;$B86)</x:f>
        <x:v>0</x:v>
      </x:c>
      <x:c r="N86" s="76" t="n">
        <x:f>COUNTIFS('Token Ledger'!$I$7:$I$40,N$6,'Token Ledger'!$J$7:$J$40,"&lt;="&amp;$B86,'Token Ledger'!$K$7:$K$40,"&gt;"&amp;$B86)</x:f>
        <x:v>0</x:v>
      </x:c>
    </x:row>
    <x:row r="87">
      <x:c r="B87" s="65" t="n">
        <x:v>81</x:v>
      </x:c>
      <x:c r="C87" s="65" t="n">
        <x:f>COUNTIFS('Token Ledger'!$I$7:$I$40,C$6,'Token Ledger'!$J$7:$J$40,"&lt;="&amp;$B87,'Token Ledger'!$K$7:$K$40,"&gt;"&amp;$B87)</x:f>
        <x:v>0</x:v>
      </x:c>
      <x:c r="D87" s="65" t="n">
        <x:f>COUNTIFS('Token Ledger'!$I$7:$I$40,D$6,'Token Ledger'!$J$7:$J$40,"&lt;="&amp;$B87,'Token Ledger'!$K$7:$K$40,"&gt;"&amp;$B87)</x:f>
        <x:v>0</x:v>
      </x:c>
      <x:c r="E87" s="65" t="n">
        <x:f>COUNTIFS('Token Ledger'!$I$7:$I$40,E$6,'Token Ledger'!$J$7:$J$40,"&lt;="&amp;$B87,'Token Ledger'!$K$7:$K$40,"&gt;"&amp;$B87)</x:f>
        <x:v>0</x:v>
      </x:c>
      <x:c r="F87" s="65" t="n">
        <x:f>COUNTIFS('Token Ledger'!$I$7:$I$40,F$6,'Token Ledger'!$J$7:$J$40,"&lt;="&amp;$B87,'Token Ledger'!$K$7:$K$40,"&gt;"&amp;$B87)</x:f>
        <x:v>0</x:v>
      </x:c>
      <x:c r="G87" s="65" t="n">
        <x:f>COUNTIFS('Token Ledger'!$I$7:$I$40,G$6,'Token Ledger'!$J$7:$J$40,"&lt;="&amp;$B87,'Token Ledger'!$K$7:$K$40,"&gt;"&amp;$B87)</x:f>
        <x:v>0</x:v>
      </x:c>
      <x:c r="H87" s="65" t="n">
        <x:f>COUNTIFS('Token Ledger'!$I$7:$I$40,H$6,'Token Ledger'!$J$7:$J$40,"&lt;="&amp;$B87,'Token Ledger'!$K$7:$K$40,"&gt;"&amp;$B87)</x:f>
        <x:v>0</x:v>
      </x:c>
      <x:c r="I87" s="65" t="n">
        <x:f>COUNTIFS('Token Ledger'!$I$7:$I$40,I$6,'Token Ledger'!$J$7:$J$40,"&lt;="&amp;$B87,'Token Ledger'!$K$7:$K$40,"&gt;"&amp;$B87)</x:f>
        <x:v>0</x:v>
      </x:c>
      <x:c r="J87" s="65" t="n">
        <x:f>COUNTIFS('Token Ledger'!$I$7:$I$40,J$6,'Token Ledger'!$J$7:$J$40,"&lt;="&amp;$B87,'Token Ledger'!$K$7:$K$40,"&gt;"&amp;$B87)</x:f>
        <x:v>0</x:v>
      </x:c>
      <x:c r="K87" s="65" t="n">
        <x:f>COUNTIFS('Token Ledger'!$I$7:$I$40,K$6,'Token Ledger'!$J$7:$J$40,"&lt;="&amp;$B87,'Token Ledger'!$K$7:$K$40,"&gt;"&amp;$B87)</x:f>
        <x:v>0</x:v>
      </x:c>
      <x:c r="L87" s="65" t="n">
        <x:f>COUNTIFS('Token Ledger'!$I$7:$I$40,L$6,'Token Ledger'!$J$7:$J$40,"&lt;="&amp;$B87,'Token Ledger'!$K$7:$K$40,"&gt;"&amp;$B87)</x:f>
        <x:v>0</x:v>
      </x:c>
      <x:c r="M87" s="65" t="n">
        <x:f>COUNTIFS('Token Ledger'!$I$7:$I$40,M$6,'Token Ledger'!$J$7:$J$40,"&lt;="&amp;$B87,'Token Ledger'!$K$7:$K$40,"&gt;"&amp;$B87)</x:f>
        <x:v>0</x:v>
      </x:c>
      <x:c r="N87" s="76" t="n">
        <x:f>COUNTIFS('Token Ledger'!$I$7:$I$40,N$6,'Token Ledger'!$J$7:$J$40,"&lt;="&amp;$B87,'Token Ledger'!$K$7:$K$40,"&gt;"&amp;$B87)</x:f>
        <x:v>0</x:v>
      </x:c>
    </x:row>
    <x:row r="88">
      <x:c r="B88" s="65" t="n">
        <x:v>82</x:v>
      </x:c>
      <x:c r="C88" s="65" t="n">
        <x:f>COUNTIFS('Token Ledger'!$I$7:$I$40,C$6,'Token Ledger'!$J$7:$J$40,"&lt;="&amp;$B88,'Token Ledger'!$K$7:$K$40,"&gt;"&amp;$B88)</x:f>
        <x:v>0</x:v>
      </x:c>
      <x:c r="D88" s="65" t="n">
        <x:f>COUNTIFS('Token Ledger'!$I$7:$I$40,D$6,'Token Ledger'!$J$7:$J$40,"&lt;="&amp;$B88,'Token Ledger'!$K$7:$K$40,"&gt;"&amp;$B88)</x:f>
        <x:v>0</x:v>
      </x:c>
      <x:c r="E88" s="65" t="n">
        <x:f>COUNTIFS('Token Ledger'!$I$7:$I$40,E$6,'Token Ledger'!$J$7:$J$40,"&lt;="&amp;$B88,'Token Ledger'!$K$7:$K$40,"&gt;"&amp;$B88)</x:f>
        <x:v>0</x:v>
      </x:c>
      <x:c r="F88" s="65" t="n">
        <x:f>COUNTIFS('Token Ledger'!$I$7:$I$40,F$6,'Token Ledger'!$J$7:$J$40,"&lt;="&amp;$B88,'Token Ledger'!$K$7:$K$40,"&gt;"&amp;$B88)</x:f>
        <x:v>0</x:v>
      </x:c>
      <x:c r="G88" s="65" t="n">
        <x:f>COUNTIFS('Token Ledger'!$I$7:$I$40,G$6,'Token Ledger'!$J$7:$J$40,"&lt;="&amp;$B88,'Token Ledger'!$K$7:$K$40,"&gt;"&amp;$B88)</x:f>
        <x:v>0</x:v>
      </x:c>
      <x:c r="H88" s="65" t="n">
        <x:f>COUNTIFS('Token Ledger'!$I$7:$I$40,H$6,'Token Ledger'!$J$7:$J$40,"&lt;="&amp;$B88,'Token Ledger'!$K$7:$K$40,"&gt;"&amp;$B88)</x:f>
        <x:v>0</x:v>
      </x:c>
      <x:c r="I88" s="65" t="n">
        <x:f>COUNTIFS('Token Ledger'!$I$7:$I$40,I$6,'Token Ledger'!$J$7:$J$40,"&lt;="&amp;$B88,'Token Ledger'!$K$7:$K$40,"&gt;"&amp;$B88)</x:f>
        <x:v>0</x:v>
      </x:c>
      <x:c r="J88" s="65" t="n">
        <x:f>COUNTIFS('Token Ledger'!$I$7:$I$40,J$6,'Token Ledger'!$J$7:$J$40,"&lt;="&amp;$B88,'Token Ledger'!$K$7:$K$40,"&gt;"&amp;$B88)</x:f>
        <x:v>0</x:v>
      </x:c>
      <x:c r="K88" s="65" t="n">
        <x:f>COUNTIFS('Token Ledger'!$I$7:$I$40,K$6,'Token Ledger'!$J$7:$J$40,"&lt;="&amp;$B88,'Token Ledger'!$K$7:$K$40,"&gt;"&amp;$B88)</x:f>
        <x:v>0</x:v>
      </x:c>
      <x:c r="L88" s="65" t="n">
        <x:f>COUNTIFS('Token Ledger'!$I$7:$I$40,L$6,'Token Ledger'!$J$7:$J$40,"&lt;="&amp;$B88,'Token Ledger'!$K$7:$K$40,"&gt;"&amp;$B88)</x:f>
        <x:v>0</x:v>
      </x:c>
      <x:c r="M88" s="65" t="n">
        <x:f>COUNTIFS('Token Ledger'!$I$7:$I$40,M$6,'Token Ledger'!$J$7:$J$40,"&lt;="&amp;$B88,'Token Ledger'!$K$7:$K$40,"&gt;"&amp;$B88)</x:f>
        <x:v>0</x:v>
      </x:c>
      <x:c r="N88" s="76" t="n">
        <x:f>COUNTIFS('Token Ledger'!$I$7:$I$40,N$6,'Token Ledger'!$J$7:$J$40,"&lt;="&amp;$B88,'Token Ledger'!$K$7:$K$40,"&gt;"&amp;$B88)</x:f>
        <x:v>0</x:v>
      </x:c>
    </x:row>
    <x:row r="89">
      <x:c r="B89" s="65" t="n">
        <x:v>83</x:v>
      </x:c>
      <x:c r="C89" s="65" t="n">
        <x:f>COUNTIFS('Token Ledger'!$I$7:$I$40,C$6,'Token Ledger'!$J$7:$J$40,"&lt;="&amp;$B89,'Token Ledger'!$K$7:$K$40,"&gt;"&amp;$B89)</x:f>
        <x:v>0</x:v>
      </x:c>
      <x:c r="D89" s="65" t="n">
        <x:f>COUNTIFS('Token Ledger'!$I$7:$I$40,D$6,'Token Ledger'!$J$7:$J$40,"&lt;="&amp;$B89,'Token Ledger'!$K$7:$K$40,"&gt;"&amp;$B89)</x:f>
        <x:v>0</x:v>
      </x:c>
      <x:c r="E89" s="65" t="n">
        <x:f>COUNTIFS('Token Ledger'!$I$7:$I$40,E$6,'Token Ledger'!$J$7:$J$40,"&lt;="&amp;$B89,'Token Ledger'!$K$7:$K$40,"&gt;"&amp;$B89)</x:f>
        <x:v>0</x:v>
      </x:c>
      <x:c r="F89" s="65" t="n">
        <x:f>COUNTIFS('Token Ledger'!$I$7:$I$40,F$6,'Token Ledger'!$J$7:$J$40,"&lt;="&amp;$B89,'Token Ledger'!$K$7:$K$40,"&gt;"&amp;$B89)</x:f>
        <x:v>0</x:v>
      </x:c>
      <x:c r="G89" s="65" t="n">
        <x:f>COUNTIFS('Token Ledger'!$I$7:$I$40,G$6,'Token Ledger'!$J$7:$J$40,"&lt;="&amp;$B89,'Token Ledger'!$K$7:$K$40,"&gt;"&amp;$B89)</x:f>
        <x:v>0</x:v>
      </x:c>
      <x:c r="H89" s="65" t="n">
        <x:f>COUNTIFS('Token Ledger'!$I$7:$I$40,H$6,'Token Ledger'!$J$7:$J$40,"&lt;="&amp;$B89,'Token Ledger'!$K$7:$K$40,"&gt;"&amp;$B89)</x:f>
        <x:v>0</x:v>
      </x:c>
      <x:c r="I89" s="65" t="n">
        <x:f>COUNTIFS('Token Ledger'!$I$7:$I$40,I$6,'Token Ledger'!$J$7:$J$40,"&lt;="&amp;$B89,'Token Ledger'!$K$7:$K$40,"&gt;"&amp;$B89)</x:f>
        <x:v>0</x:v>
      </x:c>
      <x:c r="J89" s="65" t="n">
        <x:f>COUNTIFS('Token Ledger'!$I$7:$I$40,J$6,'Token Ledger'!$J$7:$J$40,"&lt;="&amp;$B89,'Token Ledger'!$K$7:$K$40,"&gt;"&amp;$B89)</x:f>
        <x:v>0</x:v>
      </x:c>
      <x:c r="K89" s="65" t="n">
        <x:f>COUNTIFS('Token Ledger'!$I$7:$I$40,K$6,'Token Ledger'!$J$7:$J$40,"&lt;="&amp;$B89,'Token Ledger'!$K$7:$K$40,"&gt;"&amp;$B89)</x:f>
        <x:v>0</x:v>
      </x:c>
      <x:c r="L89" s="65" t="n">
        <x:f>COUNTIFS('Token Ledger'!$I$7:$I$40,L$6,'Token Ledger'!$J$7:$J$40,"&lt;="&amp;$B89,'Token Ledger'!$K$7:$K$40,"&gt;"&amp;$B89)</x:f>
        <x:v>0</x:v>
      </x:c>
      <x:c r="M89" s="65" t="n">
        <x:f>COUNTIFS('Token Ledger'!$I$7:$I$40,M$6,'Token Ledger'!$J$7:$J$40,"&lt;="&amp;$B89,'Token Ledger'!$K$7:$K$40,"&gt;"&amp;$B89)</x:f>
        <x:v>0</x:v>
      </x:c>
      <x:c r="N89" s="76" t="n">
        <x:f>COUNTIFS('Token Ledger'!$I$7:$I$40,N$6,'Token Ledger'!$J$7:$J$40,"&lt;="&amp;$B89,'Token Ledger'!$K$7:$K$40,"&gt;"&amp;$B89)</x:f>
        <x:v>0</x:v>
      </x:c>
    </x:row>
    <x:row r="90">
      <x:c r="B90" s="65" t="n">
        <x:v>84</x:v>
      </x:c>
      <x:c r="C90" s="65" t="n">
        <x:f>COUNTIFS('Token Ledger'!$I$7:$I$40,C$6,'Token Ledger'!$J$7:$J$40,"&lt;="&amp;$B90,'Token Ledger'!$K$7:$K$40,"&gt;"&amp;$B90)</x:f>
        <x:v>0</x:v>
      </x:c>
      <x:c r="D90" s="65" t="n">
        <x:f>COUNTIFS('Token Ledger'!$I$7:$I$40,D$6,'Token Ledger'!$J$7:$J$40,"&lt;="&amp;$B90,'Token Ledger'!$K$7:$K$40,"&gt;"&amp;$B90)</x:f>
        <x:v>0</x:v>
      </x:c>
      <x:c r="E90" s="65" t="n">
        <x:f>COUNTIFS('Token Ledger'!$I$7:$I$40,E$6,'Token Ledger'!$J$7:$J$40,"&lt;="&amp;$B90,'Token Ledger'!$K$7:$K$40,"&gt;"&amp;$B90)</x:f>
        <x:v>0</x:v>
      </x:c>
      <x:c r="F90" s="65" t="n">
        <x:f>COUNTIFS('Token Ledger'!$I$7:$I$40,F$6,'Token Ledger'!$J$7:$J$40,"&lt;="&amp;$B90,'Token Ledger'!$K$7:$K$40,"&gt;"&amp;$B90)</x:f>
        <x:v>0</x:v>
      </x:c>
      <x:c r="G90" s="65" t="n">
        <x:f>COUNTIFS('Token Ledger'!$I$7:$I$40,G$6,'Token Ledger'!$J$7:$J$40,"&lt;="&amp;$B90,'Token Ledger'!$K$7:$K$40,"&gt;"&amp;$B90)</x:f>
        <x:v>0</x:v>
      </x:c>
      <x:c r="H90" s="65" t="n">
        <x:f>COUNTIFS('Token Ledger'!$I$7:$I$40,H$6,'Token Ledger'!$J$7:$J$40,"&lt;="&amp;$B90,'Token Ledger'!$K$7:$K$40,"&gt;"&amp;$B90)</x:f>
        <x:v>0</x:v>
      </x:c>
      <x:c r="I90" s="65" t="n">
        <x:f>COUNTIFS('Token Ledger'!$I$7:$I$40,I$6,'Token Ledger'!$J$7:$J$40,"&lt;="&amp;$B90,'Token Ledger'!$K$7:$K$40,"&gt;"&amp;$B90)</x:f>
        <x:v>0</x:v>
      </x:c>
      <x:c r="J90" s="65" t="n">
        <x:f>COUNTIFS('Token Ledger'!$I$7:$I$40,J$6,'Token Ledger'!$J$7:$J$40,"&lt;="&amp;$B90,'Token Ledger'!$K$7:$K$40,"&gt;"&amp;$B90)</x:f>
        <x:v>0</x:v>
      </x:c>
      <x:c r="K90" s="65" t="n">
        <x:f>COUNTIFS('Token Ledger'!$I$7:$I$40,K$6,'Token Ledger'!$J$7:$J$40,"&lt;="&amp;$B90,'Token Ledger'!$K$7:$K$40,"&gt;"&amp;$B90)</x:f>
        <x:v>0</x:v>
      </x:c>
      <x:c r="L90" s="65" t="n">
        <x:f>COUNTIFS('Token Ledger'!$I$7:$I$40,L$6,'Token Ledger'!$J$7:$J$40,"&lt;="&amp;$B90,'Token Ledger'!$K$7:$K$40,"&gt;"&amp;$B90)</x:f>
        <x:v>0</x:v>
      </x:c>
      <x:c r="M90" s="65" t="n">
        <x:f>COUNTIFS('Token Ledger'!$I$7:$I$40,M$6,'Token Ledger'!$J$7:$J$40,"&lt;="&amp;$B90,'Token Ledger'!$K$7:$K$40,"&gt;"&amp;$B90)</x:f>
        <x:v>0</x:v>
      </x:c>
      <x:c r="N90" s="76" t="n">
        <x:f>COUNTIFS('Token Ledger'!$I$7:$I$40,N$6,'Token Ledger'!$J$7:$J$40,"&lt;="&amp;$B90,'Token Ledger'!$K$7:$K$40,"&gt;"&amp;$B90)</x:f>
        <x:v>0</x:v>
      </x:c>
    </x:row>
    <x:row r="91">
      <x:c r="B91" s="65" t="n">
        <x:v>85</x:v>
      </x:c>
      <x:c r="C91" s="65" t="n">
        <x:f>COUNTIFS('Token Ledger'!$I$7:$I$40,C$6,'Token Ledger'!$J$7:$J$40,"&lt;="&amp;$B91,'Token Ledger'!$K$7:$K$40,"&gt;"&amp;$B91)</x:f>
        <x:v>0</x:v>
      </x:c>
      <x:c r="D91" s="65" t="n">
        <x:f>COUNTIFS('Token Ledger'!$I$7:$I$40,D$6,'Token Ledger'!$J$7:$J$40,"&lt;="&amp;$B91,'Token Ledger'!$K$7:$K$40,"&gt;"&amp;$B91)</x:f>
        <x:v>0</x:v>
      </x:c>
      <x:c r="E91" s="65" t="n">
        <x:f>COUNTIFS('Token Ledger'!$I$7:$I$40,E$6,'Token Ledger'!$J$7:$J$40,"&lt;="&amp;$B91,'Token Ledger'!$K$7:$K$40,"&gt;"&amp;$B91)</x:f>
        <x:v>0</x:v>
      </x:c>
      <x:c r="F91" s="65" t="n">
        <x:f>COUNTIFS('Token Ledger'!$I$7:$I$40,F$6,'Token Ledger'!$J$7:$J$40,"&lt;="&amp;$B91,'Token Ledger'!$K$7:$K$40,"&gt;"&amp;$B91)</x:f>
        <x:v>0</x:v>
      </x:c>
      <x:c r="G91" s="65" t="n">
        <x:f>COUNTIFS('Token Ledger'!$I$7:$I$40,G$6,'Token Ledger'!$J$7:$J$40,"&lt;="&amp;$B91,'Token Ledger'!$K$7:$K$40,"&gt;"&amp;$B91)</x:f>
        <x:v>0</x:v>
      </x:c>
      <x:c r="H91" s="65" t="n">
        <x:f>COUNTIFS('Token Ledger'!$I$7:$I$40,H$6,'Token Ledger'!$J$7:$J$40,"&lt;="&amp;$B91,'Token Ledger'!$K$7:$K$40,"&gt;"&amp;$B91)</x:f>
        <x:v>0</x:v>
      </x:c>
      <x:c r="I91" s="65" t="n">
        <x:f>COUNTIFS('Token Ledger'!$I$7:$I$40,I$6,'Token Ledger'!$J$7:$J$40,"&lt;="&amp;$B91,'Token Ledger'!$K$7:$K$40,"&gt;"&amp;$B91)</x:f>
        <x:v>0</x:v>
      </x:c>
      <x:c r="J91" s="65" t="n">
        <x:f>COUNTIFS('Token Ledger'!$I$7:$I$40,J$6,'Token Ledger'!$J$7:$J$40,"&lt;="&amp;$B91,'Token Ledger'!$K$7:$K$40,"&gt;"&amp;$B91)</x:f>
        <x:v>0</x:v>
      </x:c>
      <x:c r="K91" s="65" t="n">
        <x:f>COUNTIFS('Token Ledger'!$I$7:$I$40,K$6,'Token Ledger'!$J$7:$J$40,"&lt;="&amp;$B91,'Token Ledger'!$K$7:$K$40,"&gt;"&amp;$B91)</x:f>
        <x:v>0</x:v>
      </x:c>
      <x:c r="L91" s="65" t="n">
        <x:f>COUNTIFS('Token Ledger'!$I$7:$I$40,L$6,'Token Ledger'!$J$7:$J$40,"&lt;="&amp;$B91,'Token Ledger'!$K$7:$K$40,"&gt;"&amp;$B91)</x:f>
        <x:v>0</x:v>
      </x:c>
      <x:c r="M91" s="65" t="n">
        <x:f>COUNTIFS('Token Ledger'!$I$7:$I$40,M$6,'Token Ledger'!$J$7:$J$40,"&lt;="&amp;$B91,'Token Ledger'!$K$7:$K$40,"&gt;"&amp;$B91)</x:f>
        <x:v>0</x:v>
      </x:c>
      <x:c r="N91" s="76" t="n">
        <x:f>COUNTIFS('Token Ledger'!$I$7:$I$40,N$6,'Token Ledger'!$J$7:$J$40,"&lt;="&amp;$B91,'Token Ledger'!$K$7:$K$40,"&gt;"&amp;$B91)</x:f>
        <x:v>0</x:v>
      </x:c>
    </x:row>
    <x:row r="92">
      <x:c r="B92" s="65" t="n">
        <x:v>86</x:v>
      </x:c>
      <x:c r="C92" s="65" t="n">
        <x:f>COUNTIFS('Token Ledger'!$I$7:$I$40,C$6,'Token Ledger'!$J$7:$J$40,"&lt;="&amp;$B92,'Token Ledger'!$K$7:$K$40,"&gt;"&amp;$B92)</x:f>
        <x:v>0</x:v>
      </x:c>
      <x:c r="D92" s="65" t="n">
        <x:f>COUNTIFS('Token Ledger'!$I$7:$I$40,D$6,'Token Ledger'!$J$7:$J$40,"&lt;="&amp;$B92,'Token Ledger'!$K$7:$K$40,"&gt;"&amp;$B92)</x:f>
        <x:v>0</x:v>
      </x:c>
      <x:c r="E92" s="65" t="n">
        <x:f>COUNTIFS('Token Ledger'!$I$7:$I$40,E$6,'Token Ledger'!$J$7:$J$40,"&lt;="&amp;$B92,'Token Ledger'!$K$7:$K$40,"&gt;"&amp;$B92)</x:f>
        <x:v>0</x:v>
      </x:c>
      <x:c r="F92" s="65" t="n">
        <x:f>COUNTIFS('Token Ledger'!$I$7:$I$40,F$6,'Token Ledger'!$J$7:$J$40,"&lt;="&amp;$B92,'Token Ledger'!$K$7:$K$40,"&gt;"&amp;$B92)</x:f>
        <x:v>0</x:v>
      </x:c>
      <x:c r="G92" s="65" t="n">
        <x:f>COUNTIFS('Token Ledger'!$I$7:$I$40,G$6,'Token Ledger'!$J$7:$J$40,"&lt;="&amp;$B92,'Token Ledger'!$K$7:$K$40,"&gt;"&amp;$B92)</x:f>
        <x:v>0</x:v>
      </x:c>
      <x:c r="H92" s="65" t="n">
        <x:f>COUNTIFS('Token Ledger'!$I$7:$I$40,H$6,'Token Ledger'!$J$7:$J$40,"&lt;="&amp;$B92,'Token Ledger'!$K$7:$K$40,"&gt;"&amp;$B92)</x:f>
        <x:v>0</x:v>
      </x:c>
      <x:c r="I92" s="65" t="n">
        <x:f>COUNTIFS('Token Ledger'!$I$7:$I$40,I$6,'Token Ledger'!$J$7:$J$40,"&lt;="&amp;$B92,'Token Ledger'!$K$7:$K$40,"&gt;"&amp;$B92)</x:f>
        <x:v>0</x:v>
      </x:c>
      <x:c r="J92" s="65" t="n">
        <x:f>COUNTIFS('Token Ledger'!$I$7:$I$40,J$6,'Token Ledger'!$J$7:$J$40,"&lt;="&amp;$B92,'Token Ledger'!$K$7:$K$40,"&gt;"&amp;$B92)</x:f>
        <x:v>0</x:v>
      </x:c>
      <x:c r="K92" s="65" t="n">
        <x:f>COUNTIFS('Token Ledger'!$I$7:$I$40,K$6,'Token Ledger'!$J$7:$J$40,"&lt;="&amp;$B92,'Token Ledger'!$K$7:$K$40,"&gt;"&amp;$B92)</x:f>
        <x:v>0</x:v>
      </x:c>
      <x:c r="L92" s="65" t="n">
        <x:f>COUNTIFS('Token Ledger'!$I$7:$I$40,L$6,'Token Ledger'!$J$7:$J$40,"&lt;="&amp;$B92,'Token Ledger'!$K$7:$K$40,"&gt;"&amp;$B92)</x:f>
        <x:v>0</x:v>
      </x:c>
      <x:c r="M92" s="65" t="n">
        <x:f>COUNTIFS('Token Ledger'!$I$7:$I$40,M$6,'Token Ledger'!$J$7:$J$40,"&lt;="&amp;$B92,'Token Ledger'!$K$7:$K$40,"&gt;"&amp;$B92)</x:f>
        <x:v>0</x:v>
      </x:c>
      <x:c r="N92" s="76" t="n">
        <x:f>COUNTIFS('Token Ledger'!$I$7:$I$40,N$6,'Token Ledger'!$J$7:$J$40,"&lt;="&amp;$B92,'Token Ledger'!$K$7:$K$40,"&gt;"&amp;$B92)</x:f>
        <x:v>0</x:v>
      </x:c>
    </x:row>
    <x:row r="93">
      <x:c r="B93" s="65" t="n">
        <x:v>87</x:v>
      </x:c>
      <x:c r="C93" s="65" t="n">
        <x:f>COUNTIFS('Token Ledger'!$I$7:$I$40,C$6,'Token Ledger'!$J$7:$J$40,"&lt;="&amp;$B93,'Token Ledger'!$K$7:$K$40,"&gt;"&amp;$B93)</x:f>
        <x:v>0</x:v>
      </x:c>
      <x:c r="D93" s="65" t="n">
        <x:f>COUNTIFS('Token Ledger'!$I$7:$I$40,D$6,'Token Ledger'!$J$7:$J$40,"&lt;="&amp;$B93,'Token Ledger'!$K$7:$K$40,"&gt;"&amp;$B93)</x:f>
        <x:v>0</x:v>
      </x:c>
      <x:c r="E93" s="65" t="n">
        <x:f>COUNTIFS('Token Ledger'!$I$7:$I$40,E$6,'Token Ledger'!$J$7:$J$40,"&lt;="&amp;$B93,'Token Ledger'!$K$7:$K$40,"&gt;"&amp;$B93)</x:f>
        <x:v>0</x:v>
      </x:c>
      <x:c r="F93" s="65" t="n">
        <x:f>COUNTIFS('Token Ledger'!$I$7:$I$40,F$6,'Token Ledger'!$J$7:$J$40,"&lt;="&amp;$B93,'Token Ledger'!$K$7:$K$40,"&gt;"&amp;$B93)</x:f>
        <x:v>0</x:v>
      </x:c>
      <x:c r="G93" s="65" t="n">
        <x:f>COUNTIFS('Token Ledger'!$I$7:$I$40,G$6,'Token Ledger'!$J$7:$J$40,"&lt;="&amp;$B93,'Token Ledger'!$K$7:$K$40,"&gt;"&amp;$B93)</x:f>
        <x:v>0</x:v>
      </x:c>
      <x:c r="H93" s="65" t="n">
        <x:f>COUNTIFS('Token Ledger'!$I$7:$I$40,H$6,'Token Ledger'!$J$7:$J$40,"&lt;="&amp;$B93,'Token Ledger'!$K$7:$K$40,"&gt;"&amp;$B93)</x:f>
        <x:v>0</x:v>
      </x:c>
      <x:c r="I93" s="65" t="n">
        <x:f>COUNTIFS('Token Ledger'!$I$7:$I$40,I$6,'Token Ledger'!$J$7:$J$40,"&lt;="&amp;$B93,'Token Ledger'!$K$7:$K$40,"&gt;"&amp;$B93)</x:f>
        <x:v>0</x:v>
      </x:c>
      <x:c r="J93" s="65" t="n">
        <x:f>COUNTIFS('Token Ledger'!$I$7:$I$40,J$6,'Token Ledger'!$J$7:$J$40,"&lt;="&amp;$B93,'Token Ledger'!$K$7:$K$40,"&gt;"&amp;$B93)</x:f>
        <x:v>0</x:v>
      </x:c>
      <x:c r="K93" s="65" t="n">
        <x:f>COUNTIFS('Token Ledger'!$I$7:$I$40,K$6,'Token Ledger'!$J$7:$J$40,"&lt;="&amp;$B93,'Token Ledger'!$K$7:$K$40,"&gt;"&amp;$B93)</x:f>
        <x:v>0</x:v>
      </x:c>
      <x:c r="L93" s="65" t="n">
        <x:f>COUNTIFS('Token Ledger'!$I$7:$I$40,L$6,'Token Ledger'!$J$7:$J$40,"&lt;="&amp;$B93,'Token Ledger'!$K$7:$K$40,"&gt;"&amp;$B93)</x:f>
        <x:v>0</x:v>
      </x:c>
      <x:c r="M93" s="65" t="n">
        <x:f>COUNTIFS('Token Ledger'!$I$7:$I$40,M$6,'Token Ledger'!$J$7:$J$40,"&lt;="&amp;$B93,'Token Ledger'!$K$7:$K$40,"&gt;"&amp;$B93)</x:f>
        <x:v>0</x:v>
      </x:c>
      <x:c r="N93" s="76" t="n">
        <x:f>COUNTIFS('Token Ledger'!$I$7:$I$40,N$6,'Token Ledger'!$J$7:$J$40,"&lt;="&amp;$B93,'Token Ledger'!$K$7:$K$40,"&gt;"&amp;$B93)</x:f>
        <x:v>0</x:v>
      </x:c>
    </x:row>
    <x:row r="94">
      <x:c r="B94" s="65" t="n">
        <x:v>88</x:v>
      </x:c>
      <x:c r="C94" s="65" t="n">
        <x:f>COUNTIFS('Token Ledger'!$I$7:$I$40,C$6,'Token Ledger'!$J$7:$J$40,"&lt;="&amp;$B94,'Token Ledger'!$K$7:$K$40,"&gt;"&amp;$B94)</x:f>
        <x:v>0</x:v>
      </x:c>
      <x:c r="D94" s="65" t="n">
        <x:f>COUNTIFS('Token Ledger'!$I$7:$I$40,D$6,'Token Ledger'!$J$7:$J$40,"&lt;="&amp;$B94,'Token Ledger'!$K$7:$K$40,"&gt;"&amp;$B94)</x:f>
        <x:v>0</x:v>
      </x:c>
      <x:c r="E94" s="65" t="n">
        <x:f>COUNTIFS('Token Ledger'!$I$7:$I$40,E$6,'Token Ledger'!$J$7:$J$40,"&lt;="&amp;$B94,'Token Ledger'!$K$7:$K$40,"&gt;"&amp;$B94)</x:f>
        <x:v>0</x:v>
      </x:c>
      <x:c r="F94" s="65" t="n">
        <x:f>COUNTIFS('Token Ledger'!$I$7:$I$40,F$6,'Token Ledger'!$J$7:$J$40,"&lt;="&amp;$B94,'Token Ledger'!$K$7:$K$40,"&gt;"&amp;$B94)</x:f>
        <x:v>0</x:v>
      </x:c>
      <x:c r="G94" s="65" t="n">
        <x:f>COUNTIFS('Token Ledger'!$I$7:$I$40,G$6,'Token Ledger'!$J$7:$J$40,"&lt;="&amp;$B94,'Token Ledger'!$K$7:$K$40,"&gt;"&amp;$B94)</x:f>
        <x:v>0</x:v>
      </x:c>
      <x:c r="H94" s="65" t="n">
        <x:f>COUNTIFS('Token Ledger'!$I$7:$I$40,H$6,'Token Ledger'!$J$7:$J$40,"&lt;="&amp;$B94,'Token Ledger'!$K$7:$K$40,"&gt;"&amp;$B94)</x:f>
        <x:v>0</x:v>
      </x:c>
      <x:c r="I94" s="65" t="n">
        <x:f>COUNTIFS('Token Ledger'!$I$7:$I$40,I$6,'Token Ledger'!$J$7:$J$40,"&lt;="&amp;$B94,'Token Ledger'!$K$7:$K$40,"&gt;"&amp;$B94)</x:f>
        <x:v>0</x:v>
      </x:c>
      <x:c r="J94" s="65" t="n">
        <x:f>COUNTIFS('Token Ledger'!$I$7:$I$40,J$6,'Token Ledger'!$J$7:$J$40,"&lt;="&amp;$B94,'Token Ledger'!$K$7:$K$40,"&gt;"&amp;$B94)</x:f>
        <x:v>0</x:v>
      </x:c>
      <x:c r="K94" s="65" t="n">
        <x:f>COUNTIFS('Token Ledger'!$I$7:$I$40,K$6,'Token Ledger'!$J$7:$J$40,"&lt;="&amp;$B94,'Token Ledger'!$K$7:$K$40,"&gt;"&amp;$B94)</x:f>
        <x:v>0</x:v>
      </x:c>
      <x:c r="L94" s="65" t="n">
        <x:f>COUNTIFS('Token Ledger'!$I$7:$I$40,L$6,'Token Ledger'!$J$7:$J$40,"&lt;="&amp;$B94,'Token Ledger'!$K$7:$K$40,"&gt;"&amp;$B94)</x:f>
        <x:v>0</x:v>
      </x:c>
      <x:c r="M94" s="65" t="n">
        <x:f>COUNTIFS('Token Ledger'!$I$7:$I$40,M$6,'Token Ledger'!$J$7:$J$40,"&lt;="&amp;$B94,'Token Ledger'!$K$7:$K$40,"&gt;"&amp;$B94)</x:f>
        <x:v>0</x:v>
      </x:c>
      <x:c r="N94" s="76" t="n">
        <x:f>COUNTIFS('Token Ledger'!$I$7:$I$40,N$6,'Token Ledger'!$J$7:$J$40,"&lt;="&amp;$B94,'Token Ledger'!$K$7:$K$40,"&gt;"&amp;$B94)</x:f>
        <x:v>0</x:v>
      </x:c>
    </x:row>
    <x:row r="95">
      <x:c r="B95" s="65" t="n">
        <x:v>89</x:v>
      </x:c>
      <x:c r="C95" s="65" t="n">
        <x:f>COUNTIFS('Token Ledger'!$I$7:$I$40,C$6,'Token Ledger'!$J$7:$J$40,"&lt;="&amp;$B95,'Token Ledger'!$K$7:$K$40,"&gt;"&amp;$B95)</x:f>
        <x:v>0</x:v>
      </x:c>
      <x:c r="D95" s="65" t="n">
        <x:f>COUNTIFS('Token Ledger'!$I$7:$I$40,D$6,'Token Ledger'!$J$7:$J$40,"&lt;="&amp;$B95,'Token Ledger'!$K$7:$K$40,"&gt;"&amp;$B95)</x:f>
        <x:v>0</x:v>
      </x:c>
      <x:c r="E95" s="65" t="n">
        <x:f>COUNTIFS('Token Ledger'!$I$7:$I$40,E$6,'Token Ledger'!$J$7:$J$40,"&lt;="&amp;$B95,'Token Ledger'!$K$7:$K$40,"&gt;"&amp;$B95)</x:f>
        <x:v>0</x:v>
      </x:c>
      <x:c r="F95" s="65" t="n">
        <x:f>COUNTIFS('Token Ledger'!$I$7:$I$40,F$6,'Token Ledger'!$J$7:$J$40,"&lt;="&amp;$B95,'Token Ledger'!$K$7:$K$40,"&gt;"&amp;$B95)</x:f>
        <x:v>0</x:v>
      </x:c>
      <x:c r="G95" s="65" t="n">
        <x:f>COUNTIFS('Token Ledger'!$I$7:$I$40,G$6,'Token Ledger'!$J$7:$J$40,"&lt;="&amp;$B95,'Token Ledger'!$K$7:$K$40,"&gt;"&amp;$B95)</x:f>
        <x:v>0</x:v>
      </x:c>
      <x:c r="H95" s="65" t="n">
        <x:f>COUNTIFS('Token Ledger'!$I$7:$I$40,H$6,'Token Ledger'!$J$7:$J$40,"&lt;="&amp;$B95,'Token Ledger'!$K$7:$K$40,"&gt;"&amp;$B95)</x:f>
        <x:v>0</x:v>
      </x:c>
      <x:c r="I95" s="65" t="n">
        <x:f>COUNTIFS('Token Ledger'!$I$7:$I$40,I$6,'Token Ledger'!$J$7:$J$40,"&lt;="&amp;$B95,'Token Ledger'!$K$7:$K$40,"&gt;"&amp;$B95)</x:f>
        <x:v>0</x:v>
      </x:c>
      <x:c r="J95" s="65" t="n">
        <x:f>COUNTIFS('Token Ledger'!$I$7:$I$40,J$6,'Token Ledger'!$J$7:$J$40,"&lt;="&amp;$B95,'Token Ledger'!$K$7:$K$40,"&gt;"&amp;$B95)</x:f>
        <x:v>0</x:v>
      </x:c>
      <x:c r="K95" s="65" t="n">
        <x:f>COUNTIFS('Token Ledger'!$I$7:$I$40,K$6,'Token Ledger'!$J$7:$J$40,"&lt;="&amp;$B95,'Token Ledger'!$K$7:$K$40,"&gt;"&amp;$B95)</x:f>
        <x:v>0</x:v>
      </x:c>
      <x:c r="L95" s="65" t="n">
        <x:f>COUNTIFS('Token Ledger'!$I$7:$I$40,L$6,'Token Ledger'!$J$7:$J$40,"&lt;="&amp;$B95,'Token Ledger'!$K$7:$K$40,"&gt;"&amp;$B95)</x:f>
        <x:v>0</x:v>
      </x:c>
      <x:c r="M95" s="65" t="n">
        <x:f>COUNTIFS('Token Ledger'!$I$7:$I$40,M$6,'Token Ledger'!$J$7:$J$40,"&lt;="&amp;$B95,'Token Ledger'!$K$7:$K$40,"&gt;"&amp;$B95)</x:f>
        <x:v>0</x:v>
      </x:c>
      <x:c r="N95" s="76" t="n">
        <x:f>COUNTIFS('Token Ledger'!$I$7:$I$40,N$6,'Token Ledger'!$J$7:$J$40,"&lt;="&amp;$B95,'Token Ledger'!$K$7:$K$40,"&gt;"&amp;$B95)</x:f>
        <x:v>0</x:v>
      </x:c>
    </x:row>
    <x:row r="96">
      <x:c r="B96" s="65" t="n">
        <x:v>90</x:v>
      </x:c>
      <x:c r="C96" s="65" t="n">
        <x:f>COUNTIFS('Token Ledger'!$I$7:$I$40,C$6,'Token Ledger'!$J$7:$J$40,"&lt;="&amp;$B96,'Token Ledger'!$K$7:$K$40,"&gt;"&amp;$B96)</x:f>
        <x:v>0</x:v>
      </x:c>
      <x:c r="D96" s="65" t="n">
        <x:f>COUNTIFS('Token Ledger'!$I$7:$I$40,D$6,'Token Ledger'!$J$7:$J$40,"&lt;="&amp;$B96,'Token Ledger'!$K$7:$K$40,"&gt;"&amp;$B96)</x:f>
        <x:v>0</x:v>
      </x:c>
      <x:c r="E96" s="65" t="n">
        <x:f>COUNTIFS('Token Ledger'!$I$7:$I$40,E$6,'Token Ledger'!$J$7:$J$40,"&lt;="&amp;$B96,'Token Ledger'!$K$7:$K$40,"&gt;"&amp;$B96)</x:f>
        <x:v>0</x:v>
      </x:c>
      <x:c r="F96" s="65" t="n">
        <x:f>COUNTIFS('Token Ledger'!$I$7:$I$40,F$6,'Token Ledger'!$J$7:$J$40,"&lt;="&amp;$B96,'Token Ledger'!$K$7:$K$40,"&gt;"&amp;$B96)</x:f>
        <x:v>0</x:v>
      </x:c>
      <x:c r="G96" s="65" t="n">
        <x:f>COUNTIFS('Token Ledger'!$I$7:$I$40,G$6,'Token Ledger'!$J$7:$J$40,"&lt;="&amp;$B96,'Token Ledger'!$K$7:$K$40,"&gt;"&amp;$B96)</x:f>
        <x:v>0</x:v>
      </x:c>
      <x:c r="H96" s="65" t="n">
        <x:f>COUNTIFS('Token Ledger'!$I$7:$I$40,H$6,'Token Ledger'!$J$7:$J$40,"&lt;="&amp;$B96,'Token Ledger'!$K$7:$K$40,"&gt;"&amp;$B96)</x:f>
        <x:v>0</x:v>
      </x:c>
      <x:c r="I96" s="65" t="n">
        <x:f>COUNTIFS('Token Ledger'!$I$7:$I$40,I$6,'Token Ledger'!$J$7:$J$40,"&lt;="&amp;$B96,'Token Ledger'!$K$7:$K$40,"&gt;"&amp;$B96)</x:f>
        <x:v>0</x:v>
      </x:c>
      <x:c r="J96" s="65" t="n">
        <x:f>COUNTIFS('Token Ledger'!$I$7:$I$40,J$6,'Token Ledger'!$J$7:$J$40,"&lt;="&amp;$B96,'Token Ledger'!$K$7:$K$40,"&gt;"&amp;$B96)</x:f>
        <x:v>0</x:v>
      </x:c>
      <x:c r="K96" s="65" t="n">
        <x:f>COUNTIFS('Token Ledger'!$I$7:$I$40,K$6,'Token Ledger'!$J$7:$J$40,"&lt;="&amp;$B96,'Token Ledger'!$K$7:$K$40,"&gt;"&amp;$B96)</x:f>
        <x:v>0</x:v>
      </x:c>
      <x:c r="L96" s="65" t="n">
        <x:f>COUNTIFS('Token Ledger'!$I$7:$I$40,L$6,'Token Ledger'!$J$7:$J$40,"&lt;="&amp;$B96,'Token Ledger'!$K$7:$K$40,"&gt;"&amp;$B96)</x:f>
        <x:v>0</x:v>
      </x:c>
      <x:c r="M96" s="65" t="n">
        <x:f>COUNTIFS('Token Ledger'!$I$7:$I$40,M$6,'Token Ledger'!$J$7:$J$40,"&lt;="&amp;$B96,'Token Ledger'!$K$7:$K$40,"&gt;"&amp;$B96)</x:f>
        <x:v>0</x:v>
      </x:c>
      <x:c r="N96" s="76" t="n">
        <x:f>COUNTIFS('Token Ledger'!$I$7:$I$40,N$6,'Token Ledger'!$J$7:$J$40,"&lt;="&amp;$B96,'Token Ledger'!$K$7:$K$40,"&gt;"&amp;$B96)</x:f>
        <x:v>0</x:v>
      </x:c>
    </x:row>
    <x:row r="97"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76"/>
    </x:row>
    <x:row r="98">
      <x:c r="B98" s="65" t="str">
        <x:v>MAX OCCUPANCY</x:v>
      </x:c>
      <x:c r="C98" s="65" t="n">
        <x:f>MAX(C7:C96)</x:f>
        <x:v>1</x:v>
      </x:c>
      <x:c r="D98" s="65" t="n">
        <x:f>MAX(D7:D96)</x:f>
        <x:v>1</x:v>
      </x:c>
      <x:c r="E98" s="65" t="n">
        <x:f>MAX(E7:E96)</x:f>
        <x:v>1</x:v>
      </x:c>
      <x:c r="F98" s="65" t="n">
        <x:f>MAX(F7:F96)</x:f>
        <x:v>1</x:v>
      </x:c>
      <x:c r="G98" s="65" t="n">
        <x:f>MAX(G7:G96)</x:f>
        <x:v>1</x:v>
      </x:c>
      <x:c r="H98" s="65" t="n">
        <x:f>MAX(H7:H96)</x:f>
        <x:v>1</x:v>
      </x:c>
      <x:c r="I98" s="65" t="n">
        <x:f>MAX(I7:I96)</x:f>
        <x:v>1</x:v>
      </x:c>
      <x:c r="J98" s="65" t="n">
        <x:f>MAX(J7:J96)</x:f>
        <x:v>1</x:v>
      </x:c>
      <x:c r="K98" s="65" t="n">
        <x:f>MAX(K7:K96)</x:f>
        <x:v>1</x:v>
      </x:c>
      <x:c r="L98" s="65" t="n">
        <x:f>MAX(L7:L96)</x:f>
        <x:v>1</x:v>
      </x:c>
      <x:c r="M98" s="65" t="n">
        <x:f>MAX(M7:M96)</x:f>
        <x:v>1</x:v>
      </x:c>
      <x:c r="N98" s="76" t="n">
        <x:f>MAX(N7:N96)</x:f>
        <x:v>1</x:v>
      </x:c>
    </x:row>
    <x:row r="99">
      <x:c r="B99" s="70" t="str">
        <x:v>GATE</x:v>
      </x:c>
      <x:c r="C99" s="70" t="str">
        <x:f>IF(C98&lt;=1,"PASS","FAIL")</x:f>
        <x:v>PASS</x:v>
      </x:c>
      <x:c r="D99" s="70" t="str">
        <x:f>IF(D98&lt;=1,"PASS","FAIL")</x:f>
        <x:v>PASS</x:v>
      </x:c>
      <x:c r="E99" s="70" t="str">
        <x:f>IF(E98&lt;=1,"PASS","FAIL")</x:f>
        <x:v>PASS</x:v>
      </x:c>
      <x:c r="F99" s="70" t="str">
        <x:f>IF(F98&lt;=1,"PASS","FAIL")</x:f>
        <x:v>PASS</x:v>
      </x:c>
      <x:c r="G99" s="70" t="str">
        <x:f>IF(G98&lt;=1,"PASS","FAIL")</x:f>
        <x:v>PASS</x:v>
      </x:c>
      <x:c r="H99" s="70" t="str">
        <x:f>IF(H98&lt;=1,"PASS","FAIL")</x:f>
        <x:v>PASS</x:v>
      </x:c>
      <x:c r="I99" s="70" t="str">
        <x:f>IF(I98&lt;=1,"PASS","FAIL")</x:f>
        <x:v>PASS</x:v>
      </x:c>
      <x:c r="J99" s="70" t="str">
        <x:f>IF(J98&lt;=1,"PASS","FAIL")</x:f>
        <x:v>PASS</x:v>
      </x:c>
      <x:c r="K99" s="70" t="str">
        <x:f>IF(K98&lt;=1,"PASS","FAIL")</x:f>
        <x:v>PASS</x:v>
      </x:c>
      <x:c r="L99" s="70" t="str">
        <x:f>IF(L98&lt;=1,"PASS","FAIL")</x:f>
        <x:v>PASS</x:v>
      </x:c>
      <x:c r="M99" s="70" t="str">
        <x:f>IF(M98&lt;=1,"PASS","FAIL")</x:f>
        <x:v>PASS</x:v>
      </x:c>
      <x:c r="N99" s="79" t="str">
        <x:f>IF(N98&lt;=1,"PASS","FAIL")</x:f>
        <x:v>PASS</x:v>
      </x:c>
    </x:row>
  </x:sheetData>
  <x:mergeCells>
    <x:mergeCell ref="B3:N3"/>
  </x:mergeCells>
  <x:conditionalFormatting sqref="C99:N99">
    <x:cfRule type="containsText" dxfId="60" priority="1" operator="containsText" text="FAIL"/>
    <x:cfRule type="containsText" dxfId="61" priority="2" operator="containsText" text="BLOCKED"/>
    <x:cfRule type="containsText" dxfId="62" priority="3" operator="containsText" text="HOLD"/>
    <x:cfRule type="containsText" dxfId="63" priority="4" operator="containsText" text="OPEN"/>
    <x:cfRule type="containsText" dxfId="64" priority="5" operator="containsText" text="RANGE-INVALID"/>
    <x:cfRule type="containsText" dxfId="65" priority="6" operator="containsText" text="INDETERMINATE"/>
    <x:cfRule type="containsText" dxfId="66" priority="7" operator="containsText" text="PASS"/>
    <x:cfRule type="containsText" dxfId="67" priority="8" operator="containsText" text="AUTHORIZED"/>
    <x:cfRule type="containsText" dxfId="68" priority="9" operator="containsText" text="RELEASED"/>
    <x:cfRule type="containsText" dxfId="69" priority="10" operator="containsText" text="ADMITTED"/>
    <x:cfRule type="containsText" dxfId="70" priority="11" operator="containsText" text="MODELED CREDIT"/>
    <x:cfRule type="containsText" dxfId="71" priority="12" operator="containsText" text="PLANNING COMPLETE"/>
    <x:cfRule type="containsText" dxfId="300" priority="13" operator="containsText" text="FAIL"/>
    <x:cfRule type="containsText" dxfId="301" priority="14" operator="containsText" text="BLOCKED"/>
    <x:cfRule type="containsText" dxfId="302" priority="15" operator="containsText" text="HOLD"/>
    <x:cfRule type="containsText" dxfId="303" priority="16" operator="containsText" text="OPEN"/>
    <x:cfRule type="containsText" dxfId="304" priority="17" operator="containsText" text="RANGE-INVALID"/>
    <x:cfRule type="containsText" dxfId="305" priority="18" operator="containsText" text="INDETERMINATE"/>
    <x:cfRule type="containsText" dxfId="306" priority="19" operator="containsText" text="PASS"/>
    <x:cfRule type="containsText" dxfId="307" priority="20" operator="containsText" text="AUTHORIZED"/>
    <x:cfRule type="containsText" dxfId="308" priority="21" operator="containsText" text="RELEASED"/>
    <x:cfRule type="containsText" dxfId="309" priority="22" operator="containsText" text="ADMITTED"/>
    <x:cfRule type="containsText" dxfId="310" priority="23" operator="containsText" text="MODELED CREDIT"/>
    <x:cfRule type="containsText" dxfId="311" priority="24" operator="containsText" text="PLANNING COMPLETE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B8C7D1"/>
  </x:sheetPr>
  <x:sheetViews>
    <x:sheetView showGridLines="0" workbookViewId="0"/>
  </x:sheetViews>
  <x:sheetFormatPr defaultRowHeight="15"/>
  <x:cols>
    <x:col min="2" max="2" width="31" hidden="0" customWidth="1"/>
    <x:col min="3" max="3" width="19" hidden="0" customWidth="1"/>
    <x:col min="4" max="4" width="18" hidden="0" customWidth="1"/>
    <x:col min="5" max="5" width="24" hidden="0" customWidth="1"/>
    <x:col min="6" max="6" width="25" hidden="0" customWidth="1"/>
    <x:col min="7" max="7" width="23" hidden="0" customWidth="1"/>
    <x:col min="8" max="8" width="20" hidden="0" customWidth="1"/>
    <x:col min="9" max="9" width="14" hidden="0" customWidth="1"/>
    <x:col min="10" max="10" width="14" hidden="0" customWidth="1"/>
  </x:cols>
  <x:sheetData>
    <x:row r="2">
      <x:c r="B2" s="1" t="str">
        <x:v>Residual first-wave capacity</x:v>
      </x:c>
      <x:c r="C2" s="54"/>
      <x:c r="D2" s="54"/>
      <x:c r="E2" s="54"/>
      <x:c r="F2" s="54"/>
      <x:c r="G2" s="54"/>
      <x:c r="H2" s="54"/>
      <x:c r="I2" s="54"/>
      <x:c r="J2" s="54"/>
    </x:row>
    <x:row r="3">
      <x:c r="B3" s="2" t="str">
        <x:v>Every service is tested against the maximum P90 reservation after a complete campus loss.</x:v>
      </x:c>
      <x:c r="C3" s="54"/>
      <x:c r="D3" s="54"/>
      <x:c r="E3" s="54"/>
      <x:c r="F3" s="54"/>
      <x:c r="G3" s="54"/>
      <x:c r="H3" s="54"/>
      <x:c r="I3" s="54"/>
      <x:c r="J3" s="54"/>
    </x:row>
    <x:row r="4">
      <x:c r="B4" s="56"/>
      <x:c r="C4" s="56"/>
      <x:c r="D4" s="56"/>
      <x:c r="E4" s="56"/>
      <x:c r="F4" s="56"/>
      <x:c r="G4" s="56"/>
      <x:c r="H4" s="56"/>
      <x:c r="I4" s="56"/>
      <x:c r="J4" s="56"/>
    </x:row>
    <x:row r="5">
      <x:c r="B5" s="54"/>
      <x:c r="C5" s="54"/>
      <x:c r="D5" s="54"/>
      <x:c r="E5" s="54"/>
      <x:c r="F5" s="54"/>
      <x:c r="G5" s="54"/>
      <x:c r="H5" s="54"/>
      <x:c r="I5" s="54"/>
      <x:c r="J5" s="54"/>
    </x:row>
    <x:row r="6">
      <x:c r="B6" s="15" t="str">
        <x:v>Service</x:v>
      </x:c>
      <x:c r="C6" s="16" t="str">
        <x:v>P90 demand</x:v>
      </x:c>
      <x:c r="D6" s="16" t="str">
        <x:v>Unit</x:v>
      </x:c>
      <x:c r="E6" s="16" t="str">
        <x:v>Pre-loss productive capacity</x:v>
      </x:c>
      <x:c r="F6" s="16" t="str">
        <x:v>Post-loss productive capacity</x:v>
      </x:c>
      <x:c r="G6" s="16" t="str">
        <x:v>Total productive capacity</x:v>
      </x:c>
      <x:c r="H6" s="16" t="str">
        <x:v>Residual utilization</x:v>
      </x:c>
      <x:c r="I6" s="16" t="str">
        <x:v>Ceiling</x:v>
      </x:c>
      <x:c r="J6" s="16" t="str">
        <x:v>Gate</x:v>
      </x:c>
    </x:row>
    <x:row r="7">
      <x:c r="B7" s="65" t="str">
        <x:v>Closure bays</x:v>
      </x:c>
      <x:c r="C7" s="65" t="n">
        <x:f>Demand!J7*'Control Inputs'!D13</x:f>
        <x:v>192</x:v>
      </x:c>
      <x:c r="D7" s="65" t="str">
        <x:v>bay-days</x:v>
      </x:c>
      <x:c r="E7" s="65" t="n">
        <x:f>('Control Inputs'!D8-1)*'Control Inputs'!D16*'Control Inputs'!D15</x:f>
        <x:v>150.96</x:v>
      </x:c>
      <x:c r="F7" s="65" t="n">
        <x:f>('Control Inputs'!D7-'Control Inputs'!D8+1)*('Control Inputs'!D16-'Control Inputs'!D17)*'Control Inputs'!D15</x:f>
        <x:v>144.16</x:v>
      </x:c>
      <x:c r="G7" s="65" t="n">
        <x:f>E7+F7</x:f>
        <x:v>295.12</x:v>
      </x:c>
      <x:c r="H7" s="74" t="n">
        <x:f>C7/G7</x:f>
        <x:v>0.6505828137706695</x:v>
      </x:c>
      <x:c r="I7" s="74" t="n">
        <x:f>'Control Inputs'!D83</x:f>
        <x:v>0.7</x:v>
      </x:c>
      <x:c r="J7" s="76" t="str">
        <x:f>IF(H7&lt;=I7,"PASS","FAIL")</x:f>
        <x:v>PASS</x:v>
      </x:c>
    </x:row>
    <x:row r="8">
      <x:c r="B8" s="65" t="str">
        <x:v>Damage cells</x:v>
      </x:c>
      <x:c r="C8" s="65" t="n">
        <x:f>Demand!J8*'Control Inputs'!D23</x:f>
        <x:v>140</x:v>
      </x:c>
      <x:c r="D8" s="65" t="str">
        <x:v>cell-days</x:v>
      </x:c>
      <x:c r="E8" s="65" t="n">
        <x:f>('Control Inputs'!D8-'Control Inputs'!D31)*'Control Inputs'!D26*'Control Inputs'!D25</x:f>
        <x:v>89.7</x:v>
      </x:c>
      <x:c r="F8" s="65" t="n">
        <x:f>('Control Inputs'!D7-'Control Inputs'!D8+1)*('Control Inputs'!D26-'Control Inputs'!D27)*'Control Inputs'!D25</x:f>
        <x:v>137.8</x:v>
      </x:c>
      <x:c r="G8" s="65" t="n">
        <x:f>E8+F8</x:f>
        <x:v>227.5</x:v>
      </x:c>
      <x:c r="H8" s="74" t="n">
        <x:f>C8/G8</x:f>
        <x:v>0.6153846153846154</x:v>
      </x:c>
      <x:c r="I8" s="74" t="n">
        <x:f>'Control Inputs'!D83</x:f>
        <x:v>0.7</x:v>
      </x:c>
      <x:c r="J8" s="76" t="str">
        <x:f>IF(H8&lt;=I8,"PASS","FAIL")</x:f>
        <x:v>PASS</x:v>
      </x:c>
    </x:row>
    <x:row r="9">
      <x:c r="B9" s="65" t="str">
        <x:v>Forensic lines</x:v>
      </x:c>
      <x:c r="C9" s="65" t="n">
        <x:f>Demand!J7*'Control Inputs'!D32+Demand!J8*'Control Inputs'!D33</x:f>
        <x:v>98</x:v>
      </x:c>
      <x:c r="D9" s="65" t="str">
        <x:v>line-days</x:v>
      </x:c>
      <x:c r="E9" s="65" t="n">
        <x:f>('Control Inputs'!D8-1)*'Control Inputs'!D35*'Control Inputs'!D34</x:f>
        <x:v>77.69999999999999</x:v>
      </x:c>
      <x:c r="F9" s="65" t="n">
        <x:f>('Control Inputs'!D7-'Control Inputs'!D8+1)*('Control Inputs'!D35-'Control Inputs'!D36)*'Control Inputs'!D34</x:f>
        <x:v>74.19999999999999</x:v>
      </x:c>
      <x:c r="G9" s="65" t="n">
        <x:f>E9+F9</x:f>
        <x:v>151.89999999999998</x:v>
      </x:c>
      <x:c r="H9" s="74" t="n">
        <x:f>C9/G9</x:f>
        <x:v>0.6451612903225807</x:v>
      </x:c>
      <x:c r="I9" s="74" t="n">
        <x:f>'Control Inputs'!D83</x:f>
        <x:v>0.7</x:v>
      </x:c>
      <x:c r="J9" s="76" t="str">
        <x:f>IF(H9&lt;=I9,"PASS","FAIL")</x:f>
        <x:v>PASS</x:v>
      </x:c>
    </x:row>
    <x:row r="10">
      <x:c r="B10" s="65" t="str">
        <x:v>Sanitary laboratories</x:v>
      </x:c>
      <x:c r="C10" s="65" t="n">
        <x:f>Demand!J7*'Control Inputs'!D37+Demand!J8*'Control Inputs'!D38</x:f>
        <x:v>1776</x:v>
      </x:c>
      <x:c r="D10" s="65" t="str">
        <x:v>assay panels</x:v>
      </x:c>
      <x:c r="E10" s="65" t="n">
        <x:f>('Control Inputs'!D8-1)*'Control Inputs'!D41*'Control Inputs'!D40*'Control Inputs'!D39</x:f>
        <x:v>2020.2000000000003</x:v>
      </x:c>
      <x:c r="F10" s="65" t="n">
        <x:f>('Control Inputs'!D7-'Control Inputs'!D8+1)*('Control Inputs'!D41-'Control Inputs'!D42)*'Control Inputs'!D40*'Control Inputs'!D39</x:f>
        <x:v>1929.2000000000003</x:v>
      </x:c>
      <x:c r="G10" s="65" t="n">
        <x:f>E10+F10</x:f>
        <x:v>3949.4000000000005</x:v>
      </x:c>
      <x:c r="H10" s="74" t="n">
        <x:f>C10/G10</x:f>
        <x:v>0.44968856028763854</x:v>
      </x:c>
      <x:c r="I10" s="74" t="n">
        <x:f>'Control Inputs'!D83</x:f>
        <x:v>0.7</x:v>
      </x:c>
      <x:c r="J10" s="76" t="str">
        <x:f>IF(H10&lt;=I10,"PASS","FAIL")</x:f>
        <x:v>PASS</x:v>
      </x:c>
    </x:row>
    <x:row r="11">
      <x:c r="B11" s="65" t="str">
        <x:v>Metrology detachments</x:v>
      </x:c>
      <x:c r="C11" s="65" t="n">
        <x:f>(Demand!J7+Demand!J8)*'Control Inputs'!D43</x:f>
        <x:v>68</x:v>
      </x:c>
      <x:c r="D11" s="65" t="str">
        <x:v>brackets</x:v>
      </x:c>
      <x:c r="E11" s="65" t="n">
        <x:f>('Control Inputs'!D8-1)/7*'Control Inputs'!D46*'Control Inputs'!D45*'Control Inputs'!D44</x:f>
        <x:v>111</x:v>
      </x:c>
      <x:c r="F11" s="65" t="n">
        <x:f>('Control Inputs'!D7-'Control Inputs'!D8+1)/7*('Control Inputs'!D46-'Control Inputs'!D47)*'Control Inputs'!D45*'Control Inputs'!D44</x:f>
        <x:v>106</x:v>
      </x:c>
      <x:c r="G11" s="65" t="n">
        <x:f>E11+F11</x:f>
        <x:v>217</x:v>
      </x:c>
      <x:c r="H11" s="74" t="n">
        <x:f>C11/G11</x:f>
        <x:v>0.31336405529953915</x:v>
      </x:c>
      <x:c r="I11" s="74" t="n">
        <x:f>'Control Inputs'!D83</x:f>
        <x:v>0.7</x:v>
      </x:c>
      <x:c r="J11" s="76" t="str">
        <x:f>IF(H11&lt;=I11,"PASS","FAIL")</x:f>
        <x:v>PASS</x:v>
      </x:c>
    </x:row>
    <x:row r="12">
      <x:c r="B12" s="65" t="str">
        <x:v>Evidence replay cells</x:v>
      </x:c>
      <x:c r="C12" s="65" t="n">
        <x:f>Demand!J7*'Control Inputs'!D48+Demand!J8*'Control Inputs'!D49</x:f>
        <x:v>640</x:v>
      </x:c>
      <x:c r="D12" s="65" t="str">
        <x:v>replay hours</x:v>
      </x:c>
      <x:c r="E12" s="65" t="n">
        <x:f>('Control Inputs'!D8-1)*'Control Inputs'!D52*'Control Inputs'!D51*'Control Inputs'!D50</x:f>
        <x:v>2308.8</x:v>
      </x:c>
      <x:c r="F12" s="65" t="n">
        <x:f>('Control Inputs'!D7-'Control Inputs'!D8+1)*('Control Inputs'!D52-'Control Inputs'!D53)*'Control Inputs'!D51*'Control Inputs'!D50</x:f>
        <x:v>2204.8</x:v>
      </x:c>
      <x:c r="G12" s="65" t="n">
        <x:f>E12+F12</x:f>
        <x:v>4513.6</x:v>
      </x:c>
      <x:c r="H12" s="74" t="n">
        <x:f>C12/G12</x:f>
        <x:v>0.14179369018078694</x:v>
      </x:c>
      <x:c r="I12" s="74" t="n">
        <x:f>'Control Inputs'!D83</x:f>
        <x:v>0.7</x:v>
      </x:c>
      <x:c r="J12" s="76" t="str">
        <x:f>IF(H12&lt;=I12,"PASS","FAIL")</x:f>
        <x:v>PASS</x:v>
      </x:c>
    </x:row>
    <x:row r="13">
      <x:c r="B13" s="70" t="str">
        <x:v>Blind/configuration shops</x:v>
      </x:c>
      <x:c r="C13" s="70" t="n">
        <x:f>'Control Inputs'!D54</x:f>
        <x:v>22</x:v>
      </x:c>
      <x:c r="D13" s="70" t="str">
        <x:v>blind events</x:v>
      </x:c>
      <x:c r="E13" s="70" t="n">
        <x:f>('Control Inputs'!D8-1)/7*'Control Inputs'!D57*'Control Inputs'!D56*'Control Inputs'!D55</x:f>
        <x:v>20.614285714285714</x:v>
      </x:c>
      <x:c r="F13" s="70" t="n">
        <x:f>('Control Inputs'!D7-'Control Inputs'!D8+1)/7*('Control Inputs'!D57-'Control Inputs'!D58)*'Control Inputs'!D56*'Control Inputs'!D55</x:f>
        <x:v>19.685714285714287</x:v>
      </x:c>
      <x:c r="G13" s="70" t="n">
        <x:f>E13+F13</x:f>
        <x:v>40.3</x:v>
      </x:c>
      <x:c r="H13" s="77" t="n">
        <x:f>C13/G13</x:f>
        <x:v>0.5459057071960298</x:v>
      </x:c>
      <x:c r="I13" s="77" t="n">
        <x:f>'Control Inputs'!D83</x:f>
        <x:v>0.7</x:v>
      </x:c>
      <x:c r="J13" s="79" t="str">
        <x:f>IF(H13&lt;=I13,"PASS","FAIL")</x:f>
        <x:v>PASS</x:v>
      </x:c>
    </x:row>
    <x:row r="14">
      <x:c r="B14" s="54"/>
      <x:c r="C14" s="54"/>
      <x:c r="D14" s="54"/>
      <x:c r="E14" s="54"/>
      <x:c r="F14" s="54"/>
      <x:c r="G14" s="54"/>
      <x:c r="H14" s="54"/>
      <x:c r="I14" s="54"/>
      <x:c r="J14" s="54"/>
    </x:row>
    <x:row r="15">
      <x:c r="B15" s="54"/>
      <x:c r="C15" s="54"/>
      <x:c r="D15" s="54"/>
      <x:c r="E15" s="54"/>
      <x:c r="F15" s="54"/>
      <x:c r="G15" s="54"/>
      <x:c r="H15" s="54"/>
      <x:c r="I15" s="54"/>
      <x:c r="J15" s="54"/>
    </x:row>
    <x:row r="16">
      <x:c r="B16" s="54"/>
      <x:c r="C16" s="54"/>
      <x:c r="D16" s="54"/>
      <x:c r="E16" s="54"/>
      <x:c r="F16" s="54"/>
      <x:c r="G16" s="54"/>
      <x:c r="H16" s="54"/>
      <x:c r="I16" s="54"/>
      <x:c r="J16" s="54"/>
    </x:row>
    <x:row r="17">
      <x:c r="B17" s="57" t="str">
        <x:v>Interpretation</x:v>
      </x:c>
      <x:c r="C17" s="58" t="str">
        <x:v>Interpretation</x:v>
      </x:c>
      <x:c r="D17" s="58" t="str">
        <x:v>Interpretation</x:v>
      </x:c>
      <x:c r="E17" s="58" t="str">
        <x:v>Interpretation</x:v>
      </x:c>
      <x:c r="F17" s="58" t="str">
        <x:v>Interpretation</x:v>
      </x:c>
      <x:c r="G17" s="58" t="str">
        <x:v>Interpretation</x:v>
      </x:c>
      <x:c r="H17" s="58" t="str">
        <x:v>Interpretation</x:v>
      </x:c>
      <x:c r="I17" s="58" t="str">
        <x:v>Interpretation</x:v>
      </x:c>
      <x:c r="J17" s="59" t="str">
        <x:v>Interpretation</x:v>
      </x:c>
    </x:row>
    <x:row r="18" ht="39" customHeight="1">
      <x:c r="B18" s="54" t="str">
        <x:v>Loss accounting</x:v>
      </x:c>
      <x:c r="C18" s="62" t="str">
        <x:v>The model assigns the full loss day to degraded capacity.</x:v>
      </x:c>
      <x:c r="D18" s="62"/>
      <x:c r="E18" s="62"/>
      <x:c r="F18" s="62"/>
      <x:c r="G18" s="62"/>
      <x:c r="H18" s="62"/>
      <x:c r="I18" s="62"/>
      <x:c r="J18" s="62"/>
    </x:row>
    <x:row r="19" ht="39" customHeight="1">
      <x:c r="B19" s="54" t="str">
        <x:v>Damage eligibility</x:v>
      </x:c>
      <x:c r="C19" s="62" t="str">
        <x:v>Damage capacity begins on day 15 after nominal closure admission.</x:v>
      </x:c>
      <x:c r="D19" s="62"/>
      <x:c r="E19" s="62"/>
      <x:c r="F19" s="62"/>
      <x:c r="G19" s="62"/>
      <x:c r="H19" s="62"/>
      <x:c r="I19" s="62"/>
      <x:c r="J19" s="62"/>
    </x:row>
    <x:row r="20" ht="39" customHeight="1">
      <x:c r="B20" s="54" t="str">
        <x:v>Independence</x:v>
      </x:c>
      <x:c r="C20" s="62" t="str">
        <x:v>Replay and blind services retain quantity for implementation and authority separation.</x:v>
      </x:c>
      <x:c r="D20" s="62"/>
      <x:c r="E20" s="62"/>
      <x:c r="F20" s="62"/>
      <x:c r="G20" s="62"/>
      <x:c r="H20" s="62"/>
      <x:c r="I20" s="62"/>
      <x:c r="J20" s="62"/>
    </x:row>
    <x:row r="21" ht="39" customHeight="1">
      <x:c r="B21" s="54" t="str">
        <x:v>Authority</x:v>
      </x:c>
      <x:c r="C21" s="62" t="str">
        <x:v>Capacity arithmetic can authorize only the rehearsal design.</x:v>
      </x:c>
      <x:c r="D21" s="62"/>
      <x:c r="E21" s="62"/>
      <x:c r="F21" s="62"/>
      <x:c r="G21" s="62"/>
      <x:c r="H21" s="62"/>
      <x:c r="I21" s="62"/>
      <x:c r="J21" s="62"/>
    </x:row>
  </x:sheetData>
  <x:mergeCells>
    <x:mergeCell ref="B3:J3"/>
    <x:mergeCell ref="B17:J17"/>
    <x:mergeCell ref="C18:J18"/>
    <x:mergeCell ref="C19:J19"/>
    <x:mergeCell ref="C20:J20"/>
    <x:mergeCell ref="C21:J21"/>
  </x:mergeCells>
  <x:conditionalFormatting sqref="J7:J13">
    <x:cfRule type="containsText" dxfId="72" priority="1" operator="containsText" text="FAIL"/>
    <x:cfRule type="containsText" dxfId="73" priority="2" operator="containsText" text="BLOCKED"/>
    <x:cfRule type="containsText" dxfId="74" priority="3" operator="containsText" text="HOLD"/>
    <x:cfRule type="containsText" dxfId="75" priority="4" operator="containsText" text="OPEN"/>
    <x:cfRule type="containsText" dxfId="76" priority="5" operator="containsText" text="RANGE-INVALID"/>
    <x:cfRule type="containsText" dxfId="77" priority="6" operator="containsText" text="INDETERMINATE"/>
    <x:cfRule type="containsText" dxfId="78" priority="7" operator="containsText" text="PASS"/>
    <x:cfRule type="containsText" dxfId="79" priority="8" operator="containsText" text="AUTHORIZED"/>
    <x:cfRule type="containsText" dxfId="80" priority="9" operator="containsText" text="RELEASED"/>
    <x:cfRule type="containsText" dxfId="81" priority="10" operator="containsText" text="ADMITTED"/>
    <x:cfRule type="containsText" dxfId="82" priority="11" operator="containsText" text="MODELED CREDIT"/>
    <x:cfRule type="containsText" dxfId="83" priority="12" operator="containsText" text="PLANNING COMPLETE"/>
    <x:cfRule type="containsText" dxfId="312" priority="13" operator="containsText" text="FAIL"/>
    <x:cfRule type="containsText" dxfId="313" priority="14" operator="containsText" text="BLOCKED"/>
    <x:cfRule type="containsText" dxfId="314" priority="15" operator="containsText" text="HOLD"/>
    <x:cfRule type="containsText" dxfId="315" priority="16" operator="containsText" text="OPEN"/>
    <x:cfRule type="containsText" dxfId="316" priority="17" operator="containsText" text="RANGE-INVALID"/>
    <x:cfRule type="containsText" dxfId="317" priority="18" operator="containsText" text="INDETERMINATE"/>
    <x:cfRule type="containsText" dxfId="318" priority="19" operator="containsText" text="PASS"/>
    <x:cfRule type="containsText" dxfId="319" priority="20" operator="containsText" text="AUTHORIZED"/>
    <x:cfRule type="containsText" dxfId="320" priority="21" operator="containsText" text="RELEASED"/>
    <x:cfRule type="containsText" dxfId="321" priority="22" operator="containsText" text="ADMITTED"/>
    <x:cfRule type="containsText" dxfId="322" priority="23" operator="containsText" text="MODELED CREDIT"/>
    <x:cfRule type="containsText" dxfId="323" priority="24" operator="containsText" text="PLANNING COMPLETE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B8C7D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16" hidden="0" customWidth="1"/>
    <x:col min="4" max="4" width="31" hidden="0" customWidth="1"/>
    <x:col min="5" max="5" width="57" hidden="0" customWidth="1"/>
    <x:col min="6" max="6" width="30" hidden="0" customWidth="1"/>
    <x:col min="7" max="7" width="20" hidden="0" customWidth="1"/>
    <x:col min="8" max="8" width="17" hidden="0" customWidth="1"/>
  </x:cols>
  <x:sheetData>
    <x:row r="2">
      <x:c r="B2" s="1" t="str">
        <x:v>Complete-campus-loss response sequence</x:v>
      </x:c>
      <x:c r="C2" s="54"/>
      <x:c r="D2" s="54"/>
      <x:c r="E2" s="54"/>
      <x:c r="F2" s="54"/>
      <x:c r="G2" s="54"/>
      <x:c r="H2" s="54"/>
    </x:row>
    <x:row r="3">
      <x:c r="B3" s="2" t="str">
        <x:v>Universal institutional times do not replace station-specific safe-state limits.</x:v>
      </x:c>
      <x:c r="C3" s="54"/>
      <x:c r="D3" s="54"/>
      <x:c r="E3" s="54"/>
      <x:c r="F3" s="54"/>
      <x:c r="G3" s="54"/>
      <x:c r="H3" s="54"/>
    </x:row>
    <x:row r="4">
      <x:c r="B4" s="56"/>
      <x:c r="C4" s="56"/>
      <x:c r="D4" s="56"/>
      <x:c r="E4" s="56"/>
      <x:c r="F4" s="56"/>
      <x:c r="G4" s="56"/>
      <x:c r="H4" s="56"/>
    </x:row>
    <x:row r="5">
      <x:c r="B5" s="54"/>
      <x:c r="C5" s="54"/>
      <x:c r="D5" s="54"/>
      <x:c r="E5" s="54"/>
      <x:c r="F5" s="54"/>
      <x:c r="G5" s="54"/>
      <x:c r="H5" s="54"/>
    </x:row>
    <x:row r="6">
      <x:c r="B6" s="15" t="str">
        <x:v>ID</x:v>
      </x:c>
      <x:c r="C6" s="16" t="str">
        <x:v>Boundary</x:v>
      </x:c>
      <x:c r="D6" s="16" t="str">
        <x:v>Trigger</x:v>
      </x:c>
      <x:c r="E6" s="16" t="str">
        <x:v>Required transition</x:v>
      </x:c>
      <x:c r="F6" s="16" t="str">
        <x:v>Decision owner</x:v>
      </x:c>
      <x:c r="G6" s="16" t="str">
        <x:v>Planning state</x:v>
      </x:c>
      <x:c r="H6" s="16" t="str">
        <x:v>Observed state</x:v>
      </x:c>
    </x:row>
    <x:row r="7" ht="42" customHeight="1">
      <x:c r="B7" s="65" t="str">
        <x:v>L01</x:v>
      </x:c>
      <x:c r="C7" s="66" t="str">
        <x:v>H+0</x:v>
      </x:c>
      <x:c r="D7" s="66" t="str">
        <x:v>campus-loss signal</x:v>
      </x:c>
      <x:c r="E7" s="66" t="str">
        <x:v>local safe action and national loss flag</x:v>
      </x:c>
      <x:c r="F7" s="66" t="str">
        <x:v>campus safety systems</x:v>
      </x:c>
      <x:c r="G7" s="66" t="str">
        <x:v>PLANNING COMPLETE</x:v>
      </x:c>
      <x:c r="H7" s="68" t="str">
        <x:v>OPEN</x:v>
      </x:c>
    </x:row>
    <x:row r="8" ht="42" customHeight="1">
      <x:c r="B8" s="65" t="str">
        <x:v>L02</x:v>
      </x:c>
      <x:c r="C8" s="66" t="str">
        <x:v>H+5 min</x:v>
      </x:c>
      <x:c r="D8" s="66" t="str">
        <x:v>loss flag authenticated</x:v>
      </x:c>
      <x:c r="E8" s="66" t="str">
        <x:v>freeze every unstarted national token</x:v>
      </x:c>
      <x:c r="F8" s="66" t="str">
        <x:v>national schedule authority</x:v>
      </x:c>
      <x:c r="G8" s="66" t="str">
        <x:v>PLANNING COMPLETE</x:v>
      </x:c>
      <x:c r="H8" s="68" t="str">
        <x:v>OPEN</x:v>
      </x:c>
    </x:row>
    <x:row r="9" ht="42" customHeight="1">
      <x:c r="B9" s="65" t="str">
        <x:v>L03</x:v>
      </x:c>
      <x:c r="C9" s="66" t="str">
        <x:v>station limit</x:v>
      </x:c>
      <x:c r="D9" s="66" t="str">
        <x:v>stored-energy state changes</x:v>
      </x:c>
      <x:c r="E9" s="66" t="str">
        <x:v>confirm safe state or record failure</x:v>
      </x:c>
      <x:c r="F9" s="66" t="str">
        <x:v>safety authority</x:v>
      </x:c>
      <x:c r="G9" s="66" t="str">
        <x:v>PLANNING COMPLETE</x:v>
      </x:c>
      <x:c r="H9" s="68" t="str">
        <x:v>OPEN</x:v>
      </x:c>
    </x:row>
    <x:row r="10" ht="42" customHeight="1">
      <x:c r="B10" s="65" t="str">
        <x:v>L04</x:v>
      </x:c>
      <x:c r="C10" s="66" t="str">
        <x:v>H+60 min</x:v>
      </x:c>
      <x:c r="D10" s="66" t="str">
        <x:v>outside originals examined</x:v>
      </x:c>
      <x:c r="E10" s="66" t="str">
        <x:v>prove continuous record through last trustworthy sample</x:v>
      </x:c>
      <x:c r="F10" s="66" t="str">
        <x:v>evidence authority</x:v>
      </x:c>
      <x:c r="G10" s="66" t="str">
        <x:v>PLANNING COMPLETE</x:v>
      </x:c>
      <x:c r="H10" s="68" t="str">
        <x:v>OPEN</x:v>
      </x:c>
    </x:row>
    <x:row r="11" ht="42" customHeight="1">
      <x:c r="B11" s="65" t="str">
        <x:v>L05</x:v>
      </x:c>
      <x:c r="C11" s="66" t="str">
        <x:v>H+2 h</x:v>
      </x:c>
      <x:c r="D11" s="66" t="str">
        <x:v>event states frozen</x:v>
      </x:c>
      <x:c r="E11" s="66" t="str">
        <x:v>place four active tokens in SAFE_HOLD</x:v>
      </x:c>
      <x:c r="F11" s="66" t="str">
        <x:v>token registry authority</x:v>
      </x:c>
      <x:c r="G11" s="66" t="str">
        <x:v>PLANNING COMPLETE</x:v>
      </x:c>
      <x:c r="H11" s="68" t="str">
        <x:v>OPEN</x:v>
      </x:c>
    </x:row>
    <x:row r="12" ht="42" customHeight="1">
      <x:c r="B12" s="65" t="str">
        <x:v>L06</x:v>
      </x:c>
      <x:c r="C12" s="66" t="str">
        <x:v>H+4 h</x:v>
      </x:c>
      <x:c r="D12" s="66" t="str">
        <x:v>causal record complete</x:v>
      </x:c>
      <x:c r="E12" s="66" t="str">
        <x:v>classify range cause without builder or scheduler vote</x:v>
      </x:c>
      <x:c r="F12" s="66" t="str">
        <x:v>invalidity board</x:v>
      </x:c>
      <x:c r="G12" s="66" t="str">
        <x:v>PLANNING COMPLETE</x:v>
      </x:c>
      <x:c r="H12" s="68" t="str">
        <x:v>OPEN</x:v>
      </x:c>
    </x:row>
    <x:row r="13" ht="42" customHeight="1">
      <x:c r="B13" s="65" t="str">
        <x:v>L07</x:v>
      </x:c>
      <x:c r="C13" s="66" t="str">
        <x:v>H+6 h</x:v>
      </x:c>
      <x:c r="D13" s="66" t="str">
        <x:v>blind integrity checked</x:v>
      </x:c>
      <x:c r="E13" s="66" t="str">
        <x:v>preserve truth and issue fresh replacement commitments</x:v>
      </x:c>
      <x:c r="F13" s="66" t="str">
        <x:v>blind-truth authority</x:v>
      </x:c>
      <x:c r="G13" s="66" t="str">
        <x:v>PLANNING COMPLETE</x:v>
      </x:c>
      <x:c r="H13" s="68" t="str">
        <x:v>OPEN</x:v>
      </x:c>
    </x:row>
    <x:row r="14" ht="42" customHeight="1">
      <x:c r="B14" s="65" t="str">
        <x:v>L08</x:v>
      </x:c>
      <x:c r="C14" s="66" t="str">
        <x:v>H+8 h</x:v>
      </x:c>
      <x:c r="D14" s="66" t="str">
        <x:v>surviving estate snapshot</x:v>
      </x:c>
      <x:c r="E14" s="66" t="str">
        <x:v>reconcile people, stations, references and stock</x:v>
      </x:c>
      <x:c r="F14" s="66" t="str">
        <x:v>readiness authority</x:v>
      </x:c>
      <x:c r="G14" s="66" t="str">
        <x:v>PLANNING COMPLETE</x:v>
      </x:c>
      <x:c r="H14" s="68" t="str">
        <x:v>OPEN</x:v>
      </x:c>
    </x:row>
    <x:row r="15" ht="42" customHeight="1">
      <x:c r="B15" s="65" t="str">
        <x:v>L09</x:v>
      </x:c>
      <x:c r="C15" s="66" t="str">
        <x:v>H+12 h</x:v>
      </x:c>
      <x:c r="D15" s="66" t="str">
        <x:v>all residual gates close</x:v>
      </x:c>
      <x:c r="E15" s="66" t="str">
        <x:v>sign new schedule and WIP plan</x:v>
      </x:c>
      <x:c r="F15" s="66" t="str">
        <x:v>residual-schedule authority</x:v>
      </x:c>
      <x:c r="G15" s="66" t="str">
        <x:v>PLANNING COMPLETE</x:v>
      </x:c>
      <x:c r="H15" s="68" t="str">
        <x:v>OPEN</x:v>
      </x:c>
    </x:row>
    <x:row r="16" ht="42" customHeight="1">
      <x:c r="B16" s="65" t="str">
        <x:v>L10</x:v>
      </x:c>
      <x:c r="C16" s="66" t="str">
        <x:v>H+18 h</x:v>
      </x:c>
      <x:c r="D16" s="66" t="str">
        <x:v>new identities selected</x:v>
      </x:c>
      <x:c r="E16" s="66" t="str">
        <x:v>commit replacement articles, cassettes and support tokens</x:v>
      </x:c>
      <x:c r="F16" s="66" t="str">
        <x:v>configuration and custody</x:v>
      </x:c>
      <x:c r="G16" s="66" t="str">
        <x:v>PLANNING COMPLETE</x:v>
      </x:c>
      <x:c r="H16" s="68" t="str">
        <x:v>OPEN</x:v>
      </x:c>
    </x:row>
    <x:row r="17" ht="42" customHeight="1">
      <x:c r="B17" s="65" t="str">
        <x:v>L11</x:v>
      </x:c>
      <x:c r="C17" s="66" t="str">
        <x:v>H+24 h</x:v>
      </x:c>
      <x:c r="D17" s="66" t="str">
        <x:v>unaffected prerequisites pass</x:v>
      </x:c>
      <x:c r="E17" s="66" t="str">
        <x:v>lift freeze for unaffected work</x:v>
      </x:c>
      <x:c r="F17" s="66" t="str">
        <x:v>admission authority</x:v>
      </x:c>
      <x:c r="G17" s="66" t="str">
        <x:v>PLANNING COMPLETE</x:v>
      </x:c>
      <x:c r="H17" s="68" t="str">
        <x:v>OPEN</x:v>
      </x:c>
    </x:row>
    <x:row r="18" ht="42" customHeight="1">
      <x:c r="B18" s="65" t="str">
        <x:v>L12</x:v>
      </x:c>
      <x:c r="C18" s="66" t="str">
        <x:v>H+96 h</x:v>
      </x:c>
      <x:c r="D18" s="66" t="str">
        <x:v>replacement prerequisites pass</x:v>
      </x:c>
      <x:c r="E18" s="66" t="str">
        <x:v>start two closure and two damage replacements</x:v>
      </x:c>
      <x:c r="F18" s="66" t="str">
        <x:v>station start authorities</x:v>
      </x:c>
      <x:c r="G18" s="66" t="str">
        <x:v>PLANNING COMPLETE</x:v>
      </x:c>
      <x:c r="H18" s="68" t="str">
        <x:v>OPEN</x:v>
      </x:c>
    </x:row>
    <x:row r="19" ht="42" customHeight="1">
      <x:c r="B19" s="65" t="str">
        <x:v>L13</x:v>
      </x:c>
      <x:c r="C19" s="66" t="str">
        <x:v>day 56</x:v>
      </x:c>
      <x:c r="D19" s="66" t="str">
        <x:v>replacement physical cycles close</x:v>
      </x:c>
      <x:c r="E19" s="66" t="str">
        <x:v>seal replacement station records</x:v>
      </x:c>
      <x:c r="F19" s="66" t="str">
        <x:v>evidence authority</x:v>
      </x:c>
      <x:c r="G19" s="66" t="str">
        <x:v>PLANNING COMPLETE</x:v>
      </x:c>
      <x:c r="H19" s="68" t="str">
        <x:v>OPEN</x:v>
      </x:c>
    </x:row>
    <x:row r="20" ht="42" customHeight="1">
      <x:c r="B20" s="65" t="str">
        <x:v>L14</x:v>
      </x:c>
      <x:c r="C20" s="66" t="str">
        <x:v>day 64</x:v>
      </x:c>
      <x:c r="D20" s="66" t="str">
        <x:v>replacement packets terminal</x:v>
      </x:c>
      <x:c r="E20" s="66" t="str">
        <x:v>reach modeled credit objectives</x:v>
      </x:c>
      <x:c r="F20" s="66" t="str">
        <x:v>acceptance authority</x:v>
      </x:c>
      <x:c r="G20" s="66" t="str">
        <x:v>PLANNING COMPLETE</x:v>
      </x:c>
      <x:c r="H20" s="68" t="str">
        <x:v>OPEN</x:v>
      </x:c>
    </x:row>
    <x:row r="21" ht="42" customHeight="1">
      <x:c r="B21" s="65" t="str">
        <x:v>L15</x:v>
      </x:c>
      <x:c r="C21" s="66" t="str">
        <x:v>day 83</x:v>
      </x:c>
      <x:c r="D21" s="66" t="str">
        <x:v>last closure reserve packet possible</x:v>
      </x:c>
      <x:c r="E21" s="66" t="str">
        <x:v>preserve full P90 option inside horizon</x:v>
      </x:c>
      <x:c r="F21" s="66" t="str">
        <x:v>schedule authority</x:v>
      </x:c>
      <x:c r="G21" s="66" t="str">
        <x:v>PLANNING COMPLETE</x:v>
      </x:c>
      <x:c r="H21" s="68" t="str">
        <x:v>OPEN</x:v>
      </x:c>
    </x:row>
    <x:row r="22" ht="42" customHeight="1">
      <x:c r="B22" s="70" t="str">
        <x:v>L16</x:v>
      </x:c>
      <x:c r="C22" s="71" t="str">
        <x:v>day 90</x:v>
      </x:c>
      <x:c r="D22" s="71" t="str">
        <x:v>integrated evidence complete</x:v>
      </x:c>
      <x:c r="E22" s="71" t="str">
        <x:v>issue wave and rehearsal finding</x:v>
      </x:c>
      <x:c r="F22" s="71" t="str">
        <x:v>national admission board</x:v>
      </x:c>
      <x:c r="G22" s="71" t="str">
        <x:v>PLANNING COMPLETE</x:v>
      </x:c>
      <x:c r="H22" s="73" t="str">
        <x:v>OPEN</x:v>
      </x:c>
    </x:row>
  </x:sheetData>
  <x:mergeCells>
    <x:mergeCell ref="B3:H3"/>
  </x:mergeCells>
  <x:conditionalFormatting sqref="G7:H22">
    <x:cfRule type="containsText" dxfId="84" priority="1" operator="containsText" text="FAIL"/>
    <x:cfRule type="containsText" dxfId="85" priority="2" operator="containsText" text="BLOCKED"/>
    <x:cfRule type="containsText" dxfId="86" priority="3" operator="containsText" text="HOLD"/>
    <x:cfRule type="containsText" dxfId="87" priority="4" operator="containsText" text="OPEN"/>
    <x:cfRule type="containsText" dxfId="88" priority="5" operator="containsText" text="RANGE-INVALID"/>
    <x:cfRule type="containsText" dxfId="89" priority="6" operator="containsText" text="INDETERMINATE"/>
    <x:cfRule type="containsText" dxfId="90" priority="7" operator="containsText" text="PASS"/>
    <x:cfRule type="containsText" dxfId="91" priority="8" operator="containsText" text="AUTHORIZED"/>
    <x:cfRule type="containsText" dxfId="92" priority="9" operator="containsText" text="RELEASED"/>
    <x:cfRule type="containsText" dxfId="93" priority="10" operator="containsText" text="ADMITTED"/>
    <x:cfRule type="containsText" dxfId="94" priority="11" operator="containsText" text="MODELED CREDIT"/>
    <x:cfRule type="containsText" dxfId="95" priority="12" operator="containsText" text="PLANNING COMPLETE"/>
    <x:cfRule type="containsText" dxfId="324" priority="13" operator="containsText" text="FAIL"/>
    <x:cfRule type="containsText" dxfId="325" priority="14" operator="containsText" text="BLOCKED"/>
    <x:cfRule type="containsText" dxfId="326" priority="15" operator="containsText" text="HOLD"/>
    <x:cfRule type="containsText" dxfId="327" priority="16" operator="containsText" text="OPEN"/>
    <x:cfRule type="containsText" dxfId="328" priority="17" operator="containsText" text="RANGE-INVALID"/>
    <x:cfRule type="containsText" dxfId="329" priority="18" operator="containsText" text="INDETERMINATE"/>
    <x:cfRule type="containsText" dxfId="330" priority="19" operator="containsText" text="PASS"/>
    <x:cfRule type="containsText" dxfId="331" priority="20" operator="containsText" text="AUTHORIZED"/>
    <x:cfRule type="containsText" dxfId="332" priority="21" operator="containsText" text="RELEASED"/>
    <x:cfRule type="containsText" dxfId="333" priority="22" operator="containsText" text="ADMITTED"/>
    <x:cfRule type="containsText" dxfId="334" priority="23" operator="containsText" text="MODELED CREDIT"/>
    <x:cfRule type="containsText" dxfId="335" priority="24" operator="containsText" text="PLANNING COMPLETE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B8C7D1"/>
  </x:sheetPr>
  <x:sheetViews>
    <x:sheetView showGridLines="0" workbookViewId="0"/>
  </x:sheetViews>
  <x:sheetFormatPr defaultRowHeight="15"/>
  <x:cols>
    <x:col min="2" max="2" width="10" hidden="0" customWidth="1"/>
    <x:col min="3" max="3" width="39" hidden="0" customWidth="1"/>
    <x:col min="4" max="4" width="18" hidden="0" customWidth="1"/>
    <x:col min="5" max="5" width="19" hidden="0" customWidth="1"/>
    <x:col min="6" max="6" width="18" hidden="0" customWidth="1"/>
    <x:col min="7" max="7" width="24" hidden="0" customWidth="1"/>
    <x:col min="8" max="8" width="21" hidden="0" customWidth="1"/>
    <x:col min="9" max="9" width="18" hidden="0" customWidth="1"/>
    <x:col min="10" max="10" width="17" hidden="0" customWidth="1"/>
    <x:col min="11" max="11" width="17" hidden="0" customWidth="1"/>
  </x:cols>
  <x:sheetData>
    <x:row r="2">
      <x:c r="B2" s="1" t="str">
        <x:v>Day-38 conservation through denial</x:v>
      </x:c>
      <x:c r="C2" s="54"/>
      <x:c r="D2" s="54"/>
      <x:c r="E2" s="54"/>
      <x:c r="F2" s="54"/>
      <x:c r="G2" s="54"/>
      <x:c r="H2" s="54"/>
      <x:c r="I2" s="54"/>
      <x:c r="J2" s="54"/>
      <x:c r="K2" s="54"/>
    </x:row>
    <x:row r="3">
      <x:c r="B3" s="2" t="str">
        <x:v>Inaccessible custody remains an obligation. Replacement draw is shown separately and never repairs a missing balance.</x:v>
      </x:c>
      <x:c r="C3" s="54"/>
      <x:c r="D3" s="54"/>
      <x:c r="E3" s="54"/>
      <x:c r="F3" s="54"/>
      <x:c r="G3" s="54"/>
      <x:c r="H3" s="54"/>
      <x:c r="I3" s="54"/>
      <x:c r="J3" s="54"/>
      <x:c r="K3" s="54"/>
    </x:row>
    <x:row r="4">
      <x:c r="B4" s="56"/>
      <x:c r="C4" s="56"/>
      <x:c r="D4" s="56"/>
      <x:c r="E4" s="56"/>
      <x:c r="F4" s="56"/>
      <x:c r="G4" s="56"/>
      <x:c r="H4" s="56"/>
      <x:c r="I4" s="56"/>
      <x:c r="J4" s="56"/>
      <x:c r="K4" s="56"/>
    </x:row>
    <x:row r="5">
      <x:c r="B5" s="54"/>
      <x:c r="C5" s="54"/>
      <x:c r="D5" s="54"/>
      <x:c r="E5" s="54"/>
      <x:c r="F5" s="54"/>
      <x:c r="G5" s="54"/>
      <x:c r="H5" s="54"/>
      <x:c r="I5" s="54"/>
      <x:c r="J5" s="54"/>
      <x:c r="K5" s="54"/>
    </x:row>
    <x:row r="6">
      <x:c r="B6" s="15" t="str">
        <x:v>ID</x:v>
      </x:c>
      <x:c r="C6" s="16" t="str">
        <x:v>Object class</x:v>
      </x:c>
      <x:c r="D6" s="16" t="str">
        <x:v>Opening affected</x:v>
      </x:c>
      <x:c r="E6" s="16" t="str">
        <x:v>NRC-B safe hold</x:v>
      </x:c>
      <x:c r="F6" s="16" t="str">
        <x:v>Outside custody</x:v>
      </x:c>
      <x:c r="G6" s="16" t="str">
        <x:v>Authorized consumption</x:v>
      </x:c>
      <x:c r="H6" s="16" t="str">
        <x:v>Unexplained balance</x:v>
      </x:c>
      <x:c r="I6" s="16" t="str">
        <x:v>Replacement draw</x:v>
      </x:c>
      <x:c r="J6" s="16" t="str">
        <x:v>Planning gate</x:v>
      </x:c>
      <x:c r="K6" s="16" t="str">
        <x:v>Observed gate</x:v>
      </x:c>
    </x:row>
    <x:row r="7">
      <x:c r="B7" s="65" t="str">
        <x:v>CV01</x:v>
      </x:c>
      <x:c r="C7" s="65" t="str">
        <x:v>active closure articles</x:v>
      </x:c>
      <x:c r="D7" s="65" t="n">
        <x:v>2</x:v>
      </x:c>
      <x:c r="E7" s="65" t="n">
        <x:v>2</x:v>
      </x:c>
      <x:c r="F7" s="65" t="n">
        <x:v>0</x:v>
      </x:c>
      <x:c r="G7" s="65" t="n">
        <x:v>0</x:v>
      </x:c>
      <x:c r="H7" s="65" t="n">
        <x:f>D7-SUM(E7:G7)</x:f>
        <x:v>0</x:v>
      </x:c>
      <x:c r="I7" s="65" t="n">
        <x:v>2</x:v>
      </x:c>
      <x:c r="J7" s="65" t="str">
        <x:f>IF(H7=0,"PASS","FAIL")</x:f>
        <x:v>PASS</x:v>
      </x:c>
      <x:c r="K7" s="76" t="str">
        <x:v>OPEN</x:v>
      </x:c>
    </x:row>
    <x:row r="8">
      <x:c r="B8" s="65" t="str">
        <x:v>CV02</x:v>
      </x:c>
      <x:c r="C8" s="65" t="str">
        <x:v>active damage cassettes</x:v>
      </x:c>
      <x:c r="D8" s="65" t="n">
        <x:v>2</x:v>
      </x:c>
      <x:c r="E8" s="65" t="n">
        <x:v>2</x:v>
      </x:c>
      <x:c r="F8" s="65" t="n">
        <x:v>0</x:v>
      </x:c>
      <x:c r="G8" s="65" t="n">
        <x:v>0</x:v>
      </x:c>
      <x:c r="H8" s="65" t="n">
        <x:f>D8-SUM(E8:G8)</x:f>
        <x:v>0</x:v>
      </x:c>
      <x:c r="I8" s="65" t="n">
        <x:v>2</x:v>
      </x:c>
      <x:c r="J8" s="65" t="str">
        <x:f>IF(H8=0,"PASS","FAIL")</x:f>
        <x:v>PASS</x:v>
      </x:c>
      <x:c r="K8" s="76" t="str">
        <x:v>OPEN</x:v>
      </x:c>
    </x:row>
    <x:row r="9">
      <x:c r="B9" s="65" t="str">
        <x:v>CV03</x:v>
      </x:c>
      <x:c r="C9" s="65" t="str">
        <x:v>active-event sample packages</x:v>
      </x:c>
      <x:c r="D9" s="65" t="n">
        <x:v>2</x:v>
      </x:c>
      <x:c r="E9" s="65" t="n">
        <x:v>2</x:v>
      </x:c>
      <x:c r="F9" s="65" t="n">
        <x:v>0</x:v>
      </x:c>
      <x:c r="G9" s="65" t="n">
        <x:v>0</x:v>
      </x:c>
      <x:c r="H9" s="65" t="n">
        <x:f>D9-SUM(E9:G9)</x:f>
        <x:v>0</x:v>
      </x:c>
      <x:c r="I9" s="65" t="n">
        <x:v>2</x:v>
      </x:c>
      <x:c r="J9" s="65" t="str">
        <x:f>IF(H9=0,"PASS","FAIL")</x:f>
        <x:v>PASS</x:v>
      </x:c>
      <x:c r="K9" s="76" t="str">
        <x:v>OPEN</x:v>
      </x:c>
    </x:row>
    <x:row r="10">
      <x:c r="B10" s="65" t="str">
        <x:v>CV04</x:v>
      </x:c>
      <x:c r="C10" s="65" t="str">
        <x:v>active-event water/waste ledgers</x:v>
      </x:c>
      <x:c r="D10" s="65" t="n">
        <x:v>2</x:v>
      </x:c>
      <x:c r="E10" s="65" t="n">
        <x:v>2</x:v>
      </x:c>
      <x:c r="F10" s="65" t="n">
        <x:v>0</x:v>
      </x:c>
      <x:c r="G10" s="65" t="n">
        <x:v>0</x:v>
      </x:c>
      <x:c r="H10" s="65" t="n">
        <x:f>D10-SUM(E10:G10)</x:f>
        <x:v>0</x:v>
      </x:c>
      <x:c r="I10" s="65" t="n">
        <x:v>2</x:v>
      </x:c>
      <x:c r="J10" s="65" t="str">
        <x:f>IF(H10=0,"PASS","FAIL")</x:f>
        <x:v>PASS</x:v>
      </x:c>
      <x:c r="K10" s="76" t="str">
        <x:v>OPEN</x:v>
      </x:c>
    </x:row>
    <x:row r="11">
      <x:c r="B11" s="65" t="str">
        <x:v>CV05</x:v>
      </x:c>
      <x:c r="C11" s="65" t="str">
        <x:v>affected-event originals</x:v>
      </x:c>
      <x:c r="D11" s="65" t="n">
        <x:v>8</x:v>
      </x:c>
      <x:c r="E11" s="65" t="n">
        <x:v>4</x:v>
      </x:c>
      <x:c r="F11" s="65" t="n">
        <x:v>4</x:v>
      </x:c>
      <x:c r="G11" s="65" t="n">
        <x:v>0</x:v>
      </x:c>
      <x:c r="H11" s="65" t="n">
        <x:f>D11-SUM(E11:G11)</x:f>
        <x:v>0</x:v>
      </x:c>
      <x:c r="I11" s="65" t="n">
        <x:v>8</x:v>
      </x:c>
      <x:c r="J11" s="65" t="str">
        <x:f>IF(H11=0,"PASS","FAIL")</x:f>
        <x:v>PASS</x:v>
      </x:c>
      <x:c r="K11" s="76" t="str">
        <x:v>OPEN</x:v>
      </x:c>
    </x:row>
    <x:row r="12">
      <x:c r="B12" s="65" t="str">
        <x:v>CV06</x:v>
      </x:c>
      <x:c r="C12" s="65" t="str">
        <x:v>affected blind manifests</x:v>
      </x:c>
      <x:c r="D12" s="65" t="n">
        <x:v>4</x:v>
      </x:c>
      <x:c r="E12" s="65" t="n">
        <x:v>0</x:v>
      </x:c>
      <x:c r="F12" s="65" t="n">
        <x:v>4</x:v>
      </x:c>
      <x:c r="G12" s="65" t="n">
        <x:v>0</x:v>
      </x:c>
      <x:c r="H12" s="65" t="n">
        <x:f>D12-SUM(E12:G12)</x:f>
        <x:v>0</x:v>
      </x:c>
      <x:c r="I12" s="65" t="n">
        <x:v>4</x:v>
      </x:c>
      <x:c r="J12" s="65" t="str">
        <x:f>IF(H12=0,"PASS","FAIL")</x:f>
        <x:v>PASS</x:v>
      </x:c>
      <x:c r="K12" s="76" t="str">
        <x:v>OPEN</x:v>
      </x:c>
    </x:row>
    <x:row r="13">
      <x:c r="B13" s="65" t="str">
        <x:v>CV07</x:v>
      </x:c>
      <x:c r="C13" s="65" t="str">
        <x:v>CW-C010 forensic package</x:v>
      </x:c>
      <x:c r="D13" s="65" t="n">
        <x:v>1</x:v>
      </x:c>
      <x:c r="E13" s="65" t="n">
        <x:v>0</x:v>
      </x:c>
      <x:c r="F13" s="65" t="n">
        <x:v>1</x:v>
      </x:c>
      <x:c r="G13" s="65" t="n">
        <x:v>0</x:v>
      </x:c>
      <x:c r="H13" s="65" t="n">
        <x:f>D13-SUM(E13:G13)</x:f>
        <x:v>0</x:v>
      </x:c>
      <x:c r="I13" s="65" t="n">
        <x:v>0</x:v>
      </x:c>
      <x:c r="J13" s="65" t="str">
        <x:f>IF(H13=0,"PASS","FAIL")</x:f>
        <x:v>PASS</x:v>
      </x:c>
      <x:c r="K13" s="76" t="str">
        <x:v>OPEN</x:v>
      </x:c>
    </x:row>
    <x:row r="14">
      <x:c r="B14" s="70" t="str">
        <x:v>CV08</x:v>
      </x:c>
      <x:c r="C14" s="70" t="str">
        <x:v>CW-C010 original set</x:v>
      </x:c>
      <x:c r="D14" s="70" t="n">
        <x:v>2</x:v>
      </x:c>
      <x:c r="E14" s="70" t="n">
        <x:v>1</x:v>
      </x:c>
      <x:c r="F14" s="70" t="n">
        <x:v>1</x:v>
      </x:c>
      <x:c r="G14" s="70" t="n">
        <x:v>0</x:v>
      </x:c>
      <x:c r="H14" s="70" t="n">
        <x:f>D14-SUM(E14:G14)</x:f>
        <x:v>0</x:v>
      </x:c>
      <x:c r="I14" s="70" t="n">
        <x:v>0</x:v>
      </x:c>
      <x:c r="J14" s="70" t="str">
        <x:f>IF(H14=0,"PASS","FAIL")</x:f>
        <x:v>PASS</x:v>
      </x:c>
      <x:c r="K14" s="79" t="str">
        <x:v>OPEN</x:v>
      </x:c>
    </x:row>
    <x:row r="15">
      <x:c r="B15" s="54"/>
      <x:c r="C15" s="54"/>
      <x:c r="D15" s="54"/>
      <x:c r="E15" s="54"/>
      <x:c r="F15" s="54"/>
      <x:c r="G15" s="54"/>
      <x:c r="H15" s="54"/>
      <x:c r="I15" s="54"/>
      <x:c r="J15" s="54"/>
      <x:c r="K15" s="54"/>
    </x:row>
    <x:row r="16">
      <x:c r="B16" s="54"/>
      <x:c r="C16" s="54"/>
      <x:c r="D16" s="54"/>
      <x:c r="E16" s="54"/>
      <x:c r="F16" s="54"/>
      <x:c r="G16" s="54"/>
      <x:c r="H16" s="54"/>
      <x:c r="I16" s="54"/>
      <x:c r="J16" s="54"/>
      <x:c r="K16" s="54"/>
    </x:row>
    <x:row r="17">
      <x:c r="B17" s="54"/>
      <x:c r="C17" s="54"/>
      <x:c r="D17" s="54"/>
      <x:c r="E17" s="54"/>
      <x:c r="F17" s="54"/>
      <x:c r="G17" s="54"/>
      <x:c r="H17" s="54"/>
      <x:c r="I17" s="54"/>
      <x:c r="J17" s="54"/>
      <x:c r="K17" s="54"/>
    </x:row>
    <x:row r="18">
      <x:c r="B18" s="57" t="str">
        <x:v>Conservation rule</x:v>
      </x:c>
      <x:c r="C18" s="58" t="str">
        <x:v>Conservation rule</x:v>
      </x:c>
      <x:c r="D18" s="58" t="str">
        <x:v>Conservation rule</x:v>
      </x:c>
      <x:c r="E18" s="58" t="str">
        <x:v>Conservation rule</x:v>
      </x:c>
      <x:c r="F18" s="58" t="str">
        <x:v>Conservation rule</x:v>
      </x:c>
      <x:c r="G18" s="58" t="str">
        <x:v>Conservation rule</x:v>
      </x:c>
      <x:c r="H18" s="58" t="str">
        <x:v>Conservation rule</x:v>
      </x:c>
      <x:c r="I18" s="58" t="str">
        <x:v>Conservation rule</x:v>
      </x:c>
      <x:c r="J18" s="58" t="str">
        <x:v>Conservation rule</x:v>
      </x:c>
      <x:c r="K18" s="59" t="str">
        <x:v>Conservation rule</x:v>
      </x:c>
    </x:row>
    <x:row r="19" ht="40" customHeight="1">
      <x:c r="B19" s="54" t="str">
        <x:v>Equation</x:v>
      </x:c>
      <x:c r="C19" s="62" t="str">
        <x:v>opening + creation = consumption + transfer + retained + safe hold + waste + unexplained</x:v>
      </x:c>
      <x:c r="D19" s="62"/>
      <x:c r="E19" s="62"/>
      <x:c r="F19" s="62"/>
      <x:c r="G19" s="62"/>
      <x:c r="H19" s="62"/>
      <x:c r="I19" s="62"/>
      <x:c r="J19" s="62"/>
      <x:c r="K19" s="62"/>
    </x:row>
    <x:row r="20" ht="40" customHeight="1">
      <x:c r="B20" s="54" t="str">
        <x:v>Transfers</x:v>
      </x:c>
      <x:c r="C20" s="62" t="str">
        <x:v>matching release and receipt records are mandatory</x:v>
      </x:c>
      <x:c r="D20" s="62"/>
      <x:c r="E20" s="62"/>
      <x:c r="F20" s="62"/>
      <x:c r="G20" s="62"/>
      <x:c r="H20" s="62"/>
      <x:c r="I20" s="62"/>
      <x:c r="J20" s="62"/>
      <x:c r="K20" s="62"/>
    </x:row>
    <x:row r="21" ht="40" customHeight="1">
      <x:c r="B21" s="54" t="str">
        <x:v>Waste</x:v>
      </x:c>
      <x:c r="C21" s="62" t="str">
        <x:v>composition, container, location and authority remain registered</x:v>
      </x:c>
      <x:c r="D21" s="62"/>
      <x:c r="E21" s="62"/>
      <x:c r="F21" s="62"/>
      <x:c r="G21" s="62"/>
      <x:c r="H21" s="62"/>
      <x:c r="I21" s="62"/>
      <x:c r="J21" s="62"/>
      <x:c r="K21" s="62"/>
    </x:row>
    <x:row r="22" ht="40" customHeight="1">
      <x:c r="B22" s="54" t="str">
        <x:v>Safe hold</x:v>
      </x:c>
      <x:c r="C22" s="62" t="str">
        <x:v>campus denial changes availability, not identity or obligation</x:v>
      </x:c>
      <x:c r="D22" s="62"/>
      <x:c r="E22" s="62"/>
      <x:c r="F22" s="62"/>
      <x:c r="G22" s="62"/>
      <x:c r="H22" s="62"/>
      <x:c r="I22" s="62"/>
      <x:c r="J22" s="62"/>
      <x:c r="K22" s="62"/>
    </x:row>
  </x:sheetData>
  <x:mergeCells>
    <x:mergeCell ref="B3:K3"/>
    <x:mergeCell ref="B18:K18"/>
    <x:mergeCell ref="C19:K19"/>
    <x:mergeCell ref="C20:K20"/>
    <x:mergeCell ref="C21:K21"/>
    <x:mergeCell ref="C22:K22"/>
  </x:mergeCells>
  <x:conditionalFormatting sqref="J7:K14">
    <x:cfRule type="containsText" dxfId="96" priority="1" operator="containsText" text="FAIL"/>
    <x:cfRule type="containsText" dxfId="97" priority="2" operator="containsText" text="BLOCKED"/>
    <x:cfRule type="containsText" dxfId="98" priority="3" operator="containsText" text="HOLD"/>
    <x:cfRule type="containsText" dxfId="99" priority="4" operator="containsText" text="OPEN"/>
    <x:cfRule type="containsText" dxfId="100" priority="5" operator="containsText" text="RANGE-INVALID"/>
    <x:cfRule type="containsText" dxfId="101" priority="6" operator="containsText" text="INDETERMINATE"/>
    <x:cfRule type="containsText" dxfId="102" priority="7" operator="containsText" text="PASS"/>
    <x:cfRule type="containsText" dxfId="103" priority="8" operator="containsText" text="AUTHORIZED"/>
    <x:cfRule type="containsText" dxfId="104" priority="9" operator="containsText" text="RELEASED"/>
    <x:cfRule type="containsText" dxfId="105" priority="10" operator="containsText" text="ADMITTED"/>
    <x:cfRule type="containsText" dxfId="106" priority="11" operator="containsText" text="MODELED CREDIT"/>
    <x:cfRule type="containsText" dxfId="107" priority="12" operator="containsText" text="PLANNING COMPLETE"/>
    <x:cfRule type="containsText" dxfId="336" priority="13" operator="containsText" text="FAIL"/>
    <x:cfRule type="containsText" dxfId="337" priority="14" operator="containsText" text="BLOCKED"/>
    <x:cfRule type="containsText" dxfId="338" priority="15" operator="containsText" text="HOLD"/>
    <x:cfRule type="containsText" dxfId="339" priority="16" operator="containsText" text="OPEN"/>
    <x:cfRule type="containsText" dxfId="340" priority="17" operator="containsText" text="RANGE-INVALID"/>
    <x:cfRule type="containsText" dxfId="341" priority="18" operator="containsText" text="INDETERMINATE"/>
    <x:cfRule type="containsText" dxfId="342" priority="19" operator="containsText" text="PASS"/>
    <x:cfRule type="containsText" dxfId="343" priority="20" operator="containsText" text="AUTHORIZED"/>
    <x:cfRule type="containsText" dxfId="344" priority="21" operator="containsText" text="RELEASED"/>
    <x:cfRule type="containsText" dxfId="345" priority="22" operator="containsText" text="ADMITTED"/>
    <x:cfRule type="containsText" dxfId="346" priority="23" operator="containsText" text="MODELED CREDIT"/>
    <x:cfRule type="containsText" dxfId="347" priority="24" operator="containsText" text="PLANNING COMPLETE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B8C7D1"/>
  </x:sheetPr>
  <x:sheetViews>
    <x:sheetView showGridLines="0" workbookViewId="0"/>
  </x:sheetViews>
  <x:sheetFormatPr defaultRowHeight="15"/>
  <x:cols>
    <x:col min="2" max="2" width="13" hidden="0" customWidth="1"/>
    <x:col min="3" max="3" width="37" hidden="0" customWidth="1"/>
    <x:col min="4" max="4" width="14" hidden="0" customWidth="1"/>
    <x:col min="5" max="5" width="22" hidden="0" customWidth="1"/>
    <x:col min="6" max="6" width="20" hidden="0" customWidth="1"/>
    <x:col min="7" max="7" width="18" hidden="0" customWidth="1"/>
  </x:cols>
  <x:sheetData>
    <x:row r="2">
      <x:c r="B2" s="1" t="str">
        <x:v>Public first-wave roster constitution</x:v>
      </x:c>
      <x:c r="C2" s="54"/>
      <x:c r="D2" s="54"/>
      <x:c r="E2" s="54"/>
      <x:c r="F2" s="54"/>
      <x:c r="G2" s="54"/>
    </x:row>
    <x:row r="3">
      <x:c r="B3" s="2" t="str">
        <x:v>Billet and watch quantities are frozen in planning. Named qualified people remain a physical predecessor.</x:v>
      </x:c>
      <x:c r="C3" s="54"/>
      <x:c r="D3" s="54"/>
      <x:c r="E3" s="54"/>
      <x:c r="F3" s="54"/>
      <x:c r="G3" s="54"/>
    </x:row>
    <x:row r="4">
      <x:c r="B4" s="56"/>
      <x:c r="C4" s="56"/>
      <x:c r="D4" s="56"/>
      <x:c r="E4" s="56"/>
      <x:c r="F4" s="56"/>
      <x:c r="G4" s="56"/>
    </x:row>
    <x:row r="5">
      <x:c r="B5" s="54"/>
      <x:c r="C5" s="54"/>
      <x:c r="D5" s="54"/>
      <x:c r="E5" s="54"/>
      <x:c r="F5" s="54"/>
      <x:c r="G5" s="54"/>
    </x:row>
    <x:row r="6">
      <x:c r="B6" s="15" t="str">
        <x:v>Campus</x:v>
      </x:c>
      <x:c r="C6" s="16" t="str">
        <x:v>Professional community</x:v>
      </x:c>
      <x:c r="D6" s="16" t="str">
        <x:v>Billets</x:v>
      </x:c>
      <x:c r="E6" s="16" t="str">
        <x:v>Available after loss</x:v>
      </x:c>
      <x:c r="F6" s="16" t="str">
        <x:v>Planning state</x:v>
      </x:c>
      <x:c r="G6" s="16" t="str">
        <x:v>Named roster state</x:v>
      </x:c>
    </x:row>
    <x:row r="7" ht="27" customHeight="1">
      <x:c r="B7" s="65" t="str">
        <x:v>NRC-A</x:v>
      </x:c>
      <x:c r="C7" s="65" t="str">
        <x:v>closure-bay operations</x:v>
      </x:c>
      <x:c r="D7" s="65" t="n">
        <x:v>80</x:v>
      </x:c>
      <x:c r="E7" s="65" t="n">
        <x:f>IF(B7='Control Inputs'!D9,0,D7)</x:f>
        <x:v>80</x:v>
      </x:c>
      <x:c r="F7" s="65" t="str">
        <x:v>PLANNING COMPLETE</x:v>
      </x:c>
      <x:c r="G7" s="76" t="str">
        <x:v>OPEN</x:v>
      </x:c>
    </x:row>
    <x:row r="8" ht="27" customHeight="1">
      <x:c r="B8" s="65" t="str">
        <x:v>NRC-A</x:v>
      </x:c>
      <x:c r="C8" s="65" t="str">
        <x:v>damage-cell operations</x:v>
      </x:c>
      <x:c r="D8" s="65" t="n">
        <x:v>110</x:v>
      </x:c>
      <x:c r="E8" s="65" t="n">
        <x:f>IF(B8='Control Inputs'!D9,0,D8)</x:f>
        <x:v>110</x:v>
      </x:c>
      <x:c r="F8" s="65" t="str">
        <x:v>PLANNING COMPLETE</x:v>
      </x:c>
      <x:c r="G8" s="76" t="str">
        <x:v>OPEN</x:v>
      </x:c>
    </x:row>
    <x:row r="9" ht="27" customHeight="1">
      <x:c r="B9" s="65" t="str">
        <x:v>NRC-A</x:v>
      </x:c>
      <x:c r="C9" s="65" t="str">
        <x:v>sanitary laboratories</x:v>
      </x:c>
      <x:c r="D9" s="65" t="n">
        <x:v>40</x:v>
      </x:c>
      <x:c r="E9" s="65" t="n">
        <x:f>IF(B9='Control Inputs'!D9,0,D9)</x:f>
        <x:v>40</x:v>
      </x:c>
      <x:c r="F9" s="65" t="str">
        <x:v>PLANNING COMPLETE</x:v>
      </x:c>
      <x:c r="G9" s="76" t="str">
        <x:v>OPEN</x:v>
      </x:c>
    </x:row>
    <x:row r="10" ht="27" customHeight="1">
      <x:c r="B10" s="65" t="str">
        <x:v>NRC-A</x:v>
      </x:c>
      <x:c r="C10" s="65" t="str">
        <x:v>forensic lines</x:v>
      </x:c>
      <x:c r="D10" s="65" t="n">
        <x:v>30</x:v>
      </x:c>
      <x:c r="E10" s="65" t="n">
        <x:f>IF(B10='Control Inputs'!D9,0,D10)</x:f>
        <x:v>30</x:v>
      </x:c>
      <x:c r="F10" s="65" t="str">
        <x:v>PLANNING COMPLETE</x:v>
      </x:c>
      <x:c r="G10" s="76" t="str">
        <x:v>OPEN</x:v>
      </x:c>
    </x:row>
    <x:row r="11" ht="27" customHeight="1">
      <x:c r="B11" s="65" t="str">
        <x:v>NRC-A</x:v>
      </x:c>
      <x:c r="C11" s="65" t="str">
        <x:v>metrology detachments</x:v>
      </x:c>
      <x:c r="D11" s="65" t="n">
        <x:v>32</x:v>
      </x:c>
      <x:c r="E11" s="65" t="n">
        <x:f>IF(B11='Control Inputs'!D9,0,D11)</x:f>
        <x:v>32</x:v>
      </x:c>
      <x:c r="F11" s="65" t="str">
        <x:v>PLANNING COMPLETE</x:v>
      </x:c>
      <x:c r="G11" s="76" t="str">
        <x:v>OPEN</x:v>
      </x:c>
    </x:row>
    <x:row r="12" ht="27" customHeight="1">
      <x:c r="B12" s="65" t="str">
        <x:v>NRC-A</x:v>
      </x:c>
      <x:c r="C12" s="65" t="str">
        <x:v>evidence replay and time</x:v>
      </x:c>
      <x:c r="D12" s="65" t="n">
        <x:v>24</x:v>
      </x:c>
      <x:c r="E12" s="65" t="n">
        <x:f>IF(B12='Control Inputs'!D9,0,D12)</x:f>
        <x:v>24</x:v>
      </x:c>
      <x:c r="F12" s="65" t="str">
        <x:v>PLANNING COMPLETE</x:v>
      </x:c>
      <x:c r="G12" s="76" t="str">
        <x:v>OPEN</x:v>
      </x:c>
    </x:row>
    <x:row r="13" ht="27" customHeight="1">
      <x:c r="B13" s="65" t="str">
        <x:v>NRC-A</x:v>
      </x:c>
      <x:c r="C13" s="65" t="str">
        <x:v>blind/configuration shops</x:v>
      </x:c>
      <x:c r="D13" s="65" t="n">
        <x:v>15</x:v>
      </x:c>
      <x:c r="E13" s="65" t="n">
        <x:f>IF(B13='Control Inputs'!D9,0,D13)</x:f>
        <x:v>15</x:v>
      </x:c>
      <x:c r="F13" s="65" t="str">
        <x:v>PLANNING COMPLETE</x:v>
      </x:c>
      <x:c r="G13" s="76" t="str">
        <x:v>OPEN</x:v>
      </x:c>
    </x:row>
    <x:row r="14" ht="27" customHeight="1">
      <x:c r="B14" s="65" t="str">
        <x:v>NRC-A</x:v>
      </x:c>
      <x:c r="C14" s="65" t="str">
        <x:v>campus utilities and safety</x:v>
      </x:c>
      <x:c r="D14" s="65" t="n">
        <x:v>40</x:v>
      </x:c>
      <x:c r="E14" s="65" t="n">
        <x:f>IF(B14='Control Inputs'!D9,0,D14)</x:f>
        <x:v>40</x:v>
      </x:c>
      <x:c r="F14" s="65" t="str">
        <x:v>PLANNING COMPLETE</x:v>
      </x:c>
      <x:c r="G14" s="76" t="str">
        <x:v>OPEN</x:v>
      </x:c>
    </x:row>
    <x:row r="15" ht="27" customHeight="1">
      <x:c r="B15" s="65" t="str">
        <x:v>NRC-A</x:v>
      </x:c>
      <x:c r="C15" s="65" t="str">
        <x:v>command and evidence boards</x:v>
      </x:c>
      <x:c r="D15" s="65" t="n">
        <x:v>14</x:v>
      </x:c>
      <x:c r="E15" s="65" t="n">
        <x:f>IF(B15='Control Inputs'!D9,0,D15)</x:f>
        <x:v>14</x:v>
      </x:c>
      <x:c r="F15" s="65" t="str">
        <x:v>PLANNING COMPLETE</x:v>
      </x:c>
      <x:c r="G15" s="76" t="str">
        <x:v>OPEN</x:v>
      </x:c>
    </x:row>
    <x:row r="16" ht="27" customHeight="1">
      <x:c r="B16" s="65" t="str">
        <x:v>NRC-A</x:v>
      </x:c>
      <x:c r="C16" s="65" t="str">
        <x:v>mobile reserve and training</x:v>
      </x:c>
      <x:c r="D16" s="65" t="n">
        <x:v>25</x:v>
      </x:c>
      <x:c r="E16" s="65" t="n">
        <x:f>IF(B16='Control Inputs'!D9,0,D16)</x:f>
        <x:v>25</x:v>
      </x:c>
      <x:c r="F16" s="65" t="str">
        <x:v>PLANNING COMPLETE</x:v>
      </x:c>
      <x:c r="G16" s="76" t="str">
        <x:v>OPEN</x:v>
      </x:c>
    </x:row>
    <x:row r="17" ht="27" customHeight="1">
      <x:c r="B17" s="65" t="str">
        <x:v>NRC-B</x:v>
      </x:c>
      <x:c r="C17" s="65" t="str">
        <x:v>closure-bay operations</x:v>
      </x:c>
      <x:c r="D17" s="65" t="n">
        <x:v>80</x:v>
      </x:c>
      <x:c r="E17" s="65" t="n">
        <x:f>IF(B17='Control Inputs'!D9,0,D17)</x:f>
        <x:v>0</x:v>
      </x:c>
      <x:c r="F17" s="65" t="str">
        <x:v>PLANNING COMPLETE</x:v>
      </x:c>
      <x:c r="G17" s="76" t="str">
        <x:v>OPEN</x:v>
      </x:c>
    </x:row>
    <x:row r="18" ht="27" customHeight="1">
      <x:c r="B18" s="65" t="str">
        <x:v>NRC-B</x:v>
      </x:c>
      <x:c r="C18" s="65" t="str">
        <x:v>damage-cell operations</x:v>
      </x:c>
      <x:c r="D18" s="65" t="n">
        <x:v>110</x:v>
      </x:c>
      <x:c r="E18" s="65" t="n">
        <x:f>IF(B18='Control Inputs'!D9,0,D18)</x:f>
        <x:v>0</x:v>
      </x:c>
      <x:c r="F18" s="65" t="str">
        <x:v>PLANNING COMPLETE</x:v>
      </x:c>
      <x:c r="G18" s="76" t="str">
        <x:v>OPEN</x:v>
      </x:c>
    </x:row>
    <x:row r="19" ht="27" customHeight="1">
      <x:c r="B19" s="65" t="str">
        <x:v>NRC-B</x:v>
      </x:c>
      <x:c r="C19" s="65" t="str">
        <x:v>sanitary laboratories</x:v>
      </x:c>
      <x:c r="D19" s="65" t="n">
        <x:v>40</x:v>
      </x:c>
      <x:c r="E19" s="65" t="n">
        <x:f>IF(B19='Control Inputs'!D9,0,D19)</x:f>
        <x:v>0</x:v>
      </x:c>
      <x:c r="F19" s="65" t="str">
        <x:v>PLANNING COMPLETE</x:v>
      </x:c>
      <x:c r="G19" s="76" t="str">
        <x:v>OPEN</x:v>
      </x:c>
    </x:row>
    <x:row r="20" ht="27" customHeight="1">
      <x:c r="B20" s="65" t="str">
        <x:v>NRC-B</x:v>
      </x:c>
      <x:c r="C20" s="65" t="str">
        <x:v>forensic lines</x:v>
      </x:c>
      <x:c r="D20" s="65" t="n">
        <x:v>30</x:v>
      </x:c>
      <x:c r="E20" s="65" t="n">
        <x:f>IF(B20='Control Inputs'!D9,0,D20)</x:f>
        <x:v>0</x:v>
      </x:c>
      <x:c r="F20" s="65" t="str">
        <x:v>PLANNING COMPLETE</x:v>
      </x:c>
      <x:c r="G20" s="76" t="str">
        <x:v>OPEN</x:v>
      </x:c>
    </x:row>
    <x:row r="21" ht="27" customHeight="1">
      <x:c r="B21" s="65" t="str">
        <x:v>NRC-B</x:v>
      </x:c>
      <x:c r="C21" s="65" t="str">
        <x:v>metrology detachments</x:v>
      </x:c>
      <x:c r="D21" s="65" t="n">
        <x:v>32</x:v>
      </x:c>
      <x:c r="E21" s="65" t="n">
        <x:f>IF(B21='Control Inputs'!D9,0,D21)</x:f>
        <x:v>0</x:v>
      </x:c>
      <x:c r="F21" s="65" t="str">
        <x:v>PLANNING COMPLETE</x:v>
      </x:c>
      <x:c r="G21" s="76" t="str">
        <x:v>OPEN</x:v>
      </x:c>
    </x:row>
    <x:row r="22" ht="27" customHeight="1">
      <x:c r="B22" s="65" t="str">
        <x:v>NRC-B</x:v>
      </x:c>
      <x:c r="C22" s="65" t="str">
        <x:v>evidence replay and time</x:v>
      </x:c>
      <x:c r="D22" s="65" t="n">
        <x:v>24</x:v>
      </x:c>
      <x:c r="E22" s="65" t="n">
        <x:f>IF(B22='Control Inputs'!D9,0,D22)</x:f>
        <x:v>0</x:v>
      </x:c>
      <x:c r="F22" s="65" t="str">
        <x:v>PLANNING COMPLETE</x:v>
      </x:c>
      <x:c r="G22" s="76" t="str">
        <x:v>OPEN</x:v>
      </x:c>
    </x:row>
    <x:row r="23" ht="27" customHeight="1">
      <x:c r="B23" s="65" t="str">
        <x:v>NRC-B</x:v>
      </x:c>
      <x:c r="C23" s="65" t="str">
        <x:v>blind/configuration shops</x:v>
      </x:c>
      <x:c r="D23" s="65" t="n">
        <x:v>15</x:v>
      </x:c>
      <x:c r="E23" s="65" t="n">
        <x:f>IF(B23='Control Inputs'!D9,0,D23)</x:f>
        <x:v>0</x:v>
      </x:c>
      <x:c r="F23" s="65" t="str">
        <x:v>PLANNING COMPLETE</x:v>
      </x:c>
      <x:c r="G23" s="76" t="str">
        <x:v>OPEN</x:v>
      </x:c>
    </x:row>
    <x:row r="24" ht="27" customHeight="1">
      <x:c r="B24" s="65" t="str">
        <x:v>NRC-B</x:v>
      </x:c>
      <x:c r="C24" s="65" t="str">
        <x:v>campus utilities and safety</x:v>
      </x:c>
      <x:c r="D24" s="65" t="n">
        <x:v>40</x:v>
      </x:c>
      <x:c r="E24" s="65" t="n">
        <x:f>IF(B24='Control Inputs'!D9,0,D24)</x:f>
        <x:v>0</x:v>
      </x:c>
      <x:c r="F24" s="65" t="str">
        <x:v>PLANNING COMPLETE</x:v>
      </x:c>
      <x:c r="G24" s="76" t="str">
        <x:v>OPEN</x:v>
      </x:c>
    </x:row>
    <x:row r="25" ht="27" customHeight="1">
      <x:c r="B25" s="65" t="str">
        <x:v>NRC-B</x:v>
      </x:c>
      <x:c r="C25" s="65" t="str">
        <x:v>command and evidence boards</x:v>
      </x:c>
      <x:c r="D25" s="65" t="n">
        <x:v>14</x:v>
      </x:c>
      <x:c r="E25" s="65" t="n">
        <x:f>IF(B25='Control Inputs'!D9,0,D25)</x:f>
        <x:v>0</x:v>
      </x:c>
      <x:c r="F25" s="65" t="str">
        <x:v>PLANNING COMPLETE</x:v>
      </x:c>
      <x:c r="G25" s="76" t="str">
        <x:v>OPEN</x:v>
      </x:c>
    </x:row>
    <x:row r="26" ht="27" customHeight="1">
      <x:c r="B26" s="65" t="str">
        <x:v>NRC-B</x:v>
      </x:c>
      <x:c r="C26" s="65" t="str">
        <x:v>mobile reserve and training</x:v>
      </x:c>
      <x:c r="D26" s="65" t="n">
        <x:v>25</x:v>
      </x:c>
      <x:c r="E26" s="65" t="n">
        <x:f>IF(B26='Control Inputs'!D9,0,D26)</x:f>
        <x:v>0</x:v>
      </x:c>
      <x:c r="F26" s="65" t="str">
        <x:v>PLANNING COMPLETE</x:v>
      </x:c>
      <x:c r="G26" s="76" t="str">
        <x:v>OPEN</x:v>
      </x:c>
    </x:row>
    <x:row r="27" ht="27" customHeight="1">
      <x:c r="B27" s="65" t="str">
        <x:v>NRC-C</x:v>
      </x:c>
      <x:c r="C27" s="65" t="str">
        <x:v>closure-bay operations</x:v>
      </x:c>
      <x:c r="D27" s="65" t="n">
        <x:v>80</x:v>
      </x:c>
      <x:c r="E27" s="65" t="n">
        <x:f>IF(B27='Control Inputs'!D9,0,D27)</x:f>
        <x:v>80</x:v>
      </x:c>
      <x:c r="F27" s="65" t="str">
        <x:v>PLANNING COMPLETE</x:v>
      </x:c>
      <x:c r="G27" s="76" t="str">
        <x:v>OPEN</x:v>
      </x:c>
    </x:row>
    <x:row r="28" ht="27" customHeight="1">
      <x:c r="B28" s="65" t="str">
        <x:v>NRC-C</x:v>
      </x:c>
      <x:c r="C28" s="65" t="str">
        <x:v>damage-cell operations</x:v>
      </x:c>
      <x:c r="D28" s="65" t="n">
        <x:v>110</x:v>
      </x:c>
      <x:c r="E28" s="65" t="n">
        <x:f>IF(B28='Control Inputs'!D9,0,D28)</x:f>
        <x:v>110</x:v>
      </x:c>
      <x:c r="F28" s="65" t="str">
        <x:v>PLANNING COMPLETE</x:v>
      </x:c>
      <x:c r="G28" s="76" t="str">
        <x:v>OPEN</x:v>
      </x:c>
    </x:row>
    <x:row r="29" ht="27" customHeight="1">
      <x:c r="B29" s="65" t="str">
        <x:v>NRC-C</x:v>
      </x:c>
      <x:c r="C29" s="65" t="str">
        <x:v>sanitary laboratories</x:v>
      </x:c>
      <x:c r="D29" s="65" t="n">
        <x:v>40</x:v>
      </x:c>
      <x:c r="E29" s="65" t="n">
        <x:f>IF(B29='Control Inputs'!D9,0,D29)</x:f>
        <x:v>40</x:v>
      </x:c>
      <x:c r="F29" s="65" t="str">
        <x:v>PLANNING COMPLETE</x:v>
      </x:c>
      <x:c r="G29" s="76" t="str">
        <x:v>OPEN</x:v>
      </x:c>
    </x:row>
    <x:row r="30" ht="27" customHeight="1">
      <x:c r="B30" s="65" t="str">
        <x:v>NRC-C</x:v>
      </x:c>
      <x:c r="C30" s="65" t="str">
        <x:v>forensic lines</x:v>
      </x:c>
      <x:c r="D30" s="65" t="n">
        <x:v>30</x:v>
      </x:c>
      <x:c r="E30" s="65" t="n">
        <x:f>IF(B30='Control Inputs'!D9,0,D30)</x:f>
        <x:v>30</x:v>
      </x:c>
      <x:c r="F30" s="65" t="str">
        <x:v>PLANNING COMPLETE</x:v>
      </x:c>
      <x:c r="G30" s="76" t="str">
        <x:v>OPEN</x:v>
      </x:c>
    </x:row>
    <x:row r="31" ht="27" customHeight="1">
      <x:c r="B31" s="65" t="str">
        <x:v>NRC-C</x:v>
      </x:c>
      <x:c r="C31" s="65" t="str">
        <x:v>metrology detachments</x:v>
      </x:c>
      <x:c r="D31" s="65" t="n">
        <x:v>32</x:v>
      </x:c>
      <x:c r="E31" s="65" t="n">
        <x:f>IF(B31='Control Inputs'!D9,0,D31)</x:f>
        <x:v>32</x:v>
      </x:c>
      <x:c r="F31" s="65" t="str">
        <x:v>PLANNING COMPLETE</x:v>
      </x:c>
      <x:c r="G31" s="76" t="str">
        <x:v>OPEN</x:v>
      </x:c>
    </x:row>
    <x:row r="32" ht="27" customHeight="1">
      <x:c r="B32" s="65" t="str">
        <x:v>NRC-C</x:v>
      </x:c>
      <x:c r="C32" s="65" t="str">
        <x:v>evidence replay and time</x:v>
      </x:c>
      <x:c r="D32" s="65" t="n">
        <x:v>24</x:v>
      </x:c>
      <x:c r="E32" s="65" t="n">
        <x:f>IF(B32='Control Inputs'!D9,0,D32)</x:f>
        <x:v>24</x:v>
      </x:c>
      <x:c r="F32" s="65" t="str">
        <x:v>PLANNING COMPLETE</x:v>
      </x:c>
      <x:c r="G32" s="76" t="str">
        <x:v>OPEN</x:v>
      </x:c>
    </x:row>
    <x:row r="33" ht="27" customHeight="1">
      <x:c r="B33" s="65" t="str">
        <x:v>NRC-C</x:v>
      </x:c>
      <x:c r="C33" s="65" t="str">
        <x:v>blind/configuration shops</x:v>
      </x:c>
      <x:c r="D33" s="65" t="n">
        <x:v>15</x:v>
      </x:c>
      <x:c r="E33" s="65" t="n">
        <x:f>IF(B33='Control Inputs'!D9,0,D33)</x:f>
        <x:v>15</x:v>
      </x:c>
      <x:c r="F33" s="65" t="str">
        <x:v>PLANNING COMPLETE</x:v>
      </x:c>
      <x:c r="G33" s="76" t="str">
        <x:v>OPEN</x:v>
      </x:c>
    </x:row>
    <x:row r="34" ht="27" customHeight="1">
      <x:c r="B34" s="65" t="str">
        <x:v>NRC-C</x:v>
      </x:c>
      <x:c r="C34" s="65" t="str">
        <x:v>campus utilities and safety</x:v>
      </x:c>
      <x:c r="D34" s="65" t="n">
        <x:v>40</x:v>
      </x:c>
      <x:c r="E34" s="65" t="n">
        <x:f>IF(B34='Control Inputs'!D9,0,D34)</x:f>
        <x:v>40</x:v>
      </x:c>
      <x:c r="F34" s="65" t="str">
        <x:v>PLANNING COMPLETE</x:v>
      </x:c>
      <x:c r="G34" s="76" t="str">
        <x:v>OPEN</x:v>
      </x:c>
    </x:row>
    <x:row r="35" ht="27" customHeight="1">
      <x:c r="B35" s="65" t="str">
        <x:v>NRC-C</x:v>
      </x:c>
      <x:c r="C35" s="65" t="str">
        <x:v>command and evidence boards</x:v>
      </x:c>
      <x:c r="D35" s="65" t="n">
        <x:v>14</x:v>
      </x:c>
      <x:c r="E35" s="65" t="n">
        <x:f>IF(B35='Control Inputs'!D9,0,D35)</x:f>
        <x:v>14</x:v>
      </x:c>
      <x:c r="F35" s="65" t="str">
        <x:v>PLANNING COMPLETE</x:v>
      </x:c>
      <x:c r="G35" s="76" t="str">
        <x:v>OPEN</x:v>
      </x:c>
    </x:row>
    <x:row r="36" ht="27" customHeight="1">
      <x:c r="B36" s="70" t="str">
        <x:v>NRC-C</x:v>
      </x:c>
      <x:c r="C36" s="70" t="str">
        <x:v>mobile reserve and training</x:v>
      </x:c>
      <x:c r="D36" s="70" t="n">
        <x:v>25</x:v>
      </x:c>
      <x:c r="E36" s="70" t="n">
        <x:f>IF(B36='Control Inputs'!D9,0,D36)</x:f>
        <x:v>25</x:v>
      </x:c>
      <x:c r="F36" s="70" t="str">
        <x:v>PLANNING COMPLETE</x:v>
      </x:c>
      <x:c r="G36" s="79" t="str">
        <x:v>OPEN</x:v>
      </x:c>
    </x:row>
    <x:row r="37">
      <x:c r="B37" s="54"/>
      <x:c r="C37" s="54"/>
      <x:c r="D37" s="54"/>
      <x:c r="E37" s="54"/>
      <x:c r="F37" s="54"/>
      <x:c r="G37" s="54"/>
    </x:row>
    <x:row r="38">
      <x:c r="B38" s="54"/>
      <x:c r="C38" s="54"/>
      <x:c r="D38" s="54"/>
      <x:c r="E38" s="54"/>
      <x:c r="F38" s="54"/>
      <x:c r="G38" s="54"/>
    </x:row>
    <x:row r="39">
      <x:c r="B39" s="54" t="str">
        <x:v>National billets</x:v>
      </x:c>
      <x:c r="C39" s="54" t="str">
        <x:v>all campuses</x:v>
      </x:c>
      <x:c r="D39" s="54" t="n">
        <x:f>SUM(D7:D36)</x:f>
        <x:v>1230</x:v>
      </x:c>
      <x:c r="E39" s="54"/>
      <x:c r="F39" s="54"/>
      <x:c r="G39" s="54"/>
    </x:row>
    <x:row r="40">
      <x:c r="B40" s="54" t="str">
        <x:v>Lost-campus billets</x:v>
      </x:c>
      <x:c r="C40" s="54" t="str">
        <x:v>NRC-B unavailable</x:v>
      </x:c>
      <x:c r="D40" s="54" t="n">
        <x:f>SUMIFS(D7:D36,B7:B36,'Control Inputs'!D9)</x:f>
        <x:v>410</x:v>
      </x:c>
      <x:c r="E40" s="54"/>
      <x:c r="F40" s="54"/>
      <x:c r="G40" s="54"/>
    </x:row>
    <x:row r="41">
      <x:c r="B41" s="54" t="str">
        <x:v>Residual public personnel</x:v>
      </x:c>
      <x:c r="C41" s="54" t="str">
        <x:v>NRC-A and NRC-C only</x:v>
      </x:c>
      <x:c r="D41" s="54" t="n">
        <x:f>D39-D40</x:f>
        <x:v>820</x:v>
      </x:c>
      <x:c r="E41" s="54" t="str">
        <x:f>IF(AND(D39='Control Inputs'!D59,D40='Control Inputs'!D60,D41=2*'Control Inputs'!D60),"PASS","FAIL")</x:f>
        <x:v>PASS</x:v>
      </x:c>
      <x:c r="F41" s="54"/>
      <x:c r="G41" s="54"/>
    </x:row>
    <x:row r="42">
      <x:c r="B42" s="54" t="str">
        <x:v>Qualified affiliates</x:v>
      </x:c>
      <x:c r="C42" s="54" t="str">
        <x:v>not public watch substitutes</x:v>
      </x:c>
      <x:c r="D42" s="54" t="n">
        <x:f>'Control Inputs'!D61</x:f>
        <x:v>1850</x:v>
      </x:c>
      <x:c r="E42" s="54"/>
      <x:c r="F42" s="54"/>
      <x:c r="G42" s="54"/>
    </x:row>
    <x:row r="43">
      <x:c r="B43" s="54"/>
      <x:c r="C43" s="54"/>
      <x:c r="D43" s="54"/>
      <x:c r="E43" s="54"/>
      <x:c r="F43" s="54"/>
      <x:c r="G43" s="54"/>
    </x:row>
    <x:row r="44">
      <x:c r="B44" s="54"/>
      <x:c r="C44" s="54"/>
      <x:c r="D44" s="54"/>
      <x:c r="E44" s="54"/>
      <x:c r="F44" s="54"/>
      <x:c r="G44" s="54"/>
    </x:row>
    <x:row r="45">
      <x:c r="B45" s="54"/>
      <x:c r="C45" s="54"/>
      <x:c r="D45" s="54"/>
      <x:c r="E45" s="54"/>
      <x:c r="F45" s="54"/>
      <x:c r="G45" s="54"/>
    </x:row>
    <x:row r="46">
      <x:c r="B46" s="57" t="str">
        <x:v>Five roster cells per campus</x:v>
      </x:c>
      <x:c r="C46" s="58" t="str">
        <x:v>Five roster cells per campus</x:v>
      </x:c>
      <x:c r="D46" s="58" t="str">
        <x:v>Five roster cells per campus</x:v>
      </x:c>
      <x:c r="E46" s="58" t="str">
        <x:v>Five roster cells per campus</x:v>
      </x:c>
      <x:c r="F46" s="58" t="str">
        <x:v>Five roster cells per campus</x:v>
      </x:c>
      <x:c r="G46" s="59" t="str">
        <x:v>Five roster cells per campus</x:v>
      </x:c>
    </x:row>
    <x:row r="47">
      <x:c r="B47" s="15" t="str">
        <x:v>Campus</x:v>
      </x:c>
      <x:c r="C47" s="16" t="str">
        <x:v>Roster cell</x:v>
      </x:c>
      <x:c r="D47" s="16" t="str">
        <x:v>Billets</x:v>
      </x:c>
      <x:c r="E47" s="16" t="str">
        <x:v>Function</x:v>
      </x:c>
      <x:c r="F47" s="16" t="str">
        <x:v>Available after loss</x:v>
      </x:c>
      <x:c r="G47" s="16" t="str">
        <x:v>Named roster state</x:v>
      </x:c>
    </x:row>
    <x:row r="48">
      <x:c r="B48" s="65" t="str">
        <x:v>NRC-A</x:v>
      </x:c>
      <x:c r="C48" s="65" t="str">
        <x:v>ALPHA</x:v>
      </x:c>
      <x:c r="D48" s="65" t="n">
        <x:v>78</x:v>
      </x:c>
      <x:c r="E48" s="65" t="str">
        <x:v>rotating watch</x:v>
      </x:c>
      <x:c r="F48" s="65" t="n">
        <x:f>IF(B48='Control Inputs'!D9,0,D48)</x:f>
        <x:v>78</x:v>
      </x:c>
      <x:c r="G48" s="76" t="str">
        <x:v>OPEN</x:v>
      </x:c>
    </x:row>
    <x:row r="49">
      <x:c r="B49" s="65" t="str">
        <x:v>NRC-A</x:v>
      </x:c>
      <x:c r="C49" s="65" t="str">
        <x:v>BRAVO</x:v>
      </x:c>
      <x:c r="D49" s="65" t="n">
        <x:v>78</x:v>
      </x:c>
      <x:c r="E49" s="65" t="str">
        <x:v>rotating watch</x:v>
      </x:c>
      <x:c r="F49" s="65" t="n">
        <x:f>IF(B49='Control Inputs'!D9,0,D49)</x:f>
        <x:v>78</x:v>
      </x:c>
      <x:c r="G49" s="76" t="str">
        <x:v>OPEN</x:v>
      </x:c>
    </x:row>
    <x:row r="50">
      <x:c r="B50" s="65" t="str">
        <x:v>NRC-A</x:v>
      </x:c>
      <x:c r="C50" s="65" t="str">
        <x:v>CHARLIE</x:v>
      </x:c>
      <x:c r="D50" s="65" t="n">
        <x:v>78</x:v>
      </x:c>
      <x:c r="E50" s="65" t="str">
        <x:v>rotating watch</x:v>
      </x:c>
      <x:c r="F50" s="65" t="n">
        <x:f>IF(B50='Control Inputs'!D9,0,D50)</x:f>
        <x:v>78</x:v>
      </x:c>
      <x:c r="G50" s="76" t="str">
        <x:v>OPEN</x:v>
      </x:c>
    </x:row>
    <x:row r="51">
      <x:c r="B51" s="65" t="str">
        <x:v>NRC-A</x:v>
      </x:c>
      <x:c r="C51" s="65" t="str">
        <x:v>DELTA</x:v>
      </x:c>
      <x:c r="D51" s="65" t="n">
        <x:v>78</x:v>
      </x:c>
      <x:c r="E51" s="65" t="str">
        <x:v>rotating watch</x:v>
      </x:c>
      <x:c r="F51" s="65" t="n">
        <x:f>IF(B51='Control Inputs'!D9,0,D51)</x:f>
        <x:v>78</x:v>
      </x:c>
      <x:c r="G51" s="76" t="str">
        <x:v>OPEN</x:v>
      </x:c>
    </x:row>
    <x:row r="52">
      <x:c r="B52" s="65" t="str">
        <x:v>NRC-A</x:v>
      </x:c>
      <x:c r="C52" s="65" t="str">
        <x:v>ECHO</x:v>
      </x:c>
      <x:c r="D52" s="65" t="n">
        <x:v>98</x:v>
      </x:c>
      <x:c r="E52" s="65" t="str">
        <x:v>relief, qualification and reserve</x:v>
      </x:c>
      <x:c r="F52" s="65" t="n">
        <x:f>IF(B52='Control Inputs'!D9,0,D52)</x:f>
        <x:v>98</x:v>
      </x:c>
      <x:c r="G52" s="76" t="str">
        <x:v>OPEN</x:v>
      </x:c>
    </x:row>
    <x:row r="53">
      <x:c r="B53" s="65" t="str">
        <x:v>NRC-B</x:v>
      </x:c>
      <x:c r="C53" s="65" t="str">
        <x:v>ALPHA</x:v>
      </x:c>
      <x:c r="D53" s="65" t="n">
        <x:v>78</x:v>
      </x:c>
      <x:c r="E53" s="65" t="str">
        <x:v>rotating watch</x:v>
      </x:c>
      <x:c r="F53" s="65" t="n">
        <x:f>IF(B53='Control Inputs'!D9,0,D53)</x:f>
        <x:v>0</x:v>
      </x:c>
      <x:c r="G53" s="76" t="str">
        <x:v>OPEN</x:v>
      </x:c>
    </x:row>
    <x:row r="54">
      <x:c r="B54" s="65" t="str">
        <x:v>NRC-B</x:v>
      </x:c>
      <x:c r="C54" s="65" t="str">
        <x:v>BRAVO</x:v>
      </x:c>
      <x:c r="D54" s="65" t="n">
        <x:v>78</x:v>
      </x:c>
      <x:c r="E54" s="65" t="str">
        <x:v>rotating watch</x:v>
      </x:c>
      <x:c r="F54" s="65" t="n">
        <x:f>IF(B54='Control Inputs'!D9,0,D54)</x:f>
        <x:v>0</x:v>
      </x:c>
      <x:c r="G54" s="76" t="str">
        <x:v>OPEN</x:v>
      </x:c>
    </x:row>
    <x:row r="55">
      <x:c r="B55" s="65" t="str">
        <x:v>NRC-B</x:v>
      </x:c>
      <x:c r="C55" s="65" t="str">
        <x:v>CHARLIE</x:v>
      </x:c>
      <x:c r="D55" s="65" t="n">
        <x:v>78</x:v>
      </x:c>
      <x:c r="E55" s="65" t="str">
        <x:v>rotating watch</x:v>
      </x:c>
      <x:c r="F55" s="65" t="n">
        <x:f>IF(B55='Control Inputs'!D9,0,D55)</x:f>
        <x:v>0</x:v>
      </x:c>
      <x:c r="G55" s="76" t="str">
        <x:v>OPEN</x:v>
      </x:c>
    </x:row>
    <x:row r="56">
      <x:c r="B56" s="65" t="str">
        <x:v>NRC-B</x:v>
      </x:c>
      <x:c r="C56" s="65" t="str">
        <x:v>DELTA</x:v>
      </x:c>
      <x:c r="D56" s="65" t="n">
        <x:v>78</x:v>
      </x:c>
      <x:c r="E56" s="65" t="str">
        <x:v>rotating watch</x:v>
      </x:c>
      <x:c r="F56" s="65" t="n">
        <x:f>IF(B56='Control Inputs'!D9,0,D56)</x:f>
        <x:v>0</x:v>
      </x:c>
      <x:c r="G56" s="76" t="str">
        <x:v>OPEN</x:v>
      </x:c>
    </x:row>
    <x:row r="57">
      <x:c r="B57" s="65" t="str">
        <x:v>NRC-B</x:v>
      </x:c>
      <x:c r="C57" s="65" t="str">
        <x:v>ECHO</x:v>
      </x:c>
      <x:c r="D57" s="65" t="n">
        <x:v>98</x:v>
      </x:c>
      <x:c r="E57" s="65" t="str">
        <x:v>relief, qualification and reserve</x:v>
      </x:c>
      <x:c r="F57" s="65" t="n">
        <x:f>IF(B57='Control Inputs'!D9,0,D57)</x:f>
        <x:v>0</x:v>
      </x:c>
      <x:c r="G57" s="76" t="str">
        <x:v>OPEN</x:v>
      </x:c>
    </x:row>
    <x:row r="58">
      <x:c r="B58" s="65" t="str">
        <x:v>NRC-C</x:v>
      </x:c>
      <x:c r="C58" s="65" t="str">
        <x:v>ALPHA</x:v>
      </x:c>
      <x:c r="D58" s="65" t="n">
        <x:v>78</x:v>
      </x:c>
      <x:c r="E58" s="65" t="str">
        <x:v>rotating watch</x:v>
      </x:c>
      <x:c r="F58" s="65" t="n">
        <x:f>IF(B58='Control Inputs'!D9,0,D58)</x:f>
        <x:v>78</x:v>
      </x:c>
      <x:c r="G58" s="76" t="str">
        <x:v>OPEN</x:v>
      </x:c>
    </x:row>
    <x:row r="59">
      <x:c r="B59" s="65" t="str">
        <x:v>NRC-C</x:v>
      </x:c>
      <x:c r="C59" s="65" t="str">
        <x:v>BRAVO</x:v>
      </x:c>
      <x:c r="D59" s="65" t="n">
        <x:v>78</x:v>
      </x:c>
      <x:c r="E59" s="65" t="str">
        <x:v>rotating watch</x:v>
      </x:c>
      <x:c r="F59" s="65" t="n">
        <x:f>IF(B59='Control Inputs'!D9,0,D59)</x:f>
        <x:v>78</x:v>
      </x:c>
      <x:c r="G59" s="76" t="str">
        <x:v>OPEN</x:v>
      </x:c>
    </x:row>
    <x:row r="60">
      <x:c r="B60" s="65" t="str">
        <x:v>NRC-C</x:v>
      </x:c>
      <x:c r="C60" s="65" t="str">
        <x:v>CHARLIE</x:v>
      </x:c>
      <x:c r="D60" s="65" t="n">
        <x:v>78</x:v>
      </x:c>
      <x:c r="E60" s="65" t="str">
        <x:v>rotating watch</x:v>
      </x:c>
      <x:c r="F60" s="65" t="n">
        <x:f>IF(B60='Control Inputs'!D9,0,D60)</x:f>
        <x:v>78</x:v>
      </x:c>
      <x:c r="G60" s="76" t="str">
        <x:v>OPEN</x:v>
      </x:c>
    </x:row>
    <x:row r="61">
      <x:c r="B61" s="65" t="str">
        <x:v>NRC-C</x:v>
      </x:c>
      <x:c r="C61" s="65" t="str">
        <x:v>DELTA</x:v>
      </x:c>
      <x:c r="D61" s="65" t="n">
        <x:v>78</x:v>
      </x:c>
      <x:c r="E61" s="65" t="str">
        <x:v>rotating watch</x:v>
      </x:c>
      <x:c r="F61" s="65" t="n">
        <x:f>IF(B61='Control Inputs'!D9,0,D61)</x:f>
        <x:v>78</x:v>
      </x:c>
      <x:c r="G61" s="76" t="str">
        <x:v>OPEN</x:v>
      </x:c>
    </x:row>
    <x:row r="62">
      <x:c r="B62" s="70" t="str">
        <x:v>NRC-C</x:v>
      </x:c>
      <x:c r="C62" s="70" t="str">
        <x:v>ECHO</x:v>
      </x:c>
      <x:c r="D62" s="70" t="n">
        <x:v>98</x:v>
      </x:c>
      <x:c r="E62" s="70" t="str">
        <x:v>relief, qualification and reserve</x:v>
      </x:c>
      <x:c r="F62" s="70" t="n">
        <x:f>IF(B62='Control Inputs'!D9,0,D62)</x:f>
        <x:v>98</x:v>
      </x:c>
      <x:c r="G62" s="79" t="str">
        <x:v>OPEN</x:v>
      </x:c>
    </x:row>
    <x:row r="63">
      <x:c r="B63" s="54"/>
      <x:c r="C63" s="54"/>
      <x:c r="D63" s="54"/>
      <x:c r="E63" s="54"/>
      <x:c r="F63" s="54"/>
      <x:c r="G63" s="54"/>
    </x:row>
    <x:row r="64">
      <x:c r="B64" s="54"/>
      <x:c r="C64" s="54"/>
      <x:c r="D64" s="54"/>
      <x:c r="E64" s="54"/>
      <x:c r="F64" s="54"/>
      <x:c r="G64" s="54"/>
    </x:row>
    <x:row r="65">
      <x:c r="B65" s="54" t="str">
        <x:v>CONTROL</x:v>
      </x:c>
      <x:c r="C65" s="54" t="str">
        <x:v>watch-cell reconciliation</x:v>
      </x:c>
      <x:c r="D65" s="54" t="n">
        <x:f>SUM(D48:D62)</x:f>
        <x:v>1230</x:v>
      </x:c>
      <x:c r="E65" s="54"/>
      <x:c r="F65" s="54" t="n">
        <x:f>SUM(F48:F62)</x:f>
        <x:v>820</x:v>
      </x:c>
      <x:c r="G65" s="54" t="str">
        <x:f>IF(AND(D65='Control Inputs'!D59,F65=2*'Control Inputs'!D60),"PASS","FAIL")</x:f>
        <x:v>PASS</x:v>
      </x:c>
    </x:row>
  </x:sheetData>
  <x:mergeCells>
    <x:mergeCell ref="B3:G3"/>
    <x:mergeCell ref="B46:G46"/>
  </x:mergeCells>
  <x:conditionalFormatting sqref="F7:G36">
    <x:cfRule type="containsText" dxfId="108" priority="1" operator="containsText" text="FAIL"/>
    <x:cfRule type="containsText" dxfId="109" priority="2" operator="containsText" text="BLOCKED"/>
    <x:cfRule type="containsText" dxfId="110" priority="3" operator="containsText" text="HOLD"/>
    <x:cfRule type="containsText" dxfId="111" priority="4" operator="containsText" text="OPEN"/>
    <x:cfRule type="containsText" dxfId="112" priority="5" operator="containsText" text="RANGE-INVALID"/>
    <x:cfRule type="containsText" dxfId="113" priority="6" operator="containsText" text="INDETERMINATE"/>
    <x:cfRule type="containsText" dxfId="114" priority="7" operator="containsText" text="PASS"/>
    <x:cfRule type="containsText" dxfId="115" priority="8" operator="containsText" text="AUTHORIZED"/>
    <x:cfRule type="containsText" dxfId="116" priority="9" operator="containsText" text="RELEASED"/>
    <x:cfRule type="containsText" dxfId="117" priority="10" operator="containsText" text="ADMITTED"/>
    <x:cfRule type="containsText" dxfId="118" priority="11" operator="containsText" text="MODELED CREDIT"/>
    <x:cfRule type="containsText" dxfId="119" priority="12" operator="containsText" text="PLANNING COMPLETE"/>
    <x:cfRule type="containsText" dxfId="348" priority="49" operator="containsText" text="FAIL"/>
    <x:cfRule type="containsText" dxfId="349" priority="50" operator="containsText" text="BLOCKED"/>
    <x:cfRule type="containsText" dxfId="350" priority="51" operator="containsText" text="HOLD"/>
    <x:cfRule type="containsText" dxfId="351" priority="52" operator="containsText" text="OPEN"/>
    <x:cfRule type="containsText" dxfId="352" priority="53" operator="containsText" text="RANGE-INVALID"/>
    <x:cfRule type="containsText" dxfId="353" priority="54" operator="containsText" text="INDETERMINATE"/>
    <x:cfRule type="containsText" dxfId="354" priority="55" operator="containsText" text="PASS"/>
    <x:cfRule type="containsText" dxfId="355" priority="56" operator="containsText" text="AUTHORIZED"/>
    <x:cfRule type="containsText" dxfId="356" priority="57" operator="containsText" text="RELEASED"/>
    <x:cfRule type="containsText" dxfId="357" priority="58" operator="containsText" text="ADMITTED"/>
    <x:cfRule type="containsText" dxfId="358" priority="59" operator="containsText" text="MODELED CREDIT"/>
    <x:cfRule type="containsText" dxfId="359" priority="60" operator="containsText" text="PLANNING COMPLETE"/>
  </x:conditionalFormatting>
  <x:conditionalFormatting sqref="E41:E41">
    <x:cfRule type="containsText" dxfId="120" priority="13" operator="containsText" text="FAIL"/>
    <x:cfRule type="containsText" dxfId="121" priority="14" operator="containsText" text="BLOCKED"/>
    <x:cfRule type="containsText" dxfId="122" priority="15" operator="containsText" text="HOLD"/>
    <x:cfRule type="containsText" dxfId="123" priority="16" operator="containsText" text="OPEN"/>
    <x:cfRule type="containsText" dxfId="124" priority="17" operator="containsText" text="RANGE-INVALID"/>
    <x:cfRule type="containsText" dxfId="125" priority="18" operator="containsText" text="INDETERMINATE"/>
    <x:cfRule type="containsText" dxfId="126" priority="19" operator="containsText" text="PASS"/>
    <x:cfRule type="containsText" dxfId="127" priority="20" operator="containsText" text="AUTHORIZED"/>
    <x:cfRule type="containsText" dxfId="128" priority="21" operator="containsText" text="RELEASED"/>
    <x:cfRule type="containsText" dxfId="129" priority="22" operator="containsText" text="ADMITTED"/>
    <x:cfRule type="containsText" dxfId="130" priority="23" operator="containsText" text="MODELED CREDIT"/>
    <x:cfRule type="containsText" dxfId="131" priority="24" operator="containsText" text="PLANNING COMPLETE"/>
  </x:conditionalFormatting>
  <x:conditionalFormatting sqref="G48:G62">
    <x:cfRule type="containsText" dxfId="132" priority="25" operator="containsText" text="FAIL"/>
    <x:cfRule type="containsText" dxfId="133" priority="26" operator="containsText" text="BLOCKED"/>
    <x:cfRule type="containsText" dxfId="134" priority="27" operator="containsText" text="HOLD"/>
    <x:cfRule type="containsText" dxfId="135" priority="28" operator="containsText" text="OPEN"/>
    <x:cfRule type="containsText" dxfId="136" priority="29" operator="containsText" text="RANGE-INVALID"/>
    <x:cfRule type="containsText" dxfId="137" priority="30" operator="containsText" text="INDETERMINATE"/>
    <x:cfRule type="containsText" dxfId="138" priority="31" operator="containsText" text="PASS"/>
    <x:cfRule type="containsText" dxfId="139" priority="32" operator="containsText" text="AUTHORIZED"/>
    <x:cfRule type="containsText" dxfId="140" priority="33" operator="containsText" text="RELEASED"/>
    <x:cfRule type="containsText" dxfId="141" priority="34" operator="containsText" text="ADMITTED"/>
    <x:cfRule type="containsText" dxfId="142" priority="35" operator="containsText" text="MODELED CREDIT"/>
    <x:cfRule type="containsText" dxfId="143" priority="36" operator="containsText" text="PLANNING COMPLETE"/>
    <x:cfRule type="containsText" dxfId="360" priority="61" operator="containsText" text="FAIL"/>
    <x:cfRule type="containsText" dxfId="361" priority="62" operator="containsText" text="BLOCKED"/>
    <x:cfRule type="containsText" dxfId="362" priority="63" operator="containsText" text="HOLD"/>
    <x:cfRule type="containsText" dxfId="363" priority="64" operator="containsText" text="OPEN"/>
    <x:cfRule type="containsText" dxfId="364" priority="65" operator="containsText" text="RANGE-INVALID"/>
    <x:cfRule type="containsText" dxfId="365" priority="66" operator="containsText" text="INDETERMINATE"/>
    <x:cfRule type="containsText" dxfId="366" priority="67" operator="containsText" text="PASS"/>
    <x:cfRule type="containsText" dxfId="367" priority="68" operator="containsText" text="AUTHORIZED"/>
    <x:cfRule type="containsText" dxfId="368" priority="69" operator="containsText" text="RELEASED"/>
    <x:cfRule type="containsText" dxfId="369" priority="70" operator="containsText" text="ADMITTED"/>
    <x:cfRule type="containsText" dxfId="370" priority="71" operator="containsText" text="MODELED CREDIT"/>
    <x:cfRule type="containsText" dxfId="371" priority="72" operator="containsText" text="PLANNING COMPLETE"/>
  </x:conditionalFormatting>
  <x:conditionalFormatting sqref="G65:G65">
    <x:cfRule type="containsText" dxfId="144" priority="37" operator="containsText" text="FAIL"/>
    <x:cfRule type="containsText" dxfId="145" priority="38" operator="containsText" text="BLOCKED"/>
    <x:cfRule type="containsText" dxfId="146" priority="39" operator="containsText" text="HOLD"/>
    <x:cfRule type="containsText" dxfId="147" priority="40" operator="containsText" text="OPEN"/>
    <x:cfRule type="containsText" dxfId="148" priority="41" operator="containsText" text="RANGE-INVALID"/>
    <x:cfRule type="containsText" dxfId="149" priority="42" operator="containsText" text="INDETERMINATE"/>
    <x:cfRule type="containsText" dxfId="150" priority="43" operator="containsText" text="PASS"/>
    <x:cfRule type="containsText" dxfId="151" priority="44" operator="containsText" text="AUTHORIZED"/>
    <x:cfRule type="containsText" dxfId="152" priority="45" operator="containsText" text="RELEASED"/>
    <x:cfRule type="containsText" dxfId="153" priority="46" operator="containsText" text="ADMITTED"/>
    <x:cfRule type="containsText" dxfId="154" priority="47" operator="containsText" text="MODELED CREDIT"/>
    <x:cfRule type="containsText" dxfId="155" priority="48" operator="containsText" text="PLANNING COMPLETE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B8C7D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24" hidden="0" customWidth="1"/>
    <x:col min="3" max="3" width="43" hidden="0" customWidth="1"/>
    <x:col min="4" max="4" width="43" hidden="0" customWidth="1"/>
    <x:col min="5" max="5" width="43" hidden="0" customWidth="1"/>
    <x:col min="6" max="6" width="20" hidden="0" customWidth="1"/>
    <x:col min="7" max="7" width="17" hidden="0" customWidth="1"/>
    <x:col min="8" max="8" width="17" hidden="0" customWidth="1"/>
  </x:cols>
  <x:sheetData>
    <x:row r="2">
      <x:c r="B2" s="1" t="str">
        <x:v>Separated decision powers</x:v>
      </x:c>
      <x:c r="C2" s="54"/>
      <x:c r="D2" s="54"/>
      <x:c r="E2" s="54"/>
      <x:c r="F2" s="54"/>
      <x:c r="G2" s="54"/>
      <x:c r="H2" s="54"/>
    </x:row>
    <x:row r="3">
      <x:c r="B3" s="2" t="str">
        <x:v>Emergency command can stop work. It cannot classify cause, unblind, rewrite thresholds and award credit.</x:v>
      </x:c>
      <x:c r="C3" s="54"/>
      <x:c r="D3" s="54"/>
      <x:c r="E3" s="54"/>
      <x:c r="F3" s="54"/>
      <x:c r="G3" s="54"/>
      <x:c r="H3" s="54"/>
    </x:row>
    <x:row r="4">
      <x:c r="B4" s="56"/>
      <x:c r="C4" s="56"/>
      <x:c r="D4" s="56"/>
      <x:c r="E4" s="56"/>
      <x:c r="F4" s="56"/>
      <x:c r="G4" s="56"/>
      <x:c r="H4" s="56"/>
    </x:row>
    <x:row r="5">
      <x:c r="B5" s="54"/>
      <x:c r="C5" s="54"/>
      <x:c r="D5" s="54"/>
      <x:c r="E5" s="54"/>
      <x:c r="F5" s="54"/>
      <x:c r="G5" s="54"/>
      <x:c r="H5" s="54"/>
    </x:row>
    <x:row r="6">
      <x:c r="B6" s="15" t="str">
        <x:v>Authority</x:v>
      </x:c>
      <x:c r="C6" s="16" t="str">
        <x:v>May decide</x:v>
      </x:c>
      <x:c r="D6" s="16" t="str">
        <x:v>May not decide</x:v>
      </x:c>
      <x:c r="E6" s="16" t="str">
        <x:v>Loss role</x:v>
      </x:c>
      <x:c r="F6" s="16" t="str">
        <x:v>Outside lost campus</x:v>
      </x:c>
      <x:c r="G6" s="16" t="str">
        <x:v>Planning gate</x:v>
      </x:c>
      <x:c r="H6" s="16" t="str">
        <x:v>Named holder</x:v>
      </x:c>
    </x:row>
    <x:row r="7" ht="46" customHeight="1">
      <x:c r="B7" s="65" t="str">
        <x:v>requirements</x:v>
      </x:c>
      <x:c r="C7" s="66" t="str">
        <x:v>event still answers registered question</x:v>
      </x:c>
      <x:c r="D7" s="66" t="str">
        <x:v>award article credit</x:v>
      </x:c>
      <x:c r="E7" s="66" t="str">
        <x:v>preserve question boundary</x:v>
      </x:c>
      <x:c r="F7" s="66" t="str">
        <x:v>YES</x:v>
      </x:c>
      <x:c r="G7" s="66" t="str">
        <x:v>PASS</x:v>
      </x:c>
      <x:c r="H7" s="68" t="str">
        <x:v>OPEN</x:v>
      </x:c>
    </x:row>
    <x:row r="8" ht="46" customHeight="1">
      <x:c r="B8" s="65" t="str">
        <x:v>national schedule</x:v>
      </x:c>
      <x:c r="C8" s="66" t="str">
        <x:v>freeze and reserve station intervals</x:v>
      </x:c>
      <x:c r="D8" s="66" t="str">
        <x:v>classify cause or award credit</x:v>
      </x:c>
      <x:c r="E8" s="66" t="str">
        <x:v>issue residual calendar</x:v>
      </x:c>
      <x:c r="F8" s="66" t="str">
        <x:v>YES</x:v>
      </x:c>
      <x:c r="G8" s="66" t="str">
        <x:v>PASS</x:v>
      </x:c>
      <x:c r="H8" s="68" t="str">
        <x:v>OPEN</x:v>
      </x:c>
    </x:row>
    <x:row r="9" ht="46" customHeight="1">
      <x:c r="B9" s="65" t="str">
        <x:v>campus command</x:v>
      </x:c>
      <x:c r="C9" s="66" t="str">
        <x:v>protect people and plant</x:v>
      </x:c>
      <x:c r="D9" s="66" t="str">
        <x:v>continue invalid work</x:v>
      </x:c>
      <x:c r="E9" s="66" t="str">
        <x:v>execute local denial</x:v>
      </x:c>
      <x:c r="F9" s="66" t="str">
        <x:v>YES</x:v>
      </x:c>
      <x:c r="G9" s="66" t="str">
        <x:v>PASS</x:v>
      </x:c>
      <x:c r="H9" s="68" t="str">
        <x:v>OPEN</x:v>
      </x:c>
    </x:row>
    <x:row r="10" ht="46" customHeight="1">
      <x:c r="B10" s="65" t="str">
        <x:v>safety</x:v>
      </x:c>
      <x:c r="C10" s="66" t="str">
        <x:v>stop work and attest safe state</x:v>
      </x:c>
      <x:c r="D10" s="66" t="str">
        <x:v>convert stop into accepted result</x:v>
      </x:c>
      <x:c r="E10" s="66" t="str">
        <x:v>own station limits</x:v>
      </x:c>
      <x:c r="F10" s="66" t="str">
        <x:v>YES</x:v>
      </x:c>
      <x:c r="G10" s="66" t="str">
        <x:v>PASS</x:v>
      </x:c>
      <x:c r="H10" s="68" t="str">
        <x:v>OPEN</x:v>
      </x:c>
    </x:row>
    <x:row r="11" ht="46" customHeight="1">
      <x:c r="B11" s="65" t="str">
        <x:v>configuration</x:v>
      </x:c>
      <x:c r="C11" s="66" t="str">
        <x:v>validate ancestry</x:v>
      </x:c>
      <x:c r="D11" s="66" t="str">
        <x:v>reveal truth or judge performance</x:v>
      </x:c>
      <x:c r="E11" s="66" t="str">
        <x:v>bind replacement identity</x:v>
      </x:c>
      <x:c r="F11" s="66" t="str">
        <x:v>YES</x:v>
      </x:c>
      <x:c r="G11" s="66" t="str">
        <x:v>PASS</x:v>
      </x:c>
      <x:c r="H11" s="68" t="str">
        <x:v>OPEN</x:v>
      </x:c>
    </x:row>
    <x:row r="12" ht="46" customHeight="1">
      <x:c r="B12" s="65" t="str">
        <x:v>metrology</x:v>
      </x:c>
      <x:c r="C12" s="66" t="str">
        <x:v>validate brackets and uncertainty</x:v>
      </x:c>
      <x:c r="D12" s="66" t="str">
        <x:v>substitute commands for measurements</x:v>
      </x:c>
      <x:c r="E12" s="66" t="str">
        <x:v>requalify surviving references</x:v>
      </x:c>
      <x:c r="F12" s="66" t="str">
        <x:v>YES</x:v>
      </x:c>
      <x:c r="G12" s="66" t="str">
        <x:v>PASS</x:v>
      </x:c>
      <x:c r="H12" s="68" t="str">
        <x:v>OPEN</x:v>
      </x:c>
    </x:row>
    <x:row r="13" ht="46" customHeight="1">
      <x:c r="B13" s="65" t="str">
        <x:v>water release</x:v>
      </x:c>
      <x:c r="C13" s="66" t="str">
        <x:v>control sanitary sampling and release</x:v>
      </x:c>
      <x:c r="D13" s="66" t="str">
        <x:v>waive evidence after pressure proof</x:v>
      </x:c>
      <x:c r="E13" s="66" t="str">
        <x:v>hold receiver authority</x:v>
      </x:c>
      <x:c r="F13" s="66" t="str">
        <x:v>YES</x:v>
      </x:c>
      <x:c r="G13" s="66" t="str">
        <x:v>PASS</x:v>
      </x:c>
      <x:c r="H13" s="68" t="str">
        <x:v>OPEN</x:v>
      </x:c>
    </x:row>
    <x:row r="14" ht="46" customHeight="1">
      <x:c r="B14" s="65" t="str">
        <x:v>evidence</x:v>
      </x:c>
      <x:c r="C14" s="66" t="str">
        <x:v>seal originals, clocks and native records</x:v>
      </x:c>
      <x:c r="D14" s="66" t="str">
        <x:v>judge requirement satisfaction</x:v>
      </x:c>
      <x:c r="E14" s="66" t="str">
        <x:v>prove outside original</x:v>
      </x:c>
      <x:c r="F14" s="66" t="str">
        <x:v>YES</x:v>
      </x:c>
      <x:c r="G14" s="66" t="str">
        <x:v>PASS</x:v>
      </x:c>
      <x:c r="H14" s="68" t="str">
        <x:v>OPEN</x:v>
      </x:c>
    </x:row>
    <x:row r="15" ht="46" customHeight="1">
      <x:c r="B15" s="65" t="str">
        <x:v>witness</x:v>
      </x:c>
      <x:c r="C15" s="66" t="str">
        <x:v>hold second original and event account</x:v>
      </x:c>
      <x:c r="D15" s="66" t="str">
        <x:v>declare itself canonical</x:v>
      </x:c>
      <x:c r="E15" s="66" t="str">
        <x:v>replay independently</x:v>
      </x:c>
      <x:c r="F15" s="66" t="str">
        <x:v>YES</x:v>
      </x:c>
      <x:c r="G15" s="66" t="str">
        <x:v>PASS</x:v>
      </x:c>
      <x:c r="H15" s="68" t="str">
        <x:v>OPEN</x:v>
      </x:c>
    </x:row>
    <x:row r="16" ht="46" customHeight="1">
      <x:c r="B16" s="65" t="str">
        <x:v>blind truth</x:v>
      </x:c>
      <x:c r="C16" s="66" t="str">
        <x:v>commit, unblind and rekey</x:v>
      </x:c>
      <x:c r="D16" s="66" t="str">
        <x:v>operate or initially accept article</x:v>
      </x:c>
      <x:c r="E16" s="66" t="str">
        <x:v>protect and refresh truth</x:v>
      </x:c>
      <x:c r="F16" s="66" t="str">
        <x:v>YES</x:v>
      </x:c>
      <x:c r="G16" s="66" t="str">
        <x:v>PASS</x:v>
      </x:c>
      <x:c r="H16" s="68" t="str">
        <x:v>OPEN</x:v>
      </x:c>
    </x:row>
    <x:row r="17" ht="46" customHeight="1">
      <x:c r="B17" s="65" t="str">
        <x:v>invalidity board</x:v>
      </x:c>
      <x:c r="C17" s="66" t="str">
        <x:v>distinguish range, article and unknown cause</x:v>
      </x:c>
      <x:c r="D17" s="66" t="str">
        <x:v>erase event or award replacement credit</x:v>
      </x:c>
      <x:c r="E17" s="66" t="str">
        <x:v>classify four interruptions</x:v>
      </x:c>
      <x:c r="F17" s="66" t="str">
        <x:v>YES</x:v>
      </x:c>
      <x:c r="G17" s="66" t="str">
        <x:v>PASS</x:v>
      </x:c>
      <x:c r="H17" s="68" t="str">
        <x:v>OPEN</x:v>
      </x:c>
    </x:row>
    <x:row r="18" ht="46" customHeight="1">
      <x:c r="B18" s="65" t="str">
        <x:v>forensics</x:v>
      </x:c>
      <x:c r="C18" s="66" t="str">
        <x:v>open and report physical evidence</x:v>
      </x:c>
      <x:c r="D18" s="66" t="str">
        <x:v>change initial disposition</x:v>
      </x:c>
      <x:c r="E18" s="66" t="str">
        <x:v>complete CW-C010 outside campus</x:v>
      </x:c>
      <x:c r="F18" s="66" t="str">
        <x:v>YES</x:v>
      </x:c>
      <x:c r="G18" s="66" t="str">
        <x:v>PASS</x:v>
      </x:c>
      <x:c r="H18" s="68" t="str">
        <x:v>OPEN</x:v>
      </x:c>
    </x:row>
    <x:row r="19" ht="46" customHeight="1">
      <x:c r="B19" s="65" t="str">
        <x:v>acceptance</x:v>
      </x:c>
      <x:c r="C19" s="66" t="str">
        <x:v>apply frozen decision rule</x:v>
      </x:c>
      <x:c r="D19" s="66" t="str">
        <x:v>rewrite after unblinding</x:v>
      </x:c>
      <x:c r="E19" s="66" t="str">
        <x:v>decide event packets</x:v>
      </x:c>
      <x:c r="F19" s="66" t="str">
        <x:v>YES</x:v>
      </x:c>
      <x:c r="G19" s="66" t="str">
        <x:v>PASS</x:v>
      </x:c>
      <x:c r="H19" s="68" t="str">
        <x:v>OPEN</x:v>
      </x:c>
    </x:row>
    <x:row r="20" ht="46" customHeight="1">
      <x:c r="B20" s="70" t="str">
        <x:v>admission board</x:v>
      </x:c>
      <x:c r="C20" s="71" t="str">
        <x:v>award terminal credits and wave finding</x:v>
      </x:c>
      <x:c r="D20" s="71" t="str">
        <x:v>cure missing predecessor</x:v>
      </x:c>
      <x:c r="E20" s="71" t="str">
        <x:v>issue day-90 finding</x:v>
      </x:c>
      <x:c r="F20" s="71" t="str">
        <x:v>YES</x:v>
      </x:c>
      <x:c r="G20" s="71" t="str">
        <x:v>PASS</x:v>
      </x:c>
      <x:c r="H20" s="73" t="str">
        <x:v>OPEN</x:v>
      </x:c>
    </x:row>
  </x:sheetData>
  <x:mergeCells>
    <x:mergeCell ref="B3:H3"/>
  </x:mergeCells>
  <x:conditionalFormatting sqref="G7:H20">
    <x:cfRule type="containsText" dxfId="156" priority="1" operator="containsText" text="FAIL"/>
    <x:cfRule type="containsText" dxfId="157" priority="2" operator="containsText" text="BLOCKED"/>
    <x:cfRule type="containsText" dxfId="158" priority="3" operator="containsText" text="HOLD"/>
    <x:cfRule type="containsText" dxfId="159" priority="4" operator="containsText" text="OPEN"/>
    <x:cfRule type="containsText" dxfId="160" priority="5" operator="containsText" text="RANGE-INVALID"/>
    <x:cfRule type="containsText" dxfId="161" priority="6" operator="containsText" text="INDETERMINATE"/>
    <x:cfRule type="containsText" dxfId="162" priority="7" operator="containsText" text="PASS"/>
    <x:cfRule type="containsText" dxfId="163" priority="8" operator="containsText" text="AUTHORIZED"/>
    <x:cfRule type="containsText" dxfId="164" priority="9" operator="containsText" text="RELEASED"/>
    <x:cfRule type="containsText" dxfId="165" priority="10" operator="containsText" text="ADMITTED"/>
    <x:cfRule type="containsText" dxfId="166" priority="11" operator="containsText" text="MODELED CREDIT"/>
    <x:cfRule type="containsText" dxfId="167" priority="12" operator="containsText" text="PLANNING COMPLETE"/>
    <x:cfRule type="containsText" dxfId="372" priority="13" operator="containsText" text="FAIL"/>
    <x:cfRule type="containsText" dxfId="373" priority="14" operator="containsText" text="BLOCKED"/>
    <x:cfRule type="containsText" dxfId="374" priority="15" operator="containsText" text="HOLD"/>
    <x:cfRule type="containsText" dxfId="375" priority="16" operator="containsText" text="OPEN"/>
    <x:cfRule type="containsText" dxfId="376" priority="17" operator="containsText" text="RANGE-INVALID"/>
    <x:cfRule type="containsText" dxfId="377" priority="18" operator="containsText" text="INDETERMINATE"/>
    <x:cfRule type="containsText" dxfId="378" priority="19" operator="containsText" text="PASS"/>
    <x:cfRule type="containsText" dxfId="379" priority="20" operator="containsText" text="AUTHORIZED"/>
    <x:cfRule type="containsText" dxfId="380" priority="21" operator="containsText" text="RELEASED"/>
    <x:cfRule type="containsText" dxfId="381" priority="22" operator="containsText" text="ADMITTED"/>
    <x:cfRule type="containsText" dxfId="382" priority="23" operator="containsText" text="MODELED CREDIT"/>
    <x:cfRule type="containsText" dxfId="383" priority="24" operator="containsText" text="PLANNING COMPLETE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B8C7D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13" hidden="0" customWidth="1"/>
    <x:col min="4" max="4" width="61" hidden="0" customWidth="1"/>
    <x:col min="5" max="5" width="23" hidden="0" customWidth="1"/>
    <x:col min="6" max="6" width="20" hidden="0" customWidth="1"/>
    <x:col min="7" max="7" width="17" hidden="0" customWidth="1"/>
  </x:cols>
  <x:sheetData>
    <x:row r="2">
      <x:c r="B2" s="1" t="str">
        <x:v>Ninety-day decision calendar</x:v>
      </x:c>
      <x:c r="C2" s="54"/>
      <x:c r="D2" s="54"/>
      <x:c r="E2" s="54"/>
      <x:c r="F2" s="54"/>
      <x:c r="G2" s="54"/>
    </x:row>
    <x:row r="3">
      <x:c r="B3" s="2" t="str">
        <x:v>Physical completion never substitutes for terminal evidence admission.</x:v>
      </x:c>
      <x:c r="C3" s="54"/>
      <x:c r="D3" s="54"/>
      <x:c r="E3" s="54"/>
      <x:c r="F3" s="54"/>
      <x:c r="G3" s="54"/>
    </x:row>
    <x:row r="4">
      <x:c r="B4" s="56"/>
      <x:c r="C4" s="56"/>
      <x:c r="D4" s="56"/>
      <x:c r="E4" s="56"/>
      <x:c r="F4" s="56"/>
      <x:c r="G4" s="56"/>
    </x:row>
    <x:row r="5">
      <x:c r="B5" s="54"/>
      <x:c r="C5" s="54"/>
      <x:c r="D5" s="54"/>
      <x:c r="E5" s="54"/>
      <x:c r="F5" s="54"/>
      <x:c r="G5" s="54"/>
    </x:row>
    <x:row r="6">
      <x:c r="B6" s="15" t="str">
        <x:v>ID</x:v>
      </x:c>
      <x:c r="C6" s="16" t="str">
        <x:v>Day</x:v>
      </x:c>
      <x:c r="D6" s="16" t="str">
        <x:v>Terminal object</x:v>
      </x:c>
      <x:c r="E6" s="16" t="str">
        <x:v>Class</x:v>
      </x:c>
      <x:c r="F6" s="16" t="str">
        <x:v>Planning state</x:v>
      </x:c>
      <x:c r="G6" s="16" t="str">
        <x:v>Observed state</x:v>
      </x:c>
    </x:row>
    <x:row r="7" ht="39" customHeight="1">
      <x:c r="B7" s="65" t="str">
        <x:v>M01</x:v>
      </x:c>
      <x:c r="C7" s="66" t="n">
        <x:v>0</x:v>
      </x:c>
      <x:c r="D7" s="66" t="str">
        <x:v>registry and seed inputs frozen</x:v>
      </x:c>
      <x:c r="E7" s="66" t="str">
        <x:v>planning object</x:v>
      </x:c>
      <x:c r="F7" s="66" t="str">
        <x:v>PLANNING COMPLETE</x:v>
      </x:c>
      <x:c r="G7" s="68" t="str">
        <x:v>OPEN</x:v>
      </x:c>
    </x:row>
    <x:row r="8" ht="39" customHeight="1">
      <x:c r="B8" s="65" t="str">
        <x:v>M02</x:v>
      </x:c>
      <x:c r="C8" s="66" t="n">
        <x:v>1</x:v>
      </x:c>
      <x:c r="D8" s="66" t="str">
        <x:v>nominal closure wave starts</x:v>
      </x:c>
      <x:c r="E8" s="66" t="str">
        <x:v>physical predecessor</x:v>
      </x:c>
      <x:c r="F8" s="66" t="str">
        <x:v>PLANNING COMPLETE</x:v>
      </x:c>
      <x:c r="G8" s="68" t="str">
        <x:v>OPEN</x:v>
      </x:c>
    </x:row>
    <x:row r="9" ht="39" customHeight="1">
      <x:c r="B9" s="65" t="str">
        <x:v>M03</x:v>
      </x:c>
      <x:c r="C9" s="66" t="n">
        <x:v>15</x:v>
      </x:c>
      <x:c r="D9" s="66" t="str">
        <x:v>three nominal closure packets terminal; disclosed D01 starts</x:v>
      </x:c>
      <x:c r="E9" s="66" t="str">
        <x:v>physical predecessor</x:v>
      </x:c>
      <x:c r="F9" s="66" t="str">
        <x:v>PLANNING COMPLETE</x:v>
      </x:c>
      <x:c r="G9" s="68" t="str">
        <x:v>OPEN</x:v>
      </x:c>
    </x:row>
    <x:row r="10" ht="39" customHeight="1">
      <x:c r="B10" s="65" t="str">
        <x:v>M04</x:v>
      </x:c>
      <x:c r="C10" s="66" t="n">
        <x:v>33</x:v>
      </x:c>
      <x:c r="D10" s="66" t="str">
        <x:v>known-defect closure packets terminal</x:v>
      </x:c>
      <x:c r="E10" s="66" t="str">
        <x:v>physical predecessor</x:v>
      </x:c>
      <x:c r="F10" s="66" t="str">
        <x:v>PLANNING COMPLETE</x:v>
      </x:c>
      <x:c r="G10" s="68" t="str">
        <x:v>OPEN</x:v>
      </x:c>
    </x:row>
    <x:row r="11" ht="39" customHeight="1">
      <x:c r="B11" s="65" t="str">
        <x:v>M05</x:v>
      </x:c>
      <x:c r="C11" s="66" t="n">
        <x:v>36</x:v>
      </x:c>
      <x:c r="D11" s="66" t="str">
        <x:v>CW-C010 forensic package received at FL-A</x:v>
      </x:c>
      <x:c r="E11" s="66" t="str">
        <x:v>physical predecessor</x:v>
      </x:c>
      <x:c r="F11" s="66" t="str">
        <x:v>PLANNING COMPLETE</x:v>
      </x:c>
      <x:c r="G11" s="68" t="str">
        <x:v>OPEN</x:v>
      </x:c>
    </x:row>
    <x:row r="12" ht="39" customHeight="1">
      <x:c r="B12" s="65" t="str">
        <x:v>M06</x:v>
      </x:c>
      <x:c r="C12" s="66" t="n">
        <x:v>37</x:v>
      </x:c>
      <x:c r="D12" s="66" t="str">
        <x:v>three D01 packets terminal; sealed damage wave starts</x:v>
      </x:c>
      <x:c r="E12" s="66" t="str">
        <x:v>physical predecessor</x:v>
      </x:c>
      <x:c r="F12" s="66" t="str">
        <x:v>PLANNING COMPLETE</x:v>
      </x:c>
      <x:c r="G12" s="68" t="str">
        <x:v>OPEN</x:v>
      </x:c>
    </x:row>
    <x:row r="13" ht="39" customHeight="1">
      <x:c r="B13" s="65" t="str">
        <x:v>M07</x:v>
      </x:c>
      <x:c r="C13" s="66" t="n">
        <x:v>38</x:v>
      </x:c>
      <x:c r="D13" s="66" t="str">
        <x:v>NRC-B complete denial injected</x:v>
      </x:c>
      <x:c r="E13" s="66" t="str">
        <x:v>physical predecessor</x:v>
      </x:c>
      <x:c r="F13" s="66" t="str">
        <x:v>PLANNING COMPLETE</x:v>
      </x:c>
      <x:c r="G13" s="68" t="str">
        <x:v>OPEN</x:v>
      </x:c>
    </x:row>
    <x:row r="14" ht="39" customHeight="1">
      <x:c r="B14" s="65" t="str">
        <x:v>M08</x:v>
      </x:c>
      <x:c r="C14" s="66" t="n">
        <x:v>38.5</x:v>
      </x:c>
      <x:c r="D14" s="66" t="str">
        <x:v>residual schedule signed inside 12 hours</x:v>
      </x:c>
      <x:c r="E14" s="66" t="str">
        <x:v>physical predecessor</x:v>
      </x:c>
      <x:c r="F14" s="66" t="str">
        <x:v>PLANNING COMPLETE</x:v>
      </x:c>
      <x:c r="G14" s="68" t="str">
        <x:v>OPEN</x:v>
      </x:c>
    </x:row>
    <x:row r="15" ht="39" customHeight="1">
      <x:c r="B15" s="65" t="str">
        <x:v>M09</x:v>
      </x:c>
      <x:c r="C15" s="66" t="n">
        <x:v>42</x:v>
      </x:c>
      <x:c r="D15" s="66" t="str">
        <x:v>two closure and two damage replacements start</x:v>
      </x:c>
      <x:c r="E15" s="66" t="str">
        <x:v>physical predecessor</x:v>
      </x:c>
      <x:c r="F15" s="66" t="str">
        <x:v>PLANNING COMPLETE</x:v>
      </x:c>
      <x:c r="G15" s="68" t="str">
        <x:v>OPEN</x:v>
      </x:c>
    </x:row>
    <x:row r="16" ht="39" customHeight="1">
      <x:c r="B16" s="65" t="str">
        <x:v>M10</x:v>
      </x:c>
      <x:c r="C16" s="66" t="n">
        <x:v>56</x:v>
      </x:c>
      <x:c r="D16" s="66" t="str">
        <x:v>loss-replacement physical cycles close</x:v>
      </x:c>
      <x:c r="E16" s="66" t="str">
        <x:v>physical predecessor</x:v>
      </x:c>
      <x:c r="F16" s="66" t="str">
        <x:v>PLANNING COMPLETE</x:v>
      </x:c>
      <x:c r="G16" s="68" t="str">
        <x:v>OPEN</x:v>
      </x:c>
    </x:row>
    <x:row r="17" ht="39" customHeight="1">
      <x:c r="B17" s="65" t="str">
        <x:v>M11</x:v>
      </x:c>
      <x:c r="C17" s="66" t="n">
        <x:v>64</x:v>
      </x:c>
      <x:c r="D17" s="66" t="str">
        <x:v>18 closure and 6 damage packets modeled terminal</x:v>
      </x:c>
      <x:c r="E17" s="66" t="str">
        <x:v>planning result</x:v>
      </x:c>
      <x:c r="F17" s="66" t="str">
        <x:v>PLANNING COMPLETE</x:v>
      </x:c>
      <x:c r="G17" s="68" t="str">
        <x:v>OPEN</x:v>
      </x:c>
    </x:row>
    <x:row r="18" ht="39" customHeight="1">
      <x:c r="B18" s="65" t="str">
        <x:v>M12</x:v>
      </x:c>
      <x:c r="C18" s="66" t="n">
        <x:v>74</x:v>
      </x:c>
      <x:c r="D18" s="66" t="str">
        <x:v>late closure contingency packet possible</x:v>
      </x:c>
      <x:c r="E18" s="66" t="str">
        <x:v>planning result</x:v>
      </x:c>
      <x:c r="F18" s="66" t="str">
        <x:v>PLANNING COMPLETE</x:v>
      </x:c>
      <x:c r="G18" s="68" t="str">
        <x:v>OPEN</x:v>
      </x:c>
    </x:row>
    <x:row r="19" ht="39" customHeight="1">
      <x:c r="B19" s="65" t="str">
        <x:v>M13</x:v>
      </x:c>
      <x:c r="C19" s="66" t="n">
        <x:v>78</x:v>
      </x:c>
      <x:c r="D19" s="66" t="str">
        <x:v>last damage contingency packet possible</x:v>
      </x:c>
      <x:c r="E19" s="66" t="str">
        <x:v>planning result</x:v>
      </x:c>
      <x:c r="F19" s="66" t="str">
        <x:v>PLANNING COMPLETE</x:v>
      </x:c>
      <x:c r="G19" s="68" t="str">
        <x:v>OPEN</x:v>
      </x:c>
    </x:row>
    <x:row r="20" ht="39" customHeight="1">
      <x:c r="B20" s="65" t="str">
        <x:v>M14</x:v>
      </x:c>
      <x:c r="C20" s="66" t="n">
        <x:v>83</x:v>
      </x:c>
      <x:c r="D20" s="66" t="str">
        <x:v>last closure contingency packet possible</x:v>
      </x:c>
      <x:c r="E20" s="66" t="str">
        <x:v>planning result</x:v>
      </x:c>
      <x:c r="F20" s="66" t="str">
        <x:v>PLANNING COMPLETE</x:v>
      </x:c>
      <x:c r="G20" s="68" t="str">
        <x:v>OPEN</x:v>
      </x:c>
    </x:row>
    <x:row r="21" ht="39" customHeight="1">
      <x:c r="B21" s="70" t="str">
        <x:v>M15</x:v>
      </x:c>
      <x:c r="C21" s="71" t="n">
        <x:v>90</x:v>
      </x:c>
      <x:c r="D21" s="71" t="str">
        <x:v>integrated wave and rehearsal decision</x:v>
      </x:c>
      <x:c r="E21" s="71" t="str">
        <x:v>planning object</x:v>
      </x:c>
      <x:c r="F21" s="71" t="str">
        <x:v>PLANNING COMPLETE</x:v>
      </x:c>
      <x:c r="G21" s="73" t="str">
        <x:v>OPEN</x:v>
      </x:c>
    </x:row>
  </x:sheetData>
  <x:mergeCells>
    <x:mergeCell ref="B3:G3"/>
  </x:mergeCells>
  <x:conditionalFormatting sqref="F7:G21">
    <x:cfRule type="containsText" dxfId="168" priority="1" operator="containsText" text="FAIL"/>
    <x:cfRule type="containsText" dxfId="169" priority="2" operator="containsText" text="BLOCKED"/>
    <x:cfRule type="containsText" dxfId="170" priority="3" operator="containsText" text="HOLD"/>
    <x:cfRule type="containsText" dxfId="171" priority="4" operator="containsText" text="OPEN"/>
    <x:cfRule type="containsText" dxfId="172" priority="5" operator="containsText" text="RANGE-INVALID"/>
    <x:cfRule type="containsText" dxfId="173" priority="6" operator="containsText" text="INDETERMINATE"/>
    <x:cfRule type="containsText" dxfId="174" priority="7" operator="containsText" text="PASS"/>
    <x:cfRule type="containsText" dxfId="175" priority="8" operator="containsText" text="AUTHORIZED"/>
    <x:cfRule type="containsText" dxfId="176" priority="9" operator="containsText" text="RELEASED"/>
    <x:cfRule type="containsText" dxfId="177" priority="10" operator="containsText" text="ADMITTED"/>
    <x:cfRule type="containsText" dxfId="178" priority="11" operator="containsText" text="MODELED CREDIT"/>
    <x:cfRule type="containsText" dxfId="179" priority="12" operator="containsText" text="PLANNING COMPLETE"/>
    <x:cfRule type="containsText" dxfId="384" priority="13" operator="containsText" text="FAIL"/>
    <x:cfRule type="containsText" dxfId="385" priority="14" operator="containsText" text="BLOCKED"/>
    <x:cfRule type="containsText" dxfId="386" priority="15" operator="containsText" text="HOLD"/>
    <x:cfRule type="containsText" dxfId="387" priority="16" operator="containsText" text="OPEN"/>
    <x:cfRule type="containsText" dxfId="388" priority="17" operator="containsText" text="RANGE-INVALID"/>
    <x:cfRule type="containsText" dxfId="389" priority="18" operator="containsText" text="INDETERMINATE"/>
    <x:cfRule type="containsText" dxfId="390" priority="19" operator="containsText" text="PASS"/>
    <x:cfRule type="containsText" dxfId="391" priority="20" operator="containsText" text="AUTHORIZED"/>
    <x:cfRule type="containsText" dxfId="392" priority="21" operator="containsText" text="RELEASED"/>
    <x:cfRule type="containsText" dxfId="393" priority="22" operator="containsText" text="ADMITTED"/>
    <x:cfRule type="containsText" dxfId="394" priority="23" operator="containsText" text="MODELED CREDIT"/>
    <x:cfRule type="containsText" dxfId="395" priority="24" operator="containsText" text="PLANNING COMPLETE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B8C7D1"/>
  </x:sheetPr>
  <x:sheetViews>
    <x:sheetView showGridLines="0" workbookViewId="0"/>
  </x:sheetViews>
  <x:sheetFormatPr defaultRowHeight="15"/>
  <x:cols>
    <x:col min="2" max="2" width="11" hidden="0" customWidth="1"/>
    <x:col min="3" max="3" width="43" hidden="0" customWidth="1"/>
    <x:col min="4" max="4" width="19" hidden="0" customWidth="1"/>
    <x:col min="5" max="5" width="22" hidden="0" customWidth="1"/>
    <x:col min="6" max="6" width="27" hidden="0" customWidth="1"/>
    <x:col min="7" max="7" width="17" hidden="0" customWidth="1"/>
  </x:cols>
  <x:sheetData>
    <x:row r="2">
      <x:c r="B2" s="1" t="str">
        <x:v>Ninety-day operating authorization</x:v>
      </x:c>
      <x:c r="C2" s="54"/>
      <x:c r="D2" s="54"/>
      <x:c r="E2" s="54"/>
      <x:c r="F2" s="54"/>
      <x:c r="G2" s="54"/>
    </x:row>
    <x:row r="3">
      <x:c r="B3" s="2" t="str">
        <x:v>The wave uses the standing Pass 104 institution and creates no new capital line.</x:v>
      </x:c>
      <x:c r="C3" s="54"/>
      <x:c r="D3" s="54"/>
      <x:c r="E3" s="54"/>
      <x:c r="F3" s="54"/>
      <x:c r="G3" s="54"/>
    </x:row>
    <x:row r="4">
      <x:c r="B4" s="56"/>
      <x:c r="C4" s="56"/>
      <x:c r="D4" s="56"/>
      <x:c r="E4" s="56"/>
      <x:c r="F4" s="56"/>
      <x:c r="G4" s="56"/>
    </x:row>
    <x:row r="5">
      <x:c r="B5" s="54"/>
      <x:c r="C5" s="54"/>
      <x:c r="D5" s="54"/>
      <x:c r="E5" s="54"/>
      <x:c r="F5" s="54"/>
      <x:c r="G5" s="54"/>
    </x:row>
    <x:row r="6">
      <x:c r="B6" s="15" t="str">
        <x:v>ID</x:v>
      </x:c>
      <x:c r="C6" s="16" t="str">
        <x:v>Support line</x:v>
      </x:c>
      <x:c r="D6" s="16" t="str">
        <x:v>Annual USD B</x:v>
      </x:c>
      <x:c r="E6" s="16" t="str">
        <x:v>Ninety-day USD B</x:v>
      </x:c>
      <x:c r="F6" s="16" t="str">
        <x:v>Basis</x:v>
      </x:c>
      <x:c r="G6" s="16" t="str">
        <x:v>Planning state</x:v>
      </x:c>
    </x:row>
    <x:row r="7">
      <x:c r="B7" s="65" t="str">
        <x:v>OD01</x:v>
      </x:c>
      <x:c r="C7" s="65" t="str">
        <x:v>public workforce and training</x:v>
      </x:c>
      <x:c r="D7" s="80" t="n">
        <x:v>0.14</x:v>
      </x:c>
      <x:c r="E7" s="80" t="n">
        <x:f>D7*'Control Inputs'!D7/365</x:f>
        <x:v>0.03452054794520548</x:v>
      </x:c>
      <x:c r="F7" s="65" t="str">
        <x:v>90/365 of annual line</x:v>
      </x:c>
      <x:c r="G7" s="76" t="str">
        <x:v>PLANNING</x:v>
      </x:c>
    </x:row>
    <x:row r="8">
      <x:c r="B8" s="65" t="str">
        <x:v>OD02</x:v>
      </x:c>
      <x:c r="C8" s="65" t="str">
        <x:v>utilities, water and waste</x:v>
      </x:c>
      <x:c r="D8" s="80" t="n">
        <x:v>0.06</x:v>
      </x:c>
      <x:c r="E8" s="80" t="n">
        <x:f>D8*'Control Inputs'!D7/365</x:f>
        <x:v>0.014794520547945203</x:v>
      </x:c>
      <x:c r="F8" s="65" t="str">
        <x:v>90/365 of annual line</x:v>
      </x:c>
      <x:c r="G8" s="76" t="str">
        <x:v>PLANNING</x:v>
      </x:c>
    </x:row>
    <x:row r="9">
      <x:c r="B9" s="65" t="str">
        <x:v>OD03</x:v>
      </x:c>
      <x:c r="C9" s="65" t="str">
        <x:v>maintenance and reset</x:v>
      </x:c>
      <x:c r="D9" s="80" t="n">
        <x:v>0.065</x:v>
      </x:c>
      <x:c r="E9" s="80" t="n">
        <x:f>D9*'Control Inputs'!D7/365</x:f>
        <x:v>0.016027397260273975</x:v>
      </x:c>
      <x:c r="F9" s="65" t="str">
        <x:v>90/365 of annual line</x:v>
      </x:c>
      <x:c r="G9" s="76" t="str">
        <x:v>PLANNING</x:v>
      </x:c>
    </x:row>
    <x:row r="10">
      <x:c r="B10" s="65" t="str">
        <x:v>OD04</x:v>
      </x:c>
      <x:c r="C10" s="65" t="str">
        <x:v>metrology and reference renewal</x:v>
      </x:c>
      <x:c r="D10" s="80" t="n">
        <x:v>0.03</x:v>
      </x:c>
      <x:c r="E10" s="80" t="n">
        <x:f>D10*'Control Inputs'!D7/365</x:f>
        <x:v>0.007397260273972602</x:v>
      </x:c>
      <x:c r="F10" s="65" t="str">
        <x:v>90/365 of annual line</x:v>
      </x:c>
      <x:c r="G10" s="76" t="str">
        <x:v>PLANNING</x:v>
      </x:c>
    </x:row>
    <x:row r="11">
      <x:c r="B11" s="65" t="str">
        <x:v>OD05</x:v>
      </x:c>
      <x:c r="C11" s="65" t="str">
        <x:v>sanitary laboratories</x:v>
      </x:c>
      <x:c r="D11" s="80" t="n">
        <x:v>0.028</x:v>
      </x:c>
      <x:c r="E11" s="80" t="n">
        <x:f>D11*'Control Inputs'!D7/365</x:f>
        <x:v>0.006904109589041096</x:v>
      </x:c>
      <x:c r="F11" s="65" t="str">
        <x:v>90/365 of annual line</x:v>
      </x:c>
      <x:c r="G11" s="76" t="str">
        <x:v>PLANNING</x:v>
      </x:c>
    </x:row>
    <x:row r="12">
      <x:c r="B12" s="65" t="str">
        <x:v>OD06</x:v>
      </x:c>
      <x:c r="C12" s="65" t="str">
        <x:v>forensic operations</x:v>
      </x:c>
      <x:c r="D12" s="80" t="n">
        <x:v>0.02</x:v>
      </x:c>
      <x:c r="E12" s="80" t="n">
        <x:f>D12*'Control Inputs'!D7/365</x:f>
        <x:v>0.004931506849315068</x:v>
      </x:c>
      <x:c r="F12" s="65" t="str">
        <x:v>90/365 of annual line</x:v>
      </x:c>
      <x:c r="G12" s="76" t="str">
        <x:v>PLANNING</x:v>
      </x:c>
    </x:row>
    <x:row r="13">
      <x:c r="B13" s="65" t="str">
        <x:v>OD07</x:v>
      </x:c>
      <x:c r="C13" s="65" t="str">
        <x:v>evidence, time and cyber</x:v>
      </x:c>
      <x:c r="D13" s="80" t="n">
        <x:v>0.018</x:v>
      </x:c>
      <x:c r="E13" s="80" t="n">
        <x:f>D13*'Control Inputs'!D7/365</x:f>
        <x:v>0.0044383561643835615</x:v>
      </x:c>
      <x:c r="F13" s="65" t="str">
        <x:v>90/365 of annual line</x:v>
      </x:c>
      <x:c r="G13" s="76" t="str">
        <x:v>PLANNING</x:v>
      </x:c>
    </x:row>
    <x:row r="14">
      <x:c r="B14" s="65" t="str">
        <x:v>OD08</x:v>
      </x:c>
      <x:c r="C14" s="65" t="str">
        <x:v>blind truth and custody</x:v>
      </x:c>
      <x:c r="D14" s="80" t="n">
        <x:v>0.012</x:v>
      </x:c>
      <x:c r="E14" s="80" t="n">
        <x:f>D14*'Control Inputs'!D7/365</x:f>
        <x:v>0.0029589041095890414</x:v>
      </x:c>
      <x:c r="F14" s="65" t="str">
        <x:v>90/365 of annual line</x:v>
      </x:c>
      <x:c r="G14" s="76" t="str">
        <x:v>PLANNING</x:v>
      </x:c>
    </x:row>
    <x:row r="15">
      <x:c r="B15" s="65" t="str">
        <x:v>OD09</x:v>
      </x:c>
      <x:c r="C15" s="65" t="str">
        <x:v>campus transport and protection</x:v>
      </x:c>
      <x:c r="D15" s="80" t="n">
        <x:v>0.015</x:v>
      </x:c>
      <x:c r="E15" s="80" t="n">
        <x:f>D15*'Control Inputs'!D7/365</x:f>
        <x:v>0.003698630136986301</x:v>
      </x:c>
      <x:c r="F15" s="65" t="str">
        <x:v>90/365 of annual line</x:v>
      </x:c>
      <x:c r="G15" s="76" t="str">
        <x:v>PLANNING</x:v>
      </x:c>
    </x:row>
    <x:row r="16">
      <x:c r="B16" s="70" t="str">
        <x:v>OD10</x:v>
      </x:c>
      <x:c r="C16" s="70" t="str">
        <x:v>readiness and exercise reserve</x:v>
      </x:c>
      <x:c r="D16" s="81" t="n">
        <x:v>0.01</x:v>
      </x:c>
      <x:c r="E16" s="81" t="n">
        <x:f>D16*'Control Inputs'!D7/365</x:f>
        <x:v>0.002465753424657534</x:v>
      </x:c>
      <x:c r="F16" s="70" t="str">
        <x:v>90/365 of annual line</x:v>
      </x:c>
      <x:c r="G16" s="79" t="str">
        <x:v>PLANNING</x:v>
      </x:c>
    </x:row>
    <x:row r="17">
      <x:c r="B17" s="54"/>
      <x:c r="C17" s="54"/>
      <x:c r="D17" s="54"/>
      <x:c r="E17" s="54"/>
      <x:c r="F17" s="54"/>
      <x:c r="G17" s="54"/>
    </x:row>
    <x:row r="18">
      <x:c r="B18" s="54"/>
      <x:c r="C18" s="54"/>
      <x:c r="D18" s="54"/>
      <x:c r="E18" s="54"/>
      <x:c r="F18" s="54"/>
      <x:c r="G18" s="54"/>
    </x:row>
    <x:row r="19">
      <x:c r="B19" s="54" t="str">
        <x:v>ANNUAL TOTAL</x:v>
      </x:c>
      <x:c r="C19" s="54" t="str">
        <x:v>Pass 104 support</x:v>
      </x:c>
      <x:c r="D19" s="61" t="n">
        <x:f>SUM(D7:D16)</x:f>
        <x:v>0.39800000000000013</x:v>
      </x:c>
      <x:c r="E19" s="54"/>
      <x:c r="F19" s="54"/>
      <x:c r="G19" s="54"/>
    </x:row>
    <x:row r="20">
      <x:c r="B20" s="54" t="str">
        <x:v>WAVE TOTAL</x:v>
      </x:c>
      <x:c r="C20" s="54" t="str">
        <x:v>90-day draw</x:v>
      </x:c>
      <x:c r="D20" s="61" t="n">
        <x:f>SUM(E7:E16)</x:f>
        <x:v>0.09813698630136987</x:v>
      </x:c>
      <x:c r="E20" s="54" t="str">
        <x:f>IF(AND(ABS(D19-'Control Inputs'!D62)&lt;0.000001,ABS(D20-'Control Inputs'!D62*'Control Inputs'!D7/365)&lt;0.000001,D21=0),"PASS","FAIL")</x:f>
        <x:v>PASS</x:v>
      </x:c>
      <x:c r="F20" s="54"/>
      <x:c r="G20" s="54"/>
    </x:row>
    <x:row r="21">
      <x:c r="B21" s="54" t="str">
        <x:v>CAPITAL</x:v>
      </x:c>
      <x:c r="C21" s="54" t="str">
        <x:v>new capital authority</x:v>
      </x:c>
      <x:c r="D21" s="61" t="n">
        <x:v>0</x:v>
      </x:c>
      <x:c r="E21" s="54"/>
      <x:c r="F21" s="54"/>
      <x:c r="G21" s="54"/>
    </x:row>
  </x:sheetData>
  <x:mergeCells>
    <x:mergeCell ref="B3:G3"/>
  </x:mergeCells>
  <x:conditionalFormatting sqref="E20:E20">
    <x:cfRule type="containsText" dxfId="180" priority="1" operator="containsText" text="FAIL"/>
    <x:cfRule type="containsText" dxfId="181" priority="2" operator="containsText" text="BLOCKED"/>
    <x:cfRule type="containsText" dxfId="182" priority="3" operator="containsText" text="HOLD"/>
    <x:cfRule type="containsText" dxfId="183" priority="4" operator="containsText" text="OPEN"/>
    <x:cfRule type="containsText" dxfId="184" priority="5" operator="containsText" text="RANGE-INVALID"/>
    <x:cfRule type="containsText" dxfId="185" priority="6" operator="containsText" text="INDETERMINATE"/>
    <x:cfRule type="containsText" dxfId="186" priority="7" operator="containsText" text="PASS"/>
    <x:cfRule type="containsText" dxfId="187" priority="8" operator="containsText" text="AUTHORIZED"/>
    <x:cfRule type="containsText" dxfId="188" priority="9" operator="containsText" text="RELEASED"/>
    <x:cfRule type="containsText" dxfId="189" priority="10" operator="containsText" text="ADMITTED"/>
    <x:cfRule type="containsText" dxfId="190" priority="11" operator="containsText" text="MODELED CREDIT"/>
    <x:cfRule type="containsText" dxfId="191" priority="12" operator="containsText" text="PLANNING COMPLETE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B8C7D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54" hidden="0" customWidth="1"/>
    <x:col min="4" max="4" width="15" hidden="0" customWidth="1"/>
    <x:col min="5" max="5" width="12" hidden="0" customWidth="1"/>
    <x:col min="6" max="6" width="12" hidden="0" customWidth="1"/>
    <x:col min="7" max="7" width="18" hidden="0" customWidth="1"/>
    <x:col min="8" max="8" width="26" hidden="0" customWidth="1"/>
    <x:col min="9" max="9" width="18" hidden="0" customWidth="1"/>
    <x:col min="10" max="10" width="18" hidden="0" customWidth="1"/>
  </x:cols>
  <x:sheetData>
    <x:row r="2">
      <x:c r="B2" s="1" t="str">
        <x:v>First-wave and loss-rehearsal release ladder</x:v>
      </x:c>
      <x:c r="C2" s="54"/>
      <x:c r="D2" s="54"/>
      <x:c r="E2" s="54"/>
      <x:c r="F2" s="54"/>
      <x:c r="G2" s="54"/>
      <x:c r="H2" s="54"/>
      <x:c r="I2" s="54"/>
      <x:c r="J2" s="54"/>
    </x:row>
    <x:row r="3">
      <x:c r="B3" s="2" t="str">
        <x:v>Planning arithmetic cannot constitute people, articles, stations, live commitments, execution or credit.</x:v>
      </x:c>
      <x:c r="C3" s="54"/>
      <x:c r="D3" s="54"/>
      <x:c r="E3" s="54"/>
      <x:c r="F3" s="54"/>
      <x:c r="G3" s="54"/>
      <x:c r="H3" s="54"/>
      <x:c r="I3" s="54"/>
      <x:c r="J3" s="54"/>
    </x:row>
    <x:row r="4">
      <x:c r="B4" s="56"/>
      <x:c r="C4" s="56"/>
      <x:c r="D4" s="56"/>
      <x:c r="E4" s="56"/>
      <x:c r="F4" s="56"/>
      <x:c r="G4" s="56"/>
      <x:c r="H4" s="56"/>
      <x:c r="I4" s="56"/>
      <x:c r="J4" s="56"/>
    </x:row>
    <x:row r="5">
      <x:c r="B5" s="54"/>
      <x:c r="C5" s="54"/>
      <x:c r="D5" s="54"/>
      <x:c r="E5" s="54"/>
      <x:c r="F5" s="54"/>
      <x:c r="G5" s="54"/>
      <x:c r="H5" s="54"/>
      <x:c r="I5" s="54"/>
      <x:c r="J5" s="54"/>
    </x:row>
    <x:row r="6">
      <x:c r="B6" s="15" t="str">
        <x:v>Gate</x:v>
      </x:c>
      <x:c r="C6" s="16" t="str">
        <x:v>Decision</x:v>
      </x:c>
      <x:c r="D6" s="16" t="str">
        <x:v>Class</x:v>
      </x:c>
      <x:c r="E6" s="16" t="str">
        <x:v>Required</x:v>
      </x:c>
      <x:c r="F6" s="16" t="str">
        <x:v>Observed</x:v>
      </x:c>
      <x:c r="G6" s="16" t="str">
        <x:v>Gate state</x:v>
      </x:c>
      <x:c r="H6" s="16" t="str">
        <x:v>Consequence</x:v>
      </x:c>
      <x:c r="I6" s="16" t="str">
        <x:v>Production/form</x:v>
      </x:c>
      <x:c r="J6" s="16" t="str">
        <x:v>Rendering</x:v>
      </x:c>
    </x:row>
    <x:row r="7" ht="35" customHeight="1">
      <x:c r="B7" s="65" t="str">
        <x:v>G01</x:v>
      </x:c>
      <x:c r="C7" s="66" t="str">
        <x:v>credit objectives and P90 reservation reconcile</x:v>
      </x:c>
      <x:c r="D7" s="66" t="str">
        <x:v>package</x:v>
      </x:c>
      <x:c r="E7" s="66" t="n">
        <x:v>1</x:v>
      </x:c>
      <x:c r="F7" s="66" t="n">
        <x:f>IF(AND(Demand!J7=24,Demand!J8=10),1,0)</x:f>
        <x:v>1</x:v>
      </x:c>
      <x:c r="G7" s="66" t="str">
        <x:f>IF(F7&gt;=E7,IF(D7="package","PLANNING PASS","PASS"),IF(D7="package","FAIL","OPEN"))</x:f>
        <x:v>PLANNING PASS</x:v>
      </x:c>
      <x:c r="H7" s="66" t="str">
        <x:v>design only</x:v>
      </x:c>
      <x:c r="I7" s="66" t="str">
        <x:v>BLOCKED</x:v>
      </x:c>
      <x:c r="J7" s="68" t="str">
        <x:v>BLOCKED</x:v>
      </x:c>
    </x:row>
    <x:row r="8" ht="35" customHeight="1">
      <x:c r="B8" s="65" t="str">
        <x:v>G02</x:v>
      </x:c>
      <x:c r="C8" s="66" t="str">
        <x:v>thirty-four immutable token records complete</x:v>
      </x:c>
      <x:c r="D8" s="66" t="str">
        <x:v>package</x:v>
      </x:c>
      <x:c r="E8" s="66" t="n">
        <x:v>1</x:v>
      </x:c>
      <x:c r="F8" s="66" t="n">
        <x:f>IF(AND(COUNTA('Token Ledger'!B7:B40)=34,COUNTBLANK('Token Ledger'!B7:L40)=0,COUNTBLANK('Token Ledger'!N7:N40)=0),1,0)</x:f>
        <x:v>1</x:v>
      </x:c>
      <x:c r="G8" s="66" t="str">
        <x:f>IF(F8&gt;=E8,IF(D8="package","PLANNING PASS","PASS"),IF(D8="package","FAIL","OPEN"))</x:f>
        <x:v>PLANNING PASS</x:v>
      </x:c>
      <x:c r="H8" s="66" t="str">
        <x:v>design only</x:v>
      </x:c>
      <x:c r="I8" s="66" t="str">
        <x:v>BLOCKED</x:v>
      </x:c>
      <x:c r="J8" s="68" t="str">
        <x:v>BLOCKED</x:v>
      </x:c>
    </x:row>
    <x:row r="9" ht="35" customHeight="1">
      <x:c r="B9" s="65" t="str">
        <x:v>G03</x:v>
      </x:c>
      <x:c r="C9" s="66" t="str">
        <x:v>closure root and condition balance closes</x:v>
      </x:c>
      <x:c r="D9" s="66" t="str">
        <x:v>package</x:v>
      </x:c>
      <x:c r="E9" s="66" t="n">
        <x:v>1</x:v>
      </x:c>
      <x:c r="F9" s="66" t="n">
        <x:f>IF(AND(COUNTIF('Event Mix'!J7:J9,"PASS")=3,COUNTIF('Event Mix'!E15:E20,"PASS")=6),1,0)</x:f>
        <x:v>1</x:v>
      </x:c>
      <x:c r="G9" s="66" t="str">
        <x:f>IF(F9&gt;=E9,IF(D9="package","PLANNING PASS","PASS"),IF(D9="package","FAIL","OPEN"))</x:f>
        <x:v>PLANNING PASS</x:v>
      </x:c>
      <x:c r="H9" s="66" t="str">
        <x:v>design only</x:v>
      </x:c>
      <x:c r="I9" s="66" t="str">
        <x:v>BLOCKED</x:v>
      </x:c>
      <x:c r="J9" s="68" t="str">
        <x:v>BLOCKED</x:v>
      </x:c>
    </x:row>
    <x:row r="10" ht="35" customHeight="1">
      <x:c r="B10" s="65" t="str">
        <x:v>G04</x:v>
      </x:c>
      <x:c r="C10" s="66" t="str">
        <x:v>damage root and disclosure balance closes</x:v>
      </x:c>
      <x:c r="D10" s="66" t="str">
        <x:v>package</x:v>
      </x:c>
      <x:c r="E10" s="66" t="n">
        <x:v>1</x:v>
      </x:c>
      <x:c r="F10" s="66" t="n">
        <x:f>IF(AND(COUNTIF('Event Mix'!J7:J9,"PASS")=3,COUNTIF('Event Mix'!E21:E22,"PASS")=2),1,0)</x:f>
        <x:v>1</x:v>
      </x:c>
      <x:c r="G10" s="66" t="str">
        <x:f>IF(F10&gt;=E10,IF(D10="package","PLANNING PASS","PASS"),IF(D10="package","FAIL","OPEN"))</x:f>
        <x:v>PLANNING PASS</x:v>
      </x:c>
      <x:c r="H10" s="66" t="str">
        <x:v>design only</x:v>
      </x:c>
      <x:c r="I10" s="66" t="str">
        <x:v>BLOCKED</x:v>
      </x:c>
      <x:c r="J10" s="68" t="str">
        <x:v>BLOCKED</x:v>
      </x:c>
    </x:row>
    <x:row r="11" ht="35" customHeight="1">
      <x:c r="B11" s="65" t="str">
        <x:v>G05</x:v>
      </x:c>
      <x:c r="C11" s="66" t="str">
        <x:v>four active interrupted tokens identified</x:v>
      </x:c>
      <x:c r="D11" s="66" t="str">
        <x:v>package</x:v>
      </x:c>
      <x:c r="E11" s="66" t="n">
        <x:v>1</x:v>
      </x:c>
      <x:c r="F11" s="66" t="n">
        <x:f>IF(COUNTIF('Token Ledger'!O7:O40,"ACTIVE_INTERRUPTED")='Control Inputs'!D81,1,0)</x:f>
        <x:v>1</x:v>
      </x:c>
      <x:c r="G11" s="66" t="str">
        <x:f>IF(F11&gt;=E11,IF(D11="package","PLANNING PASS","PASS"),IF(D11="package","FAIL","OPEN"))</x:f>
        <x:v>PLANNING PASS</x:v>
      </x:c>
      <x:c r="H11" s="66" t="str">
        <x:v>design only</x:v>
      </x:c>
      <x:c r="I11" s="66" t="str">
        <x:v>BLOCKED</x:v>
      </x:c>
      <x:c r="J11" s="68" t="str">
        <x:v>BLOCKED</x:v>
      </x:c>
    </x:row>
    <x:row r="12" ht="35" customHeight="1">
      <x:c r="B12" s="65" t="str">
        <x:v>G06</x:v>
      </x:c>
      <x:c r="C12" s="66" t="str">
        <x:v>outside-only post-run packet identified</x:v>
      </x:c>
      <x:c r="D12" s="66" t="str">
        <x:v>package</x:v>
      </x:c>
      <x:c r="E12" s="66" t="n">
        <x:v>1</x:v>
      </x:c>
      <x:c r="F12" s="66" t="n">
        <x:f>IF(COUNTIF('Token Ledger'!O7:O40,"REMOTE_PACKET")='Control Inputs'!D82,1,0)</x:f>
        <x:v>1</x:v>
      </x:c>
      <x:c r="G12" s="66" t="str">
        <x:f>IF(F12&gt;=E12,IF(D12="package","PLANNING PASS","PASS"),IF(D12="package","FAIL","OPEN"))</x:f>
        <x:v>PLANNING PASS</x:v>
      </x:c>
      <x:c r="H12" s="66" t="str">
        <x:v>design only</x:v>
      </x:c>
      <x:c r="I12" s="66" t="str">
        <x:v>BLOCKED</x:v>
      </x:c>
      <x:c r="J12" s="68" t="str">
        <x:v>BLOCKED</x:v>
      </x:c>
    </x:row>
    <x:row r="13" ht="35" customHeight="1">
      <x:c r="B13" s="65" t="str">
        <x:v>G07</x:v>
      </x:c>
      <x:c r="C13" s="66" t="str">
        <x:v>all station reservations are non-overlapping</x:v>
      </x:c>
      <x:c r="D13" s="66" t="str">
        <x:v>package</x:v>
      </x:c>
      <x:c r="E13" s="66" t="n">
        <x:v>1</x:v>
      </x:c>
      <x:c r="F13" s="66" t="n">
        <x:f>IF(COUNTIF('Station Grid'!C99:N99,"PASS")=12,1,0)</x:f>
        <x:v>1</x:v>
      </x:c>
      <x:c r="G13" s="66" t="str">
        <x:f>IF(F13&gt;=E13,IF(D13="package","PLANNING PASS","PASS"),IF(D13="package","FAIL","OPEN"))</x:f>
        <x:v>PLANNING PASS</x:v>
      </x:c>
      <x:c r="H13" s="66" t="str">
        <x:v>design only</x:v>
      </x:c>
      <x:c r="I13" s="66" t="str">
        <x:v>BLOCKED</x:v>
      </x:c>
      <x:c r="J13" s="68" t="str">
        <x:v>BLOCKED</x:v>
      </x:c>
    </x:row>
    <x:row r="14" ht="35" customHeight="1">
      <x:c r="B14" s="65" t="str">
        <x:v>G08</x:v>
      </x:c>
      <x:c r="C14" s="66" t="str">
        <x:v>daily closure WIP remains within ceiling</x:v>
      </x:c>
      <x:c r="D14" s="66" t="str">
        <x:v>package</x:v>
      </x:c>
      <x:c r="E14" s="66" t="n">
        <x:v>1</x:v>
      </x:c>
      <x:c r="F14" s="66" t="n">
        <x:f>IF(COUNTIF('Daily Control'!M7:M96,"PASS")=90,1,0)</x:f>
        <x:v>1</x:v>
      </x:c>
      <x:c r="G14" s="66" t="str">
        <x:f>IF(F14&gt;=E14,IF(D14="package","PLANNING PASS","PASS"),IF(D14="package","FAIL","OPEN"))</x:f>
        <x:v>PLANNING PASS</x:v>
      </x:c>
      <x:c r="H14" s="66" t="str">
        <x:v>design only</x:v>
      </x:c>
      <x:c r="I14" s="66" t="str">
        <x:v>BLOCKED</x:v>
      </x:c>
      <x:c r="J14" s="68" t="str">
        <x:v>BLOCKED</x:v>
      </x:c>
    </x:row>
    <x:row r="15" ht="35" customHeight="1">
      <x:c r="B15" s="65" t="str">
        <x:v>G09</x:v>
      </x:c>
      <x:c r="C15" s="66" t="str">
        <x:v>daily damage WIP remains within ceiling</x:v>
      </x:c>
      <x:c r="D15" s="66" t="str">
        <x:v>package</x:v>
      </x:c>
      <x:c r="E15" s="66" t="n">
        <x:v>1</x:v>
      </x:c>
      <x:c r="F15" s="66" t="n">
        <x:f>IF(COUNTIF('Daily Control'!N7:N96,"PASS")=90,1,0)</x:f>
        <x:v>1</x:v>
      </x:c>
      <x:c r="G15" s="66" t="str">
        <x:f>IF(F15&gt;=E15,IF(D15="package","PLANNING PASS","PASS"),IF(D15="package","FAIL","OPEN"))</x:f>
        <x:v>PLANNING PASS</x:v>
      </x:c>
      <x:c r="H15" s="66" t="str">
        <x:v>design only</x:v>
      </x:c>
      <x:c r="I15" s="66" t="str">
        <x:v>BLOCKED</x:v>
      </x:c>
      <x:c r="J15" s="68" t="str">
        <x:v>BLOCKED</x:v>
      </x:c>
    </x:row>
    <x:row r="16" ht="35" customHeight="1">
      <x:c r="B16" s="65" t="str">
        <x:v>G10</x:v>
      </x:c>
      <x:c r="C16" s="66" t="str">
        <x:v>packet queues remain within ceilings</x:v>
      </x:c>
      <x:c r="D16" s="66" t="str">
        <x:v>package</x:v>
      </x:c>
      <x:c r="E16" s="66" t="n">
        <x:v>1</x:v>
      </x:c>
      <x:c r="F16" s="66" t="n">
        <x:f>IF(AND(COUNTIF('Daily Control'!O7:O96,"PASS")=90,COUNTIF('Daily Control'!P7:P96,"PASS")=90),1,0)</x:f>
        <x:v>1</x:v>
      </x:c>
      <x:c r="G16" s="66" t="str">
        <x:f>IF(F16&gt;=E16,IF(D16="package","PLANNING PASS","PASS"),IF(D16="package","FAIL","OPEN"))</x:f>
        <x:v>PLANNING PASS</x:v>
      </x:c>
      <x:c r="H16" s="66" t="str">
        <x:v>design only</x:v>
      </x:c>
      <x:c r="I16" s="66" t="str">
        <x:v>BLOCKED</x:v>
      </x:c>
      <x:c r="J16" s="68" t="str">
        <x:v>BLOCKED</x:v>
      </x:c>
    </x:row>
    <x:row r="17" ht="35" customHeight="1">
      <x:c r="B17" s="65" t="str">
        <x:v>G11</x:v>
      </x:c>
      <x:c r="C17" s="66" t="str">
        <x:v>closure and damage residual capacity close</x:v>
      </x:c>
      <x:c r="D17" s="66" t="str">
        <x:v>package</x:v>
      </x:c>
      <x:c r="E17" s="66" t="n">
        <x:v>1</x:v>
      </x:c>
      <x:c r="F17" s="66" t="n">
        <x:f>IF(AND('Support Loads'!J7="PASS",'Support Loads'!J8="PASS"),1,0)</x:f>
        <x:v>1</x:v>
      </x:c>
      <x:c r="G17" s="66" t="str">
        <x:f>IF(F17&gt;=E17,IF(D17="package","PLANNING PASS","PASS"),IF(D17="package","FAIL","OPEN"))</x:f>
        <x:v>PLANNING PASS</x:v>
      </x:c>
      <x:c r="H17" s="66" t="str">
        <x:v>design only</x:v>
      </x:c>
      <x:c r="I17" s="66" t="str">
        <x:v>BLOCKED</x:v>
      </x:c>
      <x:c r="J17" s="68" t="str">
        <x:v>BLOCKED</x:v>
      </x:c>
    </x:row>
    <x:row r="18" ht="35" customHeight="1">
      <x:c r="B18" s="65" t="str">
        <x:v>G12</x:v>
      </x:c>
      <x:c r="C18" s="66" t="str">
        <x:v>all seven support services close</x:v>
      </x:c>
      <x:c r="D18" s="66" t="str">
        <x:v>package</x:v>
      </x:c>
      <x:c r="E18" s="66" t="n">
        <x:v>1</x:v>
      </x:c>
      <x:c r="F18" s="66" t="n">
        <x:f>IF(COUNTIF('Support Loads'!J7:J13,"PASS")=7,1,0)</x:f>
        <x:v>1</x:v>
      </x:c>
      <x:c r="G18" s="66" t="str">
        <x:f>IF(F18&gt;=E18,IF(D18="package","PLANNING PASS","PASS"),IF(D18="package","FAIL","OPEN"))</x:f>
        <x:v>PLANNING PASS</x:v>
      </x:c>
      <x:c r="H18" s="66" t="str">
        <x:v>design only</x:v>
      </x:c>
      <x:c r="I18" s="66" t="str">
        <x:v>BLOCKED</x:v>
      </x:c>
      <x:c r="J18" s="68" t="str">
        <x:v>BLOCKED</x:v>
      </x:c>
    </x:row>
    <x:row r="19" ht="35" customHeight="1">
      <x:c r="B19" s="65" t="str">
        <x:v>G13</x:v>
      </x:c>
      <x:c r="C19" s="66" t="str">
        <x:v>loss sequence and replacement clock complete</x:v>
      </x:c>
      <x:c r="D19" s="66" t="str">
        <x:v>package</x:v>
      </x:c>
      <x:c r="E19" s="66" t="n">
        <x:v>1</x:v>
      </x:c>
      <x:c r="F19" s="66" t="n">
        <x:f>IF(COUNTIF('Loss Sequence'!G7:G22,"PLANNING COMPLETE")=16,1,0)</x:f>
        <x:v>1</x:v>
      </x:c>
      <x:c r="G19" s="66" t="str">
        <x:f>IF(F19&gt;=E19,IF(D19="package","PLANNING PASS","PASS"),IF(D19="package","FAIL","OPEN"))</x:f>
        <x:v>PLANNING PASS</x:v>
      </x:c>
      <x:c r="H19" s="66" t="str">
        <x:v>design only</x:v>
      </x:c>
      <x:c r="I19" s="66" t="str">
        <x:v>BLOCKED</x:v>
      </x:c>
      <x:c r="J19" s="68" t="str">
        <x:v>BLOCKED</x:v>
      </x:c>
    </x:row>
    <x:row r="20" ht="35" customHeight="1">
      <x:c r="B20" s="65" t="str">
        <x:v>G14</x:v>
      </x:c>
      <x:c r="C20" s="66" t="str">
        <x:v>all conservation equations close</x:v>
      </x:c>
      <x:c r="D20" s="66" t="str">
        <x:v>package</x:v>
      </x:c>
      <x:c r="E20" s="66" t="n">
        <x:v>1</x:v>
      </x:c>
      <x:c r="F20" s="66" t="n">
        <x:f>IF(COUNTIF(Conservation!J7:J14,"PASS")=8,1,0)</x:f>
        <x:v>1</x:v>
      </x:c>
      <x:c r="G20" s="66" t="str">
        <x:f>IF(F20&gt;=E20,IF(D20="package","PLANNING PASS","PASS"),IF(D20="package","FAIL","OPEN"))</x:f>
        <x:v>PLANNING PASS</x:v>
      </x:c>
      <x:c r="H20" s="66" t="str">
        <x:v>design only</x:v>
      </x:c>
      <x:c r="I20" s="66" t="str">
        <x:v>BLOCKED</x:v>
      </x:c>
      <x:c r="J20" s="68" t="str">
        <x:v>BLOCKED</x:v>
      </x:c>
    </x:row>
    <x:row r="21" ht="35" customHeight="1">
      <x:c r="B21" s="65" t="str">
        <x:v>G15</x:v>
      </x:c>
      <x:c r="C21" s="66" t="str">
        <x:v>public roster and residual personnel reconcile</x:v>
      </x:c>
      <x:c r="D21" s="66" t="str">
        <x:v>package</x:v>
      </x:c>
      <x:c r="E21" s="66" t="n">
        <x:v>1</x:v>
      </x:c>
      <x:c r="F21" s="66" t="n">
        <x:f>IF(AND(Roster!D39='Control Inputs'!D59,Roster!D41=2*'Control Inputs'!D60,Roster!E41="PASS",Roster!G65="PASS"),1,0)</x:f>
        <x:v>1</x:v>
      </x:c>
      <x:c r="G21" s="66" t="str">
        <x:f>IF(F21&gt;=E21,IF(D21="package","PLANNING PASS","PASS"),IF(D21="package","FAIL","OPEN"))</x:f>
        <x:v>PLANNING PASS</x:v>
      </x:c>
      <x:c r="H21" s="66" t="str">
        <x:v>design only</x:v>
      </x:c>
      <x:c r="I21" s="66" t="str">
        <x:v>BLOCKED</x:v>
      </x:c>
      <x:c r="J21" s="68" t="str">
        <x:v>BLOCKED</x:v>
      </x:c>
    </x:row>
    <x:row r="22" ht="35" customHeight="1">
      <x:c r="B22" s="65" t="str">
        <x:v>G16</x:v>
      </x:c>
      <x:c r="C22" s="66" t="str">
        <x:v>fourteen authority separations complete</x:v>
      </x:c>
      <x:c r="D22" s="66" t="str">
        <x:v>package</x:v>
      </x:c>
      <x:c r="E22" s="66" t="n">
        <x:v>1</x:v>
      </x:c>
      <x:c r="F22" s="66" t="n">
        <x:f>IF(COUNTIF('Authority Matrix'!G7:G20,"PASS")=14,1,0)</x:f>
        <x:v>1</x:v>
      </x:c>
      <x:c r="G22" s="66" t="str">
        <x:f>IF(F22&gt;=E22,IF(D22="package","PLANNING PASS","PASS"),IF(D22="package","FAIL","OPEN"))</x:f>
        <x:v>PLANNING PASS</x:v>
      </x:c>
      <x:c r="H22" s="66" t="str">
        <x:v>design only</x:v>
      </x:c>
      <x:c r="I22" s="66" t="str">
        <x:v>BLOCKED</x:v>
      </x:c>
      <x:c r="J22" s="68" t="str">
        <x:v>BLOCKED</x:v>
      </x:c>
    </x:row>
    <x:row r="23" ht="35" customHeight="1">
      <x:c r="B23" s="65" t="str">
        <x:v>G17</x:v>
      </x:c>
      <x:c r="C23" s="66" t="str">
        <x:v>ninety-day milestones and terminal dates close</x:v>
      </x:c>
      <x:c r="D23" s="66" t="str">
        <x:v>package</x:v>
      </x:c>
      <x:c r="E23" s="66" t="n">
        <x:v>1</x:v>
      </x:c>
      <x:c r="F23" s="66" t="n">
        <x:f>IF(AND(COUNTA(Milestones!B7:B21)=15,Milestones!C21='Control Inputs'!D7),1,0)</x:f>
        <x:v>1</x:v>
      </x:c>
      <x:c r="G23" s="66" t="str">
        <x:f>IF(F23&gt;=E23,IF(D23="package","PLANNING PASS","PASS"),IF(D23="package","FAIL","OPEN"))</x:f>
        <x:v>PLANNING PASS</x:v>
      </x:c>
      <x:c r="H23" s="66" t="str">
        <x:v>design only</x:v>
      </x:c>
      <x:c r="I23" s="66" t="str">
        <x:v>BLOCKED</x:v>
      </x:c>
      <x:c r="J23" s="68" t="str">
        <x:v>BLOCKED</x:v>
      </x:c>
    </x:row>
    <x:row r="24" ht="35" customHeight="1">
      <x:c r="B24" s="65" t="str">
        <x:v>G18</x:v>
      </x:c>
      <x:c r="C24" s="66" t="str">
        <x:v>operating draw remains inside Pass 104</x:v>
      </x:c>
      <x:c r="D24" s="66" t="str">
        <x:v>package</x:v>
      </x:c>
      <x:c r="E24" s="66" t="n">
        <x:v>1</x:v>
      </x:c>
      <x:c r="F24" s="66" t="n">
        <x:f>IF('Operating Draw'!E20="PASS",1,0)</x:f>
        <x:v>1</x:v>
      </x:c>
      <x:c r="G24" s="66" t="str">
        <x:f>IF(F24&gt;=E24,IF(D24="package","PLANNING PASS","PASS"),IF(D24="package","FAIL","OPEN"))</x:f>
        <x:v>PLANNING PASS</x:v>
      </x:c>
      <x:c r="H24" s="66" t="str">
        <x:v>design only</x:v>
      </x:c>
      <x:c r="I24" s="66" t="str">
        <x:v>BLOCKED</x:v>
      </x:c>
      <x:c r="J24" s="68" t="str">
        <x:v>BLOCKED</x:v>
      </x:c>
    </x:row>
    <x:row r="25" ht="35" customHeight="1">
      <x:c r="B25" s="65" t="str">
        <x:v>G19</x:v>
      </x:c>
      <x:c r="C25" s="66" t="str">
        <x:v>constituted authorities approve rehearsal</x:v>
      </x:c>
      <x:c r="D25" s="66" t="str">
        <x:v>external</x:v>
      </x:c>
      <x:c r="E25" s="66" t="n">
        <x:v>1</x:v>
      </x:c>
      <x:c r="F25" s="66" t="n">
        <x:f>'Control Inputs'!D64</x:f>
        <x:v>0</x:v>
      </x:c>
      <x:c r="G25" s="66" t="str">
        <x:f>IF(F25&gt;=E25,IF(D25="package","PLANNING PASS","PASS"),IF(D25="package","FAIL","OPEN"))</x:f>
        <x:v>OPEN</x:v>
      </x:c>
      <x:c r="H25" s="66" t="str">
        <x:v>name rosters</x:v>
      </x:c>
      <x:c r="I25" s="66" t="str">
        <x:v>BLOCKED</x:v>
      </x:c>
      <x:c r="J25" s="68" t="str">
        <x:v>BLOCKED</x:v>
      </x:c>
    </x:row>
    <x:row r="26" ht="35" customHeight="1">
      <x:c r="B26" s="65" t="str">
        <x:v>G20</x:v>
      </x:c>
      <x:c r="C26" s="66" t="str">
        <x:v>named qualified rosters constituted</x:v>
      </x:c>
      <x:c r="D26" s="66" t="str">
        <x:v>physical</x:v>
      </x:c>
      <x:c r="E26" s="66" t="n">
        <x:v>1</x:v>
      </x:c>
      <x:c r="F26" s="66" t="n">
        <x:f>IF(AND(G25="PASS",'Control Inputs'!D65=1),1,0)</x:f>
        <x:v>0</x:v>
      </x:c>
      <x:c r="G26" s="66" t="str">
        <x:f>IF(F26&gt;=E26,IF(D26="package","PLANNING PASS","PASS"),IF(D26="package","FAIL","OPEN"))</x:f>
        <x:v>OPEN</x:v>
      </x:c>
      <x:c r="H26" s="66" t="str">
        <x:v>register articles</x:v>
      </x:c>
      <x:c r="I26" s="66" t="str">
        <x:v>BLOCKED</x:v>
      </x:c>
      <x:c r="J26" s="68" t="str">
        <x:v>BLOCKED</x:v>
      </x:c>
    </x:row>
    <x:row r="27" ht="35" customHeight="1">
      <x:c r="B27" s="65" t="str">
        <x:v>G21</x:v>
      </x:c>
      <x:c r="C27" s="66" t="str">
        <x:v>physical articles and cassettes registered</x:v>
      </x:c>
      <x:c r="D27" s="66" t="str">
        <x:v>physical</x:v>
      </x:c>
      <x:c r="E27" s="66" t="n">
        <x:v>1</x:v>
      </x:c>
      <x:c r="F27" s="66" t="n">
        <x:f>IF(AND(G26="PASS",'Control Inputs'!D66=1),1,0)</x:f>
        <x:v>0</x:v>
      </x:c>
      <x:c r="G27" s="66" t="str">
        <x:f>IF(F27&gt;=E27,IF(D27="package","PLANNING PASS","PASS"),IF(D27="package","FAIL","OPEN"))</x:f>
        <x:v>OPEN</x:v>
      </x:c>
      <x:c r="H27" s="66" t="str">
        <x:v>commission lanes</x:v>
      </x:c>
      <x:c r="I27" s="66" t="str">
        <x:v>BLOCKED</x:v>
      </x:c>
      <x:c r="J27" s="68" t="str">
        <x:v>BLOCKED</x:v>
      </x:c>
    </x:row>
    <x:row r="28" ht="35" customHeight="1">
      <x:c r="B28" s="65" t="str">
        <x:v>G22</x:v>
      </x:c>
      <x:c r="C28" s="66" t="str">
        <x:v>all service lanes in READY state</x:v>
      </x:c>
      <x:c r="D28" s="66" t="str">
        <x:v>physical</x:v>
      </x:c>
      <x:c r="E28" s="66" t="n">
        <x:v>1</x:v>
      </x:c>
      <x:c r="F28" s="66" t="n">
        <x:f>IF(AND(G27="PASS",'Control Inputs'!D67=1),1,0)</x:f>
        <x:v>0</x:v>
      </x:c>
      <x:c r="G28" s="66" t="str">
        <x:f>IF(F28&gt;=E28,IF(D28="package","PLANNING PASS","PASS"),IF(D28="package","FAIL","OPEN"))</x:f>
        <x:v>OPEN</x:v>
      </x:c>
      <x:c r="H28" s="66" t="str">
        <x:v>seal seed</x:v>
      </x:c>
      <x:c r="I28" s="66" t="str">
        <x:v>BLOCKED</x:v>
      </x:c>
      <x:c r="J28" s="68" t="str">
        <x:v>BLOCKED</x:v>
      </x:c>
    </x:row>
    <x:row r="29" ht="35" customHeight="1">
      <x:c r="B29" s="65" t="str">
        <x:v>G23</x:v>
      </x:c>
      <x:c r="C29" s="66" t="str">
        <x:v>live randomization commitments sealed</x:v>
      </x:c>
      <x:c r="D29" s="66" t="str">
        <x:v>physical</x:v>
      </x:c>
      <x:c r="E29" s="66" t="n">
        <x:v>1</x:v>
      </x:c>
      <x:c r="F29" s="66" t="n">
        <x:f>IF(AND(G28="PASS",'Control Inputs'!D68=1),1,0)</x:f>
        <x:v>0</x:v>
      </x:c>
      <x:c r="G29" s="66" t="str">
        <x:f>IF(F29&gt;=E29,IF(D29="package","PLANNING PASS","PASS"),IF(D29="package","FAIL","OPEN"))</x:f>
        <x:v>OPEN</x:v>
      </x:c>
      <x:c r="H29" s="66" t="str">
        <x:v>admit wave</x:v>
      </x:c>
      <x:c r="I29" s="66" t="str">
        <x:v>BLOCKED</x:v>
      </x:c>
      <x:c r="J29" s="68" t="str">
        <x:v>BLOCKED</x:v>
      </x:c>
    </x:row>
    <x:row r="30" ht="35" customHeight="1">
      <x:c r="B30" s="65" t="str">
        <x:v>G24</x:v>
      </x:c>
      <x:c r="C30" s="66" t="str">
        <x:v>first wave admitted to start</x:v>
      </x:c>
      <x:c r="D30" s="66" t="str">
        <x:v>physical</x:v>
      </x:c>
      <x:c r="E30" s="66" t="n">
        <x:v>1</x:v>
      </x:c>
      <x:c r="F30" s="66" t="n">
        <x:f>IF(AND(G29="PASS",'Control Inputs'!D69=1),1,0)</x:f>
        <x:v>0</x:v>
      </x:c>
      <x:c r="G30" s="66" t="str">
        <x:f>IF(F30&gt;=E30,IF(D30="package","PLANNING PASS","PASS"),IF(D30="package","FAIL","OPEN"))</x:f>
        <x:v>OPEN</x:v>
      </x:c>
      <x:c r="H30" s="66" t="str">
        <x:v>execute loss</x:v>
      </x:c>
      <x:c r="I30" s="66" t="str">
        <x:v>BLOCKED</x:v>
      </x:c>
      <x:c r="J30" s="68" t="str">
        <x:v>BLOCKED</x:v>
      </x:c>
    </x:row>
    <x:row r="31" ht="35" customHeight="1">
      <x:c r="B31" s="65" t="str">
        <x:v>G25</x:v>
      </x:c>
      <x:c r="C31" s="66" t="str">
        <x:v>complete-campus-loss injection executed</x:v>
      </x:c>
      <x:c r="D31" s="66" t="str">
        <x:v>physical</x:v>
      </x:c>
      <x:c r="E31" s="66" t="n">
        <x:v>1</x:v>
      </x:c>
      <x:c r="F31" s="66" t="n">
        <x:f>IF(AND(G30="PASS",'Control Inputs'!D70=1),1,0)</x:f>
        <x:v>0</x:v>
      </x:c>
      <x:c r="G31" s="66" t="str">
        <x:f>IF(F31&gt;=E31,IF(D31="package","PLANNING PASS","PASS"),IF(D31="package","FAIL","OPEN"))</x:f>
        <x:v>OPEN</x:v>
      </x:c>
      <x:c r="H31" s="66" t="str">
        <x:v>observe conservation</x:v>
      </x:c>
      <x:c r="I31" s="66" t="str">
        <x:v>BLOCKED</x:v>
      </x:c>
      <x:c r="J31" s="68" t="str">
        <x:v>BLOCKED</x:v>
      </x:c>
    </x:row>
    <x:row r="32" ht="35" customHeight="1">
      <x:c r="B32" s="65" t="str">
        <x:v>G26</x:v>
      </x:c>
      <x:c r="C32" s="66" t="str">
        <x:v>observed conservation closes with zero unexplained</x:v>
      </x:c>
      <x:c r="D32" s="66" t="str">
        <x:v>physical</x:v>
      </x:c>
      <x:c r="E32" s="66" t="n">
        <x:v>1</x:v>
      </x:c>
      <x:c r="F32" s="66" t="n">
        <x:f>IF(AND(G31="PASS",'Control Inputs'!D71=1),1,0)</x:f>
        <x:v>0</x:v>
      </x:c>
      <x:c r="G32" s="66" t="str">
        <x:f>IF(F32&gt;=E32,IF(D32="package","PLANNING PASS","PASS"),IF(D32="package","FAIL","OPEN"))</x:f>
        <x:v>OPEN</x:v>
      </x:c>
      <x:c r="H32" s="66" t="str">
        <x:v>execute residual plan</x:v>
      </x:c>
      <x:c r="I32" s="66" t="str">
        <x:v>BLOCKED</x:v>
      </x:c>
      <x:c r="J32" s="68" t="str">
        <x:v>BLOCKED</x:v>
      </x:c>
    </x:row>
    <x:row r="33" ht="35" customHeight="1">
      <x:c r="B33" s="65" t="str">
        <x:v>G27</x:v>
      </x:c>
      <x:c r="C33" s="66" t="str">
        <x:v>residual schedule executed through contingency horizon</x:v>
      </x:c>
      <x:c r="D33" s="66" t="str">
        <x:v>physical</x:v>
      </x:c>
      <x:c r="E33" s="66" t="n">
        <x:v>1</x:v>
      </x:c>
      <x:c r="F33" s="66" t="n">
        <x:f>IF(AND(G32="PASS",'Control Inputs'!D72=1),1,0)</x:f>
        <x:v>0</x:v>
      </x:c>
      <x:c r="G33" s="66" t="str">
        <x:f>IF(F33&gt;=E33,IF(D33="package","PLANNING PASS","PASS"),IF(D33="package","FAIL","OPEN"))</x:f>
        <x:v>OPEN</x:v>
      </x:c>
      <x:c r="H33" s="66" t="str">
        <x:v>admit credits</x:v>
      </x:c>
      <x:c r="I33" s="66" t="str">
        <x:v>BLOCKED</x:v>
      </x:c>
      <x:c r="J33" s="68" t="str">
        <x:v>BLOCKED</x:v>
      </x:c>
    </x:row>
    <x:row r="34" ht="35" customHeight="1">
      <x:c r="B34" s="70" t="str">
        <x:v>G28</x:v>
      </x:c>
      <x:c r="C34" s="71" t="str">
        <x:v>eighteen closure and six damage credits admitted</x:v>
      </x:c>
      <x:c r="D34" s="71" t="str">
        <x:v>physical</x:v>
      </x:c>
      <x:c r="E34" s="71" t="n">
        <x:v>1</x:v>
      </x:c>
      <x:c r="F34" s="71" t="n">
        <x:f>IF(AND(G33="PASS",'Control Inputs'!D73='Control Inputs'!D10,'Control Inputs'!D74='Control Inputs'!D21),1,0)</x:f>
        <x:v>0</x:v>
      </x:c>
      <x:c r="G34" s="71" t="str">
        <x:f>IF(F34&gt;=E34,IF(D34="package","PLANNING PASS","PASS"),IF(D34="package","FAIL","OPEN"))</x:f>
        <x:v>OPEN</x:v>
      </x:c>
      <x:c r="H34" s="71" t="str">
        <x:v>root campaign</x:v>
      </x:c>
      <x:c r="I34" s="71" t="str">
        <x:v>BLOCKED</x:v>
      </x:c>
      <x:c r="J34" s="73" t="str">
        <x:v>BLOCKED</x:v>
      </x:c>
    </x:row>
    <x:row r="35">
      <x:c r="B35" s="54"/>
      <x:c r="C35" s="54"/>
      <x:c r="D35" s="54"/>
      <x:c r="E35" s="54"/>
      <x:c r="F35" s="54"/>
      <x:c r="G35" s="54"/>
      <x:c r="H35" s="54"/>
      <x:c r="I35" s="54"/>
      <x:c r="J35" s="54"/>
    </x:row>
    <x:row r="36">
      <x:c r="B36" s="54"/>
      <x:c r="C36" s="54"/>
      <x:c r="D36" s="54"/>
      <x:c r="E36" s="54"/>
      <x:c r="F36" s="54"/>
      <x:c r="G36" s="54"/>
      <x:c r="H36" s="54"/>
      <x:c r="I36" s="54"/>
      <x:c r="J36" s="54"/>
    </x:row>
    <x:row r="37">
      <x:c r="B37" s="57" t="str">
        <x:v>Derived present states</x:v>
      </x:c>
      <x:c r="C37" s="58" t="str">
        <x:v>Derived present states</x:v>
      </x:c>
      <x:c r="D37" s="58" t="str">
        <x:v>Derived present states</x:v>
      </x:c>
      <x:c r="E37" s="58" t="str">
        <x:v>Derived present states</x:v>
      </x:c>
      <x:c r="F37" s="58" t="str">
        <x:v>Derived present states</x:v>
      </x:c>
      <x:c r="G37" s="58" t="str">
        <x:v>Derived present states</x:v>
      </x:c>
      <x:c r="H37" s="58" t="str">
        <x:v>Derived present states</x:v>
      </x:c>
      <x:c r="I37" s="58" t="str">
        <x:v>Derived present states</x:v>
      </x:c>
      <x:c r="J37" s="59" t="str">
        <x:v>Derived present states</x:v>
      </x:c>
    </x:row>
    <x:row r="38">
      <x:c r="B38" s="54" t="str">
        <x:v>Planning package</x:v>
      </x:c>
      <x:c r="C38" s="54" t="str">
        <x:v>G01–G18</x:v>
      </x:c>
      <x:c r="D38" s="54" t="str">
        <x:f>IF(COUNTIF(G7:G24,"PLANNING PASS")=18,"AUTHORIZED","HOLD")</x:f>
        <x:v>AUTHORIZED</x:v>
      </x:c>
      <x:c r="E38" s="54"/>
      <x:c r="F38" s="54"/>
      <x:c r="G38" s="54"/>
      <x:c r="H38" s="54"/>
      <x:c r="I38" s="54"/>
      <x:c r="J38" s="54"/>
    </x:row>
    <x:row r="39">
      <x:c r="B39" s="54" t="str">
        <x:v>Rehearsal approval</x:v>
      </x:c>
      <x:c r="C39" s="54" t="str">
        <x:v>G19</x:v>
      </x:c>
      <x:c r="D39" s="54" t="str">
        <x:f>IF(G25="PASS","RELEASED","HOLD")</x:f>
        <x:v>HOLD</x:v>
      </x:c>
      <x:c r="E39" s="54"/>
      <x:c r="F39" s="54"/>
      <x:c r="G39" s="54"/>
      <x:c r="H39" s="54"/>
      <x:c r="I39" s="54"/>
      <x:c r="J39" s="54"/>
    </x:row>
    <x:row r="40">
      <x:c r="B40" s="54" t="str">
        <x:v>Named rosters</x:v>
      </x:c>
      <x:c r="C40" s="54" t="str">
        <x:v>G20</x:v>
      </x:c>
      <x:c r="D40" s="54" t="str">
        <x:f>IF(G26="PASS","RELEASED","HOLD")</x:f>
        <x:v>HOLD</x:v>
      </x:c>
      <x:c r="E40" s="54"/>
      <x:c r="F40" s="54"/>
      <x:c r="G40" s="54"/>
      <x:c r="H40" s="54"/>
      <x:c r="I40" s="54"/>
      <x:c r="J40" s="54"/>
    </x:row>
    <x:row r="41">
      <x:c r="B41" s="54" t="str">
        <x:v>Physical articles and lanes</x:v>
      </x:c>
      <x:c r="C41" s="54" t="str">
        <x:v>G21–G22</x:v>
      </x:c>
      <x:c r="D41" s="54" t="str">
        <x:f>IF(AND(G27="PASS",G28="PASS"),"RELEASED","HOLD")</x:f>
        <x:v>HOLD</x:v>
      </x:c>
      <x:c r="E41" s="54"/>
      <x:c r="F41" s="54"/>
      <x:c r="G41" s="54"/>
      <x:c r="H41" s="54"/>
      <x:c r="I41" s="54"/>
      <x:c r="J41" s="54"/>
    </x:row>
    <x:row r="42">
      <x:c r="B42" s="54" t="str">
        <x:v>Live seed and first-wave admission</x:v>
      </x:c>
      <x:c r="C42" s="54" t="str">
        <x:v>G23–G24</x:v>
      </x:c>
      <x:c r="D42" s="54" t="str">
        <x:f>IF(AND(G29="PASS",G30="PASS"),"ADMITTED","HOLD")</x:f>
        <x:v>HOLD</x:v>
      </x:c>
      <x:c r="E42" s="54"/>
      <x:c r="F42" s="54"/>
      <x:c r="G42" s="54"/>
      <x:c r="H42" s="54"/>
      <x:c r="I42" s="54"/>
      <x:c r="J42" s="54"/>
    </x:row>
    <x:row r="43">
      <x:c r="B43" s="54" t="str">
        <x:v>Loss and conservation</x:v>
      </x:c>
      <x:c r="C43" s="54" t="str">
        <x:v>G25–G26</x:v>
      </x:c>
      <x:c r="D43" s="54" t="str">
        <x:f>IF(AND(G31="PASS",G32="PASS"),"PASS","HOLD")</x:f>
        <x:v>HOLD</x:v>
      </x:c>
      <x:c r="E43" s="54"/>
      <x:c r="F43" s="54"/>
      <x:c r="G43" s="54"/>
      <x:c r="H43" s="54"/>
      <x:c r="I43" s="54"/>
      <x:c r="J43" s="54"/>
    </x:row>
    <x:row r="44">
      <x:c r="B44" s="54" t="str">
        <x:v>Residual execution</x:v>
      </x:c>
      <x:c r="C44" s="54" t="str">
        <x:v>G27</x:v>
      </x:c>
      <x:c r="D44" s="54" t="str">
        <x:f>IF(G33="PASS","PASS","HOLD")</x:f>
        <x:v>HOLD</x:v>
      </x:c>
      <x:c r="E44" s="54"/>
      <x:c r="F44" s="54"/>
      <x:c r="G44" s="54"/>
      <x:c r="H44" s="54"/>
      <x:c r="I44" s="54"/>
      <x:c r="J44" s="54"/>
    </x:row>
    <x:row r="45">
      <x:c r="B45" s="54" t="str">
        <x:v>Terminal wave credits</x:v>
      </x:c>
      <x:c r="C45" s="54" t="str">
        <x:v>G28</x:v>
      </x:c>
      <x:c r="D45" s="54" t="str">
        <x:f>IF(G34="PASS","ADMITTED","HOLD")</x:f>
        <x:v>HOLD</x:v>
      </x:c>
      <x:c r="E45" s="54"/>
      <x:c r="F45" s="54"/>
      <x:c r="G45" s="54"/>
      <x:c r="H45" s="54"/>
      <x:c r="I45" s="54"/>
      <x:c r="J45" s="54"/>
    </x:row>
    <x:row r="46">
      <x:c r="B46" s="54" t="str">
        <x:v>Production/form and rendering</x:v>
      </x:c>
      <x:c r="C46" s="54" t="str">
        <x:v>parent F36 chain</x:v>
      </x:c>
      <x:c r="D46" s="54" t="str">
        <x:f>IF(AND('Control Inputs'!D75=1,'Control Inputs'!D76=1),"AUTHORIZED","BLOCKED")</x:f>
        <x:v>BLOCKED</x:v>
      </x:c>
      <x:c r="E46" s="54"/>
      <x:c r="F46" s="54"/>
      <x:c r="G46" s="54"/>
      <x:c r="H46" s="54"/>
      <x:c r="I46" s="54"/>
      <x:c r="J46" s="54"/>
    </x:row>
  </x:sheetData>
  <x:mergeCells>
    <x:mergeCell ref="B3:J3"/>
    <x:mergeCell ref="B37:J37"/>
  </x:mergeCells>
  <x:conditionalFormatting sqref="G7:J34">
    <x:cfRule type="containsText" dxfId="192" priority="1" operator="containsText" text="FAIL"/>
    <x:cfRule type="containsText" dxfId="193" priority="2" operator="containsText" text="BLOCKED"/>
    <x:cfRule type="containsText" dxfId="194" priority="3" operator="containsText" text="HOLD"/>
    <x:cfRule type="containsText" dxfId="195" priority="4" operator="containsText" text="OPEN"/>
    <x:cfRule type="containsText" dxfId="196" priority="5" operator="containsText" text="RANGE-INVALID"/>
    <x:cfRule type="containsText" dxfId="197" priority="6" operator="containsText" text="INDETERMINATE"/>
    <x:cfRule type="containsText" dxfId="198" priority="7" operator="containsText" text="PASS"/>
    <x:cfRule type="containsText" dxfId="199" priority="8" operator="containsText" text="AUTHORIZED"/>
    <x:cfRule type="containsText" dxfId="200" priority="9" operator="containsText" text="RELEASED"/>
    <x:cfRule type="containsText" dxfId="201" priority="10" operator="containsText" text="ADMITTED"/>
    <x:cfRule type="containsText" dxfId="202" priority="11" operator="containsText" text="MODELED CREDIT"/>
    <x:cfRule type="containsText" dxfId="203" priority="12" operator="containsText" text="PLANNING COMPLETE"/>
    <x:cfRule type="containsText" dxfId="396" priority="25" operator="containsText" text="FAIL"/>
    <x:cfRule type="containsText" dxfId="397" priority="26" operator="containsText" text="BLOCKED"/>
    <x:cfRule type="containsText" dxfId="398" priority="27" operator="containsText" text="HOLD"/>
    <x:cfRule type="containsText" dxfId="399" priority="28" operator="containsText" text="OPEN"/>
    <x:cfRule type="containsText" dxfId="400" priority="29" operator="containsText" text="RANGE-INVALID"/>
    <x:cfRule type="containsText" dxfId="401" priority="30" operator="containsText" text="INDETERMINATE"/>
    <x:cfRule type="containsText" dxfId="402" priority="31" operator="containsText" text="PASS"/>
    <x:cfRule type="containsText" dxfId="403" priority="32" operator="containsText" text="AUTHORIZED"/>
    <x:cfRule type="containsText" dxfId="404" priority="33" operator="containsText" text="RELEASED"/>
    <x:cfRule type="containsText" dxfId="405" priority="34" operator="containsText" text="ADMITTED"/>
    <x:cfRule type="containsText" dxfId="406" priority="35" operator="containsText" text="MODELED CREDIT"/>
    <x:cfRule type="containsText" dxfId="407" priority="36" operator="containsText" text="PLANNING COMPLETE"/>
  </x:conditionalFormatting>
  <x:conditionalFormatting sqref="D38:D46">
    <x:cfRule type="containsText" dxfId="204" priority="13" operator="containsText" text="FAIL"/>
    <x:cfRule type="containsText" dxfId="205" priority="14" operator="containsText" text="BLOCKED"/>
    <x:cfRule type="containsText" dxfId="206" priority="15" operator="containsText" text="HOLD"/>
    <x:cfRule type="containsText" dxfId="207" priority="16" operator="containsText" text="OPEN"/>
    <x:cfRule type="containsText" dxfId="208" priority="17" operator="containsText" text="RANGE-INVALID"/>
    <x:cfRule type="containsText" dxfId="209" priority="18" operator="containsText" text="INDETERMINATE"/>
    <x:cfRule type="containsText" dxfId="210" priority="19" operator="containsText" text="PASS"/>
    <x:cfRule type="containsText" dxfId="211" priority="20" operator="containsText" text="AUTHORIZED"/>
    <x:cfRule type="containsText" dxfId="212" priority="21" operator="containsText" text="RELEASED"/>
    <x:cfRule type="containsText" dxfId="213" priority="22" operator="containsText" text="ADMITTED"/>
    <x:cfRule type="containsText" dxfId="214" priority="23" operator="containsText" text="MODELED CREDIT"/>
    <x:cfRule type="containsText" dxfId="215" priority="24" operator="containsText" text="PLANNING COMPLETE"/>
    <x:cfRule type="containsText" dxfId="408" priority="37" operator="containsText" text="FAIL"/>
    <x:cfRule type="containsText" dxfId="409" priority="38" operator="containsText" text="BLOCKED"/>
    <x:cfRule type="containsText" dxfId="410" priority="39" operator="containsText" text="HOLD"/>
    <x:cfRule type="containsText" dxfId="411" priority="40" operator="containsText" text="OPEN"/>
    <x:cfRule type="containsText" dxfId="412" priority="41" operator="containsText" text="RANGE-INVALID"/>
    <x:cfRule type="containsText" dxfId="413" priority="42" operator="containsText" text="INDETERMINATE"/>
    <x:cfRule type="containsText" dxfId="414" priority="43" operator="containsText" text="PASS"/>
    <x:cfRule type="containsText" dxfId="415" priority="44" operator="containsText" text="AUTHORIZED"/>
    <x:cfRule type="containsText" dxfId="416" priority="45" operator="containsText" text="RELEASED"/>
    <x:cfRule type="containsText" dxfId="417" priority="46" operator="containsText" text="ADMITTED"/>
    <x:cfRule type="containsText" dxfId="418" priority="47" operator="containsText" text="MODELED CREDIT"/>
    <x:cfRule type="containsText" dxfId="419" priority="48" operator="containsText" text="PLANNING COMPLETE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7F8C8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1" hidden="0" customWidth="1"/>
    <x:col min="3" max="3" width="47" hidden="0" customWidth="1"/>
    <x:col min="4" max="4" width="22" hidden="0" customWidth="1"/>
    <x:col min="5" max="5" width="22" hidden="0" customWidth="1"/>
    <x:col min="6" max="6" width="22" hidden="0" customWidth="1"/>
    <x:col min="7" max="7" width="15" hidden="0" customWidth="1"/>
    <x:col min="8" max="8" width="40" hidden="0" customWidth="1"/>
  </x:cols>
  <x:sheetData>
    <x:row r="2">
      <x:c r="B2" s="1" t="str">
        <x:v>Independent terminal audit</x:v>
      </x:c>
      <x:c r="C2" s="54"/>
      <x:c r="D2" s="54"/>
      <x:c r="E2" s="54"/>
      <x:c r="F2" s="54"/>
      <x:c r="G2" s="54"/>
      <x:c r="H2" s="54"/>
    </x:row>
    <x:row r="3">
      <x:c r="B3" s="2" t="str">
        <x:v>This sheet observes the workbook and feeds no token, capacity, schedule, financial or release calculation.</x:v>
      </x:c>
      <x:c r="C3" s="54"/>
      <x:c r="D3" s="54"/>
      <x:c r="E3" s="54"/>
      <x:c r="F3" s="54"/>
      <x:c r="G3" s="54"/>
      <x:c r="H3" s="54"/>
    </x:row>
    <x:row r="4">
      <x:c r="B4" s="56"/>
      <x:c r="C4" s="56"/>
      <x:c r="D4" s="56"/>
      <x:c r="E4" s="56"/>
      <x:c r="F4" s="56"/>
      <x:c r="G4" s="56"/>
      <x:c r="H4" s="56"/>
    </x:row>
    <x:row r="5">
      <x:c r="B5" s="54"/>
      <x:c r="C5" s="54"/>
      <x:c r="D5" s="54"/>
      <x:c r="E5" s="54"/>
      <x:c r="F5" s="54"/>
      <x:c r="G5" s="54"/>
      <x:c r="H5" s="54"/>
    </x:row>
    <x:row r="6">
      <x:c r="B6" s="15" t="str">
        <x:v>Check</x:v>
      </x:c>
      <x:c r="C6" s="16" t="str">
        <x:v>Control</x:v>
      </x:c>
      <x:c r="D6" s="16" t="str">
        <x:v>Actual</x:v>
      </x:c>
      <x:c r="E6" s="16" t="str">
        <x:v>Expected</x:v>
      </x:c>
      <x:c r="F6" s="16" t="str">
        <x:v>Difference</x:v>
      </x:c>
      <x:c r="G6" s="16" t="str">
        <x:v>Result</x:v>
      </x:c>
      <x:c r="H6" s="16" t="str">
        <x:v>Notes</x:v>
      </x:c>
    </x:row>
    <x:row r="7" ht="27" customHeight="1">
      <x:c r="B7" s="65" t="str">
        <x:v>AU01</x:v>
      </x:c>
      <x:c r="C7" s="66" t="str">
        <x:v>Input count</x:v>
      </x:c>
      <x:c r="D7" s="82" t="n">
        <x:f>COUNTA('Control Inputs'!B7:B83)</x:f>
        <x:v>77</x:v>
      </x:c>
      <x:c r="E7" s="82" t="n">
        <x:v>77</x:v>
      </x:c>
      <x:c r="F7" s="82" t="n">
        <x:f>D7-E7</x:f>
        <x:v>0</x:v>
      </x:c>
      <x:c r="G7" s="66" t="str">
        <x:f>IF(ABS(F7)&lt;0.001,"PASS","FAIL")</x:f>
        <x:v>PASS</x:v>
      </x:c>
      <x:c r="H7" s="68" t="str"/>
    </x:row>
    <x:row r="8" ht="27" customHeight="1">
      <x:c r="B8" s="65" t="str">
        <x:v>AU02</x:v>
      </x:c>
      <x:c r="C8" s="66" t="str">
        <x:v>Token count</x:v>
      </x:c>
      <x:c r="D8" s="82" t="n">
        <x:f>COUNTA('Token Ledger'!B7:B40)</x:f>
        <x:v>34</x:v>
      </x:c>
      <x:c r="E8" s="82" t="n">
        <x:v>34</x:v>
      </x:c>
      <x:c r="F8" s="82" t="n">
        <x:f>D8-E8</x:f>
        <x:v>0</x:v>
      </x:c>
      <x:c r="G8" s="66" t="str">
        <x:f>IF(ABS(F8)&lt;0.001,"PASS","FAIL")</x:f>
        <x:v>PASS</x:v>
      </x:c>
      <x:c r="H8" s="68" t="str"/>
    </x:row>
    <x:row r="9" ht="27" customHeight="1">
      <x:c r="B9" s="65" t="str">
        <x:v>AU03</x:v>
      </x:c>
      <x:c r="C9" s="66" t="str">
        <x:v>Closure reserved tokens</x:v>
      </x:c>
      <x:c r="D9" s="82" t="n">
        <x:f>COUNTIF('Token Ledger'!C7:C40,"Closure")</x:f>
        <x:v>24</x:v>
      </x:c>
      <x:c r="E9" s="82" t="n">
        <x:v>24</x:v>
      </x:c>
      <x:c r="F9" s="82" t="n">
        <x:f>D9-E9</x:f>
        <x:v>0</x:v>
      </x:c>
      <x:c r="G9" s="66" t="str">
        <x:f>IF(ABS(F9)&lt;0.001,"PASS","FAIL")</x:f>
        <x:v>PASS</x:v>
      </x:c>
      <x:c r="H9" s="68" t="str"/>
    </x:row>
    <x:row r="10" ht="27" customHeight="1">
      <x:c r="B10" s="65" t="str">
        <x:v>AU04</x:v>
      </x:c>
      <x:c r="C10" s="66" t="str">
        <x:v>Damage reserved tokens</x:v>
      </x:c>
      <x:c r="D10" s="82" t="n">
        <x:f>COUNTIF('Token Ledger'!C7:C40,"Damage")</x:f>
        <x:v>10</x:v>
      </x:c>
      <x:c r="E10" s="82" t="n">
        <x:v>10</x:v>
      </x:c>
      <x:c r="F10" s="82" t="n">
        <x:f>D10-E10</x:f>
        <x:v>0</x:v>
      </x:c>
      <x:c r="G10" s="66" t="str">
        <x:f>IF(ABS(F10)&lt;0.001,"PASS","FAIL")</x:f>
        <x:v>PASS</x:v>
      </x:c>
      <x:c r="H10" s="68" t="str"/>
    </x:row>
    <x:row r="11" ht="27" customHeight="1">
      <x:c r="B11" s="65" t="str">
        <x:v>AU05</x:v>
      </x:c>
      <x:c r="C11" s="66" t="str">
        <x:v>Closure primaries</x:v>
      </x:c>
      <x:c r="D11" s="82" t="n">
        <x:f>COUNTIFS('Token Ledger'!C7:C40,"Closure",'Token Ledger'!D7:D40,"PRIMARY")</x:f>
        <x:v>18</x:v>
      </x:c>
      <x:c r="E11" s="82" t="n">
        <x:v>18</x:v>
      </x:c>
      <x:c r="F11" s="82" t="n">
        <x:f>D11-E11</x:f>
        <x:v>0</x:v>
      </x:c>
      <x:c r="G11" s="66" t="str">
        <x:f>IF(ABS(F11)&lt;0.001,"PASS","FAIL")</x:f>
        <x:v>PASS</x:v>
      </x:c>
      <x:c r="H11" s="68" t="str"/>
    </x:row>
    <x:row r="12" ht="27" customHeight="1">
      <x:c r="B12" s="65" t="str">
        <x:v>AU06</x:v>
      </x:c>
      <x:c r="C12" s="66" t="str">
        <x:v>Damage primaries</x:v>
      </x:c>
      <x:c r="D12" s="82" t="n">
        <x:f>COUNTIFS('Token Ledger'!C7:C40,"Damage",'Token Ledger'!D7:D40,"PRIMARY")</x:f>
        <x:v>6</x:v>
      </x:c>
      <x:c r="E12" s="82" t="n">
        <x:v>6</x:v>
      </x:c>
      <x:c r="F12" s="82" t="n">
        <x:f>D12-E12</x:f>
        <x:v>0</x:v>
      </x:c>
      <x:c r="G12" s="66" t="str">
        <x:f>IF(ABS(F12)&lt;0.001,"PASS","FAIL")</x:f>
        <x:v>PASS</x:v>
      </x:c>
      <x:c r="H12" s="68" t="str"/>
    </x:row>
    <x:row r="13" ht="27" customHeight="1">
      <x:c r="B13" s="65" t="str">
        <x:v>AU07</x:v>
      </x:c>
      <x:c r="C13" s="66" t="str">
        <x:v>Activated closure attempts</x:v>
      </x:c>
      <x:c r="D13" s="82" t="n">
        <x:f>COUNTIFS('Token Ledger'!C7:C40,"Closure",'Token Ledger'!N7:N40,1)</x:f>
        <x:v>20</x:v>
      </x:c>
      <x:c r="E13" s="82" t="n">
        <x:v>20</x:v>
      </x:c>
      <x:c r="F13" s="82" t="n">
        <x:f>D13-E13</x:f>
        <x:v>0</x:v>
      </x:c>
      <x:c r="G13" s="66" t="str">
        <x:f>IF(ABS(F13)&lt;0.001,"PASS","FAIL")</x:f>
        <x:v>PASS</x:v>
      </x:c>
      <x:c r="H13" s="68" t="str"/>
    </x:row>
    <x:row r="14" ht="27" customHeight="1">
      <x:c r="B14" s="65" t="str">
        <x:v>AU08</x:v>
      </x:c>
      <x:c r="C14" s="66" t="str">
        <x:v>Activated damage attempts</x:v>
      </x:c>
      <x:c r="D14" s="82" t="n">
        <x:f>COUNTIFS('Token Ledger'!C7:C40,"Damage",'Token Ledger'!N7:N40,1)</x:f>
        <x:v>8</x:v>
      </x:c>
      <x:c r="E14" s="82" t="n">
        <x:v>8</x:v>
      </x:c>
      <x:c r="F14" s="82" t="n">
        <x:f>D14-E14</x:f>
        <x:v>0</x:v>
      </x:c>
      <x:c r="G14" s="66" t="str">
        <x:f>IF(ABS(F14)&lt;0.001,"PASS","FAIL")</x:f>
        <x:v>PASS</x:v>
      </x:c>
      <x:c r="H14" s="68" t="str"/>
    </x:row>
    <x:row r="15" ht="27" customHeight="1">
      <x:c r="B15" s="65" t="str">
        <x:v>AU09</x:v>
      </x:c>
      <x:c r="C15" s="66" t="str">
        <x:v>Interrupted closure tokens</x:v>
      </x:c>
      <x:c r="D15" s="82" t="n">
        <x:f>COUNTIFS('Token Ledger'!C7:C40,"Closure",'Token Ledger'!O7:O40,"ACTIVE_INTERRUPTED")</x:f>
        <x:v>2</x:v>
      </x:c>
      <x:c r="E15" s="82" t="n">
        <x:v>2</x:v>
      </x:c>
      <x:c r="F15" s="82" t="n">
        <x:f>D15-E15</x:f>
        <x:v>0</x:v>
      </x:c>
      <x:c r="G15" s="66" t="str">
        <x:f>IF(ABS(F15)&lt;0.001,"PASS","FAIL")</x:f>
        <x:v>PASS</x:v>
      </x:c>
      <x:c r="H15" s="68" t="str"/>
    </x:row>
    <x:row r="16" ht="27" customHeight="1">
      <x:c r="B16" s="65" t="str">
        <x:v>AU10</x:v>
      </x:c>
      <x:c r="C16" s="66" t="str">
        <x:v>Interrupted damage tokens</x:v>
      </x:c>
      <x:c r="D16" s="82" t="n">
        <x:f>COUNTIFS('Token Ledger'!C7:C40,"Damage",'Token Ledger'!O7:O40,"ACTIVE_INTERRUPTED")</x:f>
        <x:v>2</x:v>
      </x:c>
      <x:c r="E16" s="82" t="n">
        <x:v>2</x:v>
      </x:c>
      <x:c r="F16" s="82" t="n">
        <x:f>D16-E16</x:f>
        <x:v>0</x:v>
      </x:c>
      <x:c r="G16" s="66" t="str">
        <x:f>IF(ABS(F16)&lt;0.001,"PASS","FAIL")</x:f>
        <x:v>PASS</x:v>
      </x:c>
      <x:c r="H16" s="68" t="str"/>
    </x:row>
    <x:row r="17" ht="27" customHeight="1">
      <x:c r="B17" s="65" t="str">
        <x:v>AU11</x:v>
      </x:c>
      <x:c r="C17" s="66" t="str">
        <x:v>Outside-only packet</x:v>
      </x:c>
      <x:c r="D17" s="82" t="n">
        <x:f>COUNTIF('Token Ledger'!O7:O40,"REMOTE_PACKET")</x:f>
        <x:v>1</x:v>
      </x:c>
      <x:c r="E17" s="82" t="n">
        <x:v>1</x:v>
      </x:c>
      <x:c r="F17" s="82" t="n">
        <x:f>D17-E17</x:f>
        <x:v>0</x:v>
      </x:c>
      <x:c r="G17" s="66" t="str">
        <x:f>IF(ABS(F17)&lt;0.001,"PASS","FAIL")</x:f>
        <x:v>PASS</x:v>
      </x:c>
      <x:c r="H17" s="68" t="str"/>
    </x:row>
    <x:row r="18" ht="27" customHeight="1">
      <x:c r="B18" s="65" t="str">
        <x:v>AU12</x:v>
      </x:c>
      <x:c r="C18" s="66" t="str">
        <x:v>Modeled closure credits</x:v>
      </x:c>
      <x:c r="D18" s="82" t="n">
        <x:f>SUMIFS('Token Ledger'!Q7:Q40,'Token Ledger'!C7:C40,"Closure")</x:f>
        <x:v>18</x:v>
      </x:c>
      <x:c r="E18" s="82" t="n">
        <x:v>18</x:v>
      </x:c>
      <x:c r="F18" s="82" t="n">
        <x:f>D18-E18</x:f>
        <x:v>0</x:v>
      </x:c>
      <x:c r="G18" s="66" t="str">
        <x:f>IF(ABS(F18)&lt;0.001,"PASS","FAIL")</x:f>
        <x:v>PASS</x:v>
      </x:c>
      <x:c r="H18" s="68" t="str"/>
    </x:row>
    <x:row r="19" ht="27" customHeight="1">
      <x:c r="B19" s="65" t="str">
        <x:v>AU13</x:v>
      </x:c>
      <x:c r="C19" s="66" t="str">
        <x:v>Modeled damage credits</x:v>
      </x:c>
      <x:c r="D19" s="82" t="n">
        <x:f>SUMIFS('Token Ledger'!Q7:Q40,'Token Ledger'!C7:C40,"Damage")</x:f>
        <x:v>6</x:v>
      </x:c>
      <x:c r="E19" s="82" t="n">
        <x:v>6</x:v>
      </x:c>
      <x:c r="F19" s="82" t="n">
        <x:f>D19-E19</x:f>
        <x:v>0</x:v>
      </x:c>
      <x:c r="G19" s="66" t="str">
        <x:f>IF(ABS(F19)&lt;0.001,"PASS","FAIL")</x:f>
        <x:v>PASS</x:v>
      </x:c>
      <x:c r="H19" s="68" t="str"/>
    </x:row>
    <x:row r="20" ht="27" customHeight="1">
      <x:c r="B20" s="65" t="str">
        <x:v>AU14</x:v>
      </x:c>
      <x:c r="C20" s="66" t="str">
        <x:v>R1 closure credits</x:v>
      </x:c>
      <x:c r="D20" s="82" t="n">
        <x:f>'Event Mix'!F7</x:f>
        <x:v>6</x:v>
      </x:c>
      <x:c r="E20" s="82" t="n">
        <x:v>6</x:v>
      </x:c>
      <x:c r="F20" s="82" t="n">
        <x:f>D20-E20</x:f>
        <x:v>0</x:v>
      </x:c>
      <x:c r="G20" s="66" t="str">
        <x:f>IF(ABS(F20)&lt;0.001,"PASS","FAIL")</x:f>
        <x:v>PASS</x:v>
      </x:c>
      <x:c r="H20" s="68" t="str"/>
    </x:row>
    <x:row r="21" ht="27" customHeight="1">
      <x:c r="B21" s="65" t="str">
        <x:v>AU15</x:v>
      </x:c>
      <x:c r="C21" s="66" t="str">
        <x:v>R2 closure credits</x:v>
      </x:c>
      <x:c r="D21" s="82" t="n">
        <x:f>'Event Mix'!F8</x:f>
        <x:v>6</x:v>
      </x:c>
      <x:c r="E21" s="82" t="n">
        <x:v>6</x:v>
      </x:c>
      <x:c r="F21" s="82" t="n">
        <x:f>D21-E21</x:f>
        <x:v>0</x:v>
      </x:c>
      <x:c r="G21" s="66" t="str">
        <x:f>IF(ABS(F21)&lt;0.001,"PASS","FAIL")</x:f>
        <x:v>PASS</x:v>
      </x:c>
      <x:c r="H21" s="68" t="str"/>
    </x:row>
    <x:row r="22" ht="27" customHeight="1">
      <x:c r="B22" s="65" t="str">
        <x:v>AU16</x:v>
      </x:c>
      <x:c r="C22" s="66" t="str">
        <x:v>R3 closure credits</x:v>
      </x:c>
      <x:c r="D22" s="82" t="n">
        <x:f>'Event Mix'!F9</x:f>
        <x:v>6</x:v>
      </x:c>
      <x:c r="E22" s="82" t="n">
        <x:v>6</x:v>
      </x:c>
      <x:c r="F22" s="82" t="n">
        <x:f>D22-E22</x:f>
        <x:v>0</x:v>
      </x:c>
      <x:c r="G22" s="66" t="str">
        <x:f>IF(ABS(F22)&lt;0.001,"PASS","FAIL")</x:f>
        <x:v>PASS</x:v>
      </x:c>
      <x:c r="H22" s="68" t="str"/>
    </x:row>
    <x:row r="23" ht="27" customHeight="1">
      <x:c r="B23" s="65" t="str">
        <x:v>AU17</x:v>
      </x:c>
      <x:c r="C23" s="66" t="str">
        <x:v>R1 damage credits</x:v>
      </x:c>
      <x:c r="D23" s="82" t="n">
        <x:f>'Event Mix'!I7</x:f>
        <x:v>2</x:v>
      </x:c>
      <x:c r="E23" s="82" t="n">
        <x:v>2</x:v>
      </x:c>
      <x:c r="F23" s="82" t="n">
        <x:f>D23-E23</x:f>
        <x:v>0</x:v>
      </x:c>
      <x:c r="G23" s="66" t="str">
        <x:f>IF(ABS(F23)&lt;0.001,"PASS","FAIL")</x:f>
        <x:v>PASS</x:v>
      </x:c>
      <x:c r="H23" s="68" t="str"/>
    </x:row>
    <x:row r="24" ht="27" customHeight="1">
      <x:c r="B24" s="65" t="str">
        <x:v>AU18</x:v>
      </x:c>
      <x:c r="C24" s="66" t="str">
        <x:v>R2 damage credits</x:v>
      </x:c>
      <x:c r="D24" s="82" t="n">
        <x:f>'Event Mix'!I8</x:f>
        <x:v>2</x:v>
      </x:c>
      <x:c r="E24" s="82" t="n">
        <x:v>2</x:v>
      </x:c>
      <x:c r="F24" s="82" t="n">
        <x:f>D24-E24</x:f>
        <x:v>0</x:v>
      </x:c>
      <x:c r="G24" s="66" t="str">
        <x:f>IF(ABS(F24)&lt;0.001,"PASS","FAIL")</x:f>
        <x:v>PASS</x:v>
      </x:c>
      <x:c r="H24" s="68" t="str"/>
    </x:row>
    <x:row r="25" ht="27" customHeight="1">
      <x:c r="B25" s="65" t="str">
        <x:v>AU19</x:v>
      </x:c>
      <x:c r="C25" s="66" t="str">
        <x:v>R3 damage credits</x:v>
      </x:c>
      <x:c r="D25" s="82" t="n">
        <x:f>'Event Mix'!I9</x:f>
        <x:v>2</x:v>
      </x:c>
      <x:c r="E25" s="82" t="n">
        <x:v>2</x:v>
      </x:c>
      <x:c r="F25" s="82" t="n">
        <x:f>D25-E25</x:f>
        <x:v>0</x:v>
      </x:c>
      <x:c r="G25" s="66" t="str">
        <x:f>IF(ABS(F25)&lt;0.001,"PASS","FAIL")</x:f>
        <x:v>PASS</x:v>
      </x:c>
      <x:c r="H25" s="68" t="str"/>
    </x:row>
    <x:row r="26" ht="27" customHeight="1">
      <x:c r="B26" s="65" t="str">
        <x:v>AU20</x:v>
      </x:c>
      <x:c r="C26" s="66" t="str">
        <x:v>Closure P90 slots</x:v>
      </x:c>
      <x:c r="D26" s="82" t="n">
        <x:f>Demand!J7</x:f>
        <x:v>24</x:v>
      </x:c>
      <x:c r="E26" s="82" t="n">
        <x:v>24</x:v>
      </x:c>
      <x:c r="F26" s="82" t="n">
        <x:f>D26-E26</x:f>
        <x:v>0</x:v>
      </x:c>
      <x:c r="G26" s="66" t="str">
        <x:f>IF(ABS(F26)&lt;0.001,"PASS","FAIL")</x:f>
        <x:v>PASS</x:v>
      </x:c>
      <x:c r="H26" s="68" t="str"/>
    </x:row>
    <x:row r="27" ht="27" customHeight="1">
      <x:c r="B27" s="65" t="str">
        <x:v>AU21</x:v>
      </x:c>
      <x:c r="C27" s="66" t="str">
        <x:v>Damage P90 slots</x:v>
      </x:c>
      <x:c r="D27" s="82" t="n">
        <x:f>Demand!J8</x:f>
        <x:v>10</x:v>
      </x:c>
      <x:c r="E27" s="82" t="n">
        <x:v>10</x:v>
      </x:c>
      <x:c r="F27" s="82" t="n">
        <x:f>D27-E27</x:f>
        <x:v>0</x:v>
      </x:c>
      <x:c r="G27" s="66" t="str">
        <x:f>IF(ABS(F27)&lt;0.001,"PASS","FAIL")</x:f>
        <x:v>PASS</x:v>
      </x:c>
      <x:c r="H27" s="68" t="str"/>
    </x:row>
    <x:row r="28" ht="27" customHeight="1">
      <x:c r="B28" s="65" t="str">
        <x:v>AU22</x:v>
      </x:c>
      <x:c r="C28" s="66" t="str">
        <x:v>Closure station-days</x:v>
      </x:c>
      <x:c r="D28" s="82" t="n">
        <x:f>Demand!K7</x:f>
        <x:v>192</x:v>
      </x:c>
      <x:c r="E28" s="82" t="n">
        <x:v>192</x:v>
      </x:c>
      <x:c r="F28" s="82" t="n">
        <x:f>D28-E28</x:f>
        <x:v>0</x:v>
      </x:c>
      <x:c r="G28" s="66" t="str">
        <x:f>IF(ABS(F28)&lt;0.001,"PASS","FAIL")</x:f>
        <x:v>PASS</x:v>
      </x:c>
      <x:c r="H28" s="68" t="str"/>
    </x:row>
    <x:row r="29" ht="27" customHeight="1">
      <x:c r="B29" s="65" t="str">
        <x:v>AU23</x:v>
      </x:c>
      <x:c r="C29" s="66" t="str">
        <x:v>Damage station-days</x:v>
      </x:c>
      <x:c r="D29" s="82" t="n">
        <x:f>Demand!K8</x:f>
        <x:v>140</x:v>
      </x:c>
      <x:c r="E29" s="82" t="n">
        <x:v>140</x:v>
      </x:c>
      <x:c r="F29" s="82" t="n">
        <x:f>D29-E29</x:f>
        <x:v>0</x:v>
      </x:c>
      <x:c r="G29" s="66" t="str">
        <x:f>IF(ABS(F29)&lt;0.001,"PASS","FAIL")</x:f>
        <x:v>PASS</x:v>
      </x:c>
      <x:c r="H29" s="68" t="str"/>
    </x:row>
    <x:row r="30" ht="27" customHeight="1">
      <x:c r="B30" s="65" t="str">
        <x:v>AU24</x:v>
      </x:c>
      <x:c r="C30" s="66" t="str">
        <x:v>Closure productive capacity</x:v>
      </x:c>
      <x:c r="D30" s="82" t="n">
        <x:f>'Support Loads'!G7</x:f>
        <x:v>295.12</x:v>
      </x:c>
      <x:c r="E30" s="82" t="n">
        <x:v>295.12</x:v>
      </x:c>
      <x:c r="F30" s="82" t="n">
        <x:f>D30-E30</x:f>
        <x:v>0</x:v>
      </x:c>
      <x:c r="G30" s="66" t="str">
        <x:f>IF(ABS(F30)&lt;0.001,"PASS","FAIL")</x:f>
        <x:v>PASS</x:v>
      </x:c>
      <x:c r="H30" s="68" t="str"/>
    </x:row>
    <x:row r="31" ht="27" customHeight="1">
      <x:c r="B31" s="65" t="str">
        <x:v>AU25</x:v>
      </x:c>
      <x:c r="C31" s="66" t="str">
        <x:v>Closure residual utilization</x:v>
      </x:c>
      <x:c r="D31" s="82" t="n">
        <x:f>'Support Loads'!H7</x:f>
        <x:v>0.6505828137706695</x:v>
      </x:c>
      <x:c r="E31" s="82" t="n">
        <x:v>0.6505828131</x:v>
      </x:c>
      <x:c r="F31" s="82" t="n">
        <x:f>D31-E31</x:f>
        <x:v>6.706695199198975e-10</x:v>
      </x:c>
      <x:c r="G31" s="66" t="str">
        <x:f>IF(ABS(F31)&lt;0.001,"PASS","FAIL")</x:f>
        <x:v>PASS</x:v>
      </x:c>
      <x:c r="H31" s="68" t="str"/>
    </x:row>
    <x:row r="32" ht="27" customHeight="1">
      <x:c r="B32" s="65" t="str">
        <x:v>AU26</x:v>
      </x:c>
      <x:c r="C32" s="66" t="str">
        <x:v>Damage productive capacity</x:v>
      </x:c>
      <x:c r="D32" s="82" t="n">
        <x:f>'Support Loads'!G8</x:f>
        <x:v>227.5</x:v>
      </x:c>
      <x:c r="E32" s="82" t="n">
        <x:v>227.5</x:v>
      </x:c>
      <x:c r="F32" s="82" t="n">
        <x:f>D32-E32</x:f>
        <x:v>0</x:v>
      </x:c>
      <x:c r="G32" s="66" t="str">
        <x:f>IF(ABS(F32)&lt;0.001,"PASS","FAIL")</x:f>
        <x:v>PASS</x:v>
      </x:c>
      <x:c r="H32" s="68" t="str"/>
    </x:row>
    <x:row r="33" ht="27" customHeight="1">
      <x:c r="B33" s="65" t="str">
        <x:v>AU27</x:v>
      </x:c>
      <x:c r="C33" s="66" t="str">
        <x:v>Damage residual utilization</x:v>
      </x:c>
      <x:c r="D33" s="82" t="n">
        <x:f>'Support Loads'!H8</x:f>
        <x:v>0.6153846153846154</x:v>
      </x:c>
      <x:c r="E33" s="82" t="n">
        <x:v>0.6153846154</x:v>
      </x:c>
      <x:c r="F33" s="82" t="n">
        <x:f>D33-E33</x:f>
        <x:v>-1.538458249683572e-11</x:v>
      </x:c>
      <x:c r="G33" s="66" t="str">
        <x:f>IF(ABS(F33)&lt;0.001,"PASS","FAIL")</x:f>
        <x:v>PASS</x:v>
      </x:c>
      <x:c r="H33" s="68" t="str"/>
    </x:row>
    <x:row r="34" ht="27" customHeight="1">
      <x:c r="B34" s="65" t="str">
        <x:v>AU28</x:v>
      </x:c>
      <x:c r="C34" s="66" t="str">
        <x:v>Forensic demand</x:v>
      </x:c>
      <x:c r="D34" s="82" t="n">
        <x:f>'Support Loads'!C9</x:f>
        <x:v>98</x:v>
      </x:c>
      <x:c r="E34" s="82" t="n">
        <x:v>98</x:v>
      </x:c>
      <x:c r="F34" s="82" t="n">
        <x:f>D34-E34</x:f>
        <x:v>0</x:v>
      </x:c>
      <x:c r="G34" s="66" t="str">
        <x:f>IF(ABS(F34)&lt;0.001,"PASS","FAIL")</x:f>
        <x:v>PASS</x:v>
      </x:c>
      <x:c r="H34" s="68" t="str"/>
    </x:row>
    <x:row r="35" ht="27" customHeight="1">
      <x:c r="B35" s="65" t="str">
        <x:v>AU29</x:v>
      </x:c>
      <x:c r="C35" s="66" t="str">
        <x:v>Forensic capacity</x:v>
      </x:c>
      <x:c r="D35" s="82" t="n">
        <x:f>'Support Loads'!G9</x:f>
        <x:v>151.89999999999998</x:v>
      </x:c>
      <x:c r="E35" s="82" t="n">
        <x:v>151.9</x:v>
      </x:c>
      <x:c r="F35" s="82" t="n">
        <x:f>D35-E35</x:f>
        <x:v>-2.842170943040401e-14</x:v>
      </x:c>
      <x:c r="G35" s="66" t="str">
        <x:f>IF(ABS(F35)&lt;0.001,"PASS","FAIL")</x:f>
        <x:v>PASS</x:v>
      </x:c>
      <x:c r="H35" s="68" t="str"/>
    </x:row>
    <x:row r="36" ht="27" customHeight="1">
      <x:c r="B36" s="65" t="str">
        <x:v>AU30</x:v>
      </x:c>
      <x:c r="C36" s="66" t="str">
        <x:v>Assay-panel demand</x:v>
      </x:c>
      <x:c r="D36" s="82" t="n">
        <x:f>'Support Loads'!C10</x:f>
        <x:v>1776</x:v>
      </x:c>
      <x:c r="E36" s="82" t="n">
        <x:v>1776</x:v>
      </x:c>
      <x:c r="F36" s="82" t="n">
        <x:f>D36-E36</x:f>
        <x:v>0</x:v>
      </x:c>
      <x:c r="G36" s="66" t="str">
        <x:f>IF(ABS(F36)&lt;0.001,"PASS","FAIL")</x:f>
        <x:v>PASS</x:v>
      </x:c>
      <x:c r="H36" s="68" t="str"/>
    </x:row>
    <x:row r="37" ht="27" customHeight="1">
      <x:c r="B37" s="65" t="str">
        <x:v>AU31</x:v>
      </x:c>
      <x:c r="C37" s="66" t="str">
        <x:v>Assay-panel capacity</x:v>
      </x:c>
      <x:c r="D37" s="82" t="n">
        <x:f>'Support Loads'!G10</x:f>
        <x:v>3949.4000000000005</x:v>
      </x:c>
      <x:c r="E37" s="82" t="n">
        <x:v>3949.4</x:v>
      </x:c>
      <x:c r="F37" s="82" t="n">
        <x:f>D37-E37</x:f>
        <x:v>4.547473508864641e-13</x:v>
      </x:c>
      <x:c r="G37" s="66" t="str">
        <x:f>IF(ABS(F37)&lt;0.001,"PASS","FAIL")</x:f>
        <x:v>PASS</x:v>
      </x:c>
      <x:c r="H37" s="68" t="str"/>
    </x:row>
    <x:row r="38" ht="27" customHeight="1">
      <x:c r="B38" s="65" t="str">
        <x:v>AU32</x:v>
      </x:c>
      <x:c r="C38" s="66" t="str">
        <x:v>Metrology demand</x:v>
      </x:c>
      <x:c r="D38" s="82" t="n">
        <x:f>'Support Loads'!C11</x:f>
        <x:v>68</x:v>
      </x:c>
      <x:c r="E38" s="82" t="n">
        <x:v>68</x:v>
      </x:c>
      <x:c r="F38" s="82" t="n">
        <x:f>D38-E38</x:f>
        <x:v>0</x:v>
      </x:c>
      <x:c r="G38" s="66" t="str">
        <x:f>IF(ABS(F38)&lt;0.001,"PASS","FAIL")</x:f>
        <x:v>PASS</x:v>
      </x:c>
      <x:c r="H38" s="68" t="str"/>
    </x:row>
    <x:row r="39" ht="27" customHeight="1">
      <x:c r="B39" s="65" t="str">
        <x:v>AU33</x:v>
      </x:c>
      <x:c r="C39" s="66" t="str">
        <x:v>Metrology capacity</x:v>
      </x:c>
      <x:c r="D39" s="82" t="n">
        <x:f>'Support Loads'!G11</x:f>
        <x:v>217</x:v>
      </x:c>
      <x:c r="E39" s="82" t="n">
        <x:v>217</x:v>
      </x:c>
      <x:c r="F39" s="82" t="n">
        <x:f>D39-E39</x:f>
        <x:v>0</x:v>
      </x:c>
      <x:c r="G39" s="66" t="str">
        <x:f>IF(ABS(F39)&lt;0.001,"PASS","FAIL")</x:f>
        <x:v>PASS</x:v>
      </x:c>
      <x:c r="H39" s="68" t="str"/>
    </x:row>
    <x:row r="40" ht="27" customHeight="1">
      <x:c r="B40" s="65" t="str">
        <x:v>AU34</x:v>
      </x:c>
      <x:c r="C40" s="66" t="str">
        <x:v>Replay demand</x:v>
      </x:c>
      <x:c r="D40" s="82" t="n">
        <x:f>'Support Loads'!C12</x:f>
        <x:v>640</x:v>
      </x:c>
      <x:c r="E40" s="82" t="n">
        <x:v>640</x:v>
      </x:c>
      <x:c r="F40" s="82" t="n">
        <x:f>D40-E40</x:f>
        <x:v>0</x:v>
      </x:c>
      <x:c r="G40" s="66" t="str">
        <x:f>IF(ABS(F40)&lt;0.001,"PASS","FAIL")</x:f>
        <x:v>PASS</x:v>
      </x:c>
      <x:c r="H40" s="68" t="str"/>
    </x:row>
    <x:row r="41" ht="27" customHeight="1">
      <x:c r="B41" s="65" t="str">
        <x:v>AU35</x:v>
      </x:c>
      <x:c r="C41" s="66" t="str">
        <x:v>Replay capacity</x:v>
      </x:c>
      <x:c r="D41" s="82" t="n">
        <x:f>'Support Loads'!G12</x:f>
        <x:v>4513.6</x:v>
      </x:c>
      <x:c r="E41" s="82" t="n">
        <x:v>4513.6</x:v>
      </x:c>
      <x:c r="F41" s="82" t="n">
        <x:f>D41-E41</x:f>
        <x:v>0</x:v>
      </x:c>
      <x:c r="G41" s="66" t="str">
        <x:f>IF(ABS(F41)&lt;0.001,"PASS","FAIL")</x:f>
        <x:v>PASS</x:v>
      </x:c>
      <x:c r="H41" s="68" t="str"/>
    </x:row>
    <x:row r="42" ht="27" customHeight="1">
      <x:c r="B42" s="65" t="str">
        <x:v>AU36</x:v>
      </x:c>
      <x:c r="C42" s="66" t="str">
        <x:v>Blind-event demand</x:v>
      </x:c>
      <x:c r="D42" s="82" t="n">
        <x:f>'Support Loads'!C13</x:f>
        <x:v>22</x:v>
      </x:c>
      <x:c r="E42" s="82" t="n">
        <x:v>22</x:v>
      </x:c>
      <x:c r="F42" s="82" t="n">
        <x:f>D42-E42</x:f>
        <x:v>0</x:v>
      </x:c>
      <x:c r="G42" s="66" t="str">
        <x:f>IF(ABS(F42)&lt;0.001,"PASS","FAIL")</x:f>
        <x:v>PASS</x:v>
      </x:c>
      <x:c r="H42" s="68" t="str"/>
    </x:row>
    <x:row r="43" ht="27" customHeight="1">
      <x:c r="B43" s="65" t="str">
        <x:v>AU37</x:v>
      </x:c>
      <x:c r="C43" s="66" t="str">
        <x:v>Blind-shop capacity</x:v>
      </x:c>
      <x:c r="D43" s="82" t="n">
        <x:f>'Support Loads'!G13</x:f>
        <x:v>40.3</x:v>
      </x:c>
      <x:c r="E43" s="82" t="n">
        <x:v>40.3</x:v>
      </x:c>
      <x:c r="F43" s="82" t="n">
        <x:f>D43-E43</x:f>
        <x:v>0</x:v>
      </x:c>
      <x:c r="G43" s="66" t="str">
        <x:f>IF(ABS(F43)&lt;0.001,"PASS","FAIL")</x:f>
        <x:v>PASS</x:v>
      </x:c>
      <x:c r="H43" s="68" t="str"/>
    </x:row>
    <x:row r="44" ht="27" customHeight="1">
      <x:c r="B44" s="65" t="str">
        <x:v>AU38</x:v>
      </x:c>
      <x:c r="C44" s="66" t="str">
        <x:v>Support gates passing</x:v>
      </x:c>
      <x:c r="D44" s="82" t="n">
        <x:f>COUNTIF('Support Loads'!J7:J13,"PASS")</x:f>
        <x:v>7</x:v>
      </x:c>
      <x:c r="E44" s="82" t="n">
        <x:v>7</x:v>
      </x:c>
      <x:c r="F44" s="82" t="n">
        <x:f>D44-E44</x:f>
        <x:v>0</x:v>
      </x:c>
      <x:c r="G44" s="66" t="str">
        <x:f>IF(ABS(F44)&lt;0.001,"PASS","FAIL")</x:f>
        <x:v>PASS</x:v>
      </x:c>
      <x:c r="H44" s="68" t="str"/>
    </x:row>
    <x:row r="45" ht="27" customHeight="1">
      <x:c r="B45" s="65" t="str">
        <x:v>AU39</x:v>
      </x:c>
      <x:c r="C45" s="66" t="str">
        <x:v>Station gates passing</x:v>
      </x:c>
      <x:c r="D45" s="82" t="n">
        <x:f>COUNTIF('Station Grid'!C99:N99,"PASS")</x:f>
        <x:v>12</x:v>
      </x:c>
      <x:c r="E45" s="82" t="n">
        <x:v>12</x:v>
      </x:c>
      <x:c r="F45" s="82" t="n">
        <x:f>D45-E45</x:f>
        <x:v>0</x:v>
      </x:c>
      <x:c r="G45" s="66" t="str">
        <x:f>IF(ABS(F45)&lt;0.001,"PASS","FAIL")</x:f>
        <x:v>PASS</x:v>
      </x:c>
      <x:c r="H45" s="68" t="str"/>
    </x:row>
    <x:row r="46" ht="27" customHeight="1">
      <x:c r="B46" s="65" t="str">
        <x:v>AU40</x:v>
      </x:c>
      <x:c r="C46" s="66" t="str">
        <x:v>Daily gates passing</x:v>
      </x:c>
      <x:c r="D46" s="82" t="n">
        <x:f>COUNTIF('Daily Control'!Q7:Q96,"PASS")</x:f>
        <x:v>90</x:v>
      </x:c>
      <x:c r="E46" s="82" t="n">
        <x:v>90</x:v>
      </x:c>
      <x:c r="F46" s="82" t="n">
        <x:f>D46-E46</x:f>
        <x:v>0</x:v>
      </x:c>
      <x:c r="G46" s="66" t="str">
        <x:f>IF(ABS(F46)&lt;0.001,"PASS","FAIL")</x:f>
        <x:v>PASS</x:v>
      </x:c>
      <x:c r="H46" s="68" t="str"/>
    </x:row>
    <x:row r="47" ht="27" customHeight="1">
      <x:c r="B47" s="65" t="str">
        <x:v>AU41</x:v>
      </x:c>
      <x:c r="C47" s="66" t="str">
        <x:v>Maximum closure WIP</x:v>
      </x:c>
      <x:c r="D47" s="82" t="n">
        <x:f>MAX('Daily Control'!C7:C96)</x:f>
        <x:v>4</x:v>
      </x:c>
      <x:c r="E47" s="82" t="n">
        <x:v>4</x:v>
      </x:c>
      <x:c r="F47" s="82" t="n">
        <x:f>D47-E47</x:f>
        <x:v>0</x:v>
      </x:c>
      <x:c r="G47" s="66" t="str">
        <x:f>IF(ABS(F47)&lt;0.001,"PASS","FAIL")</x:f>
        <x:v>PASS</x:v>
      </x:c>
      <x:c r="H47" s="68" t="str"/>
    </x:row>
    <x:row r="48" ht="27" customHeight="1">
      <x:c r="B48" s="65" t="str">
        <x:v>AU42</x:v>
      </x:c>
      <x:c r="C48" s="66" t="str">
        <x:v>Maximum damage WIP</x:v>
      </x:c>
      <x:c r="D48" s="82" t="n">
        <x:f>MAX('Daily Control'!E7:E96)</x:f>
        <x:v>3</x:v>
      </x:c>
      <x:c r="E48" s="82" t="n">
        <x:v>3</x:v>
      </x:c>
      <x:c r="F48" s="82" t="n">
        <x:f>D48-E48</x:f>
        <x:v>0</x:v>
      </x:c>
      <x:c r="G48" s="66" t="str">
        <x:f>IF(ABS(F48)&lt;0.001,"PASS","FAIL")</x:f>
        <x:v>PASS</x:v>
      </x:c>
      <x:c r="H48" s="68" t="str"/>
    </x:row>
    <x:row r="49" ht="27" customHeight="1">
      <x:c r="B49" s="65" t="str">
        <x:v>AU43</x:v>
      </x:c>
      <x:c r="C49" s="66" t="str">
        <x:v>Maximum closure packet queue</x:v>
      </x:c>
      <x:c r="D49" s="82" t="n">
        <x:f>MAX('Daily Control'!G7:G96)</x:f>
        <x:v>4</x:v>
      </x:c>
      <x:c r="E49" s="82" t="n">
        <x:v>4</x:v>
      </x:c>
      <x:c r="F49" s="82" t="n">
        <x:f>D49-E49</x:f>
        <x:v>0</x:v>
      </x:c>
      <x:c r="G49" s="66" t="str">
        <x:f>IF(ABS(F49)&lt;0.001,"PASS","FAIL")</x:f>
        <x:v>PASS</x:v>
      </x:c>
      <x:c r="H49" s="68" t="str"/>
    </x:row>
    <x:row r="50" ht="27" customHeight="1">
      <x:c r="B50" s="65" t="str">
        <x:v>AU44</x:v>
      </x:c>
      <x:c r="C50" s="66" t="str">
        <x:v>Maximum damage packet queue</x:v>
      </x:c>
      <x:c r="D50" s="82" t="n">
        <x:f>MAX('Daily Control'!H7:H96)</x:f>
        <x:v>3</x:v>
      </x:c>
      <x:c r="E50" s="82" t="n">
        <x:v>3</x:v>
      </x:c>
      <x:c r="F50" s="82" t="n">
        <x:f>D50-E50</x:f>
        <x:v>0</x:v>
      </x:c>
      <x:c r="G50" s="66" t="str">
        <x:f>IF(ABS(F50)&lt;0.001,"PASS","FAIL")</x:f>
        <x:v>PASS</x:v>
      </x:c>
      <x:c r="H50" s="68" t="str"/>
    </x:row>
    <x:row r="51" ht="27" customHeight="1">
      <x:c r="B51" s="65" t="str">
        <x:v>AU45</x:v>
      </x:c>
      <x:c r="C51" s="66" t="str">
        <x:v>Start-freeze breaches</x:v>
      </x:c>
      <x:c r="D51" s="82" t="n">
        <x:f>SUM('Daily Control'!L7:L96)</x:f>
        <x:v>0</x:v>
      </x:c>
      <x:c r="E51" s="82" t="n">
        <x:v>0</x:v>
      </x:c>
      <x:c r="F51" s="82" t="n">
        <x:f>D51-E51</x:f>
        <x:v>0</x:v>
      </x:c>
      <x:c r="G51" s="66" t="str">
        <x:f>IF(ABS(F51)&lt;0.001,"PASS","FAIL")</x:f>
        <x:v>PASS</x:v>
      </x:c>
      <x:c r="H51" s="68" t="str"/>
    </x:row>
    <x:row r="52" ht="27" customHeight="1">
      <x:c r="B52" s="65" t="str">
        <x:v>AU46</x:v>
      </x:c>
      <x:c r="C52" s="66" t="str">
        <x:v>Closure credits terminal by day 64</x:v>
      </x:c>
      <x:c r="D52" s="82" t="n">
        <x:f>'Daily Control'!I70</x:f>
        <x:v>18</x:v>
      </x:c>
      <x:c r="E52" s="82" t="n">
        <x:v>18</x:v>
      </x:c>
      <x:c r="F52" s="82" t="n">
        <x:f>D52-E52</x:f>
        <x:v>0</x:v>
      </x:c>
      <x:c r="G52" s="66" t="str">
        <x:f>IF(ABS(F52)&lt;0.001,"PASS","FAIL")</x:f>
        <x:v>PASS</x:v>
      </x:c>
      <x:c r="H52" s="68" t="str"/>
    </x:row>
    <x:row r="53" ht="27" customHeight="1">
      <x:c r="B53" s="65" t="str">
        <x:v>AU47</x:v>
      </x:c>
      <x:c r="C53" s="66" t="str">
        <x:v>Damage credits terminal by day 64</x:v>
      </x:c>
      <x:c r="D53" s="82" t="n">
        <x:f>'Daily Control'!J70</x:f>
        <x:v>6</x:v>
      </x:c>
      <x:c r="E53" s="82" t="n">
        <x:v>6</x:v>
      </x:c>
      <x:c r="F53" s="82" t="n">
        <x:f>D53-E53</x:f>
        <x:v>0</x:v>
      </x:c>
      <x:c r="G53" s="66" t="str">
        <x:f>IF(ABS(F53)&lt;0.001,"PASS","FAIL")</x:f>
        <x:v>PASS</x:v>
      </x:c>
      <x:c r="H53" s="68" t="str"/>
    </x:row>
    <x:row r="54" ht="27" customHeight="1">
      <x:c r="B54" s="65" t="str">
        <x:v>AU48</x:v>
      </x:c>
      <x:c r="C54" s="66" t="str">
        <x:v>National public billets</x:v>
      </x:c>
      <x:c r="D54" s="82" t="n">
        <x:f>Roster!D39</x:f>
        <x:v>1230</x:v>
      </x:c>
      <x:c r="E54" s="82" t="n">
        <x:v>1230</x:v>
      </x:c>
      <x:c r="F54" s="82" t="n">
        <x:f>D54-E54</x:f>
        <x:v>0</x:v>
      </x:c>
      <x:c r="G54" s="66" t="str">
        <x:f>IF(ABS(F54)&lt;0.001,"PASS","FAIL")</x:f>
        <x:v>PASS</x:v>
      </x:c>
      <x:c r="H54" s="68" t="str"/>
    </x:row>
    <x:row r="55" ht="27" customHeight="1">
      <x:c r="B55" s="65" t="str">
        <x:v>AU49</x:v>
      </x:c>
      <x:c r="C55" s="66" t="str">
        <x:v>Lost-campus billets</x:v>
      </x:c>
      <x:c r="D55" s="82" t="n">
        <x:f>Roster!D40</x:f>
        <x:v>410</x:v>
      </x:c>
      <x:c r="E55" s="82" t="n">
        <x:v>410</x:v>
      </x:c>
      <x:c r="F55" s="82" t="n">
        <x:f>D55-E55</x:f>
        <x:v>0</x:v>
      </x:c>
      <x:c r="G55" s="66" t="str">
        <x:f>IF(ABS(F55)&lt;0.001,"PASS","FAIL")</x:f>
        <x:v>PASS</x:v>
      </x:c>
      <x:c r="H55" s="68" t="str"/>
    </x:row>
    <x:row r="56" ht="27" customHeight="1">
      <x:c r="B56" s="65" t="str">
        <x:v>AU50</x:v>
      </x:c>
      <x:c r="C56" s="66" t="str">
        <x:v>Residual public personnel</x:v>
      </x:c>
      <x:c r="D56" s="82" t="n">
        <x:f>Roster!D41</x:f>
        <x:v>820</x:v>
      </x:c>
      <x:c r="E56" s="82" t="n">
        <x:v>820</x:v>
      </x:c>
      <x:c r="F56" s="82" t="n">
        <x:f>D56-E56</x:f>
        <x:v>0</x:v>
      </x:c>
      <x:c r="G56" s="66" t="str">
        <x:f>IF(ABS(F56)&lt;0.001,"PASS","FAIL")</x:f>
        <x:v>PASS</x:v>
      </x:c>
      <x:c r="H56" s="68" t="str"/>
    </x:row>
    <x:row r="57" ht="27" customHeight="1">
      <x:c r="B57" s="65" t="str">
        <x:v>AU51</x:v>
      </x:c>
      <x:c r="C57" s="66" t="str">
        <x:v>Qualified affiliates</x:v>
      </x:c>
      <x:c r="D57" s="82" t="n">
        <x:f>Roster!D42</x:f>
        <x:v>1850</x:v>
      </x:c>
      <x:c r="E57" s="82" t="n">
        <x:v>1850</x:v>
      </x:c>
      <x:c r="F57" s="82" t="n">
        <x:f>D57-E57</x:f>
        <x:v>0</x:v>
      </x:c>
      <x:c r="G57" s="66" t="str">
        <x:f>IF(ABS(F57)&lt;0.001,"PASS","FAIL")</x:f>
        <x:v>PASS</x:v>
      </x:c>
      <x:c r="H57" s="68" t="str"/>
    </x:row>
    <x:row r="58" ht="27" customHeight="1">
      <x:c r="B58" s="65" t="str">
        <x:v>AU52</x:v>
      </x:c>
      <x:c r="C58" s="66" t="str">
        <x:v>Watch-cell national total</x:v>
      </x:c>
      <x:c r="D58" s="82" t="n">
        <x:f>Roster!D65</x:f>
        <x:v>1230</x:v>
      </x:c>
      <x:c r="E58" s="82" t="n">
        <x:v>1230</x:v>
      </x:c>
      <x:c r="F58" s="82" t="n">
        <x:f>D58-E58</x:f>
        <x:v>0</x:v>
      </x:c>
      <x:c r="G58" s="66" t="str">
        <x:f>IF(ABS(F58)&lt;0.001,"PASS","FAIL")</x:f>
        <x:v>PASS</x:v>
      </x:c>
      <x:c r="H58" s="68" t="str"/>
    </x:row>
    <x:row r="59" ht="27" customHeight="1">
      <x:c r="B59" s="65" t="str">
        <x:v>AU53</x:v>
      </x:c>
      <x:c r="C59" s="66" t="str">
        <x:v>Watch-cell residual total</x:v>
      </x:c>
      <x:c r="D59" s="82" t="n">
        <x:f>Roster!F65</x:f>
        <x:v>820</x:v>
      </x:c>
      <x:c r="E59" s="82" t="n">
        <x:v>820</x:v>
      </x:c>
      <x:c r="F59" s="82" t="n">
        <x:f>D59-E59</x:f>
        <x:v>0</x:v>
      </x:c>
      <x:c r="G59" s="66" t="str">
        <x:f>IF(ABS(F59)&lt;0.001,"PASS","FAIL")</x:f>
        <x:v>PASS</x:v>
      </x:c>
      <x:c r="H59" s="68" t="str"/>
    </x:row>
    <x:row r="60" ht="27" customHeight="1">
      <x:c r="B60" s="65" t="str">
        <x:v>AU54</x:v>
      </x:c>
      <x:c r="C60" s="66" t="str">
        <x:v>Authority records</x:v>
      </x:c>
      <x:c r="D60" s="82" t="n">
        <x:f>COUNTA('Authority Matrix'!B7:B20)</x:f>
        <x:v>14</x:v>
      </x:c>
      <x:c r="E60" s="82" t="n">
        <x:v>14</x:v>
      </x:c>
      <x:c r="F60" s="82" t="n">
        <x:f>D60-E60</x:f>
        <x:v>0</x:v>
      </x:c>
      <x:c r="G60" s="66" t="str">
        <x:f>IF(ABS(F60)&lt;0.001,"PASS","FAIL")</x:f>
        <x:v>PASS</x:v>
      </x:c>
      <x:c r="H60" s="68" t="str"/>
    </x:row>
    <x:row r="61" ht="27" customHeight="1">
      <x:c r="B61" s="65" t="str">
        <x:v>AU55</x:v>
      </x:c>
      <x:c r="C61" s="66" t="str">
        <x:v>Loss-sequence records</x:v>
      </x:c>
      <x:c r="D61" s="82" t="n">
        <x:f>COUNTA('Loss Sequence'!B7:B22)</x:f>
        <x:v>16</x:v>
      </x:c>
      <x:c r="E61" s="82" t="n">
        <x:v>16</x:v>
      </x:c>
      <x:c r="F61" s="82" t="n">
        <x:f>D61-E61</x:f>
        <x:v>0</x:v>
      </x:c>
      <x:c r="G61" s="66" t="str">
        <x:f>IF(ABS(F61)&lt;0.001,"PASS","FAIL")</x:f>
        <x:v>PASS</x:v>
      </x:c>
      <x:c r="H61" s="68" t="str"/>
    </x:row>
    <x:row r="62" ht="27" customHeight="1">
      <x:c r="B62" s="65" t="str">
        <x:v>AU56</x:v>
      </x:c>
      <x:c r="C62" s="66" t="str">
        <x:v>Conservation gates passing</x:v>
      </x:c>
      <x:c r="D62" s="82" t="n">
        <x:f>COUNTIF(Conservation!J7:J14,"PASS")</x:f>
        <x:v>8</x:v>
      </x:c>
      <x:c r="E62" s="82" t="n">
        <x:v>8</x:v>
      </x:c>
      <x:c r="F62" s="82" t="n">
        <x:f>D62-E62</x:f>
        <x:v>0</x:v>
      </x:c>
      <x:c r="G62" s="66" t="str">
        <x:f>IF(ABS(F62)&lt;0.001,"PASS","FAIL")</x:f>
        <x:v>PASS</x:v>
      </x:c>
      <x:c r="H62" s="68" t="str"/>
    </x:row>
    <x:row r="63" ht="27" customHeight="1">
      <x:c r="B63" s="65" t="str">
        <x:v>AU57</x:v>
      </x:c>
      <x:c r="C63" s="66" t="str">
        <x:v>Milestone records</x:v>
      </x:c>
      <x:c r="D63" s="82" t="n">
        <x:f>COUNTA(Milestones!B7:B21)</x:f>
        <x:v>15</x:v>
      </x:c>
      <x:c r="E63" s="82" t="n">
        <x:v>15</x:v>
      </x:c>
      <x:c r="F63" s="82" t="n">
        <x:f>D63-E63</x:f>
        <x:v>0</x:v>
      </x:c>
      <x:c r="G63" s="66" t="str">
        <x:f>IF(ABS(F63)&lt;0.001,"PASS","FAIL")</x:f>
        <x:v>PASS</x:v>
      </x:c>
      <x:c r="H63" s="68" t="str"/>
    </x:row>
    <x:row r="64" ht="27" customHeight="1">
      <x:c r="B64" s="65" t="str">
        <x:v>AU58</x:v>
      </x:c>
      <x:c r="C64" s="66" t="str">
        <x:v>Terminal day</x:v>
      </x:c>
      <x:c r="D64" s="82" t="n">
        <x:f>Milestones!C21</x:f>
        <x:v>90</x:v>
      </x:c>
      <x:c r="E64" s="82" t="n">
        <x:v>90</x:v>
      </x:c>
      <x:c r="F64" s="82" t="n">
        <x:f>D64-E64</x:f>
        <x:v>0</x:v>
      </x:c>
      <x:c r="G64" s="66" t="str">
        <x:f>IF(ABS(F64)&lt;0.001,"PASS","FAIL")</x:f>
        <x:v>PASS</x:v>
      </x:c>
      <x:c r="H64" s="68" t="str"/>
    </x:row>
    <x:row r="65" ht="27" customHeight="1">
      <x:c r="B65" s="65" t="str">
        <x:v>AU59</x:v>
      </x:c>
      <x:c r="C65" s="66" t="str">
        <x:v>Annual support total</x:v>
      </x:c>
      <x:c r="D65" s="82" t="n">
        <x:f>'Operating Draw'!D19</x:f>
        <x:v>0.39800000000000013</x:v>
      </x:c>
      <x:c r="E65" s="82" t="n">
        <x:v>0.398</x:v>
      </x:c>
      <x:c r="F65" s="82" t="n">
        <x:f>D65-E65</x:f>
        <x:v>1.1102230246251565e-16</x:v>
      </x:c>
      <x:c r="G65" s="66" t="str">
        <x:f>IF(ABS(F65)&lt;0.001,"PASS","FAIL")</x:f>
        <x:v>PASS</x:v>
      </x:c>
      <x:c r="H65" s="68" t="str"/>
    </x:row>
    <x:row r="66" ht="27" customHeight="1">
      <x:c r="B66" s="65" t="str">
        <x:v>AU60</x:v>
      </x:c>
      <x:c r="C66" s="66" t="str">
        <x:v>Ninety-day operating draw</x:v>
      </x:c>
      <x:c r="D66" s="82" t="n">
        <x:f>'Operating Draw'!D20</x:f>
        <x:v>0.09813698630136987</x:v>
      </x:c>
      <x:c r="E66" s="82" t="n">
        <x:v>0.0981369863</x:v>
      </x:c>
      <x:c r="F66" s="82" t="n">
        <x:f>D66-E66</x:f>
        <x:v>1.3698625567215572e-12</x:v>
      </x:c>
      <x:c r="G66" s="66" t="str">
        <x:f>IF(ABS(F66)&lt;0.001,"PASS","FAIL")</x:f>
        <x:v>PASS</x:v>
      </x:c>
      <x:c r="H66" s="68" t="str"/>
    </x:row>
    <x:row r="67" ht="27" customHeight="1">
      <x:c r="B67" s="65" t="str">
        <x:v>AU61</x:v>
      </x:c>
      <x:c r="C67" s="66" t="str">
        <x:v>Planning gates passing</x:v>
      </x:c>
      <x:c r="D67" s="82" t="n">
        <x:f>COUNTIF('Release Gates'!G7:G24,"PLANNING PASS")</x:f>
        <x:v>18</x:v>
      </x:c>
      <x:c r="E67" s="82" t="n">
        <x:v>18</x:v>
      </x:c>
      <x:c r="F67" s="82" t="n">
        <x:f>D67-E67</x:f>
        <x:v>0</x:v>
      </x:c>
      <x:c r="G67" s="66" t="str">
        <x:f>IF(ABS(F67)&lt;0.001,"PASS","FAIL")</x:f>
        <x:v>PASS</x:v>
      </x:c>
      <x:c r="H67" s="68" t="str"/>
    </x:row>
    <x:row r="68" ht="27" customHeight="1">
      <x:c r="B68" s="65" t="str">
        <x:v>AU62</x:v>
      </x:c>
      <x:c r="C68" s="66" t="str">
        <x:v>Physical gates passing</x:v>
      </x:c>
      <x:c r="D68" s="82" t="n">
        <x:f>COUNTIF('Release Gates'!G25:G34,"PASS")</x:f>
        <x:v>0</x:v>
      </x:c>
      <x:c r="E68" s="82" t="n">
        <x:v>0</x:v>
      </x:c>
      <x:c r="F68" s="82" t="n">
        <x:f>D68-E68</x:f>
        <x:v>0</x:v>
      </x:c>
      <x:c r="G68" s="66" t="str">
        <x:f>IF(ABS(F68)&lt;0.001,"PASS","FAIL")</x:f>
        <x:v>PASS</x:v>
      </x:c>
      <x:c r="H68" s="68" t="str">
        <x:v>physical or authority state intentionally zero/held</x:v>
      </x:c>
    </x:row>
    <x:row r="69" ht="27" customHeight="1">
      <x:c r="B69" s="65" t="str">
        <x:v>AU63</x:v>
      </x:c>
      <x:c r="C69" s="66" t="str">
        <x:v>Planning authorized</x:v>
      </x:c>
      <x:c r="D69" s="82" t="n">
        <x:f>IF('Release Gates'!D38="AUTHORIZED",1,0)</x:f>
        <x:v>1</x:v>
      </x:c>
      <x:c r="E69" s="82" t="n">
        <x:v>1</x:v>
      </x:c>
      <x:c r="F69" s="82" t="n">
        <x:f>D69-E69</x:f>
        <x:v>0</x:v>
      </x:c>
      <x:c r="G69" s="66" t="str">
        <x:f>IF(ABS(F69)&lt;0.001,"PASS","FAIL")</x:f>
        <x:v>PASS</x:v>
      </x:c>
      <x:c r="H69" s="68" t="str">
        <x:v>physical or authority state intentionally zero/held</x:v>
      </x:c>
    </x:row>
    <x:row r="70" ht="27" customHeight="1">
      <x:c r="B70" s="65" t="str">
        <x:v>AU64</x:v>
      </x:c>
      <x:c r="C70" s="66" t="str">
        <x:v>Rehearsal approval held</x:v>
      </x:c>
      <x:c r="D70" s="82" t="n">
        <x:f>IF('Release Gates'!D39="HOLD",1,0)</x:f>
        <x:v>1</x:v>
      </x:c>
      <x:c r="E70" s="82" t="n">
        <x:v>1</x:v>
      </x:c>
      <x:c r="F70" s="82" t="n">
        <x:f>D70-E70</x:f>
        <x:v>0</x:v>
      </x:c>
      <x:c r="G70" s="66" t="str">
        <x:f>IF(ABS(F70)&lt;0.001,"PASS","FAIL")</x:f>
        <x:v>PASS</x:v>
      </x:c>
      <x:c r="H70" s="68" t="str">
        <x:v>physical or authority state intentionally zero/held</x:v>
      </x:c>
    </x:row>
    <x:row r="71" ht="27" customHeight="1">
      <x:c r="B71" s="65" t="str">
        <x:v>AU65</x:v>
      </x:c>
      <x:c r="C71" s="66" t="str">
        <x:v>Named rosters held</x:v>
      </x:c>
      <x:c r="D71" s="82" t="n">
        <x:f>IF('Release Gates'!D40="HOLD",1,0)</x:f>
        <x:v>1</x:v>
      </x:c>
      <x:c r="E71" s="82" t="n">
        <x:v>1</x:v>
      </x:c>
      <x:c r="F71" s="82" t="n">
        <x:f>D71-E71</x:f>
        <x:v>0</x:v>
      </x:c>
      <x:c r="G71" s="66" t="str">
        <x:f>IF(ABS(F71)&lt;0.001,"PASS","FAIL")</x:f>
        <x:v>PASS</x:v>
      </x:c>
      <x:c r="H71" s="68" t="str">
        <x:v>physical or authority state intentionally zero/held</x:v>
      </x:c>
    </x:row>
    <x:row r="72" ht="27" customHeight="1">
      <x:c r="B72" s="65" t="str">
        <x:v>AU66</x:v>
      </x:c>
      <x:c r="C72" s="66" t="str">
        <x:v>Physical articles and lanes held</x:v>
      </x:c>
      <x:c r="D72" s="82" t="n">
        <x:f>IF('Release Gates'!D41="HOLD",1,0)</x:f>
        <x:v>1</x:v>
      </x:c>
      <x:c r="E72" s="82" t="n">
        <x:v>1</x:v>
      </x:c>
      <x:c r="F72" s="82" t="n">
        <x:f>D72-E72</x:f>
        <x:v>0</x:v>
      </x:c>
      <x:c r="G72" s="66" t="str">
        <x:f>IF(ABS(F72)&lt;0.001,"PASS","FAIL")</x:f>
        <x:v>PASS</x:v>
      </x:c>
      <x:c r="H72" s="68" t="str">
        <x:v>physical or authority state intentionally zero/held</x:v>
      </x:c>
    </x:row>
    <x:row r="73" ht="27" customHeight="1">
      <x:c r="B73" s="65" t="str">
        <x:v>AU67</x:v>
      </x:c>
      <x:c r="C73" s="66" t="str">
        <x:v>First-wave admission held</x:v>
      </x:c>
      <x:c r="D73" s="82" t="n">
        <x:f>IF('Release Gates'!D42="HOLD",1,0)</x:f>
        <x:v>1</x:v>
      </x:c>
      <x:c r="E73" s="82" t="n">
        <x:v>1</x:v>
      </x:c>
      <x:c r="F73" s="82" t="n">
        <x:f>D73-E73</x:f>
        <x:v>0</x:v>
      </x:c>
      <x:c r="G73" s="66" t="str">
        <x:f>IF(ABS(F73)&lt;0.001,"PASS","FAIL")</x:f>
        <x:v>PASS</x:v>
      </x:c>
      <x:c r="H73" s="68" t="str">
        <x:v>physical or authority state intentionally zero/held</x:v>
      </x:c>
    </x:row>
    <x:row r="74" ht="27" customHeight="1">
      <x:c r="B74" s="65" t="str">
        <x:v>AU68</x:v>
      </x:c>
      <x:c r="C74" s="66" t="str">
        <x:v>Loss and conservation held</x:v>
      </x:c>
      <x:c r="D74" s="82" t="n">
        <x:f>IF('Release Gates'!D43="HOLD",1,0)</x:f>
        <x:v>1</x:v>
      </x:c>
      <x:c r="E74" s="82" t="n">
        <x:v>1</x:v>
      </x:c>
      <x:c r="F74" s="82" t="n">
        <x:f>D74-E74</x:f>
        <x:v>0</x:v>
      </x:c>
      <x:c r="G74" s="66" t="str">
        <x:f>IF(ABS(F74)&lt;0.001,"PASS","FAIL")</x:f>
        <x:v>PASS</x:v>
      </x:c>
      <x:c r="H74" s="68" t="str">
        <x:v>physical or authority state intentionally zero/held</x:v>
      </x:c>
    </x:row>
    <x:row r="75" ht="27" customHeight="1">
      <x:c r="B75" s="65" t="str">
        <x:v>AU69</x:v>
      </x:c>
      <x:c r="C75" s="66" t="str">
        <x:v>Residual execution held</x:v>
      </x:c>
      <x:c r="D75" s="82" t="n">
        <x:f>IF('Release Gates'!D44="HOLD",1,0)</x:f>
        <x:v>1</x:v>
      </x:c>
      <x:c r="E75" s="82" t="n">
        <x:v>1</x:v>
      </x:c>
      <x:c r="F75" s="82" t="n">
        <x:f>D75-E75</x:f>
        <x:v>0</x:v>
      </x:c>
      <x:c r="G75" s="66" t="str">
        <x:f>IF(ABS(F75)&lt;0.001,"PASS","FAIL")</x:f>
        <x:v>PASS</x:v>
      </x:c>
      <x:c r="H75" s="68" t="str">
        <x:v>physical or authority state intentionally zero/held</x:v>
      </x:c>
    </x:row>
    <x:row r="76" ht="27" customHeight="1">
      <x:c r="B76" s="65" t="str">
        <x:v>AU70</x:v>
      </x:c>
      <x:c r="C76" s="66" t="str">
        <x:v>Terminal credits held</x:v>
      </x:c>
      <x:c r="D76" s="82" t="n">
        <x:f>IF('Release Gates'!D45="HOLD",1,0)</x:f>
        <x:v>1</x:v>
      </x:c>
      <x:c r="E76" s="82" t="n">
        <x:v>1</x:v>
      </x:c>
      <x:c r="F76" s="82" t="n">
        <x:f>D76-E76</x:f>
        <x:v>0</x:v>
      </x:c>
      <x:c r="G76" s="66" t="str">
        <x:f>IF(ABS(F76)&lt;0.001,"PASS","FAIL")</x:f>
        <x:v>PASS</x:v>
      </x:c>
      <x:c r="H76" s="68" t="str">
        <x:v>physical or authority state intentionally zero/held</x:v>
      </x:c>
    </x:row>
    <x:row r="77" ht="27" customHeight="1">
      <x:c r="B77" s="70" t="str">
        <x:v>AU71</x:v>
      </x:c>
      <x:c r="C77" s="71" t="str">
        <x:v>Production and rendering blocked</x:v>
      </x:c>
      <x:c r="D77" s="83" t="n">
        <x:f>IF('Release Gates'!D46="BLOCKED",1,0)</x:f>
        <x:v>1</x:v>
      </x:c>
      <x:c r="E77" s="83" t="n">
        <x:v>1</x:v>
      </x:c>
      <x:c r="F77" s="83" t="n">
        <x:f>D77-E77</x:f>
        <x:v>0</x:v>
      </x:c>
      <x:c r="G77" s="71" t="str">
        <x:f>IF(ABS(F77)&lt;0.001,"PASS","FAIL")</x:f>
        <x:v>PASS</x:v>
      </x:c>
      <x:c r="H77" s="73" t="str">
        <x:v>physical or authority state intentionally zero/held</x:v>
      </x:c>
    </x:row>
  </x:sheetData>
  <x:mergeCells>
    <x:mergeCell ref="B3:H3"/>
  </x:mergeCells>
  <x:conditionalFormatting sqref="G7:G77">
    <x:cfRule type="containsText" dxfId="216" priority="1" operator="containsText" text="FAIL"/>
    <x:cfRule type="containsText" dxfId="217" priority="2" operator="containsText" text="BLOCKED"/>
    <x:cfRule type="containsText" dxfId="218" priority="3" operator="containsText" text="HOLD"/>
    <x:cfRule type="containsText" dxfId="219" priority="4" operator="containsText" text="OPEN"/>
    <x:cfRule type="containsText" dxfId="220" priority="5" operator="containsText" text="RANGE-INVALID"/>
    <x:cfRule type="containsText" dxfId="221" priority="6" operator="containsText" text="INDETERMINATE"/>
    <x:cfRule type="containsText" dxfId="222" priority="7" operator="containsText" text="PASS"/>
    <x:cfRule type="containsText" dxfId="223" priority="8" operator="containsText" text="AUTHORIZED"/>
    <x:cfRule type="containsText" dxfId="224" priority="9" operator="containsText" text="RELEASED"/>
    <x:cfRule type="containsText" dxfId="225" priority="10" operator="containsText" text="ADMITTED"/>
    <x:cfRule type="containsText" dxfId="226" priority="11" operator="containsText" text="MODELED CREDIT"/>
    <x:cfRule type="containsText" dxfId="227" priority="12" operator="containsText" text="PLANNING COMPLETE"/>
    <x:cfRule type="containsText" dxfId="420" priority="13" operator="containsText" text="FAIL"/>
    <x:cfRule type="containsText" dxfId="421" priority="14" operator="containsText" text="BLOCKED"/>
    <x:cfRule type="containsText" dxfId="422" priority="15" operator="containsText" text="HOLD"/>
    <x:cfRule type="containsText" dxfId="423" priority="16" operator="containsText" text="OPEN"/>
    <x:cfRule type="containsText" dxfId="424" priority="17" operator="containsText" text="RANGE-INVALID"/>
    <x:cfRule type="containsText" dxfId="425" priority="18" operator="containsText" text="INDETERMINATE"/>
    <x:cfRule type="containsText" dxfId="426" priority="19" operator="containsText" text="PASS"/>
    <x:cfRule type="containsText" dxfId="427" priority="20" operator="containsText" text="AUTHORIZED"/>
    <x:cfRule type="containsText" dxfId="428" priority="21" operator="containsText" text="RELEASED"/>
    <x:cfRule type="containsText" dxfId="429" priority="22" operator="containsText" text="ADMITTED"/>
    <x:cfRule type="containsText" dxfId="430" priority="23" operator="containsText" text="MODELED CREDIT"/>
    <x:cfRule type="containsText" dxfId="431" priority="24" operator="containsText" text="PLANNING COMPLETE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8C6D3F"/>
  </x:sheetPr>
  <x:sheetViews>
    <x:sheetView showGridLines="0" workbookViewId="0"/>
  </x:sheetViews>
  <x:sheetFormatPr defaultRowHeight="15"/>
  <x:cols>
    <x:col min="2" max="2" width="31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2">
      <x:c r="B2" s="1" t="str">
        <x:v>Workbook method and limitations</x:v>
      </x:c>
      <x:c r="C2" s="54"/>
      <x:c r="D2" s="54"/>
      <x:c r="E2" s="54"/>
      <x:c r="F2" s="54"/>
      <x:c r="G2" s="54"/>
      <x:c r="H2" s="54"/>
      <x:c r="I2" s="54"/>
      <x:c r="J2" s="54"/>
    </x:row>
    <x:row r="3">
      <x:c r="B3" s="2" t="str">
        <x:v>This is a prospective ninety-day rehearsal model with no physical campus, person, article, seed or observed event.</x:v>
      </x:c>
      <x:c r="C3" s="54"/>
      <x:c r="D3" s="54"/>
      <x:c r="E3" s="54"/>
      <x:c r="F3" s="54"/>
      <x:c r="G3" s="54"/>
      <x:c r="H3" s="54"/>
      <x:c r="I3" s="54"/>
      <x:c r="J3" s="54"/>
    </x:row>
    <x:row r="4">
      <x:c r="B4" s="56"/>
      <x:c r="C4" s="56"/>
      <x:c r="D4" s="56"/>
      <x:c r="E4" s="56"/>
      <x:c r="F4" s="56"/>
      <x:c r="G4" s="56"/>
      <x:c r="H4" s="56"/>
      <x:c r="I4" s="56"/>
      <x:c r="J4" s="56"/>
    </x:row>
    <x:row r="5">
      <x:c r="B5" s="54"/>
      <x:c r="C5" s="54"/>
      <x:c r="D5" s="54"/>
      <x:c r="E5" s="54"/>
      <x:c r="F5" s="54"/>
      <x:c r="G5" s="54"/>
      <x:c r="H5" s="54"/>
      <x:c r="I5" s="54"/>
      <x:c r="J5" s="54"/>
    </x:row>
    <x:row r="6">
      <x:c r="B6" s="57" t="str">
        <x:v>Method</x:v>
      </x:c>
      <x:c r="C6" s="58" t="str">
        <x:v>Method</x:v>
      </x:c>
      <x:c r="D6" s="58" t="str">
        <x:v>Method</x:v>
      </x:c>
      <x:c r="E6" s="58" t="str">
        <x:v>Method</x:v>
      </x:c>
      <x:c r="F6" s="58" t="str">
        <x:v>Method</x:v>
      </x:c>
      <x:c r="G6" s="58" t="str">
        <x:v>Method</x:v>
      </x:c>
      <x:c r="H6" s="58" t="str">
        <x:v>Method</x:v>
      </x:c>
      <x:c r="I6" s="58" t="str">
        <x:v>Method</x:v>
      </x:c>
      <x:c r="J6" s="59" t="str">
        <x:v>Method</x:v>
      </x:c>
    </x:row>
    <x:row r="7" ht="47" customHeight="1">
      <x:c r="B7" s="53" t="str">
        <x:v>Decision</x:v>
      </x:c>
      <x:c r="C7" s="62" t="str">
        <x:v>Can the first root-balanced wave preserve terminal evidence after complete loss of NRC-B during active work?</x:v>
      </x:c>
      <x:c r="D7" s="62"/>
      <x:c r="E7" s="62"/>
      <x:c r="F7" s="62"/>
      <x:c r="G7" s="62"/>
      <x:c r="H7" s="62"/>
      <x:c r="I7" s="62"/>
      <x:c r="J7" s="62"/>
    </x:row>
    <x:row r="8" ht="47" customHeight="1">
      <x:c r="B8" s="53" t="str">
        <x:v>Demand</x:v>
      </x:c>
      <x:c r="C8" s="62" t="str">
        <x:v>Negative-binomial moments produce P90 reservation counts from prospective invalidity.</x:v>
      </x:c>
      <x:c r="D8" s="62"/>
      <x:c r="E8" s="62"/>
      <x:c r="F8" s="62"/>
      <x:c r="G8" s="62"/>
      <x:c r="H8" s="62"/>
      <x:c r="I8" s="62"/>
      <x:c r="J8" s="62"/>
    </x:row>
    <x:row r="9" ht="47" customHeight="1">
      <x:c r="B9" s="53" t="str">
        <x:v>Schedule</x:v>
      </x:c>
      <x:c r="C9" s="62" t="str">
        <x:v>Start and end boundaries are exclusive intervals. Day 38 is assigned fully to degraded capacity.</x:v>
      </x:c>
      <x:c r="D9" s="62"/>
      <x:c r="E9" s="62"/>
      <x:c r="F9" s="62"/>
      <x:c r="G9" s="62"/>
      <x:c r="H9" s="62"/>
      <x:c r="I9" s="62"/>
      <x:c r="J9" s="62"/>
    </x:row>
    <x:row r="10" ht="47" customHeight="1">
      <x:c r="B10" s="53" t="str">
        <x:v>Disposition</x:v>
      </x:c>
      <x:c r="C10" s="62" t="str">
        <x:v>MODELED CREDIT and MODELED RANGE-INVALID are scenario outputs, not observed evidence.</x:v>
      </x:c>
      <x:c r="D10" s="62"/>
      <x:c r="E10" s="62"/>
      <x:c r="F10" s="62"/>
      <x:c r="G10" s="62"/>
      <x:c r="H10" s="62"/>
      <x:c r="I10" s="62"/>
      <x:c r="J10" s="62"/>
    </x:row>
    <x:row r="11" ht="47" customHeight="1">
      <x:c r="B11" s="53" t="str">
        <x:v>Sources</x:v>
      </x:c>
      <x:c r="C11" s="62" t="str">
        <x:v>Internal Pass 102–104 program lineage only. No external sites or current standards are used.</x:v>
      </x:c>
      <x:c r="D11" s="62"/>
      <x:c r="E11" s="62"/>
      <x:c r="F11" s="62"/>
      <x:c r="G11" s="62"/>
      <x:c r="H11" s="62"/>
      <x:c r="I11" s="62"/>
      <x:c r="J11" s="62"/>
    </x:row>
    <x:row r="12" ht="47" customHeight="1">
      <x:c r="B12" s="53" t="str">
        <x:v>Finance</x:v>
      </x:c>
      <x:c r="C12" s="62" t="str">
        <x:v>USD billions. The wave draws 90/365 of each standing annual support line and adds no capital.</x:v>
      </x:c>
      <x:c r="D12" s="62"/>
      <x:c r="E12" s="62"/>
      <x:c r="F12" s="62"/>
      <x:c r="G12" s="62"/>
      <x:c r="H12" s="62"/>
      <x:c r="I12" s="62"/>
      <x:c r="J12" s="62"/>
    </x:row>
    <x:row r="13" ht="47" customHeight="1">
      <x:c r="B13" s="53" t="str">
        <x:v>Authority</x:v>
      </x:c>
      <x:c r="C13" s="62" t="str">
        <x:v>Eighteen planning gates pass. Every rehearsal, physical, root, production and rendering claim remains held.</x:v>
      </x:c>
      <x:c r="D13" s="62"/>
      <x:c r="E13" s="62"/>
      <x:c r="F13" s="62"/>
      <x:c r="G13" s="62"/>
      <x:c r="H13" s="62"/>
      <x:c r="I13" s="62"/>
      <x:c r="J13" s="62"/>
    </x:row>
    <x:row r="14">
      <x:c r="B14" s="54"/>
      <x:c r="C14" s="54"/>
      <x:c r="D14" s="54"/>
      <x:c r="E14" s="54"/>
      <x:c r="F14" s="54"/>
      <x:c r="G14" s="54"/>
      <x:c r="H14" s="54"/>
      <x:c r="I14" s="54"/>
      <x:c r="J14" s="54"/>
    </x:row>
    <x:row r="15">
      <x:c r="B15" s="54"/>
      <x:c r="C15" s="54"/>
      <x:c r="D15" s="54"/>
      <x:c r="E15" s="54"/>
      <x:c r="F15" s="54"/>
      <x:c r="G15" s="54"/>
      <x:c r="H15" s="54"/>
      <x:c r="I15" s="54"/>
      <x:c r="J15" s="54"/>
    </x:row>
    <x:row r="16">
      <x:c r="B16" s="57" t="str">
        <x:v>State grammar</x:v>
      </x:c>
      <x:c r="C16" s="58" t="str">
        <x:v>State grammar</x:v>
      </x:c>
      <x:c r="D16" s="58" t="str">
        <x:v>State grammar</x:v>
      </x:c>
      <x:c r="E16" s="58" t="str">
        <x:v>State grammar</x:v>
      </x:c>
      <x:c r="F16" s="58" t="str">
        <x:v>State grammar</x:v>
      </x:c>
      <x:c r="G16" s="58" t="str">
        <x:v>State grammar</x:v>
      </x:c>
      <x:c r="H16" s="58" t="str">
        <x:v>State grammar</x:v>
      </x:c>
      <x:c r="I16" s="58" t="str">
        <x:v>State grammar</x:v>
      </x:c>
      <x:c r="J16" s="59" t="str">
        <x:v>State grammar</x:v>
      </x:c>
    </x:row>
    <x:row r="17" ht="41" customHeight="1">
      <x:c r="B17" s="53" t="str">
        <x:v>RESERVED</x:v>
      </x:c>
      <x:c r="C17" s="62" t="str">
        <x:v>Calendar and support capacity protected; no physical start authority.</x:v>
      </x:c>
      <x:c r="D17" s="62"/>
      <x:c r="E17" s="62"/>
      <x:c r="F17" s="62"/>
      <x:c r="G17" s="62"/>
      <x:c r="H17" s="62"/>
      <x:c r="I17" s="62"/>
      <x:c r="J17" s="62"/>
    </x:row>
    <x:row r="18" ht="41" customHeight="1">
      <x:c r="B18" s="53" t="str">
        <x:v>ACTIVE</x:v>
      </x:c>
      <x:c r="C18" s="62" t="str">
        <x:v>A registered event has begun and cannot be moved under the same identity.</x:v>
      </x:c>
      <x:c r="D18" s="62"/>
      <x:c r="E18" s="62"/>
      <x:c r="F18" s="62"/>
      <x:c r="G18" s="62"/>
      <x:c r="H18" s="62"/>
      <x:c r="I18" s="62"/>
      <x:c r="J18" s="62"/>
    </x:row>
    <x:row r="19" ht="41" customHeight="1">
      <x:c r="B19" s="53" t="str">
        <x:v>SAFE_HOLD</x:v>
      </x:c>
      <x:c r="C19" s="62" t="str">
        <x:v>Safety action stopped the event; causal classification remains open.</x:v>
      </x:c>
      <x:c r="D19" s="62"/>
      <x:c r="E19" s="62"/>
      <x:c r="F19" s="62"/>
      <x:c r="G19" s="62"/>
      <x:c r="H19" s="62"/>
      <x:c r="I19" s="62"/>
      <x:c r="J19" s="62"/>
    </x:row>
    <x:row r="20" ht="41" customHeight="1">
      <x:c r="B20" s="53" t="str">
        <x:v>MODELED RANGE-INVALID</x:v>
      </x:c>
      <x:c r="C20" s="62" t="str">
        <x:v>The declared campus loss prevents the registered event from finishing.</x:v>
      </x:c>
      <x:c r="D20" s="62"/>
      <x:c r="E20" s="62"/>
      <x:c r="F20" s="62"/>
      <x:c r="G20" s="62"/>
      <x:c r="H20" s="62"/>
      <x:c r="I20" s="62"/>
      <x:c r="J20" s="62"/>
    </x:row>
    <x:row r="21" ht="41" customHeight="1">
      <x:c r="B21" s="53" t="str">
        <x:v>MODELED CREDIT</x:v>
      </x:c>
      <x:c r="C21" s="62" t="str">
        <x:v>The scenario assumes a complete valid packet; no observed credit exists.</x:v>
      </x:c>
      <x:c r="D21" s="62"/>
      <x:c r="E21" s="62"/>
      <x:c r="F21" s="62"/>
      <x:c r="G21" s="62"/>
      <x:c r="H21" s="62"/>
      <x:c r="I21" s="62"/>
      <x:c r="J21" s="62"/>
    </x:row>
    <x:row r="22" ht="41" customHeight="1">
      <x:c r="B22" s="53" t="str">
        <x:v>REMOTE_PACKET</x:v>
      </x:c>
      <x:c r="C22" s="62" t="str">
        <x:v>Physical work ended before loss but terminal adjudication depends on outside evidence.</x:v>
      </x:c>
      <x:c r="D22" s="62"/>
      <x:c r="E22" s="62"/>
      <x:c r="F22" s="62"/>
      <x:c r="G22" s="62"/>
      <x:c r="H22" s="62"/>
      <x:c r="I22" s="62"/>
      <x:c r="J22" s="62"/>
    </x:row>
    <x:row r="23" ht="41" customHeight="1">
      <x:c r="B23" s="53" t="str">
        <x:v>HOLD / BLOCKED</x:v>
      </x:c>
      <x:c r="C23" s="62" t="str">
        <x:v>A predecessor or parent authority is absent.</x:v>
      </x:c>
      <x:c r="D23" s="62"/>
      <x:c r="E23" s="62"/>
      <x:c r="F23" s="62"/>
      <x:c r="G23" s="62"/>
      <x:c r="H23" s="62"/>
      <x:c r="I23" s="62"/>
      <x:c r="J23" s="62"/>
    </x:row>
  </x:sheetData>
  <x:mergeCells>
    <x:mergeCell ref="B3:J3"/>
    <x:mergeCell ref="B6:J6"/>
    <x:mergeCell ref="C7:J7"/>
    <x:mergeCell ref="C8:J8"/>
    <x:mergeCell ref="C9:J9"/>
    <x:mergeCell ref="C10:J10"/>
    <x:mergeCell ref="C11:J11"/>
    <x:mergeCell ref="C12:J12"/>
    <x:mergeCell ref="C13:J13"/>
    <x:mergeCell ref="B16:J16"/>
    <x:mergeCell ref="C17:J17"/>
    <x:mergeCell ref="C18:J18"/>
    <x:mergeCell ref="C19:J19"/>
    <x:mergeCell ref="C20:J20"/>
    <x:mergeCell ref="C21:J21"/>
    <x:mergeCell ref="C22:J22"/>
    <x:mergeCell ref="C23:J23"/>
  </x:mergeCells>
  <x:conditionalFormatting sqref="B17:B23">
    <x:cfRule type="containsText" dxfId="240" priority="1" operator="containsText" text="FAIL"/>
    <x:cfRule type="containsText" dxfId="241" priority="2" operator="containsText" text="BLOCKED"/>
    <x:cfRule type="containsText" dxfId="242" priority="3" operator="containsText" text="HOLD"/>
    <x:cfRule type="containsText" dxfId="243" priority="4" operator="containsText" text="OPEN"/>
    <x:cfRule type="containsText" dxfId="244" priority="5" operator="containsText" text="RANGE-INVALID"/>
    <x:cfRule type="containsText" dxfId="245" priority="6" operator="containsText" text="INDETERMINATE"/>
    <x:cfRule type="containsText" dxfId="246" priority="7" operator="containsText" text="PASS"/>
    <x:cfRule type="containsText" dxfId="247" priority="8" operator="containsText" text="AUTHORIZED"/>
    <x:cfRule type="containsText" dxfId="248" priority="9" operator="containsText" text="RELEASED"/>
    <x:cfRule type="containsText" dxfId="249" priority="10" operator="containsText" text="ADMITTED"/>
    <x:cfRule type="containsText" dxfId="250" priority="11" operator="containsText" text="MODELED CREDIT"/>
    <x:cfRule type="containsText" dxfId="251" priority="12" operator="containsText" text="PLANNING COMPLETE"/>
  </x:conditionalFormatting>
  <x:pageMargins left="0.7" right="0.7" top="0.75" bottom="0.75" header="0.3" footer="0.3"/>
</x:worksheet>
</file>