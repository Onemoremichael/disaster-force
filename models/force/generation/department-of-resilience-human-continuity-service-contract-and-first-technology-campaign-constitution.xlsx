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1a7c19cd304c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" sheetId="1" r:id="Rd4582a33676f4bf2"/>
    <x:sheet xmlns:r="http://schemas.openxmlformats.org/officeDocument/2006/relationships" name="Controls" sheetId="2" r:id="R3764ede61e9e46b2"/>
    <x:sheet xmlns:r="http://schemas.openxmlformats.org/officeDocument/2006/relationships" name="Contract Test" sheetId="3" r:id="R1e5d7549fa9c4618"/>
    <x:sheet xmlns:r="http://schemas.openxmlformats.org/officeDocument/2006/relationships" name="Service Stages" sheetId="4" r:id="R811e2816eab444d0"/>
    <x:sheet xmlns:r="http://schemas.openxmlformats.org/officeDocument/2006/relationships" name="Routes" sheetId="5" r:id="R1aed4e7485934f3d"/>
    <x:sheet xmlns:r="http://schemas.openxmlformats.org/officeDocument/2006/relationships" name="Family Allocation" sheetId="6" r:id="R1497a121f5f14583"/>
    <x:sheet xmlns:r="http://schemas.openxmlformats.org/officeDocument/2006/relationships" name="Route Stage" sheetId="7" r:id="R79f89685b97b47ab"/>
    <x:sheet xmlns:r="http://schemas.openxmlformats.org/officeDocument/2006/relationships" name="Continuity State" sheetId="8" r:id="R510ef7c48500497b"/>
    <x:sheet xmlns:r="http://schemas.openxmlformats.org/officeDocument/2006/relationships" name="Mission Interfaces" sheetId="9" r:id="Re24f0743d8684ffc"/>
    <x:sheet xmlns:r="http://schemas.openxmlformats.org/officeDocument/2006/relationships" name="Campaign Load" sheetId="10" r:id="R04e45336ecfa41b2"/>
    <x:sheet xmlns:r="http://schemas.openxmlformats.org/officeDocument/2006/relationships" name="Technology Portfolio" sheetId="11" r:id="R3dcdc0097bd845ab"/>
    <x:sheet xmlns:r="http://schemas.openxmlformats.org/officeDocument/2006/relationships" name="25-Year Profile" sheetId="12" r:id="R0075ab84f1ff494b"/>
    <x:sheet xmlns:r="http://schemas.openxmlformats.org/officeDocument/2006/relationships" name="First Campaign" sheetId="13" r:id="R870e623490c540f1"/>
    <x:sheet xmlns:r="http://schemas.openxmlformats.org/officeDocument/2006/relationships" name="Audit" sheetId="14" r:id="Rfa8512cb6ce94add"/>
    <x:sheet xmlns:r="http://schemas.openxmlformats.org/officeDocument/2006/relationships" name="Sources" sheetId="15" r:id="Redaa85f190144f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&quot;$&quot;#,##0.0"/>
    <x:numFmt numFmtId="202" formatCode="0.0%"/>
  </x:numFmts>
  <x:fonts count="7">
    <x:font>
      <x:sz val="11"/>
      <x:name val="Carlito"/>
    </x:font>
    <x:font>
      <x:sz val="10"/>
      <x:color rgb="FF1F1F1F"/>
      <x:name val="Arial"/>
    </x:font>
    <x:font>
      <x:b/>
      <x:sz val="14"/>
      <x:color rgb="FF17365D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  <x:font>
      <x:sz val="10"/>
      <x:color rgb="FF0000FF"/>
      <x:name val="Arial"/>
    </x:font>
    <x:font>
      <x:i/>
      <x:sz val="10"/>
      <x:color rgb="FF66666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6">
    <x:border/>
    <x:border>
      <x:bottom style="medium">
        <x:color rgb="FF17365D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200" fontId="5" fillId="4" borderId="0" xfId="0" applyNumberFormat="1" applyFont="1" applyFill="1" applyBorder="1"/>
    <x:xf numFmtId="202" fontId="5" fillId="4" borderId="0" xfId="0" applyNumberFormat="1" applyFont="1" applyFill="1" applyBorder="1"/>
    <x:xf numFmtId="202" fontId="1" fillId="0" borderId="0" xfId="0" applyNumberFormat="1" applyFont="1" applyFill="1" applyBorder="1"/>
    <x:xf numFmtId="0" fontId="6" fillId="0" borderId="0" xfId="0" applyNumberFormat="1" applyFont="1" applyFill="1" applyBorder="1"/>
    <x:xf numFmtId="200" fontId="4" fillId="3" borderId="4" xfId="0" applyNumberFormat="1" applyFont="1" applyFill="1" applyBorder="1"/>
    <x:xf numFmtId="201" fontId="4" fillId="3" borderId="4" xfId="0" applyNumberFormat="1" applyFont="1" applyFill="1" applyBorder="1"/>
    <x:xf numFmtId="202" fontId="4" fillId="3" borderId="4" xfId="0" applyNumberFormat="1" applyFont="1" applyFill="1" applyBorder="1"/>
    <x:xf numFmtId="201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5" fillId="4" borderId="0" xfId="0" applyNumberFormat="1" applyFont="1" applyFill="1" applyBorder="1" applyAlignment="1">
      <x:alignment vertical="center"/>
    </x:xf>
    <x:xf numFmtId="202" fontId="5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4" fillId="3" borderId="4" xfId="0" applyNumberFormat="1" applyFont="1" applyFill="1" applyBorder="1" applyAlignment="1">
      <x:alignment vertical="center"/>
    </x:xf>
    <x:xf numFmtId="201" fontId="4" fillId="3" borderId="4" xfId="0" applyNumberFormat="1" applyFont="1" applyFill="1" applyBorder="1" applyAlignment="1">
      <x:alignment vertical="center"/>
    </x:xf>
    <x:xf numFmtId="202" fontId="4" fillId="3" borderId="4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9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9b3fffa464453d" /><Relationship Type="http://schemas.openxmlformats.org/officeDocument/2006/relationships/theme" Target="/xl/theme/theme1.xml" Id="R2542a656cf2f4595" /><Relationship Type="http://schemas.openxmlformats.org/officeDocument/2006/relationships/sharedStrings" Target="/xl/sharedStrings.xml" Id="Rbf9dccc00f654643" /><Relationship Type="http://schemas.openxmlformats.org/officeDocument/2006/relationships/worksheet" Target="/xl/worksheets/sheet1.xml" Id="Rd4582a33676f4bf2" /><Relationship Type="http://schemas.openxmlformats.org/officeDocument/2006/relationships/worksheet" Target="/xl/worksheets/sheet2.xml" Id="R3764ede61e9e46b2" /><Relationship Type="http://schemas.openxmlformats.org/officeDocument/2006/relationships/worksheet" Target="/xl/worksheets/sheet3.xml" Id="R1e5d7549fa9c4618" /><Relationship Type="http://schemas.openxmlformats.org/officeDocument/2006/relationships/worksheet" Target="/xl/worksheets/sheet4.xml" Id="R811e2816eab444d0" /><Relationship Type="http://schemas.openxmlformats.org/officeDocument/2006/relationships/worksheet" Target="/xl/worksheets/sheet5.xml" Id="R1aed4e7485934f3d" /><Relationship Type="http://schemas.openxmlformats.org/officeDocument/2006/relationships/worksheet" Target="/xl/worksheets/sheet6.xml" Id="R1497a121f5f14583" /><Relationship Type="http://schemas.openxmlformats.org/officeDocument/2006/relationships/worksheet" Target="/xl/worksheets/sheet7.xml" Id="R79f89685b97b47ab" /><Relationship Type="http://schemas.openxmlformats.org/officeDocument/2006/relationships/worksheet" Target="/xl/worksheets/sheet8.xml" Id="R510ef7c48500497b" /><Relationship Type="http://schemas.openxmlformats.org/officeDocument/2006/relationships/worksheet" Target="/xl/worksheets/sheet9.xml" Id="Re24f0743d8684ffc" /><Relationship Type="http://schemas.openxmlformats.org/officeDocument/2006/relationships/worksheet" Target="/xl/worksheets/sheet10.xml" Id="R04e45336ecfa41b2" /><Relationship Type="http://schemas.openxmlformats.org/officeDocument/2006/relationships/worksheet" Target="/xl/worksheets/sheet11.xml" Id="R3dcdc0097bd845ab" /><Relationship Type="http://schemas.openxmlformats.org/officeDocument/2006/relationships/worksheet" Target="/xl/worksheets/sheet12.xml" Id="R0075ab84f1ff494b" /><Relationship Type="http://schemas.openxmlformats.org/officeDocument/2006/relationships/worksheet" Target="/xl/worksheets/sheet13.xml" Id="R870e623490c540f1" /><Relationship Type="http://schemas.openxmlformats.org/officeDocument/2006/relationships/worksheet" Target="/xl/worksheets/sheet14.xml" Id="Rfa8512cb6ce94add" /><Relationship Type="http://schemas.openxmlformats.org/officeDocument/2006/relationships/worksheet" Target="/xl/worksheets/sheet15.xml" Id="Redaa85f190144fd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8361b5c6f7645c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7906890d41ce46e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Formation demand and inventory by service route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Concurrent demand</c:v>
          </c:tx>
          <c:spPr>
            <a:solidFill xmlns:a="http://schemas.openxmlformats.org/drawingml/2006/main">
              <a:srgbClr val="2F75B5"/>
            </a:solidFill>
          </c:spPr>
          <c:cat>
            <c:strRef>
              <c:f>'Decision'!$J$5:$J$9</c:f>
              <c:strCache>
                <c:ptCount val="0"/>
              </c:strCache>
            </c:strRef>
          </c:cat>
          <c:val>
            <c:numRef>
              <c:f>'Decision'!$K$5:$K$9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N−1 inventory</c:v>
          </c:tx>
          <c:spPr>
            <a:solidFill xmlns:a="http://schemas.openxmlformats.org/drawingml/2006/main">
              <a:srgbClr val="70AD47"/>
            </a:solidFill>
          </c:spPr>
          <c:cat>
            <c:strRef>
              <c:f>'Decision'!$J$5:$J$9</c:f>
              <c:strCache>
                <c:ptCount val="0"/>
              </c:strCache>
            </c:strRef>
          </c:cat>
          <c:val>
            <c:numRef>
              <c:f>'Decision'!$L$5:$L$9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Annual technology allocation (USD B)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MS-HU allocation (USD B)</c:v>
          </c:tx>
          <c:spPr>
            <a:ln xmlns:a="http://schemas.openxmlformats.org/drawingml/2006/main" w="19050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'25-Year Profile'!$C$5:$C$29</c:f>
              <c:strCache>
                <c:ptCount val="0"/>
              </c:strCache>
            </c:strRef>
          </c:cat>
          <c:val>
            <c:numRef>
              <c:f>'25-Year Profile'!$H$5:$H$29</c:f>
              <c:numCache>
                <c:formatCode>"$"#,##0.0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First campaign allocation (USD B)</c:v>
          </c:tx>
          <c:spPr>
            <a:ln xmlns:a="http://schemas.openxmlformats.org/drawingml/2006/main" w="19050">
              <a:solidFill>
                <a:srgbClr val="70AD47"/>
              </a:solidFill>
              <a:prstDash val="solid"/>
            </a:ln>
          </c:spPr>
          <c:marker>
            <c:symbol val="none"/>
          </c:marker>
          <c:cat>
            <c:strRef>
              <c:f>'25-Year Profile'!$C$5:$C$29</c:f>
              <c:strCache>
                <c:ptCount val="0"/>
              </c:strCache>
            </c:strRef>
          </c:cat>
          <c:val>
            <c:numRef>
              <c:f>'25-Year Profile'!$I$5:$I$29</c:f>
              <c:numCache>
                <c:formatCode>"$"#,##0.0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10</xdr:row>
      <xdr:rowOff>0</xdr:rowOff>
    </xdr:from>
    <xdr:to>
      <xdr:col>16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361b5c6f7645c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06890d41ce46e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9b6105de5dd4a9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2.xml" Id="Rfbfea9c03c524031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29" hidden="0" customWidth="1"/>
    <x:col min="4" max="4" width="88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  <x:col min="9" max="9" width="3" hidden="0" customWidth="1"/>
    <x:col min="10" max="10" width="34" hidden="0" customWidth="1"/>
    <x:col min="11" max="11" width="18" hidden="0" customWidth="1"/>
    <x:col min="12" max="12" width="18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>
      <x:c r="A2" s="1"/>
      <x:c r="B2" s="1"/>
      <x:c r="C2" s="3" t="str">
        <x:v>Human continuity service contract and first technology campaign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>
      <x:c r="A3" s="1"/>
      <x:c r="B3" s="1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  <x:c r="AA3" s="30"/>
      <x:c r="AB3" s="30"/>
      <x:c r="AC3" s="30"/>
      <x:c r="AD3" s="30"/>
      <x:c r="AE3" s="30"/>
      <x:c r="AF3" s="30"/>
      <x:c r="AG3" s="30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>
      <x:c r="A4" s="1"/>
      <x:c r="B4" s="1"/>
      <x:c r="C4" s="9" t="str">
        <x:v>Decision field</x:v>
      </x:c>
      <x:c r="D4" s="10" t="str">
        <x:v>Pass 169 result</x:v>
      </x:c>
      <x:c r="E4" s="30"/>
      <x:c r="F4" s="30"/>
      <x:c r="G4" s="30"/>
      <x:c r="H4" s="30"/>
      <x:c r="I4" s="30"/>
      <x:c r="J4" s="9" t="str">
        <x:v>Route</x:v>
      </x:c>
      <x:c r="K4" s="17" t="str">
        <x:v>Concurrent demand</x:v>
      </x:c>
      <x:c r="L4" s="10" t="str">
        <x:v>N−1 inventory</x:v>
      </x:c>
      <x:c r="M4" s="30"/>
      <x:c r="N4" s="30"/>
      <x:c r="O4" s="30"/>
      <x:c r="P4" s="30"/>
      <x:c r="Q4" s="30"/>
      <x:c r="R4" s="30"/>
      <x:c r="S4" s="30"/>
      <x:c r="T4" s="30"/>
      <x:c r="U4" s="30"/>
      <x:c r="V4" s="30"/>
      <x:c r="W4" s="30"/>
      <x:c r="X4" s="30"/>
      <x:c r="Y4" s="30"/>
      <x:c r="Z4" s="30"/>
      <x:c r="AA4" s="30"/>
      <x:c r="AB4" s="30"/>
      <x:c r="AC4" s="30"/>
      <x:c r="AD4" s="30"/>
      <x:c r="AE4" s="30"/>
      <x:c r="AF4" s="30"/>
      <x:c r="AG4" s="30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>
      <x:c r="A5" s="1"/>
      <x:c r="B5" s="1"/>
      <x:c r="C5" s="31" t="str">
        <x:v>Verdict</x:v>
      </x:c>
      <x:c r="D5" s="30" t="str">
        <x:v>CLOSE</x:v>
      </x:c>
      <x:c r="E5" s="30"/>
      <x:c r="F5" s="30"/>
      <x:c r="G5" s="30"/>
      <x:c r="H5" s="30"/>
      <x:c r="I5" s="30"/>
      <x:c r="J5" s="30" t="str">
        <x:v>Local support continuity</x:v>
      </x:c>
      <x:c r="K5" s="30" t="n">
        <x:f>Routes!H5</x:f>
        <x:v>333</x:v>
      </x:c>
      <x:c r="L5" s="30" t="n">
        <x:f>Routes!I5</x:f>
        <x:v>703</x:v>
      </x:c>
      <x:c r="M5" s="30"/>
      <x:c r="N5" s="30"/>
      <x:c r="O5" s="30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  <x:c r="AA5" s="30"/>
      <x:c r="AB5" s="30"/>
      <x:c r="AC5" s="30"/>
      <x:c r="AD5" s="30"/>
      <x:c r="AE5" s="30"/>
      <x:c r="AF5" s="30"/>
      <x:c r="AG5" s="30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>
      <x:c r="A6" s="1"/>
      <x:c r="B6" s="1"/>
      <x:c r="C6" s="31" t="str">
        <x:v>Selected contract</x:v>
      </x:c>
      <x:c r="D6" s="30" t="str">
        <x:v>Five service routes × seven serial stages</x:v>
      </x:c>
      <x:c r="E6" s="30"/>
      <x:c r="F6" s="30"/>
      <x:c r="G6" s="30"/>
      <x:c r="H6" s="30"/>
      <x:c r="I6" s="30"/>
      <x:c r="J6" s="30" t="str">
        <x:v>Definitive clinical care</x:v>
      </x:c>
      <x:c r="K6" s="30" t="n">
        <x:f>Routes!H6</x:f>
        <x:v>77</x:v>
      </x:c>
      <x:c r="L6" s="30" t="n">
        <x:f>Routes!I6</x:f>
        <x:v>179</x:v>
      </x:c>
      <x:c r="M6" s="30"/>
      <x:c r="N6" s="30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30"/>
      <x:c r="Z6" s="30"/>
      <x:c r="AA6" s="30"/>
      <x:c r="AB6" s="30"/>
      <x:c r="AC6" s="30"/>
      <x:c r="AD6" s="30"/>
      <x:c r="AE6" s="30"/>
      <x:c r="AF6" s="30"/>
      <x:c r="AG6" s="30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>
      <x:c r="A7" s="1"/>
      <x:c r="B7" s="1"/>
      <x:c r="C7" s="31" t="str">
        <x:v>Service unit</x:v>
      </x:c>
      <x:c r="D7" s="30" t="str">
        <x:v>Person–household–care relationship bundle</x:v>
      </x:c>
      <x:c r="E7" s="30"/>
      <x:c r="F7" s="30"/>
      <x:c r="G7" s="30"/>
      <x:c r="H7" s="30"/>
      <x:c r="I7" s="30"/>
      <x:c r="J7" s="30" t="str">
        <x:v>Patient regulation and transfer</x:v>
      </x:c>
      <x:c r="K7" s="30" t="n">
        <x:f>Routes!H7</x:f>
        <x:v>80</x:v>
      </x:c>
      <x:c r="L7" s="30" t="n">
        <x:f>Routes!I7</x:f>
        <x:v>186</x:v>
      </x:c>
      <x:c r="M7" s="30"/>
      <x:c r="N7" s="30"/>
      <x:c r="O7" s="30"/>
      <x:c r="P7" s="30"/>
      <x:c r="Q7" s="30"/>
      <x:c r="R7" s="30"/>
      <x:c r="S7" s="30"/>
      <x:c r="T7" s="30"/>
      <x:c r="U7" s="30"/>
      <x:c r="V7" s="30"/>
      <x:c r="W7" s="30"/>
      <x:c r="X7" s="30"/>
      <x:c r="Y7" s="30"/>
      <x:c r="Z7" s="30"/>
      <x:c r="AA7" s="30"/>
      <x:c r="AB7" s="30"/>
      <x:c r="AC7" s="30"/>
      <x:c r="AD7" s="30"/>
      <x:c r="AE7" s="30"/>
      <x:c r="AF7" s="30"/>
      <x:c r="AG7" s="30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>
      <x:c r="A8" s="1"/>
      <x:c r="B8" s="1"/>
      <x:c r="C8" s="31" t="str">
        <x:v>MS-HU families</x:v>
      </x:c>
      <x:c r="D8" s="32" t="n">
        <x:v>15</x:v>
      </x:c>
      <x:c r="E8" s="30"/>
      <x:c r="F8" s="30"/>
      <x:c r="G8" s="30"/>
      <x:c r="H8" s="30"/>
      <x:c r="I8" s="30"/>
      <x:c r="J8" s="30" t="str">
        <x:v>Household relocation and reception</x:v>
      </x:c>
      <x:c r="K8" s="30" t="n">
        <x:f>Routes!H8</x:f>
        <x:v>314</x:v>
      </x:c>
      <x:c r="L8" s="30" t="n">
        <x:f>Routes!I8</x:f>
        <x:v>702</x:v>
      </x:c>
      <x:c r="M8" s="30"/>
      <x:c r="N8" s="30"/>
      <x:c r="O8" s="30"/>
      <x:c r="P8" s="30"/>
      <x:c r="Q8" s="30"/>
      <x:c r="R8" s="30"/>
      <x:c r="S8" s="30"/>
      <x:c r="T8" s="30"/>
      <x:c r="U8" s="30"/>
      <x:c r="V8" s="30"/>
      <x:c r="W8" s="30"/>
      <x:c r="X8" s="30"/>
      <x:c r="Y8" s="30"/>
      <x:c r="Z8" s="30"/>
      <x:c r="AA8" s="30"/>
      <x:c r="AB8" s="30"/>
      <x:c r="AC8" s="30"/>
      <x:c r="AD8" s="30"/>
      <x:c r="AE8" s="30"/>
      <x:c r="AF8" s="30"/>
      <x:c r="AG8" s="30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>
      <x:c r="A9" s="1"/>
      <x:c r="B9" s="1"/>
      <x:c r="C9" s="31" t="str">
        <x:v>Concurrent formation demand</x:v>
      </x:c>
      <x:c r="D9" s="32" t="n">
        <x:v>879</x:v>
      </x:c>
      <x:c r="E9" s="30"/>
      <x:c r="F9" s="30"/>
      <x:c r="G9" s="30"/>
      <x:c r="H9" s="30"/>
      <x:c r="I9" s="30"/>
      <x:c r="J9" s="30" t="str">
        <x:v>Workforce replacement</x:v>
      </x:c>
      <x:c r="K9" s="30" t="n">
        <x:f>Routes!H9</x:f>
        <x:v>75</x:v>
      </x:c>
      <x:c r="L9" s="30" t="n">
        <x:f>Routes!I9</x:f>
        <x:v>174</x:v>
      </x:c>
      <x:c r="M9" s="30"/>
      <x:c r="N9" s="30"/>
      <x:c r="O9" s="30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  <x:c r="AA9" s="30"/>
      <x:c r="AB9" s="30"/>
      <x:c r="AC9" s="30"/>
      <x:c r="AD9" s="30"/>
      <x:c r="AE9" s="30"/>
      <x:c r="AF9" s="30"/>
      <x:c r="AG9" s="30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>
      <x:c r="A10" s="1"/>
      <x:c r="B10" s="1"/>
      <x:c r="C10" s="31" t="str">
        <x:v>Selected N−1 inventory</x:v>
      </x:c>
      <x:c r="D10" s="32" t="n">
        <x:v>1944</x:v>
      </x:c>
      <x:c r="E10" s="30"/>
      <x:c r="F10" s="30"/>
      <x:c r="G10" s="30"/>
      <x:c r="H10" s="30"/>
      <x:c r="I10" s="30"/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  <x:c r="AA10" s="30"/>
      <x:c r="AB10" s="30"/>
      <x:c r="AC10" s="30"/>
      <x:c r="AD10" s="30"/>
      <x:c r="AE10" s="30"/>
      <x:c r="AF10" s="30"/>
      <x:c r="AG10" s="30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>
      <x:c r="A11" s="1"/>
      <x:c r="B11" s="1"/>
      <x:c r="C11" s="31" t="str">
        <x:v>Direct affiliated billets</x:v>
      </x:c>
      <x:c r="D11" s="32" t="n">
        <x:v>3251860</x:v>
      </x:c>
      <x:c r="E11" s="30"/>
      <x:c r="F11" s="30"/>
      <x:c r="G11" s="30"/>
      <x:c r="H11" s="30"/>
      <x:c r="I11" s="30"/>
      <x:c r="J11" s="30"/>
      <x:c r="K11" s="30"/>
      <x:c r="L11" s="30"/>
      <x:c r="M11" s="30"/>
      <x:c r="N11" s="30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  <x:c r="AA11" s="30"/>
      <x:c r="AB11" s="30"/>
      <x:c r="AC11" s="30"/>
      <x:c r="AD11" s="30"/>
      <x:c r="AE11" s="30"/>
      <x:c r="AF11" s="30"/>
      <x:c r="AG11" s="30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>
      <x:c r="A12" s="1"/>
      <x:c r="B12" s="1"/>
      <x:c r="C12" s="31" t="str">
        <x:v>Formation capital (USD B)</x:v>
      </x:c>
      <x:c r="D12" s="33" t="n">
        <x:v>2482.8</x:v>
      </x:c>
      <x:c r="E12" s="30"/>
      <x:c r="F12" s="30"/>
      <x:c r="G12" s="30"/>
      <x:c r="H12" s="30"/>
      <x:c r="I12" s="30"/>
      <x:c r="J12" s="30"/>
      <x:c r="K12" s="30"/>
      <x:c r="L12" s="30"/>
      <x:c r="M12" s="30"/>
      <x:c r="N12" s="30"/>
      <x:c r="O12" s="30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  <x:c r="AA12" s="30"/>
      <x:c r="AB12" s="30"/>
      <x:c r="AC12" s="30"/>
      <x:c r="AD12" s="30"/>
      <x:c r="AE12" s="30"/>
      <x:c r="AF12" s="30"/>
      <x:c r="AG12" s="30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>
      <x:c r="A13" s="1"/>
      <x:c r="B13" s="1"/>
      <x:c r="C13" s="31" t="str">
        <x:v>Technology envelope (USD B)</x:v>
      </x:c>
      <x:c r="D13" s="33" t="n">
        <x:v>153.1017614897401</x:v>
      </x:c>
      <x:c r="E13" s="30"/>
      <x:c r="F13" s="30"/>
      <x:c r="G13" s="30"/>
      <x:c r="H13" s="30"/>
      <x:c r="I13" s="30"/>
      <x:c r="J13" s="30"/>
      <x:c r="K13" s="30"/>
      <x:c r="L13" s="30"/>
      <x:c r="M13" s="30"/>
      <x:c r="N13" s="30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  <x:c r="AA13" s="30"/>
      <x:c r="AB13" s="30"/>
      <x:c r="AC13" s="30"/>
      <x:c r="AD13" s="30"/>
      <x:c r="AE13" s="30"/>
      <x:c r="AF13" s="30"/>
      <x:c r="AG13" s="30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>
      <x:c r="A14" s="1"/>
      <x:c r="B14" s="1"/>
      <x:c r="C14" s="31" t="str">
        <x:v>Technology competitions</x:v>
      </x:c>
      <x:c r="D14" s="30" t="n">
        <x:v>12</x:v>
      </x:c>
      <x:c r="E14" s="30"/>
      <x:c r="F14" s="30"/>
      <x:c r="G14" s="30"/>
      <x:c r="H14" s="30"/>
      <x:c r="I14" s="30"/>
      <x:c r="J14" s="30"/>
      <x:c r="K14" s="30"/>
      <x:c r="L14" s="30"/>
      <x:c r="M14" s="30"/>
      <x:c r="N14" s="30"/>
      <x:c r="O14" s="30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  <x:c r="AA14" s="30"/>
      <x:c r="AB14" s="30"/>
      <x:c r="AC14" s="30"/>
      <x:c r="AD14" s="30"/>
      <x:c r="AE14" s="30"/>
      <x:c r="AF14" s="30"/>
      <x:c r="AG14" s="30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>
      <x:c r="A15" s="1"/>
      <x:c r="B15" s="1"/>
      <x:c r="C15" s="34" t="str">
        <x:v>First campaign</x:v>
      </x:c>
      <x:c r="D15" s="30" t="str">
        <x:v>HU-04A — continuity state, admission and matching</x:v>
      </x:c>
      <x:c r="E15" s="30"/>
      <x:c r="F15" s="30"/>
      <x:c r="G15" s="30"/>
      <x:c r="H15" s="30"/>
      <x:c r="I15" s="30"/>
      <x:c r="J15" s="30"/>
      <x:c r="K15" s="30"/>
      <x:c r="L15" s="30"/>
      <x:c r="M15" s="30"/>
      <x:c r="N15" s="30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  <x:c r="AA15" s="30"/>
      <x:c r="AB15" s="30"/>
      <x:c r="AC15" s="30"/>
      <x:c r="AD15" s="30"/>
      <x:c r="AE15" s="30"/>
      <x:c r="AF15" s="30"/>
      <x:c r="AG15" s="30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>
      <x:c r="A16" s="1"/>
      <x:c r="B16" s="1"/>
      <x:c r="C16" s="30"/>
      <x:c r="D16" s="30"/>
      <x:c r="E16" s="30"/>
      <x:c r="F16" s="30"/>
      <x:c r="G16" s="30"/>
      <x:c r="H16" s="30"/>
      <x:c r="I16" s="30"/>
      <x:c r="J16" s="30"/>
      <x:c r="K16" s="30"/>
      <x:c r="L16" s="30"/>
      <x:c r="M16" s="30"/>
      <x:c r="N16" s="30"/>
      <x:c r="O16" s="30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  <x:c r="AA16" s="30"/>
      <x:c r="AB16" s="30"/>
      <x:c r="AC16" s="30"/>
      <x:c r="AD16" s="30"/>
      <x:c r="AE16" s="30"/>
      <x:c r="AF16" s="30"/>
      <x:c r="AG16" s="30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 ht="38" customHeight="1">
      <x:c r="A17" s="1"/>
      <x:c r="B17" s="1"/>
      <x:c r="C17" s="31" t="str">
        <x:v>Resolution test</x:v>
      </x:c>
      <x:c r="D17" s="35" t="str">
        <x:v>Changing the contract changes what counts as service for the Department's largest portfolio, the admission logic for 1,944 formation equivalents and the first USD 12.8B technology campaign.</x:v>
      </x:c>
      <x:c r="E17" s="30"/>
      <x:c r="F17" s="30"/>
      <x:c r="G17" s="30"/>
      <x:c r="H17" s="30"/>
      <x:c r="I17" s="30"/>
      <x:c r="J17" s="30"/>
      <x:c r="K17" s="30"/>
      <x:c r="L17" s="30"/>
      <x:c r="M17" s="30"/>
      <x:c r="N17" s="30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  <x:c r="AA17" s="30"/>
      <x:c r="AB17" s="30"/>
      <x:c r="AC17" s="30"/>
      <x:c r="AD17" s="30"/>
      <x:c r="AE17" s="30"/>
      <x:c r="AF17" s="30"/>
      <x:c r="AG17" s="30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 ht="38" customHeight="1">
      <x:c r="A18" s="1"/>
      <x:c r="B18" s="1"/>
      <x:c r="C18" s="31" t="str">
        <x:v>Selected topology</x:v>
      </x:c>
      <x:c r="D18" s="35" t="str">
        <x:v>Local continuity, definitive care, patient transfer, household relocation and workforce replacement share one seven-stage completion law.</x:v>
      </x:c>
      <x:c r="E18" s="30"/>
      <x:c r="F18" s="30"/>
      <x:c r="G18" s="30"/>
      <x:c r="H18" s="30"/>
      <x:c r="I18" s="30"/>
      <x:c r="J18" s="30"/>
      <x:c r="K18" s="30"/>
      <x:c r="L18" s="30"/>
      <x:c r="M18" s="30"/>
      <x:c r="N18" s="30"/>
      <x:c r="O18" s="30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  <x:c r="AA18" s="30"/>
      <x:c r="AB18" s="30"/>
      <x:c r="AC18" s="30"/>
      <x:c r="AD18" s="30"/>
      <x:c r="AE18" s="30"/>
      <x:c r="AF18" s="30"/>
      <x:c r="AG18" s="30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 ht="38" customHeight="1">
      <x:c r="A19" s="1"/>
      <x:c r="B19" s="1"/>
      <x:c r="C19" s="31" t="str">
        <x:v>Stay-first rule</x:v>
      </x:c>
      <x:c r="D19" s="35" t="str">
        <x:v>Safe local service is a successful route; movement is required only when it improves the person's complete service state.</x:v>
      </x:c>
      <x:c r="E19" s="30"/>
      <x:c r="F19" s="30"/>
      <x:c r="G19" s="30"/>
      <x:c r="H19" s="30"/>
      <x:c r="I19" s="30"/>
      <x:c r="J19" s="30"/>
      <x:c r="K19" s="30"/>
      <x:c r="L19" s="30"/>
      <x:c r="M19" s="30"/>
      <x:c r="N19" s="30"/>
      <x:c r="O19" s="30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  <x:c r="AA19" s="30"/>
      <x:c r="AB19" s="30"/>
      <x:c r="AC19" s="30"/>
      <x:c r="AD19" s="30"/>
      <x:c r="AE19" s="30"/>
      <x:c r="AF19" s="30"/>
      <x:c r="AG19" s="30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 ht="38" customHeight="1">
      <x:c r="A20" s="1"/>
      <x:c r="B20" s="1"/>
      <x:c r="C20" s="31" t="str">
        <x:v>Destination rule</x:v>
      </x:c>
      <x:c r="D20" s="35" t="str">
        <x:v>A seat, bed, shelter place or nominal vacancy cannot authorize dispatch; the receiving service must accept the complete bundle.</x:v>
      </x:c>
      <x:c r="E20" s="30"/>
      <x:c r="F20" s="30"/>
      <x:c r="G20" s="30"/>
      <x:c r="H20" s="30"/>
      <x:c r="I20" s="30"/>
      <x:c r="J20" s="30"/>
      <x:c r="K20" s="30"/>
      <x:c r="L20" s="30"/>
      <x:c r="M20" s="30"/>
      <x:c r="N20" s="30"/>
      <x:c r="O20" s="30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  <x:c r="AA20" s="30"/>
      <x:c r="AB20" s="30"/>
      <x:c r="AC20" s="30"/>
      <x:c r="AD20" s="30"/>
      <x:c r="AE20" s="30"/>
      <x:c r="AF20" s="30"/>
      <x:c r="AG20" s="30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 ht="38" customHeight="1">
      <x:c r="A21" s="1"/>
      <x:c r="B21" s="1"/>
      <x:c r="C21" s="31" t="str">
        <x:v>Completion rule</x:v>
      </x:c>
      <x:c r="D21" s="35" t="str">
        <x:v>No served credit until the route closes supported discharge, return or durable transition and the force regeneration obligation is visible.</x:v>
      </x:c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  <x:c r="AA21" s="30"/>
      <x:c r="AB21" s="30"/>
      <x:c r="AC21" s="30"/>
      <x:c r="AD21" s="30"/>
      <x:c r="AE21" s="30"/>
      <x:c r="AF21" s="30"/>
      <x:c r="AG21" s="30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 ht="38" customHeight="1">
      <x:c r="A22" s="1"/>
      <x:c r="B22" s="1"/>
      <x:c r="C22" s="31" t="str">
        <x:v>Technology sequence</x:v>
      </x:c>
      <x:c r="D22" s="35" t="str">
        <x:v>The first campaign makes every later physical campaign measurable across all routes and stages; it cannot substitute records for service.</x:v>
      </x:c>
      <x:c r="E22" s="30"/>
      <x:c r="F22" s="30"/>
      <x:c r="G22" s="30"/>
      <x:c r="H22" s="30"/>
      <x:c r="I22" s="30"/>
      <x:c r="J22" s="30"/>
      <x:c r="K22" s="30"/>
      <x:c r="L22" s="30"/>
      <x:c r="M22" s="30"/>
      <x:c r="N22" s="30"/>
      <x:c r="O22" s="30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  <x:c r="AA22" s="30"/>
      <x:c r="AB22" s="30"/>
      <x:c r="AC22" s="30"/>
      <x:c r="AD22" s="30"/>
      <x:c r="AE22" s="30"/>
      <x:c r="AF22" s="30"/>
      <x:c r="AG22" s="30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 ht="38" customHeight="1">
      <x:c r="A23" s="1"/>
      <x:c r="B23" s="1"/>
      <x:c r="C23" s="31" t="str">
        <x:v>Quantity credit</x:v>
      </x:c>
      <x:c r="D23" s="35" t="str">
        <x:v>Zero. This pass creates no person capacity, formation reduction or procurement authority.</x:v>
      </x:c>
      <x:c r="E23" s="30"/>
      <x:c r="F23" s="30"/>
      <x:c r="G23" s="30"/>
      <x:c r="H23" s="30"/>
      <x:c r="I23" s="30"/>
      <x:c r="J23" s="30"/>
      <x:c r="K23" s="30"/>
      <x:c r="L23" s="30"/>
      <x:c r="M23" s="30"/>
      <x:c r="N23" s="30"/>
      <x:c r="O23" s="30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  <x:c r="AA23" s="30"/>
      <x:c r="AB23" s="30"/>
      <x:c r="AC23" s="30"/>
      <x:c r="AD23" s="30"/>
      <x:c r="AE23" s="30"/>
      <x:c r="AF23" s="30"/>
      <x:c r="AG23" s="30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 ht="38" customHeight="1">
      <x:c r="A24" s="1"/>
      <x:c r="B24" s="1"/>
      <x:c r="C24" s="34" t="str">
        <x:v>Rendering</x:v>
      </x:c>
      <x:c r="D24" s="35" t="str">
        <x:v>Blocked. No exterior form is selected.</x:v>
      </x:c>
      <x:c r="E24" s="30"/>
      <x:c r="F24" s="30"/>
      <x:c r="G24" s="30"/>
      <x:c r="H24" s="30"/>
      <x:c r="I24" s="30"/>
      <x:c r="J24" s="30"/>
      <x:c r="K24" s="30"/>
      <x:c r="L24" s="30"/>
      <x:c r="M24" s="30"/>
      <x:c r="N24" s="30"/>
      <x:c r="O24" s="30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  <x:c r="AA24" s="30"/>
      <x:c r="AB24" s="30"/>
      <x:c r="AC24" s="30"/>
      <x:c r="AD24" s="30"/>
      <x:c r="AE24" s="30"/>
      <x:c r="AF24" s="30"/>
      <x:c r="AG24" s="30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>
      <x:c r="A25" s="1"/>
      <x:c r="B25" s="1"/>
      <x:c r="C25" s="30"/>
      <x:c r="D25" s="30"/>
      <x:c r="E25" s="30"/>
      <x:c r="F25" s="30"/>
      <x:c r="G25" s="30"/>
      <x:c r="H25" s="30"/>
      <x:c r="I25" s="30"/>
      <x:c r="J25" s="30"/>
      <x:c r="K25" s="30"/>
      <x:c r="L25" s="30"/>
      <x:c r="M25" s="30"/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  <x:c r="AA25" s="30"/>
      <x:c r="AB25" s="30"/>
      <x:c r="AC25" s="30"/>
      <x:c r="AD25" s="30"/>
      <x:c r="AE25" s="30"/>
      <x:c r="AF25" s="30"/>
      <x:c r="AG25" s="30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>
      <x:c r="A26" s="1"/>
      <x:c r="B26" s="1"/>
      <x:c r="C26" s="30"/>
      <x:c r="D26" s="30"/>
      <x:c r="E26" s="30"/>
      <x:c r="F26" s="30"/>
      <x:c r="G26" s="30"/>
      <x:c r="H26" s="30"/>
      <x:c r="I26" s="30"/>
      <x:c r="J26" s="3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  <x:c r="AA26" s="30"/>
      <x:c r="AB26" s="30"/>
      <x:c r="AC26" s="30"/>
      <x:c r="AD26" s="30"/>
      <x:c r="AE26" s="30"/>
      <x:c r="AF26" s="30"/>
      <x:c r="AG26" s="30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>
      <x:c r="A27" s="1"/>
      <x:c r="B27" s="1"/>
      <x:c r="C27" s="30"/>
      <x:c r="D27" s="30"/>
      <x:c r="E27" s="30"/>
      <x:c r="F27" s="30"/>
      <x:c r="G27" s="30"/>
      <x:c r="H27" s="30"/>
      <x:c r="I27" s="30"/>
      <x:c r="J27" s="30"/>
      <x:c r="K27" s="30"/>
      <x:c r="L27" s="30"/>
      <x:c r="M27" s="30"/>
      <x:c r="N27" s="30"/>
      <x:c r="O27" s="30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  <x:c r="AA27" s="30"/>
      <x:c r="AB27" s="30"/>
      <x:c r="AC27" s="30"/>
      <x:c r="AD27" s="30"/>
      <x:c r="AE27" s="30"/>
      <x:c r="AF27" s="30"/>
      <x:c r="AG27" s="30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>
      <x:c r="A28" s="1"/>
      <x:c r="B28" s="1"/>
      <x:c r="C28" s="30"/>
      <x:c r="D28" s="30"/>
      <x:c r="E28" s="30"/>
      <x:c r="F28" s="30"/>
      <x:c r="G28" s="30"/>
      <x:c r="H28" s="30"/>
      <x:c r="I28" s="30"/>
      <x:c r="J28" s="30"/>
      <x:c r="K28" s="30"/>
      <x:c r="L28" s="30"/>
      <x:c r="M28" s="30"/>
      <x:c r="N28" s="30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  <x:c r="AA28" s="30"/>
      <x:c r="AB28" s="30"/>
      <x:c r="AC28" s="30"/>
      <x:c r="AD28" s="30"/>
      <x:c r="AE28" s="30"/>
      <x:c r="AF28" s="30"/>
      <x:c r="AG28" s="30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>
      <x:c r="A29" s="1"/>
      <x:c r="B29" s="1"/>
      <x:c r="C29" s="30"/>
      <x:c r="D29" s="30"/>
      <x:c r="E29" s="30"/>
      <x:c r="F29" s="30"/>
      <x:c r="G29" s="30"/>
      <x:c r="H29" s="30"/>
      <x:c r="I29" s="30"/>
      <x:c r="J29" s="30"/>
      <x:c r="K29" s="30"/>
      <x:c r="L29" s="30"/>
      <x:c r="M29" s="30"/>
      <x:c r="N29" s="30"/>
      <x:c r="O29" s="30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  <x:c r="AA29" s="30"/>
      <x:c r="AB29" s="30"/>
      <x:c r="AC29" s="30"/>
      <x:c r="AD29" s="30"/>
      <x:c r="AE29" s="30"/>
      <x:c r="AF29" s="30"/>
      <x:c r="AG29" s="30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>
      <x:c r="A30" s="1"/>
      <x:c r="B30" s="1"/>
      <x:c r="C30" s="30"/>
      <x:c r="D30" s="30"/>
      <x:c r="E30" s="30"/>
      <x:c r="F30" s="30"/>
      <x:c r="G30" s="30"/>
      <x:c r="H30" s="30"/>
      <x:c r="I30" s="30"/>
      <x:c r="J30" s="30"/>
      <x:c r="K30" s="30"/>
      <x:c r="L30" s="30"/>
      <x:c r="M30" s="30"/>
      <x:c r="N30" s="30"/>
      <x:c r="O30" s="30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  <x:c r="AA30" s="30"/>
      <x:c r="AB30" s="30"/>
      <x:c r="AC30" s="30"/>
      <x:c r="AD30" s="30"/>
      <x:c r="AE30" s="30"/>
      <x:c r="AF30" s="30"/>
      <x:c r="AG30" s="30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>
      <x:c r="A31" s="1"/>
      <x:c r="B31" s="1"/>
      <x:c r="C31" s="30"/>
      <x:c r="D31" s="30"/>
      <x:c r="E31" s="30"/>
      <x:c r="F31" s="30"/>
      <x:c r="G31" s="30"/>
      <x:c r="H31" s="30"/>
      <x:c r="I31" s="30"/>
      <x:c r="J31" s="30"/>
      <x:c r="K31" s="30"/>
      <x:c r="L31" s="30"/>
      <x:c r="M31" s="30"/>
      <x:c r="N31" s="30"/>
      <x:c r="O31" s="30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  <x:c r="AA31" s="30"/>
      <x:c r="AB31" s="30"/>
      <x:c r="AC31" s="30"/>
      <x:c r="AD31" s="30"/>
      <x:c r="AE31" s="30"/>
      <x:c r="AF31" s="30"/>
      <x:c r="AG31" s="30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>
      <x:c r="A32" s="1"/>
      <x:c r="B32" s="1"/>
      <x:c r="C32" s="30"/>
      <x:c r="D32" s="30"/>
      <x:c r="E32" s="30"/>
      <x:c r="F32" s="30"/>
      <x:c r="G32" s="30"/>
      <x:c r="H32" s="30"/>
      <x:c r="I32" s="30"/>
      <x:c r="J32" s="30"/>
      <x:c r="K32" s="30"/>
      <x:c r="L32" s="30"/>
      <x:c r="M32" s="30"/>
      <x:c r="N32" s="30"/>
      <x:c r="O32" s="30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  <x:c r="AA32" s="30"/>
      <x:c r="AB32" s="30"/>
      <x:c r="AC32" s="30"/>
      <x:c r="AD32" s="30"/>
      <x:c r="AE32" s="30"/>
      <x:c r="AF32" s="30"/>
      <x:c r="AG32" s="30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>
      <x:c r="A33" s="1"/>
      <x:c r="B33" s="1"/>
      <x:c r="C33" s="30"/>
      <x:c r="D33" s="30"/>
      <x:c r="E33" s="30"/>
      <x:c r="F33" s="30"/>
      <x:c r="G33" s="30"/>
      <x:c r="H33" s="30"/>
      <x:c r="I33" s="30"/>
      <x:c r="J33" s="30"/>
      <x:c r="K33" s="30"/>
      <x:c r="L33" s="30"/>
      <x:c r="M33" s="30"/>
      <x:c r="N33" s="30"/>
      <x:c r="O33" s="30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  <x:c r="AA33" s="30"/>
      <x:c r="AB33" s="30"/>
      <x:c r="AC33" s="30"/>
      <x:c r="AD33" s="30"/>
      <x:c r="AE33" s="30"/>
      <x:c r="AF33" s="30"/>
      <x:c r="AG33" s="30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>
      <x:c r="A34" s="1"/>
      <x:c r="B34" s="1"/>
      <x:c r="C34" s="30"/>
      <x:c r="D34" s="30"/>
      <x:c r="E34" s="30"/>
      <x:c r="F34" s="30"/>
      <x:c r="G34" s="30"/>
      <x:c r="H34" s="30"/>
      <x:c r="I34" s="30"/>
      <x:c r="J34" s="30"/>
      <x:c r="K34" s="30"/>
      <x:c r="L34" s="30"/>
      <x:c r="M34" s="30"/>
      <x:c r="N34" s="30"/>
      <x:c r="O34" s="30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  <x:c r="AA34" s="30"/>
      <x:c r="AB34" s="30"/>
      <x:c r="AC34" s="30"/>
      <x:c r="AD34" s="30"/>
      <x:c r="AE34" s="30"/>
      <x:c r="AF34" s="30"/>
      <x:c r="AG34" s="30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>
      <x:c r="A35" s="1"/>
      <x:c r="B35" s="1"/>
      <x:c r="C35" s="30"/>
      <x:c r="D35" s="30"/>
      <x:c r="E35" s="30"/>
      <x:c r="F35" s="30"/>
      <x:c r="G35" s="30"/>
      <x:c r="H35" s="30"/>
      <x:c r="I35" s="30"/>
      <x:c r="J35" s="30"/>
      <x:c r="K35" s="30"/>
      <x:c r="L35" s="30"/>
      <x:c r="M35" s="30"/>
      <x:c r="N35" s="30"/>
      <x:c r="O35" s="30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  <x:c r="AA35" s="30"/>
      <x:c r="AB35" s="30"/>
      <x:c r="AC35" s="30"/>
      <x:c r="AD35" s="30"/>
      <x:c r="AE35" s="30"/>
      <x:c r="AF35" s="30"/>
      <x:c r="AG35" s="30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>
      <x:c r="A36" s="1"/>
      <x:c r="B36" s="1"/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  <x:c r="M36" s="30"/>
      <x:c r="N36" s="30"/>
      <x:c r="O36" s="30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  <x:c r="AA36" s="30"/>
      <x:c r="AB36" s="30"/>
      <x:c r="AC36" s="30"/>
      <x:c r="AD36" s="30"/>
      <x:c r="AE36" s="30"/>
      <x:c r="AF36" s="30"/>
      <x:c r="AG36" s="30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>
      <x:c r="A37" s="1"/>
      <x:c r="B37" s="1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  <x:c r="O37" s="30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  <x:c r="AA37" s="30"/>
      <x:c r="AB37" s="30"/>
      <x:c r="AC37" s="30"/>
      <x:c r="AD37" s="30"/>
      <x:c r="AE37" s="30"/>
      <x:c r="AF37" s="30"/>
      <x:c r="AG37" s="30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>
      <x:c r="A38" s="1"/>
      <x:c r="B38" s="1"/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  <x:c r="O38" s="30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  <x:c r="AA38" s="30"/>
      <x:c r="AB38" s="30"/>
      <x:c r="AC38" s="30"/>
      <x:c r="AD38" s="30"/>
      <x:c r="AE38" s="30"/>
      <x:c r="AF38" s="30"/>
      <x:c r="AG38" s="30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>
      <x:c r="A39" s="1"/>
      <x:c r="B39" s="1"/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  <x:c r="O39" s="30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  <x:c r="AA39" s="30"/>
      <x:c r="AB39" s="30"/>
      <x:c r="AC39" s="30"/>
      <x:c r="AD39" s="30"/>
      <x:c r="AE39" s="30"/>
      <x:c r="AF39" s="30"/>
      <x:c r="AG39" s="30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>
      <x:c r="A40" s="1"/>
      <x:c r="B40" s="1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  <x:c r="M40" s="30"/>
      <x:c r="N40" s="30"/>
      <x:c r="O40" s="30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  <x:c r="AA40" s="30"/>
      <x:c r="AB40" s="30"/>
      <x:c r="AC40" s="30"/>
      <x:c r="AD40" s="30"/>
      <x:c r="AE40" s="30"/>
      <x:c r="AF40" s="30"/>
      <x:c r="AG40" s="30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>
      <x:c r="A41" s="1"/>
      <x:c r="B41" s="1"/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  <x:c r="AA41" s="30"/>
      <x:c r="AB41" s="30"/>
      <x:c r="AC41" s="30"/>
      <x:c r="AD41" s="30"/>
      <x:c r="AE41" s="30"/>
      <x:c r="AF41" s="30"/>
      <x:c r="AG41" s="30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>
      <x:c r="A42" s="1"/>
      <x:c r="B42" s="1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  <x:c r="AA42" s="30"/>
      <x:c r="AB42" s="30"/>
      <x:c r="AC42" s="30"/>
      <x:c r="AD42" s="30"/>
      <x:c r="AE42" s="30"/>
      <x:c r="AF42" s="30"/>
      <x:c r="AG42" s="30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>
      <x:c r="A43" s="1"/>
      <x:c r="B43" s="1"/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  <x:c r="AA43" s="30"/>
      <x:c r="AB43" s="30"/>
      <x:c r="AC43" s="30"/>
      <x:c r="AD43" s="30"/>
      <x:c r="AE43" s="30"/>
      <x:c r="AF43" s="30"/>
      <x:c r="AG43" s="30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>
      <x:c r="A44" s="1"/>
      <x:c r="B44" s="1"/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  <x:c r="M44" s="30"/>
      <x:c r="N44" s="30"/>
      <x:c r="O44" s="30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  <x:c r="AA44" s="30"/>
      <x:c r="AB44" s="30"/>
      <x:c r="AC44" s="30"/>
      <x:c r="AD44" s="30"/>
      <x:c r="AE44" s="30"/>
      <x:c r="AF44" s="30"/>
      <x:c r="AG44" s="30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>
      <x:c r="A45" s="1"/>
      <x:c r="B45" s="1"/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  <x:c r="AA45" s="30"/>
      <x:c r="AB45" s="30"/>
      <x:c r="AC45" s="30"/>
      <x:c r="AD45" s="30"/>
      <x:c r="AE45" s="30"/>
      <x:c r="AF45" s="30"/>
      <x:c r="AG45" s="30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>
      <x:c r="A46" s="1"/>
      <x:c r="B46" s="1"/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  <x:c r="M46" s="30"/>
      <x:c r="N46" s="30"/>
      <x:c r="O46" s="30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  <x:c r="AA46" s="30"/>
      <x:c r="AB46" s="30"/>
      <x:c r="AC46" s="30"/>
      <x:c r="AD46" s="30"/>
      <x:c r="AE46" s="30"/>
      <x:c r="AF46" s="30"/>
      <x:c r="AG46" s="30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>
      <x:c r="A47" s="1"/>
      <x:c r="B47" s="1"/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  <x:c r="O47" s="30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  <x:c r="AA47" s="30"/>
      <x:c r="AB47" s="30"/>
      <x:c r="AC47" s="30"/>
      <x:c r="AD47" s="30"/>
      <x:c r="AE47" s="30"/>
      <x:c r="AF47" s="30"/>
      <x:c r="AG47" s="30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>
      <x:c r="A48" s="1"/>
      <x:c r="B48" s="1"/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  <x:c r="M48" s="30"/>
      <x:c r="N48" s="30"/>
      <x:c r="O48" s="30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  <x:c r="AA48" s="30"/>
      <x:c r="AB48" s="30"/>
      <x:c r="AC48" s="30"/>
      <x:c r="AD48" s="30"/>
      <x:c r="AE48" s="30"/>
      <x:c r="AF48" s="30"/>
      <x:c r="AG48" s="30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>
      <x:c r="A49" s="1"/>
      <x:c r="B49" s="1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0"/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  <x:c r="AA49" s="30"/>
      <x:c r="AB49" s="30"/>
      <x:c r="AC49" s="30"/>
      <x:c r="AD49" s="30"/>
      <x:c r="AE49" s="30"/>
      <x:c r="AF49" s="30"/>
      <x:c r="AG49" s="30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>
      <x:c r="A50" s="1"/>
      <x:c r="B50" s="1"/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  <x:c r="O50" s="30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  <x:c r="AA50" s="30"/>
      <x:c r="AB50" s="30"/>
      <x:c r="AC50" s="30"/>
      <x:c r="AD50" s="30"/>
      <x:c r="AE50" s="30"/>
      <x:c r="AF50" s="30"/>
      <x:c r="AG50" s="30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>
      <x:c r="A51" s="1"/>
      <x:c r="B51" s="1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  <x:c r="O51" s="30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  <x:c r="AA51" s="30"/>
      <x:c r="AB51" s="30"/>
      <x:c r="AC51" s="30"/>
      <x:c r="AD51" s="30"/>
      <x:c r="AE51" s="30"/>
      <x:c r="AF51" s="30"/>
      <x:c r="AG51" s="30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>
      <x:c r="A52" s="1"/>
      <x:c r="B52" s="1"/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  <x:c r="M52" s="30"/>
      <x:c r="N52" s="30"/>
      <x:c r="O52" s="30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  <x:c r="AA52" s="30"/>
      <x:c r="AB52" s="30"/>
      <x:c r="AC52" s="30"/>
      <x:c r="AD52" s="30"/>
      <x:c r="AE52" s="30"/>
      <x:c r="AF52" s="30"/>
      <x:c r="AG52" s="30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>
      <x:c r="A53" s="1"/>
      <x:c r="B53" s="1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  <x:c r="O53" s="30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  <x:c r="AA53" s="30"/>
      <x:c r="AB53" s="30"/>
      <x:c r="AC53" s="30"/>
      <x:c r="AD53" s="30"/>
      <x:c r="AE53" s="30"/>
      <x:c r="AF53" s="30"/>
      <x:c r="AG53" s="30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>
      <x:c r="A54" s="1"/>
      <x:c r="B54" s="1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  <x:c r="AA54" s="30"/>
      <x:c r="AB54" s="30"/>
      <x:c r="AC54" s="30"/>
      <x:c r="AD54" s="30"/>
      <x:c r="AE54" s="30"/>
      <x:c r="AF54" s="30"/>
      <x:c r="AG54" s="30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>
      <x:c r="A55" s="1"/>
      <x:c r="B55" s="1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  <x:c r="AA55" s="30"/>
      <x:c r="AB55" s="30"/>
      <x:c r="AC55" s="30"/>
      <x:c r="AD55" s="30"/>
      <x:c r="AE55" s="30"/>
      <x:c r="AF55" s="30"/>
      <x:c r="AG55" s="30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>
      <x:c r="A56" s="1"/>
      <x:c r="B56" s="1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  <x:c r="AA56" s="30"/>
      <x:c r="AB56" s="30"/>
      <x:c r="AC56" s="30"/>
      <x:c r="AD56" s="30"/>
      <x:c r="AE56" s="30"/>
      <x:c r="AF56" s="30"/>
      <x:c r="AG56" s="30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>
      <x:c r="A57" s="1"/>
      <x:c r="B57" s="1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  <x:c r="AA57" s="30"/>
      <x:c r="AB57" s="30"/>
      <x:c r="AC57" s="30"/>
      <x:c r="AD57" s="30"/>
      <x:c r="AE57" s="30"/>
      <x:c r="AF57" s="30"/>
      <x:c r="AG57" s="30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>
      <x:c r="A58" s="1"/>
      <x:c r="B58" s="1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0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  <x:c r="AA58" s="30"/>
      <x:c r="AB58" s="30"/>
      <x:c r="AC58" s="30"/>
      <x:c r="AD58" s="30"/>
      <x:c r="AE58" s="30"/>
      <x:c r="AF58" s="30"/>
      <x:c r="AG58" s="30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>
      <x:c r="A59" s="1"/>
      <x:c r="B59" s="1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  <x:c r="M59" s="30"/>
      <x:c r="N59" s="30"/>
      <x:c r="O59" s="30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  <x:c r="AA59" s="30"/>
      <x:c r="AB59" s="30"/>
      <x:c r="AC59" s="30"/>
      <x:c r="AD59" s="30"/>
      <x:c r="AE59" s="30"/>
      <x:c r="AF59" s="30"/>
      <x:c r="AG59" s="30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>
      <x:c r="A60" s="1"/>
      <x:c r="B60" s="1"/>
      <x:c r="C60" s="30"/>
      <x:c r="D60" s="30"/>
      <x:c r="E60" s="30"/>
      <x:c r="F60" s="30"/>
      <x:c r="G60" s="30"/>
      <x:c r="H60" s="30"/>
      <x:c r="I60" s="30"/>
      <x:c r="J60" s="30"/>
      <x:c r="K60" s="30"/>
      <x:c r="L60" s="30"/>
      <x:c r="M60" s="30"/>
      <x:c r="N60" s="30"/>
      <x:c r="O60" s="30"/>
      <x:c r="P60" s="30"/>
      <x:c r="Q60" s="30"/>
      <x:c r="R60" s="30"/>
      <x:c r="S60" s="30"/>
      <x:c r="T60" s="30"/>
      <x:c r="U60" s="30"/>
      <x:c r="V60" s="30"/>
      <x:c r="W60" s="30"/>
      <x:c r="X60" s="30"/>
      <x:c r="Y60" s="30"/>
      <x:c r="Z60" s="30"/>
      <x:c r="AA60" s="30"/>
      <x:c r="AB60" s="30"/>
      <x:c r="AC60" s="30"/>
      <x:c r="AD60" s="30"/>
      <x:c r="AE60" s="30"/>
      <x:c r="AF60" s="30"/>
      <x:c r="AG60" s="30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>
      <x:c r="A61" s="1"/>
      <x:c r="B61" s="1"/>
      <x:c r="C61" s="30"/>
      <x:c r="D61" s="30"/>
      <x:c r="E61" s="30"/>
      <x:c r="F61" s="30"/>
      <x:c r="G61" s="30"/>
      <x:c r="H61" s="30"/>
      <x:c r="I61" s="30"/>
      <x:c r="J61" s="30"/>
      <x:c r="K61" s="30"/>
      <x:c r="L61" s="30"/>
      <x:c r="M61" s="30"/>
      <x:c r="N61" s="30"/>
      <x:c r="O61" s="30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  <x:c r="AA61" s="30"/>
      <x:c r="AB61" s="30"/>
      <x:c r="AC61" s="30"/>
      <x:c r="AD61" s="30"/>
      <x:c r="AE61" s="30"/>
      <x:c r="AF61" s="30"/>
      <x:c r="AG61" s="30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>
      <x:c r="A62" s="1"/>
      <x:c r="B62" s="1"/>
      <x:c r="C62" s="30"/>
      <x:c r="D62" s="30"/>
      <x:c r="E62" s="30"/>
      <x:c r="F62" s="30"/>
      <x:c r="G62" s="30"/>
      <x:c r="H62" s="30"/>
      <x:c r="I62" s="30"/>
      <x:c r="J62" s="30"/>
      <x:c r="K62" s="30"/>
      <x:c r="L62" s="30"/>
      <x:c r="M62" s="30"/>
      <x:c r="N62" s="30"/>
      <x:c r="O62" s="30"/>
      <x:c r="P62" s="30"/>
      <x:c r="Q62" s="30"/>
      <x:c r="R62" s="30"/>
      <x:c r="S62" s="30"/>
      <x:c r="T62" s="30"/>
      <x:c r="U62" s="30"/>
      <x:c r="V62" s="30"/>
      <x:c r="W62" s="30"/>
      <x:c r="X62" s="30"/>
      <x:c r="Y62" s="30"/>
      <x:c r="Z62" s="30"/>
      <x:c r="AA62" s="30"/>
      <x:c r="AB62" s="30"/>
      <x:c r="AC62" s="30"/>
      <x:c r="AD62" s="30"/>
      <x:c r="AE62" s="30"/>
      <x:c r="AF62" s="30"/>
      <x:c r="AG62" s="30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>
      <x:c r="A63" s="1"/>
      <x:c r="B63" s="1"/>
      <x:c r="C63" s="30"/>
      <x:c r="D63" s="30"/>
      <x:c r="E63" s="30"/>
      <x:c r="F63" s="30"/>
      <x:c r="G63" s="30"/>
      <x:c r="H63" s="30"/>
      <x:c r="I63" s="30"/>
      <x:c r="J63" s="30"/>
      <x:c r="K63" s="30"/>
      <x:c r="L63" s="30"/>
      <x:c r="M63" s="30"/>
      <x:c r="N63" s="30"/>
      <x:c r="O63" s="30"/>
      <x:c r="P63" s="30"/>
      <x:c r="Q63" s="30"/>
      <x:c r="R63" s="30"/>
      <x:c r="S63" s="30"/>
      <x:c r="T63" s="30"/>
      <x:c r="U63" s="30"/>
      <x:c r="V63" s="30"/>
      <x:c r="W63" s="30"/>
      <x:c r="X63" s="30"/>
      <x:c r="Y63" s="30"/>
      <x:c r="Z63" s="30"/>
      <x:c r="AA63" s="30"/>
      <x:c r="AB63" s="30"/>
      <x:c r="AC63" s="30"/>
      <x:c r="AD63" s="30"/>
      <x:c r="AE63" s="30"/>
      <x:c r="AF63" s="30"/>
      <x:c r="AG63" s="30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>
      <x:c r="A64" s="1"/>
      <x:c r="B64" s="1"/>
      <x:c r="C64" s="30"/>
      <x:c r="D64" s="30"/>
      <x:c r="E64" s="30"/>
      <x:c r="F64" s="30"/>
      <x:c r="G64" s="30"/>
      <x:c r="H64" s="30"/>
      <x:c r="I64" s="30"/>
      <x:c r="J64" s="30"/>
      <x:c r="K64" s="30"/>
      <x:c r="L64" s="30"/>
      <x:c r="M64" s="30"/>
      <x:c r="N64" s="30"/>
      <x:c r="O64" s="30"/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30"/>
      <x:c r="AA64" s="30"/>
      <x:c r="AB64" s="30"/>
      <x:c r="AC64" s="30"/>
      <x:c r="AD64" s="30"/>
      <x:c r="AE64" s="30"/>
      <x:c r="AF64" s="30"/>
      <x:c r="AG64" s="30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>
      <x:c r="A65" s="1"/>
      <x:c r="B65" s="1"/>
      <x:c r="C65" s="30"/>
      <x:c r="D65" s="30"/>
      <x:c r="E65" s="30"/>
      <x:c r="F65" s="30"/>
      <x:c r="G65" s="30"/>
      <x:c r="H65" s="30"/>
      <x:c r="I65" s="30"/>
      <x:c r="J65" s="30"/>
      <x:c r="K65" s="30"/>
      <x:c r="L65" s="30"/>
      <x:c r="M65" s="30"/>
      <x:c r="N65" s="30"/>
      <x:c r="O65" s="30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  <x:c r="AA65" s="30"/>
      <x:c r="AB65" s="30"/>
      <x:c r="AC65" s="30"/>
      <x:c r="AD65" s="30"/>
      <x:c r="AE65" s="30"/>
      <x:c r="AF65" s="30"/>
      <x:c r="AG65" s="30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>
      <x:c r="A66" s="1"/>
      <x:c r="B66" s="1"/>
      <x:c r="C66" s="30"/>
      <x:c r="D66" s="30"/>
      <x:c r="E66" s="30"/>
      <x:c r="F66" s="30"/>
      <x:c r="G66" s="30"/>
      <x:c r="H66" s="30"/>
      <x:c r="I66" s="30"/>
      <x:c r="J66" s="30"/>
      <x:c r="K66" s="30"/>
      <x:c r="L66" s="30"/>
      <x:c r="M66" s="30"/>
      <x:c r="N66" s="30"/>
      <x:c r="O66" s="30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  <x:c r="AA66" s="30"/>
      <x:c r="AB66" s="30"/>
      <x:c r="AC66" s="30"/>
      <x:c r="AD66" s="30"/>
      <x:c r="AE66" s="30"/>
      <x:c r="AF66" s="30"/>
      <x:c r="AG66" s="30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>
      <x:c r="A67" s="1"/>
      <x:c r="B67" s="1"/>
      <x:c r="C67" s="30"/>
      <x:c r="D67" s="30"/>
      <x:c r="E67" s="30"/>
      <x:c r="F67" s="30"/>
      <x:c r="G67" s="30"/>
      <x:c r="H67" s="30"/>
      <x:c r="I67" s="30"/>
      <x:c r="J67" s="30"/>
      <x:c r="K67" s="30"/>
      <x:c r="L67" s="30"/>
      <x:c r="M67" s="30"/>
      <x:c r="N67" s="30"/>
      <x:c r="O67" s="30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  <x:c r="AA67" s="30"/>
      <x:c r="AB67" s="30"/>
      <x:c r="AC67" s="30"/>
      <x:c r="AD67" s="30"/>
      <x:c r="AE67" s="30"/>
      <x:c r="AF67" s="30"/>
      <x:c r="AG67" s="30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>
      <x:c r="A68" s="1"/>
      <x:c r="B68" s="1"/>
      <x:c r="C68" s="30"/>
      <x:c r="D68" s="30"/>
      <x:c r="E68" s="30"/>
      <x:c r="F68" s="30"/>
      <x:c r="G68" s="30"/>
      <x:c r="H68" s="30"/>
      <x:c r="I68" s="30"/>
      <x:c r="J68" s="30"/>
      <x:c r="K68" s="30"/>
      <x:c r="L68" s="30"/>
      <x:c r="M68" s="30"/>
      <x:c r="N68" s="30"/>
      <x:c r="O68" s="30"/>
      <x:c r="P68" s="30"/>
      <x:c r="Q68" s="30"/>
      <x:c r="R68" s="30"/>
      <x:c r="S68" s="30"/>
      <x:c r="T68" s="30"/>
      <x:c r="U68" s="30"/>
      <x:c r="V68" s="30"/>
      <x:c r="W68" s="30"/>
      <x:c r="X68" s="30"/>
      <x:c r="Y68" s="30"/>
      <x:c r="Z68" s="30"/>
      <x:c r="AA68" s="30"/>
      <x:c r="AB68" s="30"/>
      <x:c r="AC68" s="30"/>
      <x:c r="AD68" s="30"/>
      <x:c r="AE68" s="30"/>
      <x:c r="AF68" s="30"/>
      <x:c r="AG68" s="30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>
      <x:c r="A69" s="1"/>
      <x:c r="B69" s="1"/>
      <x:c r="C69" s="30"/>
      <x:c r="D69" s="30"/>
      <x:c r="E69" s="30"/>
      <x:c r="F69" s="30"/>
      <x:c r="G69" s="30"/>
      <x:c r="H69" s="30"/>
      <x:c r="I69" s="30"/>
      <x:c r="J69" s="30"/>
      <x:c r="K69" s="30"/>
      <x:c r="L69" s="30"/>
      <x:c r="M69" s="30"/>
      <x:c r="N69" s="30"/>
      <x:c r="O69" s="30"/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30"/>
      <x:c r="AA69" s="30"/>
      <x:c r="AB69" s="30"/>
      <x:c r="AC69" s="30"/>
      <x:c r="AD69" s="30"/>
      <x:c r="AE69" s="30"/>
      <x:c r="AF69" s="30"/>
      <x:c r="AG69" s="30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>
      <x:c r="A70" s="1"/>
      <x:c r="B70" s="1"/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  <x:c r="M70" s="30"/>
      <x:c r="N70" s="30"/>
      <x:c r="O70" s="30"/>
      <x:c r="P70" s="30"/>
      <x:c r="Q70" s="30"/>
      <x:c r="R70" s="30"/>
      <x:c r="S70" s="30"/>
      <x:c r="T70" s="30"/>
      <x:c r="U70" s="30"/>
      <x:c r="V70" s="30"/>
      <x:c r="W70" s="30"/>
      <x:c r="X70" s="30"/>
      <x:c r="Y70" s="30"/>
      <x:c r="Z70" s="30"/>
      <x:c r="AA70" s="30"/>
      <x:c r="AB70" s="30"/>
      <x:c r="AC70" s="30"/>
      <x:c r="AD70" s="30"/>
      <x:c r="AE70" s="30"/>
      <x:c r="AF70" s="30"/>
      <x:c r="AG70" s="30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>
      <x:c r="A71" s="1"/>
      <x:c r="B71" s="1"/>
      <x:c r="C71" s="30"/>
      <x:c r="D71" s="30"/>
      <x:c r="E71" s="30"/>
      <x:c r="F71" s="30"/>
      <x:c r="G71" s="30"/>
      <x:c r="H71" s="30"/>
      <x:c r="I71" s="30"/>
      <x:c r="J71" s="30"/>
      <x:c r="K71" s="30"/>
      <x:c r="L71" s="30"/>
      <x:c r="M71" s="30"/>
      <x:c r="N71" s="30"/>
      <x:c r="O71" s="30"/>
      <x:c r="P71" s="30"/>
      <x:c r="Q71" s="30"/>
      <x:c r="R71" s="30"/>
      <x:c r="S71" s="30"/>
      <x:c r="T71" s="30"/>
      <x:c r="U71" s="30"/>
      <x:c r="V71" s="30"/>
      <x:c r="W71" s="30"/>
      <x:c r="X71" s="30"/>
      <x:c r="Y71" s="30"/>
      <x:c r="Z71" s="30"/>
      <x:c r="AA71" s="30"/>
      <x:c r="AB71" s="30"/>
      <x:c r="AC71" s="30"/>
      <x:c r="AD71" s="30"/>
      <x:c r="AE71" s="30"/>
      <x:c r="AF71" s="30"/>
      <x:c r="AG71" s="30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>
      <x:c r="A72" s="1"/>
      <x:c r="B72" s="1"/>
      <x:c r="C72" s="30"/>
      <x:c r="D72" s="30"/>
      <x:c r="E72" s="30"/>
      <x:c r="F72" s="30"/>
      <x:c r="G72" s="30"/>
      <x:c r="H72" s="30"/>
      <x:c r="I72" s="30"/>
      <x:c r="J72" s="30"/>
      <x:c r="K72" s="30"/>
      <x:c r="L72" s="30"/>
      <x:c r="M72" s="30"/>
      <x:c r="N72" s="30"/>
      <x:c r="O72" s="30"/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30"/>
      <x:c r="AA72" s="30"/>
      <x:c r="AB72" s="30"/>
      <x:c r="AC72" s="30"/>
      <x:c r="AD72" s="30"/>
      <x:c r="AE72" s="30"/>
      <x:c r="AF72" s="30"/>
      <x:c r="AG72" s="30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>
      <x:c r="A73" s="1"/>
      <x:c r="B73" s="1"/>
      <x:c r="C73" s="30"/>
      <x:c r="D73" s="30"/>
      <x:c r="E73" s="30"/>
      <x:c r="F73" s="30"/>
      <x:c r="G73" s="30"/>
      <x:c r="H73" s="30"/>
      <x:c r="I73" s="30"/>
      <x:c r="J73" s="30"/>
      <x:c r="K73" s="30"/>
      <x:c r="L73" s="30"/>
      <x:c r="M73" s="30"/>
      <x:c r="N73" s="30"/>
      <x:c r="O73" s="30"/>
      <x:c r="P73" s="30"/>
      <x:c r="Q73" s="30"/>
      <x:c r="R73" s="30"/>
      <x:c r="S73" s="30"/>
      <x:c r="T73" s="30"/>
      <x:c r="U73" s="30"/>
      <x:c r="V73" s="30"/>
      <x:c r="W73" s="30"/>
      <x:c r="X73" s="30"/>
      <x:c r="Y73" s="30"/>
      <x:c r="Z73" s="30"/>
      <x:c r="AA73" s="30"/>
      <x:c r="AB73" s="30"/>
      <x:c r="AC73" s="30"/>
      <x:c r="AD73" s="30"/>
      <x:c r="AE73" s="30"/>
      <x:c r="AF73" s="30"/>
      <x:c r="AG73" s="30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>
      <x:c r="A74" s="1"/>
      <x:c r="B74" s="1"/>
      <x:c r="C74" s="30"/>
      <x:c r="D74" s="30"/>
      <x:c r="E74" s="30"/>
      <x:c r="F74" s="30"/>
      <x:c r="G74" s="30"/>
      <x:c r="H74" s="30"/>
      <x:c r="I74" s="30"/>
      <x:c r="J74" s="30"/>
      <x:c r="K74" s="30"/>
      <x:c r="L74" s="30"/>
      <x:c r="M74" s="30"/>
      <x:c r="N74" s="30"/>
      <x:c r="O74" s="30"/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30"/>
      <x:c r="AA74" s="30"/>
      <x:c r="AB74" s="30"/>
      <x:c r="AC74" s="30"/>
      <x:c r="AD74" s="30"/>
      <x:c r="AE74" s="30"/>
      <x:c r="AF74" s="30"/>
      <x:c r="AG74" s="30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>
      <x:c r="A75" s="1"/>
      <x:c r="B75" s="1"/>
      <x:c r="C75" s="30"/>
      <x:c r="D75" s="30"/>
      <x:c r="E75" s="30"/>
      <x:c r="F75" s="30"/>
      <x:c r="G75" s="30"/>
      <x:c r="H75" s="30"/>
      <x:c r="I75" s="30"/>
      <x:c r="J75" s="30"/>
      <x:c r="K75" s="30"/>
      <x:c r="L75" s="30"/>
      <x:c r="M75" s="30"/>
      <x:c r="N75" s="30"/>
      <x:c r="O75" s="30"/>
      <x:c r="P75" s="30"/>
      <x:c r="Q75" s="30"/>
      <x:c r="R75" s="30"/>
      <x:c r="S75" s="30"/>
      <x:c r="T75" s="30"/>
      <x:c r="U75" s="30"/>
      <x:c r="V75" s="30"/>
      <x:c r="W75" s="30"/>
      <x:c r="X75" s="30"/>
      <x:c r="Y75" s="30"/>
      <x:c r="Z75" s="30"/>
      <x:c r="AA75" s="30"/>
      <x:c r="AB75" s="30"/>
      <x:c r="AC75" s="30"/>
      <x:c r="AD75" s="30"/>
      <x:c r="AE75" s="30"/>
      <x:c r="AF75" s="30"/>
      <x:c r="AG75" s="30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>
      <x:c r="A76" s="1"/>
      <x:c r="B76" s="1"/>
      <x:c r="C76" s="30"/>
      <x:c r="D76" s="30"/>
      <x:c r="E76" s="30"/>
      <x:c r="F76" s="30"/>
      <x:c r="G76" s="30"/>
      <x:c r="H76" s="30"/>
      <x:c r="I76" s="30"/>
      <x:c r="J76" s="30"/>
      <x:c r="K76" s="30"/>
      <x:c r="L76" s="30"/>
      <x:c r="M76" s="30"/>
      <x:c r="N76" s="30"/>
      <x:c r="O76" s="30"/>
      <x:c r="P76" s="30"/>
      <x:c r="Q76" s="30"/>
      <x:c r="R76" s="30"/>
      <x:c r="S76" s="30"/>
      <x:c r="T76" s="30"/>
      <x:c r="U76" s="30"/>
      <x:c r="V76" s="30"/>
      <x:c r="W76" s="30"/>
      <x:c r="X76" s="30"/>
      <x:c r="Y76" s="30"/>
      <x:c r="Z76" s="30"/>
      <x:c r="AA76" s="30"/>
      <x:c r="AB76" s="30"/>
      <x:c r="AC76" s="30"/>
      <x:c r="AD76" s="30"/>
      <x:c r="AE76" s="30"/>
      <x:c r="AF76" s="30"/>
      <x:c r="AG76" s="30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>
      <x:c r="A77" s="1"/>
      <x:c r="B77" s="1"/>
      <x:c r="C77" s="30"/>
      <x:c r="D77" s="30"/>
      <x:c r="E77" s="30"/>
      <x:c r="F77" s="30"/>
      <x:c r="G77" s="30"/>
      <x:c r="H77" s="30"/>
      <x:c r="I77" s="30"/>
      <x:c r="J77" s="30"/>
      <x:c r="K77" s="30"/>
      <x:c r="L77" s="30"/>
      <x:c r="M77" s="30"/>
      <x:c r="N77" s="30"/>
      <x:c r="O77" s="30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  <x:c r="AA77" s="30"/>
      <x:c r="AB77" s="30"/>
      <x:c r="AC77" s="30"/>
      <x:c r="AD77" s="30"/>
      <x:c r="AE77" s="30"/>
      <x:c r="AF77" s="30"/>
      <x:c r="AG77" s="30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>
      <x:c r="A78" s="1"/>
      <x:c r="B78" s="1"/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  <x:c r="O78" s="30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  <x:c r="AA78" s="30"/>
      <x:c r="AB78" s="30"/>
      <x:c r="AC78" s="30"/>
      <x:c r="AD78" s="30"/>
      <x:c r="AE78" s="30"/>
      <x:c r="AF78" s="30"/>
      <x:c r="AG78" s="30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>
      <x:c r="A79" s="1"/>
      <x:c r="B79" s="1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  <x:c r="M79" s="30"/>
      <x:c r="N79" s="30"/>
      <x:c r="O79" s="30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  <x:c r="AA79" s="30"/>
      <x:c r="AB79" s="30"/>
      <x:c r="AC79" s="30"/>
      <x:c r="AD79" s="30"/>
      <x:c r="AE79" s="30"/>
      <x:c r="AF79" s="30"/>
      <x:c r="AG79" s="30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>
      <x:c r="A80" s="1"/>
      <x:c r="B80" s="1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  <x:c r="M80" s="30"/>
      <x:c r="N80" s="30"/>
      <x:c r="O80" s="30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  <x:c r="AA80" s="30"/>
      <x:c r="AB80" s="30"/>
      <x:c r="AC80" s="30"/>
      <x:c r="AD80" s="30"/>
      <x:c r="AE80" s="30"/>
      <x:c r="AF80" s="30"/>
      <x:c r="AG80" s="30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>
      <x:c r="A81" s="1"/>
      <x:c r="B81" s="1"/>
      <x:c r="C81" s="30"/>
      <x:c r="D81" s="30"/>
      <x:c r="E81" s="30"/>
      <x:c r="F81" s="30"/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  <x:c r="AA81" s="30"/>
      <x:c r="AB81" s="30"/>
      <x:c r="AC81" s="30"/>
      <x:c r="AD81" s="30"/>
      <x:c r="AE81" s="30"/>
      <x:c r="AF81" s="30"/>
      <x:c r="AG81" s="30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>
      <x:c r="A82" s="1"/>
      <x:c r="B82" s="1"/>
      <x:c r="C82" s="30"/>
      <x:c r="D82" s="30"/>
      <x:c r="E82" s="30"/>
      <x:c r="F82" s="30"/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30"/>
      <x:c r="AA82" s="30"/>
      <x:c r="AB82" s="30"/>
      <x:c r="AC82" s="30"/>
      <x:c r="AD82" s="30"/>
      <x:c r="AE82" s="30"/>
      <x:c r="AF82" s="30"/>
      <x:c r="AG82" s="30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>
      <x:c r="A83" s="1"/>
      <x:c r="B83" s="1"/>
      <x:c r="C83" s="30"/>
      <x:c r="D83" s="30"/>
      <x:c r="E83" s="30"/>
      <x:c r="F83" s="30"/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30"/>
      <x:c r="AA83" s="30"/>
      <x:c r="AB83" s="30"/>
      <x:c r="AC83" s="30"/>
      <x:c r="AD83" s="30"/>
      <x:c r="AE83" s="30"/>
      <x:c r="AF83" s="30"/>
      <x:c r="AG83" s="30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>
      <x:c r="A84" s="1"/>
      <x:c r="B84" s="1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30"/>
      <x:c r="AA84" s="30"/>
      <x:c r="AB84" s="30"/>
      <x:c r="AC84" s="30"/>
      <x:c r="AD84" s="30"/>
      <x:c r="AE84" s="30"/>
      <x:c r="AF84" s="30"/>
      <x:c r="AG84" s="30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>
      <x:c r="A85" s="1"/>
      <x:c r="B85" s="1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30"/>
      <x:c r="AA85" s="30"/>
      <x:c r="AB85" s="30"/>
      <x:c r="AC85" s="30"/>
      <x:c r="AD85" s="30"/>
      <x:c r="AE85" s="30"/>
      <x:c r="AF85" s="30"/>
      <x:c r="AG85" s="30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>
      <x:c r="A86" s="1"/>
      <x:c r="B86" s="1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30"/>
      <x:c r="AA86" s="30"/>
      <x:c r="AB86" s="30"/>
      <x:c r="AC86" s="30"/>
      <x:c r="AD86" s="30"/>
      <x:c r="AE86" s="30"/>
      <x:c r="AF86" s="30"/>
      <x:c r="AG86" s="30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>
      <x:c r="A87" s="1"/>
      <x:c r="B87" s="1"/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  <x:c r="Y87" s="30"/>
      <x:c r="Z87" s="30"/>
      <x:c r="AA87" s="30"/>
      <x:c r="AB87" s="30"/>
      <x:c r="AC87" s="30"/>
      <x:c r="AD87" s="30"/>
      <x:c r="AE87" s="30"/>
      <x:c r="AF87" s="30"/>
      <x:c r="AG87" s="30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>
      <x:c r="A88" s="1"/>
      <x:c r="B88" s="1"/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  <x:c r="Y88" s="30"/>
      <x:c r="Z88" s="30"/>
      <x:c r="AA88" s="30"/>
      <x:c r="AB88" s="30"/>
      <x:c r="AC88" s="30"/>
      <x:c r="AD88" s="30"/>
      <x:c r="AE88" s="30"/>
      <x:c r="AF88" s="30"/>
      <x:c r="AG88" s="30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>
      <x:c r="A89" s="1"/>
      <x:c r="B89" s="1"/>
      <x:c r="C89" s="30"/>
      <x:c r="D89" s="30"/>
      <x:c r="E89" s="30"/>
      <x:c r="F89" s="30"/>
      <x:c r="G89" s="3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  <x:c r="Y89" s="30"/>
      <x:c r="Z89" s="30"/>
      <x:c r="AA89" s="30"/>
      <x:c r="AB89" s="30"/>
      <x:c r="AC89" s="30"/>
      <x:c r="AD89" s="30"/>
      <x:c r="AE89" s="30"/>
      <x:c r="AF89" s="30"/>
      <x:c r="AG89" s="30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>
      <x:c r="A90" s="1"/>
      <x:c r="B90" s="1"/>
      <x:c r="C90" s="30"/>
      <x:c r="D90" s="30"/>
      <x:c r="E90" s="30"/>
      <x:c r="F90" s="30"/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30"/>
      <x:c r="AA90" s="30"/>
      <x:c r="AB90" s="30"/>
      <x:c r="AC90" s="30"/>
      <x:c r="AD90" s="30"/>
      <x:c r="AE90" s="30"/>
      <x:c r="AF90" s="30"/>
      <x:c r="AG90" s="30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>
      <x:c r="A91" s="1"/>
      <x:c r="B91" s="1"/>
      <x:c r="C91" s="30"/>
      <x:c r="D91" s="30"/>
      <x:c r="E91" s="30"/>
      <x:c r="F91" s="30"/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30"/>
      <x:c r="AA91" s="30"/>
      <x:c r="AB91" s="30"/>
      <x:c r="AC91" s="30"/>
      <x:c r="AD91" s="30"/>
      <x:c r="AE91" s="30"/>
      <x:c r="AF91" s="30"/>
      <x:c r="AG91" s="30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>
      <x:c r="A92" s="1"/>
      <x:c r="B92" s="1"/>
      <x:c r="C92" s="30"/>
      <x:c r="D92" s="30"/>
      <x:c r="E92" s="30"/>
      <x:c r="F92" s="30"/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  <x:c r="AA92" s="30"/>
      <x:c r="AB92" s="30"/>
      <x:c r="AC92" s="30"/>
      <x:c r="AD92" s="30"/>
      <x:c r="AE92" s="30"/>
      <x:c r="AF92" s="30"/>
      <x:c r="AG92" s="30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>
      <x:c r="A93" s="1"/>
      <x:c r="B93" s="1"/>
      <x:c r="C93" s="30"/>
      <x:c r="D93" s="30"/>
      <x:c r="E93" s="30"/>
      <x:c r="F93" s="30"/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  <x:c r="AA93" s="30"/>
      <x:c r="AB93" s="30"/>
      <x:c r="AC93" s="30"/>
      <x:c r="AD93" s="30"/>
      <x:c r="AE93" s="30"/>
      <x:c r="AF93" s="30"/>
      <x:c r="AG93" s="30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>
      <x:c r="A94" s="1"/>
      <x:c r="B94" s="1"/>
      <x:c r="C94" s="30"/>
      <x:c r="D94" s="30"/>
      <x:c r="E94" s="30"/>
      <x:c r="F94" s="30"/>
      <x:c r="G94" s="3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30"/>
      <x:c r="AA94" s="30"/>
      <x:c r="AB94" s="30"/>
      <x:c r="AC94" s="30"/>
      <x:c r="AD94" s="30"/>
      <x:c r="AE94" s="30"/>
      <x:c r="AF94" s="30"/>
      <x:c r="AG94" s="30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>
      <x:c r="A95" s="1"/>
      <x:c r="B95" s="1"/>
      <x:c r="C95" s="30"/>
      <x:c r="D95" s="30"/>
      <x:c r="E95" s="30"/>
      <x:c r="F95" s="30"/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30"/>
      <x:c r="AA95" s="30"/>
      <x:c r="AB95" s="30"/>
      <x:c r="AC95" s="30"/>
      <x:c r="AD95" s="30"/>
      <x:c r="AE95" s="30"/>
      <x:c r="AF95" s="30"/>
      <x:c r="AG95" s="30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>
      <x:c r="A96" s="1"/>
      <x:c r="B96" s="1"/>
      <x:c r="C96" s="30"/>
      <x:c r="D96" s="30"/>
      <x:c r="E96" s="30"/>
      <x:c r="F96" s="30"/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30"/>
      <x:c r="AA96" s="30"/>
      <x:c r="AB96" s="30"/>
      <x:c r="AC96" s="30"/>
      <x:c r="AD96" s="30"/>
      <x:c r="AE96" s="30"/>
      <x:c r="AF96" s="30"/>
      <x:c r="AG96" s="30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>
      <x:c r="A97" s="1"/>
      <x:c r="B97" s="1"/>
      <x:c r="C97" s="30"/>
      <x:c r="D97" s="30"/>
      <x:c r="E97" s="30"/>
      <x:c r="F97" s="30"/>
      <x:c r="G97" s="3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30"/>
      <x:c r="AA97" s="30"/>
      <x:c r="AB97" s="30"/>
      <x:c r="AC97" s="30"/>
      <x:c r="AD97" s="30"/>
      <x:c r="AE97" s="30"/>
      <x:c r="AF97" s="30"/>
      <x:c r="AG97" s="30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>
      <x:c r="A98" s="1"/>
      <x:c r="B98" s="1"/>
      <x:c r="C98" s="30"/>
      <x:c r="D98" s="30"/>
      <x:c r="E98" s="30"/>
      <x:c r="F98" s="30"/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30"/>
      <x:c r="AA98" s="30"/>
      <x:c r="AB98" s="30"/>
      <x:c r="AC98" s="30"/>
      <x:c r="AD98" s="30"/>
      <x:c r="AE98" s="30"/>
      <x:c r="AF98" s="30"/>
      <x:c r="AG98" s="30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>
      <x:c r="A99" s="1"/>
      <x:c r="B99" s="1"/>
      <x:c r="C99" s="30"/>
      <x:c r="D99" s="30"/>
      <x:c r="E99" s="30"/>
      <x:c r="F99" s="30"/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30"/>
      <x:c r="AA99" s="30"/>
      <x:c r="AB99" s="30"/>
      <x:c r="AC99" s="30"/>
      <x:c r="AD99" s="30"/>
      <x:c r="AE99" s="30"/>
      <x:c r="AF99" s="30"/>
      <x:c r="AG99" s="30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>
      <x:c r="A100" s="1"/>
      <x:c r="B100" s="1"/>
      <x:c r="C100" s="30"/>
      <x:c r="D100" s="30"/>
      <x:c r="E100" s="30"/>
      <x:c r="F100" s="30"/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30"/>
      <x:c r="AA100" s="30"/>
      <x:c r="AB100" s="30"/>
      <x:c r="AC100" s="30"/>
      <x:c r="AD100" s="30"/>
      <x:c r="AE100" s="30"/>
      <x:c r="AF100" s="30"/>
      <x:c r="AG100" s="30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>
      <x:c r="A101" s="1"/>
      <x:c r="B101" s="1"/>
      <x:c r="C101" s="30"/>
      <x:c r="D101" s="30"/>
      <x:c r="E101" s="30"/>
      <x:c r="F101" s="30"/>
      <x:c r="G101" s="30"/>
      <x:c r="H101" s="30"/>
      <x:c r="I101" s="30"/>
      <x:c r="J101" s="30"/>
      <x:c r="K101" s="30"/>
      <x:c r="L101" s="30"/>
      <x:c r="M101" s="30"/>
      <x:c r="N101" s="30"/>
      <x:c r="O101" s="30"/>
      <x:c r="P101" s="30"/>
      <x:c r="Q101" s="30"/>
      <x:c r="R101" s="30"/>
      <x:c r="S101" s="30"/>
      <x:c r="T101" s="30"/>
      <x:c r="U101" s="30"/>
      <x:c r="V101" s="30"/>
      <x:c r="W101" s="30"/>
      <x:c r="X101" s="30"/>
      <x:c r="Y101" s="30"/>
      <x:c r="Z101" s="30"/>
      <x:c r="AA101" s="30"/>
      <x:c r="AB101" s="30"/>
      <x:c r="AC101" s="30"/>
      <x:c r="AD101" s="30"/>
      <x:c r="AE101" s="30"/>
      <x:c r="AF101" s="30"/>
      <x:c r="AG101" s="30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>
      <x:c r="A102" s="1"/>
      <x:c r="B102" s="1"/>
      <x:c r="C102" s="30"/>
      <x:c r="D102" s="30"/>
      <x:c r="E102" s="30"/>
      <x:c r="F102" s="30"/>
      <x:c r="G102" s="30"/>
      <x:c r="H102" s="30"/>
      <x:c r="I102" s="30"/>
      <x:c r="J102" s="30"/>
      <x:c r="K102" s="30"/>
      <x:c r="L102" s="30"/>
      <x:c r="M102" s="30"/>
      <x:c r="N102" s="30"/>
      <x:c r="O102" s="30"/>
      <x:c r="P102" s="30"/>
      <x:c r="Q102" s="30"/>
      <x:c r="R102" s="30"/>
      <x:c r="S102" s="30"/>
      <x:c r="T102" s="30"/>
      <x:c r="U102" s="30"/>
      <x:c r="V102" s="30"/>
      <x:c r="W102" s="30"/>
      <x:c r="X102" s="30"/>
      <x:c r="Y102" s="30"/>
      <x:c r="Z102" s="30"/>
      <x:c r="AA102" s="30"/>
      <x:c r="AB102" s="30"/>
      <x:c r="AC102" s="30"/>
      <x:c r="AD102" s="30"/>
      <x:c r="AE102" s="30"/>
      <x:c r="AF102" s="30"/>
      <x:c r="AG102" s="30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>
      <x:c r="A103" s="1"/>
      <x:c r="B103" s="1"/>
      <x:c r="C103" s="30"/>
      <x:c r="D103" s="30"/>
      <x:c r="E103" s="30"/>
      <x:c r="F103" s="30"/>
      <x:c r="G103" s="3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0"/>
      <x:c r="T103" s="30"/>
      <x:c r="U103" s="30"/>
      <x:c r="V103" s="30"/>
      <x:c r="W103" s="30"/>
      <x:c r="X103" s="30"/>
      <x:c r="Y103" s="30"/>
      <x:c r="Z103" s="30"/>
      <x:c r="AA103" s="30"/>
      <x:c r="AB103" s="30"/>
      <x:c r="AC103" s="30"/>
      <x:c r="AD103" s="30"/>
      <x:c r="AE103" s="30"/>
      <x:c r="AF103" s="30"/>
      <x:c r="AG103" s="30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>
      <x:c r="A104" s="1"/>
      <x:c r="B104" s="1"/>
      <x:c r="C104" s="30"/>
      <x:c r="D104" s="30"/>
      <x:c r="E104" s="30"/>
      <x:c r="F104" s="30"/>
      <x:c r="G104" s="30"/>
      <x:c r="H104" s="30"/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0"/>
      <x:c r="T104" s="30"/>
      <x:c r="U104" s="30"/>
      <x:c r="V104" s="30"/>
      <x:c r="W104" s="30"/>
      <x:c r="X104" s="30"/>
      <x:c r="Y104" s="30"/>
      <x:c r="Z104" s="30"/>
      <x:c r="AA104" s="30"/>
      <x:c r="AB104" s="30"/>
      <x:c r="AC104" s="30"/>
      <x:c r="AD104" s="30"/>
      <x:c r="AE104" s="30"/>
      <x:c r="AF104" s="30"/>
      <x:c r="AG104" s="30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>
      <x:c r="A105" s="1"/>
      <x:c r="B105" s="1"/>
      <x:c r="C105" s="30"/>
      <x:c r="D105" s="30"/>
      <x:c r="E105" s="30"/>
      <x:c r="F105" s="30"/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  <x:c r="Q105" s="30"/>
      <x:c r="R105" s="30"/>
      <x:c r="S105" s="30"/>
      <x:c r="T105" s="30"/>
      <x:c r="U105" s="30"/>
      <x:c r="V105" s="30"/>
      <x:c r="W105" s="30"/>
      <x:c r="X105" s="30"/>
      <x:c r="Y105" s="30"/>
      <x:c r="Z105" s="30"/>
      <x:c r="AA105" s="30"/>
      <x:c r="AB105" s="30"/>
      <x:c r="AC105" s="30"/>
      <x:c r="AD105" s="30"/>
      <x:c r="AE105" s="30"/>
      <x:c r="AF105" s="30"/>
      <x:c r="AG105" s="30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>
      <x:c r="A106" s="1"/>
      <x:c r="B106" s="1"/>
      <x:c r="C106" s="30"/>
      <x:c r="D106" s="30"/>
      <x:c r="E106" s="30"/>
      <x:c r="F106" s="30"/>
      <x:c r="G106" s="30"/>
      <x:c r="H106" s="30"/>
      <x:c r="I106" s="30"/>
      <x:c r="J106" s="30"/>
      <x:c r="K106" s="30"/>
      <x:c r="L106" s="30"/>
      <x:c r="M106" s="30"/>
      <x:c r="N106" s="30"/>
      <x:c r="O106" s="30"/>
      <x:c r="P106" s="30"/>
      <x:c r="Q106" s="30"/>
      <x:c r="R106" s="30"/>
      <x:c r="S106" s="30"/>
      <x:c r="T106" s="30"/>
      <x:c r="U106" s="30"/>
      <x:c r="V106" s="30"/>
      <x:c r="W106" s="30"/>
      <x:c r="X106" s="30"/>
      <x:c r="Y106" s="30"/>
      <x:c r="Z106" s="30"/>
      <x:c r="AA106" s="30"/>
      <x:c r="AB106" s="30"/>
      <x:c r="AC106" s="30"/>
      <x:c r="AD106" s="30"/>
      <x:c r="AE106" s="30"/>
      <x:c r="AF106" s="30"/>
      <x:c r="AG106" s="30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>
      <x:c r="A107" s="1"/>
      <x:c r="B107" s="1"/>
      <x:c r="C107" s="30"/>
      <x:c r="D107" s="30"/>
      <x:c r="E107" s="30"/>
      <x:c r="F107" s="30"/>
      <x:c r="G107" s="30"/>
      <x:c r="H107" s="30"/>
      <x:c r="I107" s="30"/>
      <x:c r="J107" s="30"/>
      <x:c r="K107" s="30"/>
      <x:c r="L107" s="30"/>
      <x:c r="M107" s="30"/>
      <x:c r="N107" s="30"/>
      <x:c r="O107" s="30"/>
      <x:c r="P107" s="30"/>
      <x:c r="Q107" s="30"/>
      <x:c r="R107" s="30"/>
      <x:c r="S107" s="30"/>
      <x:c r="T107" s="30"/>
      <x:c r="U107" s="30"/>
      <x:c r="V107" s="30"/>
      <x:c r="W107" s="30"/>
      <x:c r="X107" s="30"/>
      <x:c r="Y107" s="30"/>
      <x:c r="Z107" s="30"/>
      <x:c r="AA107" s="30"/>
      <x:c r="AB107" s="30"/>
      <x:c r="AC107" s="30"/>
      <x:c r="AD107" s="30"/>
      <x:c r="AE107" s="30"/>
      <x:c r="AF107" s="30"/>
      <x:c r="AG107" s="30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>
      <x:c r="A108" s="1"/>
      <x:c r="B108" s="1"/>
      <x:c r="C108" s="30"/>
      <x:c r="D108" s="30"/>
      <x:c r="E108" s="30"/>
      <x:c r="F108" s="30"/>
      <x:c r="G108" s="30"/>
      <x:c r="H108" s="30"/>
      <x:c r="I108" s="30"/>
      <x:c r="J108" s="30"/>
      <x:c r="K108" s="30"/>
      <x:c r="L108" s="30"/>
      <x:c r="M108" s="30"/>
      <x:c r="N108" s="30"/>
      <x:c r="O108" s="30"/>
      <x:c r="P108" s="30"/>
      <x:c r="Q108" s="30"/>
      <x:c r="R108" s="30"/>
      <x:c r="S108" s="30"/>
      <x:c r="T108" s="30"/>
      <x:c r="U108" s="30"/>
      <x:c r="V108" s="30"/>
      <x:c r="W108" s="30"/>
      <x:c r="X108" s="30"/>
      <x:c r="Y108" s="30"/>
      <x:c r="Z108" s="30"/>
      <x:c r="AA108" s="30"/>
      <x:c r="AB108" s="30"/>
      <x:c r="AC108" s="30"/>
      <x:c r="AD108" s="30"/>
      <x:c r="AE108" s="30"/>
      <x:c r="AF108" s="30"/>
      <x:c r="AG108" s="30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>
      <x:c r="A109" s="1"/>
      <x:c r="B109" s="1"/>
      <x:c r="C109" s="30"/>
      <x:c r="D109" s="30"/>
      <x:c r="E109" s="30"/>
      <x:c r="F109" s="30"/>
      <x:c r="G109" s="30"/>
      <x:c r="H109" s="30"/>
      <x:c r="I109" s="30"/>
      <x:c r="J109" s="30"/>
      <x:c r="K109" s="30"/>
      <x:c r="L109" s="30"/>
      <x:c r="M109" s="30"/>
      <x:c r="N109" s="30"/>
      <x:c r="O109" s="30"/>
      <x:c r="P109" s="30"/>
      <x:c r="Q109" s="30"/>
      <x:c r="R109" s="30"/>
      <x:c r="S109" s="30"/>
      <x:c r="T109" s="30"/>
      <x:c r="U109" s="30"/>
      <x:c r="V109" s="30"/>
      <x:c r="W109" s="30"/>
      <x:c r="X109" s="30"/>
      <x:c r="Y109" s="30"/>
      <x:c r="Z109" s="30"/>
      <x:c r="AA109" s="30"/>
      <x:c r="AB109" s="30"/>
      <x:c r="AC109" s="30"/>
      <x:c r="AD109" s="30"/>
      <x:c r="AE109" s="30"/>
      <x:c r="AF109" s="30"/>
      <x:c r="AG109" s="30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>
      <x:c r="A110" s="1"/>
      <x:c r="B110" s="1"/>
      <x:c r="C110" s="30"/>
      <x:c r="D110" s="30"/>
      <x:c r="E110" s="30"/>
      <x:c r="F110" s="30"/>
      <x:c r="G110" s="30"/>
      <x:c r="H110" s="30"/>
      <x:c r="I110" s="30"/>
      <x:c r="J110" s="30"/>
      <x:c r="K110" s="30"/>
      <x:c r="L110" s="30"/>
      <x:c r="M110" s="30"/>
      <x:c r="N110" s="30"/>
      <x:c r="O110" s="30"/>
      <x:c r="P110" s="30"/>
      <x:c r="Q110" s="30"/>
      <x:c r="R110" s="30"/>
      <x:c r="S110" s="30"/>
      <x:c r="T110" s="30"/>
      <x:c r="U110" s="30"/>
      <x:c r="V110" s="30"/>
      <x:c r="W110" s="30"/>
      <x:c r="X110" s="30"/>
      <x:c r="Y110" s="30"/>
      <x:c r="Z110" s="30"/>
      <x:c r="AA110" s="30"/>
      <x:c r="AB110" s="30"/>
      <x:c r="AC110" s="30"/>
      <x:c r="AD110" s="30"/>
      <x:c r="AE110" s="30"/>
      <x:c r="AF110" s="30"/>
      <x:c r="AG110" s="30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>
      <x:c r="A111" s="1"/>
      <x:c r="B111" s="1"/>
      <x:c r="C111" s="30"/>
      <x:c r="D111" s="30"/>
      <x:c r="E111" s="30"/>
      <x:c r="F111" s="30"/>
      <x:c r="G111" s="30"/>
      <x:c r="H111" s="30"/>
      <x:c r="I111" s="30"/>
      <x:c r="J111" s="30"/>
      <x:c r="K111" s="30"/>
      <x:c r="L111" s="30"/>
      <x:c r="M111" s="30"/>
      <x:c r="N111" s="30"/>
      <x:c r="O111" s="30"/>
      <x:c r="P111" s="30"/>
      <x:c r="Q111" s="30"/>
      <x:c r="R111" s="30"/>
      <x:c r="S111" s="30"/>
      <x:c r="T111" s="30"/>
      <x:c r="U111" s="30"/>
      <x:c r="V111" s="30"/>
      <x:c r="W111" s="30"/>
      <x:c r="X111" s="30"/>
      <x:c r="Y111" s="30"/>
      <x:c r="Z111" s="30"/>
      <x:c r="AA111" s="30"/>
      <x:c r="AB111" s="30"/>
      <x:c r="AC111" s="30"/>
      <x:c r="AD111" s="30"/>
      <x:c r="AE111" s="30"/>
      <x:c r="AF111" s="30"/>
      <x:c r="AG111" s="30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>
      <x:c r="A112" s="1"/>
      <x:c r="B112" s="1"/>
      <x:c r="C112" s="30"/>
      <x:c r="D112" s="30"/>
      <x:c r="E112" s="30"/>
      <x:c r="F112" s="30"/>
      <x:c r="G112" s="30"/>
      <x:c r="H112" s="30"/>
      <x:c r="I112" s="30"/>
      <x:c r="J112" s="30"/>
      <x:c r="K112" s="30"/>
      <x:c r="L112" s="30"/>
      <x:c r="M112" s="30"/>
      <x:c r="N112" s="30"/>
      <x:c r="O112" s="30"/>
      <x:c r="P112" s="30"/>
      <x:c r="Q112" s="30"/>
      <x:c r="R112" s="30"/>
      <x:c r="S112" s="30"/>
      <x:c r="T112" s="30"/>
      <x:c r="U112" s="30"/>
      <x:c r="V112" s="30"/>
      <x:c r="W112" s="30"/>
      <x:c r="X112" s="30"/>
      <x:c r="Y112" s="30"/>
      <x:c r="Z112" s="30"/>
      <x:c r="AA112" s="30"/>
      <x:c r="AB112" s="30"/>
      <x:c r="AC112" s="30"/>
      <x:c r="AD112" s="30"/>
      <x:c r="AE112" s="30"/>
      <x:c r="AF112" s="30"/>
      <x:c r="AG112" s="30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>
      <x:c r="A113" s="1"/>
      <x:c r="B113" s="1"/>
      <x:c r="C113" s="30"/>
      <x:c r="D113" s="30"/>
      <x:c r="E113" s="30"/>
      <x:c r="F113" s="30"/>
      <x:c r="G113" s="30"/>
      <x:c r="H113" s="30"/>
      <x:c r="I113" s="30"/>
      <x:c r="J113" s="30"/>
      <x:c r="K113" s="30"/>
      <x:c r="L113" s="30"/>
      <x:c r="M113" s="30"/>
      <x:c r="N113" s="30"/>
      <x:c r="O113" s="30"/>
      <x:c r="P113" s="30"/>
      <x:c r="Q113" s="30"/>
      <x:c r="R113" s="30"/>
      <x:c r="S113" s="30"/>
      <x:c r="T113" s="30"/>
      <x:c r="U113" s="30"/>
      <x:c r="V113" s="30"/>
      <x:c r="W113" s="30"/>
      <x:c r="X113" s="30"/>
      <x:c r="Y113" s="30"/>
      <x:c r="Z113" s="30"/>
      <x:c r="AA113" s="30"/>
      <x:c r="AB113" s="30"/>
      <x:c r="AC113" s="30"/>
      <x:c r="AD113" s="30"/>
      <x:c r="AE113" s="30"/>
      <x:c r="AF113" s="30"/>
      <x:c r="AG113" s="30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>
      <x:c r="A114" s="1"/>
      <x:c r="B114" s="1"/>
      <x:c r="C114" s="30"/>
      <x:c r="D114" s="30"/>
      <x:c r="E114" s="30"/>
      <x:c r="F114" s="30"/>
      <x:c r="G114" s="30"/>
      <x:c r="H114" s="30"/>
      <x:c r="I114" s="30"/>
      <x:c r="J114" s="30"/>
      <x:c r="K114" s="30"/>
      <x:c r="L114" s="30"/>
      <x:c r="M114" s="30"/>
      <x:c r="N114" s="30"/>
      <x:c r="O114" s="30"/>
      <x:c r="P114" s="30"/>
      <x:c r="Q114" s="30"/>
      <x:c r="R114" s="30"/>
      <x:c r="S114" s="30"/>
      <x:c r="T114" s="30"/>
      <x:c r="U114" s="30"/>
      <x:c r="V114" s="30"/>
      <x:c r="W114" s="30"/>
      <x:c r="X114" s="30"/>
      <x:c r="Y114" s="30"/>
      <x:c r="Z114" s="30"/>
      <x:c r="AA114" s="30"/>
      <x:c r="AB114" s="30"/>
      <x:c r="AC114" s="30"/>
      <x:c r="AD114" s="30"/>
      <x:c r="AE114" s="30"/>
      <x:c r="AF114" s="30"/>
      <x:c r="AG114" s="30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>
      <x:c r="A115" s="1"/>
      <x:c r="B115" s="1"/>
      <x:c r="C115" s="30"/>
      <x:c r="D115" s="30"/>
      <x:c r="E115" s="30"/>
      <x:c r="F115" s="30"/>
      <x:c r="G115" s="30"/>
      <x:c r="H115" s="30"/>
      <x:c r="I115" s="30"/>
      <x:c r="J115" s="30"/>
      <x:c r="K115" s="30"/>
      <x:c r="L115" s="30"/>
      <x:c r="M115" s="30"/>
      <x:c r="N115" s="30"/>
      <x:c r="O115" s="30"/>
      <x:c r="P115" s="30"/>
      <x:c r="Q115" s="30"/>
      <x:c r="R115" s="30"/>
      <x:c r="S115" s="30"/>
      <x:c r="T115" s="30"/>
      <x:c r="U115" s="30"/>
      <x:c r="V115" s="30"/>
      <x:c r="W115" s="30"/>
      <x:c r="X115" s="30"/>
      <x:c r="Y115" s="30"/>
      <x:c r="Z115" s="30"/>
      <x:c r="AA115" s="30"/>
      <x:c r="AB115" s="30"/>
      <x:c r="AC115" s="30"/>
      <x:c r="AD115" s="30"/>
      <x:c r="AE115" s="30"/>
      <x:c r="AF115" s="30"/>
      <x:c r="AG115" s="30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>
      <x:c r="A116" s="1"/>
      <x:c r="B116" s="1"/>
      <x:c r="C116" s="30"/>
      <x:c r="D116" s="30"/>
      <x:c r="E116" s="30"/>
      <x:c r="F116" s="30"/>
      <x:c r="G116" s="30"/>
      <x:c r="H116" s="30"/>
      <x:c r="I116" s="30"/>
      <x:c r="J116" s="30"/>
      <x:c r="K116" s="30"/>
      <x:c r="L116" s="30"/>
      <x:c r="M116" s="30"/>
      <x:c r="N116" s="30"/>
      <x:c r="O116" s="30"/>
      <x:c r="P116" s="30"/>
      <x:c r="Q116" s="30"/>
      <x:c r="R116" s="30"/>
      <x:c r="S116" s="30"/>
      <x:c r="T116" s="30"/>
      <x:c r="U116" s="30"/>
      <x:c r="V116" s="30"/>
      <x:c r="W116" s="30"/>
      <x:c r="X116" s="30"/>
      <x:c r="Y116" s="30"/>
      <x:c r="Z116" s="30"/>
      <x:c r="AA116" s="30"/>
      <x:c r="AB116" s="30"/>
      <x:c r="AC116" s="30"/>
      <x:c r="AD116" s="30"/>
      <x:c r="AE116" s="30"/>
      <x:c r="AF116" s="30"/>
      <x:c r="AG116" s="30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>
      <x:c r="A117" s="1"/>
      <x:c r="B117" s="1"/>
      <x:c r="C117" s="30"/>
      <x:c r="D117" s="30"/>
      <x:c r="E117" s="30"/>
      <x:c r="F117" s="30"/>
      <x:c r="G117" s="30"/>
      <x:c r="H117" s="30"/>
      <x:c r="I117" s="30"/>
      <x:c r="J117" s="30"/>
      <x:c r="K117" s="30"/>
      <x:c r="L117" s="30"/>
      <x:c r="M117" s="30"/>
      <x:c r="N117" s="30"/>
      <x:c r="O117" s="30"/>
      <x:c r="P117" s="30"/>
      <x:c r="Q117" s="30"/>
      <x:c r="R117" s="30"/>
      <x:c r="S117" s="30"/>
      <x:c r="T117" s="30"/>
      <x:c r="U117" s="30"/>
      <x:c r="V117" s="30"/>
      <x:c r="W117" s="30"/>
      <x:c r="X117" s="30"/>
      <x:c r="Y117" s="30"/>
      <x:c r="Z117" s="30"/>
      <x:c r="AA117" s="30"/>
      <x:c r="AB117" s="30"/>
      <x:c r="AC117" s="30"/>
      <x:c r="AD117" s="30"/>
      <x:c r="AE117" s="30"/>
      <x:c r="AF117" s="30"/>
      <x:c r="AG117" s="30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>
      <x:c r="A118" s="1"/>
      <x:c r="B118" s="1"/>
      <x:c r="C118" s="30"/>
      <x:c r="D118" s="30"/>
      <x:c r="E118" s="30"/>
      <x:c r="F118" s="30"/>
      <x:c r="G118" s="30"/>
      <x:c r="H118" s="30"/>
      <x:c r="I118" s="30"/>
      <x:c r="J118" s="30"/>
      <x:c r="K118" s="30"/>
      <x:c r="L118" s="30"/>
      <x:c r="M118" s="30"/>
      <x:c r="N118" s="30"/>
      <x:c r="O118" s="30"/>
      <x:c r="P118" s="30"/>
      <x:c r="Q118" s="30"/>
      <x:c r="R118" s="30"/>
      <x:c r="S118" s="30"/>
      <x:c r="T118" s="30"/>
      <x:c r="U118" s="30"/>
      <x:c r="V118" s="30"/>
      <x:c r="W118" s="30"/>
      <x:c r="X118" s="30"/>
      <x:c r="Y118" s="30"/>
      <x:c r="Z118" s="30"/>
      <x:c r="AA118" s="30"/>
      <x:c r="AB118" s="30"/>
      <x:c r="AC118" s="30"/>
      <x:c r="AD118" s="30"/>
      <x:c r="AE118" s="30"/>
      <x:c r="AF118" s="30"/>
      <x:c r="AG118" s="30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>
      <x:c r="A119" s="1"/>
      <x:c r="B119" s="1"/>
      <x:c r="C119" s="30"/>
      <x:c r="D119" s="30"/>
      <x:c r="E119" s="30"/>
      <x:c r="F119" s="30"/>
      <x:c r="G119" s="30"/>
      <x:c r="H119" s="30"/>
      <x:c r="I119" s="30"/>
      <x:c r="J119" s="30"/>
      <x:c r="K119" s="30"/>
      <x:c r="L119" s="30"/>
      <x:c r="M119" s="30"/>
      <x:c r="N119" s="30"/>
      <x:c r="O119" s="30"/>
      <x:c r="P119" s="30"/>
      <x:c r="Q119" s="30"/>
      <x:c r="R119" s="30"/>
      <x:c r="S119" s="30"/>
      <x:c r="T119" s="30"/>
      <x:c r="U119" s="30"/>
      <x:c r="V119" s="30"/>
      <x:c r="W119" s="30"/>
      <x:c r="X119" s="30"/>
      <x:c r="Y119" s="30"/>
      <x:c r="Z119" s="30"/>
      <x:c r="AA119" s="30"/>
      <x:c r="AB119" s="30"/>
      <x:c r="AC119" s="30"/>
      <x:c r="AD119" s="30"/>
      <x:c r="AE119" s="30"/>
      <x:c r="AF119" s="30"/>
      <x:c r="AG119" s="30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>
      <x:c r="A120" s="1"/>
      <x:c r="B120" s="1"/>
      <x:c r="C120" s="30"/>
      <x:c r="D120" s="30"/>
      <x:c r="E120" s="30"/>
      <x:c r="F120" s="30"/>
      <x:c r="G120" s="30"/>
      <x:c r="H120" s="30"/>
      <x:c r="I120" s="30"/>
      <x:c r="J120" s="30"/>
      <x:c r="K120" s="30"/>
      <x:c r="L120" s="30"/>
      <x:c r="M120" s="30"/>
      <x:c r="N120" s="30"/>
      <x:c r="O120" s="30"/>
      <x:c r="P120" s="30"/>
      <x:c r="Q120" s="30"/>
      <x:c r="R120" s="30"/>
      <x:c r="S120" s="30"/>
      <x:c r="T120" s="30"/>
      <x:c r="U120" s="30"/>
      <x:c r="V120" s="30"/>
      <x:c r="W120" s="30"/>
      <x:c r="X120" s="30"/>
      <x:c r="Y120" s="30"/>
      <x:c r="Z120" s="30"/>
      <x:c r="AA120" s="30"/>
      <x:c r="AB120" s="30"/>
      <x:c r="AC120" s="30"/>
      <x:c r="AD120" s="30"/>
      <x:c r="AE120" s="30"/>
      <x:c r="AF120" s="30"/>
      <x:c r="AG120" s="30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>
      <x:c r="A121" s="1"/>
      <x:c r="B121" s="1"/>
      <x:c r="C121" s="30"/>
      <x:c r="D121" s="30"/>
      <x:c r="E121" s="30"/>
      <x:c r="F121" s="30"/>
      <x:c r="G121" s="30"/>
      <x:c r="H121" s="30"/>
      <x:c r="I121" s="30"/>
      <x:c r="J121" s="30"/>
      <x:c r="K121" s="30"/>
      <x:c r="L121" s="30"/>
      <x:c r="M121" s="30"/>
      <x:c r="N121" s="30"/>
      <x:c r="O121" s="30"/>
      <x:c r="P121" s="30"/>
      <x:c r="Q121" s="30"/>
      <x:c r="R121" s="30"/>
      <x:c r="S121" s="30"/>
      <x:c r="T121" s="30"/>
      <x:c r="U121" s="30"/>
      <x:c r="V121" s="30"/>
      <x:c r="W121" s="30"/>
      <x:c r="X121" s="30"/>
      <x:c r="Y121" s="30"/>
      <x:c r="Z121" s="30"/>
      <x:c r="AA121" s="30"/>
      <x:c r="AB121" s="30"/>
      <x:c r="AC121" s="30"/>
      <x:c r="AD121" s="30"/>
      <x:c r="AE121" s="30"/>
      <x:c r="AF121" s="30"/>
      <x:c r="AG121" s="30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>
      <x:c r="A122" s="1"/>
      <x:c r="B122" s="1"/>
      <x:c r="C122" s="30"/>
      <x:c r="D122" s="30"/>
      <x:c r="E122" s="30"/>
      <x:c r="F122" s="30"/>
      <x:c r="G122" s="30"/>
      <x:c r="H122" s="30"/>
      <x:c r="I122" s="30"/>
      <x:c r="J122" s="30"/>
      <x:c r="K122" s="30"/>
      <x:c r="L122" s="30"/>
      <x:c r="M122" s="30"/>
      <x:c r="N122" s="30"/>
      <x:c r="O122" s="30"/>
      <x:c r="P122" s="30"/>
      <x:c r="Q122" s="30"/>
      <x:c r="R122" s="30"/>
      <x:c r="S122" s="30"/>
      <x:c r="T122" s="30"/>
      <x:c r="U122" s="30"/>
      <x:c r="V122" s="30"/>
      <x:c r="W122" s="30"/>
      <x:c r="X122" s="30"/>
      <x:c r="Y122" s="30"/>
      <x:c r="Z122" s="30"/>
      <x:c r="AA122" s="30"/>
      <x:c r="AB122" s="30"/>
      <x:c r="AC122" s="30"/>
      <x:c r="AD122" s="30"/>
      <x:c r="AE122" s="30"/>
      <x:c r="AF122" s="30"/>
      <x:c r="AG122" s="30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>
      <x:c r="A123" s="1"/>
      <x:c r="B123" s="1"/>
      <x:c r="C123" s="30"/>
      <x:c r="D123" s="30"/>
      <x:c r="E123" s="30"/>
      <x:c r="F123" s="30"/>
      <x:c r="G123" s="30"/>
      <x:c r="H123" s="30"/>
      <x:c r="I123" s="30"/>
      <x:c r="J123" s="30"/>
      <x:c r="K123" s="30"/>
      <x:c r="L123" s="30"/>
      <x:c r="M123" s="30"/>
      <x:c r="N123" s="30"/>
      <x:c r="O123" s="30"/>
      <x:c r="P123" s="30"/>
      <x:c r="Q123" s="30"/>
      <x:c r="R123" s="30"/>
      <x:c r="S123" s="30"/>
      <x:c r="T123" s="30"/>
      <x:c r="U123" s="30"/>
      <x:c r="V123" s="30"/>
      <x:c r="W123" s="30"/>
      <x:c r="X123" s="30"/>
      <x:c r="Y123" s="30"/>
      <x:c r="Z123" s="30"/>
      <x:c r="AA123" s="30"/>
      <x:c r="AB123" s="30"/>
      <x:c r="AC123" s="30"/>
      <x:c r="AD123" s="30"/>
      <x:c r="AE123" s="30"/>
      <x:c r="AF123" s="30"/>
      <x:c r="AG123" s="30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>
      <x:c r="A124" s="1"/>
      <x:c r="B124" s="1"/>
      <x:c r="C124" s="30"/>
      <x:c r="D124" s="30"/>
      <x:c r="E124" s="30"/>
      <x:c r="F124" s="30"/>
      <x:c r="G124" s="30"/>
      <x:c r="H124" s="30"/>
      <x:c r="I124" s="30"/>
      <x:c r="J124" s="30"/>
      <x:c r="K124" s="30"/>
      <x:c r="L124" s="30"/>
      <x:c r="M124" s="30"/>
      <x:c r="N124" s="30"/>
      <x:c r="O124" s="30"/>
      <x:c r="P124" s="30"/>
      <x:c r="Q124" s="30"/>
      <x:c r="R124" s="30"/>
      <x:c r="S124" s="30"/>
      <x:c r="T124" s="30"/>
      <x:c r="U124" s="30"/>
      <x:c r="V124" s="30"/>
      <x:c r="W124" s="30"/>
      <x:c r="X124" s="30"/>
      <x:c r="Y124" s="30"/>
      <x:c r="Z124" s="30"/>
      <x:c r="AA124" s="30"/>
      <x:c r="AB124" s="30"/>
      <x:c r="AC124" s="30"/>
      <x:c r="AD124" s="30"/>
      <x:c r="AE124" s="30"/>
      <x:c r="AF124" s="30"/>
      <x:c r="AG124" s="30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>
      <x:c r="A125" s="1"/>
      <x:c r="B125" s="1"/>
      <x:c r="C125" s="30"/>
      <x:c r="D125" s="30"/>
      <x:c r="E125" s="30"/>
      <x:c r="F125" s="30"/>
      <x:c r="G125" s="30"/>
      <x:c r="H125" s="30"/>
      <x:c r="I125" s="30"/>
      <x:c r="J125" s="30"/>
      <x:c r="K125" s="30"/>
      <x:c r="L125" s="30"/>
      <x:c r="M125" s="30"/>
      <x:c r="N125" s="30"/>
      <x:c r="O125" s="30"/>
      <x:c r="P125" s="30"/>
      <x:c r="Q125" s="30"/>
      <x:c r="R125" s="30"/>
      <x:c r="S125" s="30"/>
      <x:c r="T125" s="30"/>
      <x:c r="U125" s="30"/>
      <x:c r="V125" s="30"/>
      <x:c r="W125" s="30"/>
      <x:c r="X125" s="30"/>
      <x:c r="Y125" s="30"/>
      <x:c r="Z125" s="30"/>
      <x:c r="AA125" s="30"/>
      <x:c r="AB125" s="30"/>
      <x:c r="AC125" s="30"/>
      <x:c r="AD125" s="30"/>
      <x:c r="AE125" s="30"/>
      <x:c r="AF125" s="30"/>
      <x:c r="AG125" s="30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>
      <x:c r="A126" s="1"/>
      <x:c r="B126" s="1"/>
      <x:c r="C126" s="30"/>
      <x:c r="D126" s="30"/>
      <x:c r="E126" s="30"/>
      <x:c r="F126" s="30"/>
      <x:c r="G126" s="30"/>
      <x:c r="H126" s="30"/>
      <x:c r="I126" s="30"/>
      <x:c r="J126" s="30"/>
      <x:c r="K126" s="30"/>
      <x:c r="L126" s="30"/>
      <x:c r="M126" s="30"/>
      <x:c r="N126" s="30"/>
      <x:c r="O126" s="30"/>
      <x:c r="P126" s="30"/>
      <x:c r="Q126" s="30"/>
      <x:c r="R126" s="30"/>
      <x:c r="S126" s="30"/>
      <x:c r="T126" s="30"/>
      <x:c r="U126" s="30"/>
      <x:c r="V126" s="30"/>
      <x:c r="W126" s="30"/>
      <x:c r="X126" s="30"/>
      <x:c r="Y126" s="30"/>
      <x:c r="Z126" s="30"/>
      <x:c r="AA126" s="30"/>
      <x:c r="AB126" s="30"/>
      <x:c r="AC126" s="30"/>
      <x:c r="AD126" s="30"/>
      <x:c r="AE126" s="30"/>
      <x:c r="AF126" s="30"/>
      <x:c r="AG126" s="30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>
      <x:c r="A127" s="1"/>
      <x:c r="B127" s="1"/>
      <x:c r="C127" s="30"/>
      <x:c r="D127" s="30"/>
      <x:c r="E127" s="30"/>
      <x:c r="F127" s="30"/>
      <x:c r="G127" s="30"/>
      <x:c r="H127" s="30"/>
      <x:c r="I127" s="30"/>
      <x:c r="J127" s="30"/>
      <x:c r="K127" s="30"/>
      <x:c r="L127" s="30"/>
      <x:c r="M127" s="30"/>
      <x:c r="N127" s="30"/>
      <x:c r="O127" s="30"/>
      <x:c r="P127" s="30"/>
      <x:c r="Q127" s="30"/>
      <x:c r="R127" s="30"/>
      <x:c r="S127" s="30"/>
      <x:c r="T127" s="30"/>
      <x:c r="U127" s="30"/>
      <x:c r="V127" s="30"/>
      <x:c r="W127" s="30"/>
      <x:c r="X127" s="30"/>
      <x:c r="Y127" s="30"/>
      <x:c r="Z127" s="30"/>
      <x:c r="AA127" s="30"/>
      <x:c r="AB127" s="30"/>
      <x:c r="AC127" s="30"/>
      <x:c r="AD127" s="30"/>
      <x:c r="AE127" s="30"/>
      <x:c r="AF127" s="30"/>
      <x:c r="AG127" s="30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>
      <x:c r="A128" s="1"/>
      <x:c r="B128" s="1"/>
      <x:c r="C128" s="30"/>
      <x:c r="D128" s="30"/>
      <x:c r="E128" s="30"/>
      <x:c r="F128" s="30"/>
      <x:c r="G128" s="30"/>
      <x:c r="H128" s="30"/>
      <x:c r="I128" s="30"/>
      <x:c r="J128" s="30"/>
      <x:c r="K128" s="30"/>
      <x:c r="L128" s="30"/>
      <x:c r="M128" s="30"/>
      <x:c r="N128" s="30"/>
      <x:c r="O128" s="30"/>
      <x:c r="P128" s="30"/>
      <x:c r="Q128" s="30"/>
      <x:c r="R128" s="30"/>
      <x:c r="S128" s="30"/>
      <x:c r="T128" s="30"/>
      <x:c r="U128" s="30"/>
      <x:c r="V128" s="30"/>
      <x:c r="W128" s="30"/>
      <x:c r="X128" s="30"/>
      <x:c r="Y128" s="30"/>
      <x:c r="Z128" s="30"/>
      <x:c r="AA128" s="30"/>
      <x:c r="AB128" s="30"/>
      <x:c r="AC128" s="30"/>
      <x:c r="AD128" s="30"/>
      <x:c r="AE128" s="30"/>
      <x:c r="AF128" s="30"/>
      <x:c r="AG128" s="30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>
      <x:c r="A129" s="1"/>
      <x:c r="B129" s="1"/>
      <x:c r="C129" s="30"/>
      <x:c r="D129" s="30"/>
      <x:c r="E129" s="30"/>
      <x:c r="F129" s="30"/>
      <x:c r="G129" s="30"/>
      <x:c r="H129" s="30"/>
      <x:c r="I129" s="30"/>
      <x:c r="J129" s="30"/>
      <x:c r="K129" s="30"/>
      <x:c r="L129" s="30"/>
      <x:c r="M129" s="30"/>
      <x:c r="N129" s="30"/>
      <x:c r="O129" s="30"/>
      <x:c r="P129" s="30"/>
      <x:c r="Q129" s="30"/>
      <x:c r="R129" s="30"/>
      <x:c r="S129" s="30"/>
      <x:c r="T129" s="30"/>
      <x:c r="U129" s="30"/>
      <x:c r="V129" s="30"/>
      <x:c r="W129" s="30"/>
      <x:c r="X129" s="30"/>
      <x:c r="Y129" s="30"/>
      <x:c r="Z129" s="30"/>
      <x:c r="AA129" s="30"/>
      <x:c r="AB129" s="30"/>
      <x:c r="AC129" s="30"/>
      <x:c r="AD129" s="30"/>
      <x:c r="AE129" s="30"/>
      <x:c r="AF129" s="30"/>
      <x:c r="AG129" s="30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>
      <x:c r="A130" s="1"/>
      <x:c r="B130" s="1"/>
      <x:c r="C130" s="30"/>
      <x:c r="D130" s="30"/>
      <x:c r="E130" s="30"/>
      <x:c r="F130" s="30"/>
      <x:c r="G130" s="30"/>
      <x:c r="H130" s="30"/>
      <x:c r="I130" s="30"/>
      <x:c r="J130" s="30"/>
      <x:c r="K130" s="30"/>
      <x:c r="L130" s="30"/>
      <x:c r="M130" s="30"/>
      <x:c r="N130" s="30"/>
      <x:c r="O130" s="30"/>
      <x:c r="P130" s="30"/>
      <x:c r="Q130" s="30"/>
      <x:c r="R130" s="30"/>
      <x:c r="S130" s="30"/>
      <x:c r="T130" s="30"/>
      <x:c r="U130" s="30"/>
      <x:c r="V130" s="30"/>
      <x:c r="W130" s="30"/>
      <x:c r="X130" s="30"/>
      <x:c r="Y130" s="30"/>
      <x:c r="Z130" s="30"/>
      <x:c r="AA130" s="30"/>
      <x:c r="AB130" s="30"/>
      <x:c r="AC130" s="30"/>
      <x:c r="AD130" s="30"/>
      <x:c r="AE130" s="30"/>
      <x:c r="AF130" s="30"/>
      <x:c r="AG130" s="30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>
      <x:c r="A131" s="1"/>
      <x:c r="B131" s="1"/>
      <x:c r="C131" s="30"/>
      <x:c r="D131" s="30"/>
      <x:c r="E131" s="30"/>
      <x:c r="F131" s="30"/>
      <x:c r="G131" s="30"/>
      <x:c r="H131" s="30"/>
      <x:c r="I131" s="30"/>
      <x:c r="J131" s="30"/>
      <x:c r="K131" s="30"/>
      <x:c r="L131" s="30"/>
      <x:c r="M131" s="30"/>
      <x:c r="N131" s="30"/>
      <x:c r="O131" s="30"/>
      <x:c r="P131" s="30"/>
      <x:c r="Q131" s="30"/>
      <x:c r="R131" s="30"/>
      <x:c r="S131" s="30"/>
      <x:c r="T131" s="30"/>
      <x:c r="U131" s="30"/>
      <x:c r="V131" s="30"/>
      <x:c r="W131" s="30"/>
      <x:c r="X131" s="30"/>
      <x:c r="Y131" s="30"/>
      <x:c r="Z131" s="30"/>
      <x:c r="AA131" s="30"/>
      <x:c r="AB131" s="30"/>
      <x:c r="AC131" s="30"/>
      <x:c r="AD131" s="30"/>
      <x:c r="AE131" s="30"/>
      <x:c r="AF131" s="30"/>
      <x:c r="AG131" s="30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>
      <x:c r="A132" s="1"/>
      <x:c r="B132" s="1"/>
      <x:c r="C132" s="30"/>
      <x:c r="D132" s="30"/>
      <x:c r="E132" s="30"/>
      <x:c r="F132" s="30"/>
      <x:c r="G132" s="30"/>
      <x:c r="H132" s="30"/>
      <x:c r="I132" s="30"/>
      <x:c r="J132" s="30"/>
      <x:c r="K132" s="30"/>
      <x:c r="L132" s="30"/>
      <x:c r="M132" s="30"/>
      <x:c r="N132" s="30"/>
      <x:c r="O132" s="30"/>
      <x:c r="P132" s="30"/>
      <x:c r="Q132" s="30"/>
      <x:c r="R132" s="30"/>
      <x:c r="S132" s="30"/>
      <x:c r="T132" s="30"/>
      <x:c r="U132" s="30"/>
      <x:c r="V132" s="30"/>
      <x:c r="W132" s="30"/>
      <x:c r="X132" s="30"/>
      <x:c r="Y132" s="30"/>
      <x:c r="Z132" s="30"/>
      <x:c r="AA132" s="30"/>
      <x:c r="AB132" s="30"/>
      <x:c r="AC132" s="30"/>
      <x:c r="AD132" s="30"/>
      <x:c r="AE132" s="30"/>
      <x:c r="AF132" s="30"/>
      <x:c r="AG132" s="30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>
      <x:c r="A133" s="1"/>
      <x:c r="B133" s="1"/>
      <x:c r="C133" s="30"/>
      <x:c r="D133" s="30"/>
      <x:c r="E133" s="30"/>
      <x:c r="F133" s="30"/>
      <x:c r="G133" s="30"/>
      <x:c r="H133" s="30"/>
      <x:c r="I133" s="30"/>
      <x:c r="J133" s="30"/>
      <x:c r="K133" s="30"/>
      <x:c r="L133" s="30"/>
      <x:c r="M133" s="30"/>
      <x:c r="N133" s="30"/>
      <x:c r="O133" s="30"/>
      <x:c r="P133" s="30"/>
      <x:c r="Q133" s="30"/>
      <x:c r="R133" s="30"/>
      <x:c r="S133" s="30"/>
      <x:c r="T133" s="30"/>
      <x:c r="U133" s="30"/>
      <x:c r="V133" s="30"/>
      <x:c r="W133" s="30"/>
      <x:c r="X133" s="30"/>
      <x:c r="Y133" s="30"/>
      <x:c r="Z133" s="30"/>
      <x:c r="AA133" s="30"/>
      <x:c r="AB133" s="30"/>
      <x:c r="AC133" s="30"/>
      <x:c r="AD133" s="30"/>
      <x:c r="AE133" s="30"/>
      <x:c r="AF133" s="30"/>
      <x:c r="AG133" s="30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>
      <x:c r="A134" s="1"/>
      <x:c r="B134" s="1"/>
      <x:c r="C134" s="30"/>
      <x:c r="D134" s="30"/>
      <x:c r="E134" s="30"/>
      <x:c r="F134" s="30"/>
      <x:c r="G134" s="30"/>
      <x:c r="H134" s="30"/>
      <x:c r="I134" s="30"/>
      <x:c r="J134" s="30"/>
      <x:c r="K134" s="30"/>
      <x:c r="L134" s="30"/>
      <x:c r="M134" s="30"/>
      <x:c r="N134" s="30"/>
      <x:c r="O134" s="30"/>
      <x:c r="P134" s="30"/>
      <x:c r="Q134" s="30"/>
      <x:c r="R134" s="30"/>
      <x:c r="S134" s="30"/>
      <x:c r="T134" s="30"/>
      <x:c r="U134" s="30"/>
      <x:c r="V134" s="30"/>
      <x:c r="W134" s="30"/>
      <x:c r="X134" s="30"/>
      <x:c r="Y134" s="30"/>
      <x:c r="Z134" s="30"/>
      <x:c r="AA134" s="30"/>
      <x:c r="AB134" s="30"/>
      <x:c r="AC134" s="30"/>
      <x:c r="AD134" s="30"/>
      <x:c r="AE134" s="30"/>
      <x:c r="AF134" s="30"/>
      <x:c r="AG134" s="30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>
      <x:c r="A135" s="1"/>
      <x:c r="B135" s="1"/>
      <x:c r="C135" s="30"/>
      <x:c r="D135" s="30"/>
      <x:c r="E135" s="30"/>
      <x:c r="F135" s="30"/>
      <x:c r="G135" s="30"/>
      <x:c r="H135" s="30"/>
      <x:c r="I135" s="30"/>
      <x:c r="J135" s="30"/>
      <x:c r="K135" s="30"/>
      <x:c r="L135" s="30"/>
      <x:c r="M135" s="30"/>
      <x:c r="N135" s="30"/>
      <x:c r="O135" s="30"/>
      <x:c r="P135" s="30"/>
      <x:c r="Q135" s="30"/>
      <x:c r="R135" s="30"/>
      <x:c r="S135" s="30"/>
      <x:c r="T135" s="30"/>
      <x:c r="U135" s="30"/>
      <x:c r="V135" s="30"/>
      <x:c r="W135" s="30"/>
      <x:c r="X135" s="30"/>
      <x:c r="Y135" s="30"/>
      <x:c r="Z135" s="30"/>
      <x:c r="AA135" s="30"/>
      <x:c r="AB135" s="30"/>
      <x:c r="AC135" s="30"/>
      <x:c r="AD135" s="30"/>
      <x:c r="AE135" s="30"/>
      <x:c r="AF135" s="30"/>
      <x:c r="AG135" s="30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>
      <x:c r="A136" s="1"/>
      <x:c r="B136" s="1"/>
      <x:c r="C136" s="30"/>
      <x:c r="D136" s="30"/>
      <x:c r="E136" s="30"/>
      <x:c r="F136" s="30"/>
      <x:c r="G136" s="30"/>
      <x:c r="H136" s="30"/>
      <x:c r="I136" s="30"/>
      <x:c r="J136" s="30"/>
      <x:c r="K136" s="30"/>
      <x:c r="L136" s="30"/>
      <x:c r="M136" s="30"/>
      <x:c r="N136" s="30"/>
      <x:c r="O136" s="30"/>
      <x:c r="P136" s="30"/>
      <x:c r="Q136" s="30"/>
      <x:c r="R136" s="30"/>
      <x:c r="S136" s="30"/>
      <x:c r="T136" s="30"/>
      <x:c r="U136" s="30"/>
      <x:c r="V136" s="30"/>
      <x:c r="W136" s="30"/>
      <x:c r="X136" s="30"/>
      <x:c r="Y136" s="30"/>
      <x:c r="Z136" s="30"/>
      <x:c r="AA136" s="30"/>
      <x:c r="AB136" s="30"/>
      <x:c r="AC136" s="30"/>
      <x:c r="AD136" s="30"/>
      <x:c r="AE136" s="30"/>
      <x:c r="AF136" s="30"/>
      <x:c r="AG136" s="30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>
      <x:c r="A137" s="1"/>
      <x:c r="B137" s="1"/>
      <x:c r="C137" s="30"/>
      <x:c r="D137" s="30"/>
      <x:c r="E137" s="30"/>
      <x:c r="F137" s="30"/>
      <x:c r="G137" s="30"/>
      <x:c r="H137" s="30"/>
      <x:c r="I137" s="30"/>
      <x:c r="J137" s="30"/>
      <x:c r="K137" s="30"/>
      <x:c r="L137" s="30"/>
      <x:c r="M137" s="30"/>
      <x:c r="N137" s="30"/>
      <x:c r="O137" s="30"/>
      <x:c r="P137" s="30"/>
      <x:c r="Q137" s="30"/>
      <x:c r="R137" s="30"/>
      <x:c r="S137" s="30"/>
      <x:c r="T137" s="30"/>
      <x:c r="U137" s="30"/>
      <x:c r="V137" s="30"/>
      <x:c r="W137" s="30"/>
      <x:c r="X137" s="30"/>
      <x:c r="Y137" s="30"/>
      <x:c r="Z137" s="30"/>
      <x:c r="AA137" s="30"/>
      <x:c r="AB137" s="30"/>
      <x:c r="AC137" s="30"/>
      <x:c r="AD137" s="30"/>
      <x:c r="AE137" s="30"/>
      <x:c r="AF137" s="30"/>
      <x:c r="AG137" s="30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>
      <x:c r="A138" s="1"/>
      <x:c r="B138" s="1"/>
      <x:c r="C138" s="30"/>
      <x:c r="D138" s="30"/>
      <x:c r="E138" s="30"/>
      <x:c r="F138" s="30"/>
      <x:c r="G138" s="30"/>
      <x:c r="H138" s="30"/>
      <x:c r="I138" s="30"/>
      <x:c r="J138" s="30"/>
      <x:c r="K138" s="30"/>
      <x:c r="L138" s="30"/>
      <x:c r="M138" s="30"/>
      <x:c r="N138" s="30"/>
      <x:c r="O138" s="30"/>
      <x:c r="P138" s="30"/>
      <x:c r="Q138" s="30"/>
      <x:c r="R138" s="30"/>
      <x:c r="S138" s="30"/>
      <x:c r="T138" s="30"/>
      <x:c r="U138" s="30"/>
      <x:c r="V138" s="30"/>
      <x:c r="W138" s="30"/>
      <x:c r="X138" s="30"/>
      <x:c r="Y138" s="30"/>
      <x:c r="Z138" s="30"/>
      <x:c r="AA138" s="30"/>
      <x:c r="AB138" s="30"/>
      <x:c r="AC138" s="30"/>
      <x:c r="AD138" s="30"/>
      <x:c r="AE138" s="30"/>
      <x:c r="AF138" s="30"/>
      <x:c r="AG138" s="30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>
      <x:c r="A139" s="1"/>
      <x:c r="B139" s="1"/>
      <x:c r="C139" s="30"/>
      <x:c r="D139" s="30"/>
      <x:c r="E139" s="30"/>
      <x:c r="F139" s="30"/>
      <x:c r="G139" s="30"/>
      <x:c r="H139" s="30"/>
      <x:c r="I139" s="30"/>
      <x:c r="J139" s="30"/>
      <x:c r="K139" s="30"/>
      <x:c r="L139" s="30"/>
      <x:c r="M139" s="30"/>
      <x:c r="N139" s="30"/>
      <x:c r="O139" s="30"/>
      <x:c r="P139" s="30"/>
      <x:c r="Q139" s="30"/>
      <x:c r="R139" s="30"/>
      <x:c r="S139" s="30"/>
      <x:c r="T139" s="30"/>
      <x:c r="U139" s="30"/>
      <x:c r="V139" s="30"/>
      <x:c r="W139" s="30"/>
      <x:c r="X139" s="30"/>
      <x:c r="Y139" s="30"/>
      <x:c r="Z139" s="30"/>
      <x:c r="AA139" s="30"/>
      <x:c r="AB139" s="30"/>
      <x:c r="AC139" s="30"/>
      <x:c r="AD139" s="30"/>
      <x:c r="AE139" s="30"/>
      <x:c r="AF139" s="30"/>
      <x:c r="AG139" s="30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>
      <x:c r="A140" s="1"/>
      <x:c r="B140" s="1"/>
      <x:c r="C140" s="30"/>
      <x:c r="D140" s="30"/>
      <x:c r="E140" s="30"/>
      <x:c r="F140" s="30"/>
      <x:c r="G140" s="30"/>
      <x:c r="H140" s="30"/>
      <x:c r="I140" s="30"/>
      <x:c r="J140" s="30"/>
      <x:c r="K140" s="30"/>
      <x:c r="L140" s="30"/>
      <x:c r="M140" s="30"/>
      <x:c r="N140" s="30"/>
      <x:c r="O140" s="30"/>
      <x:c r="P140" s="30"/>
      <x:c r="Q140" s="30"/>
      <x:c r="R140" s="30"/>
      <x:c r="S140" s="30"/>
      <x:c r="T140" s="30"/>
      <x:c r="U140" s="30"/>
      <x:c r="V140" s="30"/>
      <x:c r="W140" s="30"/>
      <x:c r="X140" s="30"/>
      <x:c r="Y140" s="30"/>
      <x:c r="Z140" s="30"/>
      <x:c r="AA140" s="30"/>
      <x:c r="AB140" s="30"/>
      <x:c r="AC140" s="30"/>
      <x:c r="AD140" s="30"/>
      <x:c r="AE140" s="30"/>
      <x:c r="AF140" s="30"/>
      <x:c r="AG140" s="30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>
      <x:c r="A141" s="1"/>
      <x:c r="B141" s="1"/>
      <x:c r="C141" s="30"/>
      <x:c r="D141" s="30"/>
      <x:c r="E141" s="30"/>
      <x:c r="F141" s="30"/>
      <x:c r="G141" s="30"/>
      <x:c r="H141" s="30"/>
      <x:c r="I141" s="30"/>
      <x:c r="J141" s="30"/>
      <x:c r="K141" s="30"/>
      <x:c r="L141" s="30"/>
      <x:c r="M141" s="30"/>
      <x:c r="N141" s="30"/>
      <x:c r="O141" s="30"/>
      <x:c r="P141" s="30"/>
      <x:c r="Q141" s="30"/>
      <x:c r="R141" s="30"/>
      <x:c r="S141" s="30"/>
      <x:c r="T141" s="30"/>
      <x:c r="U141" s="30"/>
      <x:c r="V141" s="30"/>
      <x:c r="W141" s="30"/>
      <x:c r="X141" s="30"/>
      <x:c r="Y141" s="30"/>
      <x:c r="Z141" s="30"/>
      <x:c r="AA141" s="30"/>
      <x:c r="AB141" s="30"/>
      <x:c r="AC141" s="30"/>
      <x:c r="AD141" s="30"/>
      <x:c r="AE141" s="30"/>
      <x:c r="AF141" s="30"/>
      <x:c r="AG141" s="30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>
      <x:c r="A142" s="1"/>
      <x:c r="B142" s="1"/>
      <x:c r="C142" s="30"/>
      <x:c r="D142" s="30"/>
      <x:c r="E142" s="30"/>
      <x:c r="F142" s="30"/>
      <x:c r="G142" s="30"/>
      <x:c r="H142" s="30"/>
      <x:c r="I142" s="30"/>
      <x:c r="J142" s="30"/>
      <x:c r="K142" s="30"/>
      <x:c r="L142" s="30"/>
      <x:c r="M142" s="30"/>
      <x:c r="N142" s="30"/>
      <x:c r="O142" s="30"/>
      <x:c r="P142" s="30"/>
      <x:c r="Q142" s="30"/>
      <x:c r="R142" s="30"/>
      <x:c r="S142" s="30"/>
      <x:c r="T142" s="30"/>
      <x:c r="U142" s="30"/>
      <x:c r="V142" s="30"/>
      <x:c r="W142" s="30"/>
      <x:c r="X142" s="30"/>
      <x:c r="Y142" s="30"/>
      <x:c r="Z142" s="30"/>
      <x:c r="AA142" s="30"/>
      <x:c r="AB142" s="30"/>
      <x:c r="AC142" s="30"/>
      <x:c r="AD142" s="30"/>
      <x:c r="AE142" s="30"/>
      <x:c r="AF142" s="30"/>
      <x:c r="AG142" s="30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>
      <x:c r="A143" s="1"/>
      <x:c r="B143" s="1"/>
      <x:c r="C143" s="30"/>
      <x:c r="D143" s="30"/>
      <x:c r="E143" s="30"/>
      <x:c r="F143" s="30"/>
      <x:c r="G143" s="30"/>
      <x:c r="H143" s="30"/>
      <x:c r="I143" s="30"/>
      <x:c r="J143" s="30"/>
      <x:c r="K143" s="30"/>
      <x:c r="L143" s="30"/>
      <x:c r="M143" s="30"/>
      <x:c r="N143" s="30"/>
      <x:c r="O143" s="30"/>
      <x:c r="P143" s="30"/>
      <x:c r="Q143" s="30"/>
      <x:c r="R143" s="30"/>
      <x:c r="S143" s="30"/>
      <x:c r="T143" s="30"/>
      <x:c r="U143" s="30"/>
      <x:c r="V143" s="30"/>
      <x:c r="W143" s="30"/>
      <x:c r="X143" s="30"/>
      <x:c r="Y143" s="30"/>
      <x:c r="Z143" s="30"/>
      <x:c r="AA143" s="30"/>
      <x:c r="AB143" s="30"/>
      <x:c r="AC143" s="30"/>
      <x:c r="AD143" s="30"/>
      <x:c r="AE143" s="30"/>
      <x:c r="AF143" s="30"/>
      <x:c r="AG143" s="30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>
      <x:c r="A144" s="1"/>
      <x:c r="B144" s="1"/>
      <x:c r="C144" s="30"/>
      <x:c r="D144" s="30"/>
      <x:c r="E144" s="30"/>
      <x:c r="F144" s="30"/>
      <x:c r="G144" s="30"/>
      <x:c r="H144" s="30"/>
      <x:c r="I144" s="30"/>
      <x:c r="J144" s="30"/>
      <x:c r="K144" s="30"/>
      <x:c r="L144" s="30"/>
      <x:c r="M144" s="30"/>
      <x:c r="N144" s="30"/>
      <x:c r="O144" s="30"/>
      <x:c r="P144" s="30"/>
      <x:c r="Q144" s="30"/>
      <x:c r="R144" s="30"/>
      <x:c r="S144" s="30"/>
      <x:c r="T144" s="30"/>
      <x:c r="U144" s="30"/>
      <x:c r="V144" s="30"/>
      <x:c r="W144" s="30"/>
      <x:c r="X144" s="30"/>
      <x:c r="Y144" s="30"/>
      <x:c r="Z144" s="30"/>
      <x:c r="AA144" s="30"/>
      <x:c r="AB144" s="30"/>
      <x:c r="AC144" s="30"/>
      <x:c r="AD144" s="30"/>
      <x:c r="AE144" s="30"/>
      <x:c r="AF144" s="30"/>
      <x:c r="AG144" s="30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>
      <x:c r="A145" s="1"/>
      <x:c r="B145" s="1"/>
      <x:c r="C145" s="30"/>
      <x:c r="D145" s="30"/>
      <x:c r="E145" s="30"/>
      <x:c r="F145" s="30"/>
      <x:c r="G145" s="30"/>
      <x:c r="H145" s="30"/>
      <x:c r="I145" s="30"/>
      <x:c r="J145" s="30"/>
      <x:c r="K145" s="30"/>
      <x:c r="L145" s="30"/>
      <x:c r="M145" s="30"/>
      <x:c r="N145" s="30"/>
      <x:c r="O145" s="30"/>
      <x:c r="P145" s="30"/>
      <x:c r="Q145" s="30"/>
      <x:c r="R145" s="30"/>
      <x:c r="S145" s="30"/>
      <x:c r="T145" s="30"/>
      <x:c r="U145" s="30"/>
      <x:c r="V145" s="30"/>
      <x:c r="W145" s="30"/>
      <x:c r="X145" s="30"/>
      <x:c r="Y145" s="30"/>
      <x:c r="Z145" s="30"/>
      <x:c r="AA145" s="30"/>
      <x:c r="AB145" s="30"/>
      <x:c r="AC145" s="30"/>
      <x:c r="AD145" s="30"/>
      <x:c r="AE145" s="30"/>
      <x:c r="AF145" s="30"/>
      <x:c r="AG145" s="30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>
      <x:c r="A146" s="1"/>
      <x:c r="B146" s="1"/>
      <x:c r="C146" s="30"/>
      <x:c r="D146" s="30"/>
      <x:c r="E146" s="30"/>
      <x:c r="F146" s="30"/>
      <x:c r="G146" s="30"/>
      <x:c r="H146" s="30"/>
      <x:c r="I146" s="30"/>
      <x:c r="J146" s="30"/>
      <x:c r="K146" s="30"/>
      <x:c r="L146" s="30"/>
      <x:c r="M146" s="30"/>
      <x:c r="N146" s="30"/>
      <x:c r="O146" s="30"/>
      <x:c r="P146" s="30"/>
      <x:c r="Q146" s="30"/>
      <x:c r="R146" s="30"/>
      <x:c r="S146" s="30"/>
      <x:c r="T146" s="30"/>
      <x:c r="U146" s="30"/>
      <x:c r="V146" s="30"/>
      <x:c r="W146" s="30"/>
      <x:c r="X146" s="30"/>
      <x:c r="Y146" s="30"/>
      <x:c r="Z146" s="30"/>
      <x:c r="AA146" s="30"/>
      <x:c r="AB146" s="30"/>
      <x:c r="AC146" s="30"/>
      <x:c r="AD146" s="30"/>
      <x:c r="AE146" s="30"/>
      <x:c r="AF146" s="30"/>
      <x:c r="AG146" s="30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>
      <x:c r="A147" s="1"/>
      <x:c r="B147" s="1"/>
      <x:c r="C147" s="30"/>
      <x:c r="D147" s="30"/>
      <x:c r="E147" s="30"/>
      <x:c r="F147" s="30"/>
      <x:c r="G147" s="30"/>
      <x:c r="H147" s="30"/>
      <x:c r="I147" s="30"/>
      <x:c r="J147" s="30"/>
      <x:c r="K147" s="30"/>
      <x:c r="L147" s="30"/>
      <x:c r="M147" s="30"/>
      <x:c r="N147" s="30"/>
      <x:c r="O147" s="30"/>
      <x:c r="P147" s="30"/>
      <x:c r="Q147" s="30"/>
      <x:c r="R147" s="30"/>
      <x:c r="S147" s="30"/>
      <x:c r="T147" s="30"/>
      <x:c r="U147" s="30"/>
      <x:c r="V147" s="30"/>
      <x:c r="W147" s="30"/>
      <x:c r="X147" s="30"/>
      <x:c r="Y147" s="30"/>
      <x:c r="Z147" s="30"/>
      <x:c r="AA147" s="30"/>
      <x:c r="AB147" s="30"/>
      <x:c r="AC147" s="30"/>
      <x:c r="AD147" s="30"/>
      <x:c r="AE147" s="30"/>
      <x:c r="AF147" s="30"/>
      <x:c r="AG147" s="30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>
      <x:c r="A148" s="1"/>
      <x:c r="B148" s="1"/>
      <x:c r="C148" s="30"/>
      <x:c r="D148" s="30"/>
      <x:c r="E148" s="30"/>
      <x:c r="F148" s="30"/>
      <x:c r="G148" s="30"/>
      <x:c r="H148" s="30"/>
      <x:c r="I148" s="30"/>
      <x:c r="J148" s="30"/>
      <x:c r="K148" s="30"/>
      <x:c r="L148" s="30"/>
      <x:c r="M148" s="30"/>
      <x:c r="N148" s="30"/>
      <x:c r="O148" s="30"/>
      <x:c r="P148" s="30"/>
      <x:c r="Q148" s="30"/>
      <x:c r="R148" s="30"/>
      <x:c r="S148" s="30"/>
      <x:c r="T148" s="30"/>
      <x:c r="U148" s="30"/>
      <x:c r="V148" s="30"/>
      <x:c r="W148" s="30"/>
      <x:c r="X148" s="30"/>
      <x:c r="Y148" s="30"/>
      <x:c r="Z148" s="30"/>
      <x:c r="AA148" s="30"/>
      <x:c r="AB148" s="30"/>
      <x:c r="AC148" s="30"/>
      <x:c r="AD148" s="30"/>
      <x:c r="AE148" s="30"/>
      <x:c r="AF148" s="30"/>
      <x:c r="AG148" s="30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>
      <x:c r="A149" s="1"/>
      <x:c r="B149" s="1"/>
      <x:c r="C149" s="30"/>
      <x:c r="D149" s="30"/>
      <x:c r="E149" s="30"/>
      <x:c r="F149" s="30"/>
      <x:c r="G149" s="30"/>
      <x:c r="H149" s="30"/>
      <x:c r="I149" s="30"/>
      <x:c r="J149" s="30"/>
      <x:c r="K149" s="30"/>
      <x:c r="L149" s="30"/>
      <x:c r="M149" s="30"/>
      <x:c r="N149" s="30"/>
      <x:c r="O149" s="30"/>
      <x:c r="P149" s="30"/>
      <x:c r="Q149" s="30"/>
      <x:c r="R149" s="30"/>
      <x:c r="S149" s="30"/>
      <x:c r="T149" s="30"/>
      <x:c r="U149" s="30"/>
      <x:c r="V149" s="30"/>
      <x:c r="W149" s="30"/>
      <x:c r="X149" s="30"/>
      <x:c r="Y149" s="30"/>
      <x:c r="Z149" s="30"/>
      <x:c r="AA149" s="30"/>
      <x:c r="AB149" s="30"/>
      <x:c r="AC149" s="30"/>
      <x:c r="AD149" s="30"/>
      <x:c r="AE149" s="30"/>
      <x:c r="AF149" s="30"/>
      <x:c r="AG149" s="30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>
      <x:c r="A150" s="1"/>
      <x:c r="B150" s="1"/>
      <x:c r="C150" s="30"/>
      <x:c r="D150" s="30"/>
      <x:c r="E150" s="30"/>
      <x:c r="F150" s="30"/>
      <x:c r="G150" s="30"/>
      <x:c r="H150" s="30"/>
      <x:c r="I150" s="30"/>
      <x:c r="J150" s="30"/>
      <x:c r="K150" s="30"/>
      <x:c r="L150" s="30"/>
      <x:c r="M150" s="30"/>
      <x:c r="N150" s="30"/>
      <x:c r="O150" s="30"/>
      <x:c r="P150" s="30"/>
      <x:c r="Q150" s="30"/>
      <x:c r="R150" s="30"/>
      <x:c r="S150" s="30"/>
      <x:c r="T150" s="30"/>
      <x:c r="U150" s="30"/>
      <x:c r="V150" s="30"/>
      <x:c r="W150" s="30"/>
      <x:c r="X150" s="30"/>
      <x:c r="Y150" s="30"/>
      <x:c r="Z150" s="30"/>
      <x:c r="AA150" s="30"/>
      <x:c r="AB150" s="30"/>
      <x:c r="AC150" s="30"/>
      <x:c r="AD150" s="30"/>
      <x:c r="AE150" s="30"/>
      <x:c r="AF150" s="30"/>
      <x:c r="AG150" s="30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>
      <x:c r="A151" s="1"/>
      <x:c r="B151" s="1"/>
      <x:c r="C151" s="30"/>
      <x:c r="D151" s="30"/>
      <x:c r="E151" s="30"/>
      <x:c r="F151" s="30"/>
      <x:c r="G151" s="30"/>
      <x:c r="H151" s="30"/>
      <x:c r="I151" s="30"/>
      <x:c r="J151" s="30"/>
      <x:c r="K151" s="30"/>
      <x:c r="L151" s="30"/>
      <x:c r="M151" s="30"/>
      <x:c r="N151" s="30"/>
      <x:c r="O151" s="30"/>
      <x:c r="P151" s="30"/>
      <x:c r="Q151" s="30"/>
      <x:c r="R151" s="30"/>
      <x:c r="S151" s="30"/>
      <x:c r="T151" s="30"/>
      <x:c r="U151" s="30"/>
      <x:c r="V151" s="30"/>
      <x:c r="W151" s="30"/>
      <x:c r="X151" s="30"/>
      <x:c r="Y151" s="30"/>
      <x:c r="Z151" s="30"/>
      <x:c r="AA151" s="30"/>
      <x:c r="AB151" s="30"/>
      <x:c r="AC151" s="30"/>
      <x:c r="AD151" s="30"/>
      <x:c r="AE151" s="30"/>
      <x:c r="AF151" s="30"/>
      <x:c r="AG151" s="30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>
      <x:c r="A152" s="1"/>
      <x:c r="B152" s="1"/>
      <x:c r="C152" s="30"/>
      <x:c r="D152" s="30"/>
      <x:c r="E152" s="30"/>
      <x:c r="F152" s="30"/>
      <x:c r="G152" s="30"/>
      <x:c r="H152" s="30"/>
      <x:c r="I152" s="30"/>
      <x:c r="J152" s="30"/>
      <x:c r="K152" s="30"/>
      <x:c r="L152" s="30"/>
      <x:c r="M152" s="30"/>
      <x:c r="N152" s="30"/>
      <x:c r="O152" s="30"/>
      <x:c r="P152" s="30"/>
      <x:c r="Q152" s="30"/>
      <x:c r="R152" s="30"/>
      <x:c r="S152" s="30"/>
      <x:c r="T152" s="30"/>
      <x:c r="U152" s="30"/>
      <x:c r="V152" s="30"/>
      <x:c r="W152" s="30"/>
      <x:c r="X152" s="30"/>
      <x:c r="Y152" s="30"/>
      <x:c r="Z152" s="30"/>
      <x:c r="AA152" s="30"/>
      <x:c r="AB152" s="30"/>
      <x:c r="AC152" s="30"/>
      <x:c r="AD152" s="30"/>
      <x:c r="AE152" s="30"/>
      <x:c r="AF152" s="30"/>
      <x:c r="AG152" s="30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>
      <x:c r="A153" s="1"/>
      <x:c r="B153" s="1"/>
      <x:c r="C153" s="30"/>
      <x:c r="D153" s="30"/>
      <x:c r="E153" s="30"/>
      <x:c r="F153" s="30"/>
      <x:c r="G153" s="30"/>
      <x:c r="H153" s="30"/>
      <x:c r="I153" s="30"/>
      <x:c r="J153" s="30"/>
      <x:c r="K153" s="30"/>
      <x:c r="L153" s="30"/>
      <x:c r="M153" s="30"/>
      <x:c r="N153" s="30"/>
      <x:c r="O153" s="30"/>
      <x:c r="P153" s="30"/>
      <x:c r="Q153" s="30"/>
      <x:c r="R153" s="30"/>
      <x:c r="S153" s="30"/>
      <x:c r="T153" s="30"/>
      <x:c r="U153" s="30"/>
      <x:c r="V153" s="30"/>
      <x:c r="W153" s="30"/>
      <x:c r="X153" s="30"/>
      <x:c r="Y153" s="30"/>
      <x:c r="Z153" s="30"/>
      <x:c r="AA153" s="30"/>
      <x:c r="AB153" s="30"/>
      <x:c r="AC153" s="30"/>
      <x:c r="AD153" s="30"/>
      <x:c r="AE153" s="30"/>
      <x:c r="AF153" s="30"/>
      <x:c r="AG153" s="30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>
      <x:c r="A154" s="1"/>
      <x:c r="B154" s="1"/>
      <x:c r="C154" s="30"/>
      <x:c r="D154" s="30"/>
      <x:c r="E154" s="30"/>
      <x:c r="F154" s="30"/>
      <x:c r="G154" s="30"/>
      <x:c r="H154" s="30"/>
      <x:c r="I154" s="30"/>
      <x:c r="J154" s="30"/>
      <x:c r="K154" s="30"/>
      <x:c r="L154" s="30"/>
      <x:c r="M154" s="30"/>
      <x:c r="N154" s="30"/>
      <x:c r="O154" s="30"/>
      <x:c r="P154" s="30"/>
      <x:c r="Q154" s="30"/>
      <x:c r="R154" s="30"/>
      <x:c r="S154" s="30"/>
      <x:c r="T154" s="30"/>
      <x:c r="U154" s="30"/>
      <x:c r="V154" s="30"/>
      <x:c r="W154" s="30"/>
      <x:c r="X154" s="30"/>
      <x:c r="Y154" s="30"/>
      <x:c r="Z154" s="30"/>
      <x:c r="AA154" s="30"/>
      <x:c r="AB154" s="30"/>
      <x:c r="AC154" s="30"/>
      <x:c r="AD154" s="30"/>
      <x:c r="AE154" s="30"/>
      <x:c r="AF154" s="30"/>
      <x:c r="AG154" s="30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>
      <x:c r="A155" s="1"/>
      <x:c r="B155" s="1"/>
      <x:c r="C155" s="30"/>
      <x:c r="D155" s="30"/>
      <x:c r="E155" s="30"/>
      <x:c r="F155" s="30"/>
      <x:c r="G155" s="30"/>
      <x:c r="H155" s="30"/>
      <x:c r="I155" s="30"/>
      <x:c r="J155" s="30"/>
      <x:c r="K155" s="30"/>
      <x:c r="L155" s="30"/>
      <x:c r="M155" s="30"/>
      <x:c r="N155" s="30"/>
      <x:c r="O155" s="30"/>
      <x:c r="P155" s="30"/>
      <x:c r="Q155" s="30"/>
      <x:c r="R155" s="30"/>
      <x:c r="S155" s="30"/>
      <x:c r="T155" s="30"/>
      <x:c r="U155" s="30"/>
      <x:c r="V155" s="30"/>
      <x:c r="W155" s="30"/>
      <x:c r="X155" s="30"/>
      <x:c r="Y155" s="30"/>
      <x:c r="Z155" s="30"/>
      <x:c r="AA155" s="30"/>
      <x:c r="AB155" s="30"/>
      <x:c r="AC155" s="30"/>
      <x:c r="AD155" s="30"/>
      <x:c r="AE155" s="30"/>
      <x:c r="AF155" s="30"/>
      <x:c r="AG155" s="30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>
      <x:c r="A156" s="1"/>
      <x:c r="B156" s="1"/>
      <x:c r="C156" s="30"/>
      <x:c r="D156" s="30"/>
      <x:c r="E156" s="30"/>
      <x:c r="F156" s="30"/>
      <x:c r="G156" s="30"/>
      <x:c r="H156" s="30"/>
      <x:c r="I156" s="30"/>
      <x:c r="J156" s="30"/>
      <x:c r="K156" s="30"/>
      <x:c r="L156" s="30"/>
      <x:c r="M156" s="30"/>
      <x:c r="N156" s="30"/>
      <x:c r="O156" s="30"/>
      <x:c r="P156" s="30"/>
      <x:c r="Q156" s="30"/>
      <x:c r="R156" s="30"/>
      <x:c r="S156" s="30"/>
      <x:c r="T156" s="30"/>
      <x:c r="U156" s="30"/>
      <x:c r="V156" s="30"/>
      <x:c r="W156" s="30"/>
      <x:c r="X156" s="30"/>
      <x:c r="Y156" s="30"/>
      <x:c r="Z156" s="30"/>
      <x:c r="AA156" s="30"/>
      <x:c r="AB156" s="30"/>
      <x:c r="AC156" s="30"/>
      <x:c r="AD156" s="30"/>
      <x:c r="AE156" s="30"/>
      <x:c r="AF156" s="30"/>
      <x:c r="AG156" s="30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>
      <x:c r="A157" s="1"/>
      <x:c r="B157" s="1"/>
      <x:c r="C157" s="30"/>
      <x:c r="D157" s="30"/>
      <x:c r="E157" s="30"/>
      <x:c r="F157" s="30"/>
      <x:c r="G157" s="30"/>
      <x:c r="H157" s="30"/>
      <x:c r="I157" s="30"/>
      <x:c r="J157" s="30"/>
      <x:c r="K157" s="30"/>
      <x:c r="L157" s="30"/>
      <x:c r="M157" s="30"/>
      <x:c r="N157" s="30"/>
      <x:c r="O157" s="30"/>
      <x:c r="P157" s="30"/>
      <x:c r="Q157" s="30"/>
      <x:c r="R157" s="30"/>
      <x:c r="S157" s="30"/>
      <x:c r="T157" s="30"/>
      <x:c r="U157" s="30"/>
      <x:c r="V157" s="30"/>
      <x:c r="W157" s="30"/>
      <x:c r="X157" s="30"/>
      <x:c r="Y157" s="30"/>
      <x:c r="Z157" s="30"/>
      <x:c r="AA157" s="30"/>
      <x:c r="AB157" s="30"/>
      <x:c r="AC157" s="30"/>
      <x:c r="AD157" s="30"/>
      <x:c r="AE157" s="30"/>
      <x:c r="AF157" s="30"/>
      <x:c r="AG157" s="30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>
      <x:c r="A158" s="1"/>
      <x:c r="B158" s="1"/>
      <x:c r="C158" s="30"/>
      <x:c r="D158" s="30"/>
      <x:c r="E158" s="30"/>
      <x:c r="F158" s="30"/>
      <x:c r="G158" s="30"/>
      <x:c r="H158" s="30"/>
      <x:c r="I158" s="30"/>
      <x:c r="J158" s="30"/>
      <x:c r="K158" s="30"/>
      <x:c r="L158" s="30"/>
      <x:c r="M158" s="30"/>
      <x:c r="N158" s="30"/>
      <x:c r="O158" s="30"/>
      <x:c r="P158" s="30"/>
      <x:c r="Q158" s="30"/>
      <x:c r="R158" s="30"/>
      <x:c r="S158" s="30"/>
      <x:c r="T158" s="30"/>
      <x:c r="U158" s="30"/>
      <x:c r="V158" s="30"/>
      <x:c r="W158" s="30"/>
      <x:c r="X158" s="30"/>
      <x:c r="Y158" s="30"/>
      <x:c r="Z158" s="30"/>
      <x:c r="AA158" s="30"/>
      <x:c r="AB158" s="30"/>
      <x:c r="AC158" s="30"/>
      <x:c r="AD158" s="30"/>
      <x:c r="AE158" s="30"/>
      <x:c r="AF158" s="30"/>
      <x:c r="AG158" s="30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>
      <x:c r="A159" s="1"/>
      <x:c r="B159" s="1"/>
      <x:c r="C159" s="30"/>
      <x:c r="D159" s="30"/>
      <x:c r="E159" s="30"/>
      <x:c r="F159" s="30"/>
      <x:c r="G159" s="30"/>
      <x:c r="H159" s="30"/>
      <x:c r="I159" s="30"/>
      <x:c r="J159" s="30"/>
      <x:c r="K159" s="30"/>
      <x:c r="L159" s="30"/>
      <x:c r="M159" s="30"/>
      <x:c r="N159" s="30"/>
      <x:c r="O159" s="30"/>
      <x:c r="P159" s="30"/>
      <x:c r="Q159" s="30"/>
      <x:c r="R159" s="30"/>
      <x:c r="S159" s="30"/>
      <x:c r="T159" s="30"/>
      <x:c r="U159" s="30"/>
      <x:c r="V159" s="30"/>
      <x:c r="W159" s="30"/>
      <x:c r="X159" s="30"/>
      <x:c r="Y159" s="30"/>
      <x:c r="Z159" s="30"/>
      <x:c r="AA159" s="30"/>
      <x:c r="AB159" s="30"/>
      <x:c r="AC159" s="30"/>
      <x:c r="AD159" s="30"/>
      <x:c r="AE159" s="30"/>
      <x:c r="AF159" s="30"/>
      <x:c r="AG159" s="30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>
      <x:c r="A160" s="1"/>
      <x:c r="B160" s="1"/>
      <x:c r="C160" s="30"/>
      <x:c r="D160" s="30"/>
      <x:c r="E160" s="30"/>
      <x:c r="F160" s="30"/>
      <x:c r="G160" s="30"/>
      <x:c r="H160" s="30"/>
      <x:c r="I160" s="30"/>
      <x:c r="J160" s="30"/>
      <x:c r="K160" s="30"/>
      <x:c r="L160" s="30"/>
      <x:c r="M160" s="30"/>
      <x:c r="N160" s="30"/>
      <x:c r="O160" s="30"/>
      <x:c r="P160" s="30"/>
      <x:c r="Q160" s="30"/>
      <x:c r="R160" s="30"/>
      <x:c r="S160" s="30"/>
      <x:c r="T160" s="30"/>
      <x:c r="U160" s="30"/>
      <x:c r="V160" s="30"/>
      <x:c r="W160" s="30"/>
      <x:c r="X160" s="30"/>
      <x:c r="Y160" s="30"/>
      <x:c r="Z160" s="30"/>
      <x:c r="AA160" s="30"/>
      <x:c r="AB160" s="30"/>
      <x:c r="AC160" s="30"/>
      <x:c r="AD160" s="30"/>
      <x:c r="AE160" s="30"/>
      <x:c r="AF160" s="30"/>
      <x:c r="AG160" s="30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>
      <x:c r="A161" s="1"/>
      <x:c r="B161" s="1"/>
      <x:c r="C161" s="30"/>
      <x:c r="D161" s="30"/>
      <x:c r="E161" s="30"/>
      <x:c r="F161" s="30"/>
      <x:c r="G161" s="30"/>
      <x:c r="H161" s="30"/>
      <x:c r="I161" s="30"/>
      <x:c r="J161" s="30"/>
      <x:c r="K161" s="30"/>
      <x:c r="L161" s="30"/>
      <x:c r="M161" s="30"/>
      <x:c r="N161" s="30"/>
      <x:c r="O161" s="30"/>
      <x:c r="P161" s="30"/>
      <x:c r="Q161" s="30"/>
      <x:c r="R161" s="30"/>
      <x:c r="S161" s="30"/>
      <x:c r="T161" s="30"/>
      <x:c r="U161" s="30"/>
      <x:c r="V161" s="30"/>
      <x:c r="W161" s="30"/>
      <x:c r="X161" s="30"/>
      <x:c r="Y161" s="30"/>
      <x:c r="Z161" s="30"/>
      <x:c r="AA161" s="30"/>
      <x:c r="AB161" s="30"/>
      <x:c r="AC161" s="30"/>
      <x:c r="AD161" s="30"/>
      <x:c r="AE161" s="30"/>
      <x:c r="AF161" s="30"/>
      <x:c r="AG161" s="30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>
      <x:c r="A162" s="1"/>
      <x:c r="B162" s="1"/>
      <x:c r="C162" s="30"/>
      <x:c r="D162" s="30"/>
      <x:c r="E162" s="30"/>
      <x:c r="F162" s="30"/>
      <x:c r="G162" s="30"/>
      <x:c r="H162" s="30"/>
      <x:c r="I162" s="30"/>
      <x:c r="J162" s="30"/>
      <x:c r="K162" s="30"/>
      <x:c r="L162" s="30"/>
      <x:c r="M162" s="30"/>
      <x:c r="N162" s="30"/>
      <x:c r="O162" s="30"/>
      <x:c r="P162" s="30"/>
      <x:c r="Q162" s="30"/>
      <x:c r="R162" s="30"/>
      <x:c r="S162" s="30"/>
      <x:c r="T162" s="30"/>
      <x:c r="U162" s="30"/>
      <x:c r="V162" s="30"/>
      <x:c r="W162" s="30"/>
      <x:c r="X162" s="30"/>
      <x:c r="Y162" s="30"/>
      <x:c r="Z162" s="30"/>
      <x:c r="AA162" s="30"/>
      <x:c r="AB162" s="30"/>
      <x:c r="AC162" s="30"/>
      <x:c r="AD162" s="30"/>
      <x:c r="AE162" s="30"/>
      <x:c r="AF162" s="30"/>
      <x:c r="AG162" s="30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>
      <x:c r="A163" s="1"/>
      <x:c r="B163" s="1"/>
      <x:c r="C163" s="30"/>
      <x:c r="D163" s="30"/>
      <x:c r="E163" s="30"/>
      <x:c r="F163" s="30"/>
      <x:c r="G163" s="30"/>
      <x:c r="H163" s="30"/>
      <x:c r="I163" s="30"/>
      <x:c r="J163" s="30"/>
      <x:c r="K163" s="30"/>
      <x:c r="L163" s="30"/>
      <x:c r="M163" s="30"/>
      <x:c r="N163" s="30"/>
      <x:c r="O163" s="30"/>
      <x:c r="P163" s="30"/>
      <x:c r="Q163" s="30"/>
      <x:c r="R163" s="30"/>
      <x:c r="S163" s="30"/>
      <x:c r="T163" s="30"/>
      <x:c r="U163" s="30"/>
      <x:c r="V163" s="30"/>
      <x:c r="W163" s="30"/>
      <x:c r="X163" s="30"/>
      <x:c r="Y163" s="30"/>
      <x:c r="Z163" s="30"/>
      <x:c r="AA163" s="30"/>
      <x:c r="AB163" s="30"/>
      <x:c r="AC163" s="30"/>
      <x:c r="AD163" s="30"/>
      <x:c r="AE163" s="30"/>
      <x:c r="AF163" s="30"/>
      <x:c r="AG163" s="30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>
      <x:c r="A164" s="1"/>
      <x:c r="B164" s="1"/>
      <x:c r="C164" s="30"/>
      <x:c r="D164" s="30"/>
      <x:c r="E164" s="30"/>
      <x:c r="F164" s="30"/>
      <x:c r="G164" s="30"/>
      <x:c r="H164" s="30"/>
      <x:c r="I164" s="30"/>
      <x:c r="J164" s="30"/>
      <x:c r="K164" s="30"/>
      <x:c r="L164" s="30"/>
      <x:c r="M164" s="30"/>
      <x:c r="N164" s="30"/>
      <x:c r="O164" s="30"/>
      <x:c r="P164" s="30"/>
      <x:c r="Q164" s="30"/>
      <x:c r="R164" s="30"/>
      <x:c r="S164" s="30"/>
      <x:c r="T164" s="30"/>
      <x:c r="U164" s="30"/>
      <x:c r="V164" s="30"/>
      <x:c r="W164" s="30"/>
      <x:c r="X164" s="30"/>
      <x:c r="Y164" s="30"/>
      <x:c r="Z164" s="30"/>
      <x:c r="AA164" s="30"/>
      <x:c r="AB164" s="30"/>
      <x:c r="AC164" s="30"/>
      <x:c r="AD164" s="30"/>
      <x:c r="AE164" s="30"/>
      <x:c r="AF164" s="30"/>
      <x:c r="AG164" s="30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>
      <x:c r="A165" s="1"/>
      <x:c r="B165" s="1"/>
      <x:c r="C165" s="30"/>
      <x:c r="D165" s="30"/>
      <x:c r="E165" s="30"/>
      <x:c r="F165" s="30"/>
      <x:c r="G165" s="30"/>
      <x:c r="H165" s="30"/>
      <x:c r="I165" s="30"/>
      <x:c r="J165" s="30"/>
      <x:c r="K165" s="30"/>
      <x:c r="L165" s="30"/>
      <x:c r="M165" s="30"/>
      <x:c r="N165" s="30"/>
      <x:c r="O165" s="30"/>
      <x:c r="P165" s="30"/>
      <x:c r="Q165" s="30"/>
      <x:c r="R165" s="30"/>
      <x:c r="S165" s="30"/>
      <x:c r="T165" s="30"/>
      <x:c r="U165" s="30"/>
      <x:c r="V165" s="30"/>
      <x:c r="W165" s="30"/>
      <x:c r="X165" s="30"/>
      <x:c r="Y165" s="30"/>
      <x:c r="Z165" s="30"/>
      <x:c r="AA165" s="30"/>
      <x:c r="AB165" s="30"/>
      <x:c r="AC165" s="30"/>
      <x:c r="AD165" s="30"/>
      <x:c r="AE165" s="30"/>
      <x:c r="AF165" s="30"/>
      <x:c r="AG165" s="30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>
      <x:c r="A166" s="1"/>
      <x:c r="B166" s="1"/>
      <x:c r="C166" s="30"/>
      <x:c r="D166" s="30"/>
      <x:c r="E166" s="30"/>
      <x:c r="F166" s="30"/>
      <x:c r="G166" s="30"/>
      <x:c r="H166" s="30"/>
      <x:c r="I166" s="30"/>
      <x:c r="J166" s="30"/>
      <x:c r="K166" s="30"/>
      <x:c r="L166" s="30"/>
      <x:c r="M166" s="30"/>
      <x:c r="N166" s="30"/>
      <x:c r="O166" s="30"/>
      <x:c r="P166" s="30"/>
      <x:c r="Q166" s="30"/>
      <x:c r="R166" s="30"/>
      <x:c r="S166" s="30"/>
      <x:c r="T166" s="30"/>
      <x:c r="U166" s="30"/>
      <x:c r="V166" s="30"/>
      <x:c r="W166" s="30"/>
      <x:c r="X166" s="30"/>
      <x:c r="Y166" s="30"/>
      <x:c r="Z166" s="30"/>
      <x:c r="AA166" s="30"/>
      <x:c r="AB166" s="30"/>
      <x:c r="AC166" s="30"/>
      <x:c r="AD166" s="30"/>
      <x:c r="AE166" s="30"/>
      <x:c r="AF166" s="30"/>
      <x:c r="AG166" s="30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>
      <x:c r="A167" s="1"/>
      <x:c r="B167" s="1"/>
      <x:c r="C167" s="30"/>
      <x:c r="D167" s="30"/>
      <x:c r="E167" s="30"/>
      <x:c r="F167" s="30"/>
      <x:c r="G167" s="30"/>
      <x:c r="H167" s="30"/>
      <x:c r="I167" s="30"/>
      <x:c r="J167" s="30"/>
      <x:c r="K167" s="30"/>
      <x:c r="L167" s="30"/>
      <x:c r="M167" s="30"/>
      <x:c r="N167" s="30"/>
      <x:c r="O167" s="30"/>
      <x:c r="P167" s="30"/>
      <x:c r="Q167" s="30"/>
      <x:c r="R167" s="30"/>
      <x:c r="S167" s="30"/>
      <x:c r="T167" s="30"/>
      <x:c r="U167" s="30"/>
      <x:c r="V167" s="30"/>
      <x:c r="W167" s="30"/>
      <x:c r="X167" s="30"/>
      <x:c r="Y167" s="30"/>
      <x:c r="Z167" s="30"/>
      <x:c r="AA167" s="30"/>
      <x:c r="AB167" s="30"/>
      <x:c r="AC167" s="30"/>
      <x:c r="AD167" s="30"/>
      <x:c r="AE167" s="30"/>
      <x:c r="AF167" s="30"/>
      <x:c r="AG167" s="30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>
      <x:c r="A168" s="1"/>
      <x:c r="B168" s="1"/>
      <x:c r="C168" s="30"/>
      <x:c r="D168" s="30"/>
      <x:c r="E168" s="30"/>
      <x:c r="F168" s="30"/>
      <x:c r="G168" s="30"/>
      <x:c r="H168" s="30"/>
      <x:c r="I168" s="30"/>
      <x:c r="J168" s="30"/>
      <x:c r="K168" s="30"/>
      <x:c r="L168" s="30"/>
      <x:c r="M168" s="30"/>
      <x:c r="N168" s="30"/>
      <x:c r="O168" s="30"/>
      <x:c r="P168" s="30"/>
      <x:c r="Q168" s="30"/>
      <x:c r="R168" s="30"/>
      <x:c r="S168" s="30"/>
      <x:c r="T168" s="30"/>
      <x:c r="U168" s="30"/>
      <x:c r="V168" s="30"/>
      <x:c r="W168" s="30"/>
      <x:c r="X168" s="30"/>
      <x:c r="Y168" s="30"/>
      <x:c r="Z168" s="30"/>
      <x:c r="AA168" s="30"/>
      <x:c r="AB168" s="30"/>
      <x:c r="AC168" s="30"/>
      <x:c r="AD168" s="30"/>
      <x:c r="AE168" s="30"/>
      <x:c r="AF168" s="30"/>
      <x:c r="AG168" s="30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>
      <x:c r="A169" s="1"/>
      <x:c r="B169" s="1"/>
      <x:c r="C169" s="30"/>
      <x:c r="D169" s="30"/>
      <x:c r="E169" s="30"/>
      <x:c r="F169" s="30"/>
      <x:c r="G169" s="30"/>
      <x:c r="H169" s="30"/>
      <x:c r="I169" s="30"/>
      <x:c r="J169" s="30"/>
      <x:c r="K169" s="30"/>
      <x:c r="L169" s="30"/>
      <x:c r="M169" s="30"/>
      <x:c r="N169" s="30"/>
      <x:c r="O169" s="30"/>
      <x:c r="P169" s="30"/>
      <x:c r="Q169" s="30"/>
      <x:c r="R169" s="30"/>
      <x:c r="S169" s="30"/>
      <x:c r="T169" s="30"/>
      <x:c r="U169" s="30"/>
      <x:c r="V169" s="30"/>
      <x:c r="W169" s="30"/>
      <x:c r="X169" s="30"/>
      <x:c r="Y169" s="30"/>
      <x:c r="Z169" s="30"/>
      <x:c r="AA169" s="30"/>
      <x:c r="AB169" s="30"/>
      <x:c r="AC169" s="30"/>
      <x:c r="AD169" s="30"/>
      <x:c r="AE169" s="30"/>
      <x:c r="AF169" s="30"/>
      <x:c r="AG169" s="30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>
      <x:c r="A170" s="1"/>
      <x:c r="B170" s="1"/>
      <x:c r="C170" s="30"/>
      <x:c r="D170" s="30"/>
      <x:c r="E170" s="30"/>
      <x:c r="F170" s="30"/>
      <x:c r="G170" s="30"/>
      <x:c r="H170" s="30"/>
      <x:c r="I170" s="30"/>
      <x:c r="J170" s="30"/>
      <x:c r="K170" s="30"/>
      <x:c r="L170" s="30"/>
      <x:c r="M170" s="30"/>
      <x:c r="N170" s="30"/>
      <x:c r="O170" s="30"/>
      <x:c r="P170" s="30"/>
      <x:c r="Q170" s="30"/>
      <x:c r="R170" s="30"/>
      <x:c r="S170" s="30"/>
      <x:c r="T170" s="30"/>
      <x:c r="U170" s="30"/>
      <x:c r="V170" s="30"/>
      <x:c r="W170" s="30"/>
      <x:c r="X170" s="30"/>
      <x:c r="Y170" s="30"/>
      <x:c r="Z170" s="30"/>
      <x:c r="AA170" s="30"/>
      <x:c r="AB170" s="30"/>
      <x:c r="AC170" s="30"/>
      <x:c r="AD170" s="30"/>
      <x:c r="AE170" s="30"/>
      <x:c r="AF170" s="30"/>
      <x:c r="AG170" s="30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>
      <x:c r="A171" s="1"/>
      <x:c r="B171" s="1"/>
      <x:c r="C171" s="30"/>
      <x:c r="D171" s="30"/>
      <x:c r="E171" s="30"/>
      <x:c r="F171" s="30"/>
      <x:c r="G171" s="30"/>
      <x:c r="H171" s="30"/>
      <x:c r="I171" s="30"/>
      <x:c r="J171" s="30"/>
      <x:c r="K171" s="30"/>
      <x:c r="L171" s="30"/>
      <x:c r="M171" s="30"/>
      <x:c r="N171" s="30"/>
      <x:c r="O171" s="30"/>
      <x:c r="P171" s="30"/>
      <x:c r="Q171" s="30"/>
      <x:c r="R171" s="30"/>
      <x:c r="S171" s="30"/>
      <x:c r="T171" s="30"/>
      <x:c r="U171" s="30"/>
      <x:c r="V171" s="30"/>
      <x:c r="W171" s="30"/>
      <x:c r="X171" s="30"/>
      <x:c r="Y171" s="30"/>
      <x:c r="Z171" s="30"/>
      <x:c r="AA171" s="30"/>
      <x:c r="AB171" s="30"/>
      <x:c r="AC171" s="30"/>
      <x:c r="AD171" s="30"/>
      <x:c r="AE171" s="30"/>
      <x:c r="AF171" s="30"/>
      <x:c r="AG171" s="30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>
      <x:c r="A172" s="1"/>
      <x:c r="B172" s="1"/>
      <x:c r="C172" s="30"/>
      <x:c r="D172" s="30"/>
      <x:c r="E172" s="30"/>
      <x:c r="F172" s="30"/>
      <x:c r="G172" s="30"/>
      <x:c r="H172" s="30"/>
      <x:c r="I172" s="30"/>
      <x:c r="J172" s="30"/>
      <x:c r="K172" s="30"/>
      <x:c r="L172" s="30"/>
      <x:c r="M172" s="30"/>
      <x:c r="N172" s="30"/>
      <x:c r="O172" s="30"/>
      <x:c r="P172" s="30"/>
      <x:c r="Q172" s="30"/>
      <x:c r="R172" s="30"/>
      <x:c r="S172" s="30"/>
      <x:c r="T172" s="30"/>
      <x:c r="U172" s="30"/>
      <x:c r="V172" s="30"/>
      <x:c r="W172" s="30"/>
      <x:c r="X172" s="30"/>
      <x:c r="Y172" s="30"/>
      <x:c r="Z172" s="30"/>
      <x:c r="AA172" s="30"/>
      <x:c r="AB172" s="30"/>
      <x:c r="AC172" s="30"/>
      <x:c r="AD172" s="30"/>
      <x:c r="AE172" s="30"/>
      <x:c r="AF172" s="30"/>
      <x:c r="AG172" s="30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>
      <x:c r="A173" s="1"/>
      <x:c r="B173" s="1"/>
      <x:c r="C173" s="30"/>
      <x:c r="D173" s="30"/>
      <x:c r="E173" s="30"/>
      <x:c r="F173" s="30"/>
      <x:c r="G173" s="30"/>
      <x:c r="H173" s="30"/>
      <x:c r="I173" s="30"/>
      <x:c r="J173" s="30"/>
      <x:c r="K173" s="30"/>
      <x:c r="L173" s="30"/>
      <x:c r="M173" s="30"/>
      <x:c r="N173" s="30"/>
      <x:c r="O173" s="30"/>
      <x:c r="P173" s="30"/>
      <x:c r="Q173" s="30"/>
      <x:c r="R173" s="30"/>
      <x:c r="S173" s="30"/>
      <x:c r="T173" s="30"/>
      <x:c r="U173" s="30"/>
      <x:c r="V173" s="30"/>
      <x:c r="W173" s="30"/>
      <x:c r="X173" s="30"/>
      <x:c r="Y173" s="30"/>
      <x:c r="Z173" s="30"/>
      <x:c r="AA173" s="30"/>
      <x:c r="AB173" s="30"/>
      <x:c r="AC173" s="30"/>
      <x:c r="AD173" s="30"/>
      <x:c r="AE173" s="30"/>
      <x:c r="AF173" s="30"/>
      <x:c r="AG173" s="30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>
      <x:c r="A174" s="1"/>
      <x:c r="B174" s="1"/>
      <x:c r="C174" s="30"/>
      <x:c r="D174" s="30"/>
      <x:c r="E174" s="30"/>
      <x:c r="F174" s="30"/>
      <x:c r="G174" s="30"/>
      <x:c r="H174" s="30"/>
      <x:c r="I174" s="30"/>
      <x:c r="J174" s="30"/>
      <x:c r="K174" s="30"/>
      <x:c r="L174" s="30"/>
      <x:c r="M174" s="30"/>
      <x:c r="N174" s="30"/>
      <x:c r="O174" s="30"/>
      <x:c r="P174" s="30"/>
      <x:c r="Q174" s="30"/>
      <x:c r="R174" s="30"/>
      <x:c r="S174" s="30"/>
      <x:c r="T174" s="30"/>
      <x:c r="U174" s="30"/>
      <x:c r="V174" s="30"/>
      <x:c r="W174" s="30"/>
      <x:c r="X174" s="30"/>
      <x:c r="Y174" s="30"/>
      <x:c r="Z174" s="30"/>
      <x:c r="AA174" s="30"/>
      <x:c r="AB174" s="30"/>
      <x:c r="AC174" s="30"/>
      <x:c r="AD174" s="30"/>
      <x:c r="AE174" s="30"/>
      <x:c r="AF174" s="30"/>
      <x:c r="AG174" s="30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>
      <x:c r="A175" s="1"/>
      <x:c r="B175" s="1"/>
      <x:c r="C175" s="30"/>
      <x:c r="D175" s="30"/>
      <x:c r="E175" s="30"/>
      <x:c r="F175" s="30"/>
      <x:c r="G175" s="30"/>
      <x:c r="H175" s="30"/>
      <x:c r="I175" s="30"/>
      <x:c r="J175" s="30"/>
      <x:c r="K175" s="30"/>
      <x:c r="L175" s="30"/>
      <x:c r="M175" s="30"/>
      <x:c r="N175" s="30"/>
      <x:c r="O175" s="30"/>
      <x:c r="P175" s="30"/>
      <x:c r="Q175" s="30"/>
      <x:c r="R175" s="30"/>
      <x:c r="S175" s="30"/>
      <x:c r="T175" s="30"/>
      <x:c r="U175" s="30"/>
      <x:c r="V175" s="30"/>
      <x:c r="W175" s="30"/>
      <x:c r="X175" s="30"/>
      <x:c r="Y175" s="30"/>
      <x:c r="Z175" s="30"/>
      <x:c r="AA175" s="30"/>
      <x:c r="AB175" s="30"/>
      <x:c r="AC175" s="30"/>
      <x:c r="AD175" s="30"/>
      <x:c r="AE175" s="30"/>
      <x:c r="AF175" s="30"/>
      <x:c r="AG175" s="30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>
      <x:c r="A176" s="1"/>
      <x:c r="B176" s="1"/>
      <x:c r="C176" s="30"/>
      <x:c r="D176" s="30"/>
      <x:c r="E176" s="30"/>
      <x:c r="F176" s="30"/>
      <x:c r="G176" s="30"/>
      <x:c r="H176" s="30"/>
      <x:c r="I176" s="30"/>
      <x:c r="J176" s="30"/>
      <x:c r="K176" s="30"/>
      <x:c r="L176" s="30"/>
      <x:c r="M176" s="30"/>
      <x:c r="N176" s="30"/>
      <x:c r="O176" s="30"/>
      <x:c r="P176" s="30"/>
      <x:c r="Q176" s="30"/>
      <x:c r="R176" s="30"/>
      <x:c r="S176" s="30"/>
      <x:c r="T176" s="30"/>
      <x:c r="U176" s="30"/>
      <x:c r="V176" s="30"/>
      <x:c r="W176" s="30"/>
      <x:c r="X176" s="30"/>
      <x:c r="Y176" s="30"/>
      <x:c r="Z176" s="30"/>
      <x:c r="AA176" s="30"/>
      <x:c r="AB176" s="30"/>
      <x:c r="AC176" s="30"/>
      <x:c r="AD176" s="30"/>
      <x:c r="AE176" s="30"/>
      <x:c r="AF176" s="30"/>
      <x:c r="AG176" s="30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>
      <x:c r="A177" s="1"/>
      <x:c r="B177" s="1"/>
      <x:c r="C177" s="30"/>
      <x:c r="D177" s="30"/>
      <x:c r="E177" s="30"/>
      <x:c r="F177" s="30"/>
      <x:c r="G177" s="30"/>
      <x:c r="H177" s="30"/>
      <x:c r="I177" s="30"/>
      <x:c r="J177" s="30"/>
      <x:c r="K177" s="30"/>
      <x:c r="L177" s="30"/>
      <x:c r="M177" s="30"/>
      <x:c r="N177" s="30"/>
      <x:c r="O177" s="30"/>
      <x:c r="P177" s="30"/>
      <x:c r="Q177" s="30"/>
      <x:c r="R177" s="30"/>
      <x:c r="S177" s="30"/>
      <x:c r="T177" s="30"/>
      <x:c r="U177" s="30"/>
      <x:c r="V177" s="30"/>
      <x:c r="W177" s="30"/>
      <x:c r="X177" s="30"/>
      <x:c r="Y177" s="30"/>
      <x:c r="Z177" s="30"/>
      <x:c r="AA177" s="30"/>
      <x:c r="AB177" s="30"/>
      <x:c r="AC177" s="30"/>
      <x:c r="AD177" s="30"/>
      <x:c r="AE177" s="30"/>
      <x:c r="AF177" s="30"/>
      <x:c r="AG177" s="30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>
      <x:c r="A178" s="1"/>
      <x:c r="B178" s="1"/>
      <x:c r="C178" s="30"/>
      <x:c r="D178" s="30"/>
      <x:c r="E178" s="30"/>
      <x:c r="F178" s="30"/>
      <x:c r="G178" s="30"/>
      <x:c r="H178" s="30"/>
      <x:c r="I178" s="30"/>
      <x:c r="J178" s="30"/>
      <x:c r="K178" s="30"/>
      <x:c r="L178" s="30"/>
      <x:c r="M178" s="30"/>
      <x:c r="N178" s="30"/>
      <x:c r="O178" s="30"/>
      <x:c r="P178" s="30"/>
      <x:c r="Q178" s="30"/>
      <x:c r="R178" s="30"/>
      <x:c r="S178" s="30"/>
      <x:c r="T178" s="30"/>
      <x:c r="U178" s="30"/>
      <x:c r="V178" s="30"/>
      <x:c r="W178" s="30"/>
      <x:c r="X178" s="30"/>
      <x:c r="Y178" s="30"/>
      <x:c r="Z178" s="30"/>
      <x:c r="AA178" s="30"/>
      <x:c r="AB178" s="30"/>
      <x:c r="AC178" s="30"/>
      <x:c r="AD178" s="30"/>
      <x:c r="AE178" s="30"/>
      <x:c r="AF178" s="30"/>
      <x:c r="AG178" s="30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>
      <x:c r="A179" s="1"/>
      <x:c r="B179" s="1"/>
      <x:c r="C179" s="30"/>
      <x:c r="D179" s="30"/>
      <x:c r="E179" s="30"/>
      <x:c r="F179" s="30"/>
      <x:c r="G179" s="30"/>
      <x:c r="H179" s="30"/>
      <x:c r="I179" s="30"/>
      <x:c r="J179" s="30"/>
      <x:c r="K179" s="30"/>
      <x:c r="L179" s="30"/>
      <x:c r="M179" s="30"/>
      <x:c r="N179" s="30"/>
      <x:c r="O179" s="30"/>
      <x:c r="P179" s="30"/>
      <x:c r="Q179" s="30"/>
      <x:c r="R179" s="30"/>
      <x:c r="S179" s="30"/>
      <x:c r="T179" s="30"/>
      <x:c r="U179" s="30"/>
      <x:c r="V179" s="30"/>
      <x:c r="W179" s="30"/>
      <x:c r="X179" s="30"/>
      <x:c r="Y179" s="30"/>
      <x:c r="Z179" s="30"/>
      <x:c r="AA179" s="30"/>
      <x:c r="AB179" s="30"/>
      <x:c r="AC179" s="30"/>
      <x:c r="AD179" s="30"/>
      <x:c r="AE179" s="30"/>
      <x:c r="AF179" s="30"/>
      <x:c r="AG179" s="30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>
      <x:c r="A180" s="1"/>
      <x:c r="B180" s="1"/>
      <x:c r="C180" s="30"/>
      <x:c r="D180" s="30"/>
      <x:c r="E180" s="30"/>
      <x:c r="F180" s="30"/>
      <x:c r="G180" s="30"/>
      <x:c r="H180" s="30"/>
      <x:c r="I180" s="30"/>
      <x:c r="J180" s="30"/>
      <x:c r="K180" s="30"/>
      <x:c r="L180" s="30"/>
      <x:c r="M180" s="30"/>
      <x:c r="N180" s="30"/>
      <x:c r="O180" s="30"/>
      <x:c r="P180" s="30"/>
      <x:c r="Q180" s="30"/>
      <x:c r="R180" s="30"/>
      <x:c r="S180" s="30"/>
      <x:c r="T180" s="30"/>
      <x:c r="U180" s="30"/>
      <x:c r="V180" s="30"/>
      <x:c r="W180" s="30"/>
      <x:c r="X180" s="30"/>
      <x:c r="Y180" s="30"/>
      <x:c r="Z180" s="30"/>
      <x:c r="AA180" s="30"/>
      <x:c r="AB180" s="30"/>
      <x:c r="AC180" s="30"/>
      <x:c r="AD180" s="30"/>
      <x:c r="AE180" s="30"/>
      <x:c r="AF180" s="30"/>
      <x:c r="AG180" s="30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</x:sheetData>
  <x:pageMargins left="0.7" right="0.7" top="0.75" bottom="0.75" header="0.3" footer="0.3"/>
  <x:drawing xmlns:r="http://schemas.openxmlformats.org/officeDocument/2006/relationships" r:id="R19b6105de5dd4a91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52" hidden="0" customWidth="1"/>
    <x:col min="4" max="4" width="18" hidden="0" customWidth="1"/>
    <x:col min="5" max="5" width="18" hidden="0" customWidth="1"/>
    <x:col min="6" max="6" width="18" hidden="0" customWidth="1"/>
    <x:col min="7" max="7" width="3" hidden="0" customWidth="1"/>
    <x:col min="8" max="8" width="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>
      <x:c r="A2" s="1"/>
      <x:c r="B2" s="1"/>
      <x:c r="C2" s="3" t="str">
        <x:v>Model controls and conserved boundaries</x:v>
      </x:c>
      <x:c r="D2" s="2"/>
      <x:c r="E2" s="2"/>
      <x:c r="F2" s="2"/>
      <x:c r="G2" s="2"/>
      <x:c r="H2" s="2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>
      <x:c r="A3" s="1"/>
      <x:c r="B3" s="1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  <x:c r="AA3" s="30"/>
      <x:c r="AB3" s="30"/>
      <x:c r="AC3" s="30"/>
      <x:c r="AD3" s="30"/>
      <x:c r="AE3" s="30"/>
      <x:c r="AF3" s="30"/>
      <x:c r="AG3" s="30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>
      <x:c r="A4" s="1"/>
      <x:c r="B4" s="1"/>
      <x:c r="C4" s="9" t="str">
        <x:v>Control</x:v>
      </x:c>
      <x:c r="D4" s="10" t="str">
        <x:v>Value</x:v>
      </x:c>
      <x:c r="E4" s="30"/>
      <x:c r="F4" s="30"/>
      <x:c r="G4" s="30"/>
      <x:c r="H4" s="30"/>
      <x:c r="I4" s="30"/>
      <x:c r="J4" s="30"/>
      <x:c r="K4" s="30"/>
      <x:c r="L4" s="30"/>
      <x:c r="M4" s="30"/>
      <x:c r="N4" s="30"/>
      <x:c r="O4" s="30"/>
      <x:c r="P4" s="30"/>
      <x:c r="Q4" s="30"/>
      <x:c r="R4" s="30"/>
      <x:c r="S4" s="30"/>
      <x:c r="T4" s="30"/>
      <x:c r="U4" s="30"/>
      <x:c r="V4" s="30"/>
      <x:c r="W4" s="30"/>
      <x:c r="X4" s="30"/>
      <x:c r="Y4" s="30"/>
      <x:c r="Z4" s="30"/>
      <x:c r="AA4" s="30"/>
      <x:c r="AB4" s="30"/>
      <x:c r="AC4" s="30"/>
      <x:c r="AD4" s="30"/>
      <x:c r="AE4" s="30"/>
      <x:c r="AF4" s="30"/>
      <x:c r="AG4" s="30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>
      <x:c r="A5" s="1"/>
      <x:c r="B5" s="1"/>
      <x:c r="C5" s="30" t="str">
        <x:v>MS-HU technology envelope (USD B)</x:v>
      </x:c>
      <x:c r="D5" s="33" t="n">
        <x:v>153.1017614897401</x:v>
      </x:c>
      <x:c r="E5" s="30"/>
      <x:c r="F5" s="30"/>
      <x:c r="G5" s="30"/>
      <x:c r="H5" s="30"/>
      <x:c r="I5" s="30"/>
      <x:c r="J5" s="30"/>
      <x:c r="K5" s="30"/>
      <x:c r="L5" s="30"/>
      <x:c r="M5" s="30"/>
      <x:c r="N5" s="30"/>
      <x:c r="O5" s="30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  <x:c r="AA5" s="30"/>
      <x:c r="AB5" s="30"/>
      <x:c r="AC5" s="30"/>
      <x:c r="AD5" s="30"/>
      <x:c r="AE5" s="30"/>
      <x:c r="AF5" s="30"/>
      <x:c r="AG5" s="30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>
      <x:c r="A6" s="1"/>
      <x:c r="B6" s="1"/>
      <x:c r="C6" s="30" t="str">
        <x:v>Parent technology fields</x:v>
      </x:c>
      <x:c r="D6" s="32" t="n">
        <x:v>4</x:v>
      </x:c>
      <x:c r="E6" s="30"/>
      <x:c r="F6" s="30"/>
      <x:c r="G6" s="30"/>
      <x:c r="H6" s="30"/>
      <x:c r="I6" s="30"/>
      <x:c r="J6" s="30"/>
      <x:c r="K6" s="30"/>
      <x:c r="L6" s="30"/>
      <x:c r="M6" s="30"/>
      <x:c r="N6" s="30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30"/>
      <x:c r="Z6" s="30"/>
      <x:c r="AA6" s="30"/>
      <x:c r="AB6" s="30"/>
      <x:c r="AC6" s="30"/>
      <x:c r="AD6" s="30"/>
      <x:c r="AE6" s="30"/>
      <x:c r="AF6" s="30"/>
      <x:c r="AG6" s="30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>
      <x:c r="A7" s="1"/>
      <x:c r="B7" s="1"/>
      <x:c r="C7" s="30" t="str">
        <x:v>Subprograms per parent</x:v>
      </x:c>
      <x:c r="D7" s="32" t="n">
        <x:v>3</x:v>
      </x:c>
      <x:c r="E7" s="30"/>
      <x:c r="F7" s="30"/>
      <x:c r="G7" s="30"/>
      <x:c r="H7" s="30"/>
      <x:c r="I7" s="30"/>
      <x:c r="J7" s="30"/>
      <x:c r="K7" s="30"/>
      <x:c r="L7" s="30"/>
      <x:c r="M7" s="30"/>
      <x:c r="N7" s="30"/>
      <x:c r="O7" s="30"/>
      <x:c r="P7" s="30"/>
      <x:c r="Q7" s="30"/>
      <x:c r="R7" s="30"/>
      <x:c r="S7" s="30"/>
      <x:c r="T7" s="30"/>
      <x:c r="U7" s="30"/>
      <x:c r="V7" s="30"/>
      <x:c r="W7" s="30"/>
      <x:c r="X7" s="30"/>
      <x:c r="Y7" s="30"/>
      <x:c r="Z7" s="30"/>
      <x:c r="AA7" s="30"/>
      <x:c r="AB7" s="30"/>
      <x:c r="AC7" s="30"/>
      <x:c r="AD7" s="30"/>
      <x:c r="AE7" s="30"/>
      <x:c r="AF7" s="30"/>
      <x:c r="AG7" s="30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>
      <x:c r="A8" s="1"/>
      <x:c r="B8" s="1"/>
      <x:c r="C8" s="30" t="str">
        <x:v>Independent campaign sites</x:v>
      </x:c>
      <x:c r="D8" s="36" t="n">
        <x:v>3</x:v>
      </x:c>
      <x:c r="E8" s="30"/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  <x:c r="T8" s="30"/>
      <x:c r="U8" s="30"/>
      <x:c r="V8" s="30"/>
      <x:c r="W8" s="30"/>
      <x:c r="X8" s="30"/>
      <x:c r="Y8" s="30"/>
      <x:c r="Z8" s="30"/>
      <x:c r="AA8" s="30"/>
      <x:c r="AB8" s="30"/>
      <x:c r="AC8" s="30"/>
      <x:c r="AD8" s="30"/>
      <x:c r="AE8" s="30"/>
      <x:c r="AF8" s="30"/>
      <x:c r="AG8" s="30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>
      <x:c r="A9" s="1"/>
      <x:c r="B9" s="1"/>
      <x:c r="C9" s="30" t="str">
        <x:v>Service routes</x:v>
      </x:c>
      <x:c r="D9" s="32" t="n">
        <x:v>5</x:v>
      </x:c>
      <x:c r="E9" s="30"/>
      <x:c r="F9" s="30"/>
      <x:c r="G9" s="30"/>
      <x:c r="H9" s="30"/>
      <x:c r="I9" s="30"/>
      <x:c r="J9" s="30"/>
      <x:c r="K9" s="30"/>
      <x:c r="L9" s="30"/>
      <x:c r="M9" s="30"/>
      <x:c r="N9" s="30"/>
      <x:c r="O9" s="30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  <x:c r="AA9" s="30"/>
      <x:c r="AB9" s="30"/>
      <x:c r="AC9" s="30"/>
      <x:c r="AD9" s="30"/>
      <x:c r="AE9" s="30"/>
      <x:c r="AF9" s="30"/>
      <x:c r="AG9" s="30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>
      <x:c r="A10" s="1"/>
      <x:c r="B10" s="1"/>
      <x:c r="C10" s="30" t="str">
        <x:v>Serial service stages</x:v>
      </x:c>
      <x:c r="D10" s="32" t="n">
        <x:v>7</x:v>
      </x:c>
      <x:c r="E10" s="30"/>
      <x:c r="F10" s="30"/>
      <x:c r="G10" s="30"/>
      <x:c r="H10" s="30"/>
      <x:c r="I10" s="30"/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  <x:c r="AA10" s="30"/>
      <x:c r="AB10" s="30"/>
      <x:c r="AC10" s="30"/>
      <x:c r="AD10" s="30"/>
      <x:c r="AE10" s="30"/>
      <x:c r="AF10" s="30"/>
      <x:c r="AG10" s="30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>
      <x:c r="A11" s="1"/>
      <x:c r="B11" s="1"/>
      <x:c r="C11" s="30" t="str">
        <x:v>Cross-portfolio quantity credit</x:v>
      </x:c>
      <x:c r="D11" s="32" t="n">
        <x:v>0</x:v>
      </x:c>
      <x:c r="E11" s="30"/>
      <x:c r="F11" s="30"/>
      <x:c r="G11" s="30"/>
      <x:c r="H11" s="30"/>
      <x:c r="I11" s="30"/>
      <x:c r="J11" s="30"/>
      <x:c r="K11" s="30"/>
      <x:c r="L11" s="30"/>
      <x:c r="M11" s="30"/>
      <x:c r="N11" s="30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  <x:c r="AA11" s="30"/>
      <x:c r="AB11" s="30"/>
      <x:c r="AC11" s="30"/>
      <x:c r="AD11" s="30"/>
      <x:c r="AE11" s="30"/>
      <x:c r="AF11" s="30"/>
      <x:c r="AG11" s="30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>
      <x:c r="A12" s="1"/>
      <x:c r="B12" s="1"/>
      <x:c r="C12" s="30" t="str">
        <x:v>Exterior rendering admission</x:v>
      </x:c>
      <x:c r="D12" s="32" t="n">
        <x:v>0</x:v>
      </x:c>
      <x:c r="E12" s="30"/>
      <x:c r="F12" s="30"/>
      <x:c r="G12" s="30"/>
      <x:c r="H12" s="30"/>
      <x:c r="I12" s="30"/>
      <x:c r="J12" s="30"/>
      <x:c r="K12" s="30"/>
      <x:c r="L12" s="30"/>
      <x:c r="M12" s="30"/>
      <x:c r="N12" s="30"/>
      <x:c r="O12" s="30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  <x:c r="AA12" s="30"/>
      <x:c r="AB12" s="30"/>
      <x:c r="AC12" s="30"/>
      <x:c r="AD12" s="30"/>
      <x:c r="AE12" s="30"/>
      <x:c r="AF12" s="30"/>
      <x:c r="AG12" s="30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>
      <x:c r="A13" s="1"/>
      <x:c r="B13" s="1"/>
      <x:c r="C13" s="30" t="str">
        <x:v>Research-object open items after closure</x:v>
      </x:c>
      <x:c r="D13" s="32" t="n">
        <x:v>0</x:v>
      </x:c>
      <x:c r="E13" s="30"/>
      <x:c r="F13" s="30"/>
      <x:c r="G13" s="30"/>
      <x:c r="H13" s="30"/>
      <x:c r="I13" s="30"/>
      <x:c r="J13" s="30"/>
      <x:c r="K13" s="30"/>
      <x:c r="L13" s="30"/>
      <x:c r="M13" s="30"/>
      <x:c r="N13" s="30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  <x:c r="AA13" s="30"/>
      <x:c r="AB13" s="30"/>
      <x:c r="AC13" s="30"/>
      <x:c r="AD13" s="30"/>
      <x:c r="AE13" s="30"/>
      <x:c r="AF13" s="30"/>
      <x:c r="AG13" s="30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>
      <x:c r="A14" s="1"/>
      <x:c r="B14" s="1"/>
      <x:c r="C14" s="30"/>
      <x:c r="D14" s="30"/>
      <x:c r="E14" s="30"/>
      <x:c r="F14" s="30"/>
      <x:c r="G14" s="30"/>
      <x:c r="H14" s="30"/>
      <x:c r="I14" s="30"/>
      <x:c r="J14" s="30"/>
      <x:c r="K14" s="30"/>
      <x:c r="L14" s="30"/>
      <x:c r="M14" s="30"/>
      <x:c r="N14" s="30"/>
      <x:c r="O14" s="30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  <x:c r="AA14" s="30"/>
      <x:c r="AB14" s="30"/>
      <x:c r="AC14" s="30"/>
      <x:c r="AD14" s="30"/>
      <x:c r="AE14" s="30"/>
      <x:c r="AF14" s="30"/>
      <x:c r="AG14" s="30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>
      <x:c r="A15" s="1"/>
      <x:c r="B15" s="1"/>
      <x:c r="C15" s="9" t="str">
        <x:v>Phase</x:v>
      </x:c>
      <x:c r="D15" s="17" t="str">
        <x:v>Start year</x:v>
      </x:c>
      <x:c r="E15" s="17" t="str">
        <x:v>End year</x:v>
      </x:c>
      <x:c r="F15" s="10" t="str">
        <x:v>Portfolio share</x:v>
      </x:c>
      <x:c r="G15" s="30"/>
      <x:c r="H15" s="30"/>
      <x:c r="I15" s="30"/>
      <x:c r="J15" s="30"/>
      <x:c r="K15" s="30"/>
      <x:c r="L15" s="30"/>
      <x:c r="M15" s="30"/>
      <x:c r="N15" s="30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  <x:c r="AA15" s="30"/>
      <x:c r="AB15" s="30"/>
      <x:c r="AC15" s="30"/>
      <x:c r="AD15" s="30"/>
      <x:c r="AE15" s="30"/>
      <x:c r="AF15" s="30"/>
      <x:c r="AG15" s="30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>
      <x:c r="A16" s="1"/>
      <x:c r="B16" s="1"/>
      <x:c r="C16" s="30" t="str">
        <x:v>Contract, rights and enabling science</x:v>
      </x:c>
      <x:c r="D16" s="32" t="n">
        <x:v>1</x:v>
      </x:c>
      <x:c r="E16" s="32" t="n">
        <x:v>4</x:v>
      </x:c>
      <x:c r="F16" s="37" t="n">
        <x:v>0.12</x:v>
      </x:c>
      <x:c r="G16" s="30"/>
      <x:c r="H16" s="30"/>
      <x:c r="I16" s="30"/>
      <x:c r="J16" s="30"/>
      <x:c r="K16" s="30"/>
      <x:c r="L16" s="30"/>
      <x:c r="M16" s="30"/>
      <x:c r="N16" s="30"/>
      <x:c r="O16" s="30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  <x:c r="AA16" s="30"/>
      <x:c r="AB16" s="30"/>
      <x:c r="AC16" s="30"/>
      <x:c r="AD16" s="30"/>
      <x:c r="AE16" s="30"/>
      <x:c r="AF16" s="30"/>
      <x:c r="AG16" s="30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>
      <x:c r="A17" s="1"/>
      <x:c r="B17" s="1"/>
      <x:c r="C17" s="30" t="str">
        <x:v>Rival subsystem roots</x:v>
      </x:c>
      <x:c r="D17" s="32" t="n">
        <x:v>5</x:v>
      </x:c>
      <x:c r="E17" s="32" t="n">
        <x:v>9</x:v>
      </x:c>
      <x:c r="F17" s="37" t="n">
        <x:v>0.23</x:v>
      </x:c>
      <x:c r="G17" s="30"/>
      <x:c r="H17" s="30"/>
      <x:c r="I17" s="30"/>
      <x:c r="J17" s="30"/>
      <x:c r="K17" s="30"/>
      <x:c r="L17" s="30"/>
      <x:c r="M17" s="30"/>
      <x:c r="N17" s="30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  <x:c r="AA17" s="30"/>
      <x:c r="AB17" s="30"/>
      <x:c r="AC17" s="30"/>
      <x:c r="AD17" s="30"/>
      <x:c r="AE17" s="30"/>
      <x:c r="AF17" s="30"/>
      <x:c r="AG17" s="30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>
      <x:c r="A18" s="1"/>
      <x:c r="B18" s="1"/>
      <x:c r="C18" s="30" t="str">
        <x:v>Complete-system prototypes</x:v>
      </x:c>
      <x:c r="D18" s="32" t="n">
        <x:v>10</x:v>
      </x:c>
      <x:c r="E18" s="32" t="n">
        <x:v>14</x:v>
      </x:c>
      <x:c r="F18" s="37" t="n">
        <x:v>0.3</x:v>
      </x:c>
      <x:c r="G18" s="30"/>
      <x:c r="H18" s="30"/>
      <x:c r="I18" s="30"/>
      <x:c r="J18" s="30"/>
      <x:c r="K18" s="30"/>
      <x:c r="L18" s="30"/>
      <x:c r="M18" s="30"/>
      <x:c r="N18" s="30"/>
      <x:c r="O18" s="30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  <x:c r="AA18" s="30"/>
      <x:c r="AB18" s="30"/>
      <x:c r="AC18" s="30"/>
      <x:c r="AD18" s="30"/>
      <x:c r="AE18" s="30"/>
      <x:c r="AF18" s="30"/>
      <x:c r="AG18" s="30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>
      <x:c r="A19" s="1"/>
      <x:c r="B19" s="1"/>
      <x:c r="C19" s="30" t="str">
        <x:v>Representative campaigns and production learning</x:v>
      </x:c>
      <x:c r="D19" s="32" t="n">
        <x:v>15</x:v>
      </x:c>
      <x:c r="E19" s="32" t="n">
        <x:v>19</x:v>
      </x:c>
      <x:c r="F19" s="37" t="n">
        <x:v>0.23</x:v>
      </x:c>
      <x:c r="G19" s="30"/>
      <x:c r="H19" s="30"/>
      <x:c r="I19" s="30"/>
      <x:c r="J19" s="30"/>
      <x:c r="K19" s="30"/>
      <x:c r="L19" s="30"/>
      <x:c r="M19" s="30"/>
      <x:c r="N19" s="30"/>
      <x:c r="O19" s="30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  <x:c r="AA19" s="30"/>
      <x:c r="AB19" s="30"/>
      <x:c r="AC19" s="30"/>
      <x:c r="AD19" s="30"/>
      <x:c r="AE19" s="30"/>
      <x:c r="AF19" s="30"/>
      <x:c r="AG19" s="30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>
      <x:c r="A20" s="1"/>
      <x:c r="B20" s="1"/>
      <x:c r="C20" s="30" t="str">
        <x:v>Qualification, renewal and next-generation challenge</x:v>
      </x:c>
      <x:c r="D20" s="32" t="n">
        <x:v>20</x:v>
      </x:c>
      <x:c r="E20" s="32" t="n">
        <x:v>25</x:v>
      </x:c>
      <x:c r="F20" s="37" t="n">
        <x:v>0.12</x:v>
      </x:c>
      <x:c r="G20" s="30"/>
      <x:c r="H20" s="30"/>
      <x:c r="I20" s="30"/>
      <x:c r="J20" s="30"/>
      <x:c r="K20" s="30"/>
      <x:c r="L20" s="30"/>
      <x:c r="M20" s="30"/>
      <x:c r="N20" s="30"/>
      <x:c r="O20" s="30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  <x:c r="AA20" s="30"/>
      <x:c r="AB20" s="30"/>
      <x:c r="AC20" s="30"/>
      <x:c r="AD20" s="30"/>
      <x:c r="AE20" s="30"/>
      <x:c r="AF20" s="30"/>
      <x:c r="AG20" s="30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>
      <x:c r="A21" s="1"/>
      <x:c r="B21" s="1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  <x:c r="AA21" s="30"/>
      <x:c r="AB21" s="30"/>
      <x:c r="AC21" s="30"/>
      <x:c r="AD21" s="30"/>
      <x:c r="AE21" s="30"/>
      <x:c r="AF21" s="30"/>
      <x:c r="AG21" s="30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>
      <x:c r="A22" s="1"/>
      <x:c r="B22" s="1"/>
      <x:c r="C22" s="9" t="str">
        <x:v>Reconciliation</x:v>
      </x:c>
      <x:c r="D22" s="10" t="str">
        <x:v>Value</x:v>
      </x:c>
      <x:c r="E22" s="30"/>
      <x:c r="F22" s="30"/>
      <x:c r="G22" s="30"/>
      <x:c r="H22" s="30"/>
      <x:c r="I22" s="30"/>
      <x:c r="J22" s="30"/>
      <x:c r="K22" s="30"/>
      <x:c r="L22" s="30"/>
      <x:c r="M22" s="30"/>
      <x:c r="N22" s="30"/>
      <x:c r="O22" s="30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  <x:c r="AA22" s="30"/>
      <x:c r="AB22" s="30"/>
      <x:c r="AC22" s="30"/>
      <x:c r="AD22" s="30"/>
      <x:c r="AE22" s="30"/>
      <x:c r="AF22" s="30"/>
      <x:c r="AG22" s="30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>
      <x:c r="A23" s="1"/>
      <x:c r="B23" s="1"/>
      <x:c r="C23" s="30" t="str">
        <x:v>Phase shares</x:v>
      </x:c>
      <x:c r="D23" s="38" t="n">
        <x:f>SUM(F16:F20)</x:f>
        <x:v>0.9999999999999999</x:v>
      </x:c>
      <x:c r="E23" s="30"/>
      <x:c r="F23" s="30"/>
      <x:c r="G23" s="30"/>
      <x:c r="H23" s="30"/>
      <x:c r="I23" s="30"/>
      <x:c r="J23" s="30"/>
      <x:c r="K23" s="30"/>
      <x:c r="L23" s="30"/>
      <x:c r="M23" s="30"/>
      <x:c r="N23" s="30"/>
      <x:c r="O23" s="30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  <x:c r="AA23" s="30"/>
      <x:c r="AB23" s="30"/>
      <x:c r="AC23" s="30"/>
      <x:c r="AD23" s="30"/>
      <x:c r="AE23" s="30"/>
      <x:c r="AF23" s="30"/>
      <x:c r="AG23" s="30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>
      <x:c r="A24" s="1"/>
      <x:c r="B24" s="1"/>
      <x:c r="C24" s="30" t="str">
        <x:v>Technology program allocation (USD B)</x:v>
      </x:c>
      <x:c r="D24" s="33" t="n">
        <x:f>'Technology Portfolio'!N17</x:f>
        <x:v>153.1017614897401</x:v>
      </x:c>
      <x:c r="E24" s="30"/>
      <x:c r="F24" s="30"/>
      <x:c r="G24" s="30"/>
      <x:c r="H24" s="30"/>
      <x:c r="I24" s="30"/>
      <x:c r="J24" s="30"/>
      <x:c r="K24" s="30"/>
      <x:c r="L24" s="30"/>
      <x:c r="M24" s="30"/>
      <x:c r="N24" s="30"/>
      <x:c r="O24" s="30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  <x:c r="AA24" s="30"/>
      <x:c r="AB24" s="30"/>
      <x:c r="AC24" s="30"/>
      <x:c r="AD24" s="30"/>
      <x:c r="AE24" s="30"/>
      <x:c r="AF24" s="30"/>
      <x:c r="AG24" s="30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>
      <x:c r="A25" s="1"/>
      <x:c r="B25" s="1"/>
      <x:c r="C25" s="30" t="str">
        <x:v>First campaign allocation (USD B)</x:v>
      </x:c>
      <x:c r="D25" s="33" t="n">
        <x:f>SUMIFS('Technology Portfolio'!N5:N16,'Technology Portfolio'!P5:P16,"FIRST")</x:f>
        <x:v>12.75848012414501</x:v>
      </x:c>
      <x:c r="E25" s="30"/>
      <x:c r="F25" s="30"/>
      <x:c r="G25" s="30"/>
      <x:c r="H25" s="30"/>
      <x:c r="I25" s="30"/>
      <x:c r="J25" s="30"/>
      <x:c r="K25" s="30"/>
      <x:c r="L25" s="30"/>
      <x:c r="M25" s="30"/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  <x:c r="AA25" s="30"/>
      <x:c r="AB25" s="30"/>
      <x:c r="AC25" s="30"/>
      <x:c r="AD25" s="30"/>
      <x:c r="AE25" s="30"/>
      <x:c r="AF25" s="30"/>
      <x:c r="AG25" s="30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>
      <x:c r="A26" s="1"/>
      <x:c r="B26" s="1"/>
      <x:c r="C26" s="30"/>
      <x:c r="D26" s="30"/>
      <x:c r="E26" s="30"/>
      <x:c r="F26" s="30"/>
      <x:c r="G26" s="30"/>
      <x:c r="H26" s="30"/>
      <x:c r="I26" s="30"/>
      <x:c r="J26" s="3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  <x:c r="AA26" s="30"/>
      <x:c r="AB26" s="30"/>
      <x:c r="AC26" s="30"/>
      <x:c r="AD26" s="30"/>
      <x:c r="AE26" s="30"/>
      <x:c r="AF26" s="30"/>
      <x:c r="AG26" s="30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>
      <x:c r="A27" s="1"/>
      <x:c r="B27" s="1"/>
      <x:c r="C27" s="30"/>
      <x:c r="D27" s="30"/>
      <x:c r="E27" s="30"/>
      <x:c r="F27" s="30"/>
      <x:c r="G27" s="30"/>
      <x:c r="H27" s="30"/>
      <x:c r="I27" s="30"/>
      <x:c r="J27" s="30"/>
      <x:c r="K27" s="30"/>
      <x:c r="L27" s="30"/>
      <x:c r="M27" s="30"/>
      <x:c r="N27" s="30"/>
      <x:c r="O27" s="30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  <x:c r="AA27" s="30"/>
      <x:c r="AB27" s="30"/>
      <x:c r="AC27" s="30"/>
      <x:c r="AD27" s="30"/>
      <x:c r="AE27" s="30"/>
      <x:c r="AF27" s="30"/>
      <x:c r="AG27" s="30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>
      <x:c r="A28" s="1"/>
      <x:c r="B28" s="1"/>
      <x:c r="C28" s="30"/>
      <x:c r="D28" s="30"/>
      <x:c r="E28" s="30"/>
      <x:c r="F28" s="30"/>
      <x:c r="G28" s="30"/>
      <x:c r="H28" s="30"/>
      <x:c r="I28" s="30"/>
      <x:c r="J28" s="30"/>
      <x:c r="K28" s="30"/>
      <x:c r="L28" s="30"/>
      <x:c r="M28" s="30"/>
      <x:c r="N28" s="30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  <x:c r="AA28" s="30"/>
      <x:c r="AB28" s="30"/>
      <x:c r="AC28" s="30"/>
      <x:c r="AD28" s="30"/>
      <x:c r="AE28" s="30"/>
      <x:c r="AF28" s="30"/>
      <x:c r="AG28" s="30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>
      <x:c r="A29" s="1"/>
      <x:c r="B29" s="1"/>
      <x:c r="C29" s="30"/>
      <x:c r="D29" s="30"/>
      <x:c r="E29" s="30"/>
      <x:c r="F29" s="30"/>
      <x:c r="G29" s="30"/>
      <x:c r="H29" s="30"/>
      <x:c r="I29" s="30"/>
      <x:c r="J29" s="30"/>
      <x:c r="K29" s="30"/>
      <x:c r="L29" s="30"/>
      <x:c r="M29" s="30"/>
      <x:c r="N29" s="30"/>
      <x:c r="O29" s="30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  <x:c r="AA29" s="30"/>
      <x:c r="AB29" s="30"/>
      <x:c r="AC29" s="30"/>
      <x:c r="AD29" s="30"/>
      <x:c r="AE29" s="30"/>
      <x:c r="AF29" s="30"/>
      <x:c r="AG29" s="30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>
      <x:c r="A30" s="1"/>
      <x:c r="B30" s="1"/>
      <x:c r="C30" s="30"/>
      <x:c r="D30" s="30"/>
      <x:c r="E30" s="30"/>
      <x:c r="F30" s="30"/>
      <x:c r="G30" s="30"/>
      <x:c r="H30" s="30"/>
      <x:c r="I30" s="30"/>
      <x:c r="J30" s="30"/>
      <x:c r="K30" s="30"/>
      <x:c r="L30" s="30"/>
      <x:c r="M30" s="30"/>
      <x:c r="N30" s="30"/>
      <x:c r="O30" s="30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  <x:c r="AA30" s="30"/>
      <x:c r="AB30" s="30"/>
      <x:c r="AC30" s="30"/>
      <x:c r="AD30" s="30"/>
      <x:c r="AE30" s="30"/>
      <x:c r="AF30" s="30"/>
      <x:c r="AG30" s="30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>
      <x:c r="A31" s="1"/>
      <x:c r="B31" s="1"/>
      <x:c r="C31" s="30"/>
      <x:c r="D31" s="30"/>
      <x:c r="E31" s="30"/>
      <x:c r="F31" s="30"/>
      <x:c r="G31" s="30"/>
      <x:c r="H31" s="30"/>
      <x:c r="I31" s="30"/>
      <x:c r="J31" s="30"/>
      <x:c r="K31" s="30"/>
      <x:c r="L31" s="30"/>
      <x:c r="M31" s="30"/>
      <x:c r="N31" s="30"/>
      <x:c r="O31" s="30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  <x:c r="AA31" s="30"/>
      <x:c r="AB31" s="30"/>
      <x:c r="AC31" s="30"/>
      <x:c r="AD31" s="30"/>
      <x:c r="AE31" s="30"/>
      <x:c r="AF31" s="30"/>
      <x:c r="AG31" s="30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>
      <x:c r="A32" s="1"/>
      <x:c r="B32" s="1"/>
      <x:c r="C32" s="30"/>
      <x:c r="D32" s="30"/>
      <x:c r="E32" s="30"/>
      <x:c r="F32" s="30"/>
      <x:c r="G32" s="30"/>
      <x:c r="H32" s="30"/>
      <x:c r="I32" s="30"/>
      <x:c r="J32" s="30"/>
      <x:c r="K32" s="30"/>
      <x:c r="L32" s="30"/>
      <x:c r="M32" s="30"/>
      <x:c r="N32" s="30"/>
      <x:c r="O32" s="30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  <x:c r="AA32" s="30"/>
      <x:c r="AB32" s="30"/>
      <x:c r="AC32" s="30"/>
      <x:c r="AD32" s="30"/>
      <x:c r="AE32" s="30"/>
      <x:c r="AF32" s="30"/>
      <x:c r="AG32" s="30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>
      <x:c r="A33" s="1"/>
      <x:c r="B33" s="1"/>
      <x:c r="C33" s="30"/>
      <x:c r="D33" s="30"/>
      <x:c r="E33" s="30"/>
      <x:c r="F33" s="30"/>
      <x:c r="G33" s="30"/>
      <x:c r="H33" s="30"/>
      <x:c r="I33" s="30"/>
      <x:c r="J33" s="30"/>
      <x:c r="K33" s="30"/>
      <x:c r="L33" s="30"/>
      <x:c r="M33" s="30"/>
      <x:c r="N33" s="30"/>
      <x:c r="O33" s="30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  <x:c r="AA33" s="30"/>
      <x:c r="AB33" s="30"/>
      <x:c r="AC33" s="30"/>
      <x:c r="AD33" s="30"/>
      <x:c r="AE33" s="30"/>
      <x:c r="AF33" s="30"/>
      <x:c r="AG33" s="30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>
      <x:c r="A34" s="1"/>
      <x:c r="B34" s="1"/>
      <x:c r="C34" s="30"/>
      <x:c r="D34" s="30"/>
      <x:c r="E34" s="30"/>
      <x:c r="F34" s="30"/>
      <x:c r="G34" s="30"/>
      <x:c r="H34" s="30"/>
      <x:c r="I34" s="30"/>
      <x:c r="J34" s="30"/>
      <x:c r="K34" s="30"/>
      <x:c r="L34" s="30"/>
      <x:c r="M34" s="30"/>
      <x:c r="N34" s="30"/>
      <x:c r="O34" s="30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  <x:c r="AA34" s="30"/>
      <x:c r="AB34" s="30"/>
      <x:c r="AC34" s="30"/>
      <x:c r="AD34" s="30"/>
      <x:c r="AE34" s="30"/>
      <x:c r="AF34" s="30"/>
      <x:c r="AG34" s="30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>
      <x:c r="A35" s="1"/>
      <x:c r="B35" s="1"/>
      <x:c r="C35" s="30"/>
      <x:c r="D35" s="30"/>
      <x:c r="E35" s="30"/>
      <x:c r="F35" s="30"/>
      <x:c r="G35" s="30"/>
      <x:c r="H35" s="30"/>
      <x:c r="I35" s="30"/>
      <x:c r="J35" s="30"/>
      <x:c r="K35" s="30"/>
      <x:c r="L35" s="30"/>
      <x:c r="M35" s="30"/>
      <x:c r="N35" s="30"/>
      <x:c r="O35" s="30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  <x:c r="AA35" s="30"/>
      <x:c r="AB35" s="30"/>
      <x:c r="AC35" s="30"/>
      <x:c r="AD35" s="30"/>
      <x:c r="AE35" s="30"/>
      <x:c r="AF35" s="30"/>
      <x:c r="AG35" s="30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>
      <x:c r="A36" s="1"/>
      <x:c r="B36" s="1"/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  <x:c r="M36" s="30"/>
      <x:c r="N36" s="30"/>
      <x:c r="O36" s="30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  <x:c r="AA36" s="30"/>
      <x:c r="AB36" s="30"/>
      <x:c r="AC36" s="30"/>
      <x:c r="AD36" s="30"/>
      <x:c r="AE36" s="30"/>
      <x:c r="AF36" s="30"/>
      <x:c r="AG36" s="30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>
      <x:c r="A37" s="1"/>
      <x:c r="B37" s="1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  <x:c r="O37" s="30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  <x:c r="AA37" s="30"/>
      <x:c r="AB37" s="30"/>
      <x:c r="AC37" s="30"/>
      <x:c r="AD37" s="30"/>
      <x:c r="AE37" s="30"/>
      <x:c r="AF37" s="30"/>
      <x:c r="AG37" s="30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>
      <x:c r="A38" s="1"/>
      <x:c r="B38" s="1"/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  <x:c r="O38" s="30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  <x:c r="AA38" s="30"/>
      <x:c r="AB38" s="30"/>
      <x:c r="AC38" s="30"/>
      <x:c r="AD38" s="30"/>
      <x:c r="AE38" s="30"/>
      <x:c r="AF38" s="30"/>
      <x:c r="AG38" s="30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>
      <x:c r="A39" s="1"/>
      <x:c r="B39" s="1"/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  <x:c r="O39" s="30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  <x:c r="AA39" s="30"/>
      <x:c r="AB39" s="30"/>
      <x:c r="AC39" s="30"/>
      <x:c r="AD39" s="30"/>
      <x:c r="AE39" s="30"/>
      <x:c r="AF39" s="30"/>
      <x:c r="AG39" s="30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>
      <x:c r="A40" s="1"/>
      <x:c r="B40" s="1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  <x:c r="M40" s="30"/>
      <x:c r="N40" s="30"/>
      <x:c r="O40" s="30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  <x:c r="AA40" s="30"/>
      <x:c r="AB40" s="30"/>
      <x:c r="AC40" s="30"/>
      <x:c r="AD40" s="30"/>
      <x:c r="AE40" s="30"/>
      <x:c r="AF40" s="30"/>
      <x:c r="AG40" s="30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>
      <x:c r="A41" s="1"/>
      <x:c r="B41" s="1"/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  <x:c r="AA41" s="30"/>
      <x:c r="AB41" s="30"/>
      <x:c r="AC41" s="30"/>
      <x:c r="AD41" s="30"/>
      <x:c r="AE41" s="30"/>
      <x:c r="AF41" s="30"/>
      <x:c r="AG41" s="30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>
      <x:c r="A42" s="1"/>
      <x:c r="B42" s="1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  <x:c r="AA42" s="30"/>
      <x:c r="AB42" s="30"/>
      <x:c r="AC42" s="30"/>
      <x:c r="AD42" s="30"/>
      <x:c r="AE42" s="30"/>
      <x:c r="AF42" s="30"/>
      <x:c r="AG42" s="30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>
      <x:c r="A43" s="1"/>
      <x:c r="B43" s="1"/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  <x:c r="AA43" s="30"/>
      <x:c r="AB43" s="30"/>
      <x:c r="AC43" s="30"/>
      <x:c r="AD43" s="30"/>
      <x:c r="AE43" s="30"/>
      <x:c r="AF43" s="30"/>
      <x:c r="AG43" s="30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>
      <x:c r="A44" s="1"/>
      <x:c r="B44" s="1"/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  <x:c r="M44" s="30"/>
      <x:c r="N44" s="30"/>
      <x:c r="O44" s="30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  <x:c r="AA44" s="30"/>
      <x:c r="AB44" s="30"/>
      <x:c r="AC44" s="30"/>
      <x:c r="AD44" s="30"/>
      <x:c r="AE44" s="30"/>
      <x:c r="AF44" s="30"/>
      <x:c r="AG44" s="30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>
      <x:c r="A45" s="1"/>
      <x:c r="B45" s="1"/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  <x:c r="AA45" s="30"/>
      <x:c r="AB45" s="30"/>
      <x:c r="AC45" s="30"/>
      <x:c r="AD45" s="30"/>
      <x:c r="AE45" s="30"/>
      <x:c r="AF45" s="30"/>
      <x:c r="AG45" s="30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>
      <x:c r="A46" s="1"/>
      <x:c r="B46" s="1"/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  <x:c r="M46" s="30"/>
      <x:c r="N46" s="30"/>
      <x:c r="O46" s="30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  <x:c r="AA46" s="30"/>
      <x:c r="AB46" s="30"/>
      <x:c r="AC46" s="30"/>
      <x:c r="AD46" s="30"/>
      <x:c r="AE46" s="30"/>
      <x:c r="AF46" s="30"/>
      <x:c r="AG46" s="30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>
      <x:c r="A47" s="1"/>
      <x:c r="B47" s="1"/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  <x:c r="O47" s="30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  <x:c r="AA47" s="30"/>
      <x:c r="AB47" s="30"/>
      <x:c r="AC47" s="30"/>
      <x:c r="AD47" s="30"/>
      <x:c r="AE47" s="30"/>
      <x:c r="AF47" s="30"/>
      <x:c r="AG47" s="30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>
      <x:c r="A48" s="1"/>
      <x:c r="B48" s="1"/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  <x:c r="M48" s="30"/>
      <x:c r="N48" s="30"/>
      <x:c r="O48" s="30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  <x:c r="AA48" s="30"/>
      <x:c r="AB48" s="30"/>
      <x:c r="AC48" s="30"/>
      <x:c r="AD48" s="30"/>
      <x:c r="AE48" s="30"/>
      <x:c r="AF48" s="30"/>
      <x:c r="AG48" s="30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>
      <x:c r="A49" s="1"/>
      <x:c r="B49" s="1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0"/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  <x:c r="AA49" s="30"/>
      <x:c r="AB49" s="30"/>
      <x:c r="AC49" s="30"/>
      <x:c r="AD49" s="30"/>
      <x:c r="AE49" s="30"/>
      <x:c r="AF49" s="30"/>
      <x:c r="AG49" s="30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>
      <x:c r="A50" s="1"/>
      <x:c r="B50" s="1"/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  <x:c r="O50" s="30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  <x:c r="AA50" s="30"/>
      <x:c r="AB50" s="30"/>
      <x:c r="AC50" s="30"/>
      <x:c r="AD50" s="30"/>
      <x:c r="AE50" s="30"/>
      <x:c r="AF50" s="30"/>
      <x:c r="AG50" s="30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>
      <x:c r="A51" s="1"/>
      <x:c r="B51" s="1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  <x:c r="O51" s="30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  <x:c r="AA51" s="30"/>
      <x:c r="AB51" s="30"/>
      <x:c r="AC51" s="30"/>
      <x:c r="AD51" s="30"/>
      <x:c r="AE51" s="30"/>
      <x:c r="AF51" s="30"/>
      <x:c r="AG51" s="30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>
      <x:c r="A52" s="1"/>
      <x:c r="B52" s="1"/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  <x:c r="M52" s="30"/>
      <x:c r="N52" s="30"/>
      <x:c r="O52" s="30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  <x:c r="AA52" s="30"/>
      <x:c r="AB52" s="30"/>
      <x:c r="AC52" s="30"/>
      <x:c r="AD52" s="30"/>
      <x:c r="AE52" s="30"/>
      <x:c r="AF52" s="30"/>
      <x:c r="AG52" s="30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>
      <x:c r="A53" s="1"/>
      <x:c r="B53" s="1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  <x:c r="O53" s="30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  <x:c r="AA53" s="30"/>
      <x:c r="AB53" s="30"/>
      <x:c r="AC53" s="30"/>
      <x:c r="AD53" s="30"/>
      <x:c r="AE53" s="30"/>
      <x:c r="AF53" s="30"/>
      <x:c r="AG53" s="30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>
      <x:c r="A54" s="1"/>
      <x:c r="B54" s="1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  <x:c r="AA54" s="30"/>
      <x:c r="AB54" s="30"/>
      <x:c r="AC54" s="30"/>
      <x:c r="AD54" s="30"/>
      <x:c r="AE54" s="30"/>
      <x:c r="AF54" s="30"/>
      <x:c r="AG54" s="30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>
      <x:c r="A55" s="1"/>
      <x:c r="B55" s="1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  <x:c r="AA55" s="30"/>
      <x:c r="AB55" s="30"/>
      <x:c r="AC55" s="30"/>
      <x:c r="AD55" s="30"/>
      <x:c r="AE55" s="30"/>
      <x:c r="AF55" s="30"/>
      <x:c r="AG55" s="30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>
      <x:c r="A56" s="1"/>
      <x:c r="B56" s="1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  <x:c r="AA56" s="30"/>
      <x:c r="AB56" s="30"/>
      <x:c r="AC56" s="30"/>
      <x:c r="AD56" s="30"/>
      <x:c r="AE56" s="30"/>
      <x:c r="AF56" s="30"/>
      <x:c r="AG56" s="30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>
      <x:c r="A57" s="1"/>
      <x:c r="B57" s="1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  <x:c r="AA57" s="30"/>
      <x:c r="AB57" s="30"/>
      <x:c r="AC57" s="30"/>
      <x:c r="AD57" s="30"/>
      <x:c r="AE57" s="30"/>
      <x:c r="AF57" s="30"/>
      <x:c r="AG57" s="30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>
      <x:c r="A58" s="1"/>
      <x:c r="B58" s="1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0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  <x:c r="AA58" s="30"/>
      <x:c r="AB58" s="30"/>
      <x:c r="AC58" s="30"/>
      <x:c r="AD58" s="30"/>
      <x:c r="AE58" s="30"/>
      <x:c r="AF58" s="30"/>
      <x:c r="AG58" s="30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>
      <x:c r="A59" s="1"/>
      <x:c r="B59" s="1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  <x:c r="M59" s="30"/>
      <x:c r="N59" s="30"/>
      <x:c r="O59" s="30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  <x:c r="AA59" s="30"/>
      <x:c r="AB59" s="30"/>
      <x:c r="AC59" s="30"/>
      <x:c r="AD59" s="30"/>
      <x:c r="AE59" s="30"/>
      <x:c r="AF59" s="30"/>
      <x:c r="AG59" s="30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>
      <x:c r="A60" s="1"/>
      <x:c r="B60" s="1"/>
      <x:c r="C60" s="30"/>
      <x:c r="D60" s="30"/>
      <x:c r="E60" s="30"/>
      <x:c r="F60" s="30"/>
      <x:c r="G60" s="30"/>
      <x:c r="H60" s="30"/>
      <x:c r="I60" s="30"/>
      <x:c r="J60" s="30"/>
      <x:c r="K60" s="30"/>
      <x:c r="L60" s="30"/>
      <x:c r="M60" s="30"/>
      <x:c r="N60" s="30"/>
      <x:c r="O60" s="30"/>
      <x:c r="P60" s="30"/>
      <x:c r="Q60" s="30"/>
      <x:c r="R60" s="30"/>
      <x:c r="S60" s="30"/>
      <x:c r="T60" s="30"/>
      <x:c r="U60" s="30"/>
      <x:c r="V60" s="30"/>
      <x:c r="W60" s="30"/>
      <x:c r="X60" s="30"/>
      <x:c r="Y60" s="30"/>
      <x:c r="Z60" s="30"/>
      <x:c r="AA60" s="30"/>
      <x:c r="AB60" s="30"/>
      <x:c r="AC60" s="30"/>
      <x:c r="AD60" s="30"/>
      <x:c r="AE60" s="30"/>
      <x:c r="AF60" s="30"/>
      <x:c r="AG60" s="30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>
      <x:c r="A61" s="1"/>
      <x:c r="B61" s="1"/>
      <x:c r="C61" s="30"/>
      <x:c r="D61" s="30"/>
      <x:c r="E61" s="30"/>
      <x:c r="F61" s="30"/>
      <x:c r="G61" s="30"/>
      <x:c r="H61" s="30"/>
      <x:c r="I61" s="30"/>
      <x:c r="J61" s="30"/>
      <x:c r="K61" s="30"/>
      <x:c r="L61" s="30"/>
      <x:c r="M61" s="30"/>
      <x:c r="N61" s="30"/>
      <x:c r="O61" s="30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  <x:c r="AA61" s="30"/>
      <x:c r="AB61" s="30"/>
      <x:c r="AC61" s="30"/>
      <x:c r="AD61" s="30"/>
      <x:c r="AE61" s="30"/>
      <x:c r="AF61" s="30"/>
      <x:c r="AG61" s="30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>
      <x:c r="A62" s="1"/>
      <x:c r="B62" s="1"/>
      <x:c r="C62" s="30"/>
      <x:c r="D62" s="30"/>
      <x:c r="E62" s="30"/>
      <x:c r="F62" s="30"/>
      <x:c r="G62" s="30"/>
      <x:c r="H62" s="30"/>
      <x:c r="I62" s="30"/>
      <x:c r="J62" s="30"/>
      <x:c r="K62" s="30"/>
      <x:c r="L62" s="30"/>
      <x:c r="M62" s="30"/>
      <x:c r="N62" s="30"/>
      <x:c r="O62" s="30"/>
      <x:c r="P62" s="30"/>
      <x:c r="Q62" s="30"/>
      <x:c r="R62" s="30"/>
      <x:c r="S62" s="30"/>
      <x:c r="T62" s="30"/>
      <x:c r="U62" s="30"/>
      <x:c r="V62" s="30"/>
      <x:c r="W62" s="30"/>
      <x:c r="X62" s="30"/>
      <x:c r="Y62" s="30"/>
      <x:c r="Z62" s="30"/>
      <x:c r="AA62" s="30"/>
      <x:c r="AB62" s="30"/>
      <x:c r="AC62" s="30"/>
      <x:c r="AD62" s="30"/>
      <x:c r="AE62" s="30"/>
      <x:c r="AF62" s="30"/>
      <x:c r="AG62" s="30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>
      <x:c r="A63" s="1"/>
      <x:c r="B63" s="1"/>
      <x:c r="C63" s="30"/>
      <x:c r="D63" s="30"/>
      <x:c r="E63" s="30"/>
      <x:c r="F63" s="30"/>
      <x:c r="G63" s="30"/>
      <x:c r="H63" s="30"/>
      <x:c r="I63" s="30"/>
      <x:c r="J63" s="30"/>
      <x:c r="K63" s="30"/>
      <x:c r="L63" s="30"/>
      <x:c r="M63" s="30"/>
      <x:c r="N63" s="30"/>
      <x:c r="O63" s="30"/>
      <x:c r="P63" s="30"/>
      <x:c r="Q63" s="30"/>
      <x:c r="R63" s="30"/>
      <x:c r="S63" s="30"/>
      <x:c r="T63" s="30"/>
      <x:c r="U63" s="30"/>
      <x:c r="V63" s="30"/>
      <x:c r="W63" s="30"/>
      <x:c r="X63" s="30"/>
      <x:c r="Y63" s="30"/>
      <x:c r="Z63" s="30"/>
      <x:c r="AA63" s="30"/>
      <x:c r="AB63" s="30"/>
      <x:c r="AC63" s="30"/>
      <x:c r="AD63" s="30"/>
      <x:c r="AE63" s="30"/>
      <x:c r="AF63" s="30"/>
      <x:c r="AG63" s="30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>
      <x:c r="A64" s="1"/>
      <x:c r="B64" s="1"/>
      <x:c r="C64" s="30"/>
      <x:c r="D64" s="30"/>
      <x:c r="E64" s="30"/>
      <x:c r="F64" s="30"/>
      <x:c r="G64" s="30"/>
      <x:c r="H64" s="30"/>
      <x:c r="I64" s="30"/>
      <x:c r="J64" s="30"/>
      <x:c r="K64" s="30"/>
      <x:c r="L64" s="30"/>
      <x:c r="M64" s="30"/>
      <x:c r="N64" s="30"/>
      <x:c r="O64" s="30"/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30"/>
      <x:c r="AA64" s="30"/>
      <x:c r="AB64" s="30"/>
      <x:c r="AC64" s="30"/>
      <x:c r="AD64" s="30"/>
      <x:c r="AE64" s="30"/>
      <x:c r="AF64" s="30"/>
      <x:c r="AG64" s="30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>
      <x:c r="A65" s="1"/>
      <x:c r="B65" s="1"/>
      <x:c r="C65" s="30"/>
      <x:c r="D65" s="30"/>
      <x:c r="E65" s="30"/>
      <x:c r="F65" s="30"/>
      <x:c r="G65" s="30"/>
      <x:c r="H65" s="30"/>
      <x:c r="I65" s="30"/>
      <x:c r="J65" s="30"/>
      <x:c r="K65" s="30"/>
      <x:c r="L65" s="30"/>
      <x:c r="M65" s="30"/>
      <x:c r="N65" s="30"/>
      <x:c r="O65" s="30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  <x:c r="AA65" s="30"/>
      <x:c r="AB65" s="30"/>
      <x:c r="AC65" s="30"/>
      <x:c r="AD65" s="30"/>
      <x:c r="AE65" s="30"/>
      <x:c r="AF65" s="30"/>
      <x:c r="AG65" s="30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>
      <x:c r="A66" s="1"/>
      <x:c r="B66" s="1"/>
      <x:c r="C66" s="30"/>
      <x:c r="D66" s="30"/>
      <x:c r="E66" s="30"/>
      <x:c r="F66" s="30"/>
      <x:c r="G66" s="30"/>
      <x:c r="H66" s="30"/>
      <x:c r="I66" s="30"/>
      <x:c r="J66" s="30"/>
      <x:c r="K66" s="30"/>
      <x:c r="L66" s="30"/>
      <x:c r="M66" s="30"/>
      <x:c r="N66" s="30"/>
      <x:c r="O66" s="30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  <x:c r="AA66" s="30"/>
      <x:c r="AB66" s="30"/>
      <x:c r="AC66" s="30"/>
      <x:c r="AD66" s="30"/>
      <x:c r="AE66" s="30"/>
      <x:c r="AF66" s="30"/>
      <x:c r="AG66" s="30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>
      <x:c r="A67" s="1"/>
      <x:c r="B67" s="1"/>
      <x:c r="C67" s="30"/>
      <x:c r="D67" s="30"/>
      <x:c r="E67" s="30"/>
      <x:c r="F67" s="30"/>
      <x:c r="G67" s="30"/>
      <x:c r="H67" s="30"/>
      <x:c r="I67" s="30"/>
      <x:c r="J67" s="30"/>
      <x:c r="K67" s="30"/>
      <x:c r="L67" s="30"/>
      <x:c r="M67" s="30"/>
      <x:c r="N67" s="30"/>
      <x:c r="O67" s="30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  <x:c r="AA67" s="30"/>
      <x:c r="AB67" s="30"/>
      <x:c r="AC67" s="30"/>
      <x:c r="AD67" s="30"/>
      <x:c r="AE67" s="30"/>
      <x:c r="AF67" s="30"/>
      <x:c r="AG67" s="30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>
      <x:c r="A68" s="1"/>
      <x:c r="B68" s="1"/>
      <x:c r="C68" s="30"/>
      <x:c r="D68" s="30"/>
      <x:c r="E68" s="30"/>
      <x:c r="F68" s="30"/>
      <x:c r="G68" s="30"/>
      <x:c r="H68" s="30"/>
      <x:c r="I68" s="30"/>
      <x:c r="J68" s="30"/>
      <x:c r="K68" s="30"/>
      <x:c r="L68" s="30"/>
      <x:c r="M68" s="30"/>
      <x:c r="N68" s="30"/>
      <x:c r="O68" s="30"/>
      <x:c r="P68" s="30"/>
      <x:c r="Q68" s="30"/>
      <x:c r="R68" s="30"/>
      <x:c r="S68" s="30"/>
      <x:c r="T68" s="30"/>
      <x:c r="U68" s="30"/>
      <x:c r="V68" s="30"/>
      <x:c r="W68" s="30"/>
      <x:c r="X68" s="30"/>
      <x:c r="Y68" s="30"/>
      <x:c r="Z68" s="30"/>
      <x:c r="AA68" s="30"/>
      <x:c r="AB68" s="30"/>
      <x:c r="AC68" s="30"/>
      <x:c r="AD68" s="30"/>
      <x:c r="AE68" s="30"/>
      <x:c r="AF68" s="30"/>
      <x:c r="AG68" s="30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>
      <x:c r="A69" s="1"/>
      <x:c r="B69" s="1"/>
      <x:c r="C69" s="30"/>
      <x:c r="D69" s="30"/>
      <x:c r="E69" s="30"/>
      <x:c r="F69" s="30"/>
      <x:c r="G69" s="30"/>
      <x:c r="H69" s="30"/>
      <x:c r="I69" s="30"/>
      <x:c r="J69" s="30"/>
      <x:c r="K69" s="30"/>
      <x:c r="L69" s="30"/>
      <x:c r="M69" s="30"/>
      <x:c r="N69" s="30"/>
      <x:c r="O69" s="30"/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30"/>
      <x:c r="AA69" s="30"/>
      <x:c r="AB69" s="30"/>
      <x:c r="AC69" s="30"/>
      <x:c r="AD69" s="30"/>
      <x:c r="AE69" s="30"/>
      <x:c r="AF69" s="30"/>
      <x:c r="AG69" s="30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>
      <x:c r="A70" s="1"/>
      <x:c r="B70" s="1"/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  <x:c r="M70" s="30"/>
      <x:c r="N70" s="30"/>
      <x:c r="O70" s="30"/>
      <x:c r="P70" s="30"/>
      <x:c r="Q70" s="30"/>
      <x:c r="R70" s="30"/>
      <x:c r="S70" s="30"/>
      <x:c r="T70" s="30"/>
      <x:c r="U70" s="30"/>
      <x:c r="V70" s="30"/>
      <x:c r="W70" s="30"/>
      <x:c r="X70" s="30"/>
      <x:c r="Y70" s="30"/>
      <x:c r="Z70" s="30"/>
      <x:c r="AA70" s="30"/>
      <x:c r="AB70" s="30"/>
      <x:c r="AC70" s="30"/>
      <x:c r="AD70" s="30"/>
      <x:c r="AE70" s="30"/>
      <x:c r="AF70" s="30"/>
      <x:c r="AG70" s="30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>
      <x:c r="A71" s="1"/>
      <x:c r="B71" s="1"/>
      <x:c r="C71" s="30"/>
      <x:c r="D71" s="30"/>
      <x:c r="E71" s="30"/>
      <x:c r="F71" s="30"/>
      <x:c r="G71" s="30"/>
      <x:c r="H71" s="30"/>
      <x:c r="I71" s="30"/>
      <x:c r="J71" s="30"/>
      <x:c r="K71" s="30"/>
      <x:c r="L71" s="30"/>
      <x:c r="M71" s="30"/>
      <x:c r="N71" s="30"/>
      <x:c r="O71" s="30"/>
      <x:c r="P71" s="30"/>
      <x:c r="Q71" s="30"/>
      <x:c r="R71" s="30"/>
      <x:c r="S71" s="30"/>
      <x:c r="T71" s="30"/>
      <x:c r="U71" s="30"/>
      <x:c r="V71" s="30"/>
      <x:c r="W71" s="30"/>
      <x:c r="X71" s="30"/>
      <x:c r="Y71" s="30"/>
      <x:c r="Z71" s="30"/>
      <x:c r="AA71" s="30"/>
      <x:c r="AB71" s="30"/>
      <x:c r="AC71" s="30"/>
      <x:c r="AD71" s="30"/>
      <x:c r="AE71" s="30"/>
      <x:c r="AF71" s="30"/>
      <x:c r="AG71" s="30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>
      <x:c r="A72" s="1"/>
      <x:c r="B72" s="1"/>
      <x:c r="C72" s="30"/>
      <x:c r="D72" s="30"/>
      <x:c r="E72" s="30"/>
      <x:c r="F72" s="30"/>
      <x:c r="G72" s="30"/>
      <x:c r="H72" s="30"/>
      <x:c r="I72" s="30"/>
      <x:c r="J72" s="30"/>
      <x:c r="K72" s="30"/>
      <x:c r="L72" s="30"/>
      <x:c r="M72" s="30"/>
      <x:c r="N72" s="30"/>
      <x:c r="O72" s="30"/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30"/>
      <x:c r="AA72" s="30"/>
      <x:c r="AB72" s="30"/>
      <x:c r="AC72" s="30"/>
      <x:c r="AD72" s="30"/>
      <x:c r="AE72" s="30"/>
      <x:c r="AF72" s="30"/>
      <x:c r="AG72" s="30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>
      <x:c r="A73" s="1"/>
      <x:c r="B73" s="1"/>
      <x:c r="C73" s="30"/>
      <x:c r="D73" s="30"/>
      <x:c r="E73" s="30"/>
      <x:c r="F73" s="30"/>
      <x:c r="G73" s="30"/>
      <x:c r="H73" s="30"/>
      <x:c r="I73" s="30"/>
      <x:c r="J73" s="30"/>
      <x:c r="K73" s="30"/>
      <x:c r="L73" s="30"/>
      <x:c r="M73" s="30"/>
      <x:c r="N73" s="30"/>
      <x:c r="O73" s="30"/>
      <x:c r="P73" s="30"/>
      <x:c r="Q73" s="30"/>
      <x:c r="R73" s="30"/>
      <x:c r="S73" s="30"/>
      <x:c r="T73" s="30"/>
      <x:c r="U73" s="30"/>
      <x:c r="V73" s="30"/>
      <x:c r="W73" s="30"/>
      <x:c r="X73" s="30"/>
      <x:c r="Y73" s="30"/>
      <x:c r="Z73" s="30"/>
      <x:c r="AA73" s="30"/>
      <x:c r="AB73" s="30"/>
      <x:c r="AC73" s="30"/>
      <x:c r="AD73" s="30"/>
      <x:c r="AE73" s="30"/>
      <x:c r="AF73" s="30"/>
      <x:c r="AG73" s="30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>
      <x:c r="A74" s="1"/>
      <x:c r="B74" s="1"/>
      <x:c r="C74" s="30"/>
      <x:c r="D74" s="30"/>
      <x:c r="E74" s="30"/>
      <x:c r="F74" s="30"/>
      <x:c r="G74" s="30"/>
      <x:c r="H74" s="30"/>
      <x:c r="I74" s="30"/>
      <x:c r="J74" s="30"/>
      <x:c r="K74" s="30"/>
      <x:c r="L74" s="30"/>
      <x:c r="M74" s="30"/>
      <x:c r="N74" s="30"/>
      <x:c r="O74" s="30"/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30"/>
      <x:c r="AA74" s="30"/>
      <x:c r="AB74" s="30"/>
      <x:c r="AC74" s="30"/>
      <x:c r="AD74" s="30"/>
      <x:c r="AE74" s="30"/>
      <x:c r="AF74" s="30"/>
      <x:c r="AG74" s="30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>
      <x:c r="A75" s="1"/>
      <x:c r="B75" s="1"/>
      <x:c r="C75" s="30"/>
      <x:c r="D75" s="30"/>
      <x:c r="E75" s="30"/>
      <x:c r="F75" s="30"/>
      <x:c r="G75" s="30"/>
      <x:c r="H75" s="30"/>
      <x:c r="I75" s="30"/>
      <x:c r="J75" s="30"/>
      <x:c r="K75" s="30"/>
      <x:c r="L75" s="30"/>
      <x:c r="M75" s="30"/>
      <x:c r="N75" s="30"/>
      <x:c r="O75" s="30"/>
      <x:c r="P75" s="30"/>
      <x:c r="Q75" s="30"/>
      <x:c r="R75" s="30"/>
      <x:c r="S75" s="30"/>
      <x:c r="T75" s="30"/>
      <x:c r="U75" s="30"/>
      <x:c r="V75" s="30"/>
      <x:c r="W75" s="30"/>
      <x:c r="X75" s="30"/>
      <x:c r="Y75" s="30"/>
      <x:c r="Z75" s="30"/>
      <x:c r="AA75" s="30"/>
      <x:c r="AB75" s="30"/>
      <x:c r="AC75" s="30"/>
      <x:c r="AD75" s="30"/>
      <x:c r="AE75" s="30"/>
      <x:c r="AF75" s="30"/>
      <x:c r="AG75" s="30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>
      <x:c r="A76" s="1"/>
      <x:c r="B76" s="1"/>
      <x:c r="C76" s="30"/>
      <x:c r="D76" s="30"/>
      <x:c r="E76" s="30"/>
      <x:c r="F76" s="30"/>
      <x:c r="G76" s="30"/>
      <x:c r="H76" s="30"/>
      <x:c r="I76" s="30"/>
      <x:c r="J76" s="30"/>
      <x:c r="K76" s="30"/>
      <x:c r="L76" s="30"/>
      <x:c r="M76" s="30"/>
      <x:c r="N76" s="30"/>
      <x:c r="O76" s="30"/>
      <x:c r="P76" s="30"/>
      <x:c r="Q76" s="30"/>
      <x:c r="R76" s="30"/>
      <x:c r="S76" s="30"/>
      <x:c r="T76" s="30"/>
      <x:c r="U76" s="30"/>
      <x:c r="V76" s="30"/>
      <x:c r="W76" s="30"/>
      <x:c r="X76" s="30"/>
      <x:c r="Y76" s="30"/>
      <x:c r="Z76" s="30"/>
      <x:c r="AA76" s="30"/>
      <x:c r="AB76" s="30"/>
      <x:c r="AC76" s="30"/>
      <x:c r="AD76" s="30"/>
      <x:c r="AE76" s="30"/>
      <x:c r="AF76" s="30"/>
      <x:c r="AG76" s="30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>
      <x:c r="A77" s="1"/>
      <x:c r="B77" s="1"/>
      <x:c r="C77" s="30"/>
      <x:c r="D77" s="30"/>
      <x:c r="E77" s="30"/>
      <x:c r="F77" s="30"/>
      <x:c r="G77" s="30"/>
      <x:c r="H77" s="30"/>
      <x:c r="I77" s="30"/>
      <x:c r="J77" s="30"/>
      <x:c r="K77" s="30"/>
      <x:c r="L77" s="30"/>
      <x:c r="M77" s="30"/>
      <x:c r="N77" s="30"/>
      <x:c r="O77" s="30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  <x:c r="AA77" s="30"/>
      <x:c r="AB77" s="30"/>
      <x:c r="AC77" s="30"/>
      <x:c r="AD77" s="30"/>
      <x:c r="AE77" s="30"/>
      <x:c r="AF77" s="30"/>
      <x:c r="AG77" s="30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>
      <x:c r="A78" s="1"/>
      <x:c r="B78" s="1"/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  <x:c r="O78" s="30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  <x:c r="AA78" s="30"/>
      <x:c r="AB78" s="30"/>
      <x:c r="AC78" s="30"/>
      <x:c r="AD78" s="30"/>
      <x:c r="AE78" s="30"/>
      <x:c r="AF78" s="30"/>
      <x:c r="AG78" s="30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>
      <x:c r="A79" s="1"/>
      <x:c r="B79" s="1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  <x:c r="M79" s="30"/>
      <x:c r="N79" s="30"/>
      <x:c r="O79" s="30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  <x:c r="AA79" s="30"/>
      <x:c r="AB79" s="30"/>
      <x:c r="AC79" s="30"/>
      <x:c r="AD79" s="30"/>
      <x:c r="AE79" s="30"/>
      <x:c r="AF79" s="30"/>
      <x:c r="AG79" s="30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>
      <x:c r="A80" s="1"/>
      <x:c r="B80" s="1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  <x:c r="M80" s="30"/>
      <x:c r="N80" s="30"/>
      <x:c r="O80" s="30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  <x:c r="AA80" s="30"/>
      <x:c r="AB80" s="30"/>
      <x:c r="AC80" s="30"/>
      <x:c r="AD80" s="30"/>
      <x:c r="AE80" s="30"/>
      <x:c r="AF80" s="30"/>
      <x:c r="AG80" s="30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>
      <x:c r="A81" s="1"/>
      <x:c r="B81" s="1"/>
      <x:c r="C81" s="30"/>
      <x:c r="D81" s="30"/>
      <x:c r="E81" s="30"/>
      <x:c r="F81" s="30"/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  <x:c r="AA81" s="30"/>
      <x:c r="AB81" s="30"/>
      <x:c r="AC81" s="30"/>
      <x:c r="AD81" s="30"/>
      <x:c r="AE81" s="30"/>
      <x:c r="AF81" s="30"/>
      <x:c r="AG81" s="30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>
      <x:c r="A82" s="1"/>
      <x:c r="B82" s="1"/>
      <x:c r="C82" s="30"/>
      <x:c r="D82" s="30"/>
      <x:c r="E82" s="30"/>
      <x:c r="F82" s="30"/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30"/>
      <x:c r="AA82" s="30"/>
      <x:c r="AB82" s="30"/>
      <x:c r="AC82" s="30"/>
      <x:c r="AD82" s="30"/>
      <x:c r="AE82" s="30"/>
      <x:c r="AF82" s="30"/>
      <x:c r="AG82" s="30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>
      <x:c r="A83" s="1"/>
      <x:c r="B83" s="1"/>
      <x:c r="C83" s="30"/>
      <x:c r="D83" s="30"/>
      <x:c r="E83" s="30"/>
      <x:c r="F83" s="30"/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30"/>
      <x:c r="AA83" s="30"/>
      <x:c r="AB83" s="30"/>
      <x:c r="AC83" s="30"/>
      <x:c r="AD83" s="30"/>
      <x:c r="AE83" s="30"/>
      <x:c r="AF83" s="30"/>
      <x:c r="AG83" s="30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>
      <x:c r="A84" s="1"/>
      <x:c r="B84" s="1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30"/>
      <x:c r="AA84" s="30"/>
      <x:c r="AB84" s="30"/>
      <x:c r="AC84" s="30"/>
      <x:c r="AD84" s="30"/>
      <x:c r="AE84" s="30"/>
      <x:c r="AF84" s="30"/>
      <x:c r="AG84" s="30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>
      <x:c r="A85" s="1"/>
      <x:c r="B85" s="1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30"/>
      <x:c r="AA85" s="30"/>
      <x:c r="AB85" s="30"/>
      <x:c r="AC85" s="30"/>
      <x:c r="AD85" s="30"/>
      <x:c r="AE85" s="30"/>
      <x:c r="AF85" s="30"/>
      <x:c r="AG85" s="30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>
      <x:c r="A86" s="1"/>
      <x:c r="B86" s="1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30"/>
      <x:c r="AA86" s="30"/>
      <x:c r="AB86" s="30"/>
      <x:c r="AC86" s="30"/>
      <x:c r="AD86" s="30"/>
      <x:c r="AE86" s="30"/>
      <x:c r="AF86" s="30"/>
      <x:c r="AG86" s="30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>
      <x:c r="A87" s="1"/>
      <x:c r="B87" s="1"/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  <x:c r="Y87" s="30"/>
      <x:c r="Z87" s="30"/>
      <x:c r="AA87" s="30"/>
      <x:c r="AB87" s="30"/>
      <x:c r="AC87" s="30"/>
      <x:c r="AD87" s="30"/>
      <x:c r="AE87" s="30"/>
      <x:c r="AF87" s="30"/>
      <x:c r="AG87" s="30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>
      <x:c r="A88" s="1"/>
      <x:c r="B88" s="1"/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  <x:c r="Y88" s="30"/>
      <x:c r="Z88" s="30"/>
      <x:c r="AA88" s="30"/>
      <x:c r="AB88" s="30"/>
      <x:c r="AC88" s="30"/>
      <x:c r="AD88" s="30"/>
      <x:c r="AE88" s="30"/>
      <x:c r="AF88" s="30"/>
      <x:c r="AG88" s="30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>
      <x:c r="A89" s="1"/>
      <x:c r="B89" s="1"/>
      <x:c r="C89" s="30"/>
      <x:c r="D89" s="30"/>
      <x:c r="E89" s="30"/>
      <x:c r="F89" s="30"/>
      <x:c r="G89" s="3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  <x:c r="Y89" s="30"/>
      <x:c r="Z89" s="30"/>
      <x:c r="AA89" s="30"/>
      <x:c r="AB89" s="30"/>
      <x:c r="AC89" s="30"/>
      <x:c r="AD89" s="30"/>
      <x:c r="AE89" s="30"/>
      <x:c r="AF89" s="30"/>
      <x:c r="AG89" s="30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>
      <x:c r="A90" s="1"/>
      <x:c r="B90" s="1"/>
      <x:c r="C90" s="30"/>
      <x:c r="D90" s="30"/>
      <x:c r="E90" s="30"/>
      <x:c r="F90" s="30"/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30"/>
      <x:c r="AA90" s="30"/>
      <x:c r="AB90" s="30"/>
      <x:c r="AC90" s="30"/>
      <x:c r="AD90" s="30"/>
      <x:c r="AE90" s="30"/>
      <x:c r="AF90" s="30"/>
      <x:c r="AG90" s="30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>
      <x:c r="A91" s="1"/>
      <x:c r="B91" s="1"/>
      <x:c r="C91" s="30"/>
      <x:c r="D91" s="30"/>
      <x:c r="E91" s="30"/>
      <x:c r="F91" s="30"/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30"/>
      <x:c r="AA91" s="30"/>
      <x:c r="AB91" s="30"/>
      <x:c r="AC91" s="30"/>
      <x:c r="AD91" s="30"/>
      <x:c r="AE91" s="30"/>
      <x:c r="AF91" s="30"/>
      <x:c r="AG91" s="30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>
      <x:c r="A92" s="1"/>
      <x:c r="B92" s="1"/>
      <x:c r="C92" s="30"/>
      <x:c r="D92" s="30"/>
      <x:c r="E92" s="30"/>
      <x:c r="F92" s="30"/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  <x:c r="AA92" s="30"/>
      <x:c r="AB92" s="30"/>
      <x:c r="AC92" s="30"/>
      <x:c r="AD92" s="30"/>
      <x:c r="AE92" s="30"/>
      <x:c r="AF92" s="30"/>
      <x:c r="AG92" s="30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>
      <x:c r="A93" s="1"/>
      <x:c r="B93" s="1"/>
      <x:c r="C93" s="30"/>
      <x:c r="D93" s="30"/>
      <x:c r="E93" s="30"/>
      <x:c r="F93" s="30"/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  <x:c r="AA93" s="30"/>
      <x:c r="AB93" s="30"/>
      <x:c r="AC93" s="30"/>
      <x:c r="AD93" s="30"/>
      <x:c r="AE93" s="30"/>
      <x:c r="AF93" s="30"/>
      <x:c r="AG93" s="30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>
      <x:c r="A94" s="1"/>
      <x:c r="B94" s="1"/>
      <x:c r="C94" s="30"/>
      <x:c r="D94" s="30"/>
      <x:c r="E94" s="30"/>
      <x:c r="F94" s="30"/>
      <x:c r="G94" s="3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30"/>
      <x:c r="AA94" s="30"/>
      <x:c r="AB94" s="30"/>
      <x:c r="AC94" s="30"/>
      <x:c r="AD94" s="30"/>
      <x:c r="AE94" s="30"/>
      <x:c r="AF94" s="30"/>
      <x:c r="AG94" s="30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>
      <x:c r="A95" s="1"/>
      <x:c r="B95" s="1"/>
      <x:c r="C95" s="30"/>
      <x:c r="D95" s="30"/>
      <x:c r="E95" s="30"/>
      <x:c r="F95" s="30"/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30"/>
      <x:c r="AA95" s="30"/>
      <x:c r="AB95" s="30"/>
      <x:c r="AC95" s="30"/>
      <x:c r="AD95" s="30"/>
      <x:c r="AE95" s="30"/>
      <x:c r="AF95" s="30"/>
      <x:c r="AG95" s="30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>
      <x:c r="A96" s="1"/>
      <x:c r="B96" s="1"/>
      <x:c r="C96" s="30"/>
      <x:c r="D96" s="30"/>
      <x:c r="E96" s="30"/>
      <x:c r="F96" s="30"/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30"/>
      <x:c r="AA96" s="30"/>
      <x:c r="AB96" s="30"/>
      <x:c r="AC96" s="30"/>
      <x:c r="AD96" s="30"/>
      <x:c r="AE96" s="30"/>
      <x:c r="AF96" s="30"/>
      <x:c r="AG96" s="30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>
      <x:c r="A97" s="1"/>
      <x:c r="B97" s="1"/>
      <x:c r="C97" s="30"/>
      <x:c r="D97" s="30"/>
      <x:c r="E97" s="30"/>
      <x:c r="F97" s="30"/>
      <x:c r="G97" s="3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30"/>
      <x:c r="AA97" s="30"/>
      <x:c r="AB97" s="30"/>
      <x:c r="AC97" s="30"/>
      <x:c r="AD97" s="30"/>
      <x:c r="AE97" s="30"/>
      <x:c r="AF97" s="30"/>
      <x:c r="AG97" s="30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>
      <x:c r="A98" s="1"/>
      <x:c r="B98" s="1"/>
      <x:c r="C98" s="30"/>
      <x:c r="D98" s="30"/>
      <x:c r="E98" s="30"/>
      <x:c r="F98" s="30"/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30"/>
      <x:c r="AA98" s="30"/>
      <x:c r="AB98" s="30"/>
      <x:c r="AC98" s="30"/>
      <x:c r="AD98" s="30"/>
      <x:c r="AE98" s="30"/>
      <x:c r="AF98" s="30"/>
      <x:c r="AG98" s="30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>
      <x:c r="A99" s="1"/>
      <x:c r="B99" s="1"/>
      <x:c r="C99" s="30"/>
      <x:c r="D99" s="30"/>
      <x:c r="E99" s="30"/>
      <x:c r="F99" s="30"/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30"/>
      <x:c r="AA99" s="30"/>
      <x:c r="AB99" s="30"/>
      <x:c r="AC99" s="30"/>
      <x:c r="AD99" s="30"/>
      <x:c r="AE99" s="30"/>
      <x:c r="AF99" s="30"/>
      <x:c r="AG99" s="30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>
      <x:c r="A100" s="1"/>
      <x:c r="B100" s="1"/>
      <x:c r="C100" s="30"/>
      <x:c r="D100" s="30"/>
      <x:c r="E100" s="30"/>
      <x:c r="F100" s="30"/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30"/>
      <x:c r="AA100" s="30"/>
      <x:c r="AB100" s="30"/>
      <x:c r="AC100" s="30"/>
      <x:c r="AD100" s="30"/>
      <x:c r="AE100" s="30"/>
      <x:c r="AF100" s="30"/>
      <x:c r="AG100" s="30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>
      <x:c r="A101" s="1"/>
      <x:c r="B101" s="1"/>
      <x:c r="C101" s="30"/>
      <x:c r="D101" s="30"/>
      <x:c r="E101" s="30"/>
      <x:c r="F101" s="30"/>
      <x:c r="G101" s="30"/>
      <x:c r="H101" s="30"/>
      <x:c r="I101" s="30"/>
      <x:c r="J101" s="30"/>
      <x:c r="K101" s="30"/>
      <x:c r="L101" s="30"/>
      <x:c r="M101" s="30"/>
      <x:c r="N101" s="30"/>
      <x:c r="O101" s="30"/>
      <x:c r="P101" s="30"/>
      <x:c r="Q101" s="30"/>
      <x:c r="R101" s="30"/>
      <x:c r="S101" s="30"/>
      <x:c r="T101" s="30"/>
      <x:c r="U101" s="30"/>
      <x:c r="V101" s="30"/>
      <x:c r="W101" s="30"/>
      <x:c r="X101" s="30"/>
      <x:c r="Y101" s="30"/>
      <x:c r="Z101" s="30"/>
      <x:c r="AA101" s="30"/>
      <x:c r="AB101" s="30"/>
      <x:c r="AC101" s="30"/>
      <x:c r="AD101" s="30"/>
      <x:c r="AE101" s="30"/>
      <x:c r="AF101" s="30"/>
      <x:c r="AG101" s="30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>
      <x:c r="A102" s="1"/>
      <x:c r="B102" s="1"/>
      <x:c r="C102" s="30"/>
      <x:c r="D102" s="30"/>
      <x:c r="E102" s="30"/>
      <x:c r="F102" s="30"/>
      <x:c r="G102" s="30"/>
      <x:c r="H102" s="30"/>
      <x:c r="I102" s="30"/>
      <x:c r="J102" s="30"/>
      <x:c r="K102" s="30"/>
      <x:c r="L102" s="30"/>
      <x:c r="M102" s="30"/>
      <x:c r="N102" s="30"/>
      <x:c r="O102" s="30"/>
      <x:c r="P102" s="30"/>
      <x:c r="Q102" s="30"/>
      <x:c r="R102" s="30"/>
      <x:c r="S102" s="30"/>
      <x:c r="T102" s="30"/>
      <x:c r="U102" s="30"/>
      <x:c r="V102" s="30"/>
      <x:c r="W102" s="30"/>
      <x:c r="X102" s="30"/>
      <x:c r="Y102" s="30"/>
      <x:c r="Z102" s="30"/>
      <x:c r="AA102" s="30"/>
      <x:c r="AB102" s="30"/>
      <x:c r="AC102" s="30"/>
      <x:c r="AD102" s="30"/>
      <x:c r="AE102" s="30"/>
      <x:c r="AF102" s="30"/>
      <x:c r="AG102" s="30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>
      <x:c r="A103" s="1"/>
      <x:c r="B103" s="1"/>
      <x:c r="C103" s="30"/>
      <x:c r="D103" s="30"/>
      <x:c r="E103" s="30"/>
      <x:c r="F103" s="30"/>
      <x:c r="G103" s="3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0"/>
      <x:c r="T103" s="30"/>
      <x:c r="U103" s="30"/>
      <x:c r="V103" s="30"/>
      <x:c r="W103" s="30"/>
      <x:c r="X103" s="30"/>
      <x:c r="Y103" s="30"/>
      <x:c r="Z103" s="30"/>
      <x:c r="AA103" s="30"/>
      <x:c r="AB103" s="30"/>
      <x:c r="AC103" s="30"/>
      <x:c r="AD103" s="30"/>
      <x:c r="AE103" s="30"/>
      <x:c r="AF103" s="30"/>
      <x:c r="AG103" s="30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>
      <x:c r="A104" s="1"/>
      <x:c r="B104" s="1"/>
      <x:c r="C104" s="30"/>
      <x:c r="D104" s="30"/>
      <x:c r="E104" s="30"/>
      <x:c r="F104" s="30"/>
      <x:c r="G104" s="30"/>
      <x:c r="H104" s="30"/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0"/>
      <x:c r="T104" s="30"/>
      <x:c r="U104" s="30"/>
      <x:c r="V104" s="30"/>
      <x:c r="W104" s="30"/>
      <x:c r="X104" s="30"/>
      <x:c r="Y104" s="30"/>
      <x:c r="Z104" s="30"/>
      <x:c r="AA104" s="30"/>
      <x:c r="AB104" s="30"/>
      <x:c r="AC104" s="30"/>
      <x:c r="AD104" s="30"/>
      <x:c r="AE104" s="30"/>
      <x:c r="AF104" s="30"/>
      <x:c r="AG104" s="30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>
      <x:c r="A105" s="1"/>
      <x:c r="B105" s="1"/>
      <x:c r="C105" s="30"/>
      <x:c r="D105" s="30"/>
      <x:c r="E105" s="30"/>
      <x:c r="F105" s="30"/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  <x:c r="Q105" s="30"/>
      <x:c r="R105" s="30"/>
      <x:c r="S105" s="30"/>
      <x:c r="T105" s="30"/>
      <x:c r="U105" s="30"/>
      <x:c r="V105" s="30"/>
      <x:c r="W105" s="30"/>
      <x:c r="X105" s="30"/>
      <x:c r="Y105" s="30"/>
      <x:c r="Z105" s="30"/>
      <x:c r="AA105" s="30"/>
      <x:c r="AB105" s="30"/>
      <x:c r="AC105" s="30"/>
      <x:c r="AD105" s="30"/>
      <x:c r="AE105" s="30"/>
      <x:c r="AF105" s="30"/>
      <x:c r="AG105" s="30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>
      <x:c r="A106" s="1"/>
      <x:c r="B106" s="1"/>
      <x:c r="C106" s="30"/>
      <x:c r="D106" s="30"/>
      <x:c r="E106" s="30"/>
      <x:c r="F106" s="30"/>
      <x:c r="G106" s="30"/>
      <x:c r="H106" s="30"/>
      <x:c r="I106" s="30"/>
      <x:c r="J106" s="30"/>
      <x:c r="K106" s="30"/>
      <x:c r="L106" s="30"/>
      <x:c r="M106" s="30"/>
      <x:c r="N106" s="30"/>
      <x:c r="O106" s="30"/>
      <x:c r="P106" s="30"/>
      <x:c r="Q106" s="30"/>
      <x:c r="R106" s="30"/>
      <x:c r="S106" s="30"/>
      <x:c r="T106" s="30"/>
      <x:c r="U106" s="30"/>
      <x:c r="V106" s="30"/>
      <x:c r="W106" s="30"/>
      <x:c r="X106" s="30"/>
      <x:c r="Y106" s="30"/>
      <x:c r="Z106" s="30"/>
      <x:c r="AA106" s="30"/>
      <x:c r="AB106" s="30"/>
      <x:c r="AC106" s="30"/>
      <x:c r="AD106" s="30"/>
      <x:c r="AE106" s="30"/>
      <x:c r="AF106" s="30"/>
      <x:c r="AG106" s="30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>
      <x:c r="A107" s="1"/>
      <x:c r="B107" s="1"/>
      <x:c r="C107" s="30"/>
      <x:c r="D107" s="30"/>
      <x:c r="E107" s="30"/>
      <x:c r="F107" s="30"/>
      <x:c r="G107" s="30"/>
      <x:c r="H107" s="30"/>
      <x:c r="I107" s="30"/>
      <x:c r="J107" s="30"/>
      <x:c r="K107" s="30"/>
      <x:c r="L107" s="30"/>
      <x:c r="M107" s="30"/>
      <x:c r="N107" s="30"/>
      <x:c r="O107" s="30"/>
      <x:c r="P107" s="30"/>
      <x:c r="Q107" s="30"/>
      <x:c r="R107" s="30"/>
      <x:c r="S107" s="30"/>
      <x:c r="T107" s="30"/>
      <x:c r="U107" s="30"/>
      <x:c r="V107" s="30"/>
      <x:c r="W107" s="30"/>
      <x:c r="X107" s="30"/>
      <x:c r="Y107" s="30"/>
      <x:c r="Z107" s="30"/>
      <x:c r="AA107" s="30"/>
      <x:c r="AB107" s="30"/>
      <x:c r="AC107" s="30"/>
      <x:c r="AD107" s="30"/>
      <x:c r="AE107" s="30"/>
      <x:c r="AF107" s="30"/>
      <x:c r="AG107" s="30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>
      <x:c r="A108" s="1"/>
      <x:c r="B108" s="1"/>
      <x:c r="C108" s="30"/>
      <x:c r="D108" s="30"/>
      <x:c r="E108" s="30"/>
      <x:c r="F108" s="30"/>
      <x:c r="G108" s="30"/>
      <x:c r="H108" s="30"/>
      <x:c r="I108" s="30"/>
      <x:c r="J108" s="30"/>
      <x:c r="K108" s="30"/>
      <x:c r="L108" s="30"/>
      <x:c r="M108" s="30"/>
      <x:c r="N108" s="30"/>
      <x:c r="O108" s="30"/>
      <x:c r="P108" s="30"/>
      <x:c r="Q108" s="30"/>
      <x:c r="R108" s="30"/>
      <x:c r="S108" s="30"/>
      <x:c r="T108" s="30"/>
      <x:c r="U108" s="30"/>
      <x:c r="V108" s="30"/>
      <x:c r="W108" s="30"/>
      <x:c r="X108" s="30"/>
      <x:c r="Y108" s="30"/>
      <x:c r="Z108" s="30"/>
      <x:c r="AA108" s="30"/>
      <x:c r="AB108" s="30"/>
      <x:c r="AC108" s="30"/>
      <x:c r="AD108" s="30"/>
      <x:c r="AE108" s="30"/>
      <x:c r="AF108" s="30"/>
      <x:c r="AG108" s="30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>
      <x:c r="A109" s="1"/>
      <x:c r="B109" s="1"/>
      <x:c r="C109" s="30"/>
      <x:c r="D109" s="30"/>
      <x:c r="E109" s="30"/>
      <x:c r="F109" s="30"/>
      <x:c r="G109" s="30"/>
      <x:c r="H109" s="30"/>
      <x:c r="I109" s="30"/>
      <x:c r="J109" s="30"/>
      <x:c r="K109" s="30"/>
      <x:c r="L109" s="30"/>
      <x:c r="M109" s="30"/>
      <x:c r="N109" s="30"/>
      <x:c r="O109" s="30"/>
      <x:c r="P109" s="30"/>
      <x:c r="Q109" s="30"/>
      <x:c r="R109" s="30"/>
      <x:c r="S109" s="30"/>
      <x:c r="T109" s="30"/>
      <x:c r="U109" s="30"/>
      <x:c r="V109" s="30"/>
      <x:c r="W109" s="30"/>
      <x:c r="X109" s="30"/>
      <x:c r="Y109" s="30"/>
      <x:c r="Z109" s="30"/>
      <x:c r="AA109" s="30"/>
      <x:c r="AB109" s="30"/>
      <x:c r="AC109" s="30"/>
      <x:c r="AD109" s="30"/>
      <x:c r="AE109" s="30"/>
      <x:c r="AF109" s="30"/>
      <x:c r="AG109" s="30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>
      <x:c r="A110" s="1"/>
      <x:c r="B110" s="1"/>
      <x:c r="C110" s="30"/>
      <x:c r="D110" s="30"/>
      <x:c r="E110" s="30"/>
      <x:c r="F110" s="30"/>
      <x:c r="G110" s="30"/>
      <x:c r="H110" s="30"/>
      <x:c r="I110" s="30"/>
      <x:c r="J110" s="30"/>
      <x:c r="K110" s="30"/>
      <x:c r="L110" s="30"/>
      <x:c r="M110" s="30"/>
      <x:c r="N110" s="30"/>
      <x:c r="O110" s="30"/>
      <x:c r="P110" s="30"/>
      <x:c r="Q110" s="30"/>
      <x:c r="R110" s="30"/>
      <x:c r="S110" s="30"/>
      <x:c r="T110" s="30"/>
      <x:c r="U110" s="30"/>
      <x:c r="V110" s="30"/>
      <x:c r="W110" s="30"/>
      <x:c r="X110" s="30"/>
      <x:c r="Y110" s="30"/>
      <x:c r="Z110" s="30"/>
      <x:c r="AA110" s="30"/>
      <x:c r="AB110" s="30"/>
      <x:c r="AC110" s="30"/>
      <x:c r="AD110" s="30"/>
      <x:c r="AE110" s="30"/>
      <x:c r="AF110" s="30"/>
      <x:c r="AG110" s="30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>
      <x:c r="A111" s="1"/>
      <x:c r="B111" s="1"/>
      <x:c r="C111" s="30"/>
      <x:c r="D111" s="30"/>
      <x:c r="E111" s="30"/>
      <x:c r="F111" s="30"/>
      <x:c r="G111" s="30"/>
      <x:c r="H111" s="30"/>
      <x:c r="I111" s="30"/>
      <x:c r="J111" s="30"/>
      <x:c r="K111" s="30"/>
      <x:c r="L111" s="30"/>
      <x:c r="M111" s="30"/>
      <x:c r="N111" s="30"/>
      <x:c r="O111" s="30"/>
      <x:c r="P111" s="30"/>
      <x:c r="Q111" s="30"/>
      <x:c r="R111" s="30"/>
      <x:c r="S111" s="30"/>
      <x:c r="T111" s="30"/>
      <x:c r="U111" s="30"/>
      <x:c r="V111" s="30"/>
      <x:c r="W111" s="30"/>
      <x:c r="X111" s="30"/>
      <x:c r="Y111" s="30"/>
      <x:c r="Z111" s="30"/>
      <x:c r="AA111" s="30"/>
      <x:c r="AB111" s="30"/>
      <x:c r="AC111" s="30"/>
      <x:c r="AD111" s="30"/>
      <x:c r="AE111" s="30"/>
      <x:c r="AF111" s="30"/>
      <x:c r="AG111" s="30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>
      <x:c r="A112" s="1"/>
      <x:c r="B112" s="1"/>
      <x:c r="C112" s="30"/>
      <x:c r="D112" s="30"/>
      <x:c r="E112" s="30"/>
      <x:c r="F112" s="30"/>
      <x:c r="G112" s="30"/>
      <x:c r="H112" s="30"/>
      <x:c r="I112" s="30"/>
      <x:c r="J112" s="30"/>
      <x:c r="K112" s="30"/>
      <x:c r="L112" s="30"/>
      <x:c r="M112" s="30"/>
      <x:c r="N112" s="30"/>
      <x:c r="O112" s="30"/>
      <x:c r="P112" s="30"/>
      <x:c r="Q112" s="30"/>
      <x:c r="R112" s="30"/>
      <x:c r="S112" s="30"/>
      <x:c r="T112" s="30"/>
      <x:c r="U112" s="30"/>
      <x:c r="V112" s="30"/>
      <x:c r="W112" s="30"/>
      <x:c r="X112" s="30"/>
      <x:c r="Y112" s="30"/>
      <x:c r="Z112" s="30"/>
      <x:c r="AA112" s="30"/>
      <x:c r="AB112" s="30"/>
      <x:c r="AC112" s="30"/>
      <x:c r="AD112" s="30"/>
      <x:c r="AE112" s="30"/>
      <x:c r="AF112" s="30"/>
      <x:c r="AG112" s="30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>
      <x:c r="A113" s="1"/>
      <x:c r="B113" s="1"/>
      <x:c r="C113" s="30"/>
      <x:c r="D113" s="30"/>
      <x:c r="E113" s="30"/>
      <x:c r="F113" s="30"/>
      <x:c r="G113" s="30"/>
      <x:c r="H113" s="30"/>
      <x:c r="I113" s="30"/>
      <x:c r="J113" s="30"/>
      <x:c r="K113" s="30"/>
      <x:c r="L113" s="30"/>
      <x:c r="M113" s="30"/>
      <x:c r="N113" s="30"/>
      <x:c r="O113" s="30"/>
      <x:c r="P113" s="30"/>
      <x:c r="Q113" s="30"/>
      <x:c r="R113" s="30"/>
      <x:c r="S113" s="30"/>
      <x:c r="T113" s="30"/>
      <x:c r="U113" s="30"/>
      <x:c r="V113" s="30"/>
      <x:c r="W113" s="30"/>
      <x:c r="X113" s="30"/>
      <x:c r="Y113" s="30"/>
      <x:c r="Z113" s="30"/>
      <x:c r="AA113" s="30"/>
      <x:c r="AB113" s="30"/>
      <x:c r="AC113" s="30"/>
      <x:c r="AD113" s="30"/>
      <x:c r="AE113" s="30"/>
      <x:c r="AF113" s="30"/>
      <x:c r="AG113" s="30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>
      <x:c r="A114" s="1"/>
      <x:c r="B114" s="1"/>
      <x:c r="C114" s="30"/>
      <x:c r="D114" s="30"/>
      <x:c r="E114" s="30"/>
      <x:c r="F114" s="30"/>
      <x:c r="G114" s="30"/>
      <x:c r="H114" s="30"/>
      <x:c r="I114" s="30"/>
      <x:c r="J114" s="30"/>
      <x:c r="K114" s="30"/>
      <x:c r="L114" s="30"/>
      <x:c r="M114" s="30"/>
      <x:c r="N114" s="30"/>
      <x:c r="O114" s="30"/>
      <x:c r="P114" s="30"/>
      <x:c r="Q114" s="30"/>
      <x:c r="R114" s="30"/>
      <x:c r="S114" s="30"/>
      <x:c r="T114" s="30"/>
      <x:c r="U114" s="30"/>
      <x:c r="V114" s="30"/>
      <x:c r="W114" s="30"/>
      <x:c r="X114" s="30"/>
      <x:c r="Y114" s="30"/>
      <x:c r="Z114" s="30"/>
      <x:c r="AA114" s="30"/>
      <x:c r="AB114" s="30"/>
      <x:c r="AC114" s="30"/>
      <x:c r="AD114" s="30"/>
      <x:c r="AE114" s="30"/>
      <x:c r="AF114" s="30"/>
      <x:c r="AG114" s="30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>
      <x:c r="A115" s="1"/>
      <x:c r="B115" s="1"/>
      <x:c r="C115" s="30"/>
      <x:c r="D115" s="30"/>
      <x:c r="E115" s="30"/>
      <x:c r="F115" s="30"/>
      <x:c r="G115" s="30"/>
      <x:c r="H115" s="30"/>
      <x:c r="I115" s="30"/>
      <x:c r="J115" s="30"/>
      <x:c r="K115" s="30"/>
      <x:c r="L115" s="30"/>
      <x:c r="M115" s="30"/>
      <x:c r="N115" s="30"/>
      <x:c r="O115" s="30"/>
      <x:c r="P115" s="30"/>
      <x:c r="Q115" s="30"/>
      <x:c r="R115" s="30"/>
      <x:c r="S115" s="30"/>
      <x:c r="T115" s="30"/>
      <x:c r="U115" s="30"/>
      <x:c r="V115" s="30"/>
      <x:c r="W115" s="30"/>
      <x:c r="X115" s="30"/>
      <x:c r="Y115" s="30"/>
      <x:c r="Z115" s="30"/>
      <x:c r="AA115" s="30"/>
      <x:c r="AB115" s="30"/>
      <x:c r="AC115" s="30"/>
      <x:c r="AD115" s="30"/>
      <x:c r="AE115" s="30"/>
      <x:c r="AF115" s="30"/>
      <x:c r="AG115" s="30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>
      <x:c r="A116" s="1"/>
      <x:c r="B116" s="1"/>
      <x:c r="C116" s="30"/>
      <x:c r="D116" s="30"/>
      <x:c r="E116" s="30"/>
      <x:c r="F116" s="30"/>
      <x:c r="G116" s="30"/>
      <x:c r="H116" s="30"/>
      <x:c r="I116" s="30"/>
      <x:c r="J116" s="30"/>
      <x:c r="K116" s="30"/>
      <x:c r="L116" s="30"/>
      <x:c r="M116" s="30"/>
      <x:c r="N116" s="30"/>
      <x:c r="O116" s="30"/>
      <x:c r="P116" s="30"/>
      <x:c r="Q116" s="30"/>
      <x:c r="R116" s="30"/>
      <x:c r="S116" s="30"/>
      <x:c r="T116" s="30"/>
      <x:c r="U116" s="30"/>
      <x:c r="V116" s="30"/>
      <x:c r="W116" s="30"/>
      <x:c r="X116" s="30"/>
      <x:c r="Y116" s="30"/>
      <x:c r="Z116" s="30"/>
      <x:c r="AA116" s="30"/>
      <x:c r="AB116" s="30"/>
      <x:c r="AC116" s="30"/>
      <x:c r="AD116" s="30"/>
      <x:c r="AE116" s="30"/>
      <x:c r="AF116" s="30"/>
      <x:c r="AG116" s="30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>
      <x:c r="A117" s="1"/>
      <x:c r="B117" s="1"/>
      <x:c r="C117" s="30"/>
      <x:c r="D117" s="30"/>
      <x:c r="E117" s="30"/>
      <x:c r="F117" s="30"/>
      <x:c r="G117" s="30"/>
      <x:c r="H117" s="30"/>
      <x:c r="I117" s="30"/>
      <x:c r="J117" s="30"/>
      <x:c r="K117" s="30"/>
      <x:c r="L117" s="30"/>
      <x:c r="M117" s="30"/>
      <x:c r="N117" s="30"/>
      <x:c r="O117" s="30"/>
      <x:c r="P117" s="30"/>
      <x:c r="Q117" s="30"/>
      <x:c r="R117" s="30"/>
      <x:c r="S117" s="30"/>
      <x:c r="T117" s="30"/>
      <x:c r="U117" s="30"/>
      <x:c r="V117" s="30"/>
      <x:c r="W117" s="30"/>
      <x:c r="X117" s="30"/>
      <x:c r="Y117" s="30"/>
      <x:c r="Z117" s="30"/>
      <x:c r="AA117" s="30"/>
      <x:c r="AB117" s="30"/>
      <x:c r="AC117" s="30"/>
      <x:c r="AD117" s="30"/>
      <x:c r="AE117" s="30"/>
      <x:c r="AF117" s="30"/>
      <x:c r="AG117" s="30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>
      <x:c r="A118" s="1"/>
      <x:c r="B118" s="1"/>
      <x:c r="C118" s="30"/>
      <x:c r="D118" s="30"/>
      <x:c r="E118" s="30"/>
      <x:c r="F118" s="30"/>
      <x:c r="G118" s="30"/>
      <x:c r="H118" s="30"/>
      <x:c r="I118" s="30"/>
      <x:c r="J118" s="30"/>
      <x:c r="K118" s="30"/>
      <x:c r="L118" s="30"/>
      <x:c r="M118" s="30"/>
      <x:c r="N118" s="30"/>
      <x:c r="O118" s="30"/>
      <x:c r="P118" s="30"/>
      <x:c r="Q118" s="30"/>
      <x:c r="R118" s="30"/>
      <x:c r="S118" s="30"/>
      <x:c r="T118" s="30"/>
      <x:c r="U118" s="30"/>
      <x:c r="V118" s="30"/>
      <x:c r="W118" s="30"/>
      <x:c r="X118" s="30"/>
      <x:c r="Y118" s="30"/>
      <x:c r="Z118" s="30"/>
      <x:c r="AA118" s="30"/>
      <x:c r="AB118" s="30"/>
      <x:c r="AC118" s="30"/>
      <x:c r="AD118" s="30"/>
      <x:c r="AE118" s="30"/>
      <x:c r="AF118" s="30"/>
      <x:c r="AG118" s="30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>
      <x:c r="A119" s="1"/>
      <x:c r="B119" s="1"/>
      <x:c r="C119" s="30"/>
      <x:c r="D119" s="30"/>
      <x:c r="E119" s="30"/>
      <x:c r="F119" s="30"/>
      <x:c r="G119" s="30"/>
      <x:c r="H119" s="30"/>
      <x:c r="I119" s="30"/>
      <x:c r="J119" s="30"/>
      <x:c r="K119" s="30"/>
      <x:c r="L119" s="30"/>
      <x:c r="M119" s="30"/>
      <x:c r="N119" s="30"/>
      <x:c r="O119" s="30"/>
      <x:c r="P119" s="30"/>
      <x:c r="Q119" s="30"/>
      <x:c r="R119" s="30"/>
      <x:c r="S119" s="30"/>
      <x:c r="T119" s="30"/>
      <x:c r="U119" s="30"/>
      <x:c r="V119" s="30"/>
      <x:c r="W119" s="30"/>
      <x:c r="X119" s="30"/>
      <x:c r="Y119" s="30"/>
      <x:c r="Z119" s="30"/>
      <x:c r="AA119" s="30"/>
      <x:c r="AB119" s="30"/>
      <x:c r="AC119" s="30"/>
      <x:c r="AD119" s="30"/>
      <x:c r="AE119" s="30"/>
      <x:c r="AF119" s="30"/>
      <x:c r="AG119" s="30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>
      <x:c r="A120" s="1"/>
      <x:c r="B120" s="1"/>
      <x:c r="C120" s="30"/>
      <x:c r="D120" s="30"/>
      <x:c r="E120" s="30"/>
      <x:c r="F120" s="30"/>
      <x:c r="G120" s="30"/>
      <x:c r="H120" s="30"/>
      <x:c r="I120" s="30"/>
      <x:c r="J120" s="30"/>
      <x:c r="K120" s="30"/>
      <x:c r="L120" s="30"/>
      <x:c r="M120" s="30"/>
      <x:c r="N120" s="30"/>
      <x:c r="O120" s="30"/>
      <x:c r="P120" s="30"/>
      <x:c r="Q120" s="30"/>
      <x:c r="R120" s="30"/>
      <x:c r="S120" s="30"/>
      <x:c r="T120" s="30"/>
      <x:c r="U120" s="30"/>
      <x:c r="V120" s="30"/>
      <x:c r="W120" s="30"/>
      <x:c r="X120" s="30"/>
      <x:c r="Y120" s="30"/>
      <x:c r="Z120" s="30"/>
      <x:c r="AA120" s="30"/>
      <x:c r="AB120" s="30"/>
      <x:c r="AC120" s="30"/>
      <x:c r="AD120" s="30"/>
      <x:c r="AE120" s="30"/>
      <x:c r="AF120" s="30"/>
      <x:c r="AG120" s="30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>
      <x:c r="A121" s="1"/>
      <x:c r="B121" s="1"/>
      <x:c r="C121" s="30"/>
      <x:c r="D121" s="30"/>
      <x:c r="E121" s="30"/>
      <x:c r="F121" s="30"/>
      <x:c r="G121" s="30"/>
      <x:c r="H121" s="30"/>
      <x:c r="I121" s="30"/>
      <x:c r="J121" s="30"/>
      <x:c r="K121" s="30"/>
      <x:c r="L121" s="30"/>
      <x:c r="M121" s="30"/>
      <x:c r="N121" s="30"/>
      <x:c r="O121" s="30"/>
      <x:c r="P121" s="30"/>
      <x:c r="Q121" s="30"/>
      <x:c r="R121" s="30"/>
      <x:c r="S121" s="30"/>
      <x:c r="T121" s="30"/>
      <x:c r="U121" s="30"/>
      <x:c r="V121" s="30"/>
      <x:c r="W121" s="30"/>
      <x:c r="X121" s="30"/>
      <x:c r="Y121" s="30"/>
      <x:c r="Z121" s="30"/>
      <x:c r="AA121" s="30"/>
      <x:c r="AB121" s="30"/>
      <x:c r="AC121" s="30"/>
      <x:c r="AD121" s="30"/>
      <x:c r="AE121" s="30"/>
      <x:c r="AF121" s="30"/>
      <x:c r="AG121" s="30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>
      <x:c r="A122" s="1"/>
      <x:c r="B122" s="1"/>
      <x:c r="C122" s="30"/>
      <x:c r="D122" s="30"/>
      <x:c r="E122" s="30"/>
      <x:c r="F122" s="30"/>
      <x:c r="G122" s="30"/>
      <x:c r="H122" s="30"/>
      <x:c r="I122" s="30"/>
      <x:c r="J122" s="30"/>
      <x:c r="K122" s="30"/>
      <x:c r="L122" s="30"/>
      <x:c r="M122" s="30"/>
      <x:c r="N122" s="30"/>
      <x:c r="O122" s="30"/>
      <x:c r="P122" s="30"/>
      <x:c r="Q122" s="30"/>
      <x:c r="R122" s="30"/>
      <x:c r="S122" s="30"/>
      <x:c r="T122" s="30"/>
      <x:c r="U122" s="30"/>
      <x:c r="V122" s="30"/>
      <x:c r="W122" s="30"/>
      <x:c r="X122" s="30"/>
      <x:c r="Y122" s="30"/>
      <x:c r="Z122" s="30"/>
      <x:c r="AA122" s="30"/>
      <x:c r="AB122" s="30"/>
      <x:c r="AC122" s="30"/>
      <x:c r="AD122" s="30"/>
      <x:c r="AE122" s="30"/>
      <x:c r="AF122" s="30"/>
      <x:c r="AG122" s="30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>
      <x:c r="A123" s="1"/>
      <x:c r="B123" s="1"/>
      <x:c r="C123" s="30"/>
      <x:c r="D123" s="30"/>
      <x:c r="E123" s="30"/>
      <x:c r="F123" s="30"/>
      <x:c r="G123" s="30"/>
      <x:c r="H123" s="30"/>
      <x:c r="I123" s="30"/>
      <x:c r="J123" s="30"/>
      <x:c r="K123" s="30"/>
      <x:c r="L123" s="30"/>
      <x:c r="M123" s="30"/>
      <x:c r="N123" s="30"/>
      <x:c r="O123" s="30"/>
      <x:c r="P123" s="30"/>
      <x:c r="Q123" s="30"/>
      <x:c r="R123" s="30"/>
      <x:c r="S123" s="30"/>
      <x:c r="T123" s="30"/>
      <x:c r="U123" s="30"/>
      <x:c r="V123" s="30"/>
      <x:c r="W123" s="30"/>
      <x:c r="X123" s="30"/>
      <x:c r="Y123" s="30"/>
      <x:c r="Z123" s="30"/>
      <x:c r="AA123" s="30"/>
      <x:c r="AB123" s="30"/>
      <x:c r="AC123" s="30"/>
      <x:c r="AD123" s="30"/>
      <x:c r="AE123" s="30"/>
      <x:c r="AF123" s="30"/>
      <x:c r="AG123" s="30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>
      <x:c r="A124" s="1"/>
      <x:c r="B124" s="1"/>
      <x:c r="C124" s="30"/>
      <x:c r="D124" s="30"/>
      <x:c r="E124" s="30"/>
      <x:c r="F124" s="30"/>
      <x:c r="G124" s="30"/>
      <x:c r="H124" s="30"/>
      <x:c r="I124" s="30"/>
      <x:c r="J124" s="30"/>
      <x:c r="K124" s="30"/>
      <x:c r="L124" s="30"/>
      <x:c r="M124" s="30"/>
      <x:c r="N124" s="30"/>
      <x:c r="O124" s="30"/>
      <x:c r="P124" s="30"/>
      <x:c r="Q124" s="30"/>
      <x:c r="R124" s="30"/>
      <x:c r="S124" s="30"/>
      <x:c r="T124" s="30"/>
      <x:c r="U124" s="30"/>
      <x:c r="V124" s="30"/>
      <x:c r="W124" s="30"/>
      <x:c r="X124" s="30"/>
      <x:c r="Y124" s="30"/>
      <x:c r="Z124" s="30"/>
      <x:c r="AA124" s="30"/>
      <x:c r="AB124" s="30"/>
      <x:c r="AC124" s="30"/>
      <x:c r="AD124" s="30"/>
      <x:c r="AE124" s="30"/>
      <x:c r="AF124" s="30"/>
      <x:c r="AG124" s="30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>
      <x:c r="A125" s="1"/>
      <x:c r="B125" s="1"/>
      <x:c r="C125" s="30"/>
      <x:c r="D125" s="30"/>
      <x:c r="E125" s="30"/>
      <x:c r="F125" s="30"/>
      <x:c r="G125" s="30"/>
      <x:c r="H125" s="30"/>
      <x:c r="I125" s="30"/>
      <x:c r="J125" s="30"/>
      <x:c r="K125" s="30"/>
      <x:c r="L125" s="30"/>
      <x:c r="M125" s="30"/>
      <x:c r="N125" s="30"/>
      <x:c r="O125" s="30"/>
      <x:c r="P125" s="30"/>
      <x:c r="Q125" s="30"/>
      <x:c r="R125" s="30"/>
      <x:c r="S125" s="30"/>
      <x:c r="T125" s="30"/>
      <x:c r="U125" s="30"/>
      <x:c r="V125" s="30"/>
      <x:c r="W125" s="30"/>
      <x:c r="X125" s="30"/>
      <x:c r="Y125" s="30"/>
      <x:c r="Z125" s="30"/>
      <x:c r="AA125" s="30"/>
      <x:c r="AB125" s="30"/>
      <x:c r="AC125" s="30"/>
      <x:c r="AD125" s="30"/>
      <x:c r="AE125" s="30"/>
      <x:c r="AF125" s="30"/>
      <x:c r="AG125" s="30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>
      <x:c r="A126" s="1"/>
      <x:c r="B126" s="1"/>
      <x:c r="C126" s="30"/>
      <x:c r="D126" s="30"/>
      <x:c r="E126" s="30"/>
      <x:c r="F126" s="30"/>
      <x:c r="G126" s="30"/>
      <x:c r="H126" s="30"/>
      <x:c r="I126" s="30"/>
      <x:c r="J126" s="30"/>
      <x:c r="K126" s="30"/>
      <x:c r="L126" s="30"/>
      <x:c r="M126" s="30"/>
      <x:c r="N126" s="30"/>
      <x:c r="O126" s="30"/>
      <x:c r="P126" s="30"/>
      <x:c r="Q126" s="30"/>
      <x:c r="R126" s="30"/>
      <x:c r="S126" s="30"/>
      <x:c r="T126" s="30"/>
      <x:c r="U126" s="30"/>
      <x:c r="V126" s="30"/>
      <x:c r="W126" s="30"/>
      <x:c r="X126" s="30"/>
      <x:c r="Y126" s="30"/>
      <x:c r="Z126" s="30"/>
      <x:c r="AA126" s="30"/>
      <x:c r="AB126" s="30"/>
      <x:c r="AC126" s="30"/>
      <x:c r="AD126" s="30"/>
      <x:c r="AE126" s="30"/>
      <x:c r="AF126" s="30"/>
      <x:c r="AG126" s="30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>
      <x:c r="A127" s="1"/>
      <x:c r="B127" s="1"/>
      <x:c r="C127" s="30"/>
      <x:c r="D127" s="30"/>
      <x:c r="E127" s="30"/>
      <x:c r="F127" s="30"/>
      <x:c r="G127" s="30"/>
      <x:c r="H127" s="30"/>
      <x:c r="I127" s="30"/>
      <x:c r="J127" s="30"/>
      <x:c r="K127" s="30"/>
      <x:c r="L127" s="30"/>
      <x:c r="M127" s="30"/>
      <x:c r="N127" s="30"/>
      <x:c r="O127" s="30"/>
      <x:c r="P127" s="30"/>
      <x:c r="Q127" s="30"/>
      <x:c r="R127" s="30"/>
      <x:c r="S127" s="30"/>
      <x:c r="T127" s="30"/>
      <x:c r="U127" s="30"/>
      <x:c r="V127" s="30"/>
      <x:c r="W127" s="30"/>
      <x:c r="X127" s="30"/>
      <x:c r="Y127" s="30"/>
      <x:c r="Z127" s="30"/>
      <x:c r="AA127" s="30"/>
      <x:c r="AB127" s="30"/>
      <x:c r="AC127" s="30"/>
      <x:c r="AD127" s="30"/>
      <x:c r="AE127" s="30"/>
      <x:c r="AF127" s="30"/>
      <x:c r="AG127" s="30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>
      <x:c r="A128" s="1"/>
      <x:c r="B128" s="1"/>
      <x:c r="C128" s="30"/>
      <x:c r="D128" s="30"/>
      <x:c r="E128" s="30"/>
      <x:c r="F128" s="30"/>
      <x:c r="G128" s="30"/>
      <x:c r="H128" s="30"/>
      <x:c r="I128" s="30"/>
      <x:c r="J128" s="30"/>
      <x:c r="K128" s="30"/>
      <x:c r="L128" s="30"/>
      <x:c r="M128" s="30"/>
      <x:c r="N128" s="30"/>
      <x:c r="O128" s="30"/>
      <x:c r="P128" s="30"/>
      <x:c r="Q128" s="30"/>
      <x:c r="R128" s="30"/>
      <x:c r="S128" s="30"/>
      <x:c r="T128" s="30"/>
      <x:c r="U128" s="30"/>
      <x:c r="V128" s="30"/>
      <x:c r="W128" s="30"/>
      <x:c r="X128" s="30"/>
      <x:c r="Y128" s="30"/>
      <x:c r="Z128" s="30"/>
      <x:c r="AA128" s="30"/>
      <x:c r="AB128" s="30"/>
      <x:c r="AC128" s="30"/>
      <x:c r="AD128" s="30"/>
      <x:c r="AE128" s="30"/>
      <x:c r="AF128" s="30"/>
      <x:c r="AG128" s="30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>
      <x:c r="A129" s="1"/>
      <x:c r="B129" s="1"/>
      <x:c r="C129" s="30"/>
      <x:c r="D129" s="30"/>
      <x:c r="E129" s="30"/>
      <x:c r="F129" s="30"/>
      <x:c r="G129" s="30"/>
      <x:c r="H129" s="30"/>
      <x:c r="I129" s="30"/>
      <x:c r="J129" s="30"/>
      <x:c r="K129" s="30"/>
      <x:c r="L129" s="30"/>
      <x:c r="M129" s="30"/>
      <x:c r="N129" s="30"/>
      <x:c r="O129" s="30"/>
      <x:c r="P129" s="30"/>
      <x:c r="Q129" s="30"/>
      <x:c r="R129" s="30"/>
      <x:c r="S129" s="30"/>
      <x:c r="T129" s="30"/>
      <x:c r="U129" s="30"/>
      <x:c r="V129" s="30"/>
      <x:c r="W129" s="30"/>
      <x:c r="X129" s="30"/>
      <x:c r="Y129" s="30"/>
      <x:c r="Z129" s="30"/>
      <x:c r="AA129" s="30"/>
      <x:c r="AB129" s="30"/>
      <x:c r="AC129" s="30"/>
      <x:c r="AD129" s="30"/>
      <x:c r="AE129" s="30"/>
      <x:c r="AF129" s="30"/>
      <x:c r="AG129" s="30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>
      <x:c r="A130" s="1"/>
      <x:c r="B130" s="1"/>
      <x:c r="C130" s="30"/>
      <x:c r="D130" s="30"/>
      <x:c r="E130" s="30"/>
      <x:c r="F130" s="30"/>
      <x:c r="G130" s="30"/>
      <x:c r="H130" s="30"/>
      <x:c r="I130" s="30"/>
      <x:c r="J130" s="30"/>
      <x:c r="K130" s="30"/>
      <x:c r="L130" s="30"/>
      <x:c r="M130" s="30"/>
      <x:c r="N130" s="30"/>
      <x:c r="O130" s="30"/>
      <x:c r="P130" s="30"/>
      <x:c r="Q130" s="30"/>
      <x:c r="R130" s="30"/>
      <x:c r="S130" s="30"/>
      <x:c r="T130" s="30"/>
      <x:c r="U130" s="30"/>
      <x:c r="V130" s="30"/>
      <x:c r="W130" s="30"/>
      <x:c r="X130" s="30"/>
      <x:c r="Y130" s="30"/>
      <x:c r="Z130" s="30"/>
      <x:c r="AA130" s="30"/>
      <x:c r="AB130" s="30"/>
      <x:c r="AC130" s="30"/>
      <x:c r="AD130" s="30"/>
      <x:c r="AE130" s="30"/>
      <x:c r="AF130" s="30"/>
      <x:c r="AG130" s="30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>
      <x:c r="A131" s="1"/>
      <x:c r="B131" s="1"/>
      <x:c r="C131" s="30"/>
      <x:c r="D131" s="30"/>
      <x:c r="E131" s="30"/>
      <x:c r="F131" s="30"/>
      <x:c r="G131" s="30"/>
      <x:c r="H131" s="30"/>
      <x:c r="I131" s="30"/>
      <x:c r="J131" s="30"/>
      <x:c r="K131" s="30"/>
      <x:c r="L131" s="30"/>
      <x:c r="M131" s="30"/>
      <x:c r="N131" s="30"/>
      <x:c r="O131" s="30"/>
      <x:c r="P131" s="30"/>
      <x:c r="Q131" s="30"/>
      <x:c r="R131" s="30"/>
      <x:c r="S131" s="30"/>
      <x:c r="T131" s="30"/>
      <x:c r="U131" s="30"/>
      <x:c r="V131" s="30"/>
      <x:c r="W131" s="30"/>
      <x:c r="X131" s="30"/>
      <x:c r="Y131" s="30"/>
      <x:c r="Z131" s="30"/>
      <x:c r="AA131" s="30"/>
      <x:c r="AB131" s="30"/>
      <x:c r="AC131" s="30"/>
      <x:c r="AD131" s="30"/>
      <x:c r="AE131" s="30"/>
      <x:c r="AF131" s="30"/>
      <x:c r="AG131" s="30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>
      <x:c r="A132" s="1"/>
      <x:c r="B132" s="1"/>
      <x:c r="C132" s="30"/>
      <x:c r="D132" s="30"/>
      <x:c r="E132" s="30"/>
      <x:c r="F132" s="30"/>
      <x:c r="G132" s="30"/>
      <x:c r="H132" s="30"/>
      <x:c r="I132" s="30"/>
      <x:c r="J132" s="30"/>
      <x:c r="K132" s="30"/>
      <x:c r="L132" s="30"/>
      <x:c r="M132" s="30"/>
      <x:c r="N132" s="30"/>
      <x:c r="O132" s="30"/>
      <x:c r="P132" s="30"/>
      <x:c r="Q132" s="30"/>
      <x:c r="R132" s="30"/>
      <x:c r="S132" s="30"/>
      <x:c r="T132" s="30"/>
      <x:c r="U132" s="30"/>
      <x:c r="V132" s="30"/>
      <x:c r="W132" s="30"/>
      <x:c r="X132" s="30"/>
      <x:c r="Y132" s="30"/>
      <x:c r="Z132" s="30"/>
      <x:c r="AA132" s="30"/>
      <x:c r="AB132" s="30"/>
      <x:c r="AC132" s="30"/>
      <x:c r="AD132" s="30"/>
      <x:c r="AE132" s="30"/>
      <x:c r="AF132" s="30"/>
      <x:c r="AG132" s="30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>
      <x:c r="A133" s="1"/>
      <x:c r="B133" s="1"/>
      <x:c r="C133" s="30"/>
      <x:c r="D133" s="30"/>
      <x:c r="E133" s="30"/>
      <x:c r="F133" s="30"/>
      <x:c r="G133" s="30"/>
      <x:c r="H133" s="30"/>
      <x:c r="I133" s="30"/>
      <x:c r="J133" s="30"/>
      <x:c r="K133" s="30"/>
      <x:c r="L133" s="30"/>
      <x:c r="M133" s="30"/>
      <x:c r="N133" s="30"/>
      <x:c r="O133" s="30"/>
      <x:c r="P133" s="30"/>
      <x:c r="Q133" s="30"/>
      <x:c r="R133" s="30"/>
      <x:c r="S133" s="30"/>
      <x:c r="T133" s="30"/>
      <x:c r="U133" s="30"/>
      <x:c r="V133" s="30"/>
      <x:c r="W133" s="30"/>
      <x:c r="X133" s="30"/>
      <x:c r="Y133" s="30"/>
      <x:c r="Z133" s="30"/>
      <x:c r="AA133" s="30"/>
      <x:c r="AB133" s="30"/>
      <x:c r="AC133" s="30"/>
      <x:c r="AD133" s="30"/>
      <x:c r="AE133" s="30"/>
      <x:c r="AF133" s="30"/>
      <x:c r="AG133" s="30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>
      <x:c r="A134" s="1"/>
      <x:c r="B134" s="1"/>
      <x:c r="C134" s="30"/>
      <x:c r="D134" s="30"/>
      <x:c r="E134" s="30"/>
      <x:c r="F134" s="30"/>
      <x:c r="G134" s="30"/>
      <x:c r="H134" s="30"/>
      <x:c r="I134" s="30"/>
      <x:c r="J134" s="30"/>
      <x:c r="K134" s="30"/>
      <x:c r="L134" s="30"/>
      <x:c r="M134" s="30"/>
      <x:c r="N134" s="30"/>
      <x:c r="O134" s="30"/>
      <x:c r="P134" s="30"/>
      <x:c r="Q134" s="30"/>
      <x:c r="R134" s="30"/>
      <x:c r="S134" s="30"/>
      <x:c r="T134" s="30"/>
      <x:c r="U134" s="30"/>
      <x:c r="V134" s="30"/>
      <x:c r="W134" s="30"/>
      <x:c r="X134" s="30"/>
      <x:c r="Y134" s="30"/>
      <x:c r="Z134" s="30"/>
      <x:c r="AA134" s="30"/>
      <x:c r="AB134" s="30"/>
      <x:c r="AC134" s="30"/>
      <x:c r="AD134" s="30"/>
      <x:c r="AE134" s="30"/>
      <x:c r="AF134" s="30"/>
      <x:c r="AG134" s="30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>
      <x:c r="A135" s="1"/>
      <x:c r="B135" s="1"/>
      <x:c r="C135" s="30"/>
      <x:c r="D135" s="30"/>
      <x:c r="E135" s="30"/>
      <x:c r="F135" s="30"/>
      <x:c r="G135" s="30"/>
      <x:c r="H135" s="30"/>
      <x:c r="I135" s="30"/>
      <x:c r="J135" s="30"/>
      <x:c r="K135" s="30"/>
      <x:c r="L135" s="30"/>
      <x:c r="M135" s="30"/>
      <x:c r="N135" s="30"/>
      <x:c r="O135" s="30"/>
      <x:c r="P135" s="30"/>
      <x:c r="Q135" s="30"/>
      <x:c r="R135" s="30"/>
      <x:c r="S135" s="30"/>
      <x:c r="T135" s="30"/>
      <x:c r="U135" s="30"/>
      <x:c r="V135" s="30"/>
      <x:c r="W135" s="30"/>
      <x:c r="X135" s="30"/>
      <x:c r="Y135" s="30"/>
      <x:c r="Z135" s="30"/>
      <x:c r="AA135" s="30"/>
      <x:c r="AB135" s="30"/>
      <x:c r="AC135" s="30"/>
      <x:c r="AD135" s="30"/>
      <x:c r="AE135" s="30"/>
      <x:c r="AF135" s="30"/>
      <x:c r="AG135" s="30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>
      <x:c r="A136" s="1"/>
      <x:c r="B136" s="1"/>
      <x:c r="C136" s="30"/>
      <x:c r="D136" s="30"/>
      <x:c r="E136" s="30"/>
      <x:c r="F136" s="30"/>
      <x:c r="G136" s="30"/>
      <x:c r="H136" s="30"/>
      <x:c r="I136" s="30"/>
      <x:c r="J136" s="30"/>
      <x:c r="K136" s="30"/>
      <x:c r="L136" s="30"/>
      <x:c r="M136" s="30"/>
      <x:c r="N136" s="30"/>
      <x:c r="O136" s="30"/>
      <x:c r="P136" s="30"/>
      <x:c r="Q136" s="30"/>
      <x:c r="R136" s="30"/>
      <x:c r="S136" s="30"/>
      <x:c r="T136" s="30"/>
      <x:c r="U136" s="30"/>
      <x:c r="V136" s="30"/>
      <x:c r="W136" s="30"/>
      <x:c r="X136" s="30"/>
      <x:c r="Y136" s="30"/>
      <x:c r="Z136" s="30"/>
      <x:c r="AA136" s="30"/>
      <x:c r="AB136" s="30"/>
      <x:c r="AC136" s="30"/>
      <x:c r="AD136" s="30"/>
      <x:c r="AE136" s="30"/>
      <x:c r="AF136" s="30"/>
      <x:c r="AG136" s="30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>
      <x:c r="A137" s="1"/>
      <x:c r="B137" s="1"/>
      <x:c r="C137" s="30"/>
      <x:c r="D137" s="30"/>
      <x:c r="E137" s="30"/>
      <x:c r="F137" s="30"/>
      <x:c r="G137" s="30"/>
      <x:c r="H137" s="30"/>
      <x:c r="I137" s="30"/>
      <x:c r="J137" s="30"/>
      <x:c r="K137" s="30"/>
      <x:c r="L137" s="30"/>
      <x:c r="M137" s="30"/>
      <x:c r="N137" s="30"/>
      <x:c r="O137" s="30"/>
      <x:c r="P137" s="30"/>
      <x:c r="Q137" s="30"/>
      <x:c r="R137" s="30"/>
      <x:c r="S137" s="30"/>
      <x:c r="T137" s="30"/>
      <x:c r="U137" s="30"/>
      <x:c r="V137" s="30"/>
      <x:c r="W137" s="30"/>
      <x:c r="X137" s="30"/>
      <x:c r="Y137" s="30"/>
      <x:c r="Z137" s="30"/>
      <x:c r="AA137" s="30"/>
      <x:c r="AB137" s="30"/>
      <x:c r="AC137" s="30"/>
      <x:c r="AD137" s="30"/>
      <x:c r="AE137" s="30"/>
      <x:c r="AF137" s="30"/>
      <x:c r="AG137" s="30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>
      <x:c r="A138" s="1"/>
      <x:c r="B138" s="1"/>
      <x:c r="C138" s="30"/>
      <x:c r="D138" s="30"/>
      <x:c r="E138" s="30"/>
      <x:c r="F138" s="30"/>
      <x:c r="G138" s="30"/>
      <x:c r="H138" s="30"/>
      <x:c r="I138" s="30"/>
      <x:c r="J138" s="30"/>
      <x:c r="K138" s="30"/>
      <x:c r="L138" s="30"/>
      <x:c r="M138" s="30"/>
      <x:c r="N138" s="30"/>
      <x:c r="O138" s="30"/>
      <x:c r="P138" s="30"/>
      <x:c r="Q138" s="30"/>
      <x:c r="R138" s="30"/>
      <x:c r="S138" s="30"/>
      <x:c r="T138" s="30"/>
      <x:c r="U138" s="30"/>
      <x:c r="V138" s="30"/>
      <x:c r="W138" s="30"/>
      <x:c r="X138" s="30"/>
      <x:c r="Y138" s="30"/>
      <x:c r="Z138" s="30"/>
      <x:c r="AA138" s="30"/>
      <x:c r="AB138" s="30"/>
      <x:c r="AC138" s="30"/>
      <x:c r="AD138" s="30"/>
      <x:c r="AE138" s="30"/>
      <x:c r="AF138" s="30"/>
      <x:c r="AG138" s="30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>
      <x:c r="A139" s="1"/>
      <x:c r="B139" s="1"/>
      <x:c r="C139" s="30"/>
      <x:c r="D139" s="30"/>
      <x:c r="E139" s="30"/>
      <x:c r="F139" s="30"/>
      <x:c r="G139" s="30"/>
      <x:c r="H139" s="30"/>
      <x:c r="I139" s="30"/>
      <x:c r="J139" s="30"/>
      <x:c r="K139" s="30"/>
      <x:c r="L139" s="30"/>
      <x:c r="M139" s="30"/>
      <x:c r="N139" s="30"/>
      <x:c r="O139" s="30"/>
      <x:c r="P139" s="30"/>
      <x:c r="Q139" s="30"/>
      <x:c r="R139" s="30"/>
      <x:c r="S139" s="30"/>
      <x:c r="T139" s="30"/>
      <x:c r="U139" s="30"/>
      <x:c r="V139" s="30"/>
      <x:c r="W139" s="30"/>
      <x:c r="X139" s="30"/>
      <x:c r="Y139" s="30"/>
      <x:c r="Z139" s="30"/>
      <x:c r="AA139" s="30"/>
      <x:c r="AB139" s="30"/>
      <x:c r="AC139" s="30"/>
      <x:c r="AD139" s="30"/>
      <x:c r="AE139" s="30"/>
      <x:c r="AF139" s="30"/>
      <x:c r="AG139" s="30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>
      <x:c r="A140" s="1"/>
      <x:c r="B140" s="1"/>
      <x:c r="C140" s="30"/>
      <x:c r="D140" s="30"/>
      <x:c r="E140" s="30"/>
      <x:c r="F140" s="30"/>
      <x:c r="G140" s="30"/>
      <x:c r="H140" s="30"/>
      <x:c r="I140" s="30"/>
      <x:c r="J140" s="30"/>
      <x:c r="K140" s="30"/>
      <x:c r="L140" s="30"/>
      <x:c r="M140" s="30"/>
      <x:c r="N140" s="30"/>
      <x:c r="O140" s="30"/>
      <x:c r="P140" s="30"/>
      <x:c r="Q140" s="30"/>
      <x:c r="R140" s="30"/>
      <x:c r="S140" s="30"/>
      <x:c r="T140" s="30"/>
      <x:c r="U140" s="30"/>
      <x:c r="V140" s="30"/>
      <x:c r="W140" s="30"/>
      <x:c r="X140" s="30"/>
      <x:c r="Y140" s="30"/>
      <x:c r="Z140" s="30"/>
      <x:c r="AA140" s="30"/>
      <x:c r="AB140" s="30"/>
      <x:c r="AC140" s="30"/>
      <x:c r="AD140" s="30"/>
      <x:c r="AE140" s="30"/>
      <x:c r="AF140" s="30"/>
      <x:c r="AG140" s="30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>
      <x:c r="A141" s="1"/>
      <x:c r="B141" s="1"/>
      <x:c r="C141" s="30"/>
      <x:c r="D141" s="30"/>
      <x:c r="E141" s="30"/>
      <x:c r="F141" s="30"/>
      <x:c r="G141" s="30"/>
      <x:c r="H141" s="30"/>
      <x:c r="I141" s="30"/>
      <x:c r="J141" s="30"/>
      <x:c r="K141" s="30"/>
      <x:c r="L141" s="30"/>
      <x:c r="M141" s="30"/>
      <x:c r="N141" s="30"/>
      <x:c r="O141" s="30"/>
      <x:c r="P141" s="30"/>
      <x:c r="Q141" s="30"/>
      <x:c r="R141" s="30"/>
      <x:c r="S141" s="30"/>
      <x:c r="T141" s="30"/>
      <x:c r="U141" s="30"/>
      <x:c r="V141" s="30"/>
      <x:c r="W141" s="30"/>
      <x:c r="X141" s="30"/>
      <x:c r="Y141" s="30"/>
      <x:c r="Z141" s="30"/>
      <x:c r="AA141" s="30"/>
      <x:c r="AB141" s="30"/>
      <x:c r="AC141" s="30"/>
      <x:c r="AD141" s="30"/>
      <x:c r="AE141" s="30"/>
      <x:c r="AF141" s="30"/>
      <x:c r="AG141" s="30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>
      <x:c r="A142" s="1"/>
      <x:c r="B142" s="1"/>
      <x:c r="C142" s="30"/>
      <x:c r="D142" s="30"/>
      <x:c r="E142" s="30"/>
      <x:c r="F142" s="30"/>
      <x:c r="G142" s="30"/>
      <x:c r="H142" s="30"/>
      <x:c r="I142" s="30"/>
      <x:c r="J142" s="30"/>
      <x:c r="K142" s="30"/>
      <x:c r="L142" s="30"/>
      <x:c r="M142" s="30"/>
      <x:c r="N142" s="30"/>
      <x:c r="O142" s="30"/>
      <x:c r="P142" s="30"/>
      <x:c r="Q142" s="30"/>
      <x:c r="R142" s="30"/>
      <x:c r="S142" s="30"/>
      <x:c r="T142" s="30"/>
      <x:c r="U142" s="30"/>
      <x:c r="V142" s="30"/>
      <x:c r="W142" s="30"/>
      <x:c r="X142" s="30"/>
      <x:c r="Y142" s="30"/>
      <x:c r="Z142" s="30"/>
      <x:c r="AA142" s="30"/>
      <x:c r="AB142" s="30"/>
      <x:c r="AC142" s="30"/>
      <x:c r="AD142" s="30"/>
      <x:c r="AE142" s="30"/>
      <x:c r="AF142" s="30"/>
      <x:c r="AG142" s="30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>
      <x:c r="A143" s="1"/>
      <x:c r="B143" s="1"/>
      <x:c r="C143" s="30"/>
      <x:c r="D143" s="30"/>
      <x:c r="E143" s="30"/>
      <x:c r="F143" s="30"/>
      <x:c r="G143" s="30"/>
      <x:c r="H143" s="30"/>
      <x:c r="I143" s="30"/>
      <x:c r="J143" s="30"/>
      <x:c r="K143" s="30"/>
      <x:c r="L143" s="30"/>
      <x:c r="M143" s="30"/>
      <x:c r="N143" s="30"/>
      <x:c r="O143" s="30"/>
      <x:c r="P143" s="30"/>
      <x:c r="Q143" s="30"/>
      <x:c r="R143" s="30"/>
      <x:c r="S143" s="30"/>
      <x:c r="T143" s="30"/>
      <x:c r="U143" s="30"/>
      <x:c r="V143" s="30"/>
      <x:c r="W143" s="30"/>
      <x:c r="X143" s="30"/>
      <x:c r="Y143" s="30"/>
      <x:c r="Z143" s="30"/>
      <x:c r="AA143" s="30"/>
      <x:c r="AB143" s="30"/>
      <x:c r="AC143" s="30"/>
      <x:c r="AD143" s="30"/>
      <x:c r="AE143" s="30"/>
      <x:c r="AF143" s="30"/>
      <x:c r="AG143" s="30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>
      <x:c r="A144" s="1"/>
      <x:c r="B144" s="1"/>
      <x:c r="C144" s="30"/>
      <x:c r="D144" s="30"/>
      <x:c r="E144" s="30"/>
      <x:c r="F144" s="30"/>
      <x:c r="G144" s="30"/>
      <x:c r="H144" s="30"/>
      <x:c r="I144" s="30"/>
      <x:c r="J144" s="30"/>
      <x:c r="K144" s="30"/>
      <x:c r="L144" s="30"/>
      <x:c r="M144" s="30"/>
      <x:c r="N144" s="30"/>
      <x:c r="O144" s="30"/>
      <x:c r="P144" s="30"/>
      <x:c r="Q144" s="30"/>
      <x:c r="R144" s="30"/>
      <x:c r="S144" s="30"/>
      <x:c r="T144" s="30"/>
      <x:c r="U144" s="30"/>
      <x:c r="V144" s="30"/>
      <x:c r="W144" s="30"/>
      <x:c r="X144" s="30"/>
      <x:c r="Y144" s="30"/>
      <x:c r="Z144" s="30"/>
      <x:c r="AA144" s="30"/>
      <x:c r="AB144" s="30"/>
      <x:c r="AC144" s="30"/>
      <x:c r="AD144" s="30"/>
      <x:c r="AE144" s="30"/>
      <x:c r="AF144" s="30"/>
      <x:c r="AG144" s="30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>
      <x:c r="A145" s="1"/>
      <x:c r="B145" s="1"/>
      <x:c r="C145" s="30"/>
      <x:c r="D145" s="30"/>
      <x:c r="E145" s="30"/>
      <x:c r="F145" s="30"/>
      <x:c r="G145" s="30"/>
      <x:c r="H145" s="30"/>
      <x:c r="I145" s="30"/>
      <x:c r="J145" s="30"/>
      <x:c r="K145" s="30"/>
      <x:c r="L145" s="30"/>
      <x:c r="M145" s="30"/>
      <x:c r="N145" s="30"/>
      <x:c r="O145" s="30"/>
      <x:c r="P145" s="30"/>
      <x:c r="Q145" s="30"/>
      <x:c r="R145" s="30"/>
      <x:c r="S145" s="30"/>
      <x:c r="T145" s="30"/>
      <x:c r="U145" s="30"/>
      <x:c r="V145" s="30"/>
      <x:c r="W145" s="30"/>
      <x:c r="X145" s="30"/>
      <x:c r="Y145" s="30"/>
      <x:c r="Z145" s="30"/>
      <x:c r="AA145" s="30"/>
      <x:c r="AB145" s="30"/>
      <x:c r="AC145" s="30"/>
      <x:c r="AD145" s="30"/>
      <x:c r="AE145" s="30"/>
      <x:c r="AF145" s="30"/>
      <x:c r="AG145" s="30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>
      <x:c r="A146" s="1"/>
      <x:c r="B146" s="1"/>
      <x:c r="C146" s="30"/>
      <x:c r="D146" s="30"/>
      <x:c r="E146" s="30"/>
      <x:c r="F146" s="30"/>
      <x:c r="G146" s="30"/>
      <x:c r="H146" s="30"/>
      <x:c r="I146" s="30"/>
      <x:c r="J146" s="30"/>
      <x:c r="K146" s="30"/>
      <x:c r="L146" s="30"/>
      <x:c r="M146" s="30"/>
      <x:c r="N146" s="30"/>
      <x:c r="O146" s="30"/>
      <x:c r="P146" s="30"/>
      <x:c r="Q146" s="30"/>
      <x:c r="R146" s="30"/>
      <x:c r="S146" s="30"/>
      <x:c r="T146" s="30"/>
      <x:c r="U146" s="30"/>
      <x:c r="V146" s="30"/>
      <x:c r="W146" s="30"/>
      <x:c r="X146" s="30"/>
      <x:c r="Y146" s="30"/>
      <x:c r="Z146" s="30"/>
      <x:c r="AA146" s="30"/>
      <x:c r="AB146" s="30"/>
      <x:c r="AC146" s="30"/>
      <x:c r="AD146" s="30"/>
      <x:c r="AE146" s="30"/>
      <x:c r="AF146" s="30"/>
      <x:c r="AG146" s="30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>
      <x:c r="A147" s="1"/>
      <x:c r="B147" s="1"/>
      <x:c r="C147" s="30"/>
      <x:c r="D147" s="30"/>
      <x:c r="E147" s="30"/>
      <x:c r="F147" s="30"/>
      <x:c r="G147" s="30"/>
      <x:c r="H147" s="30"/>
      <x:c r="I147" s="30"/>
      <x:c r="J147" s="30"/>
      <x:c r="K147" s="30"/>
      <x:c r="L147" s="30"/>
      <x:c r="M147" s="30"/>
      <x:c r="N147" s="30"/>
      <x:c r="O147" s="30"/>
      <x:c r="P147" s="30"/>
      <x:c r="Q147" s="30"/>
      <x:c r="R147" s="30"/>
      <x:c r="S147" s="30"/>
      <x:c r="T147" s="30"/>
      <x:c r="U147" s="30"/>
      <x:c r="V147" s="30"/>
      <x:c r="W147" s="30"/>
      <x:c r="X147" s="30"/>
      <x:c r="Y147" s="30"/>
      <x:c r="Z147" s="30"/>
      <x:c r="AA147" s="30"/>
      <x:c r="AB147" s="30"/>
      <x:c r="AC147" s="30"/>
      <x:c r="AD147" s="30"/>
      <x:c r="AE147" s="30"/>
      <x:c r="AF147" s="30"/>
      <x:c r="AG147" s="30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>
      <x:c r="A148" s="1"/>
      <x:c r="B148" s="1"/>
      <x:c r="C148" s="30"/>
      <x:c r="D148" s="30"/>
      <x:c r="E148" s="30"/>
      <x:c r="F148" s="30"/>
      <x:c r="G148" s="30"/>
      <x:c r="H148" s="30"/>
      <x:c r="I148" s="30"/>
      <x:c r="J148" s="30"/>
      <x:c r="K148" s="30"/>
      <x:c r="L148" s="30"/>
      <x:c r="M148" s="30"/>
      <x:c r="N148" s="30"/>
      <x:c r="O148" s="30"/>
      <x:c r="P148" s="30"/>
      <x:c r="Q148" s="30"/>
      <x:c r="R148" s="30"/>
      <x:c r="S148" s="30"/>
      <x:c r="T148" s="30"/>
      <x:c r="U148" s="30"/>
      <x:c r="V148" s="30"/>
      <x:c r="W148" s="30"/>
      <x:c r="X148" s="30"/>
      <x:c r="Y148" s="30"/>
      <x:c r="Z148" s="30"/>
      <x:c r="AA148" s="30"/>
      <x:c r="AB148" s="30"/>
      <x:c r="AC148" s="30"/>
      <x:c r="AD148" s="30"/>
      <x:c r="AE148" s="30"/>
      <x:c r="AF148" s="30"/>
      <x:c r="AG148" s="30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>
      <x:c r="A149" s="1"/>
      <x:c r="B149" s="1"/>
      <x:c r="C149" s="30"/>
      <x:c r="D149" s="30"/>
      <x:c r="E149" s="30"/>
      <x:c r="F149" s="30"/>
      <x:c r="G149" s="30"/>
      <x:c r="H149" s="30"/>
      <x:c r="I149" s="30"/>
      <x:c r="J149" s="30"/>
      <x:c r="K149" s="30"/>
      <x:c r="L149" s="30"/>
      <x:c r="M149" s="30"/>
      <x:c r="N149" s="30"/>
      <x:c r="O149" s="30"/>
      <x:c r="P149" s="30"/>
      <x:c r="Q149" s="30"/>
      <x:c r="R149" s="30"/>
      <x:c r="S149" s="30"/>
      <x:c r="T149" s="30"/>
      <x:c r="U149" s="30"/>
      <x:c r="V149" s="30"/>
      <x:c r="W149" s="30"/>
      <x:c r="X149" s="30"/>
      <x:c r="Y149" s="30"/>
      <x:c r="Z149" s="30"/>
      <x:c r="AA149" s="30"/>
      <x:c r="AB149" s="30"/>
      <x:c r="AC149" s="30"/>
      <x:c r="AD149" s="30"/>
      <x:c r="AE149" s="30"/>
      <x:c r="AF149" s="30"/>
      <x:c r="AG149" s="30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>
      <x:c r="A150" s="1"/>
      <x:c r="B150" s="1"/>
      <x:c r="C150" s="30"/>
      <x:c r="D150" s="30"/>
      <x:c r="E150" s="30"/>
      <x:c r="F150" s="30"/>
      <x:c r="G150" s="30"/>
      <x:c r="H150" s="30"/>
      <x:c r="I150" s="30"/>
      <x:c r="J150" s="30"/>
      <x:c r="K150" s="30"/>
      <x:c r="L150" s="30"/>
      <x:c r="M150" s="30"/>
      <x:c r="N150" s="30"/>
      <x:c r="O150" s="30"/>
      <x:c r="P150" s="30"/>
      <x:c r="Q150" s="30"/>
      <x:c r="R150" s="30"/>
      <x:c r="S150" s="30"/>
      <x:c r="T150" s="30"/>
      <x:c r="U150" s="30"/>
      <x:c r="V150" s="30"/>
      <x:c r="W150" s="30"/>
      <x:c r="X150" s="30"/>
      <x:c r="Y150" s="30"/>
      <x:c r="Z150" s="30"/>
      <x:c r="AA150" s="30"/>
      <x:c r="AB150" s="30"/>
      <x:c r="AC150" s="30"/>
      <x:c r="AD150" s="30"/>
      <x:c r="AE150" s="30"/>
      <x:c r="AF150" s="30"/>
      <x:c r="AG150" s="30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>
      <x:c r="A151" s="1"/>
      <x:c r="B151" s="1"/>
      <x:c r="C151" s="30"/>
      <x:c r="D151" s="30"/>
      <x:c r="E151" s="30"/>
      <x:c r="F151" s="30"/>
      <x:c r="G151" s="30"/>
      <x:c r="H151" s="30"/>
      <x:c r="I151" s="30"/>
      <x:c r="J151" s="30"/>
      <x:c r="K151" s="30"/>
      <x:c r="L151" s="30"/>
      <x:c r="M151" s="30"/>
      <x:c r="N151" s="30"/>
      <x:c r="O151" s="30"/>
      <x:c r="P151" s="30"/>
      <x:c r="Q151" s="30"/>
      <x:c r="R151" s="30"/>
      <x:c r="S151" s="30"/>
      <x:c r="T151" s="30"/>
      <x:c r="U151" s="30"/>
      <x:c r="V151" s="30"/>
      <x:c r="W151" s="30"/>
      <x:c r="X151" s="30"/>
      <x:c r="Y151" s="30"/>
      <x:c r="Z151" s="30"/>
      <x:c r="AA151" s="30"/>
      <x:c r="AB151" s="30"/>
      <x:c r="AC151" s="30"/>
      <x:c r="AD151" s="30"/>
      <x:c r="AE151" s="30"/>
      <x:c r="AF151" s="30"/>
      <x:c r="AG151" s="30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>
      <x:c r="A152" s="1"/>
      <x:c r="B152" s="1"/>
      <x:c r="C152" s="30"/>
      <x:c r="D152" s="30"/>
      <x:c r="E152" s="30"/>
      <x:c r="F152" s="30"/>
      <x:c r="G152" s="30"/>
      <x:c r="H152" s="30"/>
      <x:c r="I152" s="30"/>
      <x:c r="J152" s="30"/>
      <x:c r="K152" s="30"/>
      <x:c r="L152" s="30"/>
      <x:c r="M152" s="30"/>
      <x:c r="N152" s="30"/>
      <x:c r="O152" s="30"/>
      <x:c r="P152" s="30"/>
      <x:c r="Q152" s="30"/>
      <x:c r="R152" s="30"/>
      <x:c r="S152" s="30"/>
      <x:c r="T152" s="30"/>
      <x:c r="U152" s="30"/>
      <x:c r="V152" s="30"/>
      <x:c r="W152" s="30"/>
      <x:c r="X152" s="30"/>
      <x:c r="Y152" s="30"/>
      <x:c r="Z152" s="30"/>
      <x:c r="AA152" s="30"/>
      <x:c r="AB152" s="30"/>
      <x:c r="AC152" s="30"/>
      <x:c r="AD152" s="30"/>
      <x:c r="AE152" s="30"/>
      <x:c r="AF152" s="30"/>
      <x:c r="AG152" s="30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>
      <x:c r="A153" s="1"/>
      <x:c r="B153" s="1"/>
      <x:c r="C153" s="30"/>
      <x:c r="D153" s="30"/>
      <x:c r="E153" s="30"/>
      <x:c r="F153" s="30"/>
      <x:c r="G153" s="30"/>
      <x:c r="H153" s="30"/>
      <x:c r="I153" s="30"/>
      <x:c r="J153" s="30"/>
      <x:c r="K153" s="30"/>
      <x:c r="L153" s="30"/>
      <x:c r="M153" s="30"/>
      <x:c r="N153" s="30"/>
      <x:c r="O153" s="30"/>
      <x:c r="P153" s="30"/>
      <x:c r="Q153" s="30"/>
      <x:c r="R153" s="30"/>
      <x:c r="S153" s="30"/>
      <x:c r="T153" s="30"/>
      <x:c r="U153" s="30"/>
      <x:c r="V153" s="30"/>
      <x:c r="W153" s="30"/>
      <x:c r="X153" s="30"/>
      <x:c r="Y153" s="30"/>
      <x:c r="Z153" s="30"/>
      <x:c r="AA153" s="30"/>
      <x:c r="AB153" s="30"/>
      <x:c r="AC153" s="30"/>
      <x:c r="AD153" s="30"/>
      <x:c r="AE153" s="30"/>
      <x:c r="AF153" s="30"/>
      <x:c r="AG153" s="30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>
      <x:c r="A154" s="1"/>
      <x:c r="B154" s="1"/>
      <x:c r="C154" s="30"/>
      <x:c r="D154" s="30"/>
      <x:c r="E154" s="30"/>
      <x:c r="F154" s="30"/>
      <x:c r="G154" s="30"/>
      <x:c r="H154" s="30"/>
      <x:c r="I154" s="30"/>
      <x:c r="J154" s="30"/>
      <x:c r="K154" s="30"/>
      <x:c r="L154" s="30"/>
      <x:c r="M154" s="30"/>
      <x:c r="N154" s="30"/>
      <x:c r="O154" s="30"/>
      <x:c r="P154" s="30"/>
      <x:c r="Q154" s="30"/>
      <x:c r="R154" s="30"/>
      <x:c r="S154" s="30"/>
      <x:c r="T154" s="30"/>
      <x:c r="U154" s="30"/>
      <x:c r="V154" s="30"/>
      <x:c r="W154" s="30"/>
      <x:c r="X154" s="30"/>
      <x:c r="Y154" s="30"/>
      <x:c r="Z154" s="30"/>
      <x:c r="AA154" s="30"/>
      <x:c r="AB154" s="30"/>
      <x:c r="AC154" s="30"/>
      <x:c r="AD154" s="30"/>
      <x:c r="AE154" s="30"/>
      <x:c r="AF154" s="30"/>
      <x:c r="AG154" s="30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>
      <x:c r="A155" s="1"/>
      <x:c r="B155" s="1"/>
      <x:c r="C155" s="30"/>
      <x:c r="D155" s="30"/>
      <x:c r="E155" s="30"/>
      <x:c r="F155" s="30"/>
      <x:c r="G155" s="30"/>
      <x:c r="H155" s="30"/>
      <x:c r="I155" s="30"/>
      <x:c r="J155" s="30"/>
      <x:c r="K155" s="30"/>
      <x:c r="L155" s="30"/>
      <x:c r="M155" s="30"/>
      <x:c r="N155" s="30"/>
      <x:c r="O155" s="30"/>
      <x:c r="P155" s="30"/>
      <x:c r="Q155" s="30"/>
      <x:c r="R155" s="30"/>
      <x:c r="S155" s="30"/>
      <x:c r="T155" s="30"/>
      <x:c r="U155" s="30"/>
      <x:c r="V155" s="30"/>
      <x:c r="W155" s="30"/>
      <x:c r="X155" s="30"/>
      <x:c r="Y155" s="30"/>
      <x:c r="Z155" s="30"/>
      <x:c r="AA155" s="30"/>
      <x:c r="AB155" s="30"/>
      <x:c r="AC155" s="30"/>
      <x:c r="AD155" s="30"/>
      <x:c r="AE155" s="30"/>
      <x:c r="AF155" s="30"/>
      <x:c r="AG155" s="30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>
      <x:c r="A156" s="1"/>
      <x:c r="B156" s="1"/>
      <x:c r="C156" s="30"/>
      <x:c r="D156" s="30"/>
      <x:c r="E156" s="30"/>
      <x:c r="F156" s="30"/>
      <x:c r="G156" s="30"/>
      <x:c r="H156" s="30"/>
      <x:c r="I156" s="30"/>
      <x:c r="J156" s="30"/>
      <x:c r="K156" s="30"/>
      <x:c r="L156" s="30"/>
      <x:c r="M156" s="30"/>
      <x:c r="N156" s="30"/>
      <x:c r="O156" s="30"/>
      <x:c r="P156" s="30"/>
      <x:c r="Q156" s="30"/>
      <x:c r="R156" s="30"/>
      <x:c r="S156" s="30"/>
      <x:c r="T156" s="30"/>
      <x:c r="U156" s="30"/>
      <x:c r="V156" s="30"/>
      <x:c r="W156" s="30"/>
      <x:c r="X156" s="30"/>
      <x:c r="Y156" s="30"/>
      <x:c r="Z156" s="30"/>
      <x:c r="AA156" s="30"/>
      <x:c r="AB156" s="30"/>
      <x:c r="AC156" s="30"/>
      <x:c r="AD156" s="30"/>
      <x:c r="AE156" s="30"/>
      <x:c r="AF156" s="30"/>
      <x:c r="AG156" s="30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>
      <x:c r="A157" s="1"/>
      <x:c r="B157" s="1"/>
      <x:c r="C157" s="30"/>
      <x:c r="D157" s="30"/>
      <x:c r="E157" s="30"/>
      <x:c r="F157" s="30"/>
      <x:c r="G157" s="30"/>
      <x:c r="H157" s="30"/>
      <x:c r="I157" s="30"/>
      <x:c r="J157" s="30"/>
      <x:c r="K157" s="30"/>
      <x:c r="L157" s="30"/>
      <x:c r="M157" s="30"/>
      <x:c r="N157" s="30"/>
      <x:c r="O157" s="30"/>
      <x:c r="P157" s="30"/>
      <x:c r="Q157" s="30"/>
      <x:c r="R157" s="30"/>
      <x:c r="S157" s="30"/>
      <x:c r="T157" s="30"/>
      <x:c r="U157" s="30"/>
      <x:c r="V157" s="30"/>
      <x:c r="W157" s="30"/>
      <x:c r="X157" s="30"/>
      <x:c r="Y157" s="30"/>
      <x:c r="Z157" s="30"/>
      <x:c r="AA157" s="30"/>
      <x:c r="AB157" s="30"/>
      <x:c r="AC157" s="30"/>
      <x:c r="AD157" s="30"/>
      <x:c r="AE157" s="30"/>
      <x:c r="AF157" s="30"/>
      <x:c r="AG157" s="30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>
      <x:c r="A158" s="1"/>
      <x:c r="B158" s="1"/>
      <x:c r="C158" s="30"/>
      <x:c r="D158" s="30"/>
      <x:c r="E158" s="30"/>
      <x:c r="F158" s="30"/>
      <x:c r="G158" s="30"/>
      <x:c r="H158" s="30"/>
      <x:c r="I158" s="30"/>
      <x:c r="J158" s="30"/>
      <x:c r="K158" s="30"/>
      <x:c r="L158" s="30"/>
      <x:c r="M158" s="30"/>
      <x:c r="N158" s="30"/>
      <x:c r="O158" s="30"/>
      <x:c r="P158" s="30"/>
      <x:c r="Q158" s="30"/>
      <x:c r="R158" s="30"/>
      <x:c r="S158" s="30"/>
      <x:c r="T158" s="30"/>
      <x:c r="U158" s="30"/>
      <x:c r="V158" s="30"/>
      <x:c r="W158" s="30"/>
      <x:c r="X158" s="30"/>
      <x:c r="Y158" s="30"/>
      <x:c r="Z158" s="30"/>
      <x:c r="AA158" s="30"/>
      <x:c r="AB158" s="30"/>
      <x:c r="AC158" s="30"/>
      <x:c r="AD158" s="30"/>
      <x:c r="AE158" s="30"/>
      <x:c r="AF158" s="30"/>
      <x:c r="AG158" s="30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>
      <x:c r="A159" s="1"/>
      <x:c r="B159" s="1"/>
      <x:c r="C159" s="30"/>
      <x:c r="D159" s="30"/>
      <x:c r="E159" s="30"/>
      <x:c r="F159" s="30"/>
      <x:c r="G159" s="30"/>
      <x:c r="H159" s="30"/>
      <x:c r="I159" s="30"/>
      <x:c r="J159" s="30"/>
      <x:c r="K159" s="30"/>
      <x:c r="L159" s="30"/>
      <x:c r="M159" s="30"/>
      <x:c r="N159" s="30"/>
      <x:c r="O159" s="30"/>
      <x:c r="P159" s="30"/>
      <x:c r="Q159" s="30"/>
      <x:c r="R159" s="30"/>
      <x:c r="S159" s="30"/>
      <x:c r="T159" s="30"/>
      <x:c r="U159" s="30"/>
      <x:c r="V159" s="30"/>
      <x:c r="W159" s="30"/>
      <x:c r="X159" s="30"/>
      <x:c r="Y159" s="30"/>
      <x:c r="Z159" s="30"/>
      <x:c r="AA159" s="30"/>
      <x:c r="AB159" s="30"/>
      <x:c r="AC159" s="30"/>
      <x:c r="AD159" s="30"/>
      <x:c r="AE159" s="30"/>
      <x:c r="AF159" s="30"/>
      <x:c r="AG159" s="30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>
      <x:c r="A160" s="1"/>
      <x:c r="B160" s="1"/>
      <x:c r="C160" s="30"/>
      <x:c r="D160" s="30"/>
      <x:c r="E160" s="30"/>
      <x:c r="F160" s="30"/>
      <x:c r="G160" s="30"/>
      <x:c r="H160" s="30"/>
      <x:c r="I160" s="30"/>
      <x:c r="J160" s="30"/>
      <x:c r="K160" s="30"/>
      <x:c r="L160" s="30"/>
      <x:c r="M160" s="30"/>
      <x:c r="N160" s="30"/>
      <x:c r="O160" s="30"/>
      <x:c r="P160" s="30"/>
      <x:c r="Q160" s="30"/>
      <x:c r="R160" s="30"/>
      <x:c r="S160" s="30"/>
      <x:c r="T160" s="30"/>
      <x:c r="U160" s="30"/>
      <x:c r="V160" s="30"/>
      <x:c r="W160" s="30"/>
      <x:c r="X160" s="30"/>
      <x:c r="Y160" s="30"/>
      <x:c r="Z160" s="30"/>
      <x:c r="AA160" s="30"/>
      <x:c r="AB160" s="30"/>
      <x:c r="AC160" s="30"/>
      <x:c r="AD160" s="30"/>
      <x:c r="AE160" s="30"/>
      <x:c r="AF160" s="30"/>
      <x:c r="AG160" s="30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>
      <x:c r="A161" s="1"/>
      <x:c r="B161" s="1"/>
      <x:c r="C161" s="30"/>
      <x:c r="D161" s="30"/>
      <x:c r="E161" s="30"/>
      <x:c r="F161" s="30"/>
      <x:c r="G161" s="30"/>
      <x:c r="H161" s="30"/>
      <x:c r="I161" s="30"/>
      <x:c r="J161" s="30"/>
      <x:c r="K161" s="30"/>
      <x:c r="L161" s="30"/>
      <x:c r="M161" s="30"/>
      <x:c r="N161" s="30"/>
      <x:c r="O161" s="30"/>
      <x:c r="P161" s="30"/>
      <x:c r="Q161" s="30"/>
      <x:c r="R161" s="30"/>
      <x:c r="S161" s="30"/>
      <x:c r="T161" s="30"/>
      <x:c r="U161" s="30"/>
      <x:c r="V161" s="30"/>
      <x:c r="W161" s="30"/>
      <x:c r="X161" s="30"/>
      <x:c r="Y161" s="30"/>
      <x:c r="Z161" s="30"/>
      <x:c r="AA161" s="30"/>
      <x:c r="AB161" s="30"/>
      <x:c r="AC161" s="30"/>
      <x:c r="AD161" s="30"/>
      <x:c r="AE161" s="30"/>
      <x:c r="AF161" s="30"/>
      <x:c r="AG161" s="30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>
      <x:c r="A162" s="1"/>
      <x:c r="B162" s="1"/>
      <x:c r="C162" s="30"/>
      <x:c r="D162" s="30"/>
      <x:c r="E162" s="30"/>
      <x:c r="F162" s="30"/>
      <x:c r="G162" s="30"/>
      <x:c r="H162" s="30"/>
      <x:c r="I162" s="30"/>
      <x:c r="J162" s="30"/>
      <x:c r="K162" s="30"/>
      <x:c r="L162" s="30"/>
      <x:c r="M162" s="30"/>
      <x:c r="N162" s="30"/>
      <x:c r="O162" s="30"/>
      <x:c r="P162" s="30"/>
      <x:c r="Q162" s="30"/>
      <x:c r="R162" s="30"/>
      <x:c r="S162" s="30"/>
      <x:c r="T162" s="30"/>
      <x:c r="U162" s="30"/>
      <x:c r="V162" s="30"/>
      <x:c r="W162" s="30"/>
      <x:c r="X162" s="30"/>
      <x:c r="Y162" s="30"/>
      <x:c r="Z162" s="30"/>
      <x:c r="AA162" s="30"/>
      <x:c r="AB162" s="30"/>
      <x:c r="AC162" s="30"/>
      <x:c r="AD162" s="30"/>
      <x:c r="AE162" s="30"/>
      <x:c r="AF162" s="30"/>
      <x:c r="AG162" s="30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>
      <x:c r="A163" s="1"/>
      <x:c r="B163" s="1"/>
      <x:c r="C163" s="30"/>
      <x:c r="D163" s="30"/>
      <x:c r="E163" s="30"/>
      <x:c r="F163" s="30"/>
      <x:c r="G163" s="30"/>
      <x:c r="H163" s="30"/>
      <x:c r="I163" s="30"/>
      <x:c r="J163" s="30"/>
      <x:c r="K163" s="30"/>
      <x:c r="L163" s="30"/>
      <x:c r="M163" s="30"/>
      <x:c r="N163" s="30"/>
      <x:c r="O163" s="30"/>
      <x:c r="P163" s="30"/>
      <x:c r="Q163" s="30"/>
      <x:c r="R163" s="30"/>
      <x:c r="S163" s="30"/>
      <x:c r="T163" s="30"/>
      <x:c r="U163" s="30"/>
      <x:c r="V163" s="30"/>
      <x:c r="W163" s="30"/>
      <x:c r="X163" s="30"/>
      <x:c r="Y163" s="30"/>
      <x:c r="Z163" s="30"/>
      <x:c r="AA163" s="30"/>
      <x:c r="AB163" s="30"/>
      <x:c r="AC163" s="30"/>
      <x:c r="AD163" s="30"/>
      <x:c r="AE163" s="30"/>
      <x:c r="AF163" s="30"/>
      <x:c r="AG163" s="30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>
      <x:c r="A164" s="1"/>
      <x:c r="B164" s="1"/>
      <x:c r="C164" s="30"/>
      <x:c r="D164" s="30"/>
      <x:c r="E164" s="30"/>
      <x:c r="F164" s="30"/>
      <x:c r="G164" s="30"/>
      <x:c r="H164" s="30"/>
      <x:c r="I164" s="30"/>
      <x:c r="J164" s="30"/>
      <x:c r="K164" s="30"/>
      <x:c r="L164" s="30"/>
      <x:c r="M164" s="30"/>
      <x:c r="N164" s="30"/>
      <x:c r="O164" s="30"/>
      <x:c r="P164" s="30"/>
      <x:c r="Q164" s="30"/>
      <x:c r="R164" s="30"/>
      <x:c r="S164" s="30"/>
      <x:c r="T164" s="30"/>
      <x:c r="U164" s="30"/>
      <x:c r="V164" s="30"/>
      <x:c r="W164" s="30"/>
      <x:c r="X164" s="30"/>
      <x:c r="Y164" s="30"/>
      <x:c r="Z164" s="30"/>
      <x:c r="AA164" s="30"/>
      <x:c r="AB164" s="30"/>
      <x:c r="AC164" s="30"/>
      <x:c r="AD164" s="30"/>
      <x:c r="AE164" s="30"/>
      <x:c r="AF164" s="30"/>
      <x:c r="AG164" s="30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>
      <x:c r="A165" s="1"/>
      <x:c r="B165" s="1"/>
      <x:c r="C165" s="30"/>
      <x:c r="D165" s="30"/>
      <x:c r="E165" s="30"/>
      <x:c r="F165" s="30"/>
      <x:c r="G165" s="30"/>
      <x:c r="H165" s="30"/>
      <x:c r="I165" s="30"/>
      <x:c r="J165" s="30"/>
      <x:c r="K165" s="30"/>
      <x:c r="L165" s="30"/>
      <x:c r="M165" s="30"/>
      <x:c r="N165" s="30"/>
      <x:c r="O165" s="30"/>
      <x:c r="P165" s="30"/>
      <x:c r="Q165" s="30"/>
      <x:c r="R165" s="30"/>
      <x:c r="S165" s="30"/>
      <x:c r="T165" s="30"/>
      <x:c r="U165" s="30"/>
      <x:c r="V165" s="30"/>
      <x:c r="W165" s="30"/>
      <x:c r="X165" s="30"/>
      <x:c r="Y165" s="30"/>
      <x:c r="Z165" s="30"/>
      <x:c r="AA165" s="30"/>
      <x:c r="AB165" s="30"/>
      <x:c r="AC165" s="30"/>
      <x:c r="AD165" s="30"/>
      <x:c r="AE165" s="30"/>
      <x:c r="AF165" s="30"/>
      <x:c r="AG165" s="30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>
      <x:c r="A166" s="1"/>
      <x:c r="B166" s="1"/>
      <x:c r="C166" s="30"/>
      <x:c r="D166" s="30"/>
      <x:c r="E166" s="30"/>
      <x:c r="F166" s="30"/>
      <x:c r="G166" s="30"/>
      <x:c r="H166" s="30"/>
      <x:c r="I166" s="30"/>
      <x:c r="J166" s="30"/>
      <x:c r="K166" s="30"/>
      <x:c r="L166" s="30"/>
      <x:c r="M166" s="30"/>
      <x:c r="N166" s="30"/>
      <x:c r="O166" s="30"/>
      <x:c r="P166" s="30"/>
      <x:c r="Q166" s="30"/>
      <x:c r="R166" s="30"/>
      <x:c r="S166" s="30"/>
      <x:c r="T166" s="30"/>
      <x:c r="U166" s="30"/>
      <x:c r="V166" s="30"/>
      <x:c r="W166" s="30"/>
      <x:c r="X166" s="30"/>
      <x:c r="Y166" s="30"/>
      <x:c r="Z166" s="30"/>
      <x:c r="AA166" s="30"/>
      <x:c r="AB166" s="30"/>
      <x:c r="AC166" s="30"/>
      <x:c r="AD166" s="30"/>
      <x:c r="AE166" s="30"/>
      <x:c r="AF166" s="30"/>
      <x:c r="AG166" s="30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>
      <x:c r="A167" s="1"/>
      <x:c r="B167" s="1"/>
      <x:c r="C167" s="30"/>
      <x:c r="D167" s="30"/>
      <x:c r="E167" s="30"/>
      <x:c r="F167" s="30"/>
      <x:c r="G167" s="30"/>
      <x:c r="H167" s="30"/>
      <x:c r="I167" s="30"/>
      <x:c r="J167" s="30"/>
      <x:c r="K167" s="30"/>
      <x:c r="L167" s="30"/>
      <x:c r="M167" s="30"/>
      <x:c r="N167" s="30"/>
      <x:c r="O167" s="30"/>
      <x:c r="P167" s="30"/>
      <x:c r="Q167" s="30"/>
      <x:c r="R167" s="30"/>
      <x:c r="S167" s="30"/>
      <x:c r="T167" s="30"/>
      <x:c r="U167" s="30"/>
      <x:c r="V167" s="30"/>
      <x:c r="W167" s="30"/>
      <x:c r="X167" s="30"/>
      <x:c r="Y167" s="30"/>
      <x:c r="Z167" s="30"/>
      <x:c r="AA167" s="30"/>
      <x:c r="AB167" s="30"/>
      <x:c r="AC167" s="30"/>
      <x:c r="AD167" s="30"/>
      <x:c r="AE167" s="30"/>
      <x:c r="AF167" s="30"/>
      <x:c r="AG167" s="30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>
      <x:c r="A168" s="1"/>
      <x:c r="B168" s="1"/>
      <x:c r="C168" s="30"/>
      <x:c r="D168" s="30"/>
      <x:c r="E168" s="30"/>
      <x:c r="F168" s="30"/>
      <x:c r="G168" s="30"/>
      <x:c r="H168" s="30"/>
      <x:c r="I168" s="30"/>
      <x:c r="J168" s="30"/>
      <x:c r="K168" s="30"/>
      <x:c r="L168" s="30"/>
      <x:c r="M168" s="30"/>
      <x:c r="N168" s="30"/>
      <x:c r="O168" s="30"/>
      <x:c r="P168" s="30"/>
      <x:c r="Q168" s="30"/>
      <x:c r="R168" s="30"/>
      <x:c r="S168" s="30"/>
      <x:c r="T168" s="30"/>
      <x:c r="U168" s="30"/>
      <x:c r="V168" s="30"/>
      <x:c r="W168" s="30"/>
      <x:c r="X168" s="30"/>
      <x:c r="Y168" s="30"/>
      <x:c r="Z168" s="30"/>
      <x:c r="AA168" s="30"/>
      <x:c r="AB168" s="30"/>
      <x:c r="AC168" s="30"/>
      <x:c r="AD168" s="30"/>
      <x:c r="AE168" s="30"/>
      <x:c r="AF168" s="30"/>
      <x:c r="AG168" s="30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>
      <x:c r="A169" s="1"/>
      <x:c r="B169" s="1"/>
      <x:c r="C169" s="30"/>
      <x:c r="D169" s="30"/>
      <x:c r="E169" s="30"/>
      <x:c r="F169" s="30"/>
      <x:c r="G169" s="30"/>
      <x:c r="H169" s="30"/>
      <x:c r="I169" s="30"/>
      <x:c r="J169" s="30"/>
      <x:c r="K169" s="30"/>
      <x:c r="L169" s="30"/>
      <x:c r="M169" s="30"/>
      <x:c r="N169" s="30"/>
      <x:c r="O169" s="30"/>
      <x:c r="P169" s="30"/>
      <x:c r="Q169" s="30"/>
      <x:c r="R169" s="30"/>
      <x:c r="S169" s="30"/>
      <x:c r="T169" s="30"/>
      <x:c r="U169" s="30"/>
      <x:c r="V169" s="30"/>
      <x:c r="W169" s="30"/>
      <x:c r="X169" s="30"/>
      <x:c r="Y169" s="30"/>
      <x:c r="Z169" s="30"/>
      <x:c r="AA169" s="30"/>
      <x:c r="AB169" s="30"/>
      <x:c r="AC169" s="30"/>
      <x:c r="AD169" s="30"/>
      <x:c r="AE169" s="30"/>
      <x:c r="AF169" s="30"/>
      <x:c r="AG169" s="30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>
      <x:c r="A170" s="1"/>
      <x:c r="B170" s="1"/>
      <x:c r="C170" s="30"/>
      <x:c r="D170" s="30"/>
      <x:c r="E170" s="30"/>
      <x:c r="F170" s="30"/>
      <x:c r="G170" s="30"/>
      <x:c r="H170" s="30"/>
      <x:c r="I170" s="30"/>
      <x:c r="J170" s="30"/>
      <x:c r="K170" s="30"/>
      <x:c r="L170" s="30"/>
      <x:c r="M170" s="30"/>
      <x:c r="N170" s="30"/>
      <x:c r="O170" s="30"/>
      <x:c r="P170" s="30"/>
      <x:c r="Q170" s="30"/>
      <x:c r="R170" s="30"/>
      <x:c r="S170" s="30"/>
      <x:c r="T170" s="30"/>
      <x:c r="U170" s="30"/>
      <x:c r="V170" s="30"/>
      <x:c r="W170" s="30"/>
      <x:c r="X170" s="30"/>
      <x:c r="Y170" s="30"/>
      <x:c r="Z170" s="30"/>
      <x:c r="AA170" s="30"/>
      <x:c r="AB170" s="30"/>
      <x:c r="AC170" s="30"/>
      <x:c r="AD170" s="30"/>
      <x:c r="AE170" s="30"/>
      <x:c r="AF170" s="30"/>
      <x:c r="AG170" s="30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>
      <x:c r="A171" s="1"/>
      <x:c r="B171" s="1"/>
      <x:c r="C171" s="30"/>
      <x:c r="D171" s="30"/>
      <x:c r="E171" s="30"/>
      <x:c r="F171" s="30"/>
      <x:c r="G171" s="30"/>
      <x:c r="H171" s="30"/>
      <x:c r="I171" s="30"/>
      <x:c r="J171" s="30"/>
      <x:c r="K171" s="30"/>
      <x:c r="L171" s="30"/>
      <x:c r="M171" s="30"/>
      <x:c r="N171" s="30"/>
      <x:c r="O171" s="30"/>
      <x:c r="P171" s="30"/>
      <x:c r="Q171" s="30"/>
      <x:c r="R171" s="30"/>
      <x:c r="S171" s="30"/>
      <x:c r="T171" s="30"/>
      <x:c r="U171" s="30"/>
      <x:c r="V171" s="30"/>
      <x:c r="W171" s="30"/>
      <x:c r="X171" s="30"/>
      <x:c r="Y171" s="30"/>
      <x:c r="Z171" s="30"/>
      <x:c r="AA171" s="30"/>
      <x:c r="AB171" s="30"/>
      <x:c r="AC171" s="30"/>
      <x:c r="AD171" s="30"/>
      <x:c r="AE171" s="30"/>
      <x:c r="AF171" s="30"/>
      <x:c r="AG171" s="30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>
      <x:c r="A172" s="1"/>
      <x:c r="B172" s="1"/>
      <x:c r="C172" s="30"/>
      <x:c r="D172" s="30"/>
      <x:c r="E172" s="30"/>
      <x:c r="F172" s="30"/>
      <x:c r="G172" s="30"/>
      <x:c r="H172" s="30"/>
      <x:c r="I172" s="30"/>
      <x:c r="J172" s="30"/>
      <x:c r="K172" s="30"/>
      <x:c r="L172" s="30"/>
      <x:c r="M172" s="30"/>
      <x:c r="N172" s="30"/>
      <x:c r="O172" s="30"/>
      <x:c r="P172" s="30"/>
      <x:c r="Q172" s="30"/>
      <x:c r="R172" s="30"/>
      <x:c r="S172" s="30"/>
      <x:c r="T172" s="30"/>
      <x:c r="U172" s="30"/>
      <x:c r="V172" s="30"/>
      <x:c r="W172" s="30"/>
      <x:c r="X172" s="30"/>
      <x:c r="Y172" s="30"/>
      <x:c r="Z172" s="30"/>
      <x:c r="AA172" s="30"/>
      <x:c r="AB172" s="30"/>
      <x:c r="AC172" s="30"/>
      <x:c r="AD172" s="30"/>
      <x:c r="AE172" s="30"/>
      <x:c r="AF172" s="30"/>
      <x:c r="AG172" s="30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>
      <x:c r="A173" s="1"/>
      <x:c r="B173" s="1"/>
      <x:c r="C173" s="30"/>
      <x:c r="D173" s="30"/>
      <x:c r="E173" s="30"/>
      <x:c r="F173" s="30"/>
      <x:c r="G173" s="30"/>
      <x:c r="H173" s="30"/>
      <x:c r="I173" s="30"/>
      <x:c r="J173" s="30"/>
      <x:c r="K173" s="30"/>
      <x:c r="L173" s="30"/>
      <x:c r="M173" s="30"/>
      <x:c r="N173" s="30"/>
      <x:c r="O173" s="30"/>
      <x:c r="P173" s="30"/>
      <x:c r="Q173" s="30"/>
      <x:c r="R173" s="30"/>
      <x:c r="S173" s="30"/>
      <x:c r="T173" s="30"/>
      <x:c r="U173" s="30"/>
      <x:c r="V173" s="30"/>
      <x:c r="W173" s="30"/>
      <x:c r="X173" s="30"/>
      <x:c r="Y173" s="30"/>
      <x:c r="Z173" s="30"/>
      <x:c r="AA173" s="30"/>
      <x:c r="AB173" s="30"/>
      <x:c r="AC173" s="30"/>
      <x:c r="AD173" s="30"/>
      <x:c r="AE173" s="30"/>
      <x:c r="AF173" s="30"/>
      <x:c r="AG173" s="30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>
      <x:c r="A174" s="1"/>
      <x:c r="B174" s="1"/>
      <x:c r="C174" s="30"/>
      <x:c r="D174" s="30"/>
      <x:c r="E174" s="30"/>
      <x:c r="F174" s="30"/>
      <x:c r="G174" s="30"/>
      <x:c r="H174" s="30"/>
      <x:c r="I174" s="30"/>
      <x:c r="J174" s="30"/>
      <x:c r="K174" s="30"/>
      <x:c r="L174" s="30"/>
      <x:c r="M174" s="30"/>
      <x:c r="N174" s="30"/>
      <x:c r="O174" s="30"/>
      <x:c r="P174" s="30"/>
      <x:c r="Q174" s="30"/>
      <x:c r="R174" s="30"/>
      <x:c r="S174" s="30"/>
      <x:c r="T174" s="30"/>
      <x:c r="U174" s="30"/>
      <x:c r="V174" s="30"/>
      <x:c r="W174" s="30"/>
      <x:c r="X174" s="30"/>
      <x:c r="Y174" s="30"/>
      <x:c r="Z174" s="30"/>
      <x:c r="AA174" s="30"/>
      <x:c r="AB174" s="30"/>
      <x:c r="AC174" s="30"/>
      <x:c r="AD174" s="30"/>
      <x:c r="AE174" s="30"/>
      <x:c r="AF174" s="30"/>
      <x:c r="AG174" s="30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>
      <x:c r="A175" s="1"/>
      <x:c r="B175" s="1"/>
      <x:c r="C175" s="30"/>
      <x:c r="D175" s="30"/>
      <x:c r="E175" s="30"/>
      <x:c r="F175" s="30"/>
      <x:c r="G175" s="30"/>
      <x:c r="H175" s="30"/>
      <x:c r="I175" s="30"/>
      <x:c r="J175" s="30"/>
      <x:c r="K175" s="30"/>
      <x:c r="L175" s="30"/>
      <x:c r="M175" s="30"/>
      <x:c r="N175" s="30"/>
      <x:c r="O175" s="30"/>
      <x:c r="P175" s="30"/>
      <x:c r="Q175" s="30"/>
      <x:c r="R175" s="30"/>
      <x:c r="S175" s="30"/>
      <x:c r="T175" s="30"/>
      <x:c r="U175" s="30"/>
      <x:c r="V175" s="30"/>
      <x:c r="W175" s="30"/>
      <x:c r="X175" s="30"/>
      <x:c r="Y175" s="30"/>
      <x:c r="Z175" s="30"/>
      <x:c r="AA175" s="30"/>
      <x:c r="AB175" s="30"/>
      <x:c r="AC175" s="30"/>
      <x:c r="AD175" s="30"/>
      <x:c r="AE175" s="30"/>
      <x:c r="AF175" s="30"/>
      <x:c r="AG175" s="30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>
      <x:c r="A176" s="1"/>
      <x:c r="B176" s="1"/>
      <x:c r="C176" s="30"/>
      <x:c r="D176" s="30"/>
      <x:c r="E176" s="30"/>
      <x:c r="F176" s="30"/>
      <x:c r="G176" s="30"/>
      <x:c r="H176" s="30"/>
      <x:c r="I176" s="30"/>
      <x:c r="J176" s="30"/>
      <x:c r="K176" s="30"/>
      <x:c r="L176" s="30"/>
      <x:c r="M176" s="30"/>
      <x:c r="N176" s="30"/>
      <x:c r="O176" s="30"/>
      <x:c r="P176" s="30"/>
      <x:c r="Q176" s="30"/>
      <x:c r="R176" s="30"/>
      <x:c r="S176" s="30"/>
      <x:c r="T176" s="30"/>
      <x:c r="U176" s="30"/>
      <x:c r="V176" s="30"/>
      <x:c r="W176" s="30"/>
      <x:c r="X176" s="30"/>
      <x:c r="Y176" s="30"/>
      <x:c r="Z176" s="30"/>
      <x:c r="AA176" s="30"/>
      <x:c r="AB176" s="30"/>
      <x:c r="AC176" s="30"/>
      <x:c r="AD176" s="30"/>
      <x:c r="AE176" s="30"/>
      <x:c r="AF176" s="30"/>
      <x:c r="AG176" s="30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>
      <x:c r="A177" s="1"/>
      <x:c r="B177" s="1"/>
      <x:c r="C177" s="30"/>
      <x:c r="D177" s="30"/>
      <x:c r="E177" s="30"/>
      <x:c r="F177" s="30"/>
      <x:c r="G177" s="30"/>
      <x:c r="H177" s="30"/>
      <x:c r="I177" s="30"/>
      <x:c r="J177" s="30"/>
      <x:c r="K177" s="30"/>
      <x:c r="L177" s="30"/>
      <x:c r="M177" s="30"/>
      <x:c r="N177" s="30"/>
      <x:c r="O177" s="30"/>
      <x:c r="P177" s="30"/>
      <x:c r="Q177" s="30"/>
      <x:c r="R177" s="30"/>
      <x:c r="S177" s="30"/>
      <x:c r="T177" s="30"/>
      <x:c r="U177" s="30"/>
      <x:c r="V177" s="30"/>
      <x:c r="W177" s="30"/>
      <x:c r="X177" s="30"/>
      <x:c r="Y177" s="30"/>
      <x:c r="Z177" s="30"/>
      <x:c r="AA177" s="30"/>
      <x:c r="AB177" s="30"/>
      <x:c r="AC177" s="30"/>
      <x:c r="AD177" s="30"/>
      <x:c r="AE177" s="30"/>
      <x:c r="AF177" s="30"/>
      <x:c r="AG177" s="30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>
      <x:c r="A178" s="1"/>
      <x:c r="B178" s="1"/>
      <x:c r="C178" s="30"/>
      <x:c r="D178" s="30"/>
      <x:c r="E178" s="30"/>
      <x:c r="F178" s="30"/>
      <x:c r="G178" s="30"/>
      <x:c r="H178" s="30"/>
      <x:c r="I178" s="30"/>
      <x:c r="J178" s="30"/>
      <x:c r="K178" s="30"/>
      <x:c r="L178" s="30"/>
      <x:c r="M178" s="30"/>
      <x:c r="N178" s="30"/>
      <x:c r="O178" s="30"/>
      <x:c r="P178" s="30"/>
      <x:c r="Q178" s="30"/>
      <x:c r="R178" s="30"/>
      <x:c r="S178" s="30"/>
      <x:c r="T178" s="30"/>
      <x:c r="U178" s="30"/>
      <x:c r="V178" s="30"/>
      <x:c r="W178" s="30"/>
      <x:c r="X178" s="30"/>
      <x:c r="Y178" s="30"/>
      <x:c r="Z178" s="30"/>
      <x:c r="AA178" s="30"/>
      <x:c r="AB178" s="30"/>
      <x:c r="AC178" s="30"/>
      <x:c r="AD178" s="30"/>
      <x:c r="AE178" s="30"/>
      <x:c r="AF178" s="30"/>
      <x:c r="AG178" s="30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>
      <x:c r="A179" s="1"/>
      <x:c r="B179" s="1"/>
      <x:c r="C179" s="30"/>
      <x:c r="D179" s="30"/>
      <x:c r="E179" s="30"/>
      <x:c r="F179" s="30"/>
      <x:c r="G179" s="30"/>
      <x:c r="H179" s="30"/>
      <x:c r="I179" s="30"/>
      <x:c r="J179" s="30"/>
      <x:c r="K179" s="30"/>
      <x:c r="L179" s="30"/>
      <x:c r="M179" s="30"/>
      <x:c r="N179" s="30"/>
      <x:c r="O179" s="30"/>
      <x:c r="P179" s="30"/>
      <x:c r="Q179" s="30"/>
      <x:c r="R179" s="30"/>
      <x:c r="S179" s="30"/>
      <x:c r="T179" s="30"/>
      <x:c r="U179" s="30"/>
      <x:c r="V179" s="30"/>
      <x:c r="W179" s="30"/>
      <x:c r="X179" s="30"/>
      <x:c r="Y179" s="30"/>
      <x:c r="Z179" s="30"/>
      <x:c r="AA179" s="30"/>
      <x:c r="AB179" s="30"/>
      <x:c r="AC179" s="30"/>
      <x:c r="AD179" s="30"/>
      <x:c r="AE179" s="30"/>
      <x:c r="AF179" s="30"/>
      <x:c r="AG179" s="30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>
      <x:c r="A180" s="1"/>
      <x:c r="B180" s="1"/>
      <x:c r="C180" s="30"/>
      <x:c r="D180" s="30"/>
      <x:c r="E180" s="30"/>
      <x:c r="F180" s="30"/>
      <x:c r="G180" s="30"/>
      <x:c r="H180" s="30"/>
      <x:c r="I180" s="30"/>
      <x:c r="J180" s="30"/>
      <x:c r="K180" s="30"/>
      <x:c r="L180" s="30"/>
      <x:c r="M180" s="30"/>
      <x:c r="N180" s="30"/>
      <x:c r="O180" s="30"/>
      <x:c r="P180" s="30"/>
      <x:c r="Q180" s="30"/>
      <x:c r="R180" s="30"/>
      <x:c r="S180" s="30"/>
      <x:c r="T180" s="30"/>
      <x:c r="U180" s="30"/>
      <x:c r="V180" s="30"/>
      <x:c r="W180" s="30"/>
      <x:c r="X180" s="30"/>
      <x:c r="Y180" s="30"/>
      <x:c r="Z180" s="30"/>
      <x:c r="AA180" s="30"/>
      <x:c r="AB180" s="30"/>
      <x:c r="AC180" s="30"/>
      <x:c r="AD180" s="30"/>
      <x:c r="AE180" s="30"/>
      <x:c r="AF180" s="30"/>
      <x:c r="AG180" s="30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8" hidden="0" customWidth="1"/>
    <x:col min="4" max="4" width="34" hidden="0" customWidth="1"/>
    <x:col min="5" max="5" width="19" hidden="0" customWidth="1"/>
    <x:col min="6" max="6" width="17" hidden="0" customWidth="1"/>
    <x:col min="7" max="7" width="18" hidden="0" customWidth="1"/>
    <x:col min="8" max="8" width="17" hidden="0" customWidth="1"/>
    <x:col min="9" max="9" width="22" hidden="0" customWidth="1"/>
    <x:col min="10" max="10" width="22" hidden="0" customWidth="1"/>
    <x:col min="11" max="11" width="23" hidden="0" customWidth="1"/>
    <x:col min="12" max="12" width="22" hidden="0" customWidth="1"/>
    <x:col min="13" max="13" width="24" hidden="0" customWidth="1"/>
    <x:col min="14" max="14" width="18" hidden="0" customWidth="1"/>
    <x:col min="15" max="15" width="20" hidden="0" customWidth="1"/>
    <x:col min="16" max="16" width="14" hidden="0" customWidth="1"/>
    <x:col min="17" max="17" width="13" hidden="0" customWidth="1"/>
    <x:col min="18" max="18" width="7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>
      <x:c r="A2" s="1"/>
      <x:c r="B2" s="1"/>
      <x:c r="C2" s="3" t="str">
        <x:v>Rival human-continuity service contracts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>
      <x:c r="A3" s="1"/>
      <x:c r="B3" s="1"/>
      <x:c r="C3" s="39" t="str">
        <x:v>A candidate is rejected by any failed gate. Strength in care, shelter, movement or commodities cannot compensate for a broken human route.</x:v>
      </x:c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  <x:c r="AA3" s="30"/>
      <x:c r="AB3" s="30"/>
      <x:c r="AC3" s="30"/>
      <x:c r="AD3" s="30"/>
      <x:c r="AE3" s="30"/>
      <x:c r="AF3" s="30"/>
      <x:c r="AG3" s="30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>
      <x:c r="A4" s="1"/>
      <x:c r="B4" s="1"/>
      <x:c r="C4" s="9" t="str">
        <x:v>ID</x:v>
      </x:c>
      <x:c r="D4" s="17" t="str">
        <x:v>Candidate</x:v>
      </x:c>
      <x:c r="E4" s="17" t="str">
        <x:v>Person–household–care state</x:v>
      </x:c>
      <x:c r="F4" s="17" t="str">
        <x:v>Five service routes</x:v>
      </x:c>
      <x:c r="G4" s="17" t="str">
        <x:v>Seven-stage closure</x:v>
      </x:c>
      <x:c r="H4" s="17" t="str">
        <x:v>Stay-first lawful option</x:v>
      </x:c>
      <x:c r="I4" s="17" t="str">
        <x:v>Accepted destination before movement</x:v>
      </x:c>
      <x:c r="J4" s="17" t="str">
        <x:v>Acuity episode plus supported discharge</x:v>
      </x:c>
      <x:c r="K4" s="17" t="str">
        <x:v>Accessibility, caregiver and device continuity</x:v>
      </x:c>
      <x:c r="L4" s="17" t="str">
        <x:v>Workforce replacement and regeneration</x:v>
      </x:c>
      <x:c r="M4" s="17" t="str">
        <x:v>Service and mission authority separation</x:v>
      </x:c>
      <x:c r="N4" s="17" t="str">
        <x:v>Ten-campaign portability</x:v>
      </x:c>
      <x:c r="O4" s="17" t="str">
        <x:v>Mechanism-neutral and privacy-bounded</x:v>
      </x:c>
      <x:c r="P4" s="17" t="str">
        <x:v>Gates passed</x:v>
      </x:c>
      <x:c r="Q4" s="17" t="str">
        <x:v>Decision</x:v>
      </x:c>
      <x:c r="R4" s="10" t="str">
        <x:v>Decisive failure</x:v>
      </x:c>
      <x:c r="S4" s="30"/>
      <x:c r="T4" s="30"/>
      <x:c r="U4" s="30"/>
      <x:c r="V4" s="30"/>
      <x:c r="W4" s="30"/>
      <x:c r="X4" s="30"/>
      <x:c r="Y4" s="30"/>
      <x:c r="Z4" s="30"/>
      <x:c r="AA4" s="30"/>
      <x:c r="AB4" s="30"/>
      <x:c r="AC4" s="30"/>
      <x:c r="AD4" s="30"/>
      <x:c r="AE4" s="30"/>
      <x:c r="AF4" s="30"/>
      <x:c r="AG4" s="30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>
      <x:c r="A5" s="1"/>
      <x:c r="B5" s="1"/>
      <x:c r="C5" s="30" t="str">
        <x:v>T1</x:v>
      </x:c>
      <x:c r="D5" s="30" t="str">
        <x:v>Hospital-centered hub and spoke</x:v>
      </x:c>
      <x:c r="E5" s="30" t="str">
        <x:v>PASS</x:v>
      </x:c>
      <x:c r="F5" s="30" t="str">
        <x:v>FAIL</x:v>
      </x:c>
      <x:c r="G5" s="30" t="str">
        <x:v>FAIL</x:v>
      </x:c>
      <x:c r="H5" s="30" t="str">
        <x:v>FAIL</x:v>
      </x:c>
      <x:c r="I5" s="30" t="str">
        <x:v>PASS</x:v>
      </x:c>
      <x:c r="J5" s="30" t="str">
        <x:v>PASS</x:v>
      </x:c>
      <x:c r="K5" s="30" t="str">
        <x:v>FAIL</x:v>
      </x:c>
      <x:c r="L5" s="30" t="str">
        <x:v>PASS</x:v>
      </x:c>
      <x:c r="M5" s="30" t="str">
        <x:v>PASS</x:v>
      </x:c>
      <x:c r="N5" s="30" t="str">
        <x:v>PASS</x:v>
      </x:c>
      <x:c r="O5" s="30" t="str">
        <x:v>PASS</x:v>
      </x:c>
      <x:c r="P5" s="30" t="n">
        <x:f>COUNTIFS(E5:O5,"PASS")</x:f>
        <x:v>7</x:v>
      </x:c>
      <x:c r="Q5" s="30" t="str">
        <x:f>IF(P5=11,"SELECT","REJECT")</x:f>
        <x:v>REJECT</x:v>
      </x:c>
      <x:c r="R5" s="30" t="str">
        <x:v>Clinical capacity does not preserve households, local support, accessible movement or receiver transition.</x:v>
      </x:c>
      <x:c r="S5" s="30"/>
      <x:c r="T5" s="30"/>
      <x:c r="U5" s="30"/>
      <x:c r="V5" s="30"/>
      <x:c r="W5" s="30"/>
      <x:c r="X5" s="30"/>
      <x:c r="Y5" s="30"/>
      <x:c r="Z5" s="30"/>
      <x:c r="AA5" s="30"/>
      <x:c r="AB5" s="30"/>
      <x:c r="AC5" s="30"/>
      <x:c r="AD5" s="30"/>
      <x:c r="AE5" s="30"/>
      <x:c r="AF5" s="30"/>
      <x:c r="AG5" s="30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>
      <x:c r="A6" s="1"/>
      <x:c r="B6" s="1"/>
      <x:c r="C6" s="30" t="str">
        <x:v>T2</x:v>
      </x:c>
      <x:c r="D6" s="30" t="str">
        <x:v>Mass-support campus system</x:v>
      </x:c>
      <x:c r="E6" s="30" t="str">
        <x:v>FAIL</x:v>
      </x:c>
      <x:c r="F6" s="30" t="str">
        <x:v>FAIL</x:v>
      </x:c>
      <x:c r="G6" s="30" t="str">
        <x:v>FAIL</x:v>
      </x:c>
      <x:c r="H6" s="30" t="str">
        <x:v>PASS</x:v>
      </x:c>
      <x:c r="I6" s="30" t="str">
        <x:v>PASS</x:v>
      </x:c>
      <x:c r="J6" s="30" t="str">
        <x:v>FAIL</x:v>
      </x:c>
      <x:c r="K6" s="30" t="str">
        <x:v>PASS</x:v>
      </x:c>
      <x:c r="L6" s="30" t="str">
        <x:v>FAIL</x:v>
      </x:c>
      <x:c r="M6" s="30" t="str">
        <x:v>PASS</x:v>
      </x:c>
      <x:c r="N6" s="30" t="str">
        <x:v>PASS</x:v>
      </x:c>
      <x:c r="O6" s="30" t="str">
        <x:v>PASS</x:v>
      </x:c>
      <x:c r="P6" s="30" t="n">
        <x:f>COUNTIFS(E6:O6,"PASS")</x:f>
        <x:v>6</x:v>
      </x:c>
      <x:c r="Q6" s="30" t="str">
        <x:f>IF(P6=11,"SELECT","REJECT")</x:f>
        <x:v>REJECT</x:v>
      </x:c>
      <x:c r="R6" s="30" t="str">
        <x:v>Occupied capacity cannot substitute for acuity pathways, household state or workforce regeneration.</x:v>
      </x:c>
      <x:c r="S6" s="30"/>
      <x:c r="T6" s="30"/>
      <x:c r="U6" s="30"/>
      <x:c r="V6" s="30"/>
      <x:c r="W6" s="30"/>
      <x:c r="X6" s="30"/>
      <x:c r="Y6" s="30"/>
      <x:c r="Z6" s="30"/>
      <x:c r="AA6" s="30"/>
      <x:c r="AB6" s="30"/>
      <x:c r="AC6" s="30"/>
      <x:c r="AD6" s="30"/>
      <x:c r="AE6" s="30"/>
      <x:c r="AF6" s="30"/>
      <x:c r="AG6" s="30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>
      <x:c r="A7" s="1"/>
      <x:c r="B7" s="1"/>
      <x:c r="C7" s="30" t="str">
        <x:v>T3</x:v>
      </x:c>
      <x:c r="D7" s="30" t="str">
        <x:v>Evacuation and receiving network</x:v>
      </x:c>
      <x:c r="E7" s="30" t="str">
        <x:v>PASS</x:v>
      </x:c>
      <x:c r="F7" s="30" t="str">
        <x:v>FAIL</x:v>
      </x:c>
      <x:c r="G7" s="30" t="str">
        <x:v>FAIL</x:v>
      </x:c>
      <x:c r="H7" s="30" t="str">
        <x:v>FAIL</x:v>
      </x:c>
      <x:c r="I7" s="30" t="str">
        <x:v>PASS</x:v>
      </x:c>
      <x:c r="J7" s="30" t="str">
        <x:v>FAIL</x:v>
      </x:c>
      <x:c r="K7" s="30" t="str">
        <x:v>PASS</x:v>
      </x:c>
      <x:c r="L7" s="30" t="str">
        <x:v>FAIL</x:v>
      </x:c>
      <x:c r="M7" s="30" t="str">
        <x:v>PASS</x:v>
      </x:c>
      <x:c r="N7" s="30" t="str">
        <x:v>PASS</x:v>
      </x:c>
      <x:c r="O7" s="30" t="str">
        <x:v>PASS</x:v>
      </x:c>
      <x:c r="P7" s="30" t="n">
        <x:f>COUNTIFS(E7:O7,"PASS")</x:f>
        <x:v>6</x:v>
      </x:c>
      <x:c r="Q7" s="30" t="str">
        <x:f>IF(P7=11,"SELECT","REJECT")</x:f>
        <x:v>REJECT</x:v>
      </x:c>
      <x:c r="R7" s="30" t="str">
        <x:v>Movement remains incomplete when local protection, clinical closure and regeneration sit outside the contract.</x:v>
      </x:c>
      <x:c r="S7" s="30"/>
      <x:c r="T7" s="30"/>
      <x:c r="U7" s="30"/>
      <x:c r="V7" s="30"/>
      <x:c r="W7" s="30"/>
      <x:c r="X7" s="30"/>
      <x:c r="Y7" s="30"/>
      <x:c r="Z7" s="30"/>
      <x:c r="AA7" s="30"/>
      <x:c r="AB7" s="30"/>
      <x:c r="AC7" s="30"/>
      <x:c r="AD7" s="30"/>
      <x:c r="AE7" s="30"/>
      <x:c r="AF7" s="30"/>
      <x:c r="AG7" s="30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>
      <x:c r="A8" s="1"/>
      <x:c r="B8" s="1"/>
      <x:c r="C8" s="30" t="str">
        <x:v>T4</x:v>
      </x:c>
      <x:c r="D8" s="30" t="str">
        <x:v>Commodity and entitlement delivery</x:v>
      </x:c>
      <x:c r="E8" s="30" t="str">
        <x:v>FAIL</x:v>
      </x:c>
      <x:c r="F8" s="30" t="str">
        <x:v>FAIL</x:v>
      </x:c>
      <x:c r="G8" s="30" t="str">
        <x:v>FAIL</x:v>
      </x:c>
      <x:c r="H8" s="30" t="str">
        <x:v>PASS</x:v>
      </x:c>
      <x:c r="I8" s="30" t="str">
        <x:v>FAIL</x:v>
      </x:c>
      <x:c r="J8" s="30" t="str">
        <x:v>FAIL</x:v>
      </x:c>
      <x:c r="K8" s="30" t="str">
        <x:v>FAIL</x:v>
      </x:c>
      <x:c r="L8" s="30" t="str">
        <x:v>FAIL</x:v>
      </x:c>
      <x:c r="M8" s="30" t="str">
        <x:v>PASS</x:v>
      </x:c>
      <x:c r="N8" s="30" t="str">
        <x:v>PASS</x:v>
      </x:c>
      <x:c r="O8" s="30" t="str">
        <x:v>PASS</x:v>
      </x:c>
      <x:c r="P8" s="30" t="n">
        <x:f>COUNTIFS(E8:O8,"PASS")</x:f>
        <x:v>4</x:v>
      </x:c>
      <x:c r="Q8" s="30" t="str">
        <x:f>IF(P8=11,"SELECT","REJECT")</x:f>
        <x:v>REJECT</x:v>
      </x:c>
      <x:c r="R8" s="30" t="str">
        <x:v>Goods issued do not establish the condition of a person, household, caregiver, care episode or destination.</x:v>
      </x:c>
      <x:c r="S8" s="30"/>
      <x:c r="T8" s="30"/>
      <x:c r="U8" s="30"/>
      <x:c r="V8" s="30"/>
      <x:c r="W8" s="30"/>
      <x:c r="X8" s="30"/>
      <x:c r="Y8" s="30"/>
      <x:c r="Z8" s="30"/>
      <x:c r="AA8" s="30"/>
      <x:c r="AB8" s="30"/>
      <x:c r="AC8" s="30"/>
      <x:c r="AD8" s="30"/>
      <x:c r="AE8" s="30"/>
      <x:c r="AF8" s="30"/>
      <x:c r="AG8" s="30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>
      <x:c r="A9" s="1"/>
      <x:c r="B9" s="1"/>
      <x:c r="C9" s="30" t="str">
        <x:v>T5</x:v>
      </x:c>
      <x:c r="D9" s="30" t="str">
        <x:v>Five-route, seven-stage continuity system</x:v>
      </x:c>
      <x:c r="E9" s="30" t="str">
        <x:v>PASS</x:v>
      </x:c>
      <x:c r="F9" s="30" t="str">
        <x:v>PASS</x:v>
      </x:c>
      <x:c r="G9" s="30" t="str">
        <x:v>PASS</x:v>
      </x:c>
      <x:c r="H9" s="30" t="str">
        <x:v>PASS</x:v>
      </x:c>
      <x:c r="I9" s="30" t="str">
        <x:v>PASS</x:v>
      </x:c>
      <x:c r="J9" s="30" t="str">
        <x:v>PASS</x:v>
      </x:c>
      <x:c r="K9" s="30" t="str">
        <x:v>PASS</x:v>
      </x:c>
      <x:c r="L9" s="30" t="str">
        <x:v>PASS</x:v>
      </x:c>
      <x:c r="M9" s="30" t="str">
        <x:v>PASS</x:v>
      </x:c>
      <x:c r="N9" s="30" t="str">
        <x:v>PASS</x:v>
      </x:c>
      <x:c r="O9" s="30" t="str">
        <x:v>PASS</x:v>
      </x:c>
      <x:c r="P9" s="30" t="n">
        <x:f>COUNTIFS(E9:O9,"PASS")</x:f>
        <x:v>11</x:v>
      </x:c>
      <x:c r="Q9" s="30" t="str">
        <x:f>IF(P9=11,"SELECT","REJECT")</x:f>
        <x:v>SELECT</x:v>
      </x:c>
      <x:c r="R9" s="30" t="str">
        <x:v>A common service law closes distinct routes without merging professional or civil authority.</x:v>
      </x:c>
      <x:c r="S9" s="30"/>
      <x:c r="T9" s="30"/>
      <x:c r="U9" s="30"/>
      <x:c r="V9" s="30"/>
      <x:c r="W9" s="30"/>
      <x:c r="X9" s="30"/>
      <x:c r="Y9" s="30"/>
      <x:c r="Z9" s="30"/>
      <x:c r="AA9" s="30"/>
      <x:c r="AB9" s="30"/>
      <x:c r="AC9" s="30"/>
      <x:c r="AD9" s="30"/>
      <x:c r="AE9" s="30"/>
      <x:c r="AF9" s="30"/>
      <x:c r="AG9" s="30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>
      <x:c r="A10" s="1"/>
      <x:c r="B10" s="1"/>
      <x:c r="C10" s="30"/>
      <x:c r="D10" s="30"/>
      <x:c r="E10" s="30"/>
      <x:c r="F10" s="30"/>
      <x:c r="G10" s="30"/>
      <x:c r="H10" s="30"/>
      <x:c r="I10" s="30"/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  <x:c r="AA10" s="30"/>
      <x:c r="AB10" s="30"/>
      <x:c r="AC10" s="30"/>
      <x:c r="AD10" s="30"/>
      <x:c r="AE10" s="30"/>
      <x:c r="AF10" s="30"/>
      <x:c r="AG10" s="30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>
      <x:c r="A11" s="1"/>
      <x:c r="B11" s="1"/>
      <x:c r="C11" s="30"/>
      <x:c r="D11" s="30"/>
      <x:c r="E11" s="30"/>
      <x:c r="F11" s="30"/>
      <x:c r="G11" s="30"/>
      <x:c r="H11" s="30"/>
      <x:c r="I11" s="30"/>
      <x:c r="J11" s="30"/>
      <x:c r="K11" s="30"/>
      <x:c r="L11" s="30"/>
      <x:c r="M11" s="30"/>
      <x:c r="N11" s="30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  <x:c r="AA11" s="30"/>
      <x:c r="AB11" s="30"/>
      <x:c r="AC11" s="30"/>
      <x:c r="AD11" s="30"/>
      <x:c r="AE11" s="30"/>
      <x:c r="AF11" s="30"/>
      <x:c r="AG11" s="30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>
      <x:c r="A12" s="1"/>
      <x:c r="B12" s="1"/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  <x:c r="M12" s="30"/>
      <x:c r="N12" s="30"/>
      <x:c r="O12" s="30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  <x:c r="AA12" s="30"/>
      <x:c r="AB12" s="30"/>
      <x:c r="AC12" s="30"/>
      <x:c r="AD12" s="30"/>
      <x:c r="AE12" s="30"/>
      <x:c r="AF12" s="30"/>
      <x:c r="AG12" s="30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>
      <x:c r="A13" s="1"/>
      <x:c r="B13" s="1"/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  <x:c r="N13" s="30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  <x:c r="AA13" s="30"/>
      <x:c r="AB13" s="30"/>
      <x:c r="AC13" s="30"/>
      <x:c r="AD13" s="30"/>
      <x:c r="AE13" s="30"/>
      <x:c r="AF13" s="30"/>
      <x:c r="AG13" s="30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>
      <x:c r="A14" s="1"/>
      <x:c r="B14" s="1"/>
      <x:c r="C14" s="30"/>
      <x:c r="D14" s="30"/>
      <x:c r="E14" s="30"/>
      <x:c r="F14" s="30"/>
      <x:c r="G14" s="30"/>
      <x:c r="H14" s="30"/>
      <x:c r="I14" s="30"/>
      <x:c r="J14" s="30"/>
      <x:c r="K14" s="30"/>
      <x:c r="L14" s="30"/>
      <x:c r="M14" s="30"/>
      <x:c r="N14" s="30"/>
      <x:c r="O14" s="30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  <x:c r="AA14" s="30"/>
      <x:c r="AB14" s="30"/>
      <x:c r="AC14" s="30"/>
      <x:c r="AD14" s="30"/>
      <x:c r="AE14" s="30"/>
      <x:c r="AF14" s="30"/>
      <x:c r="AG14" s="30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>
      <x:c r="A15" s="1"/>
      <x:c r="B15" s="1"/>
      <x:c r="C15" s="30"/>
      <x:c r="D15" s="30"/>
      <x:c r="E15" s="30"/>
      <x:c r="F15" s="30"/>
      <x:c r="G15" s="30"/>
      <x:c r="H15" s="30"/>
      <x:c r="I15" s="30"/>
      <x:c r="J15" s="30"/>
      <x:c r="K15" s="30"/>
      <x:c r="L15" s="30"/>
      <x:c r="M15" s="30"/>
      <x:c r="N15" s="30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  <x:c r="AA15" s="30"/>
      <x:c r="AB15" s="30"/>
      <x:c r="AC15" s="30"/>
      <x:c r="AD15" s="30"/>
      <x:c r="AE15" s="30"/>
      <x:c r="AF15" s="30"/>
      <x:c r="AG15" s="30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>
      <x:c r="A16" s="1"/>
      <x:c r="B16" s="1"/>
      <x:c r="C16" s="30"/>
      <x:c r="D16" s="30"/>
      <x:c r="E16" s="30"/>
      <x:c r="F16" s="30"/>
      <x:c r="G16" s="30"/>
      <x:c r="H16" s="30"/>
      <x:c r="I16" s="30"/>
      <x:c r="J16" s="30"/>
      <x:c r="K16" s="30"/>
      <x:c r="L16" s="30"/>
      <x:c r="M16" s="30"/>
      <x:c r="N16" s="30"/>
      <x:c r="O16" s="30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  <x:c r="AA16" s="30"/>
      <x:c r="AB16" s="30"/>
      <x:c r="AC16" s="30"/>
      <x:c r="AD16" s="30"/>
      <x:c r="AE16" s="30"/>
      <x:c r="AF16" s="30"/>
      <x:c r="AG16" s="30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>
      <x:c r="A17" s="1"/>
      <x:c r="B17" s="1"/>
      <x:c r="C17" s="30"/>
      <x:c r="D17" s="30"/>
      <x:c r="E17" s="30"/>
      <x:c r="F17" s="30"/>
      <x:c r="G17" s="30"/>
      <x:c r="H17" s="30"/>
      <x:c r="I17" s="30"/>
      <x:c r="J17" s="30"/>
      <x:c r="K17" s="30"/>
      <x:c r="L17" s="30"/>
      <x:c r="M17" s="30"/>
      <x:c r="N17" s="30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  <x:c r="AA17" s="30"/>
      <x:c r="AB17" s="30"/>
      <x:c r="AC17" s="30"/>
      <x:c r="AD17" s="30"/>
      <x:c r="AE17" s="30"/>
      <x:c r="AF17" s="30"/>
      <x:c r="AG17" s="30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>
      <x:c r="A18" s="1"/>
      <x:c r="B18" s="1"/>
      <x:c r="C18" s="30"/>
      <x:c r="D18" s="30"/>
      <x:c r="E18" s="30"/>
      <x:c r="F18" s="30"/>
      <x:c r="G18" s="30"/>
      <x:c r="H18" s="30"/>
      <x:c r="I18" s="30"/>
      <x:c r="J18" s="30"/>
      <x:c r="K18" s="30"/>
      <x:c r="L18" s="30"/>
      <x:c r="M18" s="30"/>
      <x:c r="N18" s="30"/>
      <x:c r="O18" s="30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  <x:c r="AA18" s="30"/>
      <x:c r="AB18" s="30"/>
      <x:c r="AC18" s="30"/>
      <x:c r="AD18" s="30"/>
      <x:c r="AE18" s="30"/>
      <x:c r="AF18" s="30"/>
      <x:c r="AG18" s="30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>
      <x:c r="A19" s="1"/>
      <x:c r="B19" s="1"/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  <x:c r="M19" s="30"/>
      <x:c r="N19" s="30"/>
      <x:c r="O19" s="30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  <x:c r="AA19" s="30"/>
      <x:c r="AB19" s="30"/>
      <x:c r="AC19" s="30"/>
      <x:c r="AD19" s="30"/>
      <x:c r="AE19" s="30"/>
      <x:c r="AF19" s="30"/>
      <x:c r="AG19" s="30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>
      <x:c r="A20" s="1"/>
      <x:c r="B20" s="1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  <x:c r="N20" s="30"/>
      <x:c r="O20" s="30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  <x:c r="AA20" s="30"/>
      <x:c r="AB20" s="30"/>
      <x:c r="AC20" s="30"/>
      <x:c r="AD20" s="30"/>
      <x:c r="AE20" s="30"/>
      <x:c r="AF20" s="30"/>
      <x:c r="AG20" s="30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>
      <x:c r="A21" s="1"/>
      <x:c r="B21" s="1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  <x:c r="AA21" s="30"/>
      <x:c r="AB21" s="30"/>
      <x:c r="AC21" s="30"/>
      <x:c r="AD21" s="30"/>
      <x:c r="AE21" s="30"/>
      <x:c r="AF21" s="30"/>
      <x:c r="AG21" s="30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>
      <x:c r="A22" s="1"/>
      <x:c r="B22" s="1"/>
      <x:c r="C22" s="30"/>
      <x:c r="D22" s="30"/>
      <x:c r="E22" s="30"/>
      <x:c r="F22" s="30"/>
      <x:c r="G22" s="30"/>
      <x:c r="H22" s="30"/>
      <x:c r="I22" s="30"/>
      <x:c r="J22" s="30"/>
      <x:c r="K22" s="30"/>
      <x:c r="L22" s="30"/>
      <x:c r="M22" s="30"/>
      <x:c r="N22" s="30"/>
      <x:c r="O22" s="30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  <x:c r="AA22" s="30"/>
      <x:c r="AB22" s="30"/>
      <x:c r="AC22" s="30"/>
      <x:c r="AD22" s="30"/>
      <x:c r="AE22" s="30"/>
      <x:c r="AF22" s="30"/>
      <x:c r="AG22" s="30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>
      <x:c r="A23" s="1"/>
      <x:c r="B23" s="1"/>
      <x:c r="C23" s="30"/>
      <x:c r="D23" s="30"/>
      <x:c r="E23" s="30"/>
      <x:c r="F23" s="30"/>
      <x:c r="G23" s="30"/>
      <x:c r="H23" s="30"/>
      <x:c r="I23" s="30"/>
      <x:c r="J23" s="30"/>
      <x:c r="K23" s="30"/>
      <x:c r="L23" s="30"/>
      <x:c r="M23" s="30"/>
      <x:c r="N23" s="30"/>
      <x:c r="O23" s="30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  <x:c r="AA23" s="30"/>
      <x:c r="AB23" s="30"/>
      <x:c r="AC23" s="30"/>
      <x:c r="AD23" s="30"/>
      <x:c r="AE23" s="30"/>
      <x:c r="AF23" s="30"/>
      <x:c r="AG23" s="30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>
      <x:c r="A24" s="1"/>
      <x:c r="B24" s="1"/>
      <x:c r="C24" s="30"/>
      <x:c r="D24" s="30"/>
      <x:c r="E24" s="30"/>
      <x:c r="F24" s="30"/>
      <x:c r="G24" s="30"/>
      <x:c r="H24" s="30"/>
      <x:c r="I24" s="30"/>
      <x:c r="J24" s="30"/>
      <x:c r="K24" s="30"/>
      <x:c r="L24" s="30"/>
      <x:c r="M24" s="30"/>
      <x:c r="N24" s="30"/>
      <x:c r="O24" s="30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  <x:c r="AA24" s="30"/>
      <x:c r="AB24" s="30"/>
      <x:c r="AC24" s="30"/>
      <x:c r="AD24" s="30"/>
      <x:c r="AE24" s="30"/>
      <x:c r="AF24" s="30"/>
      <x:c r="AG24" s="30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>
      <x:c r="A25" s="1"/>
      <x:c r="B25" s="1"/>
      <x:c r="C25" s="30"/>
      <x:c r="D25" s="30"/>
      <x:c r="E25" s="30"/>
      <x:c r="F25" s="30"/>
      <x:c r="G25" s="30"/>
      <x:c r="H25" s="30"/>
      <x:c r="I25" s="30"/>
      <x:c r="J25" s="30"/>
      <x:c r="K25" s="30"/>
      <x:c r="L25" s="30"/>
      <x:c r="M25" s="30"/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  <x:c r="AA25" s="30"/>
      <x:c r="AB25" s="30"/>
      <x:c r="AC25" s="30"/>
      <x:c r="AD25" s="30"/>
      <x:c r="AE25" s="30"/>
      <x:c r="AF25" s="30"/>
      <x:c r="AG25" s="30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>
      <x:c r="A26" s="1"/>
      <x:c r="B26" s="1"/>
      <x:c r="C26" s="30"/>
      <x:c r="D26" s="30"/>
      <x:c r="E26" s="30"/>
      <x:c r="F26" s="30"/>
      <x:c r="G26" s="30"/>
      <x:c r="H26" s="30"/>
      <x:c r="I26" s="30"/>
      <x:c r="J26" s="3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  <x:c r="AA26" s="30"/>
      <x:c r="AB26" s="30"/>
      <x:c r="AC26" s="30"/>
      <x:c r="AD26" s="30"/>
      <x:c r="AE26" s="30"/>
      <x:c r="AF26" s="30"/>
      <x:c r="AG26" s="30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>
      <x:c r="A27" s="1"/>
      <x:c r="B27" s="1"/>
      <x:c r="C27" s="30"/>
      <x:c r="D27" s="30"/>
      <x:c r="E27" s="30"/>
      <x:c r="F27" s="30"/>
      <x:c r="G27" s="30"/>
      <x:c r="H27" s="30"/>
      <x:c r="I27" s="30"/>
      <x:c r="J27" s="30"/>
      <x:c r="K27" s="30"/>
      <x:c r="L27" s="30"/>
      <x:c r="M27" s="30"/>
      <x:c r="N27" s="30"/>
      <x:c r="O27" s="30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  <x:c r="AA27" s="30"/>
      <x:c r="AB27" s="30"/>
      <x:c r="AC27" s="30"/>
      <x:c r="AD27" s="30"/>
      <x:c r="AE27" s="30"/>
      <x:c r="AF27" s="30"/>
      <x:c r="AG27" s="30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>
      <x:c r="A28" s="1"/>
      <x:c r="B28" s="1"/>
      <x:c r="C28" s="30"/>
      <x:c r="D28" s="30"/>
      <x:c r="E28" s="30"/>
      <x:c r="F28" s="30"/>
      <x:c r="G28" s="30"/>
      <x:c r="H28" s="30"/>
      <x:c r="I28" s="30"/>
      <x:c r="J28" s="30"/>
      <x:c r="K28" s="30"/>
      <x:c r="L28" s="30"/>
      <x:c r="M28" s="30"/>
      <x:c r="N28" s="30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  <x:c r="AA28" s="30"/>
      <x:c r="AB28" s="30"/>
      <x:c r="AC28" s="30"/>
      <x:c r="AD28" s="30"/>
      <x:c r="AE28" s="30"/>
      <x:c r="AF28" s="30"/>
      <x:c r="AG28" s="30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>
      <x:c r="A29" s="1"/>
      <x:c r="B29" s="1"/>
      <x:c r="C29" s="30"/>
      <x:c r="D29" s="30"/>
      <x:c r="E29" s="30"/>
      <x:c r="F29" s="30"/>
      <x:c r="G29" s="30"/>
      <x:c r="H29" s="30"/>
      <x:c r="I29" s="30"/>
      <x:c r="J29" s="30"/>
      <x:c r="K29" s="30"/>
      <x:c r="L29" s="30"/>
      <x:c r="M29" s="30"/>
      <x:c r="N29" s="30"/>
      <x:c r="O29" s="30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  <x:c r="AA29" s="30"/>
      <x:c r="AB29" s="30"/>
      <x:c r="AC29" s="30"/>
      <x:c r="AD29" s="30"/>
      <x:c r="AE29" s="30"/>
      <x:c r="AF29" s="30"/>
      <x:c r="AG29" s="30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>
      <x:c r="A30" s="1"/>
      <x:c r="B30" s="1"/>
      <x:c r="C30" s="30"/>
      <x:c r="D30" s="30"/>
      <x:c r="E30" s="30"/>
      <x:c r="F30" s="30"/>
      <x:c r="G30" s="30"/>
      <x:c r="H30" s="30"/>
      <x:c r="I30" s="30"/>
      <x:c r="J30" s="30"/>
      <x:c r="K30" s="30"/>
      <x:c r="L30" s="30"/>
      <x:c r="M30" s="30"/>
      <x:c r="N30" s="30"/>
      <x:c r="O30" s="30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  <x:c r="AA30" s="30"/>
      <x:c r="AB30" s="30"/>
      <x:c r="AC30" s="30"/>
      <x:c r="AD30" s="30"/>
      <x:c r="AE30" s="30"/>
      <x:c r="AF30" s="30"/>
      <x:c r="AG30" s="30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>
      <x:c r="A31" s="1"/>
      <x:c r="B31" s="1"/>
      <x:c r="C31" s="30"/>
      <x:c r="D31" s="30"/>
      <x:c r="E31" s="30"/>
      <x:c r="F31" s="30"/>
      <x:c r="G31" s="30"/>
      <x:c r="H31" s="30"/>
      <x:c r="I31" s="30"/>
      <x:c r="J31" s="30"/>
      <x:c r="K31" s="30"/>
      <x:c r="L31" s="30"/>
      <x:c r="M31" s="30"/>
      <x:c r="N31" s="30"/>
      <x:c r="O31" s="30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  <x:c r="AA31" s="30"/>
      <x:c r="AB31" s="30"/>
      <x:c r="AC31" s="30"/>
      <x:c r="AD31" s="30"/>
      <x:c r="AE31" s="30"/>
      <x:c r="AF31" s="30"/>
      <x:c r="AG31" s="30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>
      <x:c r="A32" s="1"/>
      <x:c r="B32" s="1"/>
      <x:c r="C32" s="30"/>
      <x:c r="D32" s="30"/>
      <x:c r="E32" s="30"/>
      <x:c r="F32" s="30"/>
      <x:c r="G32" s="30"/>
      <x:c r="H32" s="30"/>
      <x:c r="I32" s="30"/>
      <x:c r="J32" s="30"/>
      <x:c r="K32" s="30"/>
      <x:c r="L32" s="30"/>
      <x:c r="M32" s="30"/>
      <x:c r="N32" s="30"/>
      <x:c r="O32" s="30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  <x:c r="AA32" s="30"/>
      <x:c r="AB32" s="30"/>
      <x:c r="AC32" s="30"/>
      <x:c r="AD32" s="30"/>
      <x:c r="AE32" s="30"/>
      <x:c r="AF32" s="30"/>
      <x:c r="AG32" s="30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>
      <x:c r="A33" s="1"/>
      <x:c r="B33" s="1"/>
      <x:c r="C33" s="30"/>
      <x:c r="D33" s="30"/>
      <x:c r="E33" s="30"/>
      <x:c r="F33" s="30"/>
      <x:c r="G33" s="30"/>
      <x:c r="H33" s="30"/>
      <x:c r="I33" s="30"/>
      <x:c r="J33" s="30"/>
      <x:c r="K33" s="30"/>
      <x:c r="L33" s="30"/>
      <x:c r="M33" s="30"/>
      <x:c r="N33" s="30"/>
      <x:c r="O33" s="30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  <x:c r="AA33" s="30"/>
      <x:c r="AB33" s="30"/>
      <x:c r="AC33" s="30"/>
      <x:c r="AD33" s="30"/>
      <x:c r="AE33" s="30"/>
      <x:c r="AF33" s="30"/>
      <x:c r="AG33" s="30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>
      <x:c r="A34" s="1"/>
      <x:c r="B34" s="1"/>
      <x:c r="C34" s="30"/>
      <x:c r="D34" s="30"/>
      <x:c r="E34" s="30"/>
      <x:c r="F34" s="30"/>
      <x:c r="G34" s="30"/>
      <x:c r="H34" s="30"/>
      <x:c r="I34" s="30"/>
      <x:c r="J34" s="30"/>
      <x:c r="K34" s="30"/>
      <x:c r="L34" s="30"/>
      <x:c r="M34" s="30"/>
      <x:c r="N34" s="30"/>
      <x:c r="O34" s="30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  <x:c r="AA34" s="30"/>
      <x:c r="AB34" s="30"/>
      <x:c r="AC34" s="30"/>
      <x:c r="AD34" s="30"/>
      <x:c r="AE34" s="30"/>
      <x:c r="AF34" s="30"/>
      <x:c r="AG34" s="30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>
      <x:c r="A35" s="1"/>
      <x:c r="B35" s="1"/>
      <x:c r="C35" s="30"/>
      <x:c r="D35" s="30"/>
      <x:c r="E35" s="30"/>
      <x:c r="F35" s="30"/>
      <x:c r="G35" s="30"/>
      <x:c r="H35" s="30"/>
      <x:c r="I35" s="30"/>
      <x:c r="J35" s="30"/>
      <x:c r="K35" s="30"/>
      <x:c r="L35" s="30"/>
      <x:c r="M35" s="30"/>
      <x:c r="N35" s="30"/>
      <x:c r="O35" s="30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  <x:c r="AA35" s="30"/>
      <x:c r="AB35" s="30"/>
      <x:c r="AC35" s="30"/>
      <x:c r="AD35" s="30"/>
      <x:c r="AE35" s="30"/>
      <x:c r="AF35" s="30"/>
      <x:c r="AG35" s="30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>
      <x:c r="A36" s="1"/>
      <x:c r="B36" s="1"/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  <x:c r="M36" s="30"/>
      <x:c r="N36" s="30"/>
      <x:c r="O36" s="30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  <x:c r="AA36" s="30"/>
      <x:c r="AB36" s="30"/>
      <x:c r="AC36" s="30"/>
      <x:c r="AD36" s="30"/>
      <x:c r="AE36" s="30"/>
      <x:c r="AF36" s="30"/>
      <x:c r="AG36" s="30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>
      <x:c r="A37" s="1"/>
      <x:c r="B37" s="1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  <x:c r="O37" s="30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  <x:c r="AA37" s="30"/>
      <x:c r="AB37" s="30"/>
      <x:c r="AC37" s="30"/>
      <x:c r="AD37" s="30"/>
      <x:c r="AE37" s="30"/>
      <x:c r="AF37" s="30"/>
      <x:c r="AG37" s="30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>
      <x:c r="A38" s="1"/>
      <x:c r="B38" s="1"/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  <x:c r="O38" s="30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  <x:c r="AA38" s="30"/>
      <x:c r="AB38" s="30"/>
      <x:c r="AC38" s="30"/>
      <x:c r="AD38" s="30"/>
      <x:c r="AE38" s="30"/>
      <x:c r="AF38" s="30"/>
      <x:c r="AG38" s="30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>
      <x:c r="A39" s="1"/>
      <x:c r="B39" s="1"/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  <x:c r="O39" s="30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  <x:c r="AA39" s="30"/>
      <x:c r="AB39" s="30"/>
      <x:c r="AC39" s="30"/>
      <x:c r="AD39" s="30"/>
      <x:c r="AE39" s="30"/>
      <x:c r="AF39" s="30"/>
      <x:c r="AG39" s="30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>
      <x:c r="A40" s="1"/>
      <x:c r="B40" s="1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  <x:c r="M40" s="30"/>
      <x:c r="N40" s="30"/>
      <x:c r="O40" s="30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  <x:c r="AA40" s="30"/>
      <x:c r="AB40" s="30"/>
      <x:c r="AC40" s="30"/>
      <x:c r="AD40" s="30"/>
      <x:c r="AE40" s="30"/>
      <x:c r="AF40" s="30"/>
      <x:c r="AG40" s="30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>
      <x:c r="A41" s="1"/>
      <x:c r="B41" s="1"/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  <x:c r="AA41" s="30"/>
      <x:c r="AB41" s="30"/>
      <x:c r="AC41" s="30"/>
      <x:c r="AD41" s="30"/>
      <x:c r="AE41" s="30"/>
      <x:c r="AF41" s="30"/>
      <x:c r="AG41" s="30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>
      <x:c r="A42" s="1"/>
      <x:c r="B42" s="1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  <x:c r="AA42" s="30"/>
      <x:c r="AB42" s="30"/>
      <x:c r="AC42" s="30"/>
      <x:c r="AD42" s="30"/>
      <x:c r="AE42" s="30"/>
      <x:c r="AF42" s="30"/>
      <x:c r="AG42" s="30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>
      <x:c r="A43" s="1"/>
      <x:c r="B43" s="1"/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  <x:c r="AA43" s="30"/>
      <x:c r="AB43" s="30"/>
      <x:c r="AC43" s="30"/>
      <x:c r="AD43" s="30"/>
      <x:c r="AE43" s="30"/>
      <x:c r="AF43" s="30"/>
      <x:c r="AG43" s="30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>
      <x:c r="A44" s="1"/>
      <x:c r="B44" s="1"/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  <x:c r="M44" s="30"/>
      <x:c r="N44" s="30"/>
      <x:c r="O44" s="30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  <x:c r="AA44" s="30"/>
      <x:c r="AB44" s="30"/>
      <x:c r="AC44" s="30"/>
      <x:c r="AD44" s="30"/>
      <x:c r="AE44" s="30"/>
      <x:c r="AF44" s="30"/>
      <x:c r="AG44" s="30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>
      <x:c r="A45" s="1"/>
      <x:c r="B45" s="1"/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  <x:c r="AA45" s="30"/>
      <x:c r="AB45" s="30"/>
      <x:c r="AC45" s="30"/>
      <x:c r="AD45" s="30"/>
      <x:c r="AE45" s="30"/>
      <x:c r="AF45" s="30"/>
      <x:c r="AG45" s="30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>
      <x:c r="A46" s="1"/>
      <x:c r="B46" s="1"/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  <x:c r="M46" s="30"/>
      <x:c r="N46" s="30"/>
      <x:c r="O46" s="30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  <x:c r="AA46" s="30"/>
      <x:c r="AB46" s="30"/>
      <x:c r="AC46" s="30"/>
      <x:c r="AD46" s="30"/>
      <x:c r="AE46" s="30"/>
      <x:c r="AF46" s="30"/>
      <x:c r="AG46" s="30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>
      <x:c r="A47" s="1"/>
      <x:c r="B47" s="1"/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  <x:c r="O47" s="30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  <x:c r="AA47" s="30"/>
      <x:c r="AB47" s="30"/>
      <x:c r="AC47" s="30"/>
      <x:c r="AD47" s="30"/>
      <x:c r="AE47" s="30"/>
      <x:c r="AF47" s="30"/>
      <x:c r="AG47" s="30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>
      <x:c r="A48" s="1"/>
      <x:c r="B48" s="1"/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  <x:c r="M48" s="30"/>
      <x:c r="N48" s="30"/>
      <x:c r="O48" s="30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  <x:c r="AA48" s="30"/>
      <x:c r="AB48" s="30"/>
      <x:c r="AC48" s="30"/>
      <x:c r="AD48" s="30"/>
      <x:c r="AE48" s="30"/>
      <x:c r="AF48" s="30"/>
      <x:c r="AG48" s="30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>
      <x:c r="A49" s="1"/>
      <x:c r="B49" s="1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0"/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  <x:c r="AA49" s="30"/>
      <x:c r="AB49" s="30"/>
      <x:c r="AC49" s="30"/>
      <x:c r="AD49" s="30"/>
      <x:c r="AE49" s="30"/>
      <x:c r="AF49" s="30"/>
      <x:c r="AG49" s="30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>
      <x:c r="A50" s="1"/>
      <x:c r="B50" s="1"/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  <x:c r="O50" s="30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  <x:c r="AA50" s="30"/>
      <x:c r="AB50" s="30"/>
      <x:c r="AC50" s="30"/>
      <x:c r="AD50" s="30"/>
      <x:c r="AE50" s="30"/>
      <x:c r="AF50" s="30"/>
      <x:c r="AG50" s="30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>
      <x:c r="A51" s="1"/>
      <x:c r="B51" s="1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  <x:c r="O51" s="30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  <x:c r="AA51" s="30"/>
      <x:c r="AB51" s="30"/>
      <x:c r="AC51" s="30"/>
      <x:c r="AD51" s="30"/>
      <x:c r="AE51" s="30"/>
      <x:c r="AF51" s="30"/>
      <x:c r="AG51" s="30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>
      <x:c r="A52" s="1"/>
      <x:c r="B52" s="1"/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  <x:c r="M52" s="30"/>
      <x:c r="N52" s="30"/>
      <x:c r="O52" s="30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  <x:c r="AA52" s="30"/>
      <x:c r="AB52" s="30"/>
      <x:c r="AC52" s="30"/>
      <x:c r="AD52" s="30"/>
      <x:c r="AE52" s="30"/>
      <x:c r="AF52" s="30"/>
      <x:c r="AG52" s="30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>
      <x:c r="A53" s="1"/>
      <x:c r="B53" s="1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  <x:c r="O53" s="30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  <x:c r="AA53" s="30"/>
      <x:c r="AB53" s="30"/>
      <x:c r="AC53" s="30"/>
      <x:c r="AD53" s="30"/>
      <x:c r="AE53" s="30"/>
      <x:c r="AF53" s="30"/>
      <x:c r="AG53" s="30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>
      <x:c r="A54" s="1"/>
      <x:c r="B54" s="1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  <x:c r="AA54" s="30"/>
      <x:c r="AB54" s="30"/>
      <x:c r="AC54" s="30"/>
      <x:c r="AD54" s="30"/>
      <x:c r="AE54" s="30"/>
      <x:c r="AF54" s="30"/>
      <x:c r="AG54" s="30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>
      <x:c r="A55" s="1"/>
      <x:c r="B55" s="1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  <x:c r="AA55" s="30"/>
      <x:c r="AB55" s="30"/>
      <x:c r="AC55" s="30"/>
      <x:c r="AD55" s="30"/>
      <x:c r="AE55" s="30"/>
      <x:c r="AF55" s="30"/>
      <x:c r="AG55" s="30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>
      <x:c r="A56" s="1"/>
      <x:c r="B56" s="1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  <x:c r="AA56" s="30"/>
      <x:c r="AB56" s="30"/>
      <x:c r="AC56" s="30"/>
      <x:c r="AD56" s="30"/>
      <x:c r="AE56" s="30"/>
      <x:c r="AF56" s="30"/>
      <x:c r="AG56" s="30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>
      <x:c r="A57" s="1"/>
      <x:c r="B57" s="1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  <x:c r="AA57" s="30"/>
      <x:c r="AB57" s="30"/>
      <x:c r="AC57" s="30"/>
      <x:c r="AD57" s="30"/>
      <x:c r="AE57" s="30"/>
      <x:c r="AF57" s="30"/>
      <x:c r="AG57" s="30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>
      <x:c r="A58" s="1"/>
      <x:c r="B58" s="1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0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  <x:c r="AA58" s="30"/>
      <x:c r="AB58" s="30"/>
      <x:c r="AC58" s="30"/>
      <x:c r="AD58" s="30"/>
      <x:c r="AE58" s="30"/>
      <x:c r="AF58" s="30"/>
      <x:c r="AG58" s="30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>
      <x:c r="A59" s="1"/>
      <x:c r="B59" s="1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  <x:c r="M59" s="30"/>
      <x:c r="N59" s="30"/>
      <x:c r="O59" s="30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  <x:c r="AA59" s="30"/>
      <x:c r="AB59" s="30"/>
      <x:c r="AC59" s="30"/>
      <x:c r="AD59" s="30"/>
      <x:c r="AE59" s="30"/>
      <x:c r="AF59" s="30"/>
      <x:c r="AG59" s="30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>
      <x:c r="A60" s="1"/>
      <x:c r="B60" s="1"/>
      <x:c r="C60" s="30"/>
      <x:c r="D60" s="30"/>
      <x:c r="E60" s="30"/>
      <x:c r="F60" s="30"/>
      <x:c r="G60" s="30"/>
      <x:c r="H60" s="30"/>
      <x:c r="I60" s="30"/>
      <x:c r="J60" s="30"/>
      <x:c r="K60" s="30"/>
      <x:c r="L60" s="30"/>
      <x:c r="M60" s="30"/>
      <x:c r="N60" s="30"/>
      <x:c r="O60" s="30"/>
      <x:c r="P60" s="30"/>
      <x:c r="Q60" s="30"/>
      <x:c r="R60" s="30"/>
      <x:c r="S60" s="30"/>
      <x:c r="T60" s="30"/>
      <x:c r="U60" s="30"/>
      <x:c r="V60" s="30"/>
      <x:c r="W60" s="30"/>
      <x:c r="X60" s="30"/>
      <x:c r="Y60" s="30"/>
      <x:c r="Z60" s="30"/>
      <x:c r="AA60" s="30"/>
      <x:c r="AB60" s="30"/>
      <x:c r="AC60" s="30"/>
      <x:c r="AD60" s="30"/>
      <x:c r="AE60" s="30"/>
      <x:c r="AF60" s="30"/>
      <x:c r="AG60" s="30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>
      <x:c r="A61" s="1"/>
      <x:c r="B61" s="1"/>
      <x:c r="C61" s="30"/>
      <x:c r="D61" s="30"/>
      <x:c r="E61" s="30"/>
      <x:c r="F61" s="30"/>
      <x:c r="G61" s="30"/>
      <x:c r="H61" s="30"/>
      <x:c r="I61" s="30"/>
      <x:c r="J61" s="30"/>
      <x:c r="K61" s="30"/>
      <x:c r="L61" s="30"/>
      <x:c r="M61" s="30"/>
      <x:c r="N61" s="30"/>
      <x:c r="O61" s="30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  <x:c r="AA61" s="30"/>
      <x:c r="AB61" s="30"/>
      <x:c r="AC61" s="30"/>
      <x:c r="AD61" s="30"/>
      <x:c r="AE61" s="30"/>
      <x:c r="AF61" s="30"/>
      <x:c r="AG61" s="30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>
      <x:c r="A62" s="1"/>
      <x:c r="B62" s="1"/>
      <x:c r="C62" s="30"/>
      <x:c r="D62" s="30"/>
      <x:c r="E62" s="30"/>
      <x:c r="F62" s="30"/>
      <x:c r="G62" s="30"/>
      <x:c r="H62" s="30"/>
      <x:c r="I62" s="30"/>
      <x:c r="J62" s="30"/>
      <x:c r="K62" s="30"/>
      <x:c r="L62" s="30"/>
      <x:c r="M62" s="30"/>
      <x:c r="N62" s="30"/>
      <x:c r="O62" s="30"/>
      <x:c r="P62" s="30"/>
      <x:c r="Q62" s="30"/>
      <x:c r="R62" s="30"/>
      <x:c r="S62" s="30"/>
      <x:c r="T62" s="30"/>
      <x:c r="U62" s="30"/>
      <x:c r="V62" s="30"/>
      <x:c r="W62" s="30"/>
      <x:c r="X62" s="30"/>
      <x:c r="Y62" s="30"/>
      <x:c r="Z62" s="30"/>
      <x:c r="AA62" s="30"/>
      <x:c r="AB62" s="30"/>
      <x:c r="AC62" s="30"/>
      <x:c r="AD62" s="30"/>
      <x:c r="AE62" s="30"/>
      <x:c r="AF62" s="30"/>
      <x:c r="AG62" s="30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>
      <x:c r="A63" s="1"/>
      <x:c r="B63" s="1"/>
      <x:c r="C63" s="30"/>
      <x:c r="D63" s="30"/>
      <x:c r="E63" s="30"/>
      <x:c r="F63" s="30"/>
      <x:c r="G63" s="30"/>
      <x:c r="H63" s="30"/>
      <x:c r="I63" s="30"/>
      <x:c r="J63" s="30"/>
      <x:c r="K63" s="30"/>
      <x:c r="L63" s="30"/>
      <x:c r="M63" s="30"/>
      <x:c r="N63" s="30"/>
      <x:c r="O63" s="30"/>
      <x:c r="P63" s="30"/>
      <x:c r="Q63" s="30"/>
      <x:c r="R63" s="30"/>
      <x:c r="S63" s="30"/>
      <x:c r="T63" s="30"/>
      <x:c r="U63" s="30"/>
      <x:c r="V63" s="30"/>
      <x:c r="W63" s="30"/>
      <x:c r="X63" s="30"/>
      <x:c r="Y63" s="30"/>
      <x:c r="Z63" s="30"/>
      <x:c r="AA63" s="30"/>
      <x:c r="AB63" s="30"/>
      <x:c r="AC63" s="30"/>
      <x:c r="AD63" s="30"/>
      <x:c r="AE63" s="30"/>
      <x:c r="AF63" s="30"/>
      <x:c r="AG63" s="30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>
      <x:c r="A64" s="1"/>
      <x:c r="B64" s="1"/>
      <x:c r="C64" s="30"/>
      <x:c r="D64" s="30"/>
      <x:c r="E64" s="30"/>
      <x:c r="F64" s="30"/>
      <x:c r="G64" s="30"/>
      <x:c r="H64" s="30"/>
      <x:c r="I64" s="30"/>
      <x:c r="J64" s="30"/>
      <x:c r="K64" s="30"/>
      <x:c r="L64" s="30"/>
      <x:c r="M64" s="30"/>
      <x:c r="N64" s="30"/>
      <x:c r="O64" s="30"/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30"/>
      <x:c r="AA64" s="30"/>
      <x:c r="AB64" s="30"/>
      <x:c r="AC64" s="30"/>
      <x:c r="AD64" s="30"/>
      <x:c r="AE64" s="30"/>
      <x:c r="AF64" s="30"/>
      <x:c r="AG64" s="30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>
      <x:c r="A65" s="1"/>
      <x:c r="B65" s="1"/>
      <x:c r="C65" s="30"/>
      <x:c r="D65" s="30"/>
      <x:c r="E65" s="30"/>
      <x:c r="F65" s="30"/>
      <x:c r="G65" s="30"/>
      <x:c r="H65" s="30"/>
      <x:c r="I65" s="30"/>
      <x:c r="J65" s="30"/>
      <x:c r="K65" s="30"/>
      <x:c r="L65" s="30"/>
      <x:c r="M65" s="30"/>
      <x:c r="N65" s="30"/>
      <x:c r="O65" s="30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  <x:c r="AA65" s="30"/>
      <x:c r="AB65" s="30"/>
      <x:c r="AC65" s="30"/>
      <x:c r="AD65" s="30"/>
      <x:c r="AE65" s="30"/>
      <x:c r="AF65" s="30"/>
      <x:c r="AG65" s="30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>
      <x:c r="A66" s="1"/>
      <x:c r="B66" s="1"/>
      <x:c r="C66" s="30"/>
      <x:c r="D66" s="30"/>
      <x:c r="E66" s="30"/>
      <x:c r="F66" s="30"/>
      <x:c r="G66" s="30"/>
      <x:c r="H66" s="30"/>
      <x:c r="I66" s="30"/>
      <x:c r="J66" s="30"/>
      <x:c r="K66" s="30"/>
      <x:c r="L66" s="30"/>
      <x:c r="M66" s="30"/>
      <x:c r="N66" s="30"/>
      <x:c r="O66" s="30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  <x:c r="AA66" s="30"/>
      <x:c r="AB66" s="30"/>
      <x:c r="AC66" s="30"/>
      <x:c r="AD66" s="30"/>
      <x:c r="AE66" s="30"/>
      <x:c r="AF66" s="30"/>
      <x:c r="AG66" s="30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>
      <x:c r="A67" s="1"/>
      <x:c r="B67" s="1"/>
      <x:c r="C67" s="30"/>
      <x:c r="D67" s="30"/>
      <x:c r="E67" s="30"/>
      <x:c r="F67" s="30"/>
      <x:c r="G67" s="30"/>
      <x:c r="H67" s="30"/>
      <x:c r="I67" s="30"/>
      <x:c r="J67" s="30"/>
      <x:c r="K67" s="30"/>
      <x:c r="L67" s="30"/>
      <x:c r="M67" s="30"/>
      <x:c r="N67" s="30"/>
      <x:c r="O67" s="30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  <x:c r="AA67" s="30"/>
      <x:c r="AB67" s="30"/>
      <x:c r="AC67" s="30"/>
      <x:c r="AD67" s="30"/>
      <x:c r="AE67" s="30"/>
      <x:c r="AF67" s="30"/>
      <x:c r="AG67" s="30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>
      <x:c r="A68" s="1"/>
      <x:c r="B68" s="1"/>
      <x:c r="C68" s="30"/>
      <x:c r="D68" s="30"/>
      <x:c r="E68" s="30"/>
      <x:c r="F68" s="30"/>
      <x:c r="G68" s="30"/>
      <x:c r="H68" s="30"/>
      <x:c r="I68" s="30"/>
      <x:c r="J68" s="30"/>
      <x:c r="K68" s="30"/>
      <x:c r="L68" s="30"/>
      <x:c r="M68" s="30"/>
      <x:c r="N68" s="30"/>
      <x:c r="O68" s="30"/>
      <x:c r="P68" s="30"/>
      <x:c r="Q68" s="30"/>
      <x:c r="R68" s="30"/>
      <x:c r="S68" s="30"/>
      <x:c r="T68" s="30"/>
      <x:c r="U68" s="30"/>
      <x:c r="V68" s="30"/>
      <x:c r="W68" s="30"/>
      <x:c r="X68" s="30"/>
      <x:c r="Y68" s="30"/>
      <x:c r="Z68" s="30"/>
      <x:c r="AA68" s="30"/>
      <x:c r="AB68" s="30"/>
      <x:c r="AC68" s="30"/>
      <x:c r="AD68" s="30"/>
      <x:c r="AE68" s="30"/>
      <x:c r="AF68" s="30"/>
      <x:c r="AG68" s="30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>
      <x:c r="A69" s="1"/>
      <x:c r="B69" s="1"/>
      <x:c r="C69" s="30"/>
      <x:c r="D69" s="30"/>
      <x:c r="E69" s="30"/>
      <x:c r="F69" s="30"/>
      <x:c r="G69" s="30"/>
      <x:c r="H69" s="30"/>
      <x:c r="I69" s="30"/>
      <x:c r="J69" s="30"/>
      <x:c r="K69" s="30"/>
      <x:c r="L69" s="30"/>
      <x:c r="M69" s="30"/>
      <x:c r="N69" s="30"/>
      <x:c r="O69" s="30"/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30"/>
      <x:c r="AA69" s="30"/>
      <x:c r="AB69" s="30"/>
      <x:c r="AC69" s="30"/>
      <x:c r="AD69" s="30"/>
      <x:c r="AE69" s="30"/>
      <x:c r="AF69" s="30"/>
      <x:c r="AG69" s="30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>
      <x:c r="A70" s="1"/>
      <x:c r="B70" s="1"/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  <x:c r="M70" s="30"/>
      <x:c r="N70" s="30"/>
      <x:c r="O70" s="30"/>
      <x:c r="P70" s="30"/>
      <x:c r="Q70" s="30"/>
      <x:c r="R70" s="30"/>
      <x:c r="S70" s="30"/>
      <x:c r="T70" s="30"/>
      <x:c r="U70" s="30"/>
      <x:c r="V70" s="30"/>
      <x:c r="W70" s="30"/>
      <x:c r="X70" s="30"/>
      <x:c r="Y70" s="30"/>
      <x:c r="Z70" s="30"/>
      <x:c r="AA70" s="30"/>
      <x:c r="AB70" s="30"/>
      <x:c r="AC70" s="30"/>
      <x:c r="AD70" s="30"/>
      <x:c r="AE70" s="30"/>
      <x:c r="AF70" s="30"/>
      <x:c r="AG70" s="30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>
      <x:c r="A71" s="1"/>
      <x:c r="B71" s="1"/>
      <x:c r="C71" s="30"/>
      <x:c r="D71" s="30"/>
      <x:c r="E71" s="30"/>
      <x:c r="F71" s="30"/>
      <x:c r="G71" s="30"/>
      <x:c r="H71" s="30"/>
      <x:c r="I71" s="30"/>
      <x:c r="J71" s="30"/>
      <x:c r="K71" s="30"/>
      <x:c r="L71" s="30"/>
      <x:c r="M71" s="30"/>
      <x:c r="N71" s="30"/>
      <x:c r="O71" s="30"/>
      <x:c r="P71" s="30"/>
      <x:c r="Q71" s="30"/>
      <x:c r="R71" s="30"/>
      <x:c r="S71" s="30"/>
      <x:c r="T71" s="30"/>
      <x:c r="U71" s="30"/>
      <x:c r="V71" s="30"/>
      <x:c r="W71" s="30"/>
      <x:c r="X71" s="30"/>
      <x:c r="Y71" s="30"/>
      <x:c r="Z71" s="30"/>
      <x:c r="AA71" s="30"/>
      <x:c r="AB71" s="30"/>
      <x:c r="AC71" s="30"/>
      <x:c r="AD71" s="30"/>
      <x:c r="AE71" s="30"/>
      <x:c r="AF71" s="30"/>
      <x:c r="AG71" s="30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>
      <x:c r="A72" s="1"/>
      <x:c r="B72" s="1"/>
      <x:c r="C72" s="30"/>
      <x:c r="D72" s="30"/>
      <x:c r="E72" s="30"/>
      <x:c r="F72" s="30"/>
      <x:c r="G72" s="30"/>
      <x:c r="H72" s="30"/>
      <x:c r="I72" s="30"/>
      <x:c r="J72" s="30"/>
      <x:c r="K72" s="30"/>
      <x:c r="L72" s="30"/>
      <x:c r="M72" s="30"/>
      <x:c r="N72" s="30"/>
      <x:c r="O72" s="30"/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30"/>
      <x:c r="AA72" s="30"/>
      <x:c r="AB72" s="30"/>
      <x:c r="AC72" s="30"/>
      <x:c r="AD72" s="30"/>
      <x:c r="AE72" s="30"/>
      <x:c r="AF72" s="30"/>
      <x:c r="AG72" s="30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>
      <x:c r="A73" s="1"/>
      <x:c r="B73" s="1"/>
      <x:c r="C73" s="30"/>
      <x:c r="D73" s="30"/>
      <x:c r="E73" s="30"/>
      <x:c r="F73" s="30"/>
      <x:c r="G73" s="30"/>
      <x:c r="H73" s="30"/>
      <x:c r="I73" s="30"/>
      <x:c r="J73" s="30"/>
      <x:c r="K73" s="30"/>
      <x:c r="L73" s="30"/>
      <x:c r="M73" s="30"/>
      <x:c r="N73" s="30"/>
      <x:c r="O73" s="30"/>
      <x:c r="P73" s="30"/>
      <x:c r="Q73" s="30"/>
      <x:c r="R73" s="30"/>
      <x:c r="S73" s="30"/>
      <x:c r="T73" s="30"/>
      <x:c r="U73" s="30"/>
      <x:c r="V73" s="30"/>
      <x:c r="W73" s="30"/>
      <x:c r="X73" s="30"/>
      <x:c r="Y73" s="30"/>
      <x:c r="Z73" s="30"/>
      <x:c r="AA73" s="30"/>
      <x:c r="AB73" s="30"/>
      <x:c r="AC73" s="30"/>
      <x:c r="AD73" s="30"/>
      <x:c r="AE73" s="30"/>
      <x:c r="AF73" s="30"/>
      <x:c r="AG73" s="30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>
      <x:c r="A74" s="1"/>
      <x:c r="B74" s="1"/>
      <x:c r="C74" s="30"/>
      <x:c r="D74" s="30"/>
      <x:c r="E74" s="30"/>
      <x:c r="F74" s="30"/>
      <x:c r="G74" s="30"/>
      <x:c r="H74" s="30"/>
      <x:c r="I74" s="30"/>
      <x:c r="J74" s="30"/>
      <x:c r="K74" s="30"/>
      <x:c r="L74" s="30"/>
      <x:c r="M74" s="30"/>
      <x:c r="N74" s="30"/>
      <x:c r="O74" s="30"/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30"/>
      <x:c r="AA74" s="30"/>
      <x:c r="AB74" s="30"/>
      <x:c r="AC74" s="30"/>
      <x:c r="AD74" s="30"/>
      <x:c r="AE74" s="30"/>
      <x:c r="AF74" s="30"/>
      <x:c r="AG74" s="30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>
      <x:c r="A75" s="1"/>
      <x:c r="B75" s="1"/>
      <x:c r="C75" s="30"/>
      <x:c r="D75" s="30"/>
      <x:c r="E75" s="30"/>
      <x:c r="F75" s="30"/>
      <x:c r="G75" s="30"/>
      <x:c r="H75" s="30"/>
      <x:c r="I75" s="30"/>
      <x:c r="J75" s="30"/>
      <x:c r="K75" s="30"/>
      <x:c r="L75" s="30"/>
      <x:c r="M75" s="30"/>
      <x:c r="N75" s="30"/>
      <x:c r="O75" s="30"/>
      <x:c r="P75" s="30"/>
      <x:c r="Q75" s="30"/>
      <x:c r="R75" s="30"/>
      <x:c r="S75" s="30"/>
      <x:c r="T75" s="30"/>
      <x:c r="U75" s="30"/>
      <x:c r="V75" s="30"/>
      <x:c r="W75" s="30"/>
      <x:c r="X75" s="30"/>
      <x:c r="Y75" s="30"/>
      <x:c r="Z75" s="30"/>
      <x:c r="AA75" s="30"/>
      <x:c r="AB75" s="30"/>
      <x:c r="AC75" s="30"/>
      <x:c r="AD75" s="30"/>
      <x:c r="AE75" s="30"/>
      <x:c r="AF75" s="30"/>
      <x:c r="AG75" s="30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>
      <x:c r="A76" s="1"/>
      <x:c r="B76" s="1"/>
      <x:c r="C76" s="30"/>
      <x:c r="D76" s="30"/>
      <x:c r="E76" s="30"/>
      <x:c r="F76" s="30"/>
      <x:c r="G76" s="30"/>
      <x:c r="H76" s="30"/>
      <x:c r="I76" s="30"/>
      <x:c r="J76" s="30"/>
      <x:c r="K76" s="30"/>
      <x:c r="L76" s="30"/>
      <x:c r="M76" s="30"/>
      <x:c r="N76" s="30"/>
      <x:c r="O76" s="30"/>
      <x:c r="P76" s="30"/>
      <x:c r="Q76" s="30"/>
      <x:c r="R76" s="30"/>
      <x:c r="S76" s="30"/>
      <x:c r="T76" s="30"/>
      <x:c r="U76" s="30"/>
      <x:c r="V76" s="30"/>
      <x:c r="W76" s="30"/>
      <x:c r="X76" s="30"/>
      <x:c r="Y76" s="30"/>
      <x:c r="Z76" s="30"/>
      <x:c r="AA76" s="30"/>
      <x:c r="AB76" s="30"/>
      <x:c r="AC76" s="30"/>
      <x:c r="AD76" s="30"/>
      <x:c r="AE76" s="30"/>
      <x:c r="AF76" s="30"/>
      <x:c r="AG76" s="30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>
      <x:c r="A77" s="1"/>
      <x:c r="B77" s="1"/>
      <x:c r="C77" s="30"/>
      <x:c r="D77" s="30"/>
      <x:c r="E77" s="30"/>
      <x:c r="F77" s="30"/>
      <x:c r="G77" s="30"/>
      <x:c r="H77" s="30"/>
      <x:c r="I77" s="30"/>
      <x:c r="J77" s="30"/>
      <x:c r="K77" s="30"/>
      <x:c r="L77" s="30"/>
      <x:c r="M77" s="30"/>
      <x:c r="N77" s="30"/>
      <x:c r="O77" s="30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  <x:c r="AA77" s="30"/>
      <x:c r="AB77" s="30"/>
      <x:c r="AC77" s="30"/>
      <x:c r="AD77" s="30"/>
      <x:c r="AE77" s="30"/>
      <x:c r="AF77" s="30"/>
      <x:c r="AG77" s="30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>
      <x:c r="A78" s="1"/>
      <x:c r="B78" s="1"/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  <x:c r="O78" s="30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  <x:c r="AA78" s="30"/>
      <x:c r="AB78" s="30"/>
      <x:c r="AC78" s="30"/>
      <x:c r="AD78" s="30"/>
      <x:c r="AE78" s="30"/>
      <x:c r="AF78" s="30"/>
      <x:c r="AG78" s="30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>
      <x:c r="A79" s="1"/>
      <x:c r="B79" s="1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  <x:c r="M79" s="30"/>
      <x:c r="N79" s="30"/>
      <x:c r="O79" s="30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  <x:c r="AA79" s="30"/>
      <x:c r="AB79" s="30"/>
      <x:c r="AC79" s="30"/>
      <x:c r="AD79" s="30"/>
      <x:c r="AE79" s="30"/>
      <x:c r="AF79" s="30"/>
      <x:c r="AG79" s="30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>
      <x:c r="A80" s="1"/>
      <x:c r="B80" s="1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  <x:c r="M80" s="30"/>
      <x:c r="N80" s="30"/>
      <x:c r="O80" s="30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  <x:c r="AA80" s="30"/>
      <x:c r="AB80" s="30"/>
      <x:c r="AC80" s="30"/>
      <x:c r="AD80" s="30"/>
      <x:c r="AE80" s="30"/>
      <x:c r="AF80" s="30"/>
      <x:c r="AG80" s="30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>
      <x:c r="A81" s="1"/>
      <x:c r="B81" s="1"/>
      <x:c r="C81" s="30"/>
      <x:c r="D81" s="30"/>
      <x:c r="E81" s="30"/>
      <x:c r="F81" s="30"/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  <x:c r="AA81" s="30"/>
      <x:c r="AB81" s="30"/>
      <x:c r="AC81" s="30"/>
      <x:c r="AD81" s="30"/>
      <x:c r="AE81" s="30"/>
      <x:c r="AF81" s="30"/>
      <x:c r="AG81" s="30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>
      <x:c r="A82" s="1"/>
      <x:c r="B82" s="1"/>
      <x:c r="C82" s="30"/>
      <x:c r="D82" s="30"/>
      <x:c r="E82" s="30"/>
      <x:c r="F82" s="30"/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30"/>
      <x:c r="AA82" s="30"/>
      <x:c r="AB82" s="30"/>
      <x:c r="AC82" s="30"/>
      <x:c r="AD82" s="30"/>
      <x:c r="AE82" s="30"/>
      <x:c r="AF82" s="30"/>
      <x:c r="AG82" s="30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>
      <x:c r="A83" s="1"/>
      <x:c r="B83" s="1"/>
      <x:c r="C83" s="30"/>
      <x:c r="D83" s="30"/>
      <x:c r="E83" s="30"/>
      <x:c r="F83" s="30"/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30"/>
      <x:c r="AA83" s="30"/>
      <x:c r="AB83" s="30"/>
      <x:c r="AC83" s="30"/>
      <x:c r="AD83" s="30"/>
      <x:c r="AE83" s="30"/>
      <x:c r="AF83" s="30"/>
      <x:c r="AG83" s="30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>
      <x:c r="A84" s="1"/>
      <x:c r="B84" s="1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30"/>
      <x:c r="AA84" s="30"/>
      <x:c r="AB84" s="30"/>
      <x:c r="AC84" s="30"/>
      <x:c r="AD84" s="30"/>
      <x:c r="AE84" s="30"/>
      <x:c r="AF84" s="30"/>
      <x:c r="AG84" s="30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>
      <x:c r="A85" s="1"/>
      <x:c r="B85" s="1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30"/>
      <x:c r="AA85" s="30"/>
      <x:c r="AB85" s="30"/>
      <x:c r="AC85" s="30"/>
      <x:c r="AD85" s="30"/>
      <x:c r="AE85" s="30"/>
      <x:c r="AF85" s="30"/>
      <x:c r="AG85" s="30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>
      <x:c r="A86" s="1"/>
      <x:c r="B86" s="1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30"/>
      <x:c r="AA86" s="30"/>
      <x:c r="AB86" s="30"/>
      <x:c r="AC86" s="30"/>
      <x:c r="AD86" s="30"/>
      <x:c r="AE86" s="30"/>
      <x:c r="AF86" s="30"/>
      <x:c r="AG86" s="30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>
      <x:c r="A87" s="1"/>
      <x:c r="B87" s="1"/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  <x:c r="Y87" s="30"/>
      <x:c r="Z87" s="30"/>
      <x:c r="AA87" s="30"/>
      <x:c r="AB87" s="30"/>
      <x:c r="AC87" s="30"/>
      <x:c r="AD87" s="30"/>
      <x:c r="AE87" s="30"/>
      <x:c r="AF87" s="30"/>
      <x:c r="AG87" s="30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>
      <x:c r="A88" s="1"/>
      <x:c r="B88" s="1"/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  <x:c r="Y88" s="30"/>
      <x:c r="Z88" s="30"/>
      <x:c r="AA88" s="30"/>
      <x:c r="AB88" s="30"/>
      <x:c r="AC88" s="30"/>
      <x:c r="AD88" s="30"/>
      <x:c r="AE88" s="30"/>
      <x:c r="AF88" s="30"/>
      <x:c r="AG88" s="30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>
      <x:c r="A89" s="1"/>
      <x:c r="B89" s="1"/>
      <x:c r="C89" s="30"/>
      <x:c r="D89" s="30"/>
      <x:c r="E89" s="30"/>
      <x:c r="F89" s="30"/>
      <x:c r="G89" s="3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  <x:c r="Y89" s="30"/>
      <x:c r="Z89" s="30"/>
      <x:c r="AA89" s="30"/>
      <x:c r="AB89" s="30"/>
      <x:c r="AC89" s="30"/>
      <x:c r="AD89" s="30"/>
      <x:c r="AE89" s="30"/>
      <x:c r="AF89" s="30"/>
      <x:c r="AG89" s="30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>
      <x:c r="A90" s="1"/>
      <x:c r="B90" s="1"/>
      <x:c r="C90" s="30"/>
      <x:c r="D90" s="30"/>
      <x:c r="E90" s="30"/>
      <x:c r="F90" s="30"/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30"/>
      <x:c r="AA90" s="30"/>
      <x:c r="AB90" s="30"/>
      <x:c r="AC90" s="30"/>
      <x:c r="AD90" s="30"/>
      <x:c r="AE90" s="30"/>
      <x:c r="AF90" s="30"/>
      <x:c r="AG90" s="30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>
      <x:c r="A91" s="1"/>
      <x:c r="B91" s="1"/>
      <x:c r="C91" s="30"/>
      <x:c r="D91" s="30"/>
      <x:c r="E91" s="30"/>
      <x:c r="F91" s="30"/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30"/>
      <x:c r="AA91" s="30"/>
      <x:c r="AB91" s="30"/>
      <x:c r="AC91" s="30"/>
      <x:c r="AD91" s="30"/>
      <x:c r="AE91" s="30"/>
      <x:c r="AF91" s="30"/>
      <x:c r="AG91" s="30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>
      <x:c r="A92" s="1"/>
      <x:c r="B92" s="1"/>
      <x:c r="C92" s="30"/>
      <x:c r="D92" s="30"/>
      <x:c r="E92" s="30"/>
      <x:c r="F92" s="30"/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  <x:c r="AA92" s="30"/>
      <x:c r="AB92" s="30"/>
      <x:c r="AC92" s="30"/>
      <x:c r="AD92" s="30"/>
      <x:c r="AE92" s="30"/>
      <x:c r="AF92" s="30"/>
      <x:c r="AG92" s="30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>
      <x:c r="A93" s="1"/>
      <x:c r="B93" s="1"/>
      <x:c r="C93" s="30"/>
      <x:c r="D93" s="30"/>
      <x:c r="E93" s="30"/>
      <x:c r="F93" s="30"/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  <x:c r="AA93" s="30"/>
      <x:c r="AB93" s="30"/>
      <x:c r="AC93" s="30"/>
      <x:c r="AD93" s="30"/>
      <x:c r="AE93" s="30"/>
      <x:c r="AF93" s="30"/>
      <x:c r="AG93" s="30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>
      <x:c r="A94" s="1"/>
      <x:c r="B94" s="1"/>
      <x:c r="C94" s="30"/>
      <x:c r="D94" s="30"/>
      <x:c r="E94" s="30"/>
      <x:c r="F94" s="30"/>
      <x:c r="G94" s="3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30"/>
      <x:c r="AA94" s="30"/>
      <x:c r="AB94" s="30"/>
      <x:c r="AC94" s="30"/>
      <x:c r="AD94" s="30"/>
      <x:c r="AE94" s="30"/>
      <x:c r="AF94" s="30"/>
      <x:c r="AG94" s="30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>
      <x:c r="A95" s="1"/>
      <x:c r="B95" s="1"/>
      <x:c r="C95" s="30"/>
      <x:c r="D95" s="30"/>
      <x:c r="E95" s="30"/>
      <x:c r="F95" s="30"/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30"/>
      <x:c r="AA95" s="30"/>
      <x:c r="AB95" s="30"/>
      <x:c r="AC95" s="30"/>
      <x:c r="AD95" s="30"/>
      <x:c r="AE95" s="30"/>
      <x:c r="AF95" s="30"/>
      <x:c r="AG95" s="30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>
      <x:c r="A96" s="1"/>
      <x:c r="B96" s="1"/>
      <x:c r="C96" s="30"/>
      <x:c r="D96" s="30"/>
      <x:c r="E96" s="30"/>
      <x:c r="F96" s="30"/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30"/>
      <x:c r="AA96" s="30"/>
      <x:c r="AB96" s="30"/>
      <x:c r="AC96" s="30"/>
      <x:c r="AD96" s="30"/>
      <x:c r="AE96" s="30"/>
      <x:c r="AF96" s="30"/>
      <x:c r="AG96" s="30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>
      <x:c r="A97" s="1"/>
      <x:c r="B97" s="1"/>
      <x:c r="C97" s="30"/>
      <x:c r="D97" s="30"/>
      <x:c r="E97" s="30"/>
      <x:c r="F97" s="30"/>
      <x:c r="G97" s="3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30"/>
      <x:c r="AA97" s="30"/>
      <x:c r="AB97" s="30"/>
      <x:c r="AC97" s="30"/>
      <x:c r="AD97" s="30"/>
      <x:c r="AE97" s="30"/>
      <x:c r="AF97" s="30"/>
      <x:c r="AG97" s="30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>
      <x:c r="A98" s="1"/>
      <x:c r="B98" s="1"/>
      <x:c r="C98" s="30"/>
      <x:c r="D98" s="30"/>
      <x:c r="E98" s="30"/>
      <x:c r="F98" s="30"/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30"/>
      <x:c r="AA98" s="30"/>
      <x:c r="AB98" s="30"/>
      <x:c r="AC98" s="30"/>
      <x:c r="AD98" s="30"/>
      <x:c r="AE98" s="30"/>
      <x:c r="AF98" s="30"/>
      <x:c r="AG98" s="30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>
      <x:c r="A99" s="1"/>
      <x:c r="B99" s="1"/>
      <x:c r="C99" s="30"/>
      <x:c r="D99" s="30"/>
      <x:c r="E99" s="30"/>
      <x:c r="F99" s="30"/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30"/>
      <x:c r="AA99" s="30"/>
      <x:c r="AB99" s="30"/>
      <x:c r="AC99" s="30"/>
      <x:c r="AD99" s="30"/>
      <x:c r="AE99" s="30"/>
      <x:c r="AF99" s="30"/>
      <x:c r="AG99" s="30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>
      <x:c r="A100" s="1"/>
      <x:c r="B100" s="1"/>
      <x:c r="C100" s="30"/>
      <x:c r="D100" s="30"/>
      <x:c r="E100" s="30"/>
      <x:c r="F100" s="30"/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30"/>
      <x:c r="AA100" s="30"/>
      <x:c r="AB100" s="30"/>
      <x:c r="AC100" s="30"/>
      <x:c r="AD100" s="30"/>
      <x:c r="AE100" s="30"/>
      <x:c r="AF100" s="30"/>
      <x:c r="AG100" s="30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>
      <x:c r="A101" s="1"/>
      <x:c r="B101" s="1"/>
      <x:c r="C101" s="30"/>
      <x:c r="D101" s="30"/>
      <x:c r="E101" s="30"/>
      <x:c r="F101" s="30"/>
      <x:c r="G101" s="30"/>
      <x:c r="H101" s="30"/>
      <x:c r="I101" s="30"/>
      <x:c r="J101" s="30"/>
      <x:c r="K101" s="30"/>
      <x:c r="L101" s="30"/>
      <x:c r="M101" s="30"/>
      <x:c r="N101" s="30"/>
      <x:c r="O101" s="30"/>
      <x:c r="P101" s="30"/>
      <x:c r="Q101" s="30"/>
      <x:c r="R101" s="30"/>
      <x:c r="S101" s="30"/>
      <x:c r="T101" s="30"/>
      <x:c r="U101" s="30"/>
      <x:c r="V101" s="30"/>
      <x:c r="W101" s="30"/>
      <x:c r="X101" s="30"/>
      <x:c r="Y101" s="30"/>
      <x:c r="Z101" s="30"/>
      <x:c r="AA101" s="30"/>
      <x:c r="AB101" s="30"/>
      <x:c r="AC101" s="30"/>
      <x:c r="AD101" s="30"/>
      <x:c r="AE101" s="30"/>
      <x:c r="AF101" s="30"/>
      <x:c r="AG101" s="30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>
      <x:c r="A102" s="1"/>
      <x:c r="B102" s="1"/>
      <x:c r="C102" s="30"/>
      <x:c r="D102" s="30"/>
      <x:c r="E102" s="30"/>
      <x:c r="F102" s="30"/>
      <x:c r="G102" s="30"/>
      <x:c r="H102" s="30"/>
      <x:c r="I102" s="30"/>
      <x:c r="J102" s="30"/>
      <x:c r="K102" s="30"/>
      <x:c r="L102" s="30"/>
      <x:c r="M102" s="30"/>
      <x:c r="N102" s="30"/>
      <x:c r="O102" s="30"/>
      <x:c r="P102" s="30"/>
      <x:c r="Q102" s="30"/>
      <x:c r="R102" s="30"/>
      <x:c r="S102" s="30"/>
      <x:c r="T102" s="30"/>
      <x:c r="U102" s="30"/>
      <x:c r="V102" s="30"/>
      <x:c r="W102" s="30"/>
      <x:c r="X102" s="30"/>
      <x:c r="Y102" s="30"/>
      <x:c r="Z102" s="30"/>
      <x:c r="AA102" s="30"/>
      <x:c r="AB102" s="30"/>
      <x:c r="AC102" s="30"/>
      <x:c r="AD102" s="30"/>
      <x:c r="AE102" s="30"/>
      <x:c r="AF102" s="30"/>
      <x:c r="AG102" s="30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>
      <x:c r="A103" s="1"/>
      <x:c r="B103" s="1"/>
      <x:c r="C103" s="30"/>
      <x:c r="D103" s="30"/>
      <x:c r="E103" s="30"/>
      <x:c r="F103" s="30"/>
      <x:c r="G103" s="3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0"/>
      <x:c r="T103" s="30"/>
      <x:c r="U103" s="30"/>
      <x:c r="V103" s="30"/>
      <x:c r="W103" s="30"/>
      <x:c r="X103" s="30"/>
      <x:c r="Y103" s="30"/>
      <x:c r="Z103" s="30"/>
      <x:c r="AA103" s="30"/>
      <x:c r="AB103" s="30"/>
      <x:c r="AC103" s="30"/>
      <x:c r="AD103" s="30"/>
      <x:c r="AE103" s="30"/>
      <x:c r="AF103" s="30"/>
      <x:c r="AG103" s="30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>
      <x:c r="A104" s="1"/>
      <x:c r="B104" s="1"/>
      <x:c r="C104" s="30"/>
      <x:c r="D104" s="30"/>
      <x:c r="E104" s="30"/>
      <x:c r="F104" s="30"/>
      <x:c r="G104" s="30"/>
      <x:c r="H104" s="30"/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0"/>
      <x:c r="T104" s="30"/>
      <x:c r="U104" s="30"/>
      <x:c r="V104" s="30"/>
      <x:c r="W104" s="30"/>
      <x:c r="X104" s="30"/>
      <x:c r="Y104" s="30"/>
      <x:c r="Z104" s="30"/>
      <x:c r="AA104" s="30"/>
      <x:c r="AB104" s="30"/>
      <x:c r="AC104" s="30"/>
      <x:c r="AD104" s="30"/>
      <x:c r="AE104" s="30"/>
      <x:c r="AF104" s="30"/>
      <x:c r="AG104" s="30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>
      <x:c r="A105" s="1"/>
      <x:c r="B105" s="1"/>
      <x:c r="C105" s="30"/>
      <x:c r="D105" s="30"/>
      <x:c r="E105" s="30"/>
      <x:c r="F105" s="30"/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  <x:c r="Q105" s="30"/>
      <x:c r="R105" s="30"/>
      <x:c r="S105" s="30"/>
      <x:c r="T105" s="30"/>
      <x:c r="U105" s="30"/>
      <x:c r="V105" s="30"/>
      <x:c r="W105" s="30"/>
      <x:c r="X105" s="30"/>
      <x:c r="Y105" s="30"/>
      <x:c r="Z105" s="30"/>
      <x:c r="AA105" s="30"/>
      <x:c r="AB105" s="30"/>
      <x:c r="AC105" s="30"/>
      <x:c r="AD105" s="30"/>
      <x:c r="AE105" s="30"/>
      <x:c r="AF105" s="30"/>
      <x:c r="AG105" s="30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>
      <x:c r="A106" s="1"/>
      <x:c r="B106" s="1"/>
      <x:c r="C106" s="30"/>
      <x:c r="D106" s="30"/>
      <x:c r="E106" s="30"/>
      <x:c r="F106" s="30"/>
      <x:c r="G106" s="30"/>
      <x:c r="H106" s="30"/>
      <x:c r="I106" s="30"/>
      <x:c r="J106" s="30"/>
      <x:c r="K106" s="30"/>
      <x:c r="L106" s="30"/>
      <x:c r="M106" s="30"/>
      <x:c r="N106" s="30"/>
      <x:c r="O106" s="30"/>
      <x:c r="P106" s="30"/>
      <x:c r="Q106" s="30"/>
      <x:c r="R106" s="30"/>
      <x:c r="S106" s="30"/>
      <x:c r="T106" s="30"/>
      <x:c r="U106" s="30"/>
      <x:c r="V106" s="30"/>
      <x:c r="W106" s="30"/>
      <x:c r="X106" s="30"/>
      <x:c r="Y106" s="30"/>
      <x:c r="Z106" s="30"/>
      <x:c r="AA106" s="30"/>
      <x:c r="AB106" s="30"/>
      <x:c r="AC106" s="30"/>
      <x:c r="AD106" s="30"/>
      <x:c r="AE106" s="30"/>
      <x:c r="AF106" s="30"/>
      <x:c r="AG106" s="30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>
      <x:c r="A107" s="1"/>
      <x:c r="B107" s="1"/>
      <x:c r="C107" s="30"/>
      <x:c r="D107" s="30"/>
      <x:c r="E107" s="30"/>
      <x:c r="F107" s="30"/>
      <x:c r="G107" s="30"/>
      <x:c r="H107" s="30"/>
      <x:c r="I107" s="30"/>
      <x:c r="J107" s="30"/>
      <x:c r="K107" s="30"/>
      <x:c r="L107" s="30"/>
      <x:c r="M107" s="30"/>
      <x:c r="N107" s="30"/>
      <x:c r="O107" s="30"/>
      <x:c r="P107" s="30"/>
      <x:c r="Q107" s="30"/>
      <x:c r="R107" s="30"/>
      <x:c r="S107" s="30"/>
      <x:c r="T107" s="30"/>
      <x:c r="U107" s="30"/>
      <x:c r="V107" s="30"/>
      <x:c r="W107" s="30"/>
      <x:c r="X107" s="30"/>
      <x:c r="Y107" s="30"/>
      <x:c r="Z107" s="30"/>
      <x:c r="AA107" s="30"/>
      <x:c r="AB107" s="30"/>
      <x:c r="AC107" s="30"/>
      <x:c r="AD107" s="30"/>
      <x:c r="AE107" s="30"/>
      <x:c r="AF107" s="30"/>
      <x:c r="AG107" s="30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>
      <x:c r="A108" s="1"/>
      <x:c r="B108" s="1"/>
      <x:c r="C108" s="30"/>
      <x:c r="D108" s="30"/>
      <x:c r="E108" s="30"/>
      <x:c r="F108" s="30"/>
      <x:c r="G108" s="30"/>
      <x:c r="H108" s="30"/>
      <x:c r="I108" s="30"/>
      <x:c r="J108" s="30"/>
      <x:c r="K108" s="30"/>
      <x:c r="L108" s="30"/>
      <x:c r="M108" s="30"/>
      <x:c r="N108" s="30"/>
      <x:c r="O108" s="30"/>
      <x:c r="P108" s="30"/>
      <x:c r="Q108" s="30"/>
      <x:c r="R108" s="30"/>
      <x:c r="S108" s="30"/>
      <x:c r="T108" s="30"/>
      <x:c r="U108" s="30"/>
      <x:c r="V108" s="30"/>
      <x:c r="W108" s="30"/>
      <x:c r="X108" s="30"/>
      <x:c r="Y108" s="30"/>
      <x:c r="Z108" s="30"/>
      <x:c r="AA108" s="30"/>
      <x:c r="AB108" s="30"/>
      <x:c r="AC108" s="30"/>
      <x:c r="AD108" s="30"/>
      <x:c r="AE108" s="30"/>
      <x:c r="AF108" s="30"/>
      <x:c r="AG108" s="30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>
      <x:c r="A109" s="1"/>
      <x:c r="B109" s="1"/>
      <x:c r="C109" s="30"/>
      <x:c r="D109" s="30"/>
      <x:c r="E109" s="30"/>
      <x:c r="F109" s="30"/>
      <x:c r="G109" s="30"/>
      <x:c r="H109" s="30"/>
      <x:c r="I109" s="30"/>
      <x:c r="J109" s="30"/>
      <x:c r="K109" s="30"/>
      <x:c r="L109" s="30"/>
      <x:c r="M109" s="30"/>
      <x:c r="N109" s="30"/>
      <x:c r="O109" s="30"/>
      <x:c r="P109" s="30"/>
      <x:c r="Q109" s="30"/>
      <x:c r="R109" s="30"/>
      <x:c r="S109" s="30"/>
      <x:c r="T109" s="30"/>
      <x:c r="U109" s="30"/>
      <x:c r="V109" s="30"/>
      <x:c r="W109" s="30"/>
      <x:c r="X109" s="30"/>
      <x:c r="Y109" s="30"/>
      <x:c r="Z109" s="30"/>
      <x:c r="AA109" s="30"/>
      <x:c r="AB109" s="30"/>
      <x:c r="AC109" s="30"/>
      <x:c r="AD109" s="30"/>
      <x:c r="AE109" s="30"/>
      <x:c r="AF109" s="30"/>
      <x:c r="AG109" s="30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>
      <x:c r="A110" s="1"/>
      <x:c r="B110" s="1"/>
      <x:c r="C110" s="30"/>
      <x:c r="D110" s="30"/>
      <x:c r="E110" s="30"/>
      <x:c r="F110" s="30"/>
      <x:c r="G110" s="30"/>
      <x:c r="H110" s="30"/>
      <x:c r="I110" s="30"/>
      <x:c r="J110" s="30"/>
      <x:c r="K110" s="30"/>
      <x:c r="L110" s="30"/>
      <x:c r="M110" s="30"/>
      <x:c r="N110" s="30"/>
      <x:c r="O110" s="30"/>
      <x:c r="P110" s="30"/>
      <x:c r="Q110" s="30"/>
      <x:c r="R110" s="30"/>
      <x:c r="S110" s="30"/>
      <x:c r="T110" s="30"/>
      <x:c r="U110" s="30"/>
      <x:c r="V110" s="30"/>
      <x:c r="W110" s="30"/>
      <x:c r="X110" s="30"/>
      <x:c r="Y110" s="30"/>
      <x:c r="Z110" s="30"/>
      <x:c r="AA110" s="30"/>
      <x:c r="AB110" s="30"/>
      <x:c r="AC110" s="30"/>
      <x:c r="AD110" s="30"/>
      <x:c r="AE110" s="30"/>
      <x:c r="AF110" s="30"/>
      <x:c r="AG110" s="30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>
      <x:c r="A111" s="1"/>
      <x:c r="B111" s="1"/>
      <x:c r="C111" s="30"/>
      <x:c r="D111" s="30"/>
      <x:c r="E111" s="30"/>
      <x:c r="F111" s="30"/>
      <x:c r="G111" s="30"/>
      <x:c r="H111" s="30"/>
      <x:c r="I111" s="30"/>
      <x:c r="J111" s="30"/>
      <x:c r="K111" s="30"/>
      <x:c r="L111" s="30"/>
      <x:c r="M111" s="30"/>
      <x:c r="N111" s="30"/>
      <x:c r="O111" s="30"/>
      <x:c r="P111" s="30"/>
      <x:c r="Q111" s="30"/>
      <x:c r="R111" s="30"/>
      <x:c r="S111" s="30"/>
      <x:c r="T111" s="30"/>
      <x:c r="U111" s="30"/>
      <x:c r="V111" s="30"/>
      <x:c r="W111" s="30"/>
      <x:c r="X111" s="30"/>
      <x:c r="Y111" s="30"/>
      <x:c r="Z111" s="30"/>
      <x:c r="AA111" s="30"/>
      <x:c r="AB111" s="30"/>
      <x:c r="AC111" s="30"/>
      <x:c r="AD111" s="30"/>
      <x:c r="AE111" s="30"/>
      <x:c r="AF111" s="30"/>
      <x:c r="AG111" s="30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>
      <x:c r="A112" s="1"/>
      <x:c r="B112" s="1"/>
      <x:c r="C112" s="30"/>
      <x:c r="D112" s="30"/>
      <x:c r="E112" s="30"/>
      <x:c r="F112" s="30"/>
      <x:c r="G112" s="30"/>
      <x:c r="H112" s="30"/>
      <x:c r="I112" s="30"/>
      <x:c r="J112" s="30"/>
      <x:c r="K112" s="30"/>
      <x:c r="L112" s="30"/>
      <x:c r="M112" s="30"/>
      <x:c r="N112" s="30"/>
      <x:c r="O112" s="30"/>
      <x:c r="P112" s="30"/>
      <x:c r="Q112" s="30"/>
      <x:c r="R112" s="30"/>
      <x:c r="S112" s="30"/>
      <x:c r="T112" s="30"/>
      <x:c r="U112" s="30"/>
      <x:c r="V112" s="30"/>
      <x:c r="W112" s="30"/>
      <x:c r="X112" s="30"/>
      <x:c r="Y112" s="30"/>
      <x:c r="Z112" s="30"/>
      <x:c r="AA112" s="30"/>
      <x:c r="AB112" s="30"/>
      <x:c r="AC112" s="30"/>
      <x:c r="AD112" s="30"/>
      <x:c r="AE112" s="30"/>
      <x:c r="AF112" s="30"/>
      <x:c r="AG112" s="30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>
      <x:c r="A113" s="1"/>
      <x:c r="B113" s="1"/>
      <x:c r="C113" s="30"/>
      <x:c r="D113" s="30"/>
      <x:c r="E113" s="30"/>
      <x:c r="F113" s="30"/>
      <x:c r="G113" s="30"/>
      <x:c r="H113" s="30"/>
      <x:c r="I113" s="30"/>
      <x:c r="J113" s="30"/>
      <x:c r="K113" s="30"/>
      <x:c r="L113" s="30"/>
      <x:c r="M113" s="30"/>
      <x:c r="N113" s="30"/>
      <x:c r="O113" s="30"/>
      <x:c r="P113" s="30"/>
      <x:c r="Q113" s="30"/>
      <x:c r="R113" s="30"/>
      <x:c r="S113" s="30"/>
      <x:c r="T113" s="30"/>
      <x:c r="U113" s="30"/>
      <x:c r="V113" s="30"/>
      <x:c r="W113" s="30"/>
      <x:c r="X113" s="30"/>
      <x:c r="Y113" s="30"/>
      <x:c r="Z113" s="30"/>
      <x:c r="AA113" s="30"/>
      <x:c r="AB113" s="30"/>
      <x:c r="AC113" s="30"/>
      <x:c r="AD113" s="30"/>
      <x:c r="AE113" s="30"/>
      <x:c r="AF113" s="30"/>
      <x:c r="AG113" s="30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>
      <x:c r="A114" s="1"/>
      <x:c r="B114" s="1"/>
      <x:c r="C114" s="30"/>
      <x:c r="D114" s="30"/>
      <x:c r="E114" s="30"/>
      <x:c r="F114" s="30"/>
      <x:c r="G114" s="30"/>
      <x:c r="H114" s="30"/>
      <x:c r="I114" s="30"/>
      <x:c r="J114" s="30"/>
      <x:c r="K114" s="30"/>
      <x:c r="L114" s="30"/>
      <x:c r="M114" s="30"/>
      <x:c r="N114" s="30"/>
      <x:c r="O114" s="30"/>
      <x:c r="P114" s="30"/>
      <x:c r="Q114" s="30"/>
      <x:c r="R114" s="30"/>
      <x:c r="S114" s="30"/>
      <x:c r="T114" s="30"/>
      <x:c r="U114" s="30"/>
      <x:c r="V114" s="30"/>
      <x:c r="W114" s="30"/>
      <x:c r="X114" s="30"/>
      <x:c r="Y114" s="30"/>
      <x:c r="Z114" s="30"/>
      <x:c r="AA114" s="30"/>
      <x:c r="AB114" s="30"/>
      <x:c r="AC114" s="30"/>
      <x:c r="AD114" s="30"/>
      <x:c r="AE114" s="30"/>
      <x:c r="AF114" s="30"/>
      <x:c r="AG114" s="30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>
      <x:c r="A115" s="1"/>
      <x:c r="B115" s="1"/>
      <x:c r="C115" s="30"/>
      <x:c r="D115" s="30"/>
      <x:c r="E115" s="30"/>
      <x:c r="F115" s="30"/>
      <x:c r="G115" s="30"/>
      <x:c r="H115" s="30"/>
      <x:c r="I115" s="30"/>
      <x:c r="J115" s="30"/>
      <x:c r="K115" s="30"/>
      <x:c r="L115" s="30"/>
      <x:c r="M115" s="30"/>
      <x:c r="N115" s="30"/>
      <x:c r="O115" s="30"/>
      <x:c r="P115" s="30"/>
      <x:c r="Q115" s="30"/>
      <x:c r="R115" s="30"/>
      <x:c r="S115" s="30"/>
      <x:c r="T115" s="30"/>
      <x:c r="U115" s="30"/>
      <x:c r="V115" s="30"/>
      <x:c r="W115" s="30"/>
      <x:c r="X115" s="30"/>
      <x:c r="Y115" s="30"/>
      <x:c r="Z115" s="30"/>
      <x:c r="AA115" s="30"/>
      <x:c r="AB115" s="30"/>
      <x:c r="AC115" s="30"/>
      <x:c r="AD115" s="30"/>
      <x:c r="AE115" s="30"/>
      <x:c r="AF115" s="30"/>
      <x:c r="AG115" s="30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>
      <x:c r="A116" s="1"/>
      <x:c r="B116" s="1"/>
      <x:c r="C116" s="30"/>
      <x:c r="D116" s="30"/>
      <x:c r="E116" s="30"/>
      <x:c r="F116" s="30"/>
      <x:c r="G116" s="30"/>
      <x:c r="H116" s="30"/>
      <x:c r="I116" s="30"/>
      <x:c r="J116" s="30"/>
      <x:c r="K116" s="30"/>
      <x:c r="L116" s="30"/>
      <x:c r="M116" s="30"/>
      <x:c r="N116" s="30"/>
      <x:c r="O116" s="30"/>
      <x:c r="P116" s="30"/>
      <x:c r="Q116" s="30"/>
      <x:c r="R116" s="30"/>
      <x:c r="S116" s="30"/>
      <x:c r="T116" s="30"/>
      <x:c r="U116" s="30"/>
      <x:c r="V116" s="30"/>
      <x:c r="W116" s="30"/>
      <x:c r="X116" s="30"/>
      <x:c r="Y116" s="30"/>
      <x:c r="Z116" s="30"/>
      <x:c r="AA116" s="30"/>
      <x:c r="AB116" s="30"/>
      <x:c r="AC116" s="30"/>
      <x:c r="AD116" s="30"/>
      <x:c r="AE116" s="30"/>
      <x:c r="AF116" s="30"/>
      <x:c r="AG116" s="30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>
      <x:c r="A117" s="1"/>
      <x:c r="B117" s="1"/>
      <x:c r="C117" s="30"/>
      <x:c r="D117" s="30"/>
      <x:c r="E117" s="30"/>
      <x:c r="F117" s="30"/>
      <x:c r="G117" s="30"/>
      <x:c r="H117" s="30"/>
      <x:c r="I117" s="30"/>
      <x:c r="J117" s="30"/>
      <x:c r="K117" s="30"/>
      <x:c r="L117" s="30"/>
      <x:c r="M117" s="30"/>
      <x:c r="N117" s="30"/>
      <x:c r="O117" s="30"/>
      <x:c r="P117" s="30"/>
      <x:c r="Q117" s="30"/>
      <x:c r="R117" s="30"/>
      <x:c r="S117" s="30"/>
      <x:c r="T117" s="30"/>
      <x:c r="U117" s="30"/>
      <x:c r="V117" s="30"/>
      <x:c r="W117" s="30"/>
      <x:c r="X117" s="30"/>
      <x:c r="Y117" s="30"/>
      <x:c r="Z117" s="30"/>
      <x:c r="AA117" s="30"/>
      <x:c r="AB117" s="30"/>
      <x:c r="AC117" s="30"/>
      <x:c r="AD117" s="30"/>
      <x:c r="AE117" s="30"/>
      <x:c r="AF117" s="30"/>
      <x:c r="AG117" s="30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>
      <x:c r="A118" s="1"/>
      <x:c r="B118" s="1"/>
      <x:c r="C118" s="30"/>
      <x:c r="D118" s="30"/>
      <x:c r="E118" s="30"/>
      <x:c r="F118" s="30"/>
      <x:c r="G118" s="30"/>
      <x:c r="H118" s="30"/>
      <x:c r="I118" s="30"/>
      <x:c r="J118" s="30"/>
      <x:c r="K118" s="30"/>
      <x:c r="L118" s="30"/>
      <x:c r="M118" s="30"/>
      <x:c r="N118" s="30"/>
      <x:c r="O118" s="30"/>
      <x:c r="P118" s="30"/>
      <x:c r="Q118" s="30"/>
      <x:c r="R118" s="30"/>
      <x:c r="S118" s="30"/>
      <x:c r="T118" s="30"/>
      <x:c r="U118" s="30"/>
      <x:c r="V118" s="30"/>
      <x:c r="W118" s="30"/>
      <x:c r="X118" s="30"/>
      <x:c r="Y118" s="30"/>
      <x:c r="Z118" s="30"/>
      <x:c r="AA118" s="30"/>
      <x:c r="AB118" s="30"/>
      <x:c r="AC118" s="30"/>
      <x:c r="AD118" s="30"/>
      <x:c r="AE118" s="30"/>
      <x:c r="AF118" s="30"/>
      <x:c r="AG118" s="30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>
      <x:c r="A119" s="1"/>
      <x:c r="B119" s="1"/>
      <x:c r="C119" s="30"/>
      <x:c r="D119" s="30"/>
      <x:c r="E119" s="30"/>
      <x:c r="F119" s="30"/>
      <x:c r="G119" s="30"/>
      <x:c r="H119" s="30"/>
      <x:c r="I119" s="30"/>
      <x:c r="J119" s="30"/>
      <x:c r="K119" s="30"/>
      <x:c r="L119" s="30"/>
      <x:c r="M119" s="30"/>
      <x:c r="N119" s="30"/>
      <x:c r="O119" s="30"/>
      <x:c r="P119" s="30"/>
      <x:c r="Q119" s="30"/>
      <x:c r="R119" s="30"/>
      <x:c r="S119" s="30"/>
      <x:c r="T119" s="30"/>
      <x:c r="U119" s="30"/>
      <x:c r="V119" s="30"/>
      <x:c r="W119" s="30"/>
      <x:c r="X119" s="30"/>
      <x:c r="Y119" s="30"/>
      <x:c r="Z119" s="30"/>
      <x:c r="AA119" s="30"/>
      <x:c r="AB119" s="30"/>
      <x:c r="AC119" s="30"/>
      <x:c r="AD119" s="30"/>
      <x:c r="AE119" s="30"/>
      <x:c r="AF119" s="30"/>
      <x:c r="AG119" s="30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>
      <x:c r="A120" s="1"/>
      <x:c r="B120" s="1"/>
      <x:c r="C120" s="30"/>
      <x:c r="D120" s="30"/>
      <x:c r="E120" s="30"/>
      <x:c r="F120" s="30"/>
      <x:c r="G120" s="30"/>
      <x:c r="H120" s="30"/>
      <x:c r="I120" s="30"/>
      <x:c r="J120" s="30"/>
      <x:c r="K120" s="30"/>
      <x:c r="L120" s="30"/>
      <x:c r="M120" s="30"/>
      <x:c r="N120" s="30"/>
      <x:c r="O120" s="30"/>
      <x:c r="P120" s="30"/>
      <x:c r="Q120" s="30"/>
      <x:c r="R120" s="30"/>
      <x:c r="S120" s="30"/>
      <x:c r="T120" s="30"/>
      <x:c r="U120" s="30"/>
      <x:c r="V120" s="30"/>
      <x:c r="W120" s="30"/>
      <x:c r="X120" s="30"/>
      <x:c r="Y120" s="30"/>
      <x:c r="Z120" s="30"/>
      <x:c r="AA120" s="30"/>
      <x:c r="AB120" s="30"/>
      <x:c r="AC120" s="30"/>
      <x:c r="AD120" s="30"/>
      <x:c r="AE120" s="30"/>
      <x:c r="AF120" s="30"/>
      <x:c r="AG120" s="30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>
      <x:c r="A121" s="1"/>
      <x:c r="B121" s="1"/>
      <x:c r="C121" s="30"/>
      <x:c r="D121" s="30"/>
      <x:c r="E121" s="30"/>
      <x:c r="F121" s="30"/>
      <x:c r="G121" s="30"/>
      <x:c r="H121" s="30"/>
      <x:c r="I121" s="30"/>
      <x:c r="J121" s="30"/>
      <x:c r="K121" s="30"/>
      <x:c r="L121" s="30"/>
      <x:c r="M121" s="30"/>
      <x:c r="N121" s="30"/>
      <x:c r="O121" s="30"/>
      <x:c r="P121" s="30"/>
      <x:c r="Q121" s="30"/>
      <x:c r="R121" s="30"/>
      <x:c r="S121" s="30"/>
      <x:c r="T121" s="30"/>
      <x:c r="U121" s="30"/>
      <x:c r="V121" s="30"/>
      <x:c r="W121" s="30"/>
      <x:c r="X121" s="30"/>
      <x:c r="Y121" s="30"/>
      <x:c r="Z121" s="30"/>
      <x:c r="AA121" s="30"/>
      <x:c r="AB121" s="30"/>
      <x:c r="AC121" s="30"/>
      <x:c r="AD121" s="30"/>
      <x:c r="AE121" s="30"/>
      <x:c r="AF121" s="30"/>
      <x:c r="AG121" s="30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>
      <x:c r="A122" s="1"/>
      <x:c r="B122" s="1"/>
      <x:c r="C122" s="30"/>
      <x:c r="D122" s="30"/>
      <x:c r="E122" s="30"/>
      <x:c r="F122" s="30"/>
      <x:c r="G122" s="30"/>
      <x:c r="H122" s="30"/>
      <x:c r="I122" s="30"/>
      <x:c r="J122" s="30"/>
      <x:c r="K122" s="30"/>
      <x:c r="L122" s="30"/>
      <x:c r="M122" s="30"/>
      <x:c r="N122" s="30"/>
      <x:c r="O122" s="30"/>
      <x:c r="P122" s="30"/>
      <x:c r="Q122" s="30"/>
      <x:c r="R122" s="30"/>
      <x:c r="S122" s="30"/>
      <x:c r="T122" s="30"/>
      <x:c r="U122" s="30"/>
      <x:c r="V122" s="30"/>
      <x:c r="W122" s="30"/>
      <x:c r="X122" s="30"/>
      <x:c r="Y122" s="30"/>
      <x:c r="Z122" s="30"/>
      <x:c r="AA122" s="30"/>
      <x:c r="AB122" s="30"/>
      <x:c r="AC122" s="30"/>
      <x:c r="AD122" s="30"/>
      <x:c r="AE122" s="30"/>
      <x:c r="AF122" s="30"/>
      <x:c r="AG122" s="30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>
      <x:c r="A123" s="1"/>
      <x:c r="B123" s="1"/>
      <x:c r="C123" s="30"/>
      <x:c r="D123" s="30"/>
      <x:c r="E123" s="30"/>
      <x:c r="F123" s="30"/>
      <x:c r="G123" s="30"/>
      <x:c r="H123" s="30"/>
      <x:c r="I123" s="30"/>
      <x:c r="J123" s="30"/>
      <x:c r="K123" s="30"/>
      <x:c r="L123" s="30"/>
      <x:c r="M123" s="30"/>
      <x:c r="N123" s="30"/>
      <x:c r="O123" s="30"/>
      <x:c r="P123" s="30"/>
      <x:c r="Q123" s="30"/>
      <x:c r="R123" s="30"/>
      <x:c r="S123" s="30"/>
      <x:c r="T123" s="30"/>
      <x:c r="U123" s="30"/>
      <x:c r="V123" s="30"/>
      <x:c r="W123" s="30"/>
      <x:c r="X123" s="30"/>
      <x:c r="Y123" s="30"/>
      <x:c r="Z123" s="30"/>
      <x:c r="AA123" s="30"/>
      <x:c r="AB123" s="30"/>
      <x:c r="AC123" s="30"/>
      <x:c r="AD123" s="30"/>
      <x:c r="AE123" s="30"/>
      <x:c r="AF123" s="30"/>
      <x:c r="AG123" s="30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>
      <x:c r="A124" s="1"/>
      <x:c r="B124" s="1"/>
      <x:c r="C124" s="30"/>
      <x:c r="D124" s="30"/>
      <x:c r="E124" s="30"/>
      <x:c r="F124" s="30"/>
      <x:c r="G124" s="30"/>
      <x:c r="H124" s="30"/>
      <x:c r="I124" s="30"/>
      <x:c r="J124" s="30"/>
      <x:c r="K124" s="30"/>
      <x:c r="L124" s="30"/>
      <x:c r="M124" s="30"/>
      <x:c r="N124" s="30"/>
      <x:c r="O124" s="30"/>
      <x:c r="P124" s="30"/>
      <x:c r="Q124" s="30"/>
      <x:c r="R124" s="30"/>
      <x:c r="S124" s="30"/>
      <x:c r="T124" s="30"/>
      <x:c r="U124" s="30"/>
      <x:c r="V124" s="30"/>
      <x:c r="W124" s="30"/>
      <x:c r="X124" s="30"/>
      <x:c r="Y124" s="30"/>
      <x:c r="Z124" s="30"/>
      <x:c r="AA124" s="30"/>
      <x:c r="AB124" s="30"/>
      <x:c r="AC124" s="30"/>
      <x:c r="AD124" s="30"/>
      <x:c r="AE124" s="30"/>
      <x:c r="AF124" s="30"/>
      <x:c r="AG124" s="30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>
      <x:c r="A125" s="1"/>
      <x:c r="B125" s="1"/>
      <x:c r="C125" s="30"/>
      <x:c r="D125" s="30"/>
      <x:c r="E125" s="30"/>
      <x:c r="F125" s="30"/>
      <x:c r="G125" s="30"/>
      <x:c r="H125" s="30"/>
      <x:c r="I125" s="30"/>
      <x:c r="J125" s="30"/>
      <x:c r="K125" s="30"/>
      <x:c r="L125" s="30"/>
      <x:c r="M125" s="30"/>
      <x:c r="N125" s="30"/>
      <x:c r="O125" s="30"/>
      <x:c r="P125" s="30"/>
      <x:c r="Q125" s="30"/>
      <x:c r="R125" s="30"/>
      <x:c r="S125" s="30"/>
      <x:c r="T125" s="30"/>
      <x:c r="U125" s="30"/>
      <x:c r="V125" s="30"/>
      <x:c r="W125" s="30"/>
      <x:c r="X125" s="30"/>
      <x:c r="Y125" s="30"/>
      <x:c r="Z125" s="30"/>
      <x:c r="AA125" s="30"/>
      <x:c r="AB125" s="30"/>
      <x:c r="AC125" s="30"/>
      <x:c r="AD125" s="30"/>
      <x:c r="AE125" s="30"/>
      <x:c r="AF125" s="30"/>
      <x:c r="AG125" s="30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>
      <x:c r="A126" s="1"/>
      <x:c r="B126" s="1"/>
      <x:c r="C126" s="30"/>
      <x:c r="D126" s="30"/>
      <x:c r="E126" s="30"/>
      <x:c r="F126" s="30"/>
      <x:c r="G126" s="30"/>
      <x:c r="H126" s="30"/>
      <x:c r="I126" s="30"/>
      <x:c r="J126" s="30"/>
      <x:c r="K126" s="30"/>
      <x:c r="L126" s="30"/>
      <x:c r="M126" s="30"/>
      <x:c r="N126" s="30"/>
      <x:c r="O126" s="30"/>
      <x:c r="P126" s="30"/>
      <x:c r="Q126" s="30"/>
      <x:c r="R126" s="30"/>
      <x:c r="S126" s="30"/>
      <x:c r="T126" s="30"/>
      <x:c r="U126" s="30"/>
      <x:c r="V126" s="30"/>
      <x:c r="W126" s="30"/>
      <x:c r="X126" s="30"/>
      <x:c r="Y126" s="30"/>
      <x:c r="Z126" s="30"/>
      <x:c r="AA126" s="30"/>
      <x:c r="AB126" s="30"/>
      <x:c r="AC126" s="30"/>
      <x:c r="AD126" s="30"/>
      <x:c r="AE126" s="30"/>
      <x:c r="AF126" s="30"/>
      <x:c r="AG126" s="30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>
      <x:c r="A127" s="1"/>
      <x:c r="B127" s="1"/>
      <x:c r="C127" s="30"/>
      <x:c r="D127" s="30"/>
      <x:c r="E127" s="30"/>
      <x:c r="F127" s="30"/>
      <x:c r="G127" s="30"/>
      <x:c r="H127" s="30"/>
      <x:c r="I127" s="30"/>
      <x:c r="J127" s="30"/>
      <x:c r="K127" s="30"/>
      <x:c r="L127" s="30"/>
      <x:c r="M127" s="30"/>
      <x:c r="N127" s="30"/>
      <x:c r="O127" s="30"/>
      <x:c r="P127" s="30"/>
      <x:c r="Q127" s="30"/>
      <x:c r="R127" s="30"/>
      <x:c r="S127" s="30"/>
      <x:c r="T127" s="30"/>
      <x:c r="U127" s="30"/>
      <x:c r="V127" s="30"/>
      <x:c r="W127" s="30"/>
      <x:c r="X127" s="30"/>
      <x:c r="Y127" s="30"/>
      <x:c r="Z127" s="30"/>
      <x:c r="AA127" s="30"/>
      <x:c r="AB127" s="30"/>
      <x:c r="AC127" s="30"/>
      <x:c r="AD127" s="30"/>
      <x:c r="AE127" s="30"/>
      <x:c r="AF127" s="30"/>
      <x:c r="AG127" s="30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>
      <x:c r="A128" s="1"/>
      <x:c r="B128" s="1"/>
      <x:c r="C128" s="30"/>
      <x:c r="D128" s="30"/>
      <x:c r="E128" s="30"/>
      <x:c r="F128" s="30"/>
      <x:c r="G128" s="30"/>
      <x:c r="H128" s="30"/>
      <x:c r="I128" s="30"/>
      <x:c r="J128" s="30"/>
      <x:c r="K128" s="30"/>
      <x:c r="L128" s="30"/>
      <x:c r="M128" s="30"/>
      <x:c r="N128" s="30"/>
      <x:c r="O128" s="30"/>
      <x:c r="P128" s="30"/>
      <x:c r="Q128" s="30"/>
      <x:c r="R128" s="30"/>
      <x:c r="S128" s="30"/>
      <x:c r="T128" s="30"/>
      <x:c r="U128" s="30"/>
      <x:c r="V128" s="30"/>
      <x:c r="W128" s="30"/>
      <x:c r="X128" s="30"/>
      <x:c r="Y128" s="30"/>
      <x:c r="Z128" s="30"/>
      <x:c r="AA128" s="30"/>
      <x:c r="AB128" s="30"/>
      <x:c r="AC128" s="30"/>
      <x:c r="AD128" s="30"/>
      <x:c r="AE128" s="30"/>
      <x:c r="AF128" s="30"/>
      <x:c r="AG128" s="30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>
      <x:c r="A129" s="1"/>
      <x:c r="B129" s="1"/>
      <x:c r="C129" s="30"/>
      <x:c r="D129" s="30"/>
      <x:c r="E129" s="30"/>
      <x:c r="F129" s="30"/>
      <x:c r="G129" s="30"/>
      <x:c r="H129" s="30"/>
      <x:c r="I129" s="30"/>
      <x:c r="J129" s="30"/>
      <x:c r="K129" s="30"/>
      <x:c r="L129" s="30"/>
      <x:c r="M129" s="30"/>
      <x:c r="N129" s="30"/>
      <x:c r="O129" s="30"/>
      <x:c r="P129" s="30"/>
      <x:c r="Q129" s="30"/>
      <x:c r="R129" s="30"/>
      <x:c r="S129" s="30"/>
      <x:c r="T129" s="30"/>
      <x:c r="U129" s="30"/>
      <x:c r="V129" s="30"/>
      <x:c r="W129" s="30"/>
      <x:c r="X129" s="30"/>
      <x:c r="Y129" s="30"/>
      <x:c r="Z129" s="30"/>
      <x:c r="AA129" s="30"/>
      <x:c r="AB129" s="30"/>
      <x:c r="AC129" s="30"/>
      <x:c r="AD129" s="30"/>
      <x:c r="AE129" s="30"/>
      <x:c r="AF129" s="30"/>
      <x:c r="AG129" s="30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>
      <x:c r="A130" s="1"/>
      <x:c r="B130" s="1"/>
      <x:c r="C130" s="30"/>
      <x:c r="D130" s="30"/>
      <x:c r="E130" s="30"/>
      <x:c r="F130" s="30"/>
      <x:c r="G130" s="30"/>
      <x:c r="H130" s="30"/>
      <x:c r="I130" s="30"/>
      <x:c r="J130" s="30"/>
      <x:c r="K130" s="30"/>
      <x:c r="L130" s="30"/>
      <x:c r="M130" s="30"/>
      <x:c r="N130" s="30"/>
      <x:c r="O130" s="30"/>
      <x:c r="P130" s="30"/>
      <x:c r="Q130" s="30"/>
      <x:c r="R130" s="30"/>
      <x:c r="S130" s="30"/>
      <x:c r="T130" s="30"/>
      <x:c r="U130" s="30"/>
      <x:c r="V130" s="30"/>
      <x:c r="W130" s="30"/>
      <x:c r="X130" s="30"/>
      <x:c r="Y130" s="30"/>
      <x:c r="Z130" s="30"/>
      <x:c r="AA130" s="30"/>
      <x:c r="AB130" s="30"/>
      <x:c r="AC130" s="30"/>
      <x:c r="AD130" s="30"/>
      <x:c r="AE130" s="30"/>
      <x:c r="AF130" s="30"/>
      <x:c r="AG130" s="30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>
      <x:c r="A131" s="1"/>
      <x:c r="B131" s="1"/>
      <x:c r="C131" s="30"/>
      <x:c r="D131" s="30"/>
      <x:c r="E131" s="30"/>
      <x:c r="F131" s="30"/>
      <x:c r="G131" s="30"/>
      <x:c r="H131" s="30"/>
      <x:c r="I131" s="30"/>
      <x:c r="J131" s="30"/>
      <x:c r="K131" s="30"/>
      <x:c r="L131" s="30"/>
      <x:c r="M131" s="30"/>
      <x:c r="N131" s="30"/>
      <x:c r="O131" s="30"/>
      <x:c r="P131" s="30"/>
      <x:c r="Q131" s="30"/>
      <x:c r="R131" s="30"/>
      <x:c r="S131" s="30"/>
      <x:c r="T131" s="30"/>
      <x:c r="U131" s="30"/>
      <x:c r="V131" s="30"/>
      <x:c r="W131" s="30"/>
      <x:c r="X131" s="30"/>
      <x:c r="Y131" s="30"/>
      <x:c r="Z131" s="30"/>
      <x:c r="AA131" s="30"/>
      <x:c r="AB131" s="30"/>
      <x:c r="AC131" s="30"/>
      <x:c r="AD131" s="30"/>
      <x:c r="AE131" s="30"/>
      <x:c r="AF131" s="30"/>
      <x:c r="AG131" s="30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>
      <x:c r="A132" s="1"/>
      <x:c r="B132" s="1"/>
      <x:c r="C132" s="30"/>
      <x:c r="D132" s="30"/>
      <x:c r="E132" s="30"/>
      <x:c r="F132" s="30"/>
      <x:c r="G132" s="30"/>
      <x:c r="H132" s="30"/>
      <x:c r="I132" s="30"/>
      <x:c r="J132" s="30"/>
      <x:c r="K132" s="30"/>
      <x:c r="L132" s="30"/>
      <x:c r="M132" s="30"/>
      <x:c r="N132" s="30"/>
      <x:c r="O132" s="30"/>
      <x:c r="P132" s="30"/>
      <x:c r="Q132" s="30"/>
      <x:c r="R132" s="30"/>
      <x:c r="S132" s="30"/>
      <x:c r="T132" s="30"/>
      <x:c r="U132" s="30"/>
      <x:c r="V132" s="30"/>
      <x:c r="W132" s="30"/>
      <x:c r="X132" s="30"/>
      <x:c r="Y132" s="30"/>
      <x:c r="Z132" s="30"/>
      <x:c r="AA132" s="30"/>
      <x:c r="AB132" s="30"/>
      <x:c r="AC132" s="30"/>
      <x:c r="AD132" s="30"/>
      <x:c r="AE132" s="30"/>
      <x:c r="AF132" s="30"/>
      <x:c r="AG132" s="30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>
      <x:c r="A133" s="1"/>
      <x:c r="B133" s="1"/>
      <x:c r="C133" s="30"/>
      <x:c r="D133" s="30"/>
      <x:c r="E133" s="30"/>
      <x:c r="F133" s="30"/>
      <x:c r="G133" s="30"/>
      <x:c r="H133" s="30"/>
      <x:c r="I133" s="30"/>
      <x:c r="J133" s="30"/>
      <x:c r="K133" s="30"/>
      <x:c r="L133" s="30"/>
      <x:c r="M133" s="30"/>
      <x:c r="N133" s="30"/>
      <x:c r="O133" s="30"/>
      <x:c r="P133" s="30"/>
      <x:c r="Q133" s="30"/>
      <x:c r="R133" s="30"/>
      <x:c r="S133" s="30"/>
      <x:c r="T133" s="30"/>
      <x:c r="U133" s="30"/>
      <x:c r="V133" s="30"/>
      <x:c r="W133" s="30"/>
      <x:c r="X133" s="30"/>
      <x:c r="Y133" s="30"/>
      <x:c r="Z133" s="30"/>
      <x:c r="AA133" s="30"/>
      <x:c r="AB133" s="30"/>
      <x:c r="AC133" s="30"/>
      <x:c r="AD133" s="30"/>
      <x:c r="AE133" s="30"/>
      <x:c r="AF133" s="30"/>
      <x:c r="AG133" s="30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>
      <x:c r="A134" s="1"/>
      <x:c r="B134" s="1"/>
      <x:c r="C134" s="30"/>
      <x:c r="D134" s="30"/>
      <x:c r="E134" s="30"/>
      <x:c r="F134" s="30"/>
      <x:c r="G134" s="30"/>
      <x:c r="H134" s="30"/>
      <x:c r="I134" s="30"/>
      <x:c r="J134" s="30"/>
      <x:c r="K134" s="30"/>
      <x:c r="L134" s="30"/>
      <x:c r="M134" s="30"/>
      <x:c r="N134" s="30"/>
      <x:c r="O134" s="30"/>
      <x:c r="P134" s="30"/>
      <x:c r="Q134" s="30"/>
      <x:c r="R134" s="30"/>
      <x:c r="S134" s="30"/>
      <x:c r="T134" s="30"/>
      <x:c r="U134" s="30"/>
      <x:c r="V134" s="30"/>
      <x:c r="W134" s="30"/>
      <x:c r="X134" s="30"/>
      <x:c r="Y134" s="30"/>
      <x:c r="Z134" s="30"/>
      <x:c r="AA134" s="30"/>
      <x:c r="AB134" s="30"/>
      <x:c r="AC134" s="30"/>
      <x:c r="AD134" s="30"/>
      <x:c r="AE134" s="30"/>
      <x:c r="AF134" s="30"/>
      <x:c r="AG134" s="30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>
      <x:c r="A135" s="1"/>
      <x:c r="B135" s="1"/>
      <x:c r="C135" s="30"/>
      <x:c r="D135" s="30"/>
      <x:c r="E135" s="30"/>
      <x:c r="F135" s="30"/>
      <x:c r="G135" s="30"/>
      <x:c r="H135" s="30"/>
      <x:c r="I135" s="30"/>
      <x:c r="J135" s="30"/>
      <x:c r="K135" s="30"/>
      <x:c r="L135" s="30"/>
      <x:c r="M135" s="30"/>
      <x:c r="N135" s="30"/>
      <x:c r="O135" s="30"/>
      <x:c r="P135" s="30"/>
      <x:c r="Q135" s="30"/>
      <x:c r="R135" s="30"/>
      <x:c r="S135" s="30"/>
      <x:c r="T135" s="30"/>
      <x:c r="U135" s="30"/>
      <x:c r="V135" s="30"/>
      <x:c r="W135" s="30"/>
      <x:c r="X135" s="30"/>
      <x:c r="Y135" s="30"/>
      <x:c r="Z135" s="30"/>
      <x:c r="AA135" s="30"/>
      <x:c r="AB135" s="30"/>
      <x:c r="AC135" s="30"/>
      <x:c r="AD135" s="30"/>
      <x:c r="AE135" s="30"/>
      <x:c r="AF135" s="30"/>
      <x:c r="AG135" s="30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>
      <x:c r="A136" s="1"/>
      <x:c r="B136" s="1"/>
      <x:c r="C136" s="30"/>
      <x:c r="D136" s="30"/>
      <x:c r="E136" s="30"/>
      <x:c r="F136" s="30"/>
      <x:c r="G136" s="30"/>
      <x:c r="H136" s="30"/>
      <x:c r="I136" s="30"/>
      <x:c r="J136" s="30"/>
      <x:c r="K136" s="30"/>
      <x:c r="L136" s="30"/>
      <x:c r="M136" s="30"/>
      <x:c r="N136" s="30"/>
      <x:c r="O136" s="30"/>
      <x:c r="P136" s="30"/>
      <x:c r="Q136" s="30"/>
      <x:c r="R136" s="30"/>
      <x:c r="S136" s="30"/>
      <x:c r="T136" s="30"/>
      <x:c r="U136" s="30"/>
      <x:c r="V136" s="30"/>
      <x:c r="W136" s="30"/>
      <x:c r="X136" s="30"/>
      <x:c r="Y136" s="30"/>
      <x:c r="Z136" s="30"/>
      <x:c r="AA136" s="30"/>
      <x:c r="AB136" s="30"/>
      <x:c r="AC136" s="30"/>
      <x:c r="AD136" s="30"/>
      <x:c r="AE136" s="30"/>
      <x:c r="AF136" s="30"/>
      <x:c r="AG136" s="30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>
      <x:c r="A137" s="1"/>
      <x:c r="B137" s="1"/>
      <x:c r="C137" s="30"/>
      <x:c r="D137" s="30"/>
      <x:c r="E137" s="30"/>
      <x:c r="F137" s="30"/>
      <x:c r="G137" s="30"/>
      <x:c r="H137" s="30"/>
      <x:c r="I137" s="30"/>
      <x:c r="J137" s="30"/>
      <x:c r="K137" s="30"/>
      <x:c r="L137" s="30"/>
      <x:c r="M137" s="30"/>
      <x:c r="N137" s="30"/>
      <x:c r="O137" s="30"/>
      <x:c r="P137" s="30"/>
      <x:c r="Q137" s="30"/>
      <x:c r="R137" s="30"/>
      <x:c r="S137" s="30"/>
      <x:c r="T137" s="30"/>
      <x:c r="U137" s="30"/>
      <x:c r="V137" s="30"/>
      <x:c r="W137" s="30"/>
      <x:c r="X137" s="30"/>
      <x:c r="Y137" s="30"/>
      <x:c r="Z137" s="30"/>
      <x:c r="AA137" s="30"/>
      <x:c r="AB137" s="30"/>
      <x:c r="AC137" s="30"/>
      <x:c r="AD137" s="30"/>
      <x:c r="AE137" s="30"/>
      <x:c r="AF137" s="30"/>
      <x:c r="AG137" s="30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>
      <x:c r="A138" s="1"/>
      <x:c r="B138" s="1"/>
      <x:c r="C138" s="30"/>
      <x:c r="D138" s="30"/>
      <x:c r="E138" s="30"/>
      <x:c r="F138" s="30"/>
      <x:c r="G138" s="30"/>
      <x:c r="H138" s="30"/>
      <x:c r="I138" s="30"/>
      <x:c r="J138" s="30"/>
      <x:c r="K138" s="30"/>
      <x:c r="L138" s="30"/>
      <x:c r="M138" s="30"/>
      <x:c r="N138" s="30"/>
      <x:c r="O138" s="30"/>
      <x:c r="P138" s="30"/>
      <x:c r="Q138" s="30"/>
      <x:c r="R138" s="30"/>
      <x:c r="S138" s="30"/>
      <x:c r="T138" s="30"/>
      <x:c r="U138" s="30"/>
      <x:c r="V138" s="30"/>
      <x:c r="W138" s="30"/>
      <x:c r="X138" s="30"/>
      <x:c r="Y138" s="30"/>
      <x:c r="Z138" s="30"/>
      <x:c r="AA138" s="30"/>
      <x:c r="AB138" s="30"/>
      <x:c r="AC138" s="30"/>
      <x:c r="AD138" s="30"/>
      <x:c r="AE138" s="30"/>
      <x:c r="AF138" s="30"/>
      <x:c r="AG138" s="30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>
      <x:c r="A139" s="1"/>
      <x:c r="B139" s="1"/>
      <x:c r="C139" s="30"/>
      <x:c r="D139" s="30"/>
      <x:c r="E139" s="30"/>
      <x:c r="F139" s="30"/>
      <x:c r="G139" s="30"/>
      <x:c r="H139" s="30"/>
      <x:c r="I139" s="30"/>
      <x:c r="J139" s="30"/>
      <x:c r="K139" s="30"/>
      <x:c r="L139" s="30"/>
      <x:c r="M139" s="30"/>
      <x:c r="N139" s="30"/>
      <x:c r="O139" s="30"/>
      <x:c r="P139" s="30"/>
      <x:c r="Q139" s="30"/>
      <x:c r="R139" s="30"/>
      <x:c r="S139" s="30"/>
      <x:c r="T139" s="30"/>
      <x:c r="U139" s="30"/>
      <x:c r="V139" s="30"/>
      <x:c r="W139" s="30"/>
      <x:c r="X139" s="30"/>
      <x:c r="Y139" s="30"/>
      <x:c r="Z139" s="30"/>
      <x:c r="AA139" s="30"/>
      <x:c r="AB139" s="30"/>
      <x:c r="AC139" s="30"/>
      <x:c r="AD139" s="30"/>
      <x:c r="AE139" s="30"/>
      <x:c r="AF139" s="30"/>
      <x:c r="AG139" s="30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>
      <x:c r="A140" s="1"/>
      <x:c r="B140" s="1"/>
      <x:c r="C140" s="30"/>
      <x:c r="D140" s="30"/>
      <x:c r="E140" s="30"/>
      <x:c r="F140" s="30"/>
      <x:c r="G140" s="30"/>
      <x:c r="H140" s="30"/>
      <x:c r="I140" s="30"/>
      <x:c r="J140" s="30"/>
      <x:c r="K140" s="30"/>
      <x:c r="L140" s="30"/>
      <x:c r="M140" s="30"/>
      <x:c r="N140" s="30"/>
      <x:c r="O140" s="30"/>
      <x:c r="P140" s="30"/>
      <x:c r="Q140" s="30"/>
      <x:c r="R140" s="30"/>
      <x:c r="S140" s="30"/>
      <x:c r="T140" s="30"/>
      <x:c r="U140" s="30"/>
      <x:c r="V140" s="30"/>
      <x:c r="W140" s="30"/>
      <x:c r="X140" s="30"/>
      <x:c r="Y140" s="30"/>
      <x:c r="Z140" s="30"/>
      <x:c r="AA140" s="30"/>
      <x:c r="AB140" s="30"/>
      <x:c r="AC140" s="30"/>
      <x:c r="AD140" s="30"/>
      <x:c r="AE140" s="30"/>
      <x:c r="AF140" s="30"/>
      <x:c r="AG140" s="30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>
      <x:c r="A141" s="1"/>
      <x:c r="B141" s="1"/>
      <x:c r="C141" s="30"/>
      <x:c r="D141" s="30"/>
      <x:c r="E141" s="30"/>
      <x:c r="F141" s="30"/>
      <x:c r="G141" s="30"/>
      <x:c r="H141" s="30"/>
      <x:c r="I141" s="30"/>
      <x:c r="J141" s="30"/>
      <x:c r="K141" s="30"/>
      <x:c r="L141" s="30"/>
      <x:c r="M141" s="30"/>
      <x:c r="N141" s="30"/>
      <x:c r="O141" s="30"/>
      <x:c r="P141" s="30"/>
      <x:c r="Q141" s="30"/>
      <x:c r="R141" s="30"/>
      <x:c r="S141" s="30"/>
      <x:c r="T141" s="30"/>
      <x:c r="U141" s="30"/>
      <x:c r="V141" s="30"/>
      <x:c r="W141" s="30"/>
      <x:c r="X141" s="30"/>
      <x:c r="Y141" s="30"/>
      <x:c r="Z141" s="30"/>
      <x:c r="AA141" s="30"/>
      <x:c r="AB141" s="30"/>
      <x:c r="AC141" s="30"/>
      <x:c r="AD141" s="30"/>
      <x:c r="AE141" s="30"/>
      <x:c r="AF141" s="30"/>
      <x:c r="AG141" s="30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>
      <x:c r="A142" s="1"/>
      <x:c r="B142" s="1"/>
      <x:c r="C142" s="30"/>
      <x:c r="D142" s="30"/>
      <x:c r="E142" s="30"/>
      <x:c r="F142" s="30"/>
      <x:c r="G142" s="30"/>
      <x:c r="H142" s="30"/>
      <x:c r="I142" s="30"/>
      <x:c r="J142" s="30"/>
      <x:c r="K142" s="30"/>
      <x:c r="L142" s="30"/>
      <x:c r="M142" s="30"/>
      <x:c r="N142" s="30"/>
      <x:c r="O142" s="30"/>
      <x:c r="P142" s="30"/>
      <x:c r="Q142" s="30"/>
      <x:c r="R142" s="30"/>
      <x:c r="S142" s="30"/>
      <x:c r="T142" s="30"/>
      <x:c r="U142" s="30"/>
      <x:c r="V142" s="30"/>
      <x:c r="W142" s="30"/>
      <x:c r="X142" s="30"/>
      <x:c r="Y142" s="30"/>
      <x:c r="Z142" s="30"/>
      <x:c r="AA142" s="30"/>
      <x:c r="AB142" s="30"/>
      <x:c r="AC142" s="30"/>
      <x:c r="AD142" s="30"/>
      <x:c r="AE142" s="30"/>
      <x:c r="AF142" s="30"/>
      <x:c r="AG142" s="30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>
      <x:c r="A143" s="1"/>
      <x:c r="B143" s="1"/>
      <x:c r="C143" s="30"/>
      <x:c r="D143" s="30"/>
      <x:c r="E143" s="30"/>
      <x:c r="F143" s="30"/>
      <x:c r="G143" s="30"/>
      <x:c r="H143" s="30"/>
      <x:c r="I143" s="30"/>
      <x:c r="J143" s="30"/>
      <x:c r="K143" s="30"/>
      <x:c r="L143" s="30"/>
      <x:c r="M143" s="30"/>
      <x:c r="N143" s="30"/>
      <x:c r="O143" s="30"/>
      <x:c r="P143" s="30"/>
      <x:c r="Q143" s="30"/>
      <x:c r="R143" s="30"/>
      <x:c r="S143" s="30"/>
      <x:c r="T143" s="30"/>
      <x:c r="U143" s="30"/>
      <x:c r="V143" s="30"/>
      <x:c r="W143" s="30"/>
      <x:c r="X143" s="30"/>
      <x:c r="Y143" s="30"/>
      <x:c r="Z143" s="30"/>
      <x:c r="AA143" s="30"/>
      <x:c r="AB143" s="30"/>
      <x:c r="AC143" s="30"/>
      <x:c r="AD143" s="30"/>
      <x:c r="AE143" s="30"/>
      <x:c r="AF143" s="30"/>
      <x:c r="AG143" s="30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>
      <x:c r="A144" s="1"/>
      <x:c r="B144" s="1"/>
      <x:c r="C144" s="30"/>
      <x:c r="D144" s="30"/>
      <x:c r="E144" s="30"/>
      <x:c r="F144" s="30"/>
      <x:c r="G144" s="30"/>
      <x:c r="H144" s="30"/>
      <x:c r="I144" s="30"/>
      <x:c r="J144" s="30"/>
      <x:c r="K144" s="30"/>
      <x:c r="L144" s="30"/>
      <x:c r="M144" s="30"/>
      <x:c r="N144" s="30"/>
      <x:c r="O144" s="30"/>
      <x:c r="P144" s="30"/>
      <x:c r="Q144" s="30"/>
      <x:c r="R144" s="30"/>
      <x:c r="S144" s="30"/>
      <x:c r="T144" s="30"/>
      <x:c r="U144" s="30"/>
      <x:c r="V144" s="30"/>
      <x:c r="W144" s="30"/>
      <x:c r="X144" s="30"/>
      <x:c r="Y144" s="30"/>
      <x:c r="Z144" s="30"/>
      <x:c r="AA144" s="30"/>
      <x:c r="AB144" s="30"/>
      <x:c r="AC144" s="30"/>
      <x:c r="AD144" s="30"/>
      <x:c r="AE144" s="30"/>
      <x:c r="AF144" s="30"/>
      <x:c r="AG144" s="30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>
      <x:c r="A145" s="1"/>
      <x:c r="B145" s="1"/>
      <x:c r="C145" s="30"/>
      <x:c r="D145" s="30"/>
      <x:c r="E145" s="30"/>
      <x:c r="F145" s="30"/>
      <x:c r="G145" s="30"/>
      <x:c r="H145" s="30"/>
      <x:c r="I145" s="30"/>
      <x:c r="J145" s="30"/>
      <x:c r="K145" s="30"/>
      <x:c r="L145" s="30"/>
      <x:c r="M145" s="30"/>
      <x:c r="N145" s="30"/>
      <x:c r="O145" s="30"/>
      <x:c r="P145" s="30"/>
      <x:c r="Q145" s="30"/>
      <x:c r="R145" s="30"/>
      <x:c r="S145" s="30"/>
      <x:c r="T145" s="30"/>
      <x:c r="U145" s="30"/>
      <x:c r="V145" s="30"/>
      <x:c r="W145" s="30"/>
      <x:c r="X145" s="30"/>
      <x:c r="Y145" s="30"/>
      <x:c r="Z145" s="30"/>
      <x:c r="AA145" s="30"/>
      <x:c r="AB145" s="30"/>
      <x:c r="AC145" s="30"/>
      <x:c r="AD145" s="30"/>
      <x:c r="AE145" s="30"/>
      <x:c r="AF145" s="30"/>
      <x:c r="AG145" s="30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>
      <x:c r="A146" s="1"/>
      <x:c r="B146" s="1"/>
      <x:c r="C146" s="30"/>
      <x:c r="D146" s="30"/>
      <x:c r="E146" s="30"/>
      <x:c r="F146" s="30"/>
      <x:c r="G146" s="30"/>
      <x:c r="H146" s="30"/>
      <x:c r="I146" s="30"/>
      <x:c r="J146" s="30"/>
      <x:c r="K146" s="30"/>
      <x:c r="L146" s="30"/>
      <x:c r="M146" s="30"/>
      <x:c r="N146" s="30"/>
      <x:c r="O146" s="30"/>
      <x:c r="P146" s="30"/>
      <x:c r="Q146" s="30"/>
      <x:c r="R146" s="30"/>
      <x:c r="S146" s="30"/>
      <x:c r="T146" s="30"/>
      <x:c r="U146" s="30"/>
      <x:c r="V146" s="30"/>
      <x:c r="W146" s="30"/>
      <x:c r="X146" s="30"/>
      <x:c r="Y146" s="30"/>
      <x:c r="Z146" s="30"/>
      <x:c r="AA146" s="30"/>
      <x:c r="AB146" s="30"/>
      <x:c r="AC146" s="30"/>
      <x:c r="AD146" s="30"/>
      <x:c r="AE146" s="30"/>
      <x:c r="AF146" s="30"/>
      <x:c r="AG146" s="30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>
      <x:c r="A147" s="1"/>
      <x:c r="B147" s="1"/>
      <x:c r="C147" s="30"/>
      <x:c r="D147" s="30"/>
      <x:c r="E147" s="30"/>
      <x:c r="F147" s="30"/>
      <x:c r="G147" s="30"/>
      <x:c r="H147" s="30"/>
      <x:c r="I147" s="30"/>
      <x:c r="J147" s="30"/>
      <x:c r="K147" s="30"/>
      <x:c r="L147" s="30"/>
      <x:c r="M147" s="30"/>
      <x:c r="N147" s="30"/>
      <x:c r="O147" s="30"/>
      <x:c r="P147" s="30"/>
      <x:c r="Q147" s="30"/>
      <x:c r="R147" s="30"/>
      <x:c r="S147" s="30"/>
      <x:c r="T147" s="30"/>
      <x:c r="U147" s="30"/>
      <x:c r="V147" s="30"/>
      <x:c r="W147" s="30"/>
      <x:c r="X147" s="30"/>
      <x:c r="Y147" s="30"/>
      <x:c r="Z147" s="30"/>
      <x:c r="AA147" s="30"/>
      <x:c r="AB147" s="30"/>
      <x:c r="AC147" s="30"/>
      <x:c r="AD147" s="30"/>
      <x:c r="AE147" s="30"/>
      <x:c r="AF147" s="30"/>
      <x:c r="AG147" s="30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>
      <x:c r="A148" s="1"/>
      <x:c r="B148" s="1"/>
      <x:c r="C148" s="30"/>
      <x:c r="D148" s="30"/>
      <x:c r="E148" s="30"/>
      <x:c r="F148" s="30"/>
      <x:c r="G148" s="30"/>
      <x:c r="H148" s="30"/>
      <x:c r="I148" s="30"/>
      <x:c r="J148" s="30"/>
      <x:c r="K148" s="30"/>
      <x:c r="L148" s="30"/>
      <x:c r="M148" s="30"/>
      <x:c r="N148" s="30"/>
      <x:c r="O148" s="30"/>
      <x:c r="P148" s="30"/>
      <x:c r="Q148" s="30"/>
      <x:c r="R148" s="30"/>
      <x:c r="S148" s="30"/>
      <x:c r="T148" s="30"/>
      <x:c r="U148" s="30"/>
      <x:c r="V148" s="30"/>
      <x:c r="W148" s="30"/>
      <x:c r="X148" s="30"/>
      <x:c r="Y148" s="30"/>
      <x:c r="Z148" s="30"/>
      <x:c r="AA148" s="30"/>
      <x:c r="AB148" s="30"/>
      <x:c r="AC148" s="30"/>
      <x:c r="AD148" s="30"/>
      <x:c r="AE148" s="30"/>
      <x:c r="AF148" s="30"/>
      <x:c r="AG148" s="30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>
      <x:c r="A149" s="1"/>
      <x:c r="B149" s="1"/>
      <x:c r="C149" s="30"/>
      <x:c r="D149" s="30"/>
      <x:c r="E149" s="30"/>
      <x:c r="F149" s="30"/>
      <x:c r="G149" s="30"/>
      <x:c r="H149" s="30"/>
      <x:c r="I149" s="30"/>
      <x:c r="J149" s="30"/>
      <x:c r="K149" s="30"/>
      <x:c r="L149" s="30"/>
      <x:c r="M149" s="30"/>
      <x:c r="N149" s="30"/>
      <x:c r="O149" s="30"/>
      <x:c r="P149" s="30"/>
      <x:c r="Q149" s="30"/>
      <x:c r="R149" s="30"/>
      <x:c r="S149" s="30"/>
      <x:c r="T149" s="30"/>
      <x:c r="U149" s="30"/>
      <x:c r="V149" s="30"/>
      <x:c r="W149" s="30"/>
      <x:c r="X149" s="30"/>
      <x:c r="Y149" s="30"/>
      <x:c r="Z149" s="30"/>
      <x:c r="AA149" s="30"/>
      <x:c r="AB149" s="30"/>
      <x:c r="AC149" s="30"/>
      <x:c r="AD149" s="30"/>
      <x:c r="AE149" s="30"/>
      <x:c r="AF149" s="30"/>
      <x:c r="AG149" s="30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>
      <x:c r="A150" s="1"/>
      <x:c r="B150" s="1"/>
      <x:c r="C150" s="30"/>
      <x:c r="D150" s="30"/>
      <x:c r="E150" s="30"/>
      <x:c r="F150" s="30"/>
      <x:c r="G150" s="30"/>
      <x:c r="H150" s="30"/>
      <x:c r="I150" s="30"/>
      <x:c r="J150" s="30"/>
      <x:c r="K150" s="30"/>
      <x:c r="L150" s="30"/>
      <x:c r="M150" s="30"/>
      <x:c r="N150" s="30"/>
      <x:c r="O150" s="30"/>
      <x:c r="P150" s="30"/>
      <x:c r="Q150" s="30"/>
      <x:c r="R150" s="30"/>
      <x:c r="S150" s="30"/>
      <x:c r="T150" s="30"/>
      <x:c r="U150" s="30"/>
      <x:c r="V150" s="30"/>
      <x:c r="W150" s="30"/>
      <x:c r="X150" s="30"/>
      <x:c r="Y150" s="30"/>
      <x:c r="Z150" s="30"/>
      <x:c r="AA150" s="30"/>
      <x:c r="AB150" s="30"/>
      <x:c r="AC150" s="30"/>
      <x:c r="AD150" s="30"/>
      <x:c r="AE150" s="30"/>
      <x:c r="AF150" s="30"/>
      <x:c r="AG150" s="30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>
      <x:c r="A151" s="1"/>
      <x:c r="B151" s="1"/>
      <x:c r="C151" s="30"/>
      <x:c r="D151" s="30"/>
      <x:c r="E151" s="30"/>
      <x:c r="F151" s="30"/>
      <x:c r="G151" s="30"/>
      <x:c r="H151" s="30"/>
      <x:c r="I151" s="30"/>
      <x:c r="J151" s="30"/>
      <x:c r="K151" s="30"/>
      <x:c r="L151" s="30"/>
      <x:c r="M151" s="30"/>
      <x:c r="N151" s="30"/>
      <x:c r="O151" s="30"/>
      <x:c r="P151" s="30"/>
      <x:c r="Q151" s="30"/>
      <x:c r="R151" s="30"/>
      <x:c r="S151" s="30"/>
      <x:c r="T151" s="30"/>
      <x:c r="U151" s="30"/>
      <x:c r="V151" s="30"/>
      <x:c r="W151" s="30"/>
      <x:c r="X151" s="30"/>
      <x:c r="Y151" s="30"/>
      <x:c r="Z151" s="30"/>
      <x:c r="AA151" s="30"/>
      <x:c r="AB151" s="30"/>
      <x:c r="AC151" s="30"/>
      <x:c r="AD151" s="30"/>
      <x:c r="AE151" s="30"/>
      <x:c r="AF151" s="30"/>
      <x:c r="AG151" s="30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>
      <x:c r="A152" s="1"/>
      <x:c r="B152" s="1"/>
      <x:c r="C152" s="30"/>
      <x:c r="D152" s="30"/>
      <x:c r="E152" s="30"/>
      <x:c r="F152" s="30"/>
      <x:c r="G152" s="30"/>
      <x:c r="H152" s="30"/>
      <x:c r="I152" s="30"/>
      <x:c r="J152" s="30"/>
      <x:c r="K152" s="30"/>
      <x:c r="L152" s="30"/>
      <x:c r="M152" s="30"/>
      <x:c r="N152" s="30"/>
      <x:c r="O152" s="30"/>
      <x:c r="P152" s="30"/>
      <x:c r="Q152" s="30"/>
      <x:c r="R152" s="30"/>
      <x:c r="S152" s="30"/>
      <x:c r="T152" s="30"/>
      <x:c r="U152" s="30"/>
      <x:c r="V152" s="30"/>
      <x:c r="W152" s="30"/>
      <x:c r="X152" s="30"/>
      <x:c r="Y152" s="30"/>
      <x:c r="Z152" s="30"/>
      <x:c r="AA152" s="30"/>
      <x:c r="AB152" s="30"/>
      <x:c r="AC152" s="30"/>
      <x:c r="AD152" s="30"/>
      <x:c r="AE152" s="30"/>
      <x:c r="AF152" s="30"/>
      <x:c r="AG152" s="30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>
      <x:c r="A153" s="1"/>
      <x:c r="B153" s="1"/>
      <x:c r="C153" s="30"/>
      <x:c r="D153" s="30"/>
      <x:c r="E153" s="30"/>
      <x:c r="F153" s="30"/>
      <x:c r="G153" s="30"/>
      <x:c r="H153" s="30"/>
      <x:c r="I153" s="30"/>
      <x:c r="J153" s="30"/>
      <x:c r="K153" s="30"/>
      <x:c r="L153" s="30"/>
      <x:c r="M153" s="30"/>
      <x:c r="N153" s="30"/>
      <x:c r="O153" s="30"/>
      <x:c r="P153" s="30"/>
      <x:c r="Q153" s="30"/>
      <x:c r="R153" s="30"/>
      <x:c r="S153" s="30"/>
      <x:c r="T153" s="30"/>
      <x:c r="U153" s="30"/>
      <x:c r="V153" s="30"/>
      <x:c r="W153" s="30"/>
      <x:c r="X153" s="30"/>
      <x:c r="Y153" s="30"/>
      <x:c r="Z153" s="30"/>
      <x:c r="AA153" s="30"/>
      <x:c r="AB153" s="30"/>
      <x:c r="AC153" s="30"/>
      <x:c r="AD153" s="30"/>
      <x:c r="AE153" s="30"/>
      <x:c r="AF153" s="30"/>
      <x:c r="AG153" s="30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>
      <x:c r="A154" s="1"/>
      <x:c r="B154" s="1"/>
      <x:c r="C154" s="30"/>
      <x:c r="D154" s="30"/>
      <x:c r="E154" s="30"/>
      <x:c r="F154" s="30"/>
      <x:c r="G154" s="30"/>
      <x:c r="H154" s="30"/>
      <x:c r="I154" s="30"/>
      <x:c r="J154" s="30"/>
      <x:c r="K154" s="30"/>
      <x:c r="L154" s="30"/>
      <x:c r="M154" s="30"/>
      <x:c r="N154" s="30"/>
      <x:c r="O154" s="30"/>
      <x:c r="P154" s="30"/>
      <x:c r="Q154" s="30"/>
      <x:c r="R154" s="30"/>
      <x:c r="S154" s="30"/>
      <x:c r="T154" s="30"/>
      <x:c r="U154" s="30"/>
      <x:c r="V154" s="30"/>
      <x:c r="W154" s="30"/>
      <x:c r="X154" s="30"/>
      <x:c r="Y154" s="30"/>
      <x:c r="Z154" s="30"/>
      <x:c r="AA154" s="30"/>
      <x:c r="AB154" s="30"/>
      <x:c r="AC154" s="30"/>
      <x:c r="AD154" s="30"/>
      <x:c r="AE154" s="30"/>
      <x:c r="AF154" s="30"/>
      <x:c r="AG154" s="30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>
      <x:c r="A155" s="1"/>
      <x:c r="B155" s="1"/>
      <x:c r="C155" s="30"/>
      <x:c r="D155" s="30"/>
      <x:c r="E155" s="30"/>
      <x:c r="F155" s="30"/>
      <x:c r="G155" s="30"/>
      <x:c r="H155" s="30"/>
      <x:c r="I155" s="30"/>
      <x:c r="J155" s="30"/>
      <x:c r="K155" s="30"/>
      <x:c r="L155" s="30"/>
      <x:c r="M155" s="30"/>
      <x:c r="N155" s="30"/>
      <x:c r="O155" s="30"/>
      <x:c r="P155" s="30"/>
      <x:c r="Q155" s="30"/>
      <x:c r="R155" s="30"/>
      <x:c r="S155" s="30"/>
      <x:c r="T155" s="30"/>
      <x:c r="U155" s="30"/>
      <x:c r="V155" s="30"/>
      <x:c r="W155" s="30"/>
      <x:c r="X155" s="30"/>
      <x:c r="Y155" s="30"/>
      <x:c r="Z155" s="30"/>
      <x:c r="AA155" s="30"/>
      <x:c r="AB155" s="30"/>
      <x:c r="AC155" s="30"/>
      <x:c r="AD155" s="30"/>
      <x:c r="AE155" s="30"/>
      <x:c r="AF155" s="30"/>
      <x:c r="AG155" s="30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>
      <x:c r="A156" s="1"/>
      <x:c r="B156" s="1"/>
      <x:c r="C156" s="30"/>
      <x:c r="D156" s="30"/>
      <x:c r="E156" s="30"/>
      <x:c r="F156" s="30"/>
      <x:c r="G156" s="30"/>
      <x:c r="H156" s="30"/>
      <x:c r="I156" s="30"/>
      <x:c r="J156" s="30"/>
      <x:c r="K156" s="30"/>
      <x:c r="L156" s="30"/>
      <x:c r="M156" s="30"/>
      <x:c r="N156" s="30"/>
      <x:c r="O156" s="30"/>
      <x:c r="P156" s="30"/>
      <x:c r="Q156" s="30"/>
      <x:c r="R156" s="30"/>
      <x:c r="S156" s="30"/>
      <x:c r="T156" s="30"/>
      <x:c r="U156" s="30"/>
      <x:c r="V156" s="30"/>
      <x:c r="W156" s="30"/>
      <x:c r="X156" s="30"/>
      <x:c r="Y156" s="30"/>
      <x:c r="Z156" s="30"/>
      <x:c r="AA156" s="30"/>
      <x:c r="AB156" s="30"/>
      <x:c r="AC156" s="30"/>
      <x:c r="AD156" s="30"/>
      <x:c r="AE156" s="30"/>
      <x:c r="AF156" s="30"/>
      <x:c r="AG156" s="30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>
      <x:c r="A157" s="1"/>
      <x:c r="B157" s="1"/>
      <x:c r="C157" s="30"/>
      <x:c r="D157" s="30"/>
      <x:c r="E157" s="30"/>
      <x:c r="F157" s="30"/>
      <x:c r="G157" s="30"/>
      <x:c r="H157" s="30"/>
      <x:c r="I157" s="30"/>
      <x:c r="J157" s="30"/>
      <x:c r="K157" s="30"/>
      <x:c r="L157" s="30"/>
      <x:c r="M157" s="30"/>
      <x:c r="N157" s="30"/>
      <x:c r="O157" s="30"/>
      <x:c r="P157" s="30"/>
      <x:c r="Q157" s="30"/>
      <x:c r="R157" s="30"/>
      <x:c r="S157" s="30"/>
      <x:c r="T157" s="30"/>
      <x:c r="U157" s="30"/>
      <x:c r="V157" s="30"/>
      <x:c r="W157" s="30"/>
      <x:c r="X157" s="30"/>
      <x:c r="Y157" s="30"/>
      <x:c r="Z157" s="30"/>
      <x:c r="AA157" s="30"/>
      <x:c r="AB157" s="30"/>
      <x:c r="AC157" s="30"/>
      <x:c r="AD157" s="30"/>
      <x:c r="AE157" s="30"/>
      <x:c r="AF157" s="30"/>
      <x:c r="AG157" s="30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>
      <x:c r="A158" s="1"/>
      <x:c r="B158" s="1"/>
      <x:c r="C158" s="30"/>
      <x:c r="D158" s="30"/>
      <x:c r="E158" s="30"/>
      <x:c r="F158" s="30"/>
      <x:c r="G158" s="30"/>
      <x:c r="H158" s="30"/>
      <x:c r="I158" s="30"/>
      <x:c r="J158" s="30"/>
      <x:c r="K158" s="30"/>
      <x:c r="L158" s="30"/>
      <x:c r="M158" s="30"/>
      <x:c r="N158" s="30"/>
      <x:c r="O158" s="30"/>
      <x:c r="P158" s="30"/>
      <x:c r="Q158" s="30"/>
      <x:c r="R158" s="30"/>
      <x:c r="S158" s="30"/>
      <x:c r="T158" s="30"/>
      <x:c r="U158" s="30"/>
      <x:c r="V158" s="30"/>
      <x:c r="W158" s="30"/>
      <x:c r="X158" s="30"/>
      <x:c r="Y158" s="30"/>
      <x:c r="Z158" s="30"/>
      <x:c r="AA158" s="30"/>
      <x:c r="AB158" s="30"/>
      <x:c r="AC158" s="30"/>
      <x:c r="AD158" s="30"/>
      <x:c r="AE158" s="30"/>
      <x:c r="AF158" s="30"/>
      <x:c r="AG158" s="30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>
      <x:c r="A159" s="1"/>
      <x:c r="B159" s="1"/>
      <x:c r="C159" s="30"/>
      <x:c r="D159" s="30"/>
      <x:c r="E159" s="30"/>
      <x:c r="F159" s="30"/>
      <x:c r="G159" s="30"/>
      <x:c r="H159" s="30"/>
      <x:c r="I159" s="30"/>
      <x:c r="J159" s="30"/>
      <x:c r="K159" s="30"/>
      <x:c r="L159" s="30"/>
      <x:c r="M159" s="30"/>
      <x:c r="N159" s="30"/>
      <x:c r="O159" s="30"/>
      <x:c r="P159" s="30"/>
      <x:c r="Q159" s="30"/>
      <x:c r="R159" s="30"/>
      <x:c r="S159" s="30"/>
      <x:c r="T159" s="30"/>
      <x:c r="U159" s="30"/>
      <x:c r="V159" s="30"/>
      <x:c r="W159" s="30"/>
      <x:c r="X159" s="30"/>
      <x:c r="Y159" s="30"/>
      <x:c r="Z159" s="30"/>
      <x:c r="AA159" s="30"/>
      <x:c r="AB159" s="30"/>
      <x:c r="AC159" s="30"/>
      <x:c r="AD159" s="30"/>
      <x:c r="AE159" s="30"/>
      <x:c r="AF159" s="30"/>
      <x:c r="AG159" s="30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>
      <x:c r="A160" s="1"/>
      <x:c r="B160" s="1"/>
      <x:c r="C160" s="30"/>
      <x:c r="D160" s="30"/>
      <x:c r="E160" s="30"/>
      <x:c r="F160" s="30"/>
      <x:c r="G160" s="30"/>
      <x:c r="H160" s="30"/>
      <x:c r="I160" s="30"/>
      <x:c r="J160" s="30"/>
      <x:c r="K160" s="30"/>
      <x:c r="L160" s="30"/>
      <x:c r="M160" s="30"/>
      <x:c r="N160" s="30"/>
      <x:c r="O160" s="30"/>
      <x:c r="P160" s="30"/>
      <x:c r="Q160" s="30"/>
      <x:c r="R160" s="30"/>
      <x:c r="S160" s="30"/>
      <x:c r="T160" s="30"/>
      <x:c r="U160" s="30"/>
      <x:c r="V160" s="30"/>
      <x:c r="W160" s="30"/>
      <x:c r="X160" s="30"/>
      <x:c r="Y160" s="30"/>
      <x:c r="Z160" s="30"/>
      <x:c r="AA160" s="30"/>
      <x:c r="AB160" s="30"/>
      <x:c r="AC160" s="30"/>
      <x:c r="AD160" s="30"/>
      <x:c r="AE160" s="30"/>
      <x:c r="AF160" s="30"/>
      <x:c r="AG160" s="30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>
      <x:c r="A161" s="1"/>
      <x:c r="B161" s="1"/>
      <x:c r="C161" s="30"/>
      <x:c r="D161" s="30"/>
      <x:c r="E161" s="30"/>
      <x:c r="F161" s="30"/>
      <x:c r="G161" s="30"/>
      <x:c r="H161" s="30"/>
      <x:c r="I161" s="30"/>
      <x:c r="J161" s="30"/>
      <x:c r="K161" s="30"/>
      <x:c r="L161" s="30"/>
      <x:c r="M161" s="30"/>
      <x:c r="N161" s="30"/>
      <x:c r="O161" s="30"/>
      <x:c r="P161" s="30"/>
      <x:c r="Q161" s="30"/>
      <x:c r="R161" s="30"/>
      <x:c r="S161" s="30"/>
      <x:c r="T161" s="30"/>
      <x:c r="U161" s="30"/>
      <x:c r="V161" s="30"/>
      <x:c r="W161" s="30"/>
      <x:c r="X161" s="30"/>
      <x:c r="Y161" s="30"/>
      <x:c r="Z161" s="30"/>
      <x:c r="AA161" s="30"/>
      <x:c r="AB161" s="30"/>
      <x:c r="AC161" s="30"/>
      <x:c r="AD161" s="30"/>
      <x:c r="AE161" s="30"/>
      <x:c r="AF161" s="30"/>
      <x:c r="AG161" s="30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>
      <x:c r="A162" s="1"/>
      <x:c r="B162" s="1"/>
      <x:c r="C162" s="30"/>
      <x:c r="D162" s="30"/>
      <x:c r="E162" s="30"/>
      <x:c r="F162" s="30"/>
      <x:c r="G162" s="30"/>
      <x:c r="H162" s="30"/>
      <x:c r="I162" s="30"/>
      <x:c r="J162" s="30"/>
      <x:c r="K162" s="30"/>
      <x:c r="L162" s="30"/>
      <x:c r="M162" s="30"/>
      <x:c r="N162" s="30"/>
      <x:c r="O162" s="30"/>
      <x:c r="P162" s="30"/>
      <x:c r="Q162" s="30"/>
      <x:c r="R162" s="30"/>
      <x:c r="S162" s="30"/>
      <x:c r="T162" s="30"/>
      <x:c r="U162" s="30"/>
      <x:c r="V162" s="30"/>
      <x:c r="W162" s="30"/>
      <x:c r="X162" s="30"/>
      <x:c r="Y162" s="30"/>
      <x:c r="Z162" s="30"/>
      <x:c r="AA162" s="30"/>
      <x:c r="AB162" s="30"/>
      <x:c r="AC162" s="30"/>
      <x:c r="AD162" s="30"/>
      <x:c r="AE162" s="30"/>
      <x:c r="AF162" s="30"/>
      <x:c r="AG162" s="30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>
      <x:c r="A163" s="1"/>
      <x:c r="B163" s="1"/>
      <x:c r="C163" s="30"/>
      <x:c r="D163" s="30"/>
      <x:c r="E163" s="30"/>
      <x:c r="F163" s="30"/>
      <x:c r="G163" s="30"/>
      <x:c r="H163" s="30"/>
      <x:c r="I163" s="30"/>
      <x:c r="J163" s="30"/>
      <x:c r="K163" s="30"/>
      <x:c r="L163" s="30"/>
      <x:c r="M163" s="30"/>
      <x:c r="N163" s="30"/>
      <x:c r="O163" s="30"/>
      <x:c r="P163" s="30"/>
      <x:c r="Q163" s="30"/>
      <x:c r="R163" s="30"/>
      <x:c r="S163" s="30"/>
      <x:c r="T163" s="30"/>
      <x:c r="U163" s="30"/>
      <x:c r="V163" s="30"/>
      <x:c r="W163" s="30"/>
      <x:c r="X163" s="30"/>
      <x:c r="Y163" s="30"/>
      <x:c r="Z163" s="30"/>
      <x:c r="AA163" s="30"/>
      <x:c r="AB163" s="30"/>
      <x:c r="AC163" s="30"/>
      <x:c r="AD163" s="30"/>
      <x:c r="AE163" s="30"/>
      <x:c r="AF163" s="30"/>
      <x:c r="AG163" s="30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>
      <x:c r="A164" s="1"/>
      <x:c r="B164" s="1"/>
      <x:c r="C164" s="30"/>
      <x:c r="D164" s="30"/>
      <x:c r="E164" s="30"/>
      <x:c r="F164" s="30"/>
      <x:c r="G164" s="30"/>
      <x:c r="H164" s="30"/>
      <x:c r="I164" s="30"/>
      <x:c r="J164" s="30"/>
      <x:c r="K164" s="30"/>
      <x:c r="L164" s="30"/>
      <x:c r="M164" s="30"/>
      <x:c r="N164" s="30"/>
      <x:c r="O164" s="30"/>
      <x:c r="P164" s="30"/>
      <x:c r="Q164" s="30"/>
      <x:c r="R164" s="30"/>
      <x:c r="S164" s="30"/>
      <x:c r="T164" s="30"/>
      <x:c r="U164" s="30"/>
      <x:c r="V164" s="30"/>
      <x:c r="W164" s="30"/>
      <x:c r="X164" s="30"/>
      <x:c r="Y164" s="30"/>
      <x:c r="Z164" s="30"/>
      <x:c r="AA164" s="30"/>
      <x:c r="AB164" s="30"/>
      <x:c r="AC164" s="30"/>
      <x:c r="AD164" s="30"/>
      <x:c r="AE164" s="30"/>
      <x:c r="AF164" s="30"/>
      <x:c r="AG164" s="30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>
      <x:c r="A165" s="1"/>
      <x:c r="B165" s="1"/>
      <x:c r="C165" s="30"/>
      <x:c r="D165" s="30"/>
      <x:c r="E165" s="30"/>
      <x:c r="F165" s="30"/>
      <x:c r="G165" s="30"/>
      <x:c r="H165" s="30"/>
      <x:c r="I165" s="30"/>
      <x:c r="J165" s="30"/>
      <x:c r="K165" s="30"/>
      <x:c r="L165" s="30"/>
      <x:c r="M165" s="30"/>
      <x:c r="N165" s="30"/>
      <x:c r="O165" s="30"/>
      <x:c r="P165" s="30"/>
      <x:c r="Q165" s="30"/>
      <x:c r="R165" s="30"/>
      <x:c r="S165" s="30"/>
      <x:c r="T165" s="30"/>
      <x:c r="U165" s="30"/>
      <x:c r="V165" s="30"/>
      <x:c r="W165" s="30"/>
      <x:c r="X165" s="30"/>
      <x:c r="Y165" s="30"/>
      <x:c r="Z165" s="30"/>
      <x:c r="AA165" s="30"/>
      <x:c r="AB165" s="30"/>
      <x:c r="AC165" s="30"/>
      <x:c r="AD165" s="30"/>
      <x:c r="AE165" s="30"/>
      <x:c r="AF165" s="30"/>
      <x:c r="AG165" s="30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>
      <x:c r="A166" s="1"/>
      <x:c r="B166" s="1"/>
      <x:c r="C166" s="30"/>
      <x:c r="D166" s="30"/>
      <x:c r="E166" s="30"/>
      <x:c r="F166" s="30"/>
      <x:c r="G166" s="30"/>
      <x:c r="H166" s="30"/>
      <x:c r="I166" s="30"/>
      <x:c r="J166" s="30"/>
      <x:c r="K166" s="30"/>
      <x:c r="L166" s="30"/>
      <x:c r="M166" s="30"/>
      <x:c r="N166" s="30"/>
      <x:c r="O166" s="30"/>
      <x:c r="P166" s="30"/>
      <x:c r="Q166" s="30"/>
      <x:c r="R166" s="30"/>
      <x:c r="S166" s="30"/>
      <x:c r="T166" s="30"/>
      <x:c r="U166" s="30"/>
      <x:c r="V166" s="30"/>
      <x:c r="W166" s="30"/>
      <x:c r="X166" s="30"/>
      <x:c r="Y166" s="30"/>
      <x:c r="Z166" s="30"/>
      <x:c r="AA166" s="30"/>
      <x:c r="AB166" s="30"/>
      <x:c r="AC166" s="30"/>
      <x:c r="AD166" s="30"/>
      <x:c r="AE166" s="30"/>
      <x:c r="AF166" s="30"/>
      <x:c r="AG166" s="30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>
      <x:c r="A167" s="1"/>
      <x:c r="B167" s="1"/>
      <x:c r="C167" s="30"/>
      <x:c r="D167" s="30"/>
      <x:c r="E167" s="30"/>
      <x:c r="F167" s="30"/>
      <x:c r="G167" s="30"/>
      <x:c r="H167" s="30"/>
      <x:c r="I167" s="30"/>
      <x:c r="J167" s="30"/>
      <x:c r="K167" s="30"/>
      <x:c r="L167" s="30"/>
      <x:c r="M167" s="30"/>
      <x:c r="N167" s="30"/>
      <x:c r="O167" s="30"/>
      <x:c r="P167" s="30"/>
      <x:c r="Q167" s="30"/>
      <x:c r="R167" s="30"/>
      <x:c r="S167" s="30"/>
      <x:c r="T167" s="30"/>
      <x:c r="U167" s="30"/>
      <x:c r="V167" s="30"/>
      <x:c r="W167" s="30"/>
      <x:c r="X167" s="30"/>
      <x:c r="Y167" s="30"/>
      <x:c r="Z167" s="30"/>
      <x:c r="AA167" s="30"/>
      <x:c r="AB167" s="30"/>
      <x:c r="AC167" s="30"/>
      <x:c r="AD167" s="30"/>
      <x:c r="AE167" s="30"/>
      <x:c r="AF167" s="30"/>
      <x:c r="AG167" s="30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>
      <x:c r="A168" s="1"/>
      <x:c r="B168" s="1"/>
      <x:c r="C168" s="30"/>
      <x:c r="D168" s="30"/>
      <x:c r="E168" s="30"/>
      <x:c r="F168" s="30"/>
      <x:c r="G168" s="30"/>
      <x:c r="H168" s="30"/>
      <x:c r="I168" s="30"/>
      <x:c r="J168" s="30"/>
      <x:c r="K168" s="30"/>
      <x:c r="L168" s="30"/>
      <x:c r="M168" s="30"/>
      <x:c r="N168" s="30"/>
      <x:c r="O168" s="30"/>
      <x:c r="P168" s="30"/>
      <x:c r="Q168" s="30"/>
      <x:c r="R168" s="30"/>
      <x:c r="S168" s="30"/>
      <x:c r="T168" s="30"/>
      <x:c r="U168" s="30"/>
      <x:c r="V168" s="30"/>
      <x:c r="W168" s="30"/>
      <x:c r="X168" s="30"/>
      <x:c r="Y168" s="30"/>
      <x:c r="Z168" s="30"/>
      <x:c r="AA168" s="30"/>
      <x:c r="AB168" s="30"/>
      <x:c r="AC168" s="30"/>
      <x:c r="AD168" s="30"/>
      <x:c r="AE168" s="30"/>
      <x:c r="AF168" s="30"/>
      <x:c r="AG168" s="30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>
      <x:c r="A169" s="1"/>
      <x:c r="B169" s="1"/>
      <x:c r="C169" s="30"/>
      <x:c r="D169" s="30"/>
      <x:c r="E169" s="30"/>
      <x:c r="F169" s="30"/>
      <x:c r="G169" s="30"/>
      <x:c r="H169" s="30"/>
      <x:c r="I169" s="30"/>
      <x:c r="J169" s="30"/>
      <x:c r="K169" s="30"/>
      <x:c r="L169" s="30"/>
      <x:c r="M169" s="30"/>
      <x:c r="N169" s="30"/>
      <x:c r="O169" s="30"/>
      <x:c r="P169" s="30"/>
      <x:c r="Q169" s="30"/>
      <x:c r="R169" s="30"/>
      <x:c r="S169" s="30"/>
      <x:c r="T169" s="30"/>
      <x:c r="U169" s="30"/>
      <x:c r="V169" s="30"/>
      <x:c r="W169" s="30"/>
      <x:c r="X169" s="30"/>
      <x:c r="Y169" s="30"/>
      <x:c r="Z169" s="30"/>
      <x:c r="AA169" s="30"/>
      <x:c r="AB169" s="30"/>
      <x:c r="AC169" s="30"/>
      <x:c r="AD169" s="30"/>
      <x:c r="AE169" s="30"/>
      <x:c r="AF169" s="30"/>
      <x:c r="AG169" s="30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>
      <x:c r="A170" s="1"/>
      <x:c r="B170" s="1"/>
      <x:c r="C170" s="30"/>
      <x:c r="D170" s="30"/>
      <x:c r="E170" s="30"/>
      <x:c r="F170" s="30"/>
      <x:c r="G170" s="30"/>
      <x:c r="H170" s="30"/>
      <x:c r="I170" s="30"/>
      <x:c r="J170" s="30"/>
      <x:c r="K170" s="30"/>
      <x:c r="L170" s="30"/>
      <x:c r="M170" s="30"/>
      <x:c r="N170" s="30"/>
      <x:c r="O170" s="30"/>
      <x:c r="P170" s="30"/>
      <x:c r="Q170" s="30"/>
      <x:c r="R170" s="30"/>
      <x:c r="S170" s="30"/>
      <x:c r="T170" s="30"/>
      <x:c r="U170" s="30"/>
      <x:c r="V170" s="30"/>
      <x:c r="W170" s="30"/>
      <x:c r="X170" s="30"/>
      <x:c r="Y170" s="30"/>
      <x:c r="Z170" s="30"/>
      <x:c r="AA170" s="30"/>
      <x:c r="AB170" s="30"/>
      <x:c r="AC170" s="30"/>
      <x:c r="AD170" s="30"/>
      <x:c r="AE170" s="30"/>
      <x:c r="AF170" s="30"/>
      <x:c r="AG170" s="30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>
      <x:c r="A171" s="1"/>
      <x:c r="B171" s="1"/>
      <x:c r="C171" s="30"/>
      <x:c r="D171" s="30"/>
      <x:c r="E171" s="30"/>
      <x:c r="F171" s="30"/>
      <x:c r="G171" s="30"/>
      <x:c r="H171" s="30"/>
      <x:c r="I171" s="30"/>
      <x:c r="J171" s="30"/>
      <x:c r="K171" s="30"/>
      <x:c r="L171" s="30"/>
      <x:c r="M171" s="30"/>
      <x:c r="N171" s="30"/>
      <x:c r="O171" s="30"/>
      <x:c r="P171" s="30"/>
      <x:c r="Q171" s="30"/>
      <x:c r="R171" s="30"/>
      <x:c r="S171" s="30"/>
      <x:c r="T171" s="30"/>
      <x:c r="U171" s="30"/>
      <x:c r="V171" s="30"/>
      <x:c r="W171" s="30"/>
      <x:c r="X171" s="30"/>
      <x:c r="Y171" s="30"/>
      <x:c r="Z171" s="30"/>
      <x:c r="AA171" s="30"/>
      <x:c r="AB171" s="30"/>
      <x:c r="AC171" s="30"/>
      <x:c r="AD171" s="30"/>
      <x:c r="AE171" s="30"/>
      <x:c r="AF171" s="30"/>
      <x:c r="AG171" s="30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>
      <x:c r="A172" s="1"/>
      <x:c r="B172" s="1"/>
      <x:c r="C172" s="30"/>
      <x:c r="D172" s="30"/>
      <x:c r="E172" s="30"/>
      <x:c r="F172" s="30"/>
      <x:c r="G172" s="30"/>
      <x:c r="H172" s="30"/>
      <x:c r="I172" s="30"/>
      <x:c r="J172" s="30"/>
      <x:c r="K172" s="30"/>
      <x:c r="L172" s="30"/>
      <x:c r="M172" s="30"/>
      <x:c r="N172" s="30"/>
      <x:c r="O172" s="30"/>
      <x:c r="P172" s="30"/>
      <x:c r="Q172" s="30"/>
      <x:c r="R172" s="30"/>
      <x:c r="S172" s="30"/>
      <x:c r="T172" s="30"/>
      <x:c r="U172" s="30"/>
      <x:c r="V172" s="30"/>
      <x:c r="W172" s="30"/>
      <x:c r="X172" s="30"/>
      <x:c r="Y172" s="30"/>
      <x:c r="Z172" s="30"/>
      <x:c r="AA172" s="30"/>
      <x:c r="AB172" s="30"/>
      <x:c r="AC172" s="30"/>
      <x:c r="AD172" s="30"/>
      <x:c r="AE172" s="30"/>
      <x:c r="AF172" s="30"/>
      <x:c r="AG172" s="30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>
      <x:c r="A173" s="1"/>
      <x:c r="B173" s="1"/>
      <x:c r="C173" s="30"/>
      <x:c r="D173" s="30"/>
      <x:c r="E173" s="30"/>
      <x:c r="F173" s="30"/>
      <x:c r="G173" s="30"/>
      <x:c r="H173" s="30"/>
      <x:c r="I173" s="30"/>
      <x:c r="J173" s="30"/>
      <x:c r="K173" s="30"/>
      <x:c r="L173" s="30"/>
      <x:c r="M173" s="30"/>
      <x:c r="N173" s="30"/>
      <x:c r="O173" s="30"/>
      <x:c r="P173" s="30"/>
      <x:c r="Q173" s="30"/>
      <x:c r="R173" s="30"/>
      <x:c r="S173" s="30"/>
      <x:c r="T173" s="30"/>
      <x:c r="U173" s="30"/>
      <x:c r="V173" s="30"/>
      <x:c r="W173" s="30"/>
      <x:c r="X173" s="30"/>
      <x:c r="Y173" s="30"/>
      <x:c r="Z173" s="30"/>
      <x:c r="AA173" s="30"/>
      <x:c r="AB173" s="30"/>
      <x:c r="AC173" s="30"/>
      <x:c r="AD173" s="30"/>
      <x:c r="AE173" s="30"/>
      <x:c r="AF173" s="30"/>
      <x:c r="AG173" s="30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>
      <x:c r="A174" s="1"/>
      <x:c r="B174" s="1"/>
      <x:c r="C174" s="30"/>
      <x:c r="D174" s="30"/>
      <x:c r="E174" s="30"/>
      <x:c r="F174" s="30"/>
      <x:c r="G174" s="30"/>
      <x:c r="H174" s="30"/>
      <x:c r="I174" s="30"/>
      <x:c r="J174" s="30"/>
      <x:c r="K174" s="30"/>
      <x:c r="L174" s="30"/>
      <x:c r="M174" s="30"/>
      <x:c r="N174" s="30"/>
      <x:c r="O174" s="30"/>
      <x:c r="P174" s="30"/>
      <x:c r="Q174" s="30"/>
      <x:c r="R174" s="30"/>
      <x:c r="S174" s="30"/>
      <x:c r="T174" s="30"/>
      <x:c r="U174" s="30"/>
      <x:c r="V174" s="30"/>
      <x:c r="W174" s="30"/>
      <x:c r="X174" s="30"/>
      <x:c r="Y174" s="30"/>
      <x:c r="Z174" s="30"/>
      <x:c r="AA174" s="30"/>
      <x:c r="AB174" s="30"/>
      <x:c r="AC174" s="30"/>
      <x:c r="AD174" s="30"/>
      <x:c r="AE174" s="30"/>
      <x:c r="AF174" s="30"/>
      <x:c r="AG174" s="30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>
      <x:c r="A175" s="1"/>
      <x:c r="B175" s="1"/>
      <x:c r="C175" s="30"/>
      <x:c r="D175" s="30"/>
      <x:c r="E175" s="30"/>
      <x:c r="F175" s="30"/>
      <x:c r="G175" s="30"/>
      <x:c r="H175" s="30"/>
      <x:c r="I175" s="30"/>
      <x:c r="J175" s="30"/>
      <x:c r="K175" s="30"/>
      <x:c r="L175" s="30"/>
      <x:c r="M175" s="30"/>
      <x:c r="N175" s="30"/>
      <x:c r="O175" s="30"/>
      <x:c r="P175" s="30"/>
      <x:c r="Q175" s="30"/>
      <x:c r="R175" s="30"/>
      <x:c r="S175" s="30"/>
      <x:c r="T175" s="30"/>
      <x:c r="U175" s="30"/>
      <x:c r="V175" s="30"/>
      <x:c r="W175" s="30"/>
      <x:c r="X175" s="30"/>
      <x:c r="Y175" s="30"/>
      <x:c r="Z175" s="30"/>
      <x:c r="AA175" s="30"/>
      <x:c r="AB175" s="30"/>
      <x:c r="AC175" s="30"/>
      <x:c r="AD175" s="30"/>
      <x:c r="AE175" s="30"/>
      <x:c r="AF175" s="30"/>
      <x:c r="AG175" s="30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>
      <x:c r="A176" s="1"/>
      <x:c r="B176" s="1"/>
      <x:c r="C176" s="30"/>
      <x:c r="D176" s="30"/>
      <x:c r="E176" s="30"/>
      <x:c r="F176" s="30"/>
      <x:c r="G176" s="30"/>
      <x:c r="H176" s="30"/>
      <x:c r="I176" s="30"/>
      <x:c r="J176" s="30"/>
      <x:c r="K176" s="30"/>
      <x:c r="L176" s="30"/>
      <x:c r="M176" s="30"/>
      <x:c r="N176" s="30"/>
      <x:c r="O176" s="30"/>
      <x:c r="P176" s="30"/>
      <x:c r="Q176" s="30"/>
      <x:c r="R176" s="30"/>
      <x:c r="S176" s="30"/>
      <x:c r="T176" s="30"/>
      <x:c r="U176" s="30"/>
      <x:c r="V176" s="30"/>
      <x:c r="W176" s="30"/>
      <x:c r="X176" s="30"/>
      <x:c r="Y176" s="30"/>
      <x:c r="Z176" s="30"/>
      <x:c r="AA176" s="30"/>
      <x:c r="AB176" s="30"/>
      <x:c r="AC176" s="30"/>
      <x:c r="AD176" s="30"/>
      <x:c r="AE176" s="30"/>
      <x:c r="AF176" s="30"/>
      <x:c r="AG176" s="30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>
      <x:c r="A177" s="1"/>
      <x:c r="B177" s="1"/>
      <x:c r="C177" s="30"/>
      <x:c r="D177" s="30"/>
      <x:c r="E177" s="30"/>
      <x:c r="F177" s="30"/>
      <x:c r="G177" s="30"/>
      <x:c r="H177" s="30"/>
      <x:c r="I177" s="30"/>
      <x:c r="J177" s="30"/>
      <x:c r="K177" s="30"/>
      <x:c r="L177" s="30"/>
      <x:c r="M177" s="30"/>
      <x:c r="N177" s="30"/>
      <x:c r="O177" s="30"/>
      <x:c r="P177" s="30"/>
      <x:c r="Q177" s="30"/>
      <x:c r="R177" s="30"/>
      <x:c r="S177" s="30"/>
      <x:c r="T177" s="30"/>
      <x:c r="U177" s="30"/>
      <x:c r="V177" s="30"/>
      <x:c r="W177" s="30"/>
      <x:c r="X177" s="30"/>
      <x:c r="Y177" s="30"/>
      <x:c r="Z177" s="30"/>
      <x:c r="AA177" s="30"/>
      <x:c r="AB177" s="30"/>
      <x:c r="AC177" s="30"/>
      <x:c r="AD177" s="30"/>
      <x:c r="AE177" s="30"/>
      <x:c r="AF177" s="30"/>
      <x:c r="AG177" s="30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>
      <x:c r="A178" s="1"/>
      <x:c r="B178" s="1"/>
      <x:c r="C178" s="30"/>
      <x:c r="D178" s="30"/>
      <x:c r="E178" s="30"/>
      <x:c r="F178" s="30"/>
      <x:c r="G178" s="30"/>
      <x:c r="H178" s="30"/>
      <x:c r="I178" s="30"/>
      <x:c r="J178" s="30"/>
      <x:c r="K178" s="30"/>
      <x:c r="L178" s="30"/>
      <x:c r="M178" s="30"/>
      <x:c r="N178" s="30"/>
      <x:c r="O178" s="30"/>
      <x:c r="P178" s="30"/>
      <x:c r="Q178" s="30"/>
      <x:c r="R178" s="30"/>
      <x:c r="S178" s="30"/>
      <x:c r="T178" s="30"/>
      <x:c r="U178" s="30"/>
      <x:c r="V178" s="30"/>
      <x:c r="W178" s="30"/>
      <x:c r="X178" s="30"/>
      <x:c r="Y178" s="30"/>
      <x:c r="Z178" s="30"/>
      <x:c r="AA178" s="30"/>
      <x:c r="AB178" s="30"/>
      <x:c r="AC178" s="30"/>
      <x:c r="AD178" s="30"/>
      <x:c r="AE178" s="30"/>
      <x:c r="AF178" s="30"/>
      <x:c r="AG178" s="30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>
      <x:c r="A179" s="1"/>
      <x:c r="B179" s="1"/>
      <x:c r="C179" s="30"/>
      <x:c r="D179" s="30"/>
      <x:c r="E179" s="30"/>
      <x:c r="F179" s="30"/>
      <x:c r="G179" s="30"/>
      <x:c r="H179" s="30"/>
      <x:c r="I179" s="30"/>
      <x:c r="J179" s="30"/>
      <x:c r="K179" s="30"/>
      <x:c r="L179" s="30"/>
      <x:c r="M179" s="30"/>
      <x:c r="N179" s="30"/>
      <x:c r="O179" s="30"/>
      <x:c r="P179" s="30"/>
      <x:c r="Q179" s="30"/>
      <x:c r="R179" s="30"/>
      <x:c r="S179" s="30"/>
      <x:c r="T179" s="30"/>
      <x:c r="U179" s="30"/>
      <x:c r="V179" s="30"/>
      <x:c r="W179" s="30"/>
      <x:c r="X179" s="30"/>
      <x:c r="Y179" s="30"/>
      <x:c r="Z179" s="30"/>
      <x:c r="AA179" s="30"/>
      <x:c r="AB179" s="30"/>
      <x:c r="AC179" s="30"/>
      <x:c r="AD179" s="30"/>
      <x:c r="AE179" s="30"/>
      <x:c r="AF179" s="30"/>
      <x:c r="AG179" s="30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>
      <x:c r="A180" s="1"/>
      <x:c r="B180" s="1"/>
      <x:c r="C180" s="30"/>
      <x:c r="D180" s="30"/>
      <x:c r="E180" s="30"/>
      <x:c r="F180" s="30"/>
      <x:c r="G180" s="30"/>
      <x:c r="H180" s="30"/>
      <x:c r="I180" s="30"/>
      <x:c r="J180" s="30"/>
      <x:c r="K180" s="30"/>
      <x:c r="L180" s="30"/>
      <x:c r="M180" s="30"/>
      <x:c r="N180" s="30"/>
      <x:c r="O180" s="30"/>
      <x:c r="P180" s="30"/>
      <x:c r="Q180" s="30"/>
      <x:c r="R180" s="30"/>
      <x:c r="S180" s="30"/>
      <x:c r="T180" s="30"/>
      <x:c r="U180" s="30"/>
      <x:c r="V180" s="30"/>
      <x:c r="W180" s="30"/>
      <x:c r="X180" s="30"/>
      <x:c r="Y180" s="30"/>
      <x:c r="Z180" s="30"/>
      <x:c r="AA180" s="30"/>
      <x:c r="AB180" s="30"/>
      <x:c r="AC180" s="30"/>
      <x:c r="AD180" s="30"/>
      <x:c r="AE180" s="30"/>
      <x:c r="AF180" s="30"/>
      <x:c r="AG180" s="30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</x:sheetData>
  <x:conditionalFormatting sqref="E5:O9">
    <x:cfRule type="containsText" dxfId="0" priority="1" operator="containsText" text="FAIL"/>
  </x:conditionalFormatting>
  <x:conditionalFormatting sqref="Q5:Q9">
    <x:cfRule type="containsText" dxfId="1" priority="2" operator="containsText" text="SELECT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9" hidden="0" customWidth="1"/>
    <x:col min="4" max="4" width="34" hidden="0" customWidth="1"/>
    <x:col min="5" max="5" width="70" hidden="0" customWidth="1"/>
    <x:col min="6" max="6" width="22" hidden="0" customWidth="1"/>
    <x:col min="7" max="7" width="66" hidden="0" customWidth="1"/>
    <x:col min="8" max="8" width="6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>
      <x:c r="A2" s="1"/>
      <x:c r="B2" s="1"/>
      <x:c r="C2" s="3" t="str">
        <x:v>Seven serial stages of complete human service</x:v>
      </x:c>
      <x:c r="D2" s="2"/>
      <x:c r="E2" s="2"/>
      <x:c r="F2" s="2"/>
      <x:c r="G2" s="2"/>
      <x:c r="H2" s="2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>
      <x:c r="A3" s="1"/>
      <x:c r="B3" s="1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  <x:c r="AA3" s="30"/>
      <x:c r="AB3" s="30"/>
      <x:c r="AC3" s="30"/>
      <x:c r="AD3" s="30"/>
      <x:c r="AE3" s="30"/>
      <x:c r="AF3" s="30"/>
      <x:c r="AG3" s="30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>
      <x:c r="A4" s="1"/>
      <x:c r="B4" s="1"/>
      <x:c r="C4" s="9" t="str">
        <x:v>ID</x:v>
      </x:c>
      <x:c r="D4" s="17" t="str">
        <x:v>Stage</x:v>
      </x:c>
      <x:c r="E4" s="17" t="str">
        <x:v>Mandatory condition</x:v>
      </x:c>
      <x:c r="F4" s="17" t="str">
        <x:v>Clock</x:v>
      </x:c>
      <x:c r="G4" s="17" t="str">
        <x:v>Prohibited shortcut</x:v>
      </x:c>
      <x:c r="H4" s="10" t="str">
        <x:v>Completion evidence</x:v>
      </x:c>
      <x:c r="I4" s="30"/>
      <x:c r="J4" s="30"/>
      <x:c r="K4" s="30"/>
      <x:c r="L4" s="30"/>
      <x:c r="M4" s="30"/>
      <x:c r="N4" s="30"/>
      <x:c r="O4" s="30"/>
      <x:c r="P4" s="30"/>
      <x:c r="Q4" s="30"/>
      <x:c r="R4" s="30"/>
      <x:c r="S4" s="30"/>
      <x:c r="T4" s="30"/>
      <x:c r="U4" s="30"/>
      <x:c r="V4" s="30"/>
      <x:c r="W4" s="30"/>
      <x:c r="X4" s="30"/>
      <x:c r="Y4" s="30"/>
      <x:c r="Z4" s="30"/>
      <x:c r="AA4" s="30"/>
      <x:c r="AB4" s="30"/>
      <x:c r="AC4" s="30"/>
      <x:c r="AD4" s="30"/>
      <x:c r="AE4" s="30"/>
      <x:c r="AF4" s="30"/>
      <x:c r="AG4" s="30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 ht="54" customHeight="1">
      <x:c r="A5" s="1"/>
      <x:c r="B5" s="1"/>
      <x:c r="C5" s="30" t="str">
        <x:v>S1</x:v>
      </x:c>
      <x:c r="D5" s="35" t="str">
        <x:v>Establish person and service state</x:v>
      </x:c>
      <x:c r="E5" s="35" t="str">
        <x:v>Identity or protected alternative, contact, needs, authority, household and care relationships are known enough to act.</x:v>
      </x:c>
      <x:c r="F5" s="35" t="str">
        <x:v>Before service choice</x:v>
      </x:c>
      <x:c r="G5" s="35" t="str">
        <x:v>A missing record is never treated as no need.</x:v>
      </x:c>
      <x:c r="H5" s="35" t="str">
        <x:v>Actionable state sealed with correction and authority path</x:v>
      </x:c>
      <x:c r="I5" s="30"/>
      <x:c r="J5" s="30"/>
      <x:c r="K5" s="30"/>
      <x:c r="L5" s="30"/>
      <x:c r="M5" s="30"/>
      <x:c r="N5" s="30"/>
      <x:c r="O5" s="30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  <x:c r="AA5" s="30"/>
      <x:c r="AB5" s="30"/>
      <x:c r="AC5" s="30"/>
      <x:c r="AD5" s="30"/>
      <x:c r="AE5" s="30"/>
      <x:c r="AF5" s="30"/>
      <x:c r="AG5" s="30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 ht="54" customHeight="1">
      <x:c r="A6" s="1"/>
      <x:c r="B6" s="1"/>
      <x:c r="C6" s="30" t="str">
        <x:v>S2</x:v>
      </x:c>
      <x:c r="D6" s="35" t="str">
        <x:v>Stabilize the current setting</x:v>
      </x:c>
      <x:c r="E6" s="35" t="str">
        <x:v>Immediate life, therapy, device-power, nutrition, thermal, clean-air and safeguarding needs are held.</x:v>
      </x:c>
      <x:c r="F6" s="35" t="str">
        <x:v>Immediate and continuous</x:v>
      </x:c>
      <x:c r="G6" s="35" t="str">
        <x:v>Dispatch does not excuse deterioration before movement or projected service.</x:v>
      </x:c>
      <x:c r="H6" s="35" t="str">
        <x:v>Person remains inside declared safe physiological and occupied-service bounds</x:v>
      </x:c>
      <x:c r="I6" s="30"/>
      <x:c r="J6" s="30"/>
      <x:c r="K6" s="30"/>
      <x:c r="L6" s="30"/>
      <x:c r="M6" s="30"/>
      <x:c r="N6" s="30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30"/>
      <x:c r="Z6" s="30"/>
      <x:c r="AA6" s="30"/>
      <x:c r="AB6" s="30"/>
      <x:c r="AC6" s="30"/>
      <x:c r="AD6" s="30"/>
      <x:c r="AE6" s="30"/>
      <x:c r="AF6" s="30"/>
      <x:c r="AG6" s="30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 ht="54" customHeight="1">
      <x:c r="A7" s="1"/>
      <x:c r="B7" s="1"/>
      <x:c r="C7" s="30" t="str">
        <x:v>S3</x:v>
      </x:c>
      <x:c r="D7" s="35" t="str">
        <x:v>Assign service and accepted destination</x:v>
      </x:c>
      <x:c r="E7" s="35" t="str">
        <x:v>A lawful local, clinical, receiver or workforce service accepts the complete case and its support bundle.</x:v>
      </x:c>
      <x:c r="F7" s="35" t="str">
        <x:v>Before dispatch</x:v>
      </x:c>
      <x:c r="G7" s="35" t="str">
        <x:v>An available seat, bed or shelter place is not acceptance.</x:v>
      </x:c>
      <x:c r="H7" s="35" t="str">
        <x:v>Named service confirms capacity, compatibility, authority and arrival window</x:v>
      </x:c>
      <x:c r="I7" s="30"/>
      <x:c r="J7" s="30"/>
      <x:c r="K7" s="30"/>
      <x:c r="L7" s="30"/>
      <x:c r="M7" s="30"/>
      <x:c r="N7" s="30"/>
      <x:c r="O7" s="30"/>
      <x:c r="P7" s="30"/>
      <x:c r="Q7" s="30"/>
      <x:c r="R7" s="30"/>
      <x:c r="S7" s="30"/>
      <x:c r="T7" s="30"/>
      <x:c r="U7" s="30"/>
      <x:c r="V7" s="30"/>
      <x:c r="W7" s="30"/>
      <x:c r="X7" s="30"/>
      <x:c r="Y7" s="30"/>
      <x:c r="Z7" s="30"/>
      <x:c r="AA7" s="30"/>
      <x:c r="AB7" s="30"/>
      <x:c r="AC7" s="30"/>
      <x:c r="AD7" s="30"/>
      <x:c r="AE7" s="30"/>
      <x:c r="AF7" s="30"/>
      <x:c r="AG7" s="30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 ht="54" customHeight="1">
      <x:c r="A8" s="1"/>
      <x:c r="B8" s="1"/>
      <x:c r="C8" s="30" t="str">
        <x:v>S4</x:v>
      </x:c>
      <x:c r="D8" s="35" t="str">
        <x:v>Reach and prepare</x:v>
      </x:c>
      <x:c r="E8" s="35" t="str">
        <x:v>The force reaches the origin and prepares people, caregivers, devices, medicines, records and property for the next boundary.</x:v>
      </x:c>
      <x:c r="F8" s="35" t="str">
        <x:v>Before boundary crossing</x:v>
      </x:c>
      <x:c r="G8" s="35" t="str">
        <x:v>A person is not ready if an essential relationship or device is left behind.</x:v>
      </x:c>
      <x:c r="H8" s="35" t="str">
        <x:v>Origin-to-boundary package is complete and independently checkable</x:v>
      </x:c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  <x:c r="T8" s="30"/>
      <x:c r="U8" s="30"/>
      <x:c r="V8" s="30"/>
      <x:c r="W8" s="30"/>
      <x:c r="X8" s="30"/>
      <x:c r="Y8" s="30"/>
      <x:c r="Z8" s="30"/>
      <x:c r="AA8" s="30"/>
      <x:c r="AB8" s="30"/>
      <x:c r="AC8" s="30"/>
      <x:c r="AD8" s="30"/>
      <x:c r="AE8" s="30"/>
      <x:c r="AF8" s="30"/>
      <x:c r="AG8" s="30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 ht="54" customHeight="1">
      <x:c r="A9" s="1"/>
      <x:c r="B9" s="1"/>
      <x:c r="C9" s="30" t="str">
        <x:v>S5</x:v>
      </x:c>
      <x:c r="D9" s="35" t="str">
        <x:v>Move the person or project service</x:v>
      </x:c>
      <x:c r="E9" s="35" t="str">
        <x:v>The correct service moves to the person or the complete support bundle moves through a governed mode.</x:v>
      </x:c>
      <x:c r="F9" s="35" t="str">
        <x:v>Until handoff</x:v>
      </x:c>
      <x:c r="G9" s="35" t="str">
        <x:v>Vehicle departure and module arrival are intermediate outputs.</x:v>
      </x:c>
      <x:c r="H9" s="35" t="str">
        <x:v>Service or support bundle remains complete through every transfer</x:v>
      </x:c>
      <x:c r="I9" s="30"/>
      <x:c r="J9" s="30"/>
      <x:c r="K9" s="30"/>
      <x:c r="L9" s="30"/>
      <x:c r="M9" s="30"/>
      <x:c r="N9" s="30"/>
      <x:c r="O9" s="30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  <x:c r="AA9" s="30"/>
      <x:c r="AB9" s="30"/>
      <x:c r="AC9" s="30"/>
      <x:c r="AD9" s="30"/>
      <x:c r="AE9" s="30"/>
      <x:c r="AF9" s="30"/>
      <x:c r="AG9" s="30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 ht="54" customHeight="1">
      <x:c r="A10" s="1"/>
      <x:c r="B10" s="1"/>
      <x:c r="C10" s="30" t="str">
        <x:v>S6</x:v>
      </x:c>
      <x:c r="D10" s="35" t="str">
        <x:v>Admit, operate and sustain</x:v>
      </x:c>
      <x:c r="E10" s="35" t="str">
        <x:v>The receiving service accepts custody and delivers the required care or continuity state for the declared duration.</x:v>
      </x:c>
      <x:c r="F10" s="35" t="str">
        <x:v>Before served credit</x:v>
      </x:c>
      <x:c r="G10" s="35" t="str">
        <x:v>Curbside arrival, nominal capacity and commodity issue do not count as complete service.</x:v>
      </x:c>
      <x:c r="H10" s="35" t="str">
        <x:v>Receiving authority accepts custody and required service is actually delivered</x:v>
      </x:c>
      <x:c r="I10" s="30"/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  <x:c r="AA10" s="30"/>
      <x:c r="AB10" s="30"/>
      <x:c r="AC10" s="30"/>
      <x:c r="AD10" s="30"/>
      <x:c r="AE10" s="30"/>
      <x:c r="AF10" s="30"/>
      <x:c r="AG10" s="30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 ht="54" customHeight="1">
      <x:c r="A11" s="1"/>
      <x:c r="B11" s="1"/>
      <x:c r="C11" s="30" t="str">
        <x:v>S7</x:v>
      </x:c>
      <x:c r="D11" s="35" t="str">
        <x:v>Transition and regenerate</x:v>
      </x:c>
      <x:c r="E11" s="35" t="str">
        <x:v>Supported discharge, return or durable transition closes the case while people, records, equipment and workforce regenerate.</x:v>
      </x:c>
      <x:c r="F11" s="35" t="str">
        <x:v>Before case and force close</x:v>
      </x:c>
      <x:c r="G11" s="35" t="str">
        <x:v>Last-day output cannot externalize displacement, fatigue, waste or an unserviceable formation.</x:v>
      </x:c>
      <x:c r="H11" s="35" t="str">
        <x:v>Case reaches supported exit and formation returns to certified availability</x:v>
      </x:c>
      <x:c r="I11" s="30"/>
      <x:c r="J11" s="30"/>
      <x:c r="K11" s="30"/>
      <x:c r="L11" s="30"/>
      <x:c r="M11" s="30"/>
      <x:c r="N11" s="30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  <x:c r="AA11" s="30"/>
      <x:c r="AB11" s="30"/>
      <x:c r="AC11" s="30"/>
      <x:c r="AD11" s="30"/>
      <x:c r="AE11" s="30"/>
      <x:c r="AF11" s="30"/>
      <x:c r="AG11" s="30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>
      <x:c r="A12" s="1"/>
      <x:c r="B12" s="1"/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  <x:c r="M12" s="30"/>
      <x:c r="N12" s="30"/>
      <x:c r="O12" s="30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  <x:c r="AA12" s="30"/>
      <x:c r="AB12" s="30"/>
      <x:c r="AC12" s="30"/>
      <x:c r="AD12" s="30"/>
      <x:c r="AE12" s="30"/>
      <x:c r="AF12" s="30"/>
      <x:c r="AG12" s="30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>
      <x:c r="A13" s="1"/>
      <x:c r="B13" s="1"/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  <x:c r="N13" s="30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  <x:c r="AA13" s="30"/>
      <x:c r="AB13" s="30"/>
      <x:c r="AC13" s="30"/>
      <x:c r="AD13" s="30"/>
      <x:c r="AE13" s="30"/>
      <x:c r="AF13" s="30"/>
      <x:c r="AG13" s="30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>
      <x:c r="A14" s="1"/>
      <x:c r="B14" s="1"/>
      <x:c r="C14" s="30"/>
      <x:c r="D14" s="30"/>
      <x:c r="E14" s="30"/>
      <x:c r="F14" s="30"/>
      <x:c r="G14" s="30"/>
      <x:c r="H14" s="30"/>
      <x:c r="I14" s="30"/>
      <x:c r="J14" s="30"/>
      <x:c r="K14" s="30"/>
      <x:c r="L14" s="30"/>
      <x:c r="M14" s="30"/>
      <x:c r="N14" s="30"/>
      <x:c r="O14" s="30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  <x:c r="AA14" s="30"/>
      <x:c r="AB14" s="30"/>
      <x:c r="AC14" s="30"/>
      <x:c r="AD14" s="30"/>
      <x:c r="AE14" s="30"/>
      <x:c r="AF14" s="30"/>
      <x:c r="AG14" s="30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>
      <x:c r="A15" s="1"/>
      <x:c r="B15" s="1"/>
      <x:c r="C15" s="30"/>
      <x:c r="D15" s="30"/>
      <x:c r="E15" s="30"/>
      <x:c r="F15" s="30"/>
      <x:c r="G15" s="30"/>
      <x:c r="H15" s="30"/>
      <x:c r="I15" s="30"/>
      <x:c r="J15" s="30"/>
      <x:c r="K15" s="30"/>
      <x:c r="L15" s="30"/>
      <x:c r="M15" s="30"/>
      <x:c r="N15" s="30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  <x:c r="AA15" s="30"/>
      <x:c r="AB15" s="30"/>
      <x:c r="AC15" s="30"/>
      <x:c r="AD15" s="30"/>
      <x:c r="AE15" s="30"/>
      <x:c r="AF15" s="30"/>
      <x:c r="AG15" s="30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>
      <x:c r="A16" s="1"/>
      <x:c r="B16" s="1"/>
      <x:c r="C16" s="30"/>
      <x:c r="D16" s="30"/>
      <x:c r="E16" s="30"/>
      <x:c r="F16" s="30"/>
      <x:c r="G16" s="30"/>
      <x:c r="H16" s="30"/>
      <x:c r="I16" s="30"/>
      <x:c r="J16" s="30"/>
      <x:c r="K16" s="30"/>
      <x:c r="L16" s="30"/>
      <x:c r="M16" s="30"/>
      <x:c r="N16" s="30"/>
      <x:c r="O16" s="30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  <x:c r="AA16" s="30"/>
      <x:c r="AB16" s="30"/>
      <x:c r="AC16" s="30"/>
      <x:c r="AD16" s="30"/>
      <x:c r="AE16" s="30"/>
      <x:c r="AF16" s="30"/>
      <x:c r="AG16" s="30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>
      <x:c r="A17" s="1"/>
      <x:c r="B17" s="1"/>
      <x:c r="C17" s="30"/>
      <x:c r="D17" s="30"/>
      <x:c r="E17" s="30"/>
      <x:c r="F17" s="30"/>
      <x:c r="G17" s="30"/>
      <x:c r="H17" s="30"/>
      <x:c r="I17" s="30"/>
      <x:c r="J17" s="30"/>
      <x:c r="K17" s="30"/>
      <x:c r="L17" s="30"/>
      <x:c r="M17" s="30"/>
      <x:c r="N17" s="30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  <x:c r="AA17" s="30"/>
      <x:c r="AB17" s="30"/>
      <x:c r="AC17" s="30"/>
      <x:c r="AD17" s="30"/>
      <x:c r="AE17" s="30"/>
      <x:c r="AF17" s="30"/>
      <x:c r="AG17" s="30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>
      <x:c r="A18" s="1"/>
      <x:c r="B18" s="1"/>
      <x:c r="C18" s="30"/>
      <x:c r="D18" s="30"/>
      <x:c r="E18" s="30"/>
      <x:c r="F18" s="30"/>
      <x:c r="G18" s="30"/>
      <x:c r="H18" s="30"/>
      <x:c r="I18" s="30"/>
      <x:c r="J18" s="30"/>
      <x:c r="K18" s="30"/>
      <x:c r="L18" s="30"/>
      <x:c r="M18" s="30"/>
      <x:c r="N18" s="30"/>
      <x:c r="O18" s="30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  <x:c r="AA18" s="30"/>
      <x:c r="AB18" s="30"/>
      <x:c r="AC18" s="30"/>
      <x:c r="AD18" s="30"/>
      <x:c r="AE18" s="30"/>
      <x:c r="AF18" s="30"/>
      <x:c r="AG18" s="30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>
      <x:c r="A19" s="1"/>
      <x:c r="B19" s="1"/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  <x:c r="M19" s="30"/>
      <x:c r="N19" s="30"/>
      <x:c r="O19" s="30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  <x:c r="AA19" s="30"/>
      <x:c r="AB19" s="30"/>
      <x:c r="AC19" s="30"/>
      <x:c r="AD19" s="30"/>
      <x:c r="AE19" s="30"/>
      <x:c r="AF19" s="30"/>
      <x:c r="AG19" s="30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>
      <x:c r="A20" s="1"/>
      <x:c r="B20" s="1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  <x:c r="N20" s="30"/>
      <x:c r="O20" s="30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  <x:c r="AA20" s="30"/>
      <x:c r="AB20" s="30"/>
      <x:c r="AC20" s="30"/>
      <x:c r="AD20" s="30"/>
      <x:c r="AE20" s="30"/>
      <x:c r="AF20" s="30"/>
      <x:c r="AG20" s="30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>
      <x:c r="A21" s="1"/>
      <x:c r="B21" s="1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  <x:c r="AA21" s="30"/>
      <x:c r="AB21" s="30"/>
      <x:c r="AC21" s="30"/>
      <x:c r="AD21" s="30"/>
      <x:c r="AE21" s="30"/>
      <x:c r="AF21" s="30"/>
      <x:c r="AG21" s="30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>
      <x:c r="A22" s="1"/>
      <x:c r="B22" s="1"/>
      <x:c r="C22" s="30"/>
      <x:c r="D22" s="30"/>
      <x:c r="E22" s="30"/>
      <x:c r="F22" s="30"/>
      <x:c r="G22" s="30"/>
      <x:c r="H22" s="30"/>
      <x:c r="I22" s="30"/>
      <x:c r="J22" s="30"/>
      <x:c r="K22" s="30"/>
      <x:c r="L22" s="30"/>
      <x:c r="M22" s="30"/>
      <x:c r="N22" s="30"/>
      <x:c r="O22" s="30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  <x:c r="AA22" s="30"/>
      <x:c r="AB22" s="30"/>
      <x:c r="AC22" s="30"/>
      <x:c r="AD22" s="30"/>
      <x:c r="AE22" s="30"/>
      <x:c r="AF22" s="30"/>
      <x:c r="AG22" s="30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>
      <x:c r="A23" s="1"/>
      <x:c r="B23" s="1"/>
      <x:c r="C23" s="30"/>
      <x:c r="D23" s="30"/>
      <x:c r="E23" s="30"/>
      <x:c r="F23" s="30"/>
      <x:c r="G23" s="30"/>
      <x:c r="H23" s="30"/>
      <x:c r="I23" s="30"/>
      <x:c r="J23" s="30"/>
      <x:c r="K23" s="30"/>
      <x:c r="L23" s="30"/>
      <x:c r="M23" s="30"/>
      <x:c r="N23" s="30"/>
      <x:c r="O23" s="30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  <x:c r="AA23" s="30"/>
      <x:c r="AB23" s="30"/>
      <x:c r="AC23" s="30"/>
      <x:c r="AD23" s="30"/>
      <x:c r="AE23" s="30"/>
      <x:c r="AF23" s="30"/>
      <x:c r="AG23" s="30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>
      <x:c r="A24" s="1"/>
      <x:c r="B24" s="1"/>
      <x:c r="C24" s="30"/>
      <x:c r="D24" s="30"/>
      <x:c r="E24" s="30"/>
      <x:c r="F24" s="30"/>
      <x:c r="G24" s="30"/>
      <x:c r="H24" s="30"/>
      <x:c r="I24" s="30"/>
      <x:c r="J24" s="30"/>
      <x:c r="K24" s="30"/>
      <x:c r="L24" s="30"/>
      <x:c r="M24" s="30"/>
      <x:c r="N24" s="30"/>
      <x:c r="O24" s="30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  <x:c r="AA24" s="30"/>
      <x:c r="AB24" s="30"/>
      <x:c r="AC24" s="30"/>
      <x:c r="AD24" s="30"/>
      <x:c r="AE24" s="30"/>
      <x:c r="AF24" s="30"/>
      <x:c r="AG24" s="30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>
      <x:c r="A25" s="1"/>
      <x:c r="B25" s="1"/>
      <x:c r="C25" s="30"/>
      <x:c r="D25" s="30"/>
      <x:c r="E25" s="30"/>
      <x:c r="F25" s="30"/>
      <x:c r="G25" s="30"/>
      <x:c r="H25" s="30"/>
      <x:c r="I25" s="30"/>
      <x:c r="J25" s="30"/>
      <x:c r="K25" s="30"/>
      <x:c r="L25" s="30"/>
      <x:c r="M25" s="30"/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  <x:c r="AA25" s="30"/>
      <x:c r="AB25" s="30"/>
      <x:c r="AC25" s="30"/>
      <x:c r="AD25" s="30"/>
      <x:c r="AE25" s="30"/>
      <x:c r="AF25" s="30"/>
      <x:c r="AG25" s="30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>
      <x:c r="A26" s="1"/>
      <x:c r="B26" s="1"/>
      <x:c r="C26" s="30"/>
      <x:c r="D26" s="30"/>
      <x:c r="E26" s="30"/>
      <x:c r="F26" s="30"/>
      <x:c r="G26" s="30"/>
      <x:c r="H26" s="30"/>
      <x:c r="I26" s="30"/>
      <x:c r="J26" s="3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  <x:c r="AA26" s="30"/>
      <x:c r="AB26" s="30"/>
      <x:c r="AC26" s="30"/>
      <x:c r="AD26" s="30"/>
      <x:c r="AE26" s="30"/>
      <x:c r="AF26" s="30"/>
      <x:c r="AG26" s="30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>
      <x:c r="A27" s="1"/>
      <x:c r="B27" s="1"/>
      <x:c r="C27" s="30"/>
      <x:c r="D27" s="30"/>
      <x:c r="E27" s="30"/>
      <x:c r="F27" s="30"/>
      <x:c r="G27" s="30"/>
      <x:c r="H27" s="30"/>
      <x:c r="I27" s="30"/>
      <x:c r="J27" s="30"/>
      <x:c r="K27" s="30"/>
      <x:c r="L27" s="30"/>
      <x:c r="M27" s="30"/>
      <x:c r="N27" s="30"/>
      <x:c r="O27" s="30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  <x:c r="AA27" s="30"/>
      <x:c r="AB27" s="30"/>
      <x:c r="AC27" s="30"/>
      <x:c r="AD27" s="30"/>
      <x:c r="AE27" s="30"/>
      <x:c r="AF27" s="30"/>
      <x:c r="AG27" s="30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>
      <x:c r="A28" s="1"/>
      <x:c r="B28" s="1"/>
      <x:c r="C28" s="30"/>
      <x:c r="D28" s="30"/>
      <x:c r="E28" s="30"/>
      <x:c r="F28" s="30"/>
      <x:c r="G28" s="30"/>
      <x:c r="H28" s="30"/>
      <x:c r="I28" s="30"/>
      <x:c r="J28" s="30"/>
      <x:c r="K28" s="30"/>
      <x:c r="L28" s="30"/>
      <x:c r="M28" s="30"/>
      <x:c r="N28" s="30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  <x:c r="AA28" s="30"/>
      <x:c r="AB28" s="30"/>
      <x:c r="AC28" s="30"/>
      <x:c r="AD28" s="30"/>
      <x:c r="AE28" s="30"/>
      <x:c r="AF28" s="30"/>
      <x:c r="AG28" s="30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>
      <x:c r="A29" s="1"/>
      <x:c r="B29" s="1"/>
      <x:c r="C29" s="30"/>
      <x:c r="D29" s="30"/>
      <x:c r="E29" s="30"/>
      <x:c r="F29" s="30"/>
      <x:c r="G29" s="30"/>
      <x:c r="H29" s="30"/>
      <x:c r="I29" s="30"/>
      <x:c r="J29" s="30"/>
      <x:c r="K29" s="30"/>
      <x:c r="L29" s="30"/>
      <x:c r="M29" s="30"/>
      <x:c r="N29" s="30"/>
      <x:c r="O29" s="30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  <x:c r="AA29" s="30"/>
      <x:c r="AB29" s="30"/>
      <x:c r="AC29" s="30"/>
      <x:c r="AD29" s="30"/>
      <x:c r="AE29" s="30"/>
      <x:c r="AF29" s="30"/>
      <x:c r="AG29" s="30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>
      <x:c r="A30" s="1"/>
      <x:c r="B30" s="1"/>
      <x:c r="C30" s="30"/>
      <x:c r="D30" s="30"/>
      <x:c r="E30" s="30"/>
      <x:c r="F30" s="30"/>
      <x:c r="G30" s="30"/>
      <x:c r="H30" s="30"/>
      <x:c r="I30" s="30"/>
      <x:c r="J30" s="30"/>
      <x:c r="K30" s="30"/>
      <x:c r="L30" s="30"/>
      <x:c r="M30" s="30"/>
      <x:c r="N30" s="30"/>
      <x:c r="O30" s="30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  <x:c r="AA30" s="30"/>
      <x:c r="AB30" s="30"/>
      <x:c r="AC30" s="30"/>
      <x:c r="AD30" s="30"/>
      <x:c r="AE30" s="30"/>
      <x:c r="AF30" s="30"/>
      <x:c r="AG30" s="30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>
      <x:c r="A31" s="1"/>
      <x:c r="B31" s="1"/>
      <x:c r="C31" s="30"/>
      <x:c r="D31" s="30"/>
      <x:c r="E31" s="30"/>
      <x:c r="F31" s="30"/>
      <x:c r="G31" s="30"/>
      <x:c r="H31" s="30"/>
      <x:c r="I31" s="30"/>
      <x:c r="J31" s="30"/>
      <x:c r="K31" s="30"/>
      <x:c r="L31" s="30"/>
      <x:c r="M31" s="30"/>
      <x:c r="N31" s="30"/>
      <x:c r="O31" s="30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  <x:c r="AA31" s="30"/>
      <x:c r="AB31" s="30"/>
      <x:c r="AC31" s="30"/>
      <x:c r="AD31" s="30"/>
      <x:c r="AE31" s="30"/>
      <x:c r="AF31" s="30"/>
      <x:c r="AG31" s="30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>
      <x:c r="A32" s="1"/>
      <x:c r="B32" s="1"/>
      <x:c r="C32" s="30"/>
      <x:c r="D32" s="30"/>
      <x:c r="E32" s="30"/>
      <x:c r="F32" s="30"/>
      <x:c r="G32" s="30"/>
      <x:c r="H32" s="30"/>
      <x:c r="I32" s="30"/>
      <x:c r="J32" s="30"/>
      <x:c r="K32" s="30"/>
      <x:c r="L32" s="30"/>
      <x:c r="M32" s="30"/>
      <x:c r="N32" s="30"/>
      <x:c r="O32" s="30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  <x:c r="AA32" s="30"/>
      <x:c r="AB32" s="30"/>
      <x:c r="AC32" s="30"/>
      <x:c r="AD32" s="30"/>
      <x:c r="AE32" s="30"/>
      <x:c r="AF32" s="30"/>
      <x:c r="AG32" s="30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>
      <x:c r="A33" s="1"/>
      <x:c r="B33" s="1"/>
      <x:c r="C33" s="30"/>
      <x:c r="D33" s="30"/>
      <x:c r="E33" s="30"/>
      <x:c r="F33" s="30"/>
      <x:c r="G33" s="30"/>
      <x:c r="H33" s="30"/>
      <x:c r="I33" s="30"/>
      <x:c r="J33" s="30"/>
      <x:c r="K33" s="30"/>
      <x:c r="L33" s="30"/>
      <x:c r="M33" s="30"/>
      <x:c r="N33" s="30"/>
      <x:c r="O33" s="30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  <x:c r="AA33" s="30"/>
      <x:c r="AB33" s="30"/>
      <x:c r="AC33" s="30"/>
      <x:c r="AD33" s="30"/>
      <x:c r="AE33" s="30"/>
      <x:c r="AF33" s="30"/>
      <x:c r="AG33" s="30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>
      <x:c r="A34" s="1"/>
      <x:c r="B34" s="1"/>
      <x:c r="C34" s="30"/>
      <x:c r="D34" s="30"/>
      <x:c r="E34" s="30"/>
      <x:c r="F34" s="30"/>
      <x:c r="G34" s="30"/>
      <x:c r="H34" s="30"/>
      <x:c r="I34" s="30"/>
      <x:c r="J34" s="30"/>
      <x:c r="K34" s="30"/>
      <x:c r="L34" s="30"/>
      <x:c r="M34" s="30"/>
      <x:c r="N34" s="30"/>
      <x:c r="O34" s="30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  <x:c r="AA34" s="30"/>
      <x:c r="AB34" s="30"/>
      <x:c r="AC34" s="30"/>
      <x:c r="AD34" s="30"/>
      <x:c r="AE34" s="30"/>
      <x:c r="AF34" s="30"/>
      <x:c r="AG34" s="30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>
      <x:c r="A35" s="1"/>
      <x:c r="B35" s="1"/>
      <x:c r="C35" s="30"/>
      <x:c r="D35" s="30"/>
      <x:c r="E35" s="30"/>
      <x:c r="F35" s="30"/>
      <x:c r="G35" s="30"/>
      <x:c r="H35" s="30"/>
      <x:c r="I35" s="30"/>
      <x:c r="J35" s="30"/>
      <x:c r="K35" s="30"/>
      <x:c r="L35" s="30"/>
      <x:c r="M35" s="30"/>
      <x:c r="N35" s="30"/>
      <x:c r="O35" s="30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  <x:c r="AA35" s="30"/>
      <x:c r="AB35" s="30"/>
      <x:c r="AC35" s="30"/>
      <x:c r="AD35" s="30"/>
      <x:c r="AE35" s="30"/>
      <x:c r="AF35" s="30"/>
      <x:c r="AG35" s="30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>
      <x:c r="A36" s="1"/>
      <x:c r="B36" s="1"/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  <x:c r="M36" s="30"/>
      <x:c r="N36" s="30"/>
      <x:c r="O36" s="30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  <x:c r="AA36" s="30"/>
      <x:c r="AB36" s="30"/>
      <x:c r="AC36" s="30"/>
      <x:c r="AD36" s="30"/>
      <x:c r="AE36" s="30"/>
      <x:c r="AF36" s="30"/>
      <x:c r="AG36" s="30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>
      <x:c r="A37" s="1"/>
      <x:c r="B37" s="1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  <x:c r="O37" s="30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  <x:c r="AA37" s="30"/>
      <x:c r="AB37" s="30"/>
      <x:c r="AC37" s="30"/>
      <x:c r="AD37" s="30"/>
      <x:c r="AE37" s="30"/>
      <x:c r="AF37" s="30"/>
      <x:c r="AG37" s="30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>
      <x:c r="A38" s="1"/>
      <x:c r="B38" s="1"/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  <x:c r="O38" s="30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  <x:c r="AA38" s="30"/>
      <x:c r="AB38" s="30"/>
      <x:c r="AC38" s="30"/>
      <x:c r="AD38" s="30"/>
      <x:c r="AE38" s="30"/>
      <x:c r="AF38" s="30"/>
      <x:c r="AG38" s="30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>
      <x:c r="A39" s="1"/>
      <x:c r="B39" s="1"/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  <x:c r="O39" s="30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  <x:c r="AA39" s="30"/>
      <x:c r="AB39" s="30"/>
      <x:c r="AC39" s="30"/>
      <x:c r="AD39" s="30"/>
      <x:c r="AE39" s="30"/>
      <x:c r="AF39" s="30"/>
      <x:c r="AG39" s="30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>
      <x:c r="A40" s="1"/>
      <x:c r="B40" s="1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  <x:c r="M40" s="30"/>
      <x:c r="N40" s="30"/>
      <x:c r="O40" s="30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  <x:c r="AA40" s="30"/>
      <x:c r="AB40" s="30"/>
      <x:c r="AC40" s="30"/>
      <x:c r="AD40" s="30"/>
      <x:c r="AE40" s="30"/>
      <x:c r="AF40" s="30"/>
      <x:c r="AG40" s="30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>
      <x:c r="A41" s="1"/>
      <x:c r="B41" s="1"/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  <x:c r="AA41" s="30"/>
      <x:c r="AB41" s="30"/>
      <x:c r="AC41" s="30"/>
      <x:c r="AD41" s="30"/>
      <x:c r="AE41" s="30"/>
      <x:c r="AF41" s="30"/>
      <x:c r="AG41" s="30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>
      <x:c r="A42" s="1"/>
      <x:c r="B42" s="1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  <x:c r="AA42" s="30"/>
      <x:c r="AB42" s="30"/>
      <x:c r="AC42" s="30"/>
      <x:c r="AD42" s="30"/>
      <x:c r="AE42" s="30"/>
      <x:c r="AF42" s="30"/>
      <x:c r="AG42" s="30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>
      <x:c r="A43" s="1"/>
      <x:c r="B43" s="1"/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  <x:c r="AA43" s="30"/>
      <x:c r="AB43" s="30"/>
      <x:c r="AC43" s="30"/>
      <x:c r="AD43" s="30"/>
      <x:c r="AE43" s="30"/>
      <x:c r="AF43" s="30"/>
      <x:c r="AG43" s="30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>
      <x:c r="A44" s="1"/>
      <x:c r="B44" s="1"/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  <x:c r="M44" s="30"/>
      <x:c r="N44" s="30"/>
      <x:c r="O44" s="30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  <x:c r="AA44" s="30"/>
      <x:c r="AB44" s="30"/>
      <x:c r="AC44" s="30"/>
      <x:c r="AD44" s="30"/>
      <x:c r="AE44" s="30"/>
      <x:c r="AF44" s="30"/>
      <x:c r="AG44" s="30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>
      <x:c r="A45" s="1"/>
      <x:c r="B45" s="1"/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  <x:c r="AA45" s="30"/>
      <x:c r="AB45" s="30"/>
      <x:c r="AC45" s="30"/>
      <x:c r="AD45" s="30"/>
      <x:c r="AE45" s="30"/>
      <x:c r="AF45" s="30"/>
      <x:c r="AG45" s="30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>
      <x:c r="A46" s="1"/>
      <x:c r="B46" s="1"/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  <x:c r="M46" s="30"/>
      <x:c r="N46" s="30"/>
      <x:c r="O46" s="30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  <x:c r="AA46" s="30"/>
      <x:c r="AB46" s="30"/>
      <x:c r="AC46" s="30"/>
      <x:c r="AD46" s="30"/>
      <x:c r="AE46" s="30"/>
      <x:c r="AF46" s="30"/>
      <x:c r="AG46" s="30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>
      <x:c r="A47" s="1"/>
      <x:c r="B47" s="1"/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  <x:c r="O47" s="30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  <x:c r="AA47" s="30"/>
      <x:c r="AB47" s="30"/>
      <x:c r="AC47" s="30"/>
      <x:c r="AD47" s="30"/>
      <x:c r="AE47" s="30"/>
      <x:c r="AF47" s="30"/>
      <x:c r="AG47" s="30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>
      <x:c r="A48" s="1"/>
      <x:c r="B48" s="1"/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  <x:c r="M48" s="30"/>
      <x:c r="N48" s="30"/>
      <x:c r="O48" s="30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  <x:c r="AA48" s="30"/>
      <x:c r="AB48" s="30"/>
      <x:c r="AC48" s="30"/>
      <x:c r="AD48" s="30"/>
      <x:c r="AE48" s="30"/>
      <x:c r="AF48" s="30"/>
      <x:c r="AG48" s="30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>
      <x:c r="A49" s="1"/>
      <x:c r="B49" s="1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0"/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  <x:c r="AA49" s="30"/>
      <x:c r="AB49" s="30"/>
      <x:c r="AC49" s="30"/>
      <x:c r="AD49" s="30"/>
      <x:c r="AE49" s="30"/>
      <x:c r="AF49" s="30"/>
      <x:c r="AG49" s="30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>
      <x:c r="A50" s="1"/>
      <x:c r="B50" s="1"/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  <x:c r="O50" s="30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  <x:c r="AA50" s="30"/>
      <x:c r="AB50" s="30"/>
      <x:c r="AC50" s="30"/>
      <x:c r="AD50" s="30"/>
      <x:c r="AE50" s="30"/>
      <x:c r="AF50" s="30"/>
      <x:c r="AG50" s="30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>
      <x:c r="A51" s="1"/>
      <x:c r="B51" s="1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  <x:c r="O51" s="30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  <x:c r="AA51" s="30"/>
      <x:c r="AB51" s="30"/>
      <x:c r="AC51" s="30"/>
      <x:c r="AD51" s="30"/>
      <x:c r="AE51" s="30"/>
      <x:c r="AF51" s="30"/>
      <x:c r="AG51" s="30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>
      <x:c r="A52" s="1"/>
      <x:c r="B52" s="1"/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  <x:c r="M52" s="30"/>
      <x:c r="N52" s="30"/>
      <x:c r="O52" s="30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  <x:c r="AA52" s="30"/>
      <x:c r="AB52" s="30"/>
      <x:c r="AC52" s="30"/>
      <x:c r="AD52" s="30"/>
      <x:c r="AE52" s="30"/>
      <x:c r="AF52" s="30"/>
      <x:c r="AG52" s="30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>
      <x:c r="A53" s="1"/>
      <x:c r="B53" s="1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  <x:c r="O53" s="30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  <x:c r="AA53" s="30"/>
      <x:c r="AB53" s="30"/>
      <x:c r="AC53" s="30"/>
      <x:c r="AD53" s="30"/>
      <x:c r="AE53" s="30"/>
      <x:c r="AF53" s="30"/>
      <x:c r="AG53" s="30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>
      <x:c r="A54" s="1"/>
      <x:c r="B54" s="1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  <x:c r="AA54" s="30"/>
      <x:c r="AB54" s="30"/>
      <x:c r="AC54" s="30"/>
      <x:c r="AD54" s="30"/>
      <x:c r="AE54" s="30"/>
      <x:c r="AF54" s="30"/>
      <x:c r="AG54" s="30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>
      <x:c r="A55" s="1"/>
      <x:c r="B55" s="1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  <x:c r="AA55" s="30"/>
      <x:c r="AB55" s="30"/>
      <x:c r="AC55" s="30"/>
      <x:c r="AD55" s="30"/>
      <x:c r="AE55" s="30"/>
      <x:c r="AF55" s="30"/>
      <x:c r="AG55" s="30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>
      <x:c r="A56" s="1"/>
      <x:c r="B56" s="1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  <x:c r="AA56" s="30"/>
      <x:c r="AB56" s="30"/>
      <x:c r="AC56" s="30"/>
      <x:c r="AD56" s="30"/>
      <x:c r="AE56" s="30"/>
      <x:c r="AF56" s="30"/>
      <x:c r="AG56" s="30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>
      <x:c r="A57" s="1"/>
      <x:c r="B57" s="1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  <x:c r="AA57" s="30"/>
      <x:c r="AB57" s="30"/>
      <x:c r="AC57" s="30"/>
      <x:c r="AD57" s="30"/>
      <x:c r="AE57" s="30"/>
      <x:c r="AF57" s="30"/>
      <x:c r="AG57" s="30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>
      <x:c r="A58" s="1"/>
      <x:c r="B58" s="1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0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  <x:c r="AA58" s="30"/>
      <x:c r="AB58" s="30"/>
      <x:c r="AC58" s="30"/>
      <x:c r="AD58" s="30"/>
      <x:c r="AE58" s="30"/>
      <x:c r="AF58" s="30"/>
      <x:c r="AG58" s="30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>
      <x:c r="A59" s="1"/>
      <x:c r="B59" s="1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  <x:c r="M59" s="30"/>
      <x:c r="N59" s="30"/>
      <x:c r="O59" s="30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  <x:c r="AA59" s="30"/>
      <x:c r="AB59" s="30"/>
      <x:c r="AC59" s="30"/>
      <x:c r="AD59" s="30"/>
      <x:c r="AE59" s="30"/>
      <x:c r="AF59" s="30"/>
      <x:c r="AG59" s="30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>
      <x:c r="A60" s="1"/>
      <x:c r="B60" s="1"/>
      <x:c r="C60" s="30"/>
      <x:c r="D60" s="30"/>
      <x:c r="E60" s="30"/>
      <x:c r="F60" s="30"/>
      <x:c r="G60" s="30"/>
      <x:c r="H60" s="30"/>
      <x:c r="I60" s="30"/>
      <x:c r="J60" s="30"/>
      <x:c r="K60" s="30"/>
      <x:c r="L60" s="30"/>
      <x:c r="M60" s="30"/>
      <x:c r="N60" s="30"/>
      <x:c r="O60" s="30"/>
      <x:c r="P60" s="30"/>
      <x:c r="Q60" s="30"/>
      <x:c r="R60" s="30"/>
      <x:c r="S60" s="30"/>
      <x:c r="T60" s="30"/>
      <x:c r="U60" s="30"/>
      <x:c r="V60" s="30"/>
      <x:c r="W60" s="30"/>
      <x:c r="X60" s="30"/>
      <x:c r="Y60" s="30"/>
      <x:c r="Z60" s="30"/>
      <x:c r="AA60" s="30"/>
      <x:c r="AB60" s="30"/>
      <x:c r="AC60" s="30"/>
      <x:c r="AD60" s="30"/>
      <x:c r="AE60" s="30"/>
      <x:c r="AF60" s="30"/>
      <x:c r="AG60" s="30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>
      <x:c r="A61" s="1"/>
      <x:c r="B61" s="1"/>
      <x:c r="C61" s="30"/>
      <x:c r="D61" s="30"/>
      <x:c r="E61" s="30"/>
      <x:c r="F61" s="30"/>
      <x:c r="G61" s="30"/>
      <x:c r="H61" s="30"/>
      <x:c r="I61" s="30"/>
      <x:c r="J61" s="30"/>
      <x:c r="K61" s="30"/>
      <x:c r="L61" s="30"/>
      <x:c r="M61" s="30"/>
      <x:c r="N61" s="30"/>
      <x:c r="O61" s="30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  <x:c r="AA61" s="30"/>
      <x:c r="AB61" s="30"/>
      <x:c r="AC61" s="30"/>
      <x:c r="AD61" s="30"/>
      <x:c r="AE61" s="30"/>
      <x:c r="AF61" s="30"/>
      <x:c r="AG61" s="30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>
      <x:c r="A62" s="1"/>
      <x:c r="B62" s="1"/>
      <x:c r="C62" s="30"/>
      <x:c r="D62" s="30"/>
      <x:c r="E62" s="30"/>
      <x:c r="F62" s="30"/>
      <x:c r="G62" s="30"/>
      <x:c r="H62" s="30"/>
      <x:c r="I62" s="30"/>
      <x:c r="J62" s="30"/>
      <x:c r="K62" s="30"/>
      <x:c r="L62" s="30"/>
      <x:c r="M62" s="30"/>
      <x:c r="N62" s="30"/>
      <x:c r="O62" s="30"/>
      <x:c r="P62" s="30"/>
      <x:c r="Q62" s="30"/>
      <x:c r="R62" s="30"/>
      <x:c r="S62" s="30"/>
      <x:c r="T62" s="30"/>
      <x:c r="U62" s="30"/>
      <x:c r="V62" s="30"/>
      <x:c r="W62" s="30"/>
      <x:c r="X62" s="30"/>
      <x:c r="Y62" s="30"/>
      <x:c r="Z62" s="30"/>
      <x:c r="AA62" s="30"/>
      <x:c r="AB62" s="30"/>
      <x:c r="AC62" s="30"/>
      <x:c r="AD62" s="30"/>
      <x:c r="AE62" s="30"/>
      <x:c r="AF62" s="30"/>
      <x:c r="AG62" s="30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>
      <x:c r="A63" s="1"/>
      <x:c r="B63" s="1"/>
      <x:c r="C63" s="30"/>
      <x:c r="D63" s="30"/>
      <x:c r="E63" s="30"/>
      <x:c r="F63" s="30"/>
      <x:c r="G63" s="30"/>
      <x:c r="H63" s="30"/>
      <x:c r="I63" s="30"/>
      <x:c r="J63" s="30"/>
      <x:c r="K63" s="30"/>
      <x:c r="L63" s="30"/>
      <x:c r="M63" s="30"/>
      <x:c r="N63" s="30"/>
      <x:c r="O63" s="30"/>
      <x:c r="P63" s="30"/>
      <x:c r="Q63" s="30"/>
      <x:c r="R63" s="30"/>
      <x:c r="S63" s="30"/>
      <x:c r="T63" s="30"/>
      <x:c r="U63" s="30"/>
      <x:c r="V63" s="30"/>
      <x:c r="W63" s="30"/>
      <x:c r="X63" s="30"/>
      <x:c r="Y63" s="30"/>
      <x:c r="Z63" s="30"/>
      <x:c r="AA63" s="30"/>
      <x:c r="AB63" s="30"/>
      <x:c r="AC63" s="30"/>
      <x:c r="AD63" s="30"/>
      <x:c r="AE63" s="30"/>
      <x:c r="AF63" s="30"/>
      <x:c r="AG63" s="30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>
      <x:c r="A64" s="1"/>
      <x:c r="B64" s="1"/>
      <x:c r="C64" s="30"/>
      <x:c r="D64" s="30"/>
      <x:c r="E64" s="30"/>
      <x:c r="F64" s="30"/>
      <x:c r="G64" s="30"/>
      <x:c r="H64" s="30"/>
      <x:c r="I64" s="30"/>
      <x:c r="J64" s="30"/>
      <x:c r="K64" s="30"/>
      <x:c r="L64" s="30"/>
      <x:c r="M64" s="30"/>
      <x:c r="N64" s="30"/>
      <x:c r="O64" s="30"/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30"/>
      <x:c r="AA64" s="30"/>
      <x:c r="AB64" s="30"/>
      <x:c r="AC64" s="30"/>
      <x:c r="AD64" s="30"/>
      <x:c r="AE64" s="30"/>
      <x:c r="AF64" s="30"/>
      <x:c r="AG64" s="30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>
      <x:c r="A65" s="1"/>
      <x:c r="B65" s="1"/>
      <x:c r="C65" s="30"/>
      <x:c r="D65" s="30"/>
      <x:c r="E65" s="30"/>
      <x:c r="F65" s="30"/>
      <x:c r="G65" s="30"/>
      <x:c r="H65" s="30"/>
      <x:c r="I65" s="30"/>
      <x:c r="J65" s="30"/>
      <x:c r="K65" s="30"/>
      <x:c r="L65" s="30"/>
      <x:c r="M65" s="30"/>
      <x:c r="N65" s="30"/>
      <x:c r="O65" s="30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  <x:c r="AA65" s="30"/>
      <x:c r="AB65" s="30"/>
      <x:c r="AC65" s="30"/>
      <x:c r="AD65" s="30"/>
      <x:c r="AE65" s="30"/>
      <x:c r="AF65" s="30"/>
      <x:c r="AG65" s="30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>
      <x:c r="A66" s="1"/>
      <x:c r="B66" s="1"/>
      <x:c r="C66" s="30"/>
      <x:c r="D66" s="30"/>
      <x:c r="E66" s="30"/>
      <x:c r="F66" s="30"/>
      <x:c r="G66" s="30"/>
      <x:c r="H66" s="30"/>
      <x:c r="I66" s="30"/>
      <x:c r="J66" s="30"/>
      <x:c r="K66" s="30"/>
      <x:c r="L66" s="30"/>
      <x:c r="M66" s="30"/>
      <x:c r="N66" s="30"/>
      <x:c r="O66" s="30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  <x:c r="AA66" s="30"/>
      <x:c r="AB66" s="30"/>
      <x:c r="AC66" s="30"/>
      <x:c r="AD66" s="30"/>
      <x:c r="AE66" s="30"/>
      <x:c r="AF66" s="30"/>
      <x:c r="AG66" s="30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>
      <x:c r="A67" s="1"/>
      <x:c r="B67" s="1"/>
      <x:c r="C67" s="30"/>
      <x:c r="D67" s="30"/>
      <x:c r="E67" s="30"/>
      <x:c r="F67" s="30"/>
      <x:c r="G67" s="30"/>
      <x:c r="H67" s="30"/>
      <x:c r="I67" s="30"/>
      <x:c r="J67" s="30"/>
      <x:c r="K67" s="30"/>
      <x:c r="L67" s="30"/>
      <x:c r="M67" s="30"/>
      <x:c r="N67" s="30"/>
      <x:c r="O67" s="30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  <x:c r="AA67" s="30"/>
      <x:c r="AB67" s="30"/>
      <x:c r="AC67" s="30"/>
      <x:c r="AD67" s="30"/>
      <x:c r="AE67" s="30"/>
      <x:c r="AF67" s="30"/>
      <x:c r="AG67" s="30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>
      <x:c r="A68" s="1"/>
      <x:c r="B68" s="1"/>
      <x:c r="C68" s="30"/>
      <x:c r="D68" s="30"/>
      <x:c r="E68" s="30"/>
      <x:c r="F68" s="30"/>
      <x:c r="G68" s="30"/>
      <x:c r="H68" s="30"/>
      <x:c r="I68" s="30"/>
      <x:c r="J68" s="30"/>
      <x:c r="K68" s="30"/>
      <x:c r="L68" s="30"/>
      <x:c r="M68" s="30"/>
      <x:c r="N68" s="30"/>
      <x:c r="O68" s="30"/>
      <x:c r="P68" s="30"/>
      <x:c r="Q68" s="30"/>
      <x:c r="R68" s="30"/>
      <x:c r="S68" s="30"/>
      <x:c r="T68" s="30"/>
      <x:c r="U68" s="30"/>
      <x:c r="V68" s="30"/>
      <x:c r="W68" s="30"/>
      <x:c r="X68" s="30"/>
      <x:c r="Y68" s="30"/>
      <x:c r="Z68" s="30"/>
      <x:c r="AA68" s="30"/>
      <x:c r="AB68" s="30"/>
      <x:c r="AC68" s="30"/>
      <x:c r="AD68" s="30"/>
      <x:c r="AE68" s="30"/>
      <x:c r="AF68" s="30"/>
      <x:c r="AG68" s="30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>
      <x:c r="A69" s="1"/>
      <x:c r="B69" s="1"/>
      <x:c r="C69" s="30"/>
      <x:c r="D69" s="30"/>
      <x:c r="E69" s="30"/>
      <x:c r="F69" s="30"/>
      <x:c r="G69" s="30"/>
      <x:c r="H69" s="30"/>
      <x:c r="I69" s="30"/>
      <x:c r="J69" s="30"/>
      <x:c r="K69" s="30"/>
      <x:c r="L69" s="30"/>
      <x:c r="M69" s="30"/>
      <x:c r="N69" s="30"/>
      <x:c r="O69" s="30"/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30"/>
      <x:c r="AA69" s="30"/>
      <x:c r="AB69" s="30"/>
      <x:c r="AC69" s="30"/>
      <x:c r="AD69" s="30"/>
      <x:c r="AE69" s="30"/>
      <x:c r="AF69" s="30"/>
      <x:c r="AG69" s="30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>
      <x:c r="A70" s="1"/>
      <x:c r="B70" s="1"/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  <x:c r="M70" s="30"/>
      <x:c r="N70" s="30"/>
      <x:c r="O70" s="30"/>
      <x:c r="P70" s="30"/>
      <x:c r="Q70" s="30"/>
      <x:c r="R70" s="30"/>
      <x:c r="S70" s="30"/>
      <x:c r="T70" s="30"/>
      <x:c r="U70" s="30"/>
      <x:c r="V70" s="30"/>
      <x:c r="W70" s="30"/>
      <x:c r="X70" s="30"/>
      <x:c r="Y70" s="30"/>
      <x:c r="Z70" s="30"/>
      <x:c r="AA70" s="30"/>
      <x:c r="AB70" s="30"/>
      <x:c r="AC70" s="30"/>
      <x:c r="AD70" s="30"/>
      <x:c r="AE70" s="30"/>
      <x:c r="AF70" s="30"/>
      <x:c r="AG70" s="30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>
      <x:c r="A71" s="1"/>
      <x:c r="B71" s="1"/>
      <x:c r="C71" s="30"/>
      <x:c r="D71" s="30"/>
      <x:c r="E71" s="30"/>
      <x:c r="F71" s="30"/>
      <x:c r="G71" s="30"/>
      <x:c r="H71" s="30"/>
      <x:c r="I71" s="30"/>
      <x:c r="J71" s="30"/>
      <x:c r="K71" s="30"/>
      <x:c r="L71" s="30"/>
      <x:c r="M71" s="30"/>
      <x:c r="N71" s="30"/>
      <x:c r="O71" s="30"/>
      <x:c r="P71" s="30"/>
      <x:c r="Q71" s="30"/>
      <x:c r="R71" s="30"/>
      <x:c r="S71" s="30"/>
      <x:c r="T71" s="30"/>
      <x:c r="U71" s="30"/>
      <x:c r="V71" s="30"/>
      <x:c r="W71" s="30"/>
      <x:c r="X71" s="30"/>
      <x:c r="Y71" s="30"/>
      <x:c r="Z71" s="30"/>
      <x:c r="AA71" s="30"/>
      <x:c r="AB71" s="30"/>
      <x:c r="AC71" s="30"/>
      <x:c r="AD71" s="30"/>
      <x:c r="AE71" s="30"/>
      <x:c r="AF71" s="30"/>
      <x:c r="AG71" s="30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>
      <x:c r="A72" s="1"/>
      <x:c r="B72" s="1"/>
      <x:c r="C72" s="30"/>
      <x:c r="D72" s="30"/>
      <x:c r="E72" s="30"/>
      <x:c r="F72" s="30"/>
      <x:c r="G72" s="30"/>
      <x:c r="H72" s="30"/>
      <x:c r="I72" s="30"/>
      <x:c r="J72" s="30"/>
      <x:c r="K72" s="30"/>
      <x:c r="L72" s="30"/>
      <x:c r="M72" s="30"/>
      <x:c r="N72" s="30"/>
      <x:c r="O72" s="30"/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30"/>
      <x:c r="AA72" s="30"/>
      <x:c r="AB72" s="30"/>
      <x:c r="AC72" s="30"/>
      <x:c r="AD72" s="30"/>
      <x:c r="AE72" s="30"/>
      <x:c r="AF72" s="30"/>
      <x:c r="AG72" s="30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>
      <x:c r="A73" s="1"/>
      <x:c r="B73" s="1"/>
      <x:c r="C73" s="30"/>
      <x:c r="D73" s="30"/>
      <x:c r="E73" s="30"/>
      <x:c r="F73" s="30"/>
      <x:c r="G73" s="30"/>
      <x:c r="H73" s="30"/>
      <x:c r="I73" s="30"/>
      <x:c r="J73" s="30"/>
      <x:c r="K73" s="30"/>
      <x:c r="L73" s="30"/>
      <x:c r="M73" s="30"/>
      <x:c r="N73" s="30"/>
      <x:c r="O73" s="30"/>
      <x:c r="P73" s="30"/>
      <x:c r="Q73" s="30"/>
      <x:c r="R73" s="30"/>
      <x:c r="S73" s="30"/>
      <x:c r="T73" s="30"/>
      <x:c r="U73" s="30"/>
      <x:c r="V73" s="30"/>
      <x:c r="W73" s="30"/>
      <x:c r="X73" s="30"/>
      <x:c r="Y73" s="30"/>
      <x:c r="Z73" s="30"/>
      <x:c r="AA73" s="30"/>
      <x:c r="AB73" s="30"/>
      <x:c r="AC73" s="30"/>
      <x:c r="AD73" s="30"/>
      <x:c r="AE73" s="30"/>
      <x:c r="AF73" s="30"/>
      <x:c r="AG73" s="30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>
      <x:c r="A74" s="1"/>
      <x:c r="B74" s="1"/>
      <x:c r="C74" s="30"/>
      <x:c r="D74" s="30"/>
      <x:c r="E74" s="30"/>
      <x:c r="F74" s="30"/>
      <x:c r="G74" s="30"/>
      <x:c r="H74" s="30"/>
      <x:c r="I74" s="30"/>
      <x:c r="J74" s="30"/>
      <x:c r="K74" s="30"/>
      <x:c r="L74" s="30"/>
      <x:c r="M74" s="30"/>
      <x:c r="N74" s="30"/>
      <x:c r="O74" s="30"/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30"/>
      <x:c r="AA74" s="30"/>
      <x:c r="AB74" s="30"/>
      <x:c r="AC74" s="30"/>
      <x:c r="AD74" s="30"/>
      <x:c r="AE74" s="30"/>
      <x:c r="AF74" s="30"/>
      <x:c r="AG74" s="30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>
      <x:c r="A75" s="1"/>
      <x:c r="B75" s="1"/>
      <x:c r="C75" s="30"/>
      <x:c r="D75" s="30"/>
      <x:c r="E75" s="30"/>
      <x:c r="F75" s="30"/>
      <x:c r="G75" s="30"/>
      <x:c r="H75" s="30"/>
      <x:c r="I75" s="30"/>
      <x:c r="J75" s="30"/>
      <x:c r="K75" s="30"/>
      <x:c r="L75" s="30"/>
      <x:c r="M75" s="30"/>
      <x:c r="N75" s="30"/>
      <x:c r="O75" s="30"/>
      <x:c r="P75" s="30"/>
      <x:c r="Q75" s="30"/>
      <x:c r="R75" s="30"/>
      <x:c r="S75" s="30"/>
      <x:c r="T75" s="30"/>
      <x:c r="U75" s="30"/>
      <x:c r="V75" s="30"/>
      <x:c r="W75" s="30"/>
      <x:c r="X75" s="30"/>
      <x:c r="Y75" s="30"/>
      <x:c r="Z75" s="30"/>
      <x:c r="AA75" s="30"/>
      <x:c r="AB75" s="30"/>
      <x:c r="AC75" s="30"/>
      <x:c r="AD75" s="30"/>
      <x:c r="AE75" s="30"/>
      <x:c r="AF75" s="30"/>
      <x:c r="AG75" s="30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>
      <x:c r="A76" s="1"/>
      <x:c r="B76" s="1"/>
      <x:c r="C76" s="30"/>
      <x:c r="D76" s="30"/>
      <x:c r="E76" s="30"/>
      <x:c r="F76" s="30"/>
      <x:c r="G76" s="30"/>
      <x:c r="H76" s="30"/>
      <x:c r="I76" s="30"/>
      <x:c r="J76" s="30"/>
      <x:c r="K76" s="30"/>
      <x:c r="L76" s="30"/>
      <x:c r="M76" s="30"/>
      <x:c r="N76" s="30"/>
      <x:c r="O76" s="30"/>
      <x:c r="P76" s="30"/>
      <x:c r="Q76" s="30"/>
      <x:c r="R76" s="30"/>
      <x:c r="S76" s="30"/>
      <x:c r="T76" s="30"/>
      <x:c r="U76" s="30"/>
      <x:c r="V76" s="30"/>
      <x:c r="W76" s="30"/>
      <x:c r="X76" s="30"/>
      <x:c r="Y76" s="30"/>
      <x:c r="Z76" s="30"/>
      <x:c r="AA76" s="30"/>
      <x:c r="AB76" s="30"/>
      <x:c r="AC76" s="30"/>
      <x:c r="AD76" s="30"/>
      <x:c r="AE76" s="30"/>
      <x:c r="AF76" s="30"/>
      <x:c r="AG76" s="30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>
      <x:c r="A77" s="1"/>
      <x:c r="B77" s="1"/>
      <x:c r="C77" s="30"/>
      <x:c r="D77" s="30"/>
      <x:c r="E77" s="30"/>
      <x:c r="F77" s="30"/>
      <x:c r="G77" s="30"/>
      <x:c r="H77" s="30"/>
      <x:c r="I77" s="30"/>
      <x:c r="J77" s="30"/>
      <x:c r="K77" s="30"/>
      <x:c r="L77" s="30"/>
      <x:c r="M77" s="30"/>
      <x:c r="N77" s="30"/>
      <x:c r="O77" s="30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  <x:c r="AA77" s="30"/>
      <x:c r="AB77" s="30"/>
      <x:c r="AC77" s="30"/>
      <x:c r="AD77" s="30"/>
      <x:c r="AE77" s="30"/>
      <x:c r="AF77" s="30"/>
      <x:c r="AG77" s="30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>
      <x:c r="A78" s="1"/>
      <x:c r="B78" s="1"/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  <x:c r="O78" s="30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  <x:c r="AA78" s="30"/>
      <x:c r="AB78" s="30"/>
      <x:c r="AC78" s="30"/>
      <x:c r="AD78" s="30"/>
      <x:c r="AE78" s="30"/>
      <x:c r="AF78" s="30"/>
      <x:c r="AG78" s="30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>
      <x:c r="A79" s="1"/>
      <x:c r="B79" s="1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  <x:c r="M79" s="30"/>
      <x:c r="N79" s="30"/>
      <x:c r="O79" s="30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  <x:c r="AA79" s="30"/>
      <x:c r="AB79" s="30"/>
      <x:c r="AC79" s="30"/>
      <x:c r="AD79" s="30"/>
      <x:c r="AE79" s="30"/>
      <x:c r="AF79" s="30"/>
      <x:c r="AG79" s="30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>
      <x:c r="A80" s="1"/>
      <x:c r="B80" s="1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  <x:c r="M80" s="30"/>
      <x:c r="N80" s="30"/>
      <x:c r="O80" s="30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  <x:c r="AA80" s="30"/>
      <x:c r="AB80" s="30"/>
      <x:c r="AC80" s="30"/>
      <x:c r="AD80" s="30"/>
      <x:c r="AE80" s="30"/>
      <x:c r="AF80" s="30"/>
      <x:c r="AG80" s="30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>
      <x:c r="A81" s="1"/>
      <x:c r="B81" s="1"/>
      <x:c r="C81" s="30"/>
      <x:c r="D81" s="30"/>
      <x:c r="E81" s="30"/>
      <x:c r="F81" s="30"/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  <x:c r="AA81" s="30"/>
      <x:c r="AB81" s="30"/>
      <x:c r="AC81" s="30"/>
      <x:c r="AD81" s="30"/>
      <x:c r="AE81" s="30"/>
      <x:c r="AF81" s="30"/>
      <x:c r="AG81" s="30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>
      <x:c r="A82" s="1"/>
      <x:c r="B82" s="1"/>
      <x:c r="C82" s="30"/>
      <x:c r="D82" s="30"/>
      <x:c r="E82" s="30"/>
      <x:c r="F82" s="30"/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30"/>
      <x:c r="AA82" s="30"/>
      <x:c r="AB82" s="30"/>
      <x:c r="AC82" s="30"/>
      <x:c r="AD82" s="30"/>
      <x:c r="AE82" s="30"/>
      <x:c r="AF82" s="30"/>
      <x:c r="AG82" s="30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>
      <x:c r="A83" s="1"/>
      <x:c r="B83" s="1"/>
      <x:c r="C83" s="30"/>
      <x:c r="D83" s="30"/>
      <x:c r="E83" s="30"/>
      <x:c r="F83" s="30"/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30"/>
      <x:c r="AA83" s="30"/>
      <x:c r="AB83" s="30"/>
      <x:c r="AC83" s="30"/>
      <x:c r="AD83" s="30"/>
      <x:c r="AE83" s="30"/>
      <x:c r="AF83" s="30"/>
      <x:c r="AG83" s="30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>
      <x:c r="A84" s="1"/>
      <x:c r="B84" s="1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30"/>
      <x:c r="AA84" s="30"/>
      <x:c r="AB84" s="30"/>
      <x:c r="AC84" s="30"/>
      <x:c r="AD84" s="30"/>
      <x:c r="AE84" s="30"/>
      <x:c r="AF84" s="30"/>
      <x:c r="AG84" s="30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>
      <x:c r="A85" s="1"/>
      <x:c r="B85" s="1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30"/>
      <x:c r="AA85" s="30"/>
      <x:c r="AB85" s="30"/>
      <x:c r="AC85" s="30"/>
      <x:c r="AD85" s="30"/>
      <x:c r="AE85" s="30"/>
      <x:c r="AF85" s="30"/>
      <x:c r="AG85" s="30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>
      <x:c r="A86" s="1"/>
      <x:c r="B86" s="1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30"/>
      <x:c r="AA86" s="30"/>
      <x:c r="AB86" s="30"/>
      <x:c r="AC86" s="30"/>
      <x:c r="AD86" s="30"/>
      <x:c r="AE86" s="30"/>
      <x:c r="AF86" s="30"/>
      <x:c r="AG86" s="30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>
      <x:c r="A87" s="1"/>
      <x:c r="B87" s="1"/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  <x:c r="Y87" s="30"/>
      <x:c r="Z87" s="30"/>
      <x:c r="AA87" s="30"/>
      <x:c r="AB87" s="30"/>
      <x:c r="AC87" s="30"/>
      <x:c r="AD87" s="30"/>
      <x:c r="AE87" s="30"/>
      <x:c r="AF87" s="30"/>
      <x:c r="AG87" s="30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>
      <x:c r="A88" s="1"/>
      <x:c r="B88" s="1"/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  <x:c r="Y88" s="30"/>
      <x:c r="Z88" s="30"/>
      <x:c r="AA88" s="30"/>
      <x:c r="AB88" s="30"/>
      <x:c r="AC88" s="30"/>
      <x:c r="AD88" s="30"/>
      <x:c r="AE88" s="30"/>
      <x:c r="AF88" s="30"/>
      <x:c r="AG88" s="30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>
      <x:c r="A89" s="1"/>
      <x:c r="B89" s="1"/>
      <x:c r="C89" s="30"/>
      <x:c r="D89" s="30"/>
      <x:c r="E89" s="30"/>
      <x:c r="F89" s="30"/>
      <x:c r="G89" s="3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  <x:c r="Y89" s="30"/>
      <x:c r="Z89" s="30"/>
      <x:c r="AA89" s="30"/>
      <x:c r="AB89" s="30"/>
      <x:c r="AC89" s="30"/>
      <x:c r="AD89" s="30"/>
      <x:c r="AE89" s="30"/>
      <x:c r="AF89" s="30"/>
      <x:c r="AG89" s="30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>
      <x:c r="A90" s="1"/>
      <x:c r="B90" s="1"/>
      <x:c r="C90" s="30"/>
      <x:c r="D90" s="30"/>
      <x:c r="E90" s="30"/>
      <x:c r="F90" s="30"/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30"/>
      <x:c r="AA90" s="30"/>
      <x:c r="AB90" s="30"/>
      <x:c r="AC90" s="30"/>
      <x:c r="AD90" s="30"/>
      <x:c r="AE90" s="30"/>
      <x:c r="AF90" s="30"/>
      <x:c r="AG90" s="30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>
      <x:c r="A91" s="1"/>
      <x:c r="B91" s="1"/>
      <x:c r="C91" s="30"/>
      <x:c r="D91" s="30"/>
      <x:c r="E91" s="30"/>
      <x:c r="F91" s="30"/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30"/>
      <x:c r="AA91" s="30"/>
      <x:c r="AB91" s="30"/>
      <x:c r="AC91" s="30"/>
      <x:c r="AD91" s="30"/>
      <x:c r="AE91" s="30"/>
      <x:c r="AF91" s="30"/>
      <x:c r="AG91" s="30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>
      <x:c r="A92" s="1"/>
      <x:c r="B92" s="1"/>
      <x:c r="C92" s="30"/>
      <x:c r="D92" s="30"/>
      <x:c r="E92" s="30"/>
      <x:c r="F92" s="30"/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  <x:c r="AA92" s="30"/>
      <x:c r="AB92" s="30"/>
      <x:c r="AC92" s="30"/>
      <x:c r="AD92" s="30"/>
      <x:c r="AE92" s="30"/>
      <x:c r="AF92" s="30"/>
      <x:c r="AG92" s="30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>
      <x:c r="A93" s="1"/>
      <x:c r="B93" s="1"/>
      <x:c r="C93" s="30"/>
      <x:c r="D93" s="30"/>
      <x:c r="E93" s="30"/>
      <x:c r="F93" s="30"/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  <x:c r="AA93" s="30"/>
      <x:c r="AB93" s="30"/>
      <x:c r="AC93" s="30"/>
      <x:c r="AD93" s="30"/>
      <x:c r="AE93" s="30"/>
      <x:c r="AF93" s="30"/>
      <x:c r="AG93" s="30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>
      <x:c r="A94" s="1"/>
      <x:c r="B94" s="1"/>
      <x:c r="C94" s="30"/>
      <x:c r="D94" s="30"/>
      <x:c r="E94" s="30"/>
      <x:c r="F94" s="30"/>
      <x:c r="G94" s="3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30"/>
      <x:c r="AA94" s="30"/>
      <x:c r="AB94" s="30"/>
      <x:c r="AC94" s="30"/>
      <x:c r="AD94" s="30"/>
      <x:c r="AE94" s="30"/>
      <x:c r="AF94" s="30"/>
      <x:c r="AG94" s="30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>
      <x:c r="A95" s="1"/>
      <x:c r="B95" s="1"/>
      <x:c r="C95" s="30"/>
      <x:c r="D95" s="30"/>
      <x:c r="E95" s="30"/>
      <x:c r="F95" s="30"/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30"/>
      <x:c r="AA95" s="30"/>
      <x:c r="AB95" s="30"/>
      <x:c r="AC95" s="30"/>
      <x:c r="AD95" s="30"/>
      <x:c r="AE95" s="30"/>
      <x:c r="AF95" s="30"/>
      <x:c r="AG95" s="30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>
      <x:c r="A96" s="1"/>
      <x:c r="B96" s="1"/>
      <x:c r="C96" s="30"/>
      <x:c r="D96" s="30"/>
      <x:c r="E96" s="30"/>
      <x:c r="F96" s="30"/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30"/>
      <x:c r="AA96" s="30"/>
      <x:c r="AB96" s="30"/>
      <x:c r="AC96" s="30"/>
      <x:c r="AD96" s="30"/>
      <x:c r="AE96" s="30"/>
      <x:c r="AF96" s="30"/>
      <x:c r="AG96" s="30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>
      <x:c r="A97" s="1"/>
      <x:c r="B97" s="1"/>
      <x:c r="C97" s="30"/>
      <x:c r="D97" s="30"/>
      <x:c r="E97" s="30"/>
      <x:c r="F97" s="30"/>
      <x:c r="G97" s="3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30"/>
      <x:c r="AA97" s="30"/>
      <x:c r="AB97" s="30"/>
      <x:c r="AC97" s="30"/>
      <x:c r="AD97" s="30"/>
      <x:c r="AE97" s="30"/>
      <x:c r="AF97" s="30"/>
      <x:c r="AG97" s="30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>
      <x:c r="A98" s="1"/>
      <x:c r="B98" s="1"/>
      <x:c r="C98" s="30"/>
      <x:c r="D98" s="30"/>
      <x:c r="E98" s="30"/>
      <x:c r="F98" s="30"/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30"/>
      <x:c r="AA98" s="30"/>
      <x:c r="AB98" s="30"/>
      <x:c r="AC98" s="30"/>
      <x:c r="AD98" s="30"/>
      <x:c r="AE98" s="30"/>
      <x:c r="AF98" s="30"/>
      <x:c r="AG98" s="30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>
      <x:c r="A99" s="1"/>
      <x:c r="B99" s="1"/>
      <x:c r="C99" s="30"/>
      <x:c r="D99" s="30"/>
      <x:c r="E99" s="30"/>
      <x:c r="F99" s="30"/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30"/>
      <x:c r="AA99" s="30"/>
      <x:c r="AB99" s="30"/>
      <x:c r="AC99" s="30"/>
      <x:c r="AD99" s="30"/>
      <x:c r="AE99" s="30"/>
      <x:c r="AF99" s="30"/>
      <x:c r="AG99" s="30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>
      <x:c r="A100" s="1"/>
      <x:c r="B100" s="1"/>
      <x:c r="C100" s="30"/>
      <x:c r="D100" s="30"/>
      <x:c r="E100" s="30"/>
      <x:c r="F100" s="30"/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30"/>
      <x:c r="AA100" s="30"/>
      <x:c r="AB100" s="30"/>
      <x:c r="AC100" s="30"/>
      <x:c r="AD100" s="30"/>
      <x:c r="AE100" s="30"/>
      <x:c r="AF100" s="30"/>
      <x:c r="AG100" s="30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>
      <x:c r="A101" s="1"/>
      <x:c r="B101" s="1"/>
      <x:c r="C101" s="30"/>
      <x:c r="D101" s="30"/>
      <x:c r="E101" s="30"/>
      <x:c r="F101" s="30"/>
      <x:c r="G101" s="30"/>
      <x:c r="H101" s="30"/>
      <x:c r="I101" s="30"/>
      <x:c r="J101" s="30"/>
      <x:c r="K101" s="30"/>
      <x:c r="L101" s="30"/>
      <x:c r="M101" s="30"/>
      <x:c r="N101" s="30"/>
      <x:c r="O101" s="30"/>
      <x:c r="P101" s="30"/>
      <x:c r="Q101" s="30"/>
      <x:c r="R101" s="30"/>
      <x:c r="S101" s="30"/>
      <x:c r="T101" s="30"/>
      <x:c r="U101" s="30"/>
      <x:c r="V101" s="30"/>
      <x:c r="W101" s="30"/>
      <x:c r="X101" s="30"/>
      <x:c r="Y101" s="30"/>
      <x:c r="Z101" s="30"/>
      <x:c r="AA101" s="30"/>
      <x:c r="AB101" s="30"/>
      <x:c r="AC101" s="30"/>
      <x:c r="AD101" s="30"/>
      <x:c r="AE101" s="30"/>
      <x:c r="AF101" s="30"/>
      <x:c r="AG101" s="30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>
      <x:c r="A102" s="1"/>
      <x:c r="B102" s="1"/>
      <x:c r="C102" s="30"/>
      <x:c r="D102" s="30"/>
      <x:c r="E102" s="30"/>
      <x:c r="F102" s="30"/>
      <x:c r="G102" s="30"/>
      <x:c r="H102" s="30"/>
      <x:c r="I102" s="30"/>
      <x:c r="J102" s="30"/>
      <x:c r="K102" s="30"/>
      <x:c r="L102" s="30"/>
      <x:c r="M102" s="30"/>
      <x:c r="N102" s="30"/>
      <x:c r="O102" s="30"/>
      <x:c r="P102" s="30"/>
      <x:c r="Q102" s="30"/>
      <x:c r="R102" s="30"/>
      <x:c r="S102" s="30"/>
      <x:c r="T102" s="30"/>
      <x:c r="U102" s="30"/>
      <x:c r="V102" s="30"/>
      <x:c r="W102" s="30"/>
      <x:c r="X102" s="30"/>
      <x:c r="Y102" s="30"/>
      <x:c r="Z102" s="30"/>
      <x:c r="AA102" s="30"/>
      <x:c r="AB102" s="30"/>
      <x:c r="AC102" s="30"/>
      <x:c r="AD102" s="30"/>
      <x:c r="AE102" s="30"/>
      <x:c r="AF102" s="30"/>
      <x:c r="AG102" s="30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>
      <x:c r="A103" s="1"/>
      <x:c r="B103" s="1"/>
      <x:c r="C103" s="30"/>
      <x:c r="D103" s="30"/>
      <x:c r="E103" s="30"/>
      <x:c r="F103" s="30"/>
      <x:c r="G103" s="3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0"/>
      <x:c r="T103" s="30"/>
      <x:c r="U103" s="30"/>
      <x:c r="V103" s="30"/>
      <x:c r="W103" s="30"/>
      <x:c r="X103" s="30"/>
      <x:c r="Y103" s="30"/>
      <x:c r="Z103" s="30"/>
      <x:c r="AA103" s="30"/>
      <x:c r="AB103" s="30"/>
      <x:c r="AC103" s="30"/>
      <x:c r="AD103" s="30"/>
      <x:c r="AE103" s="30"/>
      <x:c r="AF103" s="30"/>
      <x:c r="AG103" s="30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>
      <x:c r="A104" s="1"/>
      <x:c r="B104" s="1"/>
      <x:c r="C104" s="30"/>
      <x:c r="D104" s="30"/>
      <x:c r="E104" s="30"/>
      <x:c r="F104" s="30"/>
      <x:c r="G104" s="30"/>
      <x:c r="H104" s="30"/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0"/>
      <x:c r="T104" s="30"/>
      <x:c r="U104" s="30"/>
      <x:c r="V104" s="30"/>
      <x:c r="W104" s="30"/>
      <x:c r="X104" s="30"/>
      <x:c r="Y104" s="30"/>
      <x:c r="Z104" s="30"/>
      <x:c r="AA104" s="30"/>
      <x:c r="AB104" s="30"/>
      <x:c r="AC104" s="30"/>
      <x:c r="AD104" s="30"/>
      <x:c r="AE104" s="30"/>
      <x:c r="AF104" s="30"/>
      <x:c r="AG104" s="30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>
      <x:c r="A105" s="1"/>
      <x:c r="B105" s="1"/>
      <x:c r="C105" s="30"/>
      <x:c r="D105" s="30"/>
      <x:c r="E105" s="30"/>
      <x:c r="F105" s="30"/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  <x:c r="Q105" s="30"/>
      <x:c r="R105" s="30"/>
      <x:c r="S105" s="30"/>
      <x:c r="T105" s="30"/>
      <x:c r="U105" s="30"/>
      <x:c r="V105" s="30"/>
      <x:c r="W105" s="30"/>
      <x:c r="X105" s="30"/>
      <x:c r="Y105" s="30"/>
      <x:c r="Z105" s="30"/>
      <x:c r="AA105" s="30"/>
      <x:c r="AB105" s="30"/>
      <x:c r="AC105" s="30"/>
      <x:c r="AD105" s="30"/>
      <x:c r="AE105" s="30"/>
      <x:c r="AF105" s="30"/>
      <x:c r="AG105" s="30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>
      <x:c r="A106" s="1"/>
      <x:c r="B106" s="1"/>
      <x:c r="C106" s="30"/>
      <x:c r="D106" s="30"/>
      <x:c r="E106" s="30"/>
      <x:c r="F106" s="30"/>
      <x:c r="G106" s="30"/>
      <x:c r="H106" s="30"/>
      <x:c r="I106" s="30"/>
      <x:c r="J106" s="30"/>
      <x:c r="K106" s="30"/>
      <x:c r="L106" s="30"/>
      <x:c r="M106" s="30"/>
      <x:c r="N106" s="30"/>
      <x:c r="O106" s="30"/>
      <x:c r="P106" s="30"/>
      <x:c r="Q106" s="30"/>
      <x:c r="R106" s="30"/>
      <x:c r="S106" s="30"/>
      <x:c r="T106" s="30"/>
      <x:c r="U106" s="30"/>
      <x:c r="V106" s="30"/>
      <x:c r="W106" s="30"/>
      <x:c r="X106" s="30"/>
      <x:c r="Y106" s="30"/>
      <x:c r="Z106" s="30"/>
      <x:c r="AA106" s="30"/>
      <x:c r="AB106" s="30"/>
      <x:c r="AC106" s="30"/>
      <x:c r="AD106" s="30"/>
      <x:c r="AE106" s="30"/>
      <x:c r="AF106" s="30"/>
      <x:c r="AG106" s="30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>
      <x:c r="A107" s="1"/>
      <x:c r="B107" s="1"/>
      <x:c r="C107" s="30"/>
      <x:c r="D107" s="30"/>
      <x:c r="E107" s="30"/>
      <x:c r="F107" s="30"/>
      <x:c r="G107" s="30"/>
      <x:c r="H107" s="30"/>
      <x:c r="I107" s="30"/>
      <x:c r="J107" s="30"/>
      <x:c r="K107" s="30"/>
      <x:c r="L107" s="30"/>
      <x:c r="M107" s="30"/>
      <x:c r="N107" s="30"/>
      <x:c r="O107" s="30"/>
      <x:c r="P107" s="30"/>
      <x:c r="Q107" s="30"/>
      <x:c r="R107" s="30"/>
      <x:c r="S107" s="30"/>
      <x:c r="T107" s="30"/>
      <x:c r="U107" s="30"/>
      <x:c r="V107" s="30"/>
      <x:c r="W107" s="30"/>
      <x:c r="X107" s="30"/>
      <x:c r="Y107" s="30"/>
      <x:c r="Z107" s="30"/>
      <x:c r="AA107" s="30"/>
      <x:c r="AB107" s="30"/>
      <x:c r="AC107" s="30"/>
      <x:c r="AD107" s="30"/>
      <x:c r="AE107" s="30"/>
      <x:c r="AF107" s="30"/>
      <x:c r="AG107" s="30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>
      <x:c r="A108" s="1"/>
      <x:c r="B108" s="1"/>
      <x:c r="C108" s="30"/>
      <x:c r="D108" s="30"/>
      <x:c r="E108" s="30"/>
      <x:c r="F108" s="30"/>
      <x:c r="G108" s="30"/>
      <x:c r="H108" s="30"/>
      <x:c r="I108" s="30"/>
      <x:c r="J108" s="30"/>
      <x:c r="K108" s="30"/>
      <x:c r="L108" s="30"/>
      <x:c r="M108" s="30"/>
      <x:c r="N108" s="30"/>
      <x:c r="O108" s="30"/>
      <x:c r="P108" s="30"/>
      <x:c r="Q108" s="30"/>
      <x:c r="R108" s="30"/>
      <x:c r="S108" s="30"/>
      <x:c r="T108" s="30"/>
      <x:c r="U108" s="30"/>
      <x:c r="V108" s="30"/>
      <x:c r="W108" s="30"/>
      <x:c r="X108" s="30"/>
      <x:c r="Y108" s="30"/>
      <x:c r="Z108" s="30"/>
      <x:c r="AA108" s="30"/>
      <x:c r="AB108" s="30"/>
      <x:c r="AC108" s="30"/>
      <x:c r="AD108" s="30"/>
      <x:c r="AE108" s="30"/>
      <x:c r="AF108" s="30"/>
      <x:c r="AG108" s="30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>
      <x:c r="A109" s="1"/>
      <x:c r="B109" s="1"/>
      <x:c r="C109" s="30"/>
      <x:c r="D109" s="30"/>
      <x:c r="E109" s="30"/>
      <x:c r="F109" s="30"/>
      <x:c r="G109" s="30"/>
      <x:c r="H109" s="30"/>
      <x:c r="I109" s="30"/>
      <x:c r="J109" s="30"/>
      <x:c r="K109" s="30"/>
      <x:c r="L109" s="30"/>
      <x:c r="M109" s="30"/>
      <x:c r="N109" s="30"/>
      <x:c r="O109" s="30"/>
      <x:c r="P109" s="30"/>
      <x:c r="Q109" s="30"/>
      <x:c r="R109" s="30"/>
      <x:c r="S109" s="30"/>
      <x:c r="T109" s="30"/>
      <x:c r="U109" s="30"/>
      <x:c r="V109" s="30"/>
      <x:c r="W109" s="30"/>
      <x:c r="X109" s="30"/>
      <x:c r="Y109" s="30"/>
      <x:c r="Z109" s="30"/>
      <x:c r="AA109" s="30"/>
      <x:c r="AB109" s="30"/>
      <x:c r="AC109" s="30"/>
      <x:c r="AD109" s="30"/>
      <x:c r="AE109" s="30"/>
      <x:c r="AF109" s="30"/>
      <x:c r="AG109" s="30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>
      <x:c r="A110" s="1"/>
      <x:c r="B110" s="1"/>
      <x:c r="C110" s="30"/>
      <x:c r="D110" s="30"/>
      <x:c r="E110" s="30"/>
      <x:c r="F110" s="30"/>
      <x:c r="G110" s="30"/>
      <x:c r="H110" s="30"/>
      <x:c r="I110" s="30"/>
      <x:c r="J110" s="30"/>
      <x:c r="K110" s="30"/>
      <x:c r="L110" s="30"/>
      <x:c r="M110" s="30"/>
      <x:c r="N110" s="30"/>
      <x:c r="O110" s="30"/>
      <x:c r="P110" s="30"/>
      <x:c r="Q110" s="30"/>
      <x:c r="R110" s="30"/>
      <x:c r="S110" s="30"/>
      <x:c r="T110" s="30"/>
      <x:c r="U110" s="30"/>
      <x:c r="V110" s="30"/>
      <x:c r="W110" s="30"/>
      <x:c r="X110" s="30"/>
      <x:c r="Y110" s="30"/>
      <x:c r="Z110" s="30"/>
      <x:c r="AA110" s="30"/>
      <x:c r="AB110" s="30"/>
      <x:c r="AC110" s="30"/>
      <x:c r="AD110" s="30"/>
      <x:c r="AE110" s="30"/>
      <x:c r="AF110" s="30"/>
      <x:c r="AG110" s="30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>
      <x:c r="A111" s="1"/>
      <x:c r="B111" s="1"/>
      <x:c r="C111" s="30"/>
      <x:c r="D111" s="30"/>
      <x:c r="E111" s="30"/>
      <x:c r="F111" s="30"/>
      <x:c r="G111" s="30"/>
      <x:c r="H111" s="30"/>
      <x:c r="I111" s="30"/>
      <x:c r="J111" s="30"/>
      <x:c r="K111" s="30"/>
      <x:c r="L111" s="30"/>
      <x:c r="M111" s="30"/>
      <x:c r="N111" s="30"/>
      <x:c r="O111" s="30"/>
      <x:c r="P111" s="30"/>
      <x:c r="Q111" s="30"/>
      <x:c r="R111" s="30"/>
      <x:c r="S111" s="30"/>
      <x:c r="T111" s="30"/>
      <x:c r="U111" s="30"/>
      <x:c r="V111" s="30"/>
      <x:c r="W111" s="30"/>
      <x:c r="X111" s="30"/>
      <x:c r="Y111" s="30"/>
      <x:c r="Z111" s="30"/>
      <x:c r="AA111" s="30"/>
      <x:c r="AB111" s="30"/>
      <x:c r="AC111" s="30"/>
      <x:c r="AD111" s="30"/>
      <x:c r="AE111" s="30"/>
      <x:c r="AF111" s="30"/>
      <x:c r="AG111" s="30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>
      <x:c r="A112" s="1"/>
      <x:c r="B112" s="1"/>
      <x:c r="C112" s="30"/>
      <x:c r="D112" s="30"/>
      <x:c r="E112" s="30"/>
      <x:c r="F112" s="30"/>
      <x:c r="G112" s="30"/>
      <x:c r="H112" s="30"/>
      <x:c r="I112" s="30"/>
      <x:c r="J112" s="30"/>
      <x:c r="K112" s="30"/>
      <x:c r="L112" s="30"/>
      <x:c r="M112" s="30"/>
      <x:c r="N112" s="30"/>
      <x:c r="O112" s="30"/>
      <x:c r="P112" s="30"/>
      <x:c r="Q112" s="30"/>
      <x:c r="R112" s="30"/>
      <x:c r="S112" s="30"/>
      <x:c r="T112" s="30"/>
      <x:c r="U112" s="30"/>
      <x:c r="V112" s="30"/>
      <x:c r="W112" s="30"/>
      <x:c r="X112" s="30"/>
      <x:c r="Y112" s="30"/>
      <x:c r="Z112" s="30"/>
      <x:c r="AA112" s="30"/>
      <x:c r="AB112" s="30"/>
      <x:c r="AC112" s="30"/>
      <x:c r="AD112" s="30"/>
      <x:c r="AE112" s="30"/>
      <x:c r="AF112" s="30"/>
      <x:c r="AG112" s="30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>
      <x:c r="A113" s="1"/>
      <x:c r="B113" s="1"/>
      <x:c r="C113" s="30"/>
      <x:c r="D113" s="30"/>
      <x:c r="E113" s="30"/>
      <x:c r="F113" s="30"/>
      <x:c r="G113" s="30"/>
      <x:c r="H113" s="30"/>
      <x:c r="I113" s="30"/>
      <x:c r="J113" s="30"/>
      <x:c r="K113" s="30"/>
      <x:c r="L113" s="30"/>
      <x:c r="M113" s="30"/>
      <x:c r="N113" s="30"/>
      <x:c r="O113" s="30"/>
      <x:c r="P113" s="30"/>
      <x:c r="Q113" s="30"/>
      <x:c r="R113" s="30"/>
      <x:c r="S113" s="30"/>
      <x:c r="T113" s="30"/>
      <x:c r="U113" s="30"/>
      <x:c r="V113" s="30"/>
      <x:c r="W113" s="30"/>
      <x:c r="X113" s="30"/>
      <x:c r="Y113" s="30"/>
      <x:c r="Z113" s="30"/>
      <x:c r="AA113" s="30"/>
      <x:c r="AB113" s="30"/>
      <x:c r="AC113" s="30"/>
      <x:c r="AD113" s="30"/>
      <x:c r="AE113" s="30"/>
      <x:c r="AF113" s="30"/>
      <x:c r="AG113" s="30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>
      <x:c r="A114" s="1"/>
      <x:c r="B114" s="1"/>
      <x:c r="C114" s="30"/>
      <x:c r="D114" s="30"/>
      <x:c r="E114" s="30"/>
      <x:c r="F114" s="30"/>
      <x:c r="G114" s="30"/>
      <x:c r="H114" s="30"/>
      <x:c r="I114" s="30"/>
      <x:c r="J114" s="30"/>
      <x:c r="K114" s="30"/>
      <x:c r="L114" s="30"/>
      <x:c r="M114" s="30"/>
      <x:c r="N114" s="30"/>
      <x:c r="O114" s="30"/>
      <x:c r="P114" s="30"/>
      <x:c r="Q114" s="30"/>
      <x:c r="R114" s="30"/>
      <x:c r="S114" s="30"/>
      <x:c r="T114" s="30"/>
      <x:c r="U114" s="30"/>
      <x:c r="V114" s="30"/>
      <x:c r="W114" s="30"/>
      <x:c r="X114" s="30"/>
      <x:c r="Y114" s="30"/>
      <x:c r="Z114" s="30"/>
      <x:c r="AA114" s="30"/>
      <x:c r="AB114" s="30"/>
      <x:c r="AC114" s="30"/>
      <x:c r="AD114" s="30"/>
      <x:c r="AE114" s="30"/>
      <x:c r="AF114" s="30"/>
      <x:c r="AG114" s="30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>
      <x:c r="A115" s="1"/>
      <x:c r="B115" s="1"/>
      <x:c r="C115" s="30"/>
      <x:c r="D115" s="30"/>
      <x:c r="E115" s="30"/>
      <x:c r="F115" s="30"/>
      <x:c r="G115" s="30"/>
      <x:c r="H115" s="30"/>
      <x:c r="I115" s="30"/>
      <x:c r="J115" s="30"/>
      <x:c r="K115" s="30"/>
      <x:c r="L115" s="30"/>
      <x:c r="M115" s="30"/>
      <x:c r="N115" s="30"/>
      <x:c r="O115" s="30"/>
      <x:c r="P115" s="30"/>
      <x:c r="Q115" s="30"/>
      <x:c r="R115" s="30"/>
      <x:c r="S115" s="30"/>
      <x:c r="T115" s="30"/>
      <x:c r="U115" s="30"/>
      <x:c r="V115" s="30"/>
      <x:c r="W115" s="30"/>
      <x:c r="X115" s="30"/>
      <x:c r="Y115" s="30"/>
      <x:c r="Z115" s="30"/>
      <x:c r="AA115" s="30"/>
      <x:c r="AB115" s="30"/>
      <x:c r="AC115" s="30"/>
      <x:c r="AD115" s="30"/>
      <x:c r="AE115" s="30"/>
      <x:c r="AF115" s="30"/>
      <x:c r="AG115" s="30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>
      <x:c r="A116" s="1"/>
      <x:c r="B116" s="1"/>
      <x:c r="C116" s="30"/>
      <x:c r="D116" s="30"/>
      <x:c r="E116" s="30"/>
      <x:c r="F116" s="30"/>
      <x:c r="G116" s="30"/>
      <x:c r="H116" s="30"/>
      <x:c r="I116" s="30"/>
      <x:c r="J116" s="30"/>
      <x:c r="K116" s="30"/>
      <x:c r="L116" s="30"/>
      <x:c r="M116" s="30"/>
      <x:c r="N116" s="30"/>
      <x:c r="O116" s="30"/>
      <x:c r="P116" s="30"/>
      <x:c r="Q116" s="30"/>
      <x:c r="R116" s="30"/>
      <x:c r="S116" s="30"/>
      <x:c r="T116" s="30"/>
      <x:c r="U116" s="30"/>
      <x:c r="V116" s="30"/>
      <x:c r="W116" s="30"/>
      <x:c r="X116" s="30"/>
      <x:c r="Y116" s="30"/>
      <x:c r="Z116" s="30"/>
      <x:c r="AA116" s="30"/>
      <x:c r="AB116" s="30"/>
      <x:c r="AC116" s="30"/>
      <x:c r="AD116" s="30"/>
      <x:c r="AE116" s="30"/>
      <x:c r="AF116" s="30"/>
      <x:c r="AG116" s="30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>
      <x:c r="A117" s="1"/>
      <x:c r="B117" s="1"/>
      <x:c r="C117" s="30"/>
      <x:c r="D117" s="30"/>
      <x:c r="E117" s="30"/>
      <x:c r="F117" s="30"/>
      <x:c r="G117" s="30"/>
      <x:c r="H117" s="30"/>
      <x:c r="I117" s="30"/>
      <x:c r="J117" s="30"/>
      <x:c r="K117" s="30"/>
      <x:c r="L117" s="30"/>
      <x:c r="M117" s="30"/>
      <x:c r="N117" s="30"/>
      <x:c r="O117" s="30"/>
      <x:c r="P117" s="30"/>
      <x:c r="Q117" s="30"/>
      <x:c r="R117" s="30"/>
      <x:c r="S117" s="30"/>
      <x:c r="T117" s="30"/>
      <x:c r="U117" s="30"/>
      <x:c r="V117" s="30"/>
      <x:c r="W117" s="30"/>
      <x:c r="X117" s="30"/>
      <x:c r="Y117" s="30"/>
      <x:c r="Z117" s="30"/>
      <x:c r="AA117" s="30"/>
      <x:c r="AB117" s="30"/>
      <x:c r="AC117" s="30"/>
      <x:c r="AD117" s="30"/>
      <x:c r="AE117" s="30"/>
      <x:c r="AF117" s="30"/>
      <x:c r="AG117" s="30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>
      <x:c r="A118" s="1"/>
      <x:c r="B118" s="1"/>
      <x:c r="C118" s="30"/>
      <x:c r="D118" s="30"/>
      <x:c r="E118" s="30"/>
      <x:c r="F118" s="30"/>
      <x:c r="G118" s="30"/>
      <x:c r="H118" s="30"/>
      <x:c r="I118" s="30"/>
      <x:c r="J118" s="30"/>
      <x:c r="K118" s="30"/>
      <x:c r="L118" s="30"/>
      <x:c r="M118" s="30"/>
      <x:c r="N118" s="30"/>
      <x:c r="O118" s="30"/>
      <x:c r="P118" s="30"/>
      <x:c r="Q118" s="30"/>
      <x:c r="R118" s="30"/>
      <x:c r="S118" s="30"/>
      <x:c r="T118" s="30"/>
      <x:c r="U118" s="30"/>
      <x:c r="V118" s="30"/>
      <x:c r="W118" s="30"/>
      <x:c r="X118" s="30"/>
      <x:c r="Y118" s="30"/>
      <x:c r="Z118" s="30"/>
      <x:c r="AA118" s="30"/>
      <x:c r="AB118" s="30"/>
      <x:c r="AC118" s="30"/>
      <x:c r="AD118" s="30"/>
      <x:c r="AE118" s="30"/>
      <x:c r="AF118" s="30"/>
      <x:c r="AG118" s="30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>
      <x:c r="A119" s="1"/>
      <x:c r="B119" s="1"/>
      <x:c r="C119" s="30"/>
      <x:c r="D119" s="30"/>
      <x:c r="E119" s="30"/>
      <x:c r="F119" s="30"/>
      <x:c r="G119" s="30"/>
      <x:c r="H119" s="30"/>
      <x:c r="I119" s="30"/>
      <x:c r="J119" s="30"/>
      <x:c r="K119" s="30"/>
      <x:c r="L119" s="30"/>
      <x:c r="M119" s="30"/>
      <x:c r="N119" s="30"/>
      <x:c r="O119" s="30"/>
      <x:c r="P119" s="30"/>
      <x:c r="Q119" s="30"/>
      <x:c r="R119" s="30"/>
      <x:c r="S119" s="30"/>
      <x:c r="T119" s="30"/>
      <x:c r="U119" s="30"/>
      <x:c r="V119" s="30"/>
      <x:c r="W119" s="30"/>
      <x:c r="X119" s="30"/>
      <x:c r="Y119" s="30"/>
      <x:c r="Z119" s="30"/>
      <x:c r="AA119" s="30"/>
      <x:c r="AB119" s="30"/>
      <x:c r="AC119" s="30"/>
      <x:c r="AD119" s="30"/>
      <x:c r="AE119" s="30"/>
      <x:c r="AF119" s="30"/>
      <x:c r="AG119" s="30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>
      <x:c r="A120" s="1"/>
      <x:c r="B120" s="1"/>
      <x:c r="C120" s="30"/>
      <x:c r="D120" s="30"/>
      <x:c r="E120" s="30"/>
      <x:c r="F120" s="30"/>
      <x:c r="G120" s="30"/>
      <x:c r="H120" s="30"/>
      <x:c r="I120" s="30"/>
      <x:c r="J120" s="30"/>
      <x:c r="K120" s="30"/>
      <x:c r="L120" s="30"/>
      <x:c r="M120" s="30"/>
      <x:c r="N120" s="30"/>
      <x:c r="O120" s="30"/>
      <x:c r="P120" s="30"/>
      <x:c r="Q120" s="30"/>
      <x:c r="R120" s="30"/>
      <x:c r="S120" s="30"/>
      <x:c r="T120" s="30"/>
      <x:c r="U120" s="30"/>
      <x:c r="V120" s="30"/>
      <x:c r="W120" s="30"/>
      <x:c r="X120" s="30"/>
      <x:c r="Y120" s="30"/>
      <x:c r="Z120" s="30"/>
      <x:c r="AA120" s="30"/>
      <x:c r="AB120" s="30"/>
      <x:c r="AC120" s="30"/>
      <x:c r="AD120" s="30"/>
      <x:c r="AE120" s="30"/>
      <x:c r="AF120" s="30"/>
      <x:c r="AG120" s="30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>
      <x:c r="A121" s="1"/>
      <x:c r="B121" s="1"/>
      <x:c r="C121" s="30"/>
      <x:c r="D121" s="30"/>
      <x:c r="E121" s="30"/>
      <x:c r="F121" s="30"/>
      <x:c r="G121" s="30"/>
      <x:c r="H121" s="30"/>
      <x:c r="I121" s="30"/>
      <x:c r="J121" s="30"/>
      <x:c r="K121" s="30"/>
      <x:c r="L121" s="30"/>
      <x:c r="M121" s="30"/>
      <x:c r="N121" s="30"/>
      <x:c r="O121" s="30"/>
      <x:c r="P121" s="30"/>
      <x:c r="Q121" s="30"/>
      <x:c r="R121" s="30"/>
      <x:c r="S121" s="30"/>
      <x:c r="T121" s="30"/>
      <x:c r="U121" s="30"/>
      <x:c r="V121" s="30"/>
      <x:c r="W121" s="30"/>
      <x:c r="X121" s="30"/>
      <x:c r="Y121" s="30"/>
      <x:c r="Z121" s="30"/>
      <x:c r="AA121" s="30"/>
      <x:c r="AB121" s="30"/>
      <x:c r="AC121" s="30"/>
      <x:c r="AD121" s="30"/>
      <x:c r="AE121" s="30"/>
      <x:c r="AF121" s="30"/>
      <x:c r="AG121" s="30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>
      <x:c r="A122" s="1"/>
      <x:c r="B122" s="1"/>
      <x:c r="C122" s="30"/>
      <x:c r="D122" s="30"/>
      <x:c r="E122" s="30"/>
      <x:c r="F122" s="30"/>
      <x:c r="G122" s="30"/>
      <x:c r="H122" s="30"/>
      <x:c r="I122" s="30"/>
      <x:c r="J122" s="30"/>
      <x:c r="K122" s="30"/>
      <x:c r="L122" s="30"/>
      <x:c r="M122" s="30"/>
      <x:c r="N122" s="30"/>
      <x:c r="O122" s="30"/>
      <x:c r="P122" s="30"/>
      <x:c r="Q122" s="30"/>
      <x:c r="R122" s="30"/>
      <x:c r="S122" s="30"/>
      <x:c r="T122" s="30"/>
      <x:c r="U122" s="30"/>
      <x:c r="V122" s="30"/>
      <x:c r="W122" s="30"/>
      <x:c r="X122" s="30"/>
      <x:c r="Y122" s="30"/>
      <x:c r="Z122" s="30"/>
      <x:c r="AA122" s="30"/>
      <x:c r="AB122" s="30"/>
      <x:c r="AC122" s="30"/>
      <x:c r="AD122" s="30"/>
      <x:c r="AE122" s="30"/>
      <x:c r="AF122" s="30"/>
      <x:c r="AG122" s="30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>
      <x:c r="A123" s="1"/>
      <x:c r="B123" s="1"/>
      <x:c r="C123" s="30"/>
      <x:c r="D123" s="30"/>
      <x:c r="E123" s="30"/>
      <x:c r="F123" s="30"/>
      <x:c r="G123" s="30"/>
      <x:c r="H123" s="30"/>
      <x:c r="I123" s="30"/>
      <x:c r="J123" s="30"/>
      <x:c r="K123" s="30"/>
      <x:c r="L123" s="30"/>
      <x:c r="M123" s="30"/>
      <x:c r="N123" s="30"/>
      <x:c r="O123" s="30"/>
      <x:c r="P123" s="30"/>
      <x:c r="Q123" s="30"/>
      <x:c r="R123" s="30"/>
      <x:c r="S123" s="30"/>
      <x:c r="T123" s="30"/>
      <x:c r="U123" s="30"/>
      <x:c r="V123" s="30"/>
      <x:c r="W123" s="30"/>
      <x:c r="X123" s="30"/>
      <x:c r="Y123" s="30"/>
      <x:c r="Z123" s="30"/>
      <x:c r="AA123" s="30"/>
      <x:c r="AB123" s="30"/>
      <x:c r="AC123" s="30"/>
      <x:c r="AD123" s="30"/>
      <x:c r="AE123" s="30"/>
      <x:c r="AF123" s="30"/>
      <x:c r="AG123" s="30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>
      <x:c r="A124" s="1"/>
      <x:c r="B124" s="1"/>
      <x:c r="C124" s="30"/>
      <x:c r="D124" s="30"/>
      <x:c r="E124" s="30"/>
      <x:c r="F124" s="30"/>
      <x:c r="G124" s="30"/>
      <x:c r="H124" s="30"/>
      <x:c r="I124" s="30"/>
      <x:c r="J124" s="30"/>
      <x:c r="K124" s="30"/>
      <x:c r="L124" s="30"/>
      <x:c r="M124" s="30"/>
      <x:c r="N124" s="30"/>
      <x:c r="O124" s="30"/>
      <x:c r="P124" s="30"/>
      <x:c r="Q124" s="30"/>
      <x:c r="R124" s="30"/>
      <x:c r="S124" s="30"/>
      <x:c r="T124" s="30"/>
      <x:c r="U124" s="30"/>
      <x:c r="V124" s="30"/>
      <x:c r="W124" s="30"/>
      <x:c r="X124" s="30"/>
      <x:c r="Y124" s="30"/>
      <x:c r="Z124" s="30"/>
      <x:c r="AA124" s="30"/>
      <x:c r="AB124" s="30"/>
      <x:c r="AC124" s="30"/>
      <x:c r="AD124" s="30"/>
      <x:c r="AE124" s="30"/>
      <x:c r="AF124" s="30"/>
      <x:c r="AG124" s="30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>
      <x:c r="A125" s="1"/>
      <x:c r="B125" s="1"/>
      <x:c r="C125" s="30"/>
      <x:c r="D125" s="30"/>
      <x:c r="E125" s="30"/>
      <x:c r="F125" s="30"/>
      <x:c r="G125" s="30"/>
      <x:c r="H125" s="30"/>
      <x:c r="I125" s="30"/>
      <x:c r="J125" s="30"/>
      <x:c r="K125" s="30"/>
      <x:c r="L125" s="30"/>
      <x:c r="M125" s="30"/>
      <x:c r="N125" s="30"/>
      <x:c r="O125" s="30"/>
      <x:c r="P125" s="30"/>
      <x:c r="Q125" s="30"/>
      <x:c r="R125" s="30"/>
      <x:c r="S125" s="30"/>
      <x:c r="T125" s="30"/>
      <x:c r="U125" s="30"/>
      <x:c r="V125" s="30"/>
      <x:c r="W125" s="30"/>
      <x:c r="X125" s="30"/>
      <x:c r="Y125" s="30"/>
      <x:c r="Z125" s="30"/>
      <x:c r="AA125" s="30"/>
      <x:c r="AB125" s="30"/>
      <x:c r="AC125" s="30"/>
      <x:c r="AD125" s="30"/>
      <x:c r="AE125" s="30"/>
      <x:c r="AF125" s="30"/>
      <x:c r="AG125" s="30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>
      <x:c r="A126" s="1"/>
      <x:c r="B126" s="1"/>
      <x:c r="C126" s="30"/>
      <x:c r="D126" s="30"/>
      <x:c r="E126" s="30"/>
      <x:c r="F126" s="30"/>
      <x:c r="G126" s="30"/>
      <x:c r="H126" s="30"/>
      <x:c r="I126" s="30"/>
      <x:c r="J126" s="30"/>
      <x:c r="K126" s="30"/>
      <x:c r="L126" s="30"/>
      <x:c r="M126" s="30"/>
      <x:c r="N126" s="30"/>
      <x:c r="O126" s="30"/>
      <x:c r="P126" s="30"/>
      <x:c r="Q126" s="30"/>
      <x:c r="R126" s="30"/>
      <x:c r="S126" s="30"/>
      <x:c r="T126" s="30"/>
      <x:c r="U126" s="30"/>
      <x:c r="V126" s="30"/>
      <x:c r="W126" s="30"/>
      <x:c r="X126" s="30"/>
      <x:c r="Y126" s="30"/>
      <x:c r="Z126" s="30"/>
      <x:c r="AA126" s="30"/>
      <x:c r="AB126" s="30"/>
      <x:c r="AC126" s="30"/>
      <x:c r="AD126" s="30"/>
      <x:c r="AE126" s="30"/>
      <x:c r="AF126" s="30"/>
      <x:c r="AG126" s="30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>
      <x:c r="A127" s="1"/>
      <x:c r="B127" s="1"/>
      <x:c r="C127" s="30"/>
      <x:c r="D127" s="30"/>
      <x:c r="E127" s="30"/>
      <x:c r="F127" s="30"/>
      <x:c r="G127" s="30"/>
      <x:c r="H127" s="30"/>
      <x:c r="I127" s="30"/>
      <x:c r="J127" s="30"/>
      <x:c r="K127" s="30"/>
      <x:c r="L127" s="30"/>
      <x:c r="M127" s="30"/>
      <x:c r="N127" s="30"/>
      <x:c r="O127" s="30"/>
      <x:c r="P127" s="30"/>
      <x:c r="Q127" s="30"/>
      <x:c r="R127" s="30"/>
      <x:c r="S127" s="30"/>
      <x:c r="T127" s="30"/>
      <x:c r="U127" s="30"/>
      <x:c r="V127" s="30"/>
      <x:c r="W127" s="30"/>
      <x:c r="X127" s="30"/>
      <x:c r="Y127" s="30"/>
      <x:c r="Z127" s="30"/>
      <x:c r="AA127" s="30"/>
      <x:c r="AB127" s="30"/>
      <x:c r="AC127" s="30"/>
      <x:c r="AD127" s="30"/>
      <x:c r="AE127" s="30"/>
      <x:c r="AF127" s="30"/>
      <x:c r="AG127" s="30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>
      <x:c r="A128" s="1"/>
      <x:c r="B128" s="1"/>
      <x:c r="C128" s="30"/>
      <x:c r="D128" s="30"/>
      <x:c r="E128" s="30"/>
      <x:c r="F128" s="30"/>
      <x:c r="G128" s="30"/>
      <x:c r="H128" s="30"/>
      <x:c r="I128" s="30"/>
      <x:c r="J128" s="30"/>
      <x:c r="K128" s="30"/>
      <x:c r="L128" s="30"/>
      <x:c r="M128" s="30"/>
      <x:c r="N128" s="30"/>
      <x:c r="O128" s="30"/>
      <x:c r="P128" s="30"/>
      <x:c r="Q128" s="30"/>
      <x:c r="R128" s="30"/>
      <x:c r="S128" s="30"/>
      <x:c r="T128" s="30"/>
      <x:c r="U128" s="30"/>
      <x:c r="V128" s="30"/>
      <x:c r="W128" s="30"/>
      <x:c r="X128" s="30"/>
      <x:c r="Y128" s="30"/>
      <x:c r="Z128" s="30"/>
      <x:c r="AA128" s="30"/>
      <x:c r="AB128" s="30"/>
      <x:c r="AC128" s="30"/>
      <x:c r="AD128" s="30"/>
      <x:c r="AE128" s="30"/>
      <x:c r="AF128" s="30"/>
      <x:c r="AG128" s="30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>
      <x:c r="A129" s="1"/>
      <x:c r="B129" s="1"/>
      <x:c r="C129" s="30"/>
      <x:c r="D129" s="30"/>
      <x:c r="E129" s="30"/>
      <x:c r="F129" s="30"/>
      <x:c r="G129" s="30"/>
      <x:c r="H129" s="30"/>
      <x:c r="I129" s="30"/>
      <x:c r="J129" s="30"/>
      <x:c r="K129" s="30"/>
      <x:c r="L129" s="30"/>
      <x:c r="M129" s="30"/>
      <x:c r="N129" s="30"/>
      <x:c r="O129" s="30"/>
      <x:c r="P129" s="30"/>
      <x:c r="Q129" s="30"/>
      <x:c r="R129" s="30"/>
      <x:c r="S129" s="30"/>
      <x:c r="T129" s="30"/>
      <x:c r="U129" s="30"/>
      <x:c r="V129" s="30"/>
      <x:c r="W129" s="30"/>
      <x:c r="X129" s="30"/>
      <x:c r="Y129" s="30"/>
      <x:c r="Z129" s="30"/>
      <x:c r="AA129" s="30"/>
      <x:c r="AB129" s="30"/>
      <x:c r="AC129" s="30"/>
      <x:c r="AD129" s="30"/>
      <x:c r="AE129" s="30"/>
      <x:c r="AF129" s="30"/>
      <x:c r="AG129" s="30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>
      <x:c r="A130" s="1"/>
      <x:c r="B130" s="1"/>
      <x:c r="C130" s="30"/>
      <x:c r="D130" s="30"/>
      <x:c r="E130" s="30"/>
      <x:c r="F130" s="30"/>
      <x:c r="G130" s="30"/>
      <x:c r="H130" s="30"/>
      <x:c r="I130" s="30"/>
      <x:c r="J130" s="30"/>
      <x:c r="K130" s="30"/>
      <x:c r="L130" s="30"/>
      <x:c r="M130" s="30"/>
      <x:c r="N130" s="30"/>
      <x:c r="O130" s="30"/>
      <x:c r="P130" s="30"/>
      <x:c r="Q130" s="30"/>
      <x:c r="R130" s="30"/>
      <x:c r="S130" s="30"/>
      <x:c r="T130" s="30"/>
      <x:c r="U130" s="30"/>
      <x:c r="V130" s="30"/>
      <x:c r="W130" s="30"/>
      <x:c r="X130" s="30"/>
      <x:c r="Y130" s="30"/>
      <x:c r="Z130" s="30"/>
      <x:c r="AA130" s="30"/>
      <x:c r="AB130" s="30"/>
      <x:c r="AC130" s="30"/>
      <x:c r="AD130" s="30"/>
      <x:c r="AE130" s="30"/>
      <x:c r="AF130" s="30"/>
      <x:c r="AG130" s="30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>
      <x:c r="A131" s="1"/>
      <x:c r="B131" s="1"/>
      <x:c r="C131" s="30"/>
      <x:c r="D131" s="30"/>
      <x:c r="E131" s="30"/>
      <x:c r="F131" s="30"/>
      <x:c r="G131" s="30"/>
      <x:c r="H131" s="30"/>
      <x:c r="I131" s="30"/>
      <x:c r="J131" s="30"/>
      <x:c r="K131" s="30"/>
      <x:c r="L131" s="30"/>
      <x:c r="M131" s="30"/>
      <x:c r="N131" s="30"/>
      <x:c r="O131" s="30"/>
      <x:c r="P131" s="30"/>
      <x:c r="Q131" s="30"/>
      <x:c r="R131" s="30"/>
      <x:c r="S131" s="30"/>
      <x:c r="T131" s="30"/>
      <x:c r="U131" s="30"/>
      <x:c r="V131" s="30"/>
      <x:c r="W131" s="30"/>
      <x:c r="X131" s="30"/>
      <x:c r="Y131" s="30"/>
      <x:c r="Z131" s="30"/>
      <x:c r="AA131" s="30"/>
      <x:c r="AB131" s="30"/>
      <x:c r="AC131" s="30"/>
      <x:c r="AD131" s="30"/>
      <x:c r="AE131" s="30"/>
      <x:c r="AF131" s="30"/>
      <x:c r="AG131" s="30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>
      <x:c r="A132" s="1"/>
      <x:c r="B132" s="1"/>
      <x:c r="C132" s="30"/>
      <x:c r="D132" s="30"/>
      <x:c r="E132" s="30"/>
      <x:c r="F132" s="30"/>
      <x:c r="G132" s="30"/>
      <x:c r="H132" s="30"/>
      <x:c r="I132" s="30"/>
      <x:c r="J132" s="30"/>
      <x:c r="K132" s="30"/>
      <x:c r="L132" s="30"/>
      <x:c r="M132" s="30"/>
      <x:c r="N132" s="30"/>
      <x:c r="O132" s="30"/>
      <x:c r="P132" s="30"/>
      <x:c r="Q132" s="30"/>
      <x:c r="R132" s="30"/>
      <x:c r="S132" s="30"/>
      <x:c r="T132" s="30"/>
      <x:c r="U132" s="30"/>
      <x:c r="V132" s="30"/>
      <x:c r="W132" s="30"/>
      <x:c r="X132" s="30"/>
      <x:c r="Y132" s="30"/>
      <x:c r="Z132" s="30"/>
      <x:c r="AA132" s="30"/>
      <x:c r="AB132" s="30"/>
      <x:c r="AC132" s="30"/>
      <x:c r="AD132" s="30"/>
      <x:c r="AE132" s="30"/>
      <x:c r="AF132" s="30"/>
      <x:c r="AG132" s="30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>
      <x:c r="A133" s="1"/>
      <x:c r="B133" s="1"/>
      <x:c r="C133" s="30"/>
      <x:c r="D133" s="30"/>
      <x:c r="E133" s="30"/>
      <x:c r="F133" s="30"/>
      <x:c r="G133" s="30"/>
      <x:c r="H133" s="30"/>
      <x:c r="I133" s="30"/>
      <x:c r="J133" s="30"/>
      <x:c r="K133" s="30"/>
      <x:c r="L133" s="30"/>
      <x:c r="M133" s="30"/>
      <x:c r="N133" s="30"/>
      <x:c r="O133" s="30"/>
      <x:c r="P133" s="30"/>
      <x:c r="Q133" s="30"/>
      <x:c r="R133" s="30"/>
      <x:c r="S133" s="30"/>
      <x:c r="T133" s="30"/>
      <x:c r="U133" s="30"/>
      <x:c r="V133" s="30"/>
      <x:c r="W133" s="30"/>
      <x:c r="X133" s="30"/>
      <x:c r="Y133" s="30"/>
      <x:c r="Z133" s="30"/>
      <x:c r="AA133" s="30"/>
      <x:c r="AB133" s="30"/>
      <x:c r="AC133" s="30"/>
      <x:c r="AD133" s="30"/>
      <x:c r="AE133" s="30"/>
      <x:c r="AF133" s="30"/>
      <x:c r="AG133" s="30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>
      <x:c r="A134" s="1"/>
      <x:c r="B134" s="1"/>
      <x:c r="C134" s="30"/>
      <x:c r="D134" s="30"/>
      <x:c r="E134" s="30"/>
      <x:c r="F134" s="30"/>
      <x:c r="G134" s="30"/>
      <x:c r="H134" s="30"/>
      <x:c r="I134" s="30"/>
      <x:c r="J134" s="30"/>
      <x:c r="K134" s="30"/>
      <x:c r="L134" s="30"/>
      <x:c r="M134" s="30"/>
      <x:c r="N134" s="30"/>
      <x:c r="O134" s="30"/>
      <x:c r="P134" s="30"/>
      <x:c r="Q134" s="30"/>
      <x:c r="R134" s="30"/>
      <x:c r="S134" s="30"/>
      <x:c r="T134" s="30"/>
      <x:c r="U134" s="30"/>
      <x:c r="V134" s="30"/>
      <x:c r="W134" s="30"/>
      <x:c r="X134" s="30"/>
      <x:c r="Y134" s="30"/>
      <x:c r="Z134" s="30"/>
      <x:c r="AA134" s="30"/>
      <x:c r="AB134" s="30"/>
      <x:c r="AC134" s="30"/>
      <x:c r="AD134" s="30"/>
      <x:c r="AE134" s="30"/>
      <x:c r="AF134" s="30"/>
      <x:c r="AG134" s="30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>
      <x:c r="A135" s="1"/>
      <x:c r="B135" s="1"/>
      <x:c r="C135" s="30"/>
      <x:c r="D135" s="30"/>
      <x:c r="E135" s="30"/>
      <x:c r="F135" s="30"/>
      <x:c r="G135" s="30"/>
      <x:c r="H135" s="30"/>
      <x:c r="I135" s="30"/>
      <x:c r="J135" s="30"/>
      <x:c r="K135" s="30"/>
      <x:c r="L135" s="30"/>
      <x:c r="M135" s="30"/>
      <x:c r="N135" s="30"/>
      <x:c r="O135" s="30"/>
      <x:c r="P135" s="30"/>
      <x:c r="Q135" s="30"/>
      <x:c r="R135" s="30"/>
      <x:c r="S135" s="30"/>
      <x:c r="T135" s="30"/>
      <x:c r="U135" s="30"/>
      <x:c r="V135" s="30"/>
      <x:c r="W135" s="30"/>
      <x:c r="X135" s="30"/>
      <x:c r="Y135" s="30"/>
      <x:c r="Z135" s="30"/>
      <x:c r="AA135" s="30"/>
      <x:c r="AB135" s="30"/>
      <x:c r="AC135" s="30"/>
      <x:c r="AD135" s="30"/>
      <x:c r="AE135" s="30"/>
      <x:c r="AF135" s="30"/>
      <x:c r="AG135" s="30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>
      <x:c r="A136" s="1"/>
      <x:c r="B136" s="1"/>
      <x:c r="C136" s="30"/>
      <x:c r="D136" s="30"/>
      <x:c r="E136" s="30"/>
      <x:c r="F136" s="30"/>
      <x:c r="G136" s="30"/>
      <x:c r="H136" s="30"/>
      <x:c r="I136" s="30"/>
      <x:c r="J136" s="30"/>
      <x:c r="K136" s="30"/>
      <x:c r="L136" s="30"/>
      <x:c r="M136" s="30"/>
      <x:c r="N136" s="30"/>
      <x:c r="O136" s="30"/>
      <x:c r="P136" s="30"/>
      <x:c r="Q136" s="30"/>
      <x:c r="R136" s="30"/>
      <x:c r="S136" s="30"/>
      <x:c r="T136" s="30"/>
      <x:c r="U136" s="30"/>
      <x:c r="V136" s="30"/>
      <x:c r="W136" s="30"/>
      <x:c r="X136" s="30"/>
      <x:c r="Y136" s="30"/>
      <x:c r="Z136" s="30"/>
      <x:c r="AA136" s="30"/>
      <x:c r="AB136" s="30"/>
      <x:c r="AC136" s="30"/>
      <x:c r="AD136" s="30"/>
      <x:c r="AE136" s="30"/>
      <x:c r="AF136" s="30"/>
      <x:c r="AG136" s="30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>
      <x:c r="A137" s="1"/>
      <x:c r="B137" s="1"/>
      <x:c r="C137" s="30"/>
      <x:c r="D137" s="30"/>
      <x:c r="E137" s="30"/>
      <x:c r="F137" s="30"/>
      <x:c r="G137" s="30"/>
      <x:c r="H137" s="30"/>
      <x:c r="I137" s="30"/>
      <x:c r="J137" s="30"/>
      <x:c r="K137" s="30"/>
      <x:c r="L137" s="30"/>
      <x:c r="M137" s="30"/>
      <x:c r="N137" s="30"/>
      <x:c r="O137" s="30"/>
      <x:c r="P137" s="30"/>
      <x:c r="Q137" s="30"/>
      <x:c r="R137" s="30"/>
      <x:c r="S137" s="30"/>
      <x:c r="T137" s="30"/>
      <x:c r="U137" s="30"/>
      <x:c r="V137" s="30"/>
      <x:c r="W137" s="30"/>
      <x:c r="X137" s="30"/>
      <x:c r="Y137" s="30"/>
      <x:c r="Z137" s="30"/>
      <x:c r="AA137" s="30"/>
      <x:c r="AB137" s="30"/>
      <x:c r="AC137" s="30"/>
      <x:c r="AD137" s="30"/>
      <x:c r="AE137" s="30"/>
      <x:c r="AF137" s="30"/>
      <x:c r="AG137" s="30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>
      <x:c r="A138" s="1"/>
      <x:c r="B138" s="1"/>
      <x:c r="C138" s="30"/>
      <x:c r="D138" s="30"/>
      <x:c r="E138" s="30"/>
      <x:c r="F138" s="30"/>
      <x:c r="G138" s="30"/>
      <x:c r="H138" s="30"/>
      <x:c r="I138" s="30"/>
      <x:c r="J138" s="30"/>
      <x:c r="K138" s="30"/>
      <x:c r="L138" s="30"/>
      <x:c r="M138" s="30"/>
      <x:c r="N138" s="30"/>
      <x:c r="O138" s="30"/>
      <x:c r="P138" s="30"/>
      <x:c r="Q138" s="30"/>
      <x:c r="R138" s="30"/>
      <x:c r="S138" s="30"/>
      <x:c r="T138" s="30"/>
      <x:c r="U138" s="30"/>
      <x:c r="V138" s="30"/>
      <x:c r="W138" s="30"/>
      <x:c r="X138" s="30"/>
      <x:c r="Y138" s="30"/>
      <x:c r="Z138" s="30"/>
      <x:c r="AA138" s="30"/>
      <x:c r="AB138" s="30"/>
      <x:c r="AC138" s="30"/>
      <x:c r="AD138" s="30"/>
      <x:c r="AE138" s="30"/>
      <x:c r="AF138" s="30"/>
      <x:c r="AG138" s="30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>
      <x:c r="A139" s="1"/>
      <x:c r="B139" s="1"/>
      <x:c r="C139" s="30"/>
      <x:c r="D139" s="30"/>
      <x:c r="E139" s="30"/>
      <x:c r="F139" s="30"/>
      <x:c r="G139" s="30"/>
      <x:c r="H139" s="30"/>
      <x:c r="I139" s="30"/>
      <x:c r="J139" s="30"/>
      <x:c r="K139" s="30"/>
      <x:c r="L139" s="30"/>
      <x:c r="M139" s="30"/>
      <x:c r="N139" s="30"/>
      <x:c r="O139" s="30"/>
      <x:c r="P139" s="30"/>
      <x:c r="Q139" s="30"/>
      <x:c r="R139" s="30"/>
      <x:c r="S139" s="30"/>
      <x:c r="T139" s="30"/>
      <x:c r="U139" s="30"/>
      <x:c r="V139" s="30"/>
      <x:c r="W139" s="30"/>
      <x:c r="X139" s="30"/>
      <x:c r="Y139" s="30"/>
      <x:c r="Z139" s="30"/>
      <x:c r="AA139" s="30"/>
      <x:c r="AB139" s="30"/>
      <x:c r="AC139" s="30"/>
      <x:c r="AD139" s="30"/>
      <x:c r="AE139" s="30"/>
      <x:c r="AF139" s="30"/>
      <x:c r="AG139" s="30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>
      <x:c r="A140" s="1"/>
      <x:c r="B140" s="1"/>
      <x:c r="C140" s="30"/>
      <x:c r="D140" s="30"/>
      <x:c r="E140" s="30"/>
      <x:c r="F140" s="30"/>
      <x:c r="G140" s="30"/>
      <x:c r="H140" s="30"/>
      <x:c r="I140" s="30"/>
      <x:c r="J140" s="30"/>
      <x:c r="K140" s="30"/>
      <x:c r="L140" s="30"/>
      <x:c r="M140" s="30"/>
      <x:c r="N140" s="30"/>
      <x:c r="O140" s="30"/>
      <x:c r="P140" s="30"/>
      <x:c r="Q140" s="30"/>
      <x:c r="R140" s="30"/>
      <x:c r="S140" s="30"/>
      <x:c r="T140" s="30"/>
      <x:c r="U140" s="30"/>
      <x:c r="V140" s="30"/>
      <x:c r="W140" s="30"/>
      <x:c r="X140" s="30"/>
      <x:c r="Y140" s="30"/>
      <x:c r="Z140" s="30"/>
      <x:c r="AA140" s="30"/>
      <x:c r="AB140" s="30"/>
      <x:c r="AC140" s="30"/>
      <x:c r="AD140" s="30"/>
      <x:c r="AE140" s="30"/>
      <x:c r="AF140" s="30"/>
      <x:c r="AG140" s="30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>
      <x:c r="A141" s="1"/>
      <x:c r="B141" s="1"/>
      <x:c r="C141" s="30"/>
      <x:c r="D141" s="30"/>
      <x:c r="E141" s="30"/>
      <x:c r="F141" s="30"/>
      <x:c r="G141" s="30"/>
      <x:c r="H141" s="30"/>
      <x:c r="I141" s="30"/>
      <x:c r="J141" s="30"/>
      <x:c r="K141" s="30"/>
      <x:c r="L141" s="30"/>
      <x:c r="M141" s="30"/>
      <x:c r="N141" s="30"/>
      <x:c r="O141" s="30"/>
      <x:c r="P141" s="30"/>
      <x:c r="Q141" s="30"/>
      <x:c r="R141" s="30"/>
      <x:c r="S141" s="30"/>
      <x:c r="T141" s="30"/>
      <x:c r="U141" s="30"/>
      <x:c r="V141" s="30"/>
      <x:c r="W141" s="30"/>
      <x:c r="X141" s="30"/>
      <x:c r="Y141" s="30"/>
      <x:c r="Z141" s="30"/>
      <x:c r="AA141" s="30"/>
      <x:c r="AB141" s="30"/>
      <x:c r="AC141" s="30"/>
      <x:c r="AD141" s="30"/>
      <x:c r="AE141" s="30"/>
      <x:c r="AF141" s="30"/>
      <x:c r="AG141" s="30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>
      <x:c r="A142" s="1"/>
      <x:c r="B142" s="1"/>
      <x:c r="C142" s="30"/>
      <x:c r="D142" s="30"/>
      <x:c r="E142" s="30"/>
      <x:c r="F142" s="30"/>
      <x:c r="G142" s="30"/>
      <x:c r="H142" s="30"/>
      <x:c r="I142" s="30"/>
      <x:c r="J142" s="30"/>
      <x:c r="K142" s="30"/>
      <x:c r="L142" s="30"/>
      <x:c r="M142" s="30"/>
      <x:c r="N142" s="30"/>
      <x:c r="O142" s="30"/>
      <x:c r="P142" s="30"/>
      <x:c r="Q142" s="30"/>
      <x:c r="R142" s="30"/>
      <x:c r="S142" s="30"/>
      <x:c r="T142" s="30"/>
      <x:c r="U142" s="30"/>
      <x:c r="V142" s="30"/>
      <x:c r="W142" s="30"/>
      <x:c r="X142" s="30"/>
      <x:c r="Y142" s="30"/>
      <x:c r="Z142" s="30"/>
      <x:c r="AA142" s="30"/>
      <x:c r="AB142" s="30"/>
      <x:c r="AC142" s="30"/>
      <x:c r="AD142" s="30"/>
      <x:c r="AE142" s="30"/>
      <x:c r="AF142" s="30"/>
      <x:c r="AG142" s="30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>
      <x:c r="A143" s="1"/>
      <x:c r="B143" s="1"/>
      <x:c r="C143" s="30"/>
      <x:c r="D143" s="30"/>
      <x:c r="E143" s="30"/>
      <x:c r="F143" s="30"/>
      <x:c r="G143" s="30"/>
      <x:c r="H143" s="30"/>
      <x:c r="I143" s="30"/>
      <x:c r="J143" s="30"/>
      <x:c r="K143" s="30"/>
      <x:c r="L143" s="30"/>
      <x:c r="M143" s="30"/>
      <x:c r="N143" s="30"/>
      <x:c r="O143" s="30"/>
      <x:c r="P143" s="30"/>
      <x:c r="Q143" s="30"/>
      <x:c r="R143" s="30"/>
      <x:c r="S143" s="30"/>
      <x:c r="T143" s="30"/>
      <x:c r="U143" s="30"/>
      <x:c r="V143" s="30"/>
      <x:c r="W143" s="30"/>
      <x:c r="X143" s="30"/>
      <x:c r="Y143" s="30"/>
      <x:c r="Z143" s="30"/>
      <x:c r="AA143" s="30"/>
      <x:c r="AB143" s="30"/>
      <x:c r="AC143" s="30"/>
      <x:c r="AD143" s="30"/>
      <x:c r="AE143" s="30"/>
      <x:c r="AF143" s="30"/>
      <x:c r="AG143" s="30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>
      <x:c r="A144" s="1"/>
      <x:c r="B144" s="1"/>
      <x:c r="C144" s="30"/>
      <x:c r="D144" s="30"/>
      <x:c r="E144" s="30"/>
      <x:c r="F144" s="30"/>
      <x:c r="G144" s="30"/>
      <x:c r="H144" s="30"/>
      <x:c r="I144" s="30"/>
      <x:c r="J144" s="30"/>
      <x:c r="K144" s="30"/>
      <x:c r="L144" s="30"/>
      <x:c r="M144" s="30"/>
      <x:c r="N144" s="30"/>
      <x:c r="O144" s="30"/>
      <x:c r="P144" s="30"/>
      <x:c r="Q144" s="30"/>
      <x:c r="R144" s="30"/>
      <x:c r="S144" s="30"/>
      <x:c r="T144" s="30"/>
      <x:c r="U144" s="30"/>
      <x:c r="V144" s="30"/>
      <x:c r="W144" s="30"/>
      <x:c r="X144" s="30"/>
      <x:c r="Y144" s="30"/>
      <x:c r="Z144" s="30"/>
      <x:c r="AA144" s="30"/>
      <x:c r="AB144" s="30"/>
      <x:c r="AC144" s="30"/>
      <x:c r="AD144" s="30"/>
      <x:c r="AE144" s="30"/>
      <x:c r="AF144" s="30"/>
      <x:c r="AG144" s="30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>
      <x:c r="A145" s="1"/>
      <x:c r="B145" s="1"/>
      <x:c r="C145" s="30"/>
      <x:c r="D145" s="30"/>
      <x:c r="E145" s="30"/>
      <x:c r="F145" s="30"/>
      <x:c r="G145" s="30"/>
      <x:c r="H145" s="30"/>
      <x:c r="I145" s="30"/>
      <x:c r="J145" s="30"/>
      <x:c r="K145" s="30"/>
      <x:c r="L145" s="30"/>
      <x:c r="M145" s="30"/>
      <x:c r="N145" s="30"/>
      <x:c r="O145" s="30"/>
      <x:c r="P145" s="30"/>
      <x:c r="Q145" s="30"/>
      <x:c r="R145" s="30"/>
      <x:c r="S145" s="30"/>
      <x:c r="T145" s="30"/>
      <x:c r="U145" s="30"/>
      <x:c r="V145" s="30"/>
      <x:c r="W145" s="30"/>
      <x:c r="X145" s="30"/>
      <x:c r="Y145" s="30"/>
      <x:c r="Z145" s="30"/>
      <x:c r="AA145" s="30"/>
      <x:c r="AB145" s="30"/>
      <x:c r="AC145" s="30"/>
      <x:c r="AD145" s="30"/>
      <x:c r="AE145" s="30"/>
      <x:c r="AF145" s="30"/>
      <x:c r="AG145" s="30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>
      <x:c r="A146" s="1"/>
      <x:c r="B146" s="1"/>
      <x:c r="C146" s="30"/>
      <x:c r="D146" s="30"/>
      <x:c r="E146" s="30"/>
      <x:c r="F146" s="30"/>
      <x:c r="G146" s="30"/>
      <x:c r="H146" s="30"/>
      <x:c r="I146" s="30"/>
      <x:c r="J146" s="30"/>
      <x:c r="K146" s="30"/>
      <x:c r="L146" s="30"/>
      <x:c r="M146" s="30"/>
      <x:c r="N146" s="30"/>
      <x:c r="O146" s="30"/>
      <x:c r="P146" s="30"/>
      <x:c r="Q146" s="30"/>
      <x:c r="R146" s="30"/>
      <x:c r="S146" s="30"/>
      <x:c r="T146" s="30"/>
      <x:c r="U146" s="30"/>
      <x:c r="V146" s="30"/>
      <x:c r="W146" s="30"/>
      <x:c r="X146" s="30"/>
      <x:c r="Y146" s="30"/>
      <x:c r="Z146" s="30"/>
      <x:c r="AA146" s="30"/>
      <x:c r="AB146" s="30"/>
      <x:c r="AC146" s="30"/>
      <x:c r="AD146" s="30"/>
      <x:c r="AE146" s="30"/>
      <x:c r="AF146" s="30"/>
      <x:c r="AG146" s="30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>
      <x:c r="A147" s="1"/>
      <x:c r="B147" s="1"/>
      <x:c r="C147" s="30"/>
      <x:c r="D147" s="30"/>
      <x:c r="E147" s="30"/>
      <x:c r="F147" s="30"/>
      <x:c r="G147" s="30"/>
      <x:c r="H147" s="30"/>
      <x:c r="I147" s="30"/>
      <x:c r="J147" s="30"/>
      <x:c r="K147" s="30"/>
      <x:c r="L147" s="30"/>
      <x:c r="M147" s="30"/>
      <x:c r="N147" s="30"/>
      <x:c r="O147" s="30"/>
      <x:c r="P147" s="30"/>
      <x:c r="Q147" s="30"/>
      <x:c r="R147" s="30"/>
      <x:c r="S147" s="30"/>
      <x:c r="T147" s="30"/>
      <x:c r="U147" s="30"/>
      <x:c r="V147" s="30"/>
      <x:c r="W147" s="30"/>
      <x:c r="X147" s="30"/>
      <x:c r="Y147" s="30"/>
      <x:c r="Z147" s="30"/>
      <x:c r="AA147" s="30"/>
      <x:c r="AB147" s="30"/>
      <x:c r="AC147" s="30"/>
      <x:c r="AD147" s="30"/>
      <x:c r="AE147" s="30"/>
      <x:c r="AF147" s="30"/>
      <x:c r="AG147" s="30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>
      <x:c r="A148" s="1"/>
      <x:c r="B148" s="1"/>
      <x:c r="C148" s="30"/>
      <x:c r="D148" s="30"/>
      <x:c r="E148" s="30"/>
      <x:c r="F148" s="30"/>
      <x:c r="G148" s="30"/>
      <x:c r="H148" s="30"/>
      <x:c r="I148" s="30"/>
      <x:c r="J148" s="30"/>
      <x:c r="K148" s="30"/>
      <x:c r="L148" s="30"/>
      <x:c r="M148" s="30"/>
      <x:c r="N148" s="30"/>
      <x:c r="O148" s="30"/>
      <x:c r="P148" s="30"/>
      <x:c r="Q148" s="30"/>
      <x:c r="R148" s="30"/>
      <x:c r="S148" s="30"/>
      <x:c r="T148" s="30"/>
      <x:c r="U148" s="30"/>
      <x:c r="V148" s="30"/>
      <x:c r="W148" s="30"/>
      <x:c r="X148" s="30"/>
      <x:c r="Y148" s="30"/>
      <x:c r="Z148" s="30"/>
      <x:c r="AA148" s="30"/>
      <x:c r="AB148" s="30"/>
      <x:c r="AC148" s="30"/>
      <x:c r="AD148" s="30"/>
      <x:c r="AE148" s="30"/>
      <x:c r="AF148" s="30"/>
      <x:c r="AG148" s="30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>
      <x:c r="A149" s="1"/>
      <x:c r="B149" s="1"/>
      <x:c r="C149" s="30"/>
      <x:c r="D149" s="30"/>
      <x:c r="E149" s="30"/>
      <x:c r="F149" s="30"/>
      <x:c r="G149" s="30"/>
      <x:c r="H149" s="30"/>
      <x:c r="I149" s="30"/>
      <x:c r="J149" s="30"/>
      <x:c r="K149" s="30"/>
      <x:c r="L149" s="30"/>
      <x:c r="M149" s="30"/>
      <x:c r="N149" s="30"/>
      <x:c r="O149" s="30"/>
      <x:c r="P149" s="30"/>
      <x:c r="Q149" s="30"/>
      <x:c r="R149" s="30"/>
      <x:c r="S149" s="30"/>
      <x:c r="T149" s="30"/>
      <x:c r="U149" s="30"/>
      <x:c r="V149" s="30"/>
      <x:c r="W149" s="30"/>
      <x:c r="X149" s="30"/>
      <x:c r="Y149" s="30"/>
      <x:c r="Z149" s="30"/>
      <x:c r="AA149" s="30"/>
      <x:c r="AB149" s="30"/>
      <x:c r="AC149" s="30"/>
      <x:c r="AD149" s="30"/>
      <x:c r="AE149" s="30"/>
      <x:c r="AF149" s="30"/>
      <x:c r="AG149" s="30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>
      <x:c r="A150" s="1"/>
      <x:c r="B150" s="1"/>
      <x:c r="C150" s="30"/>
      <x:c r="D150" s="30"/>
      <x:c r="E150" s="30"/>
      <x:c r="F150" s="30"/>
      <x:c r="G150" s="30"/>
      <x:c r="H150" s="30"/>
      <x:c r="I150" s="30"/>
      <x:c r="J150" s="30"/>
      <x:c r="K150" s="30"/>
      <x:c r="L150" s="30"/>
      <x:c r="M150" s="30"/>
      <x:c r="N150" s="30"/>
      <x:c r="O150" s="30"/>
      <x:c r="P150" s="30"/>
      <x:c r="Q150" s="30"/>
      <x:c r="R150" s="30"/>
      <x:c r="S150" s="30"/>
      <x:c r="T150" s="30"/>
      <x:c r="U150" s="30"/>
      <x:c r="V150" s="30"/>
      <x:c r="W150" s="30"/>
      <x:c r="X150" s="30"/>
      <x:c r="Y150" s="30"/>
      <x:c r="Z150" s="30"/>
      <x:c r="AA150" s="30"/>
      <x:c r="AB150" s="30"/>
      <x:c r="AC150" s="30"/>
      <x:c r="AD150" s="30"/>
      <x:c r="AE150" s="30"/>
      <x:c r="AF150" s="30"/>
      <x:c r="AG150" s="30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>
      <x:c r="A151" s="1"/>
      <x:c r="B151" s="1"/>
      <x:c r="C151" s="30"/>
      <x:c r="D151" s="30"/>
      <x:c r="E151" s="30"/>
      <x:c r="F151" s="30"/>
      <x:c r="G151" s="30"/>
      <x:c r="H151" s="30"/>
      <x:c r="I151" s="30"/>
      <x:c r="J151" s="30"/>
      <x:c r="K151" s="30"/>
      <x:c r="L151" s="30"/>
      <x:c r="M151" s="30"/>
      <x:c r="N151" s="30"/>
      <x:c r="O151" s="30"/>
      <x:c r="P151" s="30"/>
      <x:c r="Q151" s="30"/>
      <x:c r="R151" s="30"/>
      <x:c r="S151" s="30"/>
      <x:c r="T151" s="30"/>
      <x:c r="U151" s="30"/>
      <x:c r="V151" s="30"/>
      <x:c r="W151" s="30"/>
      <x:c r="X151" s="30"/>
      <x:c r="Y151" s="30"/>
      <x:c r="Z151" s="30"/>
      <x:c r="AA151" s="30"/>
      <x:c r="AB151" s="30"/>
      <x:c r="AC151" s="30"/>
      <x:c r="AD151" s="30"/>
      <x:c r="AE151" s="30"/>
      <x:c r="AF151" s="30"/>
      <x:c r="AG151" s="30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>
      <x:c r="A152" s="1"/>
      <x:c r="B152" s="1"/>
      <x:c r="C152" s="30"/>
      <x:c r="D152" s="30"/>
      <x:c r="E152" s="30"/>
      <x:c r="F152" s="30"/>
      <x:c r="G152" s="30"/>
      <x:c r="H152" s="30"/>
      <x:c r="I152" s="30"/>
      <x:c r="J152" s="30"/>
      <x:c r="K152" s="30"/>
      <x:c r="L152" s="30"/>
      <x:c r="M152" s="30"/>
      <x:c r="N152" s="30"/>
      <x:c r="O152" s="30"/>
      <x:c r="P152" s="30"/>
      <x:c r="Q152" s="30"/>
      <x:c r="R152" s="30"/>
      <x:c r="S152" s="30"/>
      <x:c r="T152" s="30"/>
      <x:c r="U152" s="30"/>
      <x:c r="V152" s="30"/>
      <x:c r="W152" s="30"/>
      <x:c r="X152" s="30"/>
      <x:c r="Y152" s="30"/>
      <x:c r="Z152" s="30"/>
      <x:c r="AA152" s="30"/>
      <x:c r="AB152" s="30"/>
      <x:c r="AC152" s="30"/>
      <x:c r="AD152" s="30"/>
      <x:c r="AE152" s="30"/>
      <x:c r="AF152" s="30"/>
      <x:c r="AG152" s="30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>
      <x:c r="A153" s="1"/>
      <x:c r="B153" s="1"/>
      <x:c r="C153" s="30"/>
      <x:c r="D153" s="30"/>
      <x:c r="E153" s="30"/>
      <x:c r="F153" s="30"/>
      <x:c r="G153" s="30"/>
      <x:c r="H153" s="30"/>
      <x:c r="I153" s="30"/>
      <x:c r="J153" s="30"/>
      <x:c r="K153" s="30"/>
      <x:c r="L153" s="30"/>
      <x:c r="M153" s="30"/>
      <x:c r="N153" s="30"/>
      <x:c r="O153" s="30"/>
      <x:c r="P153" s="30"/>
      <x:c r="Q153" s="30"/>
      <x:c r="R153" s="30"/>
      <x:c r="S153" s="30"/>
      <x:c r="T153" s="30"/>
      <x:c r="U153" s="30"/>
      <x:c r="V153" s="30"/>
      <x:c r="W153" s="30"/>
      <x:c r="X153" s="30"/>
      <x:c r="Y153" s="30"/>
      <x:c r="Z153" s="30"/>
      <x:c r="AA153" s="30"/>
      <x:c r="AB153" s="30"/>
      <x:c r="AC153" s="30"/>
      <x:c r="AD153" s="30"/>
      <x:c r="AE153" s="30"/>
      <x:c r="AF153" s="30"/>
      <x:c r="AG153" s="30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>
      <x:c r="A154" s="1"/>
      <x:c r="B154" s="1"/>
      <x:c r="C154" s="30"/>
      <x:c r="D154" s="30"/>
      <x:c r="E154" s="30"/>
      <x:c r="F154" s="30"/>
      <x:c r="G154" s="30"/>
      <x:c r="H154" s="30"/>
      <x:c r="I154" s="30"/>
      <x:c r="J154" s="30"/>
      <x:c r="K154" s="30"/>
      <x:c r="L154" s="30"/>
      <x:c r="M154" s="30"/>
      <x:c r="N154" s="30"/>
      <x:c r="O154" s="30"/>
      <x:c r="P154" s="30"/>
      <x:c r="Q154" s="30"/>
      <x:c r="R154" s="30"/>
      <x:c r="S154" s="30"/>
      <x:c r="T154" s="30"/>
      <x:c r="U154" s="30"/>
      <x:c r="V154" s="30"/>
      <x:c r="W154" s="30"/>
      <x:c r="X154" s="30"/>
      <x:c r="Y154" s="30"/>
      <x:c r="Z154" s="30"/>
      <x:c r="AA154" s="30"/>
      <x:c r="AB154" s="30"/>
      <x:c r="AC154" s="30"/>
      <x:c r="AD154" s="30"/>
      <x:c r="AE154" s="30"/>
      <x:c r="AF154" s="30"/>
      <x:c r="AG154" s="30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>
      <x:c r="A155" s="1"/>
      <x:c r="B155" s="1"/>
      <x:c r="C155" s="30"/>
      <x:c r="D155" s="30"/>
      <x:c r="E155" s="30"/>
      <x:c r="F155" s="30"/>
      <x:c r="G155" s="30"/>
      <x:c r="H155" s="30"/>
      <x:c r="I155" s="30"/>
      <x:c r="J155" s="30"/>
      <x:c r="K155" s="30"/>
      <x:c r="L155" s="30"/>
      <x:c r="M155" s="30"/>
      <x:c r="N155" s="30"/>
      <x:c r="O155" s="30"/>
      <x:c r="P155" s="30"/>
      <x:c r="Q155" s="30"/>
      <x:c r="R155" s="30"/>
      <x:c r="S155" s="30"/>
      <x:c r="T155" s="30"/>
      <x:c r="U155" s="30"/>
      <x:c r="V155" s="30"/>
      <x:c r="W155" s="30"/>
      <x:c r="X155" s="30"/>
      <x:c r="Y155" s="30"/>
      <x:c r="Z155" s="30"/>
      <x:c r="AA155" s="30"/>
      <x:c r="AB155" s="30"/>
      <x:c r="AC155" s="30"/>
      <x:c r="AD155" s="30"/>
      <x:c r="AE155" s="30"/>
      <x:c r="AF155" s="30"/>
      <x:c r="AG155" s="30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>
      <x:c r="A156" s="1"/>
      <x:c r="B156" s="1"/>
      <x:c r="C156" s="30"/>
      <x:c r="D156" s="30"/>
      <x:c r="E156" s="30"/>
      <x:c r="F156" s="30"/>
      <x:c r="G156" s="30"/>
      <x:c r="H156" s="30"/>
      <x:c r="I156" s="30"/>
      <x:c r="J156" s="30"/>
      <x:c r="K156" s="30"/>
      <x:c r="L156" s="30"/>
      <x:c r="M156" s="30"/>
      <x:c r="N156" s="30"/>
      <x:c r="O156" s="30"/>
      <x:c r="P156" s="30"/>
      <x:c r="Q156" s="30"/>
      <x:c r="R156" s="30"/>
      <x:c r="S156" s="30"/>
      <x:c r="T156" s="30"/>
      <x:c r="U156" s="30"/>
      <x:c r="V156" s="30"/>
      <x:c r="W156" s="30"/>
      <x:c r="X156" s="30"/>
      <x:c r="Y156" s="30"/>
      <x:c r="Z156" s="30"/>
      <x:c r="AA156" s="30"/>
      <x:c r="AB156" s="30"/>
      <x:c r="AC156" s="30"/>
      <x:c r="AD156" s="30"/>
      <x:c r="AE156" s="30"/>
      <x:c r="AF156" s="30"/>
      <x:c r="AG156" s="30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>
      <x:c r="A157" s="1"/>
      <x:c r="B157" s="1"/>
      <x:c r="C157" s="30"/>
      <x:c r="D157" s="30"/>
      <x:c r="E157" s="30"/>
      <x:c r="F157" s="30"/>
      <x:c r="G157" s="30"/>
      <x:c r="H157" s="30"/>
      <x:c r="I157" s="30"/>
      <x:c r="J157" s="30"/>
      <x:c r="K157" s="30"/>
      <x:c r="L157" s="30"/>
      <x:c r="M157" s="30"/>
      <x:c r="N157" s="30"/>
      <x:c r="O157" s="30"/>
      <x:c r="P157" s="30"/>
      <x:c r="Q157" s="30"/>
      <x:c r="R157" s="30"/>
      <x:c r="S157" s="30"/>
      <x:c r="T157" s="30"/>
      <x:c r="U157" s="30"/>
      <x:c r="V157" s="30"/>
      <x:c r="W157" s="30"/>
      <x:c r="X157" s="30"/>
      <x:c r="Y157" s="30"/>
      <x:c r="Z157" s="30"/>
      <x:c r="AA157" s="30"/>
      <x:c r="AB157" s="30"/>
      <x:c r="AC157" s="30"/>
      <x:c r="AD157" s="30"/>
      <x:c r="AE157" s="30"/>
      <x:c r="AF157" s="30"/>
      <x:c r="AG157" s="30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>
      <x:c r="A158" s="1"/>
      <x:c r="B158" s="1"/>
      <x:c r="C158" s="30"/>
      <x:c r="D158" s="30"/>
      <x:c r="E158" s="30"/>
      <x:c r="F158" s="30"/>
      <x:c r="G158" s="30"/>
      <x:c r="H158" s="30"/>
      <x:c r="I158" s="30"/>
      <x:c r="J158" s="30"/>
      <x:c r="K158" s="30"/>
      <x:c r="L158" s="30"/>
      <x:c r="M158" s="30"/>
      <x:c r="N158" s="30"/>
      <x:c r="O158" s="30"/>
      <x:c r="P158" s="30"/>
      <x:c r="Q158" s="30"/>
      <x:c r="R158" s="30"/>
      <x:c r="S158" s="30"/>
      <x:c r="T158" s="30"/>
      <x:c r="U158" s="30"/>
      <x:c r="V158" s="30"/>
      <x:c r="W158" s="30"/>
      <x:c r="X158" s="30"/>
      <x:c r="Y158" s="30"/>
      <x:c r="Z158" s="30"/>
      <x:c r="AA158" s="30"/>
      <x:c r="AB158" s="30"/>
      <x:c r="AC158" s="30"/>
      <x:c r="AD158" s="30"/>
      <x:c r="AE158" s="30"/>
      <x:c r="AF158" s="30"/>
      <x:c r="AG158" s="30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>
      <x:c r="A159" s="1"/>
      <x:c r="B159" s="1"/>
      <x:c r="C159" s="30"/>
      <x:c r="D159" s="30"/>
      <x:c r="E159" s="30"/>
      <x:c r="F159" s="30"/>
      <x:c r="G159" s="30"/>
      <x:c r="H159" s="30"/>
      <x:c r="I159" s="30"/>
      <x:c r="J159" s="30"/>
      <x:c r="K159" s="30"/>
      <x:c r="L159" s="30"/>
      <x:c r="M159" s="30"/>
      <x:c r="N159" s="30"/>
      <x:c r="O159" s="30"/>
      <x:c r="P159" s="30"/>
      <x:c r="Q159" s="30"/>
      <x:c r="R159" s="30"/>
      <x:c r="S159" s="30"/>
      <x:c r="T159" s="30"/>
      <x:c r="U159" s="30"/>
      <x:c r="V159" s="30"/>
      <x:c r="W159" s="30"/>
      <x:c r="X159" s="30"/>
      <x:c r="Y159" s="30"/>
      <x:c r="Z159" s="30"/>
      <x:c r="AA159" s="30"/>
      <x:c r="AB159" s="30"/>
      <x:c r="AC159" s="30"/>
      <x:c r="AD159" s="30"/>
      <x:c r="AE159" s="30"/>
      <x:c r="AF159" s="30"/>
      <x:c r="AG159" s="30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>
      <x:c r="A160" s="1"/>
      <x:c r="B160" s="1"/>
      <x:c r="C160" s="30"/>
      <x:c r="D160" s="30"/>
      <x:c r="E160" s="30"/>
      <x:c r="F160" s="30"/>
      <x:c r="G160" s="30"/>
      <x:c r="H160" s="30"/>
      <x:c r="I160" s="30"/>
      <x:c r="J160" s="30"/>
      <x:c r="K160" s="30"/>
      <x:c r="L160" s="30"/>
      <x:c r="M160" s="30"/>
      <x:c r="N160" s="30"/>
      <x:c r="O160" s="30"/>
      <x:c r="P160" s="30"/>
      <x:c r="Q160" s="30"/>
      <x:c r="R160" s="30"/>
      <x:c r="S160" s="30"/>
      <x:c r="T160" s="30"/>
      <x:c r="U160" s="30"/>
      <x:c r="V160" s="30"/>
      <x:c r="W160" s="30"/>
      <x:c r="X160" s="30"/>
      <x:c r="Y160" s="30"/>
      <x:c r="Z160" s="30"/>
      <x:c r="AA160" s="30"/>
      <x:c r="AB160" s="30"/>
      <x:c r="AC160" s="30"/>
      <x:c r="AD160" s="30"/>
      <x:c r="AE160" s="30"/>
      <x:c r="AF160" s="30"/>
      <x:c r="AG160" s="30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>
      <x:c r="A161" s="1"/>
      <x:c r="B161" s="1"/>
      <x:c r="C161" s="30"/>
      <x:c r="D161" s="30"/>
      <x:c r="E161" s="30"/>
      <x:c r="F161" s="30"/>
      <x:c r="G161" s="30"/>
      <x:c r="H161" s="30"/>
      <x:c r="I161" s="30"/>
      <x:c r="J161" s="30"/>
      <x:c r="K161" s="30"/>
      <x:c r="L161" s="30"/>
      <x:c r="M161" s="30"/>
      <x:c r="N161" s="30"/>
      <x:c r="O161" s="30"/>
      <x:c r="P161" s="30"/>
      <x:c r="Q161" s="30"/>
      <x:c r="R161" s="30"/>
      <x:c r="S161" s="30"/>
      <x:c r="T161" s="30"/>
      <x:c r="U161" s="30"/>
      <x:c r="V161" s="30"/>
      <x:c r="W161" s="30"/>
      <x:c r="X161" s="30"/>
      <x:c r="Y161" s="30"/>
      <x:c r="Z161" s="30"/>
      <x:c r="AA161" s="30"/>
      <x:c r="AB161" s="30"/>
      <x:c r="AC161" s="30"/>
      <x:c r="AD161" s="30"/>
      <x:c r="AE161" s="30"/>
      <x:c r="AF161" s="30"/>
      <x:c r="AG161" s="30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>
      <x:c r="A162" s="1"/>
      <x:c r="B162" s="1"/>
      <x:c r="C162" s="30"/>
      <x:c r="D162" s="30"/>
      <x:c r="E162" s="30"/>
      <x:c r="F162" s="30"/>
      <x:c r="G162" s="30"/>
      <x:c r="H162" s="30"/>
      <x:c r="I162" s="30"/>
      <x:c r="J162" s="30"/>
      <x:c r="K162" s="30"/>
      <x:c r="L162" s="30"/>
      <x:c r="M162" s="30"/>
      <x:c r="N162" s="30"/>
      <x:c r="O162" s="30"/>
      <x:c r="P162" s="30"/>
      <x:c r="Q162" s="30"/>
      <x:c r="R162" s="30"/>
      <x:c r="S162" s="30"/>
      <x:c r="T162" s="30"/>
      <x:c r="U162" s="30"/>
      <x:c r="V162" s="30"/>
      <x:c r="W162" s="30"/>
      <x:c r="X162" s="30"/>
      <x:c r="Y162" s="30"/>
      <x:c r="Z162" s="30"/>
      <x:c r="AA162" s="30"/>
      <x:c r="AB162" s="30"/>
      <x:c r="AC162" s="30"/>
      <x:c r="AD162" s="30"/>
      <x:c r="AE162" s="30"/>
      <x:c r="AF162" s="30"/>
      <x:c r="AG162" s="30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>
      <x:c r="A163" s="1"/>
      <x:c r="B163" s="1"/>
      <x:c r="C163" s="30"/>
      <x:c r="D163" s="30"/>
      <x:c r="E163" s="30"/>
      <x:c r="F163" s="30"/>
      <x:c r="G163" s="30"/>
      <x:c r="H163" s="30"/>
      <x:c r="I163" s="30"/>
      <x:c r="J163" s="30"/>
      <x:c r="K163" s="30"/>
      <x:c r="L163" s="30"/>
      <x:c r="M163" s="30"/>
      <x:c r="N163" s="30"/>
      <x:c r="O163" s="30"/>
      <x:c r="P163" s="30"/>
      <x:c r="Q163" s="30"/>
      <x:c r="R163" s="30"/>
      <x:c r="S163" s="30"/>
      <x:c r="T163" s="30"/>
      <x:c r="U163" s="30"/>
      <x:c r="V163" s="30"/>
      <x:c r="W163" s="30"/>
      <x:c r="X163" s="30"/>
      <x:c r="Y163" s="30"/>
      <x:c r="Z163" s="30"/>
      <x:c r="AA163" s="30"/>
      <x:c r="AB163" s="30"/>
      <x:c r="AC163" s="30"/>
      <x:c r="AD163" s="30"/>
      <x:c r="AE163" s="30"/>
      <x:c r="AF163" s="30"/>
      <x:c r="AG163" s="30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>
      <x:c r="A164" s="1"/>
      <x:c r="B164" s="1"/>
      <x:c r="C164" s="30"/>
      <x:c r="D164" s="30"/>
      <x:c r="E164" s="30"/>
      <x:c r="F164" s="30"/>
      <x:c r="G164" s="30"/>
      <x:c r="H164" s="30"/>
      <x:c r="I164" s="30"/>
      <x:c r="J164" s="30"/>
      <x:c r="K164" s="30"/>
      <x:c r="L164" s="30"/>
      <x:c r="M164" s="30"/>
      <x:c r="N164" s="30"/>
      <x:c r="O164" s="30"/>
      <x:c r="P164" s="30"/>
      <x:c r="Q164" s="30"/>
      <x:c r="R164" s="30"/>
      <x:c r="S164" s="30"/>
      <x:c r="T164" s="30"/>
      <x:c r="U164" s="30"/>
      <x:c r="V164" s="30"/>
      <x:c r="W164" s="30"/>
      <x:c r="X164" s="30"/>
      <x:c r="Y164" s="30"/>
      <x:c r="Z164" s="30"/>
      <x:c r="AA164" s="30"/>
      <x:c r="AB164" s="30"/>
      <x:c r="AC164" s="30"/>
      <x:c r="AD164" s="30"/>
      <x:c r="AE164" s="30"/>
      <x:c r="AF164" s="30"/>
      <x:c r="AG164" s="30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>
      <x:c r="A165" s="1"/>
      <x:c r="B165" s="1"/>
      <x:c r="C165" s="30"/>
      <x:c r="D165" s="30"/>
      <x:c r="E165" s="30"/>
      <x:c r="F165" s="30"/>
      <x:c r="G165" s="30"/>
      <x:c r="H165" s="30"/>
      <x:c r="I165" s="30"/>
      <x:c r="J165" s="30"/>
      <x:c r="K165" s="30"/>
      <x:c r="L165" s="30"/>
      <x:c r="M165" s="30"/>
      <x:c r="N165" s="30"/>
      <x:c r="O165" s="30"/>
      <x:c r="P165" s="30"/>
      <x:c r="Q165" s="30"/>
      <x:c r="R165" s="30"/>
      <x:c r="S165" s="30"/>
      <x:c r="T165" s="30"/>
      <x:c r="U165" s="30"/>
      <x:c r="V165" s="30"/>
      <x:c r="W165" s="30"/>
      <x:c r="X165" s="30"/>
      <x:c r="Y165" s="30"/>
      <x:c r="Z165" s="30"/>
      <x:c r="AA165" s="30"/>
      <x:c r="AB165" s="30"/>
      <x:c r="AC165" s="30"/>
      <x:c r="AD165" s="30"/>
      <x:c r="AE165" s="30"/>
      <x:c r="AF165" s="30"/>
      <x:c r="AG165" s="30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>
      <x:c r="A166" s="1"/>
      <x:c r="B166" s="1"/>
      <x:c r="C166" s="30"/>
      <x:c r="D166" s="30"/>
      <x:c r="E166" s="30"/>
      <x:c r="F166" s="30"/>
      <x:c r="G166" s="30"/>
      <x:c r="H166" s="30"/>
      <x:c r="I166" s="30"/>
      <x:c r="J166" s="30"/>
      <x:c r="K166" s="30"/>
      <x:c r="L166" s="30"/>
      <x:c r="M166" s="30"/>
      <x:c r="N166" s="30"/>
      <x:c r="O166" s="30"/>
      <x:c r="P166" s="30"/>
      <x:c r="Q166" s="30"/>
      <x:c r="R166" s="30"/>
      <x:c r="S166" s="30"/>
      <x:c r="T166" s="30"/>
      <x:c r="U166" s="30"/>
      <x:c r="V166" s="30"/>
      <x:c r="W166" s="30"/>
      <x:c r="X166" s="30"/>
      <x:c r="Y166" s="30"/>
      <x:c r="Z166" s="30"/>
      <x:c r="AA166" s="30"/>
      <x:c r="AB166" s="30"/>
      <x:c r="AC166" s="30"/>
      <x:c r="AD166" s="30"/>
      <x:c r="AE166" s="30"/>
      <x:c r="AF166" s="30"/>
      <x:c r="AG166" s="30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>
      <x:c r="A167" s="1"/>
      <x:c r="B167" s="1"/>
      <x:c r="C167" s="30"/>
      <x:c r="D167" s="30"/>
      <x:c r="E167" s="30"/>
      <x:c r="F167" s="30"/>
      <x:c r="G167" s="30"/>
      <x:c r="H167" s="30"/>
      <x:c r="I167" s="30"/>
      <x:c r="J167" s="30"/>
      <x:c r="K167" s="30"/>
      <x:c r="L167" s="30"/>
      <x:c r="M167" s="30"/>
      <x:c r="N167" s="30"/>
      <x:c r="O167" s="30"/>
      <x:c r="P167" s="30"/>
      <x:c r="Q167" s="30"/>
      <x:c r="R167" s="30"/>
      <x:c r="S167" s="30"/>
      <x:c r="T167" s="30"/>
      <x:c r="U167" s="30"/>
      <x:c r="V167" s="30"/>
      <x:c r="W167" s="30"/>
      <x:c r="X167" s="30"/>
      <x:c r="Y167" s="30"/>
      <x:c r="Z167" s="30"/>
      <x:c r="AA167" s="30"/>
      <x:c r="AB167" s="30"/>
      <x:c r="AC167" s="30"/>
      <x:c r="AD167" s="30"/>
      <x:c r="AE167" s="30"/>
      <x:c r="AF167" s="30"/>
      <x:c r="AG167" s="30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>
      <x:c r="A168" s="1"/>
      <x:c r="B168" s="1"/>
      <x:c r="C168" s="30"/>
      <x:c r="D168" s="30"/>
      <x:c r="E168" s="30"/>
      <x:c r="F168" s="30"/>
      <x:c r="G168" s="30"/>
      <x:c r="H168" s="30"/>
      <x:c r="I168" s="30"/>
      <x:c r="J168" s="30"/>
      <x:c r="K168" s="30"/>
      <x:c r="L168" s="30"/>
      <x:c r="M168" s="30"/>
      <x:c r="N168" s="30"/>
      <x:c r="O168" s="30"/>
      <x:c r="P168" s="30"/>
      <x:c r="Q168" s="30"/>
      <x:c r="R168" s="30"/>
      <x:c r="S168" s="30"/>
      <x:c r="T168" s="30"/>
      <x:c r="U168" s="30"/>
      <x:c r="V168" s="30"/>
      <x:c r="W168" s="30"/>
      <x:c r="X168" s="30"/>
      <x:c r="Y168" s="30"/>
      <x:c r="Z168" s="30"/>
      <x:c r="AA168" s="30"/>
      <x:c r="AB168" s="30"/>
      <x:c r="AC168" s="30"/>
      <x:c r="AD168" s="30"/>
      <x:c r="AE168" s="30"/>
      <x:c r="AF168" s="30"/>
      <x:c r="AG168" s="30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>
      <x:c r="A169" s="1"/>
      <x:c r="B169" s="1"/>
      <x:c r="C169" s="30"/>
      <x:c r="D169" s="30"/>
      <x:c r="E169" s="30"/>
      <x:c r="F169" s="30"/>
      <x:c r="G169" s="30"/>
      <x:c r="H169" s="30"/>
      <x:c r="I169" s="30"/>
      <x:c r="J169" s="30"/>
      <x:c r="K169" s="30"/>
      <x:c r="L169" s="30"/>
      <x:c r="M169" s="30"/>
      <x:c r="N169" s="30"/>
      <x:c r="O169" s="30"/>
      <x:c r="P169" s="30"/>
      <x:c r="Q169" s="30"/>
      <x:c r="R169" s="30"/>
      <x:c r="S169" s="30"/>
      <x:c r="T169" s="30"/>
      <x:c r="U169" s="30"/>
      <x:c r="V169" s="30"/>
      <x:c r="W169" s="30"/>
      <x:c r="X169" s="30"/>
      <x:c r="Y169" s="30"/>
      <x:c r="Z169" s="30"/>
      <x:c r="AA169" s="30"/>
      <x:c r="AB169" s="30"/>
      <x:c r="AC169" s="30"/>
      <x:c r="AD169" s="30"/>
      <x:c r="AE169" s="30"/>
      <x:c r="AF169" s="30"/>
      <x:c r="AG169" s="30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>
      <x:c r="A170" s="1"/>
      <x:c r="B170" s="1"/>
      <x:c r="C170" s="30"/>
      <x:c r="D170" s="30"/>
      <x:c r="E170" s="30"/>
      <x:c r="F170" s="30"/>
      <x:c r="G170" s="30"/>
      <x:c r="H170" s="30"/>
      <x:c r="I170" s="30"/>
      <x:c r="J170" s="30"/>
      <x:c r="K170" s="30"/>
      <x:c r="L170" s="30"/>
      <x:c r="M170" s="30"/>
      <x:c r="N170" s="30"/>
      <x:c r="O170" s="30"/>
      <x:c r="P170" s="30"/>
      <x:c r="Q170" s="30"/>
      <x:c r="R170" s="30"/>
      <x:c r="S170" s="30"/>
      <x:c r="T170" s="30"/>
      <x:c r="U170" s="30"/>
      <x:c r="V170" s="30"/>
      <x:c r="W170" s="30"/>
      <x:c r="X170" s="30"/>
      <x:c r="Y170" s="30"/>
      <x:c r="Z170" s="30"/>
      <x:c r="AA170" s="30"/>
      <x:c r="AB170" s="30"/>
      <x:c r="AC170" s="30"/>
      <x:c r="AD170" s="30"/>
      <x:c r="AE170" s="30"/>
      <x:c r="AF170" s="30"/>
      <x:c r="AG170" s="30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>
      <x:c r="A171" s="1"/>
      <x:c r="B171" s="1"/>
      <x:c r="C171" s="30"/>
      <x:c r="D171" s="30"/>
      <x:c r="E171" s="30"/>
      <x:c r="F171" s="30"/>
      <x:c r="G171" s="30"/>
      <x:c r="H171" s="30"/>
      <x:c r="I171" s="30"/>
      <x:c r="J171" s="30"/>
      <x:c r="K171" s="30"/>
      <x:c r="L171" s="30"/>
      <x:c r="M171" s="30"/>
      <x:c r="N171" s="30"/>
      <x:c r="O171" s="30"/>
      <x:c r="P171" s="30"/>
      <x:c r="Q171" s="30"/>
      <x:c r="R171" s="30"/>
      <x:c r="S171" s="30"/>
      <x:c r="T171" s="30"/>
      <x:c r="U171" s="30"/>
      <x:c r="V171" s="30"/>
      <x:c r="W171" s="30"/>
      <x:c r="X171" s="30"/>
      <x:c r="Y171" s="30"/>
      <x:c r="Z171" s="30"/>
      <x:c r="AA171" s="30"/>
      <x:c r="AB171" s="30"/>
      <x:c r="AC171" s="30"/>
      <x:c r="AD171" s="30"/>
      <x:c r="AE171" s="30"/>
      <x:c r="AF171" s="30"/>
      <x:c r="AG171" s="30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>
      <x:c r="A172" s="1"/>
      <x:c r="B172" s="1"/>
      <x:c r="C172" s="30"/>
      <x:c r="D172" s="30"/>
      <x:c r="E172" s="30"/>
      <x:c r="F172" s="30"/>
      <x:c r="G172" s="30"/>
      <x:c r="H172" s="30"/>
      <x:c r="I172" s="30"/>
      <x:c r="J172" s="30"/>
      <x:c r="K172" s="30"/>
      <x:c r="L172" s="30"/>
      <x:c r="M172" s="30"/>
      <x:c r="N172" s="30"/>
      <x:c r="O172" s="30"/>
      <x:c r="P172" s="30"/>
      <x:c r="Q172" s="30"/>
      <x:c r="R172" s="30"/>
      <x:c r="S172" s="30"/>
      <x:c r="T172" s="30"/>
      <x:c r="U172" s="30"/>
      <x:c r="V172" s="30"/>
      <x:c r="W172" s="30"/>
      <x:c r="X172" s="30"/>
      <x:c r="Y172" s="30"/>
      <x:c r="Z172" s="30"/>
      <x:c r="AA172" s="30"/>
      <x:c r="AB172" s="30"/>
      <x:c r="AC172" s="30"/>
      <x:c r="AD172" s="30"/>
      <x:c r="AE172" s="30"/>
      <x:c r="AF172" s="30"/>
      <x:c r="AG172" s="30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>
      <x:c r="A173" s="1"/>
      <x:c r="B173" s="1"/>
      <x:c r="C173" s="30"/>
      <x:c r="D173" s="30"/>
      <x:c r="E173" s="30"/>
      <x:c r="F173" s="30"/>
      <x:c r="G173" s="30"/>
      <x:c r="H173" s="30"/>
      <x:c r="I173" s="30"/>
      <x:c r="J173" s="30"/>
      <x:c r="K173" s="30"/>
      <x:c r="L173" s="30"/>
      <x:c r="M173" s="30"/>
      <x:c r="N173" s="30"/>
      <x:c r="O173" s="30"/>
      <x:c r="P173" s="30"/>
      <x:c r="Q173" s="30"/>
      <x:c r="R173" s="30"/>
      <x:c r="S173" s="30"/>
      <x:c r="T173" s="30"/>
      <x:c r="U173" s="30"/>
      <x:c r="V173" s="30"/>
      <x:c r="W173" s="30"/>
      <x:c r="X173" s="30"/>
      <x:c r="Y173" s="30"/>
      <x:c r="Z173" s="30"/>
      <x:c r="AA173" s="30"/>
      <x:c r="AB173" s="30"/>
      <x:c r="AC173" s="30"/>
      <x:c r="AD173" s="30"/>
      <x:c r="AE173" s="30"/>
      <x:c r="AF173" s="30"/>
      <x:c r="AG173" s="30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>
      <x:c r="A174" s="1"/>
      <x:c r="B174" s="1"/>
      <x:c r="C174" s="30"/>
      <x:c r="D174" s="30"/>
      <x:c r="E174" s="30"/>
      <x:c r="F174" s="30"/>
      <x:c r="G174" s="30"/>
      <x:c r="H174" s="30"/>
      <x:c r="I174" s="30"/>
      <x:c r="J174" s="30"/>
      <x:c r="K174" s="30"/>
      <x:c r="L174" s="30"/>
      <x:c r="M174" s="30"/>
      <x:c r="N174" s="30"/>
      <x:c r="O174" s="30"/>
      <x:c r="P174" s="30"/>
      <x:c r="Q174" s="30"/>
      <x:c r="R174" s="30"/>
      <x:c r="S174" s="30"/>
      <x:c r="T174" s="30"/>
      <x:c r="U174" s="30"/>
      <x:c r="V174" s="30"/>
      <x:c r="W174" s="30"/>
      <x:c r="X174" s="30"/>
      <x:c r="Y174" s="30"/>
      <x:c r="Z174" s="30"/>
      <x:c r="AA174" s="30"/>
      <x:c r="AB174" s="30"/>
      <x:c r="AC174" s="30"/>
      <x:c r="AD174" s="30"/>
      <x:c r="AE174" s="30"/>
      <x:c r="AF174" s="30"/>
      <x:c r="AG174" s="30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>
      <x:c r="A175" s="1"/>
      <x:c r="B175" s="1"/>
      <x:c r="C175" s="30"/>
      <x:c r="D175" s="30"/>
      <x:c r="E175" s="30"/>
      <x:c r="F175" s="30"/>
      <x:c r="G175" s="30"/>
      <x:c r="H175" s="30"/>
      <x:c r="I175" s="30"/>
      <x:c r="J175" s="30"/>
      <x:c r="K175" s="30"/>
      <x:c r="L175" s="30"/>
      <x:c r="M175" s="30"/>
      <x:c r="N175" s="30"/>
      <x:c r="O175" s="30"/>
      <x:c r="P175" s="30"/>
      <x:c r="Q175" s="30"/>
      <x:c r="R175" s="30"/>
      <x:c r="S175" s="30"/>
      <x:c r="T175" s="30"/>
      <x:c r="U175" s="30"/>
      <x:c r="V175" s="30"/>
      <x:c r="W175" s="30"/>
      <x:c r="X175" s="30"/>
      <x:c r="Y175" s="30"/>
      <x:c r="Z175" s="30"/>
      <x:c r="AA175" s="30"/>
      <x:c r="AB175" s="30"/>
      <x:c r="AC175" s="30"/>
      <x:c r="AD175" s="30"/>
      <x:c r="AE175" s="30"/>
      <x:c r="AF175" s="30"/>
      <x:c r="AG175" s="30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>
      <x:c r="A176" s="1"/>
      <x:c r="B176" s="1"/>
      <x:c r="C176" s="30"/>
      <x:c r="D176" s="30"/>
      <x:c r="E176" s="30"/>
      <x:c r="F176" s="30"/>
      <x:c r="G176" s="30"/>
      <x:c r="H176" s="30"/>
      <x:c r="I176" s="30"/>
      <x:c r="J176" s="30"/>
      <x:c r="K176" s="30"/>
      <x:c r="L176" s="30"/>
      <x:c r="M176" s="30"/>
      <x:c r="N176" s="30"/>
      <x:c r="O176" s="30"/>
      <x:c r="P176" s="30"/>
      <x:c r="Q176" s="30"/>
      <x:c r="R176" s="30"/>
      <x:c r="S176" s="30"/>
      <x:c r="T176" s="30"/>
      <x:c r="U176" s="30"/>
      <x:c r="V176" s="30"/>
      <x:c r="W176" s="30"/>
      <x:c r="X176" s="30"/>
      <x:c r="Y176" s="30"/>
      <x:c r="Z176" s="30"/>
      <x:c r="AA176" s="30"/>
      <x:c r="AB176" s="30"/>
      <x:c r="AC176" s="30"/>
      <x:c r="AD176" s="30"/>
      <x:c r="AE176" s="30"/>
      <x:c r="AF176" s="30"/>
      <x:c r="AG176" s="30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>
      <x:c r="A177" s="1"/>
      <x:c r="B177" s="1"/>
      <x:c r="C177" s="30"/>
      <x:c r="D177" s="30"/>
      <x:c r="E177" s="30"/>
      <x:c r="F177" s="30"/>
      <x:c r="G177" s="30"/>
      <x:c r="H177" s="30"/>
      <x:c r="I177" s="30"/>
      <x:c r="J177" s="30"/>
      <x:c r="K177" s="30"/>
      <x:c r="L177" s="30"/>
      <x:c r="M177" s="30"/>
      <x:c r="N177" s="30"/>
      <x:c r="O177" s="30"/>
      <x:c r="P177" s="30"/>
      <x:c r="Q177" s="30"/>
      <x:c r="R177" s="30"/>
      <x:c r="S177" s="30"/>
      <x:c r="T177" s="30"/>
      <x:c r="U177" s="30"/>
      <x:c r="V177" s="30"/>
      <x:c r="W177" s="30"/>
      <x:c r="X177" s="30"/>
      <x:c r="Y177" s="30"/>
      <x:c r="Z177" s="30"/>
      <x:c r="AA177" s="30"/>
      <x:c r="AB177" s="30"/>
      <x:c r="AC177" s="30"/>
      <x:c r="AD177" s="30"/>
      <x:c r="AE177" s="30"/>
      <x:c r="AF177" s="30"/>
      <x:c r="AG177" s="30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>
      <x:c r="A178" s="1"/>
      <x:c r="B178" s="1"/>
      <x:c r="C178" s="30"/>
      <x:c r="D178" s="30"/>
      <x:c r="E178" s="30"/>
      <x:c r="F178" s="30"/>
      <x:c r="G178" s="30"/>
      <x:c r="H178" s="30"/>
      <x:c r="I178" s="30"/>
      <x:c r="J178" s="30"/>
      <x:c r="K178" s="30"/>
      <x:c r="L178" s="30"/>
      <x:c r="M178" s="30"/>
      <x:c r="N178" s="30"/>
      <x:c r="O178" s="30"/>
      <x:c r="P178" s="30"/>
      <x:c r="Q178" s="30"/>
      <x:c r="R178" s="30"/>
      <x:c r="S178" s="30"/>
      <x:c r="T178" s="30"/>
      <x:c r="U178" s="30"/>
      <x:c r="V178" s="30"/>
      <x:c r="W178" s="30"/>
      <x:c r="X178" s="30"/>
      <x:c r="Y178" s="30"/>
      <x:c r="Z178" s="30"/>
      <x:c r="AA178" s="30"/>
      <x:c r="AB178" s="30"/>
      <x:c r="AC178" s="30"/>
      <x:c r="AD178" s="30"/>
      <x:c r="AE178" s="30"/>
      <x:c r="AF178" s="30"/>
      <x:c r="AG178" s="30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>
      <x:c r="A179" s="1"/>
      <x:c r="B179" s="1"/>
      <x:c r="C179" s="30"/>
      <x:c r="D179" s="30"/>
      <x:c r="E179" s="30"/>
      <x:c r="F179" s="30"/>
      <x:c r="G179" s="30"/>
      <x:c r="H179" s="30"/>
      <x:c r="I179" s="30"/>
      <x:c r="J179" s="30"/>
      <x:c r="K179" s="30"/>
      <x:c r="L179" s="30"/>
      <x:c r="M179" s="30"/>
      <x:c r="N179" s="30"/>
      <x:c r="O179" s="30"/>
      <x:c r="P179" s="30"/>
      <x:c r="Q179" s="30"/>
      <x:c r="R179" s="30"/>
      <x:c r="S179" s="30"/>
      <x:c r="T179" s="30"/>
      <x:c r="U179" s="30"/>
      <x:c r="V179" s="30"/>
      <x:c r="W179" s="30"/>
      <x:c r="X179" s="30"/>
      <x:c r="Y179" s="30"/>
      <x:c r="Z179" s="30"/>
      <x:c r="AA179" s="30"/>
      <x:c r="AB179" s="30"/>
      <x:c r="AC179" s="30"/>
      <x:c r="AD179" s="30"/>
      <x:c r="AE179" s="30"/>
      <x:c r="AF179" s="30"/>
      <x:c r="AG179" s="30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>
      <x:c r="A180" s="1"/>
      <x:c r="B180" s="1"/>
      <x:c r="C180" s="30"/>
      <x:c r="D180" s="30"/>
      <x:c r="E180" s="30"/>
      <x:c r="F180" s="30"/>
      <x:c r="G180" s="30"/>
      <x:c r="H180" s="30"/>
      <x:c r="I180" s="30"/>
      <x:c r="J180" s="30"/>
      <x:c r="K180" s="30"/>
      <x:c r="L180" s="30"/>
      <x:c r="M180" s="30"/>
      <x:c r="N180" s="30"/>
      <x:c r="O180" s="30"/>
      <x:c r="P180" s="30"/>
      <x:c r="Q180" s="30"/>
      <x:c r="R180" s="30"/>
      <x:c r="S180" s="30"/>
      <x:c r="T180" s="30"/>
      <x:c r="U180" s="30"/>
      <x:c r="V180" s="30"/>
      <x:c r="W180" s="30"/>
      <x:c r="X180" s="30"/>
      <x:c r="Y180" s="30"/>
      <x:c r="Z180" s="30"/>
      <x:c r="AA180" s="30"/>
      <x:c r="AB180" s="30"/>
      <x:c r="AC180" s="30"/>
      <x:c r="AD180" s="30"/>
      <x:c r="AE180" s="30"/>
      <x:c r="AF180" s="30"/>
      <x:c r="AG180" s="30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9" hidden="0" customWidth="1"/>
    <x:col min="4" max="4" width="34" hidden="0" customWidth="1"/>
    <x:col min="5" max="5" width="72" hidden="0" customWidth="1"/>
    <x:col min="6" max="6" width="40" hidden="0" customWidth="1"/>
    <x:col min="7" max="7" width="12" hidden="0" customWidth="1"/>
    <x:col min="8" max="8" width="18" hidden="0" customWidth="1"/>
    <x:col min="9" max="9" width="15" hidden="0" customWidth="1"/>
    <x:col min="10" max="10" width="18" hidden="0" customWidth="1"/>
    <x:col min="11" max="11" width="24" hidden="0" customWidth="1"/>
    <x:col min="12" max="12" width="18" hidden="0" customWidth="1"/>
    <x:col min="13" max="13" width="20" hidden="0" customWidth="1"/>
    <x:col min="14" max="14" width="1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>
      <x:c r="A2" s="1"/>
      <x:c r="B2" s="1"/>
      <x:c r="C2" s="3" t="str">
        <x:v>Five service routes and inherited force load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>
      <x:c r="A3" s="1"/>
      <x:c r="B3" s="1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  <x:c r="AA3" s="30"/>
      <x:c r="AB3" s="30"/>
      <x:c r="AC3" s="30"/>
      <x:c r="AD3" s="30"/>
      <x:c r="AE3" s="30"/>
      <x:c r="AF3" s="30"/>
      <x:c r="AG3" s="30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>
      <x:c r="A4" s="1"/>
      <x:c r="B4" s="1"/>
      <x:c r="C4" s="9" t="str">
        <x:v>ID</x:v>
      </x:c>
      <x:c r="D4" s="17" t="str">
        <x:v>Service route</x:v>
      </x:c>
      <x:c r="E4" s="17" t="str">
        <x:v>Completion condition</x:v>
      </x:c>
      <x:c r="F4" s="17" t="str">
        <x:v>Primary families</x:v>
      </x:c>
      <x:c r="G4" s="17" t="str">
        <x:v>Families</x:v>
      </x:c>
      <x:c r="H4" s="17" t="str">
        <x:v>Concurrent demand</x:v>
      </x:c>
      <x:c r="I4" s="17" t="str">
        <x:v>N−1 inventory</x:v>
      </x:c>
      <x:c r="J4" s="17" t="str">
        <x:v>Direct billets</x:v>
      </x:c>
      <x:c r="K4" s="17" t="str">
        <x:v>Formation capital (USD B)</x:v>
      </x:c>
      <x:c r="L4" s="17" t="str">
        <x:v>Unclosed demand</x:v>
      </x:c>
      <x:c r="M4" s="17" t="str">
        <x:v>Weighted completeness</x:v>
      </x:c>
      <x:c r="N4" s="10" t="str">
        <x:v>Active campaigns</x:v>
      </x:c>
      <x:c r="O4" s="30"/>
      <x:c r="P4" s="30"/>
      <x:c r="Q4" s="30"/>
      <x:c r="R4" s="30"/>
      <x:c r="S4" s="30"/>
      <x:c r="T4" s="30"/>
      <x:c r="U4" s="30"/>
      <x:c r="V4" s="30"/>
      <x:c r="W4" s="30"/>
      <x:c r="X4" s="30"/>
      <x:c r="Y4" s="30"/>
      <x:c r="Z4" s="30"/>
      <x:c r="AA4" s="30"/>
      <x:c r="AB4" s="30"/>
      <x:c r="AC4" s="30"/>
      <x:c r="AD4" s="30"/>
      <x:c r="AE4" s="30"/>
      <x:c r="AF4" s="30"/>
      <x:c r="AG4" s="30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 ht="48" customHeight="1">
      <x:c r="A5" s="1"/>
      <x:c r="B5" s="1"/>
      <x:c r="C5" s="30" t="str">
        <x:v>R1</x:v>
      </x:c>
      <x:c r="D5" s="35" t="str">
        <x:v>Local support continuity</x:v>
      </x:c>
      <x:c r="E5" s="35" t="str">
        <x:v>Maintain people safely in place or at local support points with health, public-health, food, essential-goods and occupied-environment continuity.</x:v>
      </x:c>
      <x:c r="F5" s="35" t="str">
        <x:v>H-CHC,H-PHC,C-PSG,C-EGG</x:v>
      </x:c>
      <x:c r="G5" s="32" t="n">
        <x:f>COUNTIFS('Family Allocation'!$E$5:$E$19,C5)</x:f>
        <x:v>4</x:v>
      </x:c>
      <x:c r="H5" s="32" t="n">
        <x:f>SUMIFS('Family Allocation'!$J$5:$J$19,'Family Allocation'!$E$5:$E$19,C5)</x:f>
        <x:v>333</x:v>
      </x:c>
      <x:c r="I5" s="32" t="n">
        <x:f>SUMIFS('Family Allocation'!$K$5:$K$19,'Family Allocation'!$E$5:$E$19,C5)</x:f>
        <x:v>703</x:v>
      </x:c>
      <x:c r="J5" s="32" t="n">
        <x:f>SUMIFS('Family Allocation'!$L$5:$L$19,'Family Allocation'!$E$5:$E$19,C5)</x:f>
        <x:v>810250</x:v>
      </x:c>
      <x:c r="K5" s="33" t="n">
        <x:f>SUMIFS('Family Allocation'!$M$5:$M$19,'Family Allocation'!$E$5:$E$19,C5)</x:f>
        <x:v>543.4</x:v>
      </x:c>
      <x:c r="L5" s="32" t="n">
        <x:f>SUMIFS('Family Allocation'!$N$5:$N$19,'Family Allocation'!$E$5:$E$19,C5)</x:f>
        <x:v>145.35</x:v>
      </x:c>
      <x:c r="M5" s="38" t="n">
        <x:f>1-L5/H5</x:f>
        <x:v>0.5635135135135135</x:v>
      </x:c>
      <x:c r="N5" s="30" t="n">
        <x:f>COUNTIFS('Campaign Load'!D5:M5,"&gt;0")</x:f>
        <x:v>10</x:v>
      </x:c>
      <x:c r="O5" s="30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  <x:c r="AA5" s="30"/>
      <x:c r="AB5" s="30"/>
      <x:c r="AC5" s="30"/>
      <x:c r="AD5" s="30"/>
      <x:c r="AE5" s="30"/>
      <x:c r="AF5" s="30"/>
      <x:c r="AG5" s="30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 ht="48" customHeight="1">
      <x:c r="A6" s="1"/>
      <x:c r="B6" s="1"/>
      <x:c r="C6" s="30" t="str">
        <x:v>R2</x:v>
      </x:c>
      <x:c r="D6" s="35" t="str">
        <x:v>Definitive clinical care</x:v>
      </x:c>
      <x:c r="E6" s="35" t="str">
        <x:v>Close acuity-specific episodes in staffed, supplied and governed care, ending in accepted transfer or supported discharge.</x:v>
      </x:c>
      <x:c r="F6" s="35" t="str">
        <x:v>H-MAC,H-THC</x:v>
      </x:c>
      <x:c r="G6" s="32" t="n">
        <x:f>COUNTIFS('Family Allocation'!$E$5:$E$19,C6)</x:f>
        <x:v>2</x:v>
      </x:c>
      <x:c r="H6" s="32" t="n">
        <x:f>SUMIFS('Family Allocation'!$J$5:$J$19,'Family Allocation'!$E$5:$E$19,C6)</x:f>
        <x:v>77</x:v>
      </x:c>
      <x:c r="I6" s="32" t="n">
        <x:f>SUMIFS('Family Allocation'!$K$5:$K$19,'Family Allocation'!$E$5:$E$19,C6)</x:f>
        <x:v>179</x:v>
      </x:c>
      <x:c r="J6" s="32" t="n">
        <x:f>SUMIFS('Family Allocation'!$L$5:$L$19,'Family Allocation'!$E$5:$E$19,C6)</x:f>
        <x:v>431460</x:v>
      </x:c>
      <x:c r="K6" s="33" t="n">
        <x:f>SUMIFS('Family Allocation'!$M$5:$M$19,'Family Allocation'!$E$5:$E$19,C6)</x:f>
        <x:v>382.5</x:v>
      </x:c>
      <x:c r="L6" s="32" t="n">
        <x:f>SUMIFS('Family Allocation'!$N$5:$N$19,'Family Allocation'!$E$5:$E$19,C6)</x:f>
        <x:v>40.95</x:v>
      </x:c>
      <x:c r="M6" s="38" t="n">
        <x:f>1-L6/H6</x:f>
        <x:v>0.46818181818181814</x:v>
      </x:c>
      <x:c r="N6" s="30" t="n">
        <x:f>COUNTIFS('Campaign Load'!D6:M6,"&gt;0")</x:f>
        <x:v>10</x:v>
      </x:c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30"/>
      <x:c r="Z6" s="30"/>
      <x:c r="AA6" s="30"/>
      <x:c r="AB6" s="30"/>
      <x:c r="AC6" s="30"/>
      <x:c r="AD6" s="30"/>
      <x:c r="AE6" s="30"/>
      <x:c r="AF6" s="30"/>
      <x:c r="AG6" s="30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 ht="48" customHeight="1">
      <x:c r="A7" s="1"/>
      <x:c r="B7" s="1"/>
      <x:c r="C7" s="30" t="str">
        <x:v>R3</x:v>
      </x:c>
      <x:c r="D7" s="35" t="str">
        <x:v>Patient regulation and transfer</x:v>
      </x:c>
      <x:c r="E7" s="35" t="str">
        <x:v>Move a patient to accepted care without breaking clinical state, therapy, escort, device, record or custody continuity.</x:v>
      </x:c>
      <x:c r="F7" s="35" t="str">
        <x:v>A-AMG,H-PMG</x:v>
      </x:c>
      <x:c r="G7" s="32" t="n">
        <x:f>COUNTIFS('Family Allocation'!$E$5:$E$19,C7)</x:f>
        <x:v>2</x:v>
      </x:c>
      <x:c r="H7" s="32" t="n">
        <x:f>SUMIFS('Family Allocation'!$J$5:$J$19,'Family Allocation'!$E$5:$E$19,C7)</x:f>
        <x:v>80</x:v>
      </x:c>
      <x:c r="I7" s="32" t="n">
        <x:f>SUMIFS('Family Allocation'!$K$5:$K$19,'Family Allocation'!$E$5:$E$19,C7)</x:f>
        <x:v>186</x:v>
      </x:c>
      <x:c r="J7" s="32" t="n">
        <x:f>SUMIFS('Family Allocation'!$L$5:$L$19,'Family Allocation'!$E$5:$E$19,C7)</x:f>
        <x:v>239220</x:v>
      </x:c>
      <x:c r="K7" s="33" t="n">
        <x:f>SUMIFS('Family Allocation'!$M$5:$M$19,'Family Allocation'!$E$5:$E$19,C7)</x:f>
        <x:v>294</x:v>
      </x:c>
      <x:c r="L7" s="32" t="n">
        <x:f>SUMIFS('Family Allocation'!$N$5:$N$19,'Family Allocation'!$E$5:$E$19,C7)</x:f>
        <x:v>41.55</x:v>
      </x:c>
      <x:c r="M7" s="38" t="n">
        <x:f>1-L7/H7</x:f>
        <x:v>0.4806250000000001</x:v>
      </x:c>
      <x:c r="N7" s="30" t="n">
        <x:f>COUNTIFS('Campaign Load'!D7:M7,"&gt;0")</x:f>
        <x:v>10</x:v>
      </x:c>
      <x:c r="O7" s="30"/>
      <x:c r="P7" s="30"/>
      <x:c r="Q7" s="30"/>
      <x:c r="R7" s="30"/>
      <x:c r="S7" s="30"/>
      <x:c r="T7" s="30"/>
      <x:c r="U7" s="30"/>
      <x:c r="V7" s="30"/>
      <x:c r="W7" s="30"/>
      <x:c r="X7" s="30"/>
      <x:c r="Y7" s="30"/>
      <x:c r="Z7" s="30"/>
      <x:c r="AA7" s="30"/>
      <x:c r="AB7" s="30"/>
      <x:c r="AC7" s="30"/>
      <x:c r="AD7" s="30"/>
      <x:c r="AE7" s="30"/>
      <x:c r="AF7" s="30"/>
      <x:c r="AG7" s="30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 ht="48" customHeight="1">
      <x:c r="A8" s="1"/>
      <x:c r="B8" s="1"/>
      <x:c r="C8" s="30" t="str">
        <x:v>R4</x:v>
      </x:c>
      <x:c r="D8" s="35" t="str">
        <x:v>Household relocation and reception</x:v>
      </x:c>
      <x:c r="E8" s="35" t="str">
        <x:v>Move the household support bundle to an admitted receiver and preserve accessibility, caregivers, devices, entitlements and return.</x:v>
      </x:c>
      <x:c r="F8" s="35" t="str">
        <x:v>C-DTG,CM-CTN,CM-RMG,CM-RLG,CM-AMG,CM-WMG</x:v>
      </x:c>
      <x:c r="G8" s="32" t="n">
        <x:f>COUNTIFS('Family Allocation'!$E$5:$E$19,C8)</x:f>
        <x:v>6</x:v>
      </x:c>
      <x:c r="H8" s="32" t="n">
        <x:f>SUMIFS('Family Allocation'!$J$5:$J$19,'Family Allocation'!$E$5:$E$19,C8)</x:f>
        <x:v>314</x:v>
      </x:c>
      <x:c r="I8" s="32" t="n">
        <x:f>SUMIFS('Family Allocation'!$K$5:$K$19,'Family Allocation'!$E$5:$E$19,C8)</x:f>
        <x:v>702</x:v>
      </x:c>
      <x:c r="J8" s="32" t="n">
        <x:f>SUMIFS('Family Allocation'!$L$5:$L$19,'Family Allocation'!$E$5:$E$19,C8)</x:f>
        <x:v>1445550</x:v>
      </x:c>
      <x:c r="K8" s="33" t="n">
        <x:f>SUMIFS('Family Allocation'!$M$5:$M$19,'Family Allocation'!$E$5:$E$19,C8)</x:f>
        <x:v>1123.7</x:v>
      </x:c>
      <x:c r="L8" s="32" t="n">
        <x:f>SUMIFS('Family Allocation'!$N$5:$N$19,'Family Allocation'!$E$5:$E$19,C8)</x:f>
        <x:v>144.75</x:v>
      </x:c>
      <x:c r="M8" s="38" t="n">
        <x:f>1-L8/H8</x:f>
        <x:v>0.5390127388535032</x:v>
      </x:c>
      <x:c r="N8" s="30" t="n">
        <x:f>COUNTIFS('Campaign Load'!D8:M8,"&gt;0")</x:f>
        <x:v>10</x:v>
      </x:c>
      <x:c r="O8" s="30"/>
      <x:c r="P8" s="30"/>
      <x:c r="Q8" s="30"/>
      <x:c r="R8" s="30"/>
      <x:c r="S8" s="30"/>
      <x:c r="T8" s="30"/>
      <x:c r="U8" s="30"/>
      <x:c r="V8" s="30"/>
      <x:c r="W8" s="30"/>
      <x:c r="X8" s="30"/>
      <x:c r="Y8" s="30"/>
      <x:c r="Z8" s="30"/>
      <x:c r="AA8" s="30"/>
      <x:c r="AB8" s="30"/>
      <x:c r="AC8" s="30"/>
      <x:c r="AD8" s="30"/>
      <x:c r="AE8" s="30"/>
      <x:c r="AF8" s="30"/>
      <x:c r="AG8" s="30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 ht="48" customHeight="1">
      <x:c r="A9" s="1"/>
      <x:c r="B9" s="1"/>
      <x:c r="C9" s="30" t="str">
        <x:v>R5</x:v>
      </x:c>
      <x:c r="D9" s="35" t="str">
        <x:v>Workforce replacement</x:v>
      </x:c>
      <x:c r="E9" s="35" t="str">
        <x:v>Deliver qualified relief, transfer authority and return both incoming and relieved teams to certified readiness.</x:v>
      </x:c>
      <x:c r="F9" s="35" t="str">
        <x:v>H-HWR</x:v>
      </x:c>
      <x:c r="G9" s="32" t="n">
        <x:f>COUNTIFS('Family Allocation'!$E$5:$E$19,C9)</x:f>
        <x:v>1</x:v>
      </x:c>
      <x:c r="H9" s="32" t="n">
        <x:f>SUMIFS('Family Allocation'!$J$5:$J$19,'Family Allocation'!$E$5:$E$19,C9)</x:f>
        <x:v>75</x:v>
      </x:c>
      <x:c r="I9" s="32" t="n">
        <x:f>SUMIFS('Family Allocation'!$K$5:$K$19,'Family Allocation'!$E$5:$E$19,C9)</x:f>
        <x:v>174</x:v>
      </x:c>
      <x:c r="J9" s="32" t="n">
        <x:f>SUMIFS('Family Allocation'!$L$5:$L$19,'Family Allocation'!$E$5:$E$19,C9)</x:f>
        <x:v>325380</x:v>
      </x:c>
      <x:c r="K9" s="33" t="n">
        <x:f>SUMIFS('Family Allocation'!$M$5:$M$19,'Family Allocation'!$E$5:$E$19,C9)</x:f>
        <x:v>139.20000000000002</x:v>
      </x:c>
      <x:c r="L9" s="32" t="n">
        <x:f>SUMIFS('Family Allocation'!$N$5:$N$19,'Family Allocation'!$E$5:$E$19,C9)</x:f>
        <x:v>41.25</x:v>
      </x:c>
      <x:c r="M9" s="38" t="n">
        <x:f>1-L9/H9</x:f>
        <x:v>0.44999999999999996</x:v>
      </x:c>
      <x:c r="N9" s="30" t="n">
        <x:f>COUNTIFS('Campaign Load'!D9:M9,"&gt;0")</x:f>
        <x:v>10</x:v>
      </x:c>
      <x:c r="O9" s="30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  <x:c r="AA9" s="30"/>
      <x:c r="AB9" s="30"/>
      <x:c r="AC9" s="30"/>
      <x:c r="AD9" s="30"/>
      <x:c r="AE9" s="30"/>
      <x:c r="AF9" s="30"/>
      <x:c r="AG9" s="30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>
      <x:c r="A10" s="1"/>
      <x:c r="B10" s="1"/>
      <x:c r="C10" s="34" t="str">
        <x:v>Total</x:v>
      </x:c>
      <x:c r="D10" s="34"/>
      <x:c r="E10" s="34"/>
      <x:c r="F10" s="34"/>
      <x:c r="G10" s="40" t="n">
        <x:f>SUM(G5:G9)</x:f>
        <x:v>15</x:v>
      </x:c>
      <x:c r="H10" s="40" t="n">
        <x:f>SUM(H5:H9)</x:f>
        <x:v>879</x:v>
      </x:c>
      <x:c r="I10" s="40" t="n">
        <x:f>SUM(I5:I9)</x:f>
        <x:v>1944</x:v>
      </x:c>
      <x:c r="J10" s="40" t="n">
        <x:f>SUM(J5:J9)</x:f>
        <x:v>3251860</x:v>
      </x:c>
      <x:c r="K10" s="41" t="n">
        <x:f>SUM(K5:K9)</x:f>
        <x:v>2482.8</x:v>
      </x:c>
      <x:c r="L10" s="40" t="n">
        <x:f>SUM(L5:L9)</x:f>
        <x:v>413.85</x:v>
      </x:c>
      <x:c r="M10" s="42" t="n">
        <x:f>1-L10/H10</x:f>
        <x:v>0.5291808873720136</x:v>
      </x:c>
      <x:c r="N10" s="34" t="n">
        <x:f>SUM(N5:N9)</x:f>
        <x:v>50</x:v>
      </x:c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  <x:c r="AA10" s="30"/>
      <x:c r="AB10" s="30"/>
      <x:c r="AC10" s="30"/>
      <x:c r="AD10" s="30"/>
      <x:c r="AE10" s="30"/>
      <x:c r="AF10" s="30"/>
      <x:c r="AG10" s="30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>
      <x:c r="A11" s="1"/>
      <x:c r="B11" s="1"/>
      <x:c r="C11" s="30"/>
      <x:c r="D11" s="30"/>
      <x:c r="E11" s="30"/>
      <x:c r="F11" s="30"/>
      <x:c r="G11" s="30"/>
      <x:c r="H11" s="30"/>
      <x:c r="I11" s="30"/>
      <x:c r="J11" s="30"/>
      <x:c r="K11" s="30"/>
      <x:c r="L11" s="30"/>
      <x:c r="M11" s="30"/>
      <x:c r="N11" s="30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  <x:c r="AA11" s="30"/>
      <x:c r="AB11" s="30"/>
      <x:c r="AC11" s="30"/>
      <x:c r="AD11" s="30"/>
      <x:c r="AE11" s="30"/>
      <x:c r="AF11" s="30"/>
      <x:c r="AG11" s="30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>
      <x:c r="A12" s="1"/>
      <x:c r="B12" s="1"/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  <x:c r="M12" s="30"/>
      <x:c r="N12" s="30"/>
      <x:c r="O12" s="30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  <x:c r="AA12" s="30"/>
      <x:c r="AB12" s="30"/>
      <x:c r="AC12" s="30"/>
      <x:c r="AD12" s="30"/>
      <x:c r="AE12" s="30"/>
      <x:c r="AF12" s="30"/>
      <x:c r="AG12" s="30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>
      <x:c r="A13" s="1"/>
      <x:c r="B13" s="1"/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  <x:c r="N13" s="30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  <x:c r="AA13" s="30"/>
      <x:c r="AB13" s="30"/>
      <x:c r="AC13" s="30"/>
      <x:c r="AD13" s="30"/>
      <x:c r="AE13" s="30"/>
      <x:c r="AF13" s="30"/>
      <x:c r="AG13" s="30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>
      <x:c r="A14" s="1"/>
      <x:c r="B14" s="1"/>
      <x:c r="C14" s="30"/>
      <x:c r="D14" s="30"/>
      <x:c r="E14" s="30"/>
      <x:c r="F14" s="30"/>
      <x:c r="G14" s="30"/>
      <x:c r="H14" s="30"/>
      <x:c r="I14" s="30"/>
      <x:c r="J14" s="30"/>
      <x:c r="K14" s="30"/>
      <x:c r="L14" s="30"/>
      <x:c r="M14" s="30"/>
      <x:c r="N14" s="30"/>
      <x:c r="O14" s="30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  <x:c r="AA14" s="30"/>
      <x:c r="AB14" s="30"/>
      <x:c r="AC14" s="30"/>
      <x:c r="AD14" s="30"/>
      <x:c r="AE14" s="30"/>
      <x:c r="AF14" s="30"/>
      <x:c r="AG14" s="30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>
      <x:c r="A15" s="1"/>
      <x:c r="B15" s="1"/>
      <x:c r="C15" s="30"/>
      <x:c r="D15" s="30"/>
      <x:c r="E15" s="30"/>
      <x:c r="F15" s="30"/>
      <x:c r="G15" s="30"/>
      <x:c r="H15" s="30"/>
      <x:c r="I15" s="30"/>
      <x:c r="J15" s="30"/>
      <x:c r="K15" s="30"/>
      <x:c r="L15" s="30"/>
      <x:c r="M15" s="30"/>
      <x:c r="N15" s="30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  <x:c r="AA15" s="30"/>
      <x:c r="AB15" s="30"/>
      <x:c r="AC15" s="30"/>
      <x:c r="AD15" s="30"/>
      <x:c r="AE15" s="30"/>
      <x:c r="AF15" s="30"/>
      <x:c r="AG15" s="30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>
      <x:c r="A16" s="1"/>
      <x:c r="B16" s="1"/>
      <x:c r="C16" s="30"/>
      <x:c r="D16" s="30"/>
      <x:c r="E16" s="30"/>
      <x:c r="F16" s="30"/>
      <x:c r="G16" s="30"/>
      <x:c r="H16" s="30"/>
      <x:c r="I16" s="30"/>
      <x:c r="J16" s="30"/>
      <x:c r="K16" s="30"/>
      <x:c r="L16" s="30"/>
      <x:c r="M16" s="30"/>
      <x:c r="N16" s="30"/>
      <x:c r="O16" s="30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  <x:c r="AA16" s="30"/>
      <x:c r="AB16" s="30"/>
      <x:c r="AC16" s="30"/>
      <x:c r="AD16" s="30"/>
      <x:c r="AE16" s="30"/>
      <x:c r="AF16" s="30"/>
      <x:c r="AG16" s="30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>
      <x:c r="A17" s="1"/>
      <x:c r="B17" s="1"/>
      <x:c r="C17" s="30"/>
      <x:c r="D17" s="30"/>
      <x:c r="E17" s="30"/>
      <x:c r="F17" s="30"/>
      <x:c r="G17" s="30"/>
      <x:c r="H17" s="30"/>
      <x:c r="I17" s="30"/>
      <x:c r="J17" s="30"/>
      <x:c r="K17" s="30"/>
      <x:c r="L17" s="30"/>
      <x:c r="M17" s="30"/>
      <x:c r="N17" s="30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  <x:c r="AA17" s="30"/>
      <x:c r="AB17" s="30"/>
      <x:c r="AC17" s="30"/>
      <x:c r="AD17" s="30"/>
      <x:c r="AE17" s="30"/>
      <x:c r="AF17" s="30"/>
      <x:c r="AG17" s="30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>
      <x:c r="A18" s="1"/>
      <x:c r="B18" s="1"/>
      <x:c r="C18" s="30"/>
      <x:c r="D18" s="30"/>
      <x:c r="E18" s="30"/>
      <x:c r="F18" s="30"/>
      <x:c r="G18" s="30"/>
      <x:c r="H18" s="30"/>
      <x:c r="I18" s="30"/>
      <x:c r="J18" s="30"/>
      <x:c r="K18" s="30"/>
      <x:c r="L18" s="30"/>
      <x:c r="M18" s="30"/>
      <x:c r="N18" s="30"/>
      <x:c r="O18" s="30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  <x:c r="AA18" s="30"/>
      <x:c r="AB18" s="30"/>
      <x:c r="AC18" s="30"/>
      <x:c r="AD18" s="30"/>
      <x:c r="AE18" s="30"/>
      <x:c r="AF18" s="30"/>
      <x:c r="AG18" s="30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>
      <x:c r="A19" s="1"/>
      <x:c r="B19" s="1"/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  <x:c r="M19" s="30"/>
      <x:c r="N19" s="30"/>
      <x:c r="O19" s="30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  <x:c r="AA19" s="30"/>
      <x:c r="AB19" s="30"/>
      <x:c r="AC19" s="30"/>
      <x:c r="AD19" s="30"/>
      <x:c r="AE19" s="30"/>
      <x:c r="AF19" s="30"/>
      <x:c r="AG19" s="30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>
      <x:c r="A20" s="1"/>
      <x:c r="B20" s="1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  <x:c r="N20" s="30"/>
      <x:c r="O20" s="30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  <x:c r="AA20" s="30"/>
      <x:c r="AB20" s="30"/>
      <x:c r="AC20" s="30"/>
      <x:c r="AD20" s="30"/>
      <x:c r="AE20" s="30"/>
      <x:c r="AF20" s="30"/>
      <x:c r="AG20" s="30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>
      <x:c r="A21" s="1"/>
      <x:c r="B21" s="1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  <x:c r="AA21" s="30"/>
      <x:c r="AB21" s="30"/>
      <x:c r="AC21" s="30"/>
      <x:c r="AD21" s="30"/>
      <x:c r="AE21" s="30"/>
      <x:c r="AF21" s="30"/>
      <x:c r="AG21" s="30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>
      <x:c r="A22" s="1"/>
      <x:c r="B22" s="1"/>
      <x:c r="C22" s="30"/>
      <x:c r="D22" s="30"/>
      <x:c r="E22" s="30"/>
      <x:c r="F22" s="30"/>
      <x:c r="G22" s="30"/>
      <x:c r="H22" s="30"/>
      <x:c r="I22" s="30"/>
      <x:c r="J22" s="30"/>
      <x:c r="K22" s="30"/>
      <x:c r="L22" s="30"/>
      <x:c r="M22" s="30"/>
      <x:c r="N22" s="30"/>
      <x:c r="O22" s="30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  <x:c r="AA22" s="30"/>
      <x:c r="AB22" s="30"/>
      <x:c r="AC22" s="30"/>
      <x:c r="AD22" s="30"/>
      <x:c r="AE22" s="30"/>
      <x:c r="AF22" s="30"/>
      <x:c r="AG22" s="30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>
      <x:c r="A23" s="1"/>
      <x:c r="B23" s="1"/>
      <x:c r="C23" s="30"/>
      <x:c r="D23" s="30"/>
      <x:c r="E23" s="30"/>
      <x:c r="F23" s="30"/>
      <x:c r="G23" s="30"/>
      <x:c r="H23" s="30"/>
      <x:c r="I23" s="30"/>
      <x:c r="J23" s="30"/>
      <x:c r="K23" s="30"/>
      <x:c r="L23" s="30"/>
      <x:c r="M23" s="30"/>
      <x:c r="N23" s="30"/>
      <x:c r="O23" s="30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  <x:c r="AA23" s="30"/>
      <x:c r="AB23" s="30"/>
      <x:c r="AC23" s="30"/>
      <x:c r="AD23" s="30"/>
      <x:c r="AE23" s="30"/>
      <x:c r="AF23" s="30"/>
      <x:c r="AG23" s="30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>
      <x:c r="A24" s="1"/>
      <x:c r="B24" s="1"/>
      <x:c r="C24" s="30"/>
      <x:c r="D24" s="30"/>
      <x:c r="E24" s="30"/>
      <x:c r="F24" s="30"/>
      <x:c r="G24" s="30"/>
      <x:c r="H24" s="30"/>
      <x:c r="I24" s="30"/>
      <x:c r="J24" s="30"/>
      <x:c r="K24" s="30"/>
      <x:c r="L24" s="30"/>
      <x:c r="M24" s="30"/>
      <x:c r="N24" s="30"/>
      <x:c r="O24" s="30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  <x:c r="AA24" s="30"/>
      <x:c r="AB24" s="30"/>
      <x:c r="AC24" s="30"/>
      <x:c r="AD24" s="30"/>
      <x:c r="AE24" s="30"/>
      <x:c r="AF24" s="30"/>
      <x:c r="AG24" s="30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>
      <x:c r="A25" s="1"/>
      <x:c r="B25" s="1"/>
      <x:c r="C25" s="30"/>
      <x:c r="D25" s="30"/>
      <x:c r="E25" s="30"/>
      <x:c r="F25" s="30"/>
      <x:c r="G25" s="30"/>
      <x:c r="H25" s="30"/>
      <x:c r="I25" s="30"/>
      <x:c r="J25" s="30"/>
      <x:c r="K25" s="30"/>
      <x:c r="L25" s="30"/>
      <x:c r="M25" s="30"/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  <x:c r="AA25" s="30"/>
      <x:c r="AB25" s="30"/>
      <x:c r="AC25" s="30"/>
      <x:c r="AD25" s="30"/>
      <x:c r="AE25" s="30"/>
      <x:c r="AF25" s="30"/>
      <x:c r="AG25" s="30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>
      <x:c r="A26" s="1"/>
      <x:c r="B26" s="1"/>
      <x:c r="C26" s="30"/>
      <x:c r="D26" s="30"/>
      <x:c r="E26" s="30"/>
      <x:c r="F26" s="30"/>
      <x:c r="G26" s="30"/>
      <x:c r="H26" s="30"/>
      <x:c r="I26" s="30"/>
      <x:c r="J26" s="3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  <x:c r="AA26" s="30"/>
      <x:c r="AB26" s="30"/>
      <x:c r="AC26" s="30"/>
      <x:c r="AD26" s="30"/>
      <x:c r="AE26" s="30"/>
      <x:c r="AF26" s="30"/>
      <x:c r="AG26" s="30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>
      <x:c r="A27" s="1"/>
      <x:c r="B27" s="1"/>
      <x:c r="C27" s="30"/>
      <x:c r="D27" s="30"/>
      <x:c r="E27" s="30"/>
      <x:c r="F27" s="30"/>
      <x:c r="G27" s="30"/>
      <x:c r="H27" s="30"/>
      <x:c r="I27" s="30"/>
      <x:c r="J27" s="30"/>
      <x:c r="K27" s="30"/>
      <x:c r="L27" s="30"/>
      <x:c r="M27" s="30"/>
      <x:c r="N27" s="30"/>
      <x:c r="O27" s="30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  <x:c r="AA27" s="30"/>
      <x:c r="AB27" s="30"/>
      <x:c r="AC27" s="30"/>
      <x:c r="AD27" s="30"/>
      <x:c r="AE27" s="30"/>
      <x:c r="AF27" s="30"/>
      <x:c r="AG27" s="30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>
      <x:c r="A28" s="1"/>
      <x:c r="B28" s="1"/>
      <x:c r="C28" s="30"/>
      <x:c r="D28" s="30"/>
      <x:c r="E28" s="30"/>
      <x:c r="F28" s="30"/>
      <x:c r="G28" s="30"/>
      <x:c r="H28" s="30"/>
      <x:c r="I28" s="30"/>
      <x:c r="J28" s="30"/>
      <x:c r="K28" s="30"/>
      <x:c r="L28" s="30"/>
      <x:c r="M28" s="30"/>
      <x:c r="N28" s="30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  <x:c r="AA28" s="30"/>
      <x:c r="AB28" s="30"/>
      <x:c r="AC28" s="30"/>
      <x:c r="AD28" s="30"/>
      <x:c r="AE28" s="30"/>
      <x:c r="AF28" s="30"/>
      <x:c r="AG28" s="30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>
      <x:c r="A29" s="1"/>
      <x:c r="B29" s="1"/>
      <x:c r="C29" s="30"/>
      <x:c r="D29" s="30"/>
      <x:c r="E29" s="30"/>
      <x:c r="F29" s="30"/>
      <x:c r="G29" s="30"/>
      <x:c r="H29" s="30"/>
      <x:c r="I29" s="30"/>
      <x:c r="J29" s="30"/>
      <x:c r="K29" s="30"/>
      <x:c r="L29" s="30"/>
      <x:c r="M29" s="30"/>
      <x:c r="N29" s="30"/>
      <x:c r="O29" s="30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  <x:c r="AA29" s="30"/>
      <x:c r="AB29" s="30"/>
      <x:c r="AC29" s="30"/>
      <x:c r="AD29" s="30"/>
      <x:c r="AE29" s="30"/>
      <x:c r="AF29" s="30"/>
      <x:c r="AG29" s="30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>
      <x:c r="A30" s="1"/>
      <x:c r="B30" s="1"/>
      <x:c r="C30" s="30"/>
      <x:c r="D30" s="30"/>
      <x:c r="E30" s="30"/>
      <x:c r="F30" s="30"/>
      <x:c r="G30" s="30"/>
      <x:c r="H30" s="30"/>
      <x:c r="I30" s="30"/>
      <x:c r="J30" s="30"/>
      <x:c r="K30" s="30"/>
      <x:c r="L30" s="30"/>
      <x:c r="M30" s="30"/>
      <x:c r="N30" s="30"/>
      <x:c r="O30" s="30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  <x:c r="AA30" s="30"/>
      <x:c r="AB30" s="30"/>
      <x:c r="AC30" s="30"/>
      <x:c r="AD30" s="30"/>
      <x:c r="AE30" s="30"/>
      <x:c r="AF30" s="30"/>
      <x:c r="AG30" s="30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>
      <x:c r="A31" s="1"/>
      <x:c r="B31" s="1"/>
      <x:c r="C31" s="30"/>
      <x:c r="D31" s="30"/>
      <x:c r="E31" s="30"/>
      <x:c r="F31" s="30"/>
      <x:c r="G31" s="30"/>
      <x:c r="H31" s="30"/>
      <x:c r="I31" s="30"/>
      <x:c r="J31" s="30"/>
      <x:c r="K31" s="30"/>
      <x:c r="L31" s="30"/>
      <x:c r="M31" s="30"/>
      <x:c r="N31" s="30"/>
      <x:c r="O31" s="30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  <x:c r="AA31" s="30"/>
      <x:c r="AB31" s="30"/>
      <x:c r="AC31" s="30"/>
      <x:c r="AD31" s="30"/>
      <x:c r="AE31" s="30"/>
      <x:c r="AF31" s="30"/>
      <x:c r="AG31" s="30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>
      <x:c r="A32" s="1"/>
      <x:c r="B32" s="1"/>
      <x:c r="C32" s="30"/>
      <x:c r="D32" s="30"/>
      <x:c r="E32" s="30"/>
      <x:c r="F32" s="30"/>
      <x:c r="G32" s="30"/>
      <x:c r="H32" s="30"/>
      <x:c r="I32" s="30"/>
      <x:c r="J32" s="30"/>
      <x:c r="K32" s="30"/>
      <x:c r="L32" s="30"/>
      <x:c r="M32" s="30"/>
      <x:c r="N32" s="30"/>
      <x:c r="O32" s="30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  <x:c r="AA32" s="30"/>
      <x:c r="AB32" s="30"/>
      <x:c r="AC32" s="30"/>
      <x:c r="AD32" s="30"/>
      <x:c r="AE32" s="30"/>
      <x:c r="AF32" s="30"/>
      <x:c r="AG32" s="30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>
      <x:c r="A33" s="1"/>
      <x:c r="B33" s="1"/>
      <x:c r="C33" s="30"/>
      <x:c r="D33" s="30"/>
      <x:c r="E33" s="30"/>
      <x:c r="F33" s="30"/>
      <x:c r="G33" s="30"/>
      <x:c r="H33" s="30"/>
      <x:c r="I33" s="30"/>
      <x:c r="J33" s="30"/>
      <x:c r="K33" s="30"/>
      <x:c r="L33" s="30"/>
      <x:c r="M33" s="30"/>
      <x:c r="N33" s="30"/>
      <x:c r="O33" s="30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  <x:c r="AA33" s="30"/>
      <x:c r="AB33" s="30"/>
      <x:c r="AC33" s="30"/>
      <x:c r="AD33" s="30"/>
      <x:c r="AE33" s="30"/>
      <x:c r="AF33" s="30"/>
      <x:c r="AG33" s="30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>
      <x:c r="A34" s="1"/>
      <x:c r="B34" s="1"/>
      <x:c r="C34" s="30"/>
      <x:c r="D34" s="30"/>
      <x:c r="E34" s="30"/>
      <x:c r="F34" s="30"/>
      <x:c r="G34" s="30"/>
      <x:c r="H34" s="30"/>
      <x:c r="I34" s="30"/>
      <x:c r="J34" s="30"/>
      <x:c r="K34" s="30"/>
      <x:c r="L34" s="30"/>
      <x:c r="M34" s="30"/>
      <x:c r="N34" s="30"/>
      <x:c r="O34" s="30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  <x:c r="AA34" s="30"/>
      <x:c r="AB34" s="30"/>
      <x:c r="AC34" s="30"/>
      <x:c r="AD34" s="30"/>
      <x:c r="AE34" s="30"/>
      <x:c r="AF34" s="30"/>
      <x:c r="AG34" s="30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>
      <x:c r="A35" s="1"/>
      <x:c r="B35" s="1"/>
      <x:c r="C35" s="30"/>
      <x:c r="D35" s="30"/>
      <x:c r="E35" s="30"/>
      <x:c r="F35" s="30"/>
      <x:c r="G35" s="30"/>
      <x:c r="H35" s="30"/>
      <x:c r="I35" s="30"/>
      <x:c r="J35" s="30"/>
      <x:c r="K35" s="30"/>
      <x:c r="L35" s="30"/>
      <x:c r="M35" s="30"/>
      <x:c r="N35" s="30"/>
      <x:c r="O35" s="30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  <x:c r="AA35" s="30"/>
      <x:c r="AB35" s="30"/>
      <x:c r="AC35" s="30"/>
      <x:c r="AD35" s="30"/>
      <x:c r="AE35" s="30"/>
      <x:c r="AF35" s="30"/>
      <x:c r="AG35" s="30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>
      <x:c r="A36" s="1"/>
      <x:c r="B36" s="1"/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  <x:c r="M36" s="30"/>
      <x:c r="N36" s="30"/>
      <x:c r="O36" s="30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  <x:c r="AA36" s="30"/>
      <x:c r="AB36" s="30"/>
      <x:c r="AC36" s="30"/>
      <x:c r="AD36" s="30"/>
      <x:c r="AE36" s="30"/>
      <x:c r="AF36" s="30"/>
      <x:c r="AG36" s="30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>
      <x:c r="A37" s="1"/>
      <x:c r="B37" s="1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  <x:c r="O37" s="30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  <x:c r="AA37" s="30"/>
      <x:c r="AB37" s="30"/>
      <x:c r="AC37" s="30"/>
      <x:c r="AD37" s="30"/>
      <x:c r="AE37" s="30"/>
      <x:c r="AF37" s="30"/>
      <x:c r="AG37" s="30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>
      <x:c r="A38" s="1"/>
      <x:c r="B38" s="1"/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  <x:c r="O38" s="30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  <x:c r="AA38" s="30"/>
      <x:c r="AB38" s="30"/>
      <x:c r="AC38" s="30"/>
      <x:c r="AD38" s="30"/>
      <x:c r="AE38" s="30"/>
      <x:c r="AF38" s="30"/>
      <x:c r="AG38" s="30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>
      <x:c r="A39" s="1"/>
      <x:c r="B39" s="1"/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  <x:c r="O39" s="30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  <x:c r="AA39" s="30"/>
      <x:c r="AB39" s="30"/>
      <x:c r="AC39" s="30"/>
      <x:c r="AD39" s="30"/>
      <x:c r="AE39" s="30"/>
      <x:c r="AF39" s="30"/>
      <x:c r="AG39" s="30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>
      <x:c r="A40" s="1"/>
      <x:c r="B40" s="1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  <x:c r="M40" s="30"/>
      <x:c r="N40" s="30"/>
      <x:c r="O40" s="30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  <x:c r="AA40" s="30"/>
      <x:c r="AB40" s="30"/>
      <x:c r="AC40" s="30"/>
      <x:c r="AD40" s="30"/>
      <x:c r="AE40" s="30"/>
      <x:c r="AF40" s="30"/>
      <x:c r="AG40" s="30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>
      <x:c r="A41" s="1"/>
      <x:c r="B41" s="1"/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  <x:c r="AA41" s="30"/>
      <x:c r="AB41" s="30"/>
      <x:c r="AC41" s="30"/>
      <x:c r="AD41" s="30"/>
      <x:c r="AE41" s="30"/>
      <x:c r="AF41" s="30"/>
      <x:c r="AG41" s="30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>
      <x:c r="A42" s="1"/>
      <x:c r="B42" s="1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  <x:c r="AA42" s="30"/>
      <x:c r="AB42" s="30"/>
      <x:c r="AC42" s="30"/>
      <x:c r="AD42" s="30"/>
      <x:c r="AE42" s="30"/>
      <x:c r="AF42" s="30"/>
      <x:c r="AG42" s="30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>
      <x:c r="A43" s="1"/>
      <x:c r="B43" s="1"/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  <x:c r="AA43" s="30"/>
      <x:c r="AB43" s="30"/>
      <x:c r="AC43" s="30"/>
      <x:c r="AD43" s="30"/>
      <x:c r="AE43" s="30"/>
      <x:c r="AF43" s="30"/>
      <x:c r="AG43" s="30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>
      <x:c r="A44" s="1"/>
      <x:c r="B44" s="1"/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  <x:c r="M44" s="30"/>
      <x:c r="N44" s="30"/>
      <x:c r="O44" s="30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  <x:c r="AA44" s="30"/>
      <x:c r="AB44" s="30"/>
      <x:c r="AC44" s="30"/>
      <x:c r="AD44" s="30"/>
      <x:c r="AE44" s="30"/>
      <x:c r="AF44" s="30"/>
      <x:c r="AG44" s="30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>
      <x:c r="A45" s="1"/>
      <x:c r="B45" s="1"/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  <x:c r="AA45" s="30"/>
      <x:c r="AB45" s="30"/>
      <x:c r="AC45" s="30"/>
      <x:c r="AD45" s="30"/>
      <x:c r="AE45" s="30"/>
      <x:c r="AF45" s="30"/>
      <x:c r="AG45" s="30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>
      <x:c r="A46" s="1"/>
      <x:c r="B46" s="1"/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  <x:c r="M46" s="30"/>
      <x:c r="N46" s="30"/>
      <x:c r="O46" s="30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  <x:c r="AA46" s="30"/>
      <x:c r="AB46" s="30"/>
      <x:c r="AC46" s="30"/>
      <x:c r="AD46" s="30"/>
      <x:c r="AE46" s="30"/>
      <x:c r="AF46" s="30"/>
      <x:c r="AG46" s="30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>
      <x:c r="A47" s="1"/>
      <x:c r="B47" s="1"/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  <x:c r="O47" s="30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  <x:c r="AA47" s="30"/>
      <x:c r="AB47" s="30"/>
      <x:c r="AC47" s="30"/>
      <x:c r="AD47" s="30"/>
      <x:c r="AE47" s="30"/>
      <x:c r="AF47" s="30"/>
      <x:c r="AG47" s="30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>
      <x:c r="A48" s="1"/>
      <x:c r="B48" s="1"/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  <x:c r="M48" s="30"/>
      <x:c r="N48" s="30"/>
      <x:c r="O48" s="30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  <x:c r="AA48" s="30"/>
      <x:c r="AB48" s="30"/>
      <x:c r="AC48" s="30"/>
      <x:c r="AD48" s="30"/>
      <x:c r="AE48" s="30"/>
      <x:c r="AF48" s="30"/>
      <x:c r="AG48" s="30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>
      <x:c r="A49" s="1"/>
      <x:c r="B49" s="1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0"/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  <x:c r="AA49" s="30"/>
      <x:c r="AB49" s="30"/>
      <x:c r="AC49" s="30"/>
      <x:c r="AD49" s="30"/>
      <x:c r="AE49" s="30"/>
      <x:c r="AF49" s="30"/>
      <x:c r="AG49" s="30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>
      <x:c r="A50" s="1"/>
      <x:c r="B50" s="1"/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  <x:c r="O50" s="30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  <x:c r="AA50" s="30"/>
      <x:c r="AB50" s="30"/>
      <x:c r="AC50" s="30"/>
      <x:c r="AD50" s="30"/>
      <x:c r="AE50" s="30"/>
      <x:c r="AF50" s="30"/>
      <x:c r="AG50" s="30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>
      <x:c r="A51" s="1"/>
      <x:c r="B51" s="1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  <x:c r="O51" s="30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  <x:c r="AA51" s="30"/>
      <x:c r="AB51" s="30"/>
      <x:c r="AC51" s="30"/>
      <x:c r="AD51" s="30"/>
      <x:c r="AE51" s="30"/>
      <x:c r="AF51" s="30"/>
      <x:c r="AG51" s="30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>
      <x:c r="A52" s="1"/>
      <x:c r="B52" s="1"/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  <x:c r="M52" s="30"/>
      <x:c r="N52" s="30"/>
      <x:c r="O52" s="30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  <x:c r="AA52" s="30"/>
      <x:c r="AB52" s="30"/>
      <x:c r="AC52" s="30"/>
      <x:c r="AD52" s="30"/>
      <x:c r="AE52" s="30"/>
      <x:c r="AF52" s="30"/>
      <x:c r="AG52" s="30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>
      <x:c r="A53" s="1"/>
      <x:c r="B53" s="1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  <x:c r="O53" s="30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  <x:c r="AA53" s="30"/>
      <x:c r="AB53" s="30"/>
      <x:c r="AC53" s="30"/>
      <x:c r="AD53" s="30"/>
      <x:c r="AE53" s="30"/>
      <x:c r="AF53" s="30"/>
      <x:c r="AG53" s="30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>
      <x:c r="A54" s="1"/>
      <x:c r="B54" s="1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  <x:c r="AA54" s="30"/>
      <x:c r="AB54" s="30"/>
      <x:c r="AC54" s="30"/>
      <x:c r="AD54" s="30"/>
      <x:c r="AE54" s="30"/>
      <x:c r="AF54" s="30"/>
      <x:c r="AG54" s="30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>
      <x:c r="A55" s="1"/>
      <x:c r="B55" s="1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  <x:c r="AA55" s="30"/>
      <x:c r="AB55" s="30"/>
      <x:c r="AC55" s="30"/>
      <x:c r="AD55" s="30"/>
      <x:c r="AE55" s="30"/>
      <x:c r="AF55" s="30"/>
      <x:c r="AG55" s="30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>
      <x:c r="A56" s="1"/>
      <x:c r="B56" s="1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  <x:c r="AA56" s="30"/>
      <x:c r="AB56" s="30"/>
      <x:c r="AC56" s="30"/>
      <x:c r="AD56" s="30"/>
      <x:c r="AE56" s="30"/>
      <x:c r="AF56" s="30"/>
      <x:c r="AG56" s="30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>
      <x:c r="A57" s="1"/>
      <x:c r="B57" s="1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  <x:c r="AA57" s="30"/>
      <x:c r="AB57" s="30"/>
      <x:c r="AC57" s="30"/>
      <x:c r="AD57" s="30"/>
      <x:c r="AE57" s="30"/>
      <x:c r="AF57" s="30"/>
      <x:c r="AG57" s="30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>
      <x:c r="A58" s="1"/>
      <x:c r="B58" s="1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0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  <x:c r="AA58" s="30"/>
      <x:c r="AB58" s="30"/>
      <x:c r="AC58" s="30"/>
      <x:c r="AD58" s="30"/>
      <x:c r="AE58" s="30"/>
      <x:c r="AF58" s="30"/>
      <x:c r="AG58" s="30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>
      <x:c r="A59" s="1"/>
      <x:c r="B59" s="1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  <x:c r="M59" s="30"/>
      <x:c r="N59" s="30"/>
      <x:c r="O59" s="30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  <x:c r="AA59" s="30"/>
      <x:c r="AB59" s="30"/>
      <x:c r="AC59" s="30"/>
      <x:c r="AD59" s="30"/>
      <x:c r="AE59" s="30"/>
      <x:c r="AF59" s="30"/>
      <x:c r="AG59" s="30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>
      <x:c r="A60" s="1"/>
      <x:c r="B60" s="1"/>
      <x:c r="C60" s="30"/>
      <x:c r="D60" s="30"/>
      <x:c r="E60" s="30"/>
      <x:c r="F60" s="30"/>
      <x:c r="G60" s="30"/>
      <x:c r="H60" s="30"/>
      <x:c r="I60" s="30"/>
      <x:c r="J60" s="30"/>
      <x:c r="K60" s="30"/>
      <x:c r="L60" s="30"/>
      <x:c r="M60" s="30"/>
      <x:c r="N60" s="30"/>
      <x:c r="O60" s="30"/>
      <x:c r="P60" s="30"/>
      <x:c r="Q60" s="30"/>
      <x:c r="R60" s="30"/>
      <x:c r="S60" s="30"/>
      <x:c r="T60" s="30"/>
      <x:c r="U60" s="30"/>
      <x:c r="V60" s="30"/>
      <x:c r="W60" s="30"/>
      <x:c r="X60" s="30"/>
      <x:c r="Y60" s="30"/>
      <x:c r="Z60" s="30"/>
      <x:c r="AA60" s="30"/>
      <x:c r="AB60" s="30"/>
      <x:c r="AC60" s="30"/>
      <x:c r="AD60" s="30"/>
      <x:c r="AE60" s="30"/>
      <x:c r="AF60" s="30"/>
      <x:c r="AG60" s="30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>
      <x:c r="A61" s="1"/>
      <x:c r="B61" s="1"/>
      <x:c r="C61" s="30"/>
      <x:c r="D61" s="30"/>
      <x:c r="E61" s="30"/>
      <x:c r="F61" s="30"/>
      <x:c r="G61" s="30"/>
      <x:c r="H61" s="30"/>
      <x:c r="I61" s="30"/>
      <x:c r="J61" s="30"/>
      <x:c r="K61" s="30"/>
      <x:c r="L61" s="30"/>
      <x:c r="M61" s="30"/>
      <x:c r="N61" s="30"/>
      <x:c r="O61" s="30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  <x:c r="AA61" s="30"/>
      <x:c r="AB61" s="30"/>
      <x:c r="AC61" s="30"/>
      <x:c r="AD61" s="30"/>
      <x:c r="AE61" s="30"/>
      <x:c r="AF61" s="30"/>
      <x:c r="AG61" s="30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>
      <x:c r="A62" s="1"/>
      <x:c r="B62" s="1"/>
      <x:c r="C62" s="30"/>
      <x:c r="D62" s="30"/>
      <x:c r="E62" s="30"/>
      <x:c r="F62" s="30"/>
      <x:c r="G62" s="30"/>
      <x:c r="H62" s="30"/>
      <x:c r="I62" s="30"/>
      <x:c r="J62" s="30"/>
      <x:c r="K62" s="30"/>
      <x:c r="L62" s="30"/>
      <x:c r="M62" s="30"/>
      <x:c r="N62" s="30"/>
      <x:c r="O62" s="30"/>
      <x:c r="P62" s="30"/>
      <x:c r="Q62" s="30"/>
      <x:c r="R62" s="30"/>
      <x:c r="S62" s="30"/>
      <x:c r="T62" s="30"/>
      <x:c r="U62" s="30"/>
      <x:c r="V62" s="30"/>
      <x:c r="W62" s="30"/>
      <x:c r="X62" s="30"/>
      <x:c r="Y62" s="30"/>
      <x:c r="Z62" s="30"/>
      <x:c r="AA62" s="30"/>
      <x:c r="AB62" s="30"/>
      <x:c r="AC62" s="30"/>
      <x:c r="AD62" s="30"/>
      <x:c r="AE62" s="30"/>
      <x:c r="AF62" s="30"/>
      <x:c r="AG62" s="30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>
      <x:c r="A63" s="1"/>
      <x:c r="B63" s="1"/>
      <x:c r="C63" s="30"/>
      <x:c r="D63" s="30"/>
      <x:c r="E63" s="30"/>
      <x:c r="F63" s="30"/>
      <x:c r="G63" s="30"/>
      <x:c r="H63" s="30"/>
      <x:c r="I63" s="30"/>
      <x:c r="J63" s="30"/>
      <x:c r="K63" s="30"/>
      <x:c r="L63" s="30"/>
      <x:c r="M63" s="30"/>
      <x:c r="N63" s="30"/>
      <x:c r="O63" s="30"/>
      <x:c r="P63" s="30"/>
      <x:c r="Q63" s="30"/>
      <x:c r="R63" s="30"/>
      <x:c r="S63" s="30"/>
      <x:c r="T63" s="30"/>
      <x:c r="U63" s="30"/>
      <x:c r="V63" s="30"/>
      <x:c r="W63" s="30"/>
      <x:c r="X63" s="30"/>
      <x:c r="Y63" s="30"/>
      <x:c r="Z63" s="30"/>
      <x:c r="AA63" s="30"/>
      <x:c r="AB63" s="30"/>
      <x:c r="AC63" s="30"/>
      <x:c r="AD63" s="30"/>
      <x:c r="AE63" s="30"/>
      <x:c r="AF63" s="30"/>
      <x:c r="AG63" s="30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>
      <x:c r="A64" s="1"/>
      <x:c r="B64" s="1"/>
      <x:c r="C64" s="30"/>
      <x:c r="D64" s="30"/>
      <x:c r="E64" s="30"/>
      <x:c r="F64" s="30"/>
      <x:c r="G64" s="30"/>
      <x:c r="H64" s="30"/>
      <x:c r="I64" s="30"/>
      <x:c r="J64" s="30"/>
      <x:c r="K64" s="30"/>
      <x:c r="L64" s="30"/>
      <x:c r="M64" s="30"/>
      <x:c r="N64" s="30"/>
      <x:c r="O64" s="30"/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30"/>
      <x:c r="AA64" s="30"/>
      <x:c r="AB64" s="30"/>
      <x:c r="AC64" s="30"/>
      <x:c r="AD64" s="30"/>
      <x:c r="AE64" s="30"/>
      <x:c r="AF64" s="30"/>
      <x:c r="AG64" s="30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>
      <x:c r="A65" s="1"/>
      <x:c r="B65" s="1"/>
      <x:c r="C65" s="30"/>
      <x:c r="D65" s="30"/>
      <x:c r="E65" s="30"/>
      <x:c r="F65" s="30"/>
      <x:c r="G65" s="30"/>
      <x:c r="H65" s="30"/>
      <x:c r="I65" s="30"/>
      <x:c r="J65" s="30"/>
      <x:c r="K65" s="30"/>
      <x:c r="L65" s="30"/>
      <x:c r="M65" s="30"/>
      <x:c r="N65" s="30"/>
      <x:c r="O65" s="30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  <x:c r="AA65" s="30"/>
      <x:c r="AB65" s="30"/>
      <x:c r="AC65" s="30"/>
      <x:c r="AD65" s="30"/>
      <x:c r="AE65" s="30"/>
      <x:c r="AF65" s="30"/>
      <x:c r="AG65" s="30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>
      <x:c r="A66" s="1"/>
      <x:c r="B66" s="1"/>
      <x:c r="C66" s="30"/>
      <x:c r="D66" s="30"/>
      <x:c r="E66" s="30"/>
      <x:c r="F66" s="30"/>
      <x:c r="G66" s="30"/>
      <x:c r="H66" s="30"/>
      <x:c r="I66" s="30"/>
      <x:c r="J66" s="30"/>
      <x:c r="K66" s="30"/>
      <x:c r="L66" s="30"/>
      <x:c r="M66" s="30"/>
      <x:c r="N66" s="30"/>
      <x:c r="O66" s="30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  <x:c r="AA66" s="30"/>
      <x:c r="AB66" s="30"/>
      <x:c r="AC66" s="30"/>
      <x:c r="AD66" s="30"/>
      <x:c r="AE66" s="30"/>
      <x:c r="AF66" s="30"/>
      <x:c r="AG66" s="30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>
      <x:c r="A67" s="1"/>
      <x:c r="B67" s="1"/>
      <x:c r="C67" s="30"/>
      <x:c r="D67" s="30"/>
      <x:c r="E67" s="30"/>
      <x:c r="F67" s="30"/>
      <x:c r="G67" s="30"/>
      <x:c r="H67" s="30"/>
      <x:c r="I67" s="30"/>
      <x:c r="J67" s="30"/>
      <x:c r="K67" s="30"/>
      <x:c r="L67" s="30"/>
      <x:c r="M67" s="30"/>
      <x:c r="N67" s="30"/>
      <x:c r="O67" s="30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  <x:c r="AA67" s="30"/>
      <x:c r="AB67" s="30"/>
      <x:c r="AC67" s="30"/>
      <x:c r="AD67" s="30"/>
      <x:c r="AE67" s="30"/>
      <x:c r="AF67" s="30"/>
      <x:c r="AG67" s="30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>
      <x:c r="A68" s="1"/>
      <x:c r="B68" s="1"/>
      <x:c r="C68" s="30"/>
      <x:c r="D68" s="30"/>
      <x:c r="E68" s="30"/>
      <x:c r="F68" s="30"/>
      <x:c r="G68" s="30"/>
      <x:c r="H68" s="30"/>
      <x:c r="I68" s="30"/>
      <x:c r="J68" s="30"/>
      <x:c r="K68" s="30"/>
      <x:c r="L68" s="30"/>
      <x:c r="M68" s="30"/>
      <x:c r="N68" s="30"/>
      <x:c r="O68" s="30"/>
      <x:c r="P68" s="30"/>
      <x:c r="Q68" s="30"/>
      <x:c r="R68" s="30"/>
      <x:c r="S68" s="30"/>
      <x:c r="T68" s="30"/>
      <x:c r="U68" s="30"/>
      <x:c r="V68" s="30"/>
      <x:c r="W68" s="30"/>
      <x:c r="X68" s="30"/>
      <x:c r="Y68" s="30"/>
      <x:c r="Z68" s="30"/>
      <x:c r="AA68" s="30"/>
      <x:c r="AB68" s="30"/>
      <x:c r="AC68" s="30"/>
      <x:c r="AD68" s="30"/>
      <x:c r="AE68" s="30"/>
      <x:c r="AF68" s="30"/>
      <x:c r="AG68" s="30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>
      <x:c r="A69" s="1"/>
      <x:c r="B69" s="1"/>
      <x:c r="C69" s="30"/>
      <x:c r="D69" s="30"/>
      <x:c r="E69" s="30"/>
      <x:c r="F69" s="30"/>
      <x:c r="G69" s="30"/>
      <x:c r="H69" s="30"/>
      <x:c r="I69" s="30"/>
      <x:c r="J69" s="30"/>
      <x:c r="K69" s="30"/>
      <x:c r="L69" s="30"/>
      <x:c r="M69" s="30"/>
      <x:c r="N69" s="30"/>
      <x:c r="O69" s="30"/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30"/>
      <x:c r="AA69" s="30"/>
      <x:c r="AB69" s="30"/>
      <x:c r="AC69" s="30"/>
      <x:c r="AD69" s="30"/>
      <x:c r="AE69" s="30"/>
      <x:c r="AF69" s="30"/>
      <x:c r="AG69" s="30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>
      <x:c r="A70" s="1"/>
      <x:c r="B70" s="1"/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  <x:c r="M70" s="30"/>
      <x:c r="N70" s="30"/>
      <x:c r="O70" s="30"/>
      <x:c r="P70" s="30"/>
      <x:c r="Q70" s="30"/>
      <x:c r="R70" s="30"/>
      <x:c r="S70" s="30"/>
      <x:c r="T70" s="30"/>
      <x:c r="U70" s="30"/>
      <x:c r="V70" s="30"/>
      <x:c r="W70" s="30"/>
      <x:c r="X70" s="30"/>
      <x:c r="Y70" s="30"/>
      <x:c r="Z70" s="30"/>
      <x:c r="AA70" s="30"/>
      <x:c r="AB70" s="30"/>
      <x:c r="AC70" s="30"/>
      <x:c r="AD70" s="30"/>
      <x:c r="AE70" s="30"/>
      <x:c r="AF70" s="30"/>
      <x:c r="AG70" s="30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>
      <x:c r="A71" s="1"/>
      <x:c r="B71" s="1"/>
      <x:c r="C71" s="30"/>
      <x:c r="D71" s="30"/>
      <x:c r="E71" s="30"/>
      <x:c r="F71" s="30"/>
      <x:c r="G71" s="30"/>
      <x:c r="H71" s="30"/>
      <x:c r="I71" s="30"/>
      <x:c r="J71" s="30"/>
      <x:c r="K71" s="30"/>
      <x:c r="L71" s="30"/>
      <x:c r="M71" s="30"/>
      <x:c r="N71" s="30"/>
      <x:c r="O71" s="30"/>
      <x:c r="P71" s="30"/>
      <x:c r="Q71" s="30"/>
      <x:c r="R71" s="30"/>
      <x:c r="S71" s="30"/>
      <x:c r="T71" s="30"/>
      <x:c r="U71" s="30"/>
      <x:c r="V71" s="30"/>
      <x:c r="W71" s="30"/>
      <x:c r="X71" s="30"/>
      <x:c r="Y71" s="30"/>
      <x:c r="Z71" s="30"/>
      <x:c r="AA71" s="30"/>
      <x:c r="AB71" s="30"/>
      <x:c r="AC71" s="30"/>
      <x:c r="AD71" s="30"/>
      <x:c r="AE71" s="30"/>
      <x:c r="AF71" s="30"/>
      <x:c r="AG71" s="30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>
      <x:c r="A72" s="1"/>
      <x:c r="B72" s="1"/>
      <x:c r="C72" s="30"/>
      <x:c r="D72" s="30"/>
      <x:c r="E72" s="30"/>
      <x:c r="F72" s="30"/>
      <x:c r="G72" s="30"/>
      <x:c r="H72" s="30"/>
      <x:c r="I72" s="30"/>
      <x:c r="J72" s="30"/>
      <x:c r="K72" s="30"/>
      <x:c r="L72" s="30"/>
      <x:c r="M72" s="30"/>
      <x:c r="N72" s="30"/>
      <x:c r="O72" s="30"/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30"/>
      <x:c r="AA72" s="30"/>
      <x:c r="AB72" s="30"/>
      <x:c r="AC72" s="30"/>
      <x:c r="AD72" s="30"/>
      <x:c r="AE72" s="30"/>
      <x:c r="AF72" s="30"/>
      <x:c r="AG72" s="30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>
      <x:c r="A73" s="1"/>
      <x:c r="B73" s="1"/>
      <x:c r="C73" s="30"/>
      <x:c r="D73" s="30"/>
      <x:c r="E73" s="30"/>
      <x:c r="F73" s="30"/>
      <x:c r="G73" s="30"/>
      <x:c r="H73" s="30"/>
      <x:c r="I73" s="30"/>
      <x:c r="J73" s="30"/>
      <x:c r="K73" s="30"/>
      <x:c r="L73" s="30"/>
      <x:c r="M73" s="30"/>
      <x:c r="N73" s="30"/>
      <x:c r="O73" s="30"/>
      <x:c r="P73" s="30"/>
      <x:c r="Q73" s="30"/>
      <x:c r="R73" s="30"/>
      <x:c r="S73" s="30"/>
      <x:c r="T73" s="30"/>
      <x:c r="U73" s="30"/>
      <x:c r="V73" s="30"/>
      <x:c r="W73" s="30"/>
      <x:c r="X73" s="30"/>
      <x:c r="Y73" s="30"/>
      <x:c r="Z73" s="30"/>
      <x:c r="AA73" s="30"/>
      <x:c r="AB73" s="30"/>
      <x:c r="AC73" s="30"/>
      <x:c r="AD73" s="30"/>
      <x:c r="AE73" s="30"/>
      <x:c r="AF73" s="30"/>
      <x:c r="AG73" s="30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>
      <x:c r="A74" s="1"/>
      <x:c r="B74" s="1"/>
      <x:c r="C74" s="30"/>
      <x:c r="D74" s="30"/>
      <x:c r="E74" s="30"/>
      <x:c r="F74" s="30"/>
      <x:c r="G74" s="30"/>
      <x:c r="H74" s="30"/>
      <x:c r="I74" s="30"/>
      <x:c r="J74" s="30"/>
      <x:c r="K74" s="30"/>
      <x:c r="L74" s="30"/>
      <x:c r="M74" s="30"/>
      <x:c r="N74" s="30"/>
      <x:c r="O74" s="30"/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30"/>
      <x:c r="AA74" s="30"/>
      <x:c r="AB74" s="30"/>
      <x:c r="AC74" s="30"/>
      <x:c r="AD74" s="30"/>
      <x:c r="AE74" s="30"/>
      <x:c r="AF74" s="30"/>
      <x:c r="AG74" s="30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>
      <x:c r="A75" s="1"/>
      <x:c r="B75" s="1"/>
      <x:c r="C75" s="30"/>
      <x:c r="D75" s="30"/>
      <x:c r="E75" s="30"/>
      <x:c r="F75" s="30"/>
      <x:c r="G75" s="30"/>
      <x:c r="H75" s="30"/>
      <x:c r="I75" s="30"/>
      <x:c r="J75" s="30"/>
      <x:c r="K75" s="30"/>
      <x:c r="L75" s="30"/>
      <x:c r="M75" s="30"/>
      <x:c r="N75" s="30"/>
      <x:c r="O75" s="30"/>
      <x:c r="P75" s="30"/>
      <x:c r="Q75" s="30"/>
      <x:c r="R75" s="30"/>
      <x:c r="S75" s="30"/>
      <x:c r="T75" s="30"/>
      <x:c r="U75" s="30"/>
      <x:c r="V75" s="30"/>
      <x:c r="W75" s="30"/>
      <x:c r="X75" s="30"/>
      <x:c r="Y75" s="30"/>
      <x:c r="Z75" s="30"/>
      <x:c r="AA75" s="30"/>
      <x:c r="AB75" s="30"/>
      <x:c r="AC75" s="30"/>
      <x:c r="AD75" s="30"/>
      <x:c r="AE75" s="30"/>
      <x:c r="AF75" s="30"/>
      <x:c r="AG75" s="30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>
      <x:c r="A76" s="1"/>
      <x:c r="B76" s="1"/>
      <x:c r="C76" s="30"/>
      <x:c r="D76" s="30"/>
      <x:c r="E76" s="30"/>
      <x:c r="F76" s="30"/>
      <x:c r="G76" s="30"/>
      <x:c r="H76" s="30"/>
      <x:c r="I76" s="30"/>
      <x:c r="J76" s="30"/>
      <x:c r="K76" s="30"/>
      <x:c r="L76" s="30"/>
      <x:c r="M76" s="30"/>
      <x:c r="N76" s="30"/>
      <x:c r="O76" s="30"/>
      <x:c r="P76" s="30"/>
      <x:c r="Q76" s="30"/>
      <x:c r="R76" s="30"/>
      <x:c r="S76" s="30"/>
      <x:c r="T76" s="30"/>
      <x:c r="U76" s="30"/>
      <x:c r="V76" s="30"/>
      <x:c r="W76" s="30"/>
      <x:c r="X76" s="30"/>
      <x:c r="Y76" s="30"/>
      <x:c r="Z76" s="30"/>
      <x:c r="AA76" s="30"/>
      <x:c r="AB76" s="30"/>
      <x:c r="AC76" s="30"/>
      <x:c r="AD76" s="30"/>
      <x:c r="AE76" s="30"/>
      <x:c r="AF76" s="30"/>
      <x:c r="AG76" s="30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>
      <x:c r="A77" s="1"/>
      <x:c r="B77" s="1"/>
      <x:c r="C77" s="30"/>
      <x:c r="D77" s="30"/>
      <x:c r="E77" s="30"/>
      <x:c r="F77" s="30"/>
      <x:c r="G77" s="30"/>
      <x:c r="H77" s="30"/>
      <x:c r="I77" s="30"/>
      <x:c r="J77" s="30"/>
      <x:c r="K77" s="30"/>
      <x:c r="L77" s="30"/>
      <x:c r="M77" s="30"/>
      <x:c r="N77" s="30"/>
      <x:c r="O77" s="30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  <x:c r="AA77" s="30"/>
      <x:c r="AB77" s="30"/>
      <x:c r="AC77" s="30"/>
      <x:c r="AD77" s="30"/>
      <x:c r="AE77" s="30"/>
      <x:c r="AF77" s="30"/>
      <x:c r="AG77" s="30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>
      <x:c r="A78" s="1"/>
      <x:c r="B78" s="1"/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  <x:c r="O78" s="30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  <x:c r="AA78" s="30"/>
      <x:c r="AB78" s="30"/>
      <x:c r="AC78" s="30"/>
      <x:c r="AD78" s="30"/>
      <x:c r="AE78" s="30"/>
      <x:c r="AF78" s="30"/>
      <x:c r="AG78" s="30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>
      <x:c r="A79" s="1"/>
      <x:c r="B79" s="1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  <x:c r="M79" s="30"/>
      <x:c r="N79" s="30"/>
      <x:c r="O79" s="30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  <x:c r="AA79" s="30"/>
      <x:c r="AB79" s="30"/>
      <x:c r="AC79" s="30"/>
      <x:c r="AD79" s="30"/>
      <x:c r="AE79" s="30"/>
      <x:c r="AF79" s="30"/>
      <x:c r="AG79" s="30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>
      <x:c r="A80" s="1"/>
      <x:c r="B80" s="1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  <x:c r="M80" s="30"/>
      <x:c r="N80" s="30"/>
      <x:c r="O80" s="30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  <x:c r="AA80" s="30"/>
      <x:c r="AB80" s="30"/>
      <x:c r="AC80" s="30"/>
      <x:c r="AD80" s="30"/>
      <x:c r="AE80" s="30"/>
      <x:c r="AF80" s="30"/>
      <x:c r="AG80" s="30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>
      <x:c r="A81" s="1"/>
      <x:c r="B81" s="1"/>
      <x:c r="C81" s="30"/>
      <x:c r="D81" s="30"/>
      <x:c r="E81" s="30"/>
      <x:c r="F81" s="30"/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  <x:c r="AA81" s="30"/>
      <x:c r="AB81" s="30"/>
      <x:c r="AC81" s="30"/>
      <x:c r="AD81" s="30"/>
      <x:c r="AE81" s="30"/>
      <x:c r="AF81" s="30"/>
      <x:c r="AG81" s="30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>
      <x:c r="A82" s="1"/>
      <x:c r="B82" s="1"/>
      <x:c r="C82" s="30"/>
      <x:c r="D82" s="30"/>
      <x:c r="E82" s="30"/>
      <x:c r="F82" s="30"/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30"/>
      <x:c r="AA82" s="30"/>
      <x:c r="AB82" s="30"/>
      <x:c r="AC82" s="30"/>
      <x:c r="AD82" s="30"/>
      <x:c r="AE82" s="30"/>
      <x:c r="AF82" s="30"/>
      <x:c r="AG82" s="30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>
      <x:c r="A83" s="1"/>
      <x:c r="B83" s="1"/>
      <x:c r="C83" s="30"/>
      <x:c r="D83" s="30"/>
      <x:c r="E83" s="30"/>
      <x:c r="F83" s="30"/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30"/>
      <x:c r="AA83" s="30"/>
      <x:c r="AB83" s="30"/>
      <x:c r="AC83" s="30"/>
      <x:c r="AD83" s="30"/>
      <x:c r="AE83" s="30"/>
      <x:c r="AF83" s="30"/>
      <x:c r="AG83" s="30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>
      <x:c r="A84" s="1"/>
      <x:c r="B84" s="1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30"/>
      <x:c r="AA84" s="30"/>
      <x:c r="AB84" s="30"/>
      <x:c r="AC84" s="30"/>
      <x:c r="AD84" s="30"/>
      <x:c r="AE84" s="30"/>
      <x:c r="AF84" s="30"/>
      <x:c r="AG84" s="30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>
      <x:c r="A85" s="1"/>
      <x:c r="B85" s="1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30"/>
      <x:c r="AA85" s="30"/>
      <x:c r="AB85" s="30"/>
      <x:c r="AC85" s="30"/>
      <x:c r="AD85" s="30"/>
      <x:c r="AE85" s="30"/>
      <x:c r="AF85" s="30"/>
      <x:c r="AG85" s="30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>
      <x:c r="A86" s="1"/>
      <x:c r="B86" s="1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30"/>
      <x:c r="AA86" s="30"/>
      <x:c r="AB86" s="30"/>
      <x:c r="AC86" s="30"/>
      <x:c r="AD86" s="30"/>
      <x:c r="AE86" s="30"/>
      <x:c r="AF86" s="30"/>
      <x:c r="AG86" s="30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>
      <x:c r="A87" s="1"/>
      <x:c r="B87" s="1"/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  <x:c r="Y87" s="30"/>
      <x:c r="Z87" s="30"/>
      <x:c r="AA87" s="30"/>
      <x:c r="AB87" s="30"/>
      <x:c r="AC87" s="30"/>
      <x:c r="AD87" s="30"/>
      <x:c r="AE87" s="30"/>
      <x:c r="AF87" s="30"/>
      <x:c r="AG87" s="30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>
      <x:c r="A88" s="1"/>
      <x:c r="B88" s="1"/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  <x:c r="Y88" s="30"/>
      <x:c r="Z88" s="30"/>
      <x:c r="AA88" s="30"/>
      <x:c r="AB88" s="30"/>
      <x:c r="AC88" s="30"/>
      <x:c r="AD88" s="30"/>
      <x:c r="AE88" s="30"/>
      <x:c r="AF88" s="30"/>
      <x:c r="AG88" s="30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>
      <x:c r="A89" s="1"/>
      <x:c r="B89" s="1"/>
      <x:c r="C89" s="30"/>
      <x:c r="D89" s="30"/>
      <x:c r="E89" s="30"/>
      <x:c r="F89" s="30"/>
      <x:c r="G89" s="3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  <x:c r="Y89" s="30"/>
      <x:c r="Z89" s="30"/>
      <x:c r="AA89" s="30"/>
      <x:c r="AB89" s="30"/>
      <x:c r="AC89" s="30"/>
      <x:c r="AD89" s="30"/>
      <x:c r="AE89" s="30"/>
      <x:c r="AF89" s="30"/>
      <x:c r="AG89" s="30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>
      <x:c r="A90" s="1"/>
      <x:c r="B90" s="1"/>
      <x:c r="C90" s="30"/>
      <x:c r="D90" s="30"/>
      <x:c r="E90" s="30"/>
      <x:c r="F90" s="30"/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30"/>
      <x:c r="AA90" s="30"/>
      <x:c r="AB90" s="30"/>
      <x:c r="AC90" s="30"/>
      <x:c r="AD90" s="30"/>
      <x:c r="AE90" s="30"/>
      <x:c r="AF90" s="30"/>
      <x:c r="AG90" s="30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>
      <x:c r="A91" s="1"/>
      <x:c r="B91" s="1"/>
      <x:c r="C91" s="30"/>
      <x:c r="D91" s="30"/>
      <x:c r="E91" s="30"/>
      <x:c r="F91" s="30"/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30"/>
      <x:c r="AA91" s="30"/>
      <x:c r="AB91" s="30"/>
      <x:c r="AC91" s="30"/>
      <x:c r="AD91" s="30"/>
      <x:c r="AE91" s="30"/>
      <x:c r="AF91" s="30"/>
      <x:c r="AG91" s="30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>
      <x:c r="A92" s="1"/>
      <x:c r="B92" s="1"/>
      <x:c r="C92" s="30"/>
      <x:c r="D92" s="30"/>
      <x:c r="E92" s="30"/>
      <x:c r="F92" s="30"/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  <x:c r="AA92" s="30"/>
      <x:c r="AB92" s="30"/>
      <x:c r="AC92" s="30"/>
      <x:c r="AD92" s="30"/>
      <x:c r="AE92" s="30"/>
      <x:c r="AF92" s="30"/>
      <x:c r="AG92" s="30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>
      <x:c r="A93" s="1"/>
      <x:c r="B93" s="1"/>
      <x:c r="C93" s="30"/>
      <x:c r="D93" s="30"/>
      <x:c r="E93" s="30"/>
      <x:c r="F93" s="30"/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  <x:c r="AA93" s="30"/>
      <x:c r="AB93" s="30"/>
      <x:c r="AC93" s="30"/>
      <x:c r="AD93" s="30"/>
      <x:c r="AE93" s="30"/>
      <x:c r="AF93" s="30"/>
      <x:c r="AG93" s="30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>
      <x:c r="A94" s="1"/>
      <x:c r="B94" s="1"/>
      <x:c r="C94" s="30"/>
      <x:c r="D94" s="30"/>
      <x:c r="E94" s="30"/>
      <x:c r="F94" s="30"/>
      <x:c r="G94" s="3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30"/>
      <x:c r="AA94" s="30"/>
      <x:c r="AB94" s="30"/>
      <x:c r="AC94" s="30"/>
      <x:c r="AD94" s="30"/>
      <x:c r="AE94" s="30"/>
      <x:c r="AF94" s="30"/>
      <x:c r="AG94" s="30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>
      <x:c r="A95" s="1"/>
      <x:c r="B95" s="1"/>
      <x:c r="C95" s="30"/>
      <x:c r="D95" s="30"/>
      <x:c r="E95" s="30"/>
      <x:c r="F95" s="30"/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30"/>
      <x:c r="AA95" s="30"/>
      <x:c r="AB95" s="30"/>
      <x:c r="AC95" s="30"/>
      <x:c r="AD95" s="30"/>
      <x:c r="AE95" s="30"/>
      <x:c r="AF95" s="30"/>
      <x:c r="AG95" s="30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>
      <x:c r="A96" s="1"/>
      <x:c r="B96" s="1"/>
      <x:c r="C96" s="30"/>
      <x:c r="D96" s="30"/>
      <x:c r="E96" s="30"/>
      <x:c r="F96" s="30"/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30"/>
      <x:c r="AA96" s="30"/>
      <x:c r="AB96" s="30"/>
      <x:c r="AC96" s="30"/>
      <x:c r="AD96" s="30"/>
      <x:c r="AE96" s="30"/>
      <x:c r="AF96" s="30"/>
      <x:c r="AG96" s="30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>
      <x:c r="A97" s="1"/>
      <x:c r="B97" s="1"/>
      <x:c r="C97" s="30"/>
      <x:c r="D97" s="30"/>
      <x:c r="E97" s="30"/>
      <x:c r="F97" s="30"/>
      <x:c r="G97" s="3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30"/>
      <x:c r="AA97" s="30"/>
      <x:c r="AB97" s="30"/>
      <x:c r="AC97" s="30"/>
      <x:c r="AD97" s="30"/>
      <x:c r="AE97" s="30"/>
      <x:c r="AF97" s="30"/>
      <x:c r="AG97" s="30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>
      <x:c r="A98" s="1"/>
      <x:c r="B98" s="1"/>
      <x:c r="C98" s="30"/>
      <x:c r="D98" s="30"/>
      <x:c r="E98" s="30"/>
      <x:c r="F98" s="30"/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30"/>
      <x:c r="AA98" s="30"/>
      <x:c r="AB98" s="30"/>
      <x:c r="AC98" s="30"/>
      <x:c r="AD98" s="30"/>
      <x:c r="AE98" s="30"/>
      <x:c r="AF98" s="30"/>
      <x:c r="AG98" s="30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>
      <x:c r="A99" s="1"/>
      <x:c r="B99" s="1"/>
      <x:c r="C99" s="30"/>
      <x:c r="D99" s="30"/>
      <x:c r="E99" s="30"/>
      <x:c r="F99" s="30"/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30"/>
      <x:c r="AA99" s="30"/>
      <x:c r="AB99" s="30"/>
      <x:c r="AC99" s="30"/>
      <x:c r="AD99" s="30"/>
      <x:c r="AE99" s="30"/>
      <x:c r="AF99" s="30"/>
      <x:c r="AG99" s="30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>
      <x:c r="A100" s="1"/>
      <x:c r="B100" s="1"/>
      <x:c r="C100" s="30"/>
      <x:c r="D100" s="30"/>
      <x:c r="E100" s="30"/>
      <x:c r="F100" s="30"/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30"/>
      <x:c r="AA100" s="30"/>
      <x:c r="AB100" s="30"/>
      <x:c r="AC100" s="30"/>
      <x:c r="AD100" s="30"/>
      <x:c r="AE100" s="30"/>
      <x:c r="AF100" s="30"/>
      <x:c r="AG100" s="30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>
      <x:c r="A101" s="1"/>
      <x:c r="B101" s="1"/>
      <x:c r="C101" s="30"/>
      <x:c r="D101" s="30"/>
      <x:c r="E101" s="30"/>
      <x:c r="F101" s="30"/>
      <x:c r="G101" s="30"/>
      <x:c r="H101" s="30"/>
      <x:c r="I101" s="30"/>
      <x:c r="J101" s="30"/>
      <x:c r="K101" s="30"/>
      <x:c r="L101" s="30"/>
      <x:c r="M101" s="30"/>
      <x:c r="N101" s="30"/>
      <x:c r="O101" s="30"/>
      <x:c r="P101" s="30"/>
      <x:c r="Q101" s="30"/>
      <x:c r="R101" s="30"/>
      <x:c r="S101" s="30"/>
      <x:c r="T101" s="30"/>
      <x:c r="U101" s="30"/>
      <x:c r="V101" s="30"/>
      <x:c r="W101" s="30"/>
      <x:c r="X101" s="30"/>
      <x:c r="Y101" s="30"/>
      <x:c r="Z101" s="30"/>
      <x:c r="AA101" s="30"/>
      <x:c r="AB101" s="30"/>
      <x:c r="AC101" s="30"/>
      <x:c r="AD101" s="30"/>
      <x:c r="AE101" s="30"/>
      <x:c r="AF101" s="30"/>
      <x:c r="AG101" s="30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>
      <x:c r="A102" s="1"/>
      <x:c r="B102" s="1"/>
      <x:c r="C102" s="30"/>
      <x:c r="D102" s="30"/>
      <x:c r="E102" s="30"/>
      <x:c r="F102" s="30"/>
      <x:c r="G102" s="30"/>
      <x:c r="H102" s="30"/>
      <x:c r="I102" s="30"/>
      <x:c r="J102" s="30"/>
      <x:c r="K102" s="30"/>
      <x:c r="L102" s="30"/>
      <x:c r="M102" s="30"/>
      <x:c r="N102" s="30"/>
      <x:c r="O102" s="30"/>
      <x:c r="P102" s="30"/>
      <x:c r="Q102" s="30"/>
      <x:c r="R102" s="30"/>
      <x:c r="S102" s="30"/>
      <x:c r="T102" s="30"/>
      <x:c r="U102" s="30"/>
      <x:c r="V102" s="30"/>
      <x:c r="W102" s="30"/>
      <x:c r="X102" s="30"/>
      <x:c r="Y102" s="30"/>
      <x:c r="Z102" s="30"/>
      <x:c r="AA102" s="30"/>
      <x:c r="AB102" s="30"/>
      <x:c r="AC102" s="30"/>
      <x:c r="AD102" s="30"/>
      <x:c r="AE102" s="30"/>
      <x:c r="AF102" s="30"/>
      <x:c r="AG102" s="30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>
      <x:c r="A103" s="1"/>
      <x:c r="B103" s="1"/>
      <x:c r="C103" s="30"/>
      <x:c r="D103" s="30"/>
      <x:c r="E103" s="30"/>
      <x:c r="F103" s="30"/>
      <x:c r="G103" s="3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0"/>
      <x:c r="T103" s="30"/>
      <x:c r="U103" s="30"/>
      <x:c r="V103" s="30"/>
      <x:c r="W103" s="30"/>
      <x:c r="X103" s="30"/>
      <x:c r="Y103" s="30"/>
      <x:c r="Z103" s="30"/>
      <x:c r="AA103" s="30"/>
      <x:c r="AB103" s="30"/>
      <x:c r="AC103" s="30"/>
      <x:c r="AD103" s="30"/>
      <x:c r="AE103" s="30"/>
      <x:c r="AF103" s="30"/>
      <x:c r="AG103" s="30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>
      <x:c r="A104" s="1"/>
      <x:c r="B104" s="1"/>
      <x:c r="C104" s="30"/>
      <x:c r="D104" s="30"/>
      <x:c r="E104" s="30"/>
      <x:c r="F104" s="30"/>
      <x:c r="G104" s="30"/>
      <x:c r="H104" s="30"/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0"/>
      <x:c r="T104" s="30"/>
      <x:c r="U104" s="30"/>
      <x:c r="V104" s="30"/>
      <x:c r="W104" s="30"/>
      <x:c r="X104" s="30"/>
      <x:c r="Y104" s="30"/>
      <x:c r="Z104" s="30"/>
      <x:c r="AA104" s="30"/>
      <x:c r="AB104" s="30"/>
      <x:c r="AC104" s="30"/>
      <x:c r="AD104" s="30"/>
      <x:c r="AE104" s="30"/>
      <x:c r="AF104" s="30"/>
      <x:c r="AG104" s="30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>
      <x:c r="A105" s="1"/>
      <x:c r="B105" s="1"/>
      <x:c r="C105" s="30"/>
      <x:c r="D105" s="30"/>
      <x:c r="E105" s="30"/>
      <x:c r="F105" s="30"/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  <x:c r="Q105" s="30"/>
      <x:c r="R105" s="30"/>
      <x:c r="S105" s="30"/>
      <x:c r="T105" s="30"/>
      <x:c r="U105" s="30"/>
      <x:c r="V105" s="30"/>
      <x:c r="W105" s="30"/>
      <x:c r="X105" s="30"/>
      <x:c r="Y105" s="30"/>
      <x:c r="Z105" s="30"/>
      <x:c r="AA105" s="30"/>
      <x:c r="AB105" s="30"/>
      <x:c r="AC105" s="30"/>
      <x:c r="AD105" s="30"/>
      <x:c r="AE105" s="30"/>
      <x:c r="AF105" s="30"/>
      <x:c r="AG105" s="30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>
      <x:c r="A106" s="1"/>
      <x:c r="B106" s="1"/>
      <x:c r="C106" s="30"/>
      <x:c r="D106" s="30"/>
      <x:c r="E106" s="30"/>
      <x:c r="F106" s="30"/>
      <x:c r="G106" s="30"/>
      <x:c r="H106" s="30"/>
      <x:c r="I106" s="30"/>
      <x:c r="J106" s="30"/>
      <x:c r="K106" s="30"/>
      <x:c r="L106" s="30"/>
      <x:c r="M106" s="30"/>
      <x:c r="N106" s="30"/>
      <x:c r="O106" s="30"/>
      <x:c r="P106" s="30"/>
      <x:c r="Q106" s="30"/>
      <x:c r="R106" s="30"/>
      <x:c r="S106" s="30"/>
      <x:c r="T106" s="30"/>
      <x:c r="U106" s="30"/>
      <x:c r="V106" s="30"/>
      <x:c r="W106" s="30"/>
      <x:c r="X106" s="30"/>
      <x:c r="Y106" s="30"/>
      <x:c r="Z106" s="30"/>
      <x:c r="AA106" s="30"/>
      <x:c r="AB106" s="30"/>
      <x:c r="AC106" s="30"/>
      <x:c r="AD106" s="30"/>
      <x:c r="AE106" s="30"/>
      <x:c r="AF106" s="30"/>
      <x:c r="AG106" s="30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>
      <x:c r="A107" s="1"/>
      <x:c r="B107" s="1"/>
      <x:c r="C107" s="30"/>
      <x:c r="D107" s="30"/>
      <x:c r="E107" s="30"/>
      <x:c r="F107" s="30"/>
      <x:c r="G107" s="30"/>
      <x:c r="H107" s="30"/>
      <x:c r="I107" s="30"/>
      <x:c r="J107" s="30"/>
      <x:c r="K107" s="30"/>
      <x:c r="L107" s="30"/>
      <x:c r="M107" s="30"/>
      <x:c r="N107" s="30"/>
      <x:c r="O107" s="30"/>
      <x:c r="P107" s="30"/>
      <x:c r="Q107" s="30"/>
      <x:c r="R107" s="30"/>
      <x:c r="S107" s="30"/>
      <x:c r="T107" s="30"/>
      <x:c r="U107" s="30"/>
      <x:c r="V107" s="30"/>
      <x:c r="W107" s="30"/>
      <x:c r="X107" s="30"/>
      <x:c r="Y107" s="30"/>
      <x:c r="Z107" s="30"/>
      <x:c r="AA107" s="30"/>
      <x:c r="AB107" s="30"/>
      <x:c r="AC107" s="30"/>
      <x:c r="AD107" s="30"/>
      <x:c r="AE107" s="30"/>
      <x:c r="AF107" s="30"/>
      <x:c r="AG107" s="30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>
      <x:c r="A108" s="1"/>
      <x:c r="B108" s="1"/>
      <x:c r="C108" s="30"/>
      <x:c r="D108" s="30"/>
      <x:c r="E108" s="30"/>
      <x:c r="F108" s="30"/>
      <x:c r="G108" s="30"/>
      <x:c r="H108" s="30"/>
      <x:c r="I108" s="30"/>
      <x:c r="J108" s="30"/>
      <x:c r="K108" s="30"/>
      <x:c r="L108" s="30"/>
      <x:c r="M108" s="30"/>
      <x:c r="N108" s="30"/>
      <x:c r="O108" s="30"/>
      <x:c r="P108" s="30"/>
      <x:c r="Q108" s="30"/>
      <x:c r="R108" s="30"/>
      <x:c r="S108" s="30"/>
      <x:c r="T108" s="30"/>
      <x:c r="U108" s="30"/>
      <x:c r="V108" s="30"/>
      <x:c r="W108" s="30"/>
      <x:c r="X108" s="30"/>
      <x:c r="Y108" s="30"/>
      <x:c r="Z108" s="30"/>
      <x:c r="AA108" s="30"/>
      <x:c r="AB108" s="30"/>
      <x:c r="AC108" s="30"/>
      <x:c r="AD108" s="30"/>
      <x:c r="AE108" s="30"/>
      <x:c r="AF108" s="30"/>
      <x:c r="AG108" s="30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>
      <x:c r="A109" s="1"/>
      <x:c r="B109" s="1"/>
      <x:c r="C109" s="30"/>
      <x:c r="D109" s="30"/>
      <x:c r="E109" s="30"/>
      <x:c r="F109" s="30"/>
      <x:c r="G109" s="30"/>
      <x:c r="H109" s="30"/>
      <x:c r="I109" s="30"/>
      <x:c r="J109" s="30"/>
      <x:c r="K109" s="30"/>
      <x:c r="L109" s="30"/>
      <x:c r="M109" s="30"/>
      <x:c r="N109" s="30"/>
      <x:c r="O109" s="30"/>
      <x:c r="P109" s="30"/>
      <x:c r="Q109" s="30"/>
      <x:c r="R109" s="30"/>
      <x:c r="S109" s="30"/>
      <x:c r="T109" s="30"/>
      <x:c r="U109" s="30"/>
      <x:c r="V109" s="30"/>
      <x:c r="W109" s="30"/>
      <x:c r="X109" s="30"/>
      <x:c r="Y109" s="30"/>
      <x:c r="Z109" s="30"/>
      <x:c r="AA109" s="30"/>
      <x:c r="AB109" s="30"/>
      <x:c r="AC109" s="30"/>
      <x:c r="AD109" s="30"/>
      <x:c r="AE109" s="30"/>
      <x:c r="AF109" s="30"/>
      <x:c r="AG109" s="30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>
      <x:c r="A110" s="1"/>
      <x:c r="B110" s="1"/>
      <x:c r="C110" s="30"/>
      <x:c r="D110" s="30"/>
      <x:c r="E110" s="30"/>
      <x:c r="F110" s="30"/>
      <x:c r="G110" s="30"/>
      <x:c r="H110" s="30"/>
      <x:c r="I110" s="30"/>
      <x:c r="J110" s="30"/>
      <x:c r="K110" s="30"/>
      <x:c r="L110" s="30"/>
      <x:c r="M110" s="30"/>
      <x:c r="N110" s="30"/>
      <x:c r="O110" s="30"/>
      <x:c r="P110" s="30"/>
      <x:c r="Q110" s="30"/>
      <x:c r="R110" s="30"/>
      <x:c r="S110" s="30"/>
      <x:c r="T110" s="30"/>
      <x:c r="U110" s="30"/>
      <x:c r="V110" s="30"/>
      <x:c r="W110" s="30"/>
      <x:c r="X110" s="30"/>
      <x:c r="Y110" s="30"/>
      <x:c r="Z110" s="30"/>
      <x:c r="AA110" s="30"/>
      <x:c r="AB110" s="30"/>
      <x:c r="AC110" s="30"/>
      <x:c r="AD110" s="30"/>
      <x:c r="AE110" s="30"/>
      <x:c r="AF110" s="30"/>
      <x:c r="AG110" s="30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>
      <x:c r="A111" s="1"/>
      <x:c r="B111" s="1"/>
      <x:c r="C111" s="30"/>
      <x:c r="D111" s="30"/>
      <x:c r="E111" s="30"/>
      <x:c r="F111" s="30"/>
      <x:c r="G111" s="30"/>
      <x:c r="H111" s="30"/>
      <x:c r="I111" s="30"/>
      <x:c r="J111" s="30"/>
      <x:c r="K111" s="30"/>
      <x:c r="L111" s="30"/>
      <x:c r="M111" s="30"/>
      <x:c r="N111" s="30"/>
      <x:c r="O111" s="30"/>
      <x:c r="P111" s="30"/>
      <x:c r="Q111" s="30"/>
      <x:c r="R111" s="30"/>
      <x:c r="S111" s="30"/>
      <x:c r="T111" s="30"/>
      <x:c r="U111" s="30"/>
      <x:c r="V111" s="30"/>
      <x:c r="W111" s="30"/>
      <x:c r="X111" s="30"/>
      <x:c r="Y111" s="30"/>
      <x:c r="Z111" s="30"/>
      <x:c r="AA111" s="30"/>
      <x:c r="AB111" s="30"/>
      <x:c r="AC111" s="30"/>
      <x:c r="AD111" s="30"/>
      <x:c r="AE111" s="30"/>
      <x:c r="AF111" s="30"/>
      <x:c r="AG111" s="30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>
      <x:c r="A112" s="1"/>
      <x:c r="B112" s="1"/>
      <x:c r="C112" s="30"/>
      <x:c r="D112" s="30"/>
      <x:c r="E112" s="30"/>
      <x:c r="F112" s="30"/>
      <x:c r="G112" s="30"/>
      <x:c r="H112" s="30"/>
      <x:c r="I112" s="30"/>
      <x:c r="J112" s="30"/>
      <x:c r="K112" s="30"/>
      <x:c r="L112" s="30"/>
      <x:c r="M112" s="30"/>
      <x:c r="N112" s="30"/>
      <x:c r="O112" s="30"/>
      <x:c r="P112" s="30"/>
      <x:c r="Q112" s="30"/>
      <x:c r="R112" s="30"/>
      <x:c r="S112" s="30"/>
      <x:c r="T112" s="30"/>
      <x:c r="U112" s="30"/>
      <x:c r="V112" s="30"/>
      <x:c r="W112" s="30"/>
      <x:c r="X112" s="30"/>
      <x:c r="Y112" s="30"/>
      <x:c r="Z112" s="30"/>
      <x:c r="AA112" s="30"/>
      <x:c r="AB112" s="30"/>
      <x:c r="AC112" s="30"/>
      <x:c r="AD112" s="30"/>
      <x:c r="AE112" s="30"/>
      <x:c r="AF112" s="30"/>
      <x:c r="AG112" s="30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>
      <x:c r="A113" s="1"/>
      <x:c r="B113" s="1"/>
      <x:c r="C113" s="30"/>
      <x:c r="D113" s="30"/>
      <x:c r="E113" s="30"/>
      <x:c r="F113" s="30"/>
      <x:c r="G113" s="30"/>
      <x:c r="H113" s="30"/>
      <x:c r="I113" s="30"/>
      <x:c r="J113" s="30"/>
      <x:c r="K113" s="30"/>
      <x:c r="L113" s="30"/>
      <x:c r="M113" s="30"/>
      <x:c r="N113" s="30"/>
      <x:c r="O113" s="30"/>
      <x:c r="P113" s="30"/>
      <x:c r="Q113" s="30"/>
      <x:c r="R113" s="30"/>
      <x:c r="S113" s="30"/>
      <x:c r="T113" s="30"/>
      <x:c r="U113" s="30"/>
      <x:c r="V113" s="30"/>
      <x:c r="W113" s="30"/>
      <x:c r="X113" s="30"/>
      <x:c r="Y113" s="30"/>
      <x:c r="Z113" s="30"/>
      <x:c r="AA113" s="30"/>
      <x:c r="AB113" s="30"/>
      <x:c r="AC113" s="30"/>
      <x:c r="AD113" s="30"/>
      <x:c r="AE113" s="30"/>
      <x:c r="AF113" s="30"/>
      <x:c r="AG113" s="30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>
      <x:c r="A114" s="1"/>
      <x:c r="B114" s="1"/>
      <x:c r="C114" s="30"/>
      <x:c r="D114" s="30"/>
      <x:c r="E114" s="30"/>
      <x:c r="F114" s="30"/>
      <x:c r="G114" s="30"/>
      <x:c r="H114" s="30"/>
      <x:c r="I114" s="30"/>
      <x:c r="J114" s="30"/>
      <x:c r="K114" s="30"/>
      <x:c r="L114" s="30"/>
      <x:c r="M114" s="30"/>
      <x:c r="N114" s="30"/>
      <x:c r="O114" s="30"/>
      <x:c r="P114" s="30"/>
      <x:c r="Q114" s="30"/>
      <x:c r="R114" s="30"/>
      <x:c r="S114" s="30"/>
      <x:c r="T114" s="30"/>
      <x:c r="U114" s="30"/>
      <x:c r="V114" s="30"/>
      <x:c r="W114" s="30"/>
      <x:c r="X114" s="30"/>
      <x:c r="Y114" s="30"/>
      <x:c r="Z114" s="30"/>
      <x:c r="AA114" s="30"/>
      <x:c r="AB114" s="30"/>
      <x:c r="AC114" s="30"/>
      <x:c r="AD114" s="30"/>
      <x:c r="AE114" s="30"/>
      <x:c r="AF114" s="30"/>
      <x:c r="AG114" s="30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>
      <x:c r="A115" s="1"/>
      <x:c r="B115" s="1"/>
      <x:c r="C115" s="30"/>
      <x:c r="D115" s="30"/>
      <x:c r="E115" s="30"/>
      <x:c r="F115" s="30"/>
      <x:c r="G115" s="30"/>
      <x:c r="H115" s="30"/>
      <x:c r="I115" s="30"/>
      <x:c r="J115" s="30"/>
      <x:c r="K115" s="30"/>
      <x:c r="L115" s="30"/>
      <x:c r="M115" s="30"/>
      <x:c r="N115" s="30"/>
      <x:c r="O115" s="30"/>
      <x:c r="P115" s="30"/>
      <x:c r="Q115" s="30"/>
      <x:c r="R115" s="30"/>
      <x:c r="S115" s="30"/>
      <x:c r="T115" s="30"/>
      <x:c r="U115" s="30"/>
      <x:c r="V115" s="30"/>
      <x:c r="W115" s="30"/>
      <x:c r="X115" s="30"/>
      <x:c r="Y115" s="30"/>
      <x:c r="Z115" s="30"/>
      <x:c r="AA115" s="30"/>
      <x:c r="AB115" s="30"/>
      <x:c r="AC115" s="30"/>
      <x:c r="AD115" s="30"/>
      <x:c r="AE115" s="30"/>
      <x:c r="AF115" s="30"/>
      <x:c r="AG115" s="30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>
      <x:c r="A116" s="1"/>
      <x:c r="B116" s="1"/>
      <x:c r="C116" s="30"/>
      <x:c r="D116" s="30"/>
      <x:c r="E116" s="30"/>
      <x:c r="F116" s="30"/>
      <x:c r="G116" s="30"/>
      <x:c r="H116" s="30"/>
      <x:c r="I116" s="30"/>
      <x:c r="J116" s="30"/>
      <x:c r="K116" s="30"/>
      <x:c r="L116" s="30"/>
      <x:c r="M116" s="30"/>
      <x:c r="N116" s="30"/>
      <x:c r="O116" s="30"/>
      <x:c r="P116" s="30"/>
      <x:c r="Q116" s="30"/>
      <x:c r="R116" s="30"/>
      <x:c r="S116" s="30"/>
      <x:c r="T116" s="30"/>
      <x:c r="U116" s="30"/>
      <x:c r="V116" s="30"/>
      <x:c r="W116" s="30"/>
      <x:c r="X116" s="30"/>
      <x:c r="Y116" s="30"/>
      <x:c r="Z116" s="30"/>
      <x:c r="AA116" s="30"/>
      <x:c r="AB116" s="30"/>
      <x:c r="AC116" s="30"/>
      <x:c r="AD116" s="30"/>
      <x:c r="AE116" s="30"/>
      <x:c r="AF116" s="30"/>
      <x:c r="AG116" s="30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>
      <x:c r="A117" s="1"/>
      <x:c r="B117" s="1"/>
      <x:c r="C117" s="30"/>
      <x:c r="D117" s="30"/>
      <x:c r="E117" s="30"/>
      <x:c r="F117" s="30"/>
      <x:c r="G117" s="30"/>
      <x:c r="H117" s="30"/>
      <x:c r="I117" s="30"/>
      <x:c r="J117" s="30"/>
      <x:c r="K117" s="30"/>
      <x:c r="L117" s="30"/>
      <x:c r="M117" s="30"/>
      <x:c r="N117" s="30"/>
      <x:c r="O117" s="30"/>
      <x:c r="P117" s="30"/>
      <x:c r="Q117" s="30"/>
      <x:c r="R117" s="30"/>
      <x:c r="S117" s="30"/>
      <x:c r="T117" s="30"/>
      <x:c r="U117" s="30"/>
      <x:c r="V117" s="30"/>
      <x:c r="W117" s="30"/>
      <x:c r="X117" s="30"/>
      <x:c r="Y117" s="30"/>
      <x:c r="Z117" s="30"/>
      <x:c r="AA117" s="30"/>
      <x:c r="AB117" s="30"/>
      <x:c r="AC117" s="30"/>
      <x:c r="AD117" s="30"/>
      <x:c r="AE117" s="30"/>
      <x:c r="AF117" s="30"/>
      <x:c r="AG117" s="30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>
      <x:c r="A118" s="1"/>
      <x:c r="B118" s="1"/>
      <x:c r="C118" s="30"/>
      <x:c r="D118" s="30"/>
      <x:c r="E118" s="30"/>
      <x:c r="F118" s="30"/>
      <x:c r="G118" s="30"/>
      <x:c r="H118" s="30"/>
      <x:c r="I118" s="30"/>
      <x:c r="J118" s="30"/>
      <x:c r="K118" s="30"/>
      <x:c r="L118" s="30"/>
      <x:c r="M118" s="30"/>
      <x:c r="N118" s="30"/>
      <x:c r="O118" s="30"/>
      <x:c r="P118" s="30"/>
      <x:c r="Q118" s="30"/>
      <x:c r="R118" s="30"/>
      <x:c r="S118" s="30"/>
      <x:c r="T118" s="30"/>
      <x:c r="U118" s="30"/>
      <x:c r="V118" s="30"/>
      <x:c r="W118" s="30"/>
      <x:c r="X118" s="30"/>
      <x:c r="Y118" s="30"/>
      <x:c r="Z118" s="30"/>
      <x:c r="AA118" s="30"/>
      <x:c r="AB118" s="30"/>
      <x:c r="AC118" s="30"/>
      <x:c r="AD118" s="30"/>
      <x:c r="AE118" s="30"/>
      <x:c r="AF118" s="30"/>
      <x:c r="AG118" s="30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>
      <x:c r="A119" s="1"/>
      <x:c r="B119" s="1"/>
      <x:c r="C119" s="30"/>
      <x:c r="D119" s="30"/>
      <x:c r="E119" s="30"/>
      <x:c r="F119" s="30"/>
      <x:c r="G119" s="30"/>
      <x:c r="H119" s="30"/>
      <x:c r="I119" s="30"/>
      <x:c r="J119" s="30"/>
      <x:c r="K119" s="30"/>
      <x:c r="L119" s="30"/>
      <x:c r="M119" s="30"/>
      <x:c r="N119" s="30"/>
      <x:c r="O119" s="30"/>
      <x:c r="P119" s="30"/>
      <x:c r="Q119" s="30"/>
      <x:c r="R119" s="30"/>
      <x:c r="S119" s="30"/>
      <x:c r="T119" s="30"/>
      <x:c r="U119" s="30"/>
      <x:c r="V119" s="30"/>
      <x:c r="W119" s="30"/>
      <x:c r="X119" s="30"/>
      <x:c r="Y119" s="30"/>
      <x:c r="Z119" s="30"/>
      <x:c r="AA119" s="30"/>
      <x:c r="AB119" s="30"/>
      <x:c r="AC119" s="30"/>
      <x:c r="AD119" s="30"/>
      <x:c r="AE119" s="30"/>
      <x:c r="AF119" s="30"/>
      <x:c r="AG119" s="30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>
      <x:c r="A120" s="1"/>
      <x:c r="B120" s="1"/>
      <x:c r="C120" s="30"/>
      <x:c r="D120" s="30"/>
      <x:c r="E120" s="30"/>
      <x:c r="F120" s="30"/>
      <x:c r="G120" s="30"/>
      <x:c r="H120" s="30"/>
      <x:c r="I120" s="30"/>
      <x:c r="J120" s="30"/>
      <x:c r="K120" s="30"/>
      <x:c r="L120" s="30"/>
      <x:c r="M120" s="30"/>
      <x:c r="N120" s="30"/>
      <x:c r="O120" s="30"/>
      <x:c r="P120" s="30"/>
      <x:c r="Q120" s="30"/>
      <x:c r="R120" s="30"/>
      <x:c r="S120" s="30"/>
      <x:c r="T120" s="30"/>
      <x:c r="U120" s="30"/>
      <x:c r="V120" s="30"/>
      <x:c r="W120" s="30"/>
      <x:c r="X120" s="30"/>
      <x:c r="Y120" s="30"/>
      <x:c r="Z120" s="30"/>
      <x:c r="AA120" s="30"/>
      <x:c r="AB120" s="30"/>
      <x:c r="AC120" s="30"/>
      <x:c r="AD120" s="30"/>
      <x:c r="AE120" s="30"/>
      <x:c r="AF120" s="30"/>
      <x:c r="AG120" s="30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>
      <x:c r="A121" s="1"/>
      <x:c r="B121" s="1"/>
      <x:c r="C121" s="30"/>
      <x:c r="D121" s="30"/>
      <x:c r="E121" s="30"/>
      <x:c r="F121" s="30"/>
      <x:c r="G121" s="30"/>
      <x:c r="H121" s="30"/>
      <x:c r="I121" s="30"/>
      <x:c r="J121" s="30"/>
      <x:c r="K121" s="30"/>
      <x:c r="L121" s="30"/>
      <x:c r="M121" s="30"/>
      <x:c r="N121" s="30"/>
      <x:c r="O121" s="30"/>
      <x:c r="P121" s="30"/>
      <x:c r="Q121" s="30"/>
      <x:c r="R121" s="30"/>
      <x:c r="S121" s="30"/>
      <x:c r="T121" s="30"/>
      <x:c r="U121" s="30"/>
      <x:c r="V121" s="30"/>
      <x:c r="W121" s="30"/>
      <x:c r="X121" s="30"/>
      <x:c r="Y121" s="30"/>
      <x:c r="Z121" s="30"/>
      <x:c r="AA121" s="30"/>
      <x:c r="AB121" s="30"/>
      <x:c r="AC121" s="30"/>
      <x:c r="AD121" s="30"/>
      <x:c r="AE121" s="30"/>
      <x:c r="AF121" s="30"/>
      <x:c r="AG121" s="30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>
      <x:c r="A122" s="1"/>
      <x:c r="B122" s="1"/>
      <x:c r="C122" s="30"/>
      <x:c r="D122" s="30"/>
      <x:c r="E122" s="30"/>
      <x:c r="F122" s="30"/>
      <x:c r="G122" s="30"/>
      <x:c r="H122" s="30"/>
      <x:c r="I122" s="30"/>
      <x:c r="J122" s="30"/>
      <x:c r="K122" s="30"/>
      <x:c r="L122" s="30"/>
      <x:c r="M122" s="30"/>
      <x:c r="N122" s="30"/>
      <x:c r="O122" s="30"/>
      <x:c r="P122" s="30"/>
      <x:c r="Q122" s="30"/>
      <x:c r="R122" s="30"/>
      <x:c r="S122" s="30"/>
      <x:c r="T122" s="30"/>
      <x:c r="U122" s="30"/>
      <x:c r="V122" s="30"/>
      <x:c r="W122" s="30"/>
      <x:c r="X122" s="30"/>
      <x:c r="Y122" s="30"/>
      <x:c r="Z122" s="30"/>
      <x:c r="AA122" s="30"/>
      <x:c r="AB122" s="30"/>
      <x:c r="AC122" s="30"/>
      <x:c r="AD122" s="30"/>
      <x:c r="AE122" s="30"/>
      <x:c r="AF122" s="30"/>
      <x:c r="AG122" s="30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>
      <x:c r="A123" s="1"/>
      <x:c r="B123" s="1"/>
      <x:c r="C123" s="30"/>
      <x:c r="D123" s="30"/>
      <x:c r="E123" s="30"/>
      <x:c r="F123" s="30"/>
      <x:c r="G123" s="30"/>
      <x:c r="H123" s="30"/>
      <x:c r="I123" s="30"/>
      <x:c r="J123" s="30"/>
      <x:c r="K123" s="30"/>
      <x:c r="L123" s="30"/>
      <x:c r="M123" s="30"/>
      <x:c r="N123" s="30"/>
      <x:c r="O123" s="30"/>
      <x:c r="P123" s="30"/>
      <x:c r="Q123" s="30"/>
      <x:c r="R123" s="30"/>
      <x:c r="S123" s="30"/>
      <x:c r="T123" s="30"/>
      <x:c r="U123" s="30"/>
      <x:c r="V123" s="30"/>
      <x:c r="W123" s="30"/>
      <x:c r="X123" s="30"/>
      <x:c r="Y123" s="30"/>
      <x:c r="Z123" s="30"/>
      <x:c r="AA123" s="30"/>
      <x:c r="AB123" s="30"/>
      <x:c r="AC123" s="30"/>
      <x:c r="AD123" s="30"/>
      <x:c r="AE123" s="30"/>
      <x:c r="AF123" s="30"/>
      <x:c r="AG123" s="30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>
      <x:c r="A124" s="1"/>
      <x:c r="B124" s="1"/>
      <x:c r="C124" s="30"/>
      <x:c r="D124" s="30"/>
      <x:c r="E124" s="30"/>
      <x:c r="F124" s="30"/>
      <x:c r="G124" s="30"/>
      <x:c r="H124" s="30"/>
      <x:c r="I124" s="30"/>
      <x:c r="J124" s="30"/>
      <x:c r="K124" s="30"/>
      <x:c r="L124" s="30"/>
      <x:c r="M124" s="30"/>
      <x:c r="N124" s="30"/>
      <x:c r="O124" s="30"/>
      <x:c r="P124" s="30"/>
      <x:c r="Q124" s="30"/>
      <x:c r="R124" s="30"/>
      <x:c r="S124" s="30"/>
      <x:c r="T124" s="30"/>
      <x:c r="U124" s="30"/>
      <x:c r="V124" s="30"/>
      <x:c r="W124" s="30"/>
      <x:c r="X124" s="30"/>
      <x:c r="Y124" s="30"/>
      <x:c r="Z124" s="30"/>
      <x:c r="AA124" s="30"/>
      <x:c r="AB124" s="30"/>
      <x:c r="AC124" s="30"/>
      <x:c r="AD124" s="30"/>
      <x:c r="AE124" s="30"/>
      <x:c r="AF124" s="30"/>
      <x:c r="AG124" s="30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>
      <x:c r="A125" s="1"/>
      <x:c r="B125" s="1"/>
      <x:c r="C125" s="30"/>
      <x:c r="D125" s="30"/>
      <x:c r="E125" s="30"/>
      <x:c r="F125" s="30"/>
      <x:c r="G125" s="30"/>
      <x:c r="H125" s="30"/>
      <x:c r="I125" s="30"/>
      <x:c r="J125" s="30"/>
      <x:c r="K125" s="30"/>
      <x:c r="L125" s="30"/>
      <x:c r="M125" s="30"/>
      <x:c r="N125" s="30"/>
      <x:c r="O125" s="30"/>
      <x:c r="P125" s="30"/>
      <x:c r="Q125" s="30"/>
      <x:c r="R125" s="30"/>
      <x:c r="S125" s="30"/>
      <x:c r="T125" s="30"/>
      <x:c r="U125" s="30"/>
      <x:c r="V125" s="30"/>
      <x:c r="W125" s="30"/>
      <x:c r="X125" s="30"/>
      <x:c r="Y125" s="30"/>
      <x:c r="Z125" s="30"/>
      <x:c r="AA125" s="30"/>
      <x:c r="AB125" s="30"/>
      <x:c r="AC125" s="30"/>
      <x:c r="AD125" s="30"/>
      <x:c r="AE125" s="30"/>
      <x:c r="AF125" s="30"/>
      <x:c r="AG125" s="30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>
      <x:c r="A126" s="1"/>
      <x:c r="B126" s="1"/>
      <x:c r="C126" s="30"/>
      <x:c r="D126" s="30"/>
      <x:c r="E126" s="30"/>
      <x:c r="F126" s="30"/>
      <x:c r="G126" s="30"/>
      <x:c r="H126" s="30"/>
      <x:c r="I126" s="30"/>
      <x:c r="J126" s="30"/>
      <x:c r="K126" s="30"/>
      <x:c r="L126" s="30"/>
      <x:c r="M126" s="30"/>
      <x:c r="N126" s="30"/>
      <x:c r="O126" s="30"/>
      <x:c r="P126" s="30"/>
      <x:c r="Q126" s="30"/>
      <x:c r="R126" s="30"/>
      <x:c r="S126" s="30"/>
      <x:c r="T126" s="30"/>
      <x:c r="U126" s="30"/>
      <x:c r="V126" s="30"/>
      <x:c r="W126" s="30"/>
      <x:c r="X126" s="30"/>
      <x:c r="Y126" s="30"/>
      <x:c r="Z126" s="30"/>
      <x:c r="AA126" s="30"/>
      <x:c r="AB126" s="30"/>
      <x:c r="AC126" s="30"/>
      <x:c r="AD126" s="30"/>
      <x:c r="AE126" s="30"/>
      <x:c r="AF126" s="30"/>
      <x:c r="AG126" s="30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>
      <x:c r="A127" s="1"/>
      <x:c r="B127" s="1"/>
      <x:c r="C127" s="30"/>
      <x:c r="D127" s="30"/>
      <x:c r="E127" s="30"/>
      <x:c r="F127" s="30"/>
      <x:c r="G127" s="30"/>
      <x:c r="H127" s="30"/>
      <x:c r="I127" s="30"/>
      <x:c r="J127" s="30"/>
      <x:c r="K127" s="30"/>
      <x:c r="L127" s="30"/>
      <x:c r="M127" s="30"/>
      <x:c r="N127" s="30"/>
      <x:c r="O127" s="30"/>
      <x:c r="P127" s="30"/>
      <x:c r="Q127" s="30"/>
      <x:c r="R127" s="30"/>
      <x:c r="S127" s="30"/>
      <x:c r="T127" s="30"/>
      <x:c r="U127" s="30"/>
      <x:c r="V127" s="30"/>
      <x:c r="W127" s="30"/>
      <x:c r="X127" s="30"/>
      <x:c r="Y127" s="30"/>
      <x:c r="Z127" s="30"/>
      <x:c r="AA127" s="30"/>
      <x:c r="AB127" s="30"/>
      <x:c r="AC127" s="30"/>
      <x:c r="AD127" s="30"/>
      <x:c r="AE127" s="30"/>
      <x:c r="AF127" s="30"/>
      <x:c r="AG127" s="30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>
      <x:c r="A128" s="1"/>
      <x:c r="B128" s="1"/>
      <x:c r="C128" s="30"/>
      <x:c r="D128" s="30"/>
      <x:c r="E128" s="30"/>
      <x:c r="F128" s="30"/>
      <x:c r="G128" s="30"/>
      <x:c r="H128" s="30"/>
      <x:c r="I128" s="30"/>
      <x:c r="J128" s="30"/>
      <x:c r="K128" s="30"/>
      <x:c r="L128" s="30"/>
      <x:c r="M128" s="30"/>
      <x:c r="N128" s="30"/>
      <x:c r="O128" s="30"/>
      <x:c r="P128" s="30"/>
      <x:c r="Q128" s="30"/>
      <x:c r="R128" s="30"/>
      <x:c r="S128" s="30"/>
      <x:c r="T128" s="30"/>
      <x:c r="U128" s="30"/>
      <x:c r="V128" s="30"/>
      <x:c r="W128" s="30"/>
      <x:c r="X128" s="30"/>
      <x:c r="Y128" s="30"/>
      <x:c r="Z128" s="30"/>
      <x:c r="AA128" s="30"/>
      <x:c r="AB128" s="30"/>
      <x:c r="AC128" s="30"/>
      <x:c r="AD128" s="30"/>
      <x:c r="AE128" s="30"/>
      <x:c r="AF128" s="30"/>
      <x:c r="AG128" s="30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>
      <x:c r="A129" s="1"/>
      <x:c r="B129" s="1"/>
      <x:c r="C129" s="30"/>
      <x:c r="D129" s="30"/>
      <x:c r="E129" s="30"/>
      <x:c r="F129" s="30"/>
      <x:c r="G129" s="30"/>
      <x:c r="H129" s="30"/>
      <x:c r="I129" s="30"/>
      <x:c r="J129" s="30"/>
      <x:c r="K129" s="30"/>
      <x:c r="L129" s="30"/>
      <x:c r="M129" s="30"/>
      <x:c r="N129" s="30"/>
      <x:c r="O129" s="30"/>
      <x:c r="P129" s="30"/>
      <x:c r="Q129" s="30"/>
      <x:c r="R129" s="30"/>
      <x:c r="S129" s="30"/>
      <x:c r="T129" s="30"/>
      <x:c r="U129" s="30"/>
      <x:c r="V129" s="30"/>
      <x:c r="W129" s="30"/>
      <x:c r="X129" s="30"/>
      <x:c r="Y129" s="30"/>
      <x:c r="Z129" s="30"/>
      <x:c r="AA129" s="30"/>
      <x:c r="AB129" s="30"/>
      <x:c r="AC129" s="30"/>
      <x:c r="AD129" s="30"/>
      <x:c r="AE129" s="30"/>
      <x:c r="AF129" s="30"/>
      <x:c r="AG129" s="30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>
      <x:c r="A130" s="1"/>
      <x:c r="B130" s="1"/>
      <x:c r="C130" s="30"/>
      <x:c r="D130" s="30"/>
      <x:c r="E130" s="30"/>
      <x:c r="F130" s="30"/>
      <x:c r="G130" s="30"/>
      <x:c r="H130" s="30"/>
      <x:c r="I130" s="30"/>
      <x:c r="J130" s="30"/>
      <x:c r="K130" s="30"/>
      <x:c r="L130" s="30"/>
      <x:c r="M130" s="30"/>
      <x:c r="N130" s="30"/>
      <x:c r="O130" s="30"/>
      <x:c r="P130" s="30"/>
      <x:c r="Q130" s="30"/>
      <x:c r="R130" s="30"/>
      <x:c r="S130" s="30"/>
      <x:c r="T130" s="30"/>
      <x:c r="U130" s="30"/>
      <x:c r="V130" s="30"/>
      <x:c r="W130" s="30"/>
      <x:c r="X130" s="30"/>
      <x:c r="Y130" s="30"/>
      <x:c r="Z130" s="30"/>
      <x:c r="AA130" s="30"/>
      <x:c r="AB130" s="30"/>
      <x:c r="AC130" s="30"/>
      <x:c r="AD130" s="30"/>
      <x:c r="AE130" s="30"/>
      <x:c r="AF130" s="30"/>
      <x:c r="AG130" s="30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>
      <x:c r="A131" s="1"/>
      <x:c r="B131" s="1"/>
      <x:c r="C131" s="30"/>
      <x:c r="D131" s="30"/>
      <x:c r="E131" s="30"/>
      <x:c r="F131" s="30"/>
      <x:c r="G131" s="30"/>
      <x:c r="H131" s="30"/>
      <x:c r="I131" s="30"/>
      <x:c r="J131" s="30"/>
      <x:c r="K131" s="30"/>
      <x:c r="L131" s="30"/>
      <x:c r="M131" s="30"/>
      <x:c r="N131" s="30"/>
      <x:c r="O131" s="30"/>
      <x:c r="P131" s="30"/>
      <x:c r="Q131" s="30"/>
      <x:c r="R131" s="30"/>
      <x:c r="S131" s="30"/>
      <x:c r="T131" s="30"/>
      <x:c r="U131" s="30"/>
      <x:c r="V131" s="30"/>
      <x:c r="W131" s="30"/>
      <x:c r="X131" s="30"/>
      <x:c r="Y131" s="30"/>
      <x:c r="Z131" s="30"/>
      <x:c r="AA131" s="30"/>
      <x:c r="AB131" s="30"/>
      <x:c r="AC131" s="30"/>
      <x:c r="AD131" s="30"/>
      <x:c r="AE131" s="30"/>
      <x:c r="AF131" s="30"/>
      <x:c r="AG131" s="30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>
      <x:c r="A132" s="1"/>
      <x:c r="B132" s="1"/>
      <x:c r="C132" s="30"/>
      <x:c r="D132" s="30"/>
      <x:c r="E132" s="30"/>
      <x:c r="F132" s="30"/>
      <x:c r="G132" s="30"/>
      <x:c r="H132" s="30"/>
      <x:c r="I132" s="30"/>
      <x:c r="J132" s="30"/>
      <x:c r="K132" s="30"/>
      <x:c r="L132" s="30"/>
      <x:c r="M132" s="30"/>
      <x:c r="N132" s="30"/>
      <x:c r="O132" s="30"/>
      <x:c r="P132" s="30"/>
      <x:c r="Q132" s="30"/>
      <x:c r="R132" s="30"/>
      <x:c r="S132" s="30"/>
      <x:c r="T132" s="30"/>
      <x:c r="U132" s="30"/>
      <x:c r="V132" s="30"/>
      <x:c r="W132" s="30"/>
      <x:c r="X132" s="30"/>
      <x:c r="Y132" s="30"/>
      <x:c r="Z132" s="30"/>
      <x:c r="AA132" s="30"/>
      <x:c r="AB132" s="30"/>
      <x:c r="AC132" s="30"/>
      <x:c r="AD132" s="30"/>
      <x:c r="AE132" s="30"/>
      <x:c r="AF132" s="30"/>
      <x:c r="AG132" s="30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>
      <x:c r="A133" s="1"/>
      <x:c r="B133" s="1"/>
      <x:c r="C133" s="30"/>
      <x:c r="D133" s="30"/>
      <x:c r="E133" s="30"/>
      <x:c r="F133" s="30"/>
      <x:c r="G133" s="30"/>
      <x:c r="H133" s="30"/>
      <x:c r="I133" s="30"/>
      <x:c r="J133" s="30"/>
      <x:c r="K133" s="30"/>
      <x:c r="L133" s="30"/>
      <x:c r="M133" s="30"/>
      <x:c r="N133" s="30"/>
      <x:c r="O133" s="30"/>
      <x:c r="P133" s="30"/>
      <x:c r="Q133" s="30"/>
      <x:c r="R133" s="30"/>
      <x:c r="S133" s="30"/>
      <x:c r="T133" s="30"/>
      <x:c r="U133" s="30"/>
      <x:c r="V133" s="30"/>
      <x:c r="W133" s="30"/>
      <x:c r="X133" s="30"/>
      <x:c r="Y133" s="30"/>
      <x:c r="Z133" s="30"/>
      <x:c r="AA133" s="30"/>
      <x:c r="AB133" s="30"/>
      <x:c r="AC133" s="30"/>
      <x:c r="AD133" s="30"/>
      <x:c r="AE133" s="30"/>
      <x:c r="AF133" s="30"/>
      <x:c r="AG133" s="30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>
      <x:c r="A134" s="1"/>
      <x:c r="B134" s="1"/>
      <x:c r="C134" s="30"/>
      <x:c r="D134" s="30"/>
      <x:c r="E134" s="30"/>
      <x:c r="F134" s="30"/>
      <x:c r="G134" s="30"/>
      <x:c r="H134" s="30"/>
      <x:c r="I134" s="30"/>
      <x:c r="J134" s="30"/>
      <x:c r="K134" s="30"/>
      <x:c r="L134" s="30"/>
      <x:c r="M134" s="30"/>
      <x:c r="N134" s="30"/>
      <x:c r="O134" s="30"/>
      <x:c r="P134" s="30"/>
      <x:c r="Q134" s="30"/>
      <x:c r="R134" s="30"/>
      <x:c r="S134" s="30"/>
      <x:c r="T134" s="30"/>
      <x:c r="U134" s="30"/>
      <x:c r="V134" s="30"/>
      <x:c r="W134" s="30"/>
      <x:c r="X134" s="30"/>
      <x:c r="Y134" s="30"/>
      <x:c r="Z134" s="30"/>
      <x:c r="AA134" s="30"/>
      <x:c r="AB134" s="30"/>
      <x:c r="AC134" s="30"/>
      <x:c r="AD134" s="30"/>
      <x:c r="AE134" s="30"/>
      <x:c r="AF134" s="30"/>
      <x:c r="AG134" s="30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>
      <x:c r="A135" s="1"/>
      <x:c r="B135" s="1"/>
      <x:c r="C135" s="30"/>
      <x:c r="D135" s="30"/>
      <x:c r="E135" s="30"/>
      <x:c r="F135" s="30"/>
      <x:c r="G135" s="30"/>
      <x:c r="H135" s="30"/>
      <x:c r="I135" s="30"/>
      <x:c r="J135" s="30"/>
      <x:c r="K135" s="30"/>
      <x:c r="L135" s="30"/>
      <x:c r="M135" s="30"/>
      <x:c r="N135" s="30"/>
      <x:c r="O135" s="30"/>
      <x:c r="P135" s="30"/>
      <x:c r="Q135" s="30"/>
      <x:c r="R135" s="30"/>
      <x:c r="S135" s="30"/>
      <x:c r="T135" s="30"/>
      <x:c r="U135" s="30"/>
      <x:c r="V135" s="30"/>
      <x:c r="W135" s="30"/>
      <x:c r="X135" s="30"/>
      <x:c r="Y135" s="30"/>
      <x:c r="Z135" s="30"/>
      <x:c r="AA135" s="30"/>
      <x:c r="AB135" s="30"/>
      <x:c r="AC135" s="30"/>
      <x:c r="AD135" s="30"/>
      <x:c r="AE135" s="30"/>
      <x:c r="AF135" s="30"/>
      <x:c r="AG135" s="30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>
      <x:c r="A136" s="1"/>
      <x:c r="B136" s="1"/>
      <x:c r="C136" s="30"/>
      <x:c r="D136" s="30"/>
      <x:c r="E136" s="30"/>
      <x:c r="F136" s="30"/>
      <x:c r="G136" s="30"/>
      <x:c r="H136" s="30"/>
      <x:c r="I136" s="30"/>
      <x:c r="J136" s="30"/>
      <x:c r="K136" s="30"/>
      <x:c r="L136" s="30"/>
      <x:c r="M136" s="30"/>
      <x:c r="N136" s="30"/>
      <x:c r="O136" s="30"/>
      <x:c r="P136" s="30"/>
      <x:c r="Q136" s="30"/>
      <x:c r="R136" s="30"/>
      <x:c r="S136" s="30"/>
      <x:c r="T136" s="30"/>
      <x:c r="U136" s="30"/>
      <x:c r="V136" s="30"/>
      <x:c r="W136" s="30"/>
      <x:c r="X136" s="30"/>
      <x:c r="Y136" s="30"/>
      <x:c r="Z136" s="30"/>
      <x:c r="AA136" s="30"/>
      <x:c r="AB136" s="30"/>
      <x:c r="AC136" s="30"/>
      <x:c r="AD136" s="30"/>
      <x:c r="AE136" s="30"/>
      <x:c r="AF136" s="30"/>
      <x:c r="AG136" s="30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>
      <x:c r="A137" s="1"/>
      <x:c r="B137" s="1"/>
      <x:c r="C137" s="30"/>
      <x:c r="D137" s="30"/>
      <x:c r="E137" s="30"/>
      <x:c r="F137" s="30"/>
      <x:c r="G137" s="30"/>
      <x:c r="H137" s="30"/>
      <x:c r="I137" s="30"/>
      <x:c r="J137" s="30"/>
      <x:c r="K137" s="30"/>
      <x:c r="L137" s="30"/>
      <x:c r="M137" s="30"/>
      <x:c r="N137" s="30"/>
      <x:c r="O137" s="30"/>
      <x:c r="P137" s="30"/>
      <x:c r="Q137" s="30"/>
      <x:c r="R137" s="30"/>
      <x:c r="S137" s="30"/>
      <x:c r="T137" s="30"/>
      <x:c r="U137" s="30"/>
      <x:c r="V137" s="30"/>
      <x:c r="W137" s="30"/>
      <x:c r="X137" s="30"/>
      <x:c r="Y137" s="30"/>
      <x:c r="Z137" s="30"/>
      <x:c r="AA137" s="30"/>
      <x:c r="AB137" s="30"/>
      <x:c r="AC137" s="30"/>
      <x:c r="AD137" s="30"/>
      <x:c r="AE137" s="30"/>
      <x:c r="AF137" s="30"/>
      <x:c r="AG137" s="30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>
      <x:c r="A138" s="1"/>
      <x:c r="B138" s="1"/>
      <x:c r="C138" s="30"/>
      <x:c r="D138" s="30"/>
      <x:c r="E138" s="30"/>
      <x:c r="F138" s="30"/>
      <x:c r="G138" s="30"/>
      <x:c r="H138" s="30"/>
      <x:c r="I138" s="30"/>
      <x:c r="J138" s="30"/>
      <x:c r="K138" s="30"/>
      <x:c r="L138" s="30"/>
      <x:c r="M138" s="30"/>
      <x:c r="N138" s="30"/>
      <x:c r="O138" s="30"/>
      <x:c r="P138" s="30"/>
      <x:c r="Q138" s="30"/>
      <x:c r="R138" s="30"/>
      <x:c r="S138" s="30"/>
      <x:c r="T138" s="30"/>
      <x:c r="U138" s="30"/>
      <x:c r="V138" s="30"/>
      <x:c r="W138" s="30"/>
      <x:c r="X138" s="30"/>
      <x:c r="Y138" s="30"/>
      <x:c r="Z138" s="30"/>
      <x:c r="AA138" s="30"/>
      <x:c r="AB138" s="30"/>
      <x:c r="AC138" s="30"/>
      <x:c r="AD138" s="30"/>
      <x:c r="AE138" s="30"/>
      <x:c r="AF138" s="30"/>
      <x:c r="AG138" s="30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>
      <x:c r="A139" s="1"/>
      <x:c r="B139" s="1"/>
      <x:c r="C139" s="30"/>
      <x:c r="D139" s="30"/>
      <x:c r="E139" s="30"/>
      <x:c r="F139" s="30"/>
      <x:c r="G139" s="30"/>
      <x:c r="H139" s="30"/>
      <x:c r="I139" s="30"/>
      <x:c r="J139" s="30"/>
      <x:c r="K139" s="30"/>
      <x:c r="L139" s="30"/>
      <x:c r="M139" s="30"/>
      <x:c r="N139" s="30"/>
      <x:c r="O139" s="30"/>
      <x:c r="P139" s="30"/>
      <x:c r="Q139" s="30"/>
      <x:c r="R139" s="30"/>
      <x:c r="S139" s="30"/>
      <x:c r="T139" s="30"/>
      <x:c r="U139" s="30"/>
      <x:c r="V139" s="30"/>
      <x:c r="W139" s="30"/>
      <x:c r="X139" s="30"/>
      <x:c r="Y139" s="30"/>
      <x:c r="Z139" s="30"/>
      <x:c r="AA139" s="30"/>
      <x:c r="AB139" s="30"/>
      <x:c r="AC139" s="30"/>
      <x:c r="AD139" s="30"/>
      <x:c r="AE139" s="30"/>
      <x:c r="AF139" s="30"/>
      <x:c r="AG139" s="30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>
      <x:c r="A140" s="1"/>
      <x:c r="B140" s="1"/>
      <x:c r="C140" s="30"/>
      <x:c r="D140" s="30"/>
      <x:c r="E140" s="30"/>
      <x:c r="F140" s="30"/>
      <x:c r="G140" s="30"/>
      <x:c r="H140" s="30"/>
      <x:c r="I140" s="30"/>
      <x:c r="J140" s="30"/>
      <x:c r="K140" s="30"/>
      <x:c r="L140" s="30"/>
      <x:c r="M140" s="30"/>
      <x:c r="N140" s="30"/>
      <x:c r="O140" s="30"/>
      <x:c r="P140" s="30"/>
      <x:c r="Q140" s="30"/>
      <x:c r="R140" s="30"/>
      <x:c r="S140" s="30"/>
      <x:c r="T140" s="30"/>
      <x:c r="U140" s="30"/>
      <x:c r="V140" s="30"/>
      <x:c r="W140" s="30"/>
      <x:c r="X140" s="30"/>
      <x:c r="Y140" s="30"/>
      <x:c r="Z140" s="30"/>
      <x:c r="AA140" s="30"/>
      <x:c r="AB140" s="30"/>
      <x:c r="AC140" s="30"/>
      <x:c r="AD140" s="30"/>
      <x:c r="AE140" s="30"/>
      <x:c r="AF140" s="30"/>
      <x:c r="AG140" s="30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>
      <x:c r="A141" s="1"/>
      <x:c r="B141" s="1"/>
      <x:c r="C141" s="30"/>
      <x:c r="D141" s="30"/>
      <x:c r="E141" s="30"/>
      <x:c r="F141" s="30"/>
      <x:c r="G141" s="30"/>
      <x:c r="H141" s="30"/>
      <x:c r="I141" s="30"/>
      <x:c r="J141" s="30"/>
      <x:c r="K141" s="30"/>
      <x:c r="L141" s="30"/>
      <x:c r="M141" s="30"/>
      <x:c r="N141" s="30"/>
      <x:c r="O141" s="30"/>
      <x:c r="P141" s="30"/>
      <x:c r="Q141" s="30"/>
      <x:c r="R141" s="30"/>
      <x:c r="S141" s="30"/>
      <x:c r="T141" s="30"/>
      <x:c r="U141" s="30"/>
      <x:c r="V141" s="30"/>
      <x:c r="W141" s="30"/>
      <x:c r="X141" s="30"/>
      <x:c r="Y141" s="30"/>
      <x:c r="Z141" s="30"/>
      <x:c r="AA141" s="30"/>
      <x:c r="AB141" s="30"/>
      <x:c r="AC141" s="30"/>
      <x:c r="AD141" s="30"/>
      <x:c r="AE141" s="30"/>
      <x:c r="AF141" s="30"/>
      <x:c r="AG141" s="30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>
      <x:c r="A142" s="1"/>
      <x:c r="B142" s="1"/>
      <x:c r="C142" s="30"/>
      <x:c r="D142" s="30"/>
      <x:c r="E142" s="30"/>
      <x:c r="F142" s="30"/>
      <x:c r="G142" s="30"/>
      <x:c r="H142" s="30"/>
      <x:c r="I142" s="30"/>
      <x:c r="J142" s="30"/>
      <x:c r="K142" s="30"/>
      <x:c r="L142" s="30"/>
      <x:c r="M142" s="30"/>
      <x:c r="N142" s="30"/>
      <x:c r="O142" s="30"/>
      <x:c r="P142" s="30"/>
      <x:c r="Q142" s="30"/>
      <x:c r="R142" s="30"/>
      <x:c r="S142" s="30"/>
      <x:c r="T142" s="30"/>
      <x:c r="U142" s="30"/>
      <x:c r="V142" s="30"/>
      <x:c r="W142" s="30"/>
      <x:c r="X142" s="30"/>
      <x:c r="Y142" s="30"/>
      <x:c r="Z142" s="30"/>
      <x:c r="AA142" s="30"/>
      <x:c r="AB142" s="30"/>
      <x:c r="AC142" s="30"/>
      <x:c r="AD142" s="30"/>
      <x:c r="AE142" s="30"/>
      <x:c r="AF142" s="30"/>
      <x:c r="AG142" s="30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>
      <x:c r="A143" s="1"/>
      <x:c r="B143" s="1"/>
      <x:c r="C143" s="30"/>
      <x:c r="D143" s="30"/>
      <x:c r="E143" s="30"/>
      <x:c r="F143" s="30"/>
      <x:c r="G143" s="30"/>
      <x:c r="H143" s="30"/>
      <x:c r="I143" s="30"/>
      <x:c r="J143" s="30"/>
      <x:c r="K143" s="30"/>
      <x:c r="L143" s="30"/>
      <x:c r="M143" s="30"/>
      <x:c r="N143" s="30"/>
      <x:c r="O143" s="30"/>
      <x:c r="P143" s="30"/>
      <x:c r="Q143" s="30"/>
      <x:c r="R143" s="30"/>
      <x:c r="S143" s="30"/>
      <x:c r="T143" s="30"/>
      <x:c r="U143" s="30"/>
      <x:c r="V143" s="30"/>
      <x:c r="W143" s="30"/>
      <x:c r="X143" s="30"/>
      <x:c r="Y143" s="30"/>
      <x:c r="Z143" s="30"/>
      <x:c r="AA143" s="30"/>
      <x:c r="AB143" s="30"/>
      <x:c r="AC143" s="30"/>
      <x:c r="AD143" s="30"/>
      <x:c r="AE143" s="30"/>
      <x:c r="AF143" s="30"/>
      <x:c r="AG143" s="30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>
      <x:c r="A144" s="1"/>
      <x:c r="B144" s="1"/>
      <x:c r="C144" s="30"/>
      <x:c r="D144" s="30"/>
      <x:c r="E144" s="30"/>
      <x:c r="F144" s="30"/>
      <x:c r="G144" s="30"/>
      <x:c r="H144" s="30"/>
      <x:c r="I144" s="30"/>
      <x:c r="J144" s="30"/>
      <x:c r="K144" s="30"/>
      <x:c r="L144" s="30"/>
      <x:c r="M144" s="30"/>
      <x:c r="N144" s="30"/>
      <x:c r="O144" s="30"/>
      <x:c r="P144" s="30"/>
      <x:c r="Q144" s="30"/>
      <x:c r="R144" s="30"/>
      <x:c r="S144" s="30"/>
      <x:c r="T144" s="30"/>
      <x:c r="U144" s="30"/>
      <x:c r="V144" s="30"/>
      <x:c r="W144" s="30"/>
      <x:c r="X144" s="30"/>
      <x:c r="Y144" s="30"/>
      <x:c r="Z144" s="30"/>
      <x:c r="AA144" s="30"/>
      <x:c r="AB144" s="30"/>
      <x:c r="AC144" s="30"/>
      <x:c r="AD144" s="30"/>
      <x:c r="AE144" s="30"/>
      <x:c r="AF144" s="30"/>
      <x:c r="AG144" s="30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>
      <x:c r="A145" s="1"/>
      <x:c r="B145" s="1"/>
      <x:c r="C145" s="30"/>
      <x:c r="D145" s="30"/>
      <x:c r="E145" s="30"/>
      <x:c r="F145" s="30"/>
      <x:c r="G145" s="30"/>
      <x:c r="H145" s="30"/>
      <x:c r="I145" s="30"/>
      <x:c r="J145" s="30"/>
      <x:c r="K145" s="30"/>
      <x:c r="L145" s="30"/>
      <x:c r="M145" s="30"/>
      <x:c r="N145" s="30"/>
      <x:c r="O145" s="30"/>
      <x:c r="P145" s="30"/>
      <x:c r="Q145" s="30"/>
      <x:c r="R145" s="30"/>
      <x:c r="S145" s="30"/>
      <x:c r="T145" s="30"/>
      <x:c r="U145" s="30"/>
      <x:c r="V145" s="30"/>
      <x:c r="W145" s="30"/>
      <x:c r="X145" s="30"/>
      <x:c r="Y145" s="30"/>
      <x:c r="Z145" s="30"/>
      <x:c r="AA145" s="30"/>
      <x:c r="AB145" s="30"/>
      <x:c r="AC145" s="30"/>
      <x:c r="AD145" s="30"/>
      <x:c r="AE145" s="30"/>
      <x:c r="AF145" s="30"/>
      <x:c r="AG145" s="30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>
      <x:c r="A146" s="1"/>
      <x:c r="B146" s="1"/>
      <x:c r="C146" s="30"/>
      <x:c r="D146" s="30"/>
      <x:c r="E146" s="30"/>
      <x:c r="F146" s="30"/>
      <x:c r="G146" s="30"/>
      <x:c r="H146" s="30"/>
      <x:c r="I146" s="30"/>
      <x:c r="J146" s="30"/>
      <x:c r="K146" s="30"/>
      <x:c r="L146" s="30"/>
      <x:c r="M146" s="30"/>
      <x:c r="N146" s="30"/>
      <x:c r="O146" s="30"/>
      <x:c r="P146" s="30"/>
      <x:c r="Q146" s="30"/>
      <x:c r="R146" s="30"/>
      <x:c r="S146" s="30"/>
      <x:c r="T146" s="30"/>
      <x:c r="U146" s="30"/>
      <x:c r="V146" s="30"/>
      <x:c r="W146" s="30"/>
      <x:c r="X146" s="30"/>
      <x:c r="Y146" s="30"/>
      <x:c r="Z146" s="30"/>
      <x:c r="AA146" s="30"/>
      <x:c r="AB146" s="30"/>
      <x:c r="AC146" s="30"/>
      <x:c r="AD146" s="30"/>
      <x:c r="AE146" s="30"/>
      <x:c r="AF146" s="30"/>
      <x:c r="AG146" s="30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>
      <x:c r="A147" s="1"/>
      <x:c r="B147" s="1"/>
      <x:c r="C147" s="30"/>
      <x:c r="D147" s="30"/>
      <x:c r="E147" s="30"/>
      <x:c r="F147" s="30"/>
      <x:c r="G147" s="30"/>
      <x:c r="H147" s="30"/>
      <x:c r="I147" s="30"/>
      <x:c r="J147" s="30"/>
      <x:c r="K147" s="30"/>
      <x:c r="L147" s="30"/>
      <x:c r="M147" s="30"/>
      <x:c r="N147" s="30"/>
      <x:c r="O147" s="30"/>
      <x:c r="P147" s="30"/>
      <x:c r="Q147" s="30"/>
      <x:c r="R147" s="30"/>
      <x:c r="S147" s="30"/>
      <x:c r="T147" s="30"/>
      <x:c r="U147" s="30"/>
      <x:c r="V147" s="30"/>
      <x:c r="W147" s="30"/>
      <x:c r="X147" s="30"/>
      <x:c r="Y147" s="30"/>
      <x:c r="Z147" s="30"/>
      <x:c r="AA147" s="30"/>
      <x:c r="AB147" s="30"/>
      <x:c r="AC147" s="30"/>
      <x:c r="AD147" s="30"/>
      <x:c r="AE147" s="30"/>
      <x:c r="AF147" s="30"/>
      <x:c r="AG147" s="30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>
      <x:c r="A148" s="1"/>
      <x:c r="B148" s="1"/>
      <x:c r="C148" s="30"/>
      <x:c r="D148" s="30"/>
      <x:c r="E148" s="30"/>
      <x:c r="F148" s="30"/>
      <x:c r="G148" s="30"/>
      <x:c r="H148" s="30"/>
      <x:c r="I148" s="30"/>
      <x:c r="J148" s="30"/>
      <x:c r="K148" s="30"/>
      <x:c r="L148" s="30"/>
      <x:c r="M148" s="30"/>
      <x:c r="N148" s="30"/>
      <x:c r="O148" s="30"/>
      <x:c r="P148" s="30"/>
      <x:c r="Q148" s="30"/>
      <x:c r="R148" s="30"/>
      <x:c r="S148" s="30"/>
      <x:c r="T148" s="30"/>
      <x:c r="U148" s="30"/>
      <x:c r="V148" s="30"/>
      <x:c r="W148" s="30"/>
      <x:c r="X148" s="30"/>
      <x:c r="Y148" s="30"/>
      <x:c r="Z148" s="30"/>
      <x:c r="AA148" s="30"/>
      <x:c r="AB148" s="30"/>
      <x:c r="AC148" s="30"/>
      <x:c r="AD148" s="30"/>
      <x:c r="AE148" s="30"/>
      <x:c r="AF148" s="30"/>
      <x:c r="AG148" s="30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>
      <x:c r="A149" s="1"/>
      <x:c r="B149" s="1"/>
      <x:c r="C149" s="30"/>
      <x:c r="D149" s="30"/>
      <x:c r="E149" s="30"/>
      <x:c r="F149" s="30"/>
      <x:c r="G149" s="30"/>
      <x:c r="H149" s="30"/>
      <x:c r="I149" s="30"/>
      <x:c r="J149" s="30"/>
      <x:c r="K149" s="30"/>
      <x:c r="L149" s="30"/>
      <x:c r="M149" s="30"/>
      <x:c r="N149" s="30"/>
      <x:c r="O149" s="30"/>
      <x:c r="P149" s="30"/>
      <x:c r="Q149" s="30"/>
      <x:c r="R149" s="30"/>
      <x:c r="S149" s="30"/>
      <x:c r="T149" s="30"/>
      <x:c r="U149" s="30"/>
      <x:c r="V149" s="30"/>
      <x:c r="W149" s="30"/>
      <x:c r="X149" s="30"/>
      <x:c r="Y149" s="30"/>
      <x:c r="Z149" s="30"/>
      <x:c r="AA149" s="30"/>
      <x:c r="AB149" s="30"/>
      <x:c r="AC149" s="30"/>
      <x:c r="AD149" s="30"/>
      <x:c r="AE149" s="30"/>
      <x:c r="AF149" s="30"/>
      <x:c r="AG149" s="30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>
      <x:c r="A150" s="1"/>
      <x:c r="B150" s="1"/>
      <x:c r="C150" s="30"/>
      <x:c r="D150" s="30"/>
      <x:c r="E150" s="30"/>
      <x:c r="F150" s="30"/>
      <x:c r="G150" s="30"/>
      <x:c r="H150" s="30"/>
      <x:c r="I150" s="30"/>
      <x:c r="J150" s="30"/>
      <x:c r="K150" s="30"/>
      <x:c r="L150" s="30"/>
      <x:c r="M150" s="30"/>
      <x:c r="N150" s="30"/>
      <x:c r="O150" s="30"/>
      <x:c r="P150" s="30"/>
      <x:c r="Q150" s="30"/>
      <x:c r="R150" s="30"/>
      <x:c r="S150" s="30"/>
      <x:c r="T150" s="30"/>
      <x:c r="U150" s="30"/>
      <x:c r="V150" s="30"/>
      <x:c r="W150" s="30"/>
      <x:c r="X150" s="30"/>
      <x:c r="Y150" s="30"/>
      <x:c r="Z150" s="30"/>
      <x:c r="AA150" s="30"/>
      <x:c r="AB150" s="30"/>
      <x:c r="AC150" s="30"/>
      <x:c r="AD150" s="30"/>
      <x:c r="AE150" s="30"/>
      <x:c r="AF150" s="30"/>
      <x:c r="AG150" s="30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>
      <x:c r="A151" s="1"/>
      <x:c r="B151" s="1"/>
      <x:c r="C151" s="30"/>
      <x:c r="D151" s="30"/>
      <x:c r="E151" s="30"/>
      <x:c r="F151" s="30"/>
      <x:c r="G151" s="30"/>
      <x:c r="H151" s="30"/>
      <x:c r="I151" s="30"/>
      <x:c r="J151" s="30"/>
      <x:c r="K151" s="30"/>
      <x:c r="L151" s="30"/>
      <x:c r="M151" s="30"/>
      <x:c r="N151" s="30"/>
      <x:c r="O151" s="30"/>
      <x:c r="P151" s="30"/>
      <x:c r="Q151" s="30"/>
      <x:c r="R151" s="30"/>
      <x:c r="S151" s="30"/>
      <x:c r="T151" s="30"/>
      <x:c r="U151" s="30"/>
      <x:c r="V151" s="30"/>
      <x:c r="W151" s="30"/>
      <x:c r="X151" s="30"/>
      <x:c r="Y151" s="30"/>
      <x:c r="Z151" s="30"/>
      <x:c r="AA151" s="30"/>
      <x:c r="AB151" s="30"/>
      <x:c r="AC151" s="30"/>
      <x:c r="AD151" s="30"/>
      <x:c r="AE151" s="30"/>
      <x:c r="AF151" s="30"/>
      <x:c r="AG151" s="30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>
      <x:c r="A152" s="1"/>
      <x:c r="B152" s="1"/>
      <x:c r="C152" s="30"/>
      <x:c r="D152" s="30"/>
      <x:c r="E152" s="30"/>
      <x:c r="F152" s="30"/>
      <x:c r="G152" s="30"/>
      <x:c r="H152" s="30"/>
      <x:c r="I152" s="30"/>
      <x:c r="J152" s="30"/>
      <x:c r="K152" s="30"/>
      <x:c r="L152" s="30"/>
      <x:c r="M152" s="30"/>
      <x:c r="N152" s="30"/>
      <x:c r="O152" s="30"/>
      <x:c r="P152" s="30"/>
      <x:c r="Q152" s="30"/>
      <x:c r="R152" s="30"/>
      <x:c r="S152" s="30"/>
      <x:c r="T152" s="30"/>
      <x:c r="U152" s="30"/>
      <x:c r="V152" s="30"/>
      <x:c r="W152" s="30"/>
      <x:c r="X152" s="30"/>
      <x:c r="Y152" s="30"/>
      <x:c r="Z152" s="30"/>
      <x:c r="AA152" s="30"/>
      <x:c r="AB152" s="30"/>
      <x:c r="AC152" s="30"/>
      <x:c r="AD152" s="30"/>
      <x:c r="AE152" s="30"/>
      <x:c r="AF152" s="30"/>
      <x:c r="AG152" s="30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>
      <x:c r="A153" s="1"/>
      <x:c r="B153" s="1"/>
      <x:c r="C153" s="30"/>
      <x:c r="D153" s="30"/>
      <x:c r="E153" s="30"/>
      <x:c r="F153" s="30"/>
      <x:c r="G153" s="30"/>
      <x:c r="H153" s="30"/>
      <x:c r="I153" s="30"/>
      <x:c r="J153" s="30"/>
      <x:c r="K153" s="30"/>
      <x:c r="L153" s="30"/>
      <x:c r="M153" s="30"/>
      <x:c r="N153" s="30"/>
      <x:c r="O153" s="30"/>
      <x:c r="P153" s="30"/>
      <x:c r="Q153" s="30"/>
      <x:c r="R153" s="30"/>
      <x:c r="S153" s="30"/>
      <x:c r="T153" s="30"/>
      <x:c r="U153" s="30"/>
      <x:c r="V153" s="30"/>
      <x:c r="W153" s="30"/>
      <x:c r="X153" s="30"/>
      <x:c r="Y153" s="30"/>
      <x:c r="Z153" s="30"/>
      <x:c r="AA153" s="30"/>
      <x:c r="AB153" s="30"/>
      <x:c r="AC153" s="30"/>
      <x:c r="AD153" s="30"/>
      <x:c r="AE153" s="30"/>
      <x:c r="AF153" s="30"/>
      <x:c r="AG153" s="30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>
      <x:c r="A154" s="1"/>
      <x:c r="B154" s="1"/>
      <x:c r="C154" s="30"/>
      <x:c r="D154" s="30"/>
      <x:c r="E154" s="30"/>
      <x:c r="F154" s="30"/>
      <x:c r="G154" s="30"/>
      <x:c r="H154" s="30"/>
      <x:c r="I154" s="30"/>
      <x:c r="J154" s="30"/>
      <x:c r="K154" s="30"/>
      <x:c r="L154" s="30"/>
      <x:c r="M154" s="30"/>
      <x:c r="N154" s="30"/>
      <x:c r="O154" s="30"/>
      <x:c r="P154" s="30"/>
      <x:c r="Q154" s="30"/>
      <x:c r="R154" s="30"/>
      <x:c r="S154" s="30"/>
      <x:c r="T154" s="30"/>
      <x:c r="U154" s="30"/>
      <x:c r="V154" s="30"/>
      <x:c r="W154" s="30"/>
      <x:c r="X154" s="30"/>
      <x:c r="Y154" s="30"/>
      <x:c r="Z154" s="30"/>
      <x:c r="AA154" s="30"/>
      <x:c r="AB154" s="30"/>
      <x:c r="AC154" s="30"/>
      <x:c r="AD154" s="30"/>
      <x:c r="AE154" s="30"/>
      <x:c r="AF154" s="30"/>
      <x:c r="AG154" s="30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>
      <x:c r="A155" s="1"/>
      <x:c r="B155" s="1"/>
      <x:c r="C155" s="30"/>
      <x:c r="D155" s="30"/>
      <x:c r="E155" s="30"/>
      <x:c r="F155" s="30"/>
      <x:c r="G155" s="30"/>
      <x:c r="H155" s="30"/>
      <x:c r="I155" s="30"/>
      <x:c r="J155" s="30"/>
      <x:c r="K155" s="30"/>
      <x:c r="L155" s="30"/>
      <x:c r="M155" s="30"/>
      <x:c r="N155" s="30"/>
      <x:c r="O155" s="30"/>
      <x:c r="P155" s="30"/>
      <x:c r="Q155" s="30"/>
      <x:c r="R155" s="30"/>
      <x:c r="S155" s="30"/>
      <x:c r="T155" s="30"/>
      <x:c r="U155" s="30"/>
      <x:c r="V155" s="30"/>
      <x:c r="W155" s="30"/>
      <x:c r="X155" s="30"/>
      <x:c r="Y155" s="30"/>
      <x:c r="Z155" s="30"/>
      <x:c r="AA155" s="30"/>
      <x:c r="AB155" s="30"/>
      <x:c r="AC155" s="30"/>
      <x:c r="AD155" s="30"/>
      <x:c r="AE155" s="30"/>
      <x:c r="AF155" s="30"/>
      <x:c r="AG155" s="30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>
      <x:c r="A156" s="1"/>
      <x:c r="B156" s="1"/>
      <x:c r="C156" s="30"/>
      <x:c r="D156" s="30"/>
      <x:c r="E156" s="30"/>
      <x:c r="F156" s="30"/>
      <x:c r="G156" s="30"/>
      <x:c r="H156" s="30"/>
      <x:c r="I156" s="30"/>
      <x:c r="J156" s="30"/>
      <x:c r="K156" s="30"/>
      <x:c r="L156" s="30"/>
      <x:c r="M156" s="30"/>
      <x:c r="N156" s="30"/>
      <x:c r="O156" s="30"/>
      <x:c r="P156" s="30"/>
      <x:c r="Q156" s="30"/>
      <x:c r="R156" s="30"/>
      <x:c r="S156" s="30"/>
      <x:c r="T156" s="30"/>
      <x:c r="U156" s="30"/>
      <x:c r="V156" s="30"/>
      <x:c r="W156" s="30"/>
      <x:c r="X156" s="30"/>
      <x:c r="Y156" s="30"/>
      <x:c r="Z156" s="30"/>
      <x:c r="AA156" s="30"/>
      <x:c r="AB156" s="30"/>
      <x:c r="AC156" s="30"/>
      <x:c r="AD156" s="30"/>
      <x:c r="AE156" s="30"/>
      <x:c r="AF156" s="30"/>
      <x:c r="AG156" s="30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>
      <x:c r="A157" s="1"/>
      <x:c r="B157" s="1"/>
      <x:c r="C157" s="30"/>
      <x:c r="D157" s="30"/>
      <x:c r="E157" s="30"/>
      <x:c r="F157" s="30"/>
      <x:c r="G157" s="30"/>
      <x:c r="H157" s="30"/>
      <x:c r="I157" s="30"/>
      <x:c r="J157" s="30"/>
      <x:c r="K157" s="30"/>
      <x:c r="L157" s="30"/>
      <x:c r="M157" s="30"/>
      <x:c r="N157" s="30"/>
      <x:c r="O157" s="30"/>
      <x:c r="P157" s="30"/>
      <x:c r="Q157" s="30"/>
      <x:c r="R157" s="30"/>
      <x:c r="S157" s="30"/>
      <x:c r="T157" s="30"/>
      <x:c r="U157" s="30"/>
      <x:c r="V157" s="30"/>
      <x:c r="W157" s="30"/>
      <x:c r="X157" s="30"/>
      <x:c r="Y157" s="30"/>
      <x:c r="Z157" s="30"/>
      <x:c r="AA157" s="30"/>
      <x:c r="AB157" s="30"/>
      <x:c r="AC157" s="30"/>
      <x:c r="AD157" s="30"/>
      <x:c r="AE157" s="30"/>
      <x:c r="AF157" s="30"/>
      <x:c r="AG157" s="30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>
      <x:c r="A158" s="1"/>
      <x:c r="B158" s="1"/>
      <x:c r="C158" s="30"/>
      <x:c r="D158" s="30"/>
      <x:c r="E158" s="30"/>
      <x:c r="F158" s="30"/>
      <x:c r="G158" s="30"/>
      <x:c r="H158" s="30"/>
      <x:c r="I158" s="30"/>
      <x:c r="J158" s="30"/>
      <x:c r="K158" s="30"/>
      <x:c r="L158" s="30"/>
      <x:c r="M158" s="30"/>
      <x:c r="N158" s="30"/>
      <x:c r="O158" s="30"/>
      <x:c r="P158" s="30"/>
      <x:c r="Q158" s="30"/>
      <x:c r="R158" s="30"/>
      <x:c r="S158" s="30"/>
      <x:c r="T158" s="30"/>
      <x:c r="U158" s="30"/>
      <x:c r="V158" s="30"/>
      <x:c r="W158" s="30"/>
      <x:c r="X158" s="30"/>
      <x:c r="Y158" s="30"/>
      <x:c r="Z158" s="30"/>
      <x:c r="AA158" s="30"/>
      <x:c r="AB158" s="30"/>
      <x:c r="AC158" s="30"/>
      <x:c r="AD158" s="30"/>
      <x:c r="AE158" s="30"/>
      <x:c r="AF158" s="30"/>
      <x:c r="AG158" s="30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>
      <x:c r="A159" s="1"/>
      <x:c r="B159" s="1"/>
      <x:c r="C159" s="30"/>
      <x:c r="D159" s="30"/>
      <x:c r="E159" s="30"/>
      <x:c r="F159" s="30"/>
      <x:c r="G159" s="30"/>
      <x:c r="H159" s="30"/>
      <x:c r="I159" s="30"/>
      <x:c r="J159" s="30"/>
      <x:c r="K159" s="30"/>
      <x:c r="L159" s="30"/>
      <x:c r="M159" s="30"/>
      <x:c r="N159" s="30"/>
      <x:c r="O159" s="30"/>
      <x:c r="P159" s="30"/>
      <x:c r="Q159" s="30"/>
      <x:c r="R159" s="30"/>
      <x:c r="S159" s="30"/>
      <x:c r="T159" s="30"/>
      <x:c r="U159" s="30"/>
      <x:c r="V159" s="30"/>
      <x:c r="W159" s="30"/>
      <x:c r="X159" s="30"/>
      <x:c r="Y159" s="30"/>
      <x:c r="Z159" s="30"/>
      <x:c r="AA159" s="30"/>
      <x:c r="AB159" s="30"/>
      <x:c r="AC159" s="30"/>
      <x:c r="AD159" s="30"/>
      <x:c r="AE159" s="30"/>
      <x:c r="AF159" s="30"/>
      <x:c r="AG159" s="30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>
      <x:c r="A160" s="1"/>
      <x:c r="B160" s="1"/>
      <x:c r="C160" s="30"/>
      <x:c r="D160" s="30"/>
      <x:c r="E160" s="30"/>
      <x:c r="F160" s="30"/>
      <x:c r="G160" s="30"/>
      <x:c r="H160" s="30"/>
      <x:c r="I160" s="30"/>
      <x:c r="J160" s="30"/>
      <x:c r="K160" s="30"/>
      <x:c r="L160" s="30"/>
      <x:c r="M160" s="30"/>
      <x:c r="N160" s="30"/>
      <x:c r="O160" s="30"/>
      <x:c r="P160" s="30"/>
      <x:c r="Q160" s="30"/>
      <x:c r="R160" s="30"/>
      <x:c r="S160" s="30"/>
      <x:c r="T160" s="30"/>
      <x:c r="U160" s="30"/>
      <x:c r="V160" s="30"/>
      <x:c r="W160" s="30"/>
      <x:c r="X160" s="30"/>
      <x:c r="Y160" s="30"/>
      <x:c r="Z160" s="30"/>
      <x:c r="AA160" s="30"/>
      <x:c r="AB160" s="30"/>
      <x:c r="AC160" s="30"/>
      <x:c r="AD160" s="30"/>
      <x:c r="AE160" s="30"/>
      <x:c r="AF160" s="30"/>
      <x:c r="AG160" s="30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>
      <x:c r="A161" s="1"/>
      <x:c r="B161" s="1"/>
      <x:c r="C161" s="30"/>
      <x:c r="D161" s="30"/>
      <x:c r="E161" s="30"/>
      <x:c r="F161" s="30"/>
      <x:c r="G161" s="30"/>
      <x:c r="H161" s="30"/>
      <x:c r="I161" s="30"/>
      <x:c r="J161" s="30"/>
      <x:c r="K161" s="30"/>
      <x:c r="L161" s="30"/>
      <x:c r="M161" s="30"/>
      <x:c r="N161" s="30"/>
      <x:c r="O161" s="30"/>
      <x:c r="P161" s="30"/>
      <x:c r="Q161" s="30"/>
      <x:c r="R161" s="30"/>
      <x:c r="S161" s="30"/>
      <x:c r="T161" s="30"/>
      <x:c r="U161" s="30"/>
      <x:c r="V161" s="30"/>
      <x:c r="W161" s="30"/>
      <x:c r="X161" s="30"/>
      <x:c r="Y161" s="30"/>
      <x:c r="Z161" s="30"/>
      <x:c r="AA161" s="30"/>
      <x:c r="AB161" s="30"/>
      <x:c r="AC161" s="30"/>
      <x:c r="AD161" s="30"/>
      <x:c r="AE161" s="30"/>
      <x:c r="AF161" s="30"/>
      <x:c r="AG161" s="30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>
      <x:c r="A162" s="1"/>
      <x:c r="B162" s="1"/>
      <x:c r="C162" s="30"/>
      <x:c r="D162" s="30"/>
      <x:c r="E162" s="30"/>
      <x:c r="F162" s="30"/>
      <x:c r="G162" s="30"/>
      <x:c r="H162" s="30"/>
      <x:c r="I162" s="30"/>
      <x:c r="J162" s="30"/>
      <x:c r="K162" s="30"/>
      <x:c r="L162" s="30"/>
      <x:c r="M162" s="30"/>
      <x:c r="N162" s="30"/>
      <x:c r="O162" s="30"/>
      <x:c r="P162" s="30"/>
      <x:c r="Q162" s="30"/>
      <x:c r="R162" s="30"/>
      <x:c r="S162" s="30"/>
      <x:c r="T162" s="30"/>
      <x:c r="U162" s="30"/>
      <x:c r="V162" s="30"/>
      <x:c r="W162" s="30"/>
      <x:c r="X162" s="30"/>
      <x:c r="Y162" s="30"/>
      <x:c r="Z162" s="30"/>
      <x:c r="AA162" s="30"/>
      <x:c r="AB162" s="30"/>
      <x:c r="AC162" s="30"/>
      <x:c r="AD162" s="30"/>
      <x:c r="AE162" s="30"/>
      <x:c r="AF162" s="30"/>
      <x:c r="AG162" s="30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>
      <x:c r="A163" s="1"/>
      <x:c r="B163" s="1"/>
      <x:c r="C163" s="30"/>
      <x:c r="D163" s="30"/>
      <x:c r="E163" s="30"/>
      <x:c r="F163" s="30"/>
      <x:c r="G163" s="30"/>
      <x:c r="H163" s="30"/>
      <x:c r="I163" s="30"/>
      <x:c r="J163" s="30"/>
      <x:c r="K163" s="30"/>
      <x:c r="L163" s="30"/>
      <x:c r="M163" s="30"/>
      <x:c r="N163" s="30"/>
      <x:c r="O163" s="30"/>
      <x:c r="P163" s="30"/>
      <x:c r="Q163" s="30"/>
      <x:c r="R163" s="30"/>
      <x:c r="S163" s="30"/>
      <x:c r="T163" s="30"/>
      <x:c r="U163" s="30"/>
      <x:c r="V163" s="30"/>
      <x:c r="W163" s="30"/>
      <x:c r="X163" s="30"/>
      <x:c r="Y163" s="30"/>
      <x:c r="Z163" s="30"/>
      <x:c r="AA163" s="30"/>
      <x:c r="AB163" s="30"/>
      <x:c r="AC163" s="30"/>
      <x:c r="AD163" s="30"/>
      <x:c r="AE163" s="30"/>
      <x:c r="AF163" s="30"/>
      <x:c r="AG163" s="30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>
      <x:c r="A164" s="1"/>
      <x:c r="B164" s="1"/>
      <x:c r="C164" s="30"/>
      <x:c r="D164" s="30"/>
      <x:c r="E164" s="30"/>
      <x:c r="F164" s="30"/>
      <x:c r="G164" s="30"/>
      <x:c r="H164" s="30"/>
      <x:c r="I164" s="30"/>
      <x:c r="J164" s="30"/>
      <x:c r="K164" s="30"/>
      <x:c r="L164" s="30"/>
      <x:c r="M164" s="30"/>
      <x:c r="N164" s="30"/>
      <x:c r="O164" s="30"/>
      <x:c r="P164" s="30"/>
      <x:c r="Q164" s="30"/>
      <x:c r="R164" s="30"/>
      <x:c r="S164" s="30"/>
      <x:c r="T164" s="30"/>
      <x:c r="U164" s="30"/>
      <x:c r="V164" s="30"/>
      <x:c r="W164" s="30"/>
      <x:c r="X164" s="30"/>
      <x:c r="Y164" s="30"/>
      <x:c r="Z164" s="30"/>
      <x:c r="AA164" s="30"/>
      <x:c r="AB164" s="30"/>
      <x:c r="AC164" s="30"/>
      <x:c r="AD164" s="30"/>
      <x:c r="AE164" s="30"/>
      <x:c r="AF164" s="30"/>
      <x:c r="AG164" s="30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>
      <x:c r="A165" s="1"/>
      <x:c r="B165" s="1"/>
      <x:c r="C165" s="30"/>
      <x:c r="D165" s="30"/>
      <x:c r="E165" s="30"/>
      <x:c r="F165" s="30"/>
      <x:c r="G165" s="30"/>
      <x:c r="H165" s="30"/>
      <x:c r="I165" s="30"/>
      <x:c r="J165" s="30"/>
      <x:c r="K165" s="30"/>
      <x:c r="L165" s="30"/>
      <x:c r="M165" s="30"/>
      <x:c r="N165" s="30"/>
      <x:c r="O165" s="30"/>
      <x:c r="P165" s="30"/>
      <x:c r="Q165" s="30"/>
      <x:c r="R165" s="30"/>
      <x:c r="S165" s="30"/>
      <x:c r="T165" s="30"/>
      <x:c r="U165" s="30"/>
      <x:c r="V165" s="30"/>
      <x:c r="W165" s="30"/>
      <x:c r="X165" s="30"/>
      <x:c r="Y165" s="30"/>
      <x:c r="Z165" s="30"/>
      <x:c r="AA165" s="30"/>
      <x:c r="AB165" s="30"/>
      <x:c r="AC165" s="30"/>
      <x:c r="AD165" s="30"/>
      <x:c r="AE165" s="30"/>
      <x:c r="AF165" s="30"/>
      <x:c r="AG165" s="30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>
      <x:c r="A166" s="1"/>
      <x:c r="B166" s="1"/>
      <x:c r="C166" s="30"/>
      <x:c r="D166" s="30"/>
      <x:c r="E166" s="30"/>
      <x:c r="F166" s="30"/>
      <x:c r="G166" s="30"/>
      <x:c r="H166" s="30"/>
      <x:c r="I166" s="30"/>
      <x:c r="J166" s="30"/>
      <x:c r="K166" s="30"/>
      <x:c r="L166" s="30"/>
      <x:c r="M166" s="30"/>
      <x:c r="N166" s="30"/>
      <x:c r="O166" s="30"/>
      <x:c r="P166" s="30"/>
      <x:c r="Q166" s="30"/>
      <x:c r="R166" s="30"/>
      <x:c r="S166" s="30"/>
      <x:c r="T166" s="30"/>
      <x:c r="U166" s="30"/>
      <x:c r="V166" s="30"/>
      <x:c r="W166" s="30"/>
      <x:c r="X166" s="30"/>
      <x:c r="Y166" s="30"/>
      <x:c r="Z166" s="30"/>
      <x:c r="AA166" s="30"/>
      <x:c r="AB166" s="30"/>
      <x:c r="AC166" s="30"/>
      <x:c r="AD166" s="30"/>
      <x:c r="AE166" s="30"/>
      <x:c r="AF166" s="30"/>
      <x:c r="AG166" s="30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>
      <x:c r="A167" s="1"/>
      <x:c r="B167" s="1"/>
      <x:c r="C167" s="30"/>
      <x:c r="D167" s="30"/>
      <x:c r="E167" s="30"/>
      <x:c r="F167" s="30"/>
      <x:c r="G167" s="30"/>
      <x:c r="H167" s="30"/>
      <x:c r="I167" s="30"/>
      <x:c r="J167" s="30"/>
      <x:c r="K167" s="30"/>
      <x:c r="L167" s="30"/>
      <x:c r="M167" s="30"/>
      <x:c r="N167" s="30"/>
      <x:c r="O167" s="30"/>
      <x:c r="P167" s="30"/>
      <x:c r="Q167" s="30"/>
      <x:c r="R167" s="30"/>
      <x:c r="S167" s="30"/>
      <x:c r="T167" s="30"/>
      <x:c r="U167" s="30"/>
      <x:c r="V167" s="30"/>
      <x:c r="W167" s="30"/>
      <x:c r="X167" s="30"/>
      <x:c r="Y167" s="30"/>
      <x:c r="Z167" s="30"/>
      <x:c r="AA167" s="30"/>
      <x:c r="AB167" s="30"/>
      <x:c r="AC167" s="30"/>
      <x:c r="AD167" s="30"/>
      <x:c r="AE167" s="30"/>
      <x:c r="AF167" s="30"/>
      <x:c r="AG167" s="30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>
      <x:c r="A168" s="1"/>
      <x:c r="B168" s="1"/>
      <x:c r="C168" s="30"/>
      <x:c r="D168" s="30"/>
      <x:c r="E168" s="30"/>
      <x:c r="F168" s="30"/>
      <x:c r="G168" s="30"/>
      <x:c r="H168" s="30"/>
      <x:c r="I168" s="30"/>
      <x:c r="J168" s="30"/>
      <x:c r="K168" s="30"/>
      <x:c r="L168" s="30"/>
      <x:c r="M168" s="30"/>
      <x:c r="N168" s="30"/>
      <x:c r="O168" s="30"/>
      <x:c r="P168" s="30"/>
      <x:c r="Q168" s="30"/>
      <x:c r="R168" s="30"/>
      <x:c r="S168" s="30"/>
      <x:c r="T168" s="30"/>
      <x:c r="U168" s="30"/>
      <x:c r="V168" s="30"/>
      <x:c r="W168" s="30"/>
      <x:c r="X168" s="30"/>
      <x:c r="Y168" s="30"/>
      <x:c r="Z168" s="30"/>
      <x:c r="AA168" s="30"/>
      <x:c r="AB168" s="30"/>
      <x:c r="AC168" s="30"/>
      <x:c r="AD168" s="30"/>
      <x:c r="AE168" s="30"/>
      <x:c r="AF168" s="30"/>
      <x:c r="AG168" s="30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>
      <x:c r="A169" s="1"/>
      <x:c r="B169" s="1"/>
      <x:c r="C169" s="30"/>
      <x:c r="D169" s="30"/>
      <x:c r="E169" s="30"/>
      <x:c r="F169" s="30"/>
      <x:c r="G169" s="30"/>
      <x:c r="H169" s="30"/>
      <x:c r="I169" s="30"/>
      <x:c r="J169" s="30"/>
      <x:c r="K169" s="30"/>
      <x:c r="L169" s="30"/>
      <x:c r="M169" s="30"/>
      <x:c r="N169" s="30"/>
      <x:c r="O169" s="30"/>
      <x:c r="P169" s="30"/>
      <x:c r="Q169" s="30"/>
      <x:c r="R169" s="30"/>
      <x:c r="S169" s="30"/>
      <x:c r="T169" s="30"/>
      <x:c r="U169" s="30"/>
      <x:c r="V169" s="30"/>
      <x:c r="W169" s="30"/>
      <x:c r="X169" s="30"/>
      <x:c r="Y169" s="30"/>
      <x:c r="Z169" s="30"/>
      <x:c r="AA169" s="30"/>
      <x:c r="AB169" s="30"/>
      <x:c r="AC169" s="30"/>
      <x:c r="AD169" s="30"/>
      <x:c r="AE169" s="30"/>
      <x:c r="AF169" s="30"/>
      <x:c r="AG169" s="30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>
      <x:c r="A170" s="1"/>
      <x:c r="B170" s="1"/>
      <x:c r="C170" s="30"/>
      <x:c r="D170" s="30"/>
      <x:c r="E170" s="30"/>
      <x:c r="F170" s="30"/>
      <x:c r="G170" s="30"/>
      <x:c r="H170" s="30"/>
      <x:c r="I170" s="30"/>
      <x:c r="J170" s="30"/>
      <x:c r="K170" s="30"/>
      <x:c r="L170" s="30"/>
      <x:c r="M170" s="30"/>
      <x:c r="N170" s="30"/>
      <x:c r="O170" s="30"/>
      <x:c r="P170" s="30"/>
      <x:c r="Q170" s="30"/>
      <x:c r="R170" s="30"/>
      <x:c r="S170" s="30"/>
      <x:c r="T170" s="30"/>
      <x:c r="U170" s="30"/>
      <x:c r="V170" s="30"/>
      <x:c r="W170" s="30"/>
      <x:c r="X170" s="30"/>
      <x:c r="Y170" s="30"/>
      <x:c r="Z170" s="30"/>
      <x:c r="AA170" s="30"/>
      <x:c r="AB170" s="30"/>
      <x:c r="AC170" s="30"/>
      <x:c r="AD170" s="30"/>
      <x:c r="AE170" s="30"/>
      <x:c r="AF170" s="30"/>
      <x:c r="AG170" s="30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>
      <x:c r="A171" s="1"/>
      <x:c r="B171" s="1"/>
      <x:c r="C171" s="30"/>
      <x:c r="D171" s="30"/>
      <x:c r="E171" s="30"/>
      <x:c r="F171" s="30"/>
      <x:c r="G171" s="30"/>
      <x:c r="H171" s="30"/>
      <x:c r="I171" s="30"/>
      <x:c r="J171" s="30"/>
      <x:c r="K171" s="30"/>
      <x:c r="L171" s="30"/>
      <x:c r="M171" s="30"/>
      <x:c r="N171" s="30"/>
      <x:c r="O171" s="30"/>
      <x:c r="P171" s="30"/>
      <x:c r="Q171" s="30"/>
      <x:c r="R171" s="30"/>
      <x:c r="S171" s="30"/>
      <x:c r="T171" s="30"/>
      <x:c r="U171" s="30"/>
      <x:c r="V171" s="30"/>
      <x:c r="W171" s="30"/>
      <x:c r="X171" s="30"/>
      <x:c r="Y171" s="30"/>
      <x:c r="Z171" s="30"/>
      <x:c r="AA171" s="30"/>
      <x:c r="AB171" s="30"/>
      <x:c r="AC171" s="30"/>
      <x:c r="AD171" s="30"/>
      <x:c r="AE171" s="30"/>
      <x:c r="AF171" s="30"/>
      <x:c r="AG171" s="30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>
      <x:c r="A172" s="1"/>
      <x:c r="B172" s="1"/>
      <x:c r="C172" s="30"/>
      <x:c r="D172" s="30"/>
      <x:c r="E172" s="30"/>
      <x:c r="F172" s="30"/>
      <x:c r="G172" s="30"/>
      <x:c r="H172" s="30"/>
      <x:c r="I172" s="30"/>
      <x:c r="J172" s="30"/>
      <x:c r="K172" s="30"/>
      <x:c r="L172" s="30"/>
      <x:c r="M172" s="30"/>
      <x:c r="N172" s="30"/>
      <x:c r="O172" s="30"/>
      <x:c r="P172" s="30"/>
      <x:c r="Q172" s="30"/>
      <x:c r="R172" s="30"/>
      <x:c r="S172" s="30"/>
      <x:c r="T172" s="30"/>
      <x:c r="U172" s="30"/>
      <x:c r="V172" s="30"/>
      <x:c r="W172" s="30"/>
      <x:c r="X172" s="30"/>
      <x:c r="Y172" s="30"/>
      <x:c r="Z172" s="30"/>
      <x:c r="AA172" s="30"/>
      <x:c r="AB172" s="30"/>
      <x:c r="AC172" s="30"/>
      <x:c r="AD172" s="30"/>
      <x:c r="AE172" s="30"/>
      <x:c r="AF172" s="30"/>
      <x:c r="AG172" s="30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>
      <x:c r="A173" s="1"/>
      <x:c r="B173" s="1"/>
      <x:c r="C173" s="30"/>
      <x:c r="D173" s="30"/>
      <x:c r="E173" s="30"/>
      <x:c r="F173" s="30"/>
      <x:c r="G173" s="30"/>
      <x:c r="H173" s="30"/>
      <x:c r="I173" s="30"/>
      <x:c r="J173" s="30"/>
      <x:c r="K173" s="30"/>
      <x:c r="L173" s="30"/>
      <x:c r="M173" s="30"/>
      <x:c r="N173" s="30"/>
      <x:c r="O173" s="30"/>
      <x:c r="P173" s="30"/>
      <x:c r="Q173" s="30"/>
      <x:c r="R173" s="30"/>
      <x:c r="S173" s="30"/>
      <x:c r="T173" s="30"/>
      <x:c r="U173" s="30"/>
      <x:c r="V173" s="30"/>
      <x:c r="W173" s="30"/>
      <x:c r="X173" s="30"/>
      <x:c r="Y173" s="30"/>
      <x:c r="Z173" s="30"/>
      <x:c r="AA173" s="30"/>
      <x:c r="AB173" s="30"/>
      <x:c r="AC173" s="30"/>
      <x:c r="AD173" s="30"/>
      <x:c r="AE173" s="30"/>
      <x:c r="AF173" s="30"/>
      <x:c r="AG173" s="30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>
      <x:c r="A174" s="1"/>
      <x:c r="B174" s="1"/>
      <x:c r="C174" s="30"/>
      <x:c r="D174" s="30"/>
      <x:c r="E174" s="30"/>
      <x:c r="F174" s="30"/>
      <x:c r="G174" s="30"/>
      <x:c r="H174" s="30"/>
      <x:c r="I174" s="30"/>
      <x:c r="J174" s="30"/>
      <x:c r="K174" s="30"/>
      <x:c r="L174" s="30"/>
      <x:c r="M174" s="30"/>
      <x:c r="N174" s="30"/>
      <x:c r="O174" s="30"/>
      <x:c r="P174" s="30"/>
      <x:c r="Q174" s="30"/>
      <x:c r="R174" s="30"/>
      <x:c r="S174" s="30"/>
      <x:c r="T174" s="30"/>
      <x:c r="U174" s="30"/>
      <x:c r="V174" s="30"/>
      <x:c r="W174" s="30"/>
      <x:c r="X174" s="30"/>
      <x:c r="Y174" s="30"/>
      <x:c r="Z174" s="30"/>
      <x:c r="AA174" s="30"/>
      <x:c r="AB174" s="30"/>
      <x:c r="AC174" s="30"/>
      <x:c r="AD174" s="30"/>
      <x:c r="AE174" s="30"/>
      <x:c r="AF174" s="30"/>
      <x:c r="AG174" s="30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>
      <x:c r="A175" s="1"/>
      <x:c r="B175" s="1"/>
      <x:c r="C175" s="30"/>
      <x:c r="D175" s="30"/>
      <x:c r="E175" s="30"/>
      <x:c r="F175" s="30"/>
      <x:c r="G175" s="30"/>
      <x:c r="H175" s="30"/>
      <x:c r="I175" s="30"/>
      <x:c r="J175" s="30"/>
      <x:c r="K175" s="30"/>
      <x:c r="L175" s="30"/>
      <x:c r="M175" s="30"/>
      <x:c r="N175" s="30"/>
      <x:c r="O175" s="30"/>
      <x:c r="P175" s="30"/>
      <x:c r="Q175" s="30"/>
      <x:c r="R175" s="30"/>
      <x:c r="S175" s="30"/>
      <x:c r="T175" s="30"/>
      <x:c r="U175" s="30"/>
      <x:c r="V175" s="30"/>
      <x:c r="W175" s="30"/>
      <x:c r="X175" s="30"/>
      <x:c r="Y175" s="30"/>
      <x:c r="Z175" s="30"/>
      <x:c r="AA175" s="30"/>
      <x:c r="AB175" s="30"/>
      <x:c r="AC175" s="30"/>
      <x:c r="AD175" s="30"/>
      <x:c r="AE175" s="30"/>
      <x:c r="AF175" s="30"/>
      <x:c r="AG175" s="30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>
      <x:c r="A176" s="1"/>
      <x:c r="B176" s="1"/>
      <x:c r="C176" s="30"/>
      <x:c r="D176" s="30"/>
      <x:c r="E176" s="30"/>
      <x:c r="F176" s="30"/>
      <x:c r="G176" s="30"/>
      <x:c r="H176" s="30"/>
      <x:c r="I176" s="30"/>
      <x:c r="J176" s="30"/>
      <x:c r="K176" s="30"/>
      <x:c r="L176" s="30"/>
      <x:c r="M176" s="30"/>
      <x:c r="N176" s="30"/>
      <x:c r="O176" s="30"/>
      <x:c r="P176" s="30"/>
      <x:c r="Q176" s="30"/>
      <x:c r="R176" s="30"/>
      <x:c r="S176" s="30"/>
      <x:c r="T176" s="30"/>
      <x:c r="U176" s="30"/>
      <x:c r="V176" s="30"/>
      <x:c r="W176" s="30"/>
      <x:c r="X176" s="30"/>
      <x:c r="Y176" s="30"/>
      <x:c r="Z176" s="30"/>
      <x:c r="AA176" s="30"/>
      <x:c r="AB176" s="30"/>
      <x:c r="AC176" s="30"/>
      <x:c r="AD176" s="30"/>
      <x:c r="AE176" s="30"/>
      <x:c r="AF176" s="30"/>
      <x:c r="AG176" s="30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>
      <x:c r="A177" s="1"/>
      <x:c r="B177" s="1"/>
      <x:c r="C177" s="30"/>
      <x:c r="D177" s="30"/>
      <x:c r="E177" s="30"/>
      <x:c r="F177" s="30"/>
      <x:c r="G177" s="30"/>
      <x:c r="H177" s="30"/>
      <x:c r="I177" s="30"/>
      <x:c r="J177" s="30"/>
      <x:c r="K177" s="30"/>
      <x:c r="L177" s="30"/>
      <x:c r="M177" s="30"/>
      <x:c r="N177" s="30"/>
      <x:c r="O177" s="30"/>
      <x:c r="P177" s="30"/>
      <x:c r="Q177" s="30"/>
      <x:c r="R177" s="30"/>
      <x:c r="S177" s="30"/>
      <x:c r="T177" s="30"/>
      <x:c r="U177" s="30"/>
      <x:c r="V177" s="30"/>
      <x:c r="W177" s="30"/>
      <x:c r="X177" s="30"/>
      <x:c r="Y177" s="30"/>
      <x:c r="Z177" s="30"/>
      <x:c r="AA177" s="30"/>
      <x:c r="AB177" s="30"/>
      <x:c r="AC177" s="30"/>
      <x:c r="AD177" s="30"/>
      <x:c r="AE177" s="30"/>
      <x:c r="AF177" s="30"/>
      <x:c r="AG177" s="30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>
      <x:c r="A178" s="1"/>
      <x:c r="B178" s="1"/>
      <x:c r="C178" s="30"/>
      <x:c r="D178" s="30"/>
      <x:c r="E178" s="30"/>
      <x:c r="F178" s="30"/>
      <x:c r="G178" s="30"/>
      <x:c r="H178" s="30"/>
      <x:c r="I178" s="30"/>
      <x:c r="J178" s="30"/>
      <x:c r="K178" s="30"/>
      <x:c r="L178" s="30"/>
      <x:c r="M178" s="30"/>
      <x:c r="N178" s="30"/>
      <x:c r="O178" s="30"/>
      <x:c r="P178" s="30"/>
      <x:c r="Q178" s="30"/>
      <x:c r="R178" s="30"/>
      <x:c r="S178" s="30"/>
      <x:c r="T178" s="30"/>
      <x:c r="U178" s="30"/>
      <x:c r="V178" s="30"/>
      <x:c r="W178" s="30"/>
      <x:c r="X178" s="30"/>
      <x:c r="Y178" s="30"/>
      <x:c r="Z178" s="30"/>
      <x:c r="AA178" s="30"/>
      <x:c r="AB178" s="30"/>
      <x:c r="AC178" s="30"/>
      <x:c r="AD178" s="30"/>
      <x:c r="AE178" s="30"/>
      <x:c r="AF178" s="30"/>
      <x:c r="AG178" s="30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>
      <x:c r="A179" s="1"/>
      <x:c r="B179" s="1"/>
      <x:c r="C179" s="30"/>
      <x:c r="D179" s="30"/>
      <x:c r="E179" s="30"/>
      <x:c r="F179" s="30"/>
      <x:c r="G179" s="30"/>
      <x:c r="H179" s="30"/>
      <x:c r="I179" s="30"/>
      <x:c r="J179" s="30"/>
      <x:c r="K179" s="30"/>
      <x:c r="L179" s="30"/>
      <x:c r="M179" s="30"/>
      <x:c r="N179" s="30"/>
      <x:c r="O179" s="30"/>
      <x:c r="P179" s="30"/>
      <x:c r="Q179" s="30"/>
      <x:c r="R179" s="30"/>
      <x:c r="S179" s="30"/>
      <x:c r="T179" s="30"/>
      <x:c r="U179" s="30"/>
      <x:c r="V179" s="30"/>
      <x:c r="W179" s="30"/>
      <x:c r="X179" s="30"/>
      <x:c r="Y179" s="30"/>
      <x:c r="Z179" s="30"/>
      <x:c r="AA179" s="30"/>
      <x:c r="AB179" s="30"/>
      <x:c r="AC179" s="30"/>
      <x:c r="AD179" s="30"/>
      <x:c r="AE179" s="30"/>
      <x:c r="AF179" s="30"/>
      <x:c r="AG179" s="30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>
      <x:c r="A180" s="1"/>
      <x:c r="B180" s="1"/>
      <x:c r="C180" s="30"/>
      <x:c r="D180" s="30"/>
      <x:c r="E180" s="30"/>
      <x:c r="F180" s="30"/>
      <x:c r="G180" s="30"/>
      <x:c r="H180" s="30"/>
      <x:c r="I180" s="30"/>
      <x:c r="J180" s="30"/>
      <x:c r="K180" s="30"/>
      <x:c r="L180" s="30"/>
      <x:c r="M180" s="30"/>
      <x:c r="N180" s="30"/>
      <x:c r="O180" s="30"/>
      <x:c r="P180" s="30"/>
      <x:c r="Q180" s="30"/>
      <x:c r="R180" s="30"/>
      <x:c r="S180" s="30"/>
      <x:c r="T180" s="30"/>
      <x:c r="U180" s="30"/>
      <x:c r="V180" s="30"/>
      <x:c r="W180" s="30"/>
      <x:c r="X180" s="30"/>
      <x:c r="Y180" s="30"/>
      <x:c r="Z180" s="30"/>
      <x:c r="AA180" s="30"/>
      <x:c r="AB180" s="30"/>
      <x:c r="AC180" s="30"/>
      <x:c r="AD180" s="30"/>
      <x:c r="AE180" s="30"/>
      <x:c r="AF180" s="30"/>
      <x:c r="AG180" s="30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0" hidden="0" customWidth="1"/>
    <x:col min="4" max="4" width="38" hidden="0" customWidth="1"/>
    <x:col min="5" max="5" width="12" hidden="0" customWidth="1"/>
    <x:col min="6" max="6" width="35" hidden="0" customWidth="1"/>
    <x:col min="7" max="7" width="40" hidden="0" customWidth="1"/>
    <x:col min="8" max="8" width="29" hidden="0" customWidth="1"/>
    <x:col min="9" max="9" width="19" hidden="0" customWidth="1"/>
    <x:col min="10" max="10" width="18" hidden="0" customWidth="1"/>
    <x:col min="11" max="11" width="15" hidden="0" customWidth="1"/>
    <x:col min="12" max="12" width="18" hidden="0" customWidth="1"/>
    <x:col min="13" max="13" width="24" hidden="0" customWidth="1"/>
    <x:col min="14" max="14" width="1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  <x:col min="32" max="32" width="14" hidden="0" customWidth="1"/>
    <x:col min="33" max="33" width="3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>
      <x:c r="A2" s="1"/>
      <x:c r="B2" s="1"/>
      <x:c r="C2" s="3" t="str">
        <x:v>Fifteen MS-HU formation families mapped to routes and stages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>
      <x:c r="A3" s="1"/>
      <x:c r="B3" s="1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  <x:c r="AA3" s="30"/>
      <x:c r="AB3" s="30"/>
      <x:c r="AC3" s="30"/>
      <x:c r="AD3" s="30"/>
      <x:c r="AE3" s="30"/>
      <x:c r="AF3" s="30"/>
      <x:c r="AG3" s="30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>
      <x:c r="A4" s="1"/>
      <x:c r="B4" s="1"/>
      <x:c r="C4" s="9" t="str">
        <x:v>ID</x:v>
      </x:c>
      <x:c r="D4" s="17" t="str">
        <x:v>Formation family</x:v>
      </x:c>
      <x:c r="E4" s="17" t="str">
        <x:v>Primary route</x:v>
      </x:c>
      <x:c r="F4" s="17" t="str">
        <x:v>Route name</x:v>
      </x:c>
      <x:c r="G4" s="17" t="str">
        <x:v>Primary effect</x:v>
      </x:c>
      <x:c r="H4" s="17" t="str">
        <x:v>Generating service</x:v>
      </x:c>
      <x:c r="I4" s="17" t="str">
        <x:v>Contract completeness</x:v>
      </x:c>
      <x:c r="J4" s="17" t="str">
        <x:v>Concurrent demand</x:v>
      </x:c>
      <x:c r="K4" s="17" t="str">
        <x:v>N−1 inventory</x:v>
      </x:c>
      <x:c r="L4" s="17" t="str">
        <x:v>Direct billets</x:v>
      </x:c>
      <x:c r="M4" s="17" t="str">
        <x:v>Formation capital (USD B)</x:v>
      </x:c>
      <x:c r="N4" s="17" t="str">
        <x:v>Unclosed demand</x:v>
      </x:c>
      <x:c r="O4" s="17" t="str">
        <x:v>S1</x:v>
      </x:c>
      <x:c r="P4" s="17" t="str">
        <x:v>S2</x:v>
      </x:c>
      <x:c r="Q4" s="17" t="str">
        <x:v>S3</x:v>
      </x:c>
      <x:c r="R4" s="17" t="str">
        <x:v>S4</x:v>
      </x:c>
      <x:c r="S4" s="17" t="str">
        <x:v>S5</x:v>
      </x:c>
      <x:c r="T4" s="17" t="str">
        <x:v>S6</x:v>
      </x:c>
      <x:c r="U4" s="17" t="str">
        <x:v>S7</x:v>
      </x:c>
      <x:c r="V4" s="17" t="str">
        <x:v>C1</x:v>
      </x:c>
      <x:c r="W4" s="17" t="str">
        <x:v>C2</x:v>
      </x:c>
      <x:c r="X4" s="17" t="str">
        <x:v>C3</x:v>
      </x:c>
      <x:c r="Y4" s="17" t="str">
        <x:v>M1</x:v>
      </x:c>
      <x:c r="Z4" s="17" t="str">
        <x:v>M2</x:v>
      </x:c>
      <x:c r="AA4" s="17" t="str">
        <x:v>M3</x:v>
      </x:c>
      <x:c r="AB4" s="17" t="str">
        <x:v>M4</x:v>
      </x:c>
      <x:c r="AC4" s="17" t="str">
        <x:v>M5</x:v>
      </x:c>
      <x:c r="AD4" s="17" t="str">
        <x:v>I1</x:v>
      </x:c>
      <x:c r="AE4" s="17" t="str">
        <x:v>I2</x:v>
      </x:c>
      <x:c r="AF4" s="17" t="str">
        <x:v>Unique route</x:v>
      </x:c>
      <x:c r="AG4" s="10" t="str">
        <x:v>Source lineage</x:v>
      </x:c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>
      <x:c r="A5" s="1"/>
      <x:c r="B5" s="1"/>
      <x:c r="C5" s="30" t="str">
        <x:v>A-AMG</x:v>
      </x:c>
      <x:c r="D5" s="30" t="str">
        <x:v>Aeromedical movement group</x:v>
      </x:c>
      <x:c r="E5" s="30" t="str">
        <x:v>R3</x:v>
      </x:c>
      <x:c r="F5" s="30" t="str">
        <x:v>Patient regulation and transfer</x:v>
      </x:c>
      <x:c r="G5" s="30" t="str">
        <x:v>Health and medical continuity</x:v>
      </x:c>
      <x:c r="H5" s="30" t="str">
        <x:v>Air Response</x:v>
      </x:c>
      <x:c r="I5" s="38" t="n">
        <x:v>0.45</x:v>
      </x:c>
      <x:c r="J5" s="32" t="n">
        <x:v>31</x:v>
      </x:c>
      <x:c r="K5" s="32" t="n">
        <x:v>72</x:v>
      </x:c>
      <x:c r="L5" s="32" t="n">
        <x:v>64800</x:v>
      </x:c>
      <x:c r="M5" s="33" t="n">
        <x:v>180</x:v>
      </x:c>
      <x:c r="N5" s="32" t="n">
        <x:f>J5*(1-I5)</x:f>
        <x:v>17.05</x:v>
      </x:c>
      <x:c r="O5" s="30" t="n">
        <x:v>0</x:v>
      </x:c>
      <x:c r="P5" s="30" t="n">
        <x:v>0</x:v>
      </x:c>
      <x:c r="Q5" s="30" t="n">
        <x:v>0</x:v>
      </x:c>
      <x:c r="R5" s="30" t="n">
        <x:v>1</x:v>
      </x:c>
      <x:c r="S5" s="30" t="n">
        <x:v>1</x:v>
      </x:c>
      <x:c r="T5" s="30" t="n">
        <x:v>1</x:v>
      </x:c>
      <x:c r="U5" s="30" t="n">
        <x:v>0</x:v>
      </x:c>
      <x:c r="V5" s="30" t="n">
        <x:v>2</x:v>
      </x:c>
      <x:c r="W5" s="30" t="n">
        <x:v>3</x:v>
      </x:c>
      <x:c r="X5" s="30" t="n">
        <x:v>5</x:v>
      </x:c>
      <x:c r="Y5" s="30" t="n">
        <x:v>2</x:v>
      </x:c>
      <x:c r="Z5" s="30" t="n">
        <x:v>3</x:v>
      </x:c>
      <x:c r="AA5" s="30" t="n">
        <x:v>2</x:v>
      </x:c>
      <x:c r="AB5" s="30" t="n">
        <x:v>3</x:v>
      </x:c>
      <x:c r="AC5" s="30" t="n">
        <x:v>2</x:v>
      </x:c>
      <x:c r="AD5" s="30" t="n">
        <x:v>5</x:v>
      </x:c>
      <x:c r="AE5" s="30" t="n">
        <x:v>4</x:v>
      </x:c>
      <x:c r="AF5" s="30" t="str">
        <x:f>IF(AND(COUNTIFS($C$5:$C$19,C5)=1,COUNTIFS(Routes!$C$5:$C$9,E5)=1),"PASS","FAIL")</x:f>
        <x:v>PASS</x:v>
      </x:c>
      <x:c r="AG5" s="30" t="str">
        <x:v>Pass 168 MSPT-1 / Pass 167 NIFS-1</x:v>
      </x:c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>
      <x:c r="A6" s="1"/>
      <x:c r="B6" s="1"/>
      <x:c r="C6" s="30" t="str">
        <x:v>H-CHC</x:v>
      </x:c>
      <x:c r="D6" s="30" t="str">
        <x:v>Community health continuity group</x:v>
      </x:c>
      <x:c r="E6" s="30" t="str">
        <x:v>R1</x:v>
      </x:c>
      <x:c r="F6" s="30" t="str">
        <x:v>Local support continuity</x:v>
      </x:c>
      <x:c r="G6" s="30" t="str">
        <x:v>Health and medical continuity</x:v>
      </x:c>
      <x:c r="H6" s="30" t="str">
        <x:v>Health Protection</x:v>
      </x:c>
      <x:c r="I6" s="38" t="n">
        <x:v>0.45</x:v>
      </x:c>
      <x:c r="J6" s="32" t="n">
        <x:v>75</x:v>
      </x:c>
      <x:c r="K6" s="32" t="n">
        <x:v>174</x:v>
      </x:c>
      <x:c r="L6" s="32" t="n">
        <x:v>295800</x:v>
      </x:c>
      <x:c r="M6" s="33" t="n">
        <x:v>208.79999999999998</x:v>
      </x:c>
      <x:c r="N6" s="32" t="n">
        <x:f>J6*(1-I6)</x:f>
        <x:v>41.25</x:v>
      </x:c>
      <x:c r="O6" s="30" t="n">
        <x:v>1</x:v>
      </x:c>
      <x:c r="P6" s="30" t="n">
        <x:v>1</x:v>
      </x:c>
      <x:c r="Q6" s="30" t="n">
        <x:v>1</x:v>
      </x:c>
      <x:c r="R6" s="30" t="n">
        <x:v>0</x:v>
      </x:c>
      <x:c r="S6" s="30" t="n">
        <x:v>0</x:v>
      </x:c>
      <x:c r="T6" s="30" t="n">
        <x:v>1</x:v>
      </x:c>
      <x:c r="U6" s="30" t="n">
        <x:v>1</x:v>
      </x:c>
      <x:c r="V6" s="30" t="n">
        <x:v>8</x:v>
      </x:c>
      <x:c r="W6" s="30" t="n">
        <x:v>8</x:v>
      </x:c>
      <x:c r="X6" s="30" t="n">
        <x:v>10</x:v>
      </x:c>
      <x:c r="Y6" s="30" t="n">
        <x:v>4</x:v>
      </x:c>
      <x:c r="Z6" s="30" t="n">
        <x:v>8</x:v>
      </x:c>
      <x:c r="AA6" s="30" t="n">
        <x:v>5</x:v>
      </x:c>
      <x:c r="AB6" s="30" t="n">
        <x:v>6</x:v>
      </x:c>
      <x:c r="AC6" s="30" t="n">
        <x:v>6</x:v>
      </x:c>
      <x:c r="AD6" s="30" t="n">
        <x:v>10</x:v>
      </x:c>
      <x:c r="AE6" s="30" t="n">
        <x:v>10</x:v>
      </x:c>
      <x:c r="AF6" s="30" t="str">
        <x:f>IF(AND(COUNTIFS($C$5:$C$19,C6)=1,COUNTIFS(Routes!$C$5:$C$9,E6)=1),"PASS","FAIL")</x:f>
        <x:v>PASS</x:v>
      </x:c>
      <x:c r="AG6" s="30" t="str">
        <x:v>Pass 168 MSPT-1 / Pass 167 NIFS-1</x:v>
      </x:c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>
      <x:c r="A7" s="1"/>
      <x:c r="B7" s="1"/>
      <x:c r="C7" s="30" t="str">
        <x:v>H-MAC</x:v>
      </x:c>
      <x:c r="D7" s="30" t="str">
        <x:v>Mobile acute-care group</x:v>
      </x:c>
      <x:c r="E7" s="30" t="str">
        <x:v>R2</x:v>
      </x:c>
      <x:c r="F7" s="30" t="str">
        <x:v>Definitive clinical care</x:v>
      </x:c>
      <x:c r="G7" s="30" t="str">
        <x:v>Health and medical continuity</x:v>
      </x:c>
      <x:c r="H7" s="30" t="str">
        <x:v>Health Protection</x:v>
      </x:c>
      <x:c r="I7" s="38" t="n">
        <x:v>0.45</x:v>
      </x:c>
      <x:c r="J7" s="32" t="n">
        <x:v>49</x:v>
      </x:c>
      <x:c r="K7" s="32" t="n">
        <x:v>114</x:v>
      </x:c>
      <x:c r="L7" s="32" t="n">
        <x:v>232560</x:v>
      </x:c>
      <x:c r="M7" s="33" t="n">
        <x:v>285</x:v>
      </x:c>
      <x:c r="N7" s="32" t="n">
        <x:f>J7*(1-I7)</x:f>
        <x:v>26.950000000000003</x:v>
      </x:c>
      <x:c r="O7" s="30" t="n">
        <x:v>0</x:v>
      </x:c>
      <x:c r="P7" s="30" t="n">
        <x:v>1</x:v>
      </x:c>
      <x:c r="Q7" s="30" t="n">
        <x:v>0</x:v>
      </x:c>
      <x:c r="R7" s="30" t="n">
        <x:v>0</x:v>
      </x:c>
      <x:c r="S7" s="30" t="n">
        <x:v>1</x:v>
      </x:c>
      <x:c r="T7" s="30" t="n">
        <x:v>1</x:v>
      </x:c>
      <x:c r="U7" s="30" t="n">
        <x:v>0</x:v>
      </x:c>
      <x:c r="V7" s="30" t="n">
        <x:v>4</x:v>
      </x:c>
      <x:c r="W7" s="30" t="n">
        <x:v>5</x:v>
      </x:c>
      <x:c r="X7" s="30" t="n">
        <x:v>8</x:v>
      </x:c>
      <x:c r="Y7" s="30" t="n">
        <x:v>3</x:v>
      </x:c>
      <x:c r="Z7" s="30" t="n">
        <x:v>4</x:v>
      </x:c>
      <x:c r="AA7" s="30" t="n">
        <x:v>3</x:v>
      </x:c>
      <x:c r="AB7" s="30" t="n">
        <x:v>5</x:v>
      </x:c>
      <x:c r="AC7" s="30" t="n">
        <x:v>3</x:v>
      </x:c>
      <x:c r="AD7" s="30" t="n">
        <x:v>8</x:v>
      </x:c>
      <x:c r="AE7" s="30" t="n">
        <x:v>6</x:v>
      </x:c>
      <x:c r="AF7" s="30" t="str">
        <x:f>IF(AND(COUNTIFS($C$5:$C$19,C7)=1,COUNTIFS(Routes!$C$5:$C$9,E7)=1),"PASS","FAIL")</x:f>
        <x:v>PASS</x:v>
      </x:c>
      <x:c r="AG7" s="30" t="str">
        <x:v>Pass 168 MSPT-1 / Pass 167 NIFS-1</x:v>
      </x:c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>
      <x:c r="A8" s="1"/>
      <x:c r="B8" s="1"/>
      <x:c r="C8" s="30" t="str">
        <x:v>H-THC</x:v>
      </x:c>
      <x:c r="D8" s="30" t="str">
        <x:v>Theater hospital command</x:v>
      </x:c>
      <x:c r="E8" s="30" t="str">
        <x:v>R2</x:v>
      </x:c>
      <x:c r="F8" s="30" t="str">
        <x:v>Definitive clinical care</x:v>
      </x:c>
      <x:c r="G8" s="30" t="str">
        <x:v>Health and medical continuity</x:v>
      </x:c>
      <x:c r="H8" s="30" t="str">
        <x:v>Health Protection</x:v>
      </x:c>
      <x:c r="I8" s="38" t="n">
        <x:v>0.5</x:v>
      </x:c>
      <x:c r="J8" s="32" t="n">
        <x:v>28</x:v>
      </x:c>
      <x:c r="K8" s="32" t="n">
        <x:v>65</x:v>
      </x:c>
      <x:c r="L8" s="32" t="n">
        <x:v>198900</x:v>
      </x:c>
      <x:c r="M8" s="33" t="n">
        <x:v>97.5</x:v>
      </x:c>
      <x:c r="N8" s="32" t="n">
        <x:f>J8*(1-I8)</x:f>
        <x:v>14</x:v>
      </x:c>
      <x:c r="O8" s="30" t="n">
        <x:v>1</x:v>
      </x:c>
      <x:c r="P8" s="30" t="n">
        <x:v>0</x:v>
      </x:c>
      <x:c r="Q8" s="30" t="n">
        <x:v>1</x:v>
      </x:c>
      <x:c r="R8" s="30" t="n">
        <x:v>0</x:v>
      </x:c>
      <x:c r="S8" s="30" t="n">
        <x:v>0</x:v>
      </x:c>
      <x:c r="T8" s="30" t="n">
        <x:v>1</x:v>
      </x:c>
      <x:c r="U8" s="30" t="n">
        <x:v>1</x:v>
      </x:c>
      <x:c r="V8" s="30" t="n">
        <x:v>2</x:v>
      </x:c>
      <x:c r="W8" s="30" t="n">
        <x:v>3</x:v>
      </x:c>
      <x:c r="X8" s="30" t="n">
        <x:v>4</x:v>
      </x:c>
      <x:c r="Y8" s="30" t="n">
        <x:v>2</x:v>
      </x:c>
      <x:c r="Z8" s="30" t="n">
        <x:v>2</x:v>
      </x:c>
      <x:c r="AA8" s="30" t="n">
        <x:v>2</x:v>
      </x:c>
      <x:c r="AB8" s="30" t="n">
        <x:v>3</x:v>
      </x:c>
      <x:c r="AC8" s="30" t="n">
        <x:v>2</x:v>
      </x:c>
      <x:c r="AD8" s="30" t="n">
        <x:v>4</x:v>
      </x:c>
      <x:c r="AE8" s="30" t="n">
        <x:v>4</x:v>
      </x:c>
      <x:c r="AF8" s="30" t="str">
        <x:f>IF(AND(COUNTIFS($C$5:$C$19,C8)=1,COUNTIFS(Routes!$C$5:$C$9,E8)=1),"PASS","FAIL")</x:f>
        <x:v>PASS</x:v>
      </x:c>
      <x:c r="AG8" s="30" t="str">
        <x:v>Pass 168 MSPT-1 / Pass 167 NIFS-1</x:v>
      </x:c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>
      <x:c r="A9" s="1"/>
      <x:c r="B9" s="1"/>
      <x:c r="C9" s="30" t="str">
        <x:v>H-PHC</x:v>
      </x:c>
      <x:c r="D9" s="30" t="str">
        <x:v>Public-health control group</x:v>
      </x:c>
      <x:c r="E9" s="30" t="str">
        <x:v>R1</x:v>
      </x:c>
      <x:c r="F9" s="30" t="str">
        <x:v>Local support continuity</x:v>
      </x:c>
      <x:c r="G9" s="30" t="str">
        <x:v>Health and medical continuity</x:v>
      </x:c>
      <x:c r="H9" s="30" t="str">
        <x:v>Health Protection</x:v>
      </x:c>
      <x:c r="I9" s="38" t="n">
        <x:v>0.45</x:v>
      </x:c>
      <x:c r="J9" s="32" t="n">
        <x:v>42</x:v>
      </x:c>
      <x:c r="K9" s="32" t="n">
        <x:v>97</x:v>
      </x:c>
      <x:c r="L9" s="32" t="n">
        <x:v>82450</x:v>
      </x:c>
      <x:c r="M9" s="33" t="n">
        <x:v>97</x:v>
      </x:c>
      <x:c r="N9" s="32" t="n">
        <x:f>J9*(1-I9)</x:f>
        <x:v>23.1</x:v>
      </x:c>
      <x:c r="O9" s="30" t="n">
        <x:v>1</x:v>
      </x:c>
      <x:c r="P9" s="30" t="n">
        <x:v>1</x:v>
      </x:c>
      <x:c r="Q9" s="30" t="n">
        <x:v>0</x:v>
      </x:c>
      <x:c r="R9" s="30" t="n">
        <x:v>0</x:v>
      </x:c>
      <x:c r="S9" s="30" t="n">
        <x:v>0</x:v>
      </x:c>
      <x:c r="T9" s="30" t="n">
        <x:v>1</x:v>
      </x:c>
      <x:c r="U9" s="30" t="n">
        <x:v>0</x:v>
      </x:c>
      <x:c r="V9" s="30" t="n">
        <x:v>4</x:v>
      </x:c>
      <x:c r="W9" s="30" t="n">
        <x:v>4</x:v>
      </x:c>
      <x:c r="X9" s="30" t="n">
        <x:v>5</x:v>
      </x:c>
      <x:c r="Y9" s="30" t="n">
        <x:v>3</x:v>
      </x:c>
      <x:c r="Z9" s="30" t="n">
        <x:v>4</x:v>
      </x:c>
      <x:c r="AA9" s="30" t="n">
        <x:v>3</x:v>
      </x:c>
      <x:c r="AB9" s="30" t="n">
        <x:v>3</x:v>
      </x:c>
      <x:c r="AC9" s="30" t="n">
        <x:v>4</x:v>
      </x:c>
      <x:c r="AD9" s="30" t="n">
        <x:v>6</x:v>
      </x:c>
      <x:c r="AE9" s="30" t="n">
        <x:v>6</x:v>
      </x:c>
      <x:c r="AF9" s="30" t="str">
        <x:f>IF(AND(COUNTIFS($C$5:$C$19,C9)=1,COUNTIFS(Routes!$C$5:$C$9,E9)=1),"PASS","FAIL")</x:f>
        <x:v>PASS</x:v>
      </x:c>
      <x:c r="AG9" s="30" t="str">
        <x:v>Pass 168 MSPT-1 / Pass 167 NIFS-1</x:v>
      </x:c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>
      <x:c r="A10" s="1"/>
      <x:c r="B10" s="1"/>
      <x:c r="C10" s="30" t="str">
        <x:v>H-PMG</x:v>
      </x:c>
      <x:c r="D10" s="30" t="str">
        <x:v>Patient movement group</x:v>
      </x:c>
      <x:c r="E10" s="30" t="str">
        <x:v>R3</x:v>
      </x:c>
      <x:c r="F10" s="30" t="str">
        <x:v>Patient regulation and transfer</x:v>
      </x:c>
      <x:c r="G10" s="30" t="str">
        <x:v>Health and medical continuity</x:v>
      </x:c>
      <x:c r="H10" s="30" t="str">
        <x:v>Health Protection</x:v>
      </x:c>
      <x:c r="I10" s="38" t="n">
        <x:v>0.5</x:v>
      </x:c>
      <x:c r="J10" s="32" t="n">
        <x:v>49</x:v>
      </x:c>
      <x:c r="K10" s="32" t="n">
        <x:v>114</x:v>
      </x:c>
      <x:c r="L10" s="32" t="n">
        <x:v>174420</x:v>
      </x:c>
      <x:c r="M10" s="33" t="n">
        <x:v>114</x:v>
      </x:c>
      <x:c r="N10" s="32" t="n">
        <x:f>J10*(1-I10)</x:f>
        <x:v>24.5</x:v>
      </x:c>
      <x:c r="O10" s="30" t="n">
        <x:v>0</x:v>
      </x:c>
      <x:c r="P10" s="30" t="n">
        <x:v>0</x:v>
      </x:c>
      <x:c r="Q10" s="30" t="n">
        <x:v>1</x:v>
      </x:c>
      <x:c r="R10" s="30" t="n">
        <x:v>1</x:v>
      </x:c>
      <x:c r="S10" s="30" t="n">
        <x:v>1</x:v>
      </x:c>
      <x:c r="T10" s="30" t="n">
        <x:v>1</x:v>
      </x:c>
      <x:c r="U10" s="30" t="n">
        <x:v>1</x:v>
      </x:c>
      <x:c r="V10" s="30" t="n">
        <x:v>4</x:v>
      </x:c>
      <x:c r="W10" s="30" t="n">
        <x:v>5</x:v>
      </x:c>
      <x:c r="X10" s="30" t="n">
        <x:v>8</x:v>
      </x:c>
      <x:c r="Y10" s="30" t="n">
        <x:v>3</x:v>
      </x:c>
      <x:c r="Z10" s="30" t="n">
        <x:v>4</x:v>
      </x:c>
      <x:c r="AA10" s="30" t="n">
        <x:v>3</x:v>
      </x:c>
      <x:c r="AB10" s="30" t="n">
        <x:v>5</x:v>
      </x:c>
      <x:c r="AC10" s="30" t="n">
        <x:v>3</x:v>
      </x:c>
      <x:c r="AD10" s="30" t="n">
        <x:v>8</x:v>
      </x:c>
      <x:c r="AE10" s="30" t="n">
        <x:v>6</x:v>
      </x:c>
      <x:c r="AF10" s="30" t="str">
        <x:f>IF(AND(COUNTIFS($C$5:$C$19,C10)=1,COUNTIFS(Routes!$C$5:$C$9,E10)=1),"PASS","FAIL")</x:f>
        <x:v>PASS</x:v>
      </x:c>
      <x:c r="AG10" s="30" t="str">
        <x:v>Pass 168 MSPT-1 / Pass 167 NIFS-1</x:v>
      </x:c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>
      <x:c r="A11" s="1"/>
      <x:c r="B11" s="1"/>
      <x:c r="C11" s="30" t="str">
        <x:v>H-HWR</x:v>
      </x:c>
      <x:c r="D11" s="30" t="str">
        <x:v>Health workforce replacement group</x:v>
      </x:c>
      <x:c r="E11" s="30" t="str">
        <x:v>R5</x:v>
      </x:c>
      <x:c r="F11" s="30" t="str">
        <x:v>Workforce replacement</x:v>
      </x:c>
      <x:c r="G11" s="30" t="str">
        <x:v>Health and medical continuity</x:v>
      </x:c>
      <x:c r="H11" s="30" t="str">
        <x:v>Health Protection</x:v>
      </x:c>
      <x:c r="I11" s="38" t="n">
        <x:v>0.45</x:v>
      </x:c>
      <x:c r="J11" s="32" t="n">
        <x:v>75</x:v>
      </x:c>
      <x:c r="K11" s="32" t="n">
        <x:v>174</x:v>
      </x:c>
      <x:c r="L11" s="32" t="n">
        <x:v>325380</x:v>
      </x:c>
      <x:c r="M11" s="33" t="n">
        <x:v>139.20000000000002</x:v>
      </x:c>
      <x:c r="N11" s="32" t="n">
        <x:f>J11*(1-I11)</x:f>
        <x:v>41.25</x:v>
      </x:c>
      <x:c r="O11" s="30" t="n">
        <x:v>1</x:v>
      </x:c>
      <x:c r="P11" s="30" t="n">
        <x:v>1</x:v>
      </x:c>
      <x:c r="Q11" s="30" t="n">
        <x:v>1</x:v>
      </x:c>
      <x:c r="R11" s="30" t="n">
        <x:v>1</x:v>
      </x:c>
      <x:c r="S11" s="30" t="n">
        <x:v>1</x:v>
      </x:c>
      <x:c r="T11" s="30" t="n">
        <x:v>1</x:v>
      </x:c>
      <x:c r="U11" s="30" t="n">
        <x:v>1</x:v>
      </x:c>
      <x:c r="V11" s="30" t="n">
        <x:v>8</x:v>
      </x:c>
      <x:c r="W11" s="30" t="n">
        <x:v>8</x:v>
      </x:c>
      <x:c r="X11" s="30" t="n">
        <x:v>10</x:v>
      </x:c>
      <x:c r="Y11" s="30" t="n">
        <x:v>4</x:v>
      </x:c>
      <x:c r="Z11" s="30" t="n">
        <x:v>8</x:v>
      </x:c>
      <x:c r="AA11" s="30" t="n">
        <x:v>5</x:v>
      </x:c>
      <x:c r="AB11" s="30" t="n">
        <x:v>6</x:v>
      </x:c>
      <x:c r="AC11" s="30" t="n">
        <x:v>6</x:v>
      </x:c>
      <x:c r="AD11" s="30" t="n">
        <x:v>10</x:v>
      </x:c>
      <x:c r="AE11" s="30" t="n">
        <x:v>10</x:v>
      </x:c>
      <x:c r="AF11" s="30" t="str">
        <x:f>IF(AND(COUNTIFS($C$5:$C$19,C11)=1,COUNTIFS(Routes!$C$5:$C$9,E11)=1),"PASS","FAIL")</x:f>
        <x:v>PASS</x:v>
      </x:c>
      <x:c r="AG11" s="30" t="str">
        <x:v>Pass 168 MSPT-1 / Pass 167 NIFS-1</x:v>
      </x:c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>
      <x:c r="A12" s="1"/>
      <x:c r="B12" s="1"/>
      <x:c r="C12" s="30" t="str">
        <x:v>C-PSG</x:v>
      </x:c>
      <x:c r="D12" s="30" t="str">
        <x:v>Population support group</x:v>
      </x:c>
      <x:c r="E12" s="30" t="str">
        <x:v>R1</x:v>
      </x:c>
      <x:c r="F12" s="30" t="str">
        <x:v>Local support continuity</x:v>
      </x:c>
      <x:c r="G12" s="30" t="str">
        <x:v>Food, shelter and essential-goods continuity</x:v>
      </x:c>
      <x:c r="H12" s="30" t="str">
        <x:v>Community Stabilization</x:v>
      </x:c>
      <x:c r="I12" s="38" t="n">
        <x:v>0.8</x:v>
      </x:c>
      <x:c r="J12" s="32" t="n">
        <x:v>108</x:v>
      </x:c>
      <x:c r="K12" s="32" t="n">
        <x:v>216</x:v>
      </x:c>
      <x:c r="L12" s="32" t="n">
        <x:v>243000</x:v>
      </x:c>
      <x:c r="M12" s="33" t="n">
        <x:v>129.6</x:v>
      </x:c>
      <x:c r="N12" s="32" t="n">
        <x:f>J12*(1-I12)</x:f>
        <x:v>21.599999999999994</x:v>
      </x:c>
      <x:c r="O12" s="30" t="n">
        <x:v>0</x:v>
      </x:c>
      <x:c r="P12" s="30" t="n">
        <x:v>1</x:v>
      </x:c>
      <x:c r="Q12" s="30" t="n">
        <x:v>1</x:v>
      </x:c>
      <x:c r="R12" s="30" t="n">
        <x:v>1</x:v>
      </x:c>
      <x:c r="S12" s="30" t="n">
        <x:v>1</x:v>
      </x:c>
      <x:c r="T12" s="30" t="n">
        <x:v>1</x:v>
      </x:c>
      <x:c r="U12" s="30" t="n">
        <x:v>1</x:v>
      </x:c>
      <x:c r="V12" s="30" t="n">
        <x:v>10</x:v>
      </x:c>
      <x:c r="W12" s="30" t="n">
        <x:v>14</x:v>
      </x:c>
      <x:c r="X12" s="30" t="n">
        <x:v>16</x:v>
      </x:c>
      <x:c r="Y12" s="30" t="n">
        <x:v>4</x:v>
      </x:c>
      <x:c r="Z12" s="30" t="n">
        <x:v>8</x:v>
      </x:c>
      <x:c r="AA12" s="30" t="n">
        <x:v>8</x:v>
      </x:c>
      <x:c r="AB12" s="30" t="n">
        <x:v>10</x:v>
      </x:c>
      <x:c r="AC12" s="30" t="n">
        <x:v>8</x:v>
      </x:c>
      <x:c r="AD12" s="30" t="n">
        <x:v>14</x:v>
      </x:c>
      <x:c r="AE12" s="30" t="n">
        <x:v>16</x:v>
      </x:c>
      <x:c r="AF12" s="30" t="str">
        <x:f>IF(AND(COUNTIFS($C$5:$C$19,C12)=1,COUNTIFS(Routes!$C$5:$C$9,E12)=1),"PASS","FAIL")</x:f>
        <x:v>PASS</x:v>
      </x:c>
      <x:c r="AG12" s="30" t="str">
        <x:v>Pass 168 MSPT-1 / Pass 167 NIFS-1</x:v>
      </x:c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>
      <x:c r="A13" s="1"/>
      <x:c r="B13" s="1"/>
      <x:c r="C13" s="30" t="str">
        <x:v>C-EGG</x:v>
      </x:c>
      <x:c r="D13" s="30" t="str">
        <x:v>Essential-goods group</x:v>
      </x:c>
      <x:c r="E13" s="30" t="str">
        <x:v>R1</x:v>
      </x:c>
      <x:c r="F13" s="30" t="str">
        <x:v>Local support continuity</x:v>
      </x:c>
      <x:c r="G13" s="30" t="str">
        <x:v>Food, shelter and essential-goods continuity</x:v>
      </x:c>
      <x:c r="H13" s="30" t="str">
        <x:v>Community Stabilization</x:v>
      </x:c>
      <x:c r="I13" s="38" t="n">
        <x:v>0.45</x:v>
      </x:c>
      <x:c r="J13" s="32" t="n">
        <x:v>108</x:v>
      </x:c>
      <x:c r="K13" s="32" t="n">
        <x:v>216</x:v>
      </x:c>
      <x:c r="L13" s="32" t="n">
        <x:v>189000</x:v>
      </x:c>
      <x:c r="M13" s="33" t="n">
        <x:v>108</x:v>
      </x:c>
      <x:c r="N13" s="32" t="n">
        <x:f>J13*(1-I13)</x:f>
        <x:v>59.400000000000006</x:v>
      </x:c>
      <x:c r="O13" s="30" t="n">
        <x:v>0</x:v>
      </x:c>
      <x:c r="P13" s="30" t="n">
        <x:v>1</x:v>
      </x:c>
      <x:c r="Q13" s="30" t="n">
        <x:v>0</x:v>
      </x:c>
      <x:c r="R13" s="30" t="n">
        <x:v>1</x:v>
      </x:c>
      <x:c r="S13" s="30" t="n">
        <x:v>1</x:v>
      </x:c>
      <x:c r="T13" s="30" t="n">
        <x:v>1</x:v>
      </x:c>
      <x:c r="U13" s="30" t="n">
        <x:v>0</x:v>
      </x:c>
      <x:c r="V13" s="30" t="n">
        <x:v>10</x:v>
      </x:c>
      <x:c r="W13" s="30" t="n">
        <x:v>14</x:v>
      </x:c>
      <x:c r="X13" s="30" t="n">
        <x:v>16</x:v>
      </x:c>
      <x:c r="Y13" s="30" t="n">
        <x:v>4</x:v>
      </x:c>
      <x:c r="Z13" s="30" t="n">
        <x:v>8</x:v>
      </x:c>
      <x:c r="AA13" s="30" t="n">
        <x:v>8</x:v>
      </x:c>
      <x:c r="AB13" s="30" t="n">
        <x:v>10</x:v>
      </x:c>
      <x:c r="AC13" s="30" t="n">
        <x:v>8</x:v>
      </x:c>
      <x:c r="AD13" s="30" t="n">
        <x:v>14</x:v>
      </x:c>
      <x:c r="AE13" s="30" t="n">
        <x:v>16</x:v>
      </x:c>
      <x:c r="AF13" s="30" t="str">
        <x:f>IF(AND(COUNTIFS($C$5:$C$19,C13)=1,COUNTIFS(Routes!$C$5:$C$9,E13)=1),"PASS","FAIL")</x:f>
        <x:v>PASS</x:v>
      </x:c>
      <x:c r="AG13" s="30" t="str">
        <x:v>Pass 168 MSPT-1 / Pass 167 NIFS-1</x:v>
      </x:c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>
      <x:c r="A14" s="1"/>
      <x:c r="B14" s="1"/>
      <x:c r="C14" s="30" t="str">
        <x:v>C-DTG</x:v>
      </x:c>
      <x:c r="D14" s="30" t="str">
        <x:v>Displacement transition group</x:v>
      </x:c>
      <x:c r="E14" s="30" t="str">
        <x:v>R4</x:v>
      </x:c>
      <x:c r="F14" s="30" t="str">
        <x:v>Household relocation and reception</x:v>
      </x:c>
      <x:c r="G14" s="30" t="str">
        <x:v>Food, shelter and essential-goods continuity</x:v>
      </x:c>
      <x:c r="H14" s="30" t="str">
        <x:v>Community Stabilization</x:v>
      </x:c>
      <x:c r="I14" s="38" t="n">
        <x:v>0.45</x:v>
      </x:c>
      <x:c r="J14" s="32" t="n">
        <x:v>79</x:v>
      </x:c>
      <x:c r="K14" s="32" t="n">
        <x:v>158</x:v>
      </x:c>
      <x:c r="L14" s="32" t="n">
        <x:v>118500</x:v>
      </x:c>
      <x:c r="M14" s="33" t="n">
        <x:v>63.2</x:v>
      </x:c>
      <x:c r="N14" s="32" t="n">
        <x:f>J14*(1-I14)</x:f>
        <x:v>43.45</x:v>
      </x:c>
      <x:c r="O14" s="30" t="n">
        <x:v>1</x:v>
      </x:c>
      <x:c r="P14" s="30" t="n">
        <x:v>0</x:v>
      </x:c>
      <x:c r="Q14" s="30" t="n">
        <x:v>1</x:v>
      </x:c>
      <x:c r="R14" s="30" t="n">
        <x:v>1</x:v>
      </x:c>
      <x:c r="S14" s="30" t="n">
        <x:v>0</x:v>
      </x:c>
      <x:c r="T14" s="30" t="n">
        <x:v>1</x:v>
      </x:c>
      <x:c r="U14" s="30" t="n">
        <x:v>1</x:v>
      </x:c>
      <x:c r="V14" s="30" t="n">
        <x:v>6</x:v>
      </x:c>
      <x:c r="W14" s="30" t="n">
        <x:v>10</x:v>
      </x:c>
      <x:c r="X14" s="30" t="n">
        <x:v>12</x:v>
      </x:c>
      <x:c r="Y14" s="30" t="n">
        <x:v>2</x:v>
      </x:c>
      <x:c r="Z14" s="30" t="n">
        <x:v>6</x:v>
      </x:c>
      <x:c r="AA14" s="30" t="n">
        <x:v>5</x:v>
      </x:c>
      <x:c r="AB14" s="30" t="n">
        <x:v>8</x:v>
      </x:c>
      <x:c r="AC14" s="30" t="n">
        <x:v>6</x:v>
      </x:c>
      <x:c r="AD14" s="30" t="n">
        <x:v>10</x:v>
      </x:c>
      <x:c r="AE14" s="30" t="n">
        <x:v>14</x:v>
      </x:c>
      <x:c r="AF14" s="30" t="str">
        <x:f>IF(AND(COUNTIFS($C$5:$C$19,C14)=1,COUNTIFS(Routes!$C$5:$C$9,E14)=1),"PASS","FAIL")</x:f>
        <x:v>PASS</x:v>
      </x:c>
      <x:c r="AG14" s="30" t="str">
        <x:v>Pass 168 MSPT-1 / Pass 167 NIFS-1</x:v>
      </x:c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>
      <x:c r="A15" s="1"/>
      <x:c r="B15" s="1"/>
      <x:c r="C15" s="30" t="str">
        <x:v>CM-CTN</x:v>
      </x:c>
      <x:c r="D15" s="30" t="str">
        <x:v>Continuity transfer-node group</x:v>
      </x:c>
      <x:c r="E15" s="30" t="str">
        <x:v>R4</x:v>
      </x:c>
      <x:c r="F15" s="30" t="str">
        <x:v>Household relocation and reception</x:v>
      </x:c>
      <x:c r="G15" s="30" t="str">
        <x:v>Mobility, access and distribution</x:v>
      </x:c>
      <x:c r="H15" s="30" t="str">
        <x:v>Civil Mobility and Continuity</x:v>
      </x:c>
      <x:c r="I15" s="38" t="n">
        <x:v>0.8</x:v>
      </x:c>
      <x:c r="J15" s="32" t="n">
        <x:v>54</x:v>
      </x:c>
      <x:c r="K15" s="32" t="n">
        <x:v>125</x:v>
      </x:c>
      <x:c r="L15" s="32" t="n">
        <x:v>675000</x:v>
      </x:c>
      <x:c r="M15" s="33" t="n">
        <x:v>250</x:v>
      </x:c>
      <x:c r="N15" s="32" t="n">
        <x:f>J15*(1-I15)</x:f>
        <x:v>10.799999999999997</x:v>
      </x:c>
      <x:c r="O15" s="30" t="n">
        <x:v>1</x:v>
      </x:c>
      <x:c r="P15" s="30" t="n">
        <x:v>0</x:v>
      </x:c>
      <x:c r="Q15" s="30" t="n">
        <x:v>1</x:v>
      </x:c>
      <x:c r="R15" s="30" t="n">
        <x:v>1</x:v>
      </x:c>
      <x:c r="S15" s="30" t="n">
        <x:v>1</x:v>
      </x:c>
      <x:c r="T15" s="30" t="n">
        <x:v>1</x:v>
      </x:c>
      <x:c r="U15" s="30" t="n">
        <x:v>0</x:v>
      </x:c>
      <x:c r="V15" s="30" t="n">
        <x:v>4</x:v>
      </x:c>
      <x:c r="W15" s="30" t="n">
        <x:v>6</x:v>
      </x:c>
      <x:c r="X15" s="30" t="n">
        <x:v>8</x:v>
      </x:c>
      <x:c r="Y15" s="30" t="n">
        <x:v>3</x:v>
      </x:c>
      <x:c r="Z15" s="30" t="n">
        <x:v>4</x:v>
      </x:c>
      <x:c r="AA15" s="30" t="n">
        <x:v>4</x:v>
      </x:c>
      <x:c r="AB15" s="30" t="n">
        <x:v>5</x:v>
      </x:c>
      <x:c r="AC15" s="30" t="n">
        <x:v>4</x:v>
      </x:c>
      <x:c r="AD15" s="30" t="n">
        <x:v>8</x:v>
      </x:c>
      <x:c r="AE15" s="30" t="n">
        <x:v>8</x:v>
      </x:c>
      <x:c r="AF15" s="30" t="str">
        <x:f>IF(AND(COUNTIFS($C$5:$C$19,C15)=1,COUNTIFS(Routes!$C$5:$C$9,E15)=1),"PASS","FAIL")</x:f>
        <x:v>PASS</x:v>
      </x:c>
      <x:c r="AG15" s="30" t="str">
        <x:v>Pass 168 MSPT-1 / Pass 167 NIFS-1</x:v>
      </x:c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>
      <x:c r="A16" s="1"/>
      <x:c r="B16" s="1"/>
      <x:c r="C16" s="30" t="str">
        <x:v>CM-RMG</x:v>
      </x:c>
      <x:c r="D16" s="30" t="str">
        <x:v>Civil road-mobility group</x:v>
      </x:c>
      <x:c r="E16" s="30" t="str">
        <x:v>R4</x:v>
      </x:c>
      <x:c r="F16" s="30" t="str">
        <x:v>Household relocation and reception</x:v>
      </x:c>
      <x:c r="G16" s="30" t="str">
        <x:v>Mobility, access and distribution</x:v>
      </x:c>
      <x:c r="H16" s="30" t="str">
        <x:v>Civil Mobility and Continuity</x:v>
      </x:c>
      <x:c r="I16" s="38" t="n">
        <x:v>0.5</x:v>
      </x:c>
      <x:c r="J16" s="32" t="n">
        <x:v>86</x:v>
      </x:c>
      <x:c r="K16" s="32" t="n">
        <x:v>199</x:v>
      </x:c>
      <x:c r="L16" s="32" t="n">
        <x:v>388050</x:v>
      </x:c>
      <x:c r="M16" s="33" t="n">
        <x:v>298.5</x:v>
      </x:c>
      <x:c r="N16" s="32" t="n">
        <x:f>J16*(1-I16)</x:f>
        <x:v>43</x:v>
      </x:c>
      <x:c r="O16" s="30" t="n">
        <x:v>0</x:v>
      </x:c>
      <x:c r="P16" s="30" t="n">
        <x:v>0</x:v>
      </x:c>
      <x:c r="Q16" s="30" t="n">
        <x:v>0</x:v>
      </x:c>
      <x:c r="R16" s="30" t="n">
        <x:v>1</x:v>
      </x:c>
      <x:c r="S16" s="30" t="n">
        <x:v>1</x:v>
      </x:c>
      <x:c r="T16" s="30" t="n">
        <x:v>1</x:v>
      </x:c>
      <x:c r="U16" s="30" t="n">
        <x:v>1</x:v>
      </x:c>
      <x:c r="V16" s="30" t="n">
        <x:v>8</x:v>
      </x:c>
      <x:c r="W16" s="30" t="n">
        <x:v>10</x:v>
      </x:c>
      <x:c r="X16" s="30" t="n">
        <x:v>12</x:v>
      </x:c>
      <x:c r="Y16" s="30" t="n">
        <x:v>4</x:v>
      </x:c>
      <x:c r="Z16" s="30" t="n">
        <x:v>8</x:v>
      </x:c>
      <x:c r="AA16" s="30" t="n">
        <x:v>6</x:v>
      </x:c>
      <x:c r="AB16" s="30" t="n">
        <x:v>8</x:v>
      </x:c>
      <x:c r="AC16" s="30" t="n">
        <x:v>6</x:v>
      </x:c>
      <x:c r="AD16" s="30" t="n">
        <x:v>12</x:v>
      </x:c>
      <x:c r="AE16" s="30" t="n">
        <x:v>12</x:v>
      </x:c>
      <x:c r="AF16" s="30" t="str">
        <x:f>IF(AND(COUNTIFS($C$5:$C$19,C16)=1,COUNTIFS(Routes!$C$5:$C$9,E16)=1),"PASS","FAIL")</x:f>
        <x:v>PASS</x:v>
      </x:c>
      <x:c r="AG16" s="30" t="str">
        <x:v>Pass 168 MSPT-1 / Pass 167 NIFS-1</x:v>
      </x:c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>
      <x:c r="A17" s="1"/>
      <x:c r="B17" s="1"/>
      <x:c r="C17" s="30" t="str">
        <x:v>CM-RLG</x:v>
      </x:c>
      <x:c r="D17" s="30" t="str">
        <x:v>Civil rail-mobility group</x:v>
      </x:c>
      <x:c r="E17" s="30" t="str">
        <x:v>R4</x:v>
      </x:c>
      <x:c r="F17" s="30" t="str">
        <x:v>Household relocation and reception</x:v>
      </x:c>
      <x:c r="G17" s="30" t="str">
        <x:v>Mobility, access and distribution</x:v>
      </x:c>
      <x:c r="H17" s="30" t="str">
        <x:v>Civil Mobility and Continuity</x:v>
      </x:c>
      <x:c r="I17" s="38" t="n">
        <x:v>0.5</x:v>
      </x:c>
      <x:c r="J17" s="32" t="n">
        <x:v>32</x:v>
      </x:c>
      <x:c r="K17" s="32" t="n">
        <x:v>74</x:v>
      </x:c>
      <x:c r="L17" s="32" t="n">
        <x:v>88800</x:v>
      </x:c>
      <x:c r="M17" s="33" t="n">
        <x:v>148</x:v>
      </x:c>
      <x:c r="N17" s="32" t="n">
        <x:f>J17*(1-I17)</x:f>
        <x:v>16</x:v>
      </x:c>
      <x:c r="O17" s="30" t="n">
        <x:v>0</x:v>
      </x:c>
      <x:c r="P17" s="30" t="n">
        <x:v>0</x:v>
      </x:c>
      <x:c r="Q17" s="30" t="n">
        <x:v>0</x:v>
      </x:c>
      <x:c r="R17" s="30" t="n">
        <x:v>1</x:v>
      </x:c>
      <x:c r="S17" s="30" t="n">
        <x:v>1</x:v>
      </x:c>
      <x:c r="T17" s="30" t="n">
        <x:v>1</x:v>
      </x:c>
      <x:c r="U17" s="30" t="n">
        <x:v>0</x:v>
      </x:c>
      <x:c r="V17" s="30" t="n">
        <x:v>3</x:v>
      </x:c>
      <x:c r="W17" s="30" t="n">
        <x:v>4</x:v>
      </x:c>
      <x:c r="X17" s="30" t="n">
        <x:v>5</x:v>
      </x:c>
      <x:c r="Y17" s="30" t="n">
        <x:v>1</x:v>
      </x:c>
      <x:c r="Z17" s="30" t="n">
        <x:v>2</x:v>
      </x:c>
      <x:c r="AA17" s="30" t="n">
        <x:v>2</x:v>
      </x:c>
      <x:c r="AB17" s="30" t="n">
        <x:v>3</x:v>
      </x:c>
      <x:c r="AC17" s="30" t="n">
        <x:v>2</x:v>
      </x:c>
      <x:c r="AD17" s="30" t="n">
        <x:v>5</x:v>
      </x:c>
      <x:c r="AE17" s="30" t="n">
        <x:v>5</x:v>
      </x:c>
      <x:c r="AF17" s="30" t="str">
        <x:f>IF(AND(COUNTIFS($C$5:$C$19,C17)=1,COUNTIFS(Routes!$C$5:$C$9,E17)=1),"PASS","FAIL")</x:f>
        <x:v>PASS</x:v>
      </x:c>
      <x:c r="AG17" s="30" t="str">
        <x:v>Pass 168 MSPT-1 / Pass 167 NIFS-1</x:v>
      </x:c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>
      <x:c r="A18" s="1"/>
      <x:c r="B18" s="1"/>
      <x:c r="C18" s="30" t="str">
        <x:v>CM-AMG</x:v>
      </x:c>
      <x:c r="D18" s="30" t="str">
        <x:v>Civil air-mobility group</x:v>
      </x:c>
      <x:c r="E18" s="30" t="str">
        <x:v>R4</x:v>
      </x:c>
      <x:c r="F18" s="30" t="str">
        <x:v>Household relocation and reception</x:v>
      </x:c>
      <x:c r="G18" s="30" t="str">
        <x:v>Mobility, access and distribution</x:v>
      </x:c>
      <x:c r="H18" s="30" t="str">
        <x:v>Civil Mobility and Continuity</x:v>
      </x:c>
      <x:c r="I18" s="38" t="n">
        <x:v>0.5</x:v>
      </x:c>
      <x:c r="J18" s="32" t="n">
        <x:v>31</x:v>
      </x:c>
      <x:c r="K18" s="32" t="n">
        <x:v>72</x:v>
      </x:c>
      <x:c r="L18" s="32" t="n">
        <x:v>86400</x:v>
      </x:c>
      <x:c r="M18" s="33" t="n">
        <x:v>216</x:v>
      </x:c>
      <x:c r="N18" s="32" t="n">
        <x:f>J18*(1-I18)</x:f>
        <x:v>15.5</x:v>
      </x:c>
      <x:c r="O18" s="30" t="n">
        <x:v>0</x:v>
      </x:c>
      <x:c r="P18" s="30" t="n">
        <x:v>0</x:v>
      </x:c>
      <x:c r="Q18" s="30" t="n">
        <x:v>0</x:v>
      </x:c>
      <x:c r="R18" s="30" t="n">
        <x:v>1</x:v>
      </x:c>
      <x:c r="S18" s="30" t="n">
        <x:v>1</x:v>
      </x:c>
      <x:c r="T18" s="30" t="n">
        <x:v>1</x:v>
      </x:c>
      <x:c r="U18" s="30" t="n">
        <x:v>0</x:v>
      </x:c>
      <x:c r="V18" s="30" t="n">
        <x:v>2</x:v>
      </x:c>
      <x:c r="W18" s="30" t="n">
        <x:v>3</x:v>
      </x:c>
      <x:c r="X18" s="30" t="n">
        <x:v>4</x:v>
      </x:c>
      <x:c r="Y18" s="30" t="n">
        <x:v>2</x:v>
      </x:c>
      <x:c r="Z18" s="30" t="n">
        <x:v>2</x:v>
      </x:c>
      <x:c r="AA18" s="30" t="n">
        <x:v>2</x:v>
      </x:c>
      <x:c r="AB18" s="30" t="n">
        <x:v>3</x:v>
      </x:c>
      <x:c r="AC18" s="30" t="n">
        <x:v>3</x:v>
      </x:c>
      <x:c r="AD18" s="30" t="n">
        <x:v>5</x:v>
      </x:c>
      <x:c r="AE18" s="30" t="n">
        <x:v>5</x:v>
      </x:c>
      <x:c r="AF18" s="30" t="str">
        <x:f>IF(AND(COUNTIFS($C$5:$C$19,C18)=1,COUNTIFS(Routes!$C$5:$C$9,E18)=1),"PASS","FAIL")</x:f>
        <x:v>PASS</x:v>
      </x:c>
      <x:c r="AG18" s="30" t="str">
        <x:v>Pass 168 MSPT-1 / Pass 167 NIFS-1</x:v>
      </x:c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>
      <x:c r="A19" s="1"/>
      <x:c r="B19" s="1"/>
      <x:c r="C19" s="30" t="str">
        <x:v>CM-WMG</x:v>
      </x:c>
      <x:c r="D19" s="30" t="str">
        <x:v>Civil water-mobility group</x:v>
      </x:c>
      <x:c r="E19" s="30" t="str">
        <x:v>R4</x:v>
      </x:c>
      <x:c r="F19" s="30" t="str">
        <x:v>Household relocation and reception</x:v>
      </x:c>
      <x:c r="G19" s="30" t="str">
        <x:v>Mobility, access and distribution</x:v>
      </x:c>
      <x:c r="H19" s="30" t="str">
        <x:v>Civil Mobility and Continuity</x:v>
      </x:c>
      <x:c r="I19" s="38" t="n">
        <x:v>0.5</x:v>
      </x:c>
      <x:c r="J19" s="32" t="n">
        <x:v>32</x:v>
      </x:c>
      <x:c r="K19" s="32" t="n">
        <x:v>74</x:v>
      </x:c>
      <x:c r="L19" s="32" t="n">
        <x:v>88800</x:v>
      </x:c>
      <x:c r="M19" s="33" t="n">
        <x:v>148</x:v>
      </x:c>
      <x:c r="N19" s="32" t="n">
        <x:f>J19*(1-I19)</x:f>
        <x:v>16</x:v>
      </x:c>
      <x:c r="O19" s="30" t="n">
        <x:v>0</x:v>
      </x:c>
      <x:c r="P19" s="30" t="n">
        <x:v>0</x:v>
      </x:c>
      <x:c r="Q19" s="30" t="n">
        <x:v>0</x:v>
      </x:c>
      <x:c r="R19" s="30" t="n">
        <x:v>1</x:v>
      </x:c>
      <x:c r="S19" s="30" t="n">
        <x:v>1</x:v>
      </x:c>
      <x:c r="T19" s="30" t="n">
        <x:v>1</x:v>
      </x:c>
      <x:c r="U19" s="30" t="n">
        <x:v>0</x:v>
      </x:c>
      <x:c r="V19" s="30" t="n">
        <x:v>2</x:v>
      </x:c>
      <x:c r="W19" s="30" t="n">
        <x:v>4</x:v>
      </x:c>
      <x:c r="X19" s="30" t="n">
        <x:v>5</x:v>
      </x:c>
      <x:c r="Y19" s="30" t="n">
        <x:v>1</x:v>
      </x:c>
      <x:c r="Z19" s="30" t="n">
        <x:v>1</x:v>
      </x:c>
      <x:c r="AA19" s="30" t="n">
        <x:v>3</x:v>
      </x:c>
      <x:c r="AB19" s="30" t="n">
        <x:v>2</x:v>
      </x:c>
      <x:c r="AC19" s="30" t="n">
        <x:v>3</x:v>
      </x:c>
      <x:c r="AD19" s="30" t="n">
        <x:v>5</x:v>
      </x:c>
      <x:c r="AE19" s="30" t="n">
        <x:v>6</x:v>
      </x:c>
      <x:c r="AF19" s="30" t="str">
        <x:f>IF(AND(COUNTIFS($C$5:$C$19,C19)=1,COUNTIFS(Routes!$C$5:$C$9,E19)=1),"PASS","FAIL")</x:f>
        <x:v>PASS</x:v>
      </x:c>
      <x:c r="AG19" s="30" t="str">
        <x:v>Pass 168 MSPT-1 / Pass 167 NIFS-1</x:v>
      </x:c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>
      <x:c r="A20" s="1"/>
      <x:c r="B20" s="1"/>
      <x:c r="C20" s="34" t="str">
        <x:v>Total</x:v>
      </x:c>
      <x:c r="D20" s="34"/>
      <x:c r="E20" s="34"/>
      <x:c r="F20" s="34"/>
      <x:c r="G20" s="34"/>
      <x:c r="H20" s="34"/>
      <x:c r="I20" s="34"/>
      <x:c r="J20" s="40" t="n">
        <x:f>SUM(J5:J19)</x:f>
        <x:v>879</x:v>
      </x:c>
      <x:c r="K20" s="40" t="n">
        <x:f>SUM(K5:K19)</x:f>
        <x:v>1944</x:v>
      </x:c>
      <x:c r="L20" s="40" t="n">
        <x:f>SUM(L5:L19)</x:f>
        <x:v>3251860</x:v>
      </x:c>
      <x:c r="M20" s="41" t="n">
        <x:f>SUM(M5:M19)</x:f>
        <x:v>2482.8</x:v>
      </x:c>
      <x:c r="N20" s="40" t="n">
        <x:f>SUM(N5:N19)</x:f>
        <x:v>413.85</x:v>
      </x:c>
      <x:c r="O20" s="34" t="n">
        <x:f>SUM(O5:O19)</x:f>
        <x:v>6</x:v>
      </x:c>
      <x:c r="P20" s="34" t="n">
        <x:f>SUM(P5:P19)</x:f>
        <x:v>6</x:v>
      </x:c>
      <x:c r="Q20" s="34" t="n">
        <x:f>SUM(Q5:Q19)</x:f>
        <x:v>7</x:v>
      </x:c>
      <x:c r="R20" s="34" t="n">
        <x:f>SUM(R5:R19)</x:f>
        <x:v>11</x:v>
      </x:c>
      <x:c r="S20" s="34" t="n">
        <x:f>SUM(S5:S19)</x:f>
        <x:v>11</x:v>
      </x:c>
      <x:c r="T20" s="34" t="n">
        <x:f>SUM(T5:T19)</x:f>
        <x:v>15</x:v>
      </x:c>
      <x:c r="U20" s="34" t="n">
        <x:f>SUM(U5:U19)</x:f>
        <x:v>7</x:v>
      </x:c>
      <x:c r="V20" s="34" t="n">
        <x:f>SUM(V5:V19)</x:f>
        <x:v>77</x:v>
      </x:c>
      <x:c r="W20" s="34" t="n">
        <x:f>SUM(W5:W19)</x:f>
        <x:v>101</x:v>
      </x:c>
      <x:c r="X20" s="34" t="n">
        <x:f>SUM(X5:X19)</x:f>
        <x:v>128</x:v>
      </x:c>
      <x:c r="Y20" s="34" t="n">
        <x:f>SUM(Y5:Y19)</x:f>
        <x:v>42</x:v>
      </x:c>
      <x:c r="Z20" s="34" t="n">
        <x:f>SUM(Z5:Z19)</x:f>
        <x:v>72</x:v>
      </x:c>
      <x:c r="AA20" s="34" t="n">
        <x:f>SUM(AA5:AA19)</x:f>
        <x:v>61</x:v>
      </x:c>
      <x:c r="AB20" s="34" t="n">
        <x:f>SUM(AB5:AB19)</x:f>
        <x:v>80</x:v>
      </x:c>
      <x:c r="AC20" s="34" t="n">
        <x:f>SUM(AC5:AC19)</x:f>
        <x:v>66</x:v>
      </x:c>
      <x:c r="AD20" s="34" t="n">
        <x:f>SUM(AD5:AD19)</x:f>
        <x:v>124</x:v>
      </x:c>
      <x:c r="AE20" s="34" t="n">
        <x:f>SUM(AE5:AE19)</x:f>
        <x:v>128</x:v>
      </x:c>
      <x:c r="AF20" s="34"/>
      <x:c r="AG20" s="34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>
      <x:c r="A21" s="1"/>
      <x:c r="B21" s="1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  <x:c r="AA21" s="30"/>
      <x:c r="AB21" s="30"/>
      <x:c r="AC21" s="30"/>
      <x:c r="AD21" s="30"/>
      <x:c r="AE21" s="30"/>
      <x:c r="AF21" s="30"/>
      <x:c r="AG21" s="30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>
      <x:c r="A22" s="1"/>
      <x:c r="B22" s="1"/>
      <x:c r="C22" s="30"/>
      <x:c r="D22" s="30"/>
      <x:c r="E22" s="30"/>
      <x:c r="F22" s="30"/>
      <x:c r="G22" s="30"/>
      <x:c r="H22" s="30"/>
      <x:c r="I22" s="30"/>
      <x:c r="J22" s="30"/>
      <x:c r="K22" s="30"/>
      <x:c r="L22" s="30"/>
      <x:c r="M22" s="30"/>
      <x:c r="N22" s="30"/>
      <x:c r="O22" s="30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  <x:c r="AA22" s="30"/>
      <x:c r="AB22" s="30"/>
      <x:c r="AC22" s="30"/>
      <x:c r="AD22" s="30"/>
      <x:c r="AE22" s="30"/>
      <x:c r="AF22" s="30"/>
      <x:c r="AG22" s="30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>
      <x:c r="A23" s="1"/>
      <x:c r="B23" s="1"/>
      <x:c r="C23" s="30"/>
      <x:c r="D23" s="30"/>
      <x:c r="E23" s="30"/>
      <x:c r="F23" s="30"/>
      <x:c r="G23" s="30"/>
      <x:c r="H23" s="30"/>
      <x:c r="I23" s="30"/>
      <x:c r="J23" s="30"/>
      <x:c r="K23" s="30"/>
      <x:c r="L23" s="30"/>
      <x:c r="M23" s="30"/>
      <x:c r="N23" s="30"/>
      <x:c r="O23" s="30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  <x:c r="AA23" s="30"/>
      <x:c r="AB23" s="30"/>
      <x:c r="AC23" s="30"/>
      <x:c r="AD23" s="30"/>
      <x:c r="AE23" s="30"/>
      <x:c r="AF23" s="30"/>
      <x:c r="AG23" s="30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>
      <x:c r="A24" s="1"/>
      <x:c r="B24" s="1"/>
      <x:c r="C24" s="30"/>
      <x:c r="D24" s="30"/>
      <x:c r="E24" s="30"/>
      <x:c r="F24" s="30"/>
      <x:c r="G24" s="30"/>
      <x:c r="H24" s="30"/>
      <x:c r="I24" s="30"/>
      <x:c r="J24" s="30"/>
      <x:c r="K24" s="30"/>
      <x:c r="L24" s="30"/>
      <x:c r="M24" s="30"/>
      <x:c r="N24" s="30"/>
      <x:c r="O24" s="30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  <x:c r="AA24" s="30"/>
      <x:c r="AB24" s="30"/>
      <x:c r="AC24" s="30"/>
      <x:c r="AD24" s="30"/>
      <x:c r="AE24" s="30"/>
      <x:c r="AF24" s="30"/>
      <x:c r="AG24" s="30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>
      <x:c r="A25" s="1"/>
      <x:c r="B25" s="1"/>
      <x:c r="C25" s="30"/>
      <x:c r="D25" s="30"/>
      <x:c r="E25" s="30"/>
      <x:c r="F25" s="30"/>
      <x:c r="G25" s="30"/>
      <x:c r="H25" s="30"/>
      <x:c r="I25" s="30"/>
      <x:c r="J25" s="30"/>
      <x:c r="K25" s="30"/>
      <x:c r="L25" s="30"/>
      <x:c r="M25" s="30"/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  <x:c r="AA25" s="30"/>
      <x:c r="AB25" s="30"/>
      <x:c r="AC25" s="30"/>
      <x:c r="AD25" s="30"/>
      <x:c r="AE25" s="30"/>
      <x:c r="AF25" s="30"/>
      <x:c r="AG25" s="30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>
      <x:c r="A26" s="1"/>
      <x:c r="B26" s="1"/>
      <x:c r="C26" s="30"/>
      <x:c r="D26" s="30"/>
      <x:c r="E26" s="30"/>
      <x:c r="F26" s="30"/>
      <x:c r="G26" s="30"/>
      <x:c r="H26" s="30"/>
      <x:c r="I26" s="30"/>
      <x:c r="J26" s="3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  <x:c r="AA26" s="30"/>
      <x:c r="AB26" s="30"/>
      <x:c r="AC26" s="30"/>
      <x:c r="AD26" s="30"/>
      <x:c r="AE26" s="30"/>
      <x:c r="AF26" s="30"/>
      <x:c r="AG26" s="30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>
      <x:c r="A27" s="1"/>
      <x:c r="B27" s="1"/>
      <x:c r="C27" s="30"/>
      <x:c r="D27" s="30"/>
      <x:c r="E27" s="30"/>
      <x:c r="F27" s="30"/>
      <x:c r="G27" s="30"/>
      <x:c r="H27" s="30"/>
      <x:c r="I27" s="30"/>
      <x:c r="J27" s="30"/>
      <x:c r="K27" s="30"/>
      <x:c r="L27" s="30"/>
      <x:c r="M27" s="30"/>
      <x:c r="N27" s="30"/>
      <x:c r="O27" s="30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  <x:c r="AA27" s="30"/>
      <x:c r="AB27" s="30"/>
      <x:c r="AC27" s="30"/>
      <x:c r="AD27" s="30"/>
      <x:c r="AE27" s="30"/>
      <x:c r="AF27" s="30"/>
      <x:c r="AG27" s="30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>
      <x:c r="A28" s="1"/>
      <x:c r="B28" s="1"/>
      <x:c r="C28" s="30"/>
      <x:c r="D28" s="30"/>
      <x:c r="E28" s="30"/>
      <x:c r="F28" s="30"/>
      <x:c r="G28" s="30"/>
      <x:c r="H28" s="30"/>
      <x:c r="I28" s="30"/>
      <x:c r="J28" s="30"/>
      <x:c r="K28" s="30"/>
      <x:c r="L28" s="30"/>
      <x:c r="M28" s="30"/>
      <x:c r="N28" s="30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  <x:c r="AA28" s="30"/>
      <x:c r="AB28" s="30"/>
      <x:c r="AC28" s="30"/>
      <x:c r="AD28" s="30"/>
      <x:c r="AE28" s="30"/>
      <x:c r="AF28" s="30"/>
      <x:c r="AG28" s="30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>
      <x:c r="A29" s="1"/>
      <x:c r="B29" s="1"/>
      <x:c r="C29" s="30"/>
      <x:c r="D29" s="30"/>
      <x:c r="E29" s="30"/>
      <x:c r="F29" s="30"/>
      <x:c r="G29" s="30"/>
      <x:c r="H29" s="30"/>
      <x:c r="I29" s="30"/>
      <x:c r="J29" s="30"/>
      <x:c r="K29" s="30"/>
      <x:c r="L29" s="30"/>
      <x:c r="M29" s="30"/>
      <x:c r="N29" s="30"/>
      <x:c r="O29" s="30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  <x:c r="AA29" s="30"/>
      <x:c r="AB29" s="30"/>
      <x:c r="AC29" s="30"/>
      <x:c r="AD29" s="30"/>
      <x:c r="AE29" s="30"/>
      <x:c r="AF29" s="30"/>
      <x:c r="AG29" s="30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>
      <x:c r="A30" s="1"/>
      <x:c r="B30" s="1"/>
      <x:c r="C30" s="30"/>
      <x:c r="D30" s="30"/>
      <x:c r="E30" s="30"/>
      <x:c r="F30" s="30"/>
      <x:c r="G30" s="30"/>
      <x:c r="H30" s="30"/>
      <x:c r="I30" s="30"/>
      <x:c r="J30" s="30"/>
      <x:c r="K30" s="30"/>
      <x:c r="L30" s="30"/>
      <x:c r="M30" s="30"/>
      <x:c r="N30" s="30"/>
      <x:c r="O30" s="30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  <x:c r="AA30" s="30"/>
      <x:c r="AB30" s="30"/>
      <x:c r="AC30" s="30"/>
      <x:c r="AD30" s="30"/>
      <x:c r="AE30" s="30"/>
      <x:c r="AF30" s="30"/>
      <x:c r="AG30" s="30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>
      <x:c r="A31" s="1"/>
      <x:c r="B31" s="1"/>
      <x:c r="C31" s="30"/>
      <x:c r="D31" s="30"/>
      <x:c r="E31" s="30"/>
      <x:c r="F31" s="30"/>
      <x:c r="G31" s="30"/>
      <x:c r="H31" s="30"/>
      <x:c r="I31" s="30"/>
      <x:c r="J31" s="30"/>
      <x:c r="K31" s="30"/>
      <x:c r="L31" s="30"/>
      <x:c r="M31" s="30"/>
      <x:c r="N31" s="30"/>
      <x:c r="O31" s="30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  <x:c r="AA31" s="30"/>
      <x:c r="AB31" s="30"/>
      <x:c r="AC31" s="30"/>
      <x:c r="AD31" s="30"/>
      <x:c r="AE31" s="30"/>
      <x:c r="AF31" s="30"/>
      <x:c r="AG31" s="30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>
      <x:c r="A32" s="1"/>
      <x:c r="B32" s="1"/>
      <x:c r="C32" s="30"/>
      <x:c r="D32" s="30"/>
      <x:c r="E32" s="30"/>
      <x:c r="F32" s="30"/>
      <x:c r="G32" s="30"/>
      <x:c r="H32" s="30"/>
      <x:c r="I32" s="30"/>
      <x:c r="J32" s="30"/>
      <x:c r="K32" s="30"/>
      <x:c r="L32" s="30"/>
      <x:c r="M32" s="30"/>
      <x:c r="N32" s="30"/>
      <x:c r="O32" s="30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  <x:c r="AA32" s="30"/>
      <x:c r="AB32" s="30"/>
      <x:c r="AC32" s="30"/>
      <x:c r="AD32" s="30"/>
      <x:c r="AE32" s="30"/>
      <x:c r="AF32" s="30"/>
      <x:c r="AG32" s="30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>
      <x:c r="A33" s="1"/>
      <x:c r="B33" s="1"/>
      <x:c r="C33" s="30"/>
      <x:c r="D33" s="30"/>
      <x:c r="E33" s="30"/>
      <x:c r="F33" s="30"/>
      <x:c r="G33" s="30"/>
      <x:c r="H33" s="30"/>
      <x:c r="I33" s="30"/>
      <x:c r="J33" s="30"/>
      <x:c r="K33" s="30"/>
      <x:c r="L33" s="30"/>
      <x:c r="M33" s="30"/>
      <x:c r="N33" s="30"/>
      <x:c r="O33" s="30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  <x:c r="AA33" s="30"/>
      <x:c r="AB33" s="30"/>
      <x:c r="AC33" s="30"/>
      <x:c r="AD33" s="30"/>
      <x:c r="AE33" s="30"/>
      <x:c r="AF33" s="30"/>
      <x:c r="AG33" s="30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>
      <x:c r="A34" s="1"/>
      <x:c r="B34" s="1"/>
      <x:c r="C34" s="30"/>
      <x:c r="D34" s="30"/>
      <x:c r="E34" s="30"/>
      <x:c r="F34" s="30"/>
      <x:c r="G34" s="30"/>
      <x:c r="H34" s="30"/>
      <x:c r="I34" s="30"/>
      <x:c r="J34" s="30"/>
      <x:c r="K34" s="30"/>
      <x:c r="L34" s="30"/>
      <x:c r="M34" s="30"/>
      <x:c r="N34" s="30"/>
      <x:c r="O34" s="30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  <x:c r="AA34" s="30"/>
      <x:c r="AB34" s="30"/>
      <x:c r="AC34" s="30"/>
      <x:c r="AD34" s="30"/>
      <x:c r="AE34" s="30"/>
      <x:c r="AF34" s="30"/>
      <x:c r="AG34" s="30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>
      <x:c r="A35" s="1"/>
      <x:c r="B35" s="1"/>
      <x:c r="C35" s="30"/>
      <x:c r="D35" s="30"/>
      <x:c r="E35" s="30"/>
      <x:c r="F35" s="30"/>
      <x:c r="G35" s="30"/>
      <x:c r="H35" s="30"/>
      <x:c r="I35" s="30"/>
      <x:c r="J35" s="30"/>
      <x:c r="K35" s="30"/>
      <x:c r="L35" s="30"/>
      <x:c r="M35" s="30"/>
      <x:c r="N35" s="30"/>
      <x:c r="O35" s="30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  <x:c r="AA35" s="30"/>
      <x:c r="AB35" s="30"/>
      <x:c r="AC35" s="30"/>
      <x:c r="AD35" s="30"/>
      <x:c r="AE35" s="30"/>
      <x:c r="AF35" s="30"/>
      <x:c r="AG35" s="30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>
      <x:c r="A36" s="1"/>
      <x:c r="B36" s="1"/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  <x:c r="M36" s="30"/>
      <x:c r="N36" s="30"/>
      <x:c r="O36" s="30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  <x:c r="AA36" s="30"/>
      <x:c r="AB36" s="30"/>
      <x:c r="AC36" s="30"/>
      <x:c r="AD36" s="30"/>
      <x:c r="AE36" s="30"/>
      <x:c r="AF36" s="30"/>
      <x:c r="AG36" s="30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>
      <x:c r="A37" s="1"/>
      <x:c r="B37" s="1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  <x:c r="O37" s="30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  <x:c r="AA37" s="30"/>
      <x:c r="AB37" s="30"/>
      <x:c r="AC37" s="30"/>
      <x:c r="AD37" s="30"/>
      <x:c r="AE37" s="30"/>
      <x:c r="AF37" s="30"/>
      <x:c r="AG37" s="30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>
      <x:c r="A38" s="1"/>
      <x:c r="B38" s="1"/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  <x:c r="O38" s="30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  <x:c r="AA38" s="30"/>
      <x:c r="AB38" s="30"/>
      <x:c r="AC38" s="30"/>
      <x:c r="AD38" s="30"/>
      <x:c r="AE38" s="30"/>
      <x:c r="AF38" s="30"/>
      <x:c r="AG38" s="30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>
      <x:c r="A39" s="1"/>
      <x:c r="B39" s="1"/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  <x:c r="O39" s="30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  <x:c r="AA39" s="30"/>
      <x:c r="AB39" s="30"/>
      <x:c r="AC39" s="30"/>
      <x:c r="AD39" s="30"/>
      <x:c r="AE39" s="30"/>
      <x:c r="AF39" s="30"/>
      <x:c r="AG39" s="30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>
      <x:c r="A40" s="1"/>
      <x:c r="B40" s="1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  <x:c r="M40" s="30"/>
      <x:c r="N40" s="30"/>
      <x:c r="O40" s="30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  <x:c r="AA40" s="30"/>
      <x:c r="AB40" s="30"/>
      <x:c r="AC40" s="30"/>
      <x:c r="AD40" s="30"/>
      <x:c r="AE40" s="30"/>
      <x:c r="AF40" s="30"/>
      <x:c r="AG40" s="30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>
      <x:c r="A41" s="1"/>
      <x:c r="B41" s="1"/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  <x:c r="AA41" s="30"/>
      <x:c r="AB41" s="30"/>
      <x:c r="AC41" s="30"/>
      <x:c r="AD41" s="30"/>
      <x:c r="AE41" s="30"/>
      <x:c r="AF41" s="30"/>
      <x:c r="AG41" s="30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>
      <x:c r="A42" s="1"/>
      <x:c r="B42" s="1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  <x:c r="AA42" s="30"/>
      <x:c r="AB42" s="30"/>
      <x:c r="AC42" s="30"/>
      <x:c r="AD42" s="30"/>
      <x:c r="AE42" s="30"/>
      <x:c r="AF42" s="30"/>
      <x:c r="AG42" s="30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>
      <x:c r="A43" s="1"/>
      <x:c r="B43" s="1"/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  <x:c r="AA43" s="30"/>
      <x:c r="AB43" s="30"/>
      <x:c r="AC43" s="30"/>
      <x:c r="AD43" s="30"/>
      <x:c r="AE43" s="30"/>
      <x:c r="AF43" s="30"/>
      <x:c r="AG43" s="30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>
      <x:c r="A44" s="1"/>
      <x:c r="B44" s="1"/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  <x:c r="M44" s="30"/>
      <x:c r="N44" s="30"/>
      <x:c r="O44" s="30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  <x:c r="AA44" s="30"/>
      <x:c r="AB44" s="30"/>
      <x:c r="AC44" s="30"/>
      <x:c r="AD44" s="30"/>
      <x:c r="AE44" s="30"/>
      <x:c r="AF44" s="30"/>
      <x:c r="AG44" s="30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>
      <x:c r="A45" s="1"/>
      <x:c r="B45" s="1"/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  <x:c r="AA45" s="30"/>
      <x:c r="AB45" s="30"/>
      <x:c r="AC45" s="30"/>
      <x:c r="AD45" s="30"/>
      <x:c r="AE45" s="30"/>
      <x:c r="AF45" s="30"/>
      <x:c r="AG45" s="30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>
      <x:c r="A46" s="1"/>
      <x:c r="B46" s="1"/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  <x:c r="M46" s="30"/>
      <x:c r="N46" s="30"/>
      <x:c r="O46" s="30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  <x:c r="AA46" s="30"/>
      <x:c r="AB46" s="30"/>
      <x:c r="AC46" s="30"/>
      <x:c r="AD46" s="30"/>
      <x:c r="AE46" s="30"/>
      <x:c r="AF46" s="30"/>
      <x:c r="AG46" s="30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>
      <x:c r="A47" s="1"/>
      <x:c r="B47" s="1"/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  <x:c r="O47" s="30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  <x:c r="AA47" s="30"/>
      <x:c r="AB47" s="30"/>
      <x:c r="AC47" s="30"/>
      <x:c r="AD47" s="30"/>
      <x:c r="AE47" s="30"/>
      <x:c r="AF47" s="30"/>
      <x:c r="AG47" s="30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>
      <x:c r="A48" s="1"/>
      <x:c r="B48" s="1"/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  <x:c r="M48" s="30"/>
      <x:c r="N48" s="30"/>
      <x:c r="O48" s="30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  <x:c r="AA48" s="30"/>
      <x:c r="AB48" s="30"/>
      <x:c r="AC48" s="30"/>
      <x:c r="AD48" s="30"/>
      <x:c r="AE48" s="30"/>
      <x:c r="AF48" s="30"/>
      <x:c r="AG48" s="30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>
      <x:c r="A49" s="1"/>
      <x:c r="B49" s="1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0"/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  <x:c r="AA49" s="30"/>
      <x:c r="AB49" s="30"/>
      <x:c r="AC49" s="30"/>
      <x:c r="AD49" s="30"/>
      <x:c r="AE49" s="30"/>
      <x:c r="AF49" s="30"/>
      <x:c r="AG49" s="30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>
      <x:c r="A50" s="1"/>
      <x:c r="B50" s="1"/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  <x:c r="O50" s="30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  <x:c r="AA50" s="30"/>
      <x:c r="AB50" s="30"/>
      <x:c r="AC50" s="30"/>
      <x:c r="AD50" s="30"/>
      <x:c r="AE50" s="30"/>
      <x:c r="AF50" s="30"/>
      <x:c r="AG50" s="30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>
      <x:c r="A51" s="1"/>
      <x:c r="B51" s="1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  <x:c r="O51" s="30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  <x:c r="AA51" s="30"/>
      <x:c r="AB51" s="30"/>
      <x:c r="AC51" s="30"/>
      <x:c r="AD51" s="30"/>
      <x:c r="AE51" s="30"/>
      <x:c r="AF51" s="30"/>
      <x:c r="AG51" s="30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>
      <x:c r="A52" s="1"/>
      <x:c r="B52" s="1"/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  <x:c r="M52" s="30"/>
      <x:c r="N52" s="30"/>
      <x:c r="O52" s="30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  <x:c r="AA52" s="30"/>
      <x:c r="AB52" s="30"/>
      <x:c r="AC52" s="30"/>
      <x:c r="AD52" s="30"/>
      <x:c r="AE52" s="30"/>
      <x:c r="AF52" s="30"/>
      <x:c r="AG52" s="30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>
      <x:c r="A53" s="1"/>
      <x:c r="B53" s="1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  <x:c r="O53" s="30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  <x:c r="AA53" s="30"/>
      <x:c r="AB53" s="30"/>
      <x:c r="AC53" s="30"/>
      <x:c r="AD53" s="30"/>
      <x:c r="AE53" s="30"/>
      <x:c r="AF53" s="30"/>
      <x:c r="AG53" s="30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>
      <x:c r="A54" s="1"/>
      <x:c r="B54" s="1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  <x:c r="AA54" s="30"/>
      <x:c r="AB54" s="30"/>
      <x:c r="AC54" s="30"/>
      <x:c r="AD54" s="30"/>
      <x:c r="AE54" s="30"/>
      <x:c r="AF54" s="30"/>
      <x:c r="AG54" s="30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>
      <x:c r="A55" s="1"/>
      <x:c r="B55" s="1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  <x:c r="AA55" s="30"/>
      <x:c r="AB55" s="30"/>
      <x:c r="AC55" s="30"/>
      <x:c r="AD55" s="30"/>
      <x:c r="AE55" s="30"/>
      <x:c r="AF55" s="30"/>
      <x:c r="AG55" s="30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>
      <x:c r="A56" s="1"/>
      <x:c r="B56" s="1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  <x:c r="AA56" s="30"/>
      <x:c r="AB56" s="30"/>
      <x:c r="AC56" s="30"/>
      <x:c r="AD56" s="30"/>
      <x:c r="AE56" s="30"/>
      <x:c r="AF56" s="30"/>
      <x:c r="AG56" s="30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>
      <x:c r="A57" s="1"/>
      <x:c r="B57" s="1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  <x:c r="AA57" s="30"/>
      <x:c r="AB57" s="30"/>
      <x:c r="AC57" s="30"/>
      <x:c r="AD57" s="30"/>
      <x:c r="AE57" s="30"/>
      <x:c r="AF57" s="30"/>
      <x:c r="AG57" s="30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>
      <x:c r="A58" s="1"/>
      <x:c r="B58" s="1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0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  <x:c r="AA58" s="30"/>
      <x:c r="AB58" s="30"/>
      <x:c r="AC58" s="30"/>
      <x:c r="AD58" s="30"/>
      <x:c r="AE58" s="30"/>
      <x:c r="AF58" s="30"/>
      <x:c r="AG58" s="30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>
      <x:c r="A59" s="1"/>
      <x:c r="B59" s="1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  <x:c r="M59" s="30"/>
      <x:c r="N59" s="30"/>
      <x:c r="O59" s="30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  <x:c r="AA59" s="30"/>
      <x:c r="AB59" s="30"/>
      <x:c r="AC59" s="30"/>
      <x:c r="AD59" s="30"/>
      <x:c r="AE59" s="30"/>
      <x:c r="AF59" s="30"/>
      <x:c r="AG59" s="30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>
      <x:c r="A60" s="1"/>
      <x:c r="B60" s="1"/>
      <x:c r="C60" s="30"/>
      <x:c r="D60" s="30"/>
      <x:c r="E60" s="30"/>
      <x:c r="F60" s="30"/>
      <x:c r="G60" s="30"/>
      <x:c r="H60" s="30"/>
      <x:c r="I60" s="30"/>
      <x:c r="J60" s="30"/>
      <x:c r="K60" s="30"/>
      <x:c r="L60" s="30"/>
      <x:c r="M60" s="30"/>
      <x:c r="N60" s="30"/>
      <x:c r="O60" s="30"/>
      <x:c r="P60" s="30"/>
      <x:c r="Q60" s="30"/>
      <x:c r="R60" s="30"/>
      <x:c r="S60" s="30"/>
      <x:c r="T60" s="30"/>
      <x:c r="U60" s="30"/>
      <x:c r="V60" s="30"/>
      <x:c r="W60" s="30"/>
      <x:c r="X60" s="30"/>
      <x:c r="Y60" s="30"/>
      <x:c r="Z60" s="30"/>
      <x:c r="AA60" s="30"/>
      <x:c r="AB60" s="30"/>
      <x:c r="AC60" s="30"/>
      <x:c r="AD60" s="30"/>
      <x:c r="AE60" s="30"/>
      <x:c r="AF60" s="30"/>
      <x:c r="AG60" s="30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>
      <x:c r="A61" s="1"/>
      <x:c r="B61" s="1"/>
      <x:c r="C61" s="30"/>
      <x:c r="D61" s="30"/>
      <x:c r="E61" s="30"/>
      <x:c r="F61" s="30"/>
      <x:c r="G61" s="30"/>
      <x:c r="H61" s="30"/>
      <x:c r="I61" s="30"/>
      <x:c r="J61" s="30"/>
      <x:c r="K61" s="30"/>
      <x:c r="L61" s="30"/>
      <x:c r="M61" s="30"/>
      <x:c r="N61" s="30"/>
      <x:c r="O61" s="30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  <x:c r="AA61" s="30"/>
      <x:c r="AB61" s="30"/>
      <x:c r="AC61" s="30"/>
      <x:c r="AD61" s="30"/>
      <x:c r="AE61" s="30"/>
      <x:c r="AF61" s="30"/>
      <x:c r="AG61" s="30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>
      <x:c r="A62" s="1"/>
      <x:c r="B62" s="1"/>
      <x:c r="C62" s="30"/>
      <x:c r="D62" s="30"/>
      <x:c r="E62" s="30"/>
      <x:c r="F62" s="30"/>
      <x:c r="G62" s="30"/>
      <x:c r="H62" s="30"/>
      <x:c r="I62" s="30"/>
      <x:c r="J62" s="30"/>
      <x:c r="K62" s="30"/>
      <x:c r="L62" s="30"/>
      <x:c r="M62" s="30"/>
      <x:c r="N62" s="30"/>
      <x:c r="O62" s="30"/>
      <x:c r="P62" s="30"/>
      <x:c r="Q62" s="30"/>
      <x:c r="R62" s="30"/>
      <x:c r="S62" s="30"/>
      <x:c r="T62" s="30"/>
      <x:c r="U62" s="30"/>
      <x:c r="V62" s="30"/>
      <x:c r="W62" s="30"/>
      <x:c r="X62" s="30"/>
      <x:c r="Y62" s="30"/>
      <x:c r="Z62" s="30"/>
      <x:c r="AA62" s="30"/>
      <x:c r="AB62" s="30"/>
      <x:c r="AC62" s="30"/>
      <x:c r="AD62" s="30"/>
      <x:c r="AE62" s="30"/>
      <x:c r="AF62" s="30"/>
      <x:c r="AG62" s="30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>
      <x:c r="A63" s="1"/>
      <x:c r="B63" s="1"/>
      <x:c r="C63" s="30"/>
      <x:c r="D63" s="30"/>
      <x:c r="E63" s="30"/>
      <x:c r="F63" s="30"/>
      <x:c r="G63" s="30"/>
      <x:c r="H63" s="30"/>
      <x:c r="I63" s="30"/>
      <x:c r="J63" s="30"/>
      <x:c r="K63" s="30"/>
      <x:c r="L63" s="30"/>
      <x:c r="M63" s="30"/>
      <x:c r="N63" s="30"/>
      <x:c r="O63" s="30"/>
      <x:c r="P63" s="30"/>
      <x:c r="Q63" s="30"/>
      <x:c r="R63" s="30"/>
      <x:c r="S63" s="30"/>
      <x:c r="T63" s="30"/>
      <x:c r="U63" s="30"/>
      <x:c r="V63" s="30"/>
      <x:c r="W63" s="30"/>
      <x:c r="X63" s="30"/>
      <x:c r="Y63" s="30"/>
      <x:c r="Z63" s="30"/>
      <x:c r="AA63" s="30"/>
      <x:c r="AB63" s="30"/>
      <x:c r="AC63" s="30"/>
      <x:c r="AD63" s="30"/>
      <x:c r="AE63" s="30"/>
      <x:c r="AF63" s="30"/>
      <x:c r="AG63" s="30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>
      <x:c r="A64" s="1"/>
      <x:c r="B64" s="1"/>
      <x:c r="C64" s="30"/>
      <x:c r="D64" s="30"/>
      <x:c r="E64" s="30"/>
      <x:c r="F64" s="30"/>
      <x:c r="G64" s="30"/>
      <x:c r="H64" s="30"/>
      <x:c r="I64" s="30"/>
      <x:c r="J64" s="30"/>
      <x:c r="K64" s="30"/>
      <x:c r="L64" s="30"/>
      <x:c r="M64" s="30"/>
      <x:c r="N64" s="30"/>
      <x:c r="O64" s="30"/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30"/>
      <x:c r="AA64" s="30"/>
      <x:c r="AB64" s="30"/>
      <x:c r="AC64" s="30"/>
      <x:c r="AD64" s="30"/>
      <x:c r="AE64" s="30"/>
      <x:c r="AF64" s="30"/>
      <x:c r="AG64" s="30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>
      <x:c r="A65" s="1"/>
      <x:c r="B65" s="1"/>
      <x:c r="C65" s="30"/>
      <x:c r="D65" s="30"/>
      <x:c r="E65" s="30"/>
      <x:c r="F65" s="30"/>
      <x:c r="G65" s="30"/>
      <x:c r="H65" s="30"/>
      <x:c r="I65" s="30"/>
      <x:c r="J65" s="30"/>
      <x:c r="K65" s="30"/>
      <x:c r="L65" s="30"/>
      <x:c r="M65" s="30"/>
      <x:c r="N65" s="30"/>
      <x:c r="O65" s="30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  <x:c r="AA65" s="30"/>
      <x:c r="AB65" s="30"/>
      <x:c r="AC65" s="30"/>
      <x:c r="AD65" s="30"/>
      <x:c r="AE65" s="30"/>
      <x:c r="AF65" s="30"/>
      <x:c r="AG65" s="30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>
      <x:c r="A66" s="1"/>
      <x:c r="B66" s="1"/>
      <x:c r="C66" s="30"/>
      <x:c r="D66" s="30"/>
      <x:c r="E66" s="30"/>
      <x:c r="F66" s="30"/>
      <x:c r="G66" s="30"/>
      <x:c r="H66" s="30"/>
      <x:c r="I66" s="30"/>
      <x:c r="J66" s="30"/>
      <x:c r="K66" s="30"/>
      <x:c r="L66" s="30"/>
      <x:c r="M66" s="30"/>
      <x:c r="N66" s="30"/>
      <x:c r="O66" s="30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  <x:c r="AA66" s="30"/>
      <x:c r="AB66" s="30"/>
      <x:c r="AC66" s="30"/>
      <x:c r="AD66" s="30"/>
      <x:c r="AE66" s="30"/>
      <x:c r="AF66" s="30"/>
      <x:c r="AG66" s="30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>
      <x:c r="A67" s="1"/>
      <x:c r="B67" s="1"/>
      <x:c r="C67" s="30"/>
      <x:c r="D67" s="30"/>
      <x:c r="E67" s="30"/>
      <x:c r="F67" s="30"/>
      <x:c r="G67" s="30"/>
      <x:c r="H67" s="30"/>
      <x:c r="I67" s="30"/>
      <x:c r="J67" s="30"/>
      <x:c r="K67" s="30"/>
      <x:c r="L67" s="30"/>
      <x:c r="M67" s="30"/>
      <x:c r="N67" s="30"/>
      <x:c r="O67" s="30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  <x:c r="AA67" s="30"/>
      <x:c r="AB67" s="30"/>
      <x:c r="AC67" s="30"/>
      <x:c r="AD67" s="30"/>
      <x:c r="AE67" s="30"/>
      <x:c r="AF67" s="30"/>
      <x:c r="AG67" s="30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>
      <x:c r="A68" s="1"/>
      <x:c r="B68" s="1"/>
      <x:c r="C68" s="30"/>
      <x:c r="D68" s="30"/>
      <x:c r="E68" s="30"/>
      <x:c r="F68" s="30"/>
      <x:c r="G68" s="30"/>
      <x:c r="H68" s="30"/>
      <x:c r="I68" s="30"/>
      <x:c r="J68" s="30"/>
      <x:c r="K68" s="30"/>
      <x:c r="L68" s="30"/>
      <x:c r="M68" s="30"/>
      <x:c r="N68" s="30"/>
      <x:c r="O68" s="30"/>
      <x:c r="P68" s="30"/>
      <x:c r="Q68" s="30"/>
      <x:c r="R68" s="30"/>
      <x:c r="S68" s="30"/>
      <x:c r="T68" s="30"/>
      <x:c r="U68" s="30"/>
      <x:c r="V68" s="30"/>
      <x:c r="W68" s="30"/>
      <x:c r="X68" s="30"/>
      <x:c r="Y68" s="30"/>
      <x:c r="Z68" s="30"/>
      <x:c r="AA68" s="30"/>
      <x:c r="AB68" s="30"/>
      <x:c r="AC68" s="30"/>
      <x:c r="AD68" s="30"/>
      <x:c r="AE68" s="30"/>
      <x:c r="AF68" s="30"/>
      <x:c r="AG68" s="30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>
      <x:c r="A69" s="1"/>
      <x:c r="B69" s="1"/>
      <x:c r="C69" s="30"/>
      <x:c r="D69" s="30"/>
      <x:c r="E69" s="30"/>
      <x:c r="F69" s="30"/>
      <x:c r="G69" s="30"/>
      <x:c r="H69" s="30"/>
      <x:c r="I69" s="30"/>
      <x:c r="J69" s="30"/>
      <x:c r="K69" s="30"/>
      <x:c r="L69" s="30"/>
      <x:c r="M69" s="30"/>
      <x:c r="N69" s="30"/>
      <x:c r="O69" s="30"/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30"/>
      <x:c r="AA69" s="30"/>
      <x:c r="AB69" s="30"/>
      <x:c r="AC69" s="30"/>
      <x:c r="AD69" s="30"/>
      <x:c r="AE69" s="30"/>
      <x:c r="AF69" s="30"/>
      <x:c r="AG69" s="30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>
      <x:c r="A70" s="1"/>
      <x:c r="B70" s="1"/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  <x:c r="M70" s="30"/>
      <x:c r="N70" s="30"/>
      <x:c r="O70" s="30"/>
      <x:c r="P70" s="30"/>
      <x:c r="Q70" s="30"/>
      <x:c r="R70" s="30"/>
      <x:c r="S70" s="30"/>
      <x:c r="T70" s="30"/>
      <x:c r="U70" s="30"/>
      <x:c r="V70" s="30"/>
      <x:c r="W70" s="30"/>
      <x:c r="X70" s="30"/>
      <x:c r="Y70" s="30"/>
      <x:c r="Z70" s="30"/>
      <x:c r="AA70" s="30"/>
      <x:c r="AB70" s="30"/>
      <x:c r="AC70" s="30"/>
      <x:c r="AD70" s="30"/>
      <x:c r="AE70" s="30"/>
      <x:c r="AF70" s="30"/>
      <x:c r="AG70" s="30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>
      <x:c r="A71" s="1"/>
      <x:c r="B71" s="1"/>
      <x:c r="C71" s="30"/>
      <x:c r="D71" s="30"/>
      <x:c r="E71" s="30"/>
      <x:c r="F71" s="30"/>
      <x:c r="G71" s="30"/>
      <x:c r="H71" s="30"/>
      <x:c r="I71" s="30"/>
      <x:c r="J71" s="30"/>
      <x:c r="K71" s="30"/>
      <x:c r="L71" s="30"/>
      <x:c r="M71" s="30"/>
      <x:c r="N71" s="30"/>
      <x:c r="O71" s="30"/>
      <x:c r="P71" s="30"/>
      <x:c r="Q71" s="30"/>
      <x:c r="R71" s="30"/>
      <x:c r="S71" s="30"/>
      <x:c r="T71" s="30"/>
      <x:c r="U71" s="30"/>
      <x:c r="V71" s="30"/>
      <x:c r="W71" s="30"/>
      <x:c r="X71" s="30"/>
      <x:c r="Y71" s="30"/>
      <x:c r="Z71" s="30"/>
      <x:c r="AA71" s="30"/>
      <x:c r="AB71" s="30"/>
      <x:c r="AC71" s="30"/>
      <x:c r="AD71" s="30"/>
      <x:c r="AE71" s="30"/>
      <x:c r="AF71" s="30"/>
      <x:c r="AG71" s="30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>
      <x:c r="A72" s="1"/>
      <x:c r="B72" s="1"/>
      <x:c r="C72" s="30"/>
      <x:c r="D72" s="30"/>
      <x:c r="E72" s="30"/>
      <x:c r="F72" s="30"/>
      <x:c r="G72" s="30"/>
      <x:c r="H72" s="30"/>
      <x:c r="I72" s="30"/>
      <x:c r="J72" s="30"/>
      <x:c r="K72" s="30"/>
      <x:c r="L72" s="30"/>
      <x:c r="M72" s="30"/>
      <x:c r="N72" s="30"/>
      <x:c r="O72" s="30"/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30"/>
      <x:c r="AA72" s="30"/>
      <x:c r="AB72" s="30"/>
      <x:c r="AC72" s="30"/>
      <x:c r="AD72" s="30"/>
      <x:c r="AE72" s="30"/>
      <x:c r="AF72" s="30"/>
      <x:c r="AG72" s="30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>
      <x:c r="A73" s="1"/>
      <x:c r="B73" s="1"/>
      <x:c r="C73" s="30"/>
      <x:c r="D73" s="30"/>
      <x:c r="E73" s="30"/>
      <x:c r="F73" s="30"/>
      <x:c r="G73" s="30"/>
      <x:c r="H73" s="30"/>
      <x:c r="I73" s="30"/>
      <x:c r="J73" s="30"/>
      <x:c r="K73" s="30"/>
      <x:c r="L73" s="30"/>
      <x:c r="M73" s="30"/>
      <x:c r="N73" s="30"/>
      <x:c r="O73" s="30"/>
      <x:c r="P73" s="30"/>
      <x:c r="Q73" s="30"/>
      <x:c r="R73" s="30"/>
      <x:c r="S73" s="30"/>
      <x:c r="T73" s="30"/>
      <x:c r="U73" s="30"/>
      <x:c r="V73" s="30"/>
      <x:c r="W73" s="30"/>
      <x:c r="X73" s="30"/>
      <x:c r="Y73" s="30"/>
      <x:c r="Z73" s="30"/>
      <x:c r="AA73" s="30"/>
      <x:c r="AB73" s="30"/>
      <x:c r="AC73" s="30"/>
      <x:c r="AD73" s="30"/>
      <x:c r="AE73" s="30"/>
      <x:c r="AF73" s="30"/>
      <x:c r="AG73" s="30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>
      <x:c r="A74" s="1"/>
      <x:c r="B74" s="1"/>
      <x:c r="C74" s="30"/>
      <x:c r="D74" s="30"/>
      <x:c r="E74" s="30"/>
      <x:c r="F74" s="30"/>
      <x:c r="G74" s="30"/>
      <x:c r="H74" s="30"/>
      <x:c r="I74" s="30"/>
      <x:c r="J74" s="30"/>
      <x:c r="K74" s="30"/>
      <x:c r="L74" s="30"/>
      <x:c r="M74" s="30"/>
      <x:c r="N74" s="30"/>
      <x:c r="O74" s="30"/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30"/>
      <x:c r="AA74" s="30"/>
      <x:c r="AB74" s="30"/>
      <x:c r="AC74" s="30"/>
      <x:c r="AD74" s="30"/>
      <x:c r="AE74" s="30"/>
      <x:c r="AF74" s="30"/>
      <x:c r="AG74" s="30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>
      <x:c r="A75" s="1"/>
      <x:c r="B75" s="1"/>
      <x:c r="C75" s="30"/>
      <x:c r="D75" s="30"/>
      <x:c r="E75" s="30"/>
      <x:c r="F75" s="30"/>
      <x:c r="G75" s="30"/>
      <x:c r="H75" s="30"/>
      <x:c r="I75" s="30"/>
      <x:c r="J75" s="30"/>
      <x:c r="K75" s="30"/>
      <x:c r="L75" s="30"/>
      <x:c r="M75" s="30"/>
      <x:c r="N75" s="30"/>
      <x:c r="O75" s="30"/>
      <x:c r="P75" s="30"/>
      <x:c r="Q75" s="30"/>
      <x:c r="R75" s="30"/>
      <x:c r="S75" s="30"/>
      <x:c r="T75" s="30"/>
      <x:c r="U75" s="30"/>
      <x:c r="V75" s="30"/>
      <x:c r="W75" s="30"/>
      <x:c r="X75" s="30"/>
      <x:c r="Y75" s="30"/>
      <x:c r="Z75" s="30"/>
      <x:c r="AA75" s="30"/>
      <x:c r="AB75" s="30"/>
      <x:c r="AC75" s="30"/>
      <x:c r="AD75" s="30"/>
      <x:c r="AE75" s="30"/>
      <x:c r="AF75" s="30"/>
      <x:c r="AG75" s="30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>
      <x:c r="A76" s="1"/>
      <x:c r="B76" s="1"/>
      <x:c r="C76" s="30"/>
      <x:c r="D76" s="30"/>
      <x:c r="E76" s="30"/>
      <x:c r="F76" s="30"/>
      <x:c r="G76" s="30"/>
      <x:c r="H76" s="30"/>
      <x:c r="I76" s="30"/>
      <x:c r="J76" s="30"/>
      <x:c r="K76" s="30"/>
      <x:c r="L76" s="30"/>
      <x:c r="M76" s="30"/>
      <x:c r="N76" s="30"/>
      <x:c r="O76" s="30"/>
      <x:c r="P76" s="30"/>
      <x:c r="Q76" s="30"/>
      <x:c r="R76" s="30"/>
      <x:c r="S76" s="30"/>
      <x:c r="T76" s="30"/>
      <x:c r="U76" s="30"/>
      <x:c r="V76" s="30"/>
      <x:c r="W76" s="30"/>
      <x:c r="X76" s="30"/>
      <x:c r="Y76" s="30"/>
      <x:c r="Z76" s="30"/>
      <x:c r="AA76" s="30"/>
      <x:c r="AB76" s="30"/>
      <x:c r="AC76" s="30"/>
      <x:c r="AD76" s="30"/>
      <x:c r="AE76" s="30"/>
      <x:c r="AF76" s="30"/>
      <x:c r="AG76" s="30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>
      <x:c r="A77" s="1"/>
      <x:c r="B77" s="1"/>
      <x:c r="C77" s="30"/>
      <x:c r="D77" s="30"/>
      <x:c r="E77" s="30"/>
      <x:c r="F77" s="30"/>
      <x:c r="G77" s="30"/>
      <x:c r="H77" s="30"/>
      <x:c r="I77" s="30"/>
      <x:c r="J77" s="30"/>
      <x:c r="K77" s="30"/>
      <x:c r="L77" s="30"/>
      <x:c r="M77" s="30"/>
      <x:c r="N77" s="30"/>
      <x:c r="O77" s="30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  <x:c r="AA77" s="30"/>
      <x:c r="AB77" s="30"/>
      <x:c r="AC77" s="30"/>
      <x:c r="AD77" s="30"/>
      <x:c r="AE77" s="30"/>
      <x:c r="AF77" s="30"/>
      <x:c r="AG77" s="30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>
      <x:c r="A78" s="1"/>
      <x:c r="B78" s="1"/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  <x:c r="O78" s="30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  <x:c r="AA78" s="30"/>
      <x:c r="AB78" s="30"/>
      <x:c r="AC78" s="30"/>
      <x:c r="AD78" s="30"/>
      <x:c r="AE78" s="30"/>
      <x:c r="AF78" s="30"/>
      <x:c r="AG78" s="30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>
      <x:c r="A79" s="1"/>
      <x:c r="B79" s="1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  <x:c r="M79" s="30"/>
      <x:c r="N79" s="30"/>
      <x:c r="O79" s="30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  <x:c r="AA79" s="30"/>
      <x:c r="AB79" s="30"/>
      <x:c r="AC79" s="30"/>
      <x:c r="AD79" s="30"/>
      <x:c r="AE79" s="30"/>
      <x:c r="AF79" s="30"/>
      <x:c r="AG79" s="30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>
      <x:c r="A80" s="1"/>
      <x:c r="B80" s="1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  <x:c r="M80" s="30"/>
      <x:c r="N80" s="30"/>
      <x:c r="O80" s="30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  <x:c r="AA80" s="30"/>
      <x:c r="AB80" s="30"/>
      <x:c r="AC80" s="30"/>
      <x:c r="AD80" s="30"/>
      <x:c r="AE80" s="30"/>
      <x:c r="AF80" s="30"/>
      <x:c r="AG80" s="30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>
      <x:c r="A81" s="1"/>
      <x:c r="B81" s="1"/>
      <x:c r="C81" s="30"/>
      <x:c r="D81" s="30"/>
      <x:c r="E81" s="30"/>
      <x:c r="F81" s="30"/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  <x:c r="AA81" s="30"/>
      <x:c r="AB81" s="30"/>
      <x:c r="AC81" s="30"/>
      <x:c r="AD81" s="30"/>
      <x:c r="AE81" s="30"/>
      <x:c r="AF81" s="30"/>
      <x:c r="AG81" s="30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>
      <x:c r="A82" s="1"/>
      <x:c r="B82" s="1"/>
      <x:c r="C82" s="30"/>
      <x:c r="D82" s="30"/>
      <x:c r="E82" s="30"/>
      <x:c r="F82" s="30"/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30"/>
      <x:c r="AA82" s="30"/>
      <x:c r="AB82" s="30"/>
      <x:c r="AC82" s="30"/>
      <x:c r="AD82" s="30"/>
      <x:c r="AE82" s="30"/>
      <x:c r="AF82" s="30"/>
      <x:c r="AG82" s="30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>
      <x:c r="A83" s="1"/>
      <x:c r="B83" s="1"/>
      <x:c r="C83" s="30"/>
      <x:c r="D83" s="30"/>
      <x:c r="E83" s="30"/>
      <x:c r="F83" s="30"/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30"/>
      <x:c r="AA83" s="30"/>
      <x:c r="AB83" s="30"/>
      <x:c r="AC83" s="30"/>
      <x:c r="AD83" s="30"/>
      <x:c r="AE83" s="30"/>
      <x:c r="AF83" s="30"/>
      <x:c r="AG83" s="30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>
      <x:c r="A84" s="1"/>
      <x:c r="B84" s="1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30"/>
      <x:c r="AA84" s="30"/>
      <x:c r="AB84" s="30"/>
      <x:c r="AC84" s="30"/>
      <x:c r="AD84" s="30"/>
      <x:c r="AE84" s="30"/>
      <x:c r="AF84" s="30"/>
      <x:c r="AG84" s="30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>
      <x:c r="A85" s="1"/>
      <x:c r="B85" s="1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30"/>
      <x:c r="AA85" s="30"/>
      <x:c r="AB85" s="30"/>
      <x:c r="AC85" s="30"/>
      <x:c r="AD85" s="30"/>
      <x:c r="AE85" s="30"/>
      <x:c r="AF85" s="30"/>
      <x:c r="AG85" s="30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>
      <x:c r="A86" s="1"/>
      <x:c r="B86" s="1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30"/>
      <x:c r="AA86" s="30"/>
      <x:c r="AB86" s="30"/>
      <x:c r="AC86" s="30"/>
      <x:c r="AD86" s="30"/>
      <x:c r="AE86" s="30"/>
      <x:c r="AF86" s="30"/>
      <x:c r="AG86" s="30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>
      <x:c r="A87" s="1"/>
      <x:c r="B87" s="1"/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  <x:c r="Y87" s="30"/>
      <x:c r="Z87" s="30"/>
      <x:c r="AA87" s="30"/>
      <x:c r="AB87" s="30"/>
      <x:c r="AC87" s="30"/>
      <x:c r="AD87" s="30"/>
      <x:c r="AE87" s="30"/>
      <x:c r="AF87" s="30"/>
      <x:c r="AG87" s="30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>
      <x:c r="A88" s="1"/>
      <x:c r="B88" s="1"/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  <x:c r="Y88" s="30"/>
      <x:c r="Z88" s="30"/>
      <x:c r="AA88" s="30"/>
      <x:c r="AB88" s="30"/>
      <x:c r="AC88" s="30"/>
      <x:c r="AD88" s="30"/>
      <x:c r="AE88" s="30"/>
      <x:c r="AF88" s="30"/>
      <x:c r="AG88" s="30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>
      <x:c r="A89" s="1"/>
      <x:c r="B89" s="1"/>
      <x:c r="C89" s="30"/>
      <x:c r="D89" s="30"/>
      <x:c r="E89" s="30"/>
      <x:c r="F89" s="30"/>
      <x:c r="G89" s="3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  <x:c r="Y89" s="30"/>
      <x:c r="Z89" s="30"/>
      <x:c r="AA89" s="30"/>
      <x:c r="AB89" s="30"/>
      <x:c r="AC89" s="30"/>
      <x:c r="AD89" s="30"/>
      <x:c r="AE89" s="30"/>
      <x:c r="AF89" s="30"/>
      <x:c r="AG89" s="30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>
      <x:c r="A90" s="1"/>
      <x:c r="B90" s="1"/>
      <x:c r="C90" s="30"/>
      <x:c r="D90" s="30"/>
      <x:c r="E90" s="30"/>
      <x:c r="F90" s="30"/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30"/>
      <x:c r="AA90" s="30"/>
      <x:c r="AB90" s="30"/>
      <x:c r="AC90" s="30"/>
      <x:c r="AD90" s="30"/>
      <x:c r="AE90" s="30"/>
      <x:c r="AF90" s="30"/>
      <x:c r="AG90" s="30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>
      <x:c r="A91" s="1"/>
      <x:c r="B91" s="1"/>
      <x:c r="C91" s="30"/>
      <x:c r="D91" s="30"/>
      <x:c r="E91" s="30"/>
      <x:c r="F91" s="30"/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30"/>
      <x:c r="AA91" s="30"/>
      <x:c r="AB91" s="30"/>
      <x:c r="AC91" s="30"/>
      <x:c r="AD91" s="30"/>
      <x:c r="AE91" s="30"/>
      <x:c r="AF91" s="30"/>
      <x:c r="AG91" s="30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>
      <x:c r="A92" s="1"/>
      <x:c r="B92" s="1"/>
      <x:c r="C92" s="30"/>
      <x:c r="D92" s="30"/>
      <x:c r="E92" s="30"/>
      <x:c r="F92" s="30"/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  <x:c r="AA92" s="30"/>
      <x:c r="AB92" s="30"/>
      <x:c r="AC92" s="30"/>
      <x:c r="AD92" s="30"/>
      <x:c r="AE92" s="30"/>
      <x:c r="AF92" s="30"/>
      <x:c r="AG92" s="30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>
      <x:c r="A93" s="1"/>
      <x:c r="B93" s="1"/>
      <x:c r="C93" s="30"/>
      <x:c r="D93" s="30"/>
      <x:c r="E93" s="30"/>
      <x:c r="F93" s="30"/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  <x:c r="AA93" s="30"/>
      <x:c r="AB93" s="30"/>
      <x:c r="AC93" s="30"/>
      <x:c r="AD93" s="30"/>
      <x:c r="AE93" s="30"/>
      <x:c r="AF93" s="30"/>
      <x:c r="AG93" s="30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>
      <x:c r="A94" s="1"/>
      <x:c r="B94" s="1"/>
      <x:c r="C94" s="30"/>
      <x:c r="D94" s="30"/>
      <x:c r="E94" s="30"/>
      <x:c r="F94" s="30"/>
      <x:c r="G94" s="3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30"/>
      <x:c r="AA94" s="30"/>
      <x:c r="AB94" s="30"/>
      <x:c r="AC94" s="30"/>
      <x:c r="AD94" s="30"/>
      <x:c r="AE94" s="30"/>
      <x:c r="AF94" s="30"/>
      <x:c r="AG94" s="30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>
      <x:c r="A95" s="1"/>
      <x:c r="B95" s="1"/>
      <x:c r="C95" s="30"/>
      <x:c r="D95" s="30"/>
      <x:c r="E95" s="30"/>
      <x:c r="F95" s="30"/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30"/>
      <x:c r="AA95" s="30"/>
      <x:c r="AB95" s="30"/>
      <x:c r="AC95" s="30"/>
      <x:c r="AD95" s="30"/>
      <x:c r="AE95" s="30"/>
      <x:c r="AF95" s="30"/>
      <x:c r="AG95" s="30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>
      <x:c r="A96" s="1"/>
      <x:c r="B96" s="1"/>
      <x:c r="C96" s="30"/>
      <x:c r="D96" s="30"/>
      <x:c r="E96" s="30"/>
      <x:c r="F96" s="30"/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30"/>
      <x:c r="AA96" s="30"/>
      <x:c r="AB96" s="30"/>
      <x:c r="AC96" s="30"/>
      <x:c r="AD96" s="30"/>
      <x:c r="AE96" s="30"/>
      <x:c r="AF96" s="30"/>
      <x:c r="AG96" s="30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>
      <x:c r="A97" s="1"/>
      <x:c r="B97" s="1"/>
      <x:c r="C97" s="30"/>
      <x:c r="D97" s="30"/>
      <x:c r="E97" s="30"/>
      <x:c r="F97" s="30"/>
      <x:c r="G97" s="3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30"/>
      <x:c r="AA97" s="30"/>
      <x:c r="AB97" s="30"/>
      <x:c r="AC97" s="30"/>
      <x:c r="AD97" s="30"/>
      <x:c r="AE97" s="30"/>
      <x:c r="AF97" s="30"/>
      <x:c r="AG97" s="30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>
      <x:c r="A98" s="1"/>
      <x:c r="B98" s="1"/>
      <x:c r="C98" s="30"/>
      <x:c r="D98" s="30"/>
      <x:c r="E98" s="30"/>
      <x:c r="F98" s="30"/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30"/>
      <x:c r="AA98" s="30"/>
      <x:c r="AB98" s="30"/>
      <x:c r="AC98" s="30"/>
      <x:c r="AD98" s="30"/>
      <x:c r="AE98" s="30"/>
      <x:c r="AF98" s="30"/>
      <x:c r="AG98" s="30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>
      <x:c r="A99" s="1"/>
      <x:c r="B99" s="1"/>
      <x:c r="C99" s="30"/>
      <x:c r="D99" s="30"/>
      <x:c r="E99" s="30"/>
      <x:c r="F99" s="30"/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30"/>
      <x:c r="AA99" s="30"/>
      <x:c r="AB99" s="30"/>
      <x:c r="AC99" s="30"/>
      <x:c r="AD99" s="30"/>
      <x:c r="AE99" s="30"/>
      <x:c r="AF99" s="30"/>
      <x:c r="AG99" s="30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>
      <x:c r="A100" s="1"/>
      <x:c r="B100" s="1"/>
      <x:c r="C100" s="30"/>
      <x:c r="D100" s="30"/>
      <x:c r="E100" s="30"/>
      <x:c r="F100" s="30"/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30"/>
      <x:c r="AA100" s="30"/>
      <x:c r="AB100" s="30"/>
      <x:c r="AC100" s="30"/>
      <x:c r="AD100" s="30"/>
      <x:c r="AE100" s="30"/>
      <x:c r="AF100" s="30"/>
      <x:c r="AG100" s="30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>
      <x:c r="A101" s="1"/>
      <x:c r="B101" s="1"/>
      <x:c r="C101" s="30"/>
      <x:c r="D101" s="30"/>
      <x:c r="E101" s="30"/>
      <x:c r="F101" s="30"/>
      <x:c r="G101" s="30"/>
      <x:c r="H101" s="30"/>
      <x:c r="I101" s="30"/>
      <x:c r="J101" s="30"/>
      <x:c r="K101" s="30"/>
      <x:c r="L101" s="30"/>
      <x:c r="M101" s="30"/>
      <x:c r="N101" s="30"/>
      <x:c r="O101" s="30"/>
      <x:c r="P101" s="30"/>
      <x:c r="Q101" s="30"/>
      <x:c r="R101" s="30"/>
      <x:c r="S101" s="30"/>
      <x:c r="T101" s="30"/>
      <x:c r="U101" s="30"/>
      <x:c r="V101" s="30"/>
      <x:c r="W101" s="30"/>
      <x:c r="X101" s="30"/>
      <x:c r="Y101" s="30"/>
      <x:c r="Z101" s="30"/>
      <x:c r="AA101" s="30"/>
      <x:c r="AB101" s="30"/>
      <x:c r="AC101" s="30"/>
      <x:c r="AD101" s="30"/>
      <x:c r="AE101" s="30"/>
      <x:c r="AF101" s="30"/>
      <x:c r="AG101" s="30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>
      <x:c r="A102" s="1"/>
      <x:c r="B102" s="1"/>
      <x:c r="C102" s="30"/>
      <x:c r="D102" s="30"/>
      <x:c r="E102" s="30"/>
      <x:c r="F102" s="30"/>
      <x:c r="G102" s="30"/>
      <x:c r="H102" s="30"/>
      <x:c r="I102" s="30"/>
      <x:c r="J102" s="30"/>
      <x:c r="K102" s="30"/>
      <x:c r="L102" s="30"/>
      <x:c r="M102" s="30"/>
      <x:c r="N102" s="30"/>
      <x:c r="O102" s="30"/>
      <x:c r="P102" s="30"/>
      <x:c r="Q102" s="30"/>
      <x:c r="R102" s="30"/>
      <x:c r="S102" s="30"/>
      <x:c r="T102" s="30"/>
      <x:c r="U102" s="30"/>
      <x:c r="V102" s="30"/>
      <x:c r="W102" s="30"/>
      <x:c r="X102" s="30"/>
      <x:c r="Y102" s="30"/>
      <x:c r="Z102" s="30"/>
      <x:c r="AA102" s="30"/>
      <x:c r="AB102" s="30"/>
      <x:c r="AC102" s="30"/>
      <x:c r="AD102" s="30"/>
      <x:c r="AE102" s="30"/>
      <x:c r="AF102" s="30"/>
      <x:c r="AG102" s="30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>
      <x:c r="A103" s="1"/>
      <x:c r="B103" s="1"/>
      <x:c r="C103" s="30"/>
      <x:c r="D103" s="30"/>
      <x:c r="E103" s="30"/>
      <x:c r="F103" s="30"/>
      <x:c r="G103" s="3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0"/>
      <x:c r="T103" s="30"/>
      <x:c r="U103" s="30"/>
      <x:c r="V103" s="30"/>
      <x:c r="W103" s="30"/>
      <x:c r="X103" s="30"/>
      <x:c r="Y103" s="30"/>
      <x:c r="Z103" s="30"/>
      <x:c r="AA103" s="30"/>
      <x:c r="AB103" s="30"/>
      <x:c r="AC103" s="30"/>
      <x:c r="AD103" s="30"/>
      <x:c r="AE103" s="30"/>
      <x:c r="AF103" s="30"/>
      <x:c r="AG103" s="30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>
      <x:c r="A104" s="1"/>
      <x:c r="B104" s="1"/>
      <x:c r="C104" s="30"/>
      <x:c r="D104" s="30"/>
      <x:c r="E104" s="30"/>
      <x:c r="F104" s="30"/>
      <x:c r="G104" s="30"/>
      <x:c r="H104" s="30"/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0"/>
      <x:c r="T104" s="30"/>
      <x:c r="U104" s="30"/>
      <x:c r="V104" s="30"/>
      <x:c r="W104" s="30"/>
      <x:c r="X104" s="30"/>
      <x:c r="Y104" s="30"/>
      <x:c r="Z104" s="30"/>
      <x:c r="AA104" s="30"/>
      <x:c r="AB104" s="30"/>
      <x:c r="AC104" s="30"/>
      <x:c r="AD104" s="30"/>
      <x:c r="AE104" s="30"/>
      <x:c r="AF104" s="30"/>
      <x:c r="AG104" s="30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>
      <x:c r="A105" s="1"/>
      <x:c r="B105" s="1"/>
      <x:c r="C105" s="30"/>
      <x:c r="D105" s="30"/>
      <x:c r="E105" s="30"/>
      <x:c r="F105" s="30"/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  <x:c r="Q105" s="30"/>
      <x:c r="R105" s="30"/>
      <x:c r="S105" s="30"/>
      <x:c r="T105" s="30"/>
      <x:c r="U105" s="30"/>
      <x:c r="V105" s="30"/>
      <x:c r="W105" s="30"/>
      <x:c r="X105" s="30"/>
      <x:c r="Y105" s="30"/>
      <x:c r="Z105" s="30"/>
      <x:c r="AA105" s="30"/>
      <x:c r="AB105" s="30"/>
      <x:c r="AC105" s="30"/>
      <x:c r="AD105" s="30"/>
      <x:c r="AE105" s="30"/>
      <x:c r="AF105" s="30"/>
      <x:c r="AG105" s="30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>
      <x:c r="A106" s="1"/>
      <x:c r="B106" s="1"/>
      <x:c r="C106" s="30"/>
      <x:c r="D106" s="30"/>
      <x:c r="E106" s="30"/>
      <x:c r="F106" s="30"/>
      <x:c r="G106" s="30"/>
      <x:c r="H106" s="30"/>
      <x:c r="I106" s="30"/>
      <x:c r="J106" s="30"/>
      <x:c r="K106" s="30"/>
      <x:c r="L106" s="30"/>
      <x:c r="M106" s="30"/>
      <x:c r="N106" s="30"/>
      <x:c r="O106" s="30"/>
      <x:c r="P106" s="30"/>
      <x:c r="Q106" s="30"/>
      <x:c r="R106" s="30"/>
      <x:c r="S106" s="30"/>
      <x:c r="T106" s="30"/>
      <x:c r="U106" s="30"/>
      <x:c r="V106" s="30"/>
      <x:c r="W106" s="30"/>
      <x:c r="X106" s="30"/>
      <x:c r="Y106" s="30"/>
      <x:c r="Z106" s="30"/>
      <x:c r="AA106" s="30"/>
      <x:c r="AB106" s="30"/>
      <x:c r="AC106" s="30"/>
      <x:c r="AD106" s="30"/>
      <x:c r="AE106" s="30"/>
      <x:c r="AF106" s="30"/>
      <x:c r="AG106" s="30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>
      <x:c r="A107" s="1"/>
      <x:c r="B107" s="1"/>
      <x:c r="C107" s="30"/>
      <x:c r="D107" s="30"/>
      <x:c r="E107" s="30"/>
      <x:c r="F107" s="30"/>
      <x:c r="G107" s="30"/>
      <x:c r="H107" s="30"/>
      <x:c r="I107" s="30"/>
      <x:c r="J107" s="30"/>
      <x:c r="K107" s="30"/>
      <x:c r="L107" s="30"/>
      <x:c r="M107" s="30"/>
      <x:c r="N107" s="30"/>
      <x:c r="O107" s="30"/>
      <x:c r="P107" s="30"/>
      <x:c r="Q107" s="30"/>
      <x:c r="R107" s="30"/>
      <x:c r="S107" s="30"/>
      <x:c r="T107" s="30"/>
      <x:c r="U107" s="30"/>
      <x:c r="V107" s="30"/>
      <x:c r="W107" s="30"/>
      <x:c r="X107" s="30"/>
      <x:c r="Y107" s="30"/>
      <x:c r="Z107" s="30"/>
      <x:c r="AA107" s="30"/>
      <x:c r="AB107" s="30"/>
      <x:c r="AC107" s="30"/>
      <x:c r="AD107" s="30"/>
      <x:c r="AE107" s="30"/>
      <x:c r="AF107" s="30"/>
      <x:c r="AG107" s="30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>
      <x:c r="A108" s="1"/>
      <x:c r="B108" s="1"/>
      <x:c r="C108" s="30"/>
      <x:c r="D108" s="30"/>
      <x:c r="E108" s="30"/>
      <x:c r="F108" s="30"/>
      <x:c r="G108" s="30"/>
      <x:c r="H108" s="30"/>
      <x:c r="I108" s="30"/>
      <x:c r="J108" s="30"/>
      <x:c r="K108" s="30"/>
      <x:c r="L108" s="30"/>
      <x:c r="M108" s="30"/>
      <x:c r="N108" s="30"/>
      <x:c r="O108" s="30"/>
      <x:c r="P108" s="30"/>
      <x:c r="Q108" s="30"/>
      <x:c r="R108" s="30"/>
      <x:c r="S108" s="30"/>
      <x:c r="T108" s="30"/>
      <x:c r="U108" s="30"/>
      <x:c r="V108" s="30"/>
      <x:c r="W108" s="30"/>
      <x:c r="X108" s="30"/>
      <x:c r="Y108" s="30"/>
      <x:c r="Z108" s="30"/>
      <x:c r="AA108" s="30"/>
      <x:c r="AB108" s="30"/>
      <x:c r="AC108" s="30"/>
      <x:c r="AD108" s="30"/>
      <x:c r="AE108" s="30"/>
      <x:c r="AF108" s="30"/>
      <x:c r="AG108" s="30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>
      <x:c r="A109" s="1"/>
      <x:c r="B109" s="1"/>
      <x:c r="C109" s="30"/>
      <x:c r="D109" s="30"/>
      <x:c r="E109" s="30"/>
      <x:c r="F109" s="30"/>
      <x:c r="G109" s="30"/>
      <x:c r="H109" s="30"/>
      <x:c r="I109" s="30"/>
      <x:c r="J109" s="30"/>
      <x:c r="K109" s="30"/>
      <x:c r="L109" s="30"/>
      <x:c r="M109" s="30"/>
      <x:c r="N109" s="30"/>
      <x:c r="O109" s="30"/>
      <x:c r="P109" s="30"/>
      <x:c r="Q109" s="30"/>
      <x:c r="R109" s="30"/>
      <x:c r="S109" s="30"/>
      <x:c r="T109" s="30"/>
      <x:c r="U109" s="30"/>
      <x:c r="V109" s="30"/>
      <x:c r="W109" s="30"/>
      <x:c r="X109" s="30"/>
      <x:c r="Y109" s="30"/>
      <x:c r="Z109" s="30"/>
      <x:c r="AA109" s="30"/>
      <x:c r="AB109" s="30"/>
      <x:c r="AC109" s="30"/>
      <x:c r="AD109" s="30"/>
      <x:c r="AE109" s="30"/>
      <x:c r="AF109" s="30"/>
      <x:c r="AG109" s="30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>
      <x:c r="A110" s="1"/>
      <x:c r="B110" s="1"/>
      <x:c r="C110" s="30"/>
      <x:c r="D110" s="30"/>
      <x:c r="E110" s="30"/>
      <x:c r="F110" s="30"/>
      <x:c r="G110" s="30"/>
      <x:c r="H110" s="30"/>
      <x:c r="I110" s="30"/>
      <x:c r="J110" s="30"/>
      <x:c r="K110" s="30"/>
      <x:c r="L110" s="30"/>
      <x:c r="M110" s="30"/>
      <x:c r="N110" s="30"/>
      <x:c r="O110" s="30"/>
      <x:c r="P110" s="30"/>
      <x:c r="Q110" s="30"/>
      <x:c r="R110" s="30"/>
      <x:c r="S110" s="30"/>
      <x:c r="T110" s="30"/>
      <x:c r="U110" s="30"/>
      <x:c r="V110" s="30"/>
      <x:c r="W110" s="30"/>
      <x:c r="X110" s="30"/>
      <x:c r="Y110" s="30"/>
      <x:c r="Z110" s="30"/>
      <x:c r="AA110" s="30"/>
      <x:c r="AB110" s="30"/>
      <x:c r="AC110" s="30"/>
      <x:c r="AD110" s="30"/>
      <x:c r="AE110" s="30"/>
      <x:c r="AF110" s="30"/>
      <x:c r="AG110" s="30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>
      <x:c r="A111" s="1"/>
      <x:c r="B111" s="1"/>
      <x:c r="C111" s="30"/>
      <x:c r="D111" s="30"/>
      <x:c r="E111" s="30"/>
      <x:c r="F111" s="30"/>
      <x:c r="G111" s="30"/>
      <x:c r="H111" s="30"/>
      <x:c r="I111" s="30"/>
      <x:c r="J111" s="30"/>
      <x:c r="K111" s="30"/>
      <x:c r="L111" s="30"/>
      <x:c r="M111" s="30"/>
      <x:c r="N111" s="30"/>
      <x:c r="O111" s="30"/>
      <x:c r="P111" s="30"/>
      <x:c r="Q111" s="30"/>
      <x:c r="R111" s="30"/>
      <x:c r="S111" s="30"/>
      <x:c r="T111" s="30"/>
      <x:c r="U111" s="30"/>
      <x:c r="V111" s="30"/>
      <x:c r="W111" s="30"/>
      <x:c r="X111" s="30"/>
      <x:c r="Y111" s="30"/>
      <x:c r="Z111" s="30"/>
      <x:c r="AA111" s="30"/>
      <x:c r="AB111" s="30"/>
      <x:c r="AC111" s="30"/>
      <x:c r="AD111" s="30"/>
      <x:c r="AE111" s="30"/>
      <x:c r="AF111" s="30"/>
      <x:c r="AG111" s="30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>
      <x:c r="A112" s="1"/>
      <x:c r="B112" s="1"/>
      <x:c r="C112" s="30"/>
      <x:c r="D112" s="30"/>
      <x:c r="E112" s="30"/>
      <x:c r="F112" s="30"/>
      <x:c r="G112" s="30"/>
      <x:c r="H112" s="30"/>
      <x:c r="I112" s="30"/>
      <x:c r="J112" s="30"/>
      <x:c r="K112" s="30"/>
      <x:c r="L112" s="30"/>
      <x:c r="M112" s="30"/>
      <x:c r="N112" s="30"/>
      <x:c r="O112" s="30"/>
      <x:c r="P112" s="30"/>
      <x:c r="Q112" s="30"/>
      <x:c r="R112" s="30"/>
      <x:c r="S112" s="30"/>
      <x:c r="T112" s="30"/>
      <x:c r="U112" s="30"/>
      <x:c r="V112" s="30"/>
      <x:c r="W112" s="30"/>
      <x:c r="X112" s="30"/>
      <x:c r="Y112" s="30"/>
      <x:c r="Z112" s="30"/>
      <x:c r="AA112" s="30"/>
      <x:c r="AB112" s="30"/>
      <x:c r="AC112" s="30"/>
      <x:c r="AD112" s="30"/>
      <x:c r="AE112" s="30"/>
      <x:c r="AF112" s="30"/>
      <x:c r="AG112" s="30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>
      <x:c r="A113" s="1"/>
      <x:c r="B113" s="1"/>
      <x:c r="C113" s="30"/>
      <x:c r="D113" s="30"/>
      <x:c r="E113" s="30"/>
      <x:c r="F113" s="30"/>
      <x:c r="G113" s="30"/>
      <x:c r="H113" s="30"/>
      <x:c r="I113" s="30"/>
      <x:c r="J113" s="30"/>
      <x:c r="K113" s="30"/>
      <x:c r="L113" s="30"/>
      <x:c r="M113" s="30"/>
      <x:c r="N113" s="30"/>
      <x:c r="O113" s="30"/>
      <x:c r="P113" s="30"/>
      <x:c r="Q113" s="30"/>
      <x:c r="R113" s="30"/>
      <x:c r="S113" s="30"/>
      <x:c r="T113" s="30"/>
      <x:c r="U113" s="30"/>
      <x:c r="V113" s="30"/>
      <x:c r="W113" s="30"/>
      <x:c r="X113" s="30"/>
      <x:c r="Y113" s="30"/>
      <x:c r="Z113" s="30"/>
      <x:c r="AA113" s="30"/>
      <x:c r="AB113" s="30"/>
      <x:c r="AC113" s="30"/>
      <x:c r="AD113" s="30"/>
      <x:c r="AE113" s="30"/>
      <x:c r="AF113" s="30"/>
      <x:c r="AG113" s="30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>
      <x:c r="A114" s="1"/>
      <x:c r="B114" s="1"/>
      <x:c r="C114" s="30"/>
      <x:c r="D114" s="30"/>
      <x:c r="E114" s="30"/>
      <x:c r="F114" s="30"/>
      <x:c r="G114" s="30"/>
      <x:c r="H114" s="30"/>
      <x:c r="I114" s="30"/>
      <x:c r="J114" s="30"/>
      <x:c r="K114" s="30"/>
      <x:c r="L114" s="30"/>
      <x:c r="M114" s="30"/>
      <x:c r="N114" s="30"/>
      <x:c r="O114" s="30"/>
      <x:c r="P114" s="30"/>
      <x:c r="Q114" s="30"/>
      <x:c r="R114" s="30"/>
      <x:c r="S114" s="30"/>
      <x:c r="T114" s="30"/>
      <x:c r="U114" s="30"/>
      <x:c r="V114" s="30"/>
      <x:c r="W114" s="30"/>
      <x:c r="X114" s="30"/>
      <x:c r="Y114" s="30"/>
      <x:c r="Z114" s="30"/>
      <x:c r="AA114" s="30"/>
      <x:c r="AB114" s="30"/>
      <x:c r="AC114" s="30"/>
      <x:c r="AD114" s="30"/>
      <x:c r="AE114" s="30"/>
      <x:c r="AF114" s="30"/>
      <x:c r="AG114" s="30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>
      <x:c r="A115" s="1"/>
      <x:c r="B115" s="1"/>
      <x:c r="C115" s="30"/>
      <x:c r="D115" s="30"/>
      <x:c r="E115" s="30"/>
      <x:c r="F115" s="30"/>
      <x:c r="G115" s="30"/>
      <x:c r="H115" s="30"/>
      <x:c r="I115" s="30"/>
      <x:c r="J115" s="30"/>
      <x:c r="K115" s="30"/>
      <x:c r="L115" s="30"/>
      <x:c r="M115" s="30"/>
      <x:c r="N115" s="30"/>
      <x:c r="O115" s="30"/>
      <x:c r="P115" s="30"/>
      <x:c r="Q115" s="30"/>
      <x:c r="R115" s="30"/>
      <x:c r="S115" s="30"/>
      <x:c r="T115" s="30"/>
      <x:c r="U115" s="30"/>
      <x:c r="V115" s="30"/>
      <x:c r="W115" s="30"/>
      <x:c r="X115" s="30"/>
      <x:c r="Y115" s="30"/>
      <x:c r="Z115" s="30"/>
      <x:c r="AA115" s="30"/>
      <x:c r="AB115" s="30"/>
      <x:c r="AC115" s="30"/>
      <x:c r="AD115" s="30"/>
      <x:c r="AE115" s="30"/>
      <x:c r="AF115" s="30"/>
      <x:c r="AG115" s="30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>
      <x:c r="A116" s="1"/>
      <x:c r="B116" s="1"/>
      <x:c r="C116" s="30"/>
      <x:c r="D116" s="30"/>
      <x:c r="E116" s="30"/>
      <x:c r="F116" s="30"/>
      <x:c r="G116" s="30"/>
      <x:c r="H116" s="30"/>
      <x:c r="I116" s="30"/>
      <x:c r="J116" s="30"/>
      <x:c r="K116" s="30"/>
      <x:c r="L116" s="30"/>
      <x:c r="M116" s="30"/>
      <x:c r="N116" s="30"/>
      <x:c r="O116" s="30"/>
      <x:c r="P116" s="30"/>
      <x:c r="Q116" s="30"/>
      <x:c r="R116" s="30"/>
      <x:c r="S116" s="30"/>
      <x:c r="T116" s="30"/>
      <x:c r="U116" s="30"/>
      <x:c r="V116" s="30"/>
      <x:c r="W116" s="30"/>
      <x:c r="X116" s="30"/>
      <x:c r="Y116" s="30"/>
      <x:c r="Z116" s="30"/>
      <x:c r="AA116" s="30"/>
      <x:c r="AB116" s="30"/>
      <x:c r="AC116" s="30"/>
      <x:c r="AD116" s="30"/>
      <x:c r="AE116" s="30"/>
      <x:c r="AF116" s="30"/>
      <x:c r="AG116" s="30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>
      <x:c r="A117" s="1"/>
      <x:c r="B117" s="1"/>
      <x:c r="C117" s="30"/>
      <x:c r="D117" s="30"/>
      <x:c r="E117" s="30"/>
      <x:c r="F117" s="30"/>
      <x:c r="G117" s="30"/>
      <x:c r="H117" s="30"/>
      <x:c r="I117" s="30"/>
      <x:c r="J117" s="30"/>
      <x:c r="K117" s="30"/>
      <x:c r="L117" s="30"/>
      <x:c r="M117" s="30"/>
      <x:c r="N117" s="30"/>
      <x:c r="O117" s="30"/>
      <x:c r="P117" s="30"/>
      <x:c r="Q117" s="30"/>
      <x:c r="R117" s="30"/>
      <x:c r="S117" s="30"/>
      <x:c r="T117" s="30"/>
      <x:c r="U117" s="30"/>
      <x:c r="V117" s="30"/>
      <x:c r="W117" s="30"/>
      <x:c r="X117" s="30"/>
      <x:c r="Y117" s="30"/>
      <x:c r="Z117" s="30"/>
      <x:c r="AA117" s="30"/>
      <x:c r="AB117" s="30"/>
      <x:c r="AC117" s="30"/>
      <x:c r="AD117" s="30"/>
      <x:c r="AE117" s="30"/>
      <x:c r="AF117" s="30"/>
      <x:c r="AG117" s="30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>
      <x:c r="A118" s="1"/>
      <x:c r="B118" s="1"/>
      <x:c r="C118" s="30"/>
      <x:c r="D118" s="30"/>
      <x:c r="E118" s="30"/>
      <x:c r="F118" s="30"/>
      <x:c r="G118" s="30"/>
      <x:c r="H118" s="30"/>
      <x:c r="I118" s="30"/>
      <x:c r="J118" s="30"/>
      <x:c r="K118" s="30"/>
      <x:c r="L118" s="30"/>
      <x:c r="M118" s="30"/>
      <x:c r="N118" s="30"/>
      <x:c r="O118" s="30"/>
      <x:c r="P118" s="30"/>
      <x:c r="Q118" s="30"/>
      <x:c r="R118" s="30"/>
      <x:c r="S118" s="30"/>
      <x:c r="T118" s="30"/>
      <x:c r="U118" s="30"/>
      <x:c r="V118" s="30"/>
      <x:c r="W118" s="30"/>
      <x:c r="X118" s="30"/>
      <x:c r="Y118" s="30"/>
      <x:c r="Z118" s="30"/>
      <x:c r="AA118" s="30"/>
      <x:c r="AB118" s="30"/>
      <x:c r="AC118" s="30"/>
      <x:c r="AD118" s="30"/>
      <x:c r="AE118" s="30"/>
      <x:c r="AF118" s="30"/>
      <x:c r="AG118" s="30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>
      <x:c r="A119" s="1"/>
      <x:c r="B119" s="1"/>
      <x:c r="C119" s="30"/>
      <x:c r="D119" s="30"/>
      <x:c r="E119" s="30"/>
      <x:c r="F119" s="30"/>
      <x:c r="G119" s="30"/>
      <x:c r="H119" s="30"/>
      <x:c r="I119" s="30"/>
      <x:c r="J119" s="30"/>
      <x:c r="K119" s="30"/>
      <x:c r="L119" s="30"/>
      <x:c r="M119" s="30"/>
      <x:c r="N119" s="30"/>
      <x:c r="O119" s="30"/>
      <x:c r="P119" s="30"/>
      <x:c r="Q119" s="30"/>
      <x:c r="R119" s="30"/>
      <x:c r="S119" s="30"/>
      <x:c r="T119" s="30"/>
      <x:c r="U119" s="30"/>
      <x:c r="V119" s="30"/>
      <x:c r="W119" s="30"/>
      <x:c r="X119" s="30"/>
      <x:c r="Y119" s="30"/>
      <x:c r="Z119" s="30"/>
      <x:c r="AA119" s="30"/>
      <x:c r="AB119" s="30"/>
      <x:c r="AC119" s="30"/>
      <x:c r="AD119" s="30"/>
      <x:c r="AE119" s="30"/>
      <x:c r="AF119" s="30"/>
      <x:c r="AG119" s="30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>
      <x:c r="A120" s="1"/>
      <x:c r="B120" s="1"/>
      <x:c r="C120" s="30"/>
      <x:c r="D120" s="30"/>
      <x:c r="E120" s="30"/>
      <x:c r="F120" s="30"/>
      <x:c r="G120" s="30"/>
      <x:c r="H120" s="30"/>
      <x:c r="I120" s="30"/>
      <x:c r="J120" s="30"/>
      <x:c r="K120" s="30"/>
      <x:c r="L120" s="30"/>
      <x:c r="M120" s="30"/>
      <x:c r="N120" s="30"/>
      <x:c r="O120" s="30"/>
      <x:c r="P120" s="30"/>
      <x:c r="Q120" s="30"/>
      <x:c r="R120" s="30"/>
      <x:c r="S120" s="30"/>
      <x:c r="T120" s="30"/>
      <x:c r="U120" s="30"/>
      <x:c r="V120" s="30"/>
      <x:c r="W120" s="30"/>
      <x:c r="X120" s="30"/>
      <x:c r="Y120" s="30"/>
      <x:c r="Z120" s="30"/>
      <x:c r="AA120" s="30"/>
      <x:c r="AB120" s="30"/>
      <x:c r="AC120" s="30"/>
      <x:c r="AD120" s="30"/>
      <x:c r="AE120" s="30"/>
      <x:c r="AF120" s="30"/>
      <x:c r="AG120" s="30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>
      <x:c r="A121" s="1"/>
      <x:c r="B121" s="1"/>
      <x:c r="C121" s="30"/>
      <x:c r="D121" s="30"/>
      <x:c r="E121" s="30"/>
      <x:c r="F121" s="30"/>
      <x:c r="G121" s="30"/>
      <x:c r="H121" s="30"/>
      <x:c r="I121" s="30"/>
      <x:c r="J121" s="30"/>
      <x:c r="K121" s="30"/>
      <x:c r="L121" s="30"/>
      <x:c r="M121" s="30"/>
      <x:c r="N121" s="30"/>
      <x:c r="O121" s="30"/>
      <x:c r="P121" s="30"/>
      <x:c r="Q121" s="30"/>
      <x:c r="R121" s="30"/>
      <x:c r="S121" s="30"/>
      <x:c r="T121" s="30"/>
      <x:c r="U121" s="30"/>
      <x:c r="V121" s="30"/>
      <x:c r="W121" s="30"/>
      <x:c r="X121" s="30"/>
      <x:c r="Y121" s="30"/>
      <x:c r="Z121" s="30"/>
      <x:c r="AA121" s="30"/>
      <x:c r="AB121" s="30"/>
      <x:c r="AC121" s="30"/>
      <x:c r="AD121" s="30"/>
      <x:c r="AE121" s="30"/>
      <x:c r="AF121" s="30"/>
      <x:c r="AG121" s="30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>
      <x:c r="A122" s="1"/>
      <x:c r="B122" s="1"/>
      <x:c r="C122" s="30"/>
      <x:c r="D122" s="30"/>
      <x:c r="E122" s="30"/>
      <x:c r="F122" s="30"/>
      <x:c r="G122" s="30"/>
      <x:c r="H122" s="30"/>
      <x:c r="I122" s="30"/>
      <x:c r="J122" s="30"/>
      <x:c r="K122" s="30"/>
      <x:c r="L122" s="30"/>
      <x:c r="M122" s="30"/>
      <x:c r="N122" s="30"/>
      <x:c r="O122" s="30"/>
      <x:c r="P122" s="30"/>
      <x:c r="Q122" s="30"/>
      <x:c r="R122" s="30"/>
      <x:c r="S122" s="30"/>
      <x:c r="T122" s="30"/>
      <x:c r="U122" s="30"/>
      <x:c r="V122" s="30"/>
      <x:c r="W122" s="30"/>
      <x:c r="X122" s="30"/>
      <x:c r="Y122" s="30"/>
      <x:c r="Z122" s="30"/>
      <x:c r="AA122" s="30"/>
      <x:c r="AB122" s="30"/>
      <x:c r="AC122" s="30"/>
      <x:c r="AD122" s="30"/>
      <x:c r="AE122" s="30"/>
      <x:c r="AF122" s="30"/>
      <x:c r="AG122" s="30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>
      <x:c r="A123" s="1"/>
      <x:c r="B123" s="1"/>
      <x:c r="C123" s="30"/>
      <x:c r="D123" s="30"/>
      <x:c r="E123" s="30"/>
      <x:c r="F123" s="30"/>
      <x:c r="G123" s="30"/>
      <x:c r="H123" s="30"/>
      <x:c r="I123" s="30"/>
      <x:c r="J123" s="30"/>
      <x:c r="K123" s="30"/>
      <x:c r="L123" s="30"/>
      <x:c r="M123" s="30"/>
      <x:c r="N123" s="30"/>
      <x:c r="O123" s="30"/>
      <x:c r="P123" s="30"/>
      <x:c r="Q123" s="30"/>
      <x:c r="R123" s="30"/>
      <x:c r="S123" s="30"/>
      <x:c r="T123" s="30"/>
      <x:c r="U123" s="30"/>
      <x:c r="V123" s="30"/>
      <x:c r="W123" s="30"/>
      <x:c r="X123" s="30"/>
      <x:c r="Y123" s="30"/>
      <x:c r="Z123" s="30"/>
      <x:c r="AA123" s="30"/>
      <x:c r="AB123" s="30"/>
      <x:c r="AC123" s="30"/>
      <x:c r="AD123" s="30"/>
      <x:c r="AE123" s="30"/>
      <x:c r="AF123" s="30"/>
      <x:c r="AG123" s="30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>
      <x:c r="A124" s="1"/>
      <x:c r="B124" s="1"/>
      <x:c r="C124" s="30"/>
      <x:c r="D124" s="30"/>
      <x:c r="E124" s="30"/>
      <x:c r="F124" s="30"/>
      <x:c r="G124" s="30"/>
      <x:c r="H124" s="30"/>
      <x:c r="I124" s="30"/>
      <x:c r="J124" s="30"/>
      <x:c r="K124" s="30"/>
      <x:c r="L124" s="30"/>
      <x:c r="M124" s="30"/>
      <x:c r="N124" s="30"/>
      <x:c r="O124" s="30"/>
      <x:c r="P124" s="30"/>
      <x:c r="Q124" s="30"/>
      <x:c r="R124" s="30"/>
      <x:c r="S124" s="30"/>
      <x:c r="T124" s="30"/>
      <x:c r="U124" s="30"/>
      <x:c r="V124" s="30"/>
      <x:c r="W124" s="30"/>
      <x:c r="X124" s="30"/>
      <x:c r="Y124" s="30"/>
      <x:c r="Z124" s="30"/>
      <x:c r="AA124" s="30"/>
      <x:c r="AB124" s="30"/>
      <x:c r="AC124" s="30"/>
      <x:c r="AD124" s="30"/>
      <x:c r="AE124" s="30"/>
      <x:c r="AF124" s="30"/>
      <x:c r="AG124" s="30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>
      <x:c r="A125" s="1"/>
      <x:c r="B125" s="1"/>
      <x:c r="C125" s="30"/>
      <x:c r="D125" s="30"/>
      <x:c r="E125" s="30"/>
      <x:c r="F125" s="30"/>
      <x:c r="G125" s="30"/>
      <x:c r="H125" s="30"/>
      <x:c r="I125" s="30"/>
      <x:c r="J125" s="30"/>
      <x:c r="K125" s="30"/>
      <x:c r="L125" s="30"/>
      <x:c r="M125" s="30"/>
      <x:c r="N125" s="30"/>
      <x:c r="O125" s="30"/>
      <x:c r="P125" s="30"/>
      <x:c r="Q125" s="30"/>
      <x:c r="R125" s="30"/>
      <x:c r="S125" s="30"/>
      <x:c r="T125" s="30"/>
      <x:c r="U125" s="30"/>
      <x:c r="V125" s="30"/>
      <x:c r="W125" s="30"/>
      <x:c r="X125" s="30"/>
      <x:c r="Y125" s="30"/>
      <x:c r="Z125" s="30"/>
      <x:c r="AA125" s="30"/>
      <x:c r="AB125" s="30"/>
      <x:c r="AC125" s="30"/>
      <x:c r="AD125" s="30"/>
      <x:c r="AE125" s="30"/>
      <x:c r="AF125" s="30"/>
      <x:c r="AG125" s="30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>
      <x:c r="A126" s="1"/>
      <x:c r="B126" s="1"/>
      <x:c r="C126" s="30"/>
      <x:c r="D126" s="30"/>
      <x:c r="E126" s="30"/>
      <x:c r="F126" s="30"/>
      <x:c r="G126" s="30"/>
      <x:c r="H126" s="30"/>
      <x:c r="I126" s="30"/>
      <x:c r="J126" s="30"/>
      <x:c r="K126" s="30"/>
      <x:c r="L126" s="30"/>
      <x:c r="M126" s="30"/>
      <x:c r="N126" s="30"/>
      <x:c r="O126" s="30"/>
      <x:c r="P126" s="30"/>
      <x:c r="Q126" s="30"/>
      <x:c r="R126" s="30"/>
      <x:c r="S126" s="30"/>
      <x:c r="T126" s="30"/>
      <x:c r="U126" s="30"/>
      <x:c r="V126" s="30"/>
      <x:c r="W126" s="30"/>
      <x:c r="X126" s="30"/>
      <x:c r="Y126" s="30"/>
      <x:c r="Z126" s="30"/>
      <x:c r="AA126" s="30"/>
      <x:c r="AB126" s="30"/>
      <x:c r="AC126" s="30"/>
      <x:c r="AD126" s="30"/>
      <x:c r="AE126" s="30"/>
      <x:c r="AF126" s="30"/>
      <x:c r="AG126" s="30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>
      <x:c r="A127" s="1"/>
      <x:c r="B127" s="1"/>
      <x:c r="C127" s="30"/>
      <x:c r="D127" s="30"/>
      <x:c r="E127" s="30"/>
      <x:c r="F127" s="30"/>
      <x:c r="G127" s="30"/>
      <x:c r="H127" s="30"/>
      <x:c r="I127" s="30"/>
      <x:c r="J127" s="30"/>
      <x:c r="K127" s="30"/>
      <x:c r="L127" s="30"/>
      <x:c r="M127" s="30"/>
      <x:c r="N127" s="30"/>
      <x:c r="O127" s="30"/>
      <x:c r="P127" s="30"/>
      <x:c r="Q127" s="30"/>
      <x:c r="R127" s="30"/>
      <x:c r="S127" s="30"/>
      <x:c r="T127" s="30"/>
      <x:c r="U127" s="30"/>
      <x:c r="V127" s="30"/>
      <x:c r="W127" s="30"/>
      <x:c r="X127" s="30"/>
      <x:c r="Y127" s="30"/>
      <x:c r="Z127" s="30"/>
      <x:c r="AA127" s="30"/>
      <x:c r="AB127" s="30"/>
      <x:c r="AC127" s="30"/>
      <x:c r="AD127" s="30"/>
      <x:c r="AE127" s="30"/>
      <x:c r="AF127" s="30"/>
      <x:c r="AG127" s="30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>
      <x:c r="A128" s="1"/>
      <x:c r="B128" s="1"/>
      <x:c r="C128" s="30"/>
      <x:c r="D128" s="30"/>
      <x:c r="E128" s="30"/>
      <x:c r="F128" s="30"/>
      <x:c r="G128" s="30"/>
      <x:c r="H128" s="30"/>
      <x:c r="I128" s="30"/>
      <x:c r="J128" s="30"/>
      <x:c r="K128" s="30"/>
      <x:c r="L128" s="30"/>
      <x:c r="M128" s="30"/>
      <x:c r="N128" s="30"/>
      <x:c r="O128" s="30"/>
      <x:c r="P128" s="30"/>
      <x:c r="Q128" s="30"/>
      <x:c r="R128" s="30"/>
      <x:c r="S128" s="30"/>
      <x:c r="T128" s="30"/>
      <x:c r="U128" s="30"/>
      <x:c r="V128" s="30"/>
      <x:c r="W128" s="30"/>
      <x:c r="X128" s="30"/>
      <x:c r="Y128" s="30"/>
      <x:c r="Z128" s="30"/>
      <x:c r="AA128" s="30"/>
      <x:c r="AB128" s="30"/>
      <x:c r="AC128" s="30"/>
      <x:c r="AD128" s="30"/>
      <x:c r="AE128" s="30"/>
      <x:c r="AF128" s="30"/>
      <x:c r="AG128" s="30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>
      <x:c r="A129" s="1"/>
      <x:c r="B129" s="1"/>
      <x:c r="C129" s="30"/>
      <x:c r="D129" s="30"/>
      <x:c r="E129" s="30"/>
      <x:c r="F129" s="30"/>
      <x:c r="G129" s="30"/>
      <x:c r="H129" s="30"/>
      <x:c r="I129" s="30"/>
      <x:c r="J129" s="30"/>
      <x:c r="K129" s="30"/>
      <x:c r="L129" s="30"/>
      <x:c r="M129" s="30"/>
      <x:c r="N129" s="30"/>
      <x:c r="O129" s="30"/>
      <x:c r="P129" s="30"/>
      <x:c r="Q129" s="30"/>
      <x:c r="R129" s="30"/>
      <x:c r="S129" s="30"/>
      <x:c r="T129" s="30"/>
      <x:c r="U129" s="30"/>
      <x:c r="V129" s="30"/>
      <x:c r="W129" s="30"/>
      <x:c r="X129" s="30"/>
      <x:c r="Y129" s="30"/>
      <x:c r="Z129" s="30"/>
      <x:c r="AA129" s="30"/>
      <x:c r="AB129" s="30"/>
      <x:c r="AC129" s="30"/>
      <x:c r="AD129" s="30"/>
      <x:c r="AE129" s="30"/>
      <x:c r="AF129" s="30"/>
      <x:c r="AG129" s="30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>
      <x:c r="A130" s="1"/>
      <x:c r="B130" s="1"/>
      <x:c r="C130" s="30"/>
      <x:c r="D130" s="30"/>
      <x:c r="E130" s="30"/>
      <x:c r="F130" s="30"/>
      <x:c r="G130" s="30"/>
      <x:c r="H130" s="30"/>
      <x:c r="I130" s="30"/>
      <x:c r="J130" s="30"/>
      <x:c r="K130" s="30"/>
      <x:c r="L130" s="30"/>
      <x:c r="M130" s="30"/>
      <x:c r="N130" s="30"/>
      <x:c r="O130" s="30"/>
      <x:c r="P130" s="30"/>
      <x:c r="Q130" s="30"/>
      <x:c r="R130" s="30"/>
      <x:c r="S130" s="30"/>
      <x:c r="T130" s="30"/>
      <x:c r="U130" s="30"/>
      <x:c r="V130" s="30"/>
      <x:c r="W130" s="30"/>
      <x:c r="X130" s="30"/>
      <x:c r="Y130" s="30"/>
      <x:c r="Z130" s="30"/>
      <x:c r="AA130" s="30"/>
      <x:c r="AB130" s="30"/>
      <x:c r="AC130" s="30"/>
      <x:c r="AD130" s="30"/>
      <x:c r="AE130" s="30"/>
      <x:c r="AF130" s="30"/>
      <x:c r="AG130" s="30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>
      <x:c r="A131" s="1"/>
      <x:c r="B131" s="1"/>
      <x:c r="C131" s="30"/>
      <x:c r="D131" s="30"/>
      <x:c r="E131" s="30"/>
      <x:c r="F131" s="30"/>
      <x:c r="G131" s="30"/>
      <x:c r="H131" s="30"/>
      <x:c r="I131" s="30"/>
      <x:c r="J131" s="30"/>
      <x:c r="K131" s="30"/>
      <x:c r="L131" s="30"/>
      <x:c r="M131" s="30"/>
      <x:c r="N131" s="30"/>
      <x:c r="O131" s="30"/>
      <x:c r="P131" s="30"/>
      <x:c r="Q131" s="30"/>
      <x:c r="R131" s="30"/>
      <x:c r="S131" s="30"/>
      <x:c r="T131" s="30"/>
      <x:c r="U131" s="30"/>
      <x:c r="V131" s="30"/>
      <x:c r="W131" s="30"/>
      <x:c r="X131" s="30"/>
      <x:c r="Y131" s="30"/>
      <x:c r="Z131" s="30"/>
      <x:c r="AA131" s="30"/>
      <x:c r="AB131" s="30"/>
      <x:c r="AC131" s="30"/>
      <x:c r="AD131" s="30"/>
      <x:c r="AE131" s="30"/>
      <x:c r="AF131" s="30"/>
      <x:c r="AG131" s="30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>
      <x:c r="A132" s="1"/>
      <x:c r="B132" s="1"/>
      <x:c r="C132" s="30"/>
      <x:c r="D132" s="30"/>
      <x:c r="E132" s="30"/>
      <x:c r="F132" s="30"/>
      <x:c r="G132" s="30"/>
      <x:c r="H132" s="30"/>
      <x:c r="I132" s="30"/>
      <x:c r="J132" s="30"/>
      <x:c r="K132" s="30"/>
      <x:c r="L132" s="30"/>
      <x:c r="M132" s="30"/>
      <x:c r="N132" s="30"/>
      <x:c r="O132" s="30"/>
      <x:c r="P132" s="30"/>
      <x:c r="Q132" s="30"/>
      <x:c r="R132" s="30"/>
      <x:c r="S132" s="30"/>
      <x:c r="T132" s="30"/>
      <x:c r="U132" s="30"/>
      <x:c r="V132" s="30"/>
      <x:c r="W132" s="30"/>
      <x:c r="X132" s="30"/>
      <x:c r="Y132" s="30"/>
      <x:c r="Z132" s="30"/>
      <x:c r="AA132" s="30"/>
      <x:c r="AB132" s="30"/>
      <x:c r="AC132" s="30"/>
      <x:c r="AD132" s="30"/>
      <x:c r="AE132" s="30"/>
      <x:c r="AF132" s="30"/>
      <x:c r="AG132" s="30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>
      <x:c r="A133" s="1"/>
      <x:c r="B133" s="1"/>
      <x:c r="C133" s="30"/>
      <x:c r="D133" s="30"/>
      <x:c r="E133" s="30"/>
      <x:c r="F133" s="30"/>
      <x:c r="G133" s="30"/>
      <x:c r="H133" s="30"/>
      <x:c r="I133" s="30"/>
      <x:c r="J133" s="30"/>
      <x:c r="K133" s="30"/>
      <x:c r="L133" s="30"/>
      <x:c r="M133" s="30"/>
      <x:c r="N133" s="30"/>
      <x:c r="O133" s="30"/>
      <x:c r="P133" s="30"/>
      <x:c r="Q133" s="30"/>
      <x:c r="R133" s="30"/>
      <x:c r="S133" s="30"/>
      <x:c r="T133" s="30"/>
      <x:c r="U133" s="30"/>
      <x:c r="V133" s="30"/>
      <x:c r="W133" s="30"/>
      <x:c r="X133" s="30"/>
      <x:c r="Y133" s="30"/>
      <x:c r="Z133" s="30"/>
      <x:c r="AA133" s="30"/>
      <x:c r="AB133" s="30"/>
      <x:c r="AC133" s="30"/>
      <x:c r="AD133" s="30"/>
      <x:c r="AE133" s="30"/>
      <x:c r="AF133" s="30"/>
      <x:c r="AG133" s="30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>
      <x:c r="A134" s="1"/>
      <x:c r="B134" s="1"/>
      <x:c r="C134" s="30"/>
      <x:c r="D134" s="30"/>
      <x:c r="E134" s="30"/>
      <x:c r="F134" s="30"/>
      <x:c r="G134" s="30"/>
      <x:c r="H134" s="30"/>
      <x:c r="I134" s="30"/>
      <x:c r="J134" s="30"/>
      <x:c r="K134" s="30"/>
      <x:c r="L134" s="30"/>
      <x:c r="M134" s="30"/>
      <x:c r="N134" s="30"/>
      <x:c r="O134" s="30"/>
      <x:c r="P134" s="30"/>
      <x:c r="Q134" s="30"/>
      <x:c r="R134" s="30"/>
      <x:c r="S134" s="30"/>
      <x:c r="T134" s="30"/>
      <x:c r="U134" s="30"/>
      <x:c r="V134" s="30"/>
      <x:c r="W134" s="30"/>
      <x:c r="X134" s="30"/>
      <x:c r="Y134" s="30"/>
      <x:c r="Z134" s="30"/>
      <x:c r="AA134" s="30"/>
      <x:c r="AB134" s="30"/>
      <x:c r="AC134" s="30"/>
      <x:c r="AD134" s="30"/>
      <x:c r="AE134" s="30"/>
      <x:c r="AF134" s="30"/>
      <x:c r="AG134" s="30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>
      <x:c r="A135" s="1"/>
      <x:c r="B135" s="1"/>
      <x:c r="C135" s="30"/>
      <x:c r="D135" s="30"/>
      <x:c r="E135" s="30"/>
      <x:c r="F135" s="30"/>
      <x:c r="G135" s="30"/>
      <x:c r="H135" s="30"/>
      <x:c r="I135" s="30"/>
      <x:c r="J135" s="30"/>
      <x:c r="K135" s="30"/>
      <x:c r="L135" s="30"/>
      <x:c r="M135" s="30"/>
      <x:c r="N135" s="30"/>
      <x:c r="O135" s="30"/>
      <x:c r="P135" s="30"/>
      <x:c r="Q135" s="30"/>
      <x:c r="R135" s="30"/>
      <x:c r="S135" s="30"/>
      <x:c r="T135" s="30"/>
      <x:c r="U135" s="30"/>
      <x:c r="V135" s="30"/>
      <x:c r="W135" s="30"/>
      <x:c r="X135" s="30"/>
      <x:c r="Y135" s="30"/>
      <x:c r="Z135" s="30"/>
      <x:c r="AA135" s="30"/>
      <x:c r="AB135" s="30"/>
      <x:c r="AC135" s="30"/>
      <x:c r="AD135" s="30"/>
      <x:c r="AE135" s="30"/>
      <x:c r="AF135" s="30"/>
      <x:c r="AG135" s="30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>
      <x:c r="A136" s="1"/>
      <x:c r="B136" s="1"/>
      <x:c r="C136" s="30"/>
      <x:c r="D136" s="30"/>
      <x:c r="E136" s="30"/>
      <x:c r="F136" s="30"/>
      <x:c r="G136" s="30"/>
      <x:c r="H136" s="30"/>
      <x:c r="I136" s="30"/>
      <x:c r="J136" s="30"/>
      <x:c r="K136" s="30"/>
      <x:c r="L136" s="30"/>
      <x:c r="M136" s="30"/>
      <x:c r="N136" s="30"/>
      <x:c r="O136" s="30"/>
      <x:c r="P136" s="30"/>
      <x:c r="Q136" s="30"/>
      <x:c r="R136" s="30"/>
      <x:c r="S136" s="30"/>
      <x:c r="T136" s="30"/>
      <x:c r="U136" s="30"/>
      <x:c r="V136" s="30"/>
      <x:c r="W136" s="30"/>
      <x:c r="X136" s="30"/>
      <x:c r="Y136" s="30"/>
      <x:c r="Z136" s="30"/>
      <x:c r="AA136" s="30"/>
      <x:c r="AB136" s="30"/>
      <x:c r="AC136" s="30"/>
      <x:c r="AD136" s="30"/>
      <x:c r="AE136" s="30"/>
      <x:c r="AF136" s="30"/>
      <x:c r="AG136" s="30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>
      <x:c r="A137" s="1"/>
      <x:c r="B137" s="1"/>
      <x:c r="C137" s="30"/>
      <x:c r="D137" s="30"/>
      <x:c r="E137" s="30"/>
      <x:c r="F137" s="30"/>
      <x:c r="G137" s="30"/>
      <x:c r="H137" s="30"/>
      <x:c r="I137" s="30"/>
      <x:c r="J137" s="30"/>
      <x:c r="K137" s="30"/>
      <x:c r="L137" s="30"/>
      <x:c r="M137" s="30"/>
      <x:c r="N137" s="30"/>
      <x:c r="O137" s="30"/>
      <x:c r="P137" s="30"/>
      <x:c r="Q137" s="30"/>
      <x:c r="R137" s="30"/>
      <x:c r="S137" s="30"/>
      <x:c r="T137" s="30"/>
      <x:c r="U137" s="30"/>
      <x:c r="V137" s="30"/>
      <x:c r="W137" s="30"/>
      <x:c r="X137" s="30"/>
      <x:c r="Y137" s="30"/>
      <x:c r="Z137" s="30"/>
      <x:c r="AA137" s="30"/>
      <x:c r="AB137" s="30"/>
      <x:c r="AC137" s="30"/>
      <x:c r="AD137" s="30"/>
      <x:c r="AE137" s="30"/>
      <x:c r="AF137" s="30"/>
      <x:c r="AG137" s="30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>
      <x:c r="A138" s="1"/>
      <x:c r="B138" s="1"/>
      <x:c r="C138" s="30"/>
      <x:c r="D138" s="30"/>
      <x:c r="E138" s="30"/>
      <x:c r="F138" s="30"/>
      <x:c r="G138" s="30"/>
      <x:c r="H138" s="30"/>
      <x:c r="I138" s="30"/>
      <x:c r="J138" s="30"/>
      <x:c r="K138" s="30"/>
      <x:c r="L138" s="30"/>
      <x:c r="M138" s="30"/>
      <x:c r="N138" s="30"/>
      <x:c r="O138" s="30"/>
      <x:c r="P138" s="30"/>
      <x:c r="Q138" s="30"/>
      <x:c r="R138" s="30"/>
      <x:c r="S138" s="30"/>
      <x:c r="T138" s="30"/>
      <x:c r="U138" s="30"/>
      <x:c r="V138" s="30"/>
      <x:c r="W138" s="30"/>
      <x:c r="X138" s="30"/>
      <x:c r="Y138" s="30"/>
      <x:c r="Z138" s="30"/>
      <x:c r="AA138" s="30"/>
      <x:c r="AB138" s="30"/>
      <x:c r="AC138" s="30"/>
      <x:c r="AD138" s="30"/>
      <x:c r="AE138" s="30"/>
      <x:c r="AF138" s="30"/>
      <x:c r="AG138" s="30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>
      <x:c r="A139" s="1"/>
      <x:c r="B139" s="1"/>
      <x:c r="C139" s="30"/>
      <x:c r="D139" s="30"/>
      <x:c r="E139" s="30"/>
      <x:c r="F139" s="30"/>
      <x:c r="G139" s="30"/>
      <x:c r="H139" s="30"/>
      <x:c r="I139" s="30"/>
      <x:c r="J139" s="30"/>
      <x:c r="K139" s="30"/>
      <x:c r="L139" s="30"/>
      <x:c r="M139" s="30"/>
      <x:c r="N139" s="30"/>
      <x:c r="O139" s="30"/>
      <x:c r="P139" s="30"/>
      <x:c r="Q139" s="30"/>
      <x:c r="R139" s="30"/>
      <x:c r="S139" s="30"/>
      <x:c r="T139" s="30"/>
      <x:c r="U139" s="30"/>
      <x:c r="V139" s="30"/>
      <x:c r="W139" s="30"/>
      <x:c r="X139" s="30"/>
      <x:c r="Y139" s="30"/>
      <x:c r="Z139" s="30"/>
      <x:c r="AA139" s="30"/>
      <x:c r="AB139" s="30"/>
      <x:c r="AC139" s="30"/>
      <x:c r="AD139" s="30"/>
      <x:c r="AE139" s="30"/>
      <x:c r="AF139" s="30"/>
      <x:c r="AG139" s="30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>
      <x:c r="A140" s="1"/>
      <x:c r="B140" s="1"/>
      <x:c r="C140" s="30"/>
      <x:c r="D140" s="30"/>
      <x:c r="E140" s="30"/>
      <x:c r="F140" s="30"/>
      <x:c r="G140" s="30"/>
      <x:c r="H140" s="30"/>
      <x:c r="I140" s="30"/>
      <x:c r="J140" s="30"/>
      <x:c r="K140" s="30"/>
      <x:c r="L140" s="30"/>
      <x:c r="M140" s="30"/>
      <x:c r="N140" s="30"/>
      <x:c r="O140" s="30"/>
      <x:c r="P140" s="30"/>
      <x:c r="Q140" s="30"/>
      <x:c r="R140" s="30"/>
      <x:c r="S140" s="30"/>
      <x:c r="T140" s="30"/>
      <x:c r="U140" s="30"/>
      <x:c r="V140" s="30"/>
      <x:c r="W140" s="30"/>
      <x:c r="X140" s="30"/>
      <x:c r="Y140" s="30"/>
      <x:c r="Z140" s="30"/>
      <x:c r="AA140" s="30"/>
      <x:c r="AB140" s="30"/>
      <x:c r="AC140" s="30"/>
      <x:c r="AD140" s="30"/>
      <x:c r="AE140" s="30"/>
      <x:c r="AF140" s="30"/>
      <x:c r="AG140" s="30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>
      <x:c r="A141" s="1"/>
      <x:c r="B141" s="1"/>
      <x:c r="C141" s="30"/>
      <x:c r="D141" s="30"/>
      <x:c r="E141" s="30"/>
      <x:c r="F141" s="30"/>
      <x:c r="G141" s="30"/>
      <x:c r="H141" s="30"/>
      <x:c r="I141" s="30"/>
      <x:c r="J141" s="30"/>
      <x:c r="K141" s="30"/>
      <x:c r="L141" s="30"/>
      <x:c r="M141" s="30"/>
      <x:c r="N141" s="30"/>
      <x:c r="O141" s="30"/>
      <x:c r="P141" s="30"/>
      <x:c r="Q141" s="30"/>
      <x:c r="R141" s="30"/>
      <x:c r="S141" s="30"/>
      <x:c r="T141" s="30"/>
      <x:c r="U141" s="30"/>
      <x:c r="V141" s="30"/>
      <x:c r="W141" s="30"/>
      <x:c r="X141" s="30"/>
      <x:c r="Y141" s="30"/>
      <x:c r="Z141" s="30"/>
      <x:c r="AA141" s="30"/>
      <x:c r="AB141" s="30"/>
      <x:c r="AC141" s="30"/>
      <x:c r="AD141" s="30"/>
      <x:c r="AE141" s="30"/>
      <x:c r="AF141" s="30"/>
      <x:c r="AG141" s="30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>
      <x:c r="A142" s="1"/>
      <x:c r="B142" s="1"/>
      <x:c r="C142" s="30"/>
      <x:c r="D142" s="30"/>
      <x:c r="E142" s="30"/>
      <x:c r="F142" s="30"/>
      <x:c r="G142" s="30"/>
      <x:c r="H142" s="30"/>
      <x:c r="I142" s="30"/>
      <x:c r="J142" s="30"/>
      <x:c r="K142" s="30"/>
      <x:c r="L142" s="30"/>
      <x:c r="M142" s="30"/>
      <x:c r="N142" s="30"/>
      <x:c r="O142" s="30"/>
      <x:c r="P142" s="30"/>
      <x:c r="Q142" s="30"/>
      <x:c r="R142" s="30"/>
      <x:c r="S142" s="30"/>
      <x:c r="T142" s="30"/>
      <x:c r="U142" s="30"/>
      <x:c r="V142" s="30"/>
      <x:c r="W142" s="30"/>
      <x:c r="X142" s="30"/>
      <x:c r="Y142" s="30"/>
      <x:c r="Z142" s="30"/>
      <x:c r="AA142" s="30"/>
      <x:c r="AB142" s="30"/>
      <x:c r="AC142" s="30"/>
      <x:c r="AD142" s="30"/>
      <x:c r="AE142" s="30"/>
      <x:c r="AF142" s="30"/>
      <x:c r="AG142" s="30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>
      <x:c r="A143" s="1"/>
      <x:c r="B143" s="1"/>
      <x:c r="C143" s="30"/>
      <x:c r="D143" s="30"/>
      <x:c r="E143" s="30"/>
      <x:c r="F143" s="30"/>
      <x:c r="G143" s="30"/>
      <x:c r="H143" s="30"/>
      <x:c r="I143" s="30"/>
      <x:c r="J143" s="30"/>
      <x:c r="K143" s="30"/>
      <x:c r="L143" s="30"/>
      <x:c r="M143" s="30"/>
      <x:c r="N143" s="30"/>
      <x:c r="O143" s="30"/>
      <x:c r="P143" s="30"/>
      <x:c r="Q143" s="30"/>
      <x:c r="R143" s="30"/>
      <x:c r="S143" s="30"/>
      <x:c r="T143" s="30"/>
      <x:c r="U143" s="30"/>
      <x:c r="V143" s="30"/>
      <x:c r="W143" s="30"/>
      <x:c r="X143" s="30"/>
      <x:c r="Y143" s="30"/>
      <x:c r="Z143" s="30"/>
      <x:c r="AA143" s="30"/>
      <x:c r="AB143" s="30"/>
      <x:c r="AC143" s="30"/>
      <x:c r="AD143" s="30"/>
      <x:c r="AE143" s="30"/>
      <x:c r="AF143" s="30"/>
      <x:c r="AG143" s="30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>
      <x:c r="A144" s="1"/>
      <x:c r="B144" s="1"/>
      <x:c r="C144" s="30"/>
      <x:c r="D144" s="30"/>
      <x:c r="E144" s="30"/>
      <x:c r="F144" s="30"/>
      <x:c r="G144" s="30"/>
      <x:c r="H144" s="30"/>
      <x:c r="I144" s="30"/>
      <x:c r="J144" s="30"/>
      <x:c r="K144" s="30"/>
      <x:c r="L144" s="30"/>
      <x:c r="M144" s="30"/>
      <x:c r="N144" s="30"/>
      <x:c r="O144" s="30"/>
      <x:c r="P144" s="30"/>
      <x:c r="Q144" s="30"/>
      <x:c r="R144" s="30"/>
      <x:c r="S144" s="30"/>
      <x:c r="T144" s="30"/>
      <x:c r="U144" s="30"/>
      <x:c r="V144" s="30"/>
      <x:c r="W144" s="30"/>
      <x:c r="X144" s="30"/>
      <x:c r="Y144" s="30"/>
      <x:c r="Z144" s="30"/>
      <x:c r="AA144" s="30"/>
      <x:c r="AB144" s="30"/>
      <x:c r="AC144" s="30"/>
      <x:c r="AD144" s="30"/>
      <x:c r="AE144" s="30"/>
      <x:c r="AF144" s="30"/>
      <x:c r="AG144" s="30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>
      <x:c r="A145" s="1"/>
      <x:c r="B145" s="1"/>
      <x:c r="C145" s="30"/>
      <x:c r="D145" s="30"/>
      <x:c r="E145" s="30"/>
      <x:c r="F145" s="30"/>
      <x:c r="G145" s="30"/>
      <x:c r="H145" s="30"/>
      <x:c r="I145" s="30"/>
      <x:c r="J145" s="30"/>
      <x:c r="K145" s="30"/>
      <x:c r="L145" s="30"/>
      <x:c r="M145" s="30"/>
      <x:c r="N145" s="30"/>
      <x:c r="O145" s="30"/>
      <x:c r="P145" s="30"/>
      <x:c r="Q145" s="30"/>
      <x:c r="R145" s="30"/>
      <x:c r="S145" s="30"/>
      <x:c r="T145" s="30"/>
      <x:c r="U145" s="30"/>
      <x:c r="V145" s="30"/>
      <x:c r="W145" s="30"/>
      <x:c r="X145" s="30"/>
      <x:c r="Y145" s="30"/>
      <x:c r="Z145" s="30"/>
      <x:c r="AA145" s="30"/>
      <x:c r="AB145" s="30"/>
      <x:c r="AC145" s="30"/>
      <x:c r="AD145" s="30"/>
      <x:c r="AE145" s="30"/>
      <x:c r="AF145" s="30"/>
      <x:c r="AG145" s="30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>
      <x:c r="A146" s="1"/>
      <x:c r="B146" s="1"/>
      <x:c r="C146" s="30"/>
      <x:c r="D146" s="30"/>
      <x:c r="E146" s="30"/>
      <x:c r="F146" s="30"/>
      <x:c r="G146" s="30"/>
      <x:c r="H146" s="30"/>
      <x:c r="I146" s="30"/>
      <x:c r="J146" s="30"/>
      <x:c r="K146" s="30"/>
      <x:c r="L146" s="30"/>
      <x:c r="M146" s="30"/>
      <x:c r="N146" s="30"/>
      <x:c r="O146" s="30"/>
      <x:c r="P146" s="30"/>
      <x:c r="Q146" s="30"/>
      <x:c r="R146" s="30"/>
      <x:c r="S146" s="30"/>
      <x:c r="T146" s="30"/>
      <x:c r="U146" s="30"/>
      <x:c r="V146" s="30"/>
      <x:c r="W146" s="30"/>
      <x:c r="X146" s="30"/>
      <x:c r="Y146" s="30"/>
      <x:c r="Z146" s="30"/>
      <x:c r="AA146" s="30"/>
      <x:c r="AB146" s="30"/>
      <x:c r="AC146" s="30"/>
      <x:c r="AD146" s="30"/>
      <x:c r="AE146" s="30"/>
      <x:c r="AF146" s="30"/>
      <x:c r="AG146" s="30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>
      <x:c r="A147" s="1"/>
      <x:c r="B147" s="1"/>
      <x:c r="C147" s="30"/>
      <x:c r="D147" s="30"/>
      <x:c r="E147" s="30"/>
      <x:c r="F147" s="30"/>
      <x:c r="G147" s="30"/>
      <x:c r="H147" s="30"/>
      <x:c r="I147" s="30"/>
      <x:c r="J147" s="30"/>
      <x:c r="K147" s="30"/>
      <x:c r="L147" s="30"/>
      <x:c r="M147" s="30"/>
      <x:c r="N147" s="30"/>
      <x:c r="O147" s="30"/>
      <x:c r="P147" s="30"/>
      <x:c r="Q147" s="30"/>
      <x:c r="R147" s="30"/>
      <x:c r="S147" s="30"/>
      <x:c r="T147" s="30"/>
      <x:c r="U147" s="30"/>
      <x:c r="V147" s="30"/>
      <x:c r="W147" s="30"/>
      <x:c r="X147" s="30"/>
      <x:c r="Y147" s="30"/>
      <x:c r="Z147" s="30"/>
      <x:c r="AA147" s="30"/>
      <x:c r="AB147" s="30"/>
      <x:c r="AC147" s="30"/>
      <x:c r="AD147" s="30"/>
      <x:c r="AE147" s="30"/>
      <x:c r="AF147" s="30"/>
      <x:c r="AG147" s="30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>
      <x:c r="A148" s="1"/>
      <x:c r="B148" s="1"/>
      <x:c r="C148" s="30"/>
      <x:c r="D148" s="30"/>
      <x:c r="E148" s="30"/>
      <x:c r="F148" s="30"/>
      <x:c r="G148" s="30"/>
      <x:c r="H148" s="30"/>
      <x:c r="I148" s="30"/>
      <x:c r="J148" s="30"/>
      <x:c r="K148" s="30"/>
      <x:c r="L148" s="30"/>
      <x:c r="M148" s="30"/>
      <x:c r="N148" s="30"/>
      <x:c r="O148" s="30"/>
      <x:c r="P148" s="30"/>
      <x:c r="Q148" s="30"/>
      <x:c r="R148" s="30"/>
      <x:c r="S148" s="30"/>
      <x:c r="T148" s="30"/>
      <x:c r="U148" s="30"/>
      <x:c r="V148" s="30"/>
      <x:c r="W148" s="30"/>
      <x:c r="X148" s="30"/>
      <x:c r="Y148" s="30"/>
      <x:c r="Z148" s="30"/>
      <x:c r="AA148" s="30"/>
      <x:c r="AB148" s="30"/>
      <x:c r="AC148" s="30"/>
      <x:c r="AD148" s="30"/>
      <x:c r="AE148" s="30"/>
      <x:c r="AF148" s="30"/>
      <x:c r="AG148" s="30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>
      <x:c r="A149" s="1"/>
      <x:c r="B149" s="1"/>
      <x:c r="C149" s="30"/>
      <x:c r="D149" s="30"/>
      <x:c r="E149" s="30"/>
      <x:c r="F149" s="30"/>
      <x:c r="G149" s="30"/>
      <x:c r="H149" s="30"/>
      <x:c r="I149" s="30"/>
      <x:c r="J149" s="30"/>
      <x:c r="K149" s="30"/>
      <x:c r="L149" s="30"/>
      <x:c r="M149" s="30"/>
      <x:c r="N149" s="30"/>
      <x:c r="O149" s="30"/>
      <x:c r="P149" s="30"/>
      <x:c r="Q149" s="30"/>
      <x:c r="R149" s="30"/>
      <x:c r="S149" s="30"/>
      <x:c r="T149" s="30"/>
      <x:c r="U149" s="30"/>
      <x:c r="V149" s="30"/>
      <x:c r="W149" s="30"/>
      <x:c r="X149" s="30"/>
      <x:c r="Y149" s="30"/>
      <x:c r="Z149" s="30"/>
      <x:c r="AA149" s="30"/>
      <x:c r="AB149" s="30"/>
      <x:c r="AC149" s="30"/>
      <x:c r="AD149" s="30"/>
      <x:c r="AE149" s="30"/>
      <x:c r="AF149" s="30"/>
      <x:c r="AG149" s="30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>
      <x:c r="A150" s="1"/>
      <x:c r="B150" s="1"/>
      <x:c r="C150" s="30"/>
      <x:c r="D150" s="30"/>
      <x:c r="E150" s="30"/>
      <x:c r="F150" s="30"/>
      <x:c r="G150" s="30"/>
      <x:c r="H150" s="30"/>
      <x:c r="I150" s="30"/>
      <x:c r="J150" s="30"/>
      <x:c r="K150" s="30"/>
      <x:c r="L150" s="30"/>
      <x:c r="M150" s="30"/>
      <x:c r="N150" s="30"/>
      <x:c r="O150" s="30"/>
      <x:c r="P150" s="30"/>
      <x:c r="Q150" s="30"/>
      <x:c r="R150" s="30"/>
      <x:c r="S150" s="30"/>
      <x:c r="T150" s="30"/>
      <x:c r="U150" s="30"/>
      <x:c r="V150" s="30"/>
      <x:c r="W150" s="30"/>
      <x:c r="X150" s="30"/>
      <x:c r="Y150" s="30"/>
      <x:c r="Z150" s="30"/>
      <x:c r="AA150" s="30"/>
      <x:c r="AB150" s="30"/>
      <x:c r="AC150" s="30"/>
      <x:c r="AD150" s="30"/>
      <x:c r="AE150" s="30"/>
      <x:c r="AF150" s="30"/>
      <x:c r="AG150" s="30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>
      <x:c r="A151" s="1"/>
      <x:c r="B151" s="1"/>
      <x:c r="C151" s="30"/>
      <x:c r="D151" s="30"/>
      <x:c r="E151" s="30"/>
      <x:c r="F151" s="30"/>
      <x:c r="G151" s="30"/>
      <x:c r="H151" s="30"/>
      <x:c r="I151" s="30"/>
      <x:c r="J151" s="30"/>
      <x:c r="K151" s="30"/>
      <x:c r="L151" s="30"/>
      <x:c r="M151" s="30"/>
      <x:c r="N151" s="30"/>
      <x:c r="O151" s="30"/>
      <x:c r="P151" s="30"/>
      <x:c r="Q151" s="30"/>
      <x:c r="R151" s="30"/>
      <x:c r="S151" s="30"/>
      <x:c r="T151" s="30"/>
      <x:c r="U151" s="30"/>
      <x:c r="V151" s="30"/>
      <x:c r="W151" s="30"/>
      <x:c r="X151" s="30"/>
      <x:c r="Y151" s="30"/>
      <x:c r="Z151" s="30"/>
      <x:c r="AA151" s="30"/>
      <x:c r="AB151" s="30"/>
      <x:c r="AC151" s="30"/>
      <x:c r="AD151" s="30"/>
      <x:c r="AE151" s="30"/>
      <x:c r="AF151" s="30"/>
      <x:c r="AG151" s="30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>
      <x:c r="A152" s="1"/>
      <x:c r="B152" s="1"/>
      <x:c r="C152" s="30"/>
      <x:c r="D152" s="30"/>
      <x:c r="E152" s="30"/>
      <x:c r="F152" s="30"/>
      <x:c r="G152" s="30"/>
      <x:c r="H152" s="30"/>
      <x:c r="I152" s="30"/>
      <x:c r="J152" s="30"/>
      <x:c r="K152" s="30"/>
      <x:c r="L152" s="30"/>
      <x:c r="M152" s="30"/>
      <x:c r="N152" s="30"/>
      <x:c r="O152" s="30"/>
      <x:c r="P152" s="30"/>
      <x:c r="Q152" s="30"/>
      <x:c r="R152" s="30"/>
      <x:c r="S152" s="30"/>
      <x:c r="T152" s="30"/>
      <x:c r="U152" s="30"/>
      <x:c r="V152" s="30"/>
      <x:c r="W152" s="30"/>
      <x:c r="X152" s="30"/>
      <x:c r="Y152" s="30"/>
      <x:c r="Z152" s="30"/>
      <x:c r="AA152" s="30"/>
      <x:c r="AB152" s="30"/>
      <x:c r="AC152" s="30"/>
      <x:c r="AD152" s="30"/>
      <x:c r="AE152" s="30"/>
      <x:c r="AF152" s="30"/>
      <x:c r="AG152" s="30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>
      <x:c r="A153" s="1"/>
      <x:c r="B153" s="1"/>
      <x:c r="C153" s="30"/>
      <x:c r="D153" s="30"/>
      <x:c r="E153" s="30"/>
      <x:c r="F153" s="30"/>
      <x:c r="G153" s="30"/>
      <x:c r="H153" s="30"/>
      <x:c r="I153" s="30"/>
      <x:c r="J153" s="30"/>
      <x:c r="K153" s="30"/>
      <x:c r="L153" s="30"/>
      <x:c r="M153" s="30"/>
      <x:c r="N153" s="30"/>
      <x:c r="O153" s="30"/>
      <x:c r="P153" s="30"/>
      <x:c r="Q153" s="30"/>
      <x:c r="R153" s="30"/>
      <x:c r="S153" s="30"/>
      <x:c r="T153" s="30"/>
      <x:c r="U153" s="30"/>
      <x:c r="V153" s="30"/>
      <x:c r="W153" s="30"/>
      <x:c r="X153" s="30"/>
      <x:c r="Y153" s="30"/>
      <x:c r="Z153" s="30"/>
      <x:c r="AA153" s="30"/>
      <x:c r="AB153" s="30"/>
      <x:c r="AC153" s="30"/>
      <x:c r="AD153" s="30"/>
      <x:c r="AE153" s="30"/>
      <x:c r="AF153" s="30"/>
      <x:c r="AG153" s="30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>
      <x:c r="A154" s="1"/>
      <x:c r="B154" s="1"/>
      <x:c r="C154" s="30"/>
      <x:c r="D154" s="30"/>
      <x:c r="E154" s="30"/>
      <x:c r="F154" s="30"/>
      <x:c r="G154" s="30"/>
      <x:c r="H154" s="30"/>
      <x:c r="I154" s="30"/>
      <x:c r="J154" s="30"/>
      <x:c r="K154" s="30"/>
      <x:c r="L154" s="30"/>
      <x:c r="M154" s="30"/>
      <x:c r="N154" s="30"/>
      <x:c r="O154" s="30"/>
      <x:c r="P154" s="30"/>
      <x:c r="Q154" s="30"/>
      <x:c r="R154" s="30"/>
      <x:c r="S154" s="30"/>
      <x:c r="T154" s="30"/>
      <x:c r="U154" s="30"/>
      <x:c r="V154" s="30"/>
      <x:c r="W154" s="30"/>
      <x:c r="X154" s="30"/>
      <x:c r="Y154" s="30"/>
      <x:c r="Z154" s="30"/>
      <x:c r="AA154" s="30"/>
      <x:c r="AB154" s="30"/>
      <x:c r="AC154" s="30"/>
      <x:c r="AD154" s="30"/>
      <x:c r="AE154" s="30"/>
      <x:c r="AF154" s="30"/>
      <x:c r="AG154" s="30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>
      <x:c r="A155" s="1"/>
      <x:c r="B155" s="1"/>
      <x:c r="C155" s="30"/>
      <x:c r="D155" s="30"/>
      <x:c r="E155" s="30"/>
      <x:c r="F155" s="30"/>
      <x:c r="G155" s="30"/>
      <x:c r="H155" s="30"/>
      <x:c r="I155" s="30"/>
      <x:c r="J155" s="30"/>
      <x:c r="K155" s="30"/>
      <x:c r="L155" s="30"/>
      <x:c r="M155" s="30"/>
      <x:c r="N155" s="30"/>
      <x:c r="O155" s="30"/>
      <x:c r="P155" s="30"/>
      <x:c r="Q155" s="30"/>
      <x:c r="R155" s="30"/>
      <x:c r="S155" s="30"/>
      <x:c r="T155" s="30"/>
      <x:c r="U155" s="30"/>
      <x:c r="V155" s="30"/>
      <x:c r="W155" s="30"/>
      <x:c r="X155" s="30"/>
      <x:c r="Y155" s="30"/>
      <x:c r="Z155" s="30"/>
      <x:c r="AA155" s="30"/>
      <x:c r="AB155" s="30"/>
      <x:c r="AC155" s="30"/>
      <x:c r="AD155" s="30"/>
      <x:c r="AE155" s="30"/>
      <x:c r="AF155" s="30"/>
      <x:c r="AG155" s="30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>
      <x:c r="A156" s="1"/>
      <x:c r="B156" s="1"/>
      <x:c r="C156" s="30"/>
      <x:c r="D156" s="30"/>
      <x:c r="E156" s="30"/>
      <x:c r="F156" s="30"/>
      <x:c r="G156" s="30"/>
      <x:c r="H156" s="30"/>
      <x:c r="I156" s="30"/>
      <x:c r="J156" s="30"/>
      <x:c r="K156" s="30"/>
      <x:c r="L156" s="30"/>
      <x:c r="M156" s="30"/>
      <x:c r="N156" s="30"/>
      <x:c r="O156" s="30"/>
      <x:c r="P156" s="30"/>
      <x:c r="Q156" s="30"/>
      <x:c r="R156" s="30"/>
      <x:c r="S156" s="30"/>
      <x:c r="T156" s="30"/>
      <x:c r="U156" s="30"/>
      <x:c r="V156" s="30"/>
      <x:c r="W156" s="30"/>
      <x:c r="X156" s="30"/>
      <x:c r="Y156" s="30"/>
      <x:c r="Z156" s="30"/>
      <x:c r="AA156" s="30"/>
      <x:c r="AB156" s="30"/>
      <x:c r="AC156" s="30"/>
      <x:c r="AD156" s="30"/>
      <x:c r="AE156" s="30"/>
      <x:c r="AF156" s="30"/>
      <x:c r="AG156" s="30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>
      <x:c r="A157" s="1"/>
      <x:c r="B157" s="1"/>
      <x:c r="C157" s="30"/>
      <x:c r="D157" s="30"/>
      <x:c r="E157" s="30"/>
      <x:c r="F157" s="30"/>
      <x:c r="G157" s="30"/>
      <x:c r="H157" s="30"/>
      <x:c r="I157" s="30"/>
      <x:c r="J157" s="30"/>
      <x:c r="K157" s="30"/>
      <x:c r="L157" s="30"/>
      <x:c r="M157" s="30"/>
      <x:c r="N157" s="30"/>
      <x:c r="O157" s="30"/>
      <x:c r="P157" s="30"/>
      <x:c r="Q157" s="30"/>
      <x:c r="R157" s="30"/>
      <x:c r="S157" s="30"/>
      <x:c r="T157" s="30"/>
      <x:c r="U157" s="30"/>
      <x:c r="V157" s="30"/>
      <x:c r="W157" s="30"/>
      <x:c r="X157" s="30"/>
      <x:c r="Y157" s="30"/>
      <x:c r="Z157" s="30"/>
      <x:c r="AA157" s="30"/>
      <x:c r="AB157" s="30"/>
      <x:c r="AC157" s="30"/>
      <x:c r="AD157" s="30"/>
      <x:c r="AE157" s="30"/>
      <x:c r="AF157" s="30"/>
      <x:c r="AG157" s="30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>
      <x:c r="A158" s="1"/>
      <x:c r="B158" s="1"/>
      <x:c r="C158" s="30"/>
      <x:c r="D158" s="30"/>
      <x:c r="E158" s="30"/>
      <x:c r="F158" s="30"/>
      <x:c r="G158" s="30"/>
      <x:c r="H158" s="30"/>
      <x:c r="I158" s="30"/>
      <x:c r="J158" s="30"/>
      <x:c r="K158" s="30"/>
      <x:c r="L158" s="30"/>
      <x:c r="M158" s="30"/>
      <x:c r="N158" s="30"/>
      <x:c r="O158" s="30"/>
      <x:c r="P158" s="30"/>
      <x:c r="Q158" s="30"/>
      <x:c r="R158" s="30"/>
      <x:c r="S158" s="30"/>
      <x:c r="T158" s="30"/>
      <x:c r="U158" s="30"/>
      <x:c r="V158" s="30"/>
      <x:c r="W158" s="30"/>
      <x:c r="X158" s="30"/>
      <x:c r="Y158" s="30"/>
      <x:c r="Z158" s="30"/>
      <x:c r="AA158" s="30"/>
      <x:c r="AB158" s="30"/>
      <x:c r="AC158" s="30"/>
      <x:c r="AD158" s="30"/>
      <x:c r="AE158" s="30"/>
      <x:c r="AF158" s="30"/>
      <x:c r="AG158" s="30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>
      <x:c r="A159" s="1"/>
      <x:c r="B159" s="1"/>
      <x:c r="C159" s="30"/>
      <x:c r="D159" s="30"/>
      <x:c r="E159" s="30"/>
      <x:c r="F159" s="30"/>
      <x:c r="G159" s="30"/>
      <x:c r="H159" s="30"/>
      <x:c r="I159" s="30"/>
      <x:c r="J159" s="30"/>
      <x:c r="K159" s="30"/>
      <x:c r="L159" s="30"/>
      <x:c r="M159" s="30"/>
      <x:c r="N159" s="30"/>
      <x:c r="O159" s="30"/>
      <x:c r="P159" s="30"/>
      <x:c r="Q159" s="30"/>
      <x:c r="R159" s="30"/>
      <x:c r="S159" s="30"/>
      <x:c r="T159" s="30"/>
      <x:c r="U159" s="30"/>
      <x:c r="V159" s="30"/>
      <x:c r="W159" s="30"/>
      <x:c r="X159" s="30"/>
      <x:c r="Y159" s="30"/>
      <x:c r="Z159" s="30"/>
      <x:c r="AA159" s="30"/>
      <x:c r="AB159" s="30"/>
      <x:c r="AC159" s="30"/>
      <x:c r="AD159" s="30"/>
      <x:c r="AE159" s="30"/>
      <x:c r="AF159" s="30"/>
      <x:c r="AG159" s="30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>
      <x:c r="A160" s="1"/>
      <x:c r="B160" s="1"/>
      <x:c r="C160" s="30"/>
      <x:c r="D160" s="30"/>
      <x:c r="E160" s="30"/>
      <x:c r="F160" s="30"/>
      <x:c r="G160" s="30"/>
      <x:c r="H160" s="30"/>
      <x:c r="I160" s="30"/>
      <x:c r="J160" s="30"/>
      <x:c r="K160" s="30"/>
      <x:c r="L160" s="30"/>
      <x:c r="M160" s="30"/>
      <x:c r="N160" s="30"/>
      <x:c r="O160" s="30"/>
      <x:c r="P160" s="30"/>
      <x:c r="Q160" s="30"/>
      <x:c r="R160" s="30"/>
      <x:c r="S160" s="30"/>
      <x:c r="T160" s="30"/>
      <x:c r="U160" s="30"/>
      <x:c r="V160" s="30"/>
      <x:c r="W160" s="30"/>
      <x:c r="X160" s="30"/>
      <x:c r="Y160" s="30"/>
      <x:c r="Z160" s="30"/>
      <x:c r="AA160" s="30"/>
      <x:c r="AB160" s="30"/>
      <x:c r="AC160" s="30"/>
      <x:c r="AD160" s="30"/>
      <x:c r="AE160" s="30"/>
      <x:c r="AF160" s="30"/>
      <x:c r="AG160" s="30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>
      <x:c r="A161" s="1"/>
      <x:c r="B161" s="1"/>
      <x:c r="C161" s="30"/>
      <x:c r="D161" s="30"/>
      <x:c r="E161" s="30"/>
      <x:c r="F161" s="30"/>
      <x:c r="G161" s="30"/>
      <x:c r="H161" s="30"/>
      <x:c r="I161" s="30"/>
      <x:c r="J161" s="30"/>
      <x:c r="K161" s="30"/>
      <x:c r="L161" s="30"/>
      <x:c r="M161" s="30"/>
      <x:c r="N161" s="30"/>
      <x:c r="O161" s="30"/>
      <x:c r="P161" s="30"/>
      <x:c r="Q161" s="30"/>
      <x:c r="R161" s="30"/>
      <x:c r="S161" s="30"/>
      <x:c r="T161" s="30"/>
      <x:c r="U161" s="30"/>
      <x:c r="V161" s="30"/>
      <x:c r="W161" s="30"/>
      <x:c r="X161" s="30"/>
      <x:c r="Y161" s="30"/>
      <x:c r="Z161" s="30"/>
      <x:c r="AA161" s="30"/>
      <x:c r="AB161" s="30"/>
      <x:c r="AC161" s="30"/>
      <x:c r="AD161" s="30"/>
      <x:c r="AE161" s="30"/>
      <x:c r="AF161" s="30"/>
      <x:c r="AG161" s="30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>
      <x:c r="A162" s="1"/>
      <x:c r="B162" s="1"/>
      <x:c r="C162" s="30"/>
      <x:c r="D162" s="30"/>
      <x:c r="E162" s="30"/>
      <x:c r="F162" s="30"/>
      <x:c r="G162" s="30"/>
      <x:c r="H162" s="30"/>
      <x:c r="I162" s="30"/>
      <x:c r="J162" s="30"/>
      <x:c r="K162" s="30"/>
      <x:c r="L162" s="30"/>
      <x:c r="M162" s="30"/>
      <x:c r="N162" s="30"/>
      <x:c r="O162" s="30"/>
      <x:c r="P162" s="30"/>
      <x:c r="Q162" s="30"/>
      <x:c r="R162" s="30"/>
      <x:c r="S162" s="30"/>
      <x:c r="T162" s="30"/>
      <x:c r="U162" s="30"/>
      <x:c r="V162" s="30"/>
      <x:c r="W162" s="30"/>
      <x:c r="X162" s="30"/>
      <x:c r="Y162" s="30"/>
      <x:c r="Z162" s="30"/>
      <x:c r="AA162" s="30"/>
      <x:c r="AB162" s="30"/>
      <x:c r="AC162" s="30"/>
      <x:c r="AD162" s="30"/>
      <x:c r="AE162" s="30"/>
      <x:c r="AF162" s="30"/>
      <x:c r="AG162" s="30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>
      <x:c r="A163" s="1"/>
      <x:c r="B163" s="1"/>
      <x:c r="C163" s="30"/>
      <x:c r="D163" s="30"/>
      <x:c r="E163" s="30"/>
      <x:c r="F163" s="30"/>
      <x:c r="G163" s="30"/>
      <x:c r="H163" s="30"/>
      <x:c r="I163" s="30"/>
      <x:c r="J163" s="30"/>
      <x:c r="K163" s="30"/>
      <x:c r="L163" s="30"/>
      <x:c r="M163" s="30"/>
      <x:c r="N163" s="30"/>
      <x:c r="O163" s="30"/>
      <x:c r="P163" s="30"/>
      <x:c r="Q163" s="30"/>
      <x:c r="R163" s="30"/>
      <x:c r="S163" s="30"/>
      <x:c r="T163" s="30"/>
      <x:c r="U163" s="30"/>
      <x:c r="V163" s="30"/>
      <x:c r="W163" s="30"/>
      <x:c r="X163" s="30"/>
      <x:c r="Y163" s="30"/>
      <x:c r="Z163" s="30"/>
      <x:c r="AA163" s="30"/>
      <x:c r="AB163" s="30"/>
      <x:c r="AC163" s="30"/>
      <x:c r="AD163" s="30"/>
      <x:c r="AE163" s="30"/>
      <x:c r="AF163" s="30"/>
      <x:c r="AG163" s="30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>
      <x:c r="A164" s="1"/>
      <x:c r="B164" s="1"/>
      <x:c r="C164" s="30"/>
      <x:c r="D164" s="30"/>
      <x:c r="E164" s="30"/>
      <x:c r="F164" s="30"/>
      <x:c r="G164" s="30"/>
      <x:c r="H164" s="30"/>
      <x:c r="I164" s="30"/>
      <x:c r="J164" s="30"/>
      <x:c r="K164" s="30"/>
      <x:c r="L164" s="30"/>
      <x:c r="M164" s="30"/>
      <x:c r="N164" s="30"/>
      <x:c r="O164" s="30"/>
      <x:c r="P164" s="30"/>
      <x:c r="Q164" s="30"/>
      <x:c r="R164" s="30"/>
      <x:c r="S164" s="30"/>
      <x:c r="T164" s="30"/>
      <x:c r="U164" s="30"/>
      <x:c r="V164" s="30"/>
      <x:c r="W164" s="30"/>
      <x:c r="X164" s="30"/>
      <x:c r="Y164" s="30"/>
      <x:c r="Z164" s="30"/>
      <x:c r="AA164" s="30"/>
      <x:c r="AB164" s="30"/>
      <x:c r="AC164" s="30"/>
      <x:c r="AD164" s="30"/>
      <x:c r="AE164" s="30"/>
      <x:c r="AF164" s="30"/>
      <x:c r="AG164" s="30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>
      <x:c r="A165" s="1"/>
      <x:c r="B165" s="1"/>
      <x:c r="C165" s="30"/>
      <x:c r="D165" s="30"/>
      <x:c r="E165" s="30"/>
      <x:c r="F165" s="30"/>
      <x:c r="G165" s="30"/>
      <x:c r="H165" s="30"/>
      <x:c r="I165" s="30"/>
      <x:c r="J165" s="30"/>
      <x:c r="K165" s="30"/>
      <x:c r="L165" s="30"/>
      <x:c r="M165" s="30"/>
      <x:c r="N165" s="30"/>
      <x:c r="O165" s="30"/>
      <x:c r="P165" s="30"/>
      <x:c r="Q165" s="30"/>
      <x:c r="R165" s="30"/>
      <x:c r="S165" s="30"/>
      <x:c r="T165" s="30"/>
      <x:c r="U165" s="30"/>
      <x:c r="V165" s="30"/>
      <x:c r="W165" s="30"/>
      <x:c r="X165" s="30"/>
      <x:c r="Y165" s="30"/>
      <x:c r="Z165" s="30"/>
      <x:c r="AA165" s="30"/>
      <x:c r="AB165" s="30"/>
      <x:c r="AC165" s="30"/>
      <x:c r="AD165" s="30"/>
      <x:c r="AE165" s="30"/>
      <x:c r="AF165" s="30"/>
      <x:c r="AG165" s="30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>
      <x:c r="A166" s="1"/>
      <x:c r="B166" s="1"/>
      <x:c r="C166" s="30"/>
      <x:c r="D166" s="30"/>
      <x:c r="E166" s="30"/>
      <x:c r="F166" s="30"/>
      <x:c r="G166" s="30"/>
      <x:c r="H166" s="30"/>
      <x:c r="I166" s="30"/>
      <x:c r="J166" s="30"/>
      <x:c r="K166" s="30"/>
      <x:c r="L166" s="30"/>
      <x:c r="M166" s="30"/>
      <x:c r="N166" s="30"/>
      <x:c r="O166" s="30"/>
      <x:c r="P166" s="30"/>
      <x:c r="Q166" s="30"/>
      <x:c r="R166" s="30"/>
      <x:c r="S166" s="30"/>
      <x:c r="T166" s="30"/>
      <x:c r="U166" s="30"/>
      <x:c r="V166" s="30"/>
      <x:c r="W166" s="30"/>
      <x:c r="X166" s="30"/>
      <x:c r="Y166" s="30"/>
      <x:c r="Z166" s="30"/>
      <x:c r="AA166" s="30"/>
      <x:c r="AB166" s="30"/>
      <x:c r="AC166" s="30"/>
      <x:c r="AD166" s="30"/>
      <x:c r="AE166" s="30"/>
      <x:c r="AF166" s="30"/>
      <x:c r="AG166" s="30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>
      <x:c r="A167" s="1"/>
      <x:c r="B167" s="1"/>
      <x:c r="C167" s="30"/>
      <x:c r="D167" s="30"/>
      <x:c r="E167" s="30"/>
      <x:c r="F167" s="30"/>
      <x:c r="G167" s="30"/>
      <x:c r="H167" s="30"/>
      <x:c r="I167" s="30"/>
      <x:c r="J167" s="30"/>
      <x:c r="K167" s="30"/>
      <x:c r="L167" s="30"/>
      <x:c r="M167" s="30"/>
      <x:c r="N167" s="30"/>
      <x:c r="O167" s="30"/>
      <x:c r="P167" s="30"/>
      <x:c r="Q167" s="30"/>
      <x:c r="R167" s="30"/>
      <x:c r="S167" s="30"/>
      <x:c r="T167" s="30"/>
      <x:c r="U167" s="30"/>
      <x:c r="V167" s="30"/>
      <x:c r="W167" s="30"/>
      <x:c r="X167" s="30"/>
      <x:c r="Y167" s="30"/>
      <x:c r="Z167" s="30"/>
      <x:c r="AA167" s="30"/>
      <x:c r="AB167" s="30"/>
      <x:c r="AC167" s="30"/>
      <x:c r="AD167" s="30"/>
      <x:c r="AE167" s="30"/>
      <x:c r="AF167" s="30"/>
      <x:c r="AG167" s="30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>
      <x:c r="A168" s="1"/>
      <x:c r="B168" s="1"/>
      <x:c r="C168" s="30"/>
      <x:c r="D168" s="30"/>
      <x:c r="E168" s="30"/>
      <x:c r="F168" s="30"/>
      <x:c r="G168" s="30"/>
      <x:c r="H168" s="30"/>
      <x:c r="I168" s="30"/>
      <x:c r="J168" s="30"/>
      <x:c r="K168" s="30"/>
      <x:c r="L168" s="30"/>
      <x:c r="M168" s="30"/>
      <x:c r="N168" s="30"/>
      <x:c r="O168" s="30"/>
      <x:c r="P168" s="30"/>
      <x:c r="Q168" s="30"/>
      <x:c r="R168" s="30"/>
      <x:c r="S168" s="30"/>
      <x:c r="T168" s="30"/>
      <x:c r="U168" s="30"/>
      <x:c r="V168" s="30"/>
      <x:c r="W168" s="30"/>
      <x:c r="X168" s="30"/>
      <x:c r="Y168" s="30"/>
      <x:c r="Z168" s="30"/>
      <x:c r="AA168" s="30"/>
      <x:c r="AB168" s="30"/>
      <x:c r="AC168" s="30"/>
      <x:c r="AD168" s="30"/>
      <x:c r="AE168" s="30"/>
      <x:c r="AF168" s="30"/>
      <x:c r="AG168" s="30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>
      <x:c r="A169" s="1"/>
      <x:c r="B169" s="1"/>
      <x:c r="C169" s="30"/>
      <x:c r="D169" s="30"/>
      <x:c r="E169" s="30"/>
      <x:c r="F169" s="30"/>
      <x:c r="G169" s="30"/>
      <x:c r="H169" s="30"/>
      <x:c r="I169" s="30"/>
      <x:c r="J169" s="30"/>
      <x:c r="K169" s="30"/>
      <x:c r="L169" s="30"/>
      <x:c r="M169" s="30"/>
      <x:c r="N169" s="30"/>
      <x:c r="O169" s="30"/>
      <x:c r="P169" s="30"/>
      <x:c r="Q169" s="30"/>
      <x:c r="R169" s="30"/>
      <x:c r="S169" s="30"/>
      <x:c r="T169" s="30"/>
      <x:c r="U169" s="30"/>
      <x:c r="V169" s="30"/>
      <x:c r="W169" s="30"/>
      <x:c r="X169" s="30"/>
      <x:c r="Y169" s="30"/>
      <x:c r="Z169" s="30"/>
      <x:c r="AA169" s="30"/>
      <x:c r="AB169" s="30"/>
      <x:c r="AC169" s="30"/>
      <x:c r="AD169" s="30"/>
      <x:c r="AE169" s="30"/>
      <x:c r="AF169" s="30"/>
      <x:c r="AG169" s="30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>
      <x:c r="A170" s="1"/>
      <x:c r="B170" s="1"/>
      <x:c r="C170" s="30"/>
      <x:c r="D170" s="30"/>
      <x:c r="E170" s="30"/>
      <x:c r="F170" s="30"/>
      <x:c r="G170" s="30"/>
      <x:c r="H170" s="30"/>
      <x:c r="I170" s="30"/>
      <x:c r="J170" s="30"/>
      <x:c r="K170" s="30"/>
      <x:c r="L170" s="30"/>
      <x:c r="M170" s="30"/>
      <x:c r="N170" s="30"/>
      <x:c r="O170" s="30"/>
      <x:c r="P170" s="30"/>
      <x:c r="Q170" s="30"/>
      <x:c r="R170" s="30"/>
      <x:c r="S170" s="30"/>
      <x:c r="T170" s="30"/>
      <x:c r="U170" s="30"/>
      <x:c r="V170" s="30"/>
      <x:c r="W170" s="30"/>
      <x:c r="X170" s="30"/>
      <x:c r="Y170" s="30"/>
      <x:c r="Z170" s="30"/>
      <x:c r="AA170" s="30"/>
      <x:c r="AB170" s="30"/>
      <x:c r="AC170" s="30"/>
      <x:c r="AD170" s="30"/>
      <x:c r="AE170" s="30"/>
      <x:c r="AF170" s="30"/>
      <x:c r="AG170" s="30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>
      <x:c r="A171" s="1"/>
      <x:c r="B171" s="1"/>
      <x:c r="C171" s="30"/>
      <x:c r="D171" s="30"/>
      <x:c r="E171" s="30"/>
      <x:c r="F171" s="30"/>
      <x:c r="G171" s="30"/>
      <x:c r="H171" s="30"/>
      <x:c r="I171" s="30"/>
      <x:c r="J171" s="30"/>
      <x:c r="K171" s="30"/>
      <x:c r="L171" s="30"/>
      <x:c r="M171" s="30"/>
      <x:c r="N171" s="30"/>
      <x:c r="O171" s="30"/>
      <x:c r="P171" s="30"/>
      <x:c r="Q171" s="30"/>
      <x:c r="R171" s="30"/>
      <x:c r="S171" s="30"/>
      <x:c r="T171" s="30"/>
      <x:c r="U171" s="30"/>
      <x:c r="V171" s="30"/>
      <x:c r="W171" s="30"/>
      <x:c r="X171" s="30"/>
      <x:c r="Y171" s="30"/>
      <x:c r="Z171" s="30"/>
      <x:c r="AA171" s="30"/>
      <x:c r="AB171" s="30"/>
      <x:c r="AC171" s="30"/>
      <x:c r="AD171" s="30"/>
      <x:c r="AE171" s="30"/>
      <x:c r="AF171" s="30"/>
      <x:c r="AG171" s="30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>
      <x:c r="A172" s="1"/>
      <x:c r="B172" s="1"/>
      <x:c r="C172" s="30"/>
      <x:c r="D172" s="30"/>
      <x:c r="E172" s="30"/>
      <x:c r="F172" s="30"/>
      <x:c r="G172" s="30"/>
      <x:c r="H172" s="30"/>
      <x:c r="I172" s="30"/>
      <x:c r="J172" s="30"/>
      <x:c r="K172" s="30"/>
      <x:c r="L172" s="30"/>
      <x:c r="M172" s="30"/>
      <x:c r="N172" s="30"/>
      <x:c r="O172" s="30"/>
      <x:c r="P172" s="30"/>
      <x:c r="Q172" s="30"/>
      <x:c r="R172" s="30"/>
      <x:c r="S172" s="30"/>
      <x:c r="T172" s="30"/>
      <x:c r="U172" s="30"/>
      <x:c r="V172" s="30"/>
      <x:c r="W172" s="30"/>
      <x:c r="X172" s="30"/>
      <x:c r="Y172" s="30"/>
      <x:c r="Z172" s="30"/>
      <x:c r="AA172" s="30"/>
      <x:c r="AB172" s="30"/>
      <x:c r="AC172" s="30"/>
      <x:c r="AD172" s="30"/>
      <x:c r="AE172" s="30"/>
      <x:c r="AF172" s="30"/>
      <x:c r="AG172" s="30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>
      <x:c r="A173" s="1"/>
      <x:c r="B173" s="1"/>
      <x:c r="C173" s="30"/>
      <x:c r="D173" s="30"/>
      <x:c r="E173" s="30"/>
      <x:c r="F173" s="30"/>
      <x:c r="G173" s="30"/>
      <x:c r="H173" s="30"/>
      <x:c r="I173" s="30"/>
      <x:c r="J173" s="30"/>
      <x:c r="K173" s="30"/>
      <x:c r="L173" s="30"/>
      <x:c r="M173" s="30"/>
      <x:c r="N173" s="30"/>
      <x:c r="O173" s="30"/>
      <x:c r="P173" s="30"/>
      <x:c r="Q173" s="30"/>
      <x:c r="R173" s="30"/>
      <x:c r="S173" s="30"/>
      <x:c r="T173" s="30"/>
      <x:c r="U173" s="30"/>
      <x:c r="V173" s="30"/>
      <x:c r="W173" s="30"/>
      <x:c r="X173" s="30"/>
      <x:c r="Y173" s="30"/>
      <x:c r="Z173" s="30"/>
      <x:c r="AA173" s="30"/>
      <x:c r="AB173" s="30"/>
      <x:c r="AC173" s="30"/>
      <x:c r="AD173" s="30"/>
      <x:c r="AE173" s="30"/>
      <x:c r="AF173" s="30"/>
      <x:c r="AG173" s="30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>
      <x:c r="A174" s="1"/>
      <x:c r="B174" s="1"/>
      <x:c r="C174" s="30"/>
      <x:c r="D174" s="30"/>
      <x:c r="E174" s="30"/>
      <x:c r="F174" s="30"/>
      <x:c r="G174" s="30"/>
      <x:c r="H174" s="30"/>
      <x:c r="I174" s="30"/>
      <x:c r="J174" s="30"/>
      <x:c r="K174" s="30"/>
      <x:c r="L174" s="30"/>
      <x:c r="M174" s="30"/>
      <x:c r="N174" s="30"/>
      <x:c r="O174" s="30"/>
      <x:c r="P174" s="30"/>
      <x:c r="Q174" s="30"/>
      <x:c r="R174" s="30"/>
      <x:c r="S174" s="30"/>
      <x:c r="T174" s="30"/>
      <x:c r="U174" s="30"/>
      <x:c r="V174" s="30"/>
      <x:c r="W174" s="30"/>
      <x:c r="X174" s="30"/>
      <x:c r="Y174" s="30"/>
      <x:c r="Z174" s="30"/>
      <x:c r="AA174" s="30"/>
      <x:c r="AB174" s="30"/>
      <x:c r="AC174" s="30"/>
      <x:c r="AD174" s="30"/>
      <x:c r="AE174" s="30"/>
      <x:c r="AF174" s="30"/>
      <x:c r="AG174" s="30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>
      <x:c r="A175" s="1"/>
      <x:c r="B175" s="1"/>
      <x:c r="C175" s="30"/>
      <x:c r="D175" s="30"/>
      <x:c r="E175" s="30"/>
      <x:c r="F175" s="30"/>
      <x:c r="G175" s="30"/>
      <x:c r="H175" s="30"/>
      <x:c r="I175" s="30"/>
      <x:c r="J175" s="30"/>
      <x:c r="K175" s="30"/>
      <x:c r="L175" s="30"/>
      <x:c r="M175" s="30"/>
      <x:c r="N175" s="30"/>
      <x:c r="O175" s="30"/>
      <x:c r="P175" s="30"/>
      <x:c r="Q175" s="30"/>
      <x:c r="R175" s="30"/>
      <x:c r="S175" s="30"/>
      <x:c r="T175" s="30"/>
      <x:c r="U175" s="30"/>
      <x:c r="V175" s="30"/>
      <x:c r="W175" s="30"/>
      <x:c r="X175" s="30"/>
      <x:c r="Y175" s="30"/>
      <x:c r="Z175" s="30"/>
      <x:c r="AA175" s="30"/>
      <x:c r="AB175" s="30"/>
      <x:c r="AC175" s="30"/>
      <x:c r="AD175" s="30"/>
      <x:c r="AE175" s="30"/>
      <x:c r="AF175" s="30"/>
      <x:c r="AG175" s="30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>
      <x:c r="A176" s="1"/>
      <x:c r="B176" s="1"/>
      <x:c r="C176" s="30"/>
      <x:c r="D176" s="30"/>
      <x:c r="E176" s="30"/>
      <x:c r="F176" s="30"/>
      <x:c r="G176" s="30"/>
      <x:c r="H176" s="30"/>
      <x:c r="I176" s="30"/>
      <x:c r="J176" s="30"/>
      <x:c r="K176" s="30"/>
      <x:c r="L176" s="30"/>
      <x:c r="M176" s="30"/>
      <x:c r="N176" s="30"/>
      <x:c r="O176" s="30"/>
      <x:c r="P176" s="30"/>
      <x:c r="Q176" s="30"/>
      <x:c r="R176" s="30"/>
      <x:c r="S176" s="30"/>
      <x:c r="T176" s="30"/>
      <x:c r="U176" s="30"/>
      <x:c r="V176" s="30"/>
      <x:c r="W176" s="30"/>
      <x:c r="X176" s="30"/>
      <x:c r="Y176" s="30"/>
      <x:c r="Z176" s="30"/>
      <x:c r="AA176" s="30"/>
      <x:c r="AB176" s="30"/>
      <x:c r="AC176" s="30"/>
      <x:c r="AD176" s="30"/>
      <x:c r="AE176" s="30"/>
      <x:c r="AF176" s="30"/>
      <x:c r="AG176" s="30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>
      <x:c r="A177" s="1"/>
      <x:c r="B177" s="1"/>
      <x:c r="C177" s="30"/>
      <x:c r="D177" s="30"/>
      <x:c r="E177" s="30"/>
      <x:c r="F177" s="30"/>
      <x:c r="G177" s="30"/>
      <x:c r="H177" s="30"/>
      <x:c r="I177" s="30"/>
      <x:c r="J177" s="30"/>
      <x:c r="K177" s="30"/>
      <x:c r="L177" s="30"/>
      <x:c r="M177" s="30"/>
      <x:c r="N177" s="30"/>
      <x:c r="O177" s="30"/>
      <x:c r="P177" s="30"/>
      <x:c r="Q177" s="30"/>
      <x:c r="R177" s="30"/>
      <x:c r="S177" s="30"/>
      <x:c r="T177" s="30"/>
      <x:c r="U177" s="30"/>
      <x:c r="V177" s="30"/>
      <x:c r="W177" s="30"/>
      <x:c r="X177" s="30"/>
      <x:c r="Y177" s="30"/>
      <x:c r="Z177" s="30"/>
      <x:c r="AA177" s="30"/>
      <x:c r="AB177" s="30"/>
      <x:c r="AC177" s="30"/>
      <x:c r="AD177" s="30"/>
      <x:c r="AE177" s="30"/>
      <x:c r="AF177" s="30"/>
      <x:c r="AG177" s="30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>
      <x:c r="A178" s="1"/>
      <x:c r="B178" s="1"/>
      <x:c r="C178" s="30"/>
      <x:c r="D178" s="30"/>
      <x:c r="E178" s="30"/>
      <x:c r="F178" s="30"/>
      <x:c r="G178" s="30"/>
      <x:c r="H178" s="30"/>
      <x:c r="I178" s="30"/>
      <x:c r="J178" s="30"/>
      <x:c r="K178" s="30"/>
      <x:c r="L178" s="30"/>
      <x:c r="M178" s="30"/>
      <x:c r="N178" s="30"/>
      <x:c r="O178" s="30"/>
      <x:c r="P178" s="30"/>
      <x:c r="Q178" s="30"/>
      <x:c r="R178" s="30"/>
      <x:c r="S178" s="30"/>
      <x:c r="T178" s="30"/>
      <x:c r="U178" s="30"/>
      <x:c r="V178" s="30"/>
      <x:c r="W178" s="30"/>
      <x:c r="X178" s="30"/>
      <x:c r="Y178" s="30"/>
      <x:c r="Z178" s="30"/>
      <x:c r="AA178" s="30"/>
      <x:c r="AB178" s="30"/>
      <x:c r="AC178" s="30"/>
      <x:c r="AD178" s="30"/>
      <x:c r="AE178" s="30"/>
      <x:c r="AF178" s="30"/>
      <x:c r="AG178" s="30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>
      <x:c r="A179" s="1"/>
      <x:c r="B179" s="1"/>
      <x:c r="C179" s="30"/>
      <x:c r="D179" s="30"/>
      <x:c r="E179" s="30"/>
      <x:c r="F179" s="30"/>
      <x:c r="G179" s="30"/>
      <x:c r="H179" s="30"/>
      <x:c r="I179" s="30"/>
      <x:c r="J179" s="30"/>
      <x:c r="K179" s="30"/>
      <x:c r="L179" s="30"/>
      <x:c r="M179" s="30"/>
      <x:c r="N179" s="30"/>
      <x:c r="O179" s="30"/>
      <x:c r="P179" s="30"/>
      <x:c r="Q179" s="30"/>
      <x:c r="R179" s="30"/>
      <x:c r="S179" s="30"/>
      <x:c r="T179" s="30"/>
      <x:c r="U179" s="30"/>
      <x:c r="V179" s="30"/>
      <x:c r="W179" s="30"/>
      <x:c r="X179" s="30"/>
      <x:c r="Y179" s="30"/>
      <x:c r="Z179" s="30"/>
      <x:c r="AA179" s="30"/>
      <x:c r="AB179" s="30"/>
      <x:c r="AC179" s="30"/>
      <x:c r="AD179" s="30"/>
      <x:c r="AE179" s="30"/>
      <x:c r="AF179" s="30"/>
      <x:c r="AG179" s="30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>
      <x:c r="A180" s="1"/>
      <x:c r="B180" s="1"/>
      <x:c r="C180" s="30"/>
      <x:c r="D180" s="30"/>
      <x:c r="E180" s="30"/>
      <x:c r="F180" s="30"/>
      <x:c r="G180" s="30"/>
      <x:c r="H180" s="30"/>
      <x:c r="I180" s="30"/>
      <x:c r="J180" s="30"/>
      <x:c r="K180" s="30"/>
      <x:c r="L180" s="30"/>
      <x:c r="M180" s="30"/>
      <x:c r="N180" s="30"/>
      <x:c r="O180" s="30"/>
      <x:c r="P180" s="30"/>
      <x:c r="Q180" s="30"/>
      <x:c r="R180" s="30"/>
      <x:c r="S180" s="30"/>
      <x:c r="T180" s="30"/>
      <x:c r="U180" s="30"/>
      <x:c r="V180" s="30"/>
      <x:c r="W180" s="30"/>
      <x:c r="X180" s="30"/>
      <x:c r="Y180" s="30"/>
      <x:c r="Z180" s="30"/>
      <x:c r="AA180" s="30"/>
      <x:c r="AB180" s="30"/>
      <x:c r="AC180" s="30"/>
      <x:c r="AD180" s="30"/>
      <x:c r="AE180" s="30"/>
      <x:c r="AF180" s="30"/>
      <x:c r="AG180" s="30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</x:sheetData>
  <x:conditionalFormatting sqref="AF5:AF19">
    <x:cfRule type="containsText" dxfId="2" priority="1" operator="containsText" text="FAIL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0" hidden="0" customWidth="1"/>
    <x:col min="4" max="4" width="10" hidden="0" customWidth="1"/>
    <x:col min="5" max="5" width="16" hidden="0" customWidth="1"/>
    <x:col min="6" max="6" width="18" hidden="0" customWidth="1"/>
    <x:col min="7" max="7" width="18" hidden="0" customWidth="1"/>
    <x:col min="8" max="8" width="24" hidden="0" customWidth="1"/>
    <x:col min="9" max="9" width="68" hidden="0" customWidth="1"/>
    <x:col min="10" max="10" width="14" hidden="0" customWidth="1"/>
    <x:col min="11" max="11" width="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>
      <x:c r="A2" s="1"/>
      <x:c r="B2" s="1"/>
      <x:c r="C2" s="3" t="str">
        <x:v>Thirty-five non-substitutable route-stage obligations</x:v>
      </x:c>
      <x:c r="D2" s="2"/>
      <x:c r="E2" s="2"/>
      <x:c r="F2" s="2"/>
      <x:c r="G2" s="2"/>
      <x:c r="H2" s="2"/>
      <x:c r="I2" s="2"/>
      <x:c r="J2" s="2"/>
      <x:c r="K2" s="2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>
      <x:c r="A3" s="1"/>
      <x:c r="B3" s="1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  <x:c r="AA3" s="30"/>
      <x:c r="AB3" s="30"/>
      <x:c r="AC3" s="30"/>
      <x:c r="AD3" s="30"/>
      <x:c r="AE3" s="30"/>
      <x:c r="AF3" s="30"/>
      <x:c r="AG3" s="30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>
      <x:c r="A4" s="1"/>
      <x:c r="B4" s="1"/>
      <x:c r="C4" s="9" t="str">
        <x:v>Route</x:v>
      </x:c>
      <x:c r="D4" s="17" t="str">
        <x:v>Stage</x:v>
      </x:c>
      <x:c r="E4" s="17" t="str">
        <x:v>Primary family</x:v>
      </x:c>
      <x:c r="F4" s="17" t="str">
        <x:v>Support family 1</x:v>
      </x:c>
      <x:c r="G4" s="17" t="str">
        <x:v>Support family 2</x:v>
      </x:c>
      <x:c r="H4" s="17" t="str">
        <x:v>Required state fields</x:v>
      </x:c>
      <x:c r="I4" s="17" t="str">
        <x:v>Transition acceptance</x:v>
      </x:c>
      <x:c r="J4" s="17" t="str">
        <x:v>Owner count</x:v>
      </x:c>
      <x:c r="K4" s="10" t="str">
        <x:v>Status</x:v>
      </x:c>
      <x:c r="L4" s="30"/>
      <x:c r="M4" s="30"/>
      <x:c r="N4" s="30"/>
      <x:c r="O4" s="30"/>
      <x:c r="P4" s="30"/>
      <x:c r="Q4" s="30"/>
      <x:c r="R4" s="30"/>
      <x:c r="S4" s="30"/>
      <x:c r="T4" s="30"/>
      <x:c r="U4" s="30"/>
      <x:c r="V4" s="30"/>
      <x:c r="W4" s="30"/>
      <x:c r="X4" s="30"/>
      <x:c r="Y4" s="30"/>
      <x:c r="Z4" s="30"/>
      <x:c r="AA4" s="30"/>
      <x:c r="AB4" s="30"/>
      <x:c r="AC4" s="30"/>
      <x:c r="AD4" s="30"/>
      <x:c r="AE4" s="30"/>
      <x:c r="AF4" s="30"/>
      <x:c r="AG4" s="30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>
      <x:c r="A5" s="1"/>
      <x:c r="B5" s="1"/>
      <x:c r="C5" s="30" t="str">
        <x:v>R1</x:v>
      </x:c>
      <x:c r="D5" s="30" t="str">
        <x:v>S1</x:v>
      </x:c>
      <x:c r="E5" s="30" t="str">
        <x:v>H-CHC</x:v>
      </x:c>
      <x:c r="F5" s="30" t="str">
        <x:v>H-PHC</x:v>
      </x:c>
      <x:c r="G5" s="30" t="str">
        <x:v>C-PSG</x:v>
      </x:c>
      <x:c r="H5" s="35" t="str">
        <x:v>F01–F06</x:v>
      </x:c>
      <x:c r="I5" s="35" t="str">
        <x:v>Actionable state sealed with correction and authority path</x:v>
      </x:c>
      <x:c r="J5" s="30" t="n">
        <x:f>COUNTIFS('Family Allocation'!$C$5:$C$19,E5)+COUNTIFS('Family Allocation'!$C$5:$C$19,F5)+COUNTIFS('Family Allocation'!$C$5:$C$19,G5)</x:f>
        <x:v>3</x:v>
      </x:c>
      <x:c r="K5" s="30" t="str">
        <x:f>IF(AND(J5=3,H5&lt;&gt;"",I5&lt;&gt;""),"PASS","FAIL")</x:f>
        <x:v>PASS</x:v>
      </x:c>
      <x:c r="L5" s="30"/>
      <x:c r="M5" s="30"/>
      <x:c r="N5" s="30"/>
      <x:c r="O5" s="30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  <x:c r="AA5" s="30"/>
      <x:c r="AB5" s="30"/>
      <x:c r="AC5" s="30"/>
      <x:c r="AD5" s="30"/>
      <x:c r="AE5" s="30"/>
      <x:c r="AF5" s="30"/>
      <x:c r="AG5" s="30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>
      <x:c r="A6" s="1"/>
      <x:c r="B6" s="1"/>
      <x:c r="C6" s="30" t="str">
        <x:v>R1</x:v>
      </x:c>
      <x:c r="D6" s="30" t="str">
        <x:v>S2</x:v>
      </x:c>
      <x:c r="E6" s="30" t="str">
        <x:v>C-PSG</x:v>
      </x:c>
      <x:c r="F6" s="30" t="str">
        <x:v>C-EGG</x:v>
      </x:c>
      <x:c r="G6" s="30" t="str">
        <x:v>H-CHC</x:v>
      </x:c>
      <x:c r="H6" s="35" t="str">
        <x:v>F06–F09</x:v>
      </x:c>
      <x:c r="I6" s="35" t="str">
        <x:v>Person remains inside declared safe physiological and occupied-service bounds</x:v>
      </x:c>
      <x:c r="J6" s="30" t="n">
        <x:f>COUNTIFS('Family Allocation'!$C$5:$C$19,E6)+COUNTIFS('Family Allocation'!$C$5:$C$19,F6)+COUNTIFS('Family Allocation'!$C$5:$C$19,G6)</x:f>
        <x:v>3</x:v>
      </x:c>
      <x:c r="K6" s="30" t="str">
        <x:f>IF(AND(J6=3,H6&lt;&gt;"",I6&lt;&gt;""),"PASS","FAIL")</x:f>
        <x:v>PASS</x:v>
      </x:c>
      <x:c r="L6" s="30"/>
      <x:c r="M6" s="30"/>
      <x:c r="N6" s="30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30"/>
      <x:c r="Z6" s="30"/>
      <x:c r="AA6" s="30"/>
      <x:c r="AB6" s="30"/>
      <x:c r="AC6" s="30"/>
      <x:c r="AD6" s="30"/>
      <x:c r="AE6" s="30"/>
      <x:c r="AF6" s="30"/>
      <x:c r="AG6" s="30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>
      <x:c r="A7" s="1"/>
      <x:c r="B7" s="1"/>
      <x:c r="C7" s="30" t="str">
        <x:v>R1</x:v>
      </x:c>
      <x:c r="D7" s="30" t="str">
        <x:v>S3</x:v>
      </x:c>
      <x:c r="E7" s="30" t="str">
        <x:v>H-CHC</x:v>
      </x:c>
      <x:c r="F7" s="30" t="str">
        <x:v>C-PSG</x:v>
      </x:c>
      <x:c r="G7" s="30" t="str">
        <x:v>CM-CTN</x:v>
      </x:c>
      <x:c r="H7" s="35" t="str">
        <x:v>F03,F05,F06,F10</x:v>
      </x:c>
      <x:c r="I7" s="35" t="str">
        <x:v>Named service confirms capacity, compatibility, authority and arrival window</x:v>
      </x:c>
      <x:c r="J7" s="30" t="n">
        <x:f>COUNTIFS('Family Allocation'!$C$5:$C$19,E7)+COUNTIFS('Family Allocation'!$C$5:$C$19,F7)+COUNTIFS('Family Allocation'!$C$5:$C$19,G7)</x:f>
        <x:v>3</x:v>
      </x:c>
      <x:c r="K7" s="30" t="str">
        <x:f>IF(AND(J7=3,H7&lt;&gt;"",I7&lt;&gt;""),"PASS","FAIL")</x:f>
        <x:v>PASS</x:v>
      </x:c>
      <x:c r="L7" s="30"/>
      <x:c r="M7" s="30"/>
      <x:c r="N7" s="30"/>
      <x:c r="O7" s="30"/>
      <x:c r="P7" s="30"/>
      <x:c r="Q7" s="30"/>
      <x:c r="R7" s="30"/>
      <x:c r="S7" s="30"/>
      <x:c r="T7" s="30"/>
      <x:c r="U7" s="30"/>
      <x:c r="V7" s="30"/>
      <x:c r="W7" s="30"/>
      <x:c r="X7" s="30"/>
      <x:c r="Y7" s="30"/>
      <x:c r="Z7" s="30"/>
      <x:c r="AA7" s="30"/>
      <x:c r="AB7" s="30"/>
      <x:c r="AC7" s="30"/>
      <x:c r="AD7" s="30"/>
      <x:c r="AE7" s="30"/>
      <x:c r="AF7" s="30"/>
      <x:c r="AG7" s="30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>
      <x:c r="A8" s="1"/>
      <x:c r="B8" s="1"/>
      <x:c r="C8" s="30" t="str">
        <x:v>R1</x:v>
      </x:c>
      <x:c r="D8" s="30" t="str">
        <x:v>S4</x:v>
      </x:c>
      <x:c r="E8" s="30" t="str">
        <x:v>CM-CTN</x:v>
      </x:c>
      <x:c r="F8" s="30" t="str">
        <x:v>C-PSG</x:v>
      </x:c>
      <x:c r="G8" s="30" t="str">
        <x:v>CM-RMG</x:v>
      </x:c>
      <x:c r="H8" s="35" t="str">
        <x:v>F04,F05,F07,F11</x:v>
      </x:c>
      <x:c r="I8" s="35" t="str">
        <x:v>Origin-to-boundary package is complete and independently checkable</x:v>
      </x:c>
      <x:c r="J8" s="30" t="n">
        <x:f>COUNTIFS('Family Allocation'!$C$5:$C$19,E8)+COUNTIFS('Family Allocation'!$C$5:$C$19,F8)+COUNTIFS('Family Allocation'!$C$5:$C$19,G8)</x:f>
        <x:v>3</x:v>
      </x:c>
      <x:c r="K8" s="30" t="str">
        <x:f>IF(AND(J8=3,H8&lt;&gt;"",I8&lt;&gt;""),"PASS","FAIL")</x:f>
        <x:v>PASS</x:v>
      </x:c>
      <x:c r="L8" s="30"/>
      <x:c r="M8" s="30"/>
      <x:c r="N8" s="30"/>
      <x:c r="O8" s="30"/>
      <x:c r="P8" s="30"/>
      <x:c r="Q8" s="30"/>
      <x:c r="R8" s="30"/>
      <x:c r="S8" s="30"/>
      <x:c r="T8" s="30"/>
      <x:c r="U8" s="30"/>
      <x:c r="V8" s="30"/>
      <x:c r="W8" s="30"/>
      <x:c r="X8" s="30"/>
      <x:c r="Y8" s="30"/>
      <x:c r="Z8" s="30"/>
      <x:c r="AA8" s="30"/>
      <x:c r="AB8" s="30"/>
      <x:c r="AC8" s="30"/>
      <x:c r="AD8" s="30"/>
      <x:c r="AE8" s="30"/>
      <x:c r="AF8" s="30"/>
      <x:c r="AG8" s="30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>
      <x:c r="A9" s="1"/>
      <x:c r="B9" s="1"/>
      <x:c r="C9" s="30" t="str">
        <x:v>R1</x:v>
      </x:c>
      <x:c r="D9" s="30" t="str">
        <x:v>S5</x:v>
      </x:c>
      <x:c r="E9" s="30" t="str">
        <x:v>C-EGG</x:v>
      </x:c>
      <x:c r="F9" s="30" t="str">
        <x:v>CM-RMG</x:v>
      </x:c>
      <x:c r="G9" s="30" t="str">
        <x:v>CM-WMG</x:v>
      </x:c>
      <x:c r="H9" s="35" t="str">
        <x:v>F05–F07,F11</x:v>
      </x:c>
      <x:c r="I9" s="35" t="str">
        <x:v>Service or support bundle remains complete through every transfer</x:v>
      </x:c>
      <x:c r="J9" s="30" t="n">
        <x:f>COUNTIFS('Family Allocation'!$C$5:$C$19,E9)+COUNTIFS('Family Allocation'!$C$5:$C$19,F9)+COUNTIFS('Family Allocation'!$C$5:$C$19,G9)</x:f>
        <x:v>3</x:v>
      </x:c>
      <x:c r="K9" s="30" t="str">
        <x:f>IF(AND(J9=3,H9&lt;&gt;"",I9&lt;&gt;""),"PASS","FAIL")</x:f>
        <x:v>PASS</x:v>
      </x:c>
      <x:c r="L9" s="30"/>
      <x:c r="M9" s="30"/>
      <x:c r="N9" s="30"/>
      <x:c r="O9" s="30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  <x:c r="AA9" s="30"/>
      <x:c r="AB9" s="30"/>
      <x:c r="AC9" s="30"/>
      <x:c r="AD9" s="30"/>
      <x:c r="AE9" s="30"/>
      <x:c r="AF9" s="30"/>
      <x:c r="AG9" s="30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>
      <x:c r="A10" s="1"/>
      <x:c r="B10" s="1"/>
      <x:c r="C10" s="30" t="str">
        <x:v>R1</x:v>
      </x:c>
      <x:c r="D10" s="30" t="str">
        <x:v>S6</x:v>
      </x:c>
      <x:c r="E10" s="30" t="str">
        <x:v>C-PSG</x:v>
      </x:c>
      <x:c r="F10" s="30" t="str">
        <x:v>H-CHC</x:v>
      </x:c>
      <x:c r="G10" s="30" t="str">
        <x:v>H-PHC</x:v>
      </x:c>
      <x:c r="H10" s="35" t="str">
        <x:v>F05–F11</x:v>
      </x:c>
      <x:c r="I10" s="35" t="str">
        <x:v>Receiving authority accepts custody and required service is actually delivered</x:v>
      </x:c>
      <x:c r="J10" s="30" t="n">
        <x:f>COUNTIFS('Family Allocation'!$C$5:$C$19,E10)+COUNTIFS('Family Allocation'!$C$5:$C$19,F10)+COUNTIFS('Family Allocation'!$C$5:$C$19,G10)</x:f>
        <x:v>3</x:v>
      </x:c>
      <x:c r="K10" s="30" t="str">
        <x:f>IF(AND(J10=3,H10&lt;&gt;"",I10&lt;&gt;""),"PASS","FAIL")</x:f>
        <x:v>PASS</x:v>
      </x:c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  <x:c r="AA10" s="30"/>
      <x:c r="AB10" s="30"/>
      <x:c r="AC10" s="30"/>
      <x:c r="AD10" s="30"/>
      <x:c r="AE10" s="30"/>
      <x:c r="AF10" s="30"/>
      <x:c r="AG10" s="30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>
      <x:c r="A11" s="1"/>
      <x:c r="B11" s="1"/>
      <x:c r="C11" s="30" t="str">
        <x:v>R1</x:v>
      </x:c>
      <x:c r="D11" s="30" t="str">
        <x:v>S7</x:v>
      </x:c>
      <x:c r="E11" s="30" t="str">
        <x:v>C-DTG</x:v>
      </x:c>
      <x:c r="F11" s="30" t="str">
        <x:v>H-HWR</x:v>
      </x:c>
      <x:c r="G11" s="30" t="str">
        <x:v>C-PSG</x:v>
      </x:c>
      <x:c r="H11" s="35" t="str">
        <x:v>F01,F03,F04,F10–F12</x:v>
      </x:c>
      <x:c r="I11" s="35" t="str">
        <x:v>Case reaches supported exit and formation returns to certified availability</x:v>
      </x:c>
      <x:c r="J11" s="30" t="n">
        <x:f>COUNTIFS('Family Allocation'!$C$5:$C$19,E11)+COUNTIFS('Family Allocation'!$C$5:$C$19,F11)+COUNTIFS('Family Allocation'!$C$5:$C$19,G11)</x:f>
        <x:v>3</x:v>
      </x:c>
      <x:c r="K11" s="30" t="str">
        <x:f>IF(AND(J11=3,H11&lt;&gt;"",I11&lt;&gt;""),"PASS","FAIL")</x:f>
        <x:v>PASS</x:v>
      </x:c>
      <x:c r="L11" s="30"/>
      <x:c r="M11" s="30"/>
      <x:c r="N11" s="30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  <x:c r="AA11" s="30"/>
      <x:c r="AB11" s="30"/>
      <x:c r="AC11" s="30"/>
      <x:c r="AD11" s="30"/>
      <x:c r="AE11" s="30"/>
      <x:c r="AF11" s="30"/>
      <x:c r="AG11" s="30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>
      <x:c r="A12" s="1"/>
      <x:c r="B12" s="1"/>
      <x:c r="C12" s="30" t="str">
        <x:v>R2</x:v>
      </x:c>
      <x:c r="D12" s="30" t="str">
        <x:v>S1</x:v>
      </x:c>
      <x:c r="E12" s="30" t="str">
        <x:v>H-CHC</x:v>
      </x:c>
      <x:c r="F12" s="30" t="str">
        <x:v>H-MAC</x:v>
      </x:c>
      <x:c r="G12" s="30" t="str">
        <x:v>H-THC</x:v>
      </x:c>
      <x:c r="H12" s="35" t="str">
        <x:v>F01–F06</x:v>
      </x:c>
      <x:c r="I12" s="35" t="str">
        <x:v>Actionable state sealed with correction and authority path</x:v>
      </x:c>
      <x:c r="J12" s="30" t="n">
        <x:f>COUNTIFS('Family Allocation'!$C$5:$C$19,E12)+COUNTIFS('Family Allocation'!$C$5:$C$19,F12)+COUNTIFS('Family Allocation'!$C$5:$C$19,G12)</x:f>
        <x:v>3</x:v>
      </x:c>
      <x:c r="K12" s="30" t="str">
        <x:f>IF(AND(J12=3,H12&lt;&gt;"",I12&lt;&gt;""),"PASS","FAIL")</x:f>
        <x:v>PASS</x:v>
      </x:c>
      <x:c r="L12" s="30"/>
      <x:c r="M12" s="30"/>
      <x:c r="N12" s="30"/>
      <x:c r="O12" s="30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  <x:c r="AA12" s="30"/>
      <x:c r="AB12" s="30"/>
      <x:c r="AC12" s="30"/>
      <x:c r="AD12" s="30"/>
      <x:c r="AE12" s="30"/>
      <x:c r="AF12" s="30"/>
      <x:c r="AG12" s="30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>
      <x:c r="A13" s="1"/>
      <x:c r="B13" s="1"/>
      <x:c r="C13" s="30" t="str">
        <x:v>R2</x:v>
      </x:c>
      <x:c r="D13" s="30" t="str">
        <x:v>S2</x:v>
      </x:c>
      <x:c r="E13" s="30" t="str">
        <x:v>H-MAC</x:v>
      </x:c>
      <x:c r="F13" s="30" t="str">
        <x:v>H-PHC</x:v>
      </x:c>
      <x:c r="G13" s="30" t="str">
        <x:v>H-CHC</x:v>
      </x:c>
      <x:c r="H13" s="35" t="str">
        <x:v>F06–F09</x:v>
      </x:c>
      <x:c r="I13" s="35" t="str">
        <x:v>Person remains inside declared safe physiological and occupied-service bounds</x:v>
      </x:c>
      <x:c r="J13" s="30" t="n">
        <x:f>COUNTIFS('Family Allocation'!$C$5:$C$19,E13)+COUNTIFS('Family Allocation'!$C$5:$C$19,F13)+COUNTIFS('Family Allocation'!$C$5:$C$19,G13)</x:f>
        <x:v>3</x:v>
      </x:c>
      <x:c r="K13" s="30" t="str">
        <x:f>IF(AND(J13=3,H13&lt;&gt;"",I13&lt;&gt;""),"PASS","FAIL")</x:f>
        <x:v>PASS</x:v>
      </x:c>
      <x:c r="L13" s="30"/>
      <x:c r="M13" s="30"/>
      <x:c r="N13" s="30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  <x:c r="AA13" s="30"/>
      <x:c r="AB13" s="30"/>
      <x:c r="AC13" s="30"/>
      <x:c r="AD13" s="30"/>
      <x:c r="AE13" s="30"/>
      <x:c r="AF13" s="30"/>
      <x:c r="AG13" s="30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>
      <x:c r="A14" s="1"/>
      <x:c r="B14" s="1"/>
      <x:c r="C14" s="30" t="str">
        <x:v>R2</x:v>
      </x:c>
      <x:c r="D14" s="30" t="str">
        <x:v>S3</x:v>
      </x:c>
      <x:c r="E14" s="30" t="str">
        <x:v>H-THC</x:v>
      </x:c>
      <x:c r="F14" s="30" t="str">
        <x:v>H-PMG</x:v>
      </x:c>
      <x:c r="G14" s="30" t="str">
        <x:v>H-MAC</x:v>
      </x:c>
      <x:c r="H14" s="35" t="str">
        <x:v>F03,F05,F06,F10</x:v>
      </x:c>
      <x:c r="I14" s="35" t="str">
        <x:v>Named service confirms capacity, compatibility, authority and arrival window</x:v>
      </x:c>
      <x:c r="J14" s="30" t="n">
        <x:f>COUNTIFS('Family Allocation'!$C$5:$C$19,E14)+COUNTIFS('Family Allocation'!$C$5:$C$19,F14)+COUNTIFS('Family Allocation'!$C$5:$C$19,G14)</x:f>
        <x:v>3</x:v>
      </x:c>
      <x:c r="K14" s="30" t="str">
        <x:f>IF(AND(J14=3,H14&lt;&gt;"",I14&lt;&gt;""),"PASS","FAIL")</x:f>
        <x:v>PASS</x:v>
      </x:c>
      <x:c r="L14" s="30"/>
      <x:c r="M14" s="30"/>
      <x:c r="N14" s="30"/>
      <x:c r="O14" s="30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  <x:c r="AA14" s="30"/>
      <x:c r="AB14" s="30"/>
      <x:c r="AC14" s="30"/>
      <x:c r="AD14" s="30"/>
      <x:c r="AE14" s="30"/>
      <x:c r="AF14" s="30"/>
      <x:c r="AG14" s="30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>
      <x:c r="A15" s="1"/>
      <x:c r="B15" s="1"/>
      <x:c r="C15" s="30" t="str">
        <x:v>R2</x:v>
      </x:c>
      <x:c r="D15" s="30" t="str">
        <x:v>S4</x:v>
      </x:c>
      <x:c r="E15" s="30" t="str">
        <x:v>H-PMG</x:v>
      </x:c>
      <x:c r="F15" s="30" t="str">
        <x:v>CM-CTN</x:v>
      </x:c>
      <x:c r="G15" s="30" t="str">
        <x:v>H-MAC</x:v>
      </x:c>
      <x:c r="H15" s="35" t="str">
        <x:v>F04,F05,F07,F11</x:v>
      </x:c>
      <x:c r="I15" s="35" t="str">
        <x:v>Origin-to-boundary package is complete and independently checkable</x:v>
      </x:c>
      <x:c r="J15" s="30" t="n">
        <x:f>COUNTIFS('Family Allocation'!$C$5:$C$19,E15)+COUNTIFS('Family Allocation'!$C$5:$C$19,F15)+COUNTIFS('Family Allocation'!$C$5:$C$19,G15)</x:f>
        <x:v>3</x:v>
      </x:c>
      <x:c r="K15" s="30" t="str">
        <x:f>IF(AND(J15=3,H15&lt;&gt;"",I15&lt;&gt;""),"PASS","FAIL")</x:f>
        <x:v>PASS</x:v>
      </x:c>
      <x:c r="L15" s="30"/>
      <x:c r="M15" s="30"/>
      <x:c r="N15" s="30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  <x:c r="AA15" s="30"/>
      <x:c r="AB15" s="30"/>
      <x:c r="AC15" s="30"/>
      <x:c r="AD15" s="30"/>
      <x:c r="AE15" s="30"/>
      <x:c r="AF15" s="30"/>
      <x:c r="AG15" s="30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>
      <x:c r="A16" s="1"/>
      <x:c r="B16" s="1"/>
      <x:c r="C16" s="30" t="str">
        <x:v>R2</x:v>
      </x:c>
      <x:c r="D16" s="30" t="str">
        <x:v>S5</x:v>
      </x:c>
      <x:c r="E16" s="30" t="str">
        <x:v>H-MAC</x:v>
      </x:c>
      <x:c r="F16" s="30" t="str">
        <x:v>A-AMG</x:v>
      </x:c>
      <x:c r="G16" s="30" t="str">
        <x:v>C-EGG</x:v>
      </x:c>
      <x:c r="H16" s="35" t="str">
        <x:v>F05–F07,F11</x:v>
      </x:c>
      <x:c r="I16" s="35" t="str">
        <x:v>Service or support bundle remains complete through every transfer</x:v>
      </x:c>
      <x:c r="J16" s="30" t="n">
        <x:f>COUNTIFS('Family Allocation'!$C$5:$C$19,E16)+COUNTIFS('Family Allocation'!$C$5:$C$19,F16)+COUNTIFS('Family Allocation'!$C$5:$C$19,G16)</x:f>
        <x:v>3</x:v>
      </x:c>
      <x:c r="K16" s="30" t="str">
        <x:f>IF(AND(J16=3,H16&lt;&gt;"",I16&lt;&gt;""),"PASS","FAIL")</x:f>
        <x:v>PASS</x:v>
      </x:c>
      <x:c r="L16" s="30"/>
      <x:c r="M16" s="30"/>
      <x:c r="N16" s="30"/>
      <x:c r="O16" s="30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  <x:c r="AA16" s="30"/>
      <x:c r="AB16" s="30"/>
      <x:c r="AC16" s="30"/>
      <x:c r="AD16" s="30"/>
      <x:c r="AE16" s="30"/>
      <x:c r="AF16" s="30"/>
      <x:c r="AG16" s="30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>
      <x:c r="A17" s="1"/>
      <x:c r="B17" s="1"/>
      <x:c r="C17" s="30" t="str">
        <x:v>R2</x:v>
      </x:c>
      <x:c r="D17" s="30" t="str">
        <x:v>S6</x:v>
      </x:c>
      <x:c r="E17" s="30" t="str">
        <x:v>H-MAC</x:v>
      </x:c>
      <x:c r="F17" s="30" t="str">
        <x:v>H-THC</x:v>
      </x:c>
      <x:c r="G17" s="30" t="str">
        <x:v>H-CHC</x:v>
      </x:c>
      <x:c r="H17" s="35" t="str">
        <x:v>F05–F11</x:v>
      </x:c>
      <x:c r="I17" s="35" t="str">
        <x:v>Receiving authority accepts custody and required service is actually delivered</x:v>
      </x:c>
      <x:c r="J17" s="30" t="n">
        <x:f>COUNTIFS('Family Allocation'!$C$5:$C$19,E17)+COUNTIFS('Family Allocation'!$C$5:$C$19,F17)+COUNTIFS('Family Allocation'!$C$5:$C$19,G17)</x:f>
        <x:v>3</x:v>
      </x:c>
      <x:c r="K17" s="30" t="str">
        <x:f>IF(AND(J17=3,H17&lt;&gt;"",I17&lt;&gt;""),"PASS","FAIL")</x:f>
        <x:v>PASS</x:v>
      </x:c>
      <x:c r="L17" s="30"/>
      <x:c r="M17" s="30"/>
      <x:c r="N17" s="30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  <x:c r="AA17" s="30"/>
      <x:c r="AB17" s="30"/>
      <x:c r="AC17" s="30"/>
      <x:c r="AD17" s="30"/>
      <x:c r="AE17" s="30"/>
      <x:c r="AF17" s="30"/>
      <x:c r="AG17" s="30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>
      <x:c r="A18" s="1"/>
      <x:c r="B18" s="1"/>
      <x:c r="C18" s="30" t="str">
        <x:v>R2</x:v>
      </x:c>
      <x:c r="D18" s="30" t="str">
        <x:v>S7</x:v>
      </x:c>
      <x:c r="E18" s="30" t="str">
        <x:v>H-PMG</x:v>
      </x:c>
      <x:c r="F18" s="30" t="str">
        <x:v>C-DTG</x:v>
      </x:c>
      <x:c r="G18" s="30" t="str">
        <x:v>H-HWR</x:v>
      </x:c>
      <x:c r="H18" s="35" t="str">
        <x:v>F01,F03,F04,F10–F12</x:v>
      </x:c>
      <x:c r="I18" s="35" t="str">
        <x:v>Case reaches supported exit and formation returns to certified availability</x:v>
      </x:c>
      <x:c r="J18" s="30" t="n">
        <x:f>COUNTIFS('Family Allocation'!$C$5:$C$19,E18)+COUNTIFS('Family Allocation'!$C$5:$C$19,F18)+COUNTIFS('Family Allocation'!$C$5:$C$19,G18)</x:f>
        <x:v>3</x:v>
      </x:c>
      <x:c r="K18" s="30" t="str">
        <x:f>IF(AND(J18=3,H18&lt;&gt;"",I18&lt;&gt;""),"PASS","FAIL")</x:f>
        <x:v>PASS</x:v>
      </x:c>
      <x:c r="L18" s="30"/>
      <x:c r="M18" s="30"/>
      <x:c r="N18" s="30"/>
      <x:c r="O18" s="30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  <x:c r="AA18" s="30"/>
      <x:c r="AB18" s="30"/>
      <x:c r="AC18" s="30"/>
      <x:c r="AD18" s="30"/>
      <x:c r="AE18" s="30"/>
      <x:c r="AF18" s="30"/>
      <x:c r="AG18" s="30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>
      <x:c r="A19" s="1"/>
      <x:c r="B19" s="1"/>
      <x:c r="C19" s="30" t="str">
        <x:v>R3</x:v>
      </x:c>
      <x:c r="D19" s="30" t="str">
        <x:v>S1</x:v>
      </x:c>
      <x:c r="E19" s="30" t="str">
        <x:v>H-PMG</x:v>
      </x:c>
      <x:c r="F19" s="30" t="str">
        <x:v>H-CHC</x:v>
      </x:c>
      <x:c r="G19" s="30" t="str">
        <x:v>H-THC</x:v>
      </x:c>
      <x:c r="H19" s="35" t="str">
        <x:v>F01–F06</x:v>
      </x:c>
      <x:c r="I19" s="35" t="str">
        <x:v>Actionable state sealed with correction and authority path</x:v>
      </x:c>
      <x:c r="J19" s="30" t="n">
        <x:f>COUNTIFS('Family Allocation'!$C$5:$C$19,E19)+COUNTIFS('Family Allocation'!$C$5:$C$19,F19)+COUNTIFS('Family Allocation'!$C$5:$C$19,G19)</x:f>
        <x:v>3</x:v>
      </x:c>
      <x:c r="K19" s="30" t="str">
        <x:f>IF(AND(J19=3,H19&lt;&gt;"",I19&lt;&gt;""),"PASS","FAIL")</x:f>
        <x:v>PASS</x:v>
      </x:c>
      <x:c r="L19" s="30"/>
      <x:c r="M19" s="30"/>
      <x:c r="N19" s="30"/>
      <x:c r="O19" s="30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  <x:c r="AA19" s="30"/>
      <x:c r="AB19" s="30"/>
      <x:c r="AC19" s="30"/>
      <x:c r="AD19" s="30"/>
      <x:c r="AE19" s="30"/>
      <x:c r="AF19" s="30"/>
      <x:c r="AG19" s="30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>
      <x:c r="A20" s="1"/>
      <x:c r="B20" s="1"/>
      <x:c r="C20" s="30" t="str">
        <x:v>R3</x:v>
      </x:c>
      <x:c r="D20" s="30" t="str">
        <x:v>S2</x:v>
      </x:c>
      <x:c r="E20" s="30" t="str">
        <x:v>H-MAC</x:v>
      </x:c>
      <x:c r="F20" s="30" t="str">
        <x:v>H-PMG</x:v>
      </x:c>
      <x:c r="G20" s="30" t="str">
        <x:v>H-CHC</x:v>
      </x:c>
      <x:c r="H20" s="35" t="str">
        <x:v>F06–F09</x:v>
      </x:c>
      <x:c r="I20" s="35" t="str">
        <x:v>Person remains inside declared safe physiological and occupied-service bounds</x:v>
      </x:c>
      <x:c r="J20" s="30" t="n">
        <x:f>COUNTIFS('Family Allocation'!$C$5:$C$19,E20)+COUNTIFS('Family Allocation'!$C$5:$C$19,F20)+COUNTIFS('Family Allocation'!$C$5:$C$19,G20)</x:f>
        <x:v>3</x:v>
      </x:c>
      <x:c r="K20" s="30" t="str">
        <x:f>IF(AND(J20=3,H20&lt;&gt;"",I20&lt;&gt;""),"PASS","FAIL")</x:f>
        <x:v>PASS</x:v>
      </x:c>
      <x:c r="L20" s="30"/>
      <x:c r="M20" s="30"/>
      <x:c r="N20" s="30"/>
      <x:c r="O20" s="30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  <x:c r="AA20" s="30"/>
      <x:c r="AB20" s="30"/>
      <x:c r="AC20" s="30"/>
      <x:c r="AD20" s="30"/>
      <x:c r="AE20" s="30"/>
      <x:c r="AF20" s="30"/>
      <x:c r="AG20" s="30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>
      <x:c r="A21" s="1"/>
      <x:c r="B21" s="1"/>
      <x:c r="C21" s="30" t="str">
        <x:v>R3</x:v>
      </x:c>
      <x:c r="D21" s="30" t="str">
        <x:v>S3</x:v>
      </x:c>
      <x:c r="E21" s="30" t="str">
        <x:v>H-THC</x:v>
      </x:c>
      <x:c r="F21" s="30" t="str">
        <x:v>H-PMG</x:v>
      </x:c>
      <x:c r="G21" s="30" t="str">
        <x:v>CM-CTN</x:v>
      </x:c>
      <x:c r="H21" s="35" t="str">
        <x:v>F03,F05,F06,F10</x:v>
      </x:c>
      <x:c r="I21" s="35" t="str">
        <x:v>Named service confirms capacity, compatibility, authority and arrival window</x:v>
      </x:c>
      <x:c r="J21" s="30" t="n">
        <x:f>COUNTIFS('Family Allocation'!$C$5:$C$19,E21)+COUNTIFS('Family Allocation'!$C$5:$C$19,F21)+COUNTIFS('Family Allocation'!$C$5:$C$19,G21)</x:f>
        <x:v>3</x:v>
      </x:c>
      <x:c r="K21" s="30" t="str">
        <x:f>IF(AND(J21=3,H21&lt;&gt;"",I21&lt;&gt;""),"PASS","FAIL")</x:f>
        <x:v>PASS</x:v>
      </x:c>
      <x:c r="L21" s="30"/>
      <x:c r="M21" s="30"/>
      <x:c r="N21" s="30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  <x:c r="AA21" s="30"/>
      <x:c r="AB21" s="30"/>
      <x:c r="AC21" s="30"/>
      <x:c r="AD21" s="30"/>
      <x:c r="AE21" s="30"/>
      <x:c r="AF21" s="30"/>
      <x:c r="AG21" s="30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>
      <x:c r="A22" s="1"/>
      <x:c r="B22" s="1"/>
      <x:c r="C22" s="30" t="str">
        <x:v>R3</x:v>
      </x:c>
      <x:c r="D22" s="30" t="str">
        <x:v>S4</x:v>
      </x:c>
      <x:c r="E22" s="30" t="str">
        <x:v>H-PMG</x:v>
      </x:c>
      <x:c r="F22" s="30" t="str">
        <x:v>CM-CTN</x:v>
      </x:c>
      <x:c r="G22" s="30" t="str">
        <x:v>CM-RMG</x:v>
      </x:c>
      <x:c r="H22" s="35" t="str">
        <x:v>F04,F05,F07,F11</x:v>
      </x:c>
      <x:c r="I22" s="35" t="str">
        <x:v>Origin-to-boundary package is complete and independently checkable</x:v>
      </x:c>
      <x:c r="J22" s="30" t="n">
        <x:f>COUNTIFS('Family Allocation'!$C$5:$C$19,E22)+COUNTIFS('Family Allocation'!$C$5:$C$19,F22)+COUNTIFS('Family Allocation'!$C$5:$C$19,G22)</x:f>
        <x:v>3</x:v>
      </x:c>
      <x:c r="K22" s="30" t="str">
        <x:f>IF(AND(J22=3,H22&lt;&gt;"",I22&lt;&gt;""),"PASS","FAIL")</x:f>
        <x:v>PASS</x:v>
      </x:c>
      <x:c r="L22" s="30"/>
      <x:c r="M22" s="30"/>
      <x:c r="N22" s="30"/>
      <x:c r="O22" s="30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  <x:c r="AA22" s="30"/>
      <x:c r="AB22" s="30"/>
      <x:c r="AC22" s="30"/>
      <x:c r="AD22" s="30"/>
      <x:c r="AE22" s="30"/>
      <x:c r="AF22" s="30"/>
      <x:c r="AG22" s="30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>
      <x:c r="A23" s="1"/>
      <x:c r="B23" s="1"/>
      <x:c r="C23" s="30" t="str">
        <x:v>R3</x:v>
      </x:c>
      <x:c r="D23" s="30" t="str">
        <x:v>S5</x:v>
      </x:c>
      <x:c r="E23" s="30" t="str">
        <x:v>A-AMG</x:v>
      </x:c>
      <x:c r="F23" s="30" t="str">
        <x:v>CM-AMG</x:v>
      </x:c>
      <x:c r="G23" s="30" t="str">
        <x:v>CM-RMG</x:v>
      </x:c>
      <x:c r="H23" s="35" t="str">
        <x:v>F05–F07,F11</x:v>
      </x:c>
      <x:c r="I23" s="35" t="str">
        <x:v>Service or support bundle remains complete through every transfer</x:v>
      </x:c>
      <x:c r="J23" s="30" t="n">
        <x:f>COUNTIFS('Family Allocation'!$C$5:$C$19,E23)+COUNTIFS('Family Allocation'!$C$5:$C$19,F23)+COUNTIFS('Family Allocation'!$C$5:$C$19,G23)</x:f>
        <x:v>3</x:v>
      </x:c>
      <x:c r="K23" s="30" t="str">
        <x:f>IF(AND(J23=3,H23&lt;&gt;"",I23&lt;&gt;""),"PASS","FAIL")</x:f>
        <x:v>PASS</x:v>
      </x:c>
      <x:c r="L23" s="30"/>
      <x:c r="M23" s="30"/>
      <x:c r="N23" s="30"/>
      <x:c r="O23" s="30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  <x:c r="AA23" s="30"/>
      <x:c r="AB23" s="30"/>
      <x:c r="AC23" s="30"/>
      <x:c r="AD23" s="30"/>
      <x:c r="AE23" s="30"/>
      <x:c r="AF23" s="30"/>
      <x:c r="AG23" s="30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>
      <x:c r="A24" s="1"/>
      <x:c r="B24" s="1"/>
      <x:c r="C24" s="30" t="str">
        <x:v>R3</x:v>
      </x:c>
      <x:c r="D24" s="30" t="str">
        <x:v>S6</x:v>
      </x:c>
      <x:c r="E24" s="30" t="str">
        <x:v>H-THC</x:v>
      </x:c>
      <x:c r="F24" s="30" t="str">
        <x:v>H-PMG</x:v>
      </x:c>
      <x:c r="G24" s="30" t="str">
        <x:v>H-MAC</x:v>
      </x:c>
      <x:c r="H24" s="35" t="str">
        <x:v>F05–F11</x:v>
      </x:c>
      <x:c r="I24" s="35" t="str">
        <x:v>Receiving authority accepts custody and required service is actually delivered</x:v>
      </x:c>
      <x:c r="J24" s="30" t="n">
        <x:f>COUNTIFS('Family Allocation'!$C$5:$C$19,E24)+COUNTIFS('Family Allocation'!$C$5:$C$19,F24)+COUNTIFS('Family Allocation'!$C$5:$C$19,G24)</x:f>
        <x:v>3</x:v>
      </x:c>
      <x:c r="K24" s="30" t="str">
        <x:f>IF(AND(J24=3,H24&lt;&gt;"",I24&lt;&gt;""),"PASS","FAIL")</x:f>
        <x:v>PASS</x:v>
      </x:c>
      <x:c r="L24" s="30"/>
      <x:c r="M24" s="30"/>
      <x:c r="N24" s="30"/>
      <x:c r="O24" s="30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  <x:c r="AA24" s="30"/>
      <x:c r="AB24" s="30"/>
      <x:c r="AC24" s="30"/>
      <x:c r="AD24" s="30"/>
      <x:c r="AE24" s="30"/>
      <x:c r="AF24" s="30"/>
      <x:c r="AG24" s="30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>
      <x:c r="A25" s="1"/>
      <x:c r="B25" s="1"/>
      <x:c r="C25" s="30" t="str">
        <x:v>R3</x:v>
      </x:c>
      <x:c r="D25" s="30" t="str">
        <x:v>S7</x:v>
      </x:c>
      <x:c r="E25" s="30" t="str">
        <x:v>H-CHC</x:v>
      </x:c>
      <x:c r="F25" s="30" t="str">
        <x:v>H-HWR</x:v>
      </x:c>
      <x:c r="G25" s="30" t="str">
        <x:v>C-DTG</x:v>
      </x:c>
      <x:c r="H25" s="35" t="str">
        <x:v>F01,F03,F04,F10–F12</x:v>
      </x:c>
      <x:c r="I25" s="35" t="str">
        <x:v>Case reaches supported exit and formation returns to certified availability</x:v>
      </x:c>
      <x:c r="J25" s="30" t="n">
        <x:f>COUNTIFS('Family Allocation'!$C$5:$C$19,E25)+COUNTIFS('Family Allocation'!$C$5:$C$19,F25)+COUNTIFS('Family Allocation'!$C$5:$C$19,G25)</x:f>
        <x:v>3</x:v>
      </x:c>
      <x:c r="K25" s="30" t="str">
        <x:f>IF(AND(J25=3,H25&lt;&gt;"",I25&lt;&gt;""),"PASS","FAIL")</x:f>
        <x:v>PASS</x:v>
      </x:c>
      <x:c r="L25" s="30"/>
      <x:c r="M25" s="30"/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  <x:c r="AA25" s="30"/>
      <x:c r="AB25" s="30"/>
      <x:c r="AC25" s="30"/>
      <x:c r="AD25" s="30"/>
      <x:c r="AE25" s="30"/>
      <x:c r="AF25" s="30"/>
      <x:c r="AG25" s="30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>
      <x:c r="A26" s="1"/>
      <x:c r="B26" s="1"/>
      <x:c r="C26" s="30" t="str">
        <x:v>R4</x:v>
      </x:c>
      <x:c r="D26" s="30" t="str">
        <x:v>S1</x:v>
      </x:c>
      <x:c r="E26" s="30" t="str">
        <x:v>C-DTG</x:v>
      </x:c>
      <x:c r="F26" s="30" t="str">
        <x:v>CM-CTN</x:v>
      </x:c>
      <x:c r="G26" s="30" t="str">
        <x:v>H-CHC</x:v>
      </x:c>
      <x:c r="H26" s="35" t="str">
        <x:v>F01–F06</x:v>
      </x:c>
      <x:c r="I26" s="35" t="str">
        <x:v>Actionable state sealed with correction and authority path</x:v>
      </x:c>
      <x:c r="J26" s="30" t="n">
        <x:f>COUNTIFS('Family Allocation'!$C$5:$C$19,E26)+COUNTIFS('Family Allocation'!$C$5:$C$19,F26)+COUNTIFS('Family Allocation'!$C$5:$C$19,G26)</x:f>
        <x:v>3</x:v>
      </x:c>
      <x:c r="K26" s="30" t="str">
        <x:f>IF(AND(J26=3,H26&lt;&gt;"",I26&lt;&gt;""),"PASS","FAIL")</x:f>
        <x:v>PASS</x:v>
      </x:c>
      <x:c r="L26" s="30"/>
      <x:c r="M26" s="30"/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  <x:c r="AA26" s="30"/>
      <x:c r="AB26" s="30"/>
      <x:c r="AC26" s="30"/>
      <x:c r="AD26" s="30"/>
      <x:c r="AE26" s="30"/>
      <x:c r="AF26" s="30"/>
      <x:c r="AG26" s="30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>
      <x:c r="A27" s="1"/>
      <x:c r="B27" s="1"/>
      <x:c r="C27" s="30" t="str">
        <x:v>R4</x:v>
      </x:c>
      <x:c r="D27" s="30" t="str">
        <x:v>S2</x:v>
      </x:c>
      <x:c r="E27" s="30" t="str">
        <x:v>C-PSG</x:v>
      </x:c>
      <x:c r="F27" s="30" t="str">
        <x:v>C-EGG</x:v>
      </x:c>
      <x:c r="G27" s="30" t="str">
        <x:v>H-PHC</x:v>
      </x:c>
      <x:c r="H27" s="35" t="str">
        <x:v>F06–F09</x:v>
      </x:c>
      <x:c r="I27" s="35" t="str">
        <x:v>Person remains inside declared safe physiological and occupied-service bounds</x:v>
      </x:c>
      <x:c r="J27" s="30" t="n">
        <x:f>COUNTIFS('Family Allocation'!$C$5:$C$19,E27)+COUNTIFS('Family Allocation'!$C$5:$C$19,F27)+COUNTIFS('Family Allocation'!$C$5:$C$19,G27)</x:f>
        <x:v>3</x:v>
      </x:c>
      <x:c r="K27" s="30" t="str">
        <x:f>IF(AND(J27=3,H27&lt;&gt;"",I27&lt;&gt;""),"PASS","FAIL")</x:f>
        <x:v>PASS</x:v>
      </x:c>
      <x:c r="L27" s="30"/>
      <x:c r="M27" s="30"/>
      <x:c r="N27" s="30"/>
      <x:c r="O27" s="30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  <x:c r="AA27" s="30"/>
      <x:c r="AB27" s="30"/>
      <x:c r="AC27" s="30"/>
      <x:c r="AD27" s="30"/>
      <x:c r="AE27" s="30"/>
      <x:c r="AF27" s="30"/>
      <x:c r="AG27" s="30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>
      <x:c r="A28" s="1"/>
      <x:c r="B28" s="1"/>
      <x:c r="C28" s="30" t="str">
        <x:v>R4</x:v>
      </x:c>
      <x:c r="D28" s="30" t="str">
        <x:v>S3</x:v>
      </x:c>
      <x:c r="E28" s="30" t="str">
        <x:v>C-DTG</x:v>
      </x:c>
      <x:c r="F28" s="30" t="str">
        <x:v>CM-CTN</x:v>
      </x:c>
      <x:c r="G28" s="30" t="str">
        <x:v>C-PSG</x:v>
      </x:c>
      <x:c r="H28" s="35" t="str">
        <x:v>F03,F05,F06,F10</x:v>
      </x:c>
      <x:c r="I28" s="35" t="str">
        <x:v>Named service confirms capacity, compatibility, authority and arrival window</x:v>
      </x:c>
      <x:c r="J28" s="30" t="n">
        <x:f>COUNTIFS('Family Allocation'!$C$5:$C$19,E28)+COUNTIFS('Family Allocation'!$C$5:$C$19,F28)+COUNTIFS('Family Allocation'!$C$5:$C$19,G28)</x:f>
        <x:v>3</x:v>
      </x:c>
      <x:c r="K28" s="30" t="str">
        <x:f>IF(AND(J28=3,H28&lt;&gt;"",I28&lt;&gt;""),"PASS","FAIL")</x:f>
        <x:v>PASS</x:v>
      </x:c>
      <x:c r="L28" s="30"/>
      <x:c r="M28" s="30"/>
      <x:c r="N28" s="30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  <x:c r="AA28" s="30"/>
      <x:c r="AB28" s="30"/>
      <x:c r="AC28" s="30"/>
      <x:c r="AD28" s="30"/>
      <x:c r="AE28" s="30"/>
      <x:c r="AF28" s="30"/>
      <x:c r="AG28" s="30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>
      <x:c r="A29" s="1"/>
      <x:c r="B29" s="1"/>
      <x:c r="C29" s="30" t="str">
        <x:v>R4</x:v>
      </x:c>
      <x:c r="D29" s="30" t="str">
        <x:v>S4</x:v>
      </x:c>
      <x:c r="E29" s="30" t="str">
        <x:v>CM-CTN</x:v>
      </x:c>
      <x:c r="F29" s="30" t="str">
        <x:v>CM-RMG</x:v>
      </x:c>
      <x:c r="G29" s="30" t="str">
        <x:v>C-DTG</x:v>
      </x:c>
      <x:c r="H29" s="35" t="str">
        <x:v>F04,F05,F07,F11</x:v>
      </x:c>
      <x:c r="I29" s="35" t="str">
        <x:v>Origin-to-boundary package is complete and independently checkable</x:v>
      </x:c>
      <x:c r="J29" s="30" t="n">
        <x:f>COUNTIFS('Family Allocation'!$C$5:$C$19,E29)+COUNTIFS('Family Allocation'!$C$5:$C$19,F29)+COUNTIFS('Family Allocation'!$C$5:$C$19,G29)</x:f>
        <x:v>3</x:v>
      </x:c>
      <x:c r="K29" s="30" t="str">
        <x:f>IF(AND(J29=3,H29&lt;&gt;"",I29&lt;&gt;""),"PASS","FAIL")</x:f>
        <x:v>PASS</x:v>
      </x:c>
      <x:c r="L29" s="30"/>
      <x:c r="M29" s="30"/>
      <x:c r="N29" s="30"/>
      <x:c r="O29" s="30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  <x:c r="AA29" s="30"/>
      <x:c r="AB29" s="30"/>
      <x:c r="AC29" s="30"/>
      <x:c r="AD29" s="30"/>
      <x:c r="AE29" s="30"/>
      <x:c r="AF29" s="30"/>
      <x:c r="AG29" s="30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>
      <x:c r="A30" s="1"/>
      <x:c r="B30" s="1"/>
      <x:c r="C30" s="30" t="str">
        <x:v>R4</x:v>
      </x:c>
      <x:c r="D30" s="30" t="str">
        <x:v>S5</x:v>
      </x:c>
      <x:c r="E30" s="30" t="str">
        <x:v>CM-RMG</x:v>
      </x:c>
      <x:c r="F30" s="30" t="str">
        <x:v>CM-RLG</x:v>
      </x:c>
      <x:c r="G30" s="30" t="str">
        <x:v>CM-WMG</x:v>
      </x:c>
      <x:c r="H30" s="35" t="str">
        <x:v>F05–F07,F11</x:v>
      </x:c>
      <x:c r="I30" s="35" t="str">
        <x:v>Service or support bundle remains complete through every transfer</x:v>
      </x:c>
      <x:c r="J30" s="30" t="n">
        <x:f>COUNTIFS('Family Allocation'!$C$5:$C$19,E30)+COUNTIFS('Family Allocation'!$C$5:$C$19,F30)+COUNTIFS('Family Allocation'!$C$5:$C$19,G30)</x:f>
        <x:v>3</x:v>
      </x:c>
      <x:c r="K30" s="30" t="str">
        <x:f>IF(AND(J30=3,H30&lt;&gt;"",I30&lt;&gt;""),"PASS","FAIL")</x:f>
        <x:v>PASS</x:v>
      </x:c>
      <x:c r="L30" s="30"/>
      <x:c r="M30" s="30"/>
      <x:c r="N30" s="30"/>
      <x:c r="O30" s="30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  <x:c r="AA30" s="30"/>
      <x:c r="AB30" s="30"/>
      <x:c r="AC30" s="30"/>
      <x:c r="AD30" s="30"/>
      <x:c r="AE30" s="30"/>
      <x:c r="AF30" s="30"/>
      <x:c r="AG30" s="30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>
      <x:c r="A31" s="1"/>
      <x:c r="B31" s="1"/>
      <x:c r="C31" s="30" t="str">
        <x:v>R4</x:v>
      </x:c>
      <x:c r="D31" s="30" t="str">
        <x:v>S6</x:v>
      </x:c>
      <x:c r="E31" s="30" t="str">
        <x:v>C-PSG</x:v>
      </x:c>
      <x:c r="F31" s="30" t="str">
        <x:v>C-DTG</x:v>
      </x:c>
      <x:c r="G31" s="30" t="str">
        <x:v>CM-CTN</x:v>
      </x:c>
      <x:c r="H31" s="35" t="str">
        <x:v>F05–F11</x:v>
      </x:c>
      <x:c r="I31" s="35" t="str">
        <x:v>Receiving authority accepts custody and required service is actually delivered</x:v>
      </x:c>
      <x:c r="J31" s="30" t="n">
        <x:f>COUNTIFS('Family Allocation'!$C$5:$C$19,E31)+COUNTIFS('Family Allocation'!$C$5:$C$19,F31)+COUNTIFS('Family Allocation'!$C$5:$C$19,G31)</x:f>
        <x:v>3</x:v>
      </x:c>
      <x:c r="K31" s="30" t="str">
        <x:f>IF(AND(J31=3,H31&lt;&gt;"",I31&lt;&gt;""),"PASS","FAIL")</x:f>
        <x:v>PASS</x:v>
      </x:c>
      <x:c r="L31" s="30"/>
      <x:c r="M31" s="30"/>
      <x:c r="N31" s="30"/>
      <x:c r="O31" s="30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  <x:c r="AA31" s="30"/>
      <x:c r="AB31" s="30"/>
      <x:c r="AC31" s="30"/>
      <x:c r="AD31" s="30"/>
      <x:c r="AE31" s="30"/>
      <x:c r="AF31" s="30"/>
      <x:c r="AG31" s="30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>
      <x:c r="A32" s="1"/>
      <x:c r="B32" s="1"/>
      <x:c r="C32" s="30" t="str">
        <x:v>R4</x:v>
      </x:c>
      <x:c r="D32" s="30" t="str">
        <x:v>S7</x:v>
      </x:c>
      <x:c r="E32" s="30" t="str">
        <x:v>C-DTG</x:v>
      </x:c>
      <x:c r="F32" s="30" t="str">
        <x:v>H-HWR</x:v>
      </x:c>
      <x:c r="G32" s="30" t="str">
        <x:v>C-PSG</x:v>
      </x:c>
      <x:c r="H32" s="35" t="str">
        <x:v>F01,F03,F04,F10–F12</x:v>
      </x:c>
      <x:c r="I32" s="35" t="str">
        <x:v>Case reaches supported exit and formation returns to certified availability</x:v>
      </x:c>
      <x:c r="J32" s="30" t="n">
        <x:f>COUNTIFS('Family Allocation'!$C$5:$C$19,E32)+COUNTIFS('Family Allocation'!$C$5:$C$19,F32)+COUNTIFS('Family Allocation'!$C$5:$C$19,G32)</x:f>
        <x:v>3</x:v>
      </x:c>
      <x:c r="K32" s="30" t="str">
        <x:f>IF(AND(J32=3,H32&lt;&gt;"",I32&lt;&gt;""),"PASS","FAIL")</x:f>
        <x:v>PASS</x:v>
      </x:c>
      <x:c r="L32" s="30"/>
      <x:c r="M32" s="30"/>
      <x:c r="N32" s="30"/>
      <x:c r="O32" s="30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  <x:c r="AA32" s="30"/>
      <x:c r="AB32" s="30"/>
      <x:c r="AC32" s="30"/>
      <x:c r="AD32" s="30"/>
      <x:c r="AE32" s="30"/>
      <x:c r="AF32" s="30"/>
      <x:c r="AG32" s="30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>
      <x:c r="A33" s="1"/>
      <x:c r="B33" s="1"/>
      <x:c r="C33" s="30" t="str">
        <x:v>R5</x:v>
      </x:c>
      <x:c r="D33" s="30" t="str">
        <x:v>S1</x:v>
      </x:c>
      <x:c r="E33" s="30" t="str">
        <x:v>H-HWR</x:v>
      </x:c>
      <x:c r="F33" s="30" t="str">
        <x:v>H-THC</x:v>
      </x:c>
      <x:c r="G33" s="30" t="str">
        <x:v>H-CHC</x:v>
      </x:c>
      <x:c r="H33" s="35" t="str">
        <x:v>F01–F06</x:v>
      </x:c>
      <x:c r="I33" s="35" t="str">
        <x:v>Actionable state sealed with correction and authority path</x:v>
      </x:c>
      <x:c r="J33" s="30" t="n">
        <x:f>COUNTIFS('Family Allocation'!$C$5:$C$19,E33)+COUNTIFS('Family Allocation'!$C$5:$C$19,F33)+COUNTIFS('Family Allocation'!$C$5:$C$19,G33)</x:f>
        <x:v>3</x:v>
      </x:c>
      <x:c r="K33" s="30" t="str">
        <x:f>IF(AND(J33=3,H33&lt;&gt;"",I33&lt;&gt;""),"PASS","FAIL")</x:f>
        <x:v>PASS</x:v>
      </x:c>
      <x:c r="L33" s="30"/>
      <x:c r="M33" s="30"/>
      <x:c r="N33" s="30"/>
      <x:c r="O33" s="30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  <x:c r="AA33" s="30"/>
      <x:c r="AB33" s="30"/>
      <x:c r="AC33" s="30"/>
      <x:c r="AD33" s="30"/>
      <x:c r="AE33" s="30"/>
      <x:c r="AF33" s="30"/>
      <x:c r="AG33" s="30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>
      <x:c r="A34" s="1"/>
      <x:c r="B34" s="1"/>
      <x:c r="C34" s="30" t="str">
        <x:v>R5</x:v>
      </x:c>
      <x:c r="D34" s="30" t="str">
        <x:v>S2</x:v>
      </x:c>
      <x:c r="E34" s="30" t="str">
        <x:v>H-HWR</x:v>
      </x:c>
      <x:c r="F34" s="30" t="str">
        <x:v>C-PSG</x:v>
      </x:c>
      <x:c r="G34" s="30" t="str">
        <x:v>H-PHC</x:v>
      </x:c>
      <x:c r="H34" s="35" t="str">
        <x:v>F06–F09</x:v>
      </x:c>
      <x:c r="I34" s="35" t="str">
        <x:v>Person remains inside declared safe physiological and occupied-service bounds</x:v>
      </x:c>
      <x:c r="J34" s="30" t="n">
        <x:f>COUNTIFS('Family Allocation'!$C$5:$C$19,E34)+COUNTIFS('Family Allocation'!$C$5:$C$19,F34)+COUNTIFS('Family Allocation'!$C$5:$C$19,G34)</x:f>
        <x:v>3</x:v>
      </x:c>
      <x:c r="K34" s="30" t="str">
        <x:f>IF(AND(J34=3,H34&lt;&gt;"",I34&lt;&gt;""),"PASS","FAIL")</x:f>
        <x:v>PASS</x:v>
      </x:c>
      <x:c r="L34" s="30"/>
      <x:c r="M34" s="30"/>
      <x:c r="N34" s="30"/>
      <x:c r="O34" s="30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  <x:c r="AA34" s="30"/>
      <x:c r="AB34" s="30"/>
      <x:c r="AC34" s="30"/>
      <x:c r="AD34" s="30"/>
      <x:c r="AE34" s="30"/>
      <x:c r="AF34" s="30"/>
      <x:c r="AG34" s="30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>
      <x:c r="A35" s="1"/>
      <x:c r="B35" s="1"/>
      <x:c r="C35" s="30" t="str">
        <x:v>R5</x:v>
      </x:c>
      <x:c r="D35" s="30" t="str">
        <x:v>S3</x:v>
      </x:c>
      <x:c r="E35" s="30" t="str">
        <x:v>H-HWR</x:v>
      </x:c>
      <x:c r="F35" s="30" t="str">
        <x:v>H-THC</x:v>
      </x:c>
      <x:c r="G35" s="30" t="str">
        <x:v>CM-CTN</x:v>
      </x:c>
      <x:c r="H35" s="35" t="str">
        <x:v>F03,F05,F06,F10</x:v>
      </x:c>
      <x:c r="I35" s="35" t="str">
        <x:v>Named service confirms capacity, compatibility, authority and arrival window</x:v>
      </x:c>
      <x:c r="J35" s="30" t="n">
        <x:f>COUNTIFS('Family Allocation'!$C$5:$C$19,E35)+COUNTIFS('Family Allocation'!$C$5:$C$19,F35)+COUNTIFS('Family Allocation'!$C$5:$C$19,G35)</x:f>
        <x:v>3</x:v>
      </x:c>
      <x:c r="K35" s="30" t="str">
        <x:f>IF(AND(J35=3,H35&lt;&gt;"",I35&lt;&gt;""),"PASS","FAIL")</x:f>
        <x:v>PASS</x:v>
      </x:c>
      <x:c r="L35" s="30"/>
      <x:c r="M35" s="30"/>
      <x:c r="N35" s="30"/>
      <x:c r="O35" s="30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  <x:c r="AA35" s="30"/>
      <x:c r="AB35" s="30"/>
      <x:c r="AC35" s="30"/>
      <x:c r="AD35" s="30"/>
      <x:c r="AE35" s="30"/>
      <x:c r="AF35" s="30"/>
      <x:c r="AG35" s="30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>
      <x:c r="A36" s="1"/>
      <x:c r="B36" s="1"/>
      <x:c r="C36" s="30" t="str">
        <x:v>R5</x:v>
      </x:c>
      <x:c r="D36" s="30" t="str">
        <x:v>S4</x:v>
      </x:c>
      <x:c r="E36" s="30" t="str">
        <x:v>H-HWR</x:v>
      </x:c>
      <x:c r="F36" s="30" t="str">
        <x:v>CM-CTN</x:v>
      </x:c>
      <x:c r="G36" s="30" t="str">
        <x:v>CM-RMG</x:v>
      </x:c>
      <x:c r="H36" s="35" t="str">
        <x:v>F04,F05,F07,F11</x:v>
      </x:c>
      <x:c r="I36" s="35" t="str">
        <x:v>Origin-to-boundary package is complete and independently checkable</x:v>
      </x:c>
      <x:c r="J36" s="30" t="n">
        <x:f>COUNTIFS('Family Allocation'!$C$5:$C$19,E36)+COUNTIFS('Family Allocation'!$C$5:$C$19,F36)+COUNTIFS('Family Allocation'!$C$5:$C$19,G36)</x:f>
        <x:v>3</x:v>
      </x:c>
      <x:c r="K36" s="30" t="str">
        <x:f>IF(AND(J36=3,H36&lt;&gt;"",I36&lt;&gt;""),"PASS","FAIL")</x:f>
        <x:v>PASS</x:v>
      </x:c>
      <x:c r="L36" s="30"/>
      <x:c r="M36" s="30"/>
      <x:c r="N36" s="30"/>
      <x:c r="O36" s="30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  <x:c r="AA36" s="30"/>
      <x:c r="AB36" s="30"/>
      <x:c r="AC36" s="30"/>
      <x:c r="AD36" s="30"/>
      <x:c r="AE36" s="30"/>
      <x:c r="AF36" s="30"/>
      <x:c r="AG36" s="30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>
      <x:c r="A37" s="1"/>
      <x:c r="B37" s="1"/>
      <x:c r="C37" s="30" t="str">
        <x:v>R5</x:v>
      </x:c>
      <x:c r="D37" s="30" t="str">
        <x:v>S5</x:v>
      </x:c>
      <x:c r="E37" s="30" t="str">
        <x:v>H-HWR</x:v>
      </x:c>
      <x:c r="F37" s="30" t="str">
        <x:v>CM-AMG</x:v>
      </x:c>
      <x:c r="G37" s="30" t="str">
        <x:v>CM-RLG</x:v>
      </x:c>
      <x:c r="H37" s="35" t="str">
        <x:v>F05–F07,F11</x:v>
      </x:c>
      <x:c r="I37" s="35" t="str">
        <x:v>Service or support bundle remains complete through every transfer</x:v>
      </x:c>
      <x:c r="J37" s="30" t="n">
        <x:f>COUNTIFS('Family Allocation'!$C$5:$C$19,E37)+COUNTIFS('Family Allocation'!$C$5:$C$19,F37)+COUNTIFS('Family Allocation'!$C$5:$C$19,G37)</x:f>
        <x:v>3</x:v>
      </x:c>
      <x:c r="K37" s="30" t="str">
        <x:f>IF(AND(J37=3,H37&lt;&gt;"",I37&lt;&gt;""),"PASS","FAIL")</x:f>
        <x:v>PASS</x:v>
      </x:c>
      <x:c r="L37" s="30"/>
      <x:c r="M37" s="30"/>
      <x:c r="N37" s="30"/>
      <x:c r="O37" s="30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  <x:c r="AA37" s="30"/>
      <x:c r="AB37" s="30"/>
      <x:c r="AC37" s="30"/>
      <x:c r="AD37" s="30"/>
      <x:c r="AE37" s="30"/>
      <x:c r="AF37" s="30"/>
      <x:c r="AG37" s="30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>
      <x:c r="A38" s="1"/>
      <x:c r="B38" s="1"/>
      <x:c r="C38" s="30" t="str">
        <x:v>R5</x:v>
      </x:c>
      <x:c r="D38" s="30" t="str">
        <x:v>S6</x:v>
      </x:c>
      <x:c r="E38" s="30" t="str">
        <x:v>H-HWR</x:v>
      </x:c>
      <x:c r="F38" s="30" t="str">
        <x:v>H-CHC</x:v>
      </x:c>
      <x:c r="G38" s="30" t="str">
        <x:v>C-PSG</x:v>
      </x:c>
      <x:c r="H38" s="35" t="str">
        <x:v>F05–F11</x:v>
      </x:c>
      <x:c r="I38" s="35" t="str">
        <x:v>Receiving authority accepts custody and required service is actually delivered</x:v>
      </x:c>
      <x:c r="J38" s="30" t="n">
        <x:f>COUNTIFS('Family Allocation'!$C$5:$C$19,E38)+COUNTIFS('Family Allocation'!$C$5:$C$19,F38)+COUNTIFS('Family Allocation'!$C$5:$C$19,G38)</x:f>
        <x:v>3</x:v>
      </x:c>
      <x:c r="K38" s="30" t="str">
        <x:f>IF(AND(J38=3,H38&lt;&gt;"",I38&lt;&gt;""),"PASS","FAIL")</x:f>
        <x:v>PASS</x:v>
      </x:c>
      <x:c r="L38" s="30"/>
      <x:c r="M38" s="30"/>
      <x:c r="N38" s="30"/>
      <x:c r="O38" s="30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  <x:c r="AA38" s="30"/>
      <x:c r="AB38" s="30"/>
      <x:c r="AC38" s="30"/>
      <x:c r="AD38" s="30"/>
      <x:c r="AE38" s="30"/>
      <x:c r="AF38" s="30"/>
      <x:c r="AG38" s="30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>
      <x:c r="A39" s="1"/>
      <x:c r="B39" s="1"/>
      <x:c r="C39" s="30" t="str">
        <x:v>R5</x:v>
      </x:c>
      <x:c r="D39" s="30" t="str">
        <x:v>S7</x:v>
      </x:c>
      <x:c r="E39" s="30" t="str">
        <x:v>H-HWR</x:v>
      </x:c>
      <x:c r="F39" s="30" t="str">
        <x:v>C-DTG</x:v>
      </x:c>
      <x:c r="G39" s="30" t="str">
        <x:v>H-THC</x:v>
      </x:c>
      <x:c r="H39" s="35" t="str">
        <x:v>F01,F03,F04,F10–F12</x:v>
      </x:c>
      <x:c r="I39" s="35" t="str">
        <x:v>Case reaches supported exit and formation returns to certified availability</x:v>
      </x:c>
      <x:c r="J39" s="30" t="n">
        <x:f>COUNTIFS('Family Allocation'!$C$5:$C$19,E39)+COUNTIFS('Family Allocation'!$C$5:$C$19,F39)+COUNTIFS('Family Allocation'!$C$5:$C$19,G39)</x:f>
        <x:v>3</x:v>
      </x:c>
      <x:c r="K39" s="30" t="str">
        <x:f>IF(AND(J39=3,H39&lt;&gt;"",I39&lt;&gt;""),"PASS","FAIL")</x:f>
        <x:v>PASS</x:v>
      </x:c>
      <x:c r="L39" s="30"/>
      <x:c r="M39" s="30"/>
      <x:c r="N39" s="30"/>
      <x:c r="O39" s="30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  <x:c r="AA39" s="30"/>
      <x:c r="AB39" s="30"/>
      <x:c r="AC39" s="30"/>
      <x:c r="AD39" s="30"/>
      <x:c r="AE39" s="30"/>
      <x:c r="AF39" s="30"/>
      <x:c r="AG39" s="30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>
      <x:c r="A40" s="1"/>
      <x:c r="B40" s="1"/>
      <x:c r="C40" s="34" t="str">
        <x:v>Total</x:v>
      </x:c>
      <x:c r="D40" s="34"/>
      <x:c r="E40" s="34"/>
      <x:c r="F40" s="34"/>
      <x:c r="G40" s="34"/>
      <x:c r="H40" s="34"/>
      <x:c r="I40" s="34"/>
      <x:c r="J40" s="34" t="n">
        <x:f>SUM(J5:J39)</x:f>
        <x:v>105</x:v>
      </x:c>
      <x:c r="K40" s="34"/>
      <x:c r="L40" s="30"/>
      <x:c r="M40" s="30"/>
      <x:c r="N40" s="30"/>
      <x:c r="O40" s="30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  <x:c r="AA40" s="30"/>
      <x:c r="AB40" s="30"/>
      <x:c r="AC40" s="30"/>
      <x:c r="AD40" s="30"/>
      <x:c r="AE40" s="30"/>
      <x:c r="AF40" s="30"/>
      <x:c r="AG40" s="30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>
      <x:c r="A41" s="1"/>
      <x:c r="B41" s="1"/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  <x:c r="AA41" s="30"/>
      <x:c r="AB41" s="30"/>
      <x:c r="AC41" s="30"/>
      <x:c r="AD41" s="30"/>
      <x:c r="AE41" s="30"/>
      <x:c r="AF41" s="30"/>
      <x:c r="AG41" s="30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>
      <x:c r="A42" s="1"/>
      <x:c r="B42" s="1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  <x:c r="AA42" s="30"/>
      <x:c r="AB42" s="30"/>
      <x:c r="AC42" s="30"/>
      <x:c r="AD42" s="30"/>
      <x:c r="AE42" s="30"/>
      <x:c r="AF42" s="30"/>
      <x:c r="AG42" s="30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>
      <x:c r="A43" s="1"/>
      <x:c r="B43" s="1"/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  <x:c r="AA43" s="30"/>
      <x:c r="AB43" s="30"/>
      <x:c r="AC43" s="30"/>
      <x:c r="AD43" s="30"/>
      <x:c r="AE43" s="30"/>
      <x:c r="AF43" s="30"/>
      <x:c r="AG43" s="30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>
      <x:c r="A44" s="1"/>
      <x:c r="B44" s="1"/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  <x:c r="M44" s="30"/>
      <x:c r="N44" s="30"/>
      <x:c r="O44" s="30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  <x:c r="AA44" s="30"/>
      <x:c r="AB44" s="30"/>
      <x:c r="AC44" s="30"/>
      <x:c r="AD44" s="30"/>
      <x:c r="AE44" s="30"/>
      <x:c r="AF44" s="30"/>
      <x:c r="AG44" s="30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>
      <x:c r="A45" s="1"/>
      <x:c r="B45" s="1"/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  <x:c r="AA45" s="30"/>
      <x:c r="AB45" s="30"/>
      <x:c r="AC45" s="30"/>
      <x:c r="AD45" s="30"/>
      <x:c r="AE45" s="30"/>
      <x:c r="AF45" s="30"/>
      <x:c r="AG45" s="30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>
      <x:c r="A46" s="1"/>
      <x:c r="B46" s="1"/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  <x:c r="M46" s="30"/>
      <x:c r="N46" s="30"/>
      <x:c r="O46" s="30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  <x:c r="AA46" s="30"/>
      <x:c r="AB46" s="30"/>
      <x:c r="AC46" s="30"/>
      <x:c r="AD46" s="30"/>
      <x:c r="AE46" s="30"/>
      <x:c r="AF46" s="30"/>
      <x:c r="AG46" s="30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>
      <x:c r="A47" s="1"/>
      <x:c r="B47" s="1"/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  <x:c r="O47" s="30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  <x:c r="AA47" s="30"/>
      <x:c r="AB47" s="30"/>
      <x:c r="AC47" s="30"/>
      <x:c r="AD47" s="30"/>
      <x:c r="AE47" s="30"/>
      <x:c r="AF47" s="30"/>
      <x:c r="AG47" s="30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>
      <x:c r="A48" s="1"/>
      <x:c r="B48" s="1"/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  <x:c r="M48" s="30"/>
      <x:c r="N48" s="30"/>
      <x:c r="O48" s="30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  <x:c r="AA48" s="30"/>
      <x:c r="AB48" s="30"/>
      <x:c r="AC48" s="30"/>
      <x:c r="AD48" s="30"/>
      <x:c r="AE48" s="30"/>
      <x:c r="AF48" s="30"/>
      <x:c r="AG48" s="30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>
      <x:c r="A49" s="1"/>
      <x:c r="B49" s="1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0"/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  <x:c r="AA49" s="30"/>
      <x:c r="AB49" s="30"/>
      <x:c r="AC49" s="30"/>
      <x:c r="AD49" s="30"/>
      <x:c r="AE49" s="30"/>
      <x:c r="AF49" s="30"/>
      <x:c r="AG49" s="30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>
      <x:c r="A50" s="1"/>
      <x:c r="B50" s="1"/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  <x:c r="O50" s="30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  <x:c r="AA50" s="30"/>
      <x:c r="AB50" s="30"/>
      <x:c r="AC50" s="30"/>
      <x:c r="AD50" s="30"/>
      <x:c r="AE50" s="30"/>
      <x:c r="AF50" s="30"/>
      <x:c r="AG50" s="30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>
      <x:c r="A51" s="1"/>
      <x:c r="B51" s="1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  <x:c r="O51" s="30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  <x:c r="AA51" s="30"/>
      <x:c r="AB51" s="30"/>
      <x:c r="AC51" s="30"/>
      <x:c r="AD51" s="30"/>
      <x:c r="AE51" s="30"/>
      <x:c r="AF51" s="30"/>
      <x:c r="AG51" s="30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>
      <x:c r="A52" s="1"/>
      <x:c r="B52" s="1"/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  <x:c r="M52" s="30"/>
      <x:c r="N52" s="30"/>
      <x:c r="O52" s="30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  <x:c r="AA52" s="30"/>
      <x:c r="AB52" s="30"/>
      <x:c r="AC52" s="30"/>
      <x:c r="AD52" s="30"/>
      <x:c r="AE52" s="30"/>
      <x:c r="AF52" s="30"/>
      <x:c r="AG52" s="30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>
      <x:c r="A53" s="1"/>
      <x:c r="B53" s="1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  <x:c r="O53" s="30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  <x:c r="AA53" s="30"/>
      <x:c r="AB53" s="30"/>
      <x:c r="AC53" s="30"/>
      <x:c r="AD53" s="30"/>
      <x:c r="AE53" s="30"/>
      <x:c r="AF53" s="30"/>
      <x:c r="AG53" s="30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>
      <x:c r="A54" s="1"/>
      <x:c r="B54" s="1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  <x:c r="AA54" s="30"/>
      <x:c r="AB54" s="30"/>
      <x:c r="AC54" s="30"/>
      <x:c r="AD54" s="30"/>
      <x:c r="AE54" s="30"/>
      <x:c r="AF54" s="30"/>
      <x:c r="AG54" s="30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>
      <x:c r="A55" s="1"/>
      <x:c r="B55" s="1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  <x:c r="AA55" s="30"/>
      <x:c r="AB55" s="30"/>
      <x:c r="AC55" s="30"/>
      <x:c r="AD55" s="30"/>
      <x:c r="AE55" s="30"/>
      <x:c r="AF55" s="30"/>
      <x:c r="AG55" s="30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>
      <x:c r="A56" s="1"/>
      <x:c r="B56" s="1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  <x:c r="AA56" s="30"/>
      <x:c r="AB56" s="30"/>
      <x:c r="AC56" s="30"/>
      <x:c r="AD56" s="30"/>
      <x:c r="AE56" s="30"/>
      <x:c r="AF56" s="30"/>
      <x:c r="AG56" s="30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>
      <x:c r="A57" s="1"/>
      <x:c r="B57" s="1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  <x:c r="AA57" s="30"/>
      <x:c r="AB57" s="30"/>
      <x:c r="AC57" s="30"/>
      <x:c r="AD57" s="30"/>
      <x:c r="AE57" s="30"/>
      <x:c r="AF57" s="30"/>
      <x:c r="AG57" s="30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>
      <x:c r="A58" s="1"/>
      <x:c r="B58" s="1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0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  <x:c r="AA58" s="30"/>
      <x:c r="AB58" s="30"/>
      <x:c r="AC58" s="30"/>
      <x:c r="AD58" s="30"/>
      <x:c r="AE58" s="30"/>
      <x:c r="AF58" s="30"/>
      <x:c r="AG58" s="30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>
      <x:c r="A59" s="1"/>
      <x:c r="B59" s="1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  <x:c r="M59" s="30"/>
      <x:c r="N59" s="30"/>
      <x:c r="O59" s="30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  <x:c r="AA59" s="30"/>
      <x:c r="AB59" s="30"/>
      <x:c r="AC59" s="30"/>
      <x:c r="AD59" s="30"/>
      <x:c r="AE59" s="30"/>
      <x:c r="AF59" s="30"/>
      <x:c r="AG59" s="30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>
      <x:c r="A60" s="1"/>
      <x:c r="B60" s="1"/>
      <x:c r="C60" s="30"/>
      <x:c r="D60" s="30"/>
      <x:c r="E60" s="30"/>
      <x:c r="F60" s="30"/>
      <x:c r="G60" s="30"/>
      <x:c r="H60" s="30"/>
      <x:c r="I60" s="30"/>
      <x:c r="J60" s="30"/>
      <x:c r="K60" s="30"/>
      <x:c r="L60" s="30"/>
      <x:c r="M60" s="30"/>
      <x:c r="N60" s="30"/>
      <x:c r="O60" s="30"/>
      <x:c r="P60" s="30"/>
      <x:c r="Q60" s="30"/>
      <x:c r="R60" s="30"/>
      <x:c r="S60" s="30"/>
      <x:c r="T60" s="30"/>
      <x:c r="U60" s="30"/>
      <x:c r="V60" s="30"/>
      <x:c r="W60" s="30"/>
      <x:c r="X60" s="30"/>
      <x:c r="Y60" s="30"/>
      <x:c r="Z60" s="30"/>
      <x:c r="AA60" s="30"/>
      <x:c r="AB60" s="30"/>
      <x:c r="AC60" s="30"/>
      <x:c r="AD60" s="30"/>
      <x:c r="AE60" s="30"/>
      <x:c r="AF60" s="30"/>
      <x:c r="AG60" s="30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>
      <x:c r="A61" s="1"/>
      <x:c r="B61" s="1"/>
      <x:c r="C61" s="30"/>
      <x:c r="D61" s="30"/>
      <x:c r="E61" s="30"/>
      <x:c r="F61" s="30"/>
      <x:c r="G61" s="30"/>
      <x:c r="H61" s="30"/>
      <x:c r="I61" s="30"/>
      <x:c r="J61" s="30"/>
      <x:c r="K61" s="30"/>
      <x:c r="L61" s="30"/>
      <x:c r="M61" s="30"/>
      <x:c r="N61" s="30"/>
      <x:c r="O61" s="30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  <x:c r="AA61" s="30"/>
      <x:c r="AB61" s="30"/>
      <x:c r="AC61" s="30"/>
      <x:c r="AD61" s="30"/>
      <x:c r="AE61" s="30"/>
      <x:c r="AF61" s="30"/>
      <x:c r="AG61" s="30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>
      <x:c r="A62" s="1"/>
      <x:c r="B62" s="1"/>
      <x:c r="C62" s="30"/>
      <x:c r="D62" s="30"/>
      <x:c r="E62" s="30"/>
      <x:c r="F62" s="30"/>
      <x:c r="G62" s="30"/>
      <x:c r="H62" s="30"/>
      <x:c r="I62" s="30"/>
      <x:c r="J62" s="30"/>
      <x:c r="K62" s="30"/>
      <x:c r="L62" s="30"/>
      <x:c r="M62" s="30"/>
      <x:c r="N62" s="30"/>
      <x:c r="O62" s="30"/>
      <x:c r="P62" s="30"/>
      <x:c r="Q62" s="30"/>
      <x:c r="R62" s="30"/>
      <x:c r="S62" s="30"/>
      <x:c r="T62" s="30"/>
      <x:c r="U62" s="30"/>
      <x:c r="V62" s="30"/>
      <x:c r="W62" s="30"/>
      <x:c r="X62" s="30"/>
      <x:c r="Y62" s="30"/>
      <x:c r="Z62" s="30"/>
      <x:c r="AA62" s="30"/>
      <x:c r="AB62" s="30"/>
      <x:c r="AC62" s="30"/>
      <x:c r="AD62" s="30"/>
      <x:c r="AE62" s="30"/>
      <x:c r="AF62" s="30"/>
      <x:c r="AG62" s="30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>
      <x:c r="A63" s="1"/>
      <x:c r="B63" s="1"/>
      <x:c r="C63" s="30"/>
      <x:c r="D63" s="30"/>
      <x:c r="E63" s="30"/>
      <x:c r="F63" s="30"/>
      <x:c r="G63" s="30"/>
      <x:c r="H63" s="30"/>
      <x:c r="I63" s="30"/>
      <x:c r="J63" s="30"/>
      <x:c r="K63" s="30"/>
      <x:c r="L63" s="30"/>
      <x:c r="M63" s="30"/>
      <x:c r="N63" s="30"/>
      <x:c r="O63" s="30"/>
      <x:c r="P63" s="30"/>
      <x:c r="Q63" s="30"/>
      <x:c r="R63" s="30"/>
      <x:c r="S63" s="30"/>
      <x:c r="T63" s="30"/>
      <x:c r="U63" s="30"/>
      <x:c r="V63" s="30"/>
      <x:c r="W63" s="30"/>
      <x:c r="X63" s="30"/>
      <x:c r="Y63" s="30"/>
      <x:c r="Z63" s="30"/>
      <x:c r="AA63" s="30"/>
      <x:c r="AB63" s="30"/>
      <x:c r="AC63" s="30"/>
      <x:c r="AD63" s="30"/>
      <x:c r="AE63" s="30"/>
      <x:c r="AF63" s="30"/>
      <x:c r="AG63" s="30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>
      <x:c r="A64" s="1"/>
      <x:c r="B64" s="1"/>
      <x:c r="C64" s="30"/>
      <x:c r="D64" s="30"/>
      <x:c r="E64" s="30"/>
      <x:c r="F64" s="30"/>
      <x:c r="G64" s="30"/>
      <x:c r="H64" s="30"/>
      <x:c r="I64" s="30"/>
      <x:c r="J64" s="30"/>
      <x:c r="K64" s="30"/>
      <x:c r="L64" s="30"/>
      <x:c r="M64" s="30"/>
      <x:c r="N64" s="30"/>
      <x:c r="O64" s="30"/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30"/>
      <x:c r="AA64" s="30"/>
      <x:c r="AB64" s="30"/>
      <x:c r="AC64" s="30"/>
      <x:c r="AD64" s="30"/>
      <x:c r="AE64" s="30"/>
      <x:c r="AF64" s="30"/>
      <x:c r="AG64" s="30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>
      <x:c r="A65" s="1"/>
      <x:c r="B65" s="1"/>
      <x:c r="C65" s="30"/>
      <x:c r="D65" s="30"/>
      <x:c r="E65" s="30"/>
      <x:c r="F65" s="30"/>
      <x:c r="G65" s="30"/>
      <x:c r="H65" s="30"/>
      <x:c r="I65" s="30"/>
      <x:c r="J65" s="30"/>
      <x:c r="K65" s="30"/>
      <x:c r="L65" s="30"/>
      <x:c r="M65" s="30"/>
      <x:c r="N65" s="30"/>
      <x:c r="O65" s="30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  <x:c r="AA65" s="30"/>
      <x:c r="AB65" s="30"/>
      <x:c r="AC65" s="30"/>
      <x:c r="AD65" s="30"/>
      <x:c r="AE65" s="30"/>
      <x:c r="AF65" s="30"/>
      <x:c r="AG65" s="30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>
      <x:c r="A66" s="1"/>
      <x:c r="B66" s="1"/>
      <x:c r="C66" s="30"/>
      <x:c r="D66" s="30"/>
      <x:c r="E66" s="30"/>
      <x:c r="F66" s="30"/>
      <x:c r="G66" s="30"/>
      <x:c r="H66" s="30"/>
      <x:c r="I66" s="30"/>
      <x:c r="J66" s="30"/>
      <x:c r="K66" s="30"/>
      <x:c r="L66" s="30"/>
      <x:c r="M66" s="30"/>
      <x:c r="N66" s="30"/>
      <x:c r="O66" s="30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  <x:c r="AA66" s="30"/>
      <x:c r="AB66" s="30"/>
      <x:c r="AC66" s="30"/>
      <x:c r="AD66" s="30"/>
      <x:c r="AE66" s="30"/>
      <x:c r="AF66" s="30"/>
      <x:c r="AG66" s="30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>
      <x:c r="A67" s="1"/>
      <x:c r="B67" s="1"/>
      <x:c r="C67" s="30"/>
      <x:c r="D67" s="30"/>
      <x:c r="E67" s="30"/>
      <x:c r="F67" s="30"/>
      <x:c r="G67" s="30"/>
      <x:c r="H67" s="30"/>
      <x:c r="I67" s="30"/>
      <x:c r="J67" s="30"/>
      <x:c r="K67" s="30"/>
      <x:c r="L67" s="30"/>
      <x:c r="M67" s="30"/>
      <x:c r="N67" s="30"/>
      <x:c r="O67" s="30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  <x:c r="AA67" s="30"/>
      <x:c r="AB67" s="30"/>
      <x:c r="AC67" s="30"/>
      <x:c r="AD67" s="30"/>
      <x:c r="AE67" s="30"/>
      <x:c r="AF67" s="30"/>
      <x:c r="AG67" s="30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>
      <x:c r="A68" s="1"/>
      <x:c r="B68" s="1"/>
      <x:c r="C68" s="30"/>
      <x:c r="D68" s="30"/>
      <x:c r="E68" s="30"/>
      <x:c r="F68" s="30"/>
      <x:c r="G68" s="30"/>
      <x:c r="H68" s="30"/>
      <x:c r="I68" s="30"/>
      <x:c r="J68" s="30"/>
      <x:c r="K68" s="30"/>
      <x:c r="L68" s="30"/>
      <x:c r="M68" s="30"/>
      <x:c r="N68" s="30"/>
      <x:c r="O68" s="30"/>
      <x:c r="P68" s="30"/>
      <x:c r="Q68" s="30"/>
      <x:c r="R68" s="30"/>
      <x:c r="S68" s="30"/>
      <x:c r="T68" s="30"/>
      <x:c r="U68" s="30"/>
      <x:c r="V68" s="30"/>
      <x:c r="W68" s="30"/>
      <x:c r="X68" s="30"/>
      <x:c r="Y68" s="30"/>
      <x:c r="Z68" s="30"/>
      <x:c r="AA68" s="30"/>
      <x:c r="AB68" s="30"/>
      <x:c r="AC68" s="30"/>
      <x:c r="AD68" s="30"/>
      <x:c r="AE68" s="30"/>
      <x:c r="AF68" s="30"/>
      <x:c r="AG68" s="30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>
      <x:c r="A69" s="1"/>
      <x:c r="B69" s="1"/>
      <x:c r="C69" s="30"/>
      <x:c r="D69" s="30"/>
      <x:c r="E69" s="30"/>
      <x:c r="F69" s="30"/>
      <x:c r="G69" s="30"/>
      <x:c r="H69" s="30"/>
      <x:c r="I69" s="30"/>
      <x:c r="J69" s="30"/>
      <x:c r="K69" s="30"/>
      <x:c r="L69" s="30"/>
      <x:c r="M69" s="30"/>
      <x:c r="N69" s="30"/>
      <x:c r="O69" s="30"/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30"/>
      <x:c r="AA69" s="30"/>
      <x:c r="AB69" s="30"/>
      <x:c r="AC69" s="30"/>
      <x:c r="AD69" s="30"/>
      <x:c r="AE69" s="30"/>
      <x:c r="AF69" s="30"/>
      <x:c r="AG69" s="30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>
      <x:c r="A70" s="1"/>
      <x:c r="B70" s="1"/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  <x:c r="M70" s="30"/>
      <x:c r="N70" s="30"/>
      <x:c r="O70" s="30"/>
      <x:c r="P70" s="30"/>
      <x:c r="Q70" s="30"/>
      <x:c r="R70" s="30"/>
      <x:c r="S70" s="30"/>
      <x:c r="T70" s="30"/>
      <x:c r="U70" s="30"/>
      <x:c r="V70" s="30"/>
      <x:c r="W70" s="30"/>
      <x:c r="X70" s="30"/>
      <x:c r="Y70" s="30"/>
      <x:c r="Z70" s="30"/>
      <x:c r="AA70" s="30"/>
      <x:c r="AB70" s="30"/>
      <x:c r="AC70" s="30"/>
      <x:c r="AD70" s="30"/>
      <x:c r="AE70" s="30"/>
      <x:c r="AF70" s="30"/>
      <x:c r="AG70" s="30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>
      <x:c r="A71" s="1"/>
      <x:c r="B71" s="1"/>
      <x:c r="C71" s="30"/>
      <x:c r="D71" s="30"/>
      <x:c r="E71" s="30"/>
      <x:c r="F71" s="30"/>
      <x:c r="G71" s="30"/>
      <x:c r="H71" s="30"/>
      <x:c r="I71" s="30"/>
      <x:c r="J71" s="30"/>
      <x:c r="K71" s="30"/>
      <x:c r="L71" s="30"/>
      <x:c r="M71" s="30"/>
      <x:c r="N71" s="30"/>
      <x:c r="O71" s="30"/>
      <x:c r="P71" s="30"/>
      <x:c r="Q71" s="30"/>
      <x:c r="R71" s="30"/>
      <x:c r="S71" s="30"/>
      <x:c r="T71" s="30"/>
      <x:c r="U71" s="30"/>
      <x:c r="V71" s="30"/>
      <x:c r="W71" s="30"/>
      <x:c r="X71" s="30"/>
      <x:c r="Y71" s="30"/>
      <x:c r="Z71" s="30"/>
      <x:c r="AA71" s="30"/>
      <x:c r="AB71" s="30"/>
      <x:c r="AC71" s="30"/>
      <x:c r="AD71" s="30"/>
      <x:c r="AE71" s="30"/>
      <x:c r="AF71" s="30"/>
      <x:c r="AG71" s="30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>
      <x:c r="A72" s="1"/>
      <x:c r="B72" s="1"/>
      <x:c r="C72" s="30"/>
      <x:c r="D72" s="30"/>
      <x:c r="E72" s="30"/>
      <x:c r="F72" s="30"/>
      <x:c r="G72" s="30"/>
      <x:c r="H72" s="30"/>
      <x:c r="I72" s="30"/>
      <x:c r="J72" s="30"/>
      <x:c r="K72" s="30"/>
      <x:c r="L72" s="30"/>
      <x:c r="M72" s="30"/>
      <x:c r="N72" s="30"/>
      <x:c r="O72" s="30"/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30"/>
      <x:c r="AA72" s="30"/>
      <x:c r="AB72" s="30"/>
      <x:c r="AC72" s="30"/>
      <x:c r="AD72" s="30"/>
      <x:c r="AE72" s="30"/>
      <x:c r="AF72" s="30"/>
      <x:c r="AG72" s="30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>
      <x:c r="A73" s="1"/>
      <x:c r="B73" s="1"/>
      <x:c r="C73" s="30"/>
      <x:c r="D73" s="30"/>
      <x:c r="E73" s="30"/>
      <x:c r="F73" s="30"/>
      <x:c r="G73" s="30"/>
      <x:c r="H73" s="30"/>
      <x:c r="I73" s="30"/>
      <x:c r="J73" s="30"/>
      <x:c r="K73" s="30"/>
      <x:c r="L73" s="30"/>
      <x:c r="M73" s="30"/>
      <x:c r="N73" s="30"/>
      <x:c r="O73" s="30"/>
      <x:c r="P73" s="30"/>
      <x:c r="Q73" s="30"/>
      <x:c r="R73" s="30"/>
      <x:c r="S73" s="30"/>
      <x:c r="T73" s="30"/>
      <x:c r="U73" s="30"/>
      <x:c r="V73" s="30"/>
      <x:c r="W73" s="30"/>
      <x:c r="X73" s="30"/>
      <x:c r="Y73" s="30"/>
      <x:c r="Z73" s="30"/>
      <x:c r="AA73" s="30"/>
      <x:c r="AB73" s="30"/>
      <x:c r="AC73" s="30"/>
      <x:c r="AD73" s="30"/>
      <x:c r="AE73" s="30"/>
      <x:c r="AF73" s="30"/>
      <x:c r="AG73" s="30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>
      <x:c r="A74" s="1"/>
      <x:c r="B74" s="1"/>
      <x:c r="C74" s="30"/>
      <x:c r="D74" s="30"/>
      <x:c r="E74" s="30"/>
      <x:c r="F74" s="30"/>
      <x:c r="G74" s="30"/>
      <x:c r="H74" s="30"/>
      <x:c r="I74" s="30"/>
      <x:c r="J74" s="30"/>
      <x:c r="K74" s="30"/>
      <x:c r="L74" s="30"/>
      <x:c r="M74" s="30"/>
      <x:c r="N74" s="30"/>
      <x:c r="O74" s="30"/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30"/>
      <x:c r="AA74" s="30"/>
      <x:c r="AB74" s="30"/>
      <x:c r="AC74" s="30"/>
      <x:c r="AD74" s="30"/>
      <x:c r="AE74" s="30"/>
      <x:c r="AF74" s="30"/>
      <x:c r="AG74" s="30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>
      <x:c r="A75" s="1"/>
      <x:c r="B75" s="1"/>
      <x:c r="C75" s="30"/>
      <x:c r="D75" s="30"/>
      <x:c r="E75" s="30"/>
      <x:c r="F75" s="30"/>
      <x:c r="G75" s="30"/>
      <x:c r="H75" s="30"/>
      <x:c r="I75" s="30"/>
      <x:c r="J75" s="30"/>
      <x:c r="K75" s="30"/>
      <x:c r="L75" s="30"/>
      <x:c r="M75" s="30"/>
      <x:c r="N75" s="30"/>
      <x:c r="O75" s="30"/>
      <x:c r="P75" s="30"/>
      <x:c r="Q75" s="30"/>
      <x:c r="R75" s="30"/>
      <x:c r="S75" s="30"/>
      <x:c r="T75" s="30"/>
      <x:c r="U75" s="30"/>
      <x:c r="V75" s="30"/>
      <x:c r="W75" s="30"/>
      <x:c r="X75" s="30"/>
      <x:c r="Y75" s="30"/>
      <x:c r="Z75" s="30"/>
      <x:c r="AA75" s="30"/>
      <x:c r="AB75" s="30"/>
      <x:c r="AC75" s="30"/>
      <x:c r="AD75" s="30"/>
      <x:c r="AE75" s="30"/>
      <x:c r="AF75" s="30"/>
      <x:c r="AG75" s="30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>
      <x:c r="A76" s="1"/>
      <x:c r="B76" s="1"/>
      <x:c r="C76" s="30"/>
      <x:c r="D76" s="30"/>
      <x:c r="E76" s="30"/>
      <x:c r="F76" s="30"/>
      <x:c r="G76" s="30"/>
      <x:c r="H76" s="30"/>
      <x:c r="I76" s="30"/>
      <x:c r="J76" s="30"/>
      <x:c r="K76" s="30"/>
      <x:c r="L76" s="30"/>
      <x:c r="M76" s="30"/>
      <x:c r="N76" s="30"/>
      <x:c r="O76" s="30"/>
      <x:c r="P76" s="30"/>
      <x:c r="Q76" s="30"/>
      <x:c r="R76" s="30"/>
      <x:c r="S76" s="30"/>
      <x:c r="T76" s="30"/>
      <x:c r="U76" s="30"/>
      <x:c r="V76" s="30"/>
      <x:c r="W76" s="30"/>
      <x:c r="X76" s="30"/>
      <x:c r="Y76" s="30"/>
      <x:c r="Z76" s="30"/>
      <x:c r="AA76" s="30"/>
      <x:c r="AB76" s="30"/>
      <x:c r="AC76" s="30"/>
      <x:c r="AD76" s="30"/>
      <x:c r="AE76" s="30"/>
      <x:c r="AF76" s="30"/>
      <x:c r="AG76" s="30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>
      <x:c r="A77" s="1"/>
      <x:c r="B77" s="1"/>
      <x:c r="C77" s="30"/>
      <x:c r="D77" s="30"/>
      <x:c r="E77" s="30"/>
      <x:c r="F77" s="30"/>
      <x:c r="G77" s="30"/>
      <x:c r="H77" s="30"/>
      <x:c r="I77" s="30"/>
      <x:c r="J77" s="30"/>
      <x:c r="K77" s="30"/>
      <x:c r="L77" s="30"/>
      <x:c r="M77" s="30"/>
      <x:c r="N77" s="30"/>
      <x:c r="O77" s="30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  <x:c r="AA77" s="30"/>
      <x:c r="AB77" s="30"/>
      <x:c r="AC77" s="30"/>
      <x:c r="AD77" s="30"/>
      <x:c r="AE77" s="30"/>
      <x:c r="AF77" s="30"/>
      <x:c r="AG77" s="30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>
      <x:c r="A78" s="1"/>
      <x:c r="B78" s="1"/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  <x:c r="O78" s="30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  <x:c r="AA78" s="30"/>
      <x:c r="AB78" s="30"/>
      <x:c r="AC78" s="30"/>
      <x:c r="AD78" s="30"/>
      <x:c r="AE78" s="30"/>
      <x:c r="AF78" s="30"/>
      <x:c r="AG78" s="30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>
      <x:c r="A79" s="1"/>
      <x:c r="B79" s="1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  <x:c r="M79" s="30"/>
      <x:c r="N79" s="30"/>
      <x:c r="O79" s="30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  <x:c r="AA79" s="30"/>
      <x:c r="AB79" s="30"/>
      <x:c r="AC79" s="30"/>
      <x:c r="AD79" s="30"/>
      <x:c r="AE79" s="30"/>
      <x:c r="AF79" s="30"/>
      <x:c r="AG79" s="30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>
      <x:c r="A80" s="1"/>
      <x:c r="B80" s="1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  <x:c r="M80" s="30"/>
      <x:c r="N80" s="30"/>
      <x:c r="O80" s="30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  <x:c r="AA80" s="30"/>
      <x:c r="AB80" s="30"/>
      <x:c r="AC80" s="30"/>
      <x:c r="AD80" s="30"/>
      <x:c r="AE80" s="30"/>
      <x:c r="AF80" s="30"/>
      <x:c r="AG80" s="30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>
      <x:c r="A81" s="1"/>
      <x:c r="B81" s="1"/>
      <x:c r="C81" s="30"/>
      <x:c r="D81" s="30"/>
      <x:c r="E81" s="30"/>
      <x:c r="F81" s="30"/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  <x:c r="AA81" s="30"/>
      <x:c r="AB81" s="30"/>
      <x:c r="AC81" s="30"/>
      <x:c r="AD81" s="30"/>
      <x:c r="AE81" s="30"/>
      <x:c r="AF81" s="30"/>
      <x:c r="AG81" s="30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>
      <x:c r="A82" s="1"/>
      <x:c r="B82" s="1"/>
      <x:c r="C82" s="30"/>
      <x:c r="D82" s="30"/>
      <x:c r="E82" s="30"/>
      <x:c r="F82" s="30"/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30"/>
      <x:c r="AA82" s="30"/>
      <x:c r="AB82" s="30"/>
      <x:c r="AC82" s="30"/>
      <x:c r="AD82" s="30"/>
      <x:c r="AE82" s="30"/>
      <x:c r="AF82" s="30"/>
      <x:c r="AG82" s="30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>
      <x:c r="A83" s="1"/>
      <x:c r="B83" s="1"/>
      <x:c r="C83" s="30"/>
      <x:c r="D83" s="30"/>
      <x:c r="E83" s="30"/>
      <x:c r="F83" s="30"/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30"/>
      <x:c r="AA83" s="30"/>
      <x:c r="AB83" s="30"/>
      <x:c r="AC83" s="30"/>
      <x:c r="AD83" s="30"/>
      <x:c r="AE83" s="30"/>
      <x:c r="AF83" s="30"/>
      <x:c r="AG83" s="30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>
      <x:c r="A84" s="1"/>
      <x:c r="B84" s="1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30"/>
      <x:c r="AA84" s="30"/>
      <x:c r="AB84" s="30"/>
      <x:c r="AC84" s="30"/>
      <x:c r="AD84" s="30"/>
      <x:c r="AE84" s="30"/>
      <x:c r="AF84" s="30"/>
      <x:c r="AG84" s="30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>
      <x:c r="A85" s="1"/>
      <x:c r="B85" s="1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30"/>
      <x:c r="AA85" s="30"/>
      <x:c r="AB85" s="30"/>
      <x:c r="AC85" s="30"/>
      <x:c r="AD85" s="30"/>
      <x:c r="AE85" s="30"/>
      <x:c r="AF85" s="30"/>
      <x:c r="AG85" s="30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>
      <x:c r="A86" s="1"/>
      <x:c r="B86" s="1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30"/>
      <x:c r="AA86" s="30"/>
      <x:c r="AB86" s="30"/>
      <x:c r="AC86" s="30"/>
      <x:c r="AD86" s="30"/>
      <x:c r="AE86" s="30"/>
      <x:c r="AF86" s="30"/>
      <x:c r="AG86" s="30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>
      <x:c r="A87" s="1"/>
      <x:c r="B87" s="1"/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  <x:c r="Y87" s="30"/>
      <x:c r="Z87" s="30"/>
      <x:c r="AA87" s="30"/>
      <x:c r="AB87" s="30"/>
      <x:c r="AC87" s="30"/>
      <x:c r="AD87" s="30"/>
      <x:c r="AE87" s="30"/>
      <x:c r="AF87" s="30"/>
      <x:c r="AG87" s="30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>
      <x:c r="A88" s="1"/>
      <x:c r="B88" s="1"/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  <x:c r="Y88" s="30"/>
      <x:c r="Z88" s="30"/>
      <x:c r="AA88" s="30"/>
      <x:c r="AB88" s="30"/>
      <x:c r="AC88" s="30"/>
      <x:c r="AD88" s="30"/>
      <x:c r="AE88" s="30"/>
      <x:c r="AF88" s="30"/>
      <x:c r="AG88" s="30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>
      <x:c r="A89" s="1"/>
      <x:c r="B89" s="1"/>
      <x:c r="C89" s="30"/>
      <x:c r="D89" s="30"/>
      <x:c r="E89" s="30"/>
      <x:c r="F89" s="30"/>
      <x:c r="G89" s="3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  <x:c r="Y89" s="30"/>
      <x:c r="Z89" s="30"/>
      <x:c r="AA89" s="30"/>
      <x:c r="AB89" s="30"/>
      <x:c r="AC89" s="30"/>
      <x:c r="AD89" s="30"/>
      <x:c r="AE89" s="30"/>
      <x:c r="AF89" s="30"/>
      <x:c r="AG89" s="30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>
      <x:c r="A90" s="1"/>
      <x:c r="B90" s="1"/>
      <x:c r="C90" s="30"/>
      <x:c r="D90" s="30"/>
      <x:c r="E90" s="30"/>
      <x:c r="F90" s="30"/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30"/>
      <x:c r="AA90" s="30"/>
      <x:c r="AB90" s="30"/>
      <x:c r="AC90" s="30"/>
      <x:c r="AD90" s="30"/>
      <x:c r="AE90" s="30"/>
      <x:c r="AF90" s="30"/>
      <x:c r="AG90" s="30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>
      <x:c r="A91" s="1"/>
      <x:c r="B91" s="1"/>
      <x:c r="C91" s="30"/>
      <x:c r="D91" s="30"/>
      <x:c r="E91" s="30"/>
      <x:c r="F91" s="30"/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30"/>
      <x:c r="AA91" s="30"/>
      <x:c r="AB91" s="30"/>
      <x:c r="AC91" s="30"/>
      <x:c r="AD91" s="30"/>
      <x:c r="AE91" s="30"/>
      <x:c r="AF91" s="30"/>
      <x:c r="AG91" s="30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>
      <x:c r="A92" s="1"/>
      <x:c r="B92" s="1"/>
      <x:c r="C92" s="30"/>
      <x:c r="D92" s="30"/>
      <x:c r="E92" s="30"/>
      <x:c r="F92" s="30"/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  <x:c r="AA92" s="30"/>
      <x:c r="AB92" s="30"/>
      <x:c r="AC92" s="30"/>
      <x:c r="AD92" s="30"/>
      <x:c r="AE92" s="30"/>
      <x:c r="AF92" s="30"/>
      <x:c r="AG92" s="30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>
      <x:c r="A93" s="1"/>
      <x:c r="B93" s="1"/>
      <x:c r="C93" s="30"/>
      <x:c r="D93" s="30"/>
      <x:c r="E93" s="30"/>
      <x:c r="F93" s="30"/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  <x:c r="AA93" s="30"/>
      <x:c r="AB93" s="30"/>
      <x:c r="AC93" s="30"/>
      <x:c r="AD93" s="30"/>
      <x:c r="AE93" s="30"/>
      <x:c r="AF93" s="30"/>
      <x:c r="AG93" s="30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>
      <x:c r="A94" s="1"/>
      <x:c r="B94" s="1"/>
      <x:c r="C94" s="30"/>
      <x:c r="D94" s="30"/>
      <x:c r="E94" s="30"/>
      <x:c r="F94" s="30"/>
      <x:c r="G94" s="3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30"/>
      <x:c r="AA94" s="30"/>
      <x:c r="AB94" s="30"/>
      <x:c r="AC94" s="30"/>
      <x:c r="AD94" s="30"/>
      <x:c r="AE94" s="30"/>
      <x:c r="AF94" s="30"/>
      <x:c r="AG94" s="30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>
      <x:c r="A95" s="1"/>
      <x:c r="B95" s="1"/>
      <x:c r="C95" s="30"/>
      <x:c r="D95" s="30"/>
      <x:c r="E95" s="30"/>
      <x:c r="F95" s="30"/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30"/>
      <x:c r="AA95" s="30"/>
      <x:c r="AB95" s="30"/>
      <x:c r="AC95" s="30"/>
      <x:c r="AD95" s="30"/>
      <x:c r="AE95" s="30"/>
      <x:c r="AF95" s="30"/>
      <x:c r="AG95" s="30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>
      <x:c r="A96" s="1"/>
      <x:c r="B96" s="1"/>
      <x:c r="C96" s="30"/>
      <x:c r="D96" s="30"/>
      <x:c r="E96" s="30"/>
      <x:c r="F96" s="30"/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30"/>
      <x:c r="AA96" s="30"/>
      <x:c r="AB96" s="30"/>
      <x:c r="AC96" s="30"/>
      <x:c r="AD96" s="30"/>
      <x:c r="AE96" s="30"/>
      <x:c r="AF96" s="30"/>
      <x:c r="AG96" s="30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>
      <x:c r="A97" s="1"/>
      <x:c r="B97" s="1"/>
      <x:c r="C97" s="30"/>
      <x:c r="D97" s="30"/>
      <x:c r="E97" s="30"/>
      <x:c r="F97" s="30"/>
      <x:c r="G97" s="3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30"/>
      <x:c r="AA97" s="30"/>
      <x:c r="AB97" s="30"/>
      <x:c r="AC97" s="30"/>
      <x:c r="AD97" s="30"/>
      <x:c r="AE97" s="30"/>
      <x:c r="AF97" s="30"/>
      <x:c r="AG97" s="30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>
      <x:c r="A98" s="1"/>
      <x:c r="B98" s="1"/>
      <x:c r="C98" s="30"/>
      <x:c r="D98" s="30"/>
      <x:c r="E98" s="30"/>
      <x:c r="F98" s="30"/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30"/>
      <x:c r="AA98" s="30"/>
      <x:c r="AB98" s="30"/>
      <x:c r="AC98" s="30"/>
      <x:c r="AD98" s="30"/>
      <x:c r="AE98" s="30"/>
      <x:c r="AF98" s="30"/>
      <x:c r="AG98" s="30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>
      <x:c r="A99" s="1"/>
      <x:c r="B99" s="1"/>
      <x:c r="C99" s="30"/>
      <x:c r="D99" s="30"/>
      <x:c r="E99" s="30"/>
      <x:c r="F99" s="30"/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30"/>
      <x:c r="AA99" s="30"/>
      <x:c r="AB99" s="30"/>
      <x:c r="AC99" s="30"/>
      <x:c r="AD99" s="30"/>
      <x:c r="AE99" s="30"/>
      <x:c r="AF99" s="30"/>
      <x:c r="AG99" s="30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>
      <x:c r="A100" s="1"/>
      <x:c r="B100" s="1"/>
      <x:c r="C100" s="30"/>
      <x:c r="D100" s="30"/>
      <x:c r="E100" s="30"/>
      <x:c r="F100" s="30"/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30"/>
      <x:c r="AA100" s="30"/>
      <x:c r="AB100" s="30"/>
      <x:c r="AC100" s="30"/>
      <x:c r="AD100" s="30"/>
      <x:c r="AE100" s="30"/>
      <x:c r="AF100" s="30"/>
      <x:c r="AG100" s="30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>
      <x:c r="A101" s="1"/>
      <x:c r="B101" s="1"/>
      <x:c r="C101" s="30"/>
      <x:c r="D101" s="30"/>
      <x:c r="E101" s="30"/>
      <x:c r="F101" s="30"/>
      <x:c r="G101" s="30"/>
      <x:c r="H101" s="30"/>
      <x:c r="I101" s="30"/>
      <x:c r="J101" s="30"/>
      <x:c r="K101" s="30"/>
      <x:c r="L101" s="30"/>
      <x:c r="M101" s="30"/>
      <x:c r="N101" s="30"/>
      <x:c r="O101" s="30"/>
      <x:c r="P101" s="30"/>
      <x:c r="Q101" s="30"/>
      <x:c r="R101" s="30"/>
      <x:c r="S101" s="30"/>
      <x:c r="T101" s="30"/>
      <x:c r="U101" s="30"/>
      <x:c r="V101" s="30"/>
      <x:c r="W101" s="30"/>
      <x:c r="X101" s="30"/>
      <x:c r="Y101" s="30"/>
      <x:c r="Z101" s="30"/>
      <x:c r="AA101" s="30"/>
      <x:c r="AB101" s="30"/>
      <x:c r="AC101" s="30"/>
      <x:c r="AD101" s="30"/>
      <x:c r="AE101" s="30"/>
      <x:c r="AF101" s="30"/>
      <x:c r="AG101" s="30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>
      <x:c r="A102" s="1"/>
      <x:c r="B102" s="1"/>
      <x:c r="C102" s="30"/>
      <x:c r="D102" s="30"/>
      <x:c r="E102" s="30"/>
      <x:c r="F102" s="30"/>
      <x:c r="G102" s="30"/>
      <x:c r="H102" s="30"/>
      <x:c r="I102" s="30"/>
      <x:c r="J102" s="30"/>
      <x:c r="K102" s="30"/>
      <x:c r="L102" s="30"/>
      <x:c r="M102" s="30"/>
      <x:c r="N102" s="30"/>
      <x:c r="O102" s="30"/>
      <x:c r="P102" s="30"/>
      <x:c r="Q102" s="30"/>
      <x:c r="R102" s="30"/>
      <x:c r="S102" s="30"/>
      <x:c r="T102" s="30"/>
      <x:c r="U102" s="30"/>
      <x:c r="V102" s="30"/>
      <x:c r="W102" s="30"/>
      <x:c r="X102" s="30"/>
      <x:c r="Y102" s="30"/>
      <x:c r="Z102" s="30"/>
      <x:c r="AA102" s="30"/>
      <x:c r="AB102" s="30"/>
      <x:c r="AC102" s="30"/>
      <x:c r="AD102" s="30"/>
      <x:c r="AE102" s="30"/>
      <x:c r="AF102" s="30"/>
      <x:c r="AG102" s="30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>
      <x:c r="A103" s="1"/>
      <x:c r="B103" s="1"/>
      <x:c r="C103" s="30"/>
      <x:c r="D103" s="30"/>
      <x:c r="E103" s="30"/>
      <x:c r="F103" s="30"/>
      <x:c r="G103" s="3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0"/>
      <x:c r="T103" s="30"/>
      <x:c r="U103" s="30"/>
      <x:c r="V103" s="30"/>
      <x:c r="W103" s="30"/>
      <x:c r="X103" s="30"/>
      <x:c r="Y103" s="30"/>
      <x:c r="Z103" s="30"/>
      <x:c r="AA103" s="30"/>
      <x:c r="AB103" s="30"/>
      <x:c r="AC103" s="30"/>
      <x:c r="AD103" s="30"/>
      <x:c r="AE103" s="30"/>
      <x:c r="AF103" s="30"/>
      <x:c r="AG103" s="30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>
      <x:c r="A104" s="1"/>
      <x:c r="B104" s="1"/>
      <x:c r="C104" s="30"/>
      <x:c r="D104" s="30"/>
      <x:c r="E104" s="30"/>
      <x:c r="F104" s="30"/>
      <x:c r="G104" s="30"/>
      <x:c r="H104" s="30"/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0"/>
      <x:c r="T104" s="30"/>
      <x:c r="U104" s="30"/>
      <x:c r="V104" s="30"/>
      <x:c r="W104" s="30"/>
      <x:c r="X104" s="30"/>
      <x:c r="Y104" s="30"/>
      <x:c r="Z104" s="30"/>
      <x:c r="AA104" s="30"/>
      <x:c r="AB104" s="30"/>
      <x:c r="AC104" s="30"/>
      <x:c r="AD104" s="30"/>
      <x:c r="AE104" s="30"/>
      <x:c r="AF104" s="30"/>
      <x:c r="AG104" s="30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>
      <x:c r="A105" s="1"/>
      <x:c r="B105" s="1"/>
      <x:c r="C105" s="30"/>
      <x:c r="D105" s="30"/>
      <x:c r="E105" s="30"/>
      <x:c r="F105" s="30"/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  <x:c r="Q105" s="30"/>
      <x:c r="R105" s="30"/>
      <x:c r="S105" s="30"/>
      <x:c r="T105" s="30"/>
      <x:c r="U105" s="30"/>
      <x:c r="V105" s="30"/>
      <x:c r="W105" s="30"/>
      <x:c r="X105" s="30"/>
      <x:c r="Y105" s="30"/>
      <x:c r="Z105" s="30"/>
      <x:c r="AA105" s="30"/>
      <x:c r="AB105" s="30"/>
      <x:c r="AC105" s="30"/>
      <x:c r="AD105" s="30"/>
      <x:c r="AE105" s="30"/>
      <x:c r="AF105" s="30"/>
      <x:c r="AG105" s="30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>
      <x:c r="A106" s="1"/>
      <x:c r="B106" s="1"/>
      <x:c r="C106" s="30"/>
      <x:c r="D106" s="30"/>
      <x:c r="E106" s="30"/>
      <x:c r="F106" s="30"/>
      <x:c r="G106" s="30"/>
      <x:c r="H106" s="30"/>
      <x:c r="I106" s="30"/>
      <x:c r="J106" s="30"/>
      <x:c r="K106" s="30"/>
      <x:c r="L106" s="30"/>
      <x:c r="M106" s="30"/>
      <x:c r="N106" s="30"/>
      <x:c r="O106" s="30"/>
      <x:c r="P106" s="30"/>
      <x:c r="Q106" s="30"/>
      <x:c r="R106" s="30"/>
      <x:c r="S106" s="30"/>
      <x:c r="T106" s="30"/>
      <x:c r="U106" s="30"/>
      <x:c r="V106" s="30"/>
      <x:c r="W106" s="30"/>
      <x:c r="X106" s="30"/>
      <x:c r="Y106" s="30"/>
      <x:c r="Z106" s="30"/>
      <x:c r="AA106" s="30"/>
      <x:c r="AB106" s="30"/>
      <x:c r="AC106" s="30"/>
      <x:c r="AD106" s="30"/>
      <x:c r="AE106" s="30"/>
      <x:c r="AF106" s="30"/>
      <x:c r="AG106" s="30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>
      <x:c r="A107" s="1"/>
      <x:c r="B107" s="1"/>
      <x:c r="C107" s="30"/>
      <x:c r="D107" s="30"/>
      <x:c r="E107" s="30"/>
      <x:c r="F107" s="30"/>
      <x:c r="G107" s="30"/>
      <x:c r="H107" s="30"/>
      <x:c r="I107" s="30"/>
      <x:c r="J107" s="30"/>
      <x:c r="K107" s="30"/>
      <x:c r="L107" s="30"/>
      <x:c r="M107" s="30"/>
      <x:c r="N107" s="30"/>
      <x:c r="O107" s="30"/>
      <x:c r="P107" s="30"/>
      <x:c r="Q107" s="30"/>
      <x:c r="R107" s="30"/>
      <x:c r="S107" s="30"/>
      <x:c r="T107" s="30"/>
      <x:c r="U107" s="30"/>
      <x:c r="V107" s="30"/>
      <x:c r="W107" s="30"/>
      <x:c r="X107" s="30"/>
      <x:c r="Y107" s="30"/>
      <x:c r="Z107" s="30"/>
      <x:c r="AA107" s="30"/>
      <x:c r="AB107" s="30"/>
      <x:c r="AC107" s="30"/>
      <x:c r="AD107" s="30"/>
      <x:c r="AE107" s="30"/>
      <x:c r="AF107" s="30"/>
      <x:c r="AG107" s="30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>
      <x:c r="A108" s="1"/>
      <x:c r="B108" s="1"/>
      <x:c r="C108" s="30"/>
      <x:c r="D108" s="30"/>
      <x:c r="E108" s="30"/>
      <x:c r="F108" s="30"/>
      <x:c r="G108" s="30"/>
      <x:c r="H108" s="30"/>
      <x:c r="I108" s="30"/>
      <x:c r="J108" s="30"/>
      <x:c r="K108" s="30"/>
      <x:c r="L108" s="30"/>
      <x:c r="M108" s="30"/>
      <x:c r="N108" s="30"/>
      <x:c r="O108" s="30"/>
      <x:c r="P108" s="30"/>
      <x:c r="Q108" s="30"/>
      <x:c r="R108" s="30"/>
      <x:c r="S108" s="30"/>
      <x:c r="T108" s="30"/>
      <x:c r="U108" s="30"/>
      <x:c r="V108" s="30"/>
      <x:c r="W108" s="30"/>
      <x:c r="X108" s="30"/>
      <x:c r="Y108" s="30"/>
      <x:c r="Z108" s="30"/>
      <x:c r="AA108" s="30"/>
      <x:c r="AB108" s="30"/>
      <x:c r="AC108" s="30"/>
      <x:c r="AD108" s="30"/>
      <x:c r="AE108" s="30"/>
      <x:c r="AF108" s="30"/>
      <x:c r="AG108" s="30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>
      <x:c r="A109" s="1"/>
      <x:c r="B109" s="1"/>
      <x:c r="C109" s="30"/>
      <x:c r="D109" s="30"/>
      <x:c r="E109" s="30"/>
      <x:c r="F109" s="30"/>
      <x:c r="G109" s="30"/>
      <x:c r="H109" s="30"/>
      <x:c r="I109" s="30"/>
      <x:c r="J109" s="30"/>
      <x:c r="K109" s="30"/>
      <x:c r="L109" s="30"/>
      <x:c r="M109" s="30"/>
      <x:c r="N109" s="30"/>
      <x:c r="O109" s="30"/>
      <x:c r="P109" s="30"/>
      <x:c r="Q109" s="30"/>
      <x:c r="R109" s="30"/>
      <x:c r="S109" s="30"/>
      <x:c r="T109" s="30"/>
      <x:c r="U109" s="30"/>
      <x:c r="V109" s="30"/>
      <x:c r="W109" s="30"/>
      <x:c r="X109" s="30"/>
      <x:c r="Y109" s="30"/>
      <x:c r="Z109" s="30"/>
      <x:c r="AA109" s="30"/>
      <x:c r="AB109" s="30"/>
      <x:c r="AC109" s="30"/>
      <x:c r="AD109" s="30"/>
      <x:c r="AE109" s="30"/>
      <x:c r="AF109" s="30"/>
      <x:c r="AG109" s="30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>
      <x:c r="A110" s="1"/>
      <x:c r="B110" s="1"/>
      <x:c r="C110" s="30"/>
      <x:c r="D110" s="30"/>
      <x:c r="E110" s="30"/>
      <x:c r="F110" s="30"/>
      <x:c r="G110" s="30"/>
      <x:c r="H110" s="30"/>
      <x:c r="I110" s="30"/>
      <x:c r="J110" s="30"/>
      <x:c r="K110" s="30"/>
      <x:c r="L110" s="30"/>
      <x:c r="M110" s="30"/>
      <x:c r="N110" s="30"/>
      <x:c r="O110" s="30"/>
      <x:c r="P110" s="30"/>
      <x:c r="Q110" s="30"/>
      <x:c r="R110" s="30"/>
      <x:c r="S110" s="30"/>
      <x:c r="T110" s="30"/>
      <x:c r="U110" s="30"/>
      <x:c r="V110" s="30"/>
      <x:c r="W110" s="30"/>
      <x:c r="X110" s="30"/>
      <x:c r="Y110" s="30"/>
      <x:c r="Z110" s="30"/>
      <x:c r="AA110" s="30"/>
      <x:c r="AB110" s="30"/>
      <x:c r="AC110" s="30"/>
      <x:c r="AD110" s="30"/>
      <x:c r="AE110" s="30"/>
      <x:c r="AF110" s="30"/>
      <x:c r="AG110" s="30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>
      <x:c r="A111" s="1"/>
      <x:c r="B111" s="1"/>
      <x:c r="C111" s="30"/>
      <x:c r="D111" s="30"/>
      <x:c r="E111" s="30"/>
      <x:c r="F111" s="30"/>
      <x:c r="G111" s="30"/>
      <x:c r="H111" s="30"/>
      <x:c r="I111" s="30"/>
      <x:c r="J111" s="30"/>
      <x:c r="K111" s="30"/>
      <x:c r="L111" s="30"/>
      <x:c r="M111" s="30"/>
      <x:c r="N111" s="30"/>
      <x:c r="O111" s="30"/>
      <x:c r="P111" s="30"/>
      <x:c r="Q111" s="30"/>
      <x:c r="R111" s="30"/>
      <x:c r="S111" s="30"/>
      <x:c r="T111" s="30"/>
      <x:c r="U111" s="30"/>
      <x:c r="V111" s="30"/>
      <x:c r="W111" s="30"/>
      <x:c r="X111" s="30"/>
      <x:c r="Y111" s="30"/>
      <x:c r="Z111" s="30"/>
      <x:c r="AA111" s="30"/>
      <x:c r="AB111" s="30"/>
      <x:c r="AC111" s="30"/>
      <x:c r="AD111" s="30"/>
      <x:c r="AE111" s="30"/>
      <x:c r="AF111" s="30"/>
      <x:c r="AG111" s="30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>
      <x:c r="A112" s="1"/>
      <x:c r="B112" s="1"/>
      <x:c r="C112" s="30"/>
      <x:c r="D112" s="30"/>
      <x:c r="E112" s="30"/>
      <x:c r="F112" s="30"/>
      <x:c r="G112" s="30"/>
      <x:c r="H112" s="30"/>
      <x:c r="I112" s="30"/>
      <x:c r="J112" s="30"/>
      <x:c r="K112" s="30"/>
      <x:c r="L112" s="30"/>
      <x:c r="M112" s="30"/>
      <x:c r="N112" s="30"/>
      <x:c r="O112" s="30"/>
      <x:c r="P112" s="30"/>
      <x:c r="Q112" s="30"/>
      <x:c r="R112" s="30"/>
      <x:c r="S112" s="30"/>
      <x:c r="T112" s="30"/>
      <x:c r="U112" s="30"/>
      <x:c r="V112" s="30"/>
      <x:c r="W112" s="30"/>
      <x:c r="X112" s="30"/>
      <x:c r="Y112" s="30"/>
      <x:c r="Z112" s="30"/>
      <x:c r="AA112" s="30"/>
      <x:c r="AB112" s="30"/>
      <x:c r="AC112" s="30"/>
      <x:c r="AD112" s="30"/>
      <x:c r="AE112" s="30"/>
      <x:c r="AF112" s="30"/>
      <x:c r="AG112" s="30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>
      <x:c r="A113" s="1"/>
      <x:c r="B113" s="1"/>
      <x:c r="C113" s="30"/>
      <x:c r="D113" s="30"/>
      <x:c r="E113" s="30"/>
      <x:c r="F113" s="30"/>
      <x:c r="G113" s="30"/>
      <x:c r="H113" s="30"/>
      <x:c r="I113" s="30"/>
      <x:c r="J113" s="30"/>
      <x:c r="K113" s="30"/>
      <x:c r="L113" s="30"/>
      <x:c r="M113" s="30"/>
      <x:c r="N113" s="30"/>
      <x:c r="O113" s="30"/>
      <x:c r="P113" s="30"/>
      <x:c r="Q113" s="30"/>
      <x:c r="R113" s="30"/>
      <x:c r="S113" s="30"/>
      <x:c r="T113" s="30"/>
      <x:c r="U113" s="30"/>
      <x:c r="V113" s="30"/>
      <x:c r="W113" s="30"/>
      <x:c r="X113" s="30"/>
      <x:c r="Y113" s="30"/>
      <x:c r="Z113" s="30"/>
      <x:c r="AA113" s="30"/>
      <x:c r="AB113" s="30"/>
      <x:c r="AC113" s="30"/>
      <x:c r="AD113" s="30"/>
      <x:c r="AE113" s="30"/>
      <x:c r="AF113" s="30"/>
      <x:c r="AG113" s="30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>
      <x:c r="A114" s="1"/>
      <x:c r="B114" s="1"/>
      <x:c r="C114" s="30"/>
      <x:c r="D114" s="30"/>
      <x:c r="E114" s="30"/>
      <x:c r="F114" s="30"/>
      <x:c r="G114" s="30"/>
      <x:c r="H114" s="30"/>
      <x:c r="I114" s="30"/>
      <x:c r="J114" s="30"/>
      <x:c r="K114" s="30"/>
      <x:c r="L114" s="30"/>
      <x:c r="M114" s="30"/>
      <x:c r="N114" s="30"/>
      <x:c r="O114" s="30"/>
      <x:c r="P114" s="30"/>
      <x:c r="Q114" s="30"/>
      <x:c r="R114" s="30"/>
      <x:c r="S114" s="30"/>
      <x:c r="T114" s="30"/>
      <x:c r="U114" s="30"/>
      <x:c r="V114" s="30"/>
      <x:c r="W114" s="30"/>
      <x:c r="X114" s="30"/>
      <x:c r="Y114" s="30"/>
      <x:c r="Z114" s="30"/>
      <x:c r="AA114" s="30"/>
      <x:c r="AB114" s="30"/>
      <x:c r="AC114" s="30"/>
      <x:c r="AD114" s="30"/>
      <x:c r="AE114" s="30"/>
      <x:c r="AF114" s="30"/>
      <x:c r="AG114" s="30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>
      <x:c r="A115" s="1"/>
      <x:c r="B115" s="1"/>
      <x:c r="C115" s="30"/>
      <x:c r="D115" s="30"/>
      <x:c r="E115" s="30"/>
      <x:c r="F115" s="30"/>
      <x:c r="G115" s="30"/>
      <x:c r="H115" s="30"/>
      <x:c r="I115" s="30"/>
      <x:c r="J115" s="30"/>
      <x:c r="K115" s="30"/>
      <x:c r="L115" s="30"/>
      <x:c r="M115" s="30"/>
      <x:c r="N115" s="30"/>
      <x:c r="O115" s="30"/>
      <x:c r="P115" s="30"/>
      <x:c r="Q115" s="30"/>
      <x:c r="R115" s="30"/>
      <x:c r="S115" s="30"/>
      <x:c r="T115" s="30"/>
      <x:c r="U115" s="30"/>
      <x:c r="V115" s="30"/>
      <x:c r="W115" s="30"/>
      <x:c r="X115" s="30"/>
      <x:c r="Y115" s="30"/>
      <x:c r="Z115" s="30"/>
      <x:c r="AA115" s="30"/>
      <x:c r="AB115" s="30"/>
      <x:c r="AC115" s="30"/>
      <x:c r="AD115" s="30"/>
      <x:c r="AE115" s="30"/>
      <x:c r="AF115" s="30"/>
      <x:c r="AG115" s="30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>
      <x:c r="A116" s="1"/>
      <x:c r="B116" s="1"/>
      <x:c r="C116" s="30"/>
      <x:c r="D116" s="30"/>
      <x:c r="E116" s="30"/>
      <x:c r="F116" s="30"/>
      <x:c r="G116" s="30"/>
      <x:c r="H116" s="30"/>
      <x:c r="I116" s="30"/>
      <x:c r="J116" s="30"/>
      <x:c r="K116" s="30"/>
      <x:c r="L116" s="30"/>
      <x:c r="M116" s="30"/>
      <x:c r="N116" s="30"/>
      <x:c r="O116" s="30"/>
      <x:c r="P116" s="30"/>
      <x:c r="Q116" s="30"/>
      <x:c r="R116" s="30"/>
      <x:c r="S116" s="30"/>
      <x:c r="T116" s="30"/>
      <x:c r="U116" s="30"/>
      <x:c r="V116" s="30"/>
      <x:c r="W116" s="30"/>
      <x:c r="X116" s="30"/>
      <x:c r="Y116" s="30"/>
      <x:c r="Z116" s="30"/>
      <x:c r="AA116" s="30"/>
      <x:c r="AB116" s="30"/>
      <x:c r="AC116" s="30"/>
      <x:c r="AD116" s="30"/>
      <x:c r="AE116" s="30"/>
      <x:c r="AF116" s="30"/>
      <x:c r="AG116" s="30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>
      <x:c r="A117" s="1"/>
      <x:c r="B117" s="1"/>
      <x:c r="C117" s="30"/>
      <x:c r="D117" s="30"/>
      <x:c r="E117" s="30"/>
      <x:c r="F117" s="30"/>
      <x:c r="G117" s="30"/>
      <x:c r="H117" s="30"/>
      <x:c r="I117" s="30"/>
      <x:c r="J117" s="30"/>
      <x:c r="K117" s="30"/>
      <x:c r="L117" s="30"/>
      <x:c r="M117" s="30"/>
      <x:c r="N117" s="30"/>
      <x:c r="O117" s="30"/>
      <x:c r="P117" s="30"/>
      <x:c r="Q117" s="30"/>
      <x:c r="R117" s="30"/>
      <x:c r="S117" s="30"/>
      <x:c r="T117" s="30"/>
      <x:c r="U117" s="30"/>
      <x:c r="V117" s="30"/>
      <x:c r="W117" s="30"/>
      <x:c r="X117" s="30"/>
      <x:c r="Y117" s="30"/>
      <x:c r="Z117" s="30"/>
      <x:c r="AA117" s="30"/>
      <x:c r="AB117" s="30"/>
      <x:c r="AC117" s="30"/>
      <x:c r="AD117" s="30"/>
      <x:c r="AE117" s="30"/>
      <x:c r="AF117" s="30"/>
      <x:c r="AG117" s="30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>
      <x:c r="A118" s="1"/>
      <x:c r="B118" s="1"/>
      <x:c r="C118" s="30"/>
      <x:c r="D118" s="30"/>
      <x:c r="E118" s="30"/>
      <x:c r="F118" s="30"/>
      <x:c r="G118" s="30"/>
      <x:c r="H118" s="30"/>
      <x:c r="I118" s="30"/>
      <x:c r="J118" s="30"/>
      <x:c r="K118" s="30"/>
      <x:c r="L118" s="30"/>
      <x:c r="M118" s="30"/>
      <x:c r="N118" s="30"/>
      <x:c r="O118" s="30"/>
      <x:c r="P118" s="30"/>
      <x:c r="Q118" s="30"/>
      <x:c r="R118" s="30"/>
      <x:c r="S118" s="30"/>
      <x:c r="T118" s="30"/>
      <x:c r="U118" s="30"/>
      <x:c r="V118" s="30"/>
      <x:c r="W118" s="30"/>
      <x:c r="X118" s="30"/>
      <x:c r="Y118" s="30"/>
      <x:c r="Z118" s="30"/>
      <x:c r="AA118" s="30"/>
      <x:c r="AB118" s="30"/>
      <x:c r="AC118" s="30"/>
      <x:c r="AD118" s="30"/>
      <x:c r="AE118" s="30"/>
      <x:c r="AF118" s="30"/>
      <x:c r="AG118" s="30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>
      <x:c r="A119" s="1"/>
      <x:c r="B119" s="1"/>
      <x:c r="C119" s="30"/>
      <x:c r="D119" s="30"/>
      <x:c r="E119" s="30"/>
      <x:c r="F119" s="30"/>
      <x:c r="G119" s="30"/>
      <x:c r="H119" s="30"/>
      <x:c r="I119" s="30"/>
      <x:c r="J119" s="30"/>
      <x:c r="K119" s="30"/>
      <x:c r="L119" s="30"/>
      <x:c r="M119" s="30"/>
      <x:c r="N119" s="30"/>
      <x:c r="O119" s="30"/>
      <x:c r="P119" s="30"/>
      <x:c r="Q119" s="30"/>
      <x:c r="R119" s="30"/>
      <x:c r="S119" s="30"/>
      <x:c r="T119" s="30"/>
      <x:c r="U119" s="30"/>
      <x:c r="V119" s="30"/>
      <x:c r="W119" s="30"/>
      <x:c r="X119" s="30"/>
      <x:c r="Y119" s="30"/>
      <x:c r="Z119" s="30"/>
      <x:c r="AA119" s="30"/>
      <x:c r="AB119" s="30"/>
      <x:c r="AC119" s="30"/>
      <x:c r="AD119" s="30"/>
      <x:c r="AE119" s="30"/>
      <x:c r="AF119" s="30"/>
      <x:c r="AG119" s="30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>
      <x:c r="A120" s="1"/>
      <x:c r="B120" s="1"/>
      <x:c r="C120" s="30"/>
      <x:c r="D120" s="30"/>
      <x:c r="E120" s="30"/>
      <x:c r="F120" s="30"/>
      <x:c r="G120" s="30"/>
      <x:c r="H120" s="30"/>
      <x:c r="I120" s="30"/>
      <x:c r="J120" s="30"/>
      <x:c r="K120" s="30"/>
      <x:c r="L120" s="30"/>
      <x:c r="M120" s="30"/>
      <x:c r="N120" s="30"/>
      <x:c r="O120" s="30"/>
      <x:c r="P120" s="30"/>
      <x:c r="Q120" s="30"/>
      <x:c r="R120" s="30"/>
      <x:c r="S120" s="30"/>
      <x:c r="T120" s="30"/>
      <x:c r="U120" s="30"/>
      <x:c r="V120" s="30"/>
      <x:c r="W120" s="30"/>
      <x:c r="X120" s="30"/>
      <x:c r="Y120" s="30"/>
      <x:c r="Z120" s="30"/>
      <x:c r="AA120" s="30"/>
      <x:c r="AB120" s="30"/>
      <x:c r="AC120" s="30"/>
      <x:c r="AD120" s="30"/>
      <x:c r="AE120" s="30"/>
      <x:c r="AF120" s="30"/>
      <x:c r="AG120" s="30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>
      <x:c r="A121" s="1"/>
      <x:c r="B121" s="1"/>
      <x:c r="C121" s="30"/>
      <x:c r="D121" s="30"/>
      <x:c r="E121" s="30"/>
      <x:c r="F121" s="30"/>
      <x:c r="G121" s="30"/>
      <x:c r="H121" s="30"/>
      <x:c r="I121" s="30"/>
      <x:c r="J121" s="30"/>
      <x:c r="K121" s="30"/>
      <x:c r="L121" s="30"/>
      <x:c r="M121" s="30"/>
      <x:c r="N121" s="30"/>
      <x:c r="O121" s="30"/>
      <x:c r="P121" s="30"/>
      <x:c r="Q121" s="30"/>
      <x:c r="R121" s="30"/>
      <x:c r="S121" s="30"/>
      <x:c r="T121" s="30"/>
      <x:c r="U121" s="30"/>
      <x:c r="V121" s="30"/>
      <x:c r="W121" s="30"/>
      <x:c r="X121" s="30"/>
      <x:c r="Y121" s="30"/>
      <x:c r="Z121" s="30"/>
      <x:c r="AA121" s="30"/>
      <x:c r="AB121" s="30"/>
      <x:c r="AC121" s="30"/>
      <x:c r="AD121" s="30"/>
      <x:c r="AE121" s="30"/>
      <x:c r="AF121" s="30"/>
      <x:c r="AG121" s="30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>
      <x:c r="A122" s="1"/>
      <x:c r="B122" s="1"/>
      <x:c r="C122" s="30"/>
      <x:c r="D122" s="30"/>
      <x:c r="E122" s="30"/>
      <x:c r="F122" s="30"/>
      <x:c r="G122" s="30"/>
      <x:c r="H122" s="30"/>
      <x:c r="I122" s="30"/>
      <x:c r="J122" s="30"/>
      <x:c r="K122" s="30"/>
      <x:c r="L122" s="30"/>
      <x:c r="M122" s="30"/>
      <x:c r="N122" s="30"/>
      <x:c r="O122" s="30"/>
      <x:c r="P122" s="30"/>
      <x:c r="Q122" s="30"/>
      <x:c r="R122" s="30"/>
      <x:c r="S122" s="30"/>
      <x:c r="T122" s="30"/>
      <x:c r="U122" s="30"/>
      <x:c r="V122" s="30"/>
      <x:c r="W122" s="30"/>
      <x:c r="X122" s="30"/>
      <x:c r="Y122" s="30"/>
      <x:c r="Z122" s="30"/>
      <x:c r="AA122" s="30"/>
      <x:c r="AB122" s="30"/>
      <x:c r="AC122" s="30"/>
      <x:c r="AD122" s="30"/>
      <x:c r="AE122" s="30"/>
      <x:c r="AF122" s="30"/>
      <x:c r="AG122" s="30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>
      <x:c r="A123" s="1"/>
      <x:c r="B123" s="1"/>
      <x:c r="C123" s="30"/>
      <x:c r="D123" s="30"/>
      <x:c r="E123" s="30"/>
      <x:c r="F123" s="30"/>
      <x:c r="G123" s="30"/>
      <x:c r="H123" s="30"/>
      <x:c r="I123" s="30"/>
      <x:c r="J123" s="30"/>
      <x:c r="K123" s="30"/>
      <x:c r="L123" s="30"/>
      <x:c r="M123" s="30"/>
      <x:c r="N123" s="30"/>
      <x:c r="O123" s="30"/>
      <x:c r="P123" s="30"/>
      <x:c r="Q123" s="30"/>
      <x:c r="R123" s="30"/>
      <x:c r="S123" s="30"/>
      <x:c r="T123" s="30"/>
      <x:c r="U123" s="30"/>
      <x:c r="V123" s="30"/>
      <x:c r="W123" s="30"/>
      <x:c r="X123" s="30"/>
      <x:c r="Y123" s="30"/>
      <x:c r="Z123" s="30"/>
      <x:c r="AA123" s="30"/>
      <x:c r="AB123" s="30"/>
      <x:c r="AC123" s="30"/>
      <x:c r="AD123" s="30"/>
      <x:c r="AE123" s="30"/>
      <x:c r="AF123" s="30"/>
      <x:c r="AG123" s="30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>
      <x:c r="A124" s="1"/>
      <x:c r="B124" s="1"/>
      <x:c r="C124" s="30"/>
      <x:c r="D124" s="30"/>
      <x:c r="E124" s="30"/>
      <x:c r="F124" s="30"/>
      <x:c r="G124" s="30"/>
      <x:c r="H124" s="30"/>
      <x:c r="I124" s="30"/>
      <x:c r="J124" s="30"/>
      <x:c r="K124" s="30"/>
      <x:c r="L124" s="30"/>
      <x:c r="M124" s="30"/>
      <x:c r="N124" s="30"/>
      <x:c r="O124" s="30"/>
      <x:c r="P124" s="30"/>
      <x:c r="Q124" s="30"/>
      <x:c r="R124" s="30"/>
      <x:c r="S124" s="30"/>
      <x:c r="T124" s="30"/>
      <x:c r="U124" s="30"/>
      <x:c r="V124" s="30"/>
      <x:c r="W124" s="30"/>
      <x:c r="X124" s="30"/>
      <x:c r="Y124" s="30"/>
      <x:c r="Z124" s="30"/>
      <x:c r="AA124" s="30"/>
      <x:c r="AB124" s="30"/>
      <x:c r="AC124" s="30"/>
      <x:c r="AD124" s="30"/>
      <x:c r="AE124" s="30"/>
      <x:c r="AF124" s="30"/>
      <x:c r="AG124" s="30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>
      <x:c r="A125" s="1"/>
      <x:c r="B125" s="1"/>
      <x:c r="C125" s="30"/>
      <x:c r="D125" s="30"/>
      <x:c r="E125" s="30"/>
      <x:c r="F125" s="30"/>
      <x:c r="G125" s="30"/>
      <x:c r="H125" s="30"/>
      <x:c r="I125" s="30"/>
      <x:c r="J125" s="30"/>
      <x:c r="K125" s="30"/>
      <x:c r="L125" s="30"/>
      <x:c r="M125" s="30"/>
      <x:c r="N125" s="30"/>
      <x:c r="O125" s="30"/>
      <x:c r="P125" s="30"/>
      <x:c r="Q125" s="30"/>
      <x:c r="R125" s="30"/>
      <x:c r="S125" s="30"/>
      <x:c r="T125" s="30"/>
      <x:c r="U125" s="30"/>
      <x:c r="V125" s="30"/>
      <x:c r="W125" s="30"/>
      <x:c r="X125" s="30"/>
      <x:c r="Y125" s="30"/>
      <x:c r="Z125" s="30"/>
      <x:c r="AA125" s="30"/>
      <x:c r="AB125" s="30"/>
      <x:c r="AC125" s="30"/>
      <x:c r="AD125" s="30"/>
      <x:c r="AE125" s="30"/>
      <x:c r="AF125" s="30"/>
      <x:c r="AG125" s="30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>
      <x:c r="A126" s="1"/>
      <x:c r="B126" s="1"/>
      <x:c r="C126" s="30"/>
      <x:c r="D126" s="30"/>
      <x:c r="E126" s="30"/>
      <x:c r="F126" s="30"/>
      <x:c r="G126" s="30"/>
      <x:c r="H126" s="30"/>
      <x:c r="I126" s="30"/>
      <x:c r="J126" s="30"/>
      <x:c r="K126" s="30"/>
      <x:c r="L126" s="30"/>
      <x:c r="M126" s="30"/>
      <x:c r="N126" s="30"/>
      <x:c r="O126" s="30"/>
      <x:c r="P126" s="30"/>
      <x:c r="Q126" s="30"/>
      <x:c r="R126" s="30"/>
      <x:c r="S126" s="30"/>
      <x:c r="T126" s="30"/>
      <x:c r="U126" s="30"/>
      <x:c r="V126" s="30"/>
      <x:c r="W126" s="30"/>
      <x:c r="X126" s="30"/>
      <x:c r="Y126" s="30"/>
      <x:c r="Z126" s="30"/>
      <x:c r="AA126" s="30"/>
      <x:c r="AB126" s="30"/>
      <x:c r="AC126" s="30"/>
      <x:c r="AD126" s="30"/>
      <x:c r="AE126" s="30"/>
      <x:c r="AF126" s="30"/>
      <x:c r="AG126" s="30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>
      <x:c r="A127" s="1"/>
      <x:c r="B127" s="1"/>
      <x:c r="C127" s="30"/>
      <x:c r="D127" s="30"/>
      <x:c r="E127" s="30"/>
      <x:c r="F127" s="30"/>
      <x:c r="G127" s="30"/>
      <x:c r="H127" s="30"/>
      <x:c r="I127" s="30"/>
      <x:c r="J127" s="30"/>
      <x:c r="K127" s="30"/>
      <x:c r="L127" s="30"/>
      <x:c r="M127" s="30"/>
      <x:c r="N127" s="30"/>
      <x:c r="O127" s="30"/>
      <x:c r="P127" s="30"/>
      <x:c r="Q127" s="30"/>
      <x:c r="R127" s="30"/>
      <x:c r="S127" s="30"/>
      <x:c r="T127" s="30"/>
      <x:c r="U127" s="30"/>
      <x:c r="V127" s="30"/>
      <x:c r="W127" s="30"/>
      <x:c r="X127" s="30"/>
      <x:c r="Y127" s="30"/>
      <x:c r="Z127" s="30"/>
      <x:c r="AA127" s="30"/>
      <x:c r="AB127" s="30"/>
      <x:c r="AC127" s="30"/>
      <x:c r="AD127" s="30"/>
      <x:c r="AE127" s="30"/>
      <x:c r="AF127" s="30"/>
      <x:c r="AG127" s="30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>
      <x:c r="A128" s="1"/>
      <x:c r="B128" s="1"/>
      <x:c r="C128" s="30"/>
      <x:c r="D128" s="30"/>
      <x:c r="E128" s="30"/>
      <x:c r="F128" s="30"/>
      <x:c r="G128" s="30"/>
      <x:c r="H128" s="30"/>
      <x:c r="I128" s="30"/>
      <x:c r="J128" s="30"/>
      <x:c r="K128" s="30"/>
      <x:c r="L128" s="30"/>
      <x:c r="M128" s="30"/>
      <x:c r="N128" s="30"/>
      <x:c r="O128" s="30"/>
      <x:c r="P128" s="30"/>
      <x:c r="Q128" s="30"/>
      <x:c r="R128" s="30"/>
      <x:c r="S128" s="30"/>
      <x:c r="T128" s="30"/>
      <x:c r="U128" s="30"/>
      <x:c r="V128" s="30"/>
      <x:c r="W128" s="30"/>
      <x:c r="X128" s="30"/>
      <x:c r="Y128" s="30"/>
      <x:c r="Z128" s="30"/>
      <x:c r="AA128" s="30"/>
      <x:c r="AB128" s="30"/>
      <x:c r="AC128" s="30"/>
      <x:c r="AD128" s="30"/>
      <x:c r="AE128" s="30"/>
      <x:c r="AF128" s="30"/>
      <x:c r="AG128" s="30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>
      <x:c r="A129" s="1"/>
      <x:c r="B129" s="1"/>
      <x:c r="C129" s="30"/>
      <x:c r="D129" s="30"/>
      <x:c r="E129" s="30"/>
      <x:c r="F129" s="30"/>
      <x:c r="G129" s="30"/>
      <x:c r="H129" s="30"/>
      <x:c r="I129" s="30"/>
      <x:c r="J129" s="30"/>
      <x:c r="K129" s="30"/>
      <x:c r="L129" s="30"/>
      <x:c r="M129" s="30"/>
      <x:c r="N129" s="30"/>
      <x:c r="O129" s="30"/>
      <x:c r="P129" s="30"/>
      <x:c r="Q129" s="30"/>
      <x:c r="R129" s="30"/>
      <x:c r="S129" s="30"/>
      <x:c r="T129" s="30"/>
      <x:c r="U129" s="30"/>
      <x:c r="V129" s="30"/>
      <x:c r="W129" s="30"/>
      <x:c r="X129" s="30"/>
      <x:c r="Y129" s="30"/>
      <x:c r="Z129" s="30"/>
      <x:c r="AA129" s="30"/>
      <x:c r="AB129" s="30"/>
      <x:c r="AC129" s="30"/>
      <x:c r="AD129" s="30"/>
      <x:c r="AE129" s="30"/>
      <x:c r="AF129" s="30"/>
      <x:c r="AG129" s="30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>
      <x:c r="A130" s="1"/>
      <x:c r="B130" s="1"/>
      <x:c r="C130" s="30"/>
      <x:c r="D130" s="30"/>
      <x:c r="E130" s="30"/>
      <x:c r="F130" s="30"/>
      <x:c r="G130" s="30"/>
      <x:c r="H130" s="30"/>
      <x:c r="I130" s="30"/>
      <x:c r="J130" s="30"/>
      <x:c r="K130" s="30"/>
      <x:c r="L130" s="30"/>
      <x:c r="M130" s="30"/>
      <x:c r="N130" s="30"/>
      <x:c r="O130" s="30"/>
      <x:c r="P130" s="30"/>
      <x:c r="Q130" s="30"/>
      <x:c r="R130" s="30"/>
      <x:c r="S130" s="30"/>
      <x:c r="T130" s="30"/>
      <x:c r="U130" s="30"/>
      <x:c r="V130" s="30"/>
      <x:c r="W130" s="30"/>
      <x:c r="X130" s="30"/>
      <x:c r="Y130" s="30"/>
      <x:c r="Z130" s="30"/>
      <x:c r="AA130" s="30"/>
      <x:c r="AB130" s="30"/>
      <x:c r="AC130" s="30"/>
      <x:c r="AD130" s="30"/>
      <x:c r="AE130" s="30"/>
      <x:c r="AF130" s="30"/>
      <x:c r="AG130" s="30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>
      <x:c r="A131" s="1"/>
      <x:c r="B131" s="1"/>
      <x:c r="C131" s="30"/>
      <x:c r="D131" s="30"/>
      <x:c r="E131" s="30"/>
      <x:c r="F131" s="30"/>
      <x:c r="G131" s="30"/>
      <x:c r="H131" s="30"/>
      <x:c r="I131" s="30"/>
      <x:c r="J131" s="30"/>
      <x:c r="K131" s="30"/>
      <x:c r="L131" s="30"/>
      <x:c r="M131" s="30"/>
      <x:c r="N131" s="30"/>
      <x:c r="O131" s="30"/>
      <x:c r="P131" s="30"/>
      <x:c r="Q131" s="30"/>
      <x:c r="R131" s="30"/>
      <x:c r="S131" s="30"/>
      <x:c r="T131" s="30"/>
      <x:c r="U131" s="30"/>
      <x:c r="V131" s="30"/>
      <x:c r="W131" s="30"/>
      <x:c r="X131" s="30"/>
      <x:c r="Y131" s="30"/>
      <x:c r="Z131" s="30"/>
      <x:c r="AA131" s="30"/>
      <x:c r="AB131" s="30"/>
      <x:c r="AC131" s="30"/>
      <x:c r="AD131" s="30"/>
      <x:c r="AE131" s="30"/>
      <x:c r="AF131" s="30"/>
      <x:c r="AG131" s="30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>
      <x:c r="A132" s="1"/>
      <x:c r="B132" s="1"/>
      <x:c r="C132" s="30"/>
      <x:c r="D132" s="30"/>
      <x:c r="E132" s="30"/>
      <x:c r="F132" s="30"/>
      <x:c r="G132" s="30"/>
      <x:c r="H132" s="30"/>
      <x:c r="I132" s="30"/>
      <x:c r="J132" s="30"/>
      <x:c r="K132" s="30"/>
      <x:c r="L132" s="30"/>
      <x:c r="M132" s="30"/>
      <x:c r="N132" s="30"/>
      <x:c r="O132" s="30"/>
      <x:c r="P132" s="30"/>
      <x:c r="Q132" s="30"/>
      <x:c r="R132" s="30"/>
      <x:c r="S132" s="30"/>
      <x:c r="T132" s="30"/>
      <x:c r="U132" s="30"/>
      <x:c r="V132" s="30"/>
      <x:c r="W132" s="30"/>
      <x:c r="X132" s="30"/>
      <x:c r="Y132" s="30"/>
      <x:c r="Z132" s="30"/>
      <x:c r="AA132" s="30"/>
      <x:c r="AB132" s="30"/>
      <x:c r="AC132" s="30"/>
      <x:c r="AD132" s="30"/>
      <x:c r="AE132" s="30"/>
      <x:c r="AF132" s="30"/>
      <x:c r="AG132" s="30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>
      <x:c r="A133" s="1"/>
      <x:c r="B133" s="1"/>
      <x:c r="C133" s="30"/>
      <x:c r="D133" s="30"/>
      <x:c r="E133" s="30"/>
      <x:c r="F133" s="30"/>
      <x:c r="G133" s="30"/>
      <x:c r="H133" s="30"/>
      <x:c r="I133" s="30"/>
      <x:c r="J133" s="30"/>
      <x:c r="K133" s="30"/>
      <x:c r="L133" s="30"/>
      <x:c r="M133" s="30"/>
      <x:c r="N133" s="30"/>
      <x:c r="O133" s="30"/>
      <x:c r="P133" s="30"/>
      <x:c r="Q133" s="30"/>
      <x:c r="R133" s="30"/>
      <x:c r="S133" s="30"/>
      <x:c r="T133" s="30"/>
      <x:c r="U133" s="30"/>
      <x:c r="V133" s="30"/>
      <x:c r="W133" s="30"/>
      <x:c r="X133" s="30"/>
      <x:c r="Y133" s="30"/>
      <x:c r="Z133" s="30"/>
      <x:c r="AA133" s="30"/>
      <x:c r="AB133" s="30"/>
      <x:c r="AC133" s="30"/>
      <x:c r="AD133" s="30"/>
      <x:c r="AE133" s="30"/>
      <x:c r="AF133" s="30"/>
      <x:c r="AG133" s="30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>
      <x:c r="A134" s="1"/>
      <x:c r="B134" s="1"/>
      <x:c r="C134" s="30"/>
      <x:c r="D134" s="30"/>
      <x:c r="E134" s="30"/>
      <x:c r="F134" s="30"/>
      <x:c r="G134" s="30"/>
      <x:c r="H134" s="30"/>
      <x:c r="I134" s="30"/>
      <x:c r="J134" s="30"/>
      <x:c r="K134" s="30"/>
      <x:c r="L134" s="30"/>
      <x:c r="M134" s="30"/>
      <x:c r="N134" s="30"/>
      <x:c r="O134" s="30"/>
      <x:c r="P134" s="30"/>
      <x:c r="Q134" s="30"/>
      <x:c r="R134" s="30"/>
      <x:c r="S134" s="30"/>
      <x:c r="T134" s="30"/>
      <x:c r="U134" s="30"/>
      <x:c r="V134" s="30"/>
      <x:c r="W134" s="30"/>
      <x:c r="X134" s="30"/>
      <x:c r="Y134" s="30"/>
      <x:c r="Z134" s="30"/>
      <x:c r="AA134" s="30"/>
      <x:c r="AB134" s="30"/>
      <x:c r="AC134" s="30"/>
      <x:c r="AD134" s="30"/>
      <x:c r="AE134" s="30"/>
      <x:c r="AF134" s="30"/>
      <x:c r="AG134" s="30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>
      <x:c r="A135" s="1"/>
      <x:c r="B135" s="1"/>
      <x:c r="C135" s="30"/>
      <x:c r="D135" s="30"/>
      <x:c r="E135" s="30"/>
      <x:c r="F135" s="30"/>
      <x:c r="G135" s="30"/>
      <x:c r="H135" s="30"/>
      <x:c r="I135" s="30"/>
      <x:c r="J135" s="30"/>
      <x:c r="K135" s="30"/>
      <x:c r="L135" s="30"/>
      <x:c r="M135" s="30"/>
      <x:c r="N135" s="30"/>
      <x:c r="O135" s="30"/>
      <x:c r="P135" s="30"/>
      <x:c r="Q135" s="30"/>
      <x:c r="R135" s="30"/>
      <x:c r="S135" s="30"/>
      <x:c r="T135" s="30"/>
      <x:c r="U135" s="30"/>
      <x:c r="V135" s="30"/>
      <x:c r="W135" s="30"/>
      <x:c r="X135" s="30"/>
      <x:c r="Y135" s="30"/>
      <x:c r="Z135" s="30"/>
      <x:c r="AA135" s="30"/>
      <x:c r="AB135" s="30"/>
      <x:c r="AC135" s="30"/>
      <x:c r="AD135" s="30"/>
      <x:c r="AE135" s="30"/>
      <x:c r="AF135" s="30"/>
      <x:c r="AG135" s="30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>
      <x:c r="A136" s="1"/>
      <x:c r="B136" s="1"/>
      <x:c r="C136" s="30"/>
      <x:c r="D136" s="30"/>
      <x:c r="E136" s="30"/>
      <x:c r="F136" s="30"/>
      <x:c r="G136" s="30"/>
      <x:c r="H136" s="30"/>
      <x:c r="I136" s="30"/>
      <x:c r="J136" s="30"/>
      <x:c r="K136" s="30"/>
      <x:c r="L136" s="30"/>
      <x:c r="M136" s="30"/>
      <x:c r="N136" s="30"/>
      <x:c r="O136" s="30"/>
      <x:c r="P136" s="30"/>
      <x:c r="Q136" s="30"/>
      <x:c r="R136" s="30"/>
      <x:c r="S136" s="30"/>
      <x:c r="T136" s="30"/>
      <x:c r="U136" s="30"/>
      <x:c r="V136" s="30"/>
      <x:c r="W136" s="30"/>
      <x:c r="X136" s="30"/>
      <x:c r="Y136" s="30"/>
      <x:c r="Z136" s="30"/>
      <x:c r="AA136" s="30"/>
      <x:c r="AB136" s="30"/>
      <x:c r="AC136" s="30"/>
      <x:c r="AD136" s="30"/>
      <x:c r="AE136" s="30"/>
      <x:c r="AF136" s="30"/>
      <x:c r="AG136" s="30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>
      <x:c r="A137" s="1"/>
      <x:c r="B137" s="1"/>
      <x:c r="C137" s="30"/>
      <x:c r="D137" s="30"/>
      <x:c r="E137" s="30"/>
      <x:c r="F137" s="30"/>
      <x:c r="G137" s="30"/>
      <x:c r="H137" s="30"/>
      <x:c r="I137" s="30"/>
      <x:c r="J137" s="30"/>
      <x:c r="K137" s="30"/>
      <x:c r="L137" s="30"/>
      <x:c r="M137" s="30"/>
      <x:c r="N137" s="30"/>
      <x:c r="O137" s="30"/>
      <x:c r="P137" s="30"/>
      <x:c r="Q137" s="30"/>
      <x:c r="R137" s="30"/>
      <x:c r="S137" s="30"/>
      <x:c r="T137" s="30"/>
      <x:c r="U137" s="30"/>
      <x:c r="V137" s="30"/>
      <x:c r="W137" s="30"/>
      <x:c r="X137" s="30"/>
      <x:c r="Y137" s="30"/>
      <x:c r="Z137" s="30"/>
      <x:c r="AA137" s="30"/>
      <x:c r="AB137" s="30"/>
      <x:c r="AC137" s="30"/>
      <x:c r="AD137" s="30"/>
      <x:c r="AE137" s="30"/>
      <x:c r="AF137" s="30"/>
      <x:c r="AG137" s="30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>
      <x:c r="A138" s="1"/>
      <x:c r="B138" s="1"/>
      <x:c r="C138" s="30"/>
      <x:c r="D138" s="30"/>
      <x:c r="E138" s="30"/>
      <x:c r="F138" s="30"/>
      <x:c r="G138" s="30"/>
      <x:c r="H138" s="30"/>
      <x:c r="I138" s="30"/>
      <x:c r="J138" s="30"/>
      <x:c r="K138" s="30"/>
      <x:c r="L138" s="30"/>
      <x:c r="M138" s="30"/>
      <x:c r="N138" s="30"/>
      <x:c r="O138" s="30"/>
      <x:c r="P138" s="30"/>
      <x:c r="Q138" s="30"/>
      <x:c r="R138" s="30"/>
      <x:c r="S138" s="30"/>
      <x:c r="T138" s="30"/>
      <x:c r="U138" s="30"/>
      <x:c r="V138" s="30"/>
      <x:c r="W138" s="30"/>
      <x:c r="X138" s="30"/>
      <x:c r="Y138" s="30"/>
      <x:c r="Z138" s="30"/>
      <x:c r="AA138" s="30"/>
      <x:c r="AB138" s="30"/>
      <x:c r="AC138" s="30"/>
      <x:c r="AD138" s="30"/>
      <x:c r="AE138" s="30"/>
      <x:c r="AF138" s="30"/>
      <x:c r="AG138" s="30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>
      <x:c r="A139" s="1"/>
      <x:c r="B139" s="1"/>
      <x:c r="C139" s="30"/>
      <x:c r="D139" s="30"/>
      <x:c r="E139" s="30"/>
      <x:c r="F139" s="30"/>
      <x:c r="G139" s="30"/>
      <x:c r="H139" s="30"/>
      <x:c r="I139" s="30"/>
      <x:c r="J139" s="30"/>
      <x:c r="K139" s="30"/>
      <x:c r="L139" s="30"/>
      <x:c r="M139" s="30"/>
      <x:c r="N139" s="30"/>
      <x:c r="O139" s="30"/>
      <x:c r="P139" s="30"/>
      <x:c r="Q139" s="30"/>
      <x:c r="R139" s="30"/>
      <x:c r="S139" s="30"/>
      <x:c r="T139" s="30"/>
      <x:c r="U139" s="30"/>
      <x:c r="V139" s="30"/>
      <x:c r="W139" s="30"/>
      <x:c r="X139" s="30"/>
      <x:c r="Y139" s="30"/>
      <x:c r="Z139" s="30"/>
      <x:c r="AA139" s="30"/>
      <x:c r="AB139" s="30"/>
      <x:c r="AC139" s="30"/>
      <x:c r="AD139" s="30"/>
      <x:c r="AE139" s="30"/>
      <x:c r="AF139" s="30"/>
      <x:c r="AG139" s="30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>
      <x:c r="A140" s="1"/>
      <x:c r="B140" s="1"/>
      <x:c r="C140" s="30"/>
      <x:c r="D140" s="30"/>
      <x:c r="E140" s="30"/>
      <x:c r="F140" s="30"/>
      <x:c r="G140" s="30"/>
      <x:c r="H140" s="30"/>
      <x:c r="I140" s="30"/>
      <x:c r="J140" s="30"/>
      <x:c r="K140" s="30"/>
      <x:c r="L140" s="30"/>
      <x:c r="M140" s="30"/>
      <x:c r="N140" s="30"/>
      <x:c r="O140" s="30"/>
      <x:c r="P140" s="30"/>
      <x:c r="Q140" s="30"/>
      <x:c r="R140" s="30"/>
      <x:c r="S140" s="30"/>
      <x:c r="T140" s="30"/>
      <x:c r="U140" s="30"/>
      <x:c r="V140" s="30"/>
      <x:c r="W140" s="30"/>
      <x:c r="X140" s="30"/>
      <x:c r="Y140" s="30"/>
      <x:c r="Z140" s="30"/>
      <x:c r="AA140" s="30"/>
      <x:c r="AB140" s="30"/>
      <x:c r="AC140" s="30"/>
      <x:c r="AD140" s="30"/>
      <x:c r="AE140" s="30"/>
      <x:c r="AF140" s="30"/>
      <x:c r="AG140" s="30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>
      <x:c r="A141" s="1"/>
      <x:c r="B141" s="1"/>
      <x:c r="C141" s="30"/>
      <x:c r="D141" s="30"/>
      <x:c r="E141" s="30"/>
      <x:c r="F141" s="30"/>
      <x:c r="G141" s="30"/>
      <x:c r="H141" s="30"/>
      <x:c r="I141" s="30"/>
      <x:c r="J141" s="30"/>
      <x:c r="K141" s="30"/>
      <x:c r="L141" s="30"/>
      <x:c r="M141" s="30"/>
      <x:c r="N141" s="30"/>
      <x:c r="O141" s="30"/>
      <x:c r="P141" s="30"/>
      <x:c r="Q141" s="30"/>
      <x:c r="R141" s="30"/>
      <x:c r="S141" s="30"/>
      <x:c r="T141" s="30"/>
      <x:c r="U141" s="30"/>
      <x:c r="V141" s="30"/>
      <x:c r="W141" s="30"/>
      <x:c r="X141" s="30"/>
      <x:c r="Y141" s="30"/>
      <x:c r="Z141" s="30"/>
      <x:c r="AA141" s="30"/>
      <x:c r="AB141" s="30"/>
      <x:c r="AC141" s="30"/>
      <x:c r="AD141" s="30"/>
      <x:c r="AE141" s="30"/>
      <x:c r="AF141" s="30"/>
      <x:c r="AG141" s="30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>
      <x:c r="A142" s="1"/>
      <x:c r="B142" s="1"/>
      <x:c r="C142" s="30"/>
      <x:c r="D142" s="30"/>
      <x:c r="E142" s="30"/>
      <x:c r="F142" s="30"/>
      <x:c r="G142" s="30"/>
      <x:c r="H142" s="30"/>
      <x:c r="I142" s="30"/>
      <x:c r="J142" s="30"/>
      <x:c r="K142" s="30"/>
      <x:c r="L142" s="30"/>
      <x:c r="M142" s="30"/>
      <x:c r="N142" s="30"/>
      <x:c r="O142" s="30"/>
      <x:c r="P142" s="30"/>
      <x:c r="Q142" s="30"/>
      <x:c r="R142" s="30"/>
      <x:c r="S142" s="30"/>
      <x:c r="T142" s="30"/>
      <x:c r="U142" s="30"/>
      <x:c r="V142" s="30"/>
      <x:c r="W142" s="30"/>
      <x:c r="X142" s="30"/>
      <x:c r="Y142" s="30"/>
      <x:c r="Z142" s="30"/>
      <x:c r="AA142" s="30"/>
      <x:c r="AB142" s="30"/>
      <x:c r="AC142" s="30"/>
      <x:c r="AD142" s="30"/>
      <x:c r="AE142" s="30"/>
      <x:c r="AF142" s="30"/>
      <x:c r="AG142" s="30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>
      <x:c r="A143" s="1"/>
      <x:c r="B143" s="1"/>
      <x:c r="C143" s="30"/>
      <x:c r="D143" s="30"/>
      <x:c r="E143" s="30"/>
      <x:c r="F143" s="30"/>
      <x:c r="G143" s="30"/>
      <x:c r="H143" s="30"/>
      <x:c r="I143" s="30"/>
      <x:c r="J143" s="30"/>
      <x:c r="K143" s="30"/>
      <x:c r="L143" s="30"/>
      <x:c r="M143" s="30"/>
      <x:c r="N143" s="30"/>
      <x:c r="O143" s="30"/>
      <x:c r="P143" s="30"/>
      <x:c r="Q143" s="30"/>
      <x:c r="R143" s="30"/>
      <x:c r="S143" s="30"/>
      <x:c r="T143" s="30"/>
      <x:c r="U143" s="30"/>
      <x:c r="V143" s="30"/>
      <x:c r="W143" s="30"/>
      <x:c r="X143" s="30"/>
      <x:c r="Y143" s="30"/>
      <x:c r="Z143" s="30"/>
      <x:c r="AA143" s="30"/>
      <x:c r="AB143" s="30"/>
      <x:c r="AC143" s="30"/>
      <x:c r="AD143" s="30"/>
      <x:c r="AE143" s="30"/>
      <x:c r="AF143" s="30"/>
      <x:c r="AG143" s="30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>
      <x:c r="A144" s="1"/>
      <x:c r="B144" s="1"/>
      <x:c r="C144" s="30"/>
      <x:c r="D144" s="30"/>
      <x:c r="E144" s="30"/>
      <x:c r="F144" s="30"/>
      <x:c r="G144" s="30"/>
      <x:c r="H144" s="30"/>
      <x:c r="I144" s="30"/>
      <x:c r="J144" s="30"/>
      <x:c r="K144" s="30"/>
      <x:c r="L144" s="30"/>
      <x:c r="M144" s="30"/>
      <x:c r="N144" s="30"/>
      <x:c r="O144" s="30"/>
      <x:c r="P144" s="30"/>
      <x:c r="Q144" s="30"/>
      <x:c r="R144" s="30"/>
      <x:c r="S144" s="30"/>
      <x:c r="T144" s="30"/>
      <x:c r="U144" s="30"/>
      <x:c r="V144" s="30"/>
      <x:c r="W144" s="30"/>
      <x:c r="X144" s="30"/>
      <x:c r="Y144" s="30"/>
      <x:c r="Z144" s="30"/>
      <x:c r="AA144" s="30"/>
      <x:c r="AB144" s="30"/>
      <x:c r="AC144" s="30"/>
      <x:c r="AD144" s="30"/>
      <x:c r="AE144" s="30"/>
      <x:c r="AF144" s="30"/>
      <x:c r="AG144" s="30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>
      <x:c r="A145" s="1"/>
      <x:c r="B145" s="1"/>
      <x:c r="C145" s="30"/>
      <x:c r="D145" s="30"/>
      <x:c r="E145" s="30"/>
      <x:c r="F145" s="30"/>
      <x:c r="G145" s="30"/>
      <x:c r="H145" s="30"/>
      <x:c r="I145" s="30"/>
      <x:c r="J145" s="30"/>
      <x:c r="K145" s="30"/>
      <x:c r="L145" s="30"/>
      <x:c r="M145" s="30"/>
      <x:c r="N145" s="30"/>
      <x:c r="O145" s="30"/>
      <x:c r="P145" s="30"/>
      <x:c r="Q145" s="30"/>
      <x:c r="R145" s="30"/>
      <x:c r="S145" s="30"/>
      <x:c r="T145" s="30"/>
      <x:c r="U145" s="30"/>
      <x:c r="V145" s="30"/>
      <x:c r="W145" s="30"/>
      <x:c r="X145" s="30"/>
      <x:c r="Y145" s="30"/>
      <x:c r="Z145" s="30"/>
      <x:c r="AA145" s="30"/>
      <x:c r="AB145" s="30"/>
      <x:c r="AC145" s="30"/>
      <x:c r="AD145" s="30"/>
      <x:c r="AE145" s="30"/>
      <x:c r="AF145" s="30"/>
      <x:c r="AG145" s="30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>
      <x:c r="A146" s="1"/>
      <x:c r="B146" s="1"/>
      <x:c r="C146" s="30"/>
      <x:c r="D146" s="30"/>
      <x:c r="E146" s="30"/>
      <x:c r="F146" s="30"/>
      <x:c r="G146" s="30"/>
      <x:c r="H146" s="30"/>
      <x:c r="I146" s="30"/>
      <x:c r="J146" s="30"/>
      <x:c r="K146" s="30"/>
      <x:c r="L146" s="30"/>
      <x:c r="M146" s="30"/>
      <x:c r="N146" s="30"/>
      <x:c r="O146" s="30"/>
      <x:c r="P146" s="30"/>
      <x:c r="Q146" s="30"/>
      <x:c r="R146" s="30"/>
      <x:c r="S146" s="30"/>
      <x:c r="T146" s="30"/>
      <x:c r="U146" s="30"/>
      <x:c r="V146" s="30"/>
      <x:c r="W146" s="30"/>
      <x:c r="X146" s="30"/>
      <x:c r="Y146" s="30"/>
      <x:c r="Z146" s="30"/>
      <x:c r="AA146" s="30"/>
      <x:c r="AB146" s="30"/>
      <x:c r="AC146" s="30"/>
      <x:c r="AD146" s="30"/>
      <x:c r="AE146" s="30"/>
      <x:c r="AF146" s="30"/>
      <x:c r="AG146" s="30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>
      <x:c r="A147" s="1"/>
      <x:c r="B147" s="1"/>
      <x:c r="C147" s="30"/>
      <x:c r="D147" s="30"/>
      <x:c r="E147" s="30"/>
      <x:c r="F147" s="30"/>
      <x:c r="G147" s="30"/>
      <x:c r="H147" s="30"/>
      <x:c r="I147" s="30"/>
      <x:c r="J147" s="30"/>
      <x:c r="K147" s="30"/>
      <x:c r="L147" s="30"/>
      <x:c r="M147" s="30"/>
      <x:c r="N147" s="30"/>
      <x:c r="O147" s="30"/>
      <x:c r="P147" s="30"/>
      <x:c r="Q147" s="30"/>
      <x:c r="R147" s="30"/>
      <x:c r="S147" s="30"/>
      <x:c r="T147" s="30"/>
      <x:c r="U147" s="30"/>
      <x:c r="V147" s="30"/>
      <x:c r="W147" s="30"/>
      <x:c r="X147" s="30"/>
      <x:c r="Y147" s="30"/>
      <x:c r="Z147" s="30"/>
      <x:c r="AA147" s="30"/>
      <x:c r="AB147" s="30"/>
      <x:c r="AC147" s="30"/>
      <x:c r="AD147" s="30"/>
      <x:c r="AE147" s="30"/>
      <x:c r="AF147" s="30"/>
      <x:c r="AG147" s="30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>
      <x:c r="A148" s="1"/>
      <x:c r="B148" s="1"/>
      <x:c r="C148" s="30"/>
      <x:c r="D148" s="30"/>
      <x:c r="E148" s="30"/>
      <x:c r="F148" s="30"/>
      <x:c r="G148" s="30"/>
      <x:c r="H148" s="30"/>
      <x:c r="I148" s="30"/>
      <x:c r="J148" s="30"/>
      <x:c r="K148" s="30"/>
      <x:c r="L148" s="30"/>
      <x:c r="M148" s="30"/>
      <x:c r="N148" s="30"/>
      <x:c r="O148" s="30"/>
      <x:c r="P148" s="30"/>
      <x:c r="Q148" s="30"/>
      <x:c r="R148" s="30"/>
      <x:c r="S148" s="30"/>
      <x:c r="T148" s="30"/>
      <x:c r="U148" s="30"/>
      <x:c r="V148" s="30"/>
      <x:c r="W148" s="30"/>
      <x:c r="X148" s="30"/>
      <x:c r="Y148" s="30"/>
      <x:c r="Z148" s="30"/>
      <x:c r="AA148" s="30"/>
      <x:c r="AB148" s="30"/>
      <x:c r="AC148" s="30"/>
      <x:c r="AD148" s="30"/>
      <x:c r="AE148" s="30"/>
      <x:c r="AF148" s="30"/>
      <x:c r="AG148" s="30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>
      <x:c r="A149" s="1"/>
      <x:c r="B149" s="1"/>
      <x:c r="C149" s="30"/>
      <x:c r="D149" s="30"/>
      <x:c r="E149" s="30"/>
      <x:c r="F149" s="30"/>
      <x:c r="G149" s="30"/>
      <x:c r="H149" s="30"/>
      <x:c r="I149" s="30"/>
      <x:c r="J149" s="30"/>
      <x:c r="K149" s="30"/>
      <x:c r="L149" s="30"/>
      <x:c r="M149" s="30"/>
      <x:c r="N149" s="30"/>
      <x:c r="O149" s="30"/>
      <x:c r="P149" s="30"/>
      <x:c r="Q149" s="30"/>
      <x:c r="R149" s="30"/>
      <x:c r="S149" s="30"/>
      <x:c r="T149" s="30"/>
      <x:c r="U149" s="30"/>
      <x:c r="V149" s="30"/>
      <x:c r="W149" s="30"/>
      <x:c r="X149" s="30"/>
      <x:c r="Y149" s="30"/>
      <x:c r="Z149" s="30"/>
      <x:c r="AA149" s="30"/>
      <x:c r="AB149" s="30"/>
      <x:c r="AC149" s="30"/>
      <x:c r="AD149" s="30"/>
      <x:c r="AE149" s="30"/>
      <x:c r="AF149" s="30"/>
      <x:c r="AG149" s="30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>
      <x:c r="A150" s="1"/>
      <x:c r="B150" s="1"/>
      <x:c r="C150" s="30"/>
      <x:c r="D150" s="30"/>
      <x:c r="E150" s="30"/>
      <x:c r="F150" s="30"/>
      <x:c r="G150" s="30"/>
      <x:c r="H150" s="30"/>
      <x:c r="I150" s="30"/>
      <x:c r="J150" s="30"/>
      <x:c r="K150" s="30"/>
      <x:c r="L150" s="30"/>
      <x:c r="M150" s="30"/>
      <x:c r="N150" s="30"/>
      <x:c r="O150" s="30"/>
      <x:c r="P150" s="30"/>
      <x:c r="Q150" s="30"/>
      <x:c r="R150" s="30"/>
      <x:c r="S150" s="30"/>
      <x:c r="T150" s="30"/>
      <x:c r="U150" s="30"/>
      <x:c r="V150" s="30"/>
      <x:c r="W150" s="30"/>
      <x:c r="X150" s="30"/>
      <x:c r="Y150" s="30"/>
      <x:c r="Z150" s="30"/>
      <x:c r="AA150" s="30"/>
      <x:c r="AB150" s="30"/>
      <x:c r="AC150" s="30"/>
      <x:c r="AD150" s="30"/>
      <x:c r="AE150" s="30"/>
      <x:c r="AF150" s="30"/>
      <x:c r="AG150" s="30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>
      <x:c r="A151" s="1"/>
      <x:c r="B151" s="1"/>
      <x:c r="C151" s="30"/>
      <x:c r="D151" s="30"/>
      <x:c r="E151" s="30"/>
      <x:c r="F151" s="30"/>
      <x:c r="G151" s="30"/>
      <x:c r="H151" s="30"/>
      <x:c r="I151" s="30"/>
      <x:c r="J151" s="30"/>
      <x:c r="K151" s="30"/>
      <x:c r="L151" s="30"/>
      <x:c r="M151" s="30"/>
      <x:c r="N151" s="30"/>
      <x:c r="O151" s="30"/>
      <x:c r="P151" s="30"/>
      <x:c r="Q151" s="30"/>
      <x:c r="R151" s="30"/>
      <x:c r="S151" s="30"/>
      <x:c r="T151" s="30"/>
      <x:c r="U151" s="30"/>
      <x:c r="V151" s="30"/>
      <x:c r="W151" s="30"/>
      <x:c r="X151" s="30"/>
      <x:c r="Y151" s="30"/>
      <x:c r="Z151" s="30"/>
      <x:c r="AA151" s="30"/>
      <x:c r="AB151" s="30"/>
      <x:c r="AC151" s="30"/>
      <x:c r="AD151" s="30"/>
      <x:c r="AE151" s="30"/>
      <x:c r="AF151" s="30"/>
      <x:c r="AG151" s="30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>
      <x:c r="A152" s="1"/>
      <x:c r="B152" s="1"/>
      <x:c r="C152" s="30"/>
      <x:c r="D152" s="30"/>
      <x:c r="E152" s="30"/>
      <x:c r="F152" s="30"/>
      <x:c r="G152" s="30"/>
      <x:c r="H152" s="30"/>
      <x:c r="I152" s="30"/>
      <x:c r="J152" s="30"/>
      <x:c r="K152" s="30"/>
      <x:c r="L152" s="30"/>
      <x:c r="M152" s="30"/>
      <x:c r="N152" s="30"/>
      <x:c r="O152" s="30"/>
      <x:c r="P152" s="30"/>
      <x:c r="Q152" s="30"/>
      <x:c r="R152" s="30"/>
      <x:c r="S152" s="30"/>
      <x:c r="T152" s="30"/>
      <x:c r="U152" s="30"/>
      <x:c r="V152" s="30"/>
      <x:c r="W152" s="30"/>
      <x:c r="X152" s="30"/>
      <x:c r="Y152" s="30"/>
      <x:c r="Z152" s="30"/>
      <x:c r="AA152" s="30"/>
      <x:c r="AB152" s="30"/>
      <x:c r="AC152" s="30"/>
      <x:c r="AD152" s="30"/>
      <x:c r="AE152" s="30"/>
      <x:c r="AF152" s="30"/>
      <x:c r="AG152" s="30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>
      <x:c r="A153" s="1"/>
      <x:c r="B153" s="1"/>
      <x:c r="C153" s="30"/>
      <x:c r="D153" s="30"/>
      <x:c r="E153" s="30"/>
      <x:c r="F153" s="30"/>
      <x:c r="G153" s="30"/>
      <x:c r="H153" s="30"/>
      <x:c r="I153" s="30"/>
      <x:c r="J153" s="30"/>
      <x:c r="K153" s="30"/>
      <x:c r="L153" s="30"/>
      <x:c r="M153" s="30"/>
      <x:c r="N153" s="30"/>
      <x:c r="O153" s="30"/>
      <x:c r="P153" s="30"/>
      <x:c r="Q153" s="30"/>
      <x:c r="R153" s="30"/>
      <x:c r="S153" s="30"/>
      <x:c r="T153" s="30"/>
      <x:c r="U153" s="30"/>
      <x:c r="V153" s="30"/>
      <x:c r="W153" s="30"/>
      <x:c r="X153" s="30"/>
      <x:c r="Y153" s="30"/>
      <x:c r="Z153" s="30"/>
      <x:c r="AA153" s="30"/>
      <x:c r="AB153" s="30"/>
      <x:c r="AC153" s="30"/>
      <x:c r="AD153" s="30"/>
      <x:c r="AE153" s="30"/>
      <x:c r="AF153" s="30"/>
      <x:c r="AG153" s="30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>
      <x:c r="A154" s="1"/>
      <x:c r="B154" s="1"/>
      <x:c r="C154" s="30"/>
      <x:c r="D154" s="30"/>
      <x:c r="E154" s="30"/>
      <x:c r="F154" s="30"/>
      <x:c r="G154" s="30"/>
      <x:c r="H154" s="30"/>
      <x:c r="I154" s="30"/>
      <x:c r="J154" s="30"/>
      <x:c r="K154" s="30"/>
      <x:c r="L154" s="30"/>
      <x:c r="M154" s="30"/>
      <x:c r="N154" s="30"/>
      <x:c r="O154" s="30"/>
      <x:c r="P154" s="30"/>
      <x:c r="Q154" s="30"/>
      <x:c r="R154" s="30"/>
      <x:c r="S154" s="30"/>
      <x:c r="T154" s="30"/>
      <x:c r="U154" s="30"/>
      <x:c r="V154" s="30"/>
      <x:c r="W154" s="30"/>
      <x:c r="X154" s="30"/>
      <x:c r="Y154" s="30"/>
      <x:c r="Z154" s="30"/>
      <x:c r="AA154" s="30"/>
      <x:c r="AB154" s="30"/>
      <x:c r="AC154" s="30"/>
      <x:c r="AD154" s="30"/>
      <x:c r="AE154" s="30"/>
      <x:c r="AF154" s="30"/>
      <x:c r="AG154" s="30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>
      <x:c r="A155" s="1"/>
      <x:c r="B155" s="1"/>
      <x:c r="C155" s="30"/>
      <x:c r="D155" s="30"/>
      <x:c r="E155" s="30"/>
      <x:c r="F155" s="30"/>
      <x:c r="G155" s="30"/>
      <x:c r="H155" s="30"/>
      <x:c r="I155" s="30"/>
      <x:c r="J155" s="30"/>
      <x:c r="K155" s="30"/>
      <x:c r="L155" s="30"/>
      <x:c r="M155" s="30"/>
      <x:c r="N155" s="30"/>
      <x:c r="O155" s="30"/>
      <x:c r="P155" s="30"/>
      <x:c r="Q155" s="30"/>
      <x:c r="R155" s="30"/>
      <x:c r="S155" s="30"/>
      <x:c r="T155" s="30"/>
      <x:c r="U155" s="30"/>
      <x:c r="V155" s="30"/>
      <x:c r="W155" s="30"/>
      <x:c r="X155" s="30"/>
      <x:c r="Y155" s="30"/>
      <x:c r="Z155" s="30"/>
      <x:c r="AA155" s="30"/>
      <x:c r="AB155" s="30"/>
      <x:c r="AC155" s="30"/>
      <x:c r="AD155" s="30"/>
      <x:c r="AE155" s="30"/>
      <x:c r="AF155" s="30"/>
      <x:c r="AG155" s="30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>
      <x:c r="A156" s="1"/>
      <x:c r="B156" s="1"/>
      <x:c r="C156" s="30"/>
      <x:c r="D156" s="30"/>
      <x:c r="E156" s="30"/>
      <x:c r="F156" s="30"/>
      <x:c r="G156" s="30"/>
      <x:c r="H156" s="30"/>
      <x:c r="I156" s="30"/>
      <x:c r="J156" s="30"/>
      <x:c r="K156" s="30"/>
      <x:c r="L156" s="30"/>
      <x:c r="M156" s="30"/>
      <x:c r="N156" s="30"/>
      <x:c r="O156" s="30"/>
      <x:c r="P156" s="30"/>
      <x:c r="Q156" s="30"/>
      <x:c r="R156" s="30"/>
      <x:c r="S156" s="30"/>
      <x:c r="T156" s="30"/>
      <x:c r="U156" s="30"/>
      <x:c r="V156" s="30"/>
      <x:c r="W156" s="30"/>
      <x:c r="X156" s="30"/>
      <x:c r="Y156" s="30"/>
      <x:c r="Z156" s="30"/>
      <x:c r="AA156" s="30"/>
      <x:c r="AB156" s="30"/>
      <x:c r="AC156" s="30"/>
      <x:c r="AD156" s="30"/>
      <x:c r="AE156" s="30"/>
      <x:c r="AF156" s="30"/>
      <x:c r="AG156" s="30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>
      <x:c r="A157" s="1"/>
      <x:c r="B157" s="1"/>
      <x:c r="C157" s="30"/>
      <x:c r="D157" s="30"/>
      <x:c r="E157" s="30"/>
      <x:c r="F157" s="30"/>
      <x:c r="G157" s="30"/>
      <x:c r="H157" s="30"/>
      <x:c r="I157" s="30"/>
      <x:c r="J157" s="30"/>
      <x:c r="K157" s="30"/>
      <x:c r="L157" s="30"/>
      <x:c r="M157" s="30"/>
      <x:c r="N157" s="30"/>
      <x:c r="O157" s="30"/>
      <x:c r="P157" s="30"/>
      <x:c r="Q157" s="30"/>
      <x:c r="R157" s="30"/>
      <x:c r="S157" s="30"/>
      <x:c r="T157" s="30"/>
      <x:c r="U157" s="30"/>
      <x:c r="V157" s="30"/>
      <x:c r="W157" s="30"/>
      <x:c r="X157" s="30"/>
      <x:c r="Y157" s="30"/>
      <x:c r="Z157" s="30"/>
      <x:c r="AA157" s="30"/>
      <x:c r="AB157" s="30"/>
      <x:c r="AC157" s="30"/>
      <x:c r="AD157" s="30"/>
      <x:c r="AE157" s="30"/>
      <x:c r="AF157" s="30"/>
      <x:c r="AG157" s="30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>
      <x:c r="A158" s="1"/>
      <x:c r="B158" s="1"/>
      <x:c r="C158" s="30"/>
      <x:c r="D158" s="30"/>
      <x:c r="E158" s="30"/>
      <x:c r="F158" s="30"/>
      <x:c r="G158" s="30"/>
      <x:c r="H158" s="30"/>
      <x:c r="I158" s="30"/>
      <x:c r="J158" s="30"/>
      <x:c r="K158" s="30"/>
      <x:c r="L158" s="30"/>
      <x:c r="M158" s="30"/>
      <x:c r="N158" s="30"/>
      <x:c r="O158" s="30"/>
      <x:c r="P158" s="30"/>
      <x:c r="Q158" s="30"/>
      <x:c r="R158" s="30"/>
      <x:c r="S158" s="30"/>
      <x:c r="T158" s="30"/>
      <x:c r="U158" s="30"/>
      <x:c r="V158" s="30"/>
      <x:c r="W158" s="30"/>
      <x:c r="X158" s="30"/>
      <x:c r="Y158" s="30"/>
      <x:c r="Z158" s="30"/>
      <x:c r="AA158" s="30"/>
      <x:c r="AB158" s="30"/>
      <x:c r="AC158" s="30"/>
      <x:c r="AD158" s="30"/>
      <x:c r="AE158" s="30"/>
      <x:c r="AF158" s="30"/>
      <x:c r="AG158" s="30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>
      <x:c r="A159" s="1"/>
      <x:c r="B159" s="1"/>
      <x:c r="C159" s="30"/>
      <x:c r="D159" s="30"/>
      <x:c r="E159" s="30"/>
      <x:c r="F159" s="30"/>
      <x:c r="G159" s="30"/>
      <x:c r="H159" s="30"/>
      <x:c r="I159" s="30"/>
      <x:c r="J159" s="30"/>
      <x:c r="K159" s="30"/>
      <x:c r="L159" s="30"/>
      <x:c r="M159" s="30"/>
      <x:c r="N159" s="30"/>
      <x:c r="O159" s="30"/>
      <x:c r="P159" s="30"/>
      <x:c r="Q159" s="30"/>
      <x:c r="R159" s="30"/>
      <x:c r="S159" s="30"/>
      <x:c r="T159" s="30"/>
      <x:c r="U159" s="30"/>
      <x:c r="V159" s="30"/>
      <x:c r="W159" s="30"/>
      <x:c r="X159" s="30"/>
      <x:c r="Y159" s="30"/>
      <x:c r="Z159" s="30"/>
      <x:c r="AA159" s="30"/>
      <x:c r="AB159" s="30"/>
      <x:c r="AC159" s="30"/>
      <x:c r="AD159" s="30"/>
      <x:c r="AE159" s="30"/>
      <x:c r="AF159" s="30"/>
      <x:c r="AG159" s="30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>
      <x:c r="A160" s="1"/>
      <x:c r="B160" s="1"/>
      <x:c r="C160" s="30"/>
      <x:c r="D160" s="30"/>
      <x:c r="E160" s="30"/>
      <x:c r="F160" s="30"/>
      <x:c r="G160" s="30"/>
      <x:c r="H160" s="30"/>
      <x:c r="I160" s="30"/>
      <x:c r="J160" s="30"/>
      <x:c r="K160" s="30"/>
      <x:c r="L160" s="30"/>
      <x:c r="M160" s="30"/>
      <x:c r="N160" s="30"/>
      <x:c r="O160" s="30"/>
      <x:c r="P160" s="30"/>
      <x:c r="Q160" s="30"/>
      <x:c r="R160" s="30"/>
      <x:c r="S160" s="30"/>
      <x:c r="T160" s="30"/>
      <x:c r="U160" s="30"/>
      <x:c r="V160" s="30"/>
      <x:c r="W160" s="30"/>
      <x:c r="X160" s="30"/>
      <x:c r="Y160" s="30"/>
      <x:c r="Z160" s="30"/>
      <x:c r="AA160" s="30"/>
      <x:c r="AB160" s="30"/>
      <x:c r="AC160" s="30"/>
      <x:c r="AD160" s="30"/>
      <x:c r="AE160" s="30"/>
      <x:c r="AF160" s="30"/>
      <x:c r="AG160" s="30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>
      <x:c r="A161" s="1"/>
      <x:c r="B161" s="1"/>
      <x:c r="C161" s="30"/>
      <x:c r="D161" s="30"/>
      <x:c r="E161" s="30"/>
      <x:c r="F161" s="30"/>
      <x:c r="G161" s="30"/>
      <x:c r="H161" s="30"/>
      <x:c r="I161" s="30"/>
      <x:c r="J161" s="30"/>
      <x:c r="K161" s="30"/>
      <x:c r="L161" s="30"/>
      <x:c r="M161" s="30"/>
      <x:c r="N161" s="30"/>
      <x:c r="O161" s="30"/>
      <x:c r="P161" s="30"/>
      <x:c r="Q161" s="30"/>
      <x:c r="R161" s="30"/>
      <x:c r="S161" s="30"/>
      <x:c r="T161" s="30"/>
      <x:c r="U161" s="30"/>
      <x:c r="V161" s="30"/>
      <x:c r="W161" s="30"/>
      <x:c r="X161" s="30"/>
      <x:c r="Y161" s="30"/>
      <x:c r="Z161" s="30"/>
      <x:c r="AA161" s="30"/>
      <x:c r="AB161" s="30"/>
      <x:c r="AC161" s="30"/>
      <x:c r="AD161" s="30"/>
      <x:c r="AE161" s="30"/>
      <x:c r="AF161" s="30"/>
      <x:c r="AG161" s="30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>
      <x:c r="A162" s="1"/>
      <x:c r="B162" s="1"/>
      <x:c r="C162" s="30"/>
      <x:c r="D162" s="30"/>
      <x:c r="E162" s="30"/>
      <x:c r="F162" s="30"/>
      <x:c r="G162" s="30"/>
      <x:c r="H162" s="30"/>
      <x:c r="I162" s="30"/>
      <x:c r="J162" s="30"/>
      <x:c r="K162" s="30"/>
      <x:c r="L162" s="30"/>
      <x:c r="M162" s="30"/>
      <x:c r="N162" s="30"/>
      <x:c r="O162" s="30"/>
      <x:c r="P162" s="30"/>
      <x:c r="Q162" s="30"/>
      <x:c r="R162" s="30"/>
      <x:c r="S162" s="30"/>
      <x:c r="T162" s="30"/>
      <x:c r="U162" s="30"/>
      <x:c r="V162" s="30"/>
      <x:c r="W162" s="30"/>
      <x:c r="X162" s="30"/>
      <x:c r="Y162" s="30"/>
      <x:c r="Z162" s="30"/>
      <x:c r="AA162" s="30"/>
      <x:c r="AB162" s="30"/>
      <x:c r="AC162" s="30"/>
      <x:c r="AD162" s="30"/>
      <x:c r="AE162" s="30"/>
      <x:c r="AF162" s="30"/>
      <x:c r="AG162" s="30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>
      <x:c r="A163" s="1"/>
      <x:c r="B163" s="1"/>
      <x:c r="C163" s="30"/>
      <x:c r="D163" s="30"/>
      <x:c r="E163" s="30"/>
      <x:c r="F163" s="30"/>
      <x:c r="G163" s="30"/>
      <x:c r="H163" s="30"/>
      <x:c r="I163" s="30"/>
      <x:c r="J163" s="30"/>
      <x:c r="K163" s="30"/>
      <x:c r="L163" s="30"/>
      <x:c r="M163" s="30"/>
      <x:c r="N163" s="30"/>
      <x:c r="O163" s="30"/>
      <x:c r="P163" s="30"/>
      <x:c r="Q163" s="30"/>
      <x:c r="R163" s="30"/>
      <x:c r="S163" s="30"/>
      <x:c r="T163" s="30"/>
      <x:c r="U163" s="30"/>
      <x:c r="V163" s="30"/>
      <x:c r="W163" s="30"/>
      <x:c r="X163" s="30"/>
      <x:c r="Y163" s="30"/>
      <x:c r="Z163" s="30"/>
      <x:c r="AA163" s="30"/>
      <x:c r="AB163" s="30"/>
      <x:c r="AC163" s="30"/>
      <x:c r="AD163" s="30"/>
      <x:c r="AE163" s="30"/>
      <x:c r="AF163" s="30"/>
      <x:c r="AG163" s="30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>
      <x:c r="A164" s="1"/>
      <x:c r="B164" s="1"/>
      <x:c r="C164" s="30"/>
      <x:c r="D164" s="30"/>
      <x:c r="E164" s="30"/>
      <x:c r="F164" s="30"/>
      <x:c r="G164" s="30"/>
      <x:c r="H164" s="30"/>
      <x:c r="I164" s="30"/>
      <x:c r="J164" s="30"/>
      <x:c r="K164" s="30"/>
      <x:c r="L164" s="30"/>
      <x:c r="M164" s="30"/>
      <x:c r="N164" s="30"/>
      <x:c r="O164" s="30"/>
      <x:c r="P164" s="30"/>
      <x:c r="Q164" s="30"/>
      <x:c r="R164" s="30"/>
      <x:c r="S164" s="30"/>
      <x:c r="T164" s="30"/>
      <x:c r="U164" s="30"/>
      <x:c r="V164" s="30"/>
      <x:c r="W164" s="30"/>
      <x:c r="X164" s="30"/>
      <x:c r="Y164" s="30"/>
      <x:c r="Z164" s="30"/>
      <x:c r="AA164" s="30"/>
      <x:c r="AB164" s="30"/>
      <x:c r="AC164" s="30"/>
      <x:c r="AD164" s="30"/>
      <x:c r="AE164" s="30"/>
      <x:c r="AF164" s="30"/>
      <x:c r="AG164" s="30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>
      <x:c r="A165" s="1"/>
      <x:c r="B165" s="1"/>
      <x:c r="C165" s="30"/>
      <x:c r="D165" s="30"/>
      <x:c r="E165" s="30"/>
      <x:c r="F165" s="30"/>
      <x:c r="G165" s="30"/>
      <x:c r="H165" s="30"/>
      <x:c r="I165" s="30"/>
      <x:c r="J165" s="30"/>
      <x:c r="K165" s="30"/>
      <x:c r="L165" s="30"/>
      <x:c r="M165" s="30"/>
      <x:c r="N165" s="30"/>
      <x:c r="O165" s="30"/>
      <x:c r="P165" s="30"/>
      <x:c r="Q165" s="30"/>
      <x:c r="R165" s="30"/>
      <x:c r="S165" s="30"/>
      <x:c r="T165" s="30"/>
      <x:c r="U165" s="30"/>
      <x:c r="V165" s="30"/>
      <x:c r="W165" s="30"/>
      <x:c r="X165" s="30"/>
      <x:c r="Y165" s="30"/>
      <x:c r="Z165" s="30"/>
      <x:c r="AA165" s="30"/>
      <x:c r="AB165" s="30"/>
      <x:c r="AC165" s="30"/>
      <x:c r="AD165" s="30"/>
      <x:c r="AE165" s="30"/>
      <x:c r="AF165" s="30"/>
      <x:c r="AG165" s="30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>
      <x:c r="A166" s="1"/>
      <x:c r="B166" s="1"/>
      <x:c r="C166" s="30"/>
      <x:c r="D166" s="30"/>
      <x:c r="E166" s="30"/>
      <x:c r="F166" s="30"/>
      <x:c r="G166" s="30"/>
      <x:c r="H166" s="30"/>
      <x:c r="I166" s="30"/>
      <x:c r="J166" s="30"/>
      <x:c r="K166" s="30"/>
      <x:c r="L166" s="30"/>
      <x:c r="M166" s="30"/>
      <x:c r="N166" s="30"/>
      <x:c r="O166" s="30"/>
      <x:c r="P166" s="30"/>
      <x:c r="Q166" s="30"/>
      <x:c r="R166" s="30"/>
      <x:c r="S166" s="30"/>
      <x:c r="T166" s="30"/>
      <x:c r="U166" s="30"/>
      <x:c r="V166" s="30"/>
      <x:c r="W166" s="30"/>
      <x:c r="X166" s="30"/>
      <x:c r="Y166" s="30"/>
      <x:c r="Z166" s="30"/>
      <x:c r="AA166" s="30"/>
      <x:c r="AB166" s="30"/>
      <x:c r="AC166" s="30"/>
      <x:c r="AD166" s="30"/>
      <x:c r="AE166" s="30"/>
      <x:c r="AF166" s="30"/>
      <x:c r="AG166" s="30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>
      <x:c r="A167" s="1"/>
      <x:c r="B167" s="1"/>
      <x:c r="C167" s="30"/>
      <x:c r="D167" s="30"/>
      <x:c r="E167" s="30"/>
      <x:c r="F167" s="30"/>
      <x:c r="G167" s="30"/>
      <x:c r="H167" s="30"/>
      <x:c r="I167" s="30"/>
      <x:c r="J167" s="30"/>
      <x:c r="K167" s="30"/>
      <x:c r="L167" s="30"/>
      <x:c r="M167" s="30"/>
      <x:c r="N167" s="30"/>
      <x:c r="O167" s="30"/>
      <x:c r="P167" s="30"/>
      <x:c r="Q167" s="30"/>
      <x:c r="R167" s="30"/>
      <x:c r="S167" s="30"/>
      <x:c r="T167" s="30"/>
      <x:c r="U167" s="30"/>
      <x:c r="V167" s="30"/>
      <x:c r="W167" s="30"/>
      <x:c r="X167" s="30"/>
      <x:c r="Y167" s="30"/>
      <x:c r="Z167" s="30"/>
      <x:c r="AA167" s="30"/>
      <x:c r="AB167" s="30"/>
      <x:c r="AC167" s="30"/>
      <x:c r="AD167" s="30"/>
      <x:c r="AE167" s="30"/>
      <x:c r="AF167" s="30"/>
      <x:c r="AG167" s="30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>
      <x:c r="A168" s="1"/>
      <x:c r="B168" s="1"/>
      <x:c r="C168" s="30"/>
      <x:c r="D168" s="30"/>
      <x:c r="E168" s="30"/>
      <x:c r="F168" s="30"/>
      <x:c r="G168" s="30"/>
      <x:c r="H168" s="30"/>
      <x:c r="I168" s="30"/>
      <x:c r="J168" s="30"/>
      <x:c r="K168" s="30"/>
      <x:c r="L168" s="30"/>
      <x:c r="M168" s="30"/>
      <x:c r="N168" s="30"/>
      <x:c r="O168" s="30"/>
      <x:c r="P168" s="30"/>
      <x:c r="Q168" s="30"/>
      <x:c r="R168" s="30"/>
      <x:c r="S168" s="30"/>
      <x:c r="T168" s="30"/>
      <x:c r="U168" s="30"/>
      <x:c r="V168" s="30"/>
      <x:c r="W168" s="30"/>
      <x:c r="X168" s="30"/>
      <x:c r="Y168" s="30"/>
      <x:c r="Z168" s="30"/>
      <x:c r="AA168" s="30"/>
      <x:c r="AB168" s="30"/>
      <x:c r="AC168" s="30"/>
      <x:c r="AD168" s="30"/>
      <x:c r="AE168" s="30"/>
      <x:c r="AF168" s="30"/>
      <x:c r="AG168" s="30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>
      <x:c r="A169" s="1"/>
      <x:c r="B169" s="1"/>
      <x:c r="C169" s="30"/>
      <x:c r="D169" s="30"/>
      <x:c r="E169" s="30"/>
      <x:c r="F169" s="30"/>
      <x:c r="G169" s="30"/>
      <x:c r="H169" s="30"/>
      <x:c r="I169" s="30"/>
      <x:c r="J169" s="30"/>
      <x:c r="K169" s="30"/>
      <x:c r="L169" s="30"/>
      <x:c r="M169" s="30"/>
      <x:c r="N169" s="30"/>
      <x:c r="O169" s="30"/>
      <x:c r="P169" s="30"/>
      <x:c r="Q169" s="30"/>
      <x:c r="R169" s="30"/>
      <x:c r="S169" s="30"/>
      <x:c r="T169" s="30"/>
      <x:c r="U169" s="30"/>
      <x:c r="V169" s="30"/>
      <x:c r="W169" s="30"/>
      <x:c r="X169" s="30"/>
      <x:c r="Y169" s="30"/>
      <x:c r="Z169" s="30"/>
      <x:c r="AA169" s="30"/>
      <x:c r="AB169" s="30"/>
      <x:c r="AC169" s="30"/>
      <x:c r="AD169" s="30"/>
      <x:c r="AE169" s="30"/>
      <x:c r="AF169" s="30"/>
      <x:c r="AG169" s="30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>
      <x:c r="A170" s="1"/>
      <x:c r="B170" s="1"/>
      <x:c r="C170" s="30"/>
      <x:c r="D170" s="30"/>
      <x:c r="E170" s="30"/>
      <x:c r="F170" s="30"/>
      <x:c r="G170" s="30"/>
      <x:c r="H170" s="30"/>
      <x:c r="I170" s="30"/>
      <x:c r="J170" s="30"/>
      <x:c r="K170" s="30"/>
      <x:c r="L170" s="30"/>
      <x:c r="M170" s="30"/>
      <x:c r="N170" s="30"/>
      <x:c r="O170" s="30"/>
      <x:c r="P170" s="30"/>
      <x:c r="Q170" s="30"/>
      <x:c r="R170" s="30"/>
      <x:c r="S170" s="30"/>
      <x:c r="T170" s="30"/>
      <x:c r="U170" s="30"/>
      <x:c r="V170" s="30"/>
      <x:c r="W170" s="30"/>
      <x:c r="X170" s="30"/>
      <x:c r="Y170" s="30"/>
      <x:c r="Z170" s="30"/>
      <x:c r="AA170" s="30"/>
      <x:c r="AB170" s="30"/>
      <x:c r="AC170" s="30"/>
      <x:c r="AD170" s="30"/>
      <x:c r="AE170" s="30"/>
      <x:c r="AF170" s="30"/>
      <x:c r="AG170" s="30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>
      <x:c r="A171" s="1"/>
      <x:c r="B171" s="1"/>
      <x:c r="C171" s="30"/>
      <x:c r="D171" s="30"/>
      <x:c r="E171" s="30"/>
      <x:c r="F171" s="30"/>
      <x:c r="G171" s="30"/>
      <x:c r="H171" s="30"/>
      <x:c r="I171" s="30"/>
      <x:c r="J171" s="30"/>
      <x:c r="K171" s="30"/>
      <x:c r="L171" s="30"/>
      <x:c r="M171" s="30"/>
      <x:c r="N171" s="30"/>
      <x:c r="O171" s="30"/>
      <x:c r="P171" s="30"/>
      <x:c r="Q171" s="30"/>
      <x:c r="R171" s="30"/>
      <x:c r="S171" s="30"/>
      <x:c r="T171" s="30"/>
      <x:c r="U171" s="30"/>
      <x:c r="V171" s="30"/>
      <x:c r="W171" s="30"/>
      <x:c r="X171" s="30"/>
      <x:c r="Y171" s="30"/>
      <x:c r="Z171" s="30"/>
      <x:c r="AA171" s="30"/>
      <x:c r="AB171" s="30"/>
      <x:c r="AC171" s="30"/>
      <x:c r="AD171" s="30"/>
      <x:c r="AE171" s="30"/>
      <x:c r="AF171" s="30"/>
      <x:c r="AG171" s="30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>
      <x:c r="A172" s="1"/>
      <x:c r="B172" s="1"/>
      <x:c r="C172" s="30"/>
      <x:c r="D172" s="30"/>
      <x:c r="E172" s="30"/>
      <x:c r="F172" s="30"/>
      <x:c r="G172" s="30"/>
      <x:c r="H172" s="30"/>
      <x:c r="I172" s="30"/>
      <x:c r="J172" s="30"/>
      <x:c r="K172" s="30"/>
      <x:c r="L172" s="30"/>
      <x:c r="M172" s="30"/>
      <x:c r="N172" s="30"/>
      <x:c r="O172" s="30"/>
      <x:c r="P172" s="30"/>
      <x:c r="Q172" s="30"/>
      <x:c r="R172" s="30"/>
      <x:c r="S172" s="30"/>
      <x:c r="T172" s="30"/>
      <x:c r="U172" s="30"/>
      <x:c r="V172" s="30"/>
      <x:c r="W172" s="30"/>
      <x:c r="X172" s="30"/>
      <x:c r="Y172" s="30"/>
      <x:c r="Z172" s="30"/>
      <x:c r="AA172" s="30"/>
      <x:c r="AB172" s="30"/>
      <x:c r="AC172" s="30"/>
      <x:c r="AD172" s="30"/>
      <x:c r="AE172" s="30"/>
      <x:c r="AF172" s="30"/>
      <x:c r="AG172" s="30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>
      <x:c r="A173" s="1"/>
      <x:c r="B173" s="1"/>
      <x:c r="C173" s="30"/>
      <x:c r="D173" s="30"/>
      <x:c r="E173" s="30"/>
      <x:c r="F173" s="30"/>
      <x:c r="G173" s="30"/>
      <x:c r="H173" s="30"/>
      <x:c r="I173" s="30"/>
      <x:c r="J173" s="30"/>
      <x:c r="K173" s="30"/>
      <x:c r="L173" s="30"/>
      <x:c r="M173" s="30"/>
      <x:c r="N173" s="30"/>
      <x:c r="O173" s="30"/>
      <x:c r="P173" s="30"/>
      <x:c r="Q173" s="30"/>
      <x:c r="R173" s="30"/>
      <x:c r="S173" s="30"/>
      <x:c r="T173" s="30"/>
      <x:c r="U173" s="30"/>
      <x:c r="V173" s="30"/>
      <x:c r="W173" s="30"/>
      <x:c r="X173" s="30"/>
      <x:c r="Y173" s="30"/>
      <x:c r="Z173" s="30"/>
      <x:c r="AA173" s="30"/>
      <x:c r="AB173" s="30"/>
      <x:c r="AC173" s="30"/>
      <x:c r="AD173" s="30"/>
      <x:c r="AE173" s="30"/>
      <x:c r="AF173" s="30"/>
      <x:c r="AG173" s="30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>
      <x:c r="A174" s="1"/>
      <x:c r="B174" s="1"/>
      <x:c r="C174" s="30"/>
      <x:c r="D174" s="30"/>
      <x:c r="E174" s="30"/>
      <x:c r="F174" s="30"/>
      <x:c r="G174" s="30"/>
      <x:c r="H174" s="30"/>
      <x:c r="I174" s="30"/>
      <x:c r="J174" s="30"/>
      <x:c r="K174" s="30"/>
      <x:c r="L174" s="30"/>
      <x:c r="M174" s="30"/>
      <x:c r="N174" s="30"/>
      <x:c r="O174" s="30"/>
      <x:c r="P174" s="30"/>
      <x:c r="Q174" s="30"/>
      <x:c r="R174" s="30"/>
      <x:c r="S174" s="30"/>
      <x:c r="T174" s="30"/>
      <x:c r="U174" s="30"/>
      <x:c r="V174" s="30"/>
      <x:c r="W174" s="30"/>
      <x:c r="X174" s="30"/>
      <x:c r="Y174" s="30"/>
      <x:c r="Z174" s="30"/>
      <x:c r="AA174" s="30"/>
      <x:c r="AB174" s="30"/>
      <x:c r="AC174" s="30"/>
      <x:c r="AD174" s="30"/>
      <x:c r="AE174" s="30"/>
      <x:c r="AF174" s="30"/>
      <x:c r="AG174" s="30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>
      <x:c r="A175" s="1"/>
      <x:c r="B175" s="1"/>
      <x:c r="C175" s="30"/>
      <x:c r="D175" s="30"/>
      <x:c r="E175" s="30"/>
      <x:c r="F175" s="30"/>
      <x:c r="G175" s="30"/>
      <x:c r="H175" s="30"/>
      <x:c r="I175" s="30"/>
      <x:c r="J175" s="30"/>
      <x:c r="K175" s="30"/>
      <x:c r="L175" s="30"/>
      <x:c r="M175" s="30"/>
      <x:c r="N175" s="30"/>
      <x:c r="O175" s="30"/>
      <x:c r="P175" s="30"/>
      <x:c r="Q175" s="30"/>
      <x:c r="R175" s="30"/>
      <x:c r="S175" s="30"/>
      <x:c r="T175" s="30"/>
      <x:c r="U175" s="30"/>
      <x:c r="V175" s="30"/>
      <x:c r="W175" s="30"/>
      <x:c r="X175" s="30"/>
      <x:c r="Y175" s="30"/>
      <x:c r="Z175" s="30"/>
      <x:c r="AA175" s="30"/>
      <x:c r="AB175" s="30"/>
      <x:c r="AC175" s="30"/>
      <x:c r="AD175" s="30"/>
      <x:c r="AE175" s="30"/>
      <x:c r="AF175" s="30"/>
      <x:c r="AG175" s="30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>
      <x:c r="A176" s="1"/>
      <x:c r="B176" s="1"/>
      <x:c r="C176" s="30"/>
      <x:c r="D176" s="30"/>
      <x:c r="E176" s="30"/>
      <x:c r="F176" s="30"/>
      <x:c r="G176" s="30"/>
      <x:c r="H176" s="30"/>
      <x:c r="I176" s="30"/>
      <x:c r="J176" s="30"/>
      <x:c r="K176" s="30"/>
      <x:c r="L176" s="30"/>
      <x:c r="M176" s="30"/>
      <x:c r="N176" s="30"/>
      <x:c r="O176" s="30"/>
      <x:c r="P176" s="30"/>
      <x:c r="Q176" s="30"/>
      <x:c r="R176" s="30"/>
      <x:c r="S176" s="30"/>
      <x:c r="T176" s="30"/>
      <x:c r="U176" s="30"/>
      <x:c r="V176" s="30"/>
      <x:c r="W176" s="30"/>
      <x:c r="X176" s="30"/>
      <x:c r="Y176" s="30"/>
      <x:c r="Z176" s="30"/>
      <x:c r="AA176" s="30"/>
      <x:c r="AB176" s="30"/>
      <x:c r="AC176" s="30"/>
      <x:c r="AD176" s="30"/>
      <x:c r="AE176" s="30"/>
      <x:c r="AF176" s="30"/>
      <x:c r="AG176" s="30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>
      <x:c r="A177" s="1"/>
      <x:c r="B177" s="1"/>
      <x:c r="C177" s="30"/>
      <x:c r="D177" s="30"/>
      <x:c r="E177" s="30"/>
      <x:c r="F177" s="30"/>
      <x:c r="G177" s="30"/>
      <x:c r="H177" s="30"/>
      <x:c r="I177" s="30"/>
      <x:c r="J177" s="30"/>
      <x:c r="K177" s="30"/>
      <x:c r="L177" s="30"/>
      <x:c r="M177" s="30"/>
      <x:c r="N177" s="30"/>
      <x:c r="O177" s="30"/>
      <x:c r="P177" s="30"/>
      <x:c r="Q177" s="30"/>
      <x:c r="R177" s="30"/>
      <x:c r="S177" s="30"/>
      <x:c r="T177" s="30"/>
      <x:c r="U177" s="30"/>
      <x:c r="V177" s="30"/>
      <x:c r="W177" s="30"/>
      <x:c r="X177" s="30"/>
      <x:c r="Y177" s="30"/>
      <x:c r="Z177" s="30"/>
      <x:c r="AA177" s="30"/>
      <x:c r="AB177" s="30"/>
      <x:c r="AC177" s="30"/>
      <x:c r="AD177" s="30"/>
      <x:c r="AE177" s="30"/>
      <x:c r="AF177" s="30"/>
      <x:c r="AG177" s="30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>
      <x:c r="A178" s="1"/>
      <x:c r="B178" s="1"/>
      <x:c r="C178" s="30"/>
      <x:c r="D178" s="30"/>
      <x:c r="E178" s="30"/>
      <x:c r="F178" s="30"/>
      <x:c r="G178" s="30"/>
      <x:c r="H178" s="30"/>
      <x:c r="I178" s="30"/>
      <x:c r="J178" s="30"/>
      <x:c r="K178" s="30"/>
      <x:c r="L178" s="30"/>
      <x:c r="M178" s="30"/>
      <x:c r="N178" s="30"/>
      <x:c r="O178" s="30"/>
      <x:c r="P178" s="30"/>
      <x:c r="Q178" s="30"/>
      <x:c r="R178" s="30"/>
      <x:c r="S178" s="30"/>
      <x:c r="T178" s="30"/>
      <x:c r="U178" s="30"/>
      <x:c r="V178" s="30"/>
      <x:c r="W178" s="30"/>
      <x:c r="X178" s="30"/>
      <x:c r="Y178" s="30"/>
      <x:c r="Z178" s="30"/>
      <x:c r="AA178" s="30"/>
      <x:c r="AB178" s="30"/>
      <x:c r="AC178" s="30"/>
      <x:c r="AD178" s="30"/>
      <x:c r="AE178" s="30"/>
      <x:c r="AF178" s="30"/>
      <x:c r="AG178" s="30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>
      <x:c r="A179" s="1"/>
      <x:c r="B179" s="1"/>
      <x:c r="C179" s="30"/>
      <x:c r="D179" s="30"/>
      <x:c r="E179" s="30"/>
      <x:c r="F179" s="30"/>
      <x:c r="G179" s="30"/>
      <x:c r="H179" s="30"/>
      <x:c r="I179" s="30"/>
      <x:c r="J179" s="30"/>
      <x:c r="K179" s="30"/>
      <x:c r="L179" s="30"/>
      <x:c r="M179" s="30"/>
      <x:c r="N179" s="30"/>
      <x:c r="O179" s="30"/>
      <x:c r="P179" s="30"/>
      <x:c r="Q179" s="30"/>
      <x:c r="R179" s="30"/>
      <x:c r="S179" s="30"/>
      <x:c r="T179" s="30"/>
      <x:c r="U179" s="30"/>
      <x:c r="V179" s="30"/>
      <x:c r="W179" s="30"/>
      <x:c r="X179" s="30"/>
      <x:c r="Y179" s="30"/>
      <x:c r="Z179" s="30"/>
      <x:c r="AA179" s="30"/>
      <x:c r="AB179" s="30"/>
      <x:c r="AC179" s="30"/>
      <x:c r="AD179" s="30"/>
      <x:c r="AE179" s="30"/>
      <x:c r="AF179" s="30"/>
      <x:c r="AG179" s="30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>
      <x:c r="A180" s="1"/>
      <x:c r="B180" s="1"/>
      <x:c r="C180" s="30"/>
      <x:c r="D180" s="30"/>
      <x:c r="E180" s="30"/>
      <x:c r="F180" s="30"/>
      <x:c r="G180" s="30"/>
      <x:c r="H180" s="30"/>
      <x:c r="I180" s="30"/>
      <x:c r="J180" s="30"/>
      <x:c r="K180" s="30"/>
      <x:c r="L180" s="30"/>
      <x:c r="M180" s="30"/>
      <x:c r="N180" s="30"/>
      <x:c r="O180" s="30"/>
      <x:c r="P180" s="30"/>
      <x:c r="Q180" s="30"/>
      <x:c r="R180" s="30"/>
      <x:c r="S180" s="30"/>
      <x:c r="T180" s="30"/>
      <x:c r="U180" s="30"/>
      <x:c r="V180" s="30"/>
      <x:c r="W180" s="30"/>
      <x:c r="X180" s="30"/>
      <x:c r="Y180" s="30"/>
      <x:c r="Z180" s="30"/>
      <x:c r="AA180" s="30"/>
      <x:c r="AB180" s="30"/>
      <x:c r="AC180" s="30"/>
      <x:c r="AD180" s="30"/>
      <x:c r="AE180" s="30"/>
      <x:c r="AF180" s="30"/>
      <x:c r="AG180" s="30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</x:sheetData>
  <x:conditionalFormatting sqref="K5:K39">
    <x:cfRule type="containsText" dxfId="3" priority="1" operator="containsText" text="FAIL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9" hidden="0" customWidth="1"/>
    <x:col min="4" max="4" width="34" hidden="0" customWidth="1"/>
    <x:col min="5" max="5" width="22" hidden="0" customWidth="1"/>
    <x:col min="6" max="6" width="58" hidden="0" customWidth="1"/>
    <x:col min="7" max="7" width="54" hidden="0" customWidth="1"/>
    <x:col min="8" max="8" width="48" hidden="0" customWidth="1"/>
    <x:col min="9" max="9" width="62" hidden="0" customWidth="1"/>
    <x:col min="10" max="10" width="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>
      <x:c r="A2" s="1"/>
      <x:c r="B2" s="1"/>
      <x:c r="C2" s="3" t="str">
        <x:v>Minimum necessary continuity state</x:v>
      </x:c>
      <x:c r="D2" s="2"/>
      <x:c r="E2" s="2"/>
      <x:c r="F2" s="2"/>
      <x:c r="G2" s="2"/>
      <x:c r="H2" s="2"/>
      <x:c r="I2" s="2"/>
      <x:c r="J2" s="2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>
      <x:c r="A3" s="1"/>
      <x:c r="B3" s="1"/>
      <x:c r="C3" s="39" t="str">
        <x:v>This is a route-specific service record, not a national identity system. Every field requires a minimum-necessary rule, an offline representation and a correcting authority.</x:v>
      </x:c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  <x:c r="AA3" s="30"/>
      <x:c r="AB3" s="30"/>
      <x:c r="AC3" s="30"/>
      <x:c r="AD3" s="30"/>
      <x:c r="AE3" s="30"/>
      <x:c r="AF3" s="30"/>
      <x:c r="AG3" s="30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>
      <x:c r="A4" s="1"/>
      <x:c r="B4" s="1"/>
      <x:c r="C4" s="9" t="str">
        <x:v>ID</x:v>
      </x:c>
      <x:c r="D4" s="17" t="str">
        <x:v>State field</x:v>
      </x:c>
      <x:c r="E4" s="17" t="str">
        <x:v>Applicable routes</x:v>
      </x:c>
      <x:c r="F4" s="17" t="str">
        <x:v>Minimum necessary record</x:v>
      </x:c>
      <x:c r="G4" s="17" t="str">
        <x:v>Offline representation</x:v>
      </x:c>
      <x:c r="H4" s="17" t="str">
        <x:v>Correcting authority</x:v>
      </x:c>
      <x:c r="I4" s="17" t="str">
        <x:v>Forbidden inference</x:v>
      </x:c>
      <x:c r="J4" s="10" t="str">
        <x:v>Status</x:v>
      </x:c>
      <x:c r="K4" s="30"/>
      <x:c r="L4" s="30"/>
      <x:c r="M4" s="30"/>
      <x:c r="N4" s="30"/>
      <x:c r="O4" s="30"/>
      <x:c r="P4" s="30"/>
      <x:c r="Q4" s="30"/>
      <x:c r="R4" s="30"/>
      <x:c r="S4" s="30"/>
      <x:c r="T4" s="30"/>
      <x:c r="U4" s="30"/>
      <x:c r="V4" s="30"/>
      <x:c r="W4" s="30"/>
      <x:c r="X4" s="30"/>
      <x:c r="Y4" s="30"/>
      <x:c r="Z4" s="30"/>
      <x:c r="AA4" s="30"/>
      <x:c r="AB4" s="30"/>
      <x:c r="AC4" s="30"/>
      <x:c r="AD4" s="30"/>
      <x:c r="AE4" s="30"/>
      <x:c r="AF4" s="30"/>
      <x:c r="AG4" s="30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 ht="56" customHeight="1">
      <x:c r="A5" s="1"/>
      <x:c r="B5" s="1"/>
      <x:c r="C5" s="30" t="str">
        <x:v>F01</x:v>
      </x:c>
      <x:c r="D5" s="35" t="str">
        <x:v>Identity and correction</x:v>
      </x:c>
      <x:c r="E5" s="35" t="str">
        <x:v>R1,R2,R3,R4,R5</x:v>
      </x:c>
      <x:c r="F5" s="35" t="str">
        <x:v>Verified identity or protected alternative; aliases and uncertainty retained</x:v>
      </x:c>
      <x:c r="G5" s="35" t="str">
        <x:v>Human-readable token plus encrypted offline copy</x:v>
      </x:c>
      <x:c r="H5" s="35" t="str">
        <x:v>Person or lawful correcting authority</x:v>
      </x:c>
      <x:c r="I5" s="35" t="str">
        <x:v>Missing identity cannot become no need or automatic exclusion</x:v>
      </x:c>
      <x:c r="J5" s="30" t="str">
        <x:f>IF(AND(C5&lt;&gt;"",E5&lt;&gt;"",F5&lt;&gt;"",G5&lt;&gt;"",H5&lt;&gt;"",I5&lt;&gt;""),"PASS","FAIL")</x:f>
        <x:v>PASS</x:v>
      </x:c>
      <x:c r="K5" s="30"/>
      <x:c r="L5" s="30"/>
      <x:c r="M5" s="30"/>
      <x:c r="N5" s="30"/>
      <x:c r="O5" s="30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  <x:c r="AA5" s="30"/>
      <x:c r="AB5" s="30"/>
      <x:c r="AC5" s="30"/>
      <x:c r="AD5" s="30"/>
      <x:c r="AE5" s="30"/>
      <x:c r="AF5" s="30"/>
      <x:c r="AG5" s="30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 ht="56" customHeight="1">
      <x:c r="A6" s="1"/>
      <x:c r="B6" s="1"/>
      <x:c r="C6" s="30" t="str">
        <x:v>F02</x:v>
      </x:c>
      <x:c r="D6" s="35" t="str">
        <x:v>Location and contact state</x:v>
      </x:c>
      <x:c r="E6" s="35" t="str">
        <x:v>R1,R2,R3,R4,R5</x:v>
      </x:c>
      <x:c r="F6" s="35" t="str">
        <x:v>Last verified origin, contact method, time and confidence</x:v>
      </x:c>
      <x:c r="G6" s="35" t="str">
        <x:v>Printed/local map reference plus edge record</x:v>
      </x:c>
      <x:c r="H6" s="35" t="str">
        <x:v>Affected civil authority and contact team</x:v>
      </x:c>
      <x:c r="I6" s="35" t="str">
        <x:v>Silence cannot become safety</x:v>
      </x:c>
      <x:c r="J6" s="30" t="str">
        <x:f>IF(AND(C6&lt;&gt;"",E6&lt;&gt;"",F6&lt;&gt;"",G6&lt;&gt;"",H6&lt;&gt;"",I6&lt;&gt;""),"PASS","FAIL")</x:f>
        <x:v>PASS</x:v>
      </x:c>
      <x:c r="K6" s="30"/>
      <x:c r="L6" s="30"/>
      <x:c r="M6" s="30"/>
      <x:c r="N6" s="30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30"/>
      <x:c r="Z6" s="30"/>
      <x:c r="AA6" s="30"/>
      <x:c r="AB6" s="30"/>
      <x:c r="AC6" s="30"/>
      <x:c r="AD6" s="30"/>
      <x:c r="AE6" s="30"/>
      <x:c r="AF6" s="30"/>
      <x:c r="AG6" s="30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 ht="56" customHeight="1">
      <x:c r="A7" s="1"/>
      <x:c r="B7" s="1"/>
      <x:c r="C7" s="30" t="str">
        <x:v>F03</x:v>
      </x:c>
      <x:c r="D7" s="35" t="str">
        <x:v>Consent, custody and decision authority</x:v>
      </x:c>
      <x:c r="E7" s="35" t="str">
        <x:v>R1,R2,R3,R4,R5</x:v>
      </x:c>
      <x:c r="F7" s="35" t="str">
        <x:v>Consent, emergency authority, guardian and transfer limits</x:v>
      </x:c>
      <x:c r="G7" s="35" t="str">
        <x:v>Signed physical receipt plus offline event log</x:v>
      </x:c>
      <x:c r="H7" s="35" t="str">
        <x:v>Person, guardian, clinical and civil authority as applicable</x:v>
      </x:c>
      <x:c r="I7" s="35" t="str">
        <x:v>Possession of transport or equipment cannot confer authority</x:v>
      </x:c>
      <x:c r="J7" s="30" t="str">
        <x:f>IF(AND(C7&lt;&gt;"",E7&lt;&gt;"",F7&lt;&gt;"",G7&lt;&gt;"",H7&lt;&gt;"",I7&lt;&gt;""),"PASS","FAIL")</x:f>
        <x:v>PASS</x:v>
      </x:c>
      <x:c r="K7" s="30"/>
      <x:c r="L7" s="30"/>
      <x:c r="M7" s="30"/>
      <x:c r="N7" s="30"/>
      <x:c r="O7" s="30"/>
      <x:c r="P7" s="30"/>
      <x:c r="Q7" s="30"/>
      <x:c r="R7" s="30"/>
      <x:c r="S7" s="30"/>
      <x:c r="T7" s="30"/>
      <x:c r="U7" s="30"/>
      <x:c r="V7" s="30"/>
      <x:c r="W7" s="30"/>
      <x:c r="X7" s="30"/>
      <x:c r="Y7" s="30"/>
      <x:c r="Z7" s="30"/>
      <x:c r="AA7" s="30"/>
      <x:c r="AB7" s="30"/>
      <x:c r="AC7" s="30"/>
      <x:c r="AD7" s="30"/>
      <x:c r="AE7" s="30"/>
      <x:c r="AF7" s="30"/>
      <x:c r="AG7" s="30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 ht="56" customHeight="1">
      <x:c r="A8" s="1"/>
      <x:c r="B8" s="1"/>
      <x:c r="C8" s="30" t="str">
        <x:v>F04</x:v>
      </x:c>
      <x:c r="D8" s="35" t="str">
        <x:v>Household, dependent and caregiver relationships</x:v>
      </x:c>
      <x:c r="E8" s="35" t="str">
        <x:v>R1,R3,R4</x:v>
      </x:c>
      <x:c r="F8" s="35" t="str">
        <x:v>Required co-movement, separation limits and reunification state</x:v>
      </x:c>
      <x:c r="G8" s="35" t="str">
        <x:v>Person-held relationship card plus replicated local record</x:v>
      </x:c>
      <x:c r="H8" s="35" t="str">
        <x:v>Household and safeguarding authority</x:v>
      </x:c>
      <x:c r="I8" s="35" t="str">
        <x:v>People cannot be counted independently when safe service requires the relationship</x:v>
      </x:c>
      <x:c r="J8" s="30" t="str">
        <x:f>IF(AND(C8&lt;&gt;"",E8&lt;&gt;"",F8&lt;&gt;"",G8&lt;&gt;"",H8&lt;&gt;"",I8&lt;&gt;""),"PASS","FAIL")</x:f>
        <x:v>PASS</x:v>
      </x:c>
      <x:c r="K8" s="30"/>
      <x:c r="L8" s="30"/>
      <x:c r="M8" s="30"/>
      <x:c r="N8" s="30"/>
      <x:c r="O8" s="30"/>
      <x:c r="P8" s="30"/>
      <x:c r="Q8" s="30"/>
      <x:c r="R8" s="30"/>
      <x:c r="S8" s="30"/>
      <x:c r="T8" s="30"/>
      <x:c r="U8" s="30"/>
      <x:c r="V8" s="30"/>
      <x:c r="W8" s="30"/>
      <x:c r="X8" s="30"/>
      <x:c r="Y8" s="30"/>
      <x:c r="Z8" s="30"/>
      <x:c r="AA8" s="30"/>
      <x:c r="AB8" s="30"/>
      <x:c r="AC8" s="30"/>
      <x:c r="AD8" s="30"/>
      <x:c r="AE8" s="30"/>
      <x:c r="AF8" s="30"/>
      <x:c r="AG8" s="30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 ht="56" customHeight="1">
      <x:c r="A9" s="1"/>
      <x:c r="B9" s="1"/>
      <x:c r="C9" s="30" t="str">
        <x:v>F05</x:v>
      </x:c>
      <x:c r="D9" s="35" t="str">
        <x:v>Accessibility, language and assistive support</x:v>
      </x:c>
      <x:c r="E9" s="35" t="str">
        <x:v>R1,R2,R3,R4,R5</x:v>
      </x:c>
      <x:c r="F9" s="35" t="str">
        <x:v>Communication, mobility, sensory, cognitive and service-animal requirements</x:v>
      </x:c>
      <x:c r="G9" s="35" t="str">
        <x:v>Accessible visual/tactile card plus device-readable profile</x:v>
      </x:c>
      <x:c r="H9" s="35" t="str">
        <x:v>Person and accessibility authority</x:v>
      </x:c>
      <x:c r="I9" s="35" t="str">
        <x:v>Default configuration cannot be assumed usable</x:v>
      </x:c>
      <x:c r="J9" s="30" t="str">
        <x:f>IF(AND(C9&lt;&gt;"",E9&lt;&gt;"",F9&lt;&gt;"",G9&lt;&gt;"",H9&lt;&gt;"",I9&lt;&gt;""),"PASS","FAIL")</x:f>
        <x:v>PASS</x:v>
      </x:c>
      <x:c r="K9" s="30"/>
      <x:c r="L9" s="30"/>
      <x:c r="M9" s="30"/>
      <x:c r="N9" s="30"/>
      <x:c r="O9" s="30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  <x:c r="AA9" s="30"/>
      <x:c r="AB9" s="30"/>
      <x:c r="AC9" s="30"/>
      <x:c r="AD9" s="30"/>
      <x:c r="AE9" s="30"/>
      <x:c r="AF9" s="30"/>
      <x:c r="AG9" s="30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 ht="56" customHeight="1">
      <x:c r="A10" s="1"/>
      <x:c r="B10" s="1"/>
      <x:c r="C10" s="30" t="str">
        <x:v>F06</x:v>
      </x:c>
      <x:c r="D10" s="35" t="str">
        <x:v>Clinical state and priority</x:v>
      </x:c>
      <x:c r="E10" s="35" t="str">
        <x:v>R1,R2,R3</x:v>
      </x:c>
      <x:c r="F10" s="35" t="str">
        <x:v>Acuity, isolation, observation, escort and reassessment state</x:v>
      </x:c>
      <x:c r="G10" s="35" t="str">
        <x:v>Minimum clinical packet with sealed change history</x:v>
      </x:c>
      <x:c r="H10" s="35" t="str">
        <x:v>Licensed clinical authority</x:v>
      </x:c>
      <x:c r="I10" s="35" t="str">
        <x:v>A bed or vehicle cannot assign clinical fitness</x:v>
      </x:c>
      <x:c r="J10" s="30" t="str">
        <x:f>IF(AND(C10&lt;&gt;"",E10&lt;&gt;"",F10&lt;&gt;"",G10&lt;&gt;"",H10&lt;&gt;"",I10&lt;&gt;""),"PASS","FAIL")</x:f>
        <x:v>PASS</x:v>
      </x:c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  <x:c r="AA10" s="30"/>
      <x:c r="AB10" s="30"/>
      <x:c r="AC10" s="30"/>
      <x:c r="AD10" s="30"/>
      <x:c r="AE10" s="30"/>
      <x:c r="AF10" s="30"/>
      <x:c r="AG10" s="30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 ht="56" customHeight="1">
      <x:c r="A11" s="1"/>
      <x:c r="B11" s="1"/>
      <x:c r="C11" s="30" t="str">
        <x:v>F07</x:v>
      </x:c>
      <x:c r="D11" s="35" t="str">
        <x:v>Medication, oxygen and device-power continuity</x:v>
      </x:c>
      <x:c r="E11" s="35" t="str">
        <x:v>R1,R2,R3,R4</x:v>
      </x:c>
      <x:c r="F11" s="35" t="str">
        <x:v>Item, dose or setting, custody, reserve and next replenishment</x:v>
      </x:c>
      <x:c r="G11" s="35" t="str">
        <x:v>Labeled physical kit plus offline manifest</x:v>
      </x:c>
      <x:c r="H11" s="35" t="str">
        <x:v>Clinical and device technical authority</x:v>
      </x:c>
      <x:c r="I11" s="35" t="str">
        <x:v>Nominal inventory cannot substitute for matched therapy</x:v>
      </x:c>
      <x:c r="J11" s="30" t="str">
        <x:f>IF(AND(C11&lt;&gt;"",E11&lt;&gt;"",F11&lt;&gt;"",G11&lt;&gt;"",H11&lt;&gt;"",I11&lt;&gt;""),"PASS","FAIL")</x:f>
        <x:v>PASS</x:v>
      </x:c>
      <x:c r="K11" s="30"/>
      <x:c r="L11" s="30"/>
      <x:c r="M11" s="30"/>
      <x:c r="N11" s="30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  <x:c r="AA11" s="30"/>
      <x:c r="AB11" s="30"/>
      <x:c r="AC11" s="30"/>
      <x:c r="AD11" s="30"/>
      <x:c r="AE11" s="30"/>
      <x:c r="AF11" s="30"/>
      <x:c r="AG11" s="30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 ht="56" customHeight="1">
      <x:c r="A12" s="1"/>
      <x:c r="B12" s="1"/>
      <x:c r="C12" s="30" t="str">
        <x:v>F08</x:v>
      </x:c>
      <x:c r="D12" s="35" t="str">
        <x:v>Nutrition and exposure constraints</x:v>
      </x:c>
      <x:c r="E12" s="35" t="str">
        <x:v>R1,R4</x:v>
      </x:c>
      <x:c r="F12" s="35" t="str">
        <x:v>Diet, allergen, cultural, thermal, smoke and clean-air requirements</x:v>
      </x:c>
      <x:c r="G12" s="35" t="str">
        <x:v>Person-readable issue profile and local service record</x:v>
      </x:c>
      <x:c r="H12" s="35" t="str">
        <x:v>Health and affected civil authority</x:v>
      </x:c>
      <x:c r="I12" s="35" t="str">
        <x:v>Calories or floor area cannot erase unsafe exposure</x:v>
      </x:c>
      <x:c r="J12" s="30" t="str">
        <x:f>IF(AND(C12&lt;&gt;"",E12&lt;&gt;"",F12&lt;&gt;"",G12&lt;&gt;"",H12&lt;&gt;"",I12&lt;&gt;""),"PASS","FAIL")</x:f>
        <x:v>PASS</x:v>
      </x:c>
      <x:c r="K12" s="30"/>
      <x:c r="L12" s="30"/>
      <x:c r="M12" s="30"/>
      <x:c r="N12" s="30"/>
      <x:c r="O12" s="30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  <x:c r="AA12" s="30"/>
      <x:c r="AB12" s="30"/>
      <x:c r="AC12" s="30"/>
      <x:c r="AD12" s="30"/>
      <x:c r="AE12" s="30"/>
      <x:c r="AF12" s="30"/>
      <x:c r="AG12" s="30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 ht="56" customHeight="1">
      <x:c r="A13" s="1"/>
      <x:c r="B13" s="1"/>
      <x:c r="C13" s="30" t="str">
        <x:v>F09</x:v>
      </x:c>
      <x:c r="D13" s="35" t="str">
        <x:v>Safeguarding and protected-separation state</x:v>
      </x:c>
      <x:c r="E13" s="35" t="str">
        <x:v>R1,R2,R3,R4</x:v>
      </x:c>
      <x:c r="F13" s="35" t="str">
        <x:v>Abuse, isolation, family notification, missing-person and protected-placement constraints</x:v>
      </x:c>
      <x:c r="G13" s="35" t="str">
        <x:v>Restricted-access physical/digital packet</x:v>
      </x:c>
      <x:c r="H13" s="35" t="str">
        <x:v>Safeguarding and civil-rights authority</x:v>
      </x:c>
      <x:c r="I13" s="35" t="str">
        <x:v>Throughput cannot override a protected separation</x:v>
      </x:c>
      <x:c r="J13" s="30" t="str">
        <x:f>IF(AND(C13&lt;&gt;"",E13&lt;&gt;"",F13&lt;&gt;"",G13&lt;&gt;"",H13&lt;&gt;"",I13&lt;&gt;""),"PASS","FAIL")</x:f>
        <x:v>PASS</x:v>
      </x:c>
      <x:c r="K13" s="30"/>
      <x:c r="L13" s="30"/>
      <x:c r="M13" s="30"/>
      <x:c r="N13" s="30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  <x:c r="AA13" s="30"/>
      <x:c r="AB13" s="30"/>
      <x:c r="AC13" s="30"/>
      <x:c r="AD13" s="30"/>
      <x:c r="AE13" s="30"/>
      <x:c r="AF13" s="30"/>
      <x:c r="AG13" s="30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 ht="56" customHeight="1">
      <x:c r="A14" s="1"/>
      <x:c r="B14" s="1"/>
      <x:c r="C14" s="30" t="str">
        <x:v>F10</x:v>
      </x:c>
      <x:c r="D14" s="35" t="str">
        <x:v>Destination eligibility and acceptance</x:v>
      </x:c>
      <x:c r="E14" s="35" t="str">
        <x:v>R1,R2,R3,R4,R5</x:v>
      </x:c>
      <x:c r="F14" s="35" t="str">
        <x:v>Named service, capacity, compatibility, authority, arrival window and fallback</x:v>
      </x:c>
      <x:c r="G14" s="35" t="str">
        <x:v>Receiver-issued acceptance token with offline verification</x:v>
      </x:c>
      <x:c r="H14" s="35" t="str">
        <x:v>Receiving service and affected civil authority</x:v>
      </x:c>
      <x:c r="I14" s="35" t="str">
        <x:v>Availability cannot be inferred from a directory or stale bed count</x:v>
      </x:c>
      <x:c r="J14" s="30" t="str">
        <x:f>IF(AND(C14&lt;&gt;"",E14&lt;&gt;"",F14&lt;&gt;"",G14&lt;&gt;"",H14&lt;&gt;"",I14&lt;&gt;""),"PASS","FAIL")</x:f>
        <x:v>PASS</x:v>
      </x:c>
      <x:c r="K14" s="30"/>
      <x:c r="L14" s="30"/>
      <x:c r="M14" s="30"/>
      <x:c r="N14" s="30"/>
      <x:c r="O14" s="30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  <x:c r="AA14" s="30"/>
      <x:c r="AB14" s="30"/>
      <x:c r="AC14" s="30"/>
      <x:c r="AD14" s="30"/>
      <x:c r="AE14" s="30"/>
      <x:c r="AF14" s="30"/>
      <x:c r="AG14" s="30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 ht="56" customHeight="1">
      <x:c r="A15" s="1"/>
      <x:c r="B15" s="1"/>
      <x:c r="C15" s="30" t="str">
        <x:v>F11</x:v>
      </x:c>
      <x:c r="D15" s="35" t="str">
        <x:v>Movement chain and handoff</x:v>
      </x:c>
      <x:c r="E15" s="35" t="str">
        <x:v>R3,R4,R5</x:v>
      </x:c>
      <x:c r="F15" s="35" t="str">
        <x:v>Origin, mode, escort, custody, transfer points, arrival and exception state</x:v>
      </x:c>
      <x:c r="G15" s="35" t="str">
        <x:v>Tamper-evident manifest plus person-held receipt</x:v>
      </x:c>
      <x:c r="H15" s="35" t="str">
        <x:v>Dispatch, carrier and receiving authorities</x:v>
      </x:c>
      <x:c r="I15" s="35" t="str">
        <x:v>Departure cannot become arrival or admission</x:v>
      </x:c>
      <x:c r="J15" s="30" t="str">
        <x:f>IF(AND(C15&lt;&gt;"",E15&lt;&gt;"",F15&lt;&gt;"",G15&lt;&gt;"",H15&lt;&gt;"",I15&lt;&gt;""),"PASS","FAIL")</x:f>
        <x:v>PASS</x:v>
      </x:c>
      <x:c r="K15" s="30"/>
      <x:c r="L15" s="30"/>
      <x:c r="M15" s="30"/>
      <x:c r="N15" s="30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  <x:c r="AA15" s="30"/>
      <x:c r="AB15" s="30"/>
      <x:c r="AC15" s="30"/>
      <x:c r="AD15" s="30"/>
      <x:c r="AE15" s="30"/>
      <x:c r="AF15" s="30"/>
      <x:c r="AG15" s="30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 ht="56" customHeight="1">
      <x:c r="A16" s="1"/>
      <x:c r="B16" s="1"/>
      <x:c r="C16" s="30" t="str">
        <x:v>F12</x:v>
      </x:c>
      <x:c r="D16" s="35" t="str">
        <x:v>Supported discharge, return or transition</x:v>
      </x:c>
      <x:c r="E16" s="35" t="str">
        <x:v>R1,R2,R3,R4,R5</x:v>
      </x:c>
      <x:c r="F16" s="35" t="str">
        <x:v>Destination after emergency service, continuing supports, return condition and accountable owner</x:v>
      </x:c>
      <x:c r="G16" s="35" t="str">
        <x:v>Closeout receipt replicated to person, origin and receiver</x:v>
      </x:c>
      <x:c r="H16" s="35" t="str">
        <x:v>Origin, receiving and civil transition authorities</x:v>
      </x:c>
      <x:c r="I16" s="35" t="str">
        <x:v>The case cannot close at last treatment or temporary placement</x:v>
      </x:c>
      <x:c r="J16" s="30" t="str">
        <x:f>IF(AND(C16&lt;&gt;"",E16&lt;&gt;"",F16&lt;&gt;"",G16&lt;&gt;"",H16&lt;&gt;"",I16&lt;&gt;""),"PASS","FAIL")</x:f>
        <x:v>PASS</x:v>
      </x:c>
      <x:c r="K16" s="30"/>
      <x:c r="L16" s="30"/>
      <x:c r="M16" s="30"/>
      <x:c r="N16" s="30"/>
      <x:c r="O16" s="30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  <x:c r="AA16" s="30"/>
      <x:c r="AB16" s="30"/>
      <x:c r="AC16" s="30"/>
      <x:c r="AD16" s="30"/>
      <x:c r="AE16" s="30"/>
      <x:c r="AF16" s="30"/>
      <x:c r="AG16" s="30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>
      <x:c r="A17" s="1"/>
      <x:c r="B17" s="1"/>
      <x:c r="C17" s="30"/>
      <x:c r="D17" s="30"/>
      <x:c r="E17" s="30"/>
      <x:c r="F17" s="30"/>
      <x:c r="G17" s="30"/>
      <x:c r="H17" s="30"/>
      <x:c r="I17" s="30"/>
      <x:c r="J17" s="30"/>
      <x:c r="K17" s="30"/>
      <x:c r="L17" s="30"/>
      <x:c r="M17" s="30"/>
      <x:c r="N17" s="30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  <x:c r="AA17" s="30"/>
      <x:c r="AB17" s="30"/>
      <x:c r="AC17" s="30"/>
      <x:c r="AD17" s="30"/>
      <x:c r="AE17" s="30"/>
      <x:c r="AF17" s="30"/>
      <x:c r="AG17" s="30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>
      <x:c r="A18" s="1"/>
      <x:c r="B18" s="1"/>
      <x:c r="C18" s="30"/>
      <x:c r="D18" s="30"/>
      <x:c r="E18" s="30"/>
      <x:c r="F18" s="30"/>
      <x:c r="G18" s="30"/>
      <x:c r="H18" s="30"/>
      <x:c r="I18" s="30"/>
      <x:c r="J18" s="30"/>
      <x:c r="K18" s="30"/>
      <x:c r="L18" s="30"/>
      <x:c r="M18" s="30"/>
      <x:c r="N18" s="30"/>
      <x:c r="O18" s="30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  <x:c r="AA18" s="30"/>
      <x:c r="AB18" s="30"/>
      <x:c r="AC18" s="30"/>
      <x:c r="AD18" s="30"/>
      <x:c r="AE18" s="30"/>
      <x:c r="AF18" s="30"/>
      <x:c r="AG18" s="30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>
      <x:c r="A19" s="1"/>
      <x:c r="B19" s="1"/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  <x:c r="M19" s="30"/>
      <x:c r="N19" s="30"/>
      <x:c r="O19" s="30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  <x:c r="AA19" s="30"/>
      <x:c r="AB19" s="30"/>
      <x:c r="AC19" s="30"/>
      <x:c r="AD19" s="30"/>
      <x:c r="AE19" s="30"/>
      <x:c r="AF19" s="30"/>
      <x:c r="AG19" s="30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>
      <x:c r="A20" s="1"/>
      <x:c r="B20" s="1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  <x:c r="N20" s="30"/>
      <x:c r="O20" s="30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  <x:c r="AA20" s="30"/>
      <x:c r="AB20" s="30"/>
      <x:c r="AC20" s="30"/>
      <x:c r="AD20" s="30"/>
      <x:c r="AE20" s="30"/>
      <x:c r="AF20" s="30"/>
      <x:c r="AG20" s="30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>
      <x:c r="A21" s="1"/>
      <x:c r="B21" s="1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  <x:c r="AA21" s="30"/>
      <x:c r="AB21" s="30"/>
      <x:c r="AC21" s="30"/>
      <x:c r="AD21" s="30"/>
      <x:c r="AE21" s="30"/>
      <x:c r="AF21" s="30"/>
      <x:c r="AG21" s="30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>
      <x:c r="A22" s="1"/>
      <x:c r="B22" s="1"/>
      <x:c r="C22" s="30"/>
      <x:c r="D22" s="30"/>
      <x:c r="E22" s="30"/>
      <x:c r="F22" s="30"/>
      <x:c r="G22" s="30"/>
      <x:c r="H22" s="30"/>
      <x:c r="I22" s="30"/>
      <x:c r="J22" s="30"/>
      <x:c r="K22" s="30"/>
      <x:c r="L22" s="30"/>
      <x:c r="M22" s="30"/>
      <x:c r="N22" s="30"/>
      <x:c r="O22" s="30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  <x:c r="AA22" s="30"/>
      <x:c r="AB22" s="30"/>
      <x:c r="AC22" s="30"/>
      <x:c r="AD22" s="30"/>
      <x:c r="AE22" s="30"/>
      <x:c r="AF22" s="30"/>
      <x:c r="AG22" s="30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>
      <x:c r="A23" s="1"/>
      <x:c r="B23" s="1"/>
      <x:c r="C23" s="30"/>
      <x:c r="D23" s="30"/>
      <x:c r="E23" s="30"/>
      <x:c r="F23" s="30"/>
      <x:c r="G23" s="30"/>
      <x:c r="H23" s="30"/>
      <x:c r="I23" s="30"/>
      <x:c r="J23" s="30"/>
      <x:c r="K23" s="30"/>
      <x:c r="L23" s="30"/>
      <x:c r="M23" s="30"/>
      <x:c r="N23" s="30"/>
      <x:c r="O23" s="30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  <x:c r="AA23" s="30"/>
      <x:c r="AB23" s="30"/>
      <x:c r="AC23" s="30"/>
      <x:c r="AD23" s="30"/>
      <x:c r="AE23" s="30"/>
      <x:c r="AF23" s="30"/>
      <x:c r="AG23" s="30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>
      <x:c r="A24" s="1"/>
      <x:c r="B24" s="1"/>
      <x:c r="C24" s="30"/>
      <x:c r="D24" s="30"/>
      <x:c r="E24" s="30"/>
      <x:c r="F24" s="30"/>
      <x:c r="G24" s="30"/>
      <x:c r="H24" s="30"/>
      <x:c r="I24" s="30"/>
      <x:c r="J24" s="30"/>
      <x:c r="K24" s="30"/>
      <x:c r="L24" s="30"/>
      <x:c r="M24" s="30"/>
      <x:c r="N24" s="30"/>
      <x:c r="O24" s="30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  <x:c r="AA24" s="30"/>
      <x:c r="AB24" s="30"/>
      <x:c r="AC24" s="30"/>
      <x:c r="AD24" s="30"/>
      <x:c r="AE24" s="30"/>
      <x:c r="AF24" s="30"/>
      <x:c r="AG24" s="30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>
      <x:c r="A25" s="1"/>
      <x:c r="B25" s="1"/>
      <x:c r="C25" s="30"/>
      <x:c r="D25" s="30"/>
      <x:c r="E25" s="30"/>
      <x:c r="F25" s="30"/>
      <x:c r="G25" s="30"/>
      <x:c r="H25" s="30"/>
      <x:c r="I25" s="30"/>
      <x:c r="J25" s="30"/>
      <x:c r="K25" s="30"/>
      <x:c r="L25" s="30"/>
      <x:c r="M25" s="30"/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  <x:c r="AA25" s="30"/>
      <x:c r="AB25" s="30"/>
      <x:c r="AC25" s="30"/>
      <x:c r="AD25" s="30"/>
      <x:c r="AE25" s="30"/>
      <x:c r="AF25" s="30"/>
      <x:c r="AG25" s="30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>
      <x:c r="A26" s="1"/>
      <x:c r="B26" s="1"/>
      <x:c r="C26" s="30"/>
      <x:c r="D26" s="30"/>
      <x:c r="E26" s="30"/>
      <x:c r="F26" s="30"/>
      <x:c r="G26" s="30"/>
      <x:c r="H26" s="30"/>
      <x:c r="I26" s="30"/>
      <x:c r="J26" s="3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  <x:c r="AA26" s="30"/>
      <x:c r="AB26" s="30"/>
      <x:c r="AC26" s="30"/>
      <x:c r="AD26" s="30"/>
      <x:c r="AE26" s="30"/>
      <x:c r="AF26" s="30"/>
      <x:c r="AG26" s="30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>
      <x:c r="A27" s="1"/>
      <x:c r="B27" s="1"/>
      <x:c r="C27" s="30"/>
      <x:c r="D27" s="30"/>
      <x:c r="E27" s="30"/>
      <x:c r="F27" s="30"/>
      <x:c r="G27" s="30"/>
      <x:c r="H27" s="30"/>
      <x:c r="I27" s="30"/>
      <x:c r="J27" s="30"/>
      <x:c r="K27" s="30"/>
      <x:c r="L27" s="30"/>
      <x:c r="M27" s="30"/>
      <x:c r="N27" s="30"/>
      <x:c r="O27" s="30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  <x:c r="AA27" s="30"/>
      <x:c r="AB27" s="30"/>
      <x:c r="AC27" s="30"/>
      <x:c r="AD27" s="30"/>
      <x:c r="AE27" s="30"/>
      <x:c r="AF27" s="30"/>
      <x:c r="AG27" s="30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>
      <x:c r="A28" s="1"/>
      <x:c r="B28" s="1"/>
      <x:c r="C28" s="30"/>
      <x:c r="D28" s="30"/>
      <x:c r="E28" s="30"/>
      <x:c r="F28" s="30"/>
      <x:c r="G28" s="30"/>
      <x:c r="H28" s="30"/>
      <x:c r="I28" s="30"/>
      <x:c r="J28" s="30"/>
      <x:c r="K28" s="30"/>
      <x:c r="L28" s="30"/>
      <x:c r="M28" s="30"/>
      <x:c r="N28" s="30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  <x:c r="AA28" s="30"/>
      <x:c r="AB28" s="30"/>
      <x:c r="AC28" s="30"/>
      <x:c r="AD28" s="30"/>
      <x:c r="AE28" s="30"/>
      <x:c r="AF28" s="30"/>
      <x:c r="AG28" s="30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>
      <x:c r="A29" s="1"/>
      <x:c r="B29" s="1"/>
      <x:c r="C29" s="30"/>
      <x:c r="D29" s="30"/>
      <x:c r="E29" s="30"/>
      <x:c r="F29" s="30"/>
      <x:c r="G29" s="30"/>
      <x:c r="H29" s="30"/>
      <x:c r="I29" s="30"/>
      <x:c r="J29" s="30"/>
      <x:c r="K29" s="30"/>
      <x:c r="L29" s="30"/>
      <x:c r="M29" s="30"/>
      <x:c r="N29" s="30"/>
      <x:c r="O29" s="30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  <x:c r="AA29" s="30"/>
      <x:c r="AB29" s="30"/>
      <x:c r="AC29" s="30"/>
      <x:c r="AD29" s="30"/>
      <x:c r="AE29" s="30"/>
      <x:c r="AF29" s="30"/>
      <x:c r="AG29" s="30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>
      <x:c r="A30" s="1"/>
      <x:c r="B30" s="1"/>
      <x:c r="C30" s="30"/>
      <x:c r="D30" s="30"/>
      <x:c r="E30" s="30"/>
      <x:c r="F30" s="30"/>
      <x:c r="G30" s="30"/>
      <x:c r="H30" s="30"/>
      <x:c r="I30" s="30"/>
      <x:c r="J30" s="30"/>
      <x:c r="K30" s="30"/>
      <x:c r="L30" s="30"/>
      <x:c r="M30" s="30"/>
      <x:c r="N30" s="30"/>
      <x:c r="O30" s="30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  <x:c r="AA30" s="30"/>
      <x:c r="AB30" s="30"/>
      <x:c r="AC30" s="30"/>
      <x:c r="AD30" s="30"/>
      <x:c r="AE30" s="30"/>
      <x:c r="AF30" s="30"/>
      <x:c r="AG30" s="30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>
      <x:c r="A31" s="1"/>
      <x:c r="B31" s="1"/>
      <x:c r="C31" s="30"/>
      <x:c r="D31" s="30"/>
      <x:c r="E31" s="30"/>
      <x:c r="F31" s="30"/>
      <x:c r="G31" s="30"/>
      <x:c r="H31" s="30"/>
      <x:c r="I31" s="30"/>
      <x:c r="J31" s="30"/>
      <x:c r="K31" s="30"/>
      <x:c r="L31" s="30"/>
      <x:c r="M31" s="30"/>
      <x:c r="N31" s="30"/>
      <x:c r="O31" s="30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  <x:c r="AA31" s="30"/>
      <x:c r="AB31" s="30"/>
      <x:c r="AC31" s="30"/>
      <x:c r="AD31" s="30"/>
      <x:c r="AE31" s="30"/>
      <x:c r="AF31" s="30"/>
      <x:c r="AG31" s="30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>
      <x:c r="A32" s="1"/>
      <x:c r="B32" s="1"/>
      <x:c r="C32" s="30"/>
      <x:c r="D32" s="30"/>
      <x:c r="E32" s="30"/>
      <x:c r="F32" s="30"/>
      <x:c r="G32" s="30"/>
      <x:c r="H32" s="30"/>
      <x:c r="I32" s="30"/>
      <x:c r="J32" s="30"/>
      <x:c r="K32" s="30"/>
      <x:c r="L32" s="30"/>
      <x:c r="M32" s="30"/>
      <x:c r="N32" s="30"/>
      <x:c r="O32" s="30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  <x:c r="AA32" s="30"/>
      <x:c r="AB32" s="30"/>
      <x:c r="AC32" s="30"/>
      <x:c r="AD32" s="30"/>
      <x:c r="AE32" s="30"/>
      <x:c r="AF32" s="30"/>
      <x:c r="AG32" s="30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>
      <x:c r="A33" s="1"/>
      <x:c r="B33" s="1"/>
      <x:c r="C33" s="30"/>
      <x:c r="D33" s="30"/>
      <x:c r="E33" s="30"/>
      <x:c r="F33" s="30"/>
      <x:c r="G33" s="30"/>
      <x:c r="H33" s="30"/>
      <x:c r="I33" s="30"/>
      <x:c r="J33" s="30"/>
      <x:c r="K33" s="30"/>
      <x:c r="L33" s="30"/>
      <x:c r="M33" s="30"/>
      <x:c r="N33" s="30"/>
      <x:c r="O33" s="30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  <x:c r="AA33" s="30"/>
      <x:c r="AB33" s="30"/>
      <x:c r="AC33" s="30"/>
      <x:c r="AD33" s="30"/>
      <x:c r="AE33" s="30"/>
      <x:c r="AF33" s="30"/>
      <x:c r="AG33" s="30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>
      <x:c r="A34" s="1"/>
      <x:c r="B34" s="1"/>
      <x:c r="C34" s="30"/>
      <x:c r="D34" s="30"/>
      <x:c r="E34" s="30"/>
      <x:c r="F34" s="30"/>
      <x:c r="G34" s="30"/>
      <x:c r="H34" s="30"/>
      <x:c r="I34" s="30"/>
      <x:c r="J34" s="30"/>
      <x:c r="K34" s="30"/>
      <x:c r="L34" s="30"/>
      <x:c r="M34" s="30"/>
      <x:c r="N34" s="30"/>
      <x:c r="O34" s="30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  <x:c r="AA34" s="30"/>
      <x:c r="AB34" s="30"/>
      <x:c r="AC34" s="30"/>
      <x:c r="AD34" s="30"/>
      <x:c r="AE34" s="30"/>
      <x:c r="AF34" s="30"/>
      <x:c r="AG34" s="30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>
      <x:c r="A35" s="1"/>
      <x:c r="B35" s="1"/>
      <x:c r="C35" s="30"/>
      <x:c r="D35" s="30"/>
      <x:c r="E35" s="30"/>
      <x:c r="F35" s="30"/>
      <x:c r="G35" s="30"/>
      <x:c r="H35" s="30"/>
      <x:c r="I35" s="30"/>
      <x:c r="J35" s="30"/>
      <x:c r="K35" s="30"/>
      <x:c r="L35" s="30"/>
      <x:c r="M35" s="30"/>
      <x:c r="N35" s="30"/>
      <x:c r="O35" s="30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  <x:c r="AA35" s="30"/>
      <x:c r="AB35" s="30"/>
      <x:c r="AC35" s="30"/>
      <x:c r="AD35" s="30"/>
      <x:c r="AE35" s="30"/>
      <x:c r="AF35" s="30"/>
      <x:c r="AG35" s="30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>
      <x:c r="A36" s="1"/>
      <x:c r="B36" s="1"/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  <x:c r="M36" s="30"/>
      <x:c r="N36" s="30"/>
      <x:c r="O36" s="30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  <x:c r="AA36" s="30"/>
      <x:c r="AB36" s="30"/>
      <x:c r="AC36" s="30"/>
      <x:c r="AD36" s="30"/>
      <x:c r="AE36" s="30"/>
      <x:c r="AF36" s="30"/>
      <x:c r="AG36" s="30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>
      <x:c r="A37" s="1"/>
      <x:c r="B37" s="1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  <x:c r="O37" s="30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  <x:c r="AA37" s="30"/>
      <x:c r="AB37" s="30"/>
      <x:c r="AC37" s="30"/>
      <x:c r="AD37" s="30"/>
      <x:c r="AE37" s="30"/>
      <x:c r="AF37" s="30"/>
      <x:c r="AG37" s="30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>
      <x:c r="A38" s="1"/>
      <x:c r="B38" s="1"/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  <x:c r="O38" s="30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  <x:c r="AA38" s="30"/>
      <x:c r="AB38" s="30"/>
      <x:c r="AC38" s="30"/>
      <x:c r="AD38" s="30"/>
      <x:c r="AE38" s="30"/>
      <x:c r="AF38" s="30"/>
      <x:c r="AG38" s="30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>
      <x:c r="A39" s="1"/>
      <x:c r="B39" s="1"/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  <x:c r="O39" s="30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  <x:c r="AA39" s="30"/>
      <x:c r="AB39" s="30"/>
      <x:c r="AC39" s="30"/>
      <x:c r="AD39" s="30"/>
      <x:c r="AE39" s="30"/>
      <x:c r="AF39" s="30"/>
      <x:c r="AG39" s="30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>
      <x:c r="A40" s="1"/>
      <x:c r="B40" s="1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  <x:c r="M40" s="30"/>
      <x:c r="N40" s="30"/>
      <x:c r="O40" s="30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  <x:c r="AA40" s="30"/>
      <x:c r="AB40" s="30"/>
      <x:c r="AC40" s="30"/>
      <x:c r="AD40" s="30"/>
      <x:c r="AE40" s="30"/>
      <x:c r="AF40" s="30"/>
      <x:c r="AG40" s="30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>
      <x:c r="A41" s="1"/>
      <x:c r="B41" s="1"/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  <x:c r="AA41" s="30"/>
      <x:c r="AB41" s="30"/>
      <x:c r="AC41" s="30"/>
      <x:c r="AD41" s="30"/>
      <x:c r="AE41" s="30"/>
      <x:c r="AF41" s="30"/>
      <x:c r="AG41" s="30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>
      <x:c r="A42" s="1"/>
      <x:c r="B42" s="1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  <x:c r="AA42" s="30"/>
      <x:c r="AB42" s="30"/>
      <x:c r="AC42" s="30"/>
      <x:c r="AD42" s="30"/>
      <x:c r="AE42" s="30"/>
      <x:c r="AF42" s="30"/>
      <x:c r="AG42" s="30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>
      <x:c r="A43" s="1"/>
      <x:c r="B43" s="1"/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  <x:c r="AA43" s="30"/>
      <x:c r="AB43" s="30"/>
      <x:c r="AC43" s="30"/>
      <x:c r="AD43" s="30"/>
      <x:c r="AE43" s="30"/>
      <x:c r="AF43" s="30"/>
      <x:c r="AG43" s="30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>
      <x:c r="A44" s="1"/>
      <x:c r="B44" s="1"/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  <x:c r="M44" s="30"/>
      <x:c r="N44" s="30"/>
      <x:c r="O44" s="30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  <x:c r="AA44" s="30"/>
      <x:c r="AB44" s="30"/>
      <x:c r="AC44" s="30"/>
      <x:c r="AD44" s="30"/>
      <x:c r="AE44" s="30"/>
      <x:c r="AF44" s="30"/>
      <x:c r="AG44" s="30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>
      <x:c r="A45" s="1"/>
      <x:c r="B45" s="1"/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  <x:c r="AA45" s="30"/>
      <x:c r="AB45" s="30"/>
      <x:c r="AC45" s="30"/>
      <x:c r="AD45" s="30"/>
      <x:c r="AE45" s="30"/>
      <x:c r="AF45" s="30"/>
      <x:c r="AG45" s="30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>
      <x:c r="A46" s="1"/>
      <x:c r="B46" s="1"/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  <x:c r="M46" s="30"/>
      <x:c r="N46" s="30"/>
      <x:c r="O46" s="30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  <x:c r="AA46" s="30"/>
      <x:c r="AB46" s="30"/>
      <x:c r="AC46" s="30"/>
      <x:c r="AD46" s="30"/>
      <x:c r="AE46" s="30"/>
      <x:c r="AF46" s="30"/>
      <x:c r="AG46" s="30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>
      <x:c r="A47" s="1"/>
      <x:c r="B47" s="1"/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  <x:c r="O47" s="30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  <x:c r="AA47" s="30"/>
      <x:c r="AB47" s="30"/>
      <x:c r="AC47" s="30"/>
      <x:c r="AD47" s="30"/>
      <x:c r="AE47" s="30"/>
      <x:c r="AF47" s="30"/>
      <x:c r="AG47" s="30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>
      <x:c r="A48" s="1"/>
      <x:c r="B48" s="1"/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  <x:c r="M48" s="30"/>
      <x:c r="N48" s="30"/>
      <x:c r="O48" s="30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  <x:c r="AA48" s="30"/>
      <x:c r="AB48" s="30"/>
      <x:c r="AC48" s="30"/>
      <x:c r="AD48" s="30"/>
      <x:c r="AE48" s="30"/>
      <x:c r="AF48" s="30"/>
      <x:c r="AG48" s="30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>
      <x:c r="A49" s="1"/>
      <x:c r="B49" s="1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0"/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  <x:c r="AA49" s="30"/>
      <x:c r="AB49" s="30"/>
      <x:c r="AC49" s="30"/>
      <x:c r="AD49" s="30"/>
      <x:c r="AE49" s="30"/>
      <x:c r="AF49" s="30"/>
      <x:c r="AG49" s="30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>
      <x:c r="A50" s="1"/>
      <x:c r="B50" s="1"/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  <x:c r="O50" s="30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  <x:c r="AA50" s="30"/>
      <x:c r="AB50" s="30"/>
      <x:c r="AC50" s="30"/>
      <x:c r="AD50" s="30"/>
      <x:c r="AE50" s="30"/>
      <x:c r="AF50" s="30"/>
      <x:c r="AG50" s="30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>
      <x:c r="A51" s="1"/>
      <x:c r="B51" s="1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  <x:c r="O51" s="30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  <x:c r="AA51" s="30"/>
      <x:c r="AB51" s="30"/>
      <x:c r="AC51" s="30"/>
      <x:c r="AD51" s="30"/>
      <x:c r="AE51" s="30"/>
      <x:c r="AF51" s="30"/>
      <x:c r="AG51" s="30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>
      <x:c r="A52" s="1"/>
      <x:c r="B52" s="1"/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  <x:c r="M52" s="30"/>
      <x:c r="N52" s="30"/>
      <x:c r="O52" s="30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  <x:c r="AA52" s="30"/>
      <x:c r="AB52" s="30"/>
      <x:c r="AC52" s="30"/>
      <x:c r="AD52" s="30"/>
      <x:c r="AE52" s="30"/>
      <x:c r="AF52" s="30"/>
      <x:c r="AG52" s="30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>
      <x:c r="A53" s="1"/>
      <x:c r="B53" s="1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  <x:c r="O53" s="30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  <x:c r="AA53" s="30"/>
      <x:c r="AB53" s="30"/>
      <x:c r="AC53" s="30"/>
      <x:c r="AD53" s="30"/>
      <x:c r="AE53" s="30"/>
      <x:c r="AF53" s="30"/>
      <x:c r="AG53" s="30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>
      <x:c r="A54" s="1"/>
      <x:c r="B54" s="1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  <x:c r="AA54" s="30"/>
      <x:c r="AB54" s="30"/>
      <x:c r="AC54" s="30"/>
      <x:c r="AD54" s="30"/>
      <x:c r="AE54" s="30"/>
      <x:c r="AF54" s="30"/>
      <x:c r="AG54" s="30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>
      <x:c r="A55" s="1"/>
      <x:c r="B55" s="1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  <x:c r="AA55" s="30"/>
      <x:c r="AB55" s="30"/>
      <x:c r="AC55" s="30"/>
      <x:c r="AD55" s="30"/>
      <x:c r="AE55" s="30"/>
      <x:c r="AF55" s="30"/>
      <x:c r="AG55" s="30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>
      <x:c r="A56" s="1"/>
      <x:c r="B56" s="1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  <x:c r="AA56" s="30"/>
      <x:c r="AB56" s="30"/>
      <x:c r="AC56" s="30"/>
      <x:c r="AD56" s="30"/>
      <x:c r="AE56" s="30"/>
      <x:c r="AF56" s="30"/>
      <x:c r="AG56" s="30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>
      <x:c r="A57" s="1"/>
      <x:c r="B57" s="1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  <x:c r="AA57" s="30"/>
      <x:c r="AB57" s="30"/>
      <x:c r="AC57" s="30"/>
      <x:c r="AD57" s="30"/>
      <x:c r="AE57" s="30"/>
      <x:c r="AF57" s="30"/>
      <x:c r="AG57" s="30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>
      <x:c r="A58" s="1"/>
      <x:c r="B58" s="1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0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  <x:c r="AA58" s="30"/>
      <x:c r="AB58" s="30"/>
      <x:c r="AC58" s="30"/>
      <x:c r="AD58" s="30"/>
      <x:c r="AE58" s="30"/>
      <x:c r="AF58" s="30"/>
      <x:c r="AG58" s="30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>
      <x:c r="A59" s="1"/>
      <x:c r="B59" s="1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  <x:c r="M59" s="30"/>
      <x:c r="N59" s="30"/>
      <x:c r="O59" s="30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  <x:c r="AA59" s="30"/>
      <x:c r="AB59" s="30"/>
      <x:c r="AC59" s="30"/>
      <x:c r="AD59" s="30"/>
      <x:c r="AE59" s="30"/>
      <x:c r="AF59" s="30"/>
      <x:c r="AG59" s="30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>
      <x:c r="A60" s="1"/>
      <x:c r="B60" s="1"/>
      <x:c r="C60" s="30"/>
      <x:c r="D60" s="30"/>
      <x:c r="E60" s="30"/>
      <x:c r="F60" s="30"/>
      <x:c r="G60" s="30"/>
      <x:c r="H60" s="30"/>
      <x:c r="I60" s="30"/>
      <x:c r="J60" s="30"/>
      <x:c r="K60" s="30"/>
      <x:c r="L60" s="30"/>
      <x:c r="M60" s="30"/>
      <x:c r="N60" s="30"/>
      <x:c r="O60" s="30"/>
      <x:c r="P60" s="30"/>
      <x:c r="Q60" s="30"/>
      <x:c r="R60" s="30"/>
      <x:c r="S60" s="30"/>
      <x:c r="T60" s="30"/>
      <x:c r="U60" s="30"/>
      <x:c r="V60" s="30"/>
      <x:c r="W60" s="30"/>
      <x:c r="X60" s="30"/>
      <x:c r="Y60" s="30"/>
      <x:c r="Z60" s="30"/>
      <x:c r="AA60" s="30"/>
      <x:c r="AB60" s="30"/>
      <x:c r="AC60" s="30"/>
      <x:c r="AD60" s="30"/>
      <x:c r="AE60" s="30"/>
      <x:c r="AF60" s="30"/>
      <x:c r="AG60" s="30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>
      <x:c r="A61" s="1"/>
      <x:c r="B61" s="1"/>
      <x:c r="C61" s="30"/>
      <x:c r="D61" s="30"/>
      <x:c r="E61" s="30"/>
      <x:c r="F61" s="30"/>
      <x:c r="G61" s="30"/>
      <x:c r="H61" s="30"/>
      <x:c r="I61" s="30"/>
      <x:c r="J61" s="30"/>
      <x:c r="K61" s="30"/>
      <x:c r="L61" s="30"/>
      <x:c r="M61" s="30"/>
      <x:c r="N61" s="30"/>
      <x:c r="O61" s="30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  <x:c r="AA61" s="30"/>
      <x:c r="AB61" s="30"/>
      <x:c r="AC61" s="30"/>
      <x:c r="AD61" s="30"/>
      <x:c r="AE61" s="30"/>
      <x:c r="AF61" s="30"/>
      <x:c r="AG61" s="30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>
      <x:c r="A62" s="1"/>
      <x:c r="B62" s="1"/>
      <x:c r="C62" s="30"/>
      <x:c r="D62" s="30"/>
      <x:c r="E62" s="30"/>
      <x:c r="F62" s="30"/>
      <x:c r="G62" s="30"/>
      <x:c r="H62" s="30"/>
      <x:c r="I62" s="30"/>
      <x:c r="J62" s="30"/>
      <x:c r="K62" s="30"/>
      <x:c r="L62" s="30"/>
      <x:c r="M62" s="30"/>
      <x:c r="N62" s="30"/>
      <x:c r="O62" s="30"/>
      <x:c r="P62" s="30"/>
      <x:c r="Q62" s="30"/>
      <x:c r="R62" s="30"/>
      <x:c r="S62" s="30"/>
      <x:c r="T62" s="30"/>
      <x:c r="U62" s="30"/>
      <x:c r="V62" s="30"/>
      <x:c r="W62" s="30"/>
      <x:c r="X62" s="30"/>
      <x:c r="Y62" s="30"/>
      <x:c r="Z62" s="30"/>
      <x:c r="AA62" s="30"/>
      <x:c r="AB62" s="30"/>
      <x:c r="AC62" s="30"/>
      <x:c r="AD62" s="30"/>
      <x:c r="AE62" s="30"/>
      <x:c r="AF62" s="30"/>
      <x:c r="AG62" s="30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>
      <x:c r="A63" s="1"/>
      <x:c r="B63" s="1"/>
      <x:c r="C63" s="30"/>
      <x:c r="D63" s="30"/>
      <x:c r="E63" s="30"/>
      <x:c r="F63" s="30"/>
      <x:c r="G63" s="30"/>
      <x:c r="H63" s="30"/>
      <x:c r="I63" s="30"/>
      <x:c r="J63" s="30"/>
      <x:c r="K63" s="30"/>
      <x:c r="L63" s="30"/>
      <x:c r="M63" s="30"/>
      <x:c r="N63" s="30"/>
      <x:c r="O63" s="30"/>
      <x:c r="P63" s="30"/>
      <x:c r="Q63" s="30"/>
      <x:c r="R63" s="30"/>
      <x:c r="S63" s="30"/>
      <x:c r="T63" s="30"/>
      <x:c r="U63" s="30"/>
      <x:c r="V63" s="30"/>
      <x:c r="W63" s="30"/>
      <x:c r="X63" s="30"/>
      <x:c r="Y63" s="30"/>
      <x:c r="Z63" s="30"/>
      <x:c r="AA63" s="30"/>
      <x:c r="AB63" s="30"/>
      <x:c r="AC63" s="30"/>
      <x:c r="AD63" s="30"/>
      <x:c r="AE63" s="30"/>
      <x:c r="AF63" s="30"/>
      <x:c r="AG63" s="30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>
      <x:c r="A64" s="1"/>
      <x:c r="B64" s="1"/>
      <x:c r="C64" s="30"/>
      <x:c r="D64" s="30"/>
      <x:c r="E64" s="30"/>
      <x:c r="F64" s="30"/>
      <x:c r="G64" s="30"/>
      <x:c r="H64" s="30"/>
      <x:c r="I64" s="30"/>
      <x:c r="J64" s="30"/>
      <x:c r="K64" s="30"/>
      <x:c r="L64" s="30"/>
      <x:c r="M64" s="30"/>
      <x:c r="N64" s="30"/>
      <x:c r="O64" s="30"/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30"/>
      <x:c r="AA64" s="30"/>
      <x:c r="AB64" s="30"/>
      <x:c r="AC64" s="30"/>
      <x:c r="AD64" s="30"/>
      <x:c r="AE64" s="30"/>
      <x:c r="AF64" s="30"/>
      <x:c r="AG64" s="30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>
      <x:c r="A65" s="1"/>
      <x:c r="B65" s="1"/>
      <x:c r="C65" s="30"/>
      <x:c r="D65" s="30"/>
      <x:c r="E65" s="30"/>
      <x:c r="F65" s="30"/>
      <x:c r="G65" s="30"/>
      <x:c r="H65" s="30"/>
      <x:c r="I65" s="30"/>
      <x:c r="J65" s="30"/>
      <x:c r="K65" s="30"/>
      <x:c r="L65" s="30"/>
      <x:c r="M65" s="30"/>
      <x:c r="N65" s="30"/>
      <x:c r="O65" s="30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  <x:c r="AA65" s="30"/>
      <x:c r="AB65" s="30"/>
      <x:c r="AC65" s="30"/>
      <x:c r="AD65" s="30"/>
      <x:c r="AE65" s="30"/>
      <x:c r="AF65" s="30"/>
      <x:c r="AG65" s="30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>
      <x:c r="A66" s="1"/>
      <x:c r="B66" s="1"/>
      <x:c r="C66" s="30"/>
      <x:c r="D66" s="30"/>
      <x:c r="E66" s="30"/>
      <x:c r="F66" s="30"/>
      <x:c r="G66" s="30"/>
      <x:c r="H66" s="30"/>
      <x:c r="I66" s="30"/>
      <x:c r="J66" s="30"/>
      <x:c r="K66" s="30"/>
      <x:c r="L66" s="30"/>
      <x:c r="M66" s="30"/>
      <x:c r="N66" s="30"/>
      <x:c r="O66" s="30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  <x:c r="AA66" s="30"/>
      <x:c r="AB66" s="30"/>
      <x:c r="AC66" s="30"/>
      <x:c r="AD66" s="30"/>
      <x:c r="AE66" s="30"/>
      <x:c r="AF66" s="30"/>
      <x:c r="AG66" s="30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>
      <x:c r="A67" s="1"/>
      <x:c r="B67" s="1"/>
      <x:c r="C67" s="30"/>
      <x:c r="D67" s="30"/>
      <x:c r="E67" s="30"/>
      <x:c r="F67" s="30"/>
      <x:c r="G67" s="30"/>
      <x:c r="H67" s="30"/>
      <x:c r="I67" s="30"/>
      <x:c r="J67" s="30"/>
      <x:c r="K67" s="30"/>
      <x:c r="L67" s="30"/>
      <x:c r="M67" s="30"/>
      <x:c r="N67" s="30"/>
      <x:c r="O67" s="30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  <x:c r="AA67" s="30"/>
      <x:c r="AB67" s="30"/>
      <x:c r="AC67" s="30"/>
      <x:c r="AD67" s="30"/>
      <x:c r="AE67" s="30"/>
      <x:c r="AF67" s="30"/>
      <x:c r="AG67" s="30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>
      <x:c r="A68" s="1"/>
      <x:c r="B68" s="1"/>
      <x:c r="C68" s="30"/>
      <x:c r="D68" s="30"/>
      <x:c r="E68" s="30"/>
      <x:c r="F68" s="30"/>
      <x:c r="G68" s="30"/>
      <x:c r="H68" s="30"/>
      <x:c r="I68" s="30"/>
      <x:c r="J68" s="30"/>
      <x:c r="K68" s="30"/>
      <x:c r="L68" s="30"/>
      <x:c r="M68" s="30"/>
      <x:c r="N68" s="30"/>
      <x:c r="O68" s="30"/>
      <x:c r="P68" s="30"/>
      <x:c r="Q68" s="30"/>
      <x:c r="R68" s="30"/>
      <x:c r="S68" s="30"/>
      <x:c r="T68" s="30"/>
      <x:c r="U68" s="30"/>
      <x:c r="V68" s="30"/>
      <x:c r="W68" s="30"/>
      <x:c r="X68" s="30"/>
      <x:c r="Y68" s="30"/>
      <x:c r="Z68" s="30"/>
      <x:c r="AA68" s="30"/>
      <x:c r="AB68" s="30"/>
      <x:c r="AC68" s="30"/>
      <x:c r="AD68" s="30"/>
      <x:c r="AE68" s="30"/>
      <x:c r="AF68" s="30"/>
      <x:c r="AG68" s="30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>
      <x:c r="A69" s="1"/>
      <x:c r="B69" s="1"/>
      <x:c r="C69" s="30"/>
      <x:c r="D69" s="30"/>
      <x:c r="E69" s="30"/>
      <x:c r="F69" s="30"/>
      <x:c r="G69" s="30"/>
      <x:c r="H69" s="30"/>
      <x:c r="I69" s="30"/>
      <x:c r="J69" s="30"/>
      <x:c r="K69" s="30"/>
      <x:c r="L69" s="30"/>
      <x:c r="M69" s="30"/>
      <x:c r="N69" s="30"/>
      <x:c r="O69" s="30"/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30"/>
      <x:c r="AA69" s="30"/>
      <x:c r="AB69" s="30"/>
      <x:c r="AC69" s="30"/>
      <x:c r="AD69" s="30"/>
      <x:c r="AE69" s="30"/>
      <x:c r="AF69" s="30"/>
      <x:c r="AG69" s="30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>
      <x:c r="A70" s="1"/>
      <x:c r="B70" s="1"/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  <x:c r="M70" s="30"/>
      <x:c r="N70" s="30"/>
      <x:c r="O70" s="30"/>
      <x:c r="P70" s="30"/>
      <x:c r="Q70" s="30"/>
      <x:c r="R70" s="30"/>
      <x:c r="S70" s="30"/>
      <x:c r="T70" s="30"/>
      <x:c r="U70" s="30"/>
      <x:c r="V70" s="30"/>
      <x:c r="W70" s="30"/>
      <x:c r="X70" s="30"/>
      <x:c r="Y70" s="30"/>
      <x:c r="Z70" s="30"/>
      <x:c r="AA70" s="30"/>
      <x:c r="AB70" s="30"/>
      <x:c r="AC70" s="30"/>
      <x:c r="AD70" s="30"/>
      <x:c r="AE70" s="30"/>
      <x:c r="AF70" s="30"/>
      <x:c r="AG70" s="30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>
      <x:c r="A71" s="1"/>
      <x:c r="B71" s="1"/>
      <x:c r="C71" s="30"/>
      <x:c r="D71" s="30"/>
      <x:c r="E71" s="30"/>
      <x:c r="F71" s="30"/>
      <x:c r="G71" s="30"/>
      <x:c r="H71" s="30"/>
      <x:c r="I71" s="30"/>
      <x:c r="J71" s="30"/>
      <x:c r="K71" s="30"/>
      <x:c r="L71" s="30"/>
      <x:c r="M71" s="30"/>
      <x:c r="N71" s="30"/>
      <x:c r="O71" s="30"/>
      <x:c r="P71" s="30"/>
      <x:c r="Q71" s="30"/>
      <x:c r="R71" s="30"/>
      <x:c r="S71" s="30"/>
      <x:c r="T71" s="30"/>
      <x:c r="U71" s="30"/>
      <x:c r="V71" s="30"/>
      <x:c r="W71" s="30"/>
      <x:c r="X71" s="30"/>
      <x:c r="Y71" s="30"/>
      <x:c r="Z71" s="30"/>
      <x:c r="AA71" s="30"/>
      <x:c r="AB71" s="30"/>
      <x:c r="AC71" s="30"/>
      <x:c r="AD71" s="30"/>
      <x:c r="AE71" s="30"/>
      <x:c r="AF71" s="30"/>
      <x:c r="AG71" s="30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>
      <x:c r="A72" s="1"/>
      <x:c r="B72" s="1"/>
      <x:c r="C72" s="30"/>
      <x:c r="D72" s="30"/>
      <x:c r="E72" s="30"/>
      <x:c r="F72" s="30"/>
      <x:c r="G72" s="30"/>
      <x:c r="H72" s="30"/>
      <x:c r="I72" s="30"/>
      <x:c r="J72" s="30"/>
      <x:c r="K72" s="30"/>
      <x:c r="L72" s="30"/>
      <x:c r="M72" s="30"/>
      <x:c r="N72" s="30"/>
      <x:c r="O72" s="30"/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30"/>
      <x:c r="AA72" s="30"/>
      <x:c r="AB72" s="30"/>
      <x:c r="AC72" s="30"/>
      <x:c r="AD72" s="30"/>
      <x:c r="AE72" s="30"/>
      <x:c r="AF72" s="30"/>
      <x:c r="AG72" s="30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>
      <x:c r="A73" s="1"/>
      <x:c r="B73" s="1"/>
      <x:c r="C73" s="30"/>
      <x:c r="D73" s="30"/>
      <x:c r="E73" s="30"/>
      <x:c r="F73" s="30"/>
      <x:c r="G73" s="30"/>
      <x:c r="H73" s="30"/>
      <x:c r="I73" s="30"/>
      <x:c r="J73" s="30"/>
      <x:c r="K73" s="30"/>
      <x:c r="L73" s="30"/>
      <x:c r="M73" s="30"/>
      <x:c r="N73" s="30"/>
      <x:c r="O73" s="30"/>
      <x:c r="P73" s="30"/>
      <x:c r="Q73" s="30"/>
      <x:c r="R73" s="30"/>
      <x:c r="S73" s="30"/>
      <x:c r="T73" s="30"/>
      <x:c r="U73" s="30"/>
      <x:c r="V73" s="30"/>
      <x:c r="W73" s="30"/>
      <x:c r="X73" s="30"/>
      <x:c r="Y73" s="30"/>
      <x:c r="Z73" s="30"/>
      <x:c r="AA73" s="30"/>
      <x:c r="AB73" s="30"/>
      <x:c r="AC73" s="30"/>
      <x:c r="AD73" s="30"/>
      <x:c r="AE73" s="30"/>
      <x:c r="AF73" s="30"/>
      <x:c r="AG73" s="30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>
      <x:c r="A74" s="1"/>
      <x:c r="B74" s="1"/>
      <x:c r="C74" s="30"/>
      <x:c r="D74" s="30"/>
      <x:c r="E74" s="30"/>
      <x:c r="F74" s="30"/>
      <x:c r="G74" s="30"/>
      <x:c r="H74" s="30"/>
      <x:c r="I74" s="30"/>
      <x:c r="J74" s="30"/>
      <x:c r="K74" s="30"/>
      <x:c r="L74" s="30"/>
      <x:c r="M74" s="30"/>
      <x:c r="N74" s="30"/>
      <x:c r="O74" s="30"/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30"/>
      <x:c r="AA74" s="30"/>
      <x:c r="AB74" s="30"/>
      <x:c r="AC74" s="30"/>
      <x:c r="AD74" s="30"/>
      <x:c r="AE74" s="30"/>
      <x:c r="AF74" s="30"/>
      <x:c r="AG74" s="30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>
      <x:c r="A75" s="1"/>
      <x:c r="B75" s="1"/>
      <x:c r="C75" s="30"/>
      <x:c r="D75" s="30"/>
      <x:c r="E75" s="30"/>
      <x:c r="F75" s="30"/>
      <x:c r="G75" s="30"/>
      <x:c r="H75" s="30"/>
      <x:c r="I75" s="30"/>
      <x:c r="J75" s="30"/>
      <x:c r="K75" s="30"/>
      <x:c r="L75" s="30"/>
      <x:c r="M75" s="30"/>
      <x:c r="N75" s="30"/>
      <x:c r="O75" s="30"/>
      <x:c r="P75" s="30"/>
      <x:c r="Q75" s="30"/>
      <x:c r="R75" s="30"/>
      <x:c r="S75" s="30"/>
      <x:c r="T75" s="30"/>
      <x:c r="U75" s="30"/>
      <x:c r="V75" s="30"/>
      <x:c r="W75" s="30"/>
      <x:c r="X75" s="30"/>
      <x:c r="Y75" s="30"/>
      <x:c r="Z75" s="30"/>
      <x:c r="AA75" s="30"/>
      <x:c r="AB75" s="30"/>
      <x:c r="AC75" s="30"/>
      <x:c r="AD75" s="30"/>
      <x:c r="AE75" s="30"/>
      <x:c r="AF75" s="30"/>
      <x:c r="AG75" s="30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>
      <x:c r="A76" s="1"/>
      <x:c r="B76" s="1"/>
      <x:c r="C76" s="30"/>
      <x:c r="D76" s="30"/>
      <x:c r="E76" s="30"/>
      <x:c r="F76" s="30"/>
      <x:c r="G76" s="30"/>
      <x:c r="H76" s="30"/>
      <x:c r="I76" s="30"/>
      <x:c r="J76" s="30"/>
      <x:c r="K76" s="30"/>
      <x:c r="L76" s="30"/>
      <x:c r="M76" s="30"/>
      <x:c r="N76" s="30"/>
      <x:c r="O76" s="30"/>
      <x:c r="P76" s="30"/>
      <x:c r="Q76" s="30"/>
      <x:c r="R76" s="30"/>
      <x:c r="S76" s="30"/>
      <x:c r="T76" s="30"/>
      <x:c r="U76" s="30"/>
      <x:c r="V76" s="30"/>
      <x:c r="W76" s="30"/>
      <x:c r="X76" s="30"/>
      <x:c r="Y76" s="30"/>
      <x:c r="Z76" s="30"/>
      <x:c r="AA76" s="30"/>
      <x:c r="AB76" s="30"/>
      <x:c r="AC76" s="30"/>
      <x:c r="AD76" s="30"/>
      <x:c r="AE76" s="30"/>
      <x:c r="AF76" s="30"/>
      <x:c r="AG76" s="30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>
      <x:c r="A77" s="1"/>
      <x:c r="B77" s="1"/>
      <x:c r="C77" s="30"/>
      <x:c r="D77" s="30"/>
      <x:c r="E77" s="30"/>
      <x:c r="F77" s="30"/>
      <x:c r="G77" s="30"/>
      <x:c r="H77" s="30"/>
      <x:c r="I77" s="30"/>
      <x:c r="J77" s="30"/>
      <x:c r="K77" s="30"/>
      <x:c r="L77" s="30"/>
      <x:c r="M77" s="30"/>
      <x:c r="N77" s="30"/>
      <x:c r="O77" s="30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  <x:c r="AA77" s="30"/>
      <x:c r="AB77" s="30"/>
      <x:c r="AC77" s="30"/>
      <x:c r="AD77" s="30"/>
      <x:c r="AE77" s="30"/>
      <x:c r="AF77" s="30"/>
      <x:c r="AG77" s="30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>
      <x:c r="A78" s="1"/>
      <x:c r="B78" s="1"/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  <x:c r="O78" s="30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  <x:c r="AA78" s="30"/>
      <x:c r="AB78" s="30"/>
      <x:c r="AC78" s="30"/>
      <x:c r="AD78" s="30"/>
      <x:c r="AE78" s="30"/>
      <x:c r="AF78" s="30"/>
      <x:c r="AG78" s="30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>
      <x:c r="A79" s="1"/>
      <x:c r="B79" s="1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  <x:c r="M79" s="30"/>
      <x:c r="N79" s="30"/>
      <x:c r="O79" s="30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  <x:c r="AA79" s="30"/>
      <x:c r="AB79" s="30"/>
      <x:c r="AC79" s="30"/>
      <x:c r="AD79" s="30"/>
      <x:c r="AE79" s="30"/>
      <x:c r="AF79" s="30"/>
      <x:c r="AG79" s="30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>
      <x:c r="A80" s="1"/>
      <x:c r="B80" s="1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  <x:c r="M80" s="30"/>
      <x:c r="N80" s="30"/>
      <x:c r="O80" s="30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  <x:c r="AA80" s="30"/>
      <x:c r="AB80" s="30"/>
      <x:c r="AC80" s="30"/>
      <x:c r="AD80" s="30"/>
      <x:c r="AE80" s="30"/>
      <x:c r="AF80" s="30"/>
      <x:c r="AG80" s="30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>
      <x:c r="A81" s="1"/>
      <x:c r="B81" s="1"/>
      <x:c r="C81" s="30"/>
      <x:c r="D81" s="30"/>
      <x:c r="E81" s="30"/>
      <x:c r="F81" s="30"/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  <x:c r="AA81" s="30"/>
      <x:c r="AB81" s="30"/>
      <x:c r="AC81" s="30"/>
      <x:c r="AD81" s="30"/>
      <x:c r="AE81" s="30"/>
      <x:c r="AF81" s="30"/>
      <x:c r="AG81" s="30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>
      <x:c r="A82" s="1"/>
      <x:c r="B82" s="1"/>
      <x:c r="C82" s="30"/>
      <x:c r="D82" s="30"/>
      <x:c r="E82" s="30"/>
      <x:c r="F82" s="30"/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30"/>
      <x:c r="AA82" s="30"/>
      <x:c r="AB82" s="30"/>
      <x:c r="AC82" s="30"/>
      <x:c r="AD82" s="30"/>
      <x:c r="AE82" s="30"/>
      <x:c r="AF82" s="30"/>
      <x:c r="AG82" s="30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>
      <x:c r="A83" s="1"/>
      <x:c r="B83" s="1"/>
      <x:c r="C83" s="30"/>
      <x:c r="D83" s="30"/>
      <x:c r="E83" s="30"/>
      <x:c r="F83" s="30"/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30"/>
      <x:c r="AA83" s="30"/>
      <x:c r="AB83" s="30"/>
      <x:c r="AC83" s="30"/>
      <x:c r="AD83" s="30"/>
      <x:c r="AE83" s="30"/>
      <x:c r="AF83" s="30"/>
      <x:c r="AG83" s="30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>
      <x:c r="A84" s="1"/>
      <x:c r="B84" s="1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30"/>
      <x:c r="AA84" s="30"/>
      <x:c r="AB84" s="30"/>
      <x:c r="AC84" s="30"/>
      <x:c r="AD84" s="30"/>
      <x:c r="AE84" s="30"/>
      <x:c r="AF84" s="30"/>
      <x:c r="AG84" s="30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>
      <x:c r="A85" s="1"/>
      <x:c r="B85" s="1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30"/>
      <x:c r="AA85" s="30"/>
      <x:c r="AB85" s="30"/>
      <x:c r="AC85" s="30"/>
      <x:c r="AD85" s="30"/>
      <x:c r="AE85" s="30"/>
      <x:c r="AF85" s="30"/>
      <x:c r="AG85" s="30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>
      <x:c r="A86" s="1"/>
      <x:c r="B86" s="1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30"/>
      <x:c r="AA86" s="30"/>
      <x:c r="AB86" s="30"/>
      <x:c r="AC86" s="30"/>
      <x:c r="AD86" s="30"/>
      <x:c r="AE86" s="30"/>
      <x:c r="AF86" s="30"/>
      <x:c r="AG86" s="30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>
      <x:c r="A87" s="1"/>
      <x:c r="B87" s="1"/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  <x:c r="Y87" s="30"/>
      <x:c r="Z87" s="30"/>
      <x:c r="AA87" s="30"/>
      <x:c r="AB87" s="30"/>
      <x:c r="AC87" s="30"/>
      <x:c r="AD87" s="30"/>
      <x:c r="AE87" s="30"/>
      <x:c r="AF87" s="30"/>
      <x:c r="AG87" s="30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>
      <x:c r="A88" s="1"/>
      <x:c r="B88" s="1"/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  <x:c r="Y88" s="30"/>
      <x:c r="Z88" s="30"/>
      <x:c r="AA88" s="30"/>
      <x:c r="AB88" s="30"/>
      <x:c r="AC88" s="30"/>
      <x:c r="AD88" s="30"/>
      <x:c r="AE88" s="30"/>
      <x:c r="AF88" s="30"/>
      <x:c r="AG88" s="30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>
      <x:c r="A89" s="1"/>
      <x:c r="B89" s="1"/>
      <x:c r="C89" s="30"/>
      <x:c r="D89" s="30"/>
      <x:c r="E89" s="30"/>
      <x:c r="F89" s="30"/>
      <x:c r="G89" s="3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  <x:c r="Y89" s="30"/>
      <x:c r="Z89" s="30"/>
      <x:c r="AA89" s="30"/>
      <x:c r="AB89" s="30"/>
      <x:c r="AC89" s="30"/>
      <x:c r="AD89" s="30"/>
      <x:c r="AE89" s="30"/>
      <x:c r="AF89" s="30"/>
      <x:c r="AG89" s="30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>
      <x:c r="A90" s="1"/>
      <x:c r="B90" s="1"/>
      <x:c r="C90" s="30"/>
      <x:c r="D90" s="30"/>
      <x:c r="E90" s="30"/>
      <x:c r="F90" s="30"/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30"/>
      <x:c r="AA90" s="30"/>
      <x:c r="AB90" s="30"/>
      <x:c r="AC90" s="30"/>
      <x:c r="AD90" s="30"/>
      <x:c r="AE90" s="30"/>
      <x:c r="AF90" s="30"/>
      <x:c r="AG90" s="30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>
      <x:c r="A91" s="1"/>
      <x:c r="B91" s="1"/>
      <x:c r="C91" s="30"/>
      <x:c r="D91" s="30"/>
      <x:c r="E91" s="30"/>
      <x:c r="F91" s="30"/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30"/>
      <x:c r="AA91" s="30"/>
      <x:c r="AB91" s="30"/>
      <x:c r="AC91" s="30"/>
      <x:c r="AD91" s="30"/>
      <x:c r="AE91" s="30"/>
      <x:c r="AF91" s="30"/>
      <x:c r="AG91" s="30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>
      <x:c r="A92" s="1"/>
      <x:c r="B92" s="1"/>
      <x:c r="C92" s="30"/>
      <x:c r="D92" s="30"/>
      <x:c r="E92" s="30"/>
      <x:c r="F92" s="30"/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  <x:c r="AA92" s="30"/>
      <x:c r="AB92" s="30"/>
      <x:c r="AC92" s="30"/>
      <x:c r="AD92" s="30"/>
      <x:c r="AE92" s="30"/>
      <x:c r="AF92" s="30"/>
      <x:c r="AG92" s="30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>
      <x:c r="A93" s="1"/>
      <x:c r="B93" s="1"/>
      <x:c r="C93" s="30"/>
      <x:c r="D93" s="30"/>
      <x:c r="E93" s="30"/>
      <x:c r="F93" s="30"/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  <x:c r="AA93" s="30"/>
      <x:c r="AB93" s="30"/>
      <x:c r="AC93" s="30"/>
      <x:c r="AD93" s="30"/>
      <x:c r="AE93" s="30"/>
      <x:c r="AF93" s="30"/>
      <x:c r="AG93" s="30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>
      <x:c r="A94" s="1"/>
      <x:c r="B94" s="1"/>
      <x:c r="C94" s="30"/>
      <x:c r="D94" s="30"/>
      <x:c r="E94" s="30"/>
      <x:c r="F94" s="30"/>
      <x:c r="G94" s="3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30"/>
      <x:c r="AA94" s="30"/>
      <x:c r="AB94" s="30"/>
      <x:c r="AC94" s="30"/>
      <x:c r="AD94" s="30"/>
      <x:c r="AE94" s="30"/>
      <x:c r="AF94" s="30"/>
      <x:c r="AG94" s="30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>
      <x:c r="A95" s="1"/>
      <x:c r="B95" s="1"/>
      <x:c r="C95" s="30"/>
      <x:c r="D95" s="30"/>
      <x:c r="E95" s="30"/>
      <x:c r="F95" s="30"/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30"/>
      <x:c r="AA95" s="30"/>
      <x:c r="AB95" s="30"/>
      <x:c r="AC95" s="30"/>
      <x:c r="AD95" s="30"/>
      <x:c r="AE95" s="30"/>
      <x:c r="AF95" s="30"/>
      <x:c r="AG95" s="30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>
      <x:c r="A96" s="1"/>
      <x:c r="B96" s="1"/>
      <x:c r="C96" s="30"/>
      <x:c r="D96" s="30"/>
      <x:c r="E96" s="30"/>
      <x:c r="F96" s="30"/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30"/>
      <x:c r="AA96" s="30"/>
      <x:c r="AB96" s="30"/>
      <x:c r="AC96" s="30"/>
      <x:c r="AD96" s="30"/>
      <x:c r="AE96" s="30"/>
      <x:c r="AF96" s="30"/>
      <x:c r="AG96" s="30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>
      <x:c r="A97" s="1"/>
      <x:c r="B97" s="1"/>
      <x:c r="C97" s="30"/>
      <x:c r="D97" s="30"/>
      <x:c r="E97" s="30"/>
      <x:c r="F97" s="30"/>
      <x:c r="G97" s="3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30"/>
      <x:c r="AA97" s="30"/>
      <x:c r="AB97" s="30"/>
      <x:c r="AC97" s="30"/>
      <x:c r="AD97" s="30"/>
      <x:c r="AE97" s="30"/>
      <x:c r="AF97" s="30"/>
      <x:c r="AG97" s="30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>
      <x:c r="A98" s="1"/>
      <x:c r="B98" s="1"/>
      <x:c r="C98" s="30"/>
      <x:c r="D98" s="30"/>
      <x:c r="E98" s="30"/>
      <x:c r="F98" s="30"/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30"/>
      <x:c r="AA98" s="30"/>
      <x:c r="AB98" s="30"/>
      <x:c r="AC98" s="30"/>
      <x:c r="AD98" s="30"/>
      <x:c r="AE98" s="30"/>
      <x:c r="AF98" s="30"/>
      <x:c r="AG98" s="30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>
      <x:c r="A99" s="1"/>
      <x:c r="B99" s="1"/>
      <x:c r="C99" s="30"/>
      <x:c r="D99" s="30"/>
      <x:c r="E99" s="30"/>
      <x:c r="F99" s="30"/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30"/>
      <x:c r="AA99" s="30"/>
      <x:c r="AB99" s="30"/>
      <x:c r="AC99" s="30"/>
      <x:c r="AD99" s="30"/>
      <x:c r="AE99" s="30"/>
      <x:c r="AF99" s="30"/>
      <x:c r="AG99" s="30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>
      <x:c r="A100" s="1"/>
      <x:c r="B100" s="1"/>
      <x:c r="C100" s="30"/>
      <x:c r="D100" s="30"/>
      <x:c r="E100" s="30"/>
      <x:c r="F100" s="30"/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30"/>
      <x:c r="AA100" s="30"/>
      <x:c r="AB100" s="30"/>
      <x:c r="AC100" s="30"/>
      <x:c r="AD100" s="30"/>
      <x:c r="AE100" s="30"/>
      <x:c r="AF100" s="30"/>
      <x:c r="AG100" s="30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>
      <x:c r="A101" s="1"/>
      <x:c r="B101" s="1"/>
      <x:c r="C101" s="30"/>
      <x:c r="D101" s="30"/>
      <x:c r="E101" s="30"/>
      <x:c r="F101" s="30"/>
      <x:c r="G101" s="30"/>
      <x:c r="H101" s="30"/>
      <x:c r="I101" s="30"/>
      <x:c r="J101" s="30"/>
      <x:c r="K101" s="30"/>
      <x:c r="L101" s="30"/>
      <x:c r="M101" s="30"/>
      <x:c r="N101" s="30"/>
      <x:c r="O101" s="30"/>
      <x:c r="P101" s="30"/>
      <x:c r="Q101" s="30"/>
      <x:c r="R101" s="30"/>
      <x:c r="S101" s="30"/>
      <x:c r="T101" s="30"/>
      <x:c r="U101" s="30"/>
      <x:c r="V101" s="30"/>
      <x:c r="W101" s="30"/>
      <x:c r="X101" s="30"/>
      <x:c r="Y101" s="30"/>
      <x:c r="Z101" s="30"/>
      <x:c r="AA101" s="30"/>
      <x:c r="AB101" s="30"/>
      <x:c r="AC101" s="30"/>
      <x:c r="AD101" s="30"/>
      <x:c r="AE101" s="30"/>
      <x:c r="AF101" s="30"/>
      <x:c r="AG101" s="30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>
      <x:c r="A102" s="1"/>
      <x:c r="B102" s="1"/>
      <x:c r="C102" s="30"/>
      <x:c r="D102" s="30"/>
      <x:c r="E102" s="30"/>
      <x:c r="F102" s="30"/>
      <x:c r="G102" s="30"/>
      <x:c r="H102" s="30"/>
      <x:c r="I102" s="30"/>
      <x:c r="J102" s="30"/>
      <x:c r="K102" s="30"/>
      <x:c r="L102" s="30"/>
      <x:c r="M102" s="30"/>
      <x:c r="N102" s="30"/>
      <x:c r="O102" s="30"/>
      <x:c r="P102" s="30"/>
      <x:c r="Q102" s="30"/>
      <x:c r="R102" s="30"/>
      <x:c r="S102" s="30"/>
      <x:c r="T102" s="30"/>
      <x:c r="U102" s="30"/>
      <x:c r="V102" s="30"/>
      <x:c r="W102" s="30"/>
      <x:c r="X102" s="30"/>
      <x:c r="Y102" s="30"/>
      <x:c r="Z102" s="30"/>
      <x:c r="AA102" s="30"/>
      <x:c r="AB102" s="30"/>
      <x:c r="AC102" s="30"/>
      <x:c r="AD102" s="30"/>
      <x:c r="AE102" s="30"/>
      <x:c r="AF102" s="30"/>
      <x:c r="AG102" s="30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>
      <x:c r="A103" s="1"/>
      <x:c r="B103" s="1"/>
      <x:c r="C103" s="30"/>
      <x:c r="D103" s="30"/>
      <x:c r="E103" s="30"/>
      <x:c r="F103" s="30"/>
      <x:c r="G103" s="3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0"/>
      <x:c r="T103" s="30"/>
      <x:c r="U103" s="30"/>
      <x:c r="V103" s="30"/>
      <x:c r="W103" s="30"/>
      <x:c r="X103" s="30"/>
      <x:c r="Y103" s="30"/>
      <x:c r="Z103" s="30"/>
      <x:c r="AA103" s="30"/>
      <x:c r="AB103" s="30"/>
      <x:c r="AC103" s="30"/>
      <x:c r="AD103" s="30"/>
      <x:c r="AE103" s="30"/>
      <x:c r="AF103" s="30"/>
      <x:c r="AG103" s="30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>
      <x:c r="A104" s="1"/>
      <x:c r="B104" s="1"/>
      <x:c r="C104" s="30"/>
      <x:c r="D104" s="30"/>
      <x:c r="E104" s="30"/>
      <x:c r="F104" s="30"/>
      <x:c r="G104" s="30"/>
      <x:c r="H104" s="30"/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0"/>
      <x:c r="T104" s="30"/>
      <x:c r="U104" s="30"/>
      <x:c r="V104" s="30"/>
      <x:c r="W104" s="30"/>
      <x:c r="X104" s="30"/>
      <x:c r="Y104" s="30"/>
      <x:c r="Z104" s="30"/>
      <x:c r="AA104" s="30"/>
      <x:c r="AB104" s="30"/>
      <x:c r="AC104" s="30"/>
      <x:c r="AD104" s="30"/>
      <x:c r="AE104" s="30"/>
      <x:c r="AF104" s="30"/>
      <x:c r="AG104" s="30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>
      <x:c r="A105" s="1"/>
      <x:c r="B105" s="1"/>
      <x:c r="C105" s="30"/>
      <x:c r="D105" s="30"/>
      <x:c r="E105" s="30"/>
      <x:c r="F105" s="30"/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  <x:c r="Q105" s="30"/>
      <x:c r="R105" s="30"/>
      <x:c r="S105" s="30"/>
      <x:c r="T105" s="30"/>
      <x:c r="U105" s="30"/>
      <x:c r="V105" s="30"/>
      <x:c r="W105" s="30"/>
      <x:c r="X105" s="30"/>
      <x:c r="Y105" s="30"/>
      <x:c r="Z105" s="30"/>
      <x:c r="AA105" s="30"/>
      <x:c r="AB105" s="30"/>
      <x:c r="AC105" s="30"/>
      <x:c r="AD105" s="30"/>
      <x:c r="AE105" s="30"/>
      <x:c r="AF105" s="30"/>
      <x:c r="AG105" s="30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>
      <x:c r="A106" s="1"/>
      <x:c r="B106" s="1"/>
      <x:c r="C106" s="30"/>
      <x:c r="D106" s="30"/>
      <x:c r="E106" s="30"/>
      <x:c r="F106" s="30"/>
      <x:c r="G106" s="30"/>
      <x:c r="H106" s="30"/>
      <x:c r="I106" s="30"/>
      <x:c r="J106" s="30"/>
      <x:c r="K106" s="30"/>
      <x:c r="L106" s="30"/>
      <x:c r="M106" s="30"/>
      <x:c r="N106" s="30"/>
      <x:c r="O106" s="30"/>
      <x:c r="P106" s="30"/>
      <x:c r="Q106" s="30"/>
      <x:c r="R106" s="30"/>
      <x:c r="S106" s="30"/>
      <x:c r="T106" s="30"/>
      <x:c r="U106" s="30"/>
      <x:c r="V106" s="30"/>
      <x:c r="W106" s="30"/>
      <x:c r="X106" s="30"/>
      <x:c r="Y106" s="30"/>
      <x:c r="Z106" s="30"/>
      <x:c r="AA106" s="30"/>
      <x:c r="AB106" s="30"/>
      <x:c r="AC106" s="30"/>
      <x:c r="AD106" s="30"/>
      <x:c r="AE106" s="30"/>
      <x:c r="AF106" s="30"/>
      <x:c r="AG106" s="30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>
      <x:c r="A107" s="1"/>
      <x:c r="B107" s="1"/>
      <x:c r="C107" s="30"/>
      <x:c r="D107" s="30"/>
      <x:c r="E107" s="30"/>
      <x:c r="F107" s="30"/>
      <x:c r="G107" s="30"/>
      <x:c r="H107" s="30"/>
      <x:c r="I107" s="30"/>
      <x:c r="J107" s="30"/>
      <x:c r="K107" s="30"/>
      <x:c r="L107" s="30"/>
      <x:c r="M107" s="30"/>
      <x:c r="N107" s="30"/>
      <x:c r="O107" s="30"/>
      <x:c r="P107" s="30"/>
      <x:c r="Q107" s="30"/>
      <x:c r="R107" s="30"/>
      <x:c r="S107" s="30"/>
      <x:c r="T107" s="30"/>
      <x:c r="U107" s="30"/>
      <x:c r="V107" s="30"/>
      <x:c r="W107" s="30"/>
      <x:c r="X107" s="30"/>
      <x:c r="Y107" s="30"/>
      <x:c r="Z107" s="30"/>
      <x:c r="AA107" s="30"/>
      <x:c r="AB107" s="30"/>
      <x:c r="AC107" s="30"/>
      <x:c r="AD107" s="30"/>
      <x:c r="AE107" s="30"/>
      <x:c r="AF107" s="30"/>
      <x:c r="AG107" s="30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>
      <x:c r="A108" s="1"/>
      <x:c r="B108" s="1"/>
      <x:c r="C108" s="30"/>
      <x:c r="D108" s="30"/>
      <x:c r="E108" s="30"/>
      <x:c r="F108" s="30"/>
      <x:c r="G108" s="30"/>
      <x:c r="H108" s="30"/>
      <x:c r="I108" s="30"/>
      <x:c r="J108" s="30"/>
      <x:c r="K108" s="30"/>
      <x:c r="L108" s="30"/>
      <x:c r="M108" s="30"/>
      <x:c r="N108" s="30"/>
      <x:c r="O108" s="30"/>
      <x:c r="P108" s="30"/>
      <x:c r="Q108" s="30"/>
      <x:c r="R108" s="30"/>
      <x:c r="S108" s="30"/>
      <x:c r="T108" s="30"/>
      <x:c r="U108" s="30"/>
      <x:c r="V108" s="30"/>
      <x:c r="W108" s="30"/>
      <x:c r="X108" s="30"/>
      <x:c r="Y108" s="30"/>
      <x:c r="Z108" s="30"/>
      <x:c r="AA108" s="30"/>
      <x:c r="AB108" s="30"/>
      <x:c r="AC108" s="30"/>
      <x:c r="AD108" s="30"/>
      <x:c r="AE108" s="30"/>
      <x:c r="AF108" s="30"/>
      <x:c r="AG108" s="30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>
      <x:c r="A109" s="1"/>
      <x:c r="B109" s="1"/>
      <x:c r="C109" s="30"/>
      <x:c r="D109" s="30"/>
      <x:c r="E109" s="30"/>
      <x:c r="F109" s="30"/>
      <x:c r="G109" s="30"/>
      <x:c r="H109" s="30"/>
      <x:c r="I109" s="30"/>
      <x:c r="J109" s="30"/>
      <x:c r="K109" s="30"/>
      <x:c r="L109" s="30"/>
      <x:c r="M109" s="30"/>
      <x:c r="N109" s="30"/>
      <x:c r="O109" s="30"/>
      <x:c r="P109" s="30"/>
      <x:c r="Q109" s="30"/>
      <x:c r="R109" s="30"/>
      <x:c r="S109" s="30"/>
      <x:c r="T109" s="30"/>
      <x:c r="U109" s="30"/>
      <x:c r="V109" s="30"/>
      <x:c r="W109" s="30"/>
      <x:c r="X109" s="30"/>
      <x:c r="Y109" s="30"/>
      <x:c r="Z109" s="30"/>
      <x:c r="AA109" s="30"/>
      <x:c r="AB109" s="30"/>
      <x:c r="AC109" s="30"/>
      <x:c r="AD109" s="30"/>
      <x:c r="AE109" s="30"/>
      <x:c r="AF109" s="30"/>
      <x:c r="AG109" s="30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>
      <x:c r="A110" s="1"/>
      <x:c r="B110" s="1"/>
      <x:c r="C110" s="30"/>
      <x:c r="D110" s="30"/>
      <x:c r="E110" s="30"/>
      <x:c r="F110" s="30"/>
      <x:c r="G110" s="30"/>
      <x:c r="H110" s="30"/>
      <x:c r="I110" s="30"/>
      <x:c r="J110" s="30"/>
      <x:c r="K110" s="30"/>
      <x:c r="L110" s="30"/>
      <x:c r="M110" s="30"/>
      <x:c r="N110" s="30"/>
      <x:c r="O110" s="30"/>
      <x:c r="P110" s="30"/>
      <x:c r="Q110" s="30"/>
      <x:c r="R110" s="30"/>
      <x:c r="S110" s="30"/>
      <x:c r="T110" s="30"/>
      <x:c r="U110" s="30"/>
      <x:c r="V110" s="30"/>
      <x:c r="W110" s="30"/>
      <x:c r="X110" s="30"/>
      <x:c r="Y110" s="30"/>
      <x:c r="Z110" s="30"/>
      <x:c r="AA110" s="30"/>
      <x:c r="AB110" s="30"/>
      <x:c r="AC110" s="30"/>
      <x:c r="AD110" s="30"/>
      <x:c r="AE110" s="30"/>
      <x:c r="AF110" s="30"/>
      <x:c r="AG110" s="30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>
      <x:c r="A111" s="1"/>
      <x:c r="B111" s="1"/>
      <x:c r="C111" s="30"/>
      <x:c r="D111" s="30"/>
      <x:c r="E111" s="30"/>
      <x:c r="F111" s="30"/>
      <x:c r="G111" s="30"/>
      <x:c r="H111" s="30"/>
      <x:c r="I111" s="30"/>
      <x:c r="J111" s="30"/>
      <x:c r="K111" s="30"/>
      <x:c r="L111" s="30"/>
      <x:c r="M111" s="30"/>
      <x:c r="N111" s="30"/>
      <x:c r="O111" s="30"/>
      <x:c r="P111" s="30"/>
      <x:c r="Q111" s="30"/>
      <x:c r="R111" s="30"/>
      <x:c r="S111" s="30"/>
      <x:c r="T111" s="30"/>
      <x:c r="U111" s="30"/>
      <x:c r="V111" s="30"/>
      <x:c r="W111" s="30"/>
      <x:c r="X111" s="30"/>
      <x:c r="Y111" s="30"/>
      <x:c r="Z111" s="30"/>
      <x:c r="AA111" s="30"/>
      <x:c r="AB111" s="30"/>
      <x:c r="AC111" s="30"/>
      <x:c r="AD111" s="30"/>
      <x:c r="AE111" s="30"/>
      <x:c r="AF111" s="30"/>
      <x:c r="AG111" s="30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>
      <x:c r="A112" s="1"/>
      <x:c r="B112" s="1"/>
      <x:c r="C112" s="30"/>
      <x:c r="D112" s="30"/>
      <x:c r="E112" s="30"/>
      <x:c r="F112" s="30"/>
      <x:c r="G112" s="30"/>
      <x:c r="H112" s="30"/>
      <x:c r="I112" s="30"/>
      <x:c r="J112" s="30"/>
      <x:c r="K112" s="30"/>
      <x:c r="L112" s="30"/>
      <x:c r="M112" s="30"/>
      <x:c r="N112" s="30"/>
      <x:c r="O112" s="30"/>
      <x:c r="P112" s="30"/>
      <x:c r="Q112" s="30"/>
      <x:c r="R112" s="30"/>
      <x:c r="S112" s="30"/>
      <x:c r="T112" s="30"/>
      <x:c r="U112" s="30"/>
      <x:c r="V112" s="30"/>
      <x:c r="W112" s="30"/>
      <x:c r="X112" s="30"/>
      <x:c r="Y112" s="30"/>
      <x:c r="Z112" s="30"/>
      <x:c r="AA112" s="30"/>
      <x:c r="AB112" s="30"/>
      <x:c r="AC112" s="30"/>
      <x:c r="AD112" s="30"/>
      <x:c r="AE112" s="30"/>
      <x:c r="AF112" s="30"/>
      <x:c r="AG112" s="30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>
      <x:c r="A113" s="1"/>
      <x:c r="B113" s="1"/>
      <x:c r="C113" s="30"/>
      <x:c r="D113" s="30"/>
      <x:c r="E113" s="30"/>
      <x:c r="F113" s="30"/>
      <x:c r="G113" s="30"/>
      <x:c r="H113" s="30"/>
      <x:c r="I113" s="30"/>
      <x:c r="J113" s="30"/>
      <x:c r="K113" s="30"/>
      <x:c r="L113" s="30"/>
      <x:c r="M113" s="30"/>
      <x:c r="N113" s="30"/>
      <x:c r="O113" s="30"/>
      <x:c r="P113" s="30"/>
      <x:c r="Q113" s="30"/>
      <x:c r="R113" s="30"/>
      <x:c r="S113" s="30"/>
      <x:c r="T113" s="30"/>
      <x:c r="U113" s="30"/>
      <x:c r="V113" s="30"/>
      <x:c r="W113" s="30"/>
      <x:c r="X113" s="30"/>
      <x:c r="Y113" s="30"/>
      <x:c r="Z113" s="30"/>
      <x:c r="AA113" s="30"/>
      <x:c r="AB113" s="30"/>
      <x:c r="AC113" s="30"/>
      <x:c r="AD113" s="30"/>
      <x:c r="AE113" s="30"/>
      <x:c r="AF113" s="30"/>
      <x:c r="AG113" s="30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>
      <x:c r="A114" s="1"/>
      <x:c r="B114" s="1"/>
      <x:c r="C114" s="30"/>
      <x:c r="D114" s="30"/>
      <x:c r="E114" s="30"/>
      <x:c r="F114" s="30"/>
      <x:c r="G114" s="30"/>
      <x:c r="H114" s="30"/>
      <x:c r="I114" s="30"/>
      <x:c r="J114" s="30"/>
      <x:c r="K114" s="30"/>
      <x:c r="L114" s="30"/>
      <x:c r="M114" s="30"/>
      <x:c r="N114" s="30"/>
      <x:c r="O114" s="30"/>
      <x:c r="P114" s="30"/>
      <x:c r="Q114" s="30"/>
      <x:c r="R114" s="30"/>
      <x:c r="S114" s="30"/>
      <x:c r="T114" s="30"/>
      <x:c r="U114" s="30"/>
      <x:c r="V114" s="30"/>
      <x:c r="W114" s="30"/>
      <x:c r="X114" s="30"/>
      <x:c r="Y114" s="30"/>
      <x:c r="Z114" s="30"/>
      <x:c r="AA114" s="30"/>
      <x:c r="AB114" s="30"/>
      <x:c r="AC114" s="30"/>
      <x:c r="AD114" s="30"/>
      <x:c r="AE114" s="30"/>
      <x:c r="AF114" s="30"/>
      <x:c r="AG114" s="30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>
      <x:c r="A115" s="1"/>
      <x:c r="B115" s="1"/>
      <x:c r="C115" s="30"/>
      <x:c r="D115" s="30"/>
      <x:c r="E115" s="30"/>
      <x:c r="F115" s="30"/>
      <x:c r="G115" s="30"/>
      <x:c r="H115" s="30"/>
      <x:c r="I115" s="30"/>
      <x:c r="J115" s="30"/>
      <x:c r="K115" s="30"/>
      <x:c r="L115" s="30"/>
      <x:c r="M115" s="30"/>
      <x:c r="N115" s="30"/>
      <x:c r="O115" s="30"/>
      <x:c r="P115" s="30"/>
      <x:c r="Q115" s="30"/>
      <x:c r="R115" s="30"/>
      <x:c r="S115" s="30"/>
      <x:c r="T115" s="30"/>
      <x:c r="U115" s="30"/>
      <x:c r="V115" s="30"/>
      <x:c r="W115" s="30"/>
      <x:c r="X115" s="30"/>
      <x:c r="Y115" s="30"/>
      <x:c r="Z115" s="30"/>
      <x:c r="AA115" s="30"/>
      <x:c r="AB115" s="30"/>
      <x:c r="AC115" s="30"/>
      <x:c r="AD115" s="30"/>
      <x:c r="AE115" s="30"/>
      <x:c r="AF115" s="30"/>
      <x:c r="AG115" s="30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>
      <x:c r="A116" s="1"/>
      <x:c r="B116" s="1"/>
      <x:c r="C116" s="30"/>
      <x:c r="D116" s="30"/>
      <x:c r="E116" s="30"/>
      <x:c r="F116" s="30"/>
      <x:c r="G116" s="30"/>
      <x:c r="H116" s="30"/>
      <x:c r="I116" s="30"/>
      <x:c r="J116" s="30"/>
      <x:c r="K116" s="30"/>
      <x:c r="L116" s="30"/>
      <x:c r="M116" s="30"/>
      <x:c r="N116" s="30"/>
      <x:c r="O116" s="30"/>
      <x:c r="P116" s="30"/>
      <x:c r="Q116" s="30"/>
      <x:c r="R116" s="30"/>
      <x:c r="S116" s="30"/>
      <x:c r="T116" s="30"/>
      <x:c r="U116" s="30"/>
      <x:c r="V116" s="30"/>
      <x:c r="W116" s="30"/>
      <x:c r="X116" s="30"/>
      <x:c r="Y116" s="30"/>
      <x:c r="Z116" s="30"/>
      <x:c r="AA116" s="30"/>
      <x:c r="AB116" s="30"/>
      <x:c r="AC116" s="30"/>
      <x:c r="AD116" s="30"/>
      <x:c r="AE116" s="30"/>
      <x:c r="AF116" s="30"/>
      <x:c r="AG116" s="30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>
      <x:c r="A117" s="1"/>
      <x:c r="B117" s="1"/>
      <x:c r="C117" s="30"/>
      <x:c r="D117" s="30"/>
      <x:c r="E117" s="30"/>
      <x:c r="F117" s="30"/>
      <x:c r="G117" s="30"/>
      <x:c r="H117" s="30"/>
      <x:c r="I117" s="30"/>
      <x:c r="J117" s="30"/>
      <x:c r="K117" s="30"/>
      <x:c r="L117" s="30"/>
      <x:c r="M117" s="30"/>
      <x:c r="N117" s="30"/>
      <x:c r="O117" s="30"/>
      <x:c r="P117" s="30"/>
      <x:c r="Q117" s="30"/>
      <x:c r="R117" s="30"/>
      <x:c r="S117" s="30"/>
      <x:c r="T117" s="30"/>
      <x:c r="U117" s="30"/>
      <x:c r="V117" s="30"/>
      <x:c r="W117" s="30"/>
      <x:c r="X117" s="30"/>
      <x:c r="Y117" s="30"/>
      <x:c r="Z117" s="30"/>
      <x:c r="AA117" s="30"/>
      <x:c r="AB117" s="30"/>
      <x:c r="AC117" s="30"/>
      <x:c r="AD117" s="30"/>
      <x:c r="AE117" s="30"/>
      <x:c r="AF117" s="30"/>
      <x:c r="AG117" s="30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>
      <x:c r="A118" s="1"/>
      <x:c r="B118" s="1"/>
      <x:c r="C118" s="30"/>
      <x:c r="D118" s="30"/>
      <x:c r="E118" s="30"/>
      <x:c r="F118" s="30"/>
      <x:c r="G118" s="30"/>
      <x:c r="H118" s="30"/>
      <x:c r="I118" s="30"/>
      <x:c r="J118" s="30"/>
      <x:c r="K118" s="30"/>
      <x:c r="L118" s="30"/>
      <x:c r="M118" s="30"/>
      <x:c r="N118" s="30"/>
      <x:c r="O118" s="30"/>
      <x:c r="P118" s="30"/>
      <x:c r="Q118" s="30"/>
      <x:c r="R118" s="30"/>
      <x:c r="S118" s="30"/>
      <x:c r="T118" s="30"/>
      <x:c r="U118" s="30"/>
      <x:c r="V118" s="30"/>
      <x:c r="W118" s="30"/>
      <x:c r="X118" s="30"/>
      <x:c r="Y118" s="30"/>
      <x:c r="Z118" s="30"/>
      <x:c r="AA118" s="30"/>
      <x:c r="AB118" s="30"/>
      <x:c r="AC118" s="30"/>
      <x:c r="AD118" s="30"/>
      <x:c r="AE118" s="30"/>
      <x:c r="AF118" s="30"/>
      <x:c r="AG118" s="30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>
      <x:c r="A119" s="1"/>
      <x:c r="B119" s="1"/>
      <x:c r="C119" s="30"/>
      <x:c r="D119" s="30"/>
      <x:c r="E119" s="30"/>
      <x:c r="F119" s="30"/>
      <x:c r="G119" s="30"/>
      <x:c r="H119" s="30"/>
      <x:c r="I119" s="30"/>
      <x:c r="J119" s="30"/>
      <x:c r="K119" s="30"/>
      <x:c r="L119" s="30"/>
      <x:c r="M119" s="30"/>
      <x:c r="N119" s="30"/>
      <x:c r="O119" s="30"/>
      <x:c r="P119" s="30"/>
      <x:c r="Q119" s="30"/>
      <x:c r="R119" s="30"/>
      <x:c r="S119" s="30"/>
      <x:c r="T119" s="30"/>
      <x:c r="U119" s="30"/>
      <x:c r="V119" s="30"/>
      <x:c r="W119" s="30"/>
      <x:c r="X119" s="30"/>
      <x:c r="Y119" s="30"/>
      <x:c r="Z119" s="30"/>
      <x:c r="AA119" s="30"/>
      <x:c r="AB119" s="30"/>
      <x:c r="AC119" s="30"/>
      <x:c r="AD119" s="30"/>
      <x:c r="AE119" s="30"/>
      <x:c r="AF119" s="30"/>
      <x:c r="AG119" s="30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>
      <x:c r="A120" s="1"/>
      <x:c r="B120" s="1"/>
      <x:c r="C120" s="30"/>
      <x:c r="D120" s="30"/>
      <x:c r="E120" s="30"/>
      <x:c r="F120" s="30"/>
      <x:c r="G120" s="30"/>
      <x:c r="H120" s="30"/>
      <x:c r="I120" s="30"/>
      <x:c r="J120" s="30"/>
      <x:c r="K120" s="30"/>
      <x:c r="L120" s="30"/>
      <x:c r="M120" s="30"/>
      <x:c r="N120" s="30"/>
      <x:c r="O120" s="30"/>
      <x:c r="P120" s="30"/>
      <x:c r="Q120" s="30"/>
      <x:c r="R120" s="30"/>
      <x:c r="S120" s="30"/>
      <x:c r="T120" s="30"/>
      <x:c r="U120" s="30"/>
      <x:c r="V120" s="30"/>
      <x:c r="W120" s="30"/>
      <x:c r="X120" s="30"/>
      <x:c r="Y120" s="30"/>
      <x:c r="Z120" s="30"/>
      <x:c r="AA120" s="30"/>
      <x:c r="AB120" s="30"/>
      <x:c r="AC120" s="30"/>
      <x:c r="AD120" s="30"/>
      <x:c r="AE120" s="30"/>
      <x:c r="AF120" s="30"/>
      <x:c r="AG120" s="30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>
      <x:c r="A121" s="1"/>
      <x:c r="B121" s="1"/>
      <x:c r="C121" s="30"/>
      <x:c r="D121" s="30"/>
      <x:c r="E121" s="30"/>
      <x:c r="F121" s="30"/>
      <x:c r="G121" s="30"/>
      <x:c r="H121" s="30"/>
      <x:c r="I121" s="30"/>
      <x:c r="J121" s="30"/>
      <x:c r="K121" s="30"/>
      <x:c r="L121" s="30"/>
      <x:c r="M121" s="30"/>
      <x:c r="N121" s="30"/>
      <x:c r="O121" s="30"/>
      <x:c r="P121" s="30"/>
      <x:c r="Q121" s="30"/>
      <x:c r="R121" s="30"/>
      <x:c r="S121" s="30"/>
      <x:c r="T121" s="30"/>
      <x:c r="U121" s="30"/>
      <x:c r="V121" s="30"/>
      <x:c r="W121" s="30"/>
      <x:c r="X121" s="30"/>
      <x:c r="Y121" s="30"/>
      <x:c r="Z121" s="30"/>
      <x:c r="AA121" s="30"/>
      <x:c r="AB121" s="30"/>
      <x:c r="AC121" s="30"/>
      <x:c r="AD121" s="30"/>
      <x:c r="AE121" s="30"/>
      <x:c r="AF121" s="30"/>
      <x:c r="AG121" s="30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>
      <x:c r="A122" s="1"/>
      <x:c r="B122" s="1"/>
      <x:c r="C122" s="30"/>
      <x:c r="D122" s="30"/>
      <x:c r="E122" s="30"/>
      <x:c r="F122" s="30"/>
      <x:c r="G122" s="30"/>
      <x:c r="H122" s="30"/>
      <x:c r="I122" s="30"/>
      <x:c r="J122" s="30"/>
      <x:c r="K122" s="30"/>
      <x:c r="L122" s="30"/>
      <x:c r="M122" s="30"/>
      <x:c r="N122" s="30"/>
      <x:c r="O122" s="30"/>
      <x:c r="P122" s="30"/>
      <x:c r="Q122" s="30"/>
      <x:c r="R122" s="30"/>
      <x:c r="S122" s="30"/>
      <x:c r="T122" s="30"/>
      <x:c r="U122" s="30"/>
      <x:c r="V122" s="30"/>
      <x:c r="W122" s="30"/>
      <x:c r="X122" s="30"/>
      <x:c r="Y122" s="30"/>
      <x:c r="Z122" s="30"/>
      <x:c r="AA122" s="30"/>
      <x:c r="AB122" s="30"/>
      <x:c r="AC122" s="30"/>
      <x:c r="AD122" s="30"/>
      <x:c r="AE122" s="30"/>
      <x:c r="AF122" s="30"/>
      <x:c r="AG122" s="30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>
      <x:c r="A123" s="1"/>
      <x:c r="B123" s="1"/>
      <x:c r="C123" s="30"/>
      <x:c r="D123" s="30"/>
      <x:c r="E123" s="30"/>
      <x:c r="F123" s="30"/>
      <x:c r="G123" s="30"/>
      <x:c r="H123" s="30"/>
      <x:c r="I123" s="30"/>
      <x:c r="J123" s="30"/>
      <x:c r="K123" s="30"/>
      <x:c r="L123" s="30"/>
      <x:c r="M123" s="30"/>
      <x:c r="N123" s="30"/>
      <x:c r="O123" s="30"/>
      <x:c r="P123" s="30"/>
      <x:c r="Q123" s="30"/>
      <x:c r="R123" s="30"/>
      <x:c r="S123" s="30"/>
      <x:c r="T123" s="30"/>
      <x:c r="U123" s="30"/>
      <x:c r="V123" s="30"/>
      <x:c r="W123" s="30"/>
      <x:c r="X123" s="30"/>
      <x:c r="Y123" s="30"/>
      <x:c r="Z123" s="30"/>
      <x:c r="AA123" s="30"/>
      <x:c r="AB123" s="30"/>
      <x:c r="AC123" s="30"/>
      <x:c r="AD123" s="30"/>
      <x:c r="AE123" s="30"/>
      <x:c r="AF123" s="30"/>
      <x:c r="AG123" s="30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>
      <x:c r="A124" s="1"/>
      <x:c r="B124" s="1"/>
      <x:c r="C124" s="30"/>
      <x:c r="D124" s="30"/>
      <x:c r="E124" s="30"/>
      <x:c r="F124" s="30"/>
      <x:c r="G124" s="30"/>
      <x:c r="H124" s="30"/>
      <x:c r="I124" s="30"/>
      <x:c r="J124" s="30"/>
      <x:c r="K124" s="30"/>
      <x:c r="L124" s="30"/>
      <x:c r="M124" s="30"/>
      <x:c r="N124" s="30"/>
      <x:c r="O124" s="30"/>
      <x:c r="P124" s="30"/>
      <x:c r="Q124" s="30"/>
      <x:c r="R124" s="30"/>
      <x:c r="S124" s="30"/>
      <x:c r="T124" s="30"/>
      <x:c r="U124" s="30"/>
      <x:c r="V124" s="30"/>
      <x:c r="W124" s="30"/>
      <x:c r="X124" s="30"/>
      <x:c r="Y124" s="30"/>
      <x:c r="Z124" s="30"/>
      <x:c r="AA124" s="30"/>
      <x:c r="AB124" s="30"/>
      <x:c r="AC124" s="30"/>
      <x:c r="AD124" s="30"/>
      <x:c r="AE124" s="30"/>
      <x:c r="AF124" s="30"/>
      <x:c r="AG124" s="30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>
      <x:c r="A125" s="1"/>
      <x:c r="B125" s="1"/>
      <x:c r="C125" s="30"/>
      <x:c r="D125" s="30"/>
      <x:c r="E125" s="30"/>
      <x:c r="F125" s="30"/>
      <x:c r="G125" s="30"/>
      <x:c r="H125" s="30"/>
      <x:c r="I125" s="30"/>
      <x:c r="J125" s="30"/>
      <x:c r="K125" s="30"/>
      <x:c r="L125" s="30"/>
      <x:c r="M125" s="30"/>
      <x:c r="N125" s="30"/>
      <x:c r="O125" s="30"/>
      <x:c r="P125" s="30"/>
      <x:c r="Q125" s="30"/>
      <x:c r="R125" s="30"/>
      <x:c r="S125" s="30"/>
      <x:c r="T125" s="30"/>
      <x:c r="U125" s="30"/>
      <x:c r="V125" s="30"/>
      <x:c r="W125" s="30"/>
      <x:c r="X125" s="30"/>
      <x:c r="Y125" s="30"/>
      <x:c r="Z125" s="30"/>
      <x:c r="AA125" s="30"/>
      <x:c r="AB125" s="30"/>
      <x:c r="AC125" s="30"/>
      <x:c r="AD125" s="30"/>
      <x:c r="AE125" s="30"/>
      <x:c r="AF125" s="30"/>
      <x:c r="AG125" s="30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>
      <x:c r="A126" s="1"/>
      <x:c r="B126" s="1"/>
      <x:c r="C126" s="30"/>
      <x:c r="D126" s="30"/>
      <x:c r="E126" s="30"/>
      <x:c r="F126" s="30"/>
      <x:c r="G126" s="30"/>
      <x:c r="H126" s="30"/>
      <x:c r="I126" s="30"/>
      <x:c r="J126" s="30"/>
      <x:c r="K126" s="30"/>
      <x:c r="L126" s="30"/>
      <x:c r="M126" s="30"/>
      <x:c r="N126" s="30"/>
      <x:c r="O126" s="30"/>
      <x:c r="P126" s="30"/>
      <x:c r="Q126" s="30"/>
      <x:c r="R126" s="30"/>
      <x:c r="S126" s="30"/>
      <x:c r="T126" s="30"/>
      <x:c r="U126" s="30"/>
      <x:c r="V126" s="30"/>
      <x:c r="W126" s="30"/>
      <x:c r="X126" s="30"/>
      <x:c r="Y126" s="30"/>
      <x:c r="Z126" s="30"/>
      <x:c r="AA126" s="30"/>
      <x:c r="AB126" s="30"/>
      <x:c r="AC126" s="30"/>
      <x:c r="AD126" s="30"/>
      <x:c r="AE126" s="30"/>
      <x:c r="AF126" s="30"/>
      <x:c r="AG126" s="30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>
      <x:c r="A127" s="1"/>
      <x:c r="B127" s="1"/>
      <x:c r="C127" s="30"/>
      <x:c r="D127" s="30"/>
      <x:c r="E127" s="30"/>
      <x:c r="F127" s="30"/>
      <x:c r="G127" s="30"/>
      <x:c r="H127" s="30"/>
      <x:c r="I127" s="30"/>
      <x:c r="J127" s="30"/>
      <x:c r="K127" s="30"/>
      <x:c r="L127" s="30"/>
      <x:c r="M127" s="30"/>
      <x:c r="N127" s="30"/>
      <x:c r="O127" s="30"/>
      <x:c r="P127" s="30"/>
      <x:c r="Q127" s="30"/>
      <x:c r="R127" s="30"/>
      <x:c r="S127" s="30"/>
      <x:c r="T127" s="30"/>
      <x:c r="U127" s="30"/>
      <x:c r="V127" s="30"/>
      <x:c r="W127" s="30"/>
      <x:c r="X127" s="30"/>
      <x:c r="Y127" s="30"/>
      <x:c r="Z127" s="30"/>
      <x:c r="AA127" s="30"/>
      <x:c r="AB127" s="30"/>
      <x:c r="AC127" s="30"/>
      <x:c r="AD127" s="30"/>
      <x:c r="AE127" s="30"/>
      <x:c r="AF127" s="30"/>
      <x:c r="AG127" s="30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>
      <x:c r="A128" s="1"/>
      <x:c r="B128" s="1"/>
      <x:c r="C128" s="30"/>
      <x:c r="D128" s="30"/>
      <x:c r="E128" s="30"/>
      <x:c r="F128" s="30"/>
      <x:c r="G128" s="30"/>
      <x:c r="H128" s="30"/>
      <x:c r="I128" s="30"/>
      <x:c r="J128" s="30"/>
      <x:c r="K128" s="30"/>
      <x:c r="L128" s="30"/>
      <x:c r="M128" s="30"/>
      <x:c r="N128" s="30"/>
      <x:c r="O128" s="30"/>
      <x:c r="P128" s="30"/>
      <x:c r="Q128" s="30"/>
      <x:c r="R128" s="30"/>
      <x:c r="S128" s="30"/>
      <x:c r="T128" s="30"/>
      <x:c r="U128" s="30"/>
      <x:c r="V128" s="30"/>
      <x:c r="W128" s="30"/>
      <x:c r="X128" s="30"/>
      <x:c r="Y128" s="30"/>
      <x:c r="Z128" s="30"/>
      <x:c r="AA128" s="30"/>
      <x:c r="AB128" s="30"/>
      <x:c r="AC128" s="30"/>
      <x:c r="AD128" s="30"/>
      <x:c r="AE128" s="30"/>
      <x:c r="AF128" s="30"/>
      <x:c r="AG128" s="30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>
      <x:c r="A129" s="1"/>
      <x:c r="B129" s="1"/>
      <x:c r="C129" s="30"/>
      <x:c r="D129" s="30"/>
      <x:c r="E129" s="30"/>
      <x:c r="F129" s="30"/>
      <x:c r="G129" s="30"/>
      <x:c r="H129" s="30"/>
      <x:c r="I129" s="30"/>
      <x:c r="J129" s="30"/>
      <x:c r="K129" s="30"/>
      <x:c r="L129" s="30"/>
      <x:c r="M129" s="30"/>
      <x:c r="N129" s="30"/>
      <x:c r="O129" s="30"/>
      <x:c r="P129" s="30"/>
      <x:c r="Q129" s="30"/>
      <x:c r="R129" s="30"/>
      <x:c r="S129" s="30"/>
      <x:c r="T129" s="30"/>
      <x:c r="U129" s="30"/>
      <x:c r="V129" s="30"/>
      <x:c r="W129" s="30"/>
      <x:c r="X129" s="30"/>
      <x:c r="Y129" s="30"/>
      <x:c r="Z129" s="30"/>
      <x:c r="AA129" s="30"/>
      <x:c r="AB129" s="30"/>
      <x:c r="AC129" s="30"/>
      <x:c r="AD129" s="30"/>
      <x:c r="AE129" s="30"/>
      <x:c r="AF129" s="30"/>
      <x:c r="AG129" s="30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>
      <x:c r="A130" s="1"/>
      <x:c r="B130" s="1"/>
      <x:c r="C130" s="30"/>
      <x:c r="D130" s="30"/>
      <x:c r="E130" s="30"/>
      <x:c r="F130" s="30"/>
      <x:c r="G130" s="30"/>
      <x:c r="H130" s="30"/>
      <x:c r="I130" s="30"/>
      <x:c r="J130" s="30"/>
      <x:c r="K130" s="30"/>
      <x:c r="L130" s="30"/>
      <x:c r="M130" s="30"/>
      <x:c r="N130" s="30"/>
      <x:c r="O130" s="30"/>
      <x:c r="P130" s="30"/>
      <x:c r="Q130" s="30"/>
      <x:c r="R130" s="30"/>
      <x:c r="S130" s="30"/>
      <x:c r="T130" s="30"/>
      <x:c r="U130" s="30"/>
      <x:c r="V130" s="30"/>
      <x:c r="W130" s="30"/>
      <x:c r="X130" s="30"/>
      <x:c r="Y130" s="30"/>
      <x:c r="Z130" s="30"/>
      <x:c r="AA130" s="30"/>
      <x:c r="AB130" s="30"/>
      <x:c r="AC130" s="30"/>
      <x:c r="AD130" s="30"/>
      <x:c r="AE130" s="30"/>
      <x:c r="AF130" s="30"/>
      <x:c r="AG130" s="30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>
      <x:c r="A131" s="1"/>
      <x:c r="B131" s="1"/>
      <x:c r="C131" s="30"/>
      <x:c r="D131" s="30"/>
      <x:c r="E131" s="30"/>
      <x:c r="F131" s="30"/>
      <x:c r="G131" s="30"/>
      <x:c r="H131" s="30"/>
      <x:c r="I131" s="30"/>
      <x:c r="J131" s="30"/>
      <x:c r="K131" s="30"/>
      <x:c r="L131" s="30"/>
      <x:c r="M131" s="30"/>
      <x:c r="N131" s="30"/>
      <x:c r="O131" s="30"/>
      <x:c r="P131" s="30"/>
      <x:c r="Q131" s="30"/>
      <x:c r="R131" s="30"/>
      <x:c r="S131" s="30"/>
      <x:c r="T131" s="30"/>
      <x:c r="U131" s="30"/>
      <x:c r="V131" s="30"/>
      <x:c r="W131" s="30"/>
      <x:c r="X131" s="30"/>
      <x:c r="Y131" s="30"/>
      <x:c r="Z131" s="30"/>
      <x:c r="AA131" s="30"/>
      <x:c r="AB131" s="30"/>
      <x:c r="AC131" s="30"/>
      <x:c r="AD131" s="30"/>
      <x:c r="AE131" s="30"/>
      <x:c r="AF131" s="30"/>
      <x:c r="AG131" s="30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>
      <x:c r="A132" s="1"/>
      <x:c r="B132" s="1"/>
      <x:c r="C132" s="30"/>
      <x:c r="D132" s="30"/>
      <x:c r="E132" s="30"/>
      <x:c r="F132" s="30"/>
      <x:c r="G132" s="30"/>
      <x:c r="H132" s="30"/>
      <x:c r="I132" s="30"/>
      <x:c r="J132" s="30"/>
      <x:c r="K132" s="30"/>
      <x:c r="L132" s="30"/>
      <x:c r="M132" s="30"/>
      <x:c r="N132" s="30"/>
      <x:c r="O132" s="30"/>
      <x:c r="P132" s="30"/>
      <x:c r="Q132" s="30"/>
      <x:c r="R132" s="30"/>
      <x:c r="S132" s="30"/>
      <x:c r="T132" s="30"/>
      <x:c r="U132" s="30"/>
      <x:c r="V132" s="30"/>
      <x:c r="W132" s="30"/>
      <x:c r="X132" s="30"/>
      <x:c r="Y132" s="30"/>
      <x:c r="Z132" s="30"/>
      <x:c r="AA132" s="30"/>
      <x:c r="AB132" s="30"/>
      <x:c r="AC132" s="30"/>
      <x:c r="AD132" s="30"/>
      <x:c r="AE132" s="30"/>
      <x:c r="AF132" s="30"/>
      <x:c r="AG132" s="30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>
      <x:c r="A133" s="1"/>
      <x:c r="B133" s="1"/>
      <x:c r="C133" s="30"/>
      <x:c r="D133" s="30"/>
      <x:c r="E133" s="30"/>
      <x:c r="F133" s="30"/>
      <x:c r="G133" s="30"/>
      <x:c r="H133" s="30"/>
      <x:c r="I133" s="30"/>
      <x:c r="J133" s="30"/>
      <x:c r="K133" s="30"/>
      <x:c r="L133" s="30"/>
      <x:c r="M133" s="30"/>
      <x:c r="N133" s="30"/>
      <x:c r="O133" s="30"/>
      <x:c r="P133" s="30"/>
      <x:c r="Q133" s="30"/>
      <x:c r="R133" s="30"/>
      <x:c r="S133" s="30"/>
      <x:c r="T133" s="30"/>
      <x:c r="U133" s="30"/>
      <x:c r="V133" s="30"/>
      <x:c r="W133" s="30"/>
      <x:c r="X133" s="30"/>
      <x:c r="Y133" s="30"/>
      <x:c r="Z133" s="30"/>
      <x:c r="AA133" s="30"/>
      <x:c r="AB133" s="30"/>
      <x:c r="AC133" s="30"/>
      <x:c r="AD133" s="30"/>
      <x:c r="AE133" s="30"/>
      <x:c r="AF133" s="30"/>
      <x:c r="AG133" s="30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>
      <x:c r="A134" s="1"/>
      <x:c r="B134" s="1"/>
      <x:c r="C134" s="30"/>
      <x:c r="D134" s="30"/>
      <x:c r="E134" s="30"/>
      <x:c r="F134" s="30"/>
      <x:c r="G134" s="30"/>
      <x:c r="H134" s="30"/>
      <x:c r="I134" s="30"/>
      <x:c r="J134" s="30"/>
      <x:c r="K134" s="30"/>
      <x:c r="L134" s="30"/>
      <x:c r="M134" s="30"/>
      <x:c r="N134" s="30"/>
      <x:c r="O134" s="30"/>
      <x:c r="P134" s="30"/>
      <x:c r="Q134" s="30"/>
      <x:c r="R134" s="30"/>
      <x:c r="S134" s="30"/>
      <x:c r="T134" s="30"/>
      <x:c r="U134" s="30"/>
      <x:c r="V134" s="30"/>
      <x:c r="W134" s="30"/>
      <x:c r="X134" s="30"/>
      <x:c r="Y134" s="30"/>
      <x:c r="Z134" s="30"/>
      <x:c r="AA134" s="30"/>
      <x:c r="AB134" s="30"/>
      <x:c r="AC134" s="30"/>
      <x:c r="AD134" s="30"/>
      <x:c r="AE134" s="30"/>
      <x:c r="AF134" s="30"/>
      <x:c r="AG134" s="30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>
      <x:c r="A135" s="1"/>
      <x:c r="B135" s="1"/>
      <x:c r="C135" s="30"/>
      <x:c r="D135" s="30"/>
      <x:c r="E135" s="30"/>
      <x:c r="F135" s="30"/>
      <x:c r="G135" s="30"/>
      <x:c r="H135" s="30"/>
      <x:c r="I135" s="30"/>
      <x:c r="J135" s="30"/>
      <x:c r="K135" s="30"/>
      <x:c r="L135" s="30"/>
      <x:c r="M135" s="30"/>
      <x:c r="N135" s="30"/>
      <x:c r="O135" s="30"/>
      <x:c r="P135" s="30"/>
      <x:c r="Q135" s="30"/>
      <x:c r="R135" s="30"/>
      <x:c r="S135" s="30"/>
      <x:c r="T135" s="30"/>
      <x:c r="U135" s="30"/>
      <x:c r="V135" s="30"/>
      <x:c r="W135" s="30"/>
      <x:c r="X135" s="30"/>
      <x:c r="Y135" s="30"/>
      <x:c r="Z135" s="30"/>
      <x:c r="AA135" s="30"/>
      <x:c r="AB135" s="30"/>
      <x:c r="AC135" s="30"/>
      <x:c r="AD135" s="30"/>
      <x:c r="AE135" s="30"/>
      <x:c r="AF135" s="30"/>
      <x:c r="AG135" s="30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>
      <x:c r="A136" s="1"/>
      <x:c r="B136" s="1"/>
      <x:c r="C136" s="30"/>
      <x:c r="D136" s="30"/>
      <x:c r="E136" s="30"/>
      <x:c r="F136" s="30"/>
      <x:c r="G136" s="30"/>
      <x:c r="H136" s="30"/>
      <x:c r="I136" s="30"/>
      <x:c r="J136" s="30"/>
      <x:c r="K136" s="30"/>
      <x:c r="L136" s="30"/>
      <x:c r="M136" s="30"/>
      <x:c r="N136" s="30"/>
      <x:c r="O136" s="30"/>
      <x:c r="P136" s="30"/>
      <x:c r="Q136" s="30"/>
      <x:c r="R136" s="30"/>
      <x:c r="S136" s="30"/>
      <x:c r="T136" s="30"/>
      <x:c r="U136" s="30"/>
      <x:c r="V136" s="30"/>
      <x:c r="W136" s="30"/>
      <x:c r="X136" s="30"/>
      <x:c r="Y136" s="30"/>
      <x:c r="Z136" s="30"/>
      <x:c r="AA136" s="30"/>
      <x:c r="AB136" s="30"/>
      <x:c r="AC136" s="30"/>
      <x:c r="AD136" s="30"/>
      <x:c r="AE136" s="30"/>
      <x:c r="AF136" s="30"/>
      <x:c r="AG136" s="30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>
      <x:c r="A137" s="1"/>
      <x:c r="B137" s="1"/>
      <x:c r="C137" s="30"/>
      <x:c r="D137" s="30"/>
      <x:c r="E137" s="30"/>
      <x:c r="F137" s="30"/>
      <x:c r="G137" s="30"/>
      <x:c r="H137" s="30"/>
      <x:c r="I137" s="30"/>
      <x:c r="J137" s="30"/>
      <x:c r="K137" s="30"/>
      <x:c r="L137" s="30"/>
      <x:c r="M137" s="30"/>
      <x:c r="N137" s="30"/>
      <x:c r="O137" s="30"/>
      <x:c r="P137" s="30"/>
      <x:c r="Q137" s="30"/>
      <x:c r="R137" s="30"/>
      <x:c r="S137" s="30"/>
      <x:c r="T137" s="30"/>
      <x:c r="U137" s="30"/>
      <x:c r="V137" s="30"/>
      <x:c r="W137" s="30"/>
      <x:c r="X137" s="30"/>
      <x:c r="Y137" s="30"/>
      <x:c r="Z137" s="30"/>
      <x:c r="AA137" s="30"/>
      <x:c r="AB137" s="30"/>
      <x:c r="AC137" s="30"/>
      <x:c r="AD137" s="30"/>
      <x:c r="AE137" s="30"/>
      <x:c r="AF137" s="30"/>
      <x:c r="AG137" s="30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>
      <x:c r="A138" s="1"/>
      <x:c r="B138" s="1"/>
      <x:c r="C138" s="30"/>
      <x:c r="D138" s="30"/>
      <x:c r="E138" s="30"/>
      <x:c r="F138" s="30"/>
      <x:c r="G138" s="30"/>
      <x:c r="H138" s="30"/>
      <x:c r="I138" s="30"/>
      <x:c r="J138" s="30"/>
      <x:c r="K138" s="30"/>
      <x:c r="L138" s="30"/>
      <x:c r="M138" s="30"/>
      <x:c r="N138" s="30"/>
      <x:c r="O138" s="30"/>
      <x:c r="P138" s="30"/>
      <x:c r="Q138" s="30"/>
      <x:c r="R138" s="30"/>
      <x:c r="S138" s="30"/>
      <x:c r="T138" s="30"/>
      <x:c r="U138" s="30"/>
      <x:c r="V138" s="30"/>
      <x:c r="W138" s="30"/>
      <x:c r="X138" s="30"/>
      <x:c r="Y138" s="30"/>
      <x:c r="Z138" s="30"/>
      <x:c r="AA138" s="30"/>
      <x:c r="AB138" s="30"/>
      <x:c r="AC138" s="30"/>
      <x:c r="AD138" s="30"/>
      <x:c r="AE138" s="30"/>
      <x:c r="AF138" s="30"/>
      <x:c r="AG138" s="30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>
      <x:c r="A139" s="1"/>
      <x:c r="B139" s="1"/>
      <x:c r="C139" s="30"/>
      <x:c r="D139" s="30"/>
      <x:c r="E139" s="30"/>
      <x:c r="F139" s="30"/>
      <x:c r="G139" s="30"/>
      <x:c r="H139" s="30"/>
      <x:c r="I139" s="30"/>
      <x:c r="J139" s="30"/>
      <x:c r="K139" s="30"/>
      <x:c r="L139" s="30"/>
      <x:c r="M139" s="30"/>
      <x:c r="N139" s="30"/>
      <x:c r="O139" s="30"/>
      <x:c r="P139" s="30"/>
      <x:c r="Q139" s="30"/>
      <x:c r="R139" s="30"/>
      <x:c r="S139" s="30"/>
      <x:c r="T139" s="30"/>
      <x:c r="U139" s="30"/>
      <x:c r="V139" s="30"/>
      <x:c r="W139" s="30"/>
      <x:c r="X139" s="30"/>
      <x:c r="Y139" s="30"/>
      <x:c r="Z139" s="30"/>
      <x:c r="AA139" s="30"/>
      <x:c r="AB139" s="30"/>
      <x:c r="AC139" s="30"/>
      <x:c r="AD139" s="30"/>
      <x:c r="AE139" s="30"/>
      <x:c r="AF139" s="30"/>
      <x:c r="AG139" s="30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>
      <x:c r="A140" s="1"/>
      <x:c r="B140" s="1"/>
      <x:c r="C140" s="30"/>
      <x:c r="D140" s="30"/>
      <x:c r="E140" s="30"/>
      <x:c r="F140" s="30"/>
      <x:c r="G140" s="30"/>
      <x:c r="H140" s="30"/>
      <x:c r="I140" s="30"/>
      <x:c r="J140" s="30"/>
      <x:c r="K140" s="30"/>
      <x:c r="L140" s="30"/>
      <x:c r="M140" s="30"/>
      <x:c r="N140" s="30"/>
      <x:c r="O140" s="30"/>
      <x:c r="P140" s="30"/>
      <x:c r="Q140" s="30"/>
      <x:c r="R140" s="30"/>
      <x:c r="S140" s="30"/>
      <x:c r="T140" s="30"/>
      <x:c r="U140" s="30"/>
      <x:c r="V140" s="30"/>
      <x:c r="W140" s="30"/>
      <x:c r="X140" s="30"/>
      <x:c r="Y140" s="30"/>
      <x:c r="Z140" s="30"/>
      <x:c r="AA140" s="30"/>
      <x:c r="AB140" s="30"/>
      <x:c r="AC140" s="30"/>
      <x:c r="AD140" s="30"/>
      <x:c r="AE140" s="30"/>
      <x:c r="AF140" s="30"/>
      <x:c r="AG140" s="30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>
      <x:c r="A141" s="1"/>
      <x:c r="B141" s="1"/>
      <x:c r="C141" s="30"/>
      <x:c r="D141" s="30"/>
      <x:c r="E141" s="30"/>
      <x:c r="F141" s="30"/>
      <x:c r="G141" s="30"/>
      <x:c r="H141" s="30"/>
      <x:c r="I141" s="30"/>
      <x:c r="J141" s="30"/>
      <x:c r="K141" s="30"/>
      <x:c r="L141" s="30"/>
      <x:c r="M141" s="30"/>
      <x:c r="N141" s="30"/>
      <x:c r="O141" s="30"/>
      <x:c r="P141" s="30"/>
      <x:c r="Q141" s="30"/>
      <x:c r="R141" s="30"/>
      <x:c r="S141" s="30"/>
      <x:c r="T141" s="30"/>
      <x:c r="U141" s="30"/>
      <x:c r="V141" s="30"/>
      <x:c r="W141" s="30"/>
      <x:c r="X141" s="30"/>
      <x:c r="Y141" s="30"/>
      <x:c r="Z141" s="30"/>
      <x:c r="AA141" s="30"/>
      <x:c r="AB141" s="30"/>
      <x:c r="AC141" s="30"/>
      <x:c r="AD141" s="30"/>
      <x:c r="AE141" s="30"/>
      <x:c r="AF141" s="30"/>
      <x:c r="AG141" s="30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>
      <x:c r="A142" s="1"/>
      <x:c r="B142" s="1"/>
      <x:c r="C142" s="30"/>
      <x:c r="D142" s="30"/>
      <x:c r="E142" s="30"/>
      <x:c r="F142" s="30"/>
      <x:c r="G142" s="30"/>
      <x:c r="H142" s="30"/>
      <x:c r="I142" s="30"/>
      <x:c r="J142" s="30"/>
      <x:c r="K142" s="30"/>
      <x:c r="L142" s="30"/>
      <x:c r="M142" s="30"/>
      <x:c r="N142" s="30"/>
      <x:c r="O142" s="30"/>
      <x:c r="P142" s="30"/>
      <x:c r="Q142" s="30"/>
      <x:c r="R142" s="30"/>
      <x:c r="S142" s="30"/>
      <x:c r="T142" s="30"/>
      <x:c r="U142" s="30"/>
      <x:c r="V142" s="30"/>
      <x:c r="W142" s="30"/>
      <x:c r="X142" s="30"/>
      <x:c r="Y142" s="30"/>
      <x:c r="Z142" s="30"/>
      <x:c r="AA142" s="30"/>
      <x:c r="AB142" s="30"/>
      <x:c r="AC142" s="30"/>
      <x:c r="AD142" s="30"/>
      <x:c r="AE142" s="30"/>
      <x:c r="AF142" s="30"/>
      <x:c r="AG142" s="30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>
      <x:c r="A143" s="1"/>
      <x:c r="B143" s="1"/>
      <x:c r="C143" s="30"/>
      <x:c r="D143" s="30"/>
      <x:c r="E143" s="30"/>
      <x:c r="F143" s="30"/>
      <x:c r="G143" s="30"/>
      <x:c r="H143" s="30"/>
      <x:c r="I143" s="30"/>
      <x:c r="J143" s="30"/>
      <x:c r="K143" s="30"/>
      <x:c r="L143" s="30"/>
      <x:c r="M143" s="30"/>
      <x:c r="N143" s="30"/>
      <x:c r="O143" s="30"/>
      <x:c r="P143" s="30"/>
      <x:c r="Q143" s="30"/>
      <x:c r="R143" s="30"/>
      <x:c r="S143" s="30"/>
      <x:c r="T143" s="30"/>
      <x:c r="U143" s="30"/>
      <x:c r="V143" s="30"/>
      <x:c r="W143" s="30"/>
      <x:c r="X143" s="30"/>
      <x:c r="Y143" s="30"/>
      <x:c r="Z143" s="30"/>
      <x:c r="AA143" s="30"/>
      <x:c r="AB143" s="30"/>
      <x:c r="AC143" s="30"/>
      <x:c r="AD143" s="30"/>
      <x:c r="AE143" s="30"/>
      <x:c r="AF143" s="30"/>
      <x:c r="AG143" s="30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>
      <x:c r="A144" s="1"/>
      <x:c r="B144" s="1"/>
      <x:c r="C144" s="30"/>
      <x:c r="D144" s="30"/>
      <x:c r="E144" s="30"/>
      <x:c r="F144" s="30"/>
      <x:c r="G144" s="30"/>
      <x:c r="H144" s="30"/>
      <x:c r="I144" s="30"/>
      <x:c r="J144" s="30"/>
      <x:c r="K144" s="30"/>
      <x:c r="L144" s="30"/>
      <x:c r="M144" s="30"/>
      <x:c r="N144" s="30"/>
      <x:c r="O144" s="30"/>
      <x:c r="P144" s="30"/>
      <x:c r="Q144" s="30"/>
      <x:c r="R144" s="30"/>
      <x:c r="S144" s="30"/>
      <x:c r="T144" s="30"/>
      <x:c r="U144" s="30"/>
      <x:c r="V144" s="30"/>
      <x:c r="W144" s="30"/>
      <x:c r="X144" s="30"/>
      <x:c r="Y144" s="30"/>
      <x:c r="Z144" s="30"/>
      <x:c r="AA144" s="30"/>
      <x:c r="AB144" s="30"/>
      <x:c r="AC144" s="30"/>
      <x:c r="AD144" s="30"/>
      <x:c r="AE144" s="30"/>
      <x:c r="AF144" s="30"/>
      <x:c r="AG144" s="30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>
      <x:c r="A145" s="1"/>
      <x:c r="B145" s="1"/>
      <x:c r="C145" s="30"/>
      <x:c r="D145" s="30"/>
      <x:c r="E145" s="30"/>
      <x:c r="F145" s="30"/>
      <x:c r="G145" s="30"/>
      <x:c r="H145" s="30"/>
      <x:c r="I145" s="30"/>
      <x:c r="J145" s="30"/>
      <x:c r="K145" s="30"/>
      <x:c r="L145" s="30"/>
      <x:c r="M145" s="30"/>
      <x:c r="N145" s="30"/>
      <x:c r="O145" s="30"/>
      <x:c r="P145" s="30"/>
      <x:c r="Q145" s="30"/>
      <x:c r="R145" s="30"/>
      <x:c r="S145" s="30"/>
      <x:c r="T145" s="30"/>
      <x:c r="U145" s="30"/>
      <x:c r="V145" s="30"/>
      <x:c r="W145" s="30"/>
      <x:c r="X145" s="30"/>
      <x:c r="Y145" s="30"/>
      <x:c r="Z145" s="30"/>
      <x:c r="AA145" s="30"/>
      <x:c r="AB145" s="30"/>
      <x:c r="AC145" s="30"/>
      <x:c r="AD145" s="30"/>
      <x:c r="AE145" s="30"/>
      <x:c r="AF145" s="30"/>
      <x:c r="AG145" s="30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>
      <x:c r="A146" s="1"/>
      <x:c r="B146" s="1"/>
      <x:c r="C146" s="30"/>
      <x:c r="D146" s="30"/>
      <x:c r="E146" s="30"/>
      <x:c r="F146" s="30"/>
      <x:c r="G146" s="30"/>
      <x:c r="H146" s="30"/>
      <x:c r="I146" s="30"/>
      <x:c r="J146" s="30"/>
      <x:c r="K146" s="30"/>
      <x:c r="L146" s="30"/>
      <x:c r="M146" s="30"/>
      <x:c r="N146" s="30"/>
      <x:c r="O146" s="30"/>
      <x:c r="P146" s="30"/>
      <x:c r="Q146" s="30"/>
      <x:c r="R146" s="30"/>
      <x:c r="S146" s="30"/>
      <x:c r="T146" s="30"/>
      <x:c r="U146" s="30"/>
      <x:c r="V146" s="30"/>
      <x:c r="W146" s="30"/>
      <x:c r="X146" s="30"/>
      <x:c r="Y146" s="30"/>
      <x:c r="Z146" s="30"/>
      <x:c r="AA146" s="30"/>
      <x:c r="AB146" s="30"/>
      <x:c r="AC146" s="30"/>
      <x:c r="AD146" s="30"/>
      <x:c r="AE146" s="30"/>
      <x:c r="AF146" s="30"/>
      <x:c r="AG146" s="30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>
      <x:c r="A147" s="1"/>
      <x:c r="B147" s="1"/>
      <x:c r="C147" s="30"/>
      <x:c r="D147" s="30"/>
      <x:c r="E147" s="30"/>
      <x:c r="F147" s="30"/>
      <x:c r="G147" s="30"/>
      <x:c r="H147" s="30"/>
      <x:c r="I147" s="30"/>
      <x:c r="J147" s="30"/>
      <x:c r="K147" s="30"/>
      <x:c r="L147" s="30"/>
      <x:c r="M147" s="30"/>
      <x:c r="N147" s="30"/>
      <x:c r="O147" s="30"/>
      <x:c r="P147" s="30"/>
      <x:c r="Q147" s="30"/>
      <x:c r="R147" s="30"/>
      <x:c r="S147" s="30"/>
      <x:c r="T147" s="30"/>
      <x:c r="U147" s="30"/>
      <x:c r="V147" s="30"/>
      <x:c r="W147" s="30"/>
      <x:c r="X147" s="30"/>
      <x:c r="Y147" s="30"/>
      <x:c r="Z147" s="30"/>
      <x:c r="AA147" s="30"/>
      <x:c r="AB147" s="30"/>
      <x:c r="AC147" s="30"/>
      <x:c r="AD147" s="30"/>
      <x:c r="AE147" s="30"/>
      <x:c r="AF147" s="30"/>
      <x:c r="AG147" s="30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>
      <x:c r="A148" s="1"/>
      <x:c r="B148" s="1"/>
      <x:c r="C148" s="30"/>
      <x:c r="D148" s="30"/>
      <x:c r="E148" s="30"/>
      <x:c r="F148" s="30"/>
      <x:c r="G148" s="30"/>
      <x:c r="H148" s="30"/>
      <x:c r="I148" s="30"/>
      <x:c r="J148" s="30"/>
      <x:c r="K148" s="30"/>
      <x:c r="L148" s="30"/>
      <x:c r="M148" s="30"/>
      <x:c r="N148" s="30"/>
      <x:c r="O148" s="30"/>
      <x:c r="P148" s="30"/>
      <x:c r="Q148" s="30"/>
      <x:c r="R148" s="30"/>
      <x:c r="S148" s="30"/>
      <x:c r="T148" s="30"/>
      <x:c r="U148" s="30"/>
      <x:c r="V148" s="30"/>
      <x:c r="W148" s="30"/>
      <x:c r="X148" s="30"/>
      <x:c r="Y148" s="30"/>
      <x:c r="Z148" s="30"/>
      <x:c r="AA148" s="30"/>
      <x:c r="AB148" s="30"/>
      <x:c r="AC148" s="30"/>
      <x:c r="AD148" s="30"/>
      <x:c r="AE148" s="30"/>
      <x:c r="AF148" s="30"/>
      <x:c r="AG148" s="30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>
      <x:c r="A149" s="1"/>
      <x:c r="B149" s="1"/>
      <x:c r="C149" s="30"/>
      <x:c r="D149" s="30"/>
      <x:c r="E149" s="30"/>
      <x:c r="F149" s="30"/>
      <x:c r="G149" s="30"/>
      <x:c r="H149" s="30"/>
      <x:c r="I149" s="30"/>
      <x:c r="J149" s="30"/>
      <x:c r="K149" s="30"/>
      <x:c r="L149" s="30"/>
      <x:c r="M149" s="30"/>
      <x:c r="N149" s="30"/>
      <x:c r="O149" s="30"/>
      <x:c r="P149" s="30"/>
      <x:c r="Q149" s="30"/>
      <x:c r="R149" s="30"/>
      <x:c r="S149" s="30"/>
      <x:c r="T149" s="30"/>
      <x:c r="U149" s="30"/>
      <x:c r="V149" s="30"/>
      <x:c r="W149" s="30"/>
      <x:c r="X149" s="30"/>
      <x:c r="Y149" s="30"/>
      <x:c r="Z149" s="30"/>
      <x:c r="AA149" s="30"/>
      <x:c r="AB149" s="30"/>
      <x:c r="AC149" s="30"/>
      <x:c r="AD149" s="30"/>
      <x:c r="AE149" s="30"/>
      <x:c r="AF149" s="30"/>
      <x:c r="AG149" s="30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>
      <x:c r="A150" s="1"/>
      <x:c r="B150" s="1"/>
      <x:c r="C150" s="30"/>
      <x:c r="D150" s="30"/>
      <x:c r="E150" s="30"/>
      <x:c r="F150" s="30"/>
      <x:c r="G150" s="30"/>
      <x:c r="H150" s="30"/>
      <x:c r="I150" s="30"/>
      <x:c r="J150" s="30"/>
      <x:c r="K150" s="30"/>
      <x:c r="L150" s="30"/>
      <x:c r="M150" s="30"/>
      <x:c r="N150" s="30"/>
      <x:c r="O150" s="30"/>
      <x:c r="P150" s="30"/>
      <x:c r="Q150" s="30"/>
      <x:c r="R150" s="30"/>
      <x:c r="S150" s="30"/>
      <x:c r="T150" s="30"/>
      <x:c r="U150" s="30"/>
      <x:c r="V150" s="30"/>
      <x:c r="W150" s="30"/>
      <x:c r="X150" s="30"/>
      <x:c r="Y150" s="30"/>
      <x:c r="Z150" s="30"/>
      <x:c r="AA150" s="30"/>
      <x:c r="AB150" s="30"/>
      <x:c r="AC150" s="30"/>
      <x:c r="AD150" s="30"/>
      <x:c r="AE150" s="30"/>
      <x:c r="AF150" s="30"/>
      <x:c r="AG150" s="30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>
      <x:c r="A151" s="1"/>
      <x:c r="B151" s="1"/>
      <x:c r="C151" s="30"/>
      <x:c r="D151" s="30"/>
      <x:c r="E151" s="30"/>
      <x:c r="F151" s="30"/>
      <x:c r="G151" s="30"/>
      <x:c r="H151" s="30"/>
      <x:c r="I151" s="30"/>
      <x:c r="J151" s="30"/>
      <x:c r="K151" s="30"/>
      <x:c r="L151" s="30"/>
      <x:c r="M151" s="30"/>
      <x:c r="N151" s="30"/>
      <x:c r="O151" s="30"/>
      <x:c r="P151" s="30"/>
      <x:c r="Q151" s="30"/>
      <x:c r="R151" s="30"/>
      <x:c r="S151" s="30"/>
      <x:c r="T151" s="30"/>
      <x:c r="U151" s="30"/>
      <x:c r="V151" s="30"/>
      <x:c r="W151" s="30"/>
      <x:c r="X151" s="30"/>
      <x:c r="Y151" s="30"/>
      <x:c r="Z151" s="30"/>
      <x:c r="AA151" s="30"/>
      <x:c r="AB151" s="30"/>
      <x:c r="AC151" s="30"/>
      <x:c r="AD151" s="30"/>
      <x:c r="AE151" s="30"/>
      <x:c r="AF151" s="30"/>
      <x:c r="AG151" s="30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>
      <x:c r="A152" s="1"/>
      <x:c r="B152" s="1"/>
      <x:c r="C152" s="30"/>
      <x:c r="D152" s="30"/>
      <x:c r="E152" s="30"/>
      <x:c r="F152" s="30"/>
      <x:c r="G152" s="30"/>
      <x:c r="H152" s="30"/>
      <x:c r="I152" s="30"/>
      <x:c r="J152" s="30"/>
      <x:c r="K152" s="30"/>
      <x:c r="L152" s="30"/>
      <x:c r="M152" s="30"/>
      <x:c r="N152" s="30"/>
      <x:c r="O152" s="30"/>
      <x:c r="P152" s="30"/>
      <x:c r="Q152" s="30"/>
      <x:c r="R152" s="30"/>
      <x:c r="S152" s="30"/>
      <x:c r="T152" s="30"/>
      <x:c r="U152" s="30"/>
      <x:c r="V152" s="30"/>
      <x:c r="W152" s="30"/>
      <x:c r="X152" s="30"/>
      <x:c r="Y152" s="30"/>
      <x:c r="Z152" s="30"/>
      <x:c r="AA152" s="30"/>
      <x:c r="AB152" s="30"/>
      <x:c r="AC152" s="30"/>
      <x:c r="AD152" s="30"/>
      <x:c r="AE152" s="30"/>
      <x:c r="AF152" s="30"/>
      <x:c r="AG152" s="30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>
      <x:c r="A153" s="1"/>
      <x:c r="B153" s="1"/>
      <x:c r="C153" s="30"/>
      <x:c r="D153" s="30"/>
      <x:c r="E153" s="30"/>
      <x:c r="F153" s="30"/>
      <x:c r="G153" s="30"/>
      <x:c r="H153" s="30"/>
      <x:c r="I153" s="30"/>
      <x:c r="J153" s="30"/>
      <x:c r="K153" s="30"/>
      <x:c r="L153" s="30"/>
      <x:c r="M153" s="30"/>
      <x:c r="N153" s="30"/>
      <x:c r="O153" s="30"/>
      <x:c r="P153" s="30"/>
      <x:c r="Q153" s="30"/>
      <x:c r="R153" s="30"/>
      <x:c r="S153" s="30"/>
      <x:c r="T153" s="30"/>
      <x:c r="U153" s="30"/>
      <x:c r="V153" s="30"/>
      <x:c r="W153" s="30"/>
      <x:c r="X153" s="30"/>
      <x:c r="Y153" s="30"/>
      <x:c r="Z153" s="30"/>
      <x:c r="AA153" s="30"/>
      <x:c r="AB153" s="30"/>
      <x:c r="AC153" s="30"/>
      <x:c r="AD153" s="30"/>
      <x:c r="AE153" s="30"/>
      <x:c r="AF153" s="30"/>
      <x:c r="AG153" s="30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>
      <x:c r="A154" s="1"/>
      <x:c r="B154" s="1"/>
      <x:c r="C154" s="30"/>
      <x:c r="D154" s="30"/>
      <x:c r="E154" s="30"/>
      <x:c r="F154" s="30"/>
      <x:c r="G154" s="30"/>
      <x:c r="H154" s="30"/>
      <x:c r="I154" s="30"/>
      <x:c r="J154" s="30"/>
      <x:c r="K154" s="30"/>
      <x:c r="L154" s="30"/>
      <x:c r="M154" s="30"/>
      <x:c r="N154" s="30"/>
      <x:c r="O154" s="30"/>
      <x:c r="P154" s="30"/>
      <x:c r="Q154" s="30"/>
      <x:c r="R154" s="30"/>
      <x:c r="S154" s="30"/>
      <x:c r="T154" s="30"/>
      <x:c r="U154" s="30"/>
      <x:c r="V154" s="30"/>
      <x:c r="W154" s="30"/>
      <x:c r="X154" s="30"/>
      <x:c r="Y154" s="30"/>
      <x:c r="Z154" s="30"/>
      <x:c r="AA154" s="30"/>
      <x:c r="AB154" s="30"/>
      <x:c r="AC154" s="30"/>
      <x:c r="AD154" s="30"/>
      <x:c r="AE154" s="30"/>
      <x:c r="AF154" s="30"/>
      <x:c r="AG154" s="30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>
      <x:c r="A155" s="1"/>
      <x:c r="B155" s="1"/>
      <x:c r="C155" s="30"/>
      <x:c r="D155" s="30"/>
      <x:c r="E155" s="30"/>
      <x:c r="F155" s="30"/>
      <x:c r="G155" s="30"/>
      <x:c r="H155" s="30"/>
      <x:c r="I155" s="30"/>
      <x:c r="J155" s="30"/>
      <x:c r="K155" s="30"/>
      <x:c r="L155" s="30"/>
      <x:c r="M155" s="30"/>
      <x:c r="N155" s="30"/>
      <x:c r="O155" s="30"/>
      <x:c r="P155" s="30"/>
      <x:c r="Q155" s="30"/>
      <x:c r="R155" s="30"/>
      <x:c r="S155" s="30"/>
      <x:c r="T155" s="30"/>
      <x:c r="U155" s="30"/>
      <x:c r="V155" s="30"/>
      <x:c r="W155" s="30"/>
      <x:c r="X155" s="30"/>
      <x:c r="Y155" s="30"/>
      <x:c r="Z155" s="30"/>
      <x:c r="AA155" s="30"/>
      <x:c r="AB155" s="30"/>
      <x:c r="AC155" s="30"/>
      <x:c r="AD155" s="30"/>
      <x:c r="AE155" s="30"/>
      <x:c r="AF155" s="30"/>
      <x:c r="AG155" s="30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>
      <x:c r="A156" s="1"/>
      <x:c r="B156" s="1"/>
      <x:c r="C156" s="30"/>
      <x:c r="D156" s="30"/>
      <x:c r="E156" s="30"/>
      <x:c r="F156" s="30"/>
      <x:c r="G156" s="30"/>
      <x:c r="H156" s="30"/>
      <x:c r="I156" s="30"/>
      <x:c r="J156" s="30"/>
      <x:c r="K156" s="30"/>
      <x:c r="L156" s="30"/>
      <x:c r="M156" s="30"/>
      <x:c r="N156" s="30"/>
      <x:c r="O156" s="30"/>
      <x:c r="P156" s="30"/>
      <x:c r="Q156" s="30"/>
      <x:c r="R156" s="30"/>
      <x:c r="S156" s="30"/>
      <x:c r="T156" s="30"/>
      <x:c r="U156" s="30"/>
      <x:c r="V156" s="30"/>
      <x:c r="W156" s="30"/>
      <x:c r="X156" s="30"/>
      <x:c r="Y156" s="30"/>
      <x:c r="Z156" s="30"/>
      <x:c r="AA156" s="30"/>
      <x:c r="AB156" s="30"/>
      <x:c r="AC156" s="30"/>
      <x:c r="AD156" s="30"/>
      <x:c r="AE156" s="30"/>
      <x:c r="AF156" s="30"/>
      <x:c r="AG156" s="30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>
      <x:c r="A157" s="1"/>
      <x:c r="B157" s="1"/>
      <x:c r="C157" s="30"/>
      <x:c r="D157" s="30"/>
      <x:c r="E157" s="30"/>
      <x:c r="F157" s="30"/>
      <x:c r="G157" s="30"/>
      <x:c r="H157" s="30"/>
      <x:c r="I157" s="30"/>
      <x:c r="J157" s="30"/>
      <x:c r="K157" s="30"/>
      <x:c r="L157" s="30"/>
      <x:c r="M157" s="30"/>
      <x:c r="N157" s="30"/>
      <x:c r="O157" s="30"/>
      <x:c r="P157" s="30"/>
      <x:c r="Q157" s="30"/>
      <x:c r="R157" s="30"/>
      <x:c r="S157" s="30"/>
      <x:c r="T157" s="30"/>
      <x:c r="U157" s="30"/>
      <x:c r="V157" s="30"/>
      <x:c r="W157" s="30"/>
      <x:c r="X157" s="30"/>
      <x:c r="Y157" s="30"/>
      <x:c r="Z157" s="30"/>
      <x:c r="AA157" s="30"/>
      <x:c r="AB157" s="30"/>
      <x:c r="AC157" s="30"/>
      <x:c r="AD157" s="30"/>
      <x:c r="AE157" s="30"/>
      <x:c r="AF157" s="30"/>
      <x:c r="AG157" s="30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>
      <x:c r="A158" s="1"/>
      <x:c r="B158" s="1"/>
      <x:c r="C158" s="30"/>
      <x:c r="D158" s="30"/>
      <x:c r="E158" s="30"/>
      <x:c r="F158" s="30"/>
      <x:c r="G158" s="30"/>
      <x:c r="H158" s="30"/>
      <x:c r="I158" s="30"/>
      <x:c r="J158" s="30"/>
      <x:c r="K158" s="30"/>
      <x:c r="L158" s="30"/>
      <x:c r="M158" s="30"/>
      <x:c r="N158" s="30"/>
      <x:c r="O158" s="30"/>
      <x:c r="P158" s="30"/>
      <x:c r="Q158" s="30"/>
      <x:c r="R158" s="30"/>
      <x:c r="S158" s="30"/>
      <x:c r="T158" s="30"/>
      <x:c r="U158" s="30"/>
      <x:c r="V158" s="30"/>
      <x:c r="W158" s="30"/>
      <x:c r="X158" s="30"/>
      <x:c r="Y158" s="30"/>
      <x:c r="Z158" s="30"/>
      <x:c r="AA158" s="30"/>
      <x:c r="AB158" s="30"/>
      <x:c r="AC158" s="30"/>
      <x:c r="AD158" s="30"/>
      <x:c r="AE158" s="30"/>
      <x:c r="AF158" s="30"/>
      <x:c r="AG158" s="30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>
      <x:c r="A159" s="1"/>
      <x:c r="B159" s="1"/>
      <x:c r="C159" s="30"/>
      <x:c r="D159" s="30"/>
      <x:c r="E159" s="30"/>
      <x:c r="F159" s="30"/>
      <x:c r="G159" s="30"/>
      <x:c r="H159" s="30"/>
      <x:c r="I159" s="30"/>
      <x:c r="J159" s="30"/>
      <x:c r="K159" s="30"/>
      <x:c r="L159" s="30"/>
      <x:c r="M159" s="30"/>
      <x:c r="N159" s="30"/>
      <x:c r="O159" s="30"/>
      <x:c r="P159" s="30"/>
      <x:c r="Q159" s="30"/>
      <x:c r="R159" s="30"/>
      <x:c r="S159" s="30"/>
      <x:c r="T159" s="30"/>
      <x:c r="U159" s="30"/>
      <x:c r="V159" s="30"/>
      <x:c r="W159" s="30"/>
      <x:c r="X159" s="30"/>
      <x:c r="Y159" s="30"/>
      <x:c r="Z159" s="30"/>
      <x:c r="AA159" s="30"/>
      <x:c r="AB159" s="30"/>
      <x:c r="AC159" s="30"/>
      <x:c r="AD159" s="30"/>
      <x:c r="AE159" s="30"/>
      <x:c r="AF159" s="30"/>
      <x:c r="AG159" s="30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>
      <x:c r="A160" s="1"/>
      <x:c r="B160" s="1"/>
      <x:c r="C160" s="30"/>
      <x:c r="D160" s="30"/>
      <x:c r="E160" s="30"/>
      <x:c r="F160" s="30"/>
      <x:c r="G160" s="30"/>
      <x:c r="H160" s="30"/>
      <x:c r="I160" s="30"/>
      <x:c r="J160" s="30"/>
      <x:c r="K160" s="30"/>
      <x:c r="L160" s="30"/>
      <x:c r="M160" s="30"/>
      <x:c r="N160" s="30"/>
      <x:c r="O160" s="30"/>
      <x:c r="P160" s="30"/>
      <x:c r="Q160" s="30"/>
      <x:c r="R160" s="30"/>
      <x:c r="S160" s="30"/>
      <x:c r="T160" s="30"/>
      <x:c r="U160" s="30"/>
      <x:c r="V160" s="30"/>
      <x:c r="W160" s="30"/>
      <x:c r="X160" s="30"/>
      <x:c r="Y160" s="30"/>
      <x:c r="Z160" s="30"/>
      <x:c r="AA160" s="30"/>
      <x:c r="AB160" s="30"/>
      <x:c r="AC160" s="30"/>
      <x:c r="AD160" s="30"/>
      <x:c r="AE160" s="30"/>
      <x:c r="AF160" s="30"/>
      <x:c r="AG160" s="30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>
      <x:c r="A161" s="1"/>
      <x:c r="B161" s="1"/>
      <x:c r="C161" s="30"/>
      <x:c r="D161" s="30"/>
      <x:c r="E161" s="30"/>
      <x:c r="F161" s="30"/>
      <x:c r="G161" s="30"/>
      <x:c r="H161" s="30"/>
      <x:c r="I161" s="30"/>
      <x:c r="J161" s="30"/>
      <x:c r="K161" s="30"/>
      <x:c r="L161" s="30"/>
      <x:c r="M161" s="30"/>
      <x:c r="N161" s="30"/>
      <x:c r="O161" s="30"/>
      <x:c r="P161" s="30"/>
      <x:c r="Q161" s="30"/>
      <x:c r="R161" s="30"/>
      <x:c r="S161" s="30"/>
      <x:c r="T161" s="30"/>
      <x:c r="U161" s="30"/>
      <x:c r="V161" s="30"/>
      <x:c r="W161" s="30"/>
      <x:c r="X161" s="30"/>
      <x:c r="Y161" s="30"/>
      <x:c r="Z161" s="30"/>
      <x:c r="AA161" s="30"/>
      <x:c r="AB161" s="30"/>
      <x:c r="AC161" s="30"/>
      <x:c r="AD161" s="30"/>
      <x:c r="AE161" s="30"/>
      <x:c r="AF161" s="30"/>
      <x:c r="AG161" s="30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>
      <x:c r="A162" s="1"/>
      <x:c r="B162" s="1"/>
      <x:c r="C162" s="30"/>
      <x:c r="D162" s="30"/>
      <x:c r="E162" s="30"/>
      <x:c r="F162" s="30"/>
      <x:c r="G162" s="30"/>
      <x:c r="H162" s="30"/>
      <x:c r="I162" s="30"/>
      <x:c r="J162" s="30"/>
      <x:c r="K162" s="30"/>
      <x:c r="L162" s="30"/>
      <x:c r="M162" s="30"/>
      <x:c r="N162" s="30"/>
      <x:c r="O162" s="30"/>
      <x:c r="P162" s="30"/>
      <x:c r="Q162" s="30"/>
      <x:c r="R162" s="30"/>
      <x:c r="S162" s="30"/>
      <x:c r="T162" s="30"/>
      <x:c r="U162" s="30"/>
      <x:c r="V162" s="30"/>
      <x:c r="W162" s="30"/>
      <x:c r="X162" s="30"/>
      <x:c r="Y162" s="30"/>
      <x:c r="Z162" s="30"/>
      <x:c r="AA162" s="30"/>
      <x:c r="AB162" s="30"/>
      <x:c r="AC162" s="30"/>
      <x:c r="AD162" s="30"/>
      <x:c r="AE162" s="30"/>
      <x:c r="AF162" s="30"/>
      <x:c r="AG162" s="30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>
      <x:c r="A163" s="1"/>
      <x:c r="B163" s="1"/>
      <x:c r="C163" s="30"/>
      <x:c r="D163" s="30"/>
      <x:c r="E163" s="30"/>
      <x:c r="F163" s="30"/>
      <x:c r="G163" s="30"/>
      <x:c r="H163" s="30"/>
      <x:c r="I163" s="30"/>
      <x:c r="J163" s="30"/>
      <x:c r="K163" s="30"/>
      <x:c r="L163" s="30"/>
      <x:c r="M163" s="30"/>
      <x:c r="N163" s="30"/>
      <x:c r="O163" s="30"/>
      <x:c r="P163" s="30"/>
      <x:c r="Q163" s="30"/>
      <x:c r="R163" s="30"/>
      <x:c r="S163" s="30"/>
      <x:c r="T163" s="30"/>
      <x:c r="U163" s="30"/>
      <x:c r="V163" s="30"/>
      <x:c r="W163" s="30"/>
      <x:c r="X163" s="30"/>
      <x:c r="Y163" s="30"/>
      <x:c r="Z163" s="30"/>
      <x:c r="AA163" s="30"/>
      <x:c r="AB163" s="30"/>
      <x:c r="AC163" s="30"/>
      <x:c r="AD163" s="30"/>
      <x:c r="AE163" s="30"/>
      <x:c r="AF163" s="30"/>
      <x:c r="AG163" s="30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>
      <x:c r="A164" s="1"/>
      <x:c r="B164" s="1"/>
      <x:c r="C164" s="30"/>
      <x:c r="D164" s="30"/>
      <x:c r="E164" s="30"/>
      <x:c r="F164" s="30"/>
      <x:c r="G164" s="30"/>
      <x:c r="H164" s="30"/>
      <x:c r="I164" s="30"/>
      <x:c r="J164" s="30"/>
      <x:c r="K164" s="30"/>
      <x:c r="L164" s="30"/>
      <x:c r="M164" s="30"/>
      <x:c r="N164" s="30"/>
      <x:c r="O164" s="30"/>
      <x:c r="P164" s="30"/>
      <x:c r="Q164" s="30"/>
      <x:c r="R164" s="30"/>
      <x:c r="S164" s="30"/>
      <x:c r="T164" s="30"/>
      <x:c r="U164" s="30"/>
      <x:c r="V164" s="30"/>
      <x:c r="W164" s="30"/>
      <x:c r="X164" s="30"/>
      <x:c r="Y164" s="30"/>
      <x:c r="Z164" s="30"/>
      <x:c r="AA164" s="30"/>
      <x:c r="AB164" s="30"/>
      <x:c r="AC164" s="30"/>
      <x:c r="AD164" s="30"/>
      <x:c r="AE164" s="30"/>
      <x:c r="AF164" s="30"/>
      <x:c r="AG164" s="30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>
      <x:c r="A165" s="1"/>
      <x:c r="B165" s="1"/>
      <x:c r="C165" s="30"/>
      <x:c r="D165" s="30"/>
      <x:c r="E165" s="30"/>
      <x:c r="F165" s="30"/>
      <x:c r="G165" s="30"/>
      <x:c r="H165" s="30"/>
      <x:c r="I165" s="30"/>
      <x:c r="J165" s="30"/>
      <x:c r="K165" s="30"/>
      <x:c r="L165" s="30"/>
      <x:c r="M165" s="30"/>
      <x:c r="N165" s="30"/>
      <x:c r="O165" s="30"/>
      <x:c r="P165" s="30"/>
      <x:c r="Q165" s="30"/>
      <x:c r="R165" s="30"/>
      <x:c r="S165" s="30"/>
      <x:c r="T165" s="30"/>
      <x:c r="U165" s="30"/>
      <x:c r="V165" s="30"/>
      <x:c r="W165" s="30"/>
      <x:c r="X165" s="30"/>
      <x:c r="Y165" s="30"/>
      <x:c r="Z165" s="30"/>
      <x:c r="AA165" s="30"/>
      <x:c r="AB165" s="30"/>
      <x:c r="AC165" s="30"/>
      <x:c r="AD165" s="30"/>
      <x:c r="AE165" s="30"/>
      <x:c r="AF165" s="30"/>
      <x:c r="AG165" s="30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>
      <x:c r="A166" s="1"/>
      <x:c r="B166" s="1"/>
      <x:c r="C166" s="30"/>
      <x:c r="D166" s="30"/>
      <x:c r="E166" s="30"/>
      <x:c r="F166" s="30"/>
      <x:c r="G166" s="30"/>
      <x:c r="H166" s="30"/>
      <x:c r="I166" s="30"/>
      <x:c r="J166" s="30"/>
      <x:c r="K166" s="30"/>
      <x:c r="L166" s="30"/>
      <x:c r="M166" s="30"/>
      <x:c r="N166" s="30"/>
      <x:c r="O166" s="30"/>
      <x:c r="P166" s="30"/>
      <x:c r="Q166" s="30"/>
      <x:c r="R166" s="30"/>
      <x:c r="S166" s="30"/>
      <x:c r="T166" s="30"/>
      <x:c r="U166" s="30"/>
      <x:c r="V166" s="30"/>
      <x:c r="W166" s="30"/>
      <x:c r="X166" s="30"/>
      <x:c r="Y166" s="30"/>
      <x:c r="Z166" s="30"/>
      <x:c r="AA166" s="30"/>
      <x:c r="AB166" s="30"/>
      <x:c r="AC166" s="30"/>
      <x:c r="AD166" s="30"/>
      <x:c r="AE166" s="30"/>
      <x:c r="AF166" s="30"/>
      <x:c r="AG166" s="30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>
      <x:c r="A167" s="1"/>
      <x:c r="B167" s="1"/>
      <x:c r="C167" s="30"/>
      <x:c r="D167" s="30"/>
      <x:c r="E167" s="30"/>
      <x:c r="F167" s="30"/>
      <x:c r="G167" s="30"/>
      <x:c r="H167" s="30"/>
      <x:c r="I167" s="30"/>
      <x:c r="J167" s="30"/>
      <x:c r="K167" s="30"/>
      <x:c r="L167" s="30"/>
      <x:c r="M167" s="30"/>
      <x:c r="N167" s="30"/>
      <x:c r="O167" s="30"/>
      <x:c r="P167" s="30"/>
      <x:c r="Q167" s="30"/>
      <x:c r="R167" s="30"/>
      <x:c r="S167" s="30"/>
      <x:c r="T167" s="30"/>
      <x:c r="U167" s="30"/>
      <x:c r="V167" s="30"/>
      <x:c r="W167" s="30"/>
      <x:c r="X167" s="30"/>
      <x:c r="Y167" s="30"/>
      <x:c r="Z167" s="30"/>
      <x:c r="AA167" s="30"/>
      <x:c r="AB167" s="30"/>
      <x:c r="AC167" s="30"/>
      <x:c r="AD167" s="30"/>
      <x:c r="AE167" s="30"/>
      <x:c r="AF167" s="30"/>
      <x:c r="AG167" s="30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>
      <x:c r="A168" s="1"/>
      <x:c r="B168" s="1"/>
      <x:c r="C168" s="30"/>
      <x:c r="D168" s="30"/>
      <x:c r="E168" s="30"/>
      <x:c r="F168" s="30"/>
      <x:c r="G168" s="30"/>
      <x:c r="H168" s="30"/>
      <x:c r="I168" s="30"/>
      <x:c r="J168" s="30"/>
      <x:c r="K168" s="30"/>
      <x:c r="L168" s="30"/>
      <x:c r="M168" s="30"/>
      <x:c r="N168" s="30"/>
      <x:c r="O168" s="30"/>
      <x:c r="P168" s="30"/>
      <x:c r="Q168" s="30"/>
      <x:c r="R168" s="30"/>
      <x:c r="S168" s="30"/>
      <x:c r="T168" s="30"/>
      <x:c r="U168" s="30"/>
      <x:c r="V168" s="30"/>
      <x:c r="W168" s="30"/>
      <x:c r="X168" s="30"/>
      <x:c r="Y168" s="30"/>
      <x:c r="Z168" s="30"/>
      <x:c r="AA168" s="30"/>
      <x:c r="AB168" s="30"/>
      <x:c r="AC168" s="30"/>
      <x:c r="AD168" s="30"/>
      <x:c r="AE168" s="30"/>
      <x:c r="AF168" s="30"/>
      <x:c r="AG168" s="30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>
      <x:c r="A169" s="1"/>
      <x:c r="B169" s="1"/>
      <x:c r="C169" s="30"/>
      <x:c r="D169" s="30"/>
      <x:c r="E169" s="30"/>
      <x:c r="F169" s="30"/>
      <x:c r="G169" s="30"/>
      <x:c r="H169" s="30"/>
      <x:c r="I169" s="30"/>
      <x:c r="J169" s="30"/>
      <x:c r="K169" s="30"/>
      <x:c r="L169" s="30"/>
      <x:c r="M169" s="30"/>
      <x:c r="N169" s="30"/>
      <x:c r="O169" s="30"/>
      <x:c r="P169" s="30"/>
      <x:c r="Q169" s="30"/>
      <x:c r="R169" s="30"/>
      <x:c r="S169" s="30"/>
      <x:c r="T169" s="30"/>
      <x:c r="U169" s="30"/>
      <x:c r="V169" s="30"/>
      <x:c r="W169" s="30"/>
      <x:c r="X169" s="30"/>
      <x:c r="Y169" s="30"/>
      <x:c r="Z169" s="30"/>
      <x:c r="AA169" s="30"/>
      <x:c r="AB169" s="30"/>
      <x:c r="AC169" s="30"/>
      <x:c r="AD169" s="30"/>
      <x:c r="AE169" s="30"/>
      <x:c r="AF169" s="30"/>
      <x:c r="AG169" s="30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>
      <x:c r="A170" s="1"/>
      <x:c r="B170" s="1"/>
      <x:c r="C170" s="30"/>
      <x:c r="D170" s="30"/>
      <x:c r="E170" s="30"/>
      <x:c r="F170" s="30"/>
      <x:c r="G170" s="30"/>
      <x:c r="H170" s="30"/>
      <x:c r="I170" s="30"/>
      <x:c r="J170" s="30"/>
      <x:c r="K170" s="30"/>
      <x:c r="L170" s="30"/>
      <x:c r="M170" s="30"/>
      <x:c r="N170" s="30"/>
      <x:c r="O170" s="30"/>
      <x:c r="P170" s="30"/>
      <x:c r="Q170" s="30"/>
      <x:c r="R170" s="30"/>
      <x:c r="S170" s="30"/>
      <x:c r="T170" s="30"/>
      <x:c r="U170" s="30"/>
      <x:c r="V170" s="30"/>
      <x:c r="W170" s="30"/>
      <x:c r="X170" s="30"/>
      <x:c r="Y170" s="30"/>
      <x:c r="Z170" s="30"/>
      <x:c r="AA170" s="30"/>
      <x:c r="AB170" s="30"/>
      <x:c r="AC170" s="30"/>
      <x:c r="AD170" s="30"/>
      <x:c r="AE170" s="30"/>
      <x:c r="AF170" s="30"/>
      <x:c r="AG170" s="30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>
      <x:c r="A171" s="1"/>
      <x:c r="B171" s="1"/>
      <x:c r="C171" s="30"/>
      <x:c r="D171" s="30"/>
      <x:c r="E171" s="30"/>
      <x:c r="F171" s="30"/>
      <x:c r="G171" s="30"/>
      <x:c r="H171" s="30"/>
      <x:c r="I171" s="30"/>
      <x:c r="J171" s="30"/>
      <x:c r="K171" s="30"/>
      <x:c r="L171" s="30"/>
      <x:c r="M171" s="30"/>
      <x:c r="N171" s="30"/>
      <x:c r="O171" s="30"/>
      <x:c r="P171" s="30"/>
      <x:c r="Q171" s="30"/>
      <x:c r="R171" s="30"/>
      <x:c r="S171" s="30"/>
      <x:c r="T171" s="30"/>
      <x:c r="U171" s="30"/>
      <x:c r="V171" s="30"/>
      <x:c r="W171" s="30"/>
      <x:c r="X171" s="30"/>
      <x:c r="Y171" s="30"/>
      <x:c r="Z171" s="30"/>
      <x:c r="AA171" s="30"/>
      <x:c r="AB171" s="30"/>
      <x:c r="AC171" s="30"/>
      <x:c r="AD171" s="30"/>
      <x:c r="AE171" s="30"/>
      <x:c r="AF171" s="30"/>
      <x:c r="AG171" s="30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>
      <x:c r="A172" s="1"/>
      <x:c r="B172" s="1"/>
      <x:c r="C172" s="30"/>
      <x:c r="D172" s="30"/>
      <x:c r="E172" s="30"/>
      <x:c r="F172" s="30"/>
      <x:c r="G172" s="30"/>
      <x:c r="H172" s="30"/>
      <x:c r="I172" s="30"/>
      <x:c r="J172" s="30"/>
      <x:c r="K172" s="30"/>
      <x:c r="L172" s="30"/>
      <x:c r="M172" s="30"/>
      <x:c r="N172" s="30"/>
      <x:c r="O172" s="30"/>
      <x:c r="P172" s="30"/>
      <x:c r="Q172" s="30"/>
      <x:c r="R172" s="30"/>
      <x:c r="S172" s="30"/>
      <x:c r="T172" s="30"/>
      <x:c r="U172" s="30"/>
      <x:c r="V172" s="30"/>
      <x:c r="W172" s="30"/>
      <x:c r="X172" s="30"/>
      <x:c r="Y172" s="30"/>
      <x:c r="Z172" s="30"/>
      <x:c r="AA172" s="30"/>
      <x:c r="AB172" s="30"/>
      <x:c r="AC172" s="30"/>
      <x:c r="AD172" s="30"/>
      <x:c r="AE172" s="30"/>
      <x:c r="AF172" s="30"/>
      <x:c r="AG172" s="30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>
      <x:c r="A173" s="1"/>
      <x:c r="B173" s="1"/>
      <x:c r="C173" s="30"/>
      <x:c r="D173" s="30"/>
      <x:c r="E173" s="30"/>
      <x:c r="F173" s="30"/>
      <x:c r="G173" s="30"/>
      <x:c r="H173" s="30"/>
      <x:c r="I173" s="30"/>
      <x:c r="J173" s="30"/>
      <x:c r="K173" s="30"/>
      <x:c r="L173" s="30"/>
      <x:c r="M173" s="30"/>
      <x:c r="N173" s="30"/>
      <x:c r="O173" s="30"/>
      <x:c r="P173" s="30"/>
      <x:c r="Q173" s="30"/>
      <x:c r="R173" s="30"/>
      <x:c r="S173" s="30"/>
      <x:c r="T173" s="30"/>
      <x:c r="U173" s="30"/>
      <x:c r="V173" s="30"/>
      <x:c r="W173" s="30"/>
      <x:c r="X173" s="30"/>
      <x:c r="Y173" s="30"/>
      <x:c r="Z173" s="30"/>
      <x:c r="AA173" s="30"/>
      <x:c r="AB173" s="30"/>
      <x:c r="AC173" s="30"/>
      <x:c r="AD173" s="30"/>
      <x:c r="AE173" s="30"/>
      <x:c r="AF173" s="30"/>
      <x:c r="AG173" s="30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>
      <x:c r="A174" s="1"/>
      <x:c r="B174" s="1"/>
      <x:c r="C174" s="30"/>
      <x:c r="D174" s="30"/>
      <x:c r="E174" s="30"/>
      <x:c r="F174" s="30"/>
      <x:c r="G174" s="30"/>
      <x:c r="H174" s="30"/>
      <x:c r="I174" s="30"/>
      <x:c r="J174" s="30"/>
      <x:c r="K174" s="30"/>
      <x:c r="L174" s="30"/>
      <x:c r="M174" s="30"/>
      <x:c r="N174" s="30"/>
      <x:c r="O174" s="30"/>
      <x:c r="P174" s="30"/>
      <x:c r="Q174" s="30"/>
      <x:c r="R174" s="30"/>
      <x:c r="S174" s="30"/>
      <x:c r="T174" s="30"/>
      <x:c r="U174" s="30"/>
      <x:c r="V174" s="30"/>
      <x:c r="W174" s="30"/>
      <x:c r="X174" s="30"/>
      <x:c r="Y174" s="30"/>
      <x:c r="Z174" s="30"/>
      <x:c r="AA174" s="30"/>
      <x:c r="AB174" s="30"/>
      <x:c r="AC174" s="30"/>
      <x:c r="AD174" s="30"/>
      <x:c r="AE174" s="30"/>
      <x:c r="AF174" s="30"/>
      <x:c r="AG174" s="30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>
      <x:c r="A175" s="1"/>
      <x:c r="B175" s="1"/>
      <x:c r="C175" s="30"/>
      <x:c r="D175" s="30"/>
      <x:c r="E175" s="30"/>
      <x:c r="F175" s="30"/>
      <x:c r="G175" s="30"/>
      <x:c r="H175" s="30"/>
      <x:c r="I175" s="30"/>
      <x:c r="J175" s="30"/>
      <x:c r="K175" s="30"/>
      <x:c r="L175" s="30"/>
      <x:c r="M175" s="30"/>
      <x:c r="N175" s="30"/>
      <x:c r="O175" s="30"/>
      <x:c r="P175" s="30"/>
      <x:c r="Q175" s="30"/>
      <x:c r="R175" s="30"/>
      <x:c r="S175" s="30"/>
      <x:c r="T175" s="30"/>
      <x:c r="U175" s="30"/>
      <x:c r="V175" s="30"/>
      <x:c r="W175" s="30"/>
      <x:c r="X175" s="30"/>
      <x:c r="Y175" s="30"/>
      <x:c r="Z175" s="30"/>
      <x:c r="AA175" s="30"/>
      <x:c r="AB175" s="30"/>
      <x:c r="AC175" s="30"/>
      <x:c r="AD175" s="30"/>
      <x:c r="AE175" s="30"/>
      <x:c r="AF175" s="30"/>
      <x:c r="AG175" s="30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>
      <x:c r="A176" s="1"/>
      <x:c r="B176" s="1"/>
      <x:c r="C176" s="30"/>
      <x:c r="D176" s="30"/>
      <x:c r="E176" s="30"/>
      <x:c r="F176" s="30"/>
      <x:c r="G176" s="30"/>
      <x:c r="H176" s="30"/>
      <x:c r="I176" s="30"/>
      <x:c r="J176" s="30"/>
      <x:c r="K176" s="30"/>
      <x:c r="L176" s="30"/>
      <x:c r="M176" s="30"/>
      <x:c r="N176" s="30"/>
      <x:c r="O176" s="30"/>
      <x:c r="P176" s="30"/>
      <x:c r="Q176" s="30"/>
      <x:c r="R176" s="30"/>
      <x:c r="S176" s="30"/>
      <x:c r="T176" s="30"/>
      <x:c r="U176" s="30"/>
      <x:c r="V176" s="30"/>
      <x:c r="W176" s="30"/>
      <x:c r="X176" s="30"/>
      <x:c r="Y176" s="30"/>
      <x:c r="Z176" s="30"/>
      <x:c r="AA176" s="30"/>
      <x:c r="AB176" s="30"/>
      <x:c r="AC176" s="30"/>
      <x:c r="AD176" s="30"/>
      <x:c r="AE176" s="30"/>
      <x:c r="AF176" s="30"/>
      <x:c r="AG176" s="30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>
      <x:c r="A177" s="1"/>
      <x:c r="B177" s="1"/>
      <x:c r="C177" s="30"/>
      <x:c r="D177" s="30"/>
      <x:c r="E177" s="30"/>
      <x:c r="F177" s="30"/>
      <x:c r="G177" s="30"/>
      <x:c r="H177" s="30"/>
      <x:c r="I177" s="30"/>
      <x:c r="J177" s="30"/>
      <x:c r="K177" s="30"/>
      <x:c r="L177" s="30"/>
      <x:c r="M177" s="30"/>
      <x:c r="N177" s="30"/>
      <x:c r="O177" s="30"/>
      <x:c r="P177" s="30"/>
      <x:c r="Q177" s="30"/>
      <x:c r="R177" s="30"/>
      <x:c r="S177" s="30"/>
      <x:c r="T177" s="30"/>
      <x:c r="U177" s="30"/>
      <x:c r="V177" s="30"/>
      <x:c r="W177" s="30"/>
      <x:c r="X177" s="30"/>
      <x:c r="Y177" s="30"/>
      <x:c r="Z177" s="30"/>
      <x:c r="AA177" s="30"/>
      <x:c r="AB177" s="30"/>
      <x:c r="AC177" s="30"/>
      <x:c r="AD177" s="30"/>
      <x:c r="AE177" s="30"/>
      <x:c r="AF177" s="30"/>
      <x:c r="AG177" s="30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>
      <x:c r="A178" s="1"/>
      <x:c r="B178" s="1"/>
      <x:c r="C178" s="30"/>
      <x:c r="D178" s="30"/>
      <x:c r="E178" s="30"/>
      <x:c r="F178" s="30"/>
      <x:c r="G178" s="30"/>
      <x:c r="H178" s="30"/>
      <x:c r="I178" s="30"/>
      <x:c r="J178" s="30"/>
      <x:c r="K178" s="30"/>
      <x:c r="L178" s="30"/>
      <x:c r="M178" s="30"/>
      <x:c r="N178" s="30"/>
      <x:c r="O178" s="30"/>
      <x:c r="P178" s="30"/>
      <x:c r="Q178" s="30"/>
      <x:c r="R178" s="30"/>
      <x:c r="S178" s="30"/>
      <x:c r="T178" s="30"/>
      <x:c r="U178" s="30"/>
      <x:c r="V178" s="30"/>
      <x:c r="W178" s="30"/>
      <x:c r="X178" s="30"/>
      <x:c r="Y178" s="30"/>
      <x:c r="Z178" s="30"/>
      <x:c r="AA178" s="30"/>
      <x:c r="AB178" s="30"/>
      <x:c r="AC178" s="30"/>
      <x:c r="AD178" s="30"/>
      <x:c r="AE178" s="30"/>
      <x:c r="AF178" s="30"/>
      <x:c r="AG178" s="30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>
      <x:c r="A179" s="1"/>
      <x:c r="B179" s="1"/>
      <x:c r="C179" s="30"/>
      <x:c r="D179" s="30"/>
      <x:c r="E179" s="30"/>
      <x:c r="F179" s="30"/>
      <x:c r="G179" s="30"/>
      <x:c r="H179" s="30"/>
      <x:c r="I179" s="30"/>
      <x:c r="J179" s="30"/>
      <x:c r="K179" s="30"/>
      <x:c r="L179" s="30"/>
      <x:c r="M179" s="30"/>
      <x:c r="N179" s="30"/>
      <x:c r="O179" s="30"/>
      <x:c r="P179" s="30"/>
      <x:c r="Q179" s="30"/>
      <x:c r="R179" s="30"/>
      <x:c r="S179" s="30"/>
      <x:c r="T179" s="30"/>
      <x:c r="U179" s="30"/>
      <x:c r="V179" s="30"/>
      <x:c r="W179" s="30"/>
      <x:c r="X179" s="30"/>
      <x:c r="Y179" s="30"/>
      <x:c r="Z179" s="30"/>
      <x:c r="AA179" s="30"/>
      <x:c r="AB179" s="30"/>
      <x:c r="AC179" s="30"/>
      <x:c r="AD179" s="30"/>
      <x:c r="AE179" s="30"/>
      <x:c r="AF179" s="30"/>
      <x:c r="AG179" s="30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>
      <x:c r="A180" s="1"/>
      <x:c r="B180" s="1"/>
      <x:c r="C180" s="30"/>
      <x:c r="D180" s="30"/>
      <x:c r="E180" s="30"/>
      <x:c r="F180" s="30"/>
      <x:c r="G180" s="30"/>
      <x:c r="H180" s="30"/>
      <x:c r="I180" s="30"/>
      <x:c r="J180" s="30"/>
      <x:c r="K180" s="30"/>
      <x:c r="L180" s="30"/>
      <x:c r="M180" s="30"/>
      <x:c r="N180" s="30"/>
      <x:c r="O180" s="30"/>
      <x:c r="P180" s="30"/>
      <x:c r="Q180" s="30"/>
      <x:c r="R180" s="30"/>
      <x:c r="S180" s="30"/>
      <x:c r="T180" s="30"/>
      <x:c r="U180" s="30"/>
      <x:c r="V180" s="30"/>
      <x:c r="W180" s="30"/>
      <x:c r="X180" s="30"/>
      <x:c r="Y180" s="30"/>
      <x:c r="Z180" s="30"/>
      <x:c r="AA180" s="30"/>
      <x:c r="AB180" s="30"/>
      <x:c r="AC180" s="30"/>
      <x:c r="AD180" s="30"/>
      <x:c r="AE180" s="30"/>
      <x:c r="AF180" s="30"/>
      <x:c r="AG180" s="30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</x:sheetData>
  <x:conditionalFormatting sqref="J5:J16">
    <x:cfRule type="containsText" dxfId="4" priority="1" operator="containsText" text="FAIL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2" hidden="0" customWidth="1"/>
    <x:col min="4" max="4" width="58" hidden="0" customWidth="1"/>
    <x:col min="5" max="5" width="66" hidden="0" customWidth="1"/>
    <x:col min="6" max="6" width="48" hidden="0" customWidth="1"/>
    <x:col min="7" max="7" width="56" hidden="0" customWidth="1"/>
    <x:col min="8" max="8" width="16" hidden="0" customWidth="1"/>
    <x:col min="9" max="9" width="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>
      <x:c r="A2" s="1"/>
      <x:c r="B2" s="1"/>
      <x:c r="C2" s="3" t="str">
        <x:v>Five external mission-system contracts</x:v>
      </x:c>
      <x:c r="D2" s="2"/>
      <x:c r="E2" s="2"/>
      <x:c r="F2" s="2"/>
      <x:c r="G2" s="2"/>
      <x:c r="H2" s="2"/>
      <x:c r="I2" s="2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>
      <x:c r="A3" s="1"/>
      <x:c r="B3" s="1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  <x:c r="AA3" s="30"/>
      <x:c r="AB3" s="30"/>
      <x:c r="AC3" s="30"/>
      <x:c r="AD3" s="30"/>
      <x:c r="AE3" s="30"/>
      <x:c r="AF3" s="30"/>
      <x:c r="AG3" s="30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>
      <x:c r="A4" s="1"/>
      <x:c r="B4" s="1"/>
      <x:c r="C4" s="9" t="str">
        <x:v>System</x:v>
      </x:c>
      <x:c r="D4" s="17" t="str">
        <x:v>Required input to MS-HU</x:v>
      </x:c>
      <x:c r="E4" s="17" t="str">
        <x:v>Human-continuity acceptance boundary</x:v>
      </x:c>
      <x:c r="F4" s="17" t="str">
        <x:v>Denial case</x:v>
      </x:c>
      <x:c r="G4" s="17" t="str">
        <x:v>Authority relationship</x:v>
      </x:c>
      <x:c r="H4" s="17" t="str">
        <x:v>Quantity credit</x:v>
      </x:c>
      <x:c r="I4" s="10" t="str">
        <x:v>Status</x:v>
      </x:c>
      <x:c r="J4" s="30"/>
      <x:c r="K4" s="30"/>
      <x:c r="L4" s="30"/>
      <x:c r="M4" s="30"/>
      <x:c r="N4" s="30"/>
      <x:c r="O4" s="30"/>
      <x:c r="P4" s="30"/>
      <x:c r="Q4" s="30"/>
      <x:c r="R4" s="30"/>
      <x:c r="S4" s="30"/>
      <x:c r="T4" s="30"/>
      <x:c r="U4" s="30"/>
      <x:c r="V4" s="30"/>
      <x:c r="W4" s="30"/>
      <x:c r="X4" s="30"/>
      <x:c r="Y4" s="30"/>
      <x:c r="Z4" s="30"/>
      <x:c r="AA4" s="30"/>
      <x:c r="AB4" s="30"/>
      <x:c r="AC4" s="30"/>
      <x:c r="AD4" s="30"/>
      <x:c r="AE4" s="30"/>
      <x:c r="AF4" s="30"/>
      <x:c r="AG4" s="30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 ht="62" customHeight="1">
      <x:c r="A5" s="1"/>
      <x:c r="B5" s="1"/>
      <x:c r="C5" s="30" t="str">
        <x:v>MS-ET</x:v>
      </x:c>
      <x:c r="D5" s="35" t="str">
        <x:v>Certified route, node and base through which complete formations can enter</x:v>
      </x:c>
      <x:c r="E5" s="35" t="str">
        <x:v>No person receives credit until an MS-HU route is operating beyond the entry node</x:v>
      </x:c>
      <x:c r="F5" s="35" t="str">
        <x:v>Loss of the sole entry node or receiving-base utility</x:v>
      </x:c>
      <x:c r="G5" s="35" t="str">
        <x:v>MS-ET releases infrastructure; MS-HU releases human service</x:v>
      </x:c>
      <x:c r="H5" s="30" t="n">
        <x:v>0</x:v>
      </x:c>
      <x:c r="I5" s="30" t="str">
        <x:f>IF(AND(C5&lt;&gt;"MS-HU",D5&lt;&gt;"",E5&lt;&gt;"",F5&lt;&gt;"",G5&lt;&gt;"",H5=0),"PASS","FAIL")</x:f>
        <x:v>PASS</x:v>
      </x:c>
      <x:c r="J5" s="30"/>
      <x:c r="K5" s="30"/>
      <x:c r="L5" s="30"/>
      <x:c r="M5" s="30"/>
      <x:c r="N5" s="30"/>
      <x:c r="O5" s="30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  <x:c r="AA5" s="30"/>
      <x:c r="AB5" s="30"/>
      <x:c r="AC5" s="30"/>
      <x:c r="AD5" s="30"/>
      <x:c r="AE5" s="30"/>
      <x:c r="AF5" s="30"/>
      <x:c r="AG5" s="30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 ht="62" customHeight="1">
      <x:c r="A6" s="1"/>
      <x:c r="B6" s="1"/>
      <x:c r="C6" s="30" t="str">
        <x:v>MS-CT</x:v>
      </x:c>
      <x:c r="D6" s="35" t="str">
        <x:v>Lawful household contact, building access, civil communications and route state</x:v>
      </x:c>
      <x:c r="E6" s="35" t="str">
        <x:v>MS-HU owns the person, care, household and destination decision after contact</x:v>
      </x:c>
      <x:c r="F6" s="35" t="str">
        <x:v>Commercial cloud loss and inaccessible occupied building</x:v>
      </x:c>
      <x:c r="G6" s="35" t="str">
        <x:v>MS-CT reaches; MS-HU preserves continuity</x:v>
      </x:c>
      <x:c r="H6" s="30" t="n">
        <x:v>0</x:v>
      </x:c>
      <x:c r="I6" s="30" t="str">
        <x:f>IF(AND(C6&lt;&gt;"MS-HU",D6&lt;&gt;"",E6&lt;&gt;"",F6&lt;&gt;"",G6&lt;&gt;"",H6=0),"PASS","FAIL")</x:f>
        <x:v>PASS</x:v>
      </x:c>
      <x:c r="J6" s="30"/>
      <x:c r="K6" s="30"/>
      <x:c r="L6" s="30"/>
      <x:c r="M6" s="30"/>
      <x:c r="N6" s="30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30"/>
      <x:c r="Z6" s="30"/>
      <x:c r="AA6" s="30"/>
      <x:c r="AB6" s="30"/>
      <x:c r="AC6" s="30"/>
      <x:c r="AD6" s="30"/>
      <x:c r="AE6" s="30"/>
      <x:c r="AF6" s="30"/>
      <x:c r="AG6" s="30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 ht="62" customHeight="1">
      <x:c r="A7" s="1"/>
      <x:c r="B7" s="1"/>
      <x:c r="C7" s="30" t="str">
        <x:v>MS-HC</x:v>
      </x:c>
      <x:c r="D7" s="35" t="str">
        <x:v>Measured safe-zone and exposure envelope for occupied service and movement</x:v>
      </x:c>
      <x:c r="E7" s="35" t="str">
        <x:v>MS-HU stops, shelters or reroutes when the hazard envelope is breached</x:v>
      </x:c>
      <x:c r="F7" s="35" t="str">
        <x:v>Hazard re-escalation during occupancy or movement</x:v>
      </x:c>
      <x:c r="G7" s="35" t="str">
        <x:v>MS-HC controls hazard; MS-HU controls service disposition</x:v>
      </x:c>
      <x:c r="H7" s="30" t="n">
        <x:v>0</x:v>
      </x:c>
      <x:c r="I7" s="30" t="str">
        <x:f>IF(AND(C7&lt;&gt;"MS-HU",D7&lt;&gt;"",E7&lt;&gt;"",F7&lt;&gt;"",G7&lt;&gt;"",H7=0),"PASS","FAIL")</x:f>
        <x:v>PASS</x:v>
      </x:c>
      <x:c r="J7" s="30"/>
      <x:c r="K7" s="30"/>
      <x:c r="L7" s="30"/>
      <x:c r="M7" s="30"/>
      <x:c r="N7" s="30"/>
      <x:c r="O7" s="30"/>
      <x:c r="P7" s="30"/>
      <x:c r="Q7" s="30"/>
      <x:c r="R7" s="30"/>
      <x:c r="S7" s="30"/>
      <x:c r="T7" s="30"/>
      <x:c r="U7" s="30"/>
      <x:c r="V7" s="30"/>
      <x:c r="W7" s="30"/>
      <x:c r="X7" s="30"/>
      <x:c r="Y7" s="30"/>
      <x:c r="Z7" s="30"/>
      <x:c r="AA7" s="30"/>
      <x:c r="AB7" s="30"/>
      <x:c r="AC7" s="30"/>
      <x:c r="AD7" s="30"/>
      <x:c r="AE7" s="30"/>
      <x:c r="AF7" s="30"/>
      <x:c r="AG7" s="30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 ht="62" customHeight="1">
      <x:c r="A8" s="1"/>
      <x:c r="B8" s="1"/>
      <x:c r="C8" s="30" t="str">
        <x:v>MS-LF</x:v>
      </x:c>
      <x:c r="D8" s="35" t="str">
        <x:v>Quality-released water, power, thermal and network service at point of use</x:v>
      </x:c>
      <x:c r="E8" s="35" t="str">
        <x:v>Source output counts only when the occupied or clinical endpoint receives safe service</x:v>
      </x:c>
      <x:c r="F8" s="35" t="str">
        <x:v>Source available but final distribution, quality or residual custody fails</x:v>
      </x:c>
      <x:c r="G8" s="35" t="str">
        <x:v>MS-LF releases utility service; MS-HU releases human outcome</x:v>
      </x:c>
      <x:c r="H8" s="30" t="n">
        <x:v>0</x:v>
      </x:c>
      <x:c r="I8" s="30" t="str">
        <x:f>IF(AND(C8&lt;&gt;"MS-HU",D8&lt;&gt;"",E8&lt;&gt;"",F8&lt;&gt;"",G8&lt;&gt;"",H8=0),"PASS","FAIL")</x:f>
        <x:v>PASS</x:v>
      </x:c>
      <x:c r="J8" s="30"/>
      <x:c r="K8" s="30"/>
      <x:c r="L8" s="30"/>
      <x:c r="M8" s="30"/>
      <x:c r="N8" s="30"/>
      <x:c r="O8" s="30"/>
      <x:c r="P8" s="30"/>
      <x:c r="Q8" s="30"/>
      <x:c r="R8" s="30"/>
      <x:c r="S8" s="30"/>
      <x:c r="T8" s="30"/>
      <x:c r="U8" s="30"/>
      <x:c r="V8" s="30"/>
      <x:c r="W8" s="30"/>
      <x:c r="X8" s="30"/>
      <x:c r="Y8" s="30"/>
      <x:c r="Z8" s="30"/>
      <x:c r="AA8" s="30"/>
      <x:c r="AB8" s="30"/>
      <x:c r="AC8" s="30"/>
      <x:c r="AD8" s="30"/>
      <x:c r="AE8" s="30"/>
      <x:c r="AF8" s="30"/>
      <x:c r="AG8" s="30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 ht="62" customHeight="1">
      <x:c r="A9" s="1"/>
      <x:c r="B9" s="1"/>
      <x:c r="C9" s="30" t="str">
        <x:v>MS-RT</x:v>
      </x:c>
      <x:c r="D9" s="35" t="str">
        <x:v>Replenishment, waste custody, relief, repair, transfer and recertification</x:v>
      </x:c>
      <x:c r="E9" s="35" t="str">
        <x:v>MS-HU remains incomplete while cases, caregivers, workforce or equipment cannot transition and reset</x:v>
      </x:c>
      <x:c r="F9" s="35" t="str">
        <x:v>Relief, sterile supply, waste route or recertification unavailable</x:v>
      </x:c>
      <x:c r="G9" s="35" t="str">
        <x:v>MS-RT supplies regeneration chain; MS-HU closes the case</x:v>
      </x:c>
      <x:c r="H9" s="30" t="n">
        <x:v>0</x:v>
      </x:c>
      <x:c r="I9" s="30" t="str">
        <x:f>IF(AND(C9&lt;&gt;"MS-HU",D9&lt;&gt;"",E9&lt;&gt;"",F9&lt;&gt;"",G9&lt;&gt;"",H9=0),"PASS","FAIL")</x:f>
        <x:v>PASS</x:v>
      </x:c>
      <x:c r="J9" s="30"/>
      <x:c r="K9" s="30"/>
      <x:c r="L9" s="30"/>
      <x:c r="M9" s="30"/>
      <x:c r="N9" s="30"/>
      <x:c r="O9" s="30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  <x:c r="AA9" s="30"/>
      <x:c r="AB9" s="30"/>
      <x:c r="AC9" s="30"/>
      <x:c r="AD9" s="30"/>
      <x:c r="AE9" s="30"/>
      <x:c r="AF9" s="30"/>
      <x:c r="AG9" s="30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>
      <x:c r="A10" s="1"/>
      <x:c r="B10" s="1"/>
      <x:c r="C10" s="30"/>
      <x:c r="D10" s="30"/>
      <x:c r="E10" s="30"/>
      <x:c r="F10" s="30"/>
      <x:c r="G10" s="30"/>
      <x:c r="H10" s="30"/>
      <x:c r="I10" s="30"/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  <x:c r="AA10" s="30"/>
      <x:c r="AB10" s="30"/>
      <x:c r="AC10" s="30"/>
      <x:c r="AD10" s="30"/>
      <x:c r="AE10" s="30"/>
      <x:c r="AF10" s="30"/>
      <x:c r="AG10" s="30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>
      <x:c r="A11" s="1"/>
      <x:c r="B11" s="1"/>
      <x:c r="C11" s="30"/>
      <x:c r="D11" s="30"/>
      <x:c r="E11" s="30"/>
      <x:c r="F11" s="30"/>
      <x:c r="G11" s="30"/>
      <x:c r="H11" s="30"/>
      <x:c r="I11" s="30"/>
      <x:c r="J11" s="30"/>
      <x:c r="K11" s="30"/>
      <x:c r="L11" s="30"/>
      <x:c r="M11" s="30"/>
      <x:c r="N11" s="30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  <x:c r="AA11" s="30"/>
      <x:c r="AB11" s="30"/>
      <x:c r="AC11" s="30"/>
      <x:c r="AD11" s="30"/>
      <x:c r="AE11" s="30"/>
      <x:c r="AF11" s="30"/>
      <x:c r="AG11" s="30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>
      <x:c r="A12" s="1"/>
      <x:c r="B12" s="1"/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  <x:c r="M12" s="30"/>
      <x:c r="N12" s="30"/>
      <x:c r="O12" s="30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  <x:c r="AA12" s="30"/>
      <x:c r="AB12" s="30"/>
      <x:c r="AC12" s="30"/>
      <x:c r="AD12" s="30"/>
      <x:c r="AE12" s="30"/>
      <x:c r="AF12" s="30"/>
      <x:c r="AG12" s="30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>
      <x:c r="A13" s="1"/>
      <x:c r="B13" s="1"/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  <x:c r="N13" s="30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  <x:c r="AA13" s="30"/>
      <x:c r="AB13" s="30"/>
      <x:c r="AC13" s="30"/>
      <x:c r="AD13" s="30"/>
      <x:c r="AE13" s="30"/>
      <x:c r="AF13" s="30"/>
      <x:c r="AG13" s="30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>
      <x:c r="A14" s="1"/>
      <x:c r="B14" s="1"/>
      <x:c r="C14" s="30"/>
      <x:c r="D14" s="30"/>
      <x:c r="E14" s="30"/>
      <x:c r="F14" s="30"/>
      <x:c r="G14" s="30"/>
      <x:c r="H14" s="30"/>
      <x:c r="I14" s="30"/>
      <x:c r="J14" s="30"/>
      <x:c r="K14" s="30"/>
      <x:c r="L14" s="30"/>
      <x:c r="M14" s="30"/>
      <x:c r="N14" s="30"/>
      <x:c r="O14" s="30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  <x:c r="AA14" s="30"/>
      <x:c r="AB14" s="30"/>
      <x:c r="AC14" s="30"/>
      <x:c r="AD14" s="30"/>
      <x:c r="AE14" s="30"/>
      <x:c r="AF14" s="30"/>
      <x:c r="AG14" s="30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>
      <x:c r="A15" s="1"/>
      <x:c r="B15" s="1"/>
      <x:c r="C15" s="30"/>
      <x:c r="D15" s="30"/>
      <x:c r="E15" s="30"/>
      <x:c r="F15" s="30"/>
      <x:c r="G15" s="30"/>
      <x:c r="H15" s="30"/>
      <x:c r="I15" s="30"/>
      <x:c r="J15" s="30"/>
      <x:c r="K15" s="30"/>
      <x:c r="L15" s="30"/>
      <x:c r="M15" s="30"/>
      <x:c r="N15" s="30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  <x:c r="AA15" s="30"/>
      <x:c r="AB15" s="30"/>
      <x:c r="AC15" s="30"/>
      <x:c r="AD15" s="30"/>
      <x:c r="AE15" s="30"/>
      <x:c r="AF15" s="30"/>
      <x:c r="AG15" s="30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>
      <x:c r="A16" s="1"/>
      <x:c r="B16" s="1"/>
      <x:c r="C16" s="30"/>
      <x:c r="D16" s="30"/>
      <x:c r="E16" s="30"/>
      <x:c r="F16" s="30"/>
      <x:c r="G16" s="30"/>
      <x:c r="H16" s="30"/>
      <x:c r="I16" s="30"/>
      <x:c r="J16" s="30"/>
      <x:c r="K16" s="30"/>
      <x:c r="L16" s="30"/>
      <x:c r="M16" s="30"/>
      <x:c r="N16" s="30"/>
      <x:c r="O16" s="30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  <x:c r="AA16" s="30"/>
      <x:c r="AB16" s="30"/>
      <x:c r="AC16" s="30"/>
      <x:c r="AD16" s="30"/>
      <x:c r="AE16" s="30"/>
      <x:c r="AF16" s="30"/>
      <x:c r="AG16" s="30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>
      <x:c r="A17" s="1"/>
      <x:c r="B17" s="1"/>
      <x:c r="C17" s="30"/>
      <x:c r="D17" s="30"/>
      <x:c r="E17" s="30"/>
      <x:c r="F17" s="30"/>
      <x:c r="G17" s="30"/>
      <x:c r="H17" s="30"/>
      <x:c r="I17" s="30"/>
      <x:c r="J17" s="30"/>
      <x:c r="K17" s="30"/>
      <x:c r="L17" s="30"/>
      <x:c r="M17" s="30"/>
      <x:c r="N17" s="30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  <x:c r="AA17" s="30"/>
      <x:c r="AB17" s="30"/>
      <x:c r="AC17" s="30"/>
      <x:c r="AD17" s="30"/>
      <x:c r="AE17" s="30"/>
      <x:c r="AF17" s="30"/>
      <x:c r="AG17" s="30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>
      <x:c r="A18" s="1"/>
      <x:c r="B18" s="1"/>
      <x:c r="C18" s="30"/>
      <x:c r="D18" s="30"/>
      <x:c r="E18" s="30"/>
      <x:c r="F18" s="30"/>
      <x:c r="G18" s="30"/>
      <x:c r="H18" s="30"/>
      <x:c r="I18" s="30"/>
      <x:c r="J18" s="30"/>
      <x:c r="K18" s="30"/>
      <x:c r="L18" s="30"/>
      <x:c r="M18" s="30"/>
      <x:c r="N18" s="30"/>
      <x:c r="O18" s="30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  <x:c r="AA18" s="30"/>
      <x:c r="AB18" s="30"/>
      <x:c r="AC18" s="30"/>
      <x:c r="AD18" s="30"/>
      <x:c r="AE18" s="30"/>
      <x:c r="AF18" s="30"/>
      <x:c r="AG18" s="30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>
      <x:c r="A19" s="1"/>
      <x:c r="B19" s="1"/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  <x:c r="M19" s="30"/>
      <x:c r="N19" s="30"/>
      <x:c r="O19" s="30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  <x:c r="AA19" s="30"/>
      <x:c r="AB19" s="30"/>
      <x:c r="AC19" s="30"/>
      <x:c r="AD19" s="30"/>
      <x:c r="AE19" s="30"/>
      <x:c r="AF19" s="30"/>
      <x:c r="AG19" s="30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>
      <x:c r="A20" s="1"/>
      <x:c r="B20" s="1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  <x:c r="N20" s="30"/>
      <x:c r="O20" s="30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  <x:c r="AA20" s="30"/>
      <x:c r="AB20" s="30"/>
      <x:c r="AC20" s="30"/>
      <x:c r="AD20" s="30"/>
      <x:c r="AE20" s="30"/>
      <x:c r="AF20" s="30"/>
      <x:c r="AG20" s="30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>
      <x:c r="A21" s="1"/>
      <x:c r="B21" s="1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  <x:c r="AA21" s="30"/>
      <x:c r="AB21" s="30"/>
      <x:c r="AC21" s="30"/>
      <x:c r="AD21" s="30"/>
      <x:c r="AE21" s="30"/>
      <x:c r="AF21" s="30"/>
      <x:c r="AG21" s="30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>
      <x:c r="A22" s="1"/>
      <x:c r="B22" s="1"/>
      <x:c r="C22" s="30"/>
      <x:c r="D22" s="30"/>
      <x:c r="E22" s="30"/>
      <x:c r="F22" s="30"/>
      <x:c r="G22" s="30"/>
      <x:c r="H22" s="30"/>
      <x:c r="I22" s="30"/>
      <x:c r="J22" s="30"/>
      <x:c r="K22" s="30"/>
      <x:c r="L22" s="30"/>
      <x:c r="M22" s="30"/>
      <x:c r="N22" s="30"/>
      <x:c r="O22" s="30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  <x:c r="AA22" s="30"/>
      <x:c r="AB22" s="30"/>
      <x:c r="AC22" s="30"/>
      <x:c r="AD22" s="30"/>
      <x:c r="AE22" s="30"/>
      <x:c r="AF22" s="30"/>
      <x:c r="AG22" s="30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>
      <x:c r="A23" s="1"/>
      <x:c r="B23" s="1"/>
      <x:c r="C23" s="30"/>
      <x:c r="D23" s="30"/>
      <x:c r="E23" s="30"/>
      <x:c r="F23" s="30"/>
      <x:c r="G23" s="30"/>
      <x:c r="H23" s="30"/>
      <x:c r="I23" s="30"/>
      <x:c r="J23" s="30"/>
      <x:c r="K23" s="30"/>
      <x:c r="L23" s="30"/>
      <x:c r="M23" s="30"/>
      <x:c r="N23" s="30"/>
      <x:c r="O23" s="30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  <x:c r="AA23" s="30"/>
      <x:c r="AB23" s="30"/>
      <x:c r="AC23" s="30"/>
      <x:c r="AD23" s="30"/>
      <x:c r="AE23" s="30"/>
      <x:c r="AF23" s="30"/>
      <x:c r="AG23" s="30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>
      <x:c r="A24" s="1"/>
      <x:c r="B24" s="1"/>
      <x:c r="C24" s="30"/>
      <x:c r="D24" s="30"/>
      <x:c r="E24" s="30"/>
      <x:c r="F24" s="30"/>
      <x:c r="G24" s="30"/>
      <x:c r="H24" s="30"/>
      <x:c r="I24" s="30"/>
      <x:c r="J24" s="30"/>
      <x:c r="K24" s="30"/>
      <x:c r="L24" s="30"/>
      <x:c r="M24" s="30"/>
      <x:c r="N24" s="30"/>
      <x:c r="O24" s="30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  <x:c r="AA24" s="30"/>
      <x:c r="AB24" s="30"/>
      <x:c r="AC24" s="30"/>
      <x:c r="AD24" s="30"/>
      <x:c r="AE24" s="30"/>
      <x:c r="AF24" s="30"/>
      <x:c r="AG24" s="30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>
      <x:c r="A25" s="1"/>
      <x:c r="B25" s="1"/>
      <x:c r="C25" s="30"/>
      <x:c r="D25" s="30"/>
      <x:c r="E25" s="30"/>
      <x:c r="F25" s="30"/>
      <x:c r="G25" s="30"/>
      <x:c r="H25" s="30"/>
      <x:c r="I25" s="30"/>
      <x:c r="J25" s="30"/>
      <x:c r="K25" s="30"/>
      <x:c r="L25" s="30"/>
      <x:c r="M25" s="30"/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  <x:c r="AA25" s="30"/>
      <x:c r="AB25" s="30"/>
      <x:c r="AC25" s="30"/>
      <x:c r="AD25" s="30"/>
      <x:c r="AE25" s="30"/>
      <x:c r="AF25" s="30"/>
      <x:c r="AG25" s="30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>
      <x:c r="A26" s="1"/>
      <x:c r="B26" s="1"/>
      <x:c r="C26" s="30"/>
      <x:c r="D26" s="30"/>
      <x:c r="E26" s="30"/>
      <x:c r="F26" s="30"/>
      <x:c r="G26" s="30"/>
      <x:c r="H26" s="30"/>
      <x:c r="I26" s="30"/>
      <x:c r="J26" s="3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  <x:c r="AA26" s="30"/>
      <x:c r="AB26" s="30"/>
      <x:c r="AC26" s="30"/>
      <x:c r="AD26" s="30"/>
      <x:c r="AE26" s="30"/>
      <x:c r="AF26" s="30"/>
      <x:c r="AG26" s="30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>
      <x:c r="A27" s="1"/>
      <x:c r="B27" s="1"/>
      <x:c r="C27" s="30"/>
      <x:c r="D27" s="30"/>
      <x:c r="E27" s="30"/>
      <x:c r="F27" s="30"/>
      <x:c r="G27" s="30"/>
      <x:c r="H27" s="30"/>
      <x:c r="I27" s="30"/>
      <x:c r="J27" s="30"/>
      <x:c r="K27" s="30"/>
      <x:c r="L27" s="30"/>
      <x:c r="M27" s="30"/>
      <x:c r="N27" s="30"/>
      <x:c r="O27" s="30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  <x:c r="AA27" s="30"/>
      <x:c r="AB27" s="30"/>
      <x:c r="AC27" s="30"/>
      <x:c r="AD27" s="30"/>
      <x:c r="AE27" s="30"/>
      <x:c r="AF27" s="30"/>
      <x:c r="AG27" s="30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>
      <x:c r="A28" s="1"/>
      <x:c r="B28" s="1"/>
      <x:c r="C28" s="30"/>
      <x:c r="D28" s="30"/>
      <x:c r="E28" s="30"/>
      <x:c r="F28" s="30"/>
      <x:c r="G28" s="30"/>
      <x:c r="H28" s="30"/>
      <x:c r="I28" s="30"/>
      <x:c r="J28" s="30"/>
      <x:c r="K28" s="30"/>
      <x:c r="L28" s="30"/>
      <x:c r="M28" s="30"/>
      <x:c r="N28" s="30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  <x:c r="AA28" s="30"/>
      <x:c r="AB28" s="30"/>
      <x:c r="AC28" s="30"/>
      <x:c r="AD28" s="30"/>
      <x:c r="AE28" s="30"/>
      <x:c r="AF28" s="30"/>
      <x:c r="AG28" s="30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>
      <x:c r="A29" s="1"/>
      <x:c r="B29" s="1"/>
      <x:c r="C29" s="30"/>
      <x:c r="D29" s="30"/>
      <x:c r="E29" s="30"/>
      <x:c r="F29" s="30"/>
      <x:c r="G29" s="30"/>
      <x:c r="H29" s="30"/>
      <x:c r="I29" s="30"/>
      <x:c r="J29" s="30"/>
      <x:c r="K29" s="30"/>
      <x:c r="L29" s="30"/>
      <x:c r="M29" s="30"/>
      <x:c r="N29" s="30"/>
      <x:c r="O29" s="30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  <x:c r="AA29" s="30"/>
      <x:c r="AB29" s="30"/>
      <x:c r="AC29" s="30"/>
      <x:c r="AD29" s="30"/>
      <x:c r="AE29" s="30"/>
      <x:c r="AF29" s="30"/>
      <x:c r="AG29" s="30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>
      <x:c r="A30" s="1"/>
      <x:c r="B30" s="1"/>
      <x:c r="C30" s="30"/>
      <x:c r="D30" s="30"/>
      <x:c r="E30" s="30"/>
      <x:c r="F30" s="30"/>
      <x:c r="G30" s="30"/>
      <x:c r="H30" s="30"/>
      <x:c r="I30" s="30"/>
      <x:c r="J30" s="30"/>
      <x:c r="K30" s="30"/>
      <x:c r="L30" s="30"/>
      <x:c r="M30" s="30"/>
      <x:c r="N30" s="30"/>
      <x:c r="O30" s="30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  <x:c r="AA30" s="30"/>
      <x:c r="AB30" s="30"/>
      <x:c r="AC30" s="30"/>
      <x:c r="AD30" s="30"/>
      <x:c r="AE30" s="30"/>
      <x:c r="AF30" s="30"/>
      <x:c r="AG30" s="30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>
      <x:c r="A31" s="1"/>
      <x:c r="B31" s="1"/>
      <x:c r="C31" s="30"/>
      <x:c r="D31" s="30"/>
      <x:c r="E31" s="30"/>
      <x:c r="F31" s="30"/>
      <x:c r="G31" s="30"/>
      <x:c r="H31" s="30"/>
      <x:c r="I31" s="30"/>
      <x:c r="J31" s="30"/>
      <x:c r="K31" s="30"/>
      <x:c r="L31" s="30"/>
      <x:c r="M31" s="30"/>
      <x:c r="N31" s="30"/>
      <x:c r="O31" s="30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  <x:c r="AA31" s="30"/>
      <x:c r="AB31" s="30"/>
      <x:c r="AC31" s="30"/>
      <x:c r="AD31" s="30"/>
      <x:c r="AE31" s="30"/>
      <x:c r="AF31" s="30"/>
      <x:c r="AG31" s="30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>
      <x:c r="A32" s="1"/>
      <x:c r="B32" s="1"/>
      <x:c r="C32" s="30"/>
      <x:c r="D32" s="30"/>
      <x:c r="E32" s="30"/>
      <x:c r="F32" s="30"/>
      <x:c r="G32" s="30"/>
      <x:c r="H32" s="30"/>
      <x:c r="I32" s="30"/>
      <x:c r="J32" s="30"/>
      <x:c r="K32" s="30"/>
      <x:c r="L32" s="30"/>
      <x:c r="M32" s="30"/>
      <x:c r="N32" s="30"/>
      <x:c r="O32" s="30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  <x:c r="AA32" s="30"/>
      <x:c r="AB32" s="30"/>
      <x:c r="AC32" s="30"/>
      <x:c r="AD32" s="30"/>
      <x:c r="AE32" s="30"/>
      <x:c r="AF32" s="30"/>
      <x:c r="AG32" s="30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>
      <x:c r="A33" s="1"/>
      <x:c r="B33" s="1"/>
      <x:c r="C33" s="30"/>
      <x:c r="D33" s="30"/>
      <x:c r="E33" s="30"/>
      <x:c r="F33" s="30"/>
      <x:c r="G33" s="30"/>
      <x:c r="H33" s="30"/>
      <x:c r="I33" s="30"/>
      <x:c r="J33" s="30"/>
      <x:c r="K33" s="30"/>
      <x:c r="L33" s="30"/>
      <x:c r="M33" s="30"/>
      <x:c r="N33" s="30"/>
      <x:c r="O33" s="30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  <x:c r="AA33" s="30"/>
      <x:c r="AB33" s="30"/>
      <x:c r="AC33" s="30"/>
      <x:c r="AD33" s="30"/>
      <x:c r="AE33" s="30"/>
      <x:c r="AF33" s="30"/>
      <x:c r="AG33" s="30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>
      <x:c r="A34" s="1"/>
      <x:c r="B34" s="1"/>
      <x:c r="C34" s="30"/>
      <x:c r="D34" s="30"/>
      <x:c r="E34" s="30"/>
      <x:c r="F34" s="30"/>
      <x:c r="G34" s="30"/>
      <x:c r="H34" s="30"/>
      <x:c r="I34" s="30"/>
      <x:c r="J34" s="30"/>
      <x:c r="K34" s="30"/>
      <x:c r="L34" s="30"/>
      <x:c r="M34" s="30"/>
      <x:c r="N34" s="30"/>
      <x:c r="O34" s="30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  <x:c r="AA34" s="30"/>
      <x:c r="AB34" s="30"/>
      <x:c r="AC34" s="30"/>
      <x:c r="AD34" s="30"/>
      <x:c r="AE34" s="30"/>
      <x:c r="AF34" s="30"/>
      <x:c r="AG34" s="30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>
      <x:c r="A35" s="1"/>
      <x:c r="B35" s="1"/>
      <x:c r="C35" s="30"/>
      <x:c r="D35" s="30"/>
      <x:c r="E35" s="30"/>
      <x:c r="F35" s="30"/>
      <x:c r="G35" s="30"/>
      <x:c r="H35" s="30"/>
      <x:c r="I35" s="30"/>
      <x:c r="J35" s="30"/>
      <x:c r="K35" s="30"/>
      <x:c r="L35" s="30"/>
      <x:c r="M35" s="30"/>
      <x:c r="N35" s="30"/>
      <x:c r="O35" s="30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  <x:c r="AA35" s="30"/>
      <x:c r="AB35" s="30"/>
      <x:c r="AC35" s="30"/>
      <x:c r="AD35" s="30"/>
      <x:c r="AE35" s="30"/>
      <x:c r="AF35" s="30"/>
      <x:c r="AG35" s="30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>
      <x:c r="A36" s="1"/>
      <x:c r="B36" s="1"/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  <x:c r="M36" s="30"/>
      <x:c r="N36" s="30"/>
      <x:c r="O36" s="30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  <x:c r="AA36" s="30"/>
      <x:c r="AB36" s="30"/>
      <x:c r="AC36" s="30"/>
      <x:c r="AD36" s="30"/>
      <x:c r="AE36" s="30"/>
      <x:c r="AF36" s="30"/>
      <x:c r="AG36" s="30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>
      <x:c r="A37" s="1"/>
      <x:c r="B37" s="1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  <x:c r="O37" s="30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  <x:c r="AA37" s="30"/>
      <x:c r="AB37" s="30"/>
      <x:c r="AC37" s="30"/>
      <x:c r="AD37" s="30"/>
      <x:c r="AE37" s="30"/>
      <x:c r="AF37" s="30"/>
      <x:c r="AG37" s="30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>
      <x:c r="A38" s="1"/>
      <x:c r="B38" s="1"/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  <x:c r="O38" s="30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  <x:c r="AA38" s="30"/>
      <x:c r="AB38" s="30"/>
      <x:c r="AC38" s="30"/>
      <x:c r="AD38" s="30"/>
      <x:c r="AE38" s="30"/>
      <x:c r="AF38" s="30"/>
      <x:c r="AG38" s="30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>
      <x:c r="A39" s="1"/>
      <x:c r="B39" s="1"/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  <x:c r="O39" s="30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  <x:c r="AA39" s="30"/>
      <x:c r="AB39" s="30"/>
      <x:c r="AC39" s="30"/>
      <x:c r="AD39" s="30"/>
      <x:c r="AE39" s="30"/>
      <x:c r="AF39" s="30"/>
      <x:c r="AG39" s="30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>
      <x:c r="A40" s="1"/>
      <x:c r="B40" s="1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  <x:c r="M40" s="30"/>
      <x:c r="N40" s="30"/>
      <x:c r="O40" s="30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  <x:c r="AA40" s="30"/>
      <x:c r="AB40" s="30"/>
      <x:c r="AC40" s="30"/>
      <x:c r="AD40" s="30"/>
      <x:c r="AE40" s="30"/>
      <x:c r="AF40" s="30"/>
      <x:c r="AG40" s="30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>
      <x:c r="A41" s="1"/>
      <x:c r="B41" s="1"/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  <x:c r="AA41" s="30"/>
      <x:c r="AB41" s="30"/>
      <x:c r="AC41" s="30"/>
      <x:c r="AD41" s="30"/>
      <x:c r="AE41" s="30"/>
      <x:c r="AF41" s="30"/>
      <x:c r="AG41" s="30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>
      <x:c r="A42" s="1"/>
      <x:c r="B42" s="1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  <x:c r="AA42" s="30"/>
      <x:c r="AB42" s="30"/>
      <x:c r="AC42" s="30"/>
      <x:c r="AD42" s="30"/>
      <x:c r="AE42" s="30"/>
      <x:c r="AF42" s="30"/>
      <x:c r="AG42" s="30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>
      <x:c r="A43" s="1"/>
      <x:c r="B43" s="1"/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  <x:c r="AA43" s="30"/>
      <x:c r="AB43" s="30"/>
      <x:c r="AC43" s="30"/>
      <x:c r="AD43" s="30"/>
      <x:c r="AE43" s="30"/>
      <x:c r="AF43" s="30"/>
      <x:c r="AG43" s="30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>
      <x:c r="A44" s="1"/>
      <x:c r="B44" s="1"/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  <x:c r="M44" s="30"/>
      <x:c r="N44" s="30"/>
      <x:c r="O44" s="30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  <x:c r="AA44" s="30"/>
      <x:c r="AB44" s="30"/>
      <x:c r="AC44" s="30"/>
      <x:c r="AD44" s="30"/>
      <x:c r="AE44" s="30"/>
      <x:c r="AF44" s="30"/>
      <x:c r="AG44" s="30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>
      <x:c r="A45" s="1"/>
      <x:c r="B45" s="1"/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  <x:c r="AA45" s="30"/>
      <x:c r="AB45" s="30"/>
      <x:c r="AC45" s="30"/>
      <x:c r="AD45" s="30"/>
      <x:c r="AE45" s="30"/>
      <x:c r="AF45" s="30"/>
      <x:c r="AG45" s="30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>
      <x:c r="A46" s="1"/>
      <x:c r="B46" s="1"/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  <x:c r="M46" s="30"/>
      <x:c r="N46" s="30"/>
      <x:c r="O46" s="30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  <x:c r="AA46" s="30"/>
      <x:c r="AB46" s="30"/>
      <x:c r="AC46" s="30"/>
      <x:c r="AD46" s="30"/>
      <x:c r="AE46" s="30"/>
      <x:c r="AF46" s="30"/>
      <x:c r="AG46" s="30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>
      <x:c r="A47" s="1"/>
      <x:c r="B47" s="1"/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  <x:c r="O47" s="30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  <x:c r="AA47" s="30"/>
      <x:c r="AB47" s="30"/>
      <x:c r="AC47" s="30"/>
      <x:c r="AD47" s="30"/>
      <x:c r="AE47" s="30"/>
      <x:c r="AF47" s="30"/>
      <x:c r="AG47" s="30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>
      <x:c r="A48" s="1"/>
      <x:c r="B48" s="1"/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  <x:c r="M48" s="30"/>
      <x:c r="N48" s="30"/>
      <x:c r="O48" s="30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  <x:c r="AA48" s="30"/>
      <x:c r="AB48" s="30"/>
      <x:c r="AC48" s="30"/>
      <x:c r="AD48" s="30"/>
      <x:c r="AE48" s="30"/>
      <x:c r="AF48" s="30"/>
      <x:c r="AG48" s="30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>
      <x:c r="A49" s="1"/>
      <x:c r="B49" s="1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0"/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  <x:c r="AA49" s="30"/>
      <x:c r="AB49" s="30"/>
      <x:c r="AC49" s="30"/>
      <x:c r="AD49" s="30"/>
      <x:c r="AE49" s="30"/>
      <x:c r="AF49" s="30"/>
      <x:c r="AG49" s="30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>
      <x:c r="A50" s="1"/>
      <x:c r="B50" s="1"/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  <x:c r="O50" s="30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  <x:c r="AA50" s="30"/>
      <x:c r="AB50" s="30"/>
      <x:c r="AC50" s="30"/>
      <x:c r="AD50" s="30"/>
      <x:c r="AE50" s="30"/>
      <x:c r="AF50" s="30"/>
      <x:c r="AG50" s="30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>
      <x:c r="A51" s="1"/>
      <x:c r="B51" s="1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  <x:c r="O51" s="30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  <x:c r="AA51" s="30"/>
      <x:c r="AB51" s="30"/>
      <x:c r="AC51" s="30"/>
      <x:c r="AD51" s="30"/>
      <x:c r="AE51" s="30"/>
      <x:c r="AF51" s="30"/>
      <x:c r="AG51" s="30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>
      <x:c r="A52" s="1"/>
      <x:c r="B52" s="1"/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  <x:c r="M52" s="30"/>
      <x:c r="N52" s="30"/>
      <x:c r="O52" s="30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  <x:c r="AA52" s="30"/>
      <x:c r="AB52" s="30"/>
      <x:c r="AC52" s="30"/>
      <x:c r="AD52" s="30"/>
      <x:c r="AE52" s="30"/>
      <x:c r="AF52" s="30"/>
      <x:c r="AG52" s="30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>
      <x:c r="A53" s="1"/>
      <x:c r="B53" s="1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  <x:c r="O53" s="30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  <x:c r="AA53" s="30"/>
      <x:c r="AB53" s="30"/>
      <x:c r="AC53" s="30"/>
      <x:c r="AD53" s="30"/>
      <x:c r="AE53" s="30"/>
      <x:c r="AF53" s="30"/>
      <x:c r="AG53" s="30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>
      <x:c r="A54" s="1"/>
      <x:c r="B54" s="1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  <x:c r="AA54" s="30"/>
      <x:c r="AB54" s="30"/>
      <x:c r="AC54" s="30"/>
      <x:c r="AD54" s="30"/>
      <x:c r="AE54" s="30"/>
      <x:c r="AF54" s="30"/>
      <x:c r="AG54" s="30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>
      <x:c r="A55" s="1"/>
      <x:c r="B55" s="1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  <x:c r="AA55" s="30"/>
      <x:c r="AB55" s="30"/>
      <x:c r="AC55" s="30"/>
      <x:c r="AD55" s="30"/>
      <x:c r="AE55" s="30"/>
      <x:c r="AF55" s="30"/>
      <x:c r="AG55" s="30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>
      <x:c r="A56" s="1"/>
      <x:c r="B56" s="1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  <x:c r="AA56" s="30"/>
      <x:c r="AB56" s="30"/>
      <x:c r="AC56" s="30"/>
      <x:c r="AD56" s="30"/>
      <x:c r="AE56" s="30"/>
      <x:c r="AF56" s="30"/>
      <x:c r="AG56" s="30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>
      <x:c r="A57" s="1"/>
      <x:c r="B57" s="1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  <x:c r="AA57" s="30"/>
      <x:c r="AB57" s="30"/>
      <x:c r="AC57" s="30"/>
      <x:c r="AD57" s="30"/>
      <x:c r="AE57" s="30"/>
      <x:c r="AF57" s="30"/>
      <x:c r="AG57" s="30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>
      <x:c r="A58" s="1"/>
      <x:c r="B58" s="1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0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  <x:c r="AA58" s="30"/>
      <x:c r="AB58" s="30"/>
      <x:c r="AC58" s="30"/>
      <x:c r="AD58" s="30"/>
      <x:c r="AE58" s="30"/>
      <x:c r="AF58" s="30"/>
      <x:c r="AG58" s="30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>
      <x:c r="A59" s="1"/>
      <x:c r="B59" s="1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  <x:c r="M59" s="30"/>
      <x:c r="N59" s="30"/>
      <x:c r="O59" s="30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  <x:c r="AA59" s="30"/>
      <x:c r="AB59" s="30"/>
      <x:c r="AC59" s="30"/>
      <x:c r="AD59" s="30"/>
      <x:c r="AE59" s="30"/>
      <x:c r="AF59" s="30"/>
      <x:c r="AG59" s="30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>
      <x:c r="A60" s="1"/>
      <x:c r="B60" s="1"/>
      <x:c r="C60" s="30"/>
      <x:c r="D60" s="30"/>
      <x:c r="E60" s="30"/>
      <x:c r="F60" s="30"/>
      <x:c r="G60" s="30"/>
      <x:c r="H60" s="30"/>
      <x:c r="I60" s="30"/>
      <x:c r="J60" s="30"/>
      <x:c r="K60" s="30"/>
      <x:c r="L60" s="30"/>
      <x:c r="M60" s="30"/>
      <x:c r="N60" s="30"/>
      <x:c r="O60" s="30"/>
      <x:c r="P60" s="30"/>
      <x:c r="Q60" s="30"/>
      <x:c r="R60" s="30"/>
      <x:c r="S60" s="30"/>
      <x:c r="T60" s="30"/>
      <x:c r="U60" s="30"/>
      <x:c r="V60" s="30"/>
      <x:c r="W60" s="30"/>
      <x:c r="X60" s="30"/>
      <x:c r="Y60" s="30"/>
      <x:c r="Z60" s="30"/>
      <x:c r="AA60" s="30"/>
      <x:c r="AB60" s="30"/>
      <x:c r="AC60" s="30"/>
      <x:c r="AD60" s="30"/>
      <x:c r="AE60" s="30"/>
      <x:c r="AF60" s="30"/>
      <x:c r="AG60" s="30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>
      <x:c r="A61" s="1"/>
      <x:c r="B61" s="1"/>
      <x:c r="C61" s="30"/>
      <x:c r="D61" s="30"/>
      <x:c r="E61" s="30"/>
      <x:c r="F61" s="30"/>
      <x:c r="G61" s="30"/>
      <x:c r="H61" s="30"/>
      <x:c r="I61" s="30"/>
      <x:c r="J61" s="30"/>
      <x:c r="K61" s="30"/>
      <x:c r="L61" s="30"/>
      <x:c r="M61" s="30"/>
      <x:c r="N61" s="30"/>
      <x:c r="O61" s="30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  <x:c r="AA61" s="30"/>
      <x:c r="AB61" s="30"/>
      <x:c r="AC61" s="30"/>
      <x:c r="AD61" s="30"/>
      <x:c r="AE61" s="30"/>
      <x:c r="AF61" s="30"/>
      <x:c r="AG61" s="30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>
      <x:c r="A62" s="1"/>
      <x:c r="B62" s="1"/>
      <x:c r="C62" s="30"/>
      <x:c r="D62" s="30"/>
      <x:c r="E62" s="30"/>
      <x:c r="F62" s="30"/>
      <x:c r="G62" s="30"/>
      <x:c r="H62" s="30"/>
      <x:c r="I62" s="30"/>
      <x:c r="J62" s="30"/>
      <x:c r="K62" s="30"/>
      <x:c r="L62" s="30"/>
      <x:c r="M62" s="30"/>
      <x:c r="N62" s="30"/>
      <x:c r="O62" s="30"/>
      <x:c r="P62" s="30"/>
      <x:c r="Q62" s="30"/>
      <x:c r="R62" s="30"/>
      <x:c r="S62" s="30"/>
      <x:c r="T62" s="30"/>
      <x:c r="U62" s="30"/>
      <x:c r="V62" s="30"/>
      <x:c r="W62" s="30"/>
      <x:c r="X62" s="30"/>
      <x:c r="Y62" s="30"/>
      <x:c r="Z62" s="30"/>
      <x:c r="AA62" s="30"/>
      <x:c r="AB62" s="30"/>
      <x:c r="AC62" s="30"/>
      <x:c r="AD62" s="30"/>
      <x:c r="AE62" s="30"/>
      <x:c r="AF62" s="30"/>
      <x:c r="AG62" s="30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>
      <x:c r="A63" s="1"/>
      <x:c r="B63" s="1"/>
      <x:c r="C63" s="30"/>
      <x:c r="D63" s="30"/>
      <x:c r="E63" s="30"/>
      <x:c r="F63" s="30"/>
      <x:c r="G63" s="30"/>
      <x:c r="H63" s="30"/>
      <x:c r="I63" s="30"/>
      <x:c r="J63" s="30"/>
      <x:c r="K63" s="30"/>
      <x:c r="L63" s="30"/>
      <x:c r="M63" s="30"/>
      <x:c r="N63" s="30"/>
      <x:c r="O63" s="30"/>
      <x:c r="P63" s="30"/>
      <x:c r="Q63" s="30"/>
      <x:c r="R63" s="30"/>
      <x:c r="S63" s="30"/>
      <x:c r="T63" s="30"/>
      <x:c r="U63" s="30"/>
      <x:c r="V63" s="30"/>
      <x:c r="W63" s="30"/>
      <x:c r="X63" s="30"/>
      <x:c r="Y63" s="30"/>
      <x:c r="Z63" s="30"/>
      <x:c r="AA63" s="30"/>
      <x:c r="AB63" s="30"/>
      <x:c r="AC63" s="30"/>
      <x:c r="AD63" s="30"/>
      <x:c r="AE63" s="30"/>
      <x:c r="AF63" s="30"/>
      <x:c r="AG63" s="30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>
      <x:c r="A64" s="1"/>
      <x:c r="B64" s="1"/>
      <x:c r="C64" s="30"/>
      <x:c r="D64" s="30"/>
      <x:c r="E64" s="30"/>
      <x:c r="F64" s="30"/>
      <x:c r="G64" s="30"/>
      <x:c r="H64" s="30"/>
      <x:c r="I64" s="30"/>
      <x:c r="J64" s="30"/>
      <x:c r="K64" s="30"/>
      <x:c r="L64" s="30"/>
      <x:c r="M64" s="30"/>
      <x:c r="N64" s="30"/>
      <x:c r="O64" s="30"/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30"/>
      <x:c r="AA64" s="30"/>
      <x:c r="AB64" s="30"/>
      <x:c r="AC64" s="30"/>
      <x:c r="AD64" s="30"/>
      <x:c r="AE64" s="30"/>
      <x:c r="AF64" s="30"/>
      <x:c r="AG64" s="30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>
      <x:c r="A65" s="1"/>
      <x:c r="B65" s="1"/>
      <x:c r="C65" s="30"/>
      <x:c r="D65" s="30"/>
      <x:c r="E65" s="30"/>
      <x:c r="F65" s="30"/>
      <x:c r="G65" s="30"/>
      <x:c r="H65" s="30"/>
      <x:c r="I65" s="30"/>
      <x:c r="J65" s="30"/>
      <x:c r="K65" s="30"/>
      <x:c r="L65" s="30"/>
      <x:c r="M65" s="30"/>
      <x:c r="N65" s="30"/>
      <x:c r="O65" s="30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  <x:c r="AA65" s="30"/>
      <x:c r="AB65" s="30"/>
      <x:c r="AC65" s="30"/>
      <x:c r="AD65" s="30"/>
      <x:c r="AE65" s="30"/>
      <x:c r="AF65" s="30"/>
      <x:c r="AG65" s="30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>
      <x:c r="A66" s="1"/>
      <x:c r="B66" s="1"/>
      <x:c r="C66" s="30"/>
      <x:c r="D66" s="30"/>
      <x:c r="E66" s="30"/>
      <x:c r="F66" s="30"/>
      <x:c r="G66" s="30"/>
      <x:c r="H66" s="30"/>
      <x:c r="I66" s="30"/>
      <x:c r="J66" s="30"/>
      <x:c r="K66" s="30"/>
      <x:c r="L66" s="30"/>
      <x:c r="M66" s="30"/>
      <x:c r="N66" s="30"/>
      <x:c r="O66" s="30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  <x:c r="AA66" s="30"/>
      <x:c r="AB66" s="30"/>
      <x:c r="AC66" s="30"/>
      <x:c r="AD66" s="30"/>
      <x:c r="AE66" s="30"/>
      <x:c r="AF66" s="30"/>
      <x:c r="AG66" s="30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>
      <x:c r="A67" s="1"/>
      <x:c r="B67" s="1"/>
      <x:c r="C67" s="30"/>
      <x:c r="D67" s="30"/>
      <x:c r="E67" s="30"/>
      <x:c r="F67" s="30"/>
      <x:c r="G67" s="30"/>
      <x:c r="H67" s="30"/>
      <x:c r="I67" s="30"/>
      <x:c r="J67" s="30"/>
      <x:c r="K67" s="30"/>
      <x:c r="L67" s="30"/>
      <x:c r="M67" s="30"/>
      <x:c r="N67" s="30"/>
      <x:c r="O67" s="30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  <x:c r="AA67" s="30"/>
      <x:c r="AB67" s="30"/>
      <x:c r="AC67" s="30"/>
      <x:c r="AD67" s="30"/>
      <x:c r="AE67" s="30"/>
      <x:c r="AF67" s="30"/>
      <x:c r="AG67" s="30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>
      <x:c r="A68" s="1"/>
      <x:c r="B68" s="1"/>
      <x:c r="C68" s="30"/>
      <x:c r="D68" s="30"/>
      <x:c r="E68" s="30"/>
      <x:c r="F68" s="30"/>
      <x:c r="G68" s="30"/>
      <x:c r="H68" s="30"/>
      <x:c r="I68" s="30"/>
      <x:c r="J68" s="30"/>
      <x:c r="K68" s="30"/>
      <x:c r="L68" s="30"/>
      <x:c r="M68" s="30"/>
      <x:c r="N68" s="30"/>
      <x:c r="O68" s="30"/>
      <x:c r="P68" s="30"/>
      <x:c r="Q68" s="30"/>
      <x:c r="R68" s="30"/>
      <x:c r="S68" s="30"/>
      <x:c r="T68" s="30"/>
      <x:c r="U68" s="30"/>
      <x:c r="V68" s="30"/>
      <x:c r="W68" s="30"/>
      <x:c r="X68" s="30"/>
      <x:c r="Y68" s="30"/>
      <x:c r="Z68" s="30"/>
      <x:c r="AA68" s="30"/>
      <x:c r="AB68" s="30"/>
      <x:c r="AC68" s="30"/>
      <x:c r="AD68" s="30"/>
      <x:c r="AE68" s="30"/>
      <x:c r="AF68" s="30"/>
      <x:c r="AG68" s="30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>
      <x:c r="A69" s="1"/>
      <x:c r="B69" s="1"/>
      <x:c r="C69" s="30"/>
      <x:c r="D69" s="30"/>
      <x:c r="E69" s="30"/>
      <x:c r="F69" s="30"/>
      <x:c r="G69" s="30"/>
      <x:c r="H69" s="30"/>
      <x:c r="I69" s="30"/>
      <x:c r="J69" s="30"/>
      <x:c r="K69" s="30"/>
      <x:c r="L69" s="30"/>
      <x:c r="M69" s="30"/>
      <x:c r="N69" s="30"/>
      <x:c r="O69" s="30"/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30"/>
      <x:c r="AA69" s="30"/>
      <x:c r="AB69" s="30"/>
      <x:c r="AC69" s="30"/>
      <x:c r="AD69" s="30"/>
      <x:c r="AE69" s="30"/>
      <x:c r="AF69" s="30"/>
      <x:c r="AG69" s="30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>
      <x:c r="A70" s="1"/>
      <x:c r="B70" s="1"/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  <x:c r="M70" s="30"/>
      <x:c r="N70" s="30"/>
      <x:c r="O70" s="30"/>
      <x:c r="P70" s="30"/>
      <x:c r="Q70" s="30"/>
      <x:c r="R70" s="30"/>
      <x:c r="S70" s="30"/>
      <x:c r="T70" s="30"/>
      <x:c r="U70" s="30"/>
      <x:c r="V70" s="30"/>
      <x:c r="W70" s="30"/>
      <x:c r="X70" s="30"/>
      <x:c r="Y70" s="30"/>
      <x:c r="Z70" s="30"/>
      <x:c r="AA70" s="30"/>
      <x:c r="AB70" s="30"/>
      <x:c r="AC70" s="30"/>
      <x:c r="AD70" s="30"/>
      <x:c r="AE70" s="30"/>
      <x:c r="AF70" s="30"/>
      <x:c r="AG70" s="30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>
      <x:c r="A71" s="1"/>
      <x:c r="B71" s="1"/>
      <x:c r="C71" s="30"/>
      <x:c r="D71" s="30"/>
      <x:c r="E71" s="30"/>
      <x:c r="F71" s="30"/>
      <x:c r="G71" s="30"/>
      <x:c r="H71" s="30"/>
      <x:c r="I71" s="30"/>
      <x:c r="J71" s="30"/>
      <x:c r="K71" s="30"/>
      <x:c r="L71" s="30"/>
      <x:c r="M71" s="30"/>
      <x:c r="N71" s="30"/>
      <x:c r="O71" s="30"/>
      <x:c r="P71" s="30"/>
      <x:c r="Q71" s="30"/>
      <x:c r="R71" s="30"/>
      <x:c r="S71" s="30"/>
      <x:c r="T71" s="30"/>
      <x:c r="U71" s="30"/>
      <x:c r="V71" s="30"/>
      <x:c r="W71" s="30"/>
      <x:c r="X71" s="30"/>
      <x:c r="Y71" s="30"/>
      <x:c r="Z71" s="30"/>
      <x:c r="AA71" s="30"/>
      <x:c r="AB71" s="30"/>
      <x:c r="AC71" s="30"/>
      <x:c r="AD71" s="30"/>
      <x:c r="AE71" s="30"/>
      <x:c r="AF71" s="30"/>
      <x:c r="AG71" s="30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>
      <x:c r="A72" s="1"/>
      <x:c r="B72" s="1"/>
      <x:c r="C72" s="30"/>
      <x:c r="D72" s="30"/>
      <x:c r="E72" s="30"/>
      <x:c r="F72" s="30"/>
      <x:c r="G72" s="30"/>
      <x:c r="H72" s="30"/>
      <x:c r="I72" s="30"/>
      <x:c r="J72" s="30"/>
      <x:c r="K72" s="30"/>
      <x:c r="L72" s="30"/>
      <x:c r="M72" s="30"/>
      <x:c r="N72" s="30"/>
      <x:c r="O72" s="30"/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30"/>
      <x:c r="AA72" s="30"/>
      <x:c r="AB72" s="30"/>
      <x:c r="AC72" s="30"/>
      <x:c r="AD72" s="30"/>
      <x:c r="AE72" s="30"/>
      <x:c r="AF72" s="30"/>
      <x:c r="AG72" s="30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>
      <x:c r="A73" s="1"/>
      <x:c r="B73" s="1"/>
      <x:c r="C73" s="30"/>
      <x:c r="D73" s="30"/>
      <x:c r="E73" s="30"/>
      <x:c r="F73" s="30"/>
      <x:c r="G73" s="30"/>
      <x:c r="H73" s="30"/>
      <x:c r="I73" s="30"/>
      <x:c r="J73" s="30"/>
      <x:c r="K73" s="30"/>
      <x:c r="L73" s="30"/>
      <x:c r="M73" s="30"/>
      <x:c r="N73" s="30"/>
      <x:c r="O73" s="30"/>
      <x:c r="P73" s="30"/>
      <x:c r="Q73" s="30"/>
      <x:c r="R73" s="30"/>
      <x:c r="S73" s="30"/>
      <x:c r="T73" s="30"/>
      <x:c r="U73" s="30"/>
      <x:c r="V73" s="30"/>
      <x:c r="W73" s="30"/>
      <x:c r="X73" s="30"/>
      <x:c r="Y73" s="30"/>
      <x:c r="Z73" s="30"/>
      <x:c r="AA73" s="30"/>
      <x:c r="AB73" s="30"/>
      <x:c r="AC73" s="30"/>
      <x:c r="AD73" s="30"/>
      <x:c r="AE73" s="30"/>
      <x:c r="AF73" s="30"/>
      <x:c r="AG73" s="30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>
      <x:c r="A74" s="1"/>
      <x:c r="B74" s="1"/>
      <x:c r="C74" s="30"/>
      <x:c r="D74" s="30"/>
      <x:c r="E74" s="30"/>
      <x:c r="F74" s="30"/>
      <x:c r="G74" s="30"/>
      <x:c r="H74" s="30"/>
      <x:c r="I74" s="30"/>
      <x:c r="J74" s="30"/>
      <x:c r="K74" s="30"/>
      <x:c r="L74" s="30"/>
      <x:c r="M74" s="30"/>
      <x:c r="N74" s="30"/>
      <x:c r="O74" s="30"/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30"/>
      <x:c r="AA74" s="30"/>
      <x:c r="AB74" s="30"/>
      <x:c r="AC74" s="30"/>
      <x:c r="AD74" s="30"/>
      <x:c r="AE74" s="30"/>
      <x:c r="AF74" s="30"/>
      <x:c r="AG74" s="30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>
      <x:c r="A75" s="1"/>
      <x:c r="B75" s="1"/>
      <x:c r="C75" s="30"/>
      <x:c r="D75" s="30"/>
      <x:c r="E75" s="30"/>
      <x:c r="F75" s="30"/>
      <x:c r="G75" s="30"/>
      <x:c r="H75" s="30"/>
      <x:c r="I75" s="30"/>
      <x:c r="J75" s="30"/>
      <x:c r="K75" s="30"/>
      <x:c r="L75" s="30"/>
      <x:c r="M75" s="30"/>
      <x:c r="N75" s="30"/>
      <x:c r="O75" s="30"/>
      <x:c r="P75" s="30"/>
      <x:c r="Q75" s="30"/>
      <x:c r="R75" s="30"/>
      <x:c r="S75" s="30"/>
      <x:c r="T75" s="30"/>
      <x:c r="U75" s="30"/>
      <x:c r="V75" s="30"/>
      <x:c r="W75" s="30"/>
      <x:c r="X75" s="30"/>
      <x:c r="Y75" s="30"/>
      <x:c r="Z75" s="30"/>
      <x:c r="AA75" s="30"/>
      <x:c r="AB75" s="30"/>
      <x:c r="AC75" s="30"/>
      <x:c r="AD75" s="30"/>
      <x:c r="AE75" s="30"/>
      <x:c r="AF75" s="30"/>
      <x:c r="AG75" s="30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>
      <x:c r="A76" s="1"/>
      <x:c r="B76" s="1"/>
      <x:c r="C76" s="30"/>
      <x:c r="D76" s="30"/>
      <x:c r="E76" s="30"/>
      <x:c r="F76" s="30"/>
      <x:c r="G76" s="30"/>
      <x:c r="H76" s="30"/>
      <x:c r="I76" s="30"/>
      <x:c r="J76" s="30"/>
      <x:c r="K76" s="30"/>
      <x:c r="L76" s="30"/>
      <x:c r="M76" s="30"/>
      <x:c r="N76" s="30"/>
      <x:c r="O76" s="30"/>
      <x:c r="P76" s="30"/>
      <x:c r="Q76" s="30"/>
      <x:c r="R76" s="30"/>
      <x:c r="S76" s="30"/>
      <x:c r="T76" s="30"/>
      <x:c r="U76" s="30"/>
      <x:c r="V76" s="30"/>
      <x:c r="W76" s="30"/>
      <x:c r="X76" s="30"/>
      <x:c r="Y76" s="30"/>
      <x:c r="Z76" s="30"/>
      <x:c r="AA76" s="30"/>
      <x:c r="AB76" s="30"/>
      <x:c r="AC76" s="30"/>
      <x:c r="AD76" s="30"/>
      <x:c r="AE76" s="30"/>
      <x:c r="AF76" s="30"/>
      <x:c r="AG76" s="30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>
      <x:c r="A77" s="1"/>
      <x:c r="B77" s="1"/>
      <x:c r="C77" s="30"/>
      <x:c r="D77" s="30"/>
      <x:c r="E77" s="30"/>
      <x:c r="F77" s="30"/>
      <x:c r="G77" s="30"/>
      <x:c r="H77" s="30"/>
      <x:c r="I77" s="30"/>
      <x:c r="J77" s="30"/>
      <x:c r="K77" s="30"/>
      <x:c r="L77" s="30"/>
      <x:c r="M77" s="30"/>
      <x:c r="N77" s="30"/>
      <x:c r="O77" s="30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  <x:c r="AA77" s="30"/>
      <x:c r="AB77" s="30"/>
      <x:c r="AC77" s="30"/>
      <x:c r="AD77" s="30"/>
      <x:c r="AE77" s="30"/>
      <x:c r="AF77" s="30"/>
      <x:c r="AG77" s="30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>
      <x:c r="A78" s="1"/>
      <x:c r="B78" s="1"/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  <x:c r="O78" s="30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  <x:c r="AA78" s="30"/>
      <x:c r="AB78" s="30"/>
      <x:c r="AC78" s="30"/>
      <x:c r="AD78" s="30"/>
      <x:c r="AE78" s="30"/>
      <x:c r="AF78" s="30"/>
      <x:c r="AG78" s="30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>
      <x:c r="A79" s="1"/>
      <x:c r="B79" s="1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  <x:c r="M79" s="30"/>
      <x:c r="N79" s="30"/>
      <x:c r="O79" s="30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  <x:c r="AA79" s="30"/>
      <x:c r="AB79" s="30"/>
      <x:c r="AC79" s="30"/>
      <x:c r="AD79" s="30"/>
      <x:c r="AE79" s="30"/>
      <x:c r="AF79" s="30"/>
      <x:c r="AG79" s="30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>
      <x:c r="A80" s="1"/>
      <x:c r="B80" s="1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  <x:c r="M80" s="30"/>
      <x:c r="N80" s="30"/>
      <x:c r="O80" s="30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  <x:c r="AA80" s="30"/>
      <x:c r="AB80" s="30"/>
      <x:c r="AC80" s="30"/>
      <x:c r="AD80" s="30"/>
      <x:c r="AE80" s="30"/>
      <x:c r="AF80" s="30"/>
      <x:c r="AG80" s="30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>
      <x:c r="A81" s="1"/>
      <x:c r="B81" s="1"/>
      <x:c r="C81" s="30"/>
      <x:c r="D81" s="30"/>
      <x:c r="E81" s="30"/>
      <x:c r="F81" s="30"/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  <x:c r="AA81" s="30"/>
      <x:c r="AB81" s="30"/>
      <x:c r="AC81" s="30"/>
      <x:c r="AD81" s="30"/>
      <x:c r="AE81" s="30"/>
      <x:c r="AF81" s="30"/>
      <x:c r="AG81" s="30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>
      <x:c r="A82" s="1"/>
      <x:c r="B82" s="1"/>
      <x:c r="C82" s="30"/>
      <x:c r="D82" s="30"/>
      <x:c r="E82" s="30"/>
      <x:c r="F82" s="30"/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30"/>
      <x:c r="AA82" s="30"/>
      <x:c r="AB82" s="30"/>
      <x:c r="AC82" s="30"/>
      <x:c r="AD82" s="30"/>
      <x:c r="AE82" s="30"/>
      <x:c r="AF82" s="30"/>
      <x:c r="AG82" s="30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>
      <x:c r="A83" s="1"/>
      <x:c r="B83" s="1"/>
      <x:c r="C83" s="30"/>
      <x:c r="D83" s="30"/>
      <x:c r="E83" s="30"/>
      <x:c r="F83" s="30"/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30"/>
      <x:c r="AA83" s="30"/>
      <x:c r="AB83" s="30"/>
      <x:c r="AC83" s="30"/>
      <x:c r="AD83" s="30"/>
      <x:c r="AE83" s="30"/>
      <x:c r="AF83" s="30"/>
      <x:c r="AG83" s="30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>
      <x:c r="A84" s="1"/>
      <x:c r="B84" s="1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30"/>
      <x:c r="AA84" s="30"/>
      <x:c r="AB84" s="30"/>
      <x:c r="AC84" s="30"/>
      <x:c r="AD84" s="30"/>
      <x:c r="AE84" s="30"/>
      <x:c r="AF84" s="30"/>
      <x:c r="AG84" s="30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>
      <x:c r="A85" s="1"/>
      <x:c r="B85" s="1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30"/>
      <x:c r="AA85" s="30"/>
      <x:c r="AB85" s="30"/>
      <x:c r="AC85" s="30"/>
      <x:c r="AD85" s="30"/>
      <x:c r="AE85" s="30"/>
      <x:c r="AF85" s="30"/>
      <x:c r="AG85" s="30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>
      <x:c r="A86" s="1"/>
      <x:c r="B86" s="1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30"/>
      <x:c r="AA86" s="30"/>
      <x:c r="AB86" s="30"/>
      <x:c r="AC86" s="30"/>
      <x:c r="AD86" s="30"/>
      <x:c r="AE86" s="30"/>
      <x:c r="AF86" s="30"/>
      <x:c r="AG86" s="30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>
      <x:c r="A87" s="1"/>
      <x:c r="B87" s="1"/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  <x:c r="Y87" s="30"/>
      <x:c r="Z87" s="30"/>
      <x:c r="AA87" s="30"/>
      <x:c r="AB87" s="30"/>
      <x:c r="AC87" s="30"/>
      <x:c r="AD87" s="30"/>
      <x:c r="AE87" s="30"/>
      <x:c r="AF87" s="30"/>
      <x:c r="AG87" s="30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>
      <x:c r="A88" s="1"/>
      <x:c r="B88" s="1"/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  <x:c r="Y88" s="30"/>
      <x:c r="Z88" s="30"/>
      <x:c r="AA88" s="30"/>
      <x:c r="AB88" s="30"/>
      <x:c r="AC88" s="30"/>
      <x:c r="AD88" s="30"/>
      <x:c r="AE88" s="30"/>
      <x:c r="AF88" s="30"/>
      <x:c r="AG88" s="30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>
      <x:c r="A89" s="1"/>
      <x:c r="B89" s="1"/>
      <x:c r="C89" s="30"/>
      <x:c r="D89" s="30"/>
      <x:c r="E89" s="30"/>
      <x:c r="F89" s="30"/>
      <x:c r="G89" s="3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  <x:c r="Y89" s="30"/>
      <x:c r="Z89" s="30"/>
      <x:c r="AA89" s="30"/>
      <x:c r="AB89" s="30"/>
      <x:c r="AC89" s="30"/>
      <x:c r="AD89" s="30"/>
      <x:c r="AE89" s="30"/>
      <x:c r="AF89" s="30"/>
      <x:c r="AG89" s="30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>
      <x:c r="A90" s="1"/>
      <x:c r="B90" s="1"/>
      <x:c r="C90" s="30"/>
      <x:c r="D90" s="30"/>
      <x:c r="E90" s="30"/>
      <x:c r="F90" s="30"/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30"/>
      <x:c r="AA90" s="30"/>
      <x:c r="AB90" s="30"/>
      <x:c r="AC90" s="30"/>
      <x:c r="AD90" s="30"/>
      <x:c r="AE90" s="30"/>
      <x:c r="AF90" s="30"/>
      <x:c r="AG90" s="30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>
      <x:c r="A91" s="1"/>
      <x:c r="B91" s="1"/>
      <x:c r="C91" s="30"/>
      <x:c r="D91" s="30"/>
      <x:c r="E91" s="30"/>
      <x:c r="F91" s="30"/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30"/>
      <x:c r="AA91" s="30"/>
      <x:c r="AB91" s="30"/>
      <x:c r="AC91" s="30"/>
      <x:c r="AD91" s="30"/>
      <x:c r="AE91" s="30"/>
      <x:c r="AF91" s="30"/>
      <x:c r="AG91" s="30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>
      <x:c r="A92" s="1"/>
      <x:c r="B92" s="1"/>
      <x:c r="C92" s="30"/>
      <x:c r="D92" s="30"/>
      <x:c r="E92" s="30"/>
      <x:c r="F92" s="30"/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  <x:c r="AA92" s="30"/>
      <x:c r="AB92" s="30"/>
      <x:c r="AC92" s="30"/>
      <x:c r="AD92" s="30"/>
      <x:c r="AE92" s="30"/>
      <x:c r="AF92" s="30"/>
      <x:c r="AG92" s="30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>
      <x:c r="A93" s="1"/>
      <x:c r="B93" s="1"/>
      <x:c r="C93" s="30"/>
      <x:c r="D93" s="30"/>
      <x:c r="E93" s="30"/>
      <x:c r="F93" s="30"/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  <x:c r="AA93" s="30"/>
      <x:c r="AB93" s="30"/>
      <x:c r="AC93" s="30"/>
      <x:c r="AD93" s="30"/>
      <x:c r="AE93" s="30"/>
      <x:c r="AF93" s="30"/>
      <x:c r="AG93" s="30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>
      <x:c r="A94" s="1"/>
      <x:c r="B94" s="1"/>
      <x:c r="C94" s="30"/>
      <x:c r="D94" s="30"/>
      <x:c r="E94" s="30"/>
      <x:c r="F94" s="30"/>
      <x:c r="G94" s="3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30"/>
      <x:c r="AA94" s="30"/>
      <x:c r="AB94" s="30"/>
      <x:c r="AC94" s="30"/>
      <x:c r="AD94" s="30"/>
      <x:c r="AE94" s="30"/>
      <x:c r="AF94" s="30"/>
      <x:c r="AG94" s="30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>
      <x:c r="A95" s="1"/>
      <x:c r="B95" s="1"/>
      <x:c r="C95" s="30"/>
      <x:c r="D95" s="30"/>
      <x:c r="E95" s="30"/>
      <x:c r="F95" s="30"/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30"/>
      <x:c r="AA95" s="30"/>
      <x:c r="AB95" s="30"/>
      <x:c r="AC95" s="30"/>
      <x:c r="AD95" s="30"/>
      <x:c r="AE95" s="30"/>
      <x:c r="AF95" s="30"/>
      <x:c r="AG95" s="30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>
      <x:c r="A96" s="1"/>
      <x:c r="B96" s="1"/>
      <x:c r="C96" s="30"/>
      <x:c r="D96" s="30"/>
      <x:c r="E96" s="30"/>
      <x:c r="F96" s="30"/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30"/>
      <x:c r="AA96" s="30"/>
      <x:c r="AB96" s="30"/>
      <x:c r="AC96" s="30"/>
      <x:c r="AD96" s="30"/>
      <x:c r="AE96" s="30"/>
      <x:c r="AF96" s="30"/>
      <x:c r="AG96" s="30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>
      <x:c r="A97" s="1"/>
      <x:c r="B97" s="1"/>
      <x:c r="C97" s="30"/>
      <x:c r="D97" s="30"/>
      <x:c r="E97" s="30"/>
      <x:c r="F97" s="30"/>
      <x:c r="G97" s="3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30"/>
      <x:c r="AA97" s="30"/>
      <x:c r="AB97" s="30"/>
      <x:c r="AC97" s="30"/>
      <x:c r="AD97" s="30"/>
      <x:c r="AE97" s="30"/>
      <x:c r="AF97" s="30"/>
      <x:c r="AG97" s="30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>
      <x:c r="A98" s="1"/>
      <x:c r="B98" s="1"/>
      <x:c r="C98" s="30"/>
      <x:c r="D98" s="30"/>
      <x:c r="E98" s="30"/>
      <x:c r="F98" s="30"/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30"/>
      <x:c r="AA98" s="30"/>
      <x:c r="AB98" s="30"/>
      <x:c r="AC98" s="30"/>
      <x:c r="AD98" s="30"/>
      <x:c r="AE98" s="30"/>
      <x:c r="AF98" s="30"/>
      <x:c r="AG98" s="30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>
      <x:c r="A99" s="1"/>
      <x:c r="B99" s="1"/>
      <x:c r="C99" s="30"/>
      <x:c r="D99" s="30"/>
      <x:c r="E99" s="30"/>
      <x:c r="F99" s="30"/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30"/>
      <x:c r="AA99" s="30"/>
      <x:c r="AB99" s="30"/>
      <x:c r="AC99" s="30"/>
      <x:c r="AD99" s="30"/>
      <x:c r="AE99" s="30"/>
      <x:c r="AF99" s="30"/>
      <x:c r="AG99" s="30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>
      <x:c r="A100" s="1"/>
      <x:c r="B100" s="1"/>
      <x:c r="C100" s="30"/>
      <x:c r="D100" s="30"/>
      <x:c r="E100" s="30"/>
      <x:c r="F100" s="30"/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30"/>
      <x:c r="AA100" s="30"/>
      <x:c r="AB100" s="30"/>
      <x:c r="AC100" s="30"/>
      <x:c r="AD100" s="30"/>
      <x:c r="AE100" s="30"/>
      <x:c r="AF100" s="30"/>
      <x:c r="AG100" s="30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>
      <x:c r="A101" s="1"/>
      <x:c r="B101" s="1"/>
      <x:c r="C101" s="30"/>
      <x:c r="D101" s="30"/>
      <x:c r="E101" s="30"/>
      <x:c r="F101" s="30"/>
      <x:c r="G101" s="30"/>
      <x:c r="H101" s="30"/>
      <x:c r="I101" s="30"/>
      <x:c r="J101" s="30"/>
      <x:c r="K101" s="30"/>
      <x:c r="L101" s="30"/>
      <x:c r="M101" s="30"/>
      <x:c r="N101" s="30"/>
      <x:c r="O101" s="30"/>
      <x:c r="P101" s="30"/>
      <x:c r="Q101" s="30"/>
      <x:c r="R101" s="30"/>
      <x:c r="S101" s="30"/>
      <x:c r="T101" s="30"/>
      <x:c r="U101" s="30"/>
      <x:c r="V101" s="30"/>
      <x:c r="W101" s="30"/>
      <x:c r="X101" s="30"/>
      <x:c r="Y101" s="30"/>
      <x:c r="Z101" s="30"/>
      <x:c r="AA101" s="30"/>
      <x:c r="AB101" s="30"/>
      <x:c r="AC101" s="30"/>
      <x:c r="AD101" s="30"/>
      <x:c r="AE101" s="30"/>
      <x:c r="AF101" s="30"/>
      <x:c r="AG101" s="30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>
      <x:c r="A102" s="1"/>
      <x:c r="B102" s="1"/>
      <x:c r="C102" s="30"/>
      <x:c r="D102" s="30"/>
      <x:c r="E102" s="30"/>
      <x:c r="F102" s="30"/>
      <x:c r="G102" s="30"/>
      <x:c r="H102" s="30"/>
      <x:c r="I102" s="30"/>
      <x:c r="J102" s="30"/>
      <x:c r="K102" s="30"/>
      <x:c r="L102" s="30"/>
      <x:c r="M102" s="30"/>
      <x:c r="N102" s="30"/>
      <x:c r="O102" s="30"/>
      <x:c r="P102" s="30"/>
      <x:c r="Q102" s="30"/>
      <x:c r="R102" s="30"/>
      <x:c r="S102" s="30"/>
      <x:c r="T102" s="30"/>
      <x:c r="U102" s="30"/>
      <x:c r="V102" s="30"/>
      <x:c r="W102" s="30"/>
      <x:c r="X102" s="30"/>
      <x:c r="Y102" s="30"/>
      <x:c r="Z102" s="30"/>
      <x:c r="AA102" s="30"/>
      <x:c r="AB102" s="30"/>
      <x:c r="AC102" s="30"/>
      <x:c r="AD102" s="30"/>
      <x:c r="AE102" s="30"/>
      <x:c r="AF102" s="30"/>
      <x:c r="AG102" s="30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>
      <x:c r="A103" s="1"/>
      <x:c r="B103" s="1"/>
      <x:c r="C103" s="30"/>
      <x:c r="D103" s="30"/>
      <x:c r="E103" s="30"/>
      <x:c r="F103" s="30"/>
      <x:c r="G103" s="3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0"/>
      <x:c r="T103" s="30"/>
      <x:c r="U103" s="30"/>
      <x:c r="V103" s="30"/>
      <x:c r="W103" s="30"/>
      <x:c r="X103" s="30"/>
      <x:c r="Y103" s="30"/>
      <x:c r="Z103" s="30"/>
      <x:c r="AA103" s="30"/>
      <x:c r="AB103" s="30"/>
      <x:c r="AC103" s="30"/>
      <x:c r="AD103" s="30"/>
      <x:c r="AE103" s="30"/>
      <x:c r="AF103" s="30"/>
      <x:c r="AG103" s="30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>
      <x:c r="A104" s="1"/>
      <x:c r="B104" s="1"/>
      <x:c r="C104" s="30"/>
      <x:c r="D104" s="30"/>
      <x:c r="E104" s="30"/>
      <x:c r="F104" s="30"/>
      <x:c r="G104" s="30"/>
      <x:c r="H104" s="30"/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0"/>
      <x:c r="T104" s="30"/>
      <x:c r="U104" s="30"/>
      <x:c r="V104" s="30"/>
      <x:c r="W104" s="30"/>
      <x:c r="X104" s="30"/>
      <x:c r="Y104" s="30"/>
      <x:c r="Z104" s="30"/>
      <x:c r="AA104" s="30"/>
      <x:c r="AB104" s="30"/>
      <x:c r="AC104" s="30"/>
      <x:c r="AD104" s="30"/>
      <x:c r="AE104" s="30"/>
      <x:c r="AF104" s="30"/>
      <x:c r="AG104" s="30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>
      <x:c r="A105" s="1"/>
      <x:c r="B105" s="1"/>
      <x:c r="C105" s="30"/>
      <x:c r="D105" s="30"/>
      <x:c r="E105" s="30"/>
      <x:c r="F105" s="30"/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  <x:c r="Q105" s="30"/>
      <x:c r="R105" s="30"/>
      <x:c r="S105" s="30"/>
      <x:c r="T105" s="30"/>
      <x:c r="U105" s="30"/>
      <x:c r="V105" s="30"/>
      <x:c r="W105" s="30"/>
      <x:c r="X105" s="30"/>
      <x:c r="Y105" s="30"/>
      <x:c r="Z105" s="30"/>
      <x:c r="AA105" s="30"/>
      <x:c r="AB105" s="30"/>
      <x:c r="AC105" s="30"/>
      <x:c r="AD105" s="30"/>
      <x:c r="AE105" s="30"/>
      <x:c r="AF105" s="30"/>
      <x:c r="AG105" s="30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>
      <x:c r="A106" s="1"/>
      <x:c r="B106" s="1"/>
      <x:c r="C106" s="30"/>
      <x:c r="D106" s="30"/>
      <x:c r="E106" s="30"/>
      <x:c r="F106" s="30"/>
      <x:c r="G106" s="30"/>
      <x:c r="H106" s="30"/>
      <x:c r="I106" s="30"/>
      <x:c r="J106" s="30"/>
      <x:c r="K106" s="30"/>
      <x:c r="L106" s="30"/>
      <x:c r="M106" s="30"/>
      <x:c r="N106" s="30"/>
      <x:c r="O106" s="30"/>
      <x:c r="P106" s="30"/>
      <x:c r="Q106" s="30"/>
      <x:c r="R106" s="30"/>
      <x:c r="S106" s="30"/>
      <x:c r="T106" s="30"/>
      <x:c r="U106" s="30"/>
      <x:c r="V106" s="30"/>
      <x:c r="W106" s="30"/>
      <x:c r="X106" s="30"/>
      <x:c r="Y106" s="30"/>
      <x:c r="Z106" s="30"/>
      <x:c r="AA106" s="30"/>
      <x:c r="AB106" s="30"/>
      <x:c r="AC106" s="30"/>
      <x:c r="AD106" s="30"/>
      <x:c r="AE106" s="30"/>
      <x:c r="AF106" s="30"/>
      <x:c r="AG106" s="30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>
      <x:c r="A107" s="1"/>
      <x:c r="B107" s="1"/>
      <x:c r="C107" s="30"/>
      <x:c r="D107" s="30"/>
      <x:c r="E107" s="30"/>
      <x:c r="F107" s="30"/>
      <x:c r="G107" s="30"/>
      <x:c r="H107" s="30"/>
      <x:c r="I107" s="30"/>
      <x:c r="J107" s="30"/>
      <x:c r="K107" s="30"/>
      <x:c r="L107" s="30"/>
      <x:c r="M107" s="30"/>
      <x:c r="N107" s="30"/>
      <x:c r="O107" s="30"/>
      <x:c r="P107" s="30"/>
      <x:c r="Q107" s="30"/>
      <x:c r="R107" s="30"/>
      <x:c r="S107" s="30"/>
      <x:c r="T107" s="30"/>
      <x:c r="U107" s="30"/>
      <x:c r="V107" s="30"/>
      <x:c r="W107" s="30"/>
      <x:c r="X107" s="30"/>
      <x:c r="Y107" s="30"/>
      <x:c r="Z107" s="30"/>
      <x:c r="AA107" s="30"/>
      <x:c r="AB107" s="30"/>
      <x:c r="AC107" s="30"/>
      <x:c r="AD107" s="30"/>
      <x:c r="AE107" s="30"/>
      <x:c r="AF107" s="30"/>
      <x:c r="AG107" s="30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>
      <x:c r="A108" s="1"/>
      <x:c r="B108" s="1"/>
      <x:c r="C108" s="30"/>
      <x:c r="D108" s="30"/>
      <x:c r="E108" s="30"/>
      <x:c r="F108" s="30"/>
      <x:c r="G108" s="30"/>
      <x:c r="H108" s="30"/>
      <x:c r="I108" s="30"/>
      <x:c r="J108" s="30"/>
      <x:c r="K108" s="30"/>
      <x:c r="L108" s="30"/>
      <x:c r="M108" s="30"/>
      <x:c r="N108" s="30"/>
      <x:c r="O108" s="30"/>
      <x:c r="P108" s="30"/>
      <x:c r="Q108" s="30"/>
      <x:c r="R108" s="30"/>
      <x:c r="S108" s="30"/>
      <x:c r="T108" s="30"/>
      <x:c r="U108" s="30"/>
      <x:c r="V108" s="30"/>
      <x:c r="W108" s="30"/>
      <x:c r="X108" s="30"/>
      <x:c r="Y108" s="30"/>
      <x:c r="Z108" s="30"/>
      <x:c r="AA108" s="30"/>
      <x:c r="AB108" s="30"/>
      <x:c r="AC108" s="30"/>
      <x:c r="AD108" s="30"/>
      <x:c r="AE108" s="30"/>
      <x:c r="AF108" s="30"/>
      <x:c r="AG108" s="30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>
      <x:c r="A109" s="1"/>
      <x:c r="B109" s="1"/>
      <x:c r="C109" s="30"/>
      <x:c r="D109" s="30"/>
      <x:c r="E109" s="30"/>
      <x:c r="F109" s="30"/>
      <x:c r="G109" s="30"/>
      <x:c r="H109" s="30"/>
      <x:c r="I109" s="30"/>
      <x:c r="J109" s="30"/>
      <x:c r="K109" s="30"/>
      <x:c r="L109" s="30"/>
      <x:c r="M109" s="30"/>
      <x:c r="N109" s="30"/>
      <x:c r="O109" s="30"/>
      <x:c r="P109" s="30"/>
      <x:c r="Q109" s="30"/>
      <x:c r="R109" s="30"/>
      <x:c r="S109" s="30"/>
      <x:c r="T109" s="30"/>
      <x:c r="U109" s="30"/>
      <x:c r="V109" s="30"/>
      <x:c r="W109" s="30"/>
      <x:c r="X109" s="30"/>
      <x:c r="Y109" s="30"/>
      <x:c r="Z109" s="30"/>
      <x:c r="AA109" s="30"/>
      <x:c r="AB109" s="30"/>
      <x:c r="AC109" s="30"/>
      <x:c r="AD109" s="30"/>
      <x:c r="AE109" s="30"/>
      <x:c r="AF109" s="30"/>
      <x:c r="AG109" s="30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>
      <x:c r="A110" s="1"/>
      <x:c r="B110" s="1"/>
      <x:c r="C110" s="30"/>
      <x:c r="D110" s="30"/>
      <x:c r="E110" s="30"/>
      <x:c r="F110" s="30"/>
      <x:c r="G110" s="30"/>
      <x:c r="H110" s="30"/>
      <x:c r="I110" s="30"/>
      <x:c r="J110" s="30"/>
      <x:c r="K110" s="30"/>
      <x:c r="L110" s="30"/>
      <x:c r="M110" s="30"/>
      <x:c r="N110" s="30"/>
      <x:c r="O110" s="30"/>
      <x:c r="P110" s="30"/>
      <x:c r="Q110" s="30"/>
      <x:c r="R110" s="30"/>
      <x:c r="S110" s="30"/>
      <x:c r="T110" s="30"/>
      <x:c r="U110" s="30"/>
      <x:c r="V110" s="30"/>
      <x:c r="W110" s="30"/>
      <x:c r="X110" s="30"/>
      <x:c r="Y110" s="30"/>
      <x:c r="Z110" s="30"/>
      <x:c r="AA110" s="30"/>
      <x:c r="AB110" s="30"/>
      <x:c r="AC110" s="30"/>
      <x:c r="AD110" s="30"/>
      <x:c r="AE110" s="30"/>
      <x:c r="AF110" s="30"/>
      <x:c r="AG110" s="30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>
      <x:c r="A111" s="1"/>
      <x:c r="B111" s="1"/>
      <x:c r="C111" s="30"/>
      <x:c r="D111" s="30"/>
      <x:c r="E111" s="30"/>
      <x:c r="F111" s="30"/>
      <x:c r="G111" s="30"/>
      <x:c r="H111" s="30"/>
      <x:c r="I111" s="30"/>
      <x:c r="J111" s="30"/>
      <x:c r="K111" s="30"/>
      <x:c r="L111" s="30"/>
      <x:c r="M111" s="30"/>
      <x:c r="N111" s="30"/>
      <x:c r="O111" s="30"/>
      <x:c r="P111" s="30"/>
      <x:c r="Q111" s="30"/>
      <x:c r="R111" s="30"/>
      <x:c r="S111" s="30"/>
      <x:c r="T111" s="30"/>
      <x:c r="U111" s="30"/>
      <x:c r="V111" s="30"/>
      <x:c r="W111" s="30"/>
      <x:c r="X111" s="30"/>
      <x:c r="Y111" s="30"/>
      <x:c r="Z111" s="30"/>
      <x:c r="AA111" s="30"/>
      <x:c r="AB111" s="30"/>
      <x:c r="AC111" s="30"/>
      <x:c r="AD111" s="30"/>
      <x:c r="AE111" s="30"/>
      <x:c r="AF111" s="30"/>
      <x:c r="AG111" s="30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>
      <x:c r="A112" s="1"/>
      <x:c r="B112" s="1"/>
      <x:c r="C112" s="30"/>
      <x:c r="D112" s="30"/>
      <x:c r="E112" s="30"/>
      <x:c r="F112" s="30"/>
      <x:c r="G112" s="30"/>
      <x:c r="H112" s="30"/>
      <x:c r="I112" s="30"/>
      <x:c r="J112" s="30"/>
      <x:c r="K112" s="30"/>
      <x:c r="L112" s="30"/>
      <x:c r="M112" s="30"/>
      <x:c r="N112" s="30"/>
      <x:c r="O112" s="30"/>
      <x:c r="P112" s="30"/>
      <x:c r="Q112" s="30"/>
      <x:c r="R112" s="30"/>
      <x:c r="S112" s="30"/>
      <x:c r="T112" s="30"/>
      <x:c r="U112" s="30"/>
      <x:c r="V112" s="30"/>
      <x:c r="W112" s="30"/>
      <x:c r="X112" s="30"/>
      <x:c r="Y112" s="30"/>
      <x:c r="Z112" s="30"/>
      <x:c r="AA112" s="30"/>
      <x:c r="AB112" s="30"/>
      <x:c r="AC112" s="30"/>
      <x:c r="AD112" s="30"/>
      <x:c r="AE112" s="30"/>
      <x:c r="AF112" s="30"/>
      <x:c r="AG112" s="30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>
      <x:c r="A113" s="1"/>
      <x:c r="B113" s="1"/>
      <x:c r="C113" s="30"/>
      <x:c r="D113" s="30"/>
      <x:c r="E113" s="30"/>
      <x:c r="F113" s="30"/>
      <x:c r="G113" s="30"/>
      <x:c r="H113" s="30"/>
      <x:c r="I113" s="30"/>
      <x:c r="J113" s="30"/>
      <x:c r="K113" s="30"/>
      <x:c r="L113" s="30"/>
      <x:c r="M113" s="30"/>
      <x:c r="N113" s="30"/>
      <x:c r="O113" s="30"/>
      <x:c r="P113" s="30"/>
      <x:c r="Q113" s="30"/>
      <x:c r="R113" s="30"/>
      <x:c r="S113" s="30"/>
      <x:c r="T113" s="30"/>
      <x:c r="U113" s="30"/>
      <x:c r="V113" s="30"/>
      <x:c r="W113" s="30"/>
      <x:c r="X113" s="30"/>
      <x:c r="Y113" s="30"/>
      <x:c r="Z113" s="30"/>
      <x:c r="AA113" s="30"/>
      <x:c r="AB113" s="30"/>
      <x:c r="AC113" s="30"/>
      <x:c r="AD113" s="30"/>
      <x:c r="AE113" s="30"/>
      <x:c r="AF113" s="30"/>
      <x:c r="AG113" s="30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>
      <x:c r="A114" s="1"/>
      <x:c r="B114" s="1"/>
      <x:c r="C114" s="30"/>
      <x:c r="D114" s="30"/>
      <x:c r="E114" s="30"/>
      <x:c r="F114" s="30"/>
      <x:c r="G114" s="30"/>
      <x:c r="H114" s="30"/>
      <x:c r="I114" s="30"/>
      <x:c r="J114" s="30"/>
      <x:c r="K114" s="30"/>
      <x:c r="L114" s="30"/>
      <x:c r="M114" s="30"/>
      <x:c r="N114" s="30"/>
      <x:c r="O114" s="30"/>
      <x:c r="P114" s="30"/>
      <x:c r="Q114" s="30"/>
      <x:c r="R114" s="30"/>
      <x:c r="S114" s="30"/>
      <x:c r="T114" s="30"/>
      <x:c r="U114" s="30"/>
      <x:c r="V114" s="30"/>
      <x:c r="W114" s="30"/>
      <x:c r="X114" s="30"/>
      <x:c r="Y114" s="30"/>
      <x:c r="Z114" s="30"/>
      <x:c r="AA114" s="30"/>
      <x:c r="AB114" s="30"/>
      <x:c r="AC114" s="30"/>
      <x:c r="AD114" s="30"/>
      <x:c r="AE114" s="30"/>
      <x:c r="AF114" s="30"/>
      <x:c r="AG114" s="30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>
      <x:c r="A115" s="1"/>
      <x:c r="B115" s="1"/>
      <x:c r="C115" s="30"/>
      <x:c r="D115" s="30"/>
      <x:c r="E115" s="30"/>
      <x:c r="F115" s="30"/>
      <x:c r="G115" s="30"/>
      <x:c r="H115" s="30"/>
      <x:c r="I115" s="30"/>
      <x:c r="J115" s="30"/>
      <x:c r="K115" s="30"/>
      <x:c r="L115" s="30"/>
      <x:c r="M115" s="30"/>
      <x:c r="N115" s="30"/>
      <x:c r="O115" s="30"/>
      <x:c r="P115" s="30"/>
      <x:c r="Q115" s="30"/>
      <x:c r="R115" s="30"/>
      <x:c r="S115" s="30"/>
      <x:c r="T115" s="30"/>
      <x:c r="U115" s="30"/>
      <x:c r="V115" s="30"/>
      <x:c r="W115" s="30"/>
      <x:c r="X115" s="30"/>
      <x:c r="Y115" s="30"/>
      <x:c r="Z115" s="30"/>
      <x:c r="AA115" s="30"/>
      <x:c r="AB115" s="30"/>
      <x:c r="AC115" s="30"/>
      <x:c r="AD115" s="30"/>
      <x:c r="AE115" s="30"/>
      <x:c r="AF115" s="30"/>
      <x:c r="AG115" s="30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>
      <x:c r="A116" s="1"/>
      <x:c r="B116" s="1"/>
      <x:c r="C116" s="30"/>
      <x:c r="D116" s="30"/>
      <x:c r="E116" s="30"/>
      <x:c r="F116" s="30"/>
      <x:c r="G116" s="30"/>
      <x:c r="H116" s="30"/>
      <x:c r="I116" s="30"/>
      <x:c r="J116" s="30"/>
      <x:c r="K116" s="30"/>
      <x:c r="L116" s="30"/>
      <x:c r="M116" s="30"/>
      <x:c r="N116" s="30"/>
      <x:c r="O116" s="30"/>
      <x:c r="P116" s="30"/>
      <x:c r="Q116" s="30"/>
      <x:c r="R116" s="30"/>
      <x:c r="S116" s="30"/>
      <x:c r="T116" s="30"/>
      <x:c r="U116" s="30"/>
      <x:c r="V116" s="30"/>
      <x:c r="W116" s="30"/>
      <x:c r="X116" s="30"/>
      <x:c r="Y116" s="30"/>
      <x:c r="Z116" s="30"/>
      <x:c r="AA116" s="30"/>
      <x:c r="AB116" s="30"/>
      <x:c r="AC116" s="30"/>
      <x:c r="AD116" s="30"/>
      <x:c r="AE116" s="30"/>
      <x:c r="AF116" s="30"/>
      <x:c r="AG116" s="30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>
      <x:c r="A117" s="1"/>
      <x:c r="B117" s="1"/>
      <x:c r="C117" s="30"/>
      <x:c r="D117" s="30"/>
      <x:c r="E117" s="30"/>
      <x:c r="F117" s="30"/>
      <x:c r="G117" s="30"/>
      <x:c r="H117" s="30"/>
      <x:c r="I117" s="30"/>
      <x:c r="J117" s="30"/>
      <x:c r="K117" s="30"/>
      <x:c r="L117" s="30"/>
      <x:c r="M117" s="30"/>
      <x:c r="N117" s="30"/>
      <x:c r="O117" s="30"/>
      <x:c r="P117" s="30"/>
      <x:c r="Q117" s="30"/>
      <x:c r="R117" s="30"/>
      <x:c r="S117" s="30"/>
      <x:c r="T117" s="30"/>
      <x:c r="U117" s="30"/>
      <x:c r="V117" s="30"/>
      <x:c r="W117" s="30"/>
      <x:c r="X117" s="30"/>
      <x:c r="Y117" s="30"/>
      <x:c r="Z117" s="30"/>
      <x:c r="AA117" s="30"/>
      <x:c r="AB117" s="30"/>
      <x:c r="AC117" s="30"/>
      <x:c r="AD117" s="30"/>
      <x:c r="AE117" s="30"/>
      <x:c r="AF117" s="30"/>
      <x:c r="AG117" s="30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>
      <x:c r="A118" s="1"/>
      <x:c r="B118" s="1"/>
      <x:c r="C118" s="30"/>
      <x:c r="D118" s="30"/>
      <x:c r="E118" s="30"/>
      <x:c r="F118" s="30"/>
      <x:c r="G118" s="30"/>
      <x:c r="H118" s="30"/>
      <x:c r="I118" s="30"/>
      <x:c r="J118" s="30"/>
      <x:c r="K118" s="30"/>
      <x:c r="L118" s="30"/>
      <x:c r="M118" s="30"/>
      <x:c r="N118" s="30"/>
      <x:c r="O118" s="30"/>
      <x:c r="P118" s="30"/>
      <x:c r="Q118" s="30"/>
      <x:c r="R118" s="30"/>
      <x:c r="S118" s="30"/>
      <x:c r="T118" s="30"/>
      <x:c r="U118" s="30"/>
      <x:c r="V118" s="30"/>
      <x:c r="W118" s="30"/>
      <x:c r="X118" s="30"/>
      <x:c r="Y118" s="30"/>
      <x:c r="Z118" s="30"/>
      <x:c r="AA118" s="30"/>
      <x:c r="AB118" s="30"/>
      <x:c r="AC118" s="30"/>
      <x:c r="AD118" s="30"/>
      <x:c r="AE118" s="30"/>
      <x:c r="AF118" s="30"/>
      <x:c r="AG118" s="30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>
      <x:c r="A119" s="1"/>
      <x:c r="B119" s="1"/>
      <x:c r="C119" s="30"/>
      <x:c r="D119" s="30"/>
      <x:c r="E119" s="30"/>
      <x:c r="F119" s="30"/>
      <x:c r="G119" s="30"/>
      <x:c r="H119" s="30"/>
      <x:c r="I119" s="30"/>
      <x:c r="J119" s="30"/>
      <x:c r="K119" s="30"/>
      <x:c r="L119" s="30"/>
      <x:c r="M119" s="30"/>
      <x:c r="N119" s="30"/>
      <x:c r="O119" s="30"/>
      <x:c r="P119" s="30"/>
      <x:c r="Q119" s="30"/>
      <x:c r="R119" s="30"/>
      <x:c r="S119" s="30"/>
      <x:c r="T119" s="30"/>
      <x:c r="U119" s="30"/>
      <x:c r="V119" s="30"/>
      <x:c r="W119" s="30"/>
      <x:c r="X119" s="30"/>
      <x:c r="Y119" s="30"/>
      <x:c r="Z119" s="30"/>
      <x:c r="AA119" s="30"/>
      <x:c r="AB119" s="30"/>
      <x:c r="AC119" s="30"/>
      <x:c r="AD119" s="30"/>
      <x:c r="AE119" s="30"/>
      <x:c r="AF119" s="30"/>
      <x:c r="AG119" s="30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>
      <x:c r="A120" s="1"/>
      <x:c r="B120" s="1"/>
      <x:c r="C120" s="30"/>
      <x:c r="D120" s="30"/>
      <x:c r="E120" s="30"/>
      <x:c r="F120" s="30"/>
      <x:c r="G120" s="30"/>
      <x:c r="H120" s="30"/>
      <x:c r="I120" s="30"/>
      <x:c r="J120" s="30"/>
      <x:c r="K120" s="30"/>
      <x:c r="L120" s="30"/>
      <x:c r="M120" s="30"/>
      <x:c r="N120" s="30"/>
      <x:c r="O120" s="30"/>
      <x:c r="P120" s="30"/>
      <x:c r="Q120" s="30"/>
      <x:c r="R120" s="30"/>
      <x:c r="S120" s="30"/>
      <x:c r="T120" s="30"/>
      <x:c r="U120" s="30"/>
      <x:c r="V120" s="30"/>
      <x:c r="W120" s="30"/>
      <x:c r="X120" s="30"/>
      <x:c r="Y120" s="30"/>
      <x:c r="Z120" s="30"/>
      <x:c r="AA120" s="30"/>
      <x:c r="AB120" s="30"/>
      <x:c r="AC120" s="30"/>
      <x:c r="AD120" s="30"/>
      <x:c r="AE120" s="30"/>
      <x:c r="AF120" s="30"/>
      <x:c r="AG120" s="30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>
      <x:c r="A121" s="1"/>
      <x:c r="B121" s="1"/>
      <x:c r="C121" s="30"/>
      <x:c r="D121" s="30"/>
      <x:c r="E121" s="30"/>
      <x:c r="F121" s="30"/>
      <x:c r="G121" s="30"/>
      <x:c r="H121" s="30"/>
      <x:c r="I121" s="30"/>
      <x:c r="J121" s="30"/>
      <x:c r="K121" s="30"/>
      <x:c r="L121" s="30"/>
      <x:c r="M121" s="30"/>
      <x:c r="N121" s="30"/>
      <x:c r="O121" s="30"/>
      <x:c r="P121" s="30"/>
      <x:c r="Q121" s="30"/>
      <x:c r="R121" s="30"/>
      <x:c r="S121" s="30"/>
      <x:c r="T121" s="30"/>
      <x:c r="U121" s="30"/>
      <x:c r="V121" s="30"/>
      <x:c r="W121" s="30"/>
      <x:c r="X121" s="30"/>
      <x:c r="Y121" s="30"/>
      <x:c r="Z121" s="30"/>
      <x:c r="AA121" s="30"/>
      <x:c r="AB121" s="30"/>
      <x:c r="AC121" s="30"/>
      <x:c r="AD121" s="30"/>
      <x:c r="AE121" s="30"/>
      <x:c r="AF121" s="30"/>
      <x:c r="AG121" s="30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>
      <x:c r="A122" s="1"/>
      <x:c r="B122" s="1"/>
      <x:c r="C122" s="30"/>
      <x:c r="D122" s="30"/>
      <x:c r="E122" s="30"/>
      <x:c r="F122" s="30"/>
      <x:c r="G122" s="30"/>
      <x:c r="H122" s="30"/>
      <x:c r="I122" s="30"/>
      <x:c r="J122" s="30"/>
      <x:c r="K122" s="30"/>
      <x:c r="L122" s="30"/>
      <x:c r="M122" s="30"/>
      <x:c r="N122" s="30"/>
      <x:c r="O122" s="30"/>
      <x:c r="P122" s="30"/>
      <x:c r="Q122" s="30"/>
      <x:c r="R122" s="30"/>
      <x:c r="S122" s="30"/>
      <x:c r="T122" s="30"/>
      <x:c r="U122" s="30"/>
      <x:c r="V122" s="30"/>
      <x:c r="W122" s="30"/>
      <x:c r="X122" s="30"/>
      <x:c r="Y122" s="30"/>
      <x:c r="Z122" s="30"/>
      <x:c r="AA122" s="30"/>
      <x:c r="AB122" s="30"/>
      <x:c r="AC122" s="30"/>
      <x:c r="AD122" s="30"/>
      <x:c r="AE122" s="30"/>
      <x:c r="AF122" s="30"/>
      <x:c r="AG122" s="30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>
      <x:c r="A123" s="1"/>
      <x:c r="B123" s="1"/>
      <x:c r="C123" s="30"/>
      <x:c r="D123" s="30"/>
      <x:c r="E123" s="30"/>
      <x:c r="F123" s="30"/>
      <x:c r="G123" s="30"/>
      <x:c r="H123" s="30"/>
      <x:c r="I123" s="30"/>
      <x:c r="J123" s="30"/>
      <x:c r="K123" s="30"/>
      <x:c r="L123" s="30"/>
      <x:c r="M123" s="30"/>
      <x:c r="N123" s="30"/>
      <x:c r="O123" s="30"/>
      <x:c r="P123" s="30"/>
      <x:c r="Q123" s="30"/>
      <x:c r="R123" s="30"/>
      <x:c r="S123" s="30"/>
      <x:c r="T123" s="30"/>
      <x:c r="U123" s="30"/>
      <x:c r="V123" s="30"/>
      <x:c r="W123" s="30"/>
      <x:c r="X123" s="30"/>
      <x:c r="Y123" s="30"/>
      <x:c r="Z123" s="30"/>
      <x:c r="AA123" s="30"/>
      <x:c r="AB123" s="30"/>
      <x:c r="AC123" s="30"/>
      <x:c r="AD123" s="30"/>
      <x:c r="AE123" s="30"/>
      <x:c r="AF123" s="30"/>
      <x:c r="AG123" s="30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>
      <x:c r="A124" s="1"/>
      <x:c r="B124" s="1"/>
      <x:c r="C124" s="30"/>
      <x:c r="D124" s="30"/>
      <x:c r="E124" s="30"/>
      <x:c r="F124" s="30"/>
      <x:c r="G124" s="30"/>
      <x:c r="H124" s="30"/>
      <x:c r="I124" s="30"/>
      <x:c r="J124" s="30"/>
      <x:c r="K124" s="30"/>
      <x:c r="L124" s="30"/>
      <x:c r="M124" s="30"/>
      <x:c r="N124" s="30"/>
      <x:c r="O124" s="30"/>
      <x:c r="P124" s="30"/>
      <x:c r="Q124" s="30"/>
      <x:c r="R124" s="30"/>
      <x:c r="S124" s="30"/>
      <x:c r="T124" s="30"/>
      <x:c r="U124" s="30"/>
      <x:c r="V124" s="30"/>
      <x:c r="W124" s="30"/>
      <x:c r="X124" s="30"/>
      <x:c r="Y124" s="30"/>
      <x:c r="Z124" s="30"/>
      <x:c r="AA124" s="30"/>
      <x:c r="AB124" s="30"/>
      <x:c r="AC124" s="30"/>
      <x:c r="AD124" s="30"/>
      <x:c r="AE124" s="30"/>
      <x:c r="AF124" s="30"/>
      <x:c r="AG124" s="30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>
      <x:c r="A125" s="1"/>
      <x:c r="B125" s="1"/>
      <x:c r="C125" s="30"/>
      <x:c r="D125" s="30"/>
      <x:c r="E125" s="30"/>
      <x:c r="F125" s="30"/>
      <x:c r="G125" s="30"/>
      <x:c r="H125" s="30"/>
      <x:c r="I125" s="30"/>
      <x:c r="J125" s="30"/>
      <x:c r="K125" s="30"/>
      <x:c r="L125" s="30"/>
      <x:c r="M125" s="30"/>
      <x:c r="N125" s="30"/>
      <x:c r="O125" s="30"/>
      <x:c r="P125" s="30"/>
      <x:c r="Q125" s="30"/>
      <x:c r="R125" s="30"/>
      <x:c r="S125" s="30"/>
      <x:c r="T125" s="30"/>
      <x:c r="U125" s="30"/>
      <x:c r="V125" s="30"/>
      <x:c r="W125" s="30"/>
      <x:c r="X125" s="30"/>
      <x:c r="Y125" s="30"/>
      <x:c r="Z125" s="30"/>
      <x:c r="AA125" s="30"/>
      <x:c r="AB125" s="30"/>
      <x:c r="AC125" s="30"/>
      <x:c r="AD125" s="30"/>
      <x:c r="AE125" s="30"/>
      <x:c r="AF125" s="30"/>
      <x:c r="AG125" s="30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>
      <x:c r="A126" s="1"/>
      <x:c r="B126" s="1"/>
      <x:c r="C126" s="30"/>
      <x:c r="D126" s="30"/>
      <x:c r="E126" s="30"/>
      <x:c r="F126" s="30"/>
      <x:c r="G126" s="30"/>
      <x:c r="H126" s="30"/>
      <x:c r="I126" s="30"/>
      <x:c r="J126" s="30"/>
      <x:c r="K126" s="30"/>
      <x:c r="L126" s="30"/>
      <x:c r="M126" s="30"/>
      <x:c r="N126" s="30"/>
      <x:c r="O126" s="30"/>
      <x:c r="P126" s="30"/>
      <x:c r="Q126" s="30"/>
      <x:c r="R126" s="30"/>
      <x:c r="S126" s="30"/>
      <x:c r="T126" s="30"/>
      <x:c r="U126" s="30"/>
      <x:c r="V126" s="30"/>
      <x:c r="W126" s="30"/>
      <x:c r="X126" s="30"/>
      <x:c r="Y126" s="30"/>
      <x:c r="Z126" s="30"/>
      <x:c r="AA126" s="30"/>
      <x:c r="AB126" s="30"/>
      <x:c r="AC126" s="30"/>
      <x:c r="AD126" s="30"/>
      <x:c r="AE126" s="30"/>
      <x:c r="AF126" s="30"/>
      <x:c r="AG126" s="30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>
      <x:c r="A127" s="1"/>
      <x:c r="B127" s="1"/>
      <x:c r="C127" s="30"/>
      <x:c r="D127" s="30"/>
      <x:c r="E127" s="30"/>
      <x:c r="F127" s="30"/>
      <x:c r="G127" s="30"/>
      <x:c r="H127" s="30"/>
      <x:c r="I127" s="30"/>
      <x:c r="J127" s="30"/>
      <x:c r="K127" s="30"/>
      <x:c r="L127" s="30"/>
      <x:c r="M127" s="30"/>
      <x:c r="N127" s="30"/>
      <x:c r="O127" s="30"/>
      <x:c r="P127" s="30"/>
      <x:c r="Q127" s="30"/>
      <x:c r="R127" s="30"/>
      <x:c r="S127" s="30"/>
      <x:c r="T127" s="30"/>
      <x:c r="U127" s="30"/>
      <x:c r="V127" s="30"/>
      <x:c r="W127" s="30"/>
      <x:c r="X127" s="30"/>
      <x:c r="Y127" s="30"/>
      <x:c r="Z127" s="30"/>
      <x:c r="AA127" s="30"/>
      <x:c r="AB127" s="30"/>
      <x:c r="AC127" s="30"/>
      <x:c r="AD127" s="30"/>
      <x:c r="AE127" s="30"/>
      <x:c r="AF127" s="30"/>
      <x:c r="AG127" s="30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>
      <x:c r="A128" s="1"/>
      <x:c r="B128" s="1"/>
      <x:c r="C128" s="30"/>
      <x:c r="D128" s="30"/>
      <x:c r="E128" s="30"/>
      <x:c r="F128" s="30"/>
      <x:c r="G128" s="30"/>
      <x:c r="H128" s="30"/>
      <x:c r="I128" s="30"/>
      <x:c r="J128" s="30"/>
      <x:c r="K128" s="30"/>
      <x:c r="L128" s="30"/>
      <x:c r="M128" s="30"/>
      <x:c r="N128" s="30"/>
      <x:c r="O128" s="30"/>
      <x:c r="P128" s="30"/>
      <x:c r="Q128" s="30"/>
      <x:c r="R128" s="30"/>
      <x:c r="S128" s="30"/>
      <x:c r="T128" s="30"/>
      <x:c r="U128" s="30"/>
      <x:c r="V128" s="30"/>
      <x:c r="W128" s="30"/>
      <x:c r="X128" s="30"/>
      <x:c r="Y128" s="30"/>
      <x:c r="Z128" s="30"/>
      <x:c r="AA128" s="30"/>
      <x:c r="AB128" s="30"/>
      <x:c r="AC128" s="30"/>
      <x:c r="AD128" s="30"/>
      <x:c r="AE128" s="30"/>
      <x:c r="AF128" s="30"/>
      <x:c r="AG128" s="30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>
      <x:c r="A129" s="1"/>
      <x:c r="B129" s="1"/>
      <x:c r="C129" s="30"/>
      <x:c r="D129" s="30"/>
      <x:c r="E129" s="30"/>
      <x:c r="F129" s="30"/>
      <x:c r="G129" s="30"/>
      <x:c r="H129" s="30"/>
      <x:c r="I129" s="30"/>
      <x:c r="J129" s="30"/>
      <x:c r="K129" s="30"/>
      <x:c r="L129" s="30"/>
      <x:c r="M129" s="30"/>
      <x:c r="N129" s="30"/>
      <x:c r="O129" s="30"/>
      <x:c r="P129" s="30"/>
      <x:c r="Q129" s="30"/>
      <x:c r="R129" s="30"/>
      <x:c r="S129" s="30"/>
      <x:c r="T129" s="30"/>
      <x:c r="U129" s="30"/>
      <x:c r="V129" s="30"/>
      <x:c r="W129" s="30"/>
      <x:c r="X129" s="30"/>
      <x:c r="Y129" s="30"/>
      <x:c r="Z129" s="30"/>
      <x:c r="AA129" s="30"/>
      <x:c r="AB129" s="30"/>
      <x:c r="AC129" s="30"/>
      <x:c r="AD129" s="30"/>
      <x:c r="AE129" s="30"/>
      <x:c r="AF129" s="30"/>
      <x:c r="AG129" s="30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>
      <x:c r="A130" s="1"/>
      <x:c r="B130" s="1"/>
      <x:c r="C130" s="30"/>
      <x:c r="D130" s="30"/>
      <x:c r="E130" s="30"/>
      <x:c r="F130" s="30"/>
      <x:c r="G130" s="30"/>
      <x:c r="H130" s="30"/>
      <x:c r="I130" s="30"/>
      <x:c r="J130" s="30"/>
      <x:c r="K130" s="30"/>
      <x:c r="L130" s="30"/>
      <x:c r="M130" s="30"/>
      <x:c r="N130" s="30"/>
      <x:c r="O130" s="30"/>
      <x:c r="P130" s="30"/>
      <x:c r="Q130" s="30"/>
      <x:c r="R130" s="30"/>
      <x:c r="S130" s="30"/>
      <x:c r="T130" s="30"/>
      <x:c r="U130" s="30"/>
      <x:c r="V130" s="30"/>
      <x:c r="W130" s="30"/>
      <x:c r="X130" s="30"/>
      <x:c r="Y130" s="30"/>
      <x:c r="Z130" s="30"/>
      <x:c r="AA130" s="30"/>
      <x:c r="AB130" s="30"/>
      <x:c r="AC130" s="30"/>
      <x:c r="AD130" s="30"/>
      <x:c r="AE130" s="30"/>
      <x:c r="AF130" s="30"/>
      <x:c r="AG130" s="30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>
      <x:c r="A131" s="1"/>
      <x:c r="B131" s="1"/>
      <x:c r="C131" s="30"/>
      <x:c r="D131" s="30"/>
      <x:c r="E131" s="30"/>
      <x:c r="F131" s="30"/>
      <x:c r="G131" s="30"/>
      <x:c r="H131" s="30"/>
      <x:c r="I131" s="30"/>
      <x:c r="J131" s="30"/>
      <x:c r="K131" s="30"/>
      <x:c r="L131" s="30"/>
      <x:c r="M131" s="30"/>
      <x:c r="N131" s="30"/>
      <x:c r="O131" s="30"/>
      <x:c r="P131" s="30"/>
      <x:c r="Q131" s="30"/>
      <x:c r="R131" s="30"/>
      <x:c r="S131" s="30"/>
      <x:c r="T131" s="30"/>
      <x:c r="U131" s="30"/>
      <x:c r="V131" s="30"/>
      <x:c r="W131" s="30"/>
      <x:c r="X131" s="30"/>
      <x:c r="Y131" s="30"/>
      <x:c r="Z131" s="30"/>
      <x:c r="AA131" s="30"/>
      <x:c r="AB131" s="30"/>
      <x:c r="AC131" s="30"/>
      <x:c r="AD131" s="30"/>
      <x:c r="AE131" s="30"/>
      <x:c r="AF131" s="30"/>
      <x:c r="AG131" s="30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>
      <x:c r="A132" s="1"/>
      <x:c r="B132" s="1"/>
      <x:c r="C132" s="30"/>
      <x:c r="D132" s="30"/>
      <x:c r="E132" s="30"/>
      <x:c r="F132" s="30"/>
      <x:c r="G132" s="30"/>
      <x:c r="H132" s="30"/>
      <x:c r="I132" s="30"/>
      <x:c r="J132" s="30"/>
      <x:c r="K132" s="30"/>
      <x:c r="L132" s="30"/>
      <x:c r="M132" s="30"/>
      <x:c r="N132" s="30"/>
      <x:c r="O132" s="30"/>
      <x:c r="P132" s="30"/>
      <x:c r="Q132" s="30"/>
      <x:c r="R132" s="30"/>
      <x:c r="S132" s="30"/>
      <x:c r="T132" s="30"/>
      <x:c r="U132" s="30"/>
      <x:c r="V132" s="30"/>
      <x:c r="W132" s="30"/>
      <x:c r="X132" s="30"/>
      <x:c r="Y132" s="30"/>
      <x:c r="Z132" s="30"/>
      <x:c r="AA132" s="30"/>
      <x:c r="AB132" s="30"/>
      <x:c r="AC132" s="30"/>
      <x:c r="AD132" s="30"/>
      <x:c r="AE132" s="30"/>
      <x:c r="AF132" s="30"/>
      <x:c r="AG132" s="30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>
      <x:c r="A133" s="1"/>
      <x:c r="B133" s="1"/>
      <x:c r="C133" s="30"/>
      <x:c r="D133" s="30"/>
      <x:c r="E133" s="30"/>
      <x:c r="F133" s="30"/>
      <x:c r="G133" s="30"/>
      <x:c r="H133" s="30"/>
      <x:c r="I133" s="30"/>
      <x:c r="J133" s="30"/>
      <x:c r="K133" s="30"/>
      <x:c r="L133" s="30"/>
      <x:c r="M133" s="30"/>
      <x:c r="N133" s="30"/>
      <x:c r="O133" s="30"/>
      <x:c r="P133" s="30"/>
      <x:c r="Q133" s="30"/>
      <x:c r="R133" s="30"/>
      <x:c r="S133" s="30"/>
      <x:c r="T133" s="30"/>
      <x:c r="U133" s="30"/>
      <x:c r="V133" s="30"/>
      <x:c r="W133" s="30"/>
      <x:c r="X133" s="30"/>
      <x:c r="Y133" s="30"/>
      <x:c r="Z133" s="30"/>
      <x:c r="AA133" s="30"/>
      <x:c r="AB133" s="30"/>
      <x:c r="AC133" s="30"/>
      <x:c r="AD133" s="30"/>
      <x:c r="AE133" s="30"/>
      <x:c r="AF133" s="30"/>
      <x:c r="AG133" s="30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>
      <x:c r="A134" s="1"/>
      <x:c r="B134" s="1"/>
      <x:c r="C134" s="30"/>
      <x:c r="D134" s="30"/>
      <x:c r="E134" s="30"/>
      <x:c r="F134" s="30"/>
      <x:c r="G134" s="30"/>
      <x:c r="H134" s="30"/>
      <x:c r="I134" s="30"/>
      <x:c r="J134" s="30"/>
      <x:c r="K134" s="30"/>
      <x:c r="L134" s="30"/>
      <x:c r="M134" s="30"/>
      <x:c r="N134" s="30"/>
      <x:c r="O134" s="30"/>
      <x:c r="P134" s="30"/>
      <x:c r="Q134" s="30"/>
      <x:c r="R134" s="30"/>
      <x:c r="S134" s="30"/>
      <x:c r="T134" s="30"/>
      <x:c r="U134" s="30"/>
      <x:c r="V134" s="30"/>
      <x:c r="W134" s="30"/>
      <x:c r="X134" s="30"/>
      <x:c r="Y134" s="30"/>
      <x:c r="Z134" s="30"/>
      <x:c r="AA134" s="30"/>
      <x:c r="AB134" s="30"/>
      <x:c r="AC134" s="30"/>
      <x:c r="AD134" s="30"/>
      <x:c r="AE134" s="30"/>
      <x:c r="AF134" s="30"/>
      <x:c r="AG134" s="30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>
      <x:c r="A135" s="1"/>
      <x:c r="B135" s="1"/>
      <x:c r="C135" s="30"/>
      <x:c r="D135" s="30"/>
      <x:c r="E135" s="30"/>
      <x:c r="F135" s="30"/>
      <x:c r="G135" s="30"/>
      <x:c r="H135" s="30"/>
      <x:c r="I135" s="30"/>
      <x:c r="J135" s="30"/>
      <x:c r="K135" s="30"/>
      <x:c r="L135" s="30"/>
      <x:c r="M135" s="30"/>
      <x:c r="N135" s="30"/>
      <x:c r="O135" s="30"/>
      <x:c r="P135" s="30"/>
      <x:c r="Q135" s="30"/>
      <x:c r="R135" s="30"/>
      <x:c r="S135" s="30"/>
      <x:c r="T135" s="30"/>
      <x:c r="U135" s="30"/>
      <x:c r="V135" s="30"/>
      <x:c r="W135" s="30"/>
      <x:c r="X135" s="30"/>
      <x:c r="Y135" s="30"/>
      <x:c r="Z135" s="30"/>
      <x:c r="AA135" s="30"/>
      <x:c r="AB135" s="30"/>
      <x:c r="AC135" s="30"/>
      <x:c r="AD135" s="30"/>
      <x:c r="AE135" s="30"/>
      <x:c r="AF135" s="30"/>
      <x:c r="AG135" s="30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>
      <x:c r="A136" s="1"/>
      <x:c r="B136" s="1"/>
      <x:c r="C136" s="30"/>
      <x:c r="D136" s="30"/>
      <x:c r="E136" s="30"/>
      <x:c r="F136" s="30"/>
      <x:c r="G136" s="30"/>
      <x:c r="H136" s="30"/>
      <x:c r="I136" s="30"/>
      <x:c r="J136" s="30"/>
      <x:c r="K136" s="30"/>
      <x:c r="L136" s="30"/>
      <x:c r="M136" s="30"/>
      <x:c r="N136" s="30"/>
      <x:c r="O136" s="30"/>
      <x:c r="P136" s="30"/>
      <x:c r="Q136" s="30"/>
      <x:c r="R136" s="30"/>
      <x:c r="S136" s="30"/>
      <x:c r="T136" s="30"/>
      <x:c r="U136" s="30"/>
      <x:c r="V136" s="30"/>
      <x:c r="W136" s="30"/>
      <x:c r="X136" s="30"/>
      <x:c r="Y136" s="30"/>
      <x:c r="Z136" s="30"/>
      <x:c r="AA136" s="30"/>
      <x:c r="AB136" s="30"/>
      <x:c r="AC136" s="30"/>
      <x:c r="AD136" s="30"/>
      <x:c r="AE136" s="30"/>
      <x:c r="AF136" s="30"/>
      <x:c r="AG136" s="30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>
      <x:c r="A137" s="1"/>
      <x:c r="B137" s="1"/>
      <x:c r="C137" s="30"/>
      <x:c r="D137" s="30"/>
      <x:c r="E137" s="30"/>
      <x:c r="F137" s="30"/>
      <x:c r="G137" s="30"/>
      <x:c r="H137" s="30"/>
      <x:c r="I137" s="30"/>
      <x:c r="J137" s="30"/>
      <x:c r="K137" s="30"/>
      <x:c r="L137" s="30"/>
      <x:c r="M137" s="30"/>
      <x:c r="N137" s="30"/>
      <x:c r="O137" s="30"/>
      <x:c r="P137" s="30"/>
      <x:c r="Q137" s="30"/>
      <x:c r="R137" s="30"/>
      <x:c r="S137" s="30"/>
      <x:c r="T137" s="30"/>
      <x:c r="U137" s="30"/>
      <x:c r="V137" s="30"/>
      <x:c r="W137" s="30"/>
      <x:c r="X137" s="30"/>
      <x:c r="Y137" s="30"/>
      <x:c r="Z137" s="30"/>
      <x:c r="AA137" s="30"/>
      <x:c r="AB137" s="30"/>
      <x:c r="AC137" s="30"/>
      <x:c r="AD137" s="30"/>
      <x:c r="AE137" s="30"/>
      <x:c r="AF137" s="30"/>
      <x:c r="AG137" s="30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>
      <x:c r="A138" s="1"/>
      <x:c r="B138" s="1"/>
      <x:c r="C138" s="30"/>
      <x:c r="D138" s="30"/>
      <x:c r="E138" s="30"/>
      <x:c r="F138" s="30"/>
      <x:c r="G138" s="30"/>
      <x:c r="H138" s="30"/>
      <x:c r="I138" s="30"/>
      <x:c r="J138" s="30"/>
      <x:c r="K138" s="30"/>
      <x:c r="L138" s="30"/>
      <x:c r="M138" s="30"/>
      <x:c r="N138" s="30"/>
      <x:c r="O138" s="30"/>
      <x:c r="P138" s="30"/>
      <x:c r="Q138" s="30"/>
      <x:c r="R138" s="30"/>
      <x:c r="S138" s="30"/>
      <x:c r="T138" s="30"/>
      <x:c r="U138" s="30"/>
      <x:c r="V138" s="30"/>
      <x:c r="W138" s="30"/>
      <x:c r="X138" s="30"/>
      <x:c r="Y138" s="30"/>
      <x:c r="Z138" s="30"/>
      <x:c r="AA138" s="30"/>
      <x:c r="AB138" s="30"/>
      <x:c r="AC138" s="30"/>
      <x:c r="AD138" s="30"/>
      <x:c r="AE138" s="30"/>
      <x:c r="AF138" s="30"/>
      <x:c r="AG138" s="30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>
      <x:c r="A139" s="1"/>
      <x:c r="B139" s="1"/>
      <x:c r="C139" s="30"/>
      <x:c r="D139" s="30"/>
      <x:c r="E139" s="30"/>
      <x:c r="F139" s="30"/>
      <x:c r="G139" s="30"/>
      <x:c r="H139" s="30"/>
      <x:c r="I139" s="30"/>
      <x:c r="J139" s="30"/>
      <x:c r="K139" s="30"/>
      <x:c r="L139" s="30"/>
      <x:c r="M139" s="30"/>
      <x:c r="N139" s="30"/>
      <x:c r="O139" s="30"/>
      <x:c r="P139" s="30"/>
      <x:c r="Q139" s="30"/>
      <x:c r="R139" s="30"/>
      <x:c r="S139" s="30"/>
      <x:c r="T139" s="30"/>
      <x:c r="U139" s="30"/>
      <x:c r="V139" s="30"/>
      <x:c r="W139" s="30"/>
      <x:c r="X139" s="30"/>
      <x:c r="Y139" s="30"/>
      <x:c r="Z139" s="30"/>
      <x:c r="AA139" s="30"/>
      <x:c r="AB139" s="30"/>
      <x:c r="AC139" s="30"/>
      <x:c r="AD139" s="30"/>
      <x:c r="AE139" s="30"/>
      <x:c r="AF139" s="30"/>
      <x:c r="AG139" s="30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>
      <x:c r="A140" s="1"/>
      <x:c r="B140" s="1"/>
      <x:c r="C140" s="30"/>
      <x:c r="D140" s="30"/>
      <x:c r="E140" s="30"/>
      <x:c r="F140" s="30"/>
      <x:c r="G140" s="30"/>
      <x:c r="H140" s="30"/>
      <x:c r="I140" s="30"/>
      <x:c r="J140" s="30"/>
      <x:c r="K140" s="30"/>
      <x:c r="L140" s="30"/>
      <x:c r="M140" s="30"/>
      <x:c r="N140" s="30"/>
      <x:c r="O140" s="30"/>
      <x:c r="P140" s="30"/>
      <x:c r="Q140" s="30"/>
      <x:c r="R140" s="30"/>
      <x:c r="S140" s="30"/>
      <x:c r="T140" s="30"/>
      <x:c r="U140" s="30"/>
      <x:c r="V140" s="30"/>
      <x:c r="W140" s="30"/>
      <x:c r="X140" s="30"/>
      <x:c r="Y140" s="30"/>
      <x:c r="Z140" s="30"/>
      <x:c r="AA140" s="30"/>
      <x:c r="AB140" s="30"/>
      <x:c r="AC140" s="30"/>
      <x:c r="AD140" s="30"/>
      <x:c r="AE140" s="30"/>
      <x:c r="AF140" s="30"/>
      <x:c r="AG140" s="30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>
      <x:c r="A141" s="1"/>
      <x:c r="B141" s="1"/>
      <x:c r="C141" s="30"/>
      <x:c r="D141" s="30"/>
      <x:c r="E141" s="30"/>
      <x:c r="F141" s="30"/>
      <x:c r="G141" s="30"/>
      <x:c r="H141" s="30"/>
      <x:c r="I141" s="30"/>
      <x:c r="J141" s="30"/>
      <x:c r="K141" s="30"/>
      <x:c r="L141" s="30"/>
      <x:c r="M141" s="30"/>
      <x:c r="N141" s="30"/>
      <x:c r="O141" s="30"/>
      <x:c r="P141" s="30"/>
      <x:c r="Q141" s="30"/>
      <x:c r="R141" s="30"/>
      <x:c r="S141" s="30"/>
      <x:c r="T141" s="30"/>
      <x:c r="U141" s="30"/>
      <x:c r="V141" s="30"/>
      <x:c r="W141" s="30"/>
      <x:c r="X141" s="30"/>
      <x:c r="Y141" s="30"/>
      <x:c r="Z141" s="30"/>
      <x:c r="AA141" s="30"/>
      <x:c r="AB141" s="30"/>
      <x:c r="AC141" s="30"/>
      <x:c r="AD141" s="30"/>
      <x:c r="AE141" s="30"/>
      <x:c r="AF141" s="30"/>
      <x:c r="AG141" s="30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>
      <x:c r="A142" s="1"/>
      <x:c r="B142" s="1"/>
      <x:c r="C142" s="30"/>
      <x:c r="D142" s="30"/>
      <x:c r="E142" s="30"/>
      <x:c r="F142" s="30"/>
      <x:c r="G142" s="30"/>
      <x:c r="H142" s="30"/>
      <x:c r="I142" s="30"/>
      <x:c r="J142" s="30"/>
      <x:c r="K142" s="30"/>
      <x:c r="L142" s="30"/>
      <x:c r="M142" s="30"/>
      <x:c r="N142" s="30"/>
      <x:c r="O142" s="30"/>
      <x:c r="P142" s="30"/>
      <x:c r="Q142" s="30"/>
      <x:c r="R142" s="30"/>
      <x:c r="S142" s="30"/>
      <x:c r="T142" s="30"/>
      <x:c r="U142" s="30"/>
      <x:c r="V142" s="30"/>
      <x:c r="W142" s="30"/>
      <x:c r="X142" s="30"/>
      <x:c r="Y142" s="30"/>
      <x:c r="Z142" s="30"/>
      <x:c r="AA142" s="30"/>
      <x:c r="AB142" s="30"/>
      <x:c r="AC142" s="30"/>
      <x:c r="AD142" s="30"/>
      <x:c r="AE142" s="30"/>
      <x:c r="AF142" s="30"/>
      <x:c r="AG142" s="30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>
      <x:c r="A143" s="1"/>
      <x:c r="B143" s="1"/>
      <x:c r="C143" s="30"/>
      <x:c r="D143" s="30"/>
      <x:c r="E143" s="30"/>
      <x:c r="F143" s="30"/>
      <x:c r="G143" s="30"/>
      <x:c r="H143" s="30"/>
      <x:c r="I143" s="30"/>
      <x:c r="J143" s="30"/>
      <x:c r="K143" s="30"/>
      <x:c r="L143" s="30"/>
      <x:c r="M143" s="30"/>
      <x:c r="N143" s="30"/>
      <x:c r="O143" s="30"/>
      <x:c r="P143" s="30"/>
      <x:c r="Q143" s="30"/>
      <x:c r="R143" s="30"/>
      <x:c r="S143" s="30"/>
      <x:c r="T143" s="30"/>
      <x:c r="U143" s="30"/>
      <x:c r="V143" s="30"/>
      <x:c r="W143" s="30"/>
      <x:c r="X143" s="30"/>
      <x:c r="Y143" s="30"/>
      <x:c r="Z143" s="30"/>
      <x:c r="AA143" s="30"/>
      <x:c r="AB143" s="30"/>
      <x:c r="AC143" s="30"/>
      <x:c r="AD143" s="30"/>
      <x:c r="AE143" s="30"/>
      <x:c r="AF143" s="30"/>
      <x:c r="AG143" s="30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>
      <x:c r="A144" s="1"/>
      <x:c r="B144" s="1"/>
      <x:c r="C144" s="30"/>
      <x:c r="D144" s="30"/>
      <x:c r="E144" s="30"/>
      <x:c r="F144" s="30"/>
      <x:c r="G144" s="30"/>
      <x:c r="H144" s="30"/>
      <x:c r="I144" s="30"/>
      <x:c r="J144" s="30"/>
      <x:c r="K144" s="30"/>
      <x:c r="L144" s="30"/>
      <x:c r="M144" s="30"/>
      <x:c r="N144" s="30"/>
      <x:c r="O144" s="30"/>
      <x:c r="P144" s="30"/>
      <x:c r="Q144" s="30"/>
      <x:c r="R144" s="30"/>
      <x:c r="S144" s="30"/>
      <x:c r="T144" s="30"/>
      <x:c r="U144" s="30"/>
      <x:c r="V144" s="30"/>
      <x:c r="W144" s="30"/>
      <x:c r="X144" s="30"/>
      <x:c r="Y144" s="30"/>
      <x:c r="Z144" s="30"/>
      <x:c r="AA144" s="30"/>
      <x:c r="AB144" s="30"/>
      <x:c r="AC144" s="30"/>
      <x:c r="AD144" s="30"/>
      <x:c r="AE144" s="30"/>
      <x:c r="AF144" s="30"/>
      <x:c r="AG144" s="30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>
      <x:c r="A145" s="1"/>
      <x:c r="B145" s="1"/>
      <x:c r="C145" s="30"/>
      <x:c r="D145" s="30"/>
      <x:c r="E145" s="30"/>
      <x:c r="F145" s="30"/>
      <x:c r="G145" s="30"/>
      <x:c r="H145" s="30"/>
      <x:c r="I145" s="30"/>
      <x:c r="J145" s="30"/>
      <x:c r="K145" s="30"/>
      <x:c r="L145" s="30"/>
      <x:c r="M145" s="30"/>
      <x:c r="N145" s="30"/>
      <x:c r="O145" s="30"/>
      <x:c r="P145" s="30"/>
      <x:c r="Q145" s="30"/>
      <x:c r="R145" s="30"/>
      <x:c r="S145" s="30"/>
      <x:c r="T145" s="30"/>
      <x:c r="U145" s="30"/>
      <x:c r="V145" s="30"/>
      <x:c r="W145" s="30"/>
      <x:c r="X145" s="30"/>
      <x:c r="Y145" s="30"/>
      <x:c r="Z145" s="30"/>
      <x:c r="AA145" s="30"/>
      <x:c r="AB145" s="30"/>
      <x:c r="AC145" s="30"/>
      <x:c r="AD145" s="30"/>
      <x:c r="AE145" s="30"/>
      <x:c r="AF145" s="30"/>
      <x:c r="AG145" s="30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>
      <x:c r="A146" s="1"/>
      <x:c r="B146" s="1"/>
      <x:c r="C146" s="30"/>
      <x:c r="D146" s="30"/>
      <x:c r="E146" s="30"/>
      <x:c r="F146" s="30"/>
      <x:c r="G146" s="30"/>
      <x:c r="H146" s="30"/>
      <x:c r="I146" s="30"/>
      <x:c r="J146" s="30"/>
      <x:c r="K146" s="30"/>
      <x:c r="L146" s="30"/>
      <x:c r="M146" s="30"/>
      <x:c r="N146" s="30"/>
      <x:c r="O146" s="30"/>
      <x:c r="P146" s="30"/>
      <x:c r="Q146" s="30"/>
      <x:c r="R146" s="30"/>
      <x:c r="S146" s="30"/>
      <x:c r="T146" s="30"/>
      <x:c r="U146" s="30"/>
      <x:c r="V146" s="30"/>
      <x:c r="W146" s="30"/>
      <x:c r="X146" s="30"/>
      <x:c r="Y146" s="30"/>
      <x:c r="Z146" s="30"/>
      <x:c r="AA146" s="30"/>
      <x:c r="AB146" s="30"/>
      <x:c r="AC146" s="30"/>
      <x:c r="AD146" s="30"/>
      <x:c r="AE146" s="30"/>
      <x:c r="AF146" s="30"/>
      <x:c r="AG146" s="30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>
      <x:c r="A147" s="1"/>
      <x:c r="B147" s="1"/>
      <x:c r="C147" s="30"/>
      <x:c r="D147" s="30"/>
      <x:c r="E147" s="30"/>
      <x:c r="F147" s="30"/>
      <x:c r="G147" s="30"/>
      <x:c r="H147" s="30"/>
      <x:c r="I147" s="30"/>
      <x:c r="J147" s="30"/>
      <x:c r="K147" s="30"/>
      <x:c r="L147" s="30"/>
      <x:c r="M147" s="30"/>
      <x:c r="N147" s="30"/>
      <x:c r="O147" s="30"/>
      <x:c r="P147" s="30"/>
      <x:c r="Q147" s="30"/>
      <x:c r="R147" s="30"/>
      <x:c r="S147" s="30"/>
      <x:c r="T147" s="30"/>
      <x:c r="U147" s="30"/>
      <x:c r="V147" s="30"/>
      <x:c r="W147" s="30"/>
      <x:c r="X147" s="30"/>
      <x:c r="Y147" s="30"/>
      <x:c r="Z147" s="30"/>
      <x:c r="AA147" s="30"/>
      <x:c r="AB147" s="30"/>
      <x:c r="AC147" s="30"/>
      <x:c r="AD147" s="30"/>
      <x:c r="AE147" s="30"/>
      <x:c r="AF147" s="30"/>
      <x:c r="AG147" s="30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>
      <x:c r="A148" s="1"/>
      <x:c r="B148" s="1"/>
      <x:c r="C148" s="30"/>
      <x:c r="D148" s="30"/>
      <x:c r="E148" s="30"/>
      <x:c r="F148" s="30"/>
      <x:c r="G148" s="30"/>
      <x:c r="H148" s="30"/>
      <x:c r="I148" s="30"/>
      <x:c r="J148" s="30"/>
      <x:c r="K148" s="30"/>
      <x:c r="L148" s="30"/>
      <x:c r="M148" s="30"/>
      <x:c r="N148" s="30"/>
      <x:c r="O148" s="30"/>
      <x:c r="P148" s="30"/>
      <x:c r="Q148" s="30"/>
      <x:c r="R148" s="30"/>
      <x:c r="S148" s="30"/>
      <x:c r="T148" s="30"/>
      <x:c r="U148" s="30"/>
      <x:c r="V148" s="30"/>
      <x:c r="W148" s="30"/>
      <x:c r="X148" s="30"/>
      <x:c r="Y148" s="30"/>
      <x:c r="Z148" s="30"/>
      <x:c r="AA148" s="30"/>
      <x:c r="AB148" s="30"/>
      <x:c r="AC148" s="30"/>
      <x:c r="AD148" s="30"/>
      <x:c r="AE148" s="30"/>
      <x:c r="AF148" s="30"/>
      <x:c r="AG148" s="30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>
      <x:c r="A149" s="1"/>
      <x:c r="B149" s="1"/>
      <x:c r="C149" s="30"/>
      <x:c r="D149" s="30"/>
      <x:c r="E149" s="30"/>
      <x:c r="F149" s="30"/>
      <x:c r="G149" s="30"/>
      <x:c r="H149" s="30"/>
      <x:c r="I149" s="30"/>
      <x:c r="J149" s="30"/>
      <x:c r="K149" s="30"/>
      <x:c r="L149" s="30"/>
      <x:c r="M149" s="30"/>
      <x:c r="N149" s="30"/>
      <x:c r="O149" s="30"/>
      <x:c r="P149" s="30"/>
      <x:c r="Q149" s="30"/>
      <x:c r="R149" s="30"/>
      <x:c r="S149" s="30"/>
      <x:c r="T149" s="30"/>
      <x:c r="U149" s="30"/>
      <x:c r="V149" s="30"/>
      <x:c r="W149" s="30"/>
      <x:c r="X149" s="30"/>
      <x:c r="Y149" s="30"/>
      <x:c r="Z149" s="30"/>
      <x:c r="AA149" s="30"/>
      <x:c r="AB149" s="30"/>
      <x:c r="AC149" s="30"/>
      <x:c r="AD149" s="30"/>
      <x:c r="AE149" s="30"/>
      <x:c r="AF149" s="30"/>
      <x:c r="AG149" s="30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>
      <x:c r="A150" s="1"/>
      <x:c r="B150" s="1"/>
      <x:c r="C150" s="30"/>
      <x:c r="D150" s="30"/>
      <x:c r="E150" s="30"/>
      <x:c r="F150" s="30"/>
      <x:c r="G150" s="30"/>
      <x:c r="H150" s="30"/>
      <x:c r="I150" s="30"/>
      <x:c r="J150" s="30"/>
      <x:c r="K150" s="30"/>
      <x:c r="L150" s="30"/>
      <x:c r="M150" s="30"/>
      <x:c r="N150" s="30"/>
      <x:c r="O150" s="30"/>
      <x:c r="P150" s="30"/>
      <x:c r="Q150" s="30"/>
      <x:c r="R150" s="30"/>
      <x:c r="S150" s="30"/>
      <x:c r="T150" s="30"/>
      <x:c r="U150" s="30"/>
      <x:c r="V150" s="30"/>
      <x:c r="W150" s="30"/>
      <x:c r="X150" s="30"/>
      <x:c r="Y150" s="30"/>
      <x:c r="Z150" s="30"/>
      <x:c r="AA150" s="30"/>
      <x:c r="AB150" s="30"/>
      <x:c r="AC150" s="30"/>
      <x:c r="AD150" s="30"/>
      <x:c r="AE150" s="30"/>
      <x:c r="AF150" s="30"/>
      <x:c r="AG150" s="30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>
      <x:c r="A151" s="1"/>
      <x:c r="B151" s="1"/>
      <x:c r="C151" s="30"/>
      <x:c r="D151" s="30"/>
      <x:c r="E151" s="30"/>
      <x:c r="F151" s="30"/>
      <x:c r="G151" s="30"/>
      <x:c r="H151" s="30"/>
      <x:c r="I151" s="30"/>
      <x:c r="J151" s="30"/>
      <x:c r="K151" s="30"/>
      <x:c r="L151" s="30"/>
      <x:c r="M151" s="30"/>
      <x:c r="N151" s="30"/>
      <x:c r="O151" s="30"/>
      <x:c r="P151" s="30"/>
      <x:c r="Q151" s="30"/>
      <x:c r="R151" s="30"/>
      <x:c r="S151" s="30"/>
      <x:c r="T151" s="30"/>
      <x:c r="U151" s="30"/>
      <x:c r="V151" s="30"/>
      <x:c r="W151" s="30"/>
      <x:c r="X151" s="30"/>
      <x:c r="Y151" s="30"/>
      <x:c r="Z151" s="30"/>
      <x:c r="AA151" s="30"/>
      <x:c r="AB151" s="30"/>
      <x:c r="AC151" s="30"/>
      <x:c r="AD151" s="30"/>
      <x:c r="AE151" s="30"/>
      <x:c r="AF151" s="30"/>
      <x:c r="AG151" s="30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>
      <x:c r="A152" s="1"/>
      <x:c r="B152" s="1"/>
      <x:c r="C152" s="30"/>
      <x:c r="D152" s="30"/>
      <x:c r="E152" s="30"/>
      <x:c r="F152" s="30"/>
      <x:c r="G152" s="30"/>
      <x:c r="H152" s="30"/>
      <x:c r="I152" s="30"/>
      <x:c r="J152" s="30"/>
      <x:c r="K152" s="30"/>
      <x:c r="L152" s="30"/>
      <x:c r="M152" s="30"/>
      <x:c r="N152" s="30"/>
      <x:c r="O152" s="30"/>
      <x:c r="P152" s="30"/>
      <x:c r="Q152" s="30"/>
      <x:c r="R152" s="30"/>
      <x:c r="S152" s="30"/>
      <x:c r="T152" s="30"/>
      <x:c r="U152" s="30"/>
      <x:c r="V152" s="30"/>
      <x:c r="W152" s="30"/>
      <x:c r="X152" s="30"/>
      <x:c r="Y152" s="30"/>
      <x:c r="Z152" s="30"/>
      <x:c r="AA152" s="30"/>
      <x:c r="AB152" s="30"/>
      <x:c r="AC152" s="30"/>
      <x:c r="AD152" s="30"/>
      <x:c r="AE152" s="30"/>
      <x:c r="AF152" s="30"/>
      <x:c r="AG152" s="30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>
      <x:c r="A153" s="1"/>
      <x:c r="B153" s="1"/>
      <x:c r="C153" s="30"/>
      <x:c r="D153" s="30"/>
      <x:c r="E153" s="30"/>
      <x:c r="F153" s="30"/>
      <x:c r="G153" s="30"/>
      <x:c r="H153" s="30"/>
      <x:c r="I153" s="30"/>
      <x:c r="J153" s="30"/>
      <x:c r="K153" s="30"/>
      <x:c r="L153" s="30"/>
      <x:c r="M153" s="30"/>
      <x:c r="N153" s="30"/>
      <x:c r="O153" s="30"/>
      <x:c r="P153" s="30"/>
      <x:c r="Q153" s="30"/>
      <x:c r="R153" s="30"/>
      <x:c r="S153" s="30"/>
      <x:c r="T153" s="30"/>
      <x:c r="U153" s="30"/>
      <x:c r="V153" s="30"/>
      <x:c r="W153" s="30"/>
      <x:c r="X153" s="30"/>
      <x:c r="Y153" s="30"/>
      <x:c r="Z153" s="30"/>
      <x:c r="AA153" s="30"/>
      <x:c r="AB153" s="30"/>
      <x:c r="AC153" s="30"/>
      <x:c r="AD153" s="30"/>
      <x:c r="AE153" s="30"/>
      <x:c r="AF153" s="30"/>
      <x:c r="AG153" s="30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>
      <x:c r="A154" s="1"/>
      <x:c r="B154" s="1"/>
      <x:c r="C154" s="30"/>
      <x:c r="D154" s="30"/>
      <x:c r="E154" s="30"/>
      <x:c r="F154" s="30"/>
      <x:c r="G154" s="30"/>
      <x:c r="H154" s="30"/>
      <x:c r="I154" s="30"/>
      <x:c r="J154" s="30"/>
      <x:c r="K154" s="30"/>
      <x:c r="L154" s="30"/>
      <x:c r="M154" s="30"/>
      <x:c r="N154" s="30"/>
      <x:c r="O154" s="30"/>
      <x:c r="P154" s="30"/>
      <x:c r="Q154" s="30"/>
      <x:c r="R154" s="30"/>
      <x:c r="S154" s="30"/>
      <x:c r="T154" s="30"/>
      <x:c r="U154" s="30"/>
      <x:c r="V154" s="30"/>
      <x:c r="W154" s="30"/>
      <x:c r="X154" s="30"/>
      <x:c r="Y154" s="30"/>
      <x:c r="Z154" s="30"/>
      <x:c r="AA154" s="30"/>
      <x:c r="AB154" s="30"/>
      <x:c r="AC154" s="30"/>
      <x:c r="AD154" s="30"/>
      <x:c r="AE154" s="30"/>
      <x:c r="AF154" s="30"/>
      <x:c r="AG154" s="30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>
      <x:c r="A155" s="1"/>
      <x:c r="B155" s="1"/>
      <x:c r="C155" s="30"/>
      <x:c r="D155" s="30"/>
      <x:c r="E155" s="30"/>
      <x:c r="F155" s="30"/>
      <x:c r="G155" s="30"/>
      <x:c r="H155" s="30"/>
      <x:c r="I155" s="30"/>
      <x:c r="J155" s="30"/>
      <x:c r="K155" s="30"/>
      <x:c r="L155" s="30"/>
      <x:c r="M155" s="30"/>
      <x:c r="N155" s="30"/>
      <x:c r="O155" s="30"/>
      <x:c r="P155" s="30"/>
      <x:c r="Q155" s="30"/>
      <x:c r="R155" s="30"/>
      <x:c r="S155" s="30"/>
      <x:c r="T155" s="30"/>
      <x:c r="U155" s="30"/>
      <x:c r="V155" s="30"/>
      <x:c r="W155" s="30"/>
      <x:c r="X155" s="30"/>
      <x:c r="Y155" s="30"/>
      <x:c r="Z155" s="30"/>
      <x:c r="AA155" s="30"/>
      <x:c r="AB155" s="30"/>
      <x:c r="AC155" s="30"/>
      <x:c r="AD155" s="30"/>
      <x:c r="AE155" s="30"/>
      <x:c r="AF155" s="30"/>
      <x:c r="AG155" s="30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>
      <x:c r="A156" s="1"/>
      <x:c r="B156" s="1"/>
      <x:c r="C156" s="30"/>
      <x:c r="D156" s="30"/>
      <x:c r="E156" s="30"/>
      <x:c r="F156" s="30"/>
      <x:c r="G156" s="30"/>
      <x:c r="H156" s="30"/>
      <x:c r="I156" s="30"/>
      <x:c r="J156" s="30"/>
      <x:c r="K156" s="30"/>
      <x:c r="L156" s="30"/>
      <x:c r="M156" s="30"/>
      <x:c r="N156" s="30"/>
      <x:c r="O156" s="30"/>
      <x:c r="P156" s="30"/>
      <x:c r="Q156" s="30"/>
      <x:c r="R156" s="30"/>
      <x:c r="S156" s="30"/>
      <x:c r="T156" s="30"/>
      <x:c r="U156" s="30"/>
      <x:c r="V156" s="30"/>
      <x:c r="W156" s="30"/>
      <x:c r="X156" s="30"/>
      <x:c r="Y156" s="30"/>
      <x:c r="Z156" s="30"/>
      <x:c r="AA156" s="30"/>
      <x:c r="AB156" s="30"/>
      <x:c r="AC156" s="30"/>
      <x:c r="AD156" s="30"/>
      <x:c r="AE156" s="30"/>
      <x:c r="AF156" s="30"/>
      <x:c r="AG156" s="30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>
      <x:c r="A157" s="1"/>
      <x:c r="B157" s="1"/>
      <x:c r="C157" s="30"/>
      <x:c r="D157" s="30"/>
      <x:c r="E157" s="30"/>
      <x:c r="F157" s="30"/>
      <x:c r="G157" s="30"/>
      <x:c r="H157" s="30"/>
      <x:c r="I157" s="30"/>
      <x:c r="J157" s="30"/>
      <x:c r="K157" s="30"/>
      <x:c r="L157" s="30"/>
      <x:c r="M157" s="30"/>
      <x:c r="N157" s="30"/>
      <x:c r="O157" s="30"/>
      <x:c r="P157" s="30"/>
      <x:c r="Q157" s="30"/>
      <x:c r="R157" s="30"/>
      <x:c r="S157" s="30"/>
      <x:c r="T157" s="30"/>
      <x:c r="U157" s="30"/>
      <x:c r="V157" s="30"/>
      <x:c r="W157" s="30"/>
      <x:c r="X157" s="30"/>
      <x:c r="Y157" s="30"/>
      <x:c r="Z157" s="30"/>
      <x:c r="AA157" s="30"/>
      <x:c r="AB157" s="30"/>
      <x:c r="AC157" s="30"/>
      <x:c r="AD157" s="30"/>
      <x:c r="AE157" s="30"/>
      <x:c r="AF157" s="30"/>
      <x:c r="AG157" s="30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>
      <x:c r="A158" s="1"/>
      <x:c r="B158" s="1"/>
      <x:c r="C158" s="30"/>
      <x:c r="D158" s="30"/>
      <x:c r="E158" s="30"/>
      <x:c r="F158" s="30"/>
      <x:c r="G158" s="30"/>
      <x:c r="H158" s="30"/>
      <x:c r="I158" s="30"/>
      <x:c r="J158" s="30"/>
      <x:c r="K158" s="30"/>
      <x:c r="L158" s="30"/>
      <x:c r="M158" s="30"/>
      <x:c r="N158" s="30"/>
      <x:c r="O158" s="30"/>
      <x:c r="P158" s="30"/>
      <x:c r="Q158" s="30"/>
      <x:c r="R158" s="30"/>
      <x:c r="S158" s="30"/>
      <x:c r="T158" s="30"/>
      <x:c r="U158" s="30"/>
      <x:c r="V158" s="30"/>
      <x:c r="W158" s="30"/>
      <x:c r="X158" s="30"/>
      <x:c r="Y158" s="30"/>
      <x:c r="Z158" s="30"/>
      <x:c r="AA158" s="30"/>
      <x:c r="AB158" s="30"/>
      <x:c r="AC158" s="30"/>
      <x:c r="AD158" s="30"/>
      <x:c r="AE158" s="30"/>
      <x:c r="AF158" s="30"/>
      <x:c r="AG158" s="30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>
      <x:c r="A159" s="1"/>
      <x:c r="B159" s="1"/>
      <x:c r="C159" s="30"/>
      <x:c r="D159" s="30"/>
      <x:c r="E159" s="30"/>
      <x:c r="F159" s="30"/>
      <x:c r="G159" s="30"/>
      <x:c r="H159" s="30"/>
      <x:c r="I159" s="30"/>
      <x:c r="J159" s="30"/>
      <x:c r="K159" s="30"/>
      <x:c r="L159" s="30"/>
      <x:c r="M159" s="30"/>
      <x:c r="N159" s="30"/>
      <x:c r="O159" s="30"/>
      <x:c r="P159" s="30"/>
      <x:c r="Q159" s="30"/>
      <x:c r="R159" s="30"/>
      <x:c r="S159" s="30"/>
      <x:c r="T159" s="30"/>
      <x:c r="U159" s="30"/>
      <x:c r="V159" s="30"/>
      <x:c r="W159" s="30"/>
      <x:c r="X159" s="30"/>
      <x:c r="Y159" s="30"/>
      <x:c r="Z159" s="30"/>
      <x:c r="AA159" s="30"/>
      <x:c r="AB159" s="30"/>
      <x:c r="AC159" s="30"/>
      <x:c r="AD159" s="30"/>
      <x:c r="AE159" s="30"/>
      <x:c r="AF159" s="30"/>
      <x:c r="AG159" s="30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>
      <x:c r="A160" s="1"/>
      <x:c r="B160" s="1"/>
      <x:c r="C160" s="30"/>
      <x:c r="D160" s="30"/>
      <x:c r="E160" s="30"/>
      <x:c r="F160" s="30"/>
      <x:c r="G160" s="30"/>
      <x:c r="H160" s="30"/>
      <x:c r="I160" s="30"/>
      <x:c r="J160" s="30"/>
      <x:c r="K160" s="30"/>
      <x:c r="L160" s="30"/>
      <x:c r="M160" s="30"/>
      <x:c r="N160" s="30"/>
      <x:c r="O160" s="30"/>
      <x:c r="P160" s="30"/>
      <x:c r="Q160" s="30"/>
      <x:c r="R160" s="30"/>
      <x:c r="S160" s="30"/>
      <x:c r="T160" s="30"/>
      <x:c r="U160" s="30"/>
      <x:c r="V160" s="30"/>
      <x:c r="W160" s="30"/>
      <x:c r="X160" s="30"/>
      <x:c r="Y160" s="30"/>
      <x:c r="Z160" s="30"/>
      <x:c r="AA160" s="30"/>
      <x:c r="AB160" s="30"/>
      <x:c r="AC160" s="30"/>
      <x:c r="AD160" s="30"/>
      <x:c r="AE160" s="30"/>
      <x:c r="AF160" s="30"/>
      <x:c r="AG160" s="30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>
      <x:c r="A161" s="1"/>
      <x:c r="B161" s="1"/>
      <x:c r="C161" s="30"/>
      <x:c r="D161" s="30"/>
      <x:c r="E161" s="30"/>
      <x:c r="F161" s="30"/>
      <x:c r="G161" s="30"/>
      <x:c r="H161" s="30"/>
      <x:c r="I161" s="30"/>
      <x:c r="J161" s="30"/>
      <x:c r="K161" s="30"/>
      <x:c r="L161" s="30"/>
      <x:c r="M161" s="30"/>
      <x:c r="N161" s="30"/>
      <x:c r="O161" s="30"/>
      <x:c r="P161" s="30"/>
      <x:c r="Q161" s="30"/>
      <x:c r="R161" s="30"/>
      <x:c r="S161" s="30"/>
      <x:c r="T161" s="30"/>
      <x:c r="U161" s="30"/>
      <x:c r="V161" s="30"/>
      <x:c r="W161" s="30"/>
      <x:c r="X161" s="30"/>
      <x:c r="Y161" s="30"/>
      <x:c r="Z161" s="30"/>
      <x:c r="AA161" s="30"/>
      <x:c r="AB161" s="30"/>
      <x:c r="AC161" s="30"/>
      <x:c r="AD161" s="30"/>
      <x:c r="AE161" s="30"/>
      <x:c r="AF161" s="30"/>
      <x:c r="AG161" s="30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>
      <x:c r="A162" s="1"/>
      <x:c r="B162" s="1"/>
      <x:c r="C162" s="30"/>
      <x:c r="D162" s="30"/>
      <x:c r="E162" s="30"/>
      <x:c r="F162" s="30"/>
      <x:c r="G162" s="30"/>
      <x:c r="H162" s="30"/>
      <x:c r="I162" s="30"/>
      <x:c r="J162" s="30"/>
      <x:c r="K162" s="30"/>
      <x:c r="L162" s="30"/>
      <x:c r="M162" s="30"/>
      <x:c r="N162" s="30"/>
      <x:c r="O162" s="30"/>
      <x:c r="P162" s="30"/>
      <x:c r="Q162" s="30"/>
      <x:c r="R162" s="30"/>
      <x:c r="S162" s="30"/>
      <x:c r="T162" s="30"/>
      <x:c r="U162" s="30"/>
      <x:c r="V162" s="30"/>
      <x:c r="W162" s="30"/>
      <x:c r="X162" s="30"/>
      <x:c r="Y162" s="30"/>
      <x:c r="Z162" s="30"/>
      <x:c r="AA162" s="30"/>
      <x:c r="AB162" s="30"/>
      <x:c r="AC162" s="30"/>
      <x:c r="AD162" s="30"/>
      <x:c r="AE162" s="30"/>
      <x:c r="AF162" s="30"/>
      <x:c r="AG162" s="30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>
      <x:c r="A163" s="1"/>
      <x:c r="B163" s="1"/>
      <x:c r="C163" s="30"/>
      <x:c r="D163" s="30"/>
      <x:c r="E163" s="30"/>
      <x:c r="F163" s="30"/>
      <x:c r="G163" s="30"/>
      <x:c r="H163" s="30"/>
      <x:c r="I163" s="30"/>
      <x:c r="J163" s="30"/>
      <x:c r="K163" s="30"/>
      <x:c r="L163" s="30"/>
      <x:c r="M163" s="30"/>
      <x:c r="N163" s="30"/>
      <x:c r="O163" s="30"/>
      <x:c r="P163" s="30"/>
      <x:c r="Q163" s="30"/>
      <x:c r="R163" s="30"/>
      <x:c r="S163" s="30"/>
      <x:c r="T163" s="30"/>
      <x:c r="U163" s="30"/>
      <x:c r="V163" s="30"/>
      <x:c r="W163" s="30"/>
      <x:c r="X163" s="30"/>
      <x:c r="Y163" s="30"/>
      <x:c r="Z163" s="30"/>
      <x:c r="AA163" s="30"/>
      <x:c r="AB163" s="30"/>
      <x:c r="AC163" s="30"/>
      <x:c r="AD163" s="30"/>
      <x:c r="AE163" s="30"/>
      <x:c r="AF163" s="30"/>
      <x:c r="AG163" s="30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>
      <x:c r="A164" s="1"/>
      <x:c r="B164" s="1"/>
      <x:c r="C164" s="30"/>
      <x:c r="D164" s="30"/>
      <x:c r="E164" s="30"/>
      <x:c r="F164" s="30"/>
      <x:c r="G164" s="30"/>
      <x:c r="H164" s="30"/>
      <x:c r="I164" s="30"/>
      <x:c r="J164" s="30"/>
      <x:c r="K164" s="30"/>
      <x:c r="L164" s="30"/>
      <x:c r="M164" s="30"/>
      <x:c r="N164" s="30"/>
      <x:c r="O164" s="30"/>
      <x:c r="P164" s="30"/>
      <x:c r="Q164" s="30"/>
      <x:c r="R164" s="30"/>
      <x:c r="S164" s="30"/>
      <x:c r="T164" s="30"/>
      <x:c r="U164" s="30"/>
      <x:c r="V164" s="30"/>
      <x:c r="W164" s="30"/>
      <x:c r="X164" s="30"/>
      <x:c r="Y164" s="30"/>
      <x:c r="Z164" s="30"/>
      <x:c r="AA164" s="30"/>
      <x:c r="AB164" s="30"/>
      <x:c r="AC164" s="30"/>
      <x:c r="AD164" s="30"/>
      <x:c r="AE164" s="30"/>
      <x:c r="AF164" s="30"/>
      <x:c r="AG164" s="30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>
      <x:c r="A165" s="1"/>
      <x:c r="B165" s="1"/>
      <x:c r="C165" s="30"/>
      <x:c r="D165" s="30"/>
      <x:c r="E165" s="30"/>
      <x:c r="F165" s="30"/>
      <x:c r="G165" s="30"/>
      <x:c r="H165" s="30"/>
      <x:c r="I165" s="30"/>
      <x:c r="J165" s="30"/>
      <x:c r="K165" s="30"/>
      <x:c r="L165" s="30"/>
      <x:c r="M165" s="30"/>
      <x:c r="N165" s="30"/>
      <x:c r="O165" s="30"/>
      <x:c r="P165" s="30"/>
      <x:c r="Q165" s="30"/>
      <x:c r="R165" s="30"/>
      <x:c r="S165" s="30"/>
      <x:c r="T165" s="30"/>
      <x:c r="U165" s="30"/>
      <x:c r="V165" s="30"/>
      <x:c r="W165" s="30"/>
      <x:c r="X165" s="30"/>
      <x:c r="Y165" s="30"/>
      <x:c r="Z165" s="30"/>
      <x:c r="AA165" s="30"/>
      <x:c r="AB165" s="30"/>
      <x:c r="AC165" s="30"/>
      <x:c r="AD165" s="30"/>
      <x:c r="AE165" s="30"/>
      <x:c r="AF165" s="30"/>
      <x:c r="AG165" s="30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>
      <x:c r="A166" s="1"/>
      <x:c r="B166" s="1"/>
      <x:c r="C166" s="30"/>
      <x:c r="D166" s="30"/>
      <x:c r="E166" s="30"/>
      <x:c r="F166" s="30"/>
      <x:c r="G166" s="30"/>
      <x:c r="H166" s="30"/>
      <x:c r="I166" s="30"/>
      <x:c r="J166" s="30"/>
      <x:c r="K166" s="30"/>
      <x:c r="L166" s="30"/>
      <x:c r="M166" s="30"/>
      <x:c r="N166" s="30"/>
      <x:c r="O166" s="30"/>
      <x:c r="P166" s="30"/>
      <x:c r="Q166" s="30"/>
      <x:c r="R166" s="30"/>
      <x:c r="S166" s="30"/>
      <x:c r="T166" s="30"/>
      <x:c r="U166" s="30"/>
      <x:c r="V166" s="30"/>
      <x:c r="W166" s="30"/>
      <x:c r="X166" s="30"/>
      <x:c r="Y166" s="30"/>
      <x:c r="Z166" s="30"/>
      <x:c r="AA166" s="30"/>
      <x:c r="AB166" s="30"/>
      <x:c r="AC166" s="30"/>
      <x:c r="AD166" s="30"/>
      <x:c r="AE166" s="30"/>
      <x:c r="AF166" s="30"/>
      <x:c r="AG166" s="30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>
      <x:c r="A167" s="1"/>
      <x:c r="B167" s="1"/>
      <x:c r="C167" s="30"/>
      <x:c r="D167" s="30"/>
      <x:c r="E167" s="30"/>
      <x:c r="F167" s="30"/>
      <x:c r="G167" s="30"/>
      <x:c r="H167" s="30"/>
      <x:c r="I167" s="30"/>
      <x:c r="J167" s="30"/>
      <x:c r="K167" s="30"/>
      <x:c r="L167" s="30"/>
      <x:c r="M167" s="30"/>
      <x:c r="N167" s="30"/>
      <x:c r="O167" s="30"/>
      <x:c r="P167" s="30"/>
      <x:c r="Q167" s="30"/>
      <x:c r="R167" s="30"/>
      <x:c r="S167" s="30"/>
      <x:c r="T167" s="30"/>
      <x:c r="U167" s="30"/>
      <x:c r="V167" s="30"/>
      <x:c r="W167" s="30"/>
      <x:c r="X167" s="30"/>
      <x:c r="Y167" s="30"/>
      <x:c r="Z167" s="30"/>
      <x:c r="AA167" s="30"/>
      <x:c r="AB167" s="30"/>
      <x:c r="AC167" s="30"/>
      <x:c r="AD167" s="30"/>
      <x:c r="AE167" s="30"/>
      <x:c r="AF167" s="30"/>
      <x:c r="AG167" s="30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>
      <x:c r="A168" s="1"/>
      <x:c r="B168" s="1"/>
      <x:c r="C168" s="30"/>
      <x:c r="D168" s="30"/>
      <x:c r="E168" s="30"/>
      <x:c r="F168" s="30"/>
      <x:c r="G168" s="30"/>
      <x:c r="H168" s="30"/>
      <x:c r="I168" s="30"/>
      <x:c r="J168" s="30"/>
      <x:c r="K168" s="30"/>
      <x:c r="L168" s="30"/>
      <x:c r="M168" s="30"/>
      <x:c r="N168" s="30"/>
      <x:c r="O168" s="30"/>
      <x:c r="P168" s="30"/>
      <x:c r="Q168" s="30"/>
      <x:c r="R168" s="30"/>
      <x:c r="S168" s="30"/>
      <x:c r="T168" s="30"/>
      <x:c r="U168" s="30"/>
      <x:c r="V168" s="30"/>
      <x:c r="W168" s="30"/>
      <x:c r="X168" s="30"/>
      <x:c r="Y168" s="30"/>
      <x:c r="Z168" s="30"/>
      <x:c r="AA168" s="30"/>
      <x:c r="AB168" s="30"/>
      <x:c r="AC168" s="30"/>
      <x:c r="AD168" s="30"/>
      <x:c r="AE168" s="30"/>
      <x:c r="AF168" s="30"/>
      <x:c r="AG168" s="30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>
      <x:c r="A169" s="1"/>
      <x:c r="B169" s="1"/>
      <x:c r="C169" s="30"/>
      <x:c r="D169" s="30"/>
      <x:c r="E169" s="30"/>
      <x:c r="F169" s="30"/>
      <x:c r="G169" s="30"/>
      <x:c r="H169" s="30"/>
      <x:c r="I169" s="30"/>
      <x:c r="J169" s="30"/>
      <x:c r="K169" s="30"/>
      <x:c r="L169" s="30"/>
      <x:c r="M169" s="30"/>
      <x:c r="N169" s="30"/>
      <x:c r="O169" s="30"/>
      <x:c r="P169" s="30"/>
      <x:c r="Q169" s="30"/>
      <x:c r="R169" s="30"/>
      <x:c r="S169" s="30"/>
      <x:c r="T169" s="30"/>
      <x:c r="U169" s="30"/>
      <x:c r="V169" s="30"/>
      <x:c r="W169" s="30"/>
      <x:c r="X169" s="30"/>
      <x:c r="Y169" s="30"/>
      <x:c r="Z169" s="30"/>
      <x:c r="AA169" s="30"/>
      <x:c r="AB169" s="30"/>
      <x:c r="AC169" s="30"/>
      <x:c r="AD169" s="30"/>
      <x:c r="AE169" s="30"/>
      <x:c r="AF169" s="30"/>
      <x:c r="AG169" s="30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>
      <x:c r="A170" s="1"/>
      <x:c r="B170" s="1"/>
      <x:c r="C170" s="30"/>
      <x:c r="D170" s="30"/>
      <x:c r="E170" s="30"/>
      <x:c r="F170" s="30"/>
      <x:c r="G170" s="30"/>
      <x:c r="H170" s="30"/>
      <x:c r="I170" s="30"/>
      <x:c r="J170" s="30"/>
      <x:c r="K170" s="30"/>
      <x:c r="L170" s="30"/>
      <x:c r="M170" s="30"/>
      <x:c r="N170" s="30"/>
      <x:c r="O170" s="30"/>
      <x:c r="P170" s="30"/>
      <x:c r="Q170" s="30"/>
      <x:c r="R170" s="30"/>
      <x:c r="S170" s="30"/>
      <x:c r="T170" s="30"/>
      <x:c r="U170" s="30"/>
      <x:c r="V170" s="30"/>
      <x:c r="W170" s="30"/>
      <x:c r="X170" s="30"/>
      <x:c r="Y170" s="30"/>
      <x:c r="Z170" s="30"/>
      <x:c r="AA170" s="30"/>
      <x:c r="AB170" s="30"/>
      <x:c r="AC170" s="30"/>
      <x:c r="AD170" s="30"/>
      <x:c r="AE170" s="30"/>
      <x:c r="AF170" s="30"/>
      <x:c r="AG170" s="30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>
      <x:c r="A171" s="1"/>
      <x:c r="B171" s="1"/>
      <x:c r="C171" s="30"/>
      <x:c r="D171" s="30"/>
      <x:c r="E171" s="30"/>
      <x:c r="F171" s="30"/>
      <x:c r="G171" s="30"/>
      <x:c r="H171" s="30"/>
      <x:c r="I171" s="30"/>
      <x:c r="J171" s="30"/>
      <x:c r="K171" s="30"/>
      <x:c r="L171" s="30"/>
      <x:c r="M171" s="30"/>
      <x:c r="N171" s="30"/>
      <x:c r="O171" s="30"/>
      <x:c r="P171" s="30"/>
      <x:c r="Q171" s="30"/>
      <x:c r="R171" s="30"/>
      <x:c r="S171" s="30"/>
      <x:c r="T171" s="30"/>
      <x:c r="U171" s="30"/>
      <x:c r="V171" s="30"/>
      <x:c r="W171" s="30"/>
      <x:c r="X171" s="30"/>
      <x:c r="Y171" s="30"/>
      <x:c r="Z171" s="30"/>
      <x:c r="AA171" s="30"/>
      <x:c r="AB171" s="30"/>
      <x:c r="AC171" s="30"/>
      <x:c r="AD171" s="30"/>
      <x:c r="AE171" s="30"/>
      <x:c r="AF171" s="30"/>
      <x:c r="AG171" s="30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>
      <x:c r="A172" s="1"/>
      <x:c r="B172" s="1"/>
      <x:c r="C172" s="30"/>
      <x:c r="D172" s="30"/>
      <x:c r="E172" s="30"/>
      <x:c r="F172" s="30"/>
      <x:c r="G172" s="30"/>
      <x:c r="H172" s="30"/>
      <x:c r="I172" s="30"/>
      <x:c r="J172" s="30"/>
      <x:c r="K172" s="30"/>
      <x:c r="L172" s="30"/>
      <x:c r="M172" s="30"/>
      <x:c r="N172" s="30"/>
      <x:c r="O172" s="30"/>
      <x:c r="P172" s="30"/>
      <x:c r="Q172" s="30"/>
      <x:c r="R172" s="30"/>
      <x:c r="S172" s="30"/>
      <x:c r="T172" s="30"/>
      <x:c r="U172" s="30"/>
      <x:c r="V172" s="30"/>
      <x:c r="W172" s="30"/>
      <x:c r="X172" s="30"/>
      <x:c r="Y172" s="30"/>
      <x:c r="Z172" s="30"/>
      <x:c r="AA172" s="30"/>
      <x:c r="AB172" s="30"/>
      <x:c r="AC172" s="30"/>
      <x:c r="AD172" s="30"/>
      <x:c r="AE172" s="30"/>
      <x:c r="AF172" s="30"/>
      <x:c r="AG172" s="30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>
      <x:c r="A173" s="1"/>
      <x:c r="B173" s="1"/>
      <x:c r="C173" s="30"/>
      <x:c r="D173" s="30"/>
      <x:c r="E173" s="30"/>
      <x:c r="F173" s="30"/>
      <x:c r="G173" s="30"/>
      <x:c r="H173" s="30"/>
      <x:c r="I173" s="30"/>
      <x:c r="J173" s="30"/>
      <x:c r="K173" s="30"/>
      <x:c r="L173" s="30"/>
      <x:c r="M173" s="30"/>
      <x:c r="N173" s="30"/>
      <x:c r="O173" s="30"/>
      <x:c r="P173" s="30"/>
      <x:c r="Q173" s="30"/>
      <x:c r="R173" s="30"/>
      <x:c r="S173" s="30"/>
      <x:c r="T173" s="30"/>
      <x:c r="U173" s="30"/>
      <x:c r="V173" s="30"/>
      <x:c r="W173" s="30"/>
      <x:c r="X173" s="30"/>
      <x:c r="Y173" s="30"/>
      <x:c r="Z173" s="30"/>
      <x:c r="AA173" s="30"/>
      <x:c r="AB173" s="30"/>
      <x:c r="AC173" s="30"/>
      <x:c r="AD173" s="30"/>
      <x:c r="AE173" s="30"/>
      <x:c r="AF173" s="30"/>
      <x:c r="AG173" s="30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>
      <x:c r="A174" s="1"/>
      <x:c r="B174" s="1"/>
      <x:c r="C174" s="30"/>
      <x:c r="D174" s="30"/>
      <x:c r="E174" s="30"/>
      <x:c r="F174" s="30"/>
      <x:c r="G174" s="30"/>
      <x:c r="H174" s="30"/>
      <x:c r="I174" s="30"/>
      <x:c r="J174" s="30"/>
      <x:c r="K174" s="30"/>
      <x:c r="L174" s="30"/>
      <x:c r="M174" s="30"/>
      <x:c r="N174" s="30"/>
      <x:c r="O174" s="30"/>
      <x:c r="P174" s="30"/>
      <x:c r="Q174" s="30"/>
      <x:c r="R174" s="30"/>
      <x:c r="S174" s="30"/>
      <x:c r="T174" s="30"/>
      <x:c r="U174" s="30"/>
      <x:c r="V174" s="30"/>
      <x:c r="W174" s="30"/>
      <x:c r="X174" s="30"/>
      <x:c r="Y174" s="30"/>
      <x:c r="Z174" s="30"/>
      <x:c r="AA174" s="30"/>
      <x:c r="AB174" s="30"/>
      <x:c r="AC174" s="30"/>
      <x:c r="AD174" s="30"/>
      <x:c r="AE174" s="30"/>
      <x:c r="AF174" s="30"/>
      <x:c r="AG174" s="30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>
      <x:c r="A175" s="1"/>
      <x:c r="B175" s="1"/>
      <x:c r="C175" s="30"/>
      <x:c r="D175" s="30"/>
      <x:c r="E175" s="30"/>
      <x:c r="F175" s="30"/>
      <x:c r="G175" s="30"/>
      <x:c r="H175" s="30"/>
      <x:c r="I175" s="30"/>
      <x:c r="J175" s="30"/>
      <x:c r="K175" s="30"/>
      <x:c r="L175" s="30"/>
      <x:c r="M175" s="30"/>
      <x:c r="N175" s="30"/>
      <x:c r="O175" s="30"/>
      <x:c r="P175" s="30"/>
      <x:c r="Q175" s="30"/>
      <x:c r="R175" s="30"/>
      <x:c r="S175" s="30"/>
      <x:c r="T175" s="30"/>
      <x:c r="U175" s="30"/>
      <x:c r="V175" s="30"/>
      <x:c r="W175" s="30"/>
      <x:c r="X175" s="30"/>
      <x:c r="Y175" s="30"/>
      <x:c r="Z175" s="30"/>
      <x:c r="AA175" s="30"/>
      <x:c r="AB175" s="30"/>
      <x:c r="AC175" s="30"/>
      <x:c r="AD175" s="30"/>
      <x:c r="AE175" s="30"/>
      <x:c r="AF175" s="30"/>
      <x:c r="AG175" s="30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>
      <x:c r="A176" s="1"/>
      <x:c r="B176" s="1"/>
      <x:c r="C176" s="30"/>
      <x:c r="D176" s="30"/>
      <x:c r="E176" s="30"/>
      <x:c r="F176" s="30"/>
      <x:c r="G176" s="30"/>
      <x:c r="H176" s="30"/>
      <x:c r="I176" s="30"/>
      <x:c r="J176" s="30"/>
      <x:c r="K176" s="30"/>
      <x:c r="L176" s="30"/>
      <x:c r="M176" s="30"/>
      <x:c r="N176" s="30"/>
      <x:c r="O176" s="30"/>
      <x:c r="P176" s="30"/>
      <x:c r="Q176" s="30"/>
      <x:c r="R176" s="30"/>
      <x:c r="S176" s="30"/>
      <x:c r="T176" s="30"/>
      <x:c r="U176" s="30"/>
      <x:c r="V176" s="30"/>
      <x:c r="W176" s="30"/>
      <x:c r="X176" s="30"/>
      <x:c r="Y176" s="30"/>
      <x:c r="Z176" s="30"/>
      <x:c r="AA176" s="30"/>
      <x:c r="AB176" s="30"/>
      <x:c r="AC176" s="30"/>
      <x:c r="AD176" s="30"/>
      <x:c r="AE176" s="30"/>
      <x:c r="AF176" s="30"/>
      <x:c r="AG176" s="30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>
      <x:c r="A177" s="1"/>
      <x:c r="B177" s="1"/>
      <x:c r="C177" s="30"/>
      <x:c r="D177" s="30"/>
      <x:c r="E177" s="30"/>
      <x:c r="F177" s="30"/>
      <x:c r="G177" s="30"/>
      <x:c r="H177" s="30"/>
      <x:c r="I177" s="30"/>
      <x:c r="J177" s="30"/>
      <x:c r="K177" s="30"/>
      <x:c r="L177" s="30"/>
      <x:c r="M177" s="30"/>
      <x:c r="N177" s="30"/>
      <x:c r="O177" s="30"/>
      <x:c r="P177" s="30"/>
      <x:c r="Q177" s="30"/>
      <x:c r="R177" s="30"/>
      <x:c r="S177" s="30"/>
      <x:c r="T177" s="30"/>
      <x:c r="U177" s="30"/>
      <x:c r="V177" s="30"/>
      <x:c r="W177" s="30"/>
      <x:c r="X177" s="30"/>
      <x:c r="Y177" s="30"/>
      <x:c r="Z177" s="30"/>
      <x:c r="AA177" s="30"/>
      <x:c r="AB177" s="30"/>
      <x:c r="AC177" s="30"/>
      <x:c r="AD177" s="30"/>
      <x:c r="AE177" s="30"/>
      <x:c r="AF177" s="30"/>
      <x:c r="AG177" s="30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>
      <x:c r="A178" s="1"/>
      <x:c r="B178" s="1"/>
      <x:c r="C178" s="30"/>
      <x:c r="D178" s="30"/>
      <x:c r="E178" s="30"/>
      <x:c r="F178" s="30"/>
      <x:c r="G178" s="30"/>
      <x:c r="H178" s="30"/>
      <x:c r="I178" s="30"/>
      <x:c r="J178" s="30"/>
      <x:c r="K178" s="30"/>
      <x:c r="L178" s="30"/>
      <x:c r="M178" s="30"/>
      <x:c r="N178" s="30"/>
      <x:c r="O178" s="30"/>
      <x:c r="P178" s="30"/>
      <x:c r="Q178" s="30"/>
      <x:c r="R178" s="30"/>
      <x:c r="S178" s="30"/>
      <x:c r="T178" s="30"/>
      <x:c r="U178" s="30"/>
      <x:c r="V178" s="30"/>
      <x:c r="W178" s="30"/>
      <x:c r="X178" s="30"/>
      <x:c r="Y178" s="30"/>
      <x:c r="Z178" s="30"/>
      <x:c r="AA178" s="30"/>
      <x:c r="AB178" s="30"/>
      <x:c r="AC178" s="30"/>
      <x:c r="AD178" s="30"/>
      <x:c r="AE178" s="30"/>
      <x:c r="AF178" s="30"/>
      <x:c r="AG178" s="30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>
      <x:c r="A179" s="1"/>
      <x:c r="B179" s="1"/>
      <x:c r="C179" s="30"/>
      <x:c r="D179" s="30"/>
      <x:c r="E179" s="30"/>
      <x:c r="F179" s="30"/>
      <x:c r="G179" s="30"/>
      <x:c r="H179" s="30"/>
      <x:c r="I179" s="30"/>
      <x:c r="J179" s="30"/>
      <x:c r="K179" s="30"/>
      <x:c r="L179" s="30"/>
      <x:c r="M179" s="30"/>
      <x:c r="N179" s="30"/>
      <x:c r="O179" s="30"/>
      <x:c r="P179" s="30"/>
      <x:c r="Q179" s="30"/>
      <x:c r="R179" s="30"/>
      <x:c r="S179" s="30"/>
      <x:c r="T179" s="30"/>
      <x:c r="U179" s="30"/>
      <x:c r="V179" s="30"/>
      <x:c r="W179" s="30"/>
      <x:c r="X179" s="30"/>
      <x:c r="Y179" s="30"/>
      <x:c r="Z179" s="30"/>
      <x:c r="AA179" s="30"/>
      <x:c r="AB179" s="30"/>
      <x:c r="AC179" s="30"/>
      <x:c r="AD179" s="30"/>
      <x:c r="AE179" s="30"/>
      <x:c r="AF179" s="30"/>
      <x:c r="AG179" s="30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>
      <x:c r="A180" s="1"/>
      <x:c r="B180" s="1"/>
      <x:c r="C180" s="30"/>
      <x:c r="D180" s="30"/>
      <x:c r="E180" s="30"/>
      <x:c r="F180" s="30"/>
      <x:c r="G180" s="30"/>
      <x:c r="H180" s="30"/>
      <x:c r="I180" s="30"/>
      <x:c r="J180" s="30"/>
      <x:c r="K180" s="30"/>
      <x:c r="L180" s="30"/>
      <x:c r="M180" s="30"/>
      <x:c r="N180" s="30"/>
      <x:c r="O180" s="30"/>
      <x:c r="P180" s="30"/>
      <x:c r="Q180" s="30"/>
      <x:c r="R180" s="30"/>
      <x:c r="S180" s="30"/>
      <x:c r="T180" s="30"/>
      <x:c r="U180" s="30"/>
      <x:c r="V180" s="30"/>
      <x:c r="W180" s="30"/>
      <x:c r="X180" s="30"/>
      <x:c r="Y180" s="30"/>
      <x:c r="Z180" s="30"/>
      <x:c r="AA180" s="30"/>
      <x:c r="AB180" s="30"/>
      <x:c r="AC180" s="30"/>
      <x:c r="AD180" s="30"/>
      <x:c r="AE180" s="30"/>
      <x:c r="AF180" s="30"/>
      <x:c r="AG180" s="30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</x:sheetData>
  <x:conditionalFormatting sqref="I5:I9">
    <x:cfRule type="containsText" dxfId="5" priority="1" operator="containsText" text="FAIL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2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7" hidden="0" customWidth="1"/>
    <x:col min="15" max="15" width="17" hidden="0" customWidth="1"/>
    <x:col min="16" max="16" width="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>
      <x:c r="A2" s="1"/>
      <x:c r="B2" s="1"/>
      <x:c r="C2" s="3" t="str">
        <x:v>Five routes across the ten-campaign force promise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>
      <x:c r="A3" s="1"/>
      <x:c r="B3" s="1"/>
      <x:c r="C3" s="39" t="str">
        <x:v>C1 grid/temperature; C2 sequential Gulf–Atlantic hurricanes; C3 Cascadia; M1 western fire/heat/smoke; M2 urban heat; M3 inland flood; M4 tornado; M5 territorial drought/utility; I1 Indo-Pacific invited; I2 Atlantic/Americas invited.</x:v>
      </x:c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  <x:c r="AA3" s="30"/>
      <x:c r="AB3" s="30"/>
      <x:c r="AC3" s="30"/>
      <x:c r="AD3" s="30"/>
      <x:c r="AE3" s="30"/>
      <x:c r="AF3" s="30"/>
      <x:c r="AG3" s="30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>
      <x:c r="A4" s="1"/>
      <x:c r="B4" s="1"/>
      <x:c r="C4" s="9" t="str">
        <x:v>Route</x:v>
      </x:c>
      <x:c r="D4" s="17" t="str">
        <x:v>C1</x:v>
      </x:c>
      <x:c r="E4" s="17" t="str">
        <x:v>C2</x:v>
      </x:c>
      <x:c r="F4" s="17" t="str">
        <x:v>C3</x:v>
      </x:c>
      <x:c r="G4" s="17" t="str">
        <x:v>M1</x:v>
      </x:c>
      <x:c r="H4" s="17" t="str">
        <x:v>M2</x:v>
      </x:c>
      <x:c r="I4" s="17" t="str">
        <x:v>M3</x:v>
      </x:c>
      <x:c r="J4" s="17" t="str">
        <x:v>M4</x:v>
      </x:c>
      <x:c r="K4" s="17" t="str">
        <x:v>M5</x:v>
      </x:c>
      <x:c r="L4" s="17" t="str">
        <x:v>I1</x:v>
      </x:c>
      <x:c r="M4" s="17" t="str">
        <x:v>I2</x:v>
      </x:c>
      <x:c r="N4" s="17" t="str">
        <x:v>Total demand</x:v>
      </x:c>
      <x:c r="O4" s="17" t="str">
        <x:v>Active campaigns</x:v>
      </x:c>
      <x:c r="P4" s="10" t="str">
        <x:v>Status</x:v>
      </x:c>
      <x:c r="Q4" s="30"/>
      <x:c r="R4" s="30"/>
      <x:c r="S4" s="30"/>
      <x:c r="T4" s="30"/>
      <x:c r="U4" s="30"/>
      <x:c r="V4" s="30"/>
      <x:c r="W4" s="30"/>
      <x:c r="X4" s="30"/>
      <x:c r="Y4" s="30"/>
      <x:c r="Z4" s="30"/>
      <x:c r="AA4" s="30"/>
      <x:c r="AB4" s="30"/>
      <x:c r="AC4" s="30"/>
      <x:c r="AD4" s="30"/>
      <x:c r="AE4" s="30"/>
      <x:c r="AF4" s="30"/>
      <x:c r="AG4" s="30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>
      <x:c r="A5" s="1"/>
      <x:c r="B5" s="1"/>
      <x:c r="C5" s="30" t="str">
        <x:v>R1</x:v>
      </x:c>
      <x:c r="D5" s="32" t="n">
        <x:f>SUMIFS('Family Allocation'!$V$5:$V$19,'Family Allocation'!$E$5:$E$19,$C5)</x:f>
        <x:v>32</x:v>
      </x:c>
      <x:c r="E5" s="32" t="n">
        <x:f>SUMIFS('Family Allocation'!$W$5:$W$19,'Family Allocation'!$E$5:$E$19,$C5)</x:f>
        <x:v>40</x:v>
      </x:c>
      <x:c r="F5" s="32" t="n">
        <x:f>SUMIFS('Family Allocation'!$X$5:$X$19,'Family Allocation'!$E$5:$E$19,$C5)</x:f>
        <x:v>47</x:v>
      </x:c>
      <x:c r="G5" s="32" t="n">
        <x:f>SUMIFS('Family Allocation'!$Y$5:$Y$19,'Family Allocation'!$E$5:$E$19,$C5)</x:f>
        <x:v>15</x:v>
      </x:c>
      <x:c r="H5" s="32" t="n">
        <x:f>SUMIFS('Family Allocation'!$Z$5:$Z$19,'Family Allocation'!$E$5:$E$19,$C5)</x:f>
        <x:v>28</x:v>
      </x:c>
      <x:c r="I5" s="32" t="n">
        <x:f>SUMIFS('Family Allocation'!$AA$5:$AA$19,'Family Allocation'!$E$5:$E$19,$C5)</x:f>
        <x:v>24</x:v>
      </x:c>
      <x:c r="J5" s="32" t="n">
        <x:f>SUMIFS('Family Allocation'!$AB$5:$AB$19,'Family Allocation'!$E$5:$E$19,$C5)</x:f>
        <x:v>29</x:v>
      </x:c>
      <x:c r="K5" s="32" t="n">
        <x:f>SUMIFS('Family Allocation'!$AC$5:$AC$19,'Family Allocation'!$E$5:$E$19,$C5)</x:f>
        <x:v>26</x:v>
      </x:c>
      <x:c r="L5" s="32" t="n">
        <x:f>SUMIFS('Family Allocation'!$AD$5:$AD$19,'Family Allocation'!$E$5:$E$19,$C5)</x:f>
        <x:v>44</x:v>
      </x:c>
      <x:c r="M5" s="32" t="n">
        <x:f>SUMIFS('Family Allocation'!$AE$5:$AE$19,'Family Allocation'!$E$5:$E$19,$C5)</x:f>
        <x:v>48</x:v>
      </x:c>
      <x:c r="N5" s="32" t="n">
        <x:f>SUM(D5:M5)</x:f>
        <x:v>333</x:v>
      </x:c>
      <x:c r="O5" s="32" t="n">
        <x:f>COUNTIFS(D5:M5,"&gt;0")</x:f>
        <x:v>10</x:v>
      </x:c>
      <x:c r="P5" s="30" t="str">
        <x:f>IF(O5=10,"PASS","FAIL")</x:f>
        <x:v>PASS</x:v>
      </x:c>
      <x:c r="Q5" s="30"/>
      <x:c r="R5" s="30"/>
      <x:c r="S5" s="30"/>
      <x:c r="T5" s="30"/>
      <x:c r="U5" s="30"/>
      <x:c r="V5" s="30"/>
      <x:c r="W5" s="30"/>
      <x:c r="X5" s="30"/>
      <x:c r="Y5" s="30"/>
      <x:c r="Z5" s="30"/>
      <x:c r="AA5" s="30"/>
      <x:c r="AB5" s="30"/>
      <x:c r="AC5" s="30"/>
      <x:c r="AD5" s="30"/>
      <x:c r="AE5" s="30"/>
      <x:c r="AF5" s="30"/>
      <x:c r="AG5" s="30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>
      <x:c r="A6" s="1"/>
      <x:c r="B6" s="1"/>
      <x:c r="C6" s="30" t="str">
        <x:v>R2</x:v>
      </x:c>
      <x:c r="D6" s="32" t="n">
        <x:f>SUMIFS('Family Allocation'!$V$5:$V$19,'Family Allocation'!$E$5:$E$19,$C6)</x:f>
        <x:v>6</x:v>
      </x:c>
      <x:c r="E6" s="32" t="n">
        <x:f>SUMIFS('Family Allocation'!$W$5:$W$19,'Family Allocation'!$E$5:$E$19,$C6)</x:f>
        <x:v>8</x:v>
      </x:c>
      <x:c r="F6" s="32" t="n">
        <x:f>SUMIFS('Family Allocation'!$X$5:$X$19,'Family Allocation'!$E$5:$E$19,$C6)</x:f>
        <x:v>12</x:v>
      </x:c>
      <x:c r="G6" s="32" t="n">
        <x:f>SUMIFS('Family Allocation'!$Y$5:$Y$19,'Family Allocation'!$E$5:$E$19,$C6)</x:f>
        <x:v>5</x:v>
      </x:c>
      <x:c r="H6" s="32" t="n">
        <x:f>SUMIFS('Family Allocation'!$Z$5:$Z$19,'Family Allocation'!$E$5:$E$19,$C6)</x:f>
        <x:v>6</x:v>
      </x:c>
      <x:c r="I6" s="32" t="n">
        <x:f>SUMIFS('Family Allocation'!$AA$5:$AA$19,'Family Allocation'!$E$5:$E$19,$C6)</x:f>
        <x:v>5</x:v>
      </x:c>
      <x:c r="J6" s="32" t="n">
        <x:f>SUMIFS('Family Allocation'!$AB$5:$AB$19,'Family Allocation'!$E$5:$E$19,$C6)</x:f>
        <x:v>8</x:v>
      </x:c>
      <x:c r="K6" s="32" t="n">
        <x:f>SUMIFS('Family Allocation'!$AC$5:$AC$19,'Family Allocation'!$E$5:$E$19,$C6)</x:f>
        <x:v>5</x:v>
      </x:c>
      <x:c r="L6" s="32" t="n">
        <x:f>SUMIFS('Family Allocation'!$AD$5:$AD$19,'Family Allocation'!$E$5:$E$19,$C6)</x:f>
        <x:v>12</x:v>
      </x:c>
      <x:c r="M6" s="32" t="n">
        <x:f>SUMIFS('Family Allocation'!$AE$5:$AE$19,'Family Allocation'!$E$5:$E$19,$C6)</x:f>
        <x:v>10</x:v>
      </x:c>
      <x:c r="N6" s="32" t="n">
        <x:f>SUM(D6:M6)</x:f>
        <x:v>77</x:v>
      </x:c>
      <x:c r="O6" s="32" t="n">
        <x:f>COUNTIFS(D6:M6,"&gt;0")</x:f>
        <x:v>10</x:v>
      </x:c>
      <x:c r="P6" s="30" t="str">
        <x:f>IF(O6=10,"PASS","FAIL")</x:f>
        <x:v>PASS</x:v>
      </x:c>
      <x:c r="Q6" s="30"/>
      <x:c r="R6" s="30"/>
      <x:c r="S6" s="30"/>
      <x:c r="T6" s="30"/>
      <x:c r="U6" s="30"/>
      <x:c r="V6" s="30"/>
      <x:c r="W6" s="30"/>
      <x:c r="X6" s="30"/>
      <x:c r="Y6" s="30"/>
      <x:c r="Z6" s="30"/>
      <x:c r="AA6" s="30"/>
      <x:c r="AB6" s="30"/>
      <x:c r="AC6" s="30"/>
      <x:c r="AD6" s="30"/>
      <x:c r="AE6" s="30"/>
      <x:c r="AF6" s="30"/>
      <x:c r="AG6" s="30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>
      <x:c r="A7" s="1"/>
      <x:c r="B7" s="1"/>
      <x:c r="C7" s="30" t="str">
        <x:v>R3</x:v>
      </x:c>
      <x:c r="D7" s="32" t="n">
        <x:f>SUMIFS('Family Allocation'!$V$5:$V$19,'Family Allocation'!$E$5:$E$19,$C7)</x:f>
        <x:v>6</x:v>
      </x:c>
      <x:c r="E7" s="32" t="n">
        <x:f>SUMIFS('Family Allocation'!$W$5:$W$19,'Family Allocation'!$E$5:$E$19,$C7)</x:f>
        <x:v>8</x:v>
      </x:c>
      <x:c r="F7" s="32" t="n">
        <x:f>SUMIFS('Family Allocation'!$X$5:$X$19,'Family Allocation'!$E$5:$E$19,$C7)</x:f>
        <x:v>13</x:v>
      </x:c>
      <x:c r="G7" s="32" t="n">
        <x:f>SUMIFS('Family Allocation'!$Y$5:$Y$19,'Family Allocation'!$E$5:$E$19,$C7)</x:f>
        <x:v>5</x:v>
      </x:c>
      <x:c r="H7" s="32" t="n">
        <x:f>SUMIFS('Family Allocation'!$Z$5:$Z$19,'Family Allocation'!$E$5:$E$19,$C7)</x:f>
        <x:v>7</x:v>
      </x:c>
      <x:c r="I7" s="32" t="n">
        <x:f>SUMIFS('Family Allocation'!$AA$5:$AA$19,'Family Allocation'!$E$5:$E$19,$C7)</x:f>
        <x:v>5</x:v>
      </x:c>
      <x:c r="J7" s="32" t="n">
        <x:f>SUMIFS('Family Allocation'!$AB$5:$AB$19,'Family Allocation'!$E$5:$E$19,$C7)</x:f>
        <x:v>8</x:v>
      </x:c>
      <x:c r="K7" s="32" t="n">
        <x:f>SUMIFS('Family Allocation'!$AC$5:$AC$19,'Family Allocation'!$E$5:$E$19,$C7)</x:f>
        <x:v>5</x:v>
      </x:c>
      <x:c r="L7" s="32" t="n">
        <x:f>SUMIFS('Family Allocation'!$AD$5:$AD$19,'Family Allocation'!$E$5:$E$19,$C7)</x:f>
        <x:v>13</x:v>
      </x:c>
      <x:c r="M7" s="32" t="n">
        <x:f>SUMIFS('Family Allocation'!$AE$5:$AE$19,'Family Allocation'!$E$5:$E$19,$C7)</x:f>
        <x:v>10</x:v>
      </x:c>
      <x:c r="N7" s="32" t="n">
        <x:f>SUM(D7:M7)</x:f>
        <x:v>80</x:v>
      </x:c>
      <x:c r="O7" s="32" t="n">
        <x:f>COUNTIFS(D7:M7,"&gt;0")</x:f>
        <x:v>10</x:v>
      </x:c>
      <x:c r="P7" s="30" t="str">
        <x:f>IF(O7=10,"PASS","FAIL")</x:f>
        <x:v>PASS</x:v>
      </x:c>
      <x:c r="Q7" s="30"/>
      <x:c r="R7" s="30"/>
      <x:c r="S7" s="30"/>
      <x:c r="T7" s="30"/>
      <x:c r="U7" s="30"/>
      <x:c r="V7" s="30"/>
      <x:c r="W7" s="30"/>
      <x:c r="X7" s="30"/>
      <x:c r="Y7" s="30"/>
      <x:c r="Z7" s="30"/>
      <x:c r="AA7" s="30"/>
      <x:c r="AB7" s="30"/>
      <x:c r="AC7" s="30"/>
      <x:c r="AD7" s="30"/>
      <x:c r="AE7" s="30"/>
      <x:c r="AF7" s="30"/>
      <x:c r="AG7" s="30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>
      <x:c r="A8" s="1"/>
      <x:c r="B8" s="1"/>
      <x:c r="C8" s="30" t="str">
        <x:v>R4</x:v>
      </x:c>
      <x:c r="D8" s="32" t="n">
        <x:f>SUMIFS('Family Allocation'!$V$5:$V$19,'Family Allocation'!$E$5:$E$19,$C8)</x:f>
        <x:v>25</x:v>
      </x:c>
      <x:c r="E8" s="32" t="n">
        <x:f>SUMIFS('Family Allocation'!$W$5:$W$19,'Family Allocation'!$E$5:$E$19,$C8)</x:f>
        <x:v>37</x:v>
      </x:c>
      <x:c r="F8" s="32" t="n">
        <x:f>SUMIFS('Family Allocation'!$X$5:$X$19,'Family Allocation'!$E$5:$E$19,$C8)</x:f>
        <x:v>46</x:v>
      </x:c>
      <x:c r="G8" s="32" t="n">
        <x:f>SUMIFS('Family Allocation'!$Y$5:$Y$19,'Family Allocation'!$E$5:$E$19,$C8)</x:f>
        <x:v>13</x:v>
      </x:c>
      <x:c r="H8" s="32" t="n">
        <x:f>SUMIFS('Family Allocation'!$Z$5:$Z$19,'Family Allocation'!$E$5:$E$19,$C8)</x:f>
        <x:v>23</x:v>
      </x:c>
      <x:c r="I8" s="32" t="n">
        <x:f>SUMIFS('Family Allocation'!$AA$5:$AA$19,'Family Allocation'!$E$5:$E$19,$C8)</x:f>
        <x:v>22</x:v>
      </x:c>
      <x:c r="J8" s="32" t="n">
        <x:f>SUMIFS('Family Allocation'!$AB$5:$AB$19,'Family Allocation'!$E$5:$E$19,$C8)</x:f>
        <x:v>29</x:v>
      </x:c>
      <x:c r="K8" s="32" t="n">
        <x:f>SUMIFS('Family Allocation'!$AC$5:$AC$19,'Family Allocation'!$E$5:$E$19,$C8)</x:f>
        <x:v>24</x:v>
      </x:c>
      <x:c r="L8" s="32" t="n">
        <x:f>SUMIFS('Family Allocation'!$AD$5:$AD$19,'Family Allocation'!$E$5:$E$19,$C8)</x:f>
        <x:v>45</x:v>
      </x:c>
      <x:c r="M8" s="32" t="n">
        <x:f>SUMIFS('Family Allocation'!$AE$5:$AE$19,'Family Allocation'!$E$5:$E$19,$C8)</x:f>
        <x:v>50</x:v>
      </x:c>
      <x:c r="N8" s="32" t="n">
        <x:f>SUM(D8:M8)</x:f>
        <x:v>314</x:v>
      </x:c>
      <x:c r="O8" s="32" t="n">
        <x:f>COUNTIFS(D8:M8,"&gt;0")</x:f>
        <x:v>10</x:v>
      </x:c>
      <x:c r="P8" s="30" t="str">
        <x:f>IF(O8=10,"PASS","FAIL")</x:f>
        <x:v>PASS</x:v>
      </x:c>
      <x:c r="Q8" s="30"/>
      <x:c r="R8" s="30"/>
      <x:c r="S8" s="30"/>
      <x:c r="T8" s="30"/>
      <x:c r="U8" s="30"/>
      <x:c r="V8" s="30"/>
      <x:c r="W8" s="30"/>
      <x:c r="X8" s="30"/>
      <x:c r="Y8" s="30"/>
      <x:c r="Z8" s="30"/>
      <x:c r="AA8" s="30"/>
      <x:c r="AB8" s="30"/>
      <x:c r="AC8" s="30"/>
      <x:c r="AD8" s="30"/>
      <x:c r="AE8" s="30"/>
      <x:c r="AF8" s="30"/>
      <x:c r="AG8" s="30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>
      <x:c r="A9" s="1"/>
      <x:c r="B9" s="1"/>
      <x:c r="C9" s="30" t="str">
        <x:v>R5</x:v>
      </x:c>
      <x:c r="D9" s="32" t="n">
        <x:f>SUMIFS('Family Allocation'!$V$5:$V$19,'Family Allocation'!$E$5:$E$19,$C9)</x:f>
        <x:v>8</x:v>
      </x:c>
      <x:c r="E9" s="32" t="n">
        <x:f>SUMIFS('Family Allocation'!$W$5:$W$19,'Family Allocation'!$E$5:$E$19,$C9)</x:f>
        <x:v>8</x:v>
      </x:c>
      <x:c r="F9" s="32" t="n">
        <x:f>SUMIFS('Family Allocation'!$X$5:$X$19,'Family Allocation'!$E$5:$E$19,$C9)</x:f>
        <x:v>10</x:v>
      </x:c>
      <x:c r="G9" s="32" t="n">
        <x:f>SUMIFS('Family Allocation'!$Y$5:$Y$19,'Family Allocation'!$E$5:$E$19,$C9)</x:f>
        <x:v>4</x:v>
      </x:c>
      <x:c r="H9" s="32" t="n">
        <x:f>SUMIFS('Family Allocation'!$Z$5:$Z$19,'Family Allocation'!$E$5:$E$19,$C9)</x:f>
        <x:v>8</x:v>
      </x:c>
      <x:c r="I9" s="32" t="n">
        <x:f>SUMIFS('Family Allocation'!$AA$5:$AA$19,'Family Allocation'!$E$5:$E$19,$C9)</x:f>
        <x:v>5</x:v>
      </x:c>
      <x:c r="J9" s="32" t="n">
        <x:f>SUMIFS('Family Allocation'!$AB$5:$AB$19,'Family Allocation'!$E$5:$E$19,$C9)</x:f>
        <x:v>6</x:v>
      </x:c>
      <x:c r="K9" s="32" t="n">
        <x:f>SUMIFS('Family Allocation'!$AC$5:$AC$19,'Family Allocation'!$E$5:$E$19,$C9)</x:f>
        <x:v>6</x:v>
      </x:c>
      <x:c r="L9" s="32" t="n">
        <x:f>SUMIFS('Family Allocation'!$AD$5:$AD$19,'Family Allocation'!$E$5:$E$19,$C9)</x:f>
        <x:v>10</x:v>
      </x:c>
      <x:c r="M9" s="32" t="n">
        <x:f>SUMIFS('Family Allocation'!$AE$5:$AE$19,'Family Allocation'!$E$5:$E$19,$C9)</x:f>
        <x:v>10</x:v>
      </x:c>
      <x:c r="N9" s="32" t="n">
        <x:f>SUM(D9:M9)</x:f>
        <x:v>75</x:v>
      </x:c>
      <x:c r="O9" s="32" t="n">
        <x:f>COUNTIFS(D9:M9,"&gt;0")</x:f>
        <x:v>10</x:v>
      </x:c>
      <x:c r="P9" s="30" t="str">
        <x:f>IF(O9=10,"PASS","FAIL")</x:f>
        <x:v>PASS</x:v>
      </x:c>
      <x:c r="Q9" s="30"/>
      <x:c r="R9" s="30"/>
      <x:c r="S9" s="30"/>
      <x:c r="T9" s="30"/>
      <x:c r="U9" s="30"/>
      <x:c r="V9" s="30"/>
      <x:c r="W9" s="30"/>
      <x:c r="X9" s="30"/>
      <x:c r="Y9" s="30"/>
      <x:c r="Z9" s="30"/>
      <x:c r="AA9" s="30"/>
      <x:c r="AB9" s="30"/>
      <x:c r="AC9" s="30"/>
      <x:c r="AD9" s="30"/>
      <x:c r="AE9" s="30"/>
      <x:c r="AF9" s="30"/>
      <x:c r="AG9" s="30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>
      <x:c r="A10" s="1"/>
      <x:c r="B10" s="1"/>
      <x:c r="C10" s="34" t="str">
        <x:v>Total</x:v>
      </x:c>
      <x:c r="D10" s="40" t="n">
        <x:f>SUM(D5:D9)</x:f>
        <x:v>77</x:v>
      </x:c>
      <x:c r="E10" s="40" t="n">
        <x:f>SUM(E5:E9)</x:f>
        <x:v>101</x:v>
      </x:c>
      <x:c r="F10" s="40" t="n">
        <x:f>SUM(F5:F9)</x:f>
        <x:v>128</x:v>
      </x:c>
      <x:c r="G10" s="40" t="n">
        <x:f>SUM(G5:G9)</x:f>
        <x:v>42</x:v>
      </x:c>
      <x:c r="H10" s="40" t="n">
        <x:f>SUM(H5:H9)</x:f>
        <x:v>72</x:v>
      </x:c>
      <x:c r="I10" s="40" t="n">
        <x:f>SUM(I5:I9)</x:f>
        <x:v>61</x:v>
      </x:c>
      <x:c r="J10" s="40" t="n">
        <x:f>SUM(J5:J9)</x:f>
        <x:v>80</x:v>
      </x:c>
      <x:c r="K10" s="40" t="n">
        <x:f>SUM(K5:K9)</x:f>
        <x:v>66</x:v>
      </x:c>
      <x:c r="L10" s="40" t="n">
        <x:f>SUM(L5:L9)</x:f>
        <x:v>124</x:v>
      </x:c>
      <x:c r="M10" s="40" t="n">
        <x:f>SUM(M5:M9)</x:f>
        <x:v>128</x:v>
      </x:c>
      <x:c r="N10" s="40" t="n">
        <x:f>SUM(N5:N9)</x:f>
        <x:v>879</x:v>
      </x:c>
      <x:c r="O10" s="40" t="n">
        <x:f>SUM(O5:O9)</x:f>
        <x:v>50</x:v>
      </x:c>
      <x:c r="P10" s="34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  <x:c r="AA10" s="30"/>
      <x:c r="AB10" s="30"/>
      <x:c r="AC10" s="30"/>
      <x:c r="AD10" s="30"/>
      <x:c r="AE10" s="30"/>
      <x:c r="AF10" s="30"/>
      <x:c r="AG10" s="30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>
      <x:c r="A11" s="1"/>
      <x:c r="B11" s="1"/>
      <x:c r="C11" s="30"/>
      <x:c r="D11" s="30"/>
      <x:c r="E11" s="30"/>
      <x:c r="F11" s="30"/>
      <x:c r="G11" s="30"/>
      <x:c r="H11" s="30"/>
      <x:c r="I11" s="30"/>
      <x:c r="J11" s="30"/>
      <x:c r="K11" s="30"/>
      <x:c r="L11" s="30"/>
      <x:c r="M11" s="30"/>
      <x:c r="N11" s="30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  <x:c r="AA11" s="30"/>
      <x:c r="AB11" s="30"/>
      <x:c r="AC11" s="30"/>
      <x:c r="AD11" s="30"/>
      <x:c r="AE11" s="30"/>
      <x:c r="AF11" s="30"/>
      <x:c r="AG11" s="30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>
      <x:c r="A12" s="1"/>
      <x:c r="B12" s="1"/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  <x:c r="M12" s="30"/>
      <x:c r="N12" s="30"/>
      <x:c r="O12" s="30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  <x:c r="AA12" s="30"/>
      <x:c r="AB12" s="30"/>
      <x:c r="AC12" s="30"/>
      <x:c r="AD12" s="30"/>
      <x:c r="AE12" s="30"/>
      <x:c r="AF12" s="30"/>
      <x:c r="AG12" s="30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>
      <x:c r="A13" s="1"/>
      <x:c r="B13" s="1"/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  <x:c r="N13" s="30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  <x:c r="AA13" s="30"/>
      <x:c r="AB13" s="30"/>
      <x:c r="AC13" s="30"/>
      <x:c r="AD13" s="30"/>
      <x:c r="AE13" s="30"/>
      <x:c r="AF13" s="30"/>
      <x:c r="AG13" s="30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>
      <x:c r="A14" s="1"/>
      <x:c r="B14" s="1"/>
      <x:c r="C14" s="30"/>
      <x:c r="D14" s="30"/>
      <x:c r="E14" s="30"/>
      <x:c r="F14" s="30"/>
      <x:c r="G14" s="30"/>
      <x:c r="H14" s="30"/>
      <x:c r="I14" s="30"/>
      <x:c r="J14" s="30"/>
      <x:c r="K14" s="30"/>
      <x:c r="L14" s="30"/>
      <x:c r="M14" s="30"/>
      <x:c r="N14" s="30"/>
      <x:c r="O14" s="30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  <x:c r="AA14" s="30"/>
      <x:c r="AB14" s="30"/>
      <x:c r="AC14" s="30"/>
      <x:c r="AD14" s="30"/>
      <x:c r="AE14" s="30"/>
      <x:c r="AF14" s="30"/>
      <x:c r="AG14" s="30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>
      <x:c r="A15" s="1"/>
      <x:c r="B15" s="1"/>
      <x:c r="C15" s="30"/>
      <x:c r="D15" s="30"/>
      <x:c r="E15" s="30"/>
      <x:c r="F15" s="30"/>
      <x:c r="G15" s="30"/>
      <x:c r="H15" s="30"/>
      <x:c r="I15" s="30"/>
      <x:c r="J15" s="30"/>
      <x:c r="K15" s="30"/>
      <x:c r="L15" s="30"/>
      <x:c r="M15" s="30"/>
      <x:c r="N15" s="30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  <x:c r="AA15" s="30"/>
      <x:c r="AB15" s="30"/>
      <x:c r="AC15" s="30"/>
      <x:c r="AD15" s="30"/>
      <x:c r="AE15" s="30"/>
      <x:c r="AF15" s="30"/>
      <x:c r="AG15" s="30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>
      <x:c r="A16" s="1"/>
      <x:c r="B16" s="1"/>
      <x:c r="C16" s="30"/>
      <x:c r="D16" s="30"/>
      <x:c r="E16" s="30"/>
      <x:c r="F16" s="30"/>
      <x:c r="G16" s="30"/>
      <x:c r="H16" s="30"/>
      <x:c r="I16" s="30"/>
      <x:c r="J16" s="30"/>
      <x:c r="K16" s="30"/>
      <x:c r="L16" s="30"/>
      <x:c r="M16" s="30"/>
      <x:c r="N16" s="30"/>
      <x:c r="O16" s="30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  <x:c r="AA16" s="30"/>
      <x:c r="AB16" s="30"/>
      <x:c r="AC16" s="30"/>
      <x:c r="AD16" s="30"/>
      <x:c r="AE16" s="30"/>
      <x:c r="AF16" s="30"/>
      <x:c r="AG16" s="30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>
      <x:c r="A17" s="1"/>
      <x:c r="B17" s="1"/>
      <x:c r="C17" s="30"/>
      <x:c r="D17" s="30"/>
      <x:c r="E17" s="30"/>
      <x:c r="F17" s="30"/>
      <x:c r="G17" s="30"/>
      <x:c r="H17" s="30"/>
      <x:c r="I17" s="30"/>
      <x:c r="J17" s="30"/>
      <x:c r="K17" s="30"/>
      <x:c r="L17" s="30"/>
      <x:c r="M17" s="30"/>
      <x:c r="N17" s="30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  <x:c r="AA17" s="30"/>
      <x:c r="AB17" s="30"/>
      <x:c r="AC17" s="30"/>
      <x:c r="AD17" s="30"/>
      <x:c r="AE17" s="30"/>
      <x:c r="AF17" s="30"/>
      <x:c r="AG17" s="30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>
      <x:c r="A18" s="1"/>
      <x:c r="B18" s="1"/>
      <x:c r="C18" s="30"/>
      <x:c r="D18" s="30"/>
      <x:c r="E18" s="30"/>
      <x:c r="F18" s="30"/>
      <x:c r="G18" s="30"/>
      <x:c r="H18" s="30"/>
      <x:c r="I18" s="30"/>
      <x:c r="J18" s="30"/>
      <x:c r="K18" s="30"/>
      <x:c r="L18" s="30"/>
      <x:c r="M18" s="30"/>
      <x:c r="N18" s="30"/>
      <x:c r="O18" s="30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  <x:c r="AA18" s="30"/>
      <x:c r="AB18" s="30"/>
      <x:c r="AC18" s="30"/>
      <x:c r="AD18" s="30"/>
      <x:c r="AE18" s="30"/>
      <x:c r="AF18" s="30"/>
      <x:c r="AG18" s="30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>
      <x:c r="A19" s="1"/>
      <x:c r="B19" s="1"/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  <x:c r="M19" s="30"/>
      <x:c r="N19" s="30"/>
      <x:c r="O19" s="30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  <x:c r="AA19" s="30"/>
      <x:c r="AB19" s="30"/>
      <x:c r="AC19" s="30"/>
      <x:c r="AD19" s="30"/>
      <x:c r="AE19" s="30"/>
      <x:c r="AF19" s="30"/>
      <x:c r="AG19" s="30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>
      <x:c r="A20" s="1"/>
      <x:c r="B20" s="1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  <x:c r="N20" s="30"/>
      <x:c r="O20" s="30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  <x:c r="AA20" s="30"/>
      <x:c r="AB20" s="30"/>
      <x:c r="AC20" s="30"/>
      <x:c r="AD20" s="30"/>
      <x:c r="AE20" s="30"/>
      <x:c r="AF20" s="30"/>
      <x:c r="AG20" s="30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>
      <x:c r="A21" s="1"/>
      <x:c r="B21" s="1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  <x:c r="AA21" s="30"/>
      <x:c r="AB21" s="30"/>
      <x:c r="AC21" s="30"/>
      <x:c r="AD21" s="30"/>
      <x:c r="AE21" s="30"/>
      <x:c r="AF21" s="30"/>
      <x:c r="AG21" s="30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>
      <x:c r="A22" s="1"/>
      <x:c r="B22" s="1"/>
      <x:c r="C22" s="30"/>
      <x:c r="D22" s="30"/>
      <x:c r="E22" s="30"/>
      <x:c r="F22" s="30"/>
      <x:c r="G22" s="30"/>
      <x:c r="H22" s="30"/>
      <x:c r="I22" s="30"/>
      <x:c r="J22" s="30"/>
      <x:c r="K22" s="30"/>
      <x:c r="L22" s="30"/>
      <x:c r="M22" s="30"/>
      <x:c r="N22" s="30"/>
      <x:c r="O22" s="30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  <x:c r="AA22" s="30"/>
      <x:c r="AB22" s="30"/>
      <x:c r="AC22" s="30"/>
      <x:c r="AD22" s="30"/>
      <x:c r="AE22" s="30"/>
      <x:c r="AF22" s="30"/>
      <x:c r="AG22" s="30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>
      <x:c r="A23" s="1"/>
      <x:c r="B23" s="1"/>
      <x:c r="C23" s="30"/>
      <x:c r="D23" s="30"/>
      <x:c r="E23" s="30"/>
      <x:c r="F23" s="30"/>
      <x:c r="G23" s="30"/>
      <x:c r="H23" s="30"/>
      <x:c r="I23" s="30"/>
      <x:c r="J23" s="30"/>
      <x:c r="K23" s="30"/>
      <x:c r="L23" s="30"/>
      <x:c r="M23" s="30"/>
      <x:c r="N23" s="30"/>
      <x:c r="O23" s="30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  <x:c r="AA23" s="30"/>
      <x:c r="AB23" s="30"/>
      <x:c r="AC23" s="30"/>
      <x:c r="AD23" s="30"/>
      <x:c r="AE23" s="30"/>
      <x:c r="AF23" s="30"/>
      <x:c r="AG23" s="30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>
      <x:c r="A24" s="1"/>
      <x:c r="B24" s="1"/>
      <x:c r="C24" s="30"/>
      <x:c r="D24" s="30"/>
      <x:c r="E24" s="30"/>
      <x:c r="F24" s="30"/>
      <x:c r="G24" s="30"/>
      <x:c r="H24" s="30"/>
      <x:c r="I24" s="30"/>
      <x:c r="J24" s="30"/>
      <x:c r="K24" s="30"/>
      <x:c r="L24" s="30"/>
      <x:c r="M24" s="30"/>
      <x:c r="N24" s="30"/>
      <x:c r="O24" s="30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  <x:c r="AA24" s="30"/>
      <x:c r="AB24" s="30"/>
      <x:c r="AC24" s="30"/>
      <x:c r="AD24" s="30"/>
      <x:c r="AE24" s="30"/>
      <x:c r="AF24" s="30"/>
      <x:c r="AG24" s="30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>
      <x:c r="A25" s="1"/>
      <x:c r="B25" s="1"/>
      <x:c r="C25" s="30"/>
      <x:c r="D25" s="30"/>
      <x:c r="E25" s="30"/>
      <x:c r="F25" s="30"/>
      <x:c r="G25" s="30"/>
      <x:c r="H25" s="30"/>
      <x:c r="I25" s="30"/>
      <x:c r="J25" s="30"/>
      <x:c r="K25" s="30"/>
      <x:c r="L25" s="30"/>
      <x:c r="M25" s="30"/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  <x:c r="AA25" s="30"/>
      <x:c r="AB25" s="30"/>
      <x:c r="AC25" s="30"/>
      <x:c r="AD25" s="30"/>
      <x:c r="AE25" s="30"/>
      <x:c r="AF25" s="30"/>
      <x:c r="AG25" s="30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>
      <x:c r="A26" s="1"/>
      <x:c r="B26" s="1"/>
      <x:c r="C26" s="30"/>
      <x:c r="D26" s="30"/>
      <x:c r="E26" s="30"/>
      <x:c r="F26" s="30"/>
      <x:c r="G26" s="30"/>
      <x:c r="H26" s="30"/>
      <x:c r="I26" s="30"/>
      <x:c r="J26" s="3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  <x:c r="AA26" s="30"/>
      <x:c r="AB26" s="30"/>
      <x:c r="AC26" s="30"/>
      <x:c r="AD26" s="30"/>
      <x:c r="AE26" s="30"/>
      <x:c r="AF26" s="30"/>
      <x:c r="AG26" s="30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>
      <x:c r="A27" s="1"/>
      <x:c r="B27" s="1"/>
      <x:c r="C27" s="30"/>
      <x:c r="D27" s="30"/>
      <x:c r="E27" s="30"/>
      <x:c r="F27" s="30"/>
      <x:c r="G27" s="30"/>
      <x:c r="H27" s="30"/>
      <x:c r="I27" s="30"/>
      <x:c r="J27" s="30"/>
      <x:c r="K27" s="30"/>
      <x:c r="L27" s="30"/>
      <x:c r="M27" s="30"/>
      <x:c r="N27" s="30"/>
      <x:c r="O27" s="30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  <x:c r="AA27" s="30"/>
      <x:c r="AB27" s="30"/>
      <x:c r="AC27" s="30"/>
      <x:c r="AD27" s="30"/>
      <x:c r="AE27" s="30"/>
      <x:c r="AF27" s="30"/>
      <x:c r="AG27" s="30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>
      <x:c r="A28" s="1"/>
      <x:c r="B28" s="1"/>
      <x:c r="C28" s="30"/>
      <x:c r="D28" s="30"/>
      <x:c r="E28" s="30"/>
      <x:c r="F28" s="30"/>
      <x:c r="G28" s="30"/>
      <x:c r="H28" s="30"/>
      <x:c r="I28" s="30"/>
      <x:c r="J28" s="30"/>
      <x:c r="K28" s="30"/>
      <x:c r="L28" s="30"/>
      <x:c r="M28" s="30"/>
      <x:c r="N28" s="30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  <x:c r="AA28" s="30"/>
      <x:c r="AB28" s="30"/>
      <x:c r="AC28" s="30"/>
      <x:c r="AD28" s="30"/>
      <x:c r="AE28" s="30"/>
      <x:c r="AF28" s="30"/>
      <x:c r="AG28" s="30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>
      <x:c r="A29" s="1"/>
      <x:c r="B29" s="1"/>
      <x:c r="C29" s="30"/>
      <x:c r="D29" s="30"/>
      <x:c r="E29" s="30"/>
      <x:c r="F29" s="30"/>
      <x:c r="G29" s="30"/>
      <x:c r="H29" s="30"/>
      <x:c r="I29" s="30"/>
      <x:c r="J29" s="30"/>
      <x:c r="K29" s="30"/>
      <x:c r="L29" s="30"/>
      <x:c r="M29" s="30"/>
      <x:c r="N29" s="30"/>
      <x:c r="O29" s="30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  <x:c r="AA29" s="30"/>
      <x:c r="AB29" s="30"/>
      <x:c r="AC29" s="30"/>
      <x:c r="AD29" s="30"/>
      <x:c r="AE29" s="30"/>
      <x:c r="AF29" s="30"/>
      <x:c r="AG29" s="30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>
      <x:c r="A30" s="1"/>
      <x:c r="B30" s="1"/>
      <x:c r="C30" s="30"/>
      <x:c r="D30" s="30"/>
      <x:c r="E30" s="30"/>
      <x:c r="F30" s="30"/>
      <x:c r="G30" s="30"/>
      <x:c r="H30" s="30"/>
      <x:c r="I30" s="30"/>
      <x:c r="J30" s="30"/>
      <x:c r="K30" s="30"/>
      <x:c r="L30" s="30"/>
      <x:c r="M30" s="30"/>
      <x:c r="N30" s="30"/>
      <x:c r="O30" s="30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  <x:c r="AA30" s="30"/>
      <x:c r="AB30" s="30"/>
      <x:c r="AC30" s="30"/>
      <x:c r="AD30" s="30"/>
      <x:c r="AE30" s="30"/>
      <x:c r="AF30" s="30"/>
      <x:c r="AG30" s="30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>
      <x:c r="A31" s="1"/>
      <x:c r="B31" s="1"/>
      <x:c r="C31" s="30"/>
      <x:c r="D31" s="30"/>
      <x:c r="E31" s="30"/>
      <x:c r="F31" s="30"/>
      <x:c r="G31" s="30"/>
      <x:c r="H31" s="30"/>
      <x:c r="I31" s="30"/>
      <x:c r="J31" s="30"/>
      <x:c r="K31" s="30"/>
      <x:c r="L31" s="30"/>
      <x:c r="M31" s="30"/>
      <x:c r="N31" s="30"/>
      <x:c r="O31" s="30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  <x:c r="AA31" s="30"/>
      <x:c r="AB31" s="30"/>
      <x:c r="AC31" s="30"/>
      <x:c r="AD31" s="30"/>
      <x:c r="AE31" s="30"/>
      <x:c r="AF31" s="30"/>
      <x:c r="AG31" s="30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>
      <x:c r="A32" s="1"/>
      <x:c r="B32" s="1"/>
      <x:c r="C32" s="30"/>
      <x:c r="D32" s="30"/>
      <x:c r="E32" s="30"/>
      <x:c r="F32" s="30"/>
      <x:c r="G32" s="30"/>
      <x:c r="H32" s="30"/>
      <x:c r="I32" s="30"/>
      <x:c r="J32" s="30"/>
      <x:c r="K32" s="30"/>
      <x:c r="L32" s="30"/>
      <x:c r="M32" s="30"/>
      <x:c r="N32" s="30"/>
      <x:c r="O32" s="30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  <x:c r="AA32" s="30"/>
      <x:c r="AB32" s="30"/>
      <x:c r="AC32" s="30"/>
      <x:c r="AD32" s="30"/>
      <x:c r="AE32" s="30"/>
      <x:c r="AF32" s="30"/>
      <x:c r="AG32" s="30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>
      <x:c r="A33" s="1"/>
      <x:c r="B33" s="1"/>
      <x:c r="C33" s="30"/>
      <x:c r="D33" s="30"/>
      <x:c r="E33" s="30"/>
      <x:c r="F33" s="30"/>
      <x:c r="G33" s="30"/>
      <x:c r="H33" s="30"/>
      <x:c r="I33" s="30"/>
      <x:c r="J33" s="30"/>
      <x:c r="K33" s="30"/>
      <x:c r="L33" s="30"/>
      <x:c r="M33" s="30"/>
      <x:c r="N33" s="30"/>
      <x:c r="O33" s="30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  <x:c r="AA33" s="30"/>
      <x:c r="AB33" s="30"/>
      <x:c r="AC33" s="30"/>
      <x:c r="AD33" s="30"/>
      <x:c r="AE33" s="30"/>
      <x:c r="AF33" s="30"/>
      <x:c r="AG33" s="30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>
      <x:c r="A34" s="1"/>
      <x:c r="B34" s="1"/>
      <x:c r="C34" s="30"/>
      <x:c r="D34" s="30"/>
      <x:c r="E34" s="30"/>
      <x:c r="F34" s="30"/>
      <x:c r="G34" s="30"/>
      <x:c r="H34" s="30"/>
      <x:c r="I34" s="30"/>
      <x:c r="J34" s="30"/>
      <x:c r="K34" s="30"/>
      <x:c r="L34" s="30"/>
      <x:c r="M34" s="30"/>
      <x:c r="N34" s="30"/>
      <x:c r="O34" s="30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  <x:c r="AA34" s="30"/>
      <x:c r="AB34" s="30"/>
      <x:c r="AC34" s="30"/>
      <x:c r="AD34" s="30"/>
      <x:c r="AE34" s="30"/>
      <x:c r="AF34" s="30"/>
      <x:c r="AG34" s="30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>
      <x:c r="A35" s="1"/>
      <x:c r="B35" s="1"/>
      <x:c r="C35" s="30"/>
      <x:c r="D35" s="30"/>
      <x:c r="E35" s="30"/>
      <x:c r="F35" s="30"/>
      <x:c r="G35" s="30"/>
      <x:c r="H35" s="30"/>
      <x:c r="I35" s="30"/>
      <x:c r="J35" s="30"/>
      <x:c r="K35" s="30"/>
      <x:c r="L35" s="30"/>
      <x:c r="M35" s="30"/>
      <x:c r="N35" s="30"/>
      <x:c r="O35" s="30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  <x:c r="AA35" s="30"/>
      <x:c r="AB35" s="30"/>
      <x:c r="AC35" s="30"/>
      <x:c r="AD35" s="30"/>
      <x:c r="AE35" s="30"/>
      <x:c r="AF35" s="30"/>
      <x:c r="AG35" s="30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>
      <x:c r="A36" s="1"/>
      <x:c r="B36" s="1"/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  <x:c r="M36" s="30"/>
      <x:c r="N36" s="30"/>
      <x:c r="O36" s="30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  <x:c r="AA36" s="30"/>
      <x:c r="AB36" s="30"/>
      <x:c r="AC36" s="30"/>
      <x:c r="AD36" s="30"/>
      <x:c r="AE36" s="30"/>
      <x:c r="AF36" s="30"/>
      <x:c r="AG36" s="30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>
      <x:c r="A37" s="1"/>
      <x:c r="B37" s="1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  <x:c r="O37" s="30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  <x:c r="AA37" s="30"/>
      <x:c r="AB37" s="30"/>
      <x:c r="AC37" s="30"/>
      <x:c r="AD37" s="30"/>
      <x:c r="AE37" s="30"/>
      <x:c r="AF37" s="30"/>
      <x:c r="AG37" s="30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>
      <x:c r="A38" s="1"/>
      <x:c r="B38" s="1"/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  <x:c r="O38" s="30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  <x:c r="AA38" s="30"/>
      <x:c r="AB38" s="30"/>
      <x:c r="AC38" s="30"/>
      <x:c r="AD38" s="30"/>
      <x:c r="AE38" s="30"/>
      <x:c r="AF38" s="30"/>
      <x:c r="AG38" s="30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>
      <x:c r="A39" s="1"/>
      <x:c r="B39" s="1"/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  <x:c r="O39" s="30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  <x:c r="AA39" s="30"/>
      <x:c r="AB39" s="30"/>
      <x:c r="AC39" s="30"/>
      <x:c r="AD39" s="30"/>
      <x:c r="AE39" s="30"/>
      <x:c r="AF39" s="30"/>
      <x:c r="AG39" s="30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>
      <x:c r="A40" s="1"/>
      <x:c r="B40" s="1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  <x:c r="M40" s="30"/>
      <x:c r="N40" s="30"/>
      <x:c r="O40" s="30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  <x:c r="AA40" s="30"/>
      <x:c r="AB40" s="30"/>
      <x:c r="AC40" s="30"/>
      <x:c r="AD40" s="30"/>
      <x:c r="AE40" s="30"/>
      <x:c r="AF40" s="30"/>
      <x:c r="AG40" s="30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>
      <x:c r="A41" s="1"/>
      <x:c r="B41" s="1"/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  <x:c r="AA41" s="30"/>
      <x:c r="AB41" s="30"/>
      <x:c r="AC41" s="30"/>
      <x:c r="AD41" s="30"/>
      <x:c r="AE41" s="30"/>
      <x:c r="AF41" s="30"/>
      <x:c r="AG41" s="30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>
      <x:c r="A42" s="1"/>
      <x:c r="B42" s="1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  <x:c r="AA42" s="30"/>
      <x:c r="AB42" s="30"/>
      <x:c r="AC42" s="30"/>
      <x:c r="AD42" s="30"/>
      <x:c r="AE42" s="30"/>
      <x:c r="AF42" s="30"/>
      <x:c r="AG42" s="30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>
      <x:c r="A43" s="1"/>
      <x:c r="B43" s="1"/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  <x:c r="AA43" s="30"/>
      <x:c r="AB43" s="30"/>
      <x:c r="AC43" s="30"/>
      <x:c r="AD43" s="30"/>
      <x:c r="AE43" s="30"/>
      <x:c r="AF43" s="30"/>
      <x:c r="AG43" s="30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>
      <x:c r="A44" s="1"/>
      <x:c r="B44" s="1"/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  <x:c r="M44" s="30"/>
      <x:c r="N44" s="30"/>
      <x:c r="O44" s="30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  <x:c r="AA44" s="30"/>
      <x:c r="AB44" s="30"/>
      <x:c r="AC44" s="30"/>
      <x:c r="AD44" s="30"/>
      <x:c r="AE44" s="30"/>
      <x:c r="AF44" s="30"/>
      <x:c r="AG44" s="30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>
      <x:c r="A45" s="1"/>
      <x:c r="B45" s="1"/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  <x:c r="AA45" s="30"/>
      <x:c r="AB45" s="30"/>
      <x:c r="AC45" s="30"/>
      <x:c r="AD45" s="30"/>
      <x:c r="AE45" s="30"/>
      <x:c r="AF45" s="30"/>
      <x:c r="AG45" s="30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>
      <x:c r="A46" s="1"/>
      <x:c r="B46" s="1"/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  <x:c r="M46" s="30"/>
      <x:c r="N46" s="30"/>
      <x:c r="O46" s="30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  <x:c r="AA46" s="30"/>
      <x:c r="AB46" s="30"/>
      <x:c r="AC46" s="30"/>
      <x:c r="AD46" s="30"/>
      <x:c r="AE46" s="30"/>
      <x:c r="AF46" s="30"/>
      <x:c r="AG46" s="30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>
      <x:c r="A47" s="1"/>
      <x:c r="B47" s="1"/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  <x:c r="O47" s="30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  <x:c r="AA47" s="30"/>
      <x:c r="AB47" s="30"/>
      <x:c r="AC47" s="30"/>
      <x:c r="AD47" s="30"/>
      <x:c r="AE47" s="30"/>
      <x:c r="AF47" s="30"/>
      <x:c r="AG47" s="30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>
      <x:c r="A48" s="1"/>
      <x:c r="B48" s="1"/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  <x:c r="M48" s="30"/>
      <x:c r="N48" s="30"/>
      <x:c r="O48" s="30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  <x:c r="AA48" s="30"/>
      <x:c r="AB48" s="30"/>
      <x:c r="AC48" s="30"/>
      <x:c r="AD48" s="30"/>
      <x:c r="AE48" s="30"/>
      <x:c r="AF48" s="30"/>
      <x:c r="AG48" s="30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>
      <x:c r="A49" s="1"/>
      <x:c r="B49" s="1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0"/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  <x:c r="AA49" s="30"/>
      <x:c r="AB49" s="30"/>
      <x:c r="AC49" s="30"/>
      <x:c r="AD49" s="30"/>
      <x:c r="AE49" s="30"/>
      <x:c r="AF49" s="30"/>
      <x:c r="AG49" s="30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>
      <x:c r="A50" s="1"/>
      <x:c r="B50" s="1"/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  <x:c r="O50" s="30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  <x:c r="AA50" s="30"/>
      <x:c r="AB50" s="30"/>
      <x:c r="AC50" s="30"/>
      <x:c r="AD50" s="30"/>
      <x:c r="AE50" s="30"/>
      <x:c r="AF50" s="30"/>
      <x:c r="AG50" s="30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>
      <x:c r="A51" s="1"/>
      <x:c r="B51" s="1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  <x:c r="O51" s="30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  <x:c r="AA51" s="30"/>
      <x:c r="AB51" s="30"/>
      <x:c r="AC51" s="30"/>
      <x:c r="AD51" s="30"/>
      <x:c r="AE51" s="30"/>
      <x:c r="AF51" s="30"/>
      <x:c r="AG51" s="30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>
      <x:c r="A52" s="1"/>
      <x:c r="B52" s="1"/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  <x:c r="M52" s="30"/>
      <x:c r="N52" s="30"/>
      <x:c r="O52" s="30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  <x:c r="AA52" s="30"/>
      <x:c r="AB52" s="30"/>
      <x:c r="AC52" s="30"/>
      <x:c r="AD52" s="30"/>
      <x:c r="AE52" s="30"/>
      <x:c r="AF52" s="30"/>
      <x:c r="AG52" s="30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>
      <x:c r="A53" s="1"/>
      <x:c r="B53" s="1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  <x:c r="O53" s="30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  <x:c r="AA53" s="30"/>
      <x:c r="AB53" s="30"/>
      <x:c r="AC53" s="30"/>
      <x:c r="AD53" s="30"/>
      <x:c r="AE53" s="30"/>
      <x:c r="AF53" s="30"/>
      <x:c r="AG53" s="30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>
      <x:c r="A54" s="1"/>
      <x:c r="B54" s="1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  <x:c r="AA54" s="30"/>
      <x:c r="AB54" s="30"/>
      <x:c r="AC54" s="30"/>
      <x:c r="AD54" s="30"/>
      <x:c r="AE54" s="30"/>
      <x:c r="AF54" s="30"/>
      <x:c r="AG54" s="30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>
      <x:c r="A55" s="1"/>
      <x:c r="B55" s="1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  <x:c r="AA55" s="30"/>
      <x:c r="AB55" s="30"/>
      <x:c r="AC55" s="30"/>
      <x:c r="AD55" s="30"/>
      <x:c r="AE55" s="30"/>
      <x:c r="AF55" s="30"/>
      <x:c r="AG55" s="30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>
      <x:c r="A56" s="1"/>
      <x:c r="B56" s="1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  <x:c r="AA56" s="30"/>
      <x:c r="AB56" s="30"/>
      <x:c r="AC56" s="30"/>
      <x:c r="AD56" s="30"/>
      <x:c r="AE56" s="30"/>
      <x:c r="AF56" s="30"/>
      <x:c r="AG56" s="30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>
      <x:c r="A57" s="1"/>
      <x:c r="B57" s="1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  <x:c r="AA57" s="30"/>
      <x:c r="AB57" s="30"/>
      <x:c r="AC57" s="30"/>
      <x:c r="AD57" s="30"/>
      <x:c r="AE57" s="30"/>
      <x:c r="AF57" s="30"/>
      <x:c r="AG57" s="30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>
      <x:c r="A58" s="1"/>
      <x:c r="B58" s="1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0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  <x:c r="AA58" s="30"/>
      <x:c r="AB58" s="30"/>
      <x:c r="AC58" s="30"/>
      <x:c r="AD58" s="30"/>
      <x:c r="AE58" s="30"/>
      <x:c r="AF58" s="30"/>
      <x:c r="AG58" s="30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>
      <x:c r="A59" s="1"/>
      <x:c r="B59" s="1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  <x:c r="M59" s="30"/>
      <x:c r="N59" s="30"/>
      <x:c r="O59" s="30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  <x:c r="AA59" s="30"/>
      <x:c r="AB59" s="30"/>
      <x:c r="AC59" s="30"/>
      <x:c r="AD59" s="30"/>
      <x:c r="AE59" s="30"/>
      <x:c r="AF59" s="30"/>
      <x:c r="AG59" s="30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>
      <x:c r="A60" s="1"/>
      <x:c r="B60" s="1"/>
      <x:c r="C60" s="30"/>
      <x:c r="D60" s="30"/>
      <x:c r="E60" s="30"/>
      <x:c r="F60" s="30"/>
      <x:c r="G60" s="30"/>
      <x:c r="H60" s="30"/>
      <x:c r="I60" s="30"/>
      <x:c r="J60" s="30"/>
      <x:c r="K60" s="30"/>
      <x:c r="L60" s="30"/>
      <x:c r="M60" s="30"/>
      <x:c r="N60" s="30"/>
      <x:c r="O60" s="30"/>
      <x:c r="P60" s="30"/>
      <x:c r="Q60" s="30"/>
      <x:c r="R60" s="30"/>
      <x:c r="S60" s="30"/>
      <x:c r="T60" s="30"/>
      <x:c r="U60" s="30"/>
      <x:c r="V60" s="30"/>
      <x:c r="W60" s="30"/>
      <x:c r="X60" s="30"/>
      <x:c r="Y60" s="30"/>
      <x:c r="Z60" s="30"/>
      <x:c r="AA60" s="30"/>
      <x:c r="AB60" s="30"/>
      <x:c r="AC60" s="30"/>
      <x:c r="AD60" s="30"/>
      <x:c r="AE60" s="30"/>
      <x:c r="AF60" s="30"/>
      <x:c r="AG60" s="30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>
      <x:c r="A61" s="1"/>
      <x:c r="B61" s="1"/>
      <x:c r="C61" s="30"/>
      <x:c r="D61" s="30"/>
      <x:c r="E61" s="30"/>
      <x:c r="F61" s="30"/>
      <x:c r="G61" s="30"/>
      <x:c r="H61" s="30"/>
      <x:c r="I61" s="30"/>
      <x:c r="J61" s="30"/>
      <x:c r="K61" s="30"/>
      <x:c r="L61" s="30"/>
      <x:c r="M61" s="30"/>
      <x:c r="N61" s="30"/>
      <x:c r="O61" s="30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  <x:c r="AA61" s="30"/>
      <x:c r="AB61" s="30"/>
      <x:c r="AC61" s="30"/>
      <x:c r="AD61" s="30"/>
      <x:c r="AE61" s="30"/>
      <x:c r="AF61" s="30"/>
      <x:c r="AG61" s="30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>
      <x:c r="A62" s="1"/>
      <x:c r="B62" s="1"/>
      <x:c r="C62" s="30"/>
      <x:c r="D62" s="30"/>
      <x:c r="E62" s="30"/>
      <x:c r="F62" s="30"/>
      <x:c r="G62" s="30"/>
      <x:c r="H62" s="30"/>
      <x:c r="I62" s="30"/>
      <x:c r="J62" s="30"/>
      <x:c r="K62" s="30"/>
      <x:c r="L62" s="30"/>
      <x:c r="M62" s="30"/>
      <x:c r="N62" s="30"/>
      <x:c r="O62" s="30"/>
      <x:c r="P62" s="30"/>
      <x:c r="Q62" s="30"/>
      <x:c r="R62" s="30"/>
      <x:c r="S62" s="30"/>
      <x:c r="T62" s="30"/>
      <x:c r="U62" s="30"/>
      <x:c r="V62" s="30"/>
      <x:c r="W62" s="30"/>
      <x:c r="X62" s="30"/>
      <x:c r="Y62" s="30"/>
      <x:c r="Z62" s="30"/>
      <x:c r="AA62" s="30"/>
      <x:c r="AB62" s="30"/>
      <x:c r="AC62" s="30"/>
      <x:c r="AD62" s="30"/>
      <x:c r="AE62" s="30"/>
      <x:c r="AF62" s="30"/>
      <x:c r="AG62" s="30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>
      <x:c r="A63" s="1"/>
      <x:c r="B63" s="1"/>
      <x:c r="C63" s="30"/>
      <x:c r="D63" s="30"/>
      <x:c r="E63" s="30"/>
      <x:c r="F63" s="30"/>
      <x:c r="G63" s="30"/>
      <x:c r="H63" s="30"/>
      <x:c r="I63" s="30"/>
      <x:c r="J63" s="30"/>
      <x:c r="K63" s="30"/>
      <x:c r="L63" s="30"/>
      <x:c r="M63" s="30"/>
      <x:c r="N63" s="30"/>
      <x:c r="O63" s="30"/>
      <x:c r="P63" s="30"/>
      <x:c r="Q63" s="30"/>
      <x:c r="R63" s="30"/>
      <x:c r="S63" s="30"/>
      <x:c r="T63" s="30"/>
      <x:c r="U63" s="30"/>
      <x:c r="V63" s="30"/>
      <x:c r="W63" s="30"/>
      <x:c r="X63" s="30"/>
      <x:c r="Y63" s="30"/>
      <x:c r="Z63" s="30"/>
      <x:c r="AA63" s="30"/>
      <x:c r="AB63" s="30"/>
      <x:c r="AC63" s="30"/>
      <x:c r="AD63" s="30"/>
      <x:c r="AE63" s="30"/>
      <x:c r="AF63" s="30"/>
      <x:c r="AG63" s="30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>
      <x:c r="A64" s="1"/>
      <x:c r="B64" s="1"/>
      <x:c r="C64" s="30"/>
      <x:c r="D64" s="30"/>
      <x:c r="E64" s="30"/>
      <x:c r="F64" s="30"/>
      <x:c r="G64" s="30"/>
      <x:c r="H64" s="30"/>
      <x:c r="I64" s="30"/>
      <x:c r="J64" s="30"/>
      <x:c r="K64" s="30"/>
      <x:c r="L64" s="30"/>
      <x:c r="M64" s="30"/>
      <x:c r="N64" s="30"/>
      <x:c r="O64" s="30"/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30"/>
      <x:c r="AA64" s="30"/>
      <x:c r="AB64" s="30"/>
      <x:c r="AC64" s="30"/>
      <x:c r="AD64" s="30"/>
      <x:c r="AE64" s="30"/>
      <x:c r="AF64" s="30"/>
      <x:c r="AG64" s="30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>
      <x:c r="A65" s="1"/>
      <x:c r="B65" s="1"/>
      <x:c r="C65" s="30"/>
      <x:c r="D65" s="30"/>
      <x:c r="E65" s="30"/>
      <x:c r="F65" s="30"/>
      <x:c r="G65" s="30"/>
      <x:c r="H65" s="30"/>
      <x:c r="I65" s="30"/>
      <x:c r="J65" s="30"/>
      <x:c r="K65" s="30"/>
      <x:c r="L65" s="30"/>
      <x:c r="M65" s="30"/>
      <x:c r="N65" s="30"/>
      <x:c r="O65" s="30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  <x:c r="AA65" s="30"/>
      <x:c r="AB65" s="30"/>
      <x:c r="AC65" s="30"/>
      <x:c r="AD65" s="30"/>
      <x:c r="AE65" s="30"/>
      <x:c r="AF65" s="30"/>
      <x:c r="AG65" s="30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>
      <x:c r="A66" s="1"/>
      <x:c r="B66" s="1"/>
      <x:c r="C66" s="30"/>
      <x:c r="D66" s="30"/>
      <x:c r="E66" s="30"/>
      <x:c r="F66" s="30"/>
      <x:c r="G66" s="30"/>
      <x:c r="H66" s="30"/>
      <x:c r="I66" s="30"/>
      <x:c r="J66" s="30"/>
      <x:c r="K66" s="30"/>
      <x:c r="L66" s="30"/>
      <x:c r="M66" s="30"/>
      <x:c r="N66" s="30"/>
      <x:c r="O66" s="30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  <x:c r="AA66" s="30"/>
      <x:c r="AB66" s="30"/>
      <x:c r="AC66" s="30"/>
      <x:c r="AD66" s="30"/>
      <x:c r="AE66" s="30"/>
      <x:c r="AF66" s="30"/>
      <x:c r="AG66" s="30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>
      <x:c r="A67" s="1"/>
      <x:c r="B67" s="1"/>
      <x:c r="C67" s="30"/>
      <x:c r="D67" s="30"/>
      <x:c r="E67" s="30"/>
      <x:c r="F67" s="30"/>
      <x:c r="G67" s="30"/>
      <x:c r="H67" s="30"/>
      <x:c r="I67" s="30"/>
      <x:c r="J67" s="30"/>
      <x:c r="K67" s="30"/>
      <x:c r="L67" s="30"/>
      <x:c r="M67" s="30"/>
      <x:c r="N67" s="30"/>
      <x:c r="O67" s="30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  <x:c r="AA67" s="30"/>
      <x:c r="AB67" s="30"/>
      <x:c r="AC67" s="30"/>
      <x:c r="AD67" s="30"/>
      <x:c r="AE67" s="30"/>
      <x:c r="AF67" s="30"/>
      <x:c r="AG67" s="30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>
      <x:c r="A68" s="1"/>
      <x:c r="B68" s="1"/>
      <x:c r="C68" s="30"/>
      <x:c r="D68" s="30"/>
      <x:c r="E68" s="30"/>
      <x:c r="F68" s="30"/>
      <x:c r="G68" s="30"/>
      <x:c r="H68" s="30"/>
      <x:c r="I68" s="30"/>
      <x:c r="J68" s="30"/>
      <x:c r="K68" s="30"/>
      <x:c r="L68" s="30"/>
      <x:c r="M68" s="30"/>
      <x:c r="N68" s="30"/>
      <x:c r="O68" s="30"/>
      <x:c r="P68" s="30"/>
      <x:c r="Q68" s="30"/>
      <x:c r="R68" s="30"/>
      <x:c r="S68" s="30"/>
      <x:c r="T68" s="30"/>
      <x:c r="U68" s="30"/>
      <x:c r="V68" s="30"/>
      <x:c r="W68" s="30"/>
      <x:c r="X68" s="30"/>
      <x:c r="Y68" s="30"/>
      <x:c r="Z68" s="30"/>
      <x:c r="AA68" s="30"/>
      <x:c r="AB68" s="30"/>
      <x:c r="AC68" s="30"/>
      <x:c r="AD68" s="30"/>
      <x:c r="AE68" s="30"/>
      <x:c r="AF68" s="30"/>
      <x:c r="AG68" s="30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>
      <x:c r="A69" s="1"/>
      <x:c r="B69" s="1"/>
      <x:c r="C69" s="30"/>
      <x:c r="D69" s="30"/>
      <x:c r="E69" s="30"/>
      <x:c r="F69" s="30"/>
      <x:c r="G69" s="30"/>
      <x:c r="H69" s="30"/>
      <x:c r="I69" s="30"/>
      <x:c r="J69" s="30"/>
      <x:c r="K69" s="30"/>
      <x:c r="L69" s="30"/>
      <x:c r="M69" s="30"/>
      <x:c r="N69" s="30"/>
      <x:c r="O69" s="30"/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30"/>
      <x:c r="AA69" s="30"/>
      <x:c r="AB69" s="30"/>
      <x:c r="AC69" s="30"/>
      <x:c r="AD69" s="30"/>
      <x:c r="AE69" s="30"/>
      <x:c r="AF69" s="30"/>
      <x:c r="AG69" s="30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>
      <x:c r="A70" s="1"/>
      <x:c r="B70" s="1"/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  <x:c r="M70" s="30"/>
      <x:c r="N70" s="30"/>
      <x:c r="O70" s="30"/>
      <x:c r="P70" s="30"/>
      <x:c r="Q70" s="30"/>
      <x:c r="R70" s="30"/>
      <x:c r="S70" s="30"/>
      <x:c r="T70" s="30"/>
      <x:c r="U70" s="30"/>
      <x:c r="V70" s="30"/>
      <x:c r="W70" s="30"/>
      <x:c r="X70" s="30"/>
      <x:c r="Y70" s="30"/>
      <x:c r="Z70" s="30"/>
      <x:c r="AA70" s="30"/>
      <x:c r="AB70" s="30"/>
      <x:c r="AC70" s="30"/>
      <x:c r="AD70" s="30"/>
      <x:c r="AE70" s="30"/>
      <x:c r="AF70" s="30"/>
      <x:c r="AG70" s="30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>
      <x:c r="A71" s="1"/>
      <x:c r="B71" s="1"/>
      <x:c r="C71" s="30"/>
      <x:c r="D71" s="30"/>
      <x:c r="E71" s="30"/>
      <x:c r="F71" s="30"/>
      <x:c r="G71" s="30"/>
      <x:c r="H71" s="30"/>
      <x:c r="I71" s="30"/>
      <x:c r="J71" s="30"/>
      <x:c r="K71" s="30"/>
      <x:c r="L71" s="30"/>
      <x:c r="M71" s="30"/>
      <x:c r="N71" s="30"/>
      <x:c r="O71" s="30"/>
      <x:c r="P71" s="30"/>
      <x:c r="Q71" s="30"/>
      <x:c r="R71" s="30"/>
      <x:c r="S71" s="30"/>
      <x:c r="T71" s="30"/>
      <x:c r="U71" s="30"/>
      <x:c r="V71" s="30"/>
      <x:c r="W71" s="30"/>
      <x:c r="X71" s="30"/>
      <x:c r="Y71" s="30"/>
      <x:c r="Z71" s="30"/>
      <x:c r="AA71" s="30"/>
      <x:c r="AB71" s="30"/>
      <x:c r="AC71" s="30"/>
      <x:c r="AD71" s="30"/>
      <x:c r="AE71" s="30"/>
      <x:c r="AF71" s="30"/>
      <x:c r="AG71" s="30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>
      <x:c r="A72" s="1"/>
      <x:c r="B72" s="1"/>
      <x:c r="C72" s="30"/>
      <x:c r="D72" s="30"/>
      <x:c r="E72" s="30"/>
      <x:c r="F72" s="30"/>
      <x:c r="G72" s="30"/>
      <x:c r="H72" s="30"/>
      <x:c r="I72" s="30"/>
      <x:c r="J72" s="30"/>
      <x:c r="K72" s="30"/>
      <x:c r="L72" s="30"/>
      <x:c r="M72" s="30"/>
      <x:c r="N72" s="30"/>
      <x:c r="O72" s="30"/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30"/>
      <x:c r="AA72" s="30"/>
      <x:c r="AB72" s="30"/>
      <x:c r="AC72" s="30"/>
      <x:c r="AD72" s="30"/>
      <x:c r="AE72" s="30"/>
      <x:c r="AF72" s="30"/>
      <x:c r="AG72" s="30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>
      <x:c r="A73" s="1"/>
      <x:c r="B73" s="1"/>
      <x:c r="C73" s="30"/>
      <x:c r="D73" s="30"/>
      <x:c r="E73" s="30"/>
      <x:c r="F73" s="30"/>
      <x:c r="G73" s="30"/>
      <x:c r="H73" s="30"/>
      <x:c r="I73" s="30"/>
      <x:c r="J73" s="30"/>
      <x:c r="K73" s="30"/>
      <x:c r="L73" s="30"/>
      <x:c r="M73" s="30"/>
      <x:c r="N73" s="30"/>
      <x:c r="O73" s="30"/>
      <x:c r="P73" s="30"/>
      <x:c r="Q73" s="30"/>
      <x:c r="R73" s="30"/>
      <x:c r="S73" s="30"/>
      <x:c r="T73" s="30"/>
      <x:c r="U73" s="30"/>
      <x:c r="V73" s="30"/>
      <x:c r="W73" s="30"/>
      <x:c r="X73" s="30"/>
      <x:c r="Y73" s="30"/>
      <x:c r="Z73" s="30"/>
      <x:c r="AA73" s="30"/>
      <x:c r="AB73" s="30"/>
      <x:c r="AC73" s="30"/>
      <x:c r="AD73" s="30"/>
      <x:c r="AE73" s="30"/>
      <x:c r="AF73" s="30"/>
      <x:c r="AG73" s="30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>
      <x:c r="A74" s="1"/>
      <x:c r="B74" s="1"/>
      <x:c r="C74" s="30"/>
      <x:c r="D74" s="30"/>
      <x:c r="E74" s="30"/>
      <x:c r="F74" s="30"/>
      <x:c r="G74" s="30"/>
      <x:c r="H74" s="30"/>
      <x:c r="I74" s="30"/>
      <x:c r="J74" s="30"/>
      <x:c r="K74" s="30"/>
      <x:c r="L74" s="30"/>
      <x:c r="M74" s="30"/>
      <x:c r="N74" s="30"/>
      <x:c r="O74" s="30"/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30"/>
      <x:c r="AA74" s="30"/>
      <x:c r="AB74" s="30"/>
      <x:c r="AC74" s="30"/>
      <x:c r="AD74" s="30"/>
      <x:c r="AE74" s="30"/>
      <x:c r="AF74" s="30"/>
      <x:c r="AG74" s="30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>
      <x:c r="A75" s="1"/>
      <x:c r="B75" s="1"/>
      <x:c r="C75" s="30"/>
      <x:c r="D75" s="30"/>
      <x:c r="E75" s="30"/>
      <x:c r="F75" s="30"/>
      <x:c r="G75" s="30"/>
      <x:c r="H75" s="30"/>
      <x:c r="I75" s="30"/>
      <x:c r="J75" s="30"/>
      <x:c r="K75" s="30"/>
      <x:c r="L75" s="30"/>
      <x:c r="M75" s="30"/>
      <x:c r="N75" s="30"/>
      <x:c r="O75" s="30"/>
      <x:c r="P75" s="30"/>
      <x:c r="Q75" s="30"/>
      <x:c r="R75" s="30"/>
      <x:c r="S75" s="30"/>
      <x:c r="T75" s="30"/>
      <x:c r="U75" s="30"/>
      <x:c r="V75" s="30"/>
      <x:c r="W75" s="30"/>
      <x:c r="X75" s="30"/>
      <x:c r="Y75" s="30"/>
      <x:c r="Z75" s="30"/>
      <x:c r="AA75" s="30"/>
      <x:c r="AB75" s="30"/>
      <x:c r="AC75" s="30"/>
      <x:c r="AD75" s="30"/>
      <x:c r="AE75" s="30"/>
      <x:c r="AF75" s="30"/>
      <x:c r="AG75" s="30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>
      <x:c r="A76" s="1"/>
      <x:c r="B76" s="1"/>
      <x:c r="C76" s="30"/>
      <x:c r="D76" s="30"/>
      <x:c r="E76" s="30"/>
      <x:c r="F76" s="30"/>
      <x:c r="G76" s="30"/>
      <x:c r="H76" s="30"/>
      <x:c r="I76" s="30"/>
      <x:c r="J76" s="30"/>
      <x:c r="K76" s="30"/>
      <x:c r="L76" s="30"/>
      <x:c r="M76" s="30"/>
      <x:c r="N76" s="30"/>
      <x:c r="O76" s="30"/>
      <x:c r="P76" s="30"/>
      <x:c r="Q76" s="30"/>
      <x:c r="R76" s="30"/>
      <x:c r="S76" s="30"/>
      <x:c r="T76" s="30"/>
      <x:c r="U76" s="30"/>
      <x:c r="V76" s="30"/>
      <x:c r="W76" s="30"/>
      <x:c r="X76" s="30"/>
      <x:c r="Y76" s="30"/>
      <x:c r="Z76" s="30"/>
      <x:c r="AA76" s="30"/>
      <x:c r="AB76" s="30"/>
      <x:c r="AC76" s="30"/>
      <x:c r="AD76" s="30"/>
      <x:c r="AE76" s="30"/>
      <x:c r="AF76" s="30"/>
      <x:c r="AG76" s="30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>
      <x:c r="A77" s="1"/>
      <x:c r="B77" s="1"/>
      <x:c r="C77" s="30"/>
      <x:c r="D77" s="30"/>
      <x:c r="E77" s="30"/>
      <x:c r="F77" s="30"/>
      <x:c r="G77" s="30"/>
      <x:c r="H77" s="30"/>
      <x:c r="I77" s="30"/>
      <x:c r="J77" s="30"/>
      <x:c r="K77" s="30"/>
      <x:c r="L77" s="30"/>
      <x:c r="M77" s="30"/>
      <x:c r="N77" s="30"/>
      <x:c r="O77" s="30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  <x:c r="AA77" s="30"/>
      <x:c r="AB77" s="30"/>
      <x:c r="AC77" s="30"/>
      <x:c r="AD77" s="30"/>
      <x:c r="AE77" s="30"/>
      <x:c r="AF77" s="30"/>
      <x:c r="AG77" s="30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>
      <x:c r="A78" s="1"/>
      <x:c r="B78" s="1"/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  <x:c r="O78" s="30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  <x:c r="AA78" s="30"/>
      <x:c r="AB78" s="30"/>
      <x:c r="AC78" s="30"/>
      <x:c r="AD78" s="30"/>
      <x:c r="AE78" s="30"/>
      <x:c r="AF78" s="30"/>
      <x:c r="AG78" s="30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>
      <x:c r="A79" s="1"/>
      <x:c r="B79" s="1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  <x:c r="M79" s="30"/>
      <x:c r="N79" s="30"/>
      <x:c r="O79" s="30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  <x:c r="AA79" s="30"/>
      <x:c r="AB79" s="30"/>
      <x:c r="AC79" s="30"/>
      <x:c r="AD79" s="30"/>
      <x:c r="AE79" s="30"/>
      <x:c r="AF79" s="30"/>
      <x:c r="AG79" s="30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>
      <x:c r="A80" s="1"/>
      <x:c r="B80" s="1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  <x:c r="M80" s="30"/>
      <x:c r="N80" s="30"/>
      <x:c r="O80" s="30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  <x:c r="AA80" s="30"/>
      <x:c r="AB80" s="30"/>
      <x:c r="AC80" s="30"/>
      <x:c r="AD80" s="30"/>
      <x:c r="AE80" s="30"/>
      <x:c r="AF80" s="30"/>
      <x:c r="AG80" s="30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>
      <x:c r="A81" s="1"/>
      <x:c r="B81" s="1"/>
      <x:c r="C81" s="30"/>
      <x:c r="D81" s="30"/>
      <x:c r="E81" s="30"/>
      <x:c r="F81" s="30"/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  <x:c r="AA81" s="30"/>
      <x:c r="AB81" s="30"/>
      <x:c r="AC81" s="30"/>
      <x:c r="AD81" s="30"/>
      <x:c r="AE81" s="30"/>
      <x:c r="AF81" s="30"/>
      <x:c r="AG81" s="30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>
      <x:c r="A82" s="1"/>
      <x:c r="B82" s="1"/>
      <x:c r="C82" s="30"/>
      <x:c r="D82" s="30"/>
      <x:c r="E82" s="30"/>
      <x:c r="F82" s="30"/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30"/>
      <x:c r="AA82" s="30"/>
      <x:c r="AB82" s="30"/>
      <x:c r="AC82" s="30"/>
      <x:c r="AD82" s="30"/>
      <x:c r="AE82" s="30"/>
      <x:c r="AF82" s="30"/>
      <x:c r="AG82" s="30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>
      <x:c r="A83" s="1"/>
      <x:c r="B83" s="1"/>
      <x:c r="C83" s="30"/>
      <x:c r="D83" s="30"/>
      <x:c r="E83" s="30"/>
      <x:c r="F83" s="30"/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30"/>
      <x:c r="AA83" s="30"/>
      <x:c r="AB83" s="30"/>
      <x:c r="AC83" s="30"/>
      <x:c r="AD83" s="30"/>
      <x:c r="AE83" s="30"/>
      <x:c r="AF83" s="30"/>
      <x:c r="AG83" s="30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>
      <x:c r="A84" s="1"/>
      <x:c r="B84" s="1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30"/>
      <x:c r="AA84" s="30"/>
      <x:c r="AB84" s="30"/>
      <x:c r="AC84" s="30"/>
      <x:c r="AD84" s="30"/>
      <x:c r="AE84" s="30"/>
      <x:c r="AF84" s="30"/>
      <x:c r="AG84" s="30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>
      <x:c r="A85" s="1"/>
      <x:c r="B85" s="1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30"/>
      <x:c r="AA85" s="30"/>
      <x:c r="AB85" s="30"/>
      <x:c r="AC85" s="30"/>
      <x:c r="AD85" s="30"/>
      <x:c r="AE85" s="30"/>
      <x:c r="AF85" s="30"/>
      <x:c r="AG85" s="30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>
      <x:c r="A86" s="1"/>
      <x:c r="B86" s="1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30"/>
      <x:c r="AA86" s="30"/>
      <x:c r="AB86" s="30"/>
      <x:c r="AC86" s="30"/>
      <x:c r="AD86" s="30"/>
      <x:c r="AE86" s="30"/>
      <x:c r="AF86" s="30"/>
      <x:c r="AG86" s="30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>
      <x:c r="A87" s="1"/>
      <x:c r="B87" s="1"/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  <x:c r="Y87" s="30"/>
      <x:c r="Z87" s="30"/>
      <x:c r="AA87" s="30"/>
      <x:c r="AB87" s="30"/>
      <x:c r="AC87" s="30"/>
      <x:c r="AD87" s="30"/>
      <x:c r="AE87" s="30"/>
      <x:c r="AF87" s="30"/>
      <x:c r="AG87" s="30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>
      <x:c r="A88" s="1"/>
      <x:c r="B88" s="1"/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  <x:c r="Y88" s="30"/>
      <x:c r="Z88" s="30"/>
      <x:c r="AA88" s="30"/>
      <x:c r="AB88" s="30"/>
      <x:c r="AC88" s="30"/>
      <x:c r="AD88" s="30"/>
      <x:c r="AE88" s="30"/>
      <x:c r="AF88" s="30"/>
      <x:c r="AG88" s="30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>
      <x:c r="A89" s="1"/>
      <x:c r="B89" s="1"/>
      <x:c r="C89" s="30"/>
      <x:c r="D89" s="30"/>
      <x:c r="E89" s="30"/>
      <x:c r="F89" s="30"/>
      <x:c r="G89" s="3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  <x:c r="Y89" s="30"/>
      <x:c r="Z89" s="30"/>
      <x:c r="AA89" s="30"/>
      <x:c r="AB89" s="30"/>
      <x:c r="AC89" s="30"/>
      <x:c r="AD89" s="30"/>
      <x:c r="AE89" s="30"/>
      <x:c r="AF89" s="30"/>
      <x:c r="AG89" s="30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>
      <x:c r="A90" s="1"/>
      <x:c r="B90" s="1"/>
      <x:c r="C90" s="30"/>
      <x:c r="D90" s="30"/>
      <x:c r="E90" s="30"/>
      <x:c r="F90" s="30"/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30"/>
      <x:c r="AA90" s="30"/>
      <x:c r="AB90" s="30"/>
      <x:c r="AC90" s="30"/>
      <x:c r="AD90" s="30"/>
      <x:c r="AE90" s="30"/>
      <x:c r="AF90" s="30"/>
      <x:c r="AG90" s="30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>
      <x:c r="A91" s="1"/>
      <x:c r="B91" s="1"/>
      <x:c r="C91" s="30"/>
      <x:c r="D91" s="30"/>
      <x:c r="E91" s="30"/>
      <x:c r="F91" s="30"/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30"/>
      <x:c r="AA91" s="30"/>
      <x:c r="AB91" s="30"/>
      <x:c r="AC91" s="30"/>
      <x:c r="AD91" s="30"/>
      <x:c r="AE91" s="30"/>
      <x:c r="AF91" s="30"/>
      <x:c r="AG91" s="30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>
      <x:c r="A92" s="1"/>
      <x:c r="B92" s="1"/>
      <x:c r="C92" s="30"/>
      <x:c r="D92" s="30"/>
      <x:c r="E92" s="30"/>
      <x:c r="F92" s="30"/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  <x:c r="AA92" s="30"/>
      <x:c r="AB92" s="30"/>
      <x:c r="AC92" s="30"/>
      <x:c r="AD92" s="30"/>
      <x:c r="AE92" s="30"/>
      <x:c r="AF92" s="30"/>
      <x:c r="AG92" s="30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>
      <x:c r="A93" s="1"/>
      <x:c r="B93" s="1"/>
      <x:c r="C93" s="30"/>
      <x:c r="D93" s="30"/>
      <x:c r="E93" s="30"/>
      <x:c r="F93" s="30"/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  <x:c r="AA93" s="30"/>
      <x:c r="AB93" s="30"/>
      <x:c r="AC93" s="30"/>
      <x:c r="AD93" s="30"/>
      <x:c r="AE93" s="30"/>
      <x:c r="AF93" s="30"/>
      <x:c r="AG93" s="30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>
      <x:c r="A94" s="1"/>
      <x:c r="B94" s="1"/>
      <x:c r="C94" s="30"/>
      <x:c r="D94" s="30"/>
      <x:c r="E94" s="30"/>
      <x:c r="F94" s="30"/>
      <x:c r="G94" s="3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30"/>
      <x:c r="AA94" s="30"/>
      <x:c r="AB94" s="30"/>
      <x:c r="AC94" s="30"/>
      <x:c r="AD94" s="30"/>
      <x:c r="AE94" s="30"/>
      <x:c r="AF94" s="30"/>
      <x:c r="AG94" s="30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>
      <x:c r="A95" s="1"/>
      <x:c r="B95" s="1"/>
      <x:c r="C95" s="30"/>
      <x:c r="D95" s="30"/>
      <x:c r="E95" s="30"/>
      <x:c r="F95" s="30"/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30"/>
      <x:c r="AA95" s="30"/>
      <x:c r="AB95" s="30"/>
      <x:c r="AC95" s="30"/>
      <x:c r="AD95" s="30"/>
      <x:c r="AE95" s="30"/>
      <x:c r="AF95" s="30"/>
      <x:c r="AG95" s="30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>
      <x:c r="A96" s="1"/>
      <x:c r="B96" s="1"/>
      <x:c r="C96" s="30"/>
      <x:c r="D96" s="30"/>
      <x:c r="E96" s="30"/>
      <x:c r="F96" s="30"/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30"/>
      <x:c r="AA96" s="30"/>
      <x:c r="AB96" s="30"/>
      <x:c r="AC96" s="30"/>
      <x:c r="AD96" s="30"/>
      <x:c r="AE96" s="30"/>
      <x:c r="AF96" s="30"/>
      <x:c r="AG96" s="30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>
      <x:c r="A97" s="1"/>
      <x:c r="B97" s="1"/>
      <x:c r="C97" s="30"/>
      <x:c r="D97" s="30"/>
      <x:c r="E97" s="30"/>
      <x:c r="F97" s="30"/>
      <x:c r="G97" s="3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30"/>
      <x:c r="AA97" s="30"/>
      <x:c r="AB97" s="30"/>
      <x:c r="AC97" s="30"/>
      <x:c r="AD97" s="30"/>
      <x:c r="AE97" s="30"/>
      <x:c r="AF97" s="30"/>
      <x:c r="AG97" s="30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>
      <x:c r="A98" s="1"/>
      <x:c r="B98" s="1"/>
      <x:c r="C98" s="30"/>
      <x:c r="D98" s="30"/>
      <x:c r="E98" s="30"/>
      <x:c r="F98" s="30"/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30"/>
      <x:c r="AA98" s="30"/>
      <x:c r="AB98" s="30"/>
      <x:c r="AC98" s="30"/>
      <x:c r="AD98" s="30"/>
      <x:c r="AE98" s="30"/>
      <x:c r="AF98" s="30"/>
      <x:c r="AG98" s="30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>
      <x:c r="A99" s="1"/>
      <x:c r="B99" s="1"/>
      <x:c r="C99" s="30"/>
      <x:c r="D99" s="30"/>
      <x:c r="E99" s="30"/>
      <x:c r="F99" s="30"/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30"/>
      <x:c r="AA99" s="30"/>
      <x:c r="AB99" s="30"/>
      <x:c r="AC99" s="30"/>
      <x:c r="AD99" s="30"/>
      <x:c r="AE99" s="30"/>
      <x:c r="AF99" s="30"/>
      <x:c r="AG99" s="30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>
      <x:c r="A100" s="1"/>
      <x:c r="B100" s="1"/>
      <x:c r="C100" s="30"/>
      <x:c r="D100" s="30"/>
      <x:c r="E100" s="30"/>
      <x:c r="F100" s="30"/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30"/>
      <x:c r="AA100" s="30"/>
      <x:c r="AB100" s="30"/>
      <x:c r="AC100" s="30"/>
      <x:c r="AD100" s="30"/>
      <x:c r="AE100" s="30"/>
      <x:c r="AF100" s="30"/>
      <x:c r="AG100" s="30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>
      <x:c r="A101" s="1"/>
      <x:c r="B101" s="1"/>
      <x:c r="C101" s="30"/>
      <x:c r="D101" s="30"/>
      <x:c r="E101" s="30"/>
      <x:c r="F101" s="30"/>
      <x:c r="G101" s="30"/>
      <x:c r="H101" s="30"/>
      <x:c r="I101" s="30"/>
      <x:c r="J101" s="30"/>
      <x:c r="K101" s="30"/>
      <x:c r="L101" s="30"/>
      <x:c r="M101" s="30"/>
      <x:c r="N101" s="30"/>
      <x:c r="O101" s="30"/>
      <x:c r="P101" s="30"/>
      <x:c r="Q101" s="30"/>
      <x:c r="R101" s="30"/>
      <x:c r="S101" s="30"/>
      <x:c r="T101" s="30"/>
      <x:c r="U101" s="30"/>
      <x:c r="V101" s="30"/>
      <x:c r="W101" s="30"/>
      <x:c r="X101" s="30"/>
      <x:c r="Y101" s="30"/>
      <x:c r="Z101" s="30"/>
      <x:c r="AA101" s="30"/>
      <x:c r="AB101" s="30"/>
      <x:c r="AC101" s="30"/>
      <x:c r="AD101" s="30"/>
      <x:c r="AE101" s="30"/>
      <x:c r="AF101" s="30"/>
      <x:c r="AG101" s="30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>
      <x:c r="A102" s="1"/>
      <x:c r="B102" s="1"/>
      <x:c r="C102" s="30"/>
      <x:c r="D102" s="30"/>
      <x:c r="E102" s="30"/>
      <x:c r="F102" s="30"/>
      <x:c r="G102" s="30"/>
      <x:c r="H102" s="30"/>
      <x:c r="I102" s="30"/>
      <x:c r="J102" s="30"/>
      <x:c r="K102" s="30"/>
      <x:c r="L102" s="30"/>
      <x:c r="M102" s="30"/>
      <x:c r="N102" s="30"/>
      <x:c r="O102" s="30"/>
      <x:c r="P102" s="30"/>
      <x:c r="Q102" s="30"/>
      <x:c r="R102" s="30"/>
      <x:c r="S102" s="30"/>
      <x:c r="T102" s="30"/>
      <x:c r="U102" s="30"/>
      <x:c r="V102" s="30"/>
      <x:c r="W102" s="30"/>
      <x:c r="X102" s="30"/>
      <x:c r="Y102" s="30"/>
      <x:c r="Z102" s="30"/>
      <x:c r="AA102" s="30"/>
      <x:c r="AB102" s="30"/>
      <x:c r="AC102" s="30"/>
      <x:c r="AD102" s="30"/>
      <x:c r="AE102" s="30"/>
      <x:c r="AF102" s="30"/>
      <x:c r="AG102" s="30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>
      <x:c r="A103" s="1"/>
      <x:c r="B103" s="1"/>
      <x:c r="C103" s="30"/>
      <x:c r="D103" s="30"/>
      <x:c r="E103" s="30"/>
      <x:c r="F103" s="30"/>
      <x:c r="G103" s="3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0"/>
      <x:c r="T103" s="30"/>
      <x:c r="U103" s="30"/>
      <x:c r="V103" s="30"/>
      <x:c r="W103" s="30"/>
      <x:c r="X103" s="30"/>
      <x:c r="Y103" s="30"/>
      <x:c r="Z103" s="30"/>
      <x:c r="AA103" s="30"/>
      <x:c r="AB103" s="30"/>
      <x:c r="AC103" s="30"/>
      <x:c r="AD103" s="30"/>
      <x:c r="AE103" s="30"/>
      <x:c r="AF103" s="30"/>
      <x:c r="AG103" s="30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>
      <x:c r="A104" s="1"/>
      <x:c r="B104" s="1"/>
      <x:c r="C104" s="30"/>
      <x:c r="D104" s="30"/>
      <x:c r="E104" s="30"/>
      <x:c r="F104" s="30"/>
      <x:c r="G104" s="30"/>
      <x:c r="H104" s="30"/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0"/>
      <x:c r="T104" s="30"/>
      <x:c r="U104" s="30"/>
      <x:c r="V104" s="30"/>
      <x:c r="W104" s="30"/>
      <x:c r="X104" s="30"/>
      <x:c r="Y104" s="30"/>
      <x:c r="Z104" s="30"/>
      <x:c r="AA104" s="30"/>
      <x:c r="AB104" s="30"/>
      <x:c r="AC104" s="30"/>
      <x:c r="AD104" s="30"/>
      <x:c r="AE104" s="30"/>
      <x:c r="AF104" s="30"/>
      <x:c r="AG104" s="30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>
      <x:c r="A105" s="1"/>
      <x:c r="B105" s="1"/>
      <x:c r="C105" s="30"/>
      <x:c r="D105" s="30"/>
      <x:c r="E105" s="30"/>
      <x:c r="F105" s="30"/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  <x:c r="Q105" s="30"/>
      <x:c r="R105" s="30"/>
      <x:c r="S105" s="30"/>
      <x:c r="T105" s="30"/>
      <x:c r="U105" s="30"/>
      <x:c r="V105" s="30"/>
      <x:c r="W105" s="30"/>
      <x:c r="X105" s="30"/>
      <x:c r="Y105" s="30"/>
      <x:c r="Z105" s="30"/>
      <x:c r="AA105" s="30"/>
      <x:c r="AB105" s="30"/>
      <x:c r="AC105" s="30"/>
      <x:c r="AD105" s="30"/>
      <x:c r="AE105" s="30"/>
      <x:c r="AF105" s="30"/>
      <x:c r="AG105" s="30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>
      <x:c r="A106" s="1"/>
      <x:c r="B106" s="1"/>
      <x:c r="C106" s="30"/>
      <x:c r="D106" s="30"/>
      <x:c r="E106" s="30"/>
      <x:c r="F106" s="30"/>
      <x:c r="G106" s="30"/>
      <x:c r="H106" s="30"/>
      <x:c r="I106" s="30"/>
      <x:c r="J106" s="30"/>
      <x:c r="K106" s="30"/>
      <x:c r="L106" s="30"/>
      <x:c r="M106" s="30"/>
      <x:c r="N106" s="30"/>
      <x:c r="O106" s="30"/>
      <x:c r="P106" s="30"/>
      <x:c r="Q106" s="30"/>
      <x:c r="R106" s="30"/>
      <x:c r="S106" s="30"/>
      <x:c r="T106" s="30"/>
      <x:c r="U106" s="30"/>
      <x:c r="V106" s="30"/>
      <x:c r="W106" s="30"/>
      <x:c r="X106" s="30"/>
      <x:c r="Y106" s="30"/>
      <x:c r="Z106" s="30"/>
      <x:c r="AA106" s="30"/>
      <x:c r="AB106" s="30"/>
      <x:c r="AC106" s="30"/>
      <x:c r="AD106" s="30"/>
      <x:c r="AE106" s="30"/>
      <x:c r="AF106" s="30"/>
      <x:c r="AG106" s="30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>
      <x:c r="A107" s="1"/>
      <x:c r="B107" s="1"/>
      <x:c r="C107" s="30"/>
      <x:c r="D107" s="30"/>
      <x:c r="E107" s="30"/>
      <x:c r="F107" s="30"/>
      <x:c r="G107" s="30"/>
      <x:c r="H107" s="30"/>
      <x:c r="I107" s="30"/>
      <x:c r="J107" s="30"/>
      <x:c r="K107" s="30"/>
      <x:c r="L107" s="30"/>
      <x:c r="M107" s="30"/>
      <x:c r="N107" s="30"/>
      <x:c r="O107" s="30"/>
      <x:c r="P107" s="30"/>
      <x:c r="Q107" s="30"/>
      <x:c r="R107" s="30"/>
      <x:c r="S107" s="30"/>
      <x:c r="T107" s="30"/>
      <x:c r="U107" s="30"/>
      <x:c r="V107" s="30"/>
      <x:c r="W107" s="30"/>
      <x:c r="X107" s="30"/>
      <x:c r="Y107" s="30"/>
      <x:c r="Z107" s="30"/>
      <x:c r="AA107" s="30"/>
      <x:c r="AB107" s="30"/>
      <x:c r="AC107" s="30"/>
      <x:c r="AD107" s="30"/>
      <x:c r="AE107" s="30"/>
      <x:c r="AF107" s="30"/>
      <x:c r="AG107" s="30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>
      <x:c r="A108" s="1"/>
      <x:c r="B108" s="1"/>
      <x:c r="C108" s="30"/>
      <x:c r="D108" s="30"/>
      <x:c r="E108" s="30"/>
      <x:c r="F108" s="30"/>
      <x:c r="G108" s="30"/>
      <x:c r="H108" s="30"/>
      <x:c r="I108" s="30"/>
      <x:c r="J108" s="30"/>
      <x:c r="K108" s="30"/>
      <x:c r="L108" s="30"/>
      <x:c r="M108" s="30"/>
      <x:c r="N108" s="30"/>
      <x:c r="O108" s="30"/>
      <x:c r="P108" s="30"/>
      <x:c r="Q108" s="30"/>
      <x:c r="R108" s="30"/>
      <x:c r="S108" s="30"/>
      <x:c r="T108" s="30"/>
      <x:c r="U108" s="30"/>
      <x:c r="V108" s="30"/>
      <x:c r="W108" s="30"/>
      <x:c r="X108" s="30"/>
      <x:c r="Y108" s="30"/>
      <x:c r="Z108" s="30"/>
      <x:c r="AA108" s="30"/>
      <x:c r="AB108" s="30"/>
      <x:c r="AC108" s="30"/>
      <x:c r="AD108" s="30"/>
      <x:c r="AE108" s="30"/>
      <x:c r="AF108" s="30"/>
      <x:c r="AG108" s="30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>
      <x:c r="A109" s="1"/>
      <x:c r="B109" s="1"/>
      <x:c r="C109" s="30"/>
      <x:c r="D109" s="30"/>
      <x:c r="E109" s="30"/>
      <x:c r="F109" s="30"/>
      <x:c r="G109" s="30"/>
      <x:c r="H109" s="30"/>
      <x:c r="I109" s="30"/>
      <x:c r="J109" s="30"/>
      <x:c r="K109" s="30"/>
      <x:c r="L109" s="30"/>
      <x:c r="M109" s="30"/>
      <x:c r="N109" s="30"/>
      <x:c r="O109" s="30"/>
      <x:c r="P109" s="30"/>
      <x:c r="Q109" s="30"/>
      <x:c r="R109" s="30"/>
      <x:c r="S109" s="30"/>
      <x:c r="T109" s="30"/>
      <x:c r="U109" s="30"/>
      <x:c r="V109" s="30"/>
      <x:c r="W109" s="30"/>
      <x:c r="X109" s="30"/>
      <x:c r="Y109" s="30"/>
      <x:c r="Z109" s="30"/>
      <x:c r="AA109" s="30"/>
      <x:c r="AB109" s="30"/>
      <x:c r="AC109" s="30"/>
      <x:c r="AD109" s="30"/>
      <x:c r="AE109" s="30"/>
      <x:c r="AF109" s="30"/>
      <x:c r="AG109" s="30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>
      <x:c r="A110" s="1"/>
      <x:c r="B110" s="1"/>
      <x:c r="C110" s="30"/>
      <x:c r="D110" s="30"/>
      <x:c r="E110" s="30"/>
      <x:c r="F110" s="30"/>
      <x:c r="G110" s="30"/>
      <x:c r="H110" s="30"/>
      <x:c r="I110" s="30"/>
      <x:c r="J110" s="30"/>
      <x:c r="K110" s="30"/>
      <x:c r="L110" s="30"/>
      <x:c r="M110" s="30"/>
      <x:c r="N110" s="30"/>
      <x:c r="O110" s="30"/>
      <x:c r="P110" s="30"/>
      <x:c r="Q110" s="30"/>
      <x:c r="R110" s="30"/>
      <x:c r="S110" s="30"/>
      <x:c r="T110" s="30"/>
      <x:c r="U110" s="30"/>
      <x:c r="V110" s="30"/>
      <x:c r="W110" s="30"/>
      <x:c r="X110" s="30"/>
      <x:c r="Y110" s="30"/>
      <x:c r="Z110" s="30"/>
      <x:c r="AA110" s="30"/>
      <x:c r="AB110" s="30"/>
      <x:c r="AC110" s="30"/>
      <x:c r="AD110" s="30"/>
      <x:c r="AE110" s="30"/>
      <x:c r="AF110" s="30"/>
      <x:c r="AG110" s="30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>
      <x:c r="A111" s="1"/>
      <x:c r="B111" s="1"/>
      <x:c r="C111" s="30"/>
      <x:c r="D111" s="30"/>
      <x:c r="E111" s="30"/>
      <x:c r="F111" s="30"/>
      <x:c r="G111" s="30"/>
      <x:c r="H111" s="30"/>
      <x:c r="I111" s="30"/>
      <x:c r="J111" s="30"/>
      <x:c r="K111" s="30"/>
      <x:c r="L111" s="30"/>
      <x:c r="M111" s="30"/>
      <x:c r="N111" s="30"/>
      <x:c r="O111" s="30"/>
      <x:c r="P111" s="30"/>
      <x:c r="Q111" s="30"/>
      <x:c r="R111" s="30"/>
      <x:c r="S111" s="30"/>
      <x:c r="T111" s="30"/>
      <x:c r="U111" s="30"/>
      <x:c r="V111" s="30"/>
      <x:c r="W111" s="30"/>
      <x:c r="X111" s="30"/>
      <x:c r="Y111" s="30"/>
      <x:c r="Z111" s="30"/>
      <x:c r="AA111" s="30"/>
      <x:c r="AB111" s="30"/>
      <x:c r="AC111" s="30"/>
      <x:c r="AD111" s="30"/>
      <x:c r="AE111" s="30"/>
      <x:c r="AF111" s="30"/>
      <x:c r="AG111" s="30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>
      <x:c r="A112" s="1"/>
      <x:c r="B112" s="1"/>
      <x:c r="C112" s="30"/>
      <x:c r="D112" s="30"/>
      <x:c r="E112" s="30"/>
      <x:c r="F112" s="30"/>
      <x:c r="G112" s="30"/>
      <x:c r="H112" s="30"/>
      <x:c r="I112" s="30"/>
      <x:c r="J112" s="30"/>
      <x:c r="K112" s="30"/>
      <x:c r="L112" s="30"/>
      <x:c r="M112" s="30"/>
      <x:c r="N112" s="30"/>
      <x:c r="O112" s="30"/>
      <x:c r="P112" s="30"/>
      <x:c r="Q112" s="30"/>
      <x:c r="R112" s="30"/>
      <x:c r="S112" s="30"/>
      <x:c r="T112" s="30"/>
      <x:c r="U112" s="30"/>
      <x:c r="V112" s="30"/>
      <x:c r="W112" s="30"/>
      <x:c r="X112" s="30"/>
      <x:c r="Y112" s="30"/>
      <x:c r="Z112" s="30"/>
      <x:c r="AA112" s="30"/>
      <x:c r="AB112" s="30"/>
      <x:c r="AC112" s="30"/>
      <x:c r="AD112" s="30"/>
      <x:c r="AE112" s="30"/>
      <x:c r="AF112" s="30"/>
      <x:c r="AG112" s="30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>
      <x:c r="A113" s="1"/>
      <x:c r="B113" s="1"/>
      <x:c r="C113" s="30"/>
      <x:c r="D113" s="30"/>
      <x:c r="E113" s="30"/>
      <x:c r="F113" s="30"/>
      <x:c r="G113" s="30"/>
      <x:c r="H113" s="30"/>
      <x:c r="I113" s="30"/>
      <x:c r="J113" s="30"/>
      <x:c r="K113" s="30"/>
      <x:c r="L113" s="30"/>
      <x:c r="M113" s="30"/>
      <x:c r="N113" s="30"/>
      <x:c r="O113" s="30"/>
      <x:c r="P113" s="30"/>
      <x:c r="Q113" s="30"/>
      <x:c r="R113" s="30"/>
      <x:c r="S113" s="30"/>
      <x:c r="T113" s="30"/>
      <x:c r="U113" s="30"/>
      <x:c r="V113" s="30"/>
      <x:c r="W113" s="30"/>
      <x:c r="X113" s="30"/>
      <x:c r="Y113" s="30"/>
      <x:c r="Z113" s="30"/>
      <x:c r="AA113" s="30"/>
      <x:c r="AB113" s="30"/>
      <x:c r="AC113" s="30"/>
      <x:c r="AD113" s="30"/>
      <x:c r="AE113" s="30"/>
      <x:c r="AF113" s="30"/>
      <x:c r="AG113" s="30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>
      <x:c r="A114" s="1"/>
      <x:c r="B114" s="1"/>
      <x:c r="C114" s="30"/>
      <x:c r="D114" s="30"/>
      <x:c r="E114" s="30"/>
      <x:c r="F114" s="30"/>
      <x:c r="G114" s="30"/>
      <x:c r="H114" s="30"/>
      <x:c r="I114" s="30"/>
      <x:c r="J114" s="30"/>
      <x:c r="K114" s="30"/>
      <x:c r="L114" s="30"/>
      <x:c r="M114" s="30"/>
      <x:c r="N114" s="30"/>
      <x:c r="O114" s="30"/>
      <x:c r="P114" s="30"/>
      <x:c r="Q114" s="30"/>
      <x:c r="R114" s="30"/>
      <x:c r="S114" s="30"/>
      <x:c r="T114" s="30"/>
      <x:c r="U114" s="30"/>
      <x:c r="V114" s="30"/>
      <x:c r="W114" s="30"/>
      <x:c r="X114" s="30"/>
      <x:c r="Y114" s="30"/>
      <x:c r="Z114" s="30"/>
      <x:c r="AA114" s="30"/>
      <x:c r="AB114" s="30"/>
      <x:c r="AC114" s="30"/>
      <x:c r="AD114" s="30"/>
      <x:c r="AE114" s="30"/>
      <x:c r="AF114" s="30"/>
      <x:c r="AG114" s="30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>
      <x:c r="A115" s="1"/>
      <x:c r="B115" s="1"/>
      <x:c r="C115" s="30"/>
      <x:c r="D115" s="30"/>
      <x:c r="E115" s="30"/>
      <x:c r="F115" s="30"/>
      <x:c r="G115" s="30"/>
      <x:c r="H115" s="30"/>
      <x:c r="I115" s="30"/>
      <x:c r="J115" s="30"/>
      <x:c r="K115" s="30"/>
      <x:c r="L115" s="30"/>
      <x:c r="M115" s="30"/>
      <x:c r="N115" s="30"/>
      <x:c r="O115" s="30"/>
      <x:c r="P115" s="30"/>
      <x:c r="Q115" s="30"/>
      <x:c r="R115" s="30"/>
      <x:c r="S115" s="30"/>
      <x:c r="T115" s="30"/>
      <x:c r="U115" s="30"/>
      <x:c r="V115" s="30"/>
      <x:c r="W115" s="30"/>
      <x:c r="X115" s="30"/>
      <x:c r="Y115" s="30"/>
      <x:c r="Z115" s="30"/>
      <x:c r="AA115" s="30"/>
      <x:c r="AB115" s="30"/>
      <x:c r="AC115" s="30"/>
      <x:c r="AD115" s="30"/>
      <x:c r="AE115" s="30"/>
      <x:c r="AF115" s="30"/>
      <x:c r="AG115" s="30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>
      <x:c r="A116" s="1"/>
      <x:c r="B116" s="1"/>
      <x:c r="C116" s="30"/>
      <x:c r="D116" s="30"/>
      <x:c r="E116" s="30"/>
      <x:c r="F116" s="30"/>
      <x:c r="G116" s="30"/>
      <x:c r="H116" s="30"/>
      <x:c r="I116" s="30"/>
      <x:c r="J116" s="30"/>
      <x:c r="K116" s="30"/>
      <x:c r="L116" s="30"/>
      <x:c r="M116" s="30"/>
      <x:c r="N116" s="30"/>
      <x:c r="O116" s="30"/>
      <x:c r="P116" s="30"/>
      <x:c r="Q116" s="30"/>
      <x:c r="R116" s="30"/>
      <x:c r="S116" s="30"/>
      <x:c r="T116" s="30"/>
      <x:c r="U116" s="30"/>
      <x:c r="V116" s="30"/>
      <x:c r="W116" s="30"/>
      <x:c r="X116" s="30"/>
      <x:c r="Y116" s="30"/>
      <x:c r="Z116" s="30"/>
      <x:c r="AA116" s="30"/>
      <x:c r="AB116" s="30"/>
      <x:c r="AC116" s="30"/>
      <x:c r="AD116" s="30"/>
      <x:c r="AE116" s="30"/>
      <x:c r="AF116" s="30"/>
      <x:c r="AG116" s="30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>
      <x:c r="A117" s="1"/>
      <x:c r="B117" s="1"/>
      <x:c r="C117" s="30"/>
      <x:c r="D117" s="30"/>
      <x:c r="E117" s="30"/>
      <x:c r="F117" s="30"/>
      <x:c r="G117" s="30"/>
      <x:c r="H117" s="30"/>
      <x:c r="I117" s="30"/>
      <x:c r="J117" s="30"/>
      <x:c r="K117" s="30"/>
      <x:c r="L117" s="30"/>
      <x:c r="M117" s="30"/>
      <x:c r="N117" s="30"/>
      <x:c r="O117" s="30"/>
      <x:c r="P117" s="30"/>
      <x:c r="Q117" s="30"/>
      <x:c r="R117" s="30"/>
      <x:c r="S117" s="30"/>
      <x:c r="T117" s="30"/>
      <x:c r="U117" s="30"/>
      <x:c r="V117" s="30"/>
      <x:c r="W117" s="30"/>
      <x:c r="X117" s="30"/>
      <x:c r="Y117" s="30"/>
      <x:c r="Z117" s="30"/>
      <x:c r="AA117" s="30"/>
      <x:c r="AB117" s="30"/>
      <x:c r="AC117" s="30"/>
      <x:c r="AD117" s="30"/>
      <x:c r="AE117" s="30"/>
      <x:c r="AF117" s="30"/>
      <x:c r="AG117" s="30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>
      <x:c r="A118" s="1"/>
      <x:c r="B118" s="1"/>
      <x:c r="C118" s="30"/>
      <x:c r="D118" s="30"/>
      <x:c r="E118" s="30"/>
      <x:c r="F118" s="30"/>
      <x:c r="G118" s="30"/>
      <x:c r="H118" s="30"/>
      <x:c r="I118" s="30"/>
      <x:c r="J118" s="30"/>
      <x:c r="K118" s="30"/>
      <x:c r="L118" s="30"/>
      <x:c r="M118" s="30"/>
      <x:c r="N118" s="30"/>
      <x:c r="O118" s="30"/>
      <x:c r="P118" s="30"/>
      <x:c r="Q118" s="30"/>
      <x:c r="R118" s="30"/>
      <x:c r="S118" s="30"/>
      <x:c r="T118" s="30"/>
      <x:c r="U118" s="30"/>
      <x:c r="V118" s="30"/>
      <x:c r="W118" s="30"/>
      <x:c r="X118" s="30"/>
      <x:c r="Y118" s="30"/>
      <x:c r="Z118" s="30"/>
      <x:c r="AA118" s="30"/>
      <x:c r="AB118" s="30"/>
      <x:c r="AC118" s="30"/>
      <x:c r="AD118" s="30"/>
      <x:c r="AE118" s="30"/>
      <x:c r="AF118" s="30"/>
      <x:c r="AG118" s="30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>
      <x:c r="A119" s="1"/>
      <x:c r="B119" s="1"/>
      <x:c r="C119" s="30"/>
      <x:c r="D119" s="30"/>
      <x:c r="E119" s="30"/>
      <x:c r="F119" s="30"/>
      <x:c r="G119" s="30"/>
      <x:c r="H119" s="30"/>
      <x:c r="I119" s="30"/>
      <x:c r="J119" s="30"/>
      <x:c r="K119" s="30"/>
      <x:c r="L119" s="30"/>
      <x:c r="M119" s="30"/>
      <x:c r="N119" s="30"/>
      <x:c r="O119" s="30"/>
      <x:c r="P119" s="30"/>
      <x:c r="Q119" s="30"/>
      <x:c r="R119" s="30"/>
      <x:c r="S119" s="30"/>
      <x:c r="T119" s="30"/>
      <x:c r="U119" s="30"/>
      <x:c r="V119" s="30"/>
      <x:c r="W119" s="30"/>
      <x:c r="X119" s="30"/>
      <x:c r="Y119" s="30"/>
      <x:c r="Z119" s="30"/>
      <x:c r="AA119" s="30"/>
      <x:c r="AB119" s="30"/>
      <x:c r="AC119" s="30"/>
      <x:c r="AD119" s="30"/>
      <x:c r="AE119" s="30"/>
      <x:c r="AF119" s="30"/>
      <x:c r="AG119" s="30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>
      <x:c r="A120" s="1"/>
      <x:c r="B120" s="1"/>
      <x:c r="C120" s="30"/>
      <x:c r="D120" s="30"/>
      <x:c r="E120" s="30"/>
      <x:c r="F120" s="30"/>
      <x:c r="G120" s="30"/>
      <x:c r="H120" s="30"/>
      <x:c r="I120" s="30"/>
      <x:c r="J120" s="30"/>
      <x:c r="K120" s="30"/>
      <x:c r="L120" s="30"/>
      <x:c r="M120" s="30"/>
      <x:c r="N120" s="30"/>
      <x:c r="O120" s="30"/>
      <x:c r="P120" s="30"/>
      <x:c r="Q120" s="30"/>
      <x:c r="R120" s="30"/>
      <x:c r="S120" s="30"/>
      <x:c r="T120" s="30"/>
      <x:c r="U120" s="30"/>
      <x:c r="V120" s="30"/>
      <x:c r="W120" s="30"/>
      <x:c r="X120" s="30"/>
      <x:c r="Y120" s="30"/>
      <x:c r="Z120" s="30"/>
      <x:c r="AA120" s="30"/>
      <x:c r="AB120" s="30"/>
      <x:c r="AC120" s="30"/>
      <x:c r="AD120" s="30"/>
      <x:c r="AE120" s="30"/>
      <x:c r="AF120" s="30"/>
      <x:c r="AG120" s="30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>
      <x:c r="A121" s="1"/>
      <x:c r="B121" s="1"/>
      <x:c r="C121" s="30"/>
      <x:c r="D121" s="30"/>
      <x:c r="E121" s="30"/>
      <x:c r="F121" s="30"/>
      <x:c r="G121" s="30"/>
      <x:c r="H121" s="30"/>
      <x:c r="I121" s="30"/>
      <x:c r="J121" s="30"/>
      <x:c r="K121" s="30"/>
      <x:c r="L121" s="30"/>
      <x:c r="M121" s="30"/>
      <x:c r="N121" s="30"/>
      <x:c r="O121" s="30"/>
      <x:c r="P121" s="30"/>
      <x:c r="Q121" s="30"/>
      <x:c r="R121" s="30"/>
      <x:c r="S121" s="30"/>
      <x:c r="T121" s="30"/>
      <x:c r="U121" s="30"/>
      <x:c r="V121" s="30"/>
      <x:c r="W121" s="30"/>
      <x:c r="X121" s="30"/>
      <x:c r="Y121" s="30"/>
      <x:c r="Z121" s="30"/>
      <x:c r="AA121" s="30"/>
      <x:c r="AB121" s="30"/>
      <x:c r="AC121" s="30"/>
      <x:c r="AD121" s="30"/>
      <x:c r="AE121" s="30"/>
      <x:c r="AF121" s="30"/>
      <x:c r="AG121" s="30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>
      <x:c r="A122" s="1"/>
      <x:c r="B122" s="1"/>
      <x:c r="C122" s="30"/>
      <x:c r="D122" s="30"/>
      <x:c r="E122" s="30"/>
      <x:c r="F122" s="30"/>
      <x:c r="G122" s="30"/>
      <x:c r="H122" s="30"/>
      <x:c r="I122" s="30"/>
      <x:c r="J122" s="30"/>
      <x:c r="K122" s="30"/>
      <x:c r="L122" s="30"/>
      <x:c r="M122" s="30"/>
      <x:c r="N122" s="30"/>
      <x:c r="O122" s="30"/>
      <x:c r="P122" s="30"/>
      <x:c r="Q122" s="30"/>
      <x:c r="R122" s="30"/>
      <x:c r="S122" s="30"/>
      <x:c r="T122" s="30"/>
      <x:c r="U122" s="30"/>
      <x:c r="V122" s="30"/>
      <x:c r="W122" s="30"/>
      <x:c r="X122" s="30"/>
      <x:c r="Y122" s="30"/>
      <x:c r="Z122" s="30"/>
      <x:c r="AA122" s="30"/>
      <x:c r="AB122" s="30"/>
      <x:c r="AC122" s="30"/>
      <x:c r="AD122" s="30"/>
      <x:c r="AE122" s="30"/>
      <x:c r="AF122" s="30"/>
      <x:c r="AG122" s="30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>
      <x:c r="A123" s="1"/>
      <x:c r="B123" s="1"/>
      <x:c r="C123" s="30"/>
      <x:c r="D123" s="30"/>
      <x:c r="E123" s="30"/>
      <x:c r="F123" s="30"/>
      <x:c r="G123" s="30"/>
      <x:c r="H123" s="30"/>
      <x:c r="I123" s="30"/>
      <x:c r="J123" s="30"/>
      <x:c r="K123" s="30"/>
      <x:c r="L123" s="30"/>
      <x:c r="M123" s="30"/>
      <x:c r="N123" s="30"/>
      <x:c r="O123" s="30"/>
      <x:c r="P123" s="30"/>
      <x:c r="Q123" s="30"/>
      <x:c r="R123" s="30"/>
      <x:c r="S123" s="30"/>
      <x:c r="T123" s="30"/>
      <x:c r="U123" s="30"/>
      <x:c r="V123" s="30"/>
      <x:c r="W123" s="30"/>
      <x:c r="X123" s="30"/>
      <x:c r="Y123" s="30"/>
      <x:c r="Z123" s="30"/>
      <x:c r="AA123" s="30"/>
      <x:c r="AB123" s="30"/>
      <x:c r="AC123" s="30"/>
      <x:c r="AD123" s="30"/>
      <x:c r="AE123" s="30"/>
      <x:c r="AF123" s="30"/>
      <x:c r="AG123" s="30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>
      <x:c r="A124" s="1"/>
      <x:c r="B124" s="1"/>
      <x:c r="C124" s="30"/>
      <x:c r="D124" s="30"/>
      <x:c r="E124" s="30"/>
      <x:c r="F124" s="30"/>
      <x:c r="G124" s="30"/>
      <x:c r="H124" s="30"/>
      <x:c r="I124" s="30"/>
      <x:c r="J124" s="30"/>
      <x:c r="K124" s="30"/>
      <x:c r="L124" s="30"/>
      <x:c r="M124" s="30"/>
      <x:c r="N124" s="30"/>
      <x:c r="O124" s="30"/>
      <x:c r="P124" s="30"/>
      <x:c r="Q124" s="30"/>
      <x:c r="R124" s="30"/>
      <x:c r="S124" s="30"/>
      <x:c r="T124" s="30"/>
      <x:c r="U124" s="30"/>
      <x:c r="V124" s="30"/>
      <x:c r="W124" s="30"/>
      <x:c r="X124" s="30"/>
      <x:c r="Y124" s="30"/>
      <x:c r="Z124" s="30"/>
      <x:c r="AA124" s="30"/>
      <x:c r="AB124" s="30"/>
      <x:c r="AC124" s="30"/>
      <x:c r="AD124" s="30"/>
      <x:c r="AE124" s="30"/>
      <x:c r="AF124" s="30"/>
      <x:c r="AG124" s="30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>
      <x:c r="A125" s="1"/>
      <x:c r="B125" s="1"/>
      <x:c r="C125" s="30"/>
      <x:c r="D125" s="30"/>
      <x:c r="E125" s="30"/>
      <x:c r="F125" s="30"/>
      <x:c r="G125" s="30"/>
      <x:c r="H125" s="30"/>
      <x:c r="I125" s="30"/>
      <x:c r="J125" s="30"/>
      <x:c r="K125" s="30"/>
      <x:c r="L125" s="30"/>
      <x:c r="M125" s="30"/>
      <x:c r="N125" s="30"/>
      <x:c r="O125" s="30"/>
      <x:c r="P125" s="30"/>
      <x:c r="Q125" s="30"/>
      <x:c r="R125" s="30"/>
      <x:c r="S125" s="30"/>
      <x:c r="T125" s="30"/>
      <x:c r="U125" s="30"/>
      <x:c r="V125" s="30"/>
      <x:c r="W125" s="30"/>
      <x:c r="X125" s="30"/>
      <x:c r="Y125" s="30"/>
      <x:c r="Z125" s="30"/>
      <x:c r="AA125" s="30"/>
      <x:c r="AB125" s="30"/>
      <x:c r="AC125" s="30"/>
      <x:c r="AD125" s="30"/>
      <x:c r="AE125" s="30"/>
      <x:c r="AF125" s="30"/>
      <x:c r="AG125" s="30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>
      <x:c r="A126" s="1"/>
      <x:c r="B126" s="1"/>
      <x:c r="C126" s="30"/>
      <x:c r="D126" s="30"/>
      <x:c r="E126" s="30"/>
      <x:c r="F126" s="30"/>
      <x:c r="G126" s="30"/>
      <x:c r="H126" s="30"/>
      <x:c r="I126" s="30"/>
      <x:c r="J126" s="30"/>
      <x:c r="K126" s="30"/>
      <x:c r="L126" s="30"/>
      <x:c r="M126" s="30"/>
      <x:c r="N126" s="30"/>
      <x:c r="O126" s="30"/>
      <x:c r="P126" s="30"/>
      <x:c r="Q126" s="30"/>
      <x:c r="R126" s="30"/>
      <x:c r="S126" s="30"/>
      <x:c r="T126" s="30"/>
      <x:c r="U126" s="30"/>
      <x:c r="V126" s="30"/>
      <x:c r="W126" s="30"/>
      <x:c r="X126" s="30"/>
      <x:c r="Y126" s="30"/>
      <x:c r="Z126" s="30"/>
      <x:c r="AA126" s="30"/>
      <x:c r="AB126" s="30"/>
      <x:c r="AC126" s="30"/>
      <x:c r="AD126" s="30"/>
      <x:c r="AE126" s="30"/>
      <x:c r="AF126" s="30"/>
      <x:c r="AG126" s="30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>
      <x:c r="A127" s="1"/>
      <x:c r="B127" s="1"/>
      <x:c r="C127" s="30"/>
      <x:c r="D127" s="30"/>
      <x:c r="E127" s="30"/>
      <x:c r="F127" s="30"/>
      <x:c r="G127" s="30"/>
      <x:c r="H127" s="30"/>
      <x:c r="I127" s="30"/>
      <x:c r="J127" s="30"/>
      <x:c r="K127" s="30"/>
      <x:c r="L127" s="30"/>
      <x:c r="M127" s="30"/>
      <x:c r="N127" s="30"/>
      <x:c r="O127" s="30"/>
      <x:c r="P127" s="30"/>
      <x:c r="Q127" s="30"/>
      <x:c r="R127" s="30"/>
      <x:c r="S127" s="30"/>
      <x:c r="T127" s="30"/>
      <x:c r="U127" s="30"/>
      <x:c r="V127" s="30"/>
      <x:c r="W127" s="30"/>
      <x:c r="X127" s="30"/>
      <x:c r="Y127" s="30"/>
      <x:c r="Z127" s="30"/>
      <x:c r="AA127" s="30"/>
      <x:c r="AB127" s="30"/>
      <x:c r="AC127" s="30"/>
      <x:c r="AD127" s="30"/>
      <x:c r="AE127" s="30"/>
      <x:c r="AF127" s="30"/>
      <x:c r="AG127" s="30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>
      <x:c r="A128" s="1"/>
      <x:c r="B128" s="1"/>
      <x:c r="C128" s="30"/>
      <x:c r="D128" s="30"/>
      <x:c r="E128" s="30"/>
      <x:c r="F128" s="30"/>
      <x:c r="G128" s="30"/>
      <x:c r="H128" s="30"/>
      <x:c r="I128" s="30"/>
      <x:c r="J128" s="30"/>
      <x:c r="K128" s="30"/>
      <x:c r="L128" s="30"/>
      <x:c r="M128" s="30"/>
      <x:c r="N128" s="30"/>
      <x:c r="O128" s="30"/>
      <x:c r="P128" s="30"/>
      <x:c r="Q128" s="30"/>
      <x:c r="R128" s="30"/>
      <x:c r="S128" s="30"/>
      <x:c r="T128" s="30"/>
      <x:c r="U128" s="30"/>
      <x:c r="V128" s="30"/>
      <x:c r="W128" s="30"/>
      <x:c r="X128" s="30"/>
      <x:c r="Y128" s="30"/>
      <x:c r="Z128" s="30"/>
      <x:c r="AA128" s="30"/>
      <x:c r="AB128" s="30"/>
      <x:c r="AC128" s="30"/>
      <x:c r="AD128" s="30"/>
      <x:c r="AE128" s="30"/>
      <x:c r="AF128" s="30"/>
      <x:c r="AG128" s="30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>
      <x:c r="A129" s="1"/>
      <x:c r="B129" s="1"/>
      <x:c r="C129" s="30"/>
      <x:c r="D129" s="30"/>
      <x:c r="E129" s="30"/>
      <x:c r="F129" s="30"/>
      <x:c r="G129" s="30"/>
      <x:c r="H129" s="30"/>
      <x:c r="I129" s="30"/>
      <x:c r="J129" s="30"/>
      <x:c r="K129" s="30"/>
      <x:c r="L129" s="30"/>
      <x:c r="M129" s="30"/>
      <x:c r="N129" s="30"/>
      <x:c r="O129" s="30"/>
      <x:c r="P129" s="30"/>
      <x:c r="Q129" s="30"/>
      <x:c r="R129" s="30"/>
      <x:c r="S129" s="30"/>
      <x:c r="T129" s="30"/>
      <x:c r="U129" s="30"/>
      <x:c r="V129" s="30"/>
      <x:c r="W129" s="30"/>
      <x:c r="X129" s="30"/>
      <x:c r="Y129" s="30"/>
      <x:c r="Z129" s="30"/>
      <x:c r="AA129" s="30"/>
      <x:c r="AB129" s="30"/>
      <x:c r="AC129" s="30"/>
      <x:c r="AD129" s="30"/>
      <x:c r="AE129" s="30"/>
      <x:c r="AF129" s="30"/>
      <x:c r="AG129" s="30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>
      <x:c r="A130" s="1"/>
      <x:c r="B130" s="1"/>
      <x:c r="C130" s="30"/>
      <x:c r="D130" s="30"/>
      <x:c r="E130" s="30"/>
      <x:c r="F130" s="30"/>
      <x:c r="G130" s="30"/>
      <x:c r="H130" s="30"/>
      <x:c r="I130" s="30"/>
      <x:c r="J130" s="30"/>
      <x:c r="K130" s="30"/>
      <x:c r="L130" s="30"/>
      <x:c r="M130" s="30"/>
      <x:c r="N130" s="30"/>
      <x:c r="O130" s="30"/>
      <x:c r="P130" s="30"/>
      <x:c r="Q130" s="30"/>
      <x:c r="R130" s="30"/>
      <x:c r="S130" s="30"/>
      <x:c r="T130" s="30"/>
      <x:c r="U130" s="30"/>
      <x:c r="V130" s="30"/>
      <x:c r="W130" s="30"/>
      <x:c r="X130" s="30"/>
      <x:c r="Y130" s="30"/>
      <x:c r="Z130" s="30"/>
      <x:c r="AA130" s="30"/>
      <x:c r="AB130" s="30"/>
      <x:c r="AC130" s="30"/>
      <x:c r="AD130" s="30"/>
      <x:c r="AE130" s="30"/>
      <x:c r="AF130" s="30"/>
      <x:c r="AG130" s="30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>
      <x:c r="A131" s="1"/>
      <x:c r="B131" s="1"/>
      <x:c r="C131" s="30"/>
      <x:c r="D131" s="30"/>
      <x:c r="E131" s="30"/>
      <x:c r="F131" s="30"/>
      <x:c r="G131" s="30"/>
      <x:c r="H131" s="30"/>
      <x:c r="I131" s="30"/>
      <x:c r="J131" s="30"/>
      <x:c r="K131" s="30"/>
      <x:c r="L131" s="30"/>
      <x:c r="M131" s="30"/>
      <x:c r="N131" s="30"/>
      <x:c r="O131" s="30"/>
      <x:c r="P131" s="30"/>
      <x:c r="Q131" s="30"/>
      <x:c r="R131" s="30"/>
      <x:c r="S131" s="30"/>
      <x:c r="T131" s="30"/>
      <x:c r="U131" s="30"/>
      <x:c r="V131" s="30"/>
      <x:c r="W131" s="30"/>
      <x:c r="X131" s="30"/>
      <x:c r="Y131" s="30"/>
      <x:c r="Z131" s="30"/>
      <x:c r="AA131" s="30"/>
      <x:c r="AB131" s="30"/>
      <x:c r="AC131" s="30"/>
      <x:c r="AD131" s="30"/>
      <x:c r="AE131" s="30"/>
      <x:c r="AF131" s="30"/>
      <x:c r="AG131" s="30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>
      <x:c r="A132" s="1"/>
      <x:c r="B132" s="1"/>
      <x:c r="C132" s="30"/>
      <x:c r="D132" s="30"/>
      <x:c r="E132" s="30"/>
      <x:c r="F132" s="30"/>
      <x:c r="G132" s="30"/>
      <x:c r="H132" s="30"/>
      <x:c r="I132" s="30"/>
      <x:c r="J132" s="30"/>
      <x:c r="K132" s="30"/>
      <x:c r="L132" s="30"/>
      <x:c r="M132" s="30"/>
      <x:c r="N132" s="30"/>
      <x:c r="O132" s="30"/>
      <x:c r="P132" s="30"/>
      <x:c r="Q132" s="30"/>
      <x:c r="R132" s="30"/>
      <x:c r="S132" s="30"/>
      <x:c r="T132" s="30"/>
      <x:c r="U132" s="30"/>
      <x:c r="V132" s="30"/>
      <x:c r="W132" s="30"/>
      <x:c r="X132" s="30"/>
      <x:c r="Y132" s="30"/>
      <x:c r="Z132" s="30"/>
      <x:c r="AA132" s="30"/>
      <x:c r="AB132" s="30"/>
      <x:c r="AC132" s="30"/>
      <x:c r="AD132" s="30"/>
      <x:c r="AE132" s="30"/>
      <x:c r="AF132" s="30"/>
      <x:c r="AG132" s="30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>
      <x:c r="A133" s="1"/>
      <x:c r="B133" s="1"/>
      <x:c r="C133" s="30"/>
      <x:c r="D133" s="30"/>
      <x:c r="E133" s="30"/>
      <x:c r="F133" s="30"/>
      <x:c r="G133" s="30"/>
      <x:c r="H133" s="30"/>
      <x:c r="I133" s="30"/>
      <x:c r="J133" s="30"/>
      <x:c r="K133" s="30"/>
      <x:c r="L133" s="30"/>
      <x:c r="M133" s="30"/>
      <x:c r="N133" s="30"/>
      <x:c r="O133" s="30"/>
      <x:c r="P133" s="30"/>
      <x:c r="Q133" s="30"/>
      <x:c r="R133" s="30"/>
      <x:c r="S133" s="30"/>
      <x:c r="T133" s="30"/>
      <x:c r="U133" s="30"/>
      <x:c r="V133" s="30"/>
      <x:c r="W133" s="30"/>
      <x:c r="X133" s="30"/>
      <x:c r="Y133" s="30"/>
      <x:c r="Z133" s="30"/>
      <x:c r="AA133" s="30"/>
      <x:c r="AB133" s="30"/>
      <x:c r="AC133" s="30"/>
      <x:c r="AD133" s="30"/>
      <x:c r="AE133" s="30"/>
      <x:c r="AF133" s="30"/>
      <x:c r="AG133" s="30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>
      <x:c r="A134" s="1"/>
      <x:c r="B134" s="1"/>
      <x:c r="C134" s="30"/>
      <x:c r="D134" s="30"/>
      <x:c r="E134" s="30"/>
      <x:c r="F134" s="30"/>
      <x:c r="G134" s="30"/>
      <x:c r="H134" s="30"/>
      <x:c r="I134" s="30"/>
      <x:c r="J134" s="30"/>
      <x:c r="K134" s="30"/>
      <x:c r="L134" s="30"/>
      <x:c r="M134" s="30"/>
      <x:c r="N134" s="30"/>
      <x:c r="O134" s="30"/>
      <x:c r="P134" s="30"/>
      <x:c r="Q134" s="30"/>
      <x:c r="R134" s="30"/>
      <x:c r="S134" s="30"/>
      <x:c r="T134" s="30"/>
      <x:c r="U134" s="30"/>
      <x:c r="V134" s="30"/>
      <x:c r="W134" s="30"/>
      <x:c r="X134" s="30"/>
      <x:c r="Y134" s="30"/>
      <x:c r="Z134" s="30"/>
      <x:c r="AA134" s="30"/>
      <x:c r="AB134" s="30"/>
      <x:c r="AC134" s="30"/>
      <x:c r="AD134" s="30"/>
      <x:c r="AE134" s="30"/>
      <x:c r="AF134" s="30"/>
      <x:c r="AG134" s="30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>
      <x:c r="A135" s="1"/>
      <x:c r="B135" s="1"/>
      <x:c r="C135" s="30"/>
      <x:c r="D135" s="30"/>
      <x:c r="E135" s="30"/>
      <x:c r="F135" s="30"/>
      <x:c r="G135" s="30"/>
      <x:c r="H135" s="30"/>
      <x:c r="I135" s="30"/>
      <x:c r="J135" s="30"/>
      <x:c r="K135" s="30"/>
      <x:c r="L135" s="30"/>
      <x:c r="M135" s="30"/>
      <x:c r="N135" s="30"/>
      <x:c r="O135" s="30"/>
      <x:c r="P135" s="30"/>
      <x:c r="Q135" s="30"/>
      <x:c r="R135" s="30"/>
      <x:c r="S135" s="30"/>
      <x:c r="T135" s="30"/>
      <x:c r="U135" s="30"/>
      <x:c r="V135" s="30"/>
      <x:c r="W135" s="30"/>
      <x:c r="X135" s="30"/>
      <x:c r="Y135" s="30"/>
      <x:c r="Z135" s="30"/>
      <x:c r="AA135" s="30"/>
      <x:c r="AB135" s="30"/>
      <x:c r="AC135" s="30"/>
      <x:c r="AD135" s="30"/>
      <x:c r="AE135" s="30"/>
      <x:c r="AF135" s="30"/>
      <x:c r="AG135" s="30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>
      <x:c r="A136" s="1"/>
      <x:c r="B136" s="1"/>
      <x:c r="C136" s="30"/>
      <x:c r="D136" s="30"/>
      <x:c r="E136" s="30"/>
      <x:c r="F136" s="30"/>
      <x:c r="G136" s="30"/>
      <x:c r="H136" s="30"/>
      <x:c r="I136" s="30"/>
      <x:c r="J136" s="30"/>
      <x:c r="K136" s="30"/>
      <x:c r="L136" s="30"/>
      <x:c r="M136" s="30"/>
      <x:c r="N136" s="30"/>
      <x:c r="O136" s="30"/>
      <x:c r="P136" s="30"/>
      <x:c r="Q136" s="30"/>
      <x:c r="R136" s="30"/>
      <x:c r="S136" s="30"/>
      <x:c r="T136" s="30"/>
      <x:c r="U136" s="30"/>
      <x:c r="V136" s="30"/>
      <x:c r="W136" s="30"/>
      <x:c r="X136" s="30"/>
      <x:c r="Y136" s="30"/>
      <x:c r="Z136" s="30"/>
      <x:c r="AA136" s="30"/>
      <x:c r="AB136" s="30"/>
      <x:c r="AC136" s="30"/>
      <x:c r="AD136" s="30"/>
      <x:c r="AE136" s="30"/>
      <x:c r="AF136" s="30"/>
      <x:c r="AG136" s="30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>
      <x:c r="A137" s="1"/>
      <x:c r="B137" s="1"/>
      <x:c r="C137" s="30"/>
      <x:c r="D137" s="30"/>
      <x:c r="E137" s="30"/>
      <x:c r="F137" s="30"/>
      <x:c r="G137" s="30"/>
      <x:c r="H137" s="30"/>
      <x:c r="I137" s="30"/>
      <x:c r="J137" s="30"/>
      <x:c r="K137" s="30"/>
      <x:c r="L137" s="30"/>
      <x:c r="M137" s="30"/>
      <x:c r="N137" s="30"/>
      <x:c r="O137" s="30"/>
      <x:c r="P137" s="30"/>
      <x:c r="Q137" s="30"/>
      <x:c r="R137" s="30"/>
      <x:c r="S137" s="30"/>
      <x:c r="T137" s="30"/>
      <x:c r="U137" s="30"/>
      <x:c r="V137" s="30"/>
      <x:c r="W137" s="30"/>
      <x:c r="X137" s="30"/>
      <x:c r="Y137" s="30"/>
      <x:c r="Z137" s="30"/>
      <x:c r="AA137" s="30"/>
      <x:c r="AB137" s="30"/>
      <x:c r="AC137" s="30"/>
      <x:c r="AD137" s="30"/>
      <x:c r="AE137" s="30"/>
      <x:c r="AF137" s="30"/>
      <x:c r="AG137" s="30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>
      <x:c r="A138" s="1"/>
      <x:c r="B138" s="1"/>
      <x:c r="C138" s="30"/>
      <x:c r="D138" s="30"/>
      <x:c r="E138" s="30"/>
      <x:c r="F138" s="30"/>
      <x:c r="G138" s="30"/>
      <x:c r="H138" s="30"/>
      <x:c r="I138" s="30"/>
      <x:c r="J138" s="30"/>
      <x:c r="K138" s="30"/>
      <x:c r="L138" s="30"/>
      <x:c r="M138" s="30"/>
      <x:c r="N138" s="30"/>
      <x:c r="O138" s="30"/>
      <x:c r="P138" s="30"/>
      <x:c r="Q138" s="30"/>
      <x:c r="R138" s="30"/>
      <x:c r="S138" s="30"/>
      <x:c r="T138" s="30"/>
      <x:c r="U138" s="30"/>
      <x:c r="V138" s="30"/>
      <x:c r="W138" s="30"/>
      <x:c r="X138" s="30"/>
      <x:c r="Y138" s="30"/>
      <x:c r="Z138" s="30"/>
      <x:c r="AA138" s="30"/>
      <x:c r="AB138" s="30"/>
      <x:c r="AC138" s="30"/>
      <x:c r="AD138" s="30"/>
      <x:c r="AE138" s="30"/>
      <x:c r="AF138" s="30"/>
      <x:c r="AG138" s="30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>
      <x:c r="A139" s="1"/>
      <x:c r="B139" s="1"/>
      <x:c r="C139" s="30"/>
      <x:c r="D139" s="30"/>
      <x:c r="E139" s="30"/>
      <x:c r="F139" s="30"/>
      <x:c r="G139" s="30"/>
      <x:c r="H139" s="30"/>
      <x:c r="I139" s="30"/>
      <x:c r="J139" s="30"/>
      <x:c r="K139" s="30"/>
      <x:c r="L139" s="30"/>
      <x:c r="M139" s="30"/>
      <x:c r="N139" s="30"/>
      <x:c r="O139" s="30"/>
      <x:c r="P139" s="30"/>
      <x:c r="Q139" s="30"/>
      <x:c r="R139" s="30"/>
      <x:c r="S139" s="30"/>
      <x:c r="T139" s="30"/>
      <x:c r="U139" s="30"/>
      <x:c r="V139" s="30"/>
      <x:c r="W139" s="30"/>
      <x:c r="X139" s="30"/>
      <x:c r="Y139" s="30"/>
      <x:c r="Z139" s="30"/>
      <x:c r="AA139" s="30"/>
      <x:c r="AB139" s="30"/>
      <x:c r="AC139" s="30"/>
      <x:c r="AD139" s="30"/>
      <x:c r="AE139" s="30"/>
      <x:c r="AF139" s="30"/>
      <x:c r="AG139" s="30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>
      <x:c r="A140" s="1"/>
      <x:c r="B140" s="1"/>
      <x:c r="C140" s="30"/>
      <x:c r="D140" s="30"/>
      <x:c r="E140" s="30"/>
      <x:c r="F140" s="30"/>
      <x:c r="G140" s="30"/>
      <x:c r="H140" s="30"/>
      <x:c r="I140" s="30"/>
      <x:c r="J140" s="30"/>
      <x:c r="K140" s="30"/>
      <x:c r="L140" s="30"/>
      <x:c r="M140" s="30"/>
      <x:c r="N140" s="30"/>
      <x:c r="O140" s="30"/>
      <x:c r="P140" s="30"/>
      <x:c r="Q140" s="30"/>
      <x:c r="R140" s="30"/>
      <x:c r="S140" s="30"/>
      <x:c r="T140" s="30"/>
      <x:c r="U140" s="30"/>
      <x:c r="V140" s="30"/>
      <x:c r="W140" s="30"/>
      <x:c r="X140" s="30"/>
      <x:c r="Y140" s="30"/>
      <x:c r="Z140" s="30"/>
      <x:c r="AA140" s="30"/>
      <x:c r="AB140" s="30"/>
      <x:c r="AC140" s="30"/>
      <x:c r="AD140" s="30"/>
      <x:c r="AE140" s="30"/>
      <x:c r="AF140" s="30"/>
      <x:c r="AG140" s="30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>
      <x:c r="A141" s="1"/>
      <x:c r="B141" s="1"/>
      <x:c r="C141" s="30"/>
      <x:c r="D141" s="30"/>
      <x:c r="E141" s="30"/>
      <x:c r="F141" s="30"/>
      <x:c r="G141" s="30"/>
      <x:c r="H141" s="30"/>
      <x:c r="I141" s="30"/>
      <x:c r="J141" s="30"/>
      <x:c r="K141" s="30"/>
      <x:c r="L141" s="30"/>
      <x:c r="M141" s="30"/>
      <x:c r="N141" s="30"/>
      <x:c r="O141" s="30"/>
      <x:c r="P141" s="30"/>
      <x:c r="Q141" s="30"/>
      <x:c r="R141" s="30"/>
      <x:c r="S141" s="30"/>
      <x:c r="T141" s="30"/>
      <x:c r="U141" s="30"/>
      <x:c r="V141" s="30"/>
      <x:c r="W141" s="30"/>
      <x:c r="X141" s="30"/>
      <x:c r="Y141" s="30"/>
      <x:c r="Z141" s="30"/>
      <x:c r="AA141" s="30"/>
      <x:c r="AB141" s="30"/>
      <x:c r="AC141" s="30"/>
      <x:c r="AD141" s="30"/>
      <x:c r="AE141" s="30"/>
      <x:c r="AF141" s="30"/>
      <x:c r="AG141" s="30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>
      <x:c r="A142" s="1"/>
      <x:c r="B142" s="1"/>
      <x:c r="C142" s="30"/>
      <x:c r="D142" s="30"/>
      <x:c r="E142" s="30"/>
      <x:c r="F142" s="30"/>
      <x:c r="G142" s="30"/>
      <x:c r="H142" s="30"/>
      <x:c r="I142" s="30"/>
      <x:c r="J142" s="30"/>
      <x:c r="K142" s="30"/>
      <x:c r="L142" s="30"/>
      <x:c r="M142" s="30"/>
      <x:c r="N142" s="30"/>
      <x:c r="O142" s="30"/>
      <x:c r="P142" s="30"/>
      <x:c r="Q142" s="30"/>
      <x:c r="R142" s="30"/>
      <x:c r="S142" s="30"/>
      <x:c r="T142" s="30"/>
      <x:c r="U142" s="30"/>
      <x:c r="V142" s="30"/>
      <x:c r="W142" s="30"/>
      <x:c r="X142" s="30"/>
      <x:c r="Y142" s="30"/>
      <x:c r="Z142" s="30"/>
      <x:c r="AA142" s="30"/>
      <x:c r="AB142" s="30"/>
      <x:c r="AC142" s="30"/>
      <x:c r="AD142" s="30"/>
      <x:c r="AE142" s="30"/>
      <x:c r="AF142" s="30"/>
      <x:c r="AG142" s="30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>
      <x:c r="A143" s="1"/>
      <x:c r="B143" s="1"/>
      <x:c r="C143" s="30"/>
      <x:c r="D143" s="30"/>
      <x:c r="E143" s="30"/>
      <x:c r="F143" s="30"/>
      <x:c r="G143" s="30"/>
      <x:c r="H143" s="30"/>
      <x:c r="I143" s="30"/>
      <x:c r="J143" s="30"/>
      <x:c r="K143" s="30"/>
      <x:c r="L143" s="30"/>
      <x:c r="M143" s="30"/>
      <x:c r="N143" s="30"/>
      <x:c r="O143" s="30"/>
      <x:c r="P143" s="30"/>
      <x:c r="Q143" s="30"/>
      <x:c r="R143" s="30"/>
      <x:c r="S143" s="30"/>
      <x:c r="T143" s="30"/>
      <x:c r="U143" s="30"/>
      <x:c r="V143" s="30"/>
      <x:c r="W143" s="30"/>
      <x:c r="X143" s="30"/>
      <x:c r="Y143" s="30"/>
      <x:c r="Z143" s="30"/>
      <x:c r="AA143" s="30"/>
      <x:c r="AB143" s="30"/>
      <x:c r="AC143" s="30"/>
      <x:c r="AD143" s="30"/>
      <x:c r="AE143" s="30"/>
      <x:c r="AF143" s="30"/>
      <x:c r="AG143" s="30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>
      <x:c r="A144" s="1"/>
      <x:c r="B144" s="1"/>
      <x:c r="C144" s="30"/>
      <x:c r="D144" s="30"/>
      <x:c r="E144" s="30"/>
      <x:c r="F144" s="30"/>
      <x:c r="G144" s="30"/>
      <x:c r="H144" s="30"/>
      <x:c r="I144" s="30"/>
      <x:c r="J144" s="30"/>
      <x:c r="K144" s="30"/>
      <x:c r="L144" s="30"/>
      <x:c r="M144" s="30"/>
      <x:c r="N144" s="30"/>
      <x:c r="O144" s="30"/>
      <x:c r="P144" s="30"/>
      <x:c r="Q144" s="30"/>
      <x:c r="R144" s="30"/>
      <x:c r="S144" s="30"/>
      <x:c r="T144" s="30"/>
      <x:c r="U144" s="30"/>
      <x:c r="V144" s="30"/>
      <x:c r="W144" s="30"/>
      <x:c r="X144" s="30"/>
      <x:c r="Y144" s="30"/>
      <x:c r="Z144" s="30"/>
      <x:c r="AA144" s="30"/>
      <x:c r="AB144" s="30"/>
      <x:c r="AC144" s="30"/>
      <x:c r="AD144" s="30"/>
      <x:c r="AE144" s="30"/>
      <x:c r="AF144" s="30"/>
      <x:c r="AG144" s="30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>
      <x:c r="A145" s="1"/>
      <x:c r="B145" s="1"/>
      <x:c r="C145" s="30"/>
      <x:c r="D145" s="30"/>
      <x:c r="E145" s="30"/>
      <x:c r="F145" s="30"/>
      <x:c r="G145" s="30"/>
      <x:c r="H145" s="30"/>
      <x:c r="I145" s="30"/>
      <x:c r="J145" s="30"/>
      <x:c r="K145" s="30"/>
      <x:c r="L145" s="30"/>
      <x:c r="M145" s="30"/>
      <x:c r="N145" s="30"/>
      <x:c r="O145" s="30"/>
      <x:c r="P145" s="30"/>
      <x:c r="Q145" s="30"/>
      <x:c r="R145" s="30"/>
      <x:c r="S145" s="30"/>
      <x:c r="T145" s="30"/>
      <x:c r="U145" s="30"/>
      <x:c r="V145" s="30"/>
      <x:c r="W145" s="30"/>
      <x:c r="X145" s="30"/>
      <x:c r="Y145" s="30"/>
      <x:c r="Z145" s="30"/>
      <x:c r="AA145" s="30"/>
      <x:c r="AB145" s="30"/>
      <x:c r="AC145" s="30"/>
      <x:c r="AD145" s="30"/>
      <x:c r="AE145" s="30"/>
      <x:c r="AF145" s="30"/>
      <x:c r="AG145" s="30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>
      <x:c r="A146" s="1"/>
      <x:c r="B146" s="1"/>
      <x:c r="C146" s="30"/>
      <x:c r="D146" s="30"/>
      <x:c r="E146" s="30"/>
      <x:c r="F146" s="30"/>
      <x:c r="G146" s="30"/>
      <x:c r="H146" s="30"/>
      <x:c r="I146" s="30"/>
      <x:c r="J146" s="30"/>
      <x:c r="K146" s="30"/>
      <x:c r="L146" s="30"/>
      <x:c r="M146" s="30"/>
      <x:c r="N146" s="30"/>
      <x:c r="O146" s="30"/>
      <x:c r="P146" s="30"/>
      <x:c r="Q146" s="30"/>
      <x:c r="R146" s="30"/>
      <x:c r="S146" s="30"/>
      <x:c r="T146" s="30"/>
      <x:c r="U146" s="30"/>
      <x:c r="V146" s="30"/>
      <x:c r="W146" s="30"/>
      <x:c r="X146" s="30"/>
      <x:c r="Y146" s="30"/>
      <x:c r="Z146" s="30"/>
      <x:c r="AA146" s="30"/>
      <x:c r="AB146" s="30"/>
      <x:c r="AC146" s="30"/>
      <x:c r="AD146" s="30"/>
      <x:c r="AE146" s="30"/>
      <x:c r="AF146" s="30"/>
      <x:c r="AG146" s="30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>
      <x:c r="A147" s="1"/>
      <x:c r="B147" s="1"/>
      <x:c r="C147" s="30"/>
      <x:c r="D147" s="30"/>
      <x:c r="E147" s="30"/>
      <x:c r="F147" s="30"/>
      <x:c r="G147" s="30"/>
      <x:c r="H147" s="30"/>
      <x:c r="I147" s="30"/>
      <x:c r="J147" s="30"/>
      <x:c r="K147" s="30"/>
      <x:c r="L147" s="30"/>
      <x:c r="M147" s="30"/>
      <x:c r="N147" s="30"/>
      <x:c r="O147" s="30"/>
      <x:c r="P147" s="30"/>
      <x:c r="Q147" s="30"/>
      <x:c r="R147" s="30"/>
      <x:c r="S147" s="30"/>
      <x:c r="T147" s="30"/>
      <x:c r="U147" s="30"/>
      <x:c r="V147" s="30"/>
      <x:c r="W147" s="30"/>
      <x:c r="X147" s="30"/>
      <x:c r="Y147" s="30"/>
      <x:c r="Z147" s="30"/>
      <x:c r="AA147" s="30"/>
      <x:c r="AB147" s="30"/>
      <x:c r="AC147" s="30"/>
      <x:c r="AD147" s="30"/>
      <x:c r="AE147" s="30"/>
      <x:c r="AF147" s="30"/>
      <x:c r="AG147" s="30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>
      <x:c r="A148" s="1"/>
      <x:c r="B148" s="1"/>
      <x:c r="C148" s="30"/>
      <x:c r="D148" s="30"/>
      <x:c r="E148" s="30"/>
      <x:c r="F148" s="30"/>
      <x:c r="G148" s="30"/>
      <x:c r="H148" s="30"/>
      <x:c r="I148" s="30"/>
      <x:c r="J148" s="30"/>
      <x:c r="K148" s="30"/>
      <x:c r="L148" s="30"/>
      <x:c r="M148" s="30"/>
      <x:c r="N148" s="30"/>
      <x:c r="O148" s="30"/>
      <x:c r="P148" s="30"/>
      <x:c r="Q148" s="30"/>
      <x:c r="R148" s="30"/>
      <x:c r="S148" s="30"/>
      <x:c r="T148" s="30"/>
      <x:c r="U148" s="30"/>
      <x:c r="V148" s="30"/>
      <x:c r="W148" s="30"/>
      <x:c r="X148" s="30"/>
      <x:c r="Y148" s="30"/>
      <x:c r="Z148" s="30"/>
      <x:c r="AA148" s="30"/>
      <x:c r="AB148" s="30"/>
      <x:c r="AC148" s="30"/>
      <x:c r="AD148" s="30"/>
      <x:c r="AE148" s="30"/>
      <x:c r="AF148" s="30"/>
      <x:c r="AG148" s="30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>
      <x:c r="A149" s="1"/>
      <x:c r="B149" s="1"/>
      <x:c r="C149" s="30"/>
      <x:c r="D149" s="30"/>
      <x:c r="E149" s="30"/>
      <x:c r="F149" s="30"/>
      <x:c r="G149" s="30"/>
      <x:c r="H149" s="30"/>
      <x:c r="I149" s="30"/>
      <x:c r="J149" s="30"/>
      <x:c r="K149" s="30"/>
      <x:c r="L149" s="30"/>
      <x:c r="M149" s="30"/>
      <x:c r="N149" s="30"/>
      <x:c r="O149" s="30"/>
      <x:c r="P149" s="30"/>
      <x:c r="Q149" s="30"/>
      <x:c r="R149" s="30"/>
      <x:c r="S149" s="30"/>
      <x:c r="T149" s="30"/>
      <x:c r="U149" s="30"/>
      <x:c r="V149" s="30"/>
      <x:c r="W149" s="30"/>
      <x:c r="X149" s="30"/>
      <x:c r="Y149" s="30"/>
      <x:c r="Z149" s="30"/>
      <x:c r="AA149" s="30"/>
      <x:c r="AB149" s="30"/>
      <x:c r="AC149" s="30"/>
      <x:c r="AD149" s="30"/>
      <x:c r="AE149" s="30"/>
      <x:c r="AF149" s="30"/>
      <x:c r="AG149" s="30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>
      <x:c r="A150" s="1"/>
      <x:c r="B150" s="1"/>
      <x:c r="C150" s="30"/>
      <x:c r="D150" s="30"/>
      <x:c r="E150" s="30"/>
      <x:c r="F150" s="30"/>
      <x:c r="G150" s="30"/>
      <x:c r="H150" s="30"/>
      <x:c r="I150" s="30"/>
      <x:c r="J150" s="30"/>
      <x:c r="K150" s="30"/>
      <x:c r="L150" s="30"/>
      <x:c r="M150" s="30"/>
      <x:c r="N150" s="30"/>
      <x:c r="O150" s="30"/>
      <x:c r="P150" s="30"/>
      <x:c r="Q150" s="30"/>
      <x:c r="R150" s="30"/>
      <x:c r="S150" s="30"/>
      <x:c r="T150" s="30"/>
      <x:c r="U150" s="30"/>
      <x:c r="V150" s="30"/>
      <x:c r="W150" s="30"/>
      <x:c r="X150" s="30"/>
      <x:c r="Y150" s="30"/>
      <x:c r="Z150" s="30"/>
      <x:c r="AA150" s="30"/>
      <x:c r="AB150" s="30"/>
      <x:c r="AC150" s="30"/>
      <x:c r="AD150" s="30"/>
      <x:c r="AE150" s="30"/>
      <x:c r="AF150" s="30"/>
      <x:c r="AG150" s="30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>
      <x:c r="A151" s="1"/>
      <x:c r="B151" s="1"/>
      <x:c r="C151" s="30"/>
      <x:c r="D151" s="30"/>
      <x:c r="E151" s="30"/>
      <x:c r="F151" s="30"/>
      <x:c r="G151" s="30"/>
      <x:c r="H151" s="30"/>
      <x:c r="I151" s="30"/>
      <x:c r="J151" s="30"/>
      <x:c r="K151" s="30"/>
      <x:c r="L151" s="30"/>
      <x:c r="M151" s="30"/>
      <x:c r="N151" s="30"/>
      <x:c r="O151" s="30"/>
      <x:c r="P151" s="30"/>
      <x:c r="Q151" s="30"/>
      <x:c r="R151" s="30"/>
      <x:c r="S151" s="30"/>
      <x:c r="T151" s="30"/>
      <x:c r="U151" s="30"/>
      <x:c r="V151" s="30"/>
      <x:c r="W151" s="30"/>
      <x:c r="X151" s="30"/>
      <x:c r="Y151" s="30"/>
      <x:c r="Z151" s="30"/>
      <x:c r="AA151" s="30"/>
      <x:c r="AB151" s="30"/>
      <x:c r="AC151" s="30"/>
      <x:c r="AD151" s="30"/>
      <x:c r="AE151" s="30"/>
      <x:c r="AF151" s="30"/>
      <x:c r="AG151" s="30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>
      <x:c r="A152" s="1"/>
      <x:c r="B152" s="1"/>
      <x:c r="C152" s="30"/>
      <x:c r="D152" s="30"/>
      <x:c r="E152" s="30"/>
      <x:c r="F152" s="30"/>
      <x:c r="G152" s="30"/>
      <x:c r="H152" s="30"/>
      <x:c r="I152" s="30"/>
      <x:c r="J152" s="30"/>
      <x:c r="K152" s="30"/>
      <x:c r="L152" s="30"/>
      <x:c r="M152" s="30"/>
      <x:c r="N152" s="30"/>
      <x:c r="O152" s="30"/>
      <x:c r="P152" s="30"/>
      <x:c r="Q152" s="30"/>
      <x:c r="R152" s="30"/>
      <x:c r="S152" s="30"/>
      <x:c r="T152" s="30"/>
      <x:c r="U152" s="30"/>
      <x:c r="V152" s="30"/>
      <x:c r="W152" s="30"/>
      <x:c r="X152" s="30"/>
      <x:c r="Y152" s="30"/>
      <x:c r="Z152" s="30"/>
      <x:c r="AA152" s="30"/>
      <x:c r="AB152" s="30"/>
      <x:c r="AC152" s="30"/>
      <x:c r="AD152" s="30"/>
      <x:c r="AE152" s="30"/>
      <x:c r="AF152" s="30"/>
      <x:c r="AG152" s="30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>
      <x:c r="A153" s="1"/>
      <x:c r="B153" s="1"/>
      <x:c r="C153" s="30"/>
      <x:c r="D153" s="30"/>
      <x:c r="E153" s="30"/>
      <x:c r="F153" s="30"/>
      <x:c r="G153" s="30"/>
      <x:c r="H153" s="30"/>
      <x:c r="I153" s="30"/>
      <x:c r="J153" s="30"/>
      <x:c r="K153" s="30"/>
      <x:c r="L153" s="30"/>
      <x:c r="M153" s="30"/>
      <x:c r="N153" s="30"/>
      <x:c r="O153" s="30"/>
      <x:c r="P153" s="30"/>
      <x:c r="Q153" s="30"/>
      <x:c r="R153" s="30"/>
      <x:c r="S153" s="30"/>
      <x:c r="T153" s="30"/>
      <x:c r="U153" s="30"/>
      <x:c r="V153" s="30"/>
      <x:c r="W153" s="30"/>
      <x:c r="X153" s="30"/>
      <x:c r="Y153" s="30"/>
      <x:c r="Z153" s="30"/>
      <x:c r="AA153" s="30"/>
      <x:c r="AB153" s="30"/>
      <x:c r="AC153" s="30"/>
      <x:c r="AD153" s="30"/>
      <x:c r="AE153" s="30"/>
      <x:c r="AF153" s="30"/>
      <x:c r="AG153" s="30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>
      <x:c r="A154" s="1"/>
      <x:c r="B154" s="1"/>
      <x:c r="C154" s="30"/>
      <x:c r="D154" s="30"/>
      <x:c r="E154" s="30"/>
      <x:c r="F154" s="30"/>
      <x:c r="G154" s="30"/>
      <x:c r="H154" s="30"/>
      <x:c r="I154" s="30"/>
      <x:c r="J154" s="30"/>
      <x:c r="K154" s="30"/>
      <x:c r="L154" s="30"/>
      <x:c r="M154" s="30"/>
      <x:c r="N154" s="30"/>
      <x:c r="O154" s="30"/>
      <x:c r="P154" s="30"/>
      <x:c r="Q154" s="30"/>
      <x:c r="R154" s="30"/>
      <x:c r="S154" s="30"/>
      <x:c r="T154" s="30"/>
      <x:c r="U154" s="30"/>
      <x:c r="V154" s="30"/>
      <x:c r="W154" s="30"/>
      <x:c r="X154" s="30"/>
      <x:c r="Y154" s="30"/>
      <x:c r="Z154" s="30"/>
      <x:c r="AA154" s="30"/>
      <x:c r="AB154" s="30"/>
      <x:c r="AC154" s="30"/>
      <x:c r="AD154" s="30"/>
      <x:c r="AE154" s="30"/>
      <x:c r="AF154" s="30"/>
      <x:c r="AG154" s="30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>
      <x:c r="A155" s="1"/>
      <x:c r="B155" s="1"/>
      <x:c r="C155" s="30"/>
      <x:c r="D155" s="30"/>
      <x:c r="E155" s="30"/>
      <x:c r="F155" s="30"/>
      <x:c r="G155" s="30"/>
      <x:c r="H155" s="30"/>
      <x:c r="I155" s="30"/>
      <x:c r="J155" s="30"/>
      <x:c r="K155" s="30"/>
      <x:c r="L155" s="30"/>
      <x:c r="M155" s="30"/>
      <x:c r="N155" s="30"/>
      <x:c r="O155" s="30"/>
      <x:c r="P155" s="30"/>
      <x:c r="Q155" s="30"/>
      <x:c r="R155" s="30"/>
      <x:c r="S155" s="30"/>
      <x:c r="T155" s="30"/>
      <x:c r="U155" s="30"/>
      <x:c r="V155" s="30"/>
      <x:c r="W155" s="30"/>
      <x:c r="X155" s="30"/>
      <x:c r="Y155" s="30"/>
      <x:c r="Z155" s="30"/>
      <x:c r="AA155" s="30"/>
      <x:c r="AB155" s="30"/>
      <x:c r="AC155" s="30"/>
      <x:c r="AD155" s="30"/>
      <x:c r="AE155" s="30"/>
      <x:c r="AF155" s="30"/>
      <x:c r="AG155" s="30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>
      <x:c r="A156" s="1"/>
      <x:c r="B156" s="1"/>
      <x:c r="C156" s="30"/>
      <x:c r="D156" s="30"/>
      <x:c r="E156" s="30"/>
      <x:c r="F156" s="30"/>
      <x:c r="G156" s="30"/>
      <x:c r="H156" s="30"/>
      <x:c r="I156" s="30"/>
      <x:c r="J156" s="30"/>
      <x:c r="K156" s="30"/>
      <x:c r="L156" s="30"/>
      <x:c r="M156" s="30"/>
      <x:c r="N156" s="30"/>
      <x:c r="O156" s="30"/>
      <x:c r="P156" s="30"/>
      <x:c r="Q156" s="30"/>
      <x:c r="R156" s="30"/>
      <x:c r="S156" s="30"/>
      <x:c r="T156" s="30"/>
      <x:c r="U156" s="30"/>
      <x:c r="V156" s="30"/>
      <x:c r="W156" s="30"/>
      <x:c r="X156" s="30"/>
      <x:c r="Y156" s="30"/>
      <x:c r="Z156" s="30"/>
      <x:c r="AA156" s="30"/>
      <x:c r="AB156" s="30"/>
      <x:c r="AC156" s="30"/>
      <x:c r="AD156" s="30"/>
      <x:c r="AE156" s="30"/>
      <x:c r="AF156" s="30"/>
      <x:c r="AG156" s="30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>
      <x:c r="A157" s="1"/>
      <x:c r="B157" s="1"/>
      <x:c r="C157" s="30"/>
      <x:c r="D157" s="30"/>
      <x:c r="E157" s="30"/>
      <x:c r="F157" s="30"/>
      <x:c r="G157" s="30"/>
      <x:c r="H157" s="30"/>
      <x:c r="I157" s="30"/>
      <x:c r="J157" s="30"/>
      <x:c r="K157" s="30"/>
      <x:c r="L157" s="30"/>
      <x:c r="M157" s="30"/>
      <x:c r="N157" s="30"/>
      <x:c r="O157" s="30"/>
      <x:c r="P157" s="30"/>
      <x:c r="Q157" s="30"/>
      <x:c r="R157" s="30"/>
      <x:c r="S157" s="30"/>
      <x:c r="T157" s="30"/>
      <x:c r="U157" s="30"/>
      <x:c r="V157" s="30"/>
      <x:c r="W157" s="30"/>
      <x:c r="X157" s="30"/>
      <x:c r="Y157" s="30"/>
      <x:c r="Z157" s="30"/>
      <x:c r="AA157" s="30"/>
      <x:c r="AB157" s="30"/>
      <x:c r="AC157" s="30"/>
      <x:c r="AD157" s="30"/>
      <x:c r="AE157" s="30"/>
      <x:c r="AF157" s="30"/>
      <x:c r="AG157" s="30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>
      <x:c r="A158" s="1"/>
      <x:c r="B158" s="1"/>
      <x:c r="C158" s="30"/>
      <x:c r="D158" s="30"/>
      <x:c r="E158" s="30"/>
      <x:c r="F158" s="30"/>
      <x:c r="G158" s="30"/>
      <x:c r="H158" s="30"/>
      <x:c r="I158" s="30"/>
      <x:c r="J158" s="30"/>
      <x:c r="K158" s="30"/>
      <x:c r="L158" s="30"/>
      <x:c r="M158" s="30"/>
      <x:c r="N158" s="30"/>
      <x:c r="O158" s="30"/>
      <x:c r="P158" s="30"/>
      <x:c r="Q158" s="30"/>
      <x:c r="R158" s="30"/>
      <x:c r="S158" s="30"/>
      <x:c r="T158" s="30"/>
      <x:c r="U158" s="30"/>
      <x:c r="V158" s="30"/>
      <x:c r="W158" s="30"/>
      <x:c r="X158" s="30"/>
      <x:c r="Y158" s="30"/>
      <x:c r="Z158" s="30"/>
      <x:c r="AA158" s="30"/>
      <x:c r="AB158" s="30"/>
      <x:c r="AC158" s="30"/>
      <x:c r="AD158" s="30"/>
      <x:c r="AE158" s="30"/>
      <x:c r="AF158" s="30"/>
      <x:c r="AG158" s="30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>
      <x:c r="A159" s="1"/>
      <x:c r="B159" s="1"/>
      <x:c r="C159" s="30"/>
      <x:c r="D159" s="30"/>
      <x:c r="E159" s="30"/>
      <x:c r="F159" s="30"/>
      <x:c r="G159" s="30"/>
      <x:c r="H159" s="30"/>
      <x:c r="I159" s="30"/>
      <x:c r="J159" s="30"/>
      <x:c r="K159" s="30"/>
      <x:c r="L159" s="30"/>
      <x:c r="M159" s="30"/>
      <x:c r="N159" s="30"/>
      <x:c r="O159" s="30"/>
      <x:c r="P159" s="30"/>
      <x:c r="Q159" s="30"/>
      <x:c r="R159" s="30"/>
      <x:c r="S159" s="30"/>
      <x:c r="T159" s="30"/>
      <x:c r="U159" s="30"/>
      <x:c r="V159" s="30"/>
      <x:c r="W159" s="30"/>
      <x:c r="X159" s="30"/>
      <x:c r="Y159" s="30"/>
      <x:c r="Z159" s="30"/>
      <x:c r="AA159" s="30"/>
      <x:c r="AB159" s="30"/>
      <x:c r="AC159" s="30"/>
      <x:c r="AD159" s="30"/>
      <x:c r="AE159" s="30"/>
      <x:c r="AF159" s="30"/>
      <x:c r="AG159" s="30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>
      <x:c r="A160" s="1"/>
      <x:c r="B160" s="1"/>
      <x:c r="C160" s="30"/>
      <x:c r="D160" s="30"/>
      <x:c r="E160" s="30"/>
      <x:c r="F160" s="30"/>
      <x:c r="G160" s="30"/>
      <x:c r="H160" s="30"/>
      <x:c r="I160" s="30"/>
      <x:c r="J160" s="30"/>
      <x:c r="K160" s="30"/>
      <x:c r="L160" s="30"/>
      <x:c r="M160" s="30"/>
      <x:c r="N160" s="30"/>
      <x:c r="O160" s="30"/>
      <x:c r="P160" s="30"/>
      <x:c r="Q160" s="30"/>
      <x:c r="R160" s="30"/>
      <x:c r="S160" s="30"/>
      <x:c r="T160" s="30"/>
      <x:c r="U160" s="30"/>
      <x:c r="V160" s="30"/>
      <x:c r="W160" s="30"/>
      <x:c r="X160" s="30"/>
      <x:c r="Y160" s="30"/>
      <x:c r="Z160" s="30"/>
      <x:c r="AA160" s="30"/>
      <x:c r="AB160" s="30"/>
      <x:c r="AC160" s="30"/>
      <x:c r="AD160" s="30"/>
      <x:c r="AE160" s="30"/>
      <x:c r="AF160" s="30"/>
      <x:c r="AG160" s="30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>
      <x:c r="A161" s="1"/>
      <x:c r="B161" s="1"/>
      <x:c r="C161" s="30"/>
      <x:c r="D161" s="30"/>
      <x:c r="E161" s="30"/>
      <x:c r="F161" s="30"/>
      <x:c r="G161" s="30"/>
      <x:c r="H161" s="30"/>
      <x:c r="I161" s="30"/>
      <x:c r="J161" s="30"/>
      <x:c r="K161" s="30"/>
      <x:c r="L161" s="30"/>
      <x:c r="M161" s="30"/>
      <x:c r="N161" s="30"/>
      <x:c r="O161" s="30"/>
      <x:c r="P161" s="30"/>
      <x:c r="Q161" s="30"/>
      <x:c r="R161" s="30"/>
      <x:c r="S161" s="30"/>
      <x:c r="T161" s="30"/>
      <x:c r="U161" s="30"/>
      <x:c r="V161" s="30"/>
      <x:c r="W161" s="30"/>
      <x:c r="X161" s="30"/>
      <x:c r="Y161" s="30"/>
      <x:c r="Z161" s="30"/>
      <x:c r="AA161" s="30"/>
      <x:c r="AB161" s="30"/>
      <x:c r="AC161" s="30"/>
      <x:c r="AD161" s="30"/>
      <x:c r="AE161" s="30"/>
      <x:c r="AF161" s="30"/>
      <x:c r="AG161" s="30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>
      <x:c r="A162" s="1"/>
      <x:c r="B162" s="1"/>
      <x:c r="C162" s="30"/>
      <x:c r="D162" s="30"/>
      <x:c r="E162" s="30"/>
      <x:c r="F162" s="30"/>
      <x:c r="G162" s="30"/>
      <x:c r="H162" s="30"/>
      <x:c r="I162" s="30"/>
      <x:c r="J162" s="30"/>
      <x:c r="K162" s="30"/>
      <x:c r="L162" s="30"/>
      <x:c r="M162" s="30"/>
      <x:c r="N162" s="30"/>
      <x:c r="O162" s="30"/>
      <x:c r="P162" s="30"/>
      <x:c r="Q162" s="30"/>
      <x:c r="R162" s="30"/>
      <x:c r="S162" s="30"/>
      <x:c r="T162" s="30"/>
      <x:c r="U162" s="30"/>
      <x:c r="V162" s="30"/>
      <x:c r="W162" s="30"/>
      <x:c r="X162" s="30"/>
      <x:c r="Y162" s="30"/>
      <x:c r="Z162" s="30"/>
      <x:c r="AA162" s="30"/>
      <x:c r="AB162" s="30"/>
      <x:c r="AC162" s="30"/>
      <x:c r="AD162" s="30"/>
      <x:c r="AE162" s="30"/>
      <x:c r="AF162" s="30"/>
      <x:c r="AG162" s="30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>
      <x:c r="A163" s="1"/>
      <x:c r="B163" s="1"/>
      <x:c r="C163" s="30"/>
      <x:c r="D163" s="30"/>
      <x:c r="E163" s="30"/>
      <x:c r="F163" s="30"/>
      <x:c r="G163" s="30"/>
      <x:c r="H163" s="30"/>
      <x:c r="I163" s="30"/>
      <x:c r="J163" s="30"/>
      <x:c r="K163" s="30"/>
      <x:c r="L163" s="30"/>
      <x:c r="M163" s="30"/>
      <x:c r="N163" s="30"/>
      <x:c r="O163" s="30"/>
      <x:c r="P163" s="30"/>
      <x:c r="Q163" s="30"/>
      <x:c r="R163" s="30"/>
      <x:c r="S163" s="30"/>
      <x:c r="T163" s="30"/>
      <x:c r="U163" s="30"/>
      <x:c r="V163" s="30"/>
      <x:c r="W163" s="30"/>
      <x:c r="X163" s="30"/>
      <x:c r="Y163" s="30"/>
      <x:c r="Z163" s="30"/>
      <x:c r="AA163" s="30"/>
      <x:c r="AB163" s="30"/>
      <x:c r="AC163" s="30"/>
      <x:c r="AD163" s="30"/>
      <x:c r="AE163" s="30"/>
      <x:c r="AF163" s="30"/>
      <x:c r="AG163" s="30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>
      <x:c r="A164" s="1"/>
      <x:c r="B164" s="1"/>
      <x:c r="C164" s="30"/>
      <x:c r="D164" s="30"/>
      <x:c r="E164" s="30"/>
      <x:c r="F164" s="30"/>
      <x:c r="G164" s="30"/>
      <x:c r="H164" s="30"/>
      <x:c r="I164" s="30"/>
      <x:c r="J164" s="30"/>
      <x:c r="K164" s="30"/>
      <x:c r="L164" s="30"/>
      <x:c r="M164" s="30"/>
      <x:c r="N164" s="30"/>
      <x:c r="O164" s="30"/>
      <x:c r="P164" s="30"/>
      <x:c r="Q164" s="30"/>
      <x:c r="R164" s="30"/>
      <x:c r="S164" s="30"/>
      <x:c r="T164" s="30"/>
      <x:c r="U164" s="30"/>
      <x:c r="V164" s="30"/>
      <x:c r="W164" s="30"/>
      <x:c r="X164" s="30"/>
      <x:c r="Y164" s="30"/>
      <x:c r="Z164" s="30"/>
      <x:c r="AA164" s="30"/>
      <x:c r="AB164" s="30"/>
      <x:c r="AC164" s="30"/>
      <x:c r="AD164" s="30"/>
      <x:c r="AE164" s="30"/>
      <x:c r="AF164" s="30"/>
      <x:c r="AG164" s="30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>
      <x:c r="A165" s="1"/>
      <x:c r="B165" s="1"/>
      <x:c r="C165" s="30"/>
      <x:c r="D165" s="30"/>
      <x:c r="E165" s="30"/>
      <x:c r="F165" s="30"/>
      <x:c r="G165" s="30"/>
      <x:c r="H165" s="30"/>
      <x:c r="I165" s="30"/>
      <x:c r="J165" s="30"/>
      <x:c r="K165" s="30"/>
      <x:c r="L165" s="30"/>
      <x:c r="M165" s="30"/>
      <x:c r="N165" s="30"/>
      <x:c r="O165" s="30"/>
      <x:c r="P165" s="30"/>
      <x:c r="Q165" s="30"/>
      <x:c r="R165" s="30"/>
      <x:c r="S165" s="30"/>
      <x:c r="T165" s="30"/>
      <x:c r="U165" s="30"/>
      <x:c r="V165" s="30"/>
      <x:c r="W165" s="30"/>
      <x:c r="X165" s="30"/>
      <x:c r="Y165" s="30"/>
      <x:c r="Z165" s="30"/>
      <x:c r="AA165" s="30"/>
      <x:c r="AB165" s="30"/>
      <x:c r="AC165" s="30"/>
      <x:c r="AD165" s="30"/>
      <x:c r="AE165" s="30"/>
      <x:c r="AF165" s="30"/>
      <x:c r="AG165" s="30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>
      <x:c r="A166" s="1"/>
      <x:c r="B166" s="1"/>
      <x:c r="C166" s="30"/>
      <x:c r="D166" s="30"/>
      <x:c r="E166" s="30"/>
      <x:c r="F166" s="30"/>
      <x:c r="G166" s="30"/>
      <x:c r="H166" s="30"/>
      <x:c r="I166" s="30"/>
      <x:c r="J166" s="30"/>
      <x:c r="K166" s="30"/>
      <x:c r="L166" s="30"/>
      <x:c r="M166" s="30"/>
      <x:c r="N166" s="30"/>
      <x:c r="O166" s="30"/>
      <x:c r="P166" s="30"/>
      <x:c r="Q166" s="30"/>
      <x:c r="R166" s="30"/>
      <x:c r="S166" s="30"/>
      <x:c r="T166" s="30"/>
      <x:c r="U166" s="30"/>
      <x:c r="V166" s="30"/>
      <x:c r="W166" s="30"/>
      <x:c r="X166" s="30"/>
      <x:c r="Y166" s="30"/>
      <x:c r="Z166" s="30"/>
      <x:c r="AA166" s="30"/>
      <x:c r="AB166" s="30"/>
      <x:c r="AC166" s="30"/>
      <x:c r="AD166" s="30"/>
      <x:c r="AE166" s="30"/>
      <x:c r="AF166" s="30"/>
      <x:c r="AG166" s="30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>
      <x:c r="A167" s="1"/>
      <x:c r="B167" s="1"/>
      <x:c r="C167" s="30"/>
      <x:c r="D167" s="30"/>
      <x:c r="E167" s="30"/>
      <x:c r="F167" s="30"/>
      <x:c r="G167" s="30"/>
      <x:c r="H167" s="30"/>
      <x:c r="I167" s="30"/>
      <x:c r="J167" s="30"/>
      <x:c r="K167" s="30"/>
      <x:c r="L167" s="30"/>
      <x:c r="M167" s="30"/>
      <x:c r="N167" s="30"/>
      <x:c r="O167" s="30"/>
      <x:c r="P167" s="30"/>
      <x:c r="Q167" s="30"/>
      <x:c r="R167" s="30"/>
      <x:c r="S167" s="30"/>
      <x:c r="T167" s="30"/>
      <x:c r="U167" s="30"/>
      <x:c r="V167" s="30"/>
      <x:c r="W167" s="30"/>
      <x:c r="X167" s="30"/>
      <x:c r="Y167" s="30"/>
      <x:c r="Z167" s="30"/>
      <x:c r="AA167" s="30"/>
      <x:c r="AB167" s="30"/>
      <x:c r="AC167" s="30"/>
      <x:c r="AD167" s="30"/>
      <x:c r="AE167" s="30"/>
      <x:c r="AF167" s="30"/>
      <x:c r="AG167" s="30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>
      <x:c r="A168" s="1"/>
      <x:c r="B168" s="1"/>
      <x:c r="C168" s="30"/>
      <x:c r="D168" s="30"/>
      <x:c r="E168" s="30"/>
      <x:c r="F168" s="30"/>
      <x:c r="G168" s="30"/>
      <x:c r="H168" s="30"/>
      <x:c r="I168" s="30"/>
      <x:c r="J168" s="30"/>
      <x:c r="K168" s="30"/>
      <x:c r="L168" s="30"/>
      <x:c r="M168" s="30"/>
      <x:c r="N168" s="30"/>
      <x:c r="O168" s="30"/>
      <x:c r="P168" s="30"/>
      <x:c r="Q168" s="30"/>
      <x:c r="R168" s="30"/>
      <x:c r="S168" s="30"/>
      <x:c r="T168" s="30"/>
      <x:c r="U168" s="30"/>
      <x:c r="V168" s="30"/>
      <x:c r="W168" s="30"/>
      <x:c r="X168" s="30"/>
      <x:c r="Y168" s="30"/>
      <x:c r="Z168" s="30"/>
      <x:c r="AA168" s="30"/>
      <x:c r="AB168" s="30"/>
      <x:c r="AC168" s="30"/>
      <x:c r="AD168" s="30"/>
      <x:c r="AE168" s="30"/>
      <x:c r="AF168" s="30"/>
      <x:c r="AG168" s="30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>
      <x:c r="A169" s="1"/>
      <x:c r="B169" s="1"/>
      <x:c r="C169" s="30"/>
      <x:c r="D169" s="30"/>
      <x:c r="E169" s="30"/>
      <x:c r="F169" s="30"/>
      <x:c r="G169" s="30"/>
      <x:c r="H169" s="30"/>
      <x:c r="I169" s="30"/>
      <x:c r="J169" s="30"/>
      <x:c r="K169" s="30"/>
      <x:c r="L169" s="30"/>
      <x:c r="M169" s="30"/>
      <x:c r="N169" s="30"/>
      <x:c r="O169" s="30"/>
      <x:c r="P169" s="30"/>
      <x:c r="Q169" s="30"/>
      <x:c r="R169" s="30"/>
      <x:c r="S169" s="30"/>
      <x:c r="T169" s="30"/>
      <x:c r="U169" s="30"/>
      <x:c r="V169" s="30"/>
      <x:c r="W169" s="30"/>
      <x:c r="X169" s="30"/>
      <x:c r="Y169" s="30"/>
      <x:c r="Z169" s="30"/>
      <x:c r="AA169" s="30"/>
      <x:c r="AB169" s="30"/>
      <x:c r="AC169" s="30"/>
      <x:c r="AD169" s="30"/>
      <x:c r="AE169" s="30"/>
      <x:c r="AF169" s="30"/>
      <x:c r="AG169" s="30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>
      <x:c r="A170" s="1"/>
      <x:c r="B170" s="1"/>
      <x:c r="C170" s="30"/>
      <x:c r="D170" s="30"/>
      <x:c r="E170" s="30"/>
      <x:c r="F170" s="30"/>
      <x:c r="G170" s="30"/>
      <x:c r="H170" s="30"/>
      <x:c r="I170" s="30"/>
      <x:c r="J170" s="30"/>
      <x:c r="K170" s="30"/>
      <x:c r="L170" s="30"/>
      <x:c r="M170" s="30"/>
      <x:c r="N170" s="30"/>
      <x:c r="O170" s="30"/>
      <x:c r="P170" s="30"/>
      <x:c r="Q170" s="30"/>
      <x:c r="R170" s="30"/>
      <x:c r="S170" s="30"/>
      <x:c r="T170" s="30"/>
      <x:c r="U170" s="30"/>
      <x:c r="V170" s="30"/>
      <x:c r="W170" s="30"/>
      <x:c r="X170" s="30"/>
      <x:c r="Y170" s="30"/>
      <x:c r="Z170" s="30"/>
      <x:c r="AA170" s="30"/>
      <x:c r="AB170" s="30"/>
      <x:c r="AC170" s="30"/>
      <x:c r="AD170" s="30"/>
      <x:c r="AE170" s="30"/>
      <x:c r="AF170" s="30"/>
      <x:c r="AG170" s="30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>
      <x:c r="A171" s="1"/>
      <x:c r="B171" s="1"/>
      <x:c r="C171" s="30"/>
      <x:c r="D171" s="30"/>
      <x:c r="E171" s="30"/>
      <x:c r="F171" s="30"/>
      <x:c r="G171" s="30"/>
      <x:c r="H171" s="30"/>
      <x:c r="I171" s="30"/>
      <x:c r="J171" s="30"/>
      <x:c r="K171" s="30"/>
      <x:c r="L171" s="30"/>
      <x:c r="M171" s="30"/>
      <x:c r="N171" s="30"/>
      <x:c r="O171" s="30"/>
      <x:c r="P171" s="30"/>
      <x:c r="Q171" s="30"/>
      <x:c r="R171" s="30"/>
      <x:c r="S171" s="30"/>
      <x:c r="T171" s="30"/>
      <x:c r="U171" s="30"/>
      <x:c r="V171" s="30"/>
      <x:c r="W171" s="30"/>
      <x:c r="X171" s="30"/>
      <x:c r="Y171" s="30"/>
      <x:c r="Z171" s="30"/>
      <x:c r="AA171" s="30"/>
      <x:c r="AB171" s="30"/>
      <x:c r="AC171" s="30"/>
      <x:c r="AD171" s="30"/>
      <x:c r="AE171" s="30"/>
      <x:c r="AF171" s="30"/>
      <x:c r="AG171" s="30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>
      <x:c r="A172" s="1"/>
      <x:c r="B172" s="1"/>
      <x:c r="C172" s="30"/>
      <x:c r="D172" s="30"/>
      <x:c r="E172" s="30"/>
      <x:c r="F172" s="30"/>
      <x:c r="G172" s="30"/>
      <x:c r="H172" s="30"/>
      <x:c r="I172" s="30"/>
      <x:c r="J172" s="30"/>
      <x:c r="K172" s="30"/>
      <x:c r="L172" s="30"/>
      <x:c r="M172" s="30"/>
      <x:c r="N172" s="30"/>
      <x:c r="O172" s="30"/>
      <x:c r="P172" s="30"/>
      <x:c r="Q172" s="30"/>
      <x:c r="R172" s="30"/>
      <x:c r="S172" s="30"/>
      <x:c r="T172" s="30"/>
      <x:c r="U172" s="30"/>
      <x:c r="V172" s="30"/>
      <x:c r="W172" s="30"/>
      <x:c r="X172" s="30"/>
      <x:c r="Y172" s="30"/>
      <x:c r="Z172" s="30"/>
      <x:c r="AA172" s="30"/>
      <x:c r="AB172" s="30"/>
      <x:c r="AC172" s="30"/>
      <x:c r="AD172" s="30"/>
      <x:c r="AE172" s="30"/>
      <x:c r="AF172" s="30"/>
      <x:c r="AG172" s="30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>
      <x:c r="A173" s="1"/>
      <x:c r="B173" s="1"/>
      <x:c r="C173" s="30"/>
      <x:c r="D173" s="30"/>
      <x:c r="E173" s="30"/>
      <x:c r="F173" s="30"/>
      <x:c r="G173" s="30"/>
      <x:c r="H173" s="30"/>
      <x:c r="I173" s="30"/>
      <x:c r="J173" s="30"/>
      <x:c r="K173" s="30"/>
      <x:c r="L173" s="30"/>
      <x:c r="M173" s="30"/>
      <x:c r="N173" s="30"/>
      <x:c r="O173" s="30"/>
      <x:c r="P173" s="30"/>
      <x:c r="Q173" s="30"/>
      <x:c r="R173" s="30"/>
      <x:c r="S173" s="30"/>
      <x:c r="T173" s="30"/>
      <x:c r="U173" s="30"/>
      <x:c r="V173" s="30"/>
      <x:c r="W173" s="30"/>
      <x:c r="X173" s="30"/>
      <x:c r="Y173" s="30"/>
      <x:c r="Z173" s="30"/>
      <x:c r="AA173" s="30"/>
      <x:c r="AB173" s="30"/>
      <x:c r="AC173" s="30"/>
      <x:c r="AD173" s="30"/>
      <x:c r="AE173" s="30"/>
      <x:c r="AF173" s="30"/>
      <x:c r="AG173" s="30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>
      <x:c r="A174" s="1"/>
      <x:c r="B174" s="1"/>
      <x:c r="C174" s="30"/>
      <x:c r="D174" s="30"/>
      <x:c r="E174" s="30"/>
      <x:c r="F174" s="30"/>
      <x:c r="G174" s="30"/>
      <x:c r="H174" s="30"/>
      <x:c r="I174" s="30"/>
      <x:c r="J174" s="30"/>
      <x:c r="K174" s="30"/>
      <x:c r="L174" s="30"/>
      <x:c r="M174" s="30"/>
      <x:c r="N174" s="30"/>
      <x:c r="O174" s="30"/>
      <x:c r="P174" s="30"/>
      <x:c r="Q174" s="30"/>
      <x:c r="R174" s="30"/>
      <x:c r="S174" s="30"/>
      <x:c r="T174" s="30"/>
      <x:c r="U174" s="30"/>
      <x:c r="V174" s="30"/>
      <x:c r="W174" s="30"/>
      <x:c r="X174" s="30"/>
      <x:c r="Y174" s="30"/>
      <x:c r="Z174" s="30"/>
      <x:c r="AA174" s="30"/>
      <x:c r="AB174" s="30"/>
      <x:c r="AC174" s="30"/>
      <x:c r="AD174" s="30"/>
      <x:c r="AE174" s="30"/>
      <x:c r="AF174" s="30"/>
      <x:c r="AG174" s="30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>
      <x:c r="A175" s="1"/>
      <x:c r="B175" s="1"/>
      <x:c r="C175" s="30"/>
      <x:c r="D175" s="30"/>
      <x:c r="E175" s="30"/>
      <x:c r="F175" s="30"/>
      <x:c r="G175" s="30"/>
      <x:c r="H175" s="30"/>
      <x:c r="I175" s="30"/>
      <x:c r="J175" s="30"/>
      <x:c r="K175" s="30"/>
      <x:c r="L175" s="30"/>
      <x:c r="M175" s="30"/>
      <x:c r="N175" s="30"/>
      <x:c r="O175" s="30"/>
      <x:c r="P175" s="30"/>
      <x:c r="Q175" s="30"/>
      <x:c r="R175" s="30"/>
      <x:c r="S175" s="30"/>
      <x:c r="T175" s="30"/>
      <x:c r="U175" s="30"/>
      <x:c r="V175" s="30"/>
      <x:c r="W175" s="30"/>
      <x:c r="X175" s="30"/>
      <x:c r="Y175" s="30"/>
      <x:c r="Z175" s="30"/>
      <x:c r="AA175" s="30"/>
      <x:c r="AB175" s="30"/>
      <x:c r="AC175" s="30"/>
      <x:c r="AD175" s="30"/>
      <x:c r="AE175" s="30"/>
      <x:c r="AF175" s="30"/>
      <x:c r="AG175" s="30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>
      <x:c r="A176" s="1"/>
      <x:c r="B176" s="1"/>
      <x:c r="C176" s="30"/>
      <x:c r="D176" s="30"/>
      <x:c r="E176" s="30"/>
      <x:c r="F176" s="30"/>
      <x:c r="G176" s="30"/>
      <x:c r="H176" s="30"/>
      <x:c r="I176" s="30"/>
      <x:c r="J176" s="30"/>
      <x:c r="K176" s="30"/>
      <x:c r="L176" s="30"/>
      <x:c r="M176" s="30"/>
      <x:c r="N176" s="30"/>
      <x:c r="O176" s="30"/>
      <x:c r="P176" s="30"/>
      <x:c r="Q176" s="30"/>
      <x:c r="R176" s="30"/>
      <x:c r="S176" s="30"/>
      <x:c r="T176" s="30"/>
      <x:c r="U176" s="30"/>
      <x:c r="V176" s="30"/>
      <x:c r="W176" s="30"/>
      <x:c r="X176" s="30"/>
      <x:c r="Y176" s="30"/>
      <x:c r="Z176" s="30"/>
      <x:c r="AA176" s="30"/>
      <x:c r="AB176" s="30"/>
      <x:c r="AC176" s="30"/>
      <x:c r="AD176" s="30"/>
      <x:c r="AE176" s="30"/>
      <x:c r="AF176" s="30"/>
      <x:c r="AG176" s="30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>
      <x:c r="A177" s="1"/>
      <x:c r="B177" s="1"/>
      <x:c r="C177" s="30"/>
      <x:c r="D177" s="30"/>
      <x:c r="E177" s="30"/>
      <x:c r="F177" s="30"/>
      <x:c r="G177" s="30"/>
      <x:c r="H177" s="30"/>
      <x:c r="I177" s="30"/>
      <x:c r="J177" s="30"/>
      <x:c r="K177" s="30"/>
      <x:c r="L177" s="30"/>
      <x:c r="M177" s="30"/>
      <x:c r="N177" s="30"/>
      <x:c r="O177" s="30"/>
      <x:c r="P177" s="30"/>
      <x:c r="Q177" s="30"/>
      <x:c r="R177" s="30"/>
      <x:c r="S177" s="30"/>
      <x:c r="T177" s="30"/>
      <x:c r="U177" s="30"/>
      <x:c r="V177" s="30"/>
      <x:c r="W177" s="30"/>
      <x:c r="X177" s="30"/>
      <x:c r="Y177" s="30"/>
      <x:c r="Z177" s="30"/>
      <x:c r="AA177" s="30"/>
      <x:c r="AB177" s="30"/>
      <x:c r="AC177" s="30"/>
      <x:c r="AD177" s="30"/>
      <x:c r="AE177" s="30"/>
      <x:c r="AF177" s="30"/>
      <x:c r="AG177" s="30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>
      <x:c r="A178" s="1"/>
      <x:c r="B178" s="1"/>
      <x:c r="C178" s="30"/>
      <x:c r="D178" s="30"/>
      <x:c r="E178" s="30"/>
      <x:c r="F178" s="30"/>
      <x:c r="G178" s="30"/>
      <x:c r="H178" s="30"/>
      <x:c r="I178" s="30"/>
      <x:c r="J178" s="30"/>
      <x:c r="K178" s="30"/>
      <x:c r="L178" s="30"/>
      <x:c r="M178" s="30"/>
      <x:c r="N178" s="30"/>
      <x:c r="O178" s="30"/>
      <x:c r="P178" s="30"/>
      <x:c r="Q178" s="30"/>
      <x:c r="R178" s="30"/>
      <x:c r="S178" s="30"/>
      <x:c r="T178" s="30"/>
      <x:c r="U178" s="30"/>
      <x:c r="V178" s="30"/>
      <x:c r="W178" s="30"/>
      <x:c r="X178" s="30"/>
      <x:c r="Y178" s="30"/>
      <x:c r="Z178" s="30"/>
      <x:c r="AA178" s="30"/>
      <x:c r="AB178" s="30"/>
      <x:c r="AC178" s="30"/>
      <x:c r="AD178" s="30"/>
      <x:c r="AE178" s="30"/>
      <x:c r="AF178" s="30"/>
      <x:c r="AG178" s="30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>
      <x:c r="A179" s="1"/>
      <x:c r="B179" s="1"/>
      <x:c r="C179" s="30"/>
      <x:c r="D179" s="30"/>
      <x:c r="E179" s="30"/>
      <x:c r="F179" s="30"/>
      <x:c r="G179" s="30"/>
      <x:c r="H179" s="30"/>
      <x:c r="I179" s="30"/>
      <x:c r="J179" s="30"/>
      <x:c r="K179" s="30"/>
      <x:c r="L179" s="30"/>
      <x:c r="M179" s="30"/>
      <x:c r="N179" s="30"/>
      <x:c r="O179" s="30"/>
      <x:c r="P179" s="30"/>
      <x:c r="Q179" s="30"/>
      <x:c r="R179" s="30"/>
      <x:c r="S179" s="30"/>
      <x:c r="T179" s="30"/>
      <x:c r="U179" s="30"/>
      <x:c r="V179" s="30"/>
      <x:c r="W179" s="30"/>
      <x:c r="X179" s="30"/>
      <x:c r="Y179" s="30"/>
      <x:c r="Z179" s="30"/>
      <x:c r="AA179" s="30"/>
      <x:c r="AB179" s="30"/>
      <x:c r="AC179" s="30"/>
      <x:c r="AD179" s="30"/>
      <x:c r="AE179" s="30"/>
      <x:c r="AF179" s="30"/>
      <x:c r="AG179" s="30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>
      <x:c r="A180" s="1"/>
      <x:c r="B180" s="1"/>
      <x:c r="C180" s="30"/>
      <x:c r="D180" s="30"/>
      <x:c r="E180" s="30"/>
      <x:c r="F180" s="30"/>
      <x:c r="G180" s="30"/>
      <x:c r="H180" s="30"/>
      <x:c r="I180" s="30"/>
      <x:c r="J180" s="30"/>
      <x:c r="K180" s="30"/>
      <x:c r="L180" s="30"/>
      <x:c r="M180" s="30"/>
      <x:c r="N180" s="30"/>
      <x:c r="O180" s="30"/>
      <x:c r="P180" s="30"/>
      <x:c r="Q180" s="30"/>
      <x:c r="R180" s="30"/>
      <x:c r="S180" s="30"/>
      <x:c r="T180" s="30"/>
      <x:c r="U180" s="30"/>
      <x:c r="V180" s="30"/>
      <x:c r="W180" s="30"/>
      <x:c r="X180" s="30"/>
      <x:c r="Y180" s="30"/>
      <x:c r="Z180" s="30"/>
      <x:c r="AA180" s="30"/>
      <x:c r="AB180" s="30"/>
      <x:c r="AC180" s="30"/>
      <x:c r="AD180" s="30"/>
      <x:c r="AE180" s="30"/>
      <x:c r="AF180" s="30"/>
      <x:c r="AG180" s="30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</x:sheetData>
  <x:conditionalFormatting sqref="P5:P9">
    <x:cfRule type="containsText" dxfId="6" priority="1" operator="containsText" text="FAIL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2" hidden="0" customWidth="1"/>
    <x:col min="4" max="4" width="13" hidden="0" customWidth="1"/>
    <x:col min="5" max="5" width="33" hidden="0" customWidth="1"/>
    <x:col min="6" max="6" width="37" hidden="0" customWidth="1"/>
    <x:col min="7" max="7" width="50" hidden="0" customWidth="1"/>
    <x:col min="8" max="8" width="14" hidden="0" customWidth="1"/>
    <x:col min="9" max="9" width="14" hidden="0" customWidth="1"/>
    <x:col min="10" max="10" width="70" hidden="0" customWidth="1"/>
    <x:col min="11" max="11" width="68" hidden="0" customWidth="1"/>
    <x:col min="12" max="12" width="15" hidden="0" customWidth="1"/>
    <x:col min="13" max="13" width="15" hidden="0" customWidth="1"/>
    <x:col min="14" max="14" width="20" hidden="0" customWidth="1"/>
    <x:col min="15" max="15" width="12" hidden="0" customWidth="1"/>
    <x:col min="16" max="16" width="1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>
      <x:c r="A2" s="1"/>
      <x:c r="B2" s="1"/>
      <x:c r="C2" s="3" t="str">
        <x:v>Twelve mission-driven technology competitions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>
      <x:c r="A3" s="1"/>
      <x:c r="B3" s="1"/>
      <x:c r="C3" s="39" t="str">
        <x:v>The four Pass 168 fields remain equally funded. Each divides into three mechanism-neutral competitions; allocation is a planning exposure, not feasibility or procurement authority.</x:v>
      </x:c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  <x:c r="AA3" s="30"/>
      <x:c r="AB3" s="30"/>
      <x:c r="AC3" s="30"/>
      <x:c r="AD3" s="30"/>
      <x:c r="AE3" s="30"/>
      <x:c r="AF3" s="30"/>
      <x:c r="AG3" s="30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>
      <x:c r="A4" s="1"/>
      <x:c r="B4" s="1"/>
      <x:c r="C4" s="9" t="str">
        <x:v>Program</x:v>
      </x:c>
      <x:c r="D4" s="17" t="str">
        <x:v>Parent field</x:v>
      </x:c>
      <x:c r="E4" s="17" t="str">
        <x:v>Parent problem field</x:v>
      </x:c>
      <x:c r="F4" s="17" t="str">
        <x:v>Subcompetition</x:v>
      </x:c>
      <x:c r="G4" s="17" t="str">
        <x:v>Binding coefficient</x:v>
      </x:c>
      <x:c r="H4" s="17" t="str">
        <x:v>Route reach</x:v>
      </x:c>
      <x:c r="I4" s="17" t="str">
        <x:v>Stage reach</x:v>
      </x:c>
      <x:c r="J4" s="17" t="str">
        <x:v>Rival mechanism families</x:v>
      </x:c>
      <x:c r="K4" s="17" t="str">
        <x:v>Kill condition</x:v>
      </x:c>
      <x:c r="L4" s="17" t="str">
        <x:v>Parent share</x:v>
      </x:c>
      <x:c r="M4" s="17" t="str">
        <x:v>Program share</x:v>
      </x:c>
      <x:c r="N4" s="10" t="str">
        <x:v>Allocation (USD B)</x:v>
      </x:c>
      <x:c r="O4" s="9" t="str">
        <x:v>Sequence</x:v>
      </x:c>
      <x:c r="P4" s="10" t="str">
        <x:v>Status</x:v>
      </x:c>
      <x:c r="Q4" s="30"/>
      <x:c r="R4" s="30"/>
      <x:c r="S4" s="30"/>
      <x:c r="T4" s="30"/>
      <x:c r="U4" s="30"/>
      <x:c r="V4" s="30"/>
      <x:c r="W4" s="30"/>
      <x:c r="X4" s="30"/>
      <x:c r="Y4" s="30"/>
      <x:c r="Z4" s="30"/>
      <x:c r="AA4" s="30"/>
      <x:c r="AB4" s="30"/>
      <x:c r="AC4" s="30"/>
      <x:c r="AD4" s="30"/>
      <x:c r="AE4" s="30"/>
      <x:c r="AF4" s="30"/>
      <x:c r="AG4" s="30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 ht="60" customHeight="1">
      <x:c r="A5" s="1"/>
      <x:c r="B5" s="1"/>
      <x:c r="C5" s="30" t="str">
        <x:v>HU-01A</x:v>
      </x:c>
      <x:c r="D5" s="35" t="str">
        <x:v>HU-01</x:v>
      </x:c>
      <x:c r="E5" s="35" t="str">
        <x:v>Distributed definitive care</x:v>
      </x:c>
      <x:c r="F5" s="35" t="str">
        <x:v>Sterile acuity-cell systems</x:v>
      </x:c>
      <x:c r="G5" s="35" t="str">
        <x:v>Completed monitored, procedural and critical episodes per deployed tonne and specialist-hour</x:v>
      </x:c>
      <x:c r="H5" s="35" t="n">
        <x:v>3</x:v>
      </x:c>
      <x:c r="I5" s="35" t="n">
        <x:v>5</x:v>
      </x:c>
      <x:c r="J5" s="35" t="str">
        <x:v>Clinical campuses; building conversion; distributed procedural cells; mobile sterile environments</x:v>
      </x:c>
      <x:c r="K5" s="35" t="str">
        <x:v>A nominal care position lacks a complete staffed, utility, infection, referral and discharge chain</x:v>
      </x:c>
      <x:c r="L5" s="38" t="n">
        <x:v>0.25</x:v>
      </x:c>
      <x:c r="M5" s="38" t="n">
        <x:f>L5/COUNTIFS($D$5:$D$16,D5)</x:f>
        <x:v>0.08333333333333333</x:v>
      </x:c>
      <x:c r="N5" s="33" t="n">
        <x:f>Controls!$D$5*M5</x:f>
        <x:v>12.75848012414501</x:v>
      </x:c>
      <x:c r="O5" s="30" t="n">
        <x:v>2</x:v>
      </x:c>
      <x:c r="P5" s="30" t="str">
        <x:v>SEQUENCE</x:v>
      </x:c>
      <x:c r="Q5" s="30"/>
      <x:c r="R5" s="30"/>
      <x:c r="S5" s="30"/>
      <x:c r="T5" s="30"/>
      <x:c r="U5" s="30"/>
      <x:c r="V5" s="30"/>
      <x:c r="W5" s="30"/>
      <x:c r="X5" s="30"/>
      <x:c r="Y5" s="30"/>
      <x:c r="Z5" s="30"/>
      <x:c r="AA5" s="30"/>
      <x:c r="AB5" s="30"/>
      <x:c r="AC5" s="30"/>
      <x:c r="AD5" s="30"/>
      <x:c r="AE5" s="30"/>
      <x:c r="AF5" s="30"/>
      <x:c r="AG5" s="30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 ht="60" customHeight="1">
      <x:c r="A6" s="1"/>
      <x:c r="B6" s="1"/>
      <x:c r="C6" s="30" t="str">
        <x:v>HU-01B</x:v>
      </x:c>
      <x:c r="D6" s="35" t="str">
        <x:v>HU-01</x:v>
      </x:c>
      <x:c r="E6" s="35" t="str">
        <x:v>Distributed definitive care</x:v>
      </x:c>
      <x:c r="F6" s="35" t="str">
        <x:v>Autonomous diagnostic and laboratory loop</x:v>
      </x:c>
      <x:c r="G6" s="35" t="str">
        <x:v>Safe diagnostic decisions per scarce laboratory worker-hour and assay logistics tonne</x:v>
      </x:c>
      <x:c r="H6" s="35" t="n">
        <x:v>3</x:v>
      </x:c>
      <x:c r="I6" s="35" t="n">
        <x:v>5</x:v>
      </x:c>
      <x:c r="J6" s="35" t="str">
        <x:v>Robotic sample chain; bedside imaging; distributed micro-labs; remote pathology</x:v>
      </x:c>
      <x:c r="K6" s="35" t="str">
        <x:v>Automation increases false disposition, breaks provenance or transfers labor outside the boundary</x:v>
      </x:c>
      <x:c r="L6" s="38" t="n">
        <x:v>0.25</x:v>
      </x:c>
      <x:c r="M6" s="38" t="n">
        <x:f>L6/COUNTIFS($D$5:$D$16,D6)</x:f>
        <x:v>0.08333333333333333</x:v>
      </x:c>
      <x:c r="N6" s="33" t="n">
        <x:f>Controls!$D$5*M6</x:f>
        <x:v>12.75848012414501</x:v>
      </x:c>
      <x:c r="O6" s="30" t="n">
        <x:v>3</x:v>
      </x:c>
      <x:c r="P6" s="30" t="str">
        <x:v>SEQUENCE</x:v>
      </x:c>
      <x:c r="Q6" s="30"/>
      <x:c r="R6" s="30"/>
      <x:c r="S6" s="30"/>
      <x:c r="T6" s="30"/>
      <x:c r="U6" s="30"/>
      <x:c r="V6" s="30"/>
      <x:c r="W6" s="30"/>
      <x:c r="X6" s="30"/>
      <x:c r="Y6" s="30"/>
      <x:c r="Z6" s="30"/>
      <x:c r="AA6" s="30"/>
      <x:c r="AB6" s="30"/>
      <x:c r="AC6" s="30"/>
      <x:c r="AD6" s="30"/>
      <x:c r="AE6" s="30"/>
      <x:c r="AF6" s="30"/>
      <x:c r="AG6" s="30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 ht="60" customHeight="1">
      <x:c r="A7" s="1"/>
      <x:c r="B7" s="1"/>
      <x:c r="C7" s="30" t="str">
        <x:v>HU-01C</x:v>
      </x:c>
      <x:c r="D7" s="35" t="str">
        <x:v>HU-01</x:v>
      </x:c>
      <x:c r="E7" s="35" t="str">
        <x:v>Distributed definitive care</x:v>
      </x:c>
      <x:c r="F7" s="35" t="str">
        <x:v>Clinical production and residual closure</x:v>
      </x:c>
      <x:c r="G7" s="35" t="str">
        <x:v>Therapy-days sustained per supply tonne with controlled oxygen, sterile, pharmacy and waste loops</x:v>
      </x:c>
      <x:c r="H7" s="35" t="n">
        <x:v>3</x:v>
      </x:c>
      <x:c r="I7" s="35" t="n">
        <x:v>5</x:v>
      </x:c>
      <x:c r="J7" s="35" t="str">
        <x:v>Local oxygen; sterile production; modular pharmacy; biomanufacturing; closed residual trains</x:v>
      </x:c>
      <x:c r="K7" s="35" t="str">
        <x:v>Local production cannot meet identity, purity, release, waste or maintenance requirements</x:v>
      </x:c>
      <x:c r="L7" s="38" t="n">
        <x:v>0.25</x:v>
      </x:c>
      <x:c r="M7" s="38" t="n">
        <x:f>L7/COUNTIFS($D$5:$D$16,D7)</x:f>
        <x:v>0.08333333333333333</x:v>
      </x:c>
      <x:c r="N7" s="33" t="n">
        <x:f>Controls!$D$5*M7</x:f>
        <x:v>12.75848012414501</x:v>
      </x:c>
      <x:c r="O7" s="30" t="n">
        <x:v>4</x:v>
      </x:c>
      <x:c r="P7" s="30" t="str">
        <x:v>SEQUENCE</x:v>
      </x:c>
      <x:c r="Q7" s="30"/>
      <x:c r="R7" s="30"/>
      <x:c r="S7" s="30"/>
      <x:c r="T7" s="30"/>
      <x:c r="U7" s="30"/>
      <x:c r="V7" s="30"/>
      <x:c r="W7" s="30"/>
      <x:c r="X7" s="30"/>
      <x:c r="Y7" s="30"/>
      <x:c r="Z7" s="30"/>
      <x:c r="AA7" s="30"/>
      <x:c r="AB7" s="30"/>
      <x:c r="AC7" s="30"/>
      <x:c r="AD7" s="30"/>
      <x:c r="AE7" s="30"/>
      <x:c r="AF7" s="30"/>
      <x:c r="AG7" s="30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 ht="60" customHeight="1">
      <x:c r="A8" s="1"/>
      <x:c r="B8" s="1"/>
      <x:c r="C8" s="30" t="str">
        <x:v>HU-02A</x:v>
      </x:c>
      <x:c r="D8" s="35" t="str">
        <x:v>HU-02</x:v>
      </x:c>
      <x:c r="E8" s="35" t="str">
        <x:v>Clinical workforce multiplication</x:v>
      </x:c>
      <x:c r="F8" s="35" t="str">
        <x:v>Remote specialist presence</x:v>
      </x:c>
      <x:c r="G8" s="35" t="str">
        <x:v>Licensed specialist decisions per scarce expert-hour under denied communications</x:v>
      </x:c>
      <x:c r="H8" s="35" t="n">
        <x:v>4</x:v>
      </x:c>
      <x:c r="I8" s="35" t="n">
        <x:v>6</x:v>
      </x:c>
      <x:c r="J8" s="35" t="str">
        <x:v>Haptic telepresence; asynchronous consult packets; edge decision support; mobile specialty teams</x:v>
      </x:c>
      <x:c r="K8" s="35" t="str">
        <x:v>Remote presence weakens accountability, latency, examination quality or lawful stop power</x:v>
      </x:c>
      <x:c r="L8" s="38" t="n">
        <x:v>0.25</x:v>
      </x:c>
      <x:c r="M8" s="38" t="n">
        <x:f>L8/COUNTIFS($D$5:$D$16,D8)</x:f>
        <x:v>0.08333333333333333</x:v>
      </x:c>
      <x:c r="N8" s="33" t="n">
        <x:f>Controls!$D$5*M8</x:f>
        <x:v>12.75848012414501</x:v>
      </x:c>
      <x:c r="O8" s="30" t="n">
        <x:v>5</x:v>
      </x:c>
      <x:c r="P8" s="30" t="str">
        <x:v>SEQUENCE</x:v>
      </x:c>
      <x:c r="Q8" s="30"/>
      <x:c r="R8" s="30"/>
      <x:c r="S8" s="30"/>
      <x:c r="T8" s="30"/>
      <x:c r="U8" s="30"/>
      <x:c r="V8" s="30"/>
      <x:c r="W8" s="30"/>
      <x:c r="X8" s="30"/>
      <x:c r="Y8" s="30"/>
      <x:c r="Z8" s="30"/>
      <x:c r="AA8" s="30"/>
      <x:c r="AB8" s="30"/>
      <x:c r="AC8" s="30"/>
      <x:c r="AD8" s="30"/>
      <x:c r="AE8" s="30"/>
      <x:c r="AF8" s="30"/>
      <x:c r="AG8" s="30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 ht="60" customHeight="1">
      <x:c r="A9" s="1"/>
      <x:c r="B9" s="1"/>
      <x:c r="C9" s="30" t="str">
        <x:v>HU-02B</x:v>
      </x:c>
      <x:c r="D9" s="35" t="str">
        <x:v>HU-02</x:v>
      </x:c>
      <x:c r="E9" s="35" t="str">
        <x:v>Clinical workforce multiplication</x:v>
      </x:c>
      <x:c r="F9" s="35" t="str">
        <x:v>Supervised clinical robotics</x:v>
      </x:c>
      <x:c r="G9" s="35" t="str">
        <x:v>Safe care-hours per clinician-hour without loss of observation or escalation</x:v>
      </x:c>
      <x:c r="H9" s="35" t="n">
        <x:v>4</x:v>
      </x:c>
      <x:c r="I9" s="35" t="n">
        <x:v>6</x:v>
      </x:c>
      <x:c r="J9" s="35" t="str">
        <x:v>Nursing robotics; procedural assist; pharmacy automation; autonomous logistics</x:v>
      </x:c>
      <x:c r="K9" s="35" t="str">
        <x:v>Labor reduction increases missed deterioration, unsafe delegation or common-mode failure</x:v>
      </x:c>
      <x:c r="L9" s="38" t="n">
        <x:v>0.25</x:v>
      </x:c>
      <x:c r="M9" s="38" t="n">
        <x:f>L9/COUNTIFS($D$5:$D$16,D9)</x:f>
        <x:v>0.08333333333333333</x:v>
      </x:c>
      <x:c r="N9" s="33" t="n">
        <x:f>Controls!$D$5*M9</x:f>
        <x:v>12.75848012414501</x:v>
      </x:c>
      <x:c r="O9" s="30" t="n">
        <x:v>6</x:v>
      </x:c>
      <x:c r="P9" s="30" t="str">
        <x:v>SEQUENCE</x:v>
      </x:c>
      <x:c r="Q9" s="30"/>
      <x:c r="R9" s="30"/>
      <x:c r="S9" s="30"/>
      <x:c r="T9" s="30"/>
      <x:c r="U9" s="30"/>
      <x:c r="V9" s="30"/>
      <x:c r="W9" s="30"/>
      <x:c r="X9" s="30"/>
      <x:c r="Y9" s="30"/>
      <x:c r="Z9" s="30"/>
      <x:c r="AA9" s="30"/>
      <x:c r="AB9" s="30"/>
      <x:c r="AC9" s="30"/>
      <x:c r="AD9" s="30"/>
      <x:c r="AE9" s="30"/>
      <x:c r="AF9" s="30"/>
      <x:c r="AG9" s="30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 ht="60" customHeight="1">
      <x:c r="A10" s="1"/>
      <x:c r="B10" s="1"/>
      <x:c r="C10" s="30" t="str">
        <x:v>HU-02C</x:v>
      </x:c>
      <x:c r="D10" s="35" t="str">
        <x:v>HU-02</x:v>
      </x:c>
      <x:c r="E10" s="35" t="str">
        <x:v>Clinical workforce multiplication</x:v>
      </x:c>
      <x:c r="F10" s="35" t="str">
        <x:v>Workforce learning and endurance</x:v>
      </x:c>
      <x:c r="G10" s="35" t="str">
        <x:v>Certified care-hours sustained per training-day and replacement stream</x:v>
      </x:c>
      <x:c r="H10" s="35" t="n">
        <x:v>4</x:v>
      </x:c>
      <x:c r="I10" s="35" t="n">
        <x:v>6</x:v>
      </x:c>
      <x:c r="J10" s="35" t="str">
        <x:v>Immersive simulation; modular credentials; fatigue sensing; team digital twins</x:v>
      </x:c>
      <x:c r="K10" s="35" t="str">
        <x:v>Accelerated readiness weakens competence, licensure, team composition or recovery</x:v>
      </x:c>
      <x:c r="L10" s="38" t="n">
        <x:v>0.25</x:v>
      </x:c>
      <x:c r="M10" s="38" t="n">
        <x:f>L10/COUNTIFS($D$5:$D$16,D10)</x:f>
        <x:v>0.08333333333333333</x:v>
      </x:c>
      <x:c r="N10" s="33" t="n">
        <x:f>Controls!$D$5*M10</x:f>
        <x:v>12.75848012414501</x:v>
      </x:c>
      <x:c r="O10" s="30" t="n">
        <x:v>7</x:v>
      </x:c>
      <x:c r="P10" s="30" t="str">
        <x:v>SEQUENCE</x:v>
      </x:c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  <x:c r="AA10" s="30"/>
      <x:c r="AB10" s="30"/>
      <x:c r="AC10" s="30"/>
      <x:c r="AD10" s="30"/>
      <x:c r="AE10" s="30"/>
      <x:c r="AF10" s="30"/>
      <x:c r="AG10" s="30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 ht="60" customHeight="1">
      <x:c r="A11" s="1"/>
      <x:c r="B11" s="1"/>
      <x:c r="C11" s="30" t="str">
        <x:v>HU-03A</x:v>
      </x:c>
      <x:c r="D11" s="35" t="str">
        <x:v>HU-03</x:v>
      </x:c>
      <x:c r="E11" s="35" t="str">
        <x:v>Population-support systems</x:v>
      </x:c>
      <x:c r="F11" s="35" t="str">
        <x:v>Occupied-environment metabolism</x:v>
      </x:c>
      <x:c r="G11" s="35" t="str">
        <x:v>Safe person-days per tonne and worker-hour through heat, cold, smoke and utility loss</x:v>
      </x:c>
      <x:c r="H11" s="35" t="n">
        <x:v>2</x:v>
      </x:c>
      <x:c r="I11" s="35" t="n">
        <x:v>5</x:v>
      </x:c>
      <x:c r="J11" s="35" t="str">
        <x:v>Cellular environmental zones; adaptive skins; local thermal storage; building conversion</x:v>
      </x:c>
      <x:c r="K11" s="35" t="str">
        <x:v>Envelope performance omits accessibility, heat rejection, maintenance, fire or residuals</x:v>
      </x:c>
      <x:c r="L11" s="38" t="n">
        <x:v>0.25</x:v>
      </x:c>
      <x:c r="M11" s="38" t="n">
        <x:f>L11/COUNTIFS($D$5:$D$16,D11)</x:f>
        <x:v>0.08333333333333333</x:v>
      </x:c>
      <x:c r="N11" s="33" t="n">
        <x:f>Controls!$D$5*M11</x:f>
        <x:v>12.75848012414501</x:v>
      </x:c>
      <x:c r="O11" s="30" t="n">
        <x:v>8</x:v>
      </x:c>
      <x:c r="P11" s="30" t="str">
        <x:v>SEQUENCE</x:v>
      </x:c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  <x:c r="AA11" s="30"/>
      <x:c r="AB11" s="30"/>
      <x:c r="AC11" s="30"/>
      <x:c r="AD11" s="30"/>
      <x:c r="AE11" s="30"/>
      <x:c r="AF11" s="30"/>
      <x:c r="AG11" s="30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 ht="60" customHeight="1">
      <x:c r="A12" s="1"/>
      <x:c r="B12" s="1"/>
      <x:c r="C12" s="30" t="str">
        <x:v>HU-03B</x:v>
      </x:c>
      <x:c r="D12" s="35" t="str">
        <x:v>HU-03</x:v>
      </x:c>
      <x:c r="E12" s="35" t="str">
        <x:v>Population-support systems</x:v>
      </x:c>
      <x:c r="F12" s="35" t="str">
        <x:v>Food, hygiene and essential-goods service</x:v>
      </x:c>
      <x:c r="G12" s="35" t="str">
        <x:v>Accepted person-days per logistics tonne, water unit and worker-hour</x:v>
      </x:c>
      <x:c r="H12" s="35" t="n">
        <x:v>2</x:v>
      </x:c>
      <x:c r="I12" s="35" t="n">
        <x:v>5</x:v>
      </x:c>
      <x:c r="J12" s="35" t="str">
        <x:v>Local finishing; robotic kitchens; adaptive menus; automated hygiene and issue</x:v>
      </x:c>
      <x:c r="K12" s="35" t="str">
        <x:v>Mass reduction creates unsafe nutrition, exclusion, refusal, allergen or waste outcomes</x:v>
      </x:c>
      <x:c r="L12" s="38" t="n">
        <x:v>0.25</x:v>
      </x:c>
      <x:c r="M12" s="38" t="n">
        <x:f>L12/COUNTIFS($D$5:$D$16,D12)</x:f>
        <x:v>0.08333333333333333</x:v>
      </x:c>
      <x:c r="N12" s="33" t="n">
        <x:f>Controls!$D$5*M12</x:f>
        <x:v>12.75848012414501</x:v>
      </x:c>
      <x:c r="O12" s="30" t="n">
        <x:v>9</x:v>
      </x:c>
      <x:c r="P12" s="30" t="str">
        <x:v>SEQUENCE</x:v>
      </x:c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  <x:c r="AA12" s="30"/>
      <x:c r="AB12" s="30"/>
      <x:c r="AC12" s="30"/>
      <x:c r="AD12" s="30"/>
      <x:c r="AE12" s="30"/>
      <x:c r="AF12" s="30"/>
      <x:c r="AG12" s="30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 ht="60" customHeight="1">
      <x:c r="A13" s="1"/>
      <x:c r="B13" s="1"/>
      <x:c r="C13" s="30" t="str">
        <x:v>HU-03C</x:v>
      </x:c>
      <x:c r="D13" s="35" t="str">
        <x:v>HU-03</x:v>
      </x:c>
      <x:c r="E13" s="35" t="str">
        <x:v>Population-support systems</x:v>
      </x:c>
      <x:c r="F13" s="35" t="str">
        <x:v>Accessible building and assistive support</x:v>
      </x:c>
      <x:c r="G13" s="35" t="str">
        <x:v>Occupied floors safely served per team-hour and carried tonne</x:v>
      </x:c>
      <x:c r="H13" s="35" t="n">
        <x:v>2</x:v>
      </x:c>
      <x:c r="I13" s="35" t="n">
        <x:v>5</x:v>
      </x:c>
      <x:c r="J13" s="35" t="str">
        <x:v>Temporary vertical systems; powered assistive kits; robotic delivery; refuge support</x:v>
      </x:c>
      <x:c r="K13" s="35" t="str">
        <x:v>Technology strands users, caregivers, devices or service animals in a degraded mode</x:v>
      </x:c>
      <x:c r="L13" s="38" t="n">
        <x:v>0.25</x:v>
      </x:c>
      <x:c r="M13" s="38" t="n">
        <x:f>L13/COUNTIFS($D$5:$D$16,D13)</x:f>
        <x:v>0.08333333333333333</x:v>
      </x:c>
      <x:c r="N13" s="33" t="n">
        <x:f>Controls!$D$5*M13</x:f>
        <x:v>12.75848012414501</x:v>
      </x:c>
      <x:c r="O13" s="30" t="n">
        <x:v>10</x:v>
      </x:c>
      <x:c r="P13" s="30" t="str">
        <x:v>SEQUENCE</x:v>
      </x:c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  <x:c r="AA13" s="30"/>
      <x:c r="AB13" s="30"/>
      <x:c r="AC13" s="30"/>
      <x:c r="AD13" s="30"/>
      <x:c r="AE13" s="30"/>
      <x:c r="AF13" s="30"/>
      <x:c r="AG13" s="30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 ht="60" customHeight="1">
      <x:c r="A14" s="1"/>
      <x:c r="B14" s="1"/>
      <x:c r="C14" s="30" t="str">
        <x:v>HU-04A</x:v>
      </x:c>
      <x:c r="D14" s="35" t="str">
        <x:v>HU-04</x:v>
      </x:c>
      <x:c r="E14" s="35" t="str">
        <x:v>Patient and household continuity</x:v>
      </x:c>
      <x:c r="F14" s="35" t="str">
        <x:v>Continuity state, admission and matching</x:v>
      </x:c>
      <x:c r="G14" s="35" t="str">
        <x:v>Complete seven-stage routes per staff-hour with no false served state</x:v>
      </x:c>
      <x:c r="H14" s="35" t="n">
        <x:v>5</x:v>
      </x:c>
      <x:c r="I14" s="35" t="n">
        <x:v>7</x:v>
      </x:c>
      <x:c r="J14" s="35" t="str">
        <x:v>Person-held credential; household edge mesh; federated service nodes; staffed analog-optical network</x:v>
      </x:c>
      <x:c r="K14" s="35" t="str">
        <x:v>Any root requires intact cloud service, central identity, hidden inference or unsafe false acceptance</x:v>
      </x:c>
      <x:c r="L14" s="38" t="n">
        <x:v>0.25</x:v>
      </x:c>
      <x:c r="M14" s="38" t="n">
        <x:f>L14/COUNTIFS($D$5:$D$16,D14)</x:f>
        <x:v>0.08333333333333333</x:v>
      </x:c>
      <x:c r="N14" s="33" t="n">
        <x:f>Controls!$D$5*M14</x:f>
        <x:v>12.75848012414501</x:v>
      </x:c>
      <x:c r="O14" s="30" t="n">
        <x:v>1</x:v>
      </x:c>
      <x:c r="P14" s="30" t="str">
        <x:v>FIRST</x:v>
      </x:c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  <x:c r="AA14" s="30"/>
      <x:c r="AB14" s="30"/>
      <x:c r="AC14" s="30"/>
      <x:c r="AD14" s="30"/>
      <x:c r="AE14" s="30"/>
      <x:c r="AF14" s="30"/>
      <x:c r="AG14" s="30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 ht="60" customHeight="1">
      <x:c r="A15" s="1"/>
      <x:c r="B15" s="1"/>
      <x:c r="C15" s="30" t="str">
        <x:v>HU-04B</x:v>
      </x:c>
      <x:c r="D15" s="35" t="str">
        <x:v>HU-04</x:v>
      </x:c>
      <x:c r="E15" s="35" t="str">
        <x:v>Patient and household continuity</x:v>
      </x:c>
      <x:c r="F15" s="35" t="str">
        <x:v>Continuity-preserving movement environment</x:v>
      </x:c>
      <x:c r="G15" s="35" t="str">
        <x:v>People and care bundles completing transfer per vehicle-hour without therapy, accessibility or custody break</x:v>
      </x:c>
      <x:c r="H15" s="35" t="n">
        <x:v>4</x:v>
      </x:c>
      <x:c r="I15" s="35" t="n">
        <x:v>6</x:v>
      </x:c>
      <x:c r="J15" s="35" t="str">
        <x:v>Adaptive cabins; service modules; care-capable trainsets; protected water and air movement</x:v>
      </x:c>
      <x:c r="K15" s="35" t="str">
        <x:v>Carrier throughput rises while clinical, caregiver, device, sanitation or handoff continuity falls</x:v>
      </x:c>
      <x:c r="L15" s="38" t="n">
        <x:v>0.25</x:v>
      </x:c>
      <x:c r="M15" s="38" t="n">
        <x:f>L15/COUNTIFS($D$5:$D$16,D15)</x:f>
        <x:v>0.08333333333333333</x:v>
      </x:c>
      <x:c r="N15" s="33" t="n">
        <x:f>Controls!$D$5*M15</x:f>
        <x:v>12.75848012414501</x:v>
      </x:c>
      <x:c r="O15" s="30" t="n">
        <x:v>12</x:v>
      </x:c>
      <x:c r="P15" s="30" t="str">
        <x:v>SEQUENCE</x:v>
      </x:c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  <x:c r="AA15" s="30"/>
      <x:c r="AB15" s="30"/>
      <x:c r="AC15" s="30"/>
      <x:c r="AD15" s="30"/>
      <x:c r="AE15" s="30"/>
      <x:c r="AF15" s="30"/>
      <x:c r="AG15" s="30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 ht="60" customHeight="1">
      <x:c r="A16" s="1"/>
      <x:c r="B16" s="1"/>
      <x:c r="C16" s="30" t="str">
        <x:v>HU-04C</x:v>
      </x:c>
      <x:c r="D16" s="35" t="str">
        <x:v>HU-04</x:v>
      </x:c>
      <x:c r="E16" s="35" t="str">
        <x:v>Patient and household continuity</x:v>
      </x:c>
      <x:c r="F16" s="35" t="str">
        <x:v>Receiver admission, return and transition</x:v>
      </x:c>
      <x:c r="G16" s="35" t="str">
        <x:v>Accepted and durably closed placements per receiver-worker-hour and occupied square metre</x:v>
      </x:c>
      <x:c r="H16" s="35" t="n">
        <x:v>4</x:v>
      </x:c>
      <x:c r="I16" s="35" t="n">
        <x:v>6</x:v>
      </x:c>
      <x:c r="J16" s="35" t="str">
        <x:v>Dynamic receiver federation; prepared local cells; mobile transition teams; return-support networks</x:v>
      </x:c>
      <x:c r="K16" s="35" t="str">
        <x:v>Placement lacks verified service, legal acceptance, continuing support or funded exit</x:v>
      </x:c>
      <x:c r="L16" s="38" t="n">
        <x:v>0.25</x:v>
      </x:c>
      <x:c r="M16" s="38" t="n">
        <x:f>L16/COUNTIFS($D$5:$D$16,D16)</x:f>
        <x:v>0.08333333333333333</x:v>
      </x:c>
      <x:c r="N16" s="33" t="n">
        <x:f>Controls!$D$5*M16</x:f>
        <x:v>12.75848012414501</x:v>
      </x:c>
      <x:c r="O16" s="30" t="n">
        <x:v>13</x:v>
      </x:c>
      <x:c r="P16" s="30" t="str">
        <x:v>SEQUENCE</x:v>
      </x:c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  <x:c r="AA16" s="30"/>
      <x:c r="AB16" s="30"/>
      <x:c r="AC16" s="30"/>
      <x:c r="AD16" s="30"/>
      <x:c r="AE16" s="30"/>
      <x:c r="AF16" s="30"/>
      <x:c r="AG16" s="30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>
      <x:c r="A17" s="1"/>
      <x:c r="B17" s="1"/>
      <x:c r="C17" s="34" t="str">
        <x:v>Total</x:v>
      </x:c>
      <x:c r="D17" s="34"/>
      <x:c r="E17" s="34"/>
      <x:c r="F17" s="34"/>
      <x:c r="G17" s="34"/>
      <x:c r="H17" s="34"/>
      <x:c r="I17" s="34"/>
      <x:c r="J17" s="34"/>
      <x:c r="K17" s="34"/>
      <x:c r="L17" s="42"/>
      <x:c r="M17" s="42" t="n">
        <x:f>SUM(M5:M16)</x:f>
        <x:v>1</x:v>
      </x:c>
      <x:c r="N17" s="41" t="n">
        <x:f>SUM(N5:N16)</x:f>
        <x:v>153.1017614897401</x:v>
      </x:c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  <x:c r="AA17" s="30"/>
      <x:c r="AB17" s="30"/>
      <x:c r="AC17" s="30"/>
      <x:c r="AD17" s="30"/>
      <x:c r="AE17" s="30"/>
      <x:c r="AF17" s="30"/>
      <x:c r="AG17" s="30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>
      <x:c r="A18" s="1"/>
      <x:c r="B18" s="1"/>
      <x:c r="C18" s="30"/>
      <x:c r="D18" s="30"/>
      <x:c r="E18" s="30"/>
      <x:c r="F18" s="30"/>
      <x:c r="G18" s="30"/>
      <x:c r="H18" s="30"/>
      <x:c r="I18" s="30"/>
      <x:c r="J18" s="30"/>
      <x:c r="K18" s="30"/>
      <x:c r="L18" s="30"/>
      <x:c r="M18" s="30"/>
      <x:c r="N18" s="30"/>
      <x:c r="O18" s="30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  <x:c r="AA18" s="30"/>
      <x:c r="AB18" s="30"/>
      <x:c r="AC18" s="30"/>
      <x:c r="AD18" s="30"/>
      <x:c r="AE18" s="30"/>
      <x:c r="AF18" s="30"/>
      <x:c r="AG18" s="30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>
      <x:c r="A19" s="1"/>
      <x:c r="B19" s="1"/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  <x:c r="M19" s="30"/>
      <x:c r="N19" s="30"/>
      <x:c r="O19" s="30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  <x:c r="AA19" s="30"/>
      <x:c r="AB19" s="30"/>
      <x:c r="AC19" s="30"/>
      <x:c r="AD19" s="30"/>
      <x:c r="AE19" s="30"/>
      <x:c r="AF19" s="30"/>
      <x:c r="AG19" s="30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>
      <x:c r="A20" s="1"/>
      <x:c r="B20" s="1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  <x:c r="N20" s="30"/>
      <x:c r="O20" s="30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  <x:c r="AA20" s="30"/>
      <x:c r="AB20" s="30"/>
      <x:c r="AC20" s="30"/>
      <x:c r="AD20" s="30"/>
      <x:c r="AE20" s="30"/>
      <x:c r="AF20" s="30"/>
      <x:c r="AG20" s="30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>
      <x:c r="A21" s="1"/>
      <x:c r="B21" s="1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  <x:c r="AA21" s="30"/>
      <x:c r="AB21" s="30"/>
      <x:c r="AC21" s="30"/>
      <x:c r="AD21" s="30"/>
      <x:c r="AE21" s="30"/>
      <x:c r="AF21" s="30"/>
      <x:c r="AG21" s="30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>
      <x:c r="A22" s="1"/>
      <x:c r="B22" s="1"/>
      <x:c r="C22" s="30"/>
      <x:c r="D22" s="30"/>
      <x:c r="E22" s="30"/>
      <x:c r="F22" s="30"/>
      <x:c r="G22" s="30"/>
      <x:c r="H22" s="30"/>
      <x:c r="I22" s="30"/>
      <x:c r="J22" s="30"/>
      <x:c r="K22" s="30"/>
      <x:c r="L22" s="30"/>
      <x:c r="M22" s="30"/>
      <x:c r="N22" s="30"/>
      <x:c r="O22" s="30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  <x:c r="AA22" s="30"/>
      <x:c r="AB22" s="30"/>
      <x:c r="AC22" s="30"/>
      <x:c r="AD22" s="30"/>
      <x:c r="AE22" s="30"/>
      <x:c r="AF22" s="30"/>
      <x:c r="AG22" s="30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>
      <x:c r="A23" s="1"/>
      <x:c r="B23" s="1"/>
      <x:c r="C23" s="30"/>
      <x:c r="D23" s="30"/>
      <x:c r="E23" s="30"/>
      <x:c r="F23" s="30"/>
      <x:c r="G23" s="30"/>
      <x:c r="H23" s="30"/>
      <x:c r="I23" s="30"/>
      <x:c r="J23" s="30"/>
      <x:c r="K23" s="30"/>
      <x:c r="L23" s="30"/>
      <x:c r="M23" s="30"/>
      <x:c r="N23" s="30"/>
      <x:c r="O23" s="30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  <x:c r="AA23" s="30"/>
      <x:c r="AB23" s="30"/>
      <x:c r="AC23" s="30"/>
      <x:c r="AD23" s="30"/>
      <x:c r="AE23" s="30"/>
      <x:c r="AF23" s="30"/>
      <x:c r="AG23" s="30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>
      <x:c r="A24" s="1"/>
      <x:c r="B24" s="1"/>
      <x:c r="C24" s="30"/>
      <x:c r="D24" s="30"/>
      <x:c r="E24" s="30"/>
      <x:c r="F24" s="30"/>
      <x:c r="G24" s="30"/>
      <x:c r="H24" s="30"/>
      <x:c r="I24" s="30"/>
      <x:c r="J24" s="30"/>
      <x:c r="K24" s="30"/>
      <x:c r="L24" s="30"/>
      <x:c r="M24" s="30"/>
      <x:c r="N24" s="30"/>
      <x:c r="O24" s="30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  <x:c r="AA24" s="30"/>
      <x:c r="AB24" s="30"/>
      <x:c r="AC24" s="30"/>
      <x:c r="AD24" s="30"/>
      <x:c r="AE24" s="30"/>
      <x:c r="AF24" s="30"/>
      <x:c r="AG24" s="30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>
      <x:c r="A25" s="1"/>
      <x:c r="B25" s="1"/>
      <x:c r="C25" s="30"/>
      <x:c r="D25" s="30"/>
      <x:c r="E25" s="30"/>
      <x:c r="F25" s="30"/>
      <x:c r="G25" s="30"/>
      <x:c r="H25" s="30"/>
      <x:c r="I25" s="30"/>
      <x:c r="J25" s="30"/>
      <x:c r="K25" s="30"/>
      <x:c r="L25" s="30"/>
      <x:c r="M25" s="30"/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  <x:c r="AA25" s="30"/>
      <x:c r="AB25" s="30"/>
      <x:c r="AC25" s="30"/>
      <x:c r="AD25" s="30"/>
      <x:c r="AE25" s="30"/>
      <x:c r="AF25" s="30"/>
      <x:c r="AG25" s="30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>
      <x:c r="A26" s="1"/>
      <x:c r="B26" s="1"/>
      <x:c r="C26" s="30"/>
      <x:c r="D26" s="30"/>
      <x:c r="E26" s="30"/>
      <x:c r="F26" s="30"/>
      <x:c r="G26" s="30"/>
      <x:c r="H26" s="30"/>
      <x:c r="I26" s="30"/>
      <x:c r="J26" s="3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  <x:c r="AA26" s="30"/>
      <x:c r="AB26" s="30"/>
      <x:c r="AC26" s="30"/>
      <x:c r="AD26" s="30"/>
      <x:c r="AE26" s="30"/>
      <x:c r="AF26" s="30"/>
      <x:c r="AG26" s="30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>
      <x:c r="A27" s="1"/>
      <x:c r="B27" s="1"/>
      <x:c r="C27" s="30"/>
      <x:c r="D27" s="30"/>
      <x:c r="E27" s="30"/>
      <x:c r="F27" s="30"/>
      <x:c r="G27" s="30"/>
      <x:c r="H27" s="30"/>
      <x:c r="I27" s="30"/>
      <x:c r="J27" s="30"/>
      <x:c r="K27" s="30"/>
      <x:c r="L27" s="30"/>
      <x:c r="M27" s="30"/>
      <x:c r="N27" s="30"/>
      <x:c r="O27" s="30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  <x:c r="AA27" s="30"/>
      <x:c r="AB27" s="30"/>
      <x:c r="AC27" s="30"/>
      <x:c r="AD27" s="30"/>
      <x:c r="AE27" s="30"/>
      <x:c r="AF27" s="30"/>
      <x:c r="AG27" s="30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>
      <x:c r="A28" s="1"/>
      <x:c r="B28" s="1"/>
      <x:c r="C28" s="30"/>
      <x:c r="D28" s="30"/>
      <x:c r="E28" s="30"/>
      <x:c r="F28" s="30"/>
      <x:c r="G28" s="30"/>
      <x:c r="H28" s="30"/>
      <x:c r="I28" s="30"/>
      <x:c r="J28" s="30"/>
      <x:c r="K28" s="30"/>
      <x:c r="L28" s="30"/>
      <x:c r="M28" s="30"/>
      <x:c r="N28" s="30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  <x:c r="AA28" s="30"/>
      <x:c r="AB28" s="30"/>
      <x:c r="AC28" s="30"/>
      <x:c r="AD28" s="30"/>
      <x:c r="AE28" s="30"/>
      <x:c r="AF28" s="30"/>
      <x:c r="AG28" s="30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>
      <x:c r="A29" s="1"/>
      <x:c r="B29" s="1"/>
      <x:c r="C29" s="30"/>
      <x:c r="D29" s="30"/>
      <x:c r="E29" s="30"/>
      <x:c r="F29" s="30"/>
      <x:c r="G29" s="30"/>
      <x:c r="H29" s="30"/>
      <x:c r="I29" s="30"/>
      <x:c r="J29" s="30"/>
      <x:c r="K29" s="30"/>
      <x:c r="L29" s="30"/>
      <x:c r="M29" s="30"/>
      <x:c r="N29" s="30"/>
      <x:c r="O29" s="30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  <x:c r="AA29" s="30"/>
      <x:c r="AB29" s="30"/>
      <x:c r="AC29" s="30"/>
      <x:c r="AD29" s="30"/>
      <x:c r="AE29" s="30"/>
      <x:c r="AF29" s="30"/>
      <x:c r="AG29" s="30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>
      <x:c r="A30" s="1"/>
      <x:c r="B30" s="1"/>
      <x:c r="C30" s="30"/>
      <x:c r="D30" s="30"/>
      <x:c r="E30" s="30"/>
      <x:c r="F30" s="30"/>
      <x:c r="G30" s="30"/>
      <x:c r="H30" s="30"/>
      <x:c r="I30" s="30"/>
      <x:c r="J30" s="30"/>
      <x:c r="K30" s="30"/>
      <x:c r="L30" s="30"/>
      <x:c r="M30" s="30"/>
      <x:c r="N30" s="30"/>
      <x:c r="O30" s="30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  <x:c r="AA30" s="30"/>
      <x:c r="AB30" s="30"/>
      <x:c r="AC30" s="30"/>
      <x:c r="AD30" s="30"/>
      <x:c r="AE30" s="30"/>
      <x:c r="AF30" s="30"/>
      <x:c r="AG30" s="30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>
      <x:c r="A31" s="1"/>
      <x:c r="B31" s="1"/>
      <x:c r="C31" s="30"/>
      <x:c r="D31" s="30"/>
      <x:c r="E31" s="30"/>
      <x:c r="F31" s="30"/>
      <x:c r="G31" s="30"/>
      <x:c r="H31" s="30"/>
      <x:c r="I31" s="30"/>
      <x:c r="J31" s="30"/>
      <x:c r="K31" s="30"/>
      <x:c r="L31" s="30"/>
      <x:c r="M31" s="30"/>
      <x:c r="N31" s="30"/>
      <x:c r="O31" s="30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  <x:c r="AA31" s="30"/>
      <x:c r="AB31" s="30"/>
      <x:c r="AC31" s="30"/>
      <x:c r="AD31" s="30"/>
      <x:c r="AE31" s="30"/>
      <x:c r="AF31" s="30"/>
      <x:c r="AG31" s="30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>
      <x:c r="A32" s="1"/>
      <x:c r="B32" s="1"/>
      <x:c r="C32" s="30"/>
      <x:c r="D32" s="30"/>
      <x:c r="E32" s="30"/>
      <x:c r="F32" s="30"/>
      <x:c r="G32" s="30"/>
      <x:c r="H32" s="30"/>
      <x:c r="I32" s="30"/>
      <x:c r="J32" s="30"/>
      <x:c r="K32" s="30"/>
      <x:c r="L32" s="30"/>
      <x:c r="M32" s="30"/>
      <x:c r="N32" s="30"/>
      <x:c r="O32" s="30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  <x:c r="AA32" s="30"/>
      <x:c r="AB32" s="30"/>
      <x:c r="AC32" s="30"/>
      <x:c r="AD32" s="30"/>
      <x:c r="AE32" s="30"/>
      <x:c r="AF32" s="30"/>
      <x:c r="AG32" s="30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>
      <x:c r="A33" s="1"/>
      <x:c r="B33" s="1"/>
      <x:c r="C33" s="30"/>
      <x:c r="D33" s="30"/>
      <x:c r="E33" s="30"/>
      <x:c r="F33" s="30"/>
      <x:c r="G33" s="30"/>
      <x:c r="H33" s="30"/>
      <x:c r="I33" s="30"/>
      <x:c r="J33" s="30"/>
      <x:c r="K33" s="30"/>
      <x:c r="L33" s="30"/>
      <x:c r="M33" s="30"/>
      <x:c r="N33" s="30"/>
      <x:c r="O33" s="30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  <x:c r="AA33" s="30"/>
      <x:c r="AB33" s="30"/>
      <x:c r="AC33" s="30"/>
      <x:c r="AD33" s="30"/>
      <x:c r="AE33" s="30"/>
      <x:c r="AF33" s="30"/>
      <x:c r="AG33" s="30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>
      <x:c r="A34" s="1"/>
      <x:c r="B34" s="1"/>
      <x:c r="C34" s="30"/>
      <x:c r="D34" s="30"/>
      <x:c r="E34" s="30"/>
      <x:c r="F34" s="30"/>
      <x:c r="G34" s="30"/>
      <x:c r="H34" s="30"/>
      <x:c r="I34" s="30"/>
      <x:c r="J34" s="30"/>
      <x:c r="K34" s="30"/>
      <x:c r="L34" s="30"/>
      <x:c r="M34" s="30"/>
      <x:c r="N34" s="30"/>
      <x:c r="O34" s="30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  <x:c r="AA34" s="30"/>
      <x:c r="AB34" s="30"/>
      <x:c r="AC34" s="30"/>
      <x:c r="AD34" s="30"/>
      <x:c r="AE34" s="30"/>
      <x:c r="AF34" s="30"/>
      <x:c r="AG34" s="30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>
      <x:c r="A35" s="1"/>
      <x:c r="B35" s="1"/>
      <x:c r="C35" s="30"/>
      <x:c r="D35" s="30"/>
      <x:c r="E35" s="30"/>
      <x:c r="F35" s="30"/>
      <x:c r="G35" s="30"/>
      <x:c r="H35" s="30"/>
      <x:c r="I35" s="30"/>
      <x:c r="J35" s="30"/>
      <x:c r="K35" s="30"/>
      <x:c r="L35" s="30"/>
      <x:c r="M35" s="30"/>
      <x:c r="N35" s="30"/>
      <x:c r="O35" s="30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  <x:c r="AA35" s="30"/>
      <x:c r="AB35" s="30"/>
      <x:c r="AC35" s="30"/>
      <x:c r="AD35" s="30"/>
      <x:c r="AE35" s="30"/>
      <x:c r="AF35" s="30"/>
      <x:c r="AG35" s="30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>
      <x:c r="A36" s="1"/>
      <x:c r="B36" s="1"/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  <x:c r="M36" s="30"/>
      <x:c r="N36" s="30"/>
      <x:c r="O36" s="30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  <x:c r="AA36" s="30"/>
      <x:c r="AB36" s="30"/>
      <x:c r="AC36" s="30"/>
      <x:c r="AD36" s="30"/>
      <x:c r="AE36" s="30"/>
      <x:c r="AF36" s="30"/>
      <x:c r="AG36" s="30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>
      <x:c r="A37" s="1"/>
      <x:c r="B37" s="1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  <x:c r="O37" s="30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  <x:c r="AA37" s="30"/>
      <x:c r="AB37" s="30"/>
      <x:c r="AC37" s="30"/>
      <x:c r="AD37" s="30"/>
      <x:c r="AE37" s="30"/>
      <x:c r="AF37" s="30"/>
      <x:c r="AG37" s="30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>
      <x:c r="A38" s="1"/>
      <x:c r="B38" s="1"/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  <x:c r="O38" s="30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  <x:c r="AA38" s="30"/>
      <x:c r="AB38" s="30"/>
      <x:c r="AC38" s="30"/>
      <x:c r="AD38" s="30"/>
      <x:c r="AE38" s="30"/>
      <x:c r="AF38" s="30"/>
      <x:c r="AG38" s="30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>
      <x:c r="A39" s="1"/>
      <x:c r="B39" s="1"/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  <x:c r="O39" s="30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  <x:c r="AA39" s="30"/>
      <x:c r="AB39" s="30"/>
      <x:c r="AC39" s="30"/>
      <x:c r="AD39" s="30"/>
      <x:c r="AE39" s="30"/>
      <x:c r="AF39" s="30"/>
      <x:c r="AG39" s="30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>
      <x:c r="A40" s="1"/>
      <x:c r="B40" s="1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  <x:c r="M40" s="30"/>
      <x:c r="N40" s="30"/>
      <x:c r="O40" s="30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  <x:c r="AA40" s="30"/>
      <x:c r="AB40" s="30"/>
      <x:c r="AC40" s="30"/>
      <x:c r="AD40" s="30"/>
      <x:c r="AE40" s="30"/>
      <x:c r="AF40" s="30"/>
      <x:c r="AG40" s="30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>
      <x:c r="A41" s="1"/>
      <x:c r="B41" s="1"/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  <x:c r="AA41" s="30"/>
      <x:c r="AB41" s="30"/>
      <x:c r="AC41" s="30"/>
      <x:c r="AD41" s="30"/>
      <x:c r="AE41" s="30"/>
      <x:c r="AF41" s="30"/>
      <x:c r="AG41" s="30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>
      <x:c r="A42" s="1"/>
      <x:c r="B42" s="1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  <x:c r="AA42" s="30"/>
      <x:c r="AB42" s="30"/>
      <x:c r="AC42" s="30"/>
      <x:c r="AD42" s="30"/>
      <x:c r="AE42" s="30"/>
      <x:c r="AF42" s="30"/>
      <x:c r="AG42" s="30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>
      <x:c r="A43" s="1"/>
      <x:c r="B43" s="1"/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  <x:c r="AA43" s="30"/>
      <x:c r="AB43" s="30"/>
      <x:c r="AC43" s="30"/>
      <x:c r="AD43" s="30"/>
      <x:c r="AE43" s="30"/>
      <x:c r="AF43" s="30"/>
      <x:c r="AG43" s="30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>
      <x:c r="A44" s="1"/>
      <x:c r="B44" s="1"/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  <x:c r="M44" s="30"/>
      <x:c r="N44" s="30"/>
      <x:c r="O44" s="30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  <x:c r="AA44" s="30"/>
      <x:c r="AB44" s="30"/>
      <x:c r="AC44" s="30"/>
      <x:c r="AD44" s="30"/>
      <x:c r="AE44" s="30"/>
      <x:c r="AF44" s="30"/>
      <x:c r="AG44" s="30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>
      <x:c r="A45" s="1"/>
      <x:c r="B45" s="1"/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  <x:c r="AA45" s="30"/>
      <x:c r="AB45" s="30"/>
      <x:c r="AC45" s="30"/>
      <x:c r="AD45" s="30"/>
      <x:c r="AE45" s="30"/>
      <x:c r="AF45" s="30"/>
      <x:c r="AG45" s="30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>
      <x:c r="A46" s="1"/>
      <x:c r="B46" s="1"/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  <x:c r="M46" s="30"/>
      <x:c r="N46" s="30"/>
      <x:c r="O46" s="30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  <x:c r="AA46" s="30"/>
      <x:c r="AB46" s="30"/>
      <x:c r="AC46" s="30"/>
      <x:c r="AD46" s="30"/>
      <x:c r="AE46" s="30"/>
      <x:c r="AF46" s="30"/>
      <x:c r="AG46" s="30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>
      <x:c r="A47" s="1"/>
      <x:c r="B47" s="1"/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  <x:c r="O47" s="30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  <x:c r="AA47" s="30"/>
      <x:c r="AB47" s="30"/>
      <x:c r="AC47" s="30"/>
      <x:c r="AD47" s="30"/>
      <x:c r="AE47" s="30"/>
      <x:c r="AF47" s="30"/>
      <x:c r="AG47" s="30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>
      <x:c r="A48" s="1"/>
      <x:c r="B48" s="1"/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  <x:c r="M48" s="30"/>
      <x:c r="N48" s="30"/>
      <x:c r="O48" s="30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  <x:c r="AA48" s="30"/>
      <x:c r="AB48" s="30"/>
      <x:c r="AC48" s="30"/>
      <x:c r="AD48" s="30"/>
      <x:c r="AE48" s="30"/>
      <x:c r="AF48" s="30"/>
      <x:c r="AG48" s="30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>
      <x:c r="A49" s="1"/>
      <x:c r="B49" s="1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0"/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  <x:c r="AA49" s="30"/>
      <x:c r="AB49" s="30"/>
      <x:c r="AC49" s="30"/>
      <x:c r="AD49" s="30"/>
      <x:c r="AE49" s="30"/>
      <x:c r="AF49" s="30"/>
      <x:c r="AG49" s="30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>
      <x:c r="A50" s="1"/>
      <x:c r="B50" s="1"/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  <x:c r="O50" s="30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  <x:c r="AA50" s="30"/>
      <x:c r="AB50" s="30"/>
      <x:c r="AC50" s="30"/>
      <x:c r="AD50" s="30"/>
      <x:c r="AE50" s="30"/>
      <x:c r="AF50" s="30"/>
      <x:c r="AG50" s="30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>
      <x:c r="A51" s="1"/>
      <x:c r="B51" s="1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  <x:c r="O51" s="30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  <x:c r="AA51" s="30"/>
      <x:c r="AB51" s="30"/>
      <x:c r="AC51" s="30"/>
      <x:c r="AD51" s="30"/>
      <x:c r="AE51" s="30"/>
      <x:c r="AF51" s="30"/>
      <x:c r="AG51" s="30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>
      <x:c r="A52" s="1"/>
      <x:c r="B52" s="1"/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  <x:c r="M52" s="30"/>
      <x:c r="N52" s="30"/>
      <x:c r="O52" s="30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  <x:c r="AA52" s="30"/>
      <x:c r="AB52" s="30"/>
      <x:c r="AC52" s="30"/>
      <x:c r="AD52" s="30"/>
      <x:c r="AE52" s="30"/>
      <x:c r="AF52" s="30"/>
      <x:c r="AG52" s="30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>
      <x:c r="A53" s="1"/>
      <x:c r="B53" s="1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  <x:c r="O53" s="30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  <x:c r="AA53" s="30"/>
      <x:c r="AB53" s="30"/>
      <x:c r="AC53" s="30"/>
      <x:c r="AD53" s="30"/>
      <x:c r="AE53" s="30"/>
      <x:c r="AF53" s="30"/>
      <x:c r="AG53" s="30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>
      <x:c r="A54" s="1"/>
      <x:c r="B54" s="1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  <x:c r="AA54" s="30"/>
      <x:c r="AB54" s="30"/>
      <x:c r="AC54" s="30"/>
      <x:c r="AD54" s="30"/>
      <x:c r="AE54" s="30"/>
      <x:c r="AF54" s="30"/>
      <x:c r="AG54" s="30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>
      <x:c r="A55" s="1"/>
      <x:c r="B55" s="1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  <x:c r="AA55" s="30"/>
      <x:c r="AB55" s="30"/>
      <x:c r="AC55" s="30"/>
      <x:c r="AD55" s="30"/>
      <x:c r="AE55" s="30"/>
      <x:c r="AF55" s="30"/>
      <x:c r="AG55" s="30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>
      <x:c r="A56" s="1"/>
      <x:c r="B56" s="1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  <x:c r="AA56" s="30"/>
      <x:c r="AB56" s="30"/>
      <x:c r="AC56" s="30"/>
      <x:c r="AD56" s="30"/>
      <x:c r="AE56" s="30"/>
      <x:c r="AF56" s="30"/>
      <x:c r="AG56" s="30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>
      <x:c r="A57" s="1"/>
      <x:c r="B57" s="1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  <x:c r="AA57" s="30"/>
      <x:c r="AB57" s="30"/>
      <x:c r="AC57" s="30"/>
      <x:c r="AD57" s="30"/>
      <x:c r="AE57" s="30"/>
      <x:c r="AF57" s="30"/>
      <x:c r="AG57" s="30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>
      <x:c r="A58" s="1"/>
      <x:c r="B58" s="1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0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  <x:c r="AA58" s="30"/>
      <x:c r="AB58" s="30"/>
      <x:c r="AC58" s="30"/>
      <x:c r="AD58" s="30"/>
      <x:c r="AE58" s="30"/>
      <x:c r="AF58" s="30"/>
      <x:c r="AG58" s="30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>
      <x:c r="A59" s="1"/>
      <x:c r="B59" s="1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  <x:c r="M59" s="30"/>
      <x:c r="N59" s="30"/>
      <x:c r="O59" s="30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  <x:c r="AA59" s="30"/>
      <x:c r="AB59" s="30"/>
      <x:c r="AC59" s="30"/>
      <x:c r="AD59" s="30"/>
      <x:c r="AE59" s="30"/>
      <x:c r="AF59" s="30"/>
      <x:c r="AG59" s="30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>
      <x:c r="A60" s="1"/>
      <x:c r="B60" s="1"/>
      <x:c r="C60" s="30"/>
      <x:c r="D60" s="30"/>
      <x:c r="E60" s="30"/>
      <x:c r="F60" s="30"/>
      <x:c r="G60" s="30"/>
      <x:c r="H60" s="30"/>
      <x:c r="I60" s="30"/>
      <x:c r="J60" s="30"/>
      <x:c r="K60" s="30"/>
      <x:c r="L60" s="30"/>
      <x:c r="M60" s="30"/>
      <x:c r="N60" s="30"/>
      <x:c r="O60" s="30"/>
      <x:c r="P60" s="30"/>
      <x:c r="Q60" s="30"/>
      <x:c r="R60" s="30"/>
      <x:c r="S60" s="30"/>
      <x:c r="T60" s="30"/>
      <x:c r="U60" s="30"/>
      <x:c r="V60" s="30"/>
      <x:c r="W60" s="30"/>
      <x:c r="X60" s="30"/>
      <x:c r="Y60" s="30"/>
      <x:c r="Z60" s="30"/>
      <x:c r="AA60" s="30"/>
      <x:c r="AB60" s="30"/>
      <x:c r="AC60" s="30"/>
      <x:c r="AD60" s="30"/>
      <x:c r="AE60" s="30"/>
      <x:c r="AF60" s="30"/>
      <x:c r="AG60" s="30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>
      <x:c r="A61" s="1"/>
      <x:c r="B61" s="1"/>
      <x:c r="C61" s="30"/>
      <x:c r="D61" s="30"/>
      <x:c r="E61" s="30"/>
      <x:c r="F61" s="30"/>
      <x:c r="G61" s="30"/>
      <x:c r="H61" s="30"/>
      <x:c r="I61" s="30"/>
      <x:c r="J61" s="30"/>
      <x:c r="K61" s="30"/>
      <x:c r="L61" s="30"/>
      <x:c r="M61" s="30"/>
      <x:c r="N61" s="30"/>
      <x:c r="O61" s="30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  <x:c r="AA61" s="30"/>
      <x:c r="AB61" s="30"/>
      <x:c r="AC61" s="30"/>
      <x:c r="AD61" s="30"/>
      <x:c r="AE61" s="30"/>
      <x:c r="AF61" s="30"/>
      <x:c r="AG61" s="30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>
      <x:c r="A62" s="1"/>
      <x:c r="B62" s="1"/>
      <x:c r="C62" s="30"/>
      <x:c r="D62" s="30"/>
      <x:c r="E62" s="30"/>
      <x:c r="F62" s="30"/>
      <x:c r="G62" s="30"/>
      <x:c r="H62" s="30"/>
      <x:c r="I62" s="30"/>
      <x:c r="J62" s="30"/>
      <x:c r="K62" s="30"/>
      <x:c r="L62" s="30"/>
      <x:c r="M62" s="30"/>
      <x:c r="N62" s="30"/>
      <x:c r="O62" s="30"/>
      <x:c r="P62" s="30"/>
      <x:c r="Q62" s="30"/>
      <x:c r="R62" s="30"/>
      <x:c r="S62" s="30"/>
      <x:c r="T62" s="30"/>
      <x:c r="U62" s="30"/>
      <x:c r="V62" s="30"/>
      <x:c r="W62" s="30"/>
      <x:c r="X62" s="30"/>
      <x:c r="Y62" s="30"/>
      <x:c r="Z62" s="30"/>
      <x:c r="AA62" s="30"/>
      <x:c r="AB62" s="30"/>
      <x:c r="AC62" s="30"/>
      <x:c r="AD62" s="30"/>
      <x:c r="AE62" s="30"/>
      <x:c r="AF62" s="30"/>
      <x:c r="AG62" s="30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>
      <x:c r="A63" s="1"/>
      <x:c r="B63" s="1"/>
      <x:c r="C63" s="30"/>
      <x:c r="D63" s="30"/>
      <x:c r="E63" s="30"/>
      <x:c r="F63" s="30"/>
      <x:c r="G63" s="30"/>
      <x:c r="H63" s="30"/>
      <x:c r="I63" s="30"/>
      <x:c r="J63" s="30"/>
      <x:c r="K63" s="30"/>
      <x:c r="L63" s="30"/>
      <x:c r="M63" s="30"/>
      <x:c r="N63" s="30"/>
      <x:c r="O63" s="30"/>
      <x:c r="P63" s="30"/>
      <x:c r="Q63" s="30"/>
      <x:c r="R63" s="30"/>
      <x:c r="S63" s="30"/>
      <x:c r="T63" s="30"/>
      <x:c r="U63" s="30"/>
      <x:c r="V63" s="30"/>
      <x:c r="W63" s="30"/>
      <x:c r="X63" s="30"/>
      <x:c r="Y63" s="30"/>
      <x:c r="Z63" s="30"/>
      <x:c r="AA63" s="30"/>
      <x:c r="AB63" s="30"/>
      <x:c r="AC63" s="30"/>
      <x:c r="AD63" s="30"/>
      <x:c r="AE63" s="30"/>
      <x:c r="AF63" s="30"/>
      <x:c r="AG63" s="30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>
      <x:c r="A64" s="1"/>
      <x:c r="B64" s="1"/>
      <x:c r="C64" s="30"/>
      <x:c r="D64" s="30"/>
      <x:c r="E64" s="30"/>
      <x:c r="F64" s="30"/>
      <x:c r="G64" s="30"/>
      <x:c r="H64" s="30"/>
      <x:c r="I64" s="30"/>
      <x:c r="J64" s="30"/>
      <x:c r="K64" s="30"/>
      <x:c r="L64" s="30"/>
      <x:c r="M64" s="30"/>
      <x:c r="N64" s="30"/>
      <x:c r="O64" s="30"/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30"/>
      <x:c r="AA64" s="30"/>
      <x:c r="AB64" s="30"/>
      <x:c r="AC64" s="30"/>
      <x:c r="AD64" s="30"/>
      <x:c r="AE64" s="30"/>
      <x:c r="AF64" s="30"/>
      <x:c r="AG64" s="30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>
      <x:c r="A65" s="1"/>
      <x:c r="B65" s="1"/>
      <x:c r="C65" s="30"/>
      <x:c r="D65" s="30"/>
      <x:c r="E65" s="30"/>
      <x:c r="F65" s="30"/>
      <x:c r="G65" s="30"/>
      <x:c r="H65" s="30"/>
      <x:c r="I65" s="30"/>
      <x:c r="J65" s="30"/>
      <x:c r="K65" s="30"/>
      <x:c r="L65" s="30"/>
      <x:c r="M65" s="30"/>
      <x:c r="N65" s="30"/>
      <x:c r="O65" s="30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  <x:c r="AA65" s="30"/>
      <x:c r="AB65" s="30"/>
      <x:c r="AC65" s="30"/>
      <x:c r="AD65" s="30"/>
      <x:c r="AE65" s="30"/>
      <x:c r="AF65" s="30"/>
      <x:c r="AG65" s="30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>
      <x:c r="A66" s="1"/>
      <x:c r="B66" s="1"/>
      <x:c r="C66" s="30"/>
      <x:c r="D66" s="30"/>
      <x:c r="E66" s="30"/>
      <x:c r="F66" s="30"/>
      <x:c r="G66" s="30"/>
      <x:c r="H66" s="30"/>
      <x:c r="I66" s="30"/>
      <x:c r="J66" s="30"/>
      <x:c r="K66" s="30"/>
      <x:c r="L66" s="30"/>
      <x:c r="M66" s="30"/>
      <x:c r="N66" s="30"/>
      <x:c r="O66" s="30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  <x:c r="AA66" s="30"/>
      <x:c r="AB66" s="30"/>
      <x:c r="AC66" s="30"/>
      <x:c r="AD66" s="30"/>
      <x:c r="AE66" s="30"/>
      <x:c r="AF66" s="30"/>
      <x:c r="AG66" s="30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>
      <x:c r="A67" s="1"/>
      <x:c r="B67" s="1"/>
      <x:c r="C67" s="30"/>
      <x:c r="D67" s="30"/>
      <x:c r="E67" s="30"/>
      <x:c r="F67" s="30"/>
      <x:c r="G67" s="30"/>
      <x:c r="H67" s="30"/>
      <x:c r="I67" s="30"/>
      <x:c r="J67" s="30"/>
      <x:c r="K67" s="30"/>
      <x:c r="L67" s="30"/>
      <x:c r="M67" s="30"/>
      <x:c r="N67" s="30"/>
      <x:c r="O67" s="30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  <x:c r="AA67" s="30"/>
      <x:c r="AB67" s="30"/>
      <x:c r="AC67" s="30"/>
      <x:c r="AD67" s="30"/>
      <x:c r="AE67" s="30"/>
      <x:c r="AF67" s="30"/>
      <x:c r="AG67" s="30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>
      <x:c r="A68" s="1"/>
      <x:c r="B68" s="1"/>
      <x:c r="C68" s="30"/>
      <x:c r="D68" s="30"/>
      <x:c r="E68" s="30"/>
      <x:c r="F68" s="30"/>
      <x:c r="G68" s="30"/>
      <x:c r="H68" s="30"/>
      <x:c r="I68" s="30"/>
      <x:c r="J68" s="30"/>
      <x:c r="K68" s="30"/>
      <x:c r="L68" s="30"/>
      <x:c r="M68" s="30"/>
      <x:c r="N68" s="30"/>
      <x:c r="O68" s="30"/>
      <x:c r="P68" s="30"/>
      <x:c r="Q68" s="30"/>
      <x:c r="R68" s="30"/>
      <x:c r="S68" s="30"/>
      <x:c r="T68" s="30"/>
      <x:c r="U68" s="30"/>
      <x:c r="V68" s="30"/>
      <x:c r="W68" s="30"/>
      <x:c r="X68" s="30"/>
      <x:c r="Y68" s="30"/>
      <x:c r="Z68" s="30"/>
      <x:c r="AA68" s="30"/>
      <x:c r="AB68" s="30"/>
      <x:c r="AC68" s="30"/>
      <x:c r="AD68" s="30"/>
      <x:c r="AE68" s="30"/>
      <x:c r="AF68" s="30"/>
      <x:c r="AG68" s="30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>
      <x:c r="A69" s="1"/>
      <x:c r="B69" s="1"/>
      <x:c r="C69" s="30"/>
      <x:c r="D69" s="30"/>
      <x:c r="E69" s="30"/>
      <x:c r="F69" s="30"/>
      <x:c r="G69" s="30"/>
      <x:c r="H69" s="30"/>
      <x:c r="I69" s="30"/>
      <x:c r="J69" s="30"/>
      <x:c r="K69" s="30"/>
      <x:c r="L69" s="30"/>
      <x:c r="M69" s="30"/>
      <x:c r="N69" s="30"/>
      <x:c r="O69" s="30"/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30"/>
      <x:c r="AA69" s="30"/>
      <x:c r="AB69" s="30"/>
      <x:c r="AC69" s="30"/>
      <x:c r="AD69" s="30"/>
      <x:c r="AE69" s="30"/>
      <x:c r="AF69" s="30"/>
      <x:c r="AG69" s="30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>
      <x:c r="A70" s="1"/>
      <x:c r="B70" s="1"/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  <x:c r="M70" s="30"/>
      <x:c r="N70" s="30"/>
      <x:c r="O70" s="30"/>
      <x:c r="P70" s="30"/>
      <x:c r="Q70" s="30"/>
      <x:c r="R70" s="30"/>
      <x:c r="S70" s="30"/>
      <x:c r="T70" s="30"/>
      <x:c r="U70" s="30"/>
      <x:c r="V70" s="30"/>
      <x:c r="W70" s="30"/>
      <x:c r="X70" s="30"/>
      <x:c r="Y70" s="30"/>
      <x:c r="Z70" s="30"/>
      <x:c r="AA70" s="30"/>
      <x:c r="AB70" s="30"/>
      <x:c r="AC70" s="30"/>
      <x:c r="AD70" s="30"/>
      <x:c r="AE70" s="30"/>
      <x:c r="AF70" s="30"/>
      <x:c r="AG70" s="30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>
      <x:c r="A71" s="1"/>
      <x:c r="B71" s="1"/>
      <x:c r="C71" s="30"/>
      <x:c r="D71" s="30"/>
      <x:c r="E71" s="30"/>
      <x:c r="F71" s="30"/>
      <x:c r="G71" s="30"/>
      <x:c r="H71" s="30"/>
      <x:c r="I71" s="30"/>
      <x:c r="J71" s="30"/>
      <x:c r="K71" s="30"/>
      <x:c r="L71" s="30"/>
      <x:c r="M71" s="30"/>
      <x:c r="N71" s="30"/>
      <x:c r="O71" s="30"/>
      <x:c r="P71" s="30"/>
      <x:c r="Q71" s="30"/>
      <x:c r="R71" s="30"/>
      <x:c r="S71" s="30"/>
      <x:c r="T71" s="30"/>
      <x:c r="U71" s="30"/>
      <x:c r="V71" s="30"/>
      <x:c r="W71" s="30"/>
      <x:c r="X71" s="30"/>
      <x:c r="Y71" s="30"/>
      <x:c r="Z71" s="30"/>
      <x:c r="AA71" s="30"/>
      <x:c r="AB71" s="30"/>
      <x:c r="AC71" s="30"/>
      <x:c r="AD71" s="30"/>
      <x:c r="AE71" s="30"/>
      <x:c r="AF71" s="30"/>
      <x:c r="AG71" s="30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>
      <x:c r="A72" s="1"/>
      <x:c r="B72" s="1"/>
      <x:c r="C72" s="30"/>
      <x:c r="D72" s="30"/>
      <x:c r="E72" s="30"/>
      <x:c r="F72" s="30"/>
      <x:c r="G72" s="30"/>
      <x:c r="H72" s="30"/>
      <x:c r="I72" s="30"/>
      <x:c r="J72" s="30"/>
      <x:c r="K72" s="30"/>
      <x:c r="L72" s="30"/>
      <x:c r="M72" s="30"/>
      <x:c r="N72" s="30"/>
      <x:c r="O72" s="30"/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30"/>
      <x:c r="AA72" s="30"/>
      <x:c r="AB72" s="30"/>
      <x:c r="AC72" s="30"/>
      <x:c r="AD72" s="30"/>
      <x:c r="AE72" s="30"/>
      <x:c r="AF72" s="30"/>
      <x:c r="AG72" s="30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>
      <x:c r="A73" s="1"/>
      <x:c r="B73" s="1"/>
      <x:c r="C73" s="30"/>
      <x:c r="D73" s="30"/>
      <x:c r="E73" s="30"/>
      <x:c r="F73" s="30"/>
      <x:c r="G73" s="30"/>
      <x:c r="H73" s="30"/>
      <x:c r="I73" s="30"/>
      <x:c r="J73" s="30"/>
      <x:c r="K73" s="30"/>
      <x:c r="L73" s="30"/>
      <x:c r="M73" s="30"/>
      <x:c r="N73" s="30"/>
      <x:c r="O73" s="30"/>
      <x:c r="P73" s="30"/>
      <x:c r="Q73" s="30"/>
      <x:c r="R73" s="30"/>
      <x:c r="S73" s="30"/>
      <x:c r="T73" s="30"/>
      <x:c r="U73" s="30"/>
      <x:c r="V73" s="30"/>
      <x:c r="W73" s="30"/>
      <x:c r="X73" s="30"/>
      <x:c r="Y73" s="30"/>
      <x:c r="Z73" s="30"/>
      <x:c r="AA73" s="30"/>
      <x:c r="AB73" s="30"/>
      <x:c r="AC73" s="30"/>
      <x:c r="AD73" s="30"/>
      <x:c r="AE73" s="30"/>
      <x:c r="AF73" s="30"/>
      <x:c r="AG73" s="30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>
      <x:c r="A74" s="1"/>
      <x:c r="B74" s="1"/>
      <x:c r="C74" s="30"/>
      <x:c r="D74" s="30"/>
      <x:c r="E74" s="30"/>
      <x:c r="F74" s="30"/>
      <x:c r="G74" s="30"/>
      <x:c r="H74" s="30"/>
      <x:c r="I74" s="30"/>
      <x:c r="J74" s="30"/>
      <x:c r="K74" s="30"/>
      <x:c r="L74" s="30"/>
      <x:c r="M74" s="30"/>
      <x:c r="N74" s="30"/>
      <x:c r="O74" s="30"/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30"/>
      <x:c r="AA74" s="30"/>
      <x:c r="AB74" s="30"/>
      <x:c r="AC74" s="30"/>
      <x:c r="AD74" s="30"/>
      <x:c r="AE74" s="30"/>
      <x:c r="AF74" s="30"/>
      <x:c r="AG74" s="30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>
      <x:c r="A75" s="1"/>
      <x:c r="B75" s="1"/>
      <x:c r="C75" s="30"/>
      <x:c r="D75" s="30"/>
      <x:c r="E75" s="30"/>
      <x:c r="F75" s="30"/>
      <x:c r="G75" s="30"/>
      <x:c r="H75" s="30"/>
      <x:c r="I75" s="30"/>
      <x:c r="J75" s="30"/>
      <x:c r="K75" s="30"/>
      <x:c r="L75" s="30"/>
      <x:c r="M75" s="30"/>
      <x:c r="N75" s="30"/>
      <x:c r="O75" s="30"/>
      <x:c r="P75" s="30"/>
      <x:c r="Q75" s="30"/>
      <x:c r="R75" s="30"/>
      <x:c r="S75" s="30"/>
      <x:c r="T75" s="30"/>
      <x:c r="U75" s="30"/>
      <x:c r="V75" s="30"/>
      <x:c r="W75" s="30"/>
      <x:c r="X75" s="30"/>
      <x:c r="Y75" s="30"/>
      <x:c r="Z75" s="30"/>
      <x:c r="AA75" s="30"/>
      <x:c r="AB75" s="30"/>
      <x:c r="AC75" s="30"/>
      <x:c r="AD75" s="30"/>
      <x:c r="AE75" s="30"/>
      <x:c r="AF75" s="30"/>
      <x:c r="AG75" s="30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>
      <x:c r="A76" s="1"/>
      <x:c r="B76" s="1"/>
      <x:c r="C76" s="30"/>
      <x:c r="D76" s="30"/>
      <x:c r="E76" s="30"/>
      <x:c r="F76" s="30"/>
      <x:c r="G76" s="30"/>
      <x:c r="H76" s="30"/>
      <x:c r="I76" s="30"/>
      <x:c r="J76" s="30"/>
      <x:c r="K76" s="30"/>
      <x:c r="L76" s="30"/>
      <x:c r="M76" s="30"/>
      <x:c r="N76" s="30"/>
      <x:c r="O76" s="30"/>
      <x:c r="P76" s="30"/>
      <x:c r="Q76" s="30"/>
      <x:c r="R76" s="30"/>
      <x:c r="S76" s="30"/>
      <x:c r="T76" s="30"/>
      <x:c r="U76" s="30"/>
      <x:c r="V76" s="30"/>
      <x:c r="W76" s="30"/>
      <x:c r="X76" s="30"/>
      <x:c r="Y76" s="30"/>
      <x:c r="Z76" s="30"/>
      <x:c r="AA76" s="30"/>
      <x:c r="AB76" s="30"/>
      <x:c r="AC76" s="30"/>
      <x:c r="AD76" s="30"/>
      <x:c r="AE76" s="30"/>
      <x:c r="AF76" s="30"/>
      <x:c r="AG76" s="30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>
      <x:c r="A77" s="1"/>
      <x:c r="B77" s="1"/>
      <x:c r="C77" s="30"/>
      <x:c r="D77" s="30"/>
      <x:c r="E77" s="30"/>
      <x:c r="F77" s="30"/>
      <x:c r="G77" s="30"/>
      <x:c r="H77" s="30"/>
      <x:c r="I77" s="30"/>
      <x:c r="J77" s="30"/>
      <x:c r="K77" s="30"/>
      <x:c r="L77" s="30"/>
      <x:c r="M77" s="30"/>
      <x:c r="N77" s="30"/>
      <x:c r="O77" s="30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  <x:c r="AA77" s="30"/>
      <x:c r="AB77" s="30"/>
      <x:c r="AC77" s="30"/>
      <x:c r="AD77" s="30"/>
      <x:c r="AE77" s="30"/>
      <x:c r="AF77" s="30"/>
      <x:c r="AG77" s="30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>
      <x:c r="A78" s="1"/>
      <x:c r="B78" s="1"/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  <x:c r="O78" s="30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  <x:c r="AA78" s="30"/>
      <x:c r="AB78" s="30"/>
      <x:c r="AC78" s="30"/>
      <x:c r="AD78" s="30"/>
      <x:c r="AE78" s="30"/>
      <x:c r="AF78" s="30"/>
      <x:c r="AG78" s="30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>
      <x:c r="A79" s="1"/>
      <x:c r="B79" s="1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  <x:c r="M79" s="30"/>
      <x:c r="N79" s="30"/>
      <x:c r="O79" s="30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  <x:c r="AA79" s="30"/>
      <x:c r="AB79" s="30"/>
      <x:c r="AC79" s="30"/>
      <x:c r="AD79" s="30"/>
      <x:c r="AE79" s="30"/>
      <x:c r="AF79" s="30"/>
      <x:c r="AG79" s="30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>
      <x:c r="A80" s="1"/>
      <x:c r="B80" s="1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  <x:c r="M80" s="30"/>
      <x:c r="N80" s="30"/>
      <x:c r="O80" s="30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  <x:c r="AA80" s="30"/>
      <x:c r="AB80" s="30"/>
      <x:c r="AC80" s="30"/>
      <x:c r="AD80" s="30"/>
      <x:c r="AE80" s="30"/>
      <x:c r="AF80" s="30"/>
      <x:c r="AG80" s="30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>
      <x:c r="A81" s="1"/>
      <x:c r="B81" s="1"/>
      <x:c r="C81" s="30"/>
      <x:c r="D81" s="30"/>
      <x:c r="E81" s="30"/>
      <x:c r="F81" s="30"/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  <x:c r="AA81" s="30"/>
      <x:c r="AB81" s="30"/>
      <x:c r="AC81" s="30"/>
      <x:c r="AD81" s="30"/>
      <x:c r="AE81" s="30"/>
      <x:c r="AF81" s="30"/>
      <x:c r="AG81" s="30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>
      <x:c r="A82" s="1"/>
      <x:c r="B82" s="1"/>
      <x:c r="C82" s="30"/>
      <x:c r="D82" s="30"/>
      <x:c r="E82" s="30"/>
      <x:c r="F82" s="30"/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30"/>
      <x:c r="AA82" s="30"/>
      <x:c r="AB82" s="30"/>
      <x:c r="AC82" s="30"/>
      <x:c r="AD82" s="30"/>
      <x:c r="AE82" s="30"/>
      <x:c r="AF82" s="30"/>
      <x:c r="AG82" s="30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>
      <x:c r="A83" s="1"/>
      <x:c r="B83" s="1"/>
      <x:c r="C83" s="30"/>
      <x:c r="D83" s="30"/>
      <x:c r="E83" s="30"/>
      <x:c r="F83" s="30"/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30"/>
      <x:c r="AA83" s="30"/>
      <x:c r="AB83" s="30"/>
      <x:c r="AC83" s="30"/>
      <x:c r="AD83" s="30"/>
      <x:c r="AE83" s="30"/>
      <x:c r="AF83" s="30"/>
      <x:c r="AG83" s="30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>
      <x:c r="A84" s="1"/>
      <x:c r="B84" s="1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30"/>
      <x:c r="AA84" s="30"/>
      <x:c r="AB84" s="30"/>
      <x:c r="AC84" s="30"/>
      <x:c r="AD84" s="30"/>
      <x:c r="AE84" s="30"/>
      <x:c r="AF84" s="30"/>
      <x:c r="AG84" s="30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>
      <x:c r="A85" s="1"/>
      <x:c r="B85" s="1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30"/>
      <x:c r="AA85" s="30"/>
      <x:c r="AB85" s="30"/>
      <x:c r="AC85" s="30"/>
      <x:c r="AD85" s="30"/>
      <x:c r="AE85" s="30"/>
      <x:c r="AF85" s="30"/>
      <x:c r="AG85" s="30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>
      <x:c r="A86" s="1"/>
      <x:c r="B86" s="1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30"/>
      <x:c r="AA86" s="30"/>
      <x:c r="AB86" s="30"/>
      <x:c r="AC86" s="30"/>
      <x:c r="AD86" s="30"/>
      <x:c r="AE86" s="30"/>
      <x:c r="AF86" s="30"/>
      <x:c r="AG86" s="30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>
      <x:c r="A87" s="1"/>
      <x:c r="B87" s="1"/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  <x:c r="Y87" s="30"/>
      <x:c r="Z87" s="30"/>
      <x:c r="AA87" s="30"/>
      <x:c r="AB87" s="30"/>
      <x:c r="AC87" s="30"/>
      <x:c r="AD87" s="30"/>
      <x:c r="AE87" s="30"/>
      <x:c r="AF87" s="30"/>
      <x:c r="AG87" s="30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>
      <x:c r="A88" s="1"/>
      <x:c r="B88" s="1"/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  <x:c r="Y88" s="30"/>
      <x:c r="Z88" s="30"/>
      <x:c r="AA88" s="30"/>
      <x:c r="AB88" s="30"/>
      <x:c r="AC88" s="30"/>
      <x:c r="AD88" s="30"/>
      <x:c r="AE88" s="30"/>
      <x:c r="AF88" s="30"/>
      <x:c r="AG88" s="30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>
      <x:c r="A89" s="1"/>
      <x:c r="B89" s="1"/>
      <x:c r="C89" s="30"/>
      <x:c r="D89" s="30"/>
      <x:c r="E89" s="30"/>
      <x:c r="F89" s="30"/>
      <x:c r="G89" s="3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  <x:c r="Y89" s="30"/>
      <x:c r="Z89" s="30"/>
      <x:c r="AA89" s="30"/>
      <x:c r="AB89" s="30"/>
      <x:c r="AC89" s="30"/>
      <x:c r="AD89" s="30"/>
      <x:c r="AE89" s="30"/>
      <x:c r="AF89" s="30"/>
      <x:c r="AG89" s="30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>
      <x:c r="A90" s="1"/>
      <x:c r="B90" s="1"/>
      <x:c r="C90" s="30"/>
      <x:c r="D90" s="30"/>
      <x:c r="E90" s="30"/>
      <x:c r="F90" s="30"/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30"/>
      <x:c r="AA90" s="30"/>
      <x:c r="AB90" s="30"/>
      <x:c r="AC90" s="30"/>
      <x:c r="AD90" s="30"/>
      <x:c r="AE90" s="30"/>
      <x:c r="AF90" s="30"/>
      <x:c r="AG90" s="30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>
      <x:c r="A91" s="1"/>
      <x:c r="B91" s="1"/>
      <x:c r="C91" s="30"/>
      <x:c r="D91" s="30"/>
      <x:c r="E91" s="30"/>
      <x:c r="F91" s="30"/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30"/>
      <x:c r="AA91" s="30"/>
      <x:c r="AB91" s="30"/>
      <x:c r="AC91" s="30"/>
      <x:c r="AD91" s="30"/>
      <x:c r="AE91" s="30"/>
      <x:c r="AF91" s="30"/>
      <x:c r="AG91" s="30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>
      <x:c r="A92" s="1"/>
      <x:c r="B92" s="1"/>
      <x:c r="C92" s="30"/>
      <x:c r="D92" s="30"/>
      <x:c r="E92" s="30"/>
      <x:c r="F92" s="30"/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  <x:c r="AA92" s="30"/>
      <x:c r="AB92" s="30"/>
      <x:c r="AC92" s="30"/>
      <x:c r="AD92" s="30"/>
      <x:c r="AE92" s="30"/>
      <x:c r="AF92" s="30"/>
      <x:c r="AG92" s="30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>
      <x:c r="A93" s="1"/>
      <x:c r="B93" s="1"/>
      <x:c r="C93" s="30"/>
      <x:c r="D93" s="30"/>
      <x:c r="E93" s="30"/>
      <x:c r="F93" s="30"/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  <x:c r="AA93" s="30"/>
      <x:c r="AB93" s="30"/>
      <x:c r="AC93" s="30"/>
      <x:c r="AD93" s="30"/>
      <x:c r="AE93" s="30"/>
      <x:c r="AF93" s="30"/>
      <x:c r="AG93" s="30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>
      <x:c r="A94" s="1"/>
      <x:c r="B94" s="1"/>
      <x:c r="C94" s="30"/>
      <x:c r="D94" s="30"/>
      <x:c r="E94" s="30"/>
      <x:c r="F94" s="30"/>
      <x:c r="G94" s="3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30"/>
      <x:c r="AA94" s="30"/>
      <x:c r="AB94" s="30"/>
      <x:c r="AC94" s="30"/>
      <x:c r="AD94" s="30"/>
      <x:c r="AE94" s="30"/>
      <x:c r="AF94" s="30"/>
      <x:c r="AG94" s="30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>
      <x:c r="A95" s="1"/>
      <x:c r="B95" s="1"/>
      <x:c r="C95" s="30"/>
      <x:c r="D95" s="30"/>
      <x:c r="E95" s="30"/>
      <x:c r="F95" s="30"/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30"/>
      <x:c r="AA95" s="30"/>
      <x:c r="AB95" s="30"/>
      <x:c r="AC95" s="30"/>
      <x:c r="AD95" s="30"/>
      <x:c r="AE95" s="30"/>
      <x:c r="AF95" s="30"/>
      <x:c r="AG95" s="30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>
      <x:c r="A96" s="1"/>
      <x:c r="B96" s="1"/>
      <x:c r="C96" s="30"/>
      <x:c r="D96" s="30"/>
      <x:c r="E96" s="30"/>
      <x:c r="F96" s="30"/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30"/>
      <x:c r="AA96" s="30"/>
      <x:c r="AB96" s="30"/>
      <x:c r="AC96" s="30"/>
      <x:c r="AD96" s="30"/>
      <x:c r="AE96" s="30"/>
      <x:c r="AF96" s="30"/>
      <x:c r="AG96" s="30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>
      <x:c r="A97" s="1"/>
      <x:c r="B97" s="1"/>
      <x:c r="C97" s="30"/>
      <x:c r="D97" s="30"/>
      <x:c r="E97" s="30"/>
      <x:c r="F97" s="30"/>
      <x:c r="G97" s="3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30"/>
      <x:c r="AA97" s="30"/>
      <x:c r="AB97" s="30"/>
      <x:c r="AC97" s="30"/>
      <x:c r="AD97" s="30"/>
      <x:c r="AE97" s="30"/>
      <x:c r="AF97" s="30"/>
      <x:c r="AG97" s="30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>
      <x:c r="A98" s="1"/>
      <x:c r="B98" s="1"/>
      <x:c r="C98" s="30"/>
      <x:c r="D98" s="30"/>
      <x:c r="E98" s="30"/>
      <x:c r="F98" s="30"/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30"/>
      <x:c r="AA98" s="30"/>
      <x:c r="AB98" s="30"/>
      <x:c r="AC98" s="30"/>
      <x:c r="AD98" s="30"/>
      <x:c r="AE98" s="30"/>
      <x:c r="AF98" s="30"/>
      <x:c r="AG98" s="30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>
      <x:c r="A99" s="1"/>
      <x:c r="B99" s="1"/>
      <x:c r="C99" s="30"/>
      <x:c r="D99" s="30"/>
      <x:c r="E99" s="30"/>
      <x:c r="F99" s="30"/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30"/>
      <x:c r="AA99" s="30"/>
      <x:c r="AB99" s="30"/>
      <x:c r="AC99" s="30"/>
      <x:c r="AD99" s="30"/>
      <x:c r="AE99" s="30"/>
      <x:c r="AF99" s="30"/>
      <x:c r="AG99" s="30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>
      <x:c r="A100" s="1"/>
      <x:c r="B100" s="1"/>
      <x:c r="C100" s="30"/>
      <x:c r="D100" s="30"/>
      <x:c r="E100" s="30"/>
      <x:c r="F100" s="30"/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30"/>
      <x:c r="AA100" s="30"/>
      <x:c r="AB100" s="30"/>
      <x:c r="AC100" s="30"/>
      <x:c r="AD100" s="30"/>
      <x:c r="AE100" s="30"/>
      <x:c r="AF100" s="30"/>
      <x:c r="AG100" s="30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>
      <x:c r="A101" s="1"/>
      <x:c r="B101" s="1"/>
      <x:c r="C101" s="30"/>
      <x:c r="D101" s="30"/>
      <x:c r="E101" s="30"/>
      <x:c r="F101" s="30"/>
      <x:c r="G101" s="30"/>
      <x:c r="H101" s="30"/>
      <x:c r="I101" s="30"/>
      <x:c r="J101" s="30"/>
      <x:c r="K101" s="30"/>
      <x:c r="L101" s="30"/>
      <x:c r="M101" s="30"/>
      <x:c r="N101" s="30"/>
      <x:c r="O101" s="30"/>
      <x:c r="P101" s="30"/>
      <x:c r="Q101" s="30"/>
      <x:c r="R101" s="30"/>
      <x:c r="S101" s="30"/>
      <x:c r="T101" s="30"/>
      <x:c r="U101" s="30"/>
      <x:c r="V101" s="30"/>
      <x:c r="W101" s="30"/>
      <x:c r="X101" s="30"/>
      <x:c r="Y101" s="30"/>
      <x:c r="Z101" s="30"/>
      <x:c r="AA101" s="30"/>
      <x:c r="AB101" s="30"/>
      <x:c r="AC101" s="30"/>
      <x:c r="AD101" s="30"/>
      <x:c r="AE101" s="30"/>
      <x:c r="AF101" s="30"/>
      <x:c r="AG101" s="30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>
      <x:c r="A102" s="1"/>
      <x:c r="B102" s="1"/>
      <x:c r="C102" s="30"/>
      <x:c r="D102" s="30"/>
      <x:c r="E102" s="30"/>
      <x:c r="F102" s="30"/>
      <x:c r="G102" s="30"/>
      <x:c r="H102" s="30"/>
      <x:c r="I102" s="30"/>
      <x:c r="J102" s="30"/>
      <x:c r="K102" s="30"/>
      <x:c r="L102" s="30"/>
      <x:c r="M102" s="30"/>
      <x:c r="N102" s="30"/>
      <x:c r="O102" s="30"/>
      <x:c r="P102" s="30"/>
      <x:c r="Q102" s="30"/>
      <x:c r="R102" s="30"/>
      <x:c r="S102" s="30"/>
      <x:c r="T102" s="30"/>
      <x:c r="U102" s="30"/>
      <x:c r="V102" s="30"/>
      <x:c r="W102" s="30"/>
      <x:c r="X102" s="30"/>
      <x:c r="Y102" s="30"/>
      <x:c r="Z102" s="30"/>
      <x:c r="AA102" s="30"/>
      <x:c r="AB102" s="30"/>
      <x:c r="AC102" s="30"/>
      <x:c r="AD102" s="30"/>
      <x:c r="AE102" s="30"/>
      <x:c r="AF102" s="30"/>
      <x:c r="AG102" s="30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>
      <x:c r="A103" s="1"/>
      <x:c r="B103" s="1"/>
      <x:c r="C103" s="30"/>
      <x:c r="D103" s="30"/>
      <x:c r="E103" s="30"/>
      <x:c r="F103" s="30"/>
      <x:c r="G103" s="3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0"/>
      <x:c r="T103" s="30"/>
      <x:c r="U103" s="30"/>
      <x:c r="V103" s="30"/>
      <x:c r="W103" s="30"/>
      <x:c r="X103" s="30"/>
      <x:c r="Y103" s="30"/>
      <x:c r="Z103" s="30"/>
      <x:c r="AA103" s="30"/>
      <x:c r="AB103" s="30"/>
      <x:c r="AC103" s="30"/>
      <x:c r="AD103" s="30"/>
      <x:c r="AE103" s="30"/>
      <x:c r="AF103" s="30"/>
      <x:c r="AG103" s="30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>
      <x:c r="A104" s="1"/>
      <x:c r="B104" s="1"/>
      <x:c r="C104" s="30"/>
      <x:c r="D104" s="30"/>
      <x:c r="E104" s="30"/>
      <x:c r="F104" s="30"/>
      <x:c r="G104" s="30"/>
      <x:c r="H104" s="30"/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0"/>
      <x:c r="T104" s="30"/>
      <x:c r="U104" s="30"/>
      <x:c r="V104" s="30"/>
      <x:c r="W104" s="30"/>
      <x:c r="X104" s="30"/>
      <x:c r="Y104" s="30"/>
      <x:c r="Z104" s="30"/>
      <x:c r="AA104" s="30"/>
      <x:c r="AB104" s="30"/>
      <x:c r="AC104" s="30"/>
      <x:c r="AD104" s="30"/>
      <x:c r="AE104" s="30"/>
      <x:c r="AF104" s="30"/>
      <x:c r="AG104" s="30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>
      <x:c r="A105" s="1"/>
      <x:c r="B105" s="1"/>
      <x:c r="C105" s="30"/>
      <x:c r="D105" s="30"/>
      <x:c r="E105" s="30"/>
      <x:c r="F105" s="30"/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  <x:c r="Q105" s="30"/>
      <x:c r="R105" s="30"/>
      <x:c r="S105" s="30"/>
      <x:c r="T105" s="30"/>
      <x:c r="U105" s="30"/>
      <x:c r="V105" s="30"/>
      <x:c r="W105" s="30"/>
      <x:c r="X105" s="30"/>
      <x:c r="Y105" s="30"/>
      <x:c r="Z105" s="30"/>
      <x:c r="AA105" s="30"/>
      <x:c r="AB105" s="30"/>
      <x:c r="AC105" s="30"/>
      <x:c r="AD105" s="30"/>
      <x:c r="AE105" s="30"/>
      <x:c r="AF105" s="30"/>
      <x:c r="AG105" s="30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>
      <x:c r="A106" s="1"/>
      <x:c r="B106" s="1"/>
      <x:c r="C106" s="30"/>
      <x:c r="D106" s="30"/>
      <x:c r="E106" s="30"/>
      <x:c r="F106" s="30"/>
      <x:c r="G106" s="30"/>
      <x:c r="H106" s="30"/>
      <x:c r="I106" s="30"/>
      <x:c r="J106" s="30"/>
      <x:c r="K106" s="30"/>
      <x:c r="L106" s="30"/>
      <x:c r="M106" s="30"/>
      <x:c r="N106" s="30"/>
      <x:c r="O106" s="30"/>
      <x:c r="P106" s="30"/>
      <x:c r="Q106" s="30"/>
      <x:c r="R106" s="30"/>
      <x:c r="S106" s="30"/>
      <x:c r="T106" s="30"/>
      <x:c r="U106" s="30"/>
      <x:c r="V106" s="30"/>
      <x:c r="W106" s="30"/>
      <x:c r="X106" s="30"/>
      <x:c r="Y106" s="30"/>
      <x:c r="Z106" s="30"/>
      <x:c r="AA106" s="30"/>
      <x:c r="AB106" s="30"/>
      <x:c r="AC106" s="30"/>
      <x:c r="AD106" s="30"/>
      <x:c r="AE106" s="30"/>
      <x:c r="AF106" s="30"/>
      <x:c r="AG106" s="30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>
      <x:c r="A107" s="1"/>
      <x:c r="B107" s="1"/>
      <x:c r="C107" s="30"/>
      <x:c r="D107" s="30"/>
      <x:c r="E107" s="30"/>
      <x:c r="F107" s="30"/>
      <x:c r="G107" s="30"/>
      <x:c r="H107" s="30"/>
      <x:c r="I107" s="30"/>
      <x:c r="J107" s="30"/>
      <x:c r="K107" s="30"/>
      <x:c r="L107" s="30"/>
      <x:c r="M107" s="30"/>
      <x:c r="N107" s="30"/>
      <x:c r="O107" s="30"/>
      <x:c r="P107" s="30"/>
      <x:c r="Q107" s="30"/>
      <x:c r="R107" s="30"/>
      <x:c r="S107" s="30"/>
      <x:c r="T107" s="30"/>
      <x:c r="U107" s="30"/>
      <x:c r="V107" s="30"/>
      <x:c r="W107" s="30"/>
      <x:c r="X107" s="30"/>
      <x:c r="Y107" s="30"/>
      <x:c r="Z107" s="30"/>
      <x:c r="AA107" s="30"/>
      <x:c r="AB107" s="30"/>
      <x:c r="AC107" s="30"/>
      <x:c r="AD107" s="30"/>
      <x:c r="AE107" s="30"/>
      <x:c r="AF107" s="30"/>
      <x:c r="AG107" s="30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>
      <x:c r="A108" s="1"/>
      <x:c r="B108" s="1"/>
      <x:c r="C108" s="30"/>
      <x:c r="D108" s="30"/>
      <x:c r="E108" s="30"/>
      <x:c r="F108" s="30"/>
      <x:c r="G108" s="30"/>
      <x:c r="H108" s="30"/>
      <x:c r="I108" s="30"/>
      <x:c r="J108" s="30"/>
      <x:c r="K108" s="30"/>
      <x:c r="L108" s="30"/>
      <x:c r="M108" s="30"/>
      <x:c r="N108" s="30"/>
      <x:c r="O108" s="30"/>
      <x:c r="P108" s="30"/>
      <x:c r="Q108" s="30"/>
      <x:c r="R108" s="30"/>
      <x:c r="S108" s="30"/>
      <x:c r="T108" s="30"/>
      <x:c r="U108" s="30"/>
      <x:c r="V108" s="30"/>
      <x:c r="W108" s="30"/>
      <x:c r="X108" s="30"/>
      <x:c r="Y108" s="30"/>
      <x:c r="Z108" s="30"/>
      <x:c r="AA108" s="30"/>
      <x:c r="AB108" s="30"/>
      <x:c r="AC108" s="30"/>
      <x:c r="AD108" s="30"/>
      <x:c r="AE108" s="30"/>
      <x:c r="AF108" s="30"/>
      <x:c r="AG108" s="30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>
      <x:c r="A109" s="1"/>
      <x:c r="B109" s="1"/>
      <x:c r="C109" s="30"/>
      <x:c r="D109" s="30"/>
      <x:c r="E109" s="30"/>
      <x:c r="F109" s="30"/>
      <x:c r="G109" s="30"/>
      <x:c r="H109" s="30"/>
      <x:c r="I109" s="30"/>
      <x:c r="J109" s="30"/>
      <x:c r="K109" s="30"/>
      <x:c r="L109" s="30"/>
      <x:c r="M109" s="30"/>
      <x:c r="N109" s="30"/>
      <x:c r="O109" s="30"/>
      <x:c r="P109" s="30"/>
      <x:c r="Q109" s="30"/>
      <x:c r="R109" s="30"/>
      <x:c r="S109" s="30"/>
      <x:c r="T109" s="30"/>
      <x:c r="U109" s="30"/>
      <x:c r="V109" s="30"/>
      <x:c r="W109" s="30"/>
      <x:c r="X109" s="30"/>
      <x:c r="Y109" s="30"/>
      <x:c r="Z109" s="30"/>
      <x:c r="AA109" s="30"/>
      <x:c r="AB109" s="30"/>
      <x:c r="AC109" s="30"/>
      <x:c r="AD109" s="30"/>
      <x:c r="AE109" s="30"/>
      <x:c r="AF109" s="30"/>
      <x:c r="AG109" s="30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>
      <x:c r="A110" s="1"/>
      <x:c r="B110" s="1"/>
      <x:c r="C110" s="30"/>
      <x:c r="D110" s="30"/>
      <x:c r="E110" s="30"/>
      <x:c r="F110" s="30"/>
      <x:c r="G110" s="30"/>
      <x:c r="H110" s="30"/>
      <x:c r="I110" s="30"/>
      <x:c r="J110" s="30"/>
      <x:c r="K110" s="30"/>
      <x:c r="L110" s="30"/>
      <x:c r="M110" s="30"/>
      <x:c r="N110" s="30"/>
      <x:c r="O110" s="30"/>
      <x:c r="P110" s="30"/>
      <x:c r="Q110" s="30"/>
      <x:c r="R110" s="30"/>
      <x:c r="S110" s="30"/>
      <x:c r="T110" s="30"/>
      <x:c r="U110" s="30"/>
      <x:c r="V110" s="30"/>
      <x:c r="W110" s="30"/>
      <x:c r="X110" s="30"/>
      <x:c r="Y110" s="30"/>
      <x:c r="Z110" s="30"/>
      <x:c r="AA110" s="30"/>
      <x:c r="AB110" s="30"/>
      <x:c r="AC110" s="30"/>
      <x:c r="AD110" s="30"/>
      <x:c r="AE110" s="30"/>
      <x:c r="AF110" s="30"/>
      <x:c r="AG110" s="30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>
      <x:c r="A111" s="1"/>
      <x:c r="B111" s="1"/>
      <x:c r="C111" s="30"/>
      <x:c r="D111" s="30"/>
      <x:c r="E111" s="30"/>
      <x:c r="F111" s="30"/>
      <x:c r="G111" s="30"/>
      <x:c r="H111" s="30"/>
      <x:c r="I111" s="30"/>
      <x:c r="J111" s="30"/>
      <x:c r="K111" s="30"/>
      <x:c r="L111" s="30"/>
      <x:c r="M111" s="30"/>
      <x:c r="N111" s="30"/>
      <x:c r="O111" s="30"/>
      <x:c r="P111" s="30"/>
      <x:c r="Q111" s="30"/>
      <x:c r="R111" s="30"/>
      <x:c r="S111" s="30"/>
      <x:c r="T111" s="30"/>
      <x:c r="U111" s="30"/>
      <x:c r="V111" s="30"/>
      <x:c r="W111" s="30"/>
      <x:c r="X111" s="30"/>
      <x:c r="Y111" s="30"/>
      <x:c r="Z111" s="30"/>
      <x:c r="AA111" s="30"/>
      <x:c r="AB111" s="30"/>
      <x:c r="AC111" s="30"/>
      <x:c r="AD111" s="30"/>
      <x:c r="AE111" s="30"/>
      <x:c r="AF111" s="30"/>
      <x:c r="AG111" s="30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>
      <x:c r="A112" s="1"/>
      <x:c r="B112" s="1"/>
      <x:c r="C112" s="30"/>
      <x:c r="D112" s="30"/>
      <x:c r="E112" s="30"/>
      <x:c r="F112" s="30"/>
      <x:c r="G112" s="30"/>
      <x:c r="H112" s="30"/>
      <x:c r="I112" s="30"/>
      <x:c r="J112" s="30"/>
      <x:c r="K112" s="30"/>
      <x:c r="L112" s="30"/>
      <x:c r="M112" s="30"/>
      <x:c r="N112" s="30"/>
      <x:c r="O112" s="30"/>
      <x:c r="P112" s="30"/>
      <x:c r="Q112" s="30"/>
      <x:c r="R112" s="30"/>
      <x:c r="S112" s="30"/>
      <x:c r="T112" s="30"/>
      <x:c r="U112" s="30"/>
      <x:c r="V112" s="30"/>
      <x:c r="W112" s="30"/>
      <x:c r="X112" s="30"/>
      <x:c r="Y112" s="30"/>
      <x:c r="Z112" s="30"/>
      <x:c r="AA112" s="30"/>
      <x:c r="AB112" s="30"/>
      <x:c r="AC112" s="30"/>
      <x:c r="AD112" s="30"/>
      <x:c r="AE112" s="30"/>
      <x:c r="AF112" s="30"/>
      <x:c r="AG112" s="30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>
      <x:c r="A113" s="1"/>
      <x:c r="B113" s="1"/>
      <x:c r="C113" s="30"/>
      <x:c r="D113" s="30"/>
      <x:c r="E113" s="30"/>
      <x:c r="F113" s="30"/>
      <x:c r="G113" s="30"/>
      <x:c r="H113" s="30"/>
      <x:c r="I113" s="30"/>
      <x:c r="J113" s="30"/>
      <x:c r="K113" s="30"/>
      <x:c r="L113" s="30"/>
      <x:c r="M113" s="30"/>
      <x:c r="N113" s="30"/>
      <x:c r="O113" s="30"/>
      <x:c r="P113" s="30"/>
      <x:c r="Q113" s="30"/>
      <x:c r="R113" s="30"/>
      <x:c r="S113" s="30"/>
      <x:c r="T113" s="30"/>
      <x:c r="U113" s="30"/>
      <x:c r="V113" s="30"/>
      <x:c r="W113" s="30"/>
      <x:c r="X113" s="30"/>
      <x:c r="Y113" s="30"/>
      <x:c r="Z113" s="30"/>
      <x:c r="AA113" s="30"/>
      <x:c r="AB113" s="30"/>
      <x:c r="AC113" s="30"/>
      <x:c r="AD113" s="30"/>
      <x:c r="AE113" s="30"/>
      <x:c r="AF113" s="30"/>
      <x:c r="AG113" s="30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>
      <x:c r="A114" s="1"/>
      <x:c r="B114" s="1"/>
      <x:c r="C114" s="30"/>
      <x:c r="D114" s="30"/>
      <x:c r="E114" s="30"/>
      <x:c r="F114" s="30"/>
      <x:c r="G114" s="30"/>
      <x:c r="H114" s="30"/>
      <x:c r="I114" s="30"/>
      <x:c r="J114" s="30"/>
      <x:c r="K114" s="30"/>
      <x:c r="L114" s="30"/>
      <x:c r="M114" s="30"/>
      <x:c r="N114" s="30"/>
      <x:c r="O114" s="30"/>
      <x:c r="P114" s="30"/>
      <x:c r="Q114" s="30"/>
      <x:c r="R114" s="30"/>
      <x:c r="S114" s="30"/>
      <x:c r="T114" s="30"/>
      <x:c r="U114" s="30"/>
      <x:c r="V114" s="30"/>
      <x:c r="W114" s="30"/>
      <x:c r="X114" s="30"/>
      <x:c r="Y114" s="30"/>
      <x:c r="Z114" s="30"/>
      <x:c r="AA114" s="30"/>
      <x:c r="AB114" s="30"/>
      <x:c r="AC114" s="30"/>
      <x:c r="AD114" s="30"/>
      <x:c r="AE114" s="30"/>
      <x:c r="AF114" s="30"/>
      <x:c r="AG114" s="30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>
      <x:c r="A115" s="1"/>
      <x:c r="B115" s="1"/>
      <x:c r="C115" s="30"/>
      <x:c r="D115" s="30"/>
      <x:c r="E115" s="30"/>
      <x:c r="F115" s="30"/>
      <x:c r="G115" s="30"/>
      <x:c r="H115" s="30"/>
      <x:c r="I115" s="30"/>
      <x:c r="J115" s="30"/>
      <x:c r="K115" s="30"/>
      <x:c r="L115" s="30"/>
      <x:c r="M115" s="30"/>
      <x:c r="N115" s="30"/>
      <x:c r="O115" s="30"/>
      <x:c r="P115" s="30"/>
      <x:c r="Q115" s="30"/>
      <x:c r="R115" s="30"/>
      <x:c r="S115" s="30"/>
      <x:c r="T115" s="30"/>
      <x:c r="U115" s="30"/>
      <x:c r="V115" s="30"/>
      <x:c r="W115" s="30"/>
      <x:c r="X115" s="30"/>
      <x:c r="Y115" s="30"/>
      <x:c r="Z115" s="30"/>
      <x:c r="AA115" s="30"/>
      <x:c r="AB115" s="30"/>
      <x:c r="AC115" s="30"/>
      <x:c r="AD115" s="30"/>
      <x:c r="AE115" s="30"/>
      <x:c r="AF115" s="30"/>
      <x:c r="AG115" s="30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>
      <x:c r="A116" s="1"/>
      <x:c r="B116" s="1"/>
      <x:c r="C116" s="30"/>
      <x:c r="D116" s="30"/>
      <x:c r="E116" s="30"/>
      <x:c r="F116" s="30"/>
      <x:c r="G116" s="30"/>
      <x:c r="H116" s="30"/>
      <x:c r="I116" s="30"/>
      <x:c r="J116" s="30"/>
      <x:c r="K116" s="30"/>
      <x:c r="L116" s="30"/>
      <x:c r="M116" s="30"/>
      <x:c r="N116" s="30"/>
      <x:c r="O116" s="30"/>
      <x:c r="P116" s="30"/>
      <x:c r="Q116" s="30"/>
      <x:c r="R116" s="30"/>
      <x:c r="S116" s="30"/>
      <x:c r="T116" s="30"/>
      <x:c r="U116" s="30"/>
      <x:c r="V116" s="30"/>
      <x:c r="W116" s="30"/>
      <x:c r="X116" s="30"/>
      <x:c r="Y116" s="30"/>
      <x:c r="Z116" s="30"/>
      <x:c r="AA116" s="30"/>
      <x:c r="AB116" s="30"/>
      <x:c r="AC116" s="30"/>
      <x:c r="AD116" s="30"/>
      <x:c r="AE116" s="30"/>
      <x:c r="AF116" s="30"/>
      <x:c r="AG116" s="30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>
      <x:c r="A117" s="1"/>
      <x:c r="B117" s="1"/>
      <x:c r="C117" s="30"/>
      <x:c r="D117" s="30"/>
      <x:c r="E117" s="30"/>
      <x:c r="F117" s="30"/>
      <x:c r="G117" s="30"/>
      <x:c r="H117" s="30"/>
      <x:c r="I117" s="30"/>
      <x:c r="J117" s="30"/>
      <x:c r="K117" s="30"/>
      <x:c r="L117" s="30"/>
      <x:c r="M117" s="30"/>
      <x:c r="N117" s="30"/>
      <x:c r="O117" s="30"/>
      <x:c r="P117" s="30"/>
      <x:c r="Q117" s="30"/>
      <x:c r="R117" s="30"/>
      <x:c r="S117" s="30"/>
      <x:c r="T117" s="30"/>
      <x:c r="U117" s="30"/>
      <x:c r="V117" s="30"/>
      <x:c r="W117" s="30"/>
      <x:c r="X117" s="30"/>
      <x:c r="Y117" s="30"/>
      <x:c r="Z117" s="30"/>
      <x:c r="AA117" s="30"/>
      <x:c r="AB117" s="30"/>
      <x:c r="AC117" s="30"/>
      <x:c r="AD117" s="30"/>
      <x:c r="AE117" s="30"/>
      <x:c r="AF117" s="30"/>
      <x:c r="AG117" s="30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>
      <x:c r="A118" s="1"/>
      <x:c r="B118" s="1"/>
      <x:c r="C118" s="30"/>
      <x:c r="D118" s="30"/>
      <x:c r="E118" s="30"/>
      <x:c r="F118" s="30"/>
      <x:c r="G118" s="30"/>
      <x:c r="H118" s="30"/>
      <x:c r="I118" s="30"/>
      <x:c r="J118" s="30"/>
      <x:c r="K118" s="30"/>
      <x:c r="L118" s="30"/>
      <x:c r="M118" s="30"/>
      <x:c r="N118" s="30"/>
      <x:c r="O118" s="30"/>
      <x:c r="P118" s="30"/>
      <x:c r="Q118" s="30"/>
      <x:c r="R118" s="30"/>
      <x:c r="S118" s="30"/>
      <x:c r="T118" s="30"/>
      <x:c r="U118" s="30"/>
      <x:c r="V118" s="30"/>
      <x:c r="W118" s="30"/>
      <x:c r="X118" s="30"/>
      <x:c r="Y118" s="30"/>
      <x:c r="Z118" s="30"/>
      <x:c r="AA118" s="30"/>
      <x:c r="AB118" s="30"/>
      <x:c r="AC118" s="30"/>
      <x:c r="AD118" s="30"/>
      <x:c r="AE118" s="30"/>
      <x:c r="AF118" s="30"/>
      <x:c r="AG118" s="30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>
      <x:c r="A119" s="1"/>
      <x:c r="B119" s="1"/>
      <x:c r="C119" s="30"/>
      <x:c r="D119" s="30"/>
      <x:c r="E119" s="30"/>
      <x:c r="F119" s="30"/>
      <x:c r="G119" s="30"/>
      <x:c r="H119" s="30"/>
      <x:c r="I119" s="30"/>
      <x:c r="J119" s="30"/>
      <x:c r="K119" s="30"/>
      <x:c r="L119" s="30"/>
      <x:c r="M119" s="30"/>
      <x:c r="N119" s="30"/>
      <x:c r="O119" s="30"/>
      <x:c r="P119" s="30"/>
      <x:c r="Q119" s="30"/>
      <x:c r="R119" s="30"/>
      <x:c r="S119" s="30"/>
      <x:c r="T119" s="30"/>
      <x:c r="U119" s="30"/>
      <x:c r="V119" s="30"/>
      <x:c r="W119" s="30"/>
      <x:c r="X119" s="30"/>
      <x:c r="Y119" s="30"/>
      <x:c r="Z119" s="30"/>
      <x:c r="AA119" s="30"/>
      <x:c r="AB119" s="30"/>
      <x:c r="AC119" s="30"/>
      <x:c r="AD119" s="30"/>
      <x:c r="AE119" s="30"/>
      <x:c r="AF119" s="30"/>
      <x:c r="AG119" s="30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>
      <x:c r="A120" s="1"/>
      <x:c r="B120" s="1"/>
      <x:c r="C120" s="30"/>
      <x:c r="D120" s="30"/>
      <x:c r="E120" s="30"/>
      <x:c r="F120" s="30"/>
      <x:c r="G120" s="30"/>
      <x:c r="H120" s="30"/>
      <x:c r="I120" s="30"/>
      <x:c r="J120" s="30"/>
      <x:c r="K120" s="30"/>
      <x:c r="L120" s="30"/>
      <x:c r="M120" s="30"/>
      <x:c r="N120" s="30"/>
      <x:c r="O120" s="30"/>
      <x:c r="P120" s="30"/>
      <x:c r="Q120" s="30"/>
      <x:c r="R120" s="30"/>
      <x:c r="S120" s="30"/>
      <x:c r="T120" s="30"/>
      <x:c r="U120" s="30"/>
      <x:c r="V120" s="30"/>
      <x:c r="W120" s="30"/>
      <x:c r="X120" s="30"/>
      <x:c r="Y120" s="30"/>
      <x:c r="Z120" s="30"/>
      <x:c r="AA120" s="30"/>
      <x:c r="AB120" s="30"/>
      <x:c r="AC120" s="30"/>
      <x:c r="AD120" s="30"/>
      <x:c r="AE120" s="30"/>
      <x:c r="AF120" s="30"/>
      <x:c r="AG120" s="30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>
      <x:c r="A121" s="1"/>
      <x:c r="B121" s="1"/>
      <x:c r="C121" s="30"/>
      <x:c r="D121" s="30"/>
      <x:c r="E121" s="30"/>
      <x:c r="F121" s="30"/>
      <x:c r="G121" s="30"/>
      <x:c r="H121" s="30"/>
      <x:c r="I121" s="30"/>
      <x:c r="J121" s="30"/>
      <x:c r="K121" s="30"/>
      <x:c r="L121" s="30"/>
      <x:c r="M121" s="30"/>
      <x:c r="N121" s="30"/>
      <x:c r="O121" s="30"/>
      <x:c r="P121" s="30"/>
      <x:c r="Q121" s="30"/>
      <x:c r="R121" s="30"/>
      <x:c r="S121" s="30"/>
      <x:c r="T121" s="30"/>
      <x:c r="U121" s="30"/>
      <x:c r="V121" s="30"/>
      <x:c r="W121" s="30"/>
      <x:c r="X121" s="30"/>
      <x:c r="Y121" s="30"/>
      <x:c r="Z121" s="30"/>
      <x:c r="AA121" s="30"/>
      <x:c r="AB121" s="30"/>
      <x:c r="AC121" s="30"/>
      <x:c r="AD121" s="30"/>
      <x:c r="AE121" s="30"/>
      <x:c r="AF121" s="30"/>
      <x:c r="AG121" s="30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>
      <x:c r="A122" s="1"/>
      <x:c r="B122" s="1"/>
      <x:c r="C122" s="30"/>
      <x:c r="D122" s="30"/>
      <x:c r="E122" s="30"/>
      <x:c r="F122" s="30"/>
      <x:c r="G122" s="30"/>
      <x:c r="H122" s="30"/>
      <x:c r="I122" s="30"/>
      <x:c r="J122" s="30"/>
      <x:c r="K122" s="30"/>
      <x:c r="L122" s="30"/>
      <x:c r="M122" s="30"/>
      <x:c r="N122" s="30"/>
      <x:c r="O122" s="30"/>
      <x:c r="P122" s="30"/>
      <x:c r="Q122" s="30"/>
      <x:c r="R122" s="30"/>
      <x:c r="S122" s="30"/>
      <x:c r="T122" s="30"/>
      <x:c r="U122" s="30"/>
      <x:c r="V122" s="30"/>
      <x:c r="W122" s="30"/>
      <x:c r="X122" s="30"/>
      <x:c r="Y122" s="30"/>
      <x:c r="Z122" s="30"/>
      <x:c r="AA122" s="30"/>
      <x:c r="AB122" s="30"/>
      <x:c r="AC122" s="30"/>
      <x:c r="AD122" s="30"/>
      <x:c r="AE122" s="30"/>
      <x:c r="AF122" s="30"/>
      <x:c r="AG122" s="30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>
      <x:c r="A123" s="1"/>
      <x:c r="B123" s="1"/>
      <x:c r="C123" s="30"/>
      <x:c r="D123" s="30"/>
      <x:c r="E123" s="30"/>
      <x:c r="F123" s="30"/>
      <x:c r="G123" s="30"/>
      <x:c r="H123" s="30"/>
      <x:c r="I123" s="30"/>
      <x:c r="J123" s="30"/>
      <x:c r="K123" s="30"/>
      <x:c r="L123" s="30"/>
      <x:c r="M123" s="30"/>
      <x:c r="N123" s="30"/>
      <x:c r="O123" s="30"/>
      <x:c r="P123" s="30"/>
      <x:c r="Q123" s="30"/>
      <x:c r="R123" s="30"/>
      <x:c r="S123" s="30"/>
      <x:c r="T123" s="30"/>
      <x:c r="U123" s="30"/>
      <x:c r="V123" s="30"/>
      <x:c r="W123" s="30"/>
      <x:c r="X123" s="30"/>
      <x:c r="Y123" s="30"/>
      <x:c r="Z123" s="30"/>
      <x:c r="AA123" s="30"/>
      <x:c r="AB123" s="30"/>
      <x:c r="AC123" s="30"/>
      <x:c r="AD123" s="30"/>
      <x:c r="AE123" s="30"/>
      <x:c r="AF123" s="30"/>
      <x:c r="AG123" s="30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>
      <x:c r="A124" s="1"/>
      <x:c r="B124" s="1"/>
      <x:c r="C124" s="30"/>
      <x:c r="D124" s="30"/>
      <x:c r="E124" s="30"/>
      <x:c r="F124" s="30"/>
      <x:c r="G124" s="30"/>
      <x:c r="H124" s="30"/>
      <x:c r="I124" s="30"/>
      <x:c r="J124" s="30"/>
      <x:c r="K124" s="30"/>
      <x:c r="L124" s="30"/>
      <x:c r="M124" s="30"/>
      <x:c r="N124" s="30"/>
      <x:c r="O124" s="30"/>
      <x:c r="P124" s="30"/>
      <x:c r="Q124" s="30"/>
      <x:c r="R124" s="30"/>
      <x:c r="S124" s="30"/>
      <x:c r="T124" s="30"/>
      <x:c r="U124" s="30"/>
      <x:c r="V124" s="30"/>
      <x:c r="W124" s="30"/>
      <x:c r="X124" s="30"/>
      <x:c r="Y124" s="30"/>
      <x:c r="Z124" s="30"/>
      <x:c r="AA124" s="30"/>
      <x:c r="AB124" s="30"/>
      <x:c r="AC124" s="30"/>
      <x:c r="AD124" s="30"/>
      <x:c r="AE124" s="30"/>
      <x:c r="AF124" s="30"/>
      <x:c r="AG124" s="30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>
      <x:c r="A125" s="1"/>
      <x:c r="B125" s="1"/>
      <x:c r="C125" s="30"/>
      <x:c r="D125" s="30"/>
      <x:c r="E125" s="30"/>
      <x:c r="F125" s="30"/>
      <x:c r="G125" s="30"/>
      <x:c r="H125" s="30"/>
      <x:c r="I125" s="30"/>
      <x:c r="J125" s="30"/>
      <x:c r="K125" s="30"/>
      <x:c r="L125" s="30"/>
      <x:c r="M125" s="30"/>
      <x:c r="N125" s="30"/>
      <x:c r="O125" s="30"/>
      <x:c r="P125" s="30"/>
      <x:c r="Q125" s="30"/>
      <x:c r="R125" s="30"/>
      <x:c r="S125" s="30"/>
      <x:c r="T125" s="30"/>
      <x:c r="U125" s="30"/>
      <x:c r="V125" s="30"/>
      <x:c r="W125" s="30"/>
      <x:c r="X125" s="30"/>
      <x:c r="Y125" s="30"/>
      <x:c r="Z125" s="30"/>
      <x:c r="AA125" s="30"/>
      <x:c r="AB125" s="30"/>
      <x:c r="AC125" s="30"/>
      <x:c r="AD125" s="30"/>
      <x:c r="AE125" s="30"/>
      <x:c r="AF125" s="30"/>
      <x:c r="AG125" s="30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>
      <x:c r="A126" s="1"/>
      <x:c r="B126" s="1"/>
      <x:c r="C126" s="30"/>
      <x:c r="D126" s="30"/>
      <x:c r="E126" s="30"/>
      <x:c r="F126" s="30"/>
      <x:c r="G126" s="30"/>
      <x:c r="H126" s="30"/>
      <x:c r="I126" s="30"/>
      <x:c r="J126" s="30"/>
      <x:c r="K126" s="30"/>
      <x:c r="L126" s="30"/>
      <x:c r="M126" s="30"/>
      <x:c r="N126" s="30"/>
      <x:c r="O126" s="30"/>
      <x:c r="P126" s="30"/>
      <x:c r="Q126" s="30"/>
      <x:c r="R126" s="30"/>
      <x:c r="S126" s="30"/>
      <x:c r="T126" s="30"/>
      <x:c r="U126" s="30"/>
      <x:c r="V126" s="30"/>
      <x:c r="W126" s="30"/>
      <x:c r="X126" s="30"/>
      <x:c r="Y126" s="30"/>
      <x:c r="Z126" s="30"/>
      <x:c r="AA126" s="30"/>
      <x:c r="AB126" s="30"/>
      <x:c r="AC126" s="30"/>
      <x:c r="AD126" s="30"/>
      <x:c r="AE126" s="30"/>
      <x:c r="AF126" s="30"/>
      <x:c r="AG126" s="30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>
      <x:c r="A127" s="1"/>
      <x:c r="B127" s="1"/>
      <x:c r="C127" s="30"/>
      <x:c r="D127" s="30"/>
      <x:c r="E127" s="30"/>
      <x:c r="F127" s="30"/>
      <x:c r="G127" s="30"/>
      <x:c r="H127" s="30"/>
      <x:c r="I127" s="30"/>
      <x:c r="J127" s="30"/>
      <x:c r="K127" s="30"/>
      <x:c r="L127" s="30"/>
      <x:c r="M127" s="30"/>
      <x:c r="N127" s="30"/>
      <x:c r="O127" s="30"/>
      <x:c r="P127" s="30"/>
      <x:c r="Q127" s="30"/>
      <x:c r="R127" s="30"/>
      <x:c r="S127" s="30"/>
      <x:c r="T127" s="30"/>
      <x:c r="U127" s="30"/>
      <x:c r="V127" s="30"/>
      <x:c r="W127" s="30"/>
      <x:c r="X127" s="30"/>
      <x:c r="Y127" s="30"/>
      <x:c r="Z127" s="30"/>
      <x:c r="AA127" s="30"/>
      <x:c r="AB127" s="30"/>
      <x:c r="AC127" s="30"/>
      <x:c r="AD127" s="30"/>
      <x:c r="AE127" s="30"/>
      <x:c r="AF127" s="30"/>
      <x:c r="AG127" s="30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>
      <x:c r="A128" s="1"/>
      <x:c r="B128" s="1"/>
      <x:c r="C128" s="30"/>
      <x:c r="D128" s="30"/>
      <x:c r="E128" s="30"/>
      <x:c r="F128" s="30"/>
      <x:c r="G128" s="30"/>
      <x:c r="H128" s="30"/>
      <x:c r="I128" s="30"/>
      <x:c r="J128" s="30"/>
      <x:c r="K128" s="30"/>
      <x:c r="L128" s="30"/>
      <x:c r="M128" s="30"/>
      <x:c r="N128" s="30"/>
      <x:c r="O128" s="30"/>
      <x:c r="P128" s="30"/>
      <x:c r="Q128" s="30"/>
      <x:c r="R128" s="30"/>
      <x:c r="S128" s="30"/>
      <x:c r="T128" s="30"/>
      <x:c r="U128" s="30"/>
      <x:c r="V128" s="30"/>
      <x:c r="W128" s="30"/>
      <x:c r="X128" s="30"/>
      <x:c r="Y128" s="30"/>
      <x:c r="Z128" s="30"/>
      <x:c r="AA128" s="30"/>
      <x:c r="AB128" s="30"/>
      <x:c r="AC128" s="30"/>
      <x:c r="AD128" s="30"/>
      <x:c r="AE128" s="30"/>
      <x:c r="AF128" s="30"/>
      <x:c r="AG128" s="30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>
      <x:c r="A129" s="1"/>
      <x:c r="B129" s="1"/>
      <x:c r="C129" s="30"/>
      <x:c r="D129" s="30"/>
      <x:c r="E129" s="30"/>
      <x:c r="F129" s="30"/>
      <x:c r="G129" s="30"/>
      <x:c r="H129" s="30"/>
      <x:c r="I129" s="30"/>
      <x:c r="J129" s="30"/>
      <x:c r="K129" s="30"/>
      <x:c r="L129" s="30"/>
      <x:c r="M129" s="30"/>
      <x:c r="N129" s="30"/>
      <x:c r="O129" s="30"/>
      <x:c r="P129" s="30"/>
      <x:c r="Q129" s="30"/>
      <x:c r="R129" s="30"/>
      <x:c r="S129" s="30"/>
      <x:c r="T129" s="30"/>
      <x:c r="U129" s="30"/>
      <x:c r="V129" s="30"/>
      <x:c r="W129" s="30"/>
      <x:c r="X129" s="30"/>
      <x:c r="Y129" s="30"/>
      <x:c r="Z129" s="30"/>
      <x:c r="AA129" s="30"/>
      <x:c r="AB129" s="30"/>
      <x:c r="AC129" s="30"/>
      <x:c r="AD129" s="30"/>
      <x:c r="AE129" s="30"/>
      <x:c r="AF129" s="30"/>
      <x:c r="AG129" s="30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>
      <x:c r="A130" s="1"/>
      <x:c r="B130" s="1"/>
      <x:c r="C130" s="30"/>
      <x:c r="D130" s="30"/>
      <x:c r="E130" s="30"/>
      <x:c r="F130" s="30"/>
      <x:c r="G130" s="30"/>
      <x:c r="H130" s="30"/>
      <x:c r="I130" s="30"/>
      <x:c r="J130" s="30"/>
      <x:c r="K130" s="30"/>
      <x:c r="L130" s="30"/>
      <x:c r="M130" s="30"/>
      <x:c r="N130" s="30"/>
      <x:c r="O130" s="30"/>
      <x:c r="P130" s="30"/>
      <x:c r="Q130" s="30"/>
      <x:c r="R130" s="30"/>
      <x:c r="S130" s="30"/>
      <x:c r="T130" s="30"/>
      <x:c r="U130" s="30"/>
      <x:c r="V130" s="30"/>
      <x:c r="W130" s="30"/>
      <x:c r="X130" s="30"/>
      <x:c r="Y130" s="30"/>
      <x:c r="Z130" s="30"/>
      <x:c r="AA130" s="30"/>
      <x:c r="AB130" s="30"/>
      <x:c r="AC130" s="30"/>
      <x:c r="AD130" s="30"/>
      <x:c r="AE130" s="30"/>
      <x:c r="AF130" s="30"/>
      <x:c r="AG130" s="30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>
      <x:c r="A131" s="1"/>
      <x:c r="B131" s="1"/>
      <x:c r="C131" s="30"/>
      <x:c r="D131" s="30"/>
      <x:c r="E131" s="30"/>
      <x:c r="F131" s="30"/>
      <x:c r="G131" s="30"/>
      <x:c r="H131" s="30"/>
      <x:c r="I131" s="30"/>
      <x:c r="J131" s="30"/>
      <x:c r="K131" s="30"/>
      <x:c r="L131" s="30"/>
      <x:c r="M131" s="30"/>
      <x:c r="N131" s="30"/>
      <x:c r="O131" s="30"/>
      <x:c r="P131" s="30"/>
      <x:c r="Q131" s="30"/>
      <x:c r="R131" s="30"/>
      <x:c r="S131" s="30"/>
      <x:c r="T131" s="30"/>
      <x:c r="U131" s="30"/>
      <x:c r="V131" s="30"/>
      <x:c r="W131" s="30"/>
      <x:c r="X131" s="30"/>
      <x:c r="Y131" s="30"/>
      <x:c r="Z131" s="30"/>
      <x:c r="AA131" s="30"/>
      <x:c r="AB131" s="30"/>
      <x:c r="AC131" s="30"/>
      <x:c r="AD131" s="30"/>
      <x:c r="AE131" s="30"/>
      <x:c r="AF131" s="30"/>
      <x:c r="AG131" s="30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>
      <x:c r="A132" s="1"/>
      <x:c r="B132" s="1"/>
      <x:c r="C132" s="30"/>
      <x:c r="D132" s="30"/>
      <x:c r="E132" s="30"/>
      <x:c r="F132" s="30"/>
      <x:c r="G132" s="30"/>
      <x:c r="H132" s="30"/>
      <x:c r="I132" s="30"/>
      <x:c r="J132" s="30"/>
      <x:c r="K132" s="30"/>
      <x:c r="L132" s="30"/>
      <x:c r="M132" s="30"/>
      <x:c r="N132" s="30"/>
      <x:c r="O132" s="30"/>
      <x:c r="P132" s="30"/>
      <x:c r="Q132" s="30"/>
      <x:c r="R132" s="30"/>
      <x:c r="S132" s="30"/>
      <x:c r="T132" s="30"/>
      <x:c r="U132" s="30"/>
      <x:c r="V132" s="30"/>
      <x:c r="W132" s="30"/>
      <x:c r="X132" s="30"/>
      <x:c r="Y132" s="30"/>
      <x:c r="Z132" s="30"/>
      <x:c r="AA132" s="30"/>
      <x:c r="AB132" s="30"/>
      <x:c r="AC132" s="30"/>
      <x:c r="AD132" s="30"/>
      <x:c r="AE132" s="30"/>
      <x:c r="AF132" s="30"/>
      <x:c r="AG132" s="30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>
      <x:c r="A133" s="1"/>
      <x:c r="B133" s="1"/>
      <x:c r="C133" s="30"/>
      <x:c r="D133" s="30"/>
      <x:c r="E133" s="30"/>
      <x:c r="F133" s="30"/>
      <x:c r="G133" s="30"/>
      <x:c r="H133" s="30"/>
      <x:c r="I133" s="30"/>
      <x:c r="J133" s="30"/>
      <x:c r="K133" s="30"/>
      <x:c r="L133" s="30"/>
      <x:c r="M133" s="30"/>
      <x:c r="N133" s="30"/>
      <x:c r="O133" s="30"/>
      <x:c r="P133" s="30"/>
      <x:c r="Q133" s="30"/>
      <x:c r="R133" s="30"/>
      <x:c r="S133" s="30"/>
      <x:c r="T133" s="30"/>
      <x:c r="U133" s="30"/>
      <x:c r="V133" s="30"/>
      <x:c r="W133" s="30"/>
      <x:c r="X133" s="30"/>
      <x:c r="Y133" s="30"/>
      <x:c r="Z133" s="30"/>
      <x:c r="AA133" s="30"/>
      <x:c r="AB133" s="30"/>
      <x:c r="AC133" s="30"/>
      <x:c r="AD133" s="30"/>
      <x:c r="AE133" s="30"/>
      <x:c r="AF133" s="30"/>
      <x:c r="AG133" s="30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>
      <x:c r="A134" s="1"/>
      <x:c r="B134" s="1"/>
      <x:c r="C134" s="30"/>
      <x:c r="D134" s="30"/>
      <x:c r="E134" s="30"/>
      <x:c r="F134" s="30"/>
      <x:c r="G134" s="30"/>
      <x:c r="H134" s="30"/>
      <x:c r="I134" s="30"/>
      <x:c r="J134" s="30"/>
      <x:c r="K134" s="30"/>
      <x:c r="L134" s="30"/>
      <x:c r="M134" s="30"/>
      <x:c r="N134" s="30"/>
      <x:c r="O134" s="30"/>
      <x:c r="P134" s="30"/>
      <x:c r="Q134" s="30"/>
      <x:c r="R134" s="30"/>
      <x:c r="S134" s="30"/>
      <x:c r="T134" s="30"/>
      <x:c r="U134" s="30"/>
      <x:c r="V134" s="30"/>
      <x:c r="W134" s="30"/>
      <x:c r="X134" s="30"/>
      <x:c r="Y134" s="30"/>
      <x:c r="Z134" s="30"/>
      <x:c r="AA134" s="30"/>
      <x:c r="AB134" s="30"/>
      <x:c r="AC134" s="30"/>
      <x:c r="AD134" s="30"/>
      <x:c r="AE134" s="30"/>
      <x:c r="AF134" s="30"/>
      <x:c r="AG134" s="30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>
      <x:c r="A135" s="1"/>
      <x:c r="B135" s="1"/>
      <x:c r="C135" s="30"/>
      <x:c r="D135" s="30"/>
      <x:c r="E135" s="30"/>
      <x:c r="F135" s="30"/>
      <x:c r="G135" s="30"/>
      <x:c r="H135" s="30"/>
      <x:c r="I135" s="30"/>
      <x:c r="J135" s="30"/>
      <x:c r="K135" s="30"/>
      <x:c r="L135" s="30"/>
      <x:c r="M135" s="30"/>
      <x:c r="N135" s="30"/>
      <x:c r="O135" s="30"/>
      <x:c r="P135" s="30"/>
      <x:c r="Q135" s="30"/>
      <x:c r="R135" s="30"/>
      <x:c r="S135" s="30"/>
      <x:c r="T135" s="30"/>
      <x:c r="U135" s="30"/>
      <x:c r="V135" s="30"/>
      <x:c r="W135" s="30"/>
      <x:c r="X135" s="30"/>
      <x:c r="Y135" s="30"/>
      <x:c r="Z135" s="30"/>
      <x:c r="AA135" s="30"/>
      <x:c r="AB135" s="30"/>
      <x:c r="AC135" s="30"/>
      <x:c r="AD135" s="30"/>
      <x:c r="AE135" s="30"/>
      <x:c r="AF135" s="30"/>
      <x:c r="AG135" s="30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>
      <x:c r="A136" s="1"/>
      <x:c r="B136" s="1"/>
      <x:c r="C136" s="30"/>
      <x:c r="D136" s="30"/>
      <x:c r="E136" s="30"/>
      <x:c r="F136" s="30"/>
      <x:c r="G136" s="30"/>
      <x:c r="H136" s="30"/>
      <x:c r="I136" s="30"/>
      <x:c r="J136" s="30"/>
      <x:c r="K136" s="30"/>
      <x:c r="L136" s="30"/>
      <x:c r="M136" s="30"/>
      <x:c r="N136" s="30"/>
      <x:c r="O136" s="30"/>
      <x:c r="P136" s="30"/>
      <x:c r="Q136" s="30"/>
      <x:c r="R136" s="30"/>
      <x:c r="S136" s="30"/>
      <x:c r="T136" s="30"/>
      <x:c r="U136" s="30"/>
      <x:c r="V136" s="30"/>
      <x:c r="W136" s="30"/>
      <x:c r="X136" s="30"/>
      <x:c r="Y136" s="30"/>
      <x:c r="Z136" s="30"/>
      <x:c r="AA136" s="30"/>
      <x:c r="AB136" s="30"/>
      <x:c r="AC136" s="30"/>
      <x:c r="AD136" s="30"/>
      <x:c r="AE136" s="30"/>
      <x:c r="AF136" s="30"/>
      <x:c r="AG136" s="30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>
      <x:c r="A137" s="1"/>
      <x:c r="B137" s="1"/>
      <x:c r="C137" s="30"/>
      <x:c r="D137" s="30"/>
      <x:c r="E137" s="30"/>
      <x:c r="F137" s="30"/>
      <x:c r="G137" s="30"/>
      <x:c r="H137" s="30"/>
      <x:c r="I137" s="30"/>
      <x:c r="J137" s="30"/>
      <x:c r="K137" s="30"/>
      <x:c r="L137" s="30"/>
      <x:c r="M137" s="30"/>
      <x:c r="N137" s="30"/>
      <x:c r="O137" s="30"/>
      <x:c r="P137" s="30"/>
      <x:c r="Q137" s="30"/>
      <x:c r="R137" s="30"/>
      <x:c r="S137" s="30"/>
      <x:c r="T137" s="30"/>
      <x:c r="U137" s="30"/>
      <x:c r="V137" s="30"/>
      <x:c r="W137" s="30"/>
      <x:c r="X137" s="30"/>
      <x:c r="Y137" s="30"/>
      <x:c r="Z137" s="30"/>
      <x:c r="AA137" s="30"/>
      <x:c r="AB137" s="30"/>
      <x:c r="AC137" s="30"/>
      <x:c r="AD137" s="30"/>
      <x:c r="AE137" s="30"/>
      <x:c r="AF137" s="30"/>
      <x:c r="AG137" s="30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>
      <x:c r="A138" s="1"/>
      <x:c r="B138" s="1"/>
      <x:c r="C138" s="30"/>
      <x:c r="D138" s="30"/>
      <x:c r="E138" s="30"/>
      <x:c r="F138" s="30"/>
      <x:c r="G138" s="30"/>
      <x:c r="H138" s="30"/>
      <x:c r="I138" s="30"/>
      <x:c r="J138" s="30"/>
      <x:c r="K138" s="30"/>
      <x:c r="L138" s="30"/>
      <x:c r="M138" s="30"/>
      <x:c r="N138" s="30"/>
      <x:c r="O138" s="30"/>
      <x:c r="P138" s="30"/>
      <x:c r="Q138" s="30"/>
      <x:c r="R138" s="30"/>
      <x:c r="S138" s="30"/>
      <x:c r="T138" s="30"/>
      <x:c r="U138" s="30"/>
      <x:c r="V138" s="30"/>
      <x:c r="W138" s="30"/>
      <x:c r="X138" s="30"/>
      <x:c r="Y138" s="30"/>
      <x:c r="Z138" s="30"/>
      <x:c r="AA138" s="30"/>
      <x:c r="AB138" s="30"/>
      <x:c r="AC138" s="30"/>
      <x:c r="AD138" s="30"/>
      <x:c r="AE138" s="30"/>
      <x:c r="AF138" s="30"/>
      <x:c r="AG138" s="30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>
      <x:c r="A139" s="1"/>
      <x:c r="B139" s="1"/>
      <x:c r="C139" s="30"/>
      <x:c r="D139" s="30"/>
      <x:c r="E139" s="30"/>
      <x:c r="F139" s="30"/>
      <x:c r="G139" s="30"/>
      <x:c r="H139" s="30"/>
      <x:c r="I139" s="30"/>
      <x:c r="J139" s="30"/>
      <x:c r="K139" s="30"/>
      <x:c r="L139" s="30"/>
      <x:c r="M139" s="30"/>
      <x:c r="N139" s="30"/>
      <x:c r="O139" s="30"/>
      <x:c r="P139" s="30"/>
      <x:c r="Q139" s="30"/>
      <x:c r="R139" s="30"/>
      <x:c r="S139" s="30"/>
      <x:c r="T139" s="30"/>
      <x:c r="U139" s="30"/>
      <x:c r="V139" s="30"/>
      <x:c r="W139" s="30"/>
      <x:c r="X139" s="30"/>
      <x:c r="Y139" s="30"/>
      <x:c r="Z139" s="30"/>
      <x:c r="AA139" s="30"/>
      <x:c r="AB139" s="30"/>
      <x:c r="AC139" s="30"/>
      <x:c r="AD139" s="30"/>
      <x:c r="AE139" s="30"/>
      <x:c r="AF139" s="30"/>
      <x:c r="AG139" s="30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>
      <x:c r="A140" s="1"/>
      <x:c r="B140" s="1"/>
      <x:c r="C140" s="30"/>
      <x:c r="D140" s="30"/>
      <x:c r="E140" s="30"/>
      <x:c r="F140" s="30"/>
      <x:c r="G140" s="30"/>
      <x:c r="H140" s="30"/>
      <x:c r="I140" s="30"/>
      <x:c r="J140" s="30"/>
      <x:c r="K140" s="30"/>
      <x:c r="L140" s="30"/>
      <x:c r="M140" s="30"/>
      <x:c r="N140" s="30"/>
      <x:c r="O140" s="30"/>
      <x:c r="P140" s="30"/>
      <x:c r="Q140" s="30"/>
      <x:c r="R140" s="30"/>
      <x:c r="S140" s="30"/>
      <x:c r="T140" s="30"/>
      <x:c r="U140" s="30"/>
      <x:c r="V140" s="30"/>
      <x:c r="W140" s="30"/>
      <x:c r="X140" s="30"/>
      <x:c r="Y140" s="30"/>
      <x:c r="Z140" s="30"/>
      <x:c r="AA140" s="30"/>
      <x:c r="AB140" s="30"/>
      <x:c r="AC140" s="30"/>
      <x:c r="AD140" s="30"/>
      <x:c r="AE140" s="30"/>
      <x:c r="AF140" s="30"/>
      <x:c r="AG140" s="30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>
      <x:c r="A141" s="1"/>
      <x:c r="B141" s="1"/>
      <x:c r="C141" s="30"/>
      <x:c r="D141" s="30"/>
      <x:c r="E141" s="30"/>
      <x:c r="F141" s="30"/>
      <x:c r="G141" s="30"/>
      <x:c r="H141" s="30"/>
      <x:c r="I141" s="30"/>
      <x:c r="J141" s="30"/>
      <x:c r="K141" s="30"/>
      <x:c r="L141" s="30"/>
      <x:c r="M141" s="30"/>
      <x:c r="N141" s="30"/>
      <x:c r="O141" s="30"/>
      <x:c r="P141" s="30"/>
      <x:c r="Q141" s="30"/>
      <x:c r="R141" s="30"/>
      <x:c r="S141" s="30"/>
      <x:c r="T141" s="30"/>
      <x:c r="U141" s="30"/>
      <x:c r="V141" s="30"/>
      <x:c r="W141" s="30"/>
      <x:c r="X141" s="30"/>
      <x:c r="Y141" s="30"/>
      <x:c r="Z141" s="30"/>
      <x:c r="AA141" s="30"/>
      <x:c r="AB141" s="30"/>
      <x:c r="AC141" s="30"/>
      <x:c r="AD141" s="30"/>
      <x:c r="AE141" s="30"/>
      <x:c r="AF141" s="30"/>
      <x:c r="AG141" s="30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>
      <x:c r="A142" s="1"/>
      <x:c r="B142" s="1"/>
      <x:c r="C142" s="30"/>
      <x:c r="D142" s="30"/>
      <x:c r="E142" s="30"/>
      <x:c r="F142" s="30"/>
      <x:c r="G142" s="30"/>
      <x:c r="H142" s="30"/>
      <x:c r="I142" s="30"/>
      <x:c r="J142" s="30"/>
      <x:c r="K142" s="30"/>
      <x:c r="L142" s="30"/>
      <x:c r="M142" s="30"/>
      <x:c r="N142" s="30"/>
      <x:c r="O142" s="30"/>
      <x:c r="P142" s="30"/>
      <x:c r="Q142" s="30"/>
      <x:c r="R142" s="30"/>
      <x:c r="S142" s="30"/>
      <x:c r="T142" s="30"/>
      <x:c r="U142" s="30"/>
      <x:c r="V142" s="30"/>
      <x:c r="W142" s="30"/>
      <x:c r="X142" s="30"/>
      <x:c r="Y142" s="30"/>
      <x:c r="Z142" s="30"/>
      <x:c r="AA142" s="30"/>
      <x:c r="AB142" s="30"/>
      <x:c r="AC142" s="30"/>
      <x:c r="AD142" s="30"/>
      <x:c r="AE142" s="30"/>
      <x:c r="AF142" s="30"/>
      <x:c r="AG142" s="30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>
      <x:c r="A143" s="1"/>
      <x:c r="B143" s="1"/>
      <x:c r="C143" s="30"/>
      <x:c r="D143" s="30"/>
      <x:c r="E143" s="30"/>
      <x:c r="F143" s="30"/>
      <x:c r="G143" s="30"/>
      <x:c r="H143" s="30"/>
      <x:c r="I143" s="30"/>
      <x:c r="J143" s="30"/>
      <x:c r="K143" s="30"/>
      <x:c r="L143" s="30"/>
      <x:c r="M143" s="30"/>
      <x:c r="N143" s="30"/>
      <x:c r="O143" s="30"/>
      <x:c r="P143" s="30"/>
      <x:c r="Q143" s="30"/>
      <x:c r="R143" s="30"/>
      <x:c r="S143" s="30"/>
      <x:c r="T143" s="30"/>
      <x:c r="U143" s="30"/>
      <x:c r="V143" s="30"/>
      <x:c r="W143" s="30"/>
      <x:c r="X143" s="30"/>
      <x:c r="Y143" s="30"/>
      <x:c r="Z143" s="30"/>
      <x:c r="AA143" s="30"/>
      <x:c r="AB143" s="30"/>
      <x:c r="AC143" s="30"/>
      <x:c r="AD143" s="30"/>
      <x:c r="AE143" s="30"/>
      <x:c r="AF143" s="30"/>
      <x:c r="AG143" s="30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>
      <x:c r="A144" s="1"/>
      <x:c r="B144" s="1"/>
      <x:c r="C144" s="30"/>
      <x:c r="D144" s="30"/>
      <x:c r="E144" s="30"/>
      <x:c r="F144" s="30"/>
      <x:c r="G144" s="30"/>
      <x:c r="H144" s="30"/>
      <x:c r="I144" s="30"/>
      <x:c r="J144" s="30"/>
      <x:c r="K144" s="30"/>
      <x:c r="L144" s="30"/>
      <x:c r="M144" s="30"/>
      <x:c r="N144" s="30"/>
      <x:c r="O144" s="30"/>
      <x:c r="P144" s="30"/>
      <x:c r="Q144" s="30"/>
      <x:c r="R144" s="30"/>
      <x:c r="S144" s="30"/>
      <x:c r="T144" s="30"/>
      <x:c r="U144" s="30"/>
      <x:c r="V144" s="30"/>
      <x:c r="W144" s="30"/>
      <x:c r="X144" s="30"/>
      <x:c r="Y144" s="30"/>
      <x:c r="Z144" s="30"/>
      <x:c r="AA144" s="30"/>
      <x:c r="AB144" s="30"/>
      <x:c r="AC144" s="30"/>
      <x:c r="AD144" s="30"/>
      <x:c r="AE144" s="30"/>
      <x:c r="AF144" s="30"/>
      <x:c r="AG144" s="30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>
      <x:c r="A145" s="1"/>
      <x:c r="B145" s="1"/>
      <x:c r="C145" s="30"/>
      <x:c r="D145" s="30"/>
      <x:c r="E145" s="30"/>
      <x:c r="F145" s="30"/>
      <x:c r="G145" s="30"/>
      <x:c r="H145" s="30"/>
      <x:c r="I145" s="30"/>
      <x:c r="J145" s="30"/>
      <x:c r="K145" s="30"/>
      <x:c r="L145" s="30"/>
      <x:c r="M145" s="30"/>
      <x:c r="N145" s="30"/>
      <x:c r="O145" s="30"/>
      <x:c r="P145" s="30"/>
      <x:c r="Q145" s="30"/>
      <x:c r="R145" s="30"/>
      <x:c r="S145" s="30"/>
      <x:c r="T145" s="30"/>
      <x:c r="U145" s="30"/>
      <x:c r="V145" s="30"/>
      <x:c r="W145" s="30"/>
      <x:c r="X145" s="30"/>
      <x:c r="Y145" s="30"/>
      <x:c r="Z145" s="30"/>
      <x:c r="AA145" s="30"/>
      <x:c r="AB145" s="30"/>
      <x:c r="AC145" s="30"/>
      <x:c r="AD145" s="30"/>
      <x:c r="AE145" s="30"/>
      <x:c r="AF145" s="30"/>
      <x:c r="AG145" s="30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>
      <x:c r="A146" s="1"/>
      <x:c r="B146" s="1"/>
      <x:c r="C146" s="30"/>
      <x:c r="D146" s="30"/>
      <x:c r="E146" s="30"/>
      <x:c r="F146" s="30"/>
      <x:c r="G146" s="30"/>
      <x:c r="H146" s="30"/>
      <x:c r="I146" s="30"/>
      <x:c r="J146" s="30"/>
      <x:c r="K146" s="30"/>
      <x:c r="L146" s="30"/>
      <x:c r="M146" s="30"/>
      <x:c r="N146" s="30"/>
      <x:c r="O146" s="30"/>
      <x:c r="P146" s="30"/>
      <x:c r="Q146" s="30"/>
      <x:c r="R146" s="30"/>
      <x:c r="S146" s="30"/>
      <x:c r="T146" s="30"/>
      <x:c r="U146" s="30"/>
      <x:c r="V146" s="30"/>
      <x:c r="W146" s="30"/>
      <x:c r="X146" s="30"/>
      <x:c r="Y146" s="30"/>
      <x:c r="Z146" s="30"/>
      <x:c r="AA146" s="30"/>
      <x:c r="AB146" s="30"/>
      <x:c r="AC146" s="30"/>
      <x:c r="AD146" s="30"/>
      <x:c r="AE146" s="30"/>
      <x:c r="AF146" s="30"/>
      <x:c r="AG146" s="30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>
      <x:c r="A147" s="1"/>
      <x:c r="B147" s="1"/>
      <x:c r="C147" s="30"/>
      <x:c r="D147" s="30"/>
      <x:c r="E147" s="30"/>
      <x:c r="F147" s="30"/>
      <x:c r="G147" s="30"/>
      <x:c r="H147" s="30"/>
      <x:c r="I147" s="30"/>
      <x:c r="J147" s="30"/>
      <x:c r="K147" s="30"/>
      <x:c r="L147" s="30"/>
      <x:c r="M147" s="30"/>
      <x:c r="N147" s="30"/>
      <x:c r="O147" s="30"/>
      <x:c r="P147" s="30"/>
      <x:c r="Q147" s="30"/>
      <x:c r="R147" s="30"/>
      <x:c r="S147" s="30"/>
      <x:c r="T147" s="30"/>
      <x:c r="U147" s="30"/>
      <x:c r="V147" s="30"/>
      <x:c r="W147" s="30"/>
      <x:c r="X147" s="30"/>
      <x:c r="Y147" s="30"/>
      <x:c r="Z147" s="30"/>
      <x:c r="AA147" s="30"/>
      <x:c r="AB147" s="30"/>
      <x:c r="AC147" s="30"/>
      <x:c r="AD147" s="30"/>
      <x:c r="AE147" s="30"/>
      <x:c r="AF147" s="30"/>
      <x:c r="AG147" s="30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>
      <x:c r="A148" s="1"/>
      <x:c r="B148" s="1"/>
      <x:c r="C148" s="30"/>
      <x:c r="D148" s="30"/>
      <x:c r="E148" s="30"/>
      <x:c r="F148" s="30"/>
      <x:c r="G148" s="30"/>
      <x:c r="H148" s="30"/>
      <x:c r="I148" s="30"/>
      <x:c r="J148" s="30"/>
      <x:c r="K148" s="30"/>
      <x:c r="L148" s="30"/>
      <x:c r="M148" s="30"/>
      <x:c r="N148" s="30"/>
      <x:c r="O148" s="30"/>
      <x:c r="P148" s="30"/>
      <x:c r="Q148" s="30"/>
      <x:c r="R148" s="30"/>
      <x:c r="S148" s="30"/>
      <x:c r="T148" s="30"/>
      <x:c r="U148" s="30"/>
      <x:c r="V148" s="30"/>
      <x:c r="W148" s="30"/>
      <x:c r="X148" s="30"/>
      <x:c r="Y148" s="30"/>
      <x:c r="Z148" s="30"/>
      <x:c r="AA148" s="30"/>
      <x:c r="AB148" s="30"/>
      <x:c r="AC148" s="30"/>
      <x:c r="AD148" s="30"/>
      <x:c r="AE148" s="30"/>
      <x:c r="AF148" s="30"/>
      <x:c r="AG148" s="30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>
      <x:c r="A149" s="1"/>
      <x:c r="B149" s="1"/>
      <x:c r="C149" s="30"/>
      <x:c r="D149" s="30"/>
      <x:c r="E149" s="30"/>
      <x:c r="F149" s="30"/>
      <x:c r="G149" s="30"/>
      <x:c r="H149" s="30"/>
      <x:c r="I149" s="30"/>
      <x:c r="J149" s="30"/>
      <x:c r="K149" s="30"/>
      <x:c r="L149" s="30"/>
      <x:c r="M149" s="30"/>
      <x:c r="N149" s="30"/>
      <x:c r="O149" s="30"/>
      <x:c r="P149" s="30"/>
      <x:c r="Q149" s="30"/>
      <x:c r="R149" s="30"/>
      <x:c r="S149" s="30"/>
      <x:c r="T149" s="30"/>
      <x:c r="U149" s="30"/>
      <x:c r="V149" s="30"/>
      <x:c r="W149" s="30"/>
      <x:c r="X149" s="30"/>
      <x:c r="Y149" s="30"/>
      <x:c r="Z149" s="30"/>
      <x:c r="AA149" s="30"/>
      <x:c r="AB149" s="30"/>
      <x:c r="AC149" s="30"/>
      <x:c r="AD149" s="30"/>
      <x:c r="AE149" s="30"/>
      <x:c r="AF149" s="30"/>
      <x:c r="AG149" s="30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>
      <x:c r="A150" s="1"/>
      <x:c r="B150" s="1"/>
      <x:c r="C150" s="30"/>
      <x:c r="D150" s="30"/>
      <x:c r="E150" s="30"/>
      <x:c r="F150" s="30"/>
      <x:c r="G150" s="30"/>
      <x:c r="H150" s="30"/>
      <x:c r="I150" s="30"/>
      <x:c r="J150" s="30"/>
      <x:c r="K150" s="30"/>
      <x:c r="L150" s="30"/>
      <x:c r="M150" s="30"/>
      <x:c r="N150" s="30"/>
      <x:c r="O150" s="30"/>
      <x:c r="P150" s="30"/>
      <x:c r="Q150" s="30"/>
      <x:c r="R150" s="30"/>
      <x:c r="S150" s="30"/>
      <x:c r="T150" s="30"/>
      <x:c r="U150" s="30"/>
      <x:c r="V150" s="30"/>
      <x:c r="W150" s="30"/>
      <x:c r="X150" s="30"/>
      <x:c r="Y150" s="30"/>
      <x:c r="Z150" s="30"/>
      <x:c r="AA150" s="30"/>
      <x:c r="AB150" s="30"/>
      <x:c r="AC150" s="30"/>
      <x:c r="AD150" s="30"/>
      <x:c r="AE150" s="30"/>
      <x:c r="AF150" s="30"/>
      <x:c r="AG150" s="30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>
      <x:c r="A151" s="1"/>
      <x:c r="B151" s="1"/>
      <x:c r="C151" s="30"/>
      <x:c r="D151" s="30"/>
      <x:c r="E151" s="30"/>
      <x:c r="F151" s="30"/>
      <x:c r="G151" s="30"/>
      <x:c r="H151" s="30"/>
      <x:c r="I151" s="30"/>
      <x:c r="J151" s="30"/>
      <x:c r="K151" s="30"/>
      <x:c r="L151" s="30"/>
      <x:c r="M151" s="30"/>
      <x:c r="N151" s="30"/>
      <x:c r="O151" s="30"/>
      <x:c r="P151" s="30"/>
      <x:c r="Q151" s="30"/>
      <x:c r="R151" s="30"/>
      <x:c r="S151" s="30"/>
      <x:c r="T151" s="30"/>
      <x:c r="U151" s="30"/>
      <x:c r="V151" s="30"/>
      <x:c r="W151" s="30"/>
      <x:c r="X151" s="30"/>
      <x:c r="Y151" s="30"/>
      <x:c r="Z151" s="30"/>
      <x:c r="AA151" s="30"/>
      <x:c r="AB151" s="30"/>
      <x:c r="AC151" s="30"/>
      <x:c r="AD151" s="30"/>
      <x:c r="AE151" s="30"/>
      <x:c r="AF151" s="30"/>
      <x:c r="AG151" s="30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>
      <x:c r="A152" s="1"/>
      <x:c r="B152" s="1"/>
      <x:c r="C152" s="30"/>
      <x:c r="D152" s="30"/>
      <x:c r="E152" s="30"/>
      <x:c r="F152" s="30"/>
      <x:c r="G152" s="30"/>
      <x:c r="H152" s="30"/>
      <x:c r="I152" s="30"/>
      <x:c r="J152" s="30"/>
      <x:c r="K152" s="30"/>
      <x:c r="L152" s="30"/>
      <x:c r="M152" s="30"/>
      <x:c r="N152" s="30"/>
      <x:c r="O152" s="30"/>
      <x:c r="P152" s="30"/>
      <x:c r="Q152" s="30"/>
      <x:c r="R152" s="30"/>
      <x:c r="S152" s="30"/>
      <x:c r="T152" s="30"/>
      <x:c r="U152" s="30"/>
      <x:c r="V152" s="30"/>
      <x:c r="W152" s="30"/>
      <x:c r="X152" s="30"/>
      <x:c r="Y152" s="30"/>
      <x:c r="Z152" s="30"/>
      <x:c r="AA152" s="30"/>
      <x:c r="AB152" s="30"/>
      <x:c r="AC152" s="30"/>
      <x:c r="AD152" s="30"/>
      <x:c r="AE152" s="30"/>
      <x:c r="AF152" s="30"/>
      <x:c r="AG152" s="30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>
      <x:c r="A153" s="1"/>
      <x:c r="B153" s="1"/>
      <x:c r="C153" s="30"/>
      <x:c r="D153" s="30"/>
      <x:c r="E153" s="30"/>
      <x:c r="F153" s="30"/>
      <x:c r="G153" s="30"/>
      <x:c r="H153" s="30"/>
      <x:c r="I153" s="30"/>
      <x:c r="J153" s="30"/>
      <x:c r="K153" s="30"/>
      <x:c r="L153" s="30"/>
      <x:c r="M153" s="30"/>
      <x:c r="N153" s="30"/>
      <x:c r="O153" s="30"/>
      <x:c r="P153" s="30"/>
      <x:c r="Q153" s="30"/>
      <x:c r="R153" s="30"/>
      <x:c r="S153" s="30"/>
      <x:c r="T153" s="30"/>
      <x:c r="U153" s="30"/>
      <x:c r="V153" s="30"/>
      <x:c r="W153" s="30"/>
      <x:c r="X153" s="30"/>
      <x:c r="Y153" s="30"/>
      <x:c r="Z153" s="30"/>
      <x:c r="AA153" s="30"/>
      <x:c r="AB153" s="30"/>
      <x:c r="AC153" s="30"/>
      <x:c r="AD153" s="30"/>
      <x:c r="AE153" s="30"/>
      <x:c r="AF153" s="30"/>
      <x:c r="AG153" s="30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>
      <x:c r="A154" s="1"/>
      <x:c r="B154" s="1"/>
      <x:c r="C154" s="30"/>
      <x:c r="D154" s="30"/>
      <x:c r="E154" s="30"/>
      <x:c r="F154" s="30"/>
      <x:c r="G154" s="30"/>
      <x:c r="H154" s="30"/>
      <x:c r="I154" s="30"/>
      <x:c r="J154" s="30"/>
      <x:c r="K154" s="30"/>
      <x:c r="L154" s="30"/>
      <x:c r="M154" s="30"/>
      <x:c r="N154" s="30"/>
      <x:c r="O154" s="30"/>
      <x:c r="P154" s="30"/>
      <x:c r="Q154" s="30"/>
      <x:c r="R154" s="30"/>
      <x:c r="S154" s="30"/>
      <x:c r="T154" s="30"/>
      <x:c r="U154" s="30"/>
      <x:c r="V154" s="30"/>
      <x:c r="W154" s="30"/>
      <x:c r="X154" s="30"/>
      <x:c r="Y154" s="30"/>
      <x:c r="Z154" s="30"/>
      <x:c r="AA154" s="30"/>
      <x:c r="AB154" s="30"/>
      <x:c r="AC154" s="30"/>
      <x:c r="AD154" s="30"/>
      <x:c r="AE154" s="30"/>
      <x:c r="AF154" s="30"/>
      <x:c r="AG154" s="30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>
      <x:c r="A155" s="1"/>
      <x:c r="B155" s="1"/>
      <x:c r="C155" s="30"/>
      <x:c r="D155" s="30"/>
      <x:c r="E155" s="30"/>
      <x:c r="F155" s="30"/>
      <x:c r="G155" s="30"/>
      <x:c r="H155" s="30"/>
      <x:c r="I155" s="30"/>
      <x:c r="J155" s="30"/>
      <x:c r="K155" s="30"/>
      <x:c r="L155" s="30"/>
      <x:c r="M155" s="30"/>
      <x:c r="N155" s="30"/>
      <x:c r="O155" s="30"/>
      <x:c r="P155" s="30"/>
      <x:c r="Q155" s="30"/>
      <x:c r="R155" s="30"/>
      <x:c r="S155" s="30"/>
      <x:c r="T155" s="30"/>
      <x:c r="U155" s="30"/>
      <x:c r="V155" s="30"/>
      <x:c r="W155" s="30"/>
      <x:c r="X155" s="30"/>
      <x:c r="Y155" s="30"/>
      <x:c r="Z155" s="30"/>
      <x:c r="AA155" s="30"/>
      <x:c r="AB155" s="30"/>
      <x:c r="AC155" s="30"/>
      <x:c r="AD155" s="30"/>
      <x:c r="AE155" s="30"/>
      <x:c r="AF155" s="30"/>
      <x:c r="AG155" s="30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>
      <x:c r="A156" s="1"/>
      <x:c r="B156" s="1"/>
      <x:c r="C156" s="30"/>
      <x:c r="D156" s="30"/>
      <x:c r="E156" s="30"/>
      <x:c r="F156" s="30"/>
      <x:c r="G156" s="30"/>
      <x:c r="H156" s="30"/>
      <x:c r="I156" s="30"/>
      <x:c r="J156" s="30"/>
      <x:c r="K156" s="30"/>
      <x:c r="L156" s="30"/>
      <x:c r="M156" s="30"/>
      <x:c r="N156" s="30"/>
      <x:c r="O156" s="30"/>
      <x:c r="P156" s="30"/>
      <x:c r="Q156" s="30"/>
      <x:c r="R156" s="30"/>
      <x:c r="S156" s="30"/>
      <x:c r="T156" s="30"/>
      <x:c r="U156" s="30"/>
      <x:c r="V156" s="30"/>
      <x:c r="W156" s="30"/>
      <x:c r="X156" s="30"/>
      <x:c r="Y156" s="30"/>
      <x:c r="Z156" s="30"/>
      <x:c r="AA156" s="30"/>
      <x:c r="AB156" s="30"/>
      <x:c r="AC156" s="30"/>
      <x:c r="AD156" s="30"/>
      <x:c r="AE156" s="30"/>
      <x:c r="AF156" s="30"/>
      <x:c r="AG156" s="30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>
      <x:c r="A157" s="1"/>
      <x:c r="B157" s="1"/>
      <x:c r="C157" s="30"/>
      <x:c r="D157" s="30"/>
      <x:c r="E157" s="30"/>
      <x:c r="F157" s="30"/>
      <x:c r="G157" s="30"/>
      <x:c r="H157" s="30"/>
      <x:c r="I157" s="30"/>
      <x:c r="J157" s="30"/>
      <x:c r="K157" s="30"/>
      <x:c r="L157" s="30"/>
      <x:c r="M157" s="30"/>
      <x:c r="N157" s="30"/>
      <x:c r="O157" s="30"/>
      <x:c r="P157" s="30"/>
      <x:c r="Q157" s="30"/>
      <x:c r="R157" s="30"/>
      <x:c r="S157" s="30"/>
      <x:c r="T157" s="30"/>
      <x:c r="U157" s="30"/>
      <x:c r="V157" s="30"/>
      <x:c r="W157" s="30"/>
      <x:c r="X157" s="30"/>
      <x:c r="Y157" s="30"/>
      <x:c r="Z157" s="30"/>
      <x:c r="AA157" s="30"/>
      <x:c r="AB157" s="30"/>
      <x:c r="AC157" s="30"/>
      <x:c r="AD157" s="30"/>
      <x:c r="AE157" s="30"/>
      <x:c r="AF157" s="30"/>
      <x:c r="AG157" s="30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>
      <x:c r="A158" s="1"/>
      <x:c r="B158" s="1"/>
      <x:c r="C158" s="30"/>
      <x:c r="D158" s="30"/>
      <x:c r="E158" s="30"/>
      <x:c r="F158" s="30"/>
      <x:c r="G158" s="30"/>
      <x:c r="H158" s="30"/>
      <x:c r="I158" s="30"/>
      <x:c r="J158" s="30"/>
      <x:c r="K158" s="30"/>
      <x:c r="L158" s="30"/>
      <x:c r="M158" s="30"/>
      <x:c r="N158" s="30"/>
      <x:c r="O158" s="30"/>
      <x:c r="P158" s="30"/>
      <x:c r="Q158" s="30"/>
      <x:c r="R158" s="30"/>
      <x:c r="S158" s="30"/>
      <x:c r="T158" s="30"/>
      <x:c r="U158" s="30"/>
      <x:c r="V158" s="30"/>
      <x:c r="W158" s="30"/>
      <x:c r="X158" s="30"/>
      <x:c r="Y158" s="30"/>
      <x:c r="Z158" s="30"/>
      <x:c r="AA158" s="30"/>
      <x:c r="AB158" s="30"/>
      <x:c r="AC158" s="30"/>
      <x:c r="AD158" s="30"/>
      <x:c r="AE158" s="30"/>
      <x:c r="AF158" s="30"/>
      <x:c r="AG158" s="30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>
      <x:c r="A159" s="1"/>
      <x:c r="B159" s="1"/>
      <x:c r="C159" s="30"/>
      <x:c r="D159" s="30"/>
      <x:c r="E159" s="30"/>
      <x:c r="F159" s="30"/>
      <x:c r="G159" s="30"/>
      <x:c r="H159" s="30"/>
      <x:c r="I159" s="30"/>
      <x:c r="J159" s="30"/>
      <x:c r="K159" s="30"/>
      <x:c r="L159" s="30"/>
      <x:c r="M159" s="30"/>
      <x:c r="N159" s="30"/>
      <x:c r="O159" s="30"/>
      <x:c r="P159" s="30"/>
      <x:c r="Q159" s="30"/>
      <x:c r="R159" s="30"/>
      <x:c r="S159" s="30"/>
      <x:c r="T159" s="30"/>
      <x:c r="U159" s="30"/>
      <x:c r="V159" s="30"/>
      <x:c r="W159" s="30"/>
      <x:c r="X159" s="30"/>
      <x:c r="Y159" s="30"/>
      <x:c r="Z159" s="30"/>
      <x:c r="AA159" s="30"/>
      <x:c r="AB159" s="30"/>
      <x:c r="AC159" s="30"/>
      <x:c r="AD159" s="30"/>
      <x:c r="AE159" s="30"/>
      <x:c r="AF159" s="30"/>
      <x:c r="AG159" s="30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>
      <x:c r="A160" s="1"/>
      <x:c r="B160" s="1"/>
      <x:c r="C160" s="30"/>
      <x:c r="D160" s="30"/>
      <x:c r="E160" s="30"/>
      <x:c r="F160" s="30"/>
      <x:c r="G160" s="30"/>
      <x:c r="H160" s="30"/>
      <x:c r="I160" s="30"/>
      <x:c r="J160" s="30"/>
      <x:c r="K160" s="30"/>
      <x:c r="L160" s="30"/>
      <x:c r="M160" s="30"/>
      <x:c r="N160" s="30"/>
      <x:c r="O160" s="30"/>
      <x:c r="P160" s="30"/>
      <x:c r="Q160" s="30"/>
      <x:c r="R160" s="30"/>
      <x:c r="S160" s="30"/>
      <x:c r="T160" s="30"/>
      <x:c r="U160" s="30"/>
      <x:c r="V160" s="30"/>
      <x:c r="W160" s="30"/>
      <x:c r="X160" s="30"/>
      <x:c r="Y160" s="30"/>
      <x:c r="Z160" s="30"/>
      <x:c r="AA160" s="30"/>
      <x:c r="AB160" s="30"/>
      <x:c r="AC160" s="30"/>
      <x:c r="AD160" s="30"/>
      <x:c r="AE160" s="30"/>
      <x:c r="AF160" s="30"/>
      <x:c r="AG160" s="30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>
      <x:c r="A161" s="1"/>
      <x:c r="B161" s="1"/>
      <x:c r="C161" s="30"/>
      <x:c r="D161" s="30"/>
      <x:c r="E161" s="30"/>
      <x:c r="F161" s="30"/>
      <x:c r="G161" s="30"/>
      <x:c r="H161" s="30"/>
      <x:c r="I161" s="30"/>
      <x:c r="J161" s="30"/>
      <x:c r="K161" s="30"/>
      <x:c r="L161" s="30"/>
      <x:c r="M161" s="30"/>
      <x:c r="N161" s="30"/>
      <x:c r="O161" s="30"/>
      <x:c r="P161" s="30"/>
      <x:c r="Q161" s="30"/>
      <x:c r="R161" s="30"/>
      <x:c r="S161" s="30"/>
      <x:c r="T161" s="30"/>
      <x:c r="U161" s="30"/>
      <x:c r="V161" s="30"/>
      <x:c r="W161" s="30"/>
      <x:c r="X161" s="30"/>
      <x:c r="Y161" s="30"/>
      <x:c r="Z161" s="30"/>
      <x:c r="AA161" s="30"/>
      <x:c r="AB161" s="30"/>
      <x:c r="AC161" s="30"/>
      <x:c r="AD161" s="30"/>
      <x:c r="AE161" s="30"/>
      <x:c r="AF161" s="30"/>
      <x:c r="AG161" s="30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>
      <x:c r="A162" s="1"/>
      <x:c r="B162" s="1"/>
      <x:c r="C162" s="30"/>
      <x:c r="D162" s="30"/>
      <x:c r="E162" s="30"/>
      <x:c r="F162" s="30"/>
      <x:c r="G162" s="30"/>
      <x:c r="H162" s="30"/>
      <x:c r="I162" s="30"/>
      <x:c r="J162" s="30"/>
      <x:c r="K162" s="30"/>
      <x:c r="L162" s="30"/>
      <x:c r="M162" s="30"/>
      <x:c r="N162" s="30"/>
      <x:c r="O162" s="30"/>
      <x:c r="P162" s="30"/>
      <x:c r="Q162" s="30"/>
      <x:c r="R162" s="30"/>
      <x:c r="S162" s="30"/>
      <x:c r="T162" s="30"/>
      <x:c r="U162" s="30"/>
      <x:c r="V162" s="30"/>
      <x:c r="W162" s="30"/>
      <x:c r="X162" s="30"/>
      <x:c r="Y162" s="30"/>
      <x:c r="Z162" s="30"/>
      <x:c r="AA162" s="30"/>
      <x:c r="AB162" s="30"/>
      <x:c r="AC162" s="30"/>
      <x:c r="AD162" s="30"/>
      <x:c r="AE162" s="30"/>
      <x:c r="AF162" s="30"/>
      <x:c r="AG162" s="30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>
      <x:c r="A163" s="1"/>
      <x:c r="B163" s="1"/>
      <x:c r="C163" s="30"/>
      <x:c r="D163" s="30"/>
      <x:c r="E163" s="30"/>
      <x:c r="F163" s="30"/>
      <x:c r="G163" s="30"/>
      <x:c r="H163" s="30"/>
      <x:c r="I163" s="30"/>
      <x:c r="J163" s="30"/>
      <x:c r="K163" s="30"/>
      <x:c r="L163" s="30"/>
      <x:c r="M163" s="30"/>
      <x:c r="N163" s="30"/>
      <x:c r="O163" s="30"/>
      <x:c r="P163" s="30"/>
      <x:c r="Q163" s="30"/>
      <x:c r="R163" s="30"/>
      <x:c r="S163" s="30"/>
      <x:c r="T163" s="30"/>
      <x:c r="U163" s="30"/>
      <x:c r="V163" s="30"/>
      <x:c r="W163" s="30"/>
      <x:c r="X163" s="30"/>
      <x:c r="Y163" s="30"/>
      <x:c r="Z163" s="30"/>
      <x:c r="AA163" s="30"/>
      <x:c r="AB163" s="30"/>
      <x:c r="AC163" s="30"/>
      <x:c r="AD163" s="30"/>
      <x:c r="AE163" s="30"/>
      <x:c r="AF163" s="30"/>
      <x:c r="AG163" s="30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>
      <x:c r="A164" s="1"/>
      <x:c r="B164" s="1"/>
      <x:c r="C164" s="30"/>
      <x:c r="D164" s="30"/>
      <x:c r="E164" s="30"/>
      <x:c r="F164" s="30"/>
      <x:c r="G164" s="30"/>
      <x:c r="H164" s="30"/>
      <x:c r="I164" s="30"/>
      <x:c r="J164" s="30"/>
      <x:c r="K164" s="30"/>
      <x:c r="L164" s="30"/>
      <x:c r="M164" s="30"/>
      <x:c r="N164" s="30"/>
      <x:c r="O164" s="30"/>
      <x:c r="P164" s="30"/>
      <x:c r="Q164" s="30"/>
      <x:c r="R164" s="30"/>
      <x:c r="S164" s="30"/>
      <x:c r="T164" s="30"/>
      <x:c r="U164" s="30"/>
      <x:c r="V164" s="30"/>
      <x:c r="W164" s="30"/>
      <x:c r="X164" s="30"/>
      <x:c r="Y164" s="30"/>
      <x:c r="Z164" s="30"/>
      <x:c r="AA164" s="30"/>
      <x:c r="AB164" s="30"/>
      <x:c r="AC164" s="30"/>
      <x:c r="AD164" s="30"/>
      <x:c r="AE164" s="30"/>
      <x:c r="AF164" s="30"/>
      <x:c r="AG164" s="30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>
      <x:c r="A165" s="1"/>
      <x:c r="B165" s="1"/>
      <x:c r="C165" s="30"/>
      <x:c r="D165" s="30"/>
      <x:c r="E165" s="30"/>
      <x:c r="F165" s="30"/>
      <x:c r="G165" s="30"/>
      <x:c r="H165" s="30"/>
      <x:c r="I165" s="30"/>
      <x:c r="J165" s="30"/>
      <x:c r="K165" s="30"/>
      <x:c r="L165" s="30"/>
      <x:c r="M165" s="30"/>
      <x:c r="N165" s="30"/>
      <x:c r="O165" s="30"/>
      <x:c r="P165" s="30"/>
      <x:c r="Q165" s="30"/>
      <x:c r="R165" s="30"/>
      <x:c r="S165" s="30"/>
      <x:c r="T165" s="30"/>
      <x:c r="U165" s="30"/>
      <x:c r="V165" s="30"/>
      <x:c r="W165" s="30"/>
      <x:c r="X165" s="30"/>
      <x:c r="Y165" s="30"/>
      <x:c r="Z165" s="30"/>
      <x:c r="AA165" s="30"/>
      <x:c r="AB165" s="30"/>
      <x:c r="AC165" s="30"/>
      <x:c r="AD165" s="30"/>
      <x:c r="AE165" s="30"/>
      <x:c r="AF165" s="30"/>
      <x:c r="AG165" s="30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>
      <x:c r="A166" s="1"/>
      <x:c r="B166" s="1"/>
      <x:c r="C166" s="30"/>
      <x:c r="D166" s="30"/>
      <x:c r="E166" s="30"/>
      <x:c r="F166" s="30"/>
      <x:c r="G166" s="30"/>
      <x:c r="H166" s="30"/>
      <x:c r="I166" s="30"/>
      <x:c r="J166" s="30"/>
      <x:c r="K166" s="30"/>
      <x:c r="L166" s="30"/>
      <x:c r="M166" s="30"/>
      <x:c r="N166" s="30"/>
      <x:c r="O166" s="30"/>
      <x:c r="P166" s="30"/>
      <x:c r="Q166" s="30"/>
      <x:c r="R166" s="30"/>
      <x:c r="S166" s="30"/>
      <x:c r="T166" s="30"/>
      <x:c r="U166" s="30"/>
      <x:c r="V166" s="30"/>
      <x:c r="W166" s="30"/>
      <x:c r="X166" s="30"/>
      <x:c r="Y166" s="30"/>
      <x:c r="Z166" s="30"/>
      <x:c r="AA166" s="30"/>
      <x:c r="AB166" s="30"/>
      <x:c r="AC166" s="30"/>
      <x:c r="AD166" s="30"/>
      <x:c r="AE166" s="30"/>
      <x:c r="AF166" s="30"/>
      <x:c r="AG166" s="30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>
      <x:c r="A167" s="1"/>
      <x:c r="B167" s="1"/>
      <x:c r="C167" s="30"/>
      <x:c r="D167" s="30"/>
      <x:c r="E167" s="30"/>
      <x:c r="F167" s="30"/>
      <x:c r="G167" s="30"/>
      <x:c r="H167" s="30"/>
      <x:c r="I167" s="30"/>
      <x:c r="J167" s="30"/>
      <x:c r="K167" s="30"/>
      <x:c r="L167" s="30"/>
      <x:c r="M167" s="30"/>
      <x:c r="N167" s="30"/>
      <x:c r="O167" s="30"/>
      <x:c r="P167" s="30"/>
      <x:c r="Q167" s="30"/>
      <x:c r="R167" s="30"/>
      <x:c r="S167" s="30"/>
      <x:c r="T167" s="30"/>
      <x:c r="U167" s="30"/>
      <x:c r="V167" s="30"/>
      <x:c r="W167" s="30"/>
      <x:c r="X167" s="30"/>
      <x:c r="Y167" s="30"/>
      <x:c r="Z167" s="30"/>
      <x:c r="AA167" s="30"/>
      <x:c r="AB167" s="30"/>
      <x:c r="AC167" s="30"/>
      <x:c r="AD167" s="30"/>
      <x:c r="AE167" s="30"/>
      <x:c r="AF167" s="30"/>
      <x:c r="AG167" s="30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>
      <x:c r="A168" s="1"/>
      <x:c r="B168" s="1"/>
      <x:c r="C168" s="30"/>
      <x:c r="D168" s="30"/>
      <x:c r="E168" s="30"/>
      <x:c r="F168" s="30"/>
      <x:c r="G168" s="30"/>
      <x:c r="H168" s="30"/>
      <x:c r="I168" s="30"/>
      <x:c r="J168" s="30"/>
      <x:c r="K168" s="30"/>
      <x:c r="L168" s="30"/>
      <x:c r="M168" s="30"/>
      <x:c r="N168" s="30"/>
      <x:c r="O168" s="30"/>
      <x:c r="P168" s="30"/>
      <x:c r="Q168" s="30"/>
      <x:c r="R168" s="30"/>
      <x:c r="S168" s="30"/>
      <x:c r="T168" s="30"/>
      <x:c r="U168" s="30"/>
      <x:c r="V168" s="30"/>
      <x:c r="W168" s="30"/>
      <x:c r="X168" s="30"/>
      <x:c r="Y168" s="30"/>
      <x:c r="Z168" s="30"/>
      <x:c r="AA168" s="30"/>
      <x:c r="AB168" s="30"/>
      <x:c r="AC168" s="30"/>
      <x:c r="AD168" s="30"/>
      <x:c r="AE168" s="30"/>
      <x:c r="AF168" s="30"/>
      <x:c r="AG168" s="30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>
      <x:c r="A169" s="1"/>
      <x:c r="B169" s="1"/>
      <x:c r="C169" s="30"/>
      <x:c r="D169" s="30"/>
      <x:c r="E169" s="30"/>
      <x:c r="F169" s="30"/>
      <x:c r="G169" s="30"/>
      <x:c r="H169" s="30"/>
      <x:c r="I169" s="30"/>
      <x:c r="J169" s="30"/>
      <x:c r="K169" s="30"/>
      <x:c r="L169" s="30"/>
      <x:c r="M169" s="30"/>
      <x:c r="N169" s="30"/>
      <x:c r="O169" s="30"/>
      <x:c r="P169" s="30"/>
      <x:c r="Q169" s="30"/>
      <x:c r="R169" s="30"/>
      <x:c r="S169" s="30"/>
      <x:c r="T169" s="30"/>
      <x:c r="U169" s="30"/>
      <x:c r="V169" s="30"/>
      <x:c r="W169" s="30"/>
      <x:c r="X169" s="30"/>
      <x:c r="Y169" s="30"/>
      <x:c r="Z169" s="30"/>
      <x:c r="AA169" s="30"/>
      <x:c r="AB169" s="30"/>
      <x:c r="AC169" s="30"/>
      <x:c r="AD169" s="30"/>
      <x:c r="AE169" s="30"/>
      <x:c r="AF169" s="30"/>
      <x:c r="AG169" s="30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>
      <x:c r="A170" s="1"/>
      <x:c r="B170" s="1"/>
      <x:c r="C170" s="30"/>
      <x:c r="D170" s="30"/>
      <x:c r="E170" s="30"/>
      <x:c r="F170" s="30"/>
      <x:c r="G170" s="30"/>
      <x:c r="H170" s="30"/>
      <x:c r="I170" s="30"/>
      <x:c r="J170" s="30"/>
      <x:c r="K170" s="30"/>
      <x:c r="L170" s="30"/>
      <x:c r="M170" s="30"/>
      <x:c r="N170" s="30"/>
      <x:c r="O170" s="30"/>
      <x:c r="P170" s="30"/>
      <x:c r="Q170" s="30"/>
      <x:c r="R170" s="30"/>
      <x:c r="S170" s="30"/>
      <x:c r="T170" s="30"/>
      <x:c r="U170" s="30"/>
      <x:c r="V170" s="30"/>
      <x:c r="W170" s="30"/>
      <x:c r="X170" s="30"/>
      <x:c r="Y170" s="30"/>
      <x:c r="Z170" s="30"/>
      <x:c r="AA170" s="30"/>
      <x:c r="AB170" s="30"/>
      <x:c r="AC170" s="30"/>
      <x:c r="AD170" s="30"/>
      <x:c r="AE170" s="30"/>
      <x:c r="AF170" s="30"/>
      <x:c r="AG170" s="30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>
      <x:c r="A171" s="1"/>
      <x:c r="B171" s="1"/>
      <x:c r="C171" s="30"/>
      <x:c r="D171" s="30"/>
      <x:c r="E171" s="30"/>
      <x:c r="F171" s="30"/>
      <x:c r="G171" s="30"/>
      <x:c r="H171" s="30"/>
      <x:c r="I171" s="30"/>
      <x:c r="J171" s="30"/>
      <x:c r="K171" s="30"/>
      <x:c r="L171" s="30"/>
      <x:c r="M171" s="30"/>
      <x:c r="N171" s="30"/>
      <x:c r="O171" s="30"/>
      <x:c r="P171" s="30"/>
      <x:c r="Q171" s="30"/>
      <x:c r="R171" s="30"/>
      <x:c r="S171" s="30"/>
      <x:c r="T171" s="30"/>
      <x:c r="U171" s="30"/>
      <x:c r="V171" s="30"/>
      <x:c r="W171" s="30"/>
      <x:c r="X171" s="30"/>
      <x:c r="Y171" s="30"/>
      <x:c r="Z171" s="30"/>
      <x:c r="AA171" s="30"/>
      <x:c r="AB171" s="30"/>
      <x:c r="AC171" s="30"/>
      <x:c r="AD171" s="30"/>
      <x:c r="AE171" s="30"/>
      <x:c r="AF171" s="30"/>
      <x:c r="AG171" s="30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>
      <x:c r="A172" s="1"/>
      <x:c r="B172" s="1"/>
      <x:c r="C172" s="30"/>
      <x:c r="D172" s="30"/>
      <x:c r="E172" s="30"/>
      <x:c r="F172" s="30"/>
      <x:c r="G172" s="30"/>
      <x:c r="H172" s="30"/>
      <x:c r="I172" s="30"/>
      <x:c r="J172" s="30"/>
      <x:c r="K172" s="30"/>
      <x:c r="L172" s="30"/>
      <x:c r="M172" s="30"/>
      <x:c r="N172" s="30"/>
      <x:c r="O172" s="30"/>
      <x:c r="P172" s="30"/>
      <x:c r="Q172" s="30"/>
      <x:c r="R172" s="30"/>
      <x:c r="S172" s="30"/>
      <x:c r="T172" s="30"/>
      <x:c r="U172" s="30"/>
      <x:c r="V172" s="30"/>
      <x:c r="W172" s="30"/>
      <x:c r="X172" s="30"/>
      <x:c r="Y172" s="30"/>
      <x:c r="Z172" s="30"/>
      <x:c r="AA172" s="30"/>
      <x:c r="AB172" s="30"/>
      <x:c r="AC172" s="30"/>
      <x:c r="AD172" s="30"/>
      <x:c r="AE172" s="30"/>
      <x:c r="AF172" s="30"/>
      <x:c r="AG172" s="30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>
      <x:c r="A173" s="1"/>
      <x:c r="B173" s="1"/>
      <x:c r="C173" s="30"/>
      <x:c r="D173" s="30"/>
      <x:c r="E173" s="30"/>
      <x:c r="F173" s="30"/>
      <x:c r="G173" s="30"/>
      <x:c r="H173" s="30"/>
      <x:c r="I173" s="30"/>
      <x:c r="J173" s="30"/>
      <x:c r="K173" s="30"/>
      <x:c r="L173" s="30"/>
      <x:c r="M173" s="30"/>
      <x:c r="N173" s="30"/>
      <x:c r="O173" s="30"/>
      <x:c r="P173" s="30"/>
      <x:c r="Q173" s="30"/>
      <x:c r="R173" s="30"/>
      <x:c r="S173" s="30"/>
      <x:c r="T173" s="30"/>
      <x:c r="U173" s="30"/>
      <x:c r="V173" s="30"/>
      <x:c r="W173" s="30"/>
      <x:c r="X173" s="30"/>
      <x:c r="Y173" s="30"/>
      <x:c r="Z173" s="30"/>
      <x:c r="AA173" s="30"/>
      <x:c r="AB173" s="30"/>
      <x:c r="AC173" s="30"/>
      <x:c r="AD173" s="30"/>
      <x:c r="AE173" s="30"/>
      <x:c r="AF173" s="30"/>
      <x:c r="AG173" s="30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>
      <x:c r="A174" s="1"/>
      <x:c r="B174" s="1"/>
      <x:c r="C174" s="30"/>
      <x:c r="D174" s="30"/>
      <x:c r="E174" s="30"/>
      <x:c r="F174" s="30"/>
      <x:c r="G174" s="30"/>
      <x:c r="H174" s="30"/>
      <x:c r="I174" s="30"/>
      <x:c r="J174" s="30"/>
      <x:c r="K174" s="30"/>
      <x:c r="L174" s="30"/>
      <x:c r="M174" s="30"/>
      <x:c r="N174" s="30"/>
      <x:c r="O174" s="30"/>
      <x:c r="P174" s="30"/>
      <x:c r="Q174" s="30"/>
      <x:c r="R174" s="30"/>
      <x:c r="S174" s="30"/>
      <x:c r="T174" s="30"/>
      <x:c r="U174" s="30"/>
      <x:c r="V174" s="30"/>
      <x:c r="W174" s="30"/>
      <x:c r="X174" s="30"/>
      <x:c r="Y174" s="30"/>
      <x:c r="Z174" s="30"/>
      <x:c r="AA174" s="30"/>
      <x:c r="AB174" s="30"/>
      <x:c r="AC174" s="30"/>
      <x:c r="AD174" s="30"/>
      <x:c r="AE174" s="30"/>
      <x:c r="AF174" s="30"/>
      <x:c r="AG174" s="30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>
      <x:c r="A175" s="1"/>
      <x:c r="B175" s="1"/>
      <x:c r="C175" s="30"/>
      <x:c r="D175" s="30"/>
      <x:c r="E175" s="30"/>
      <x:c r="F175" s="30"/>
      <x:c r="G175" s="30"/>
      <x:c r="H175" s="30"/>
      <x:c r="I175" s="30"/>
      <x:c r="J175" s="30"/>
      <x:c r="K175" s="30"/>
      <x:c r="L175" s="30"/>
      <x:c r="M175" s="30"/>
      <x:c r="N175" s="30"/>
      <x:c r="O175" s="30"/>
      <x:c r="P175" s="30"/>
      <x:c r="Q175" s="30"/>
      <x:c r="R175" s="30"/>
      <x:c r="S175" s="30"/>
      <x:c r="T175" s="30"/>
      <x:c r="U175" s="30"/>
      <x:c r="V175" s="30"/>
      <x:c r="W175" s="30"/>
      <x:c r="X175" s="30"/>
      <x:c r="Y175" s="30"/>
      <x:c r="Z175" s="30"/>
      <x:c r="AA175" s="30"/>
      <x:c r="AB175" s="30"/>
      <x:c r="AC175" s="30"/>
      <x:c r="AD175" s="30"/>
      <x:c r="AE175" s="30"/>
      <x:c r="AF175" s="30"/>
      <x:c r="AG175" s="30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>
      <x:c r="A176" s="1"/>
      <x:c r="B176" s="1"/>
      <x:c r="C176" s="30"/>
      <x:c r="D176" s="30"/>
      <x:c r="E176" s="30"/>
      <x:c r="F176" s="30"/>
      <x:c r="G176" s="30"/>
      <x:c r="H176" s="30"/>
      <x:c r="I176" s="30"/>
      <x:c r="J176" s="30"/>
      <x:c r="K176" s="30"/>
      <x:c r="L176" s="30"/>
      <x:c r="M176" s="30"/>
      <x:c r="N176" s="30"/>
      <x:c r="O176" s="30"/>
      <x:c r="P176" s="30"/>
      <x:c r="Q176" s="30"/>
      <x:c r="R176" s="30"/>
      <x:c r="S176" s="30"/>
      <x:c r="T176" s="30"/>
      <x:c r="U176" s="30"/>
      <x:c r="V176" s="30"/>
      <x:c r="W176" s="30"/>
      <x:c r="X176" s="30"/>
      <x:c r="Y176" s="30"/>
      <x:c r="Z176" s="30"/>
      <x:c r="AA176" s="30"/>
      <x:c r="AB176" s="30"/>
      <x:c r="AC176" s="30"/>
      <x:c r="AD176" s="30"/>
      <x:c r="AE176" s="30"/>
      <x:c r="AF176" s="30"/>
      <x:c r="AG176" s="30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>
      <x:c r="A177" s="1"/>
      <x:c r="B177" s="1"/>
      <x:c r="C177" s="30"/>
      <x:c r="D177" s="30"/>
      <x:c r="E177" s="30"/>
      <x:c r="F177" s="30"/>
      <x:c r="G177" s="30"/>
      <x:c r="H177" s="30"/>
      <x:c r="I177" s="30"/>
      <x:c r="J177" s="30"/>
      <x:c r="K177" s="30"/>
      <x:c r="L177" s="30"/>
      <x:c r="M177" s="30"/>
      <x:c r="N177" s="30"/>
      <x:c r="O177" s="30"/>
      <x:c r="P177" s="30"/>
      <x:c r="Q177" s="30"/>
      <x:c r="R177" s="30"/>
      <x:c r="S177" s="30"/>
      <x:c r="T177" s="30"/>
      <x:c r="U177" s="30"/>
      <x:c r="V177" s="30"/>
      <x:c r="W177" s="30"/>
      <x:c r="X177" s="30"/>
      <x:c r="Y177" s="30"/>
      <x:c r="Z177" s="30"/>
      <x:c r="AA177" s="30"/>
      <x:c r="AB177" s="30"/>
      <x:c r="AC177" s="30"/>
      <x:c r="AD177" s="30"/>
      <x:c r="AE177" s="30"/>
      <x:c r="AF177" s="30"/>
      <x:c r="AG177" s="30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>
      <x:c r="A178" s="1"/>
      <x:c r="B178" s="1"/>
      <x:c r="C178" s="30"/>
      <x:c r="D178" s="30"/>
      <x:c r="E178" s="30"/>
      <x:c r="F178" s="30"/>
      <x:c r="G178" s="30"/>
      <x:c r="H178" s="30"/>
      <x:c r="I178" s="30"/>
      <x:c r="J178" s="30"/>
      <x:c r="K178" s="30"/>
      <x:c r="L178" s="30"/>
      <x:c r="M178" s="30"/>
      <x:c r="N178" s="30"/>
      <x:c r="O178" s="30"/>
      <x:c r="P178" s="30"/>
      <x:c r="Q178" s="30"/>
      <x:c r="R178" s="30"/>
      <x:c r="S178" s="30"/>
      <x:c r="T178" s="30"/>
      <x:c r="U178" s="30"/>
      <x:c r="V178" s="30"/>
      <x:c r="W178" s="30"/>
      <x:c r="X178" s="30"/>
      <x:c r="Y178" s="30"/>
      <x:c r="Z178" s="30"/>
      <x:c r="AA178" s="30"/>
      <x:c r="AB178" s="30"/>
      <x:c r="AC178" s="30"/>
      <x:c r="AD178" s="30"/>
      <x:c r="AE178" s="30"/>
      <x:c r="AF178" s="30"/>
      <x:c r="AG178" s="30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>
      <x:c r="A179" s="1"/>
      <x:c r="B179" s="1"/>
      <x:c r="C179" s="30"/>
      <x:c r="D179" s="30"/>
      <x:c r="E179" s="30"/>
      <x:c r="F179" s="30"/>
      <x:c r="G179" s="30"/>
      <x:c r="H179" s="30"/>
      <x:c r="I179" s="30"/>
      <x:c r="J179" s="30"/>
      <x:c r="K179" s="30"/>
      <x:c r="L179" s="30"/>
      <x:c r="M179" s="30"/>
      <x:c r="N179" s="30"/>
      <x:c r="O179" s="30"/>
      <x:c r="P179" s="30"/>
      <x:c r="Q179" s="30"/>
      <x:c r="R179" s="30"/>
      <x:c r="S179" s="30"/>
      <x:c r="T179" s="30"/>
      <x:c r="U179" s="30"/>
      <x:c r="V179" s="30"/>
      <x:c r="W179" s="30"/>
      <x:c r="X179" s="30"/>
      <x:c r="Y179" s="30"/>
      <x:c r="Z179" s="30"/>
      <x:c r="AA179" s="30"/>
      <x:c r="AB179" s="30"/>
      <x:c r="AC179" s="30"/>
      <x:c r="AD179" s="30"/>
      <x:c r="AE179" s="30"/>
      <x:c r="AF179" s="30"/>
      <x:c r="AG179" s="30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>
      <x:c r="A180" s="1"/>
      <x:c r="B180" s="1"/>
      <x:c r="C180" s="30"/>
      <x:c r="D180" s="30"/>
      <x:c r="E180" s="30"/>
      <x:c r="F180" s="30"/>
      <x:c r="G180" s="30"/>
      <x:c r="H180" s="30"/>
      <x:c r="I180" s="30"/>
      <x:c r="J180" s="30"/>
      <x:c r="K180" s="30"/>
      <x:c r="L180" s="30"/>
      <x:c r="M180" s="30"/>
      <x:c r="N180" s="30"/>
      <x:c r="O180" s="30"/>
      <x:c r="P180" s="30"/>
      <x:c r="Q180" s="30"/>
      <x:c r="R180" s="30"/>
      <x:c r="S180" s="30"/>
      <x:c r="T180" s="30"/>
      <x:c r="U180" s="30"/>
      <x:c r="V180" s="30"/>
      <x:c r="W180" s="30"/>
      <x:c r="X180" s="30"/>
      <x:c r="Y180" s="30"/>
      <x:c r="Z180" s="30"/>
      <x:c r="AA180" s="30"/>
      <x:c r="AB180" s="30"/>
      <x:c r="AC180" s="30"/>
      <x:c r="AD180" s="30"/>
      <x:c r="AE180" s="30"/>
      <x:c r="AF180" s="30"/>
      <x:c r="AG180" s="30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</x:sheetData>
  <x:conditionalFormatting sqref="P5:P16">
    <x:cfRule type="containsText" dxfId="7" priority="1" operator="containsText" text="FIRST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0" hidden="0" customWidth="1"/>
    <x:col min="4" max="4" width="48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28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3" hidden="0" customWidth="1"/>
    <x:col min="18" max="18" width="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>
      <x:c r="A2" s="1"/>
      <x:c r="B2" s="1"/>
      <x:c r="C2" s="3" t="str">
        <x:v>Twenty-five-year technology learning profile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>
      <x:c r="A3" s="1"/>
      <x:c r="B3" s="1"/>
      <x:c r="C3" s="39" t="str">
        <x:v>Constant 2026 USD, undiscounted. The profile allocates the existing MS-HU envelope across learning phases; it is not an obligation schedule or fielding plan.</x:v>
      </x:c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  <x:c r="AA3" s="30"/>
      <x:c r="AB3" s="30"/>
      <x:c r="AC3" s="30"/>
      <x:c r="AD3" s="30"/>
      <x:c r="AE3" s="30"/>
      <x:c r="AF3" s="30"/>
      <x:c r="AG3" s="30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>
      <x:c r="A4" s="1"/>
      <x:c r="B4" s="1"/>
      <x:c r="C4" s="9" t="str">
        <x:v>Year</x:v>
      </x:c>
      <x:c r="D4" s="17" t="str">
        <x:v>Phase</x:v>
      </x:c>
      <x:c r="E4" s="17" t="str">
        <x:v>Phase share</x:v>
      </x:c>
      <x:c r="F4" s="17" t="str">
        <x:v>Years in phase</x:v>
      </x:c>
      <x:c r="G4" s="17" t="str">
        <x:v>Annual share</x:v>
      </x:c>
      <x:c r="H4" s="17" t="str">
        <x:v>MS-HU allocation (USD B)</x:v>
      </x:c>
      <x:c r="I4" s="10" t="str">
        <x:v>First campaign allocation (USD B)</x:v>
      </x:c>
      <x:c r="J4" s="30"/>
      <x:c r="K4" s="30"/>
      <x:c r="L4" s="30"/>
      <x:c r="M4" s="30"/>
      <x:c r="N4" s="30"/>
      <x:c r="O4" s="30"/>
      <x:c r="P4" s="30"/>
      <x:c r="Q4" s="30"/>
      <x:c r="R4" s="30"/>
      <x:c r="S4" s="30"/>
      <x:c r="T4" s="30"/>
      <x:c r="U4" s="30"/>
      <x:c r="V4" s="30"/>
      <x:c r="W4" s="30"/>
      <x:c r="X4" s="30"/>
      <x:c r="Y4" s="30"/>
      <x:c r="Z4" s="30"/>
      <x:c r="AA4" s="30"/>
      <x:c r="AB4" s="30"/>
      <x:c r="AC4" s="30"/>
      <x:c r="AD4" s="30"/>
      <x:c r="AE4" s="30"/>
      <x:c r="AF4" s="30"/>
      <x:c r="AG4" s="30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>
      <x:c r="A5" s="1"/>
      <x:c r="B5" s="1"/>
      <x:c r="C5" s="32" t="n">
        <x:v>1</x:v>
      </x:c>
      <x:c r="D5" s="30" t="str">
        <x:f>Controls!C16</x:f>
        <x:v>Contract, rights and enabling science</x:v>
      </x:c>
      <x:c r="E5" s="38" t="n">
        <x:f>Controls!F16</x:f>
        <x:v>0.12</x:v>
      </x:c>
      <x:c r="F5" s="30" t="n">
        <x:f>Controls!E16-Controls!D16+1</x:f>
        <x:v>4</x:v>
      </x:c>
      <x:c r="G5" s="38" t="n">
        <x:f>E5/F5</x:f>
        <x:v>0.03</x:v>
      </x:c>
      <x:c r="H5" s="33" t="n">
        <x:f>Controls!$D$5*G5</x:f>
        <x:v>4.593052844692203</x:v>
      </x:c>
      <x:c r="I5" s="33" t="n">
        <x:f>Controls!$D$25*G5</x:f>
        <x:v>0.38275440372435027</x:v>
      </x:c>
      <x:c r="J5" s="30"/>
      <x:c r="K5" s="30"/>
      <x:c r="L5" s="30"/>
      <x:c r="M5" s="30"/>
      <x:c r="N5" s="30"/>
      <x:c r="O5" s="30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  <x:c r="AA5" s="30"/>
      <x:c r="AB5" s="30"/>
      <x:c r="AC5" s="30"/>
      <x:c r="AD5" s="30"/>
      <x:c r="AE5" s="30"/>
      <x:c r="AF5" s="30"/>
      <x:c r="AG5" s="30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>
      <x:c r="A6" s="1"/>
      <x:c r="B6" s="1"/>
      <x:c r="C6" s="32" t="n">
        <x:v>2</x:v>
      </x:c>
      <x:c r="D6" s="30" t="str">
        <x:f>Controls!C16</x:f>
        <x:v>Contract, rights and enabling science</x:v>
      </x:c>
      <x:c r="E6" s="38" t="n">
        <x:f>Controls!F16</x:f>
        <x:v>0.12</x:v>
      </x:c>
      <x:c r="F6" s="30" t="n">
        <x:f>Controls!E16-Controls!D16+1</x:f>
        <x:v>4</x:v>
      </x:c>
      <x:c r="G6" s="38" t="n">
        <x:f>E6/F6</x:f>
        <x:v>0.03</x:v>
      </x:c>
      <x:c r="H6" s="33" t="n">
        <x:f>Controls!$D$5*G6</x:f>
        <x:v>4.593052844692203</x:v>
      </x:c>
      <x:c r="I6" s="33" t="n">
        <x:f>Controls!$D$25*G6</x:f>
        <x:v>0.38275440372435027</x:v>
      </x:c>
      <x:c r="J6" s="30"/>
      <x:c r="K6" s="30"/>
      <x:c r="L6" s="30"/>
      <x:c r="M6" s="30"/>
      <x:c r="N6" s="30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30"/>
      <x:c r="Z6" s="30"/>
      <x:c r="AA6" s="30"/>
      <x:c r="AB6" s="30"/>
      <x:c r="AC6" s="30"/>
      <x:c r="AD6" s="30"/>
      <x:c r="AE6" s="30"/>
      <x:c r="AF6" s="30"/>
      <x:c r="AG6" s="30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>
      <x:c r="A7" s="1"/>
      <x:c r="B7" s="1"/>
      <x:c r="C7" s="32" t="n">
        <x:v>3</x:v>
      </x:c>
      <x:c r="D7" s="30" t="str">
        <x:f>Controls!C16</x:f>
        <x:v>Contract, rights and enabling science</x:v>
      </x:c>
      <x:c r="E7" s="38" t="n">
        <x:f>Controls!F16</x:f>
        <x:v>0.12</x:v>
      </x:c>
      <x:c r="F7" s="30" t="n">
        <x:f>Controls!E16-Controls!D16+1</x:f>
        <x:v>4</x:v>
      </x:c>
      <x:c r="G7" s="38" t="n">
        <x:f>E7/F7</x:f>
        <x:v>0.03</x:v>
      </x:c>
      <x:c r="H7" s="33" t="n">
        <x:f>Controls!$D$5*G7</x:f>
        <x:v>4.593052844692203</x:v>
      </x:c>
      <x:c r="I7" s="33" t="n">
        <x:f>Controls!$D$25*G7</x:f>
        <x:v>0.38275440372435027</x:v>
      </x:c>
      <x:c r="J7" s="30"/>
      <x:c r="K7" s="30"/>
      <x:c r="L7" s="30"/>
      <x:c r="M7" s="30"/>
      <x:c r="N7" s="30"/>
      <x:c r="O7" s="30"/>
      <x:c r="P7" s="30"/>
      <x:c r="Q7" s="30"/>
      <x:c r="R7" s="30"/>
      <x:c r="S7" s="30"/>
      <x:c r="T7" s="30"/>
      <x:c r="U7" s="30"/>
      <x:c r="V7" s="30"/>
      <x:c r="W7" s="30"/>
      <x:c r="X7" s="30"/>
      <x:c r="Y7" s="30"/>
      <x:c r="Z7" s="30"/>
      <x:c r="AA7" s="30"/>
      <x:c r="AB7" s="30"/>
      <x:c r="AC7" s="30"/>
      <x:c r="AD7" s="30"/>
      <x:c r="AE7" s="30"/>
      <x:c r="AF7" s="30"/>
      <x:c r="AG7" s="30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>
      <x:c r="A8" s="1"/>
      <x:c r="B8" s="1"/>
      <x:c r="C8" s="32" t="n">
        <x:v>4</x:v>
      </x:c>
      <x:c r="D8" s="30" t="str">
        <x:f>Controls!C16</x:f>
        <x:v>Contract, rights and enabling science</x:v>
      </x:c>
      <x:c r="E8" s="38" t="n">
        <x:f>Controls!F16</x:f>
        <x:v>0.12</x:v>
      </x:c>
      <x:c r="F8" s="30" t="n">
        <x:f>Controls!E16-Controls!D16+1</x:f>
        <x:v>4</x:v>
      </x:c>
      <x:c r="G8" s="38" t="n">
        <x:f>E8/F8</x:f>
        <x:v>0.03</x:v>
      </x:c>
      <x:c r="H8" s="33" t="n">
        <x:f>Controls!$D$5*G8</x:f>
        <x:v>4.593052844692203</x:v>
      </x:c>
      <x:c r="I8" s="33" t="n">
        <x:f>Controls!$D$25*G8</x:f>
        <x:v>0.38275440372435027</x:v>
      </x:c>
      <x:c r="J8" s="30"/>
      <x:c r="K8" s="30"/>
      <x:c r="L8" s="30"/>
      <x:c r="M8" s="30"/>
      <x:c r="N8" s="30"/>
      <x:c r="O8" s="30"/>
      <x:c r="P8" s="30"/>
      <x:c r="Q8" s="30"/>
      <x:c r="R8" s="30"/>
      <x:c r="S8" s="30"/>
      <x:c r="T8" s="30"/>
      <x:c r="U8" s="30"/>
      <x:c r="V8" s="30"/>
      <x:c r="W8" s="30"/>
      <x:c r="X8" s="30"/>
      <x:c r="Y8" s="30"/>
      <x:c r="Z8" s="30"/>
      <x:c r="AA8" s="30"/>
      <x:c r="AB8" s="30"/>
      <x:c r="AC8" s="30"/>
      <x:c r="AD8" s="30"/>
      <x:c r="AE8" s="30"/>
      <x:c r="AF8" s="30"/>
      <x:c r="AG8" s="30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>
      <x:c r="A9" s="1"/>
      <x:c r="B9" s="1"/>
      <x:c r="C9" s="32" t="n">
        <x:v>5</x:v>
      </x:c>
      <x:c r="D9" s="30" t="str">
        <x:f>Controls!C17</x:f>
        <x:v>Rival subsystem roots</x:v>
      </x:c>
      <x:c r="E9" s="38" t="n">
        <x:f>Controls!F17</x:f>
        <x:v>0.23</x:v>
      </x:c>
      <x:c r="F9" s="30" t="n">
        <x:f>Controls!E17-Controls!D17+1</x:f>
        <x:v>5</x:v>
      </x:c>
      <x:c r="G9" s="38" t="n">
        <x:f>E9/F9</x:f>
        <x:v>0.046</x:v>
      </x:c>
      <x:c r="H9" s="33" t="n">
        <x:f>Controls!$D$5*G9</x:f>
        <x:v>7.042681028528045</x:v>
      </x:c>
      <x:c r="I9" s="33" t="n">
        <x:f>Controls!$D$25*G9</x:f>
        <x:v>0.5868900857106705</x:v>
      </x:c>
      <x:c r="J9" s="30"/>
      <x:c r="K9" s="30"/>
      <x:c r="L9" s="30"/>
      <x:c r="M9" s="30"/>
      <x:c r="N9" s="30"/>
      <x:c r="O9" s="30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  <x:c r="AA9" s="30"/>
      <x:c r="AB9" s="30"/>
      <x:c r="AC9" s="30"/>
      <x:c r="AD9" s="30"/>
      <x:c r="AE9" s="30"/>
      <x:c r="AF9" s="30"/>
      <x:c r="AG9" s="30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>
      <x:c r="A10" s="1"/>
      <x:c r="B10" s="1"/>
      <x:c r="C10" s="32" t="n">
        <x:v>6</x:v>
      </x:c>
      <x:c r="D10" s="30" t="str">
        <x:f>Controls!C17</x:f>
        <x:v>Rival subsystem roots</x:v>
      </x:c>
      <x:c r="E10" s="38" t="n">
        <x:f>Controls!F17</x:f>
        <x:v>0.23</x:v>
      </x:c>
      <x:c r="F10" s="30" t="n">
        <x:f>Controls!E17-Controls!D17+1</x:f>
        <x:v>5</x:v>
      </x:c>
      <x:c r="G10" s="38" t="n">
        <x:f>E10/F10</x:f>
        <x:v>0.046</x:v>
      </x:c>
      <x:c r="H10" s="33" t="n">
        <x:f>Controls!$D$5*G10</x:f>
        <x:v>7.042681028528045</x:v>
      </x:c>
      <x:c r="I10" s="33" t="n">
        <x:f>Controls!$D$25*G10</x:f>
        <x:v>0.5868900857106705</x:v>
      </x:c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  <x:c r="AA10" s="30"/>
      <x:c r="AB10" s="30"/>
      <x:c r="AC10" s="30"/>
      <x:c r="AD10" s="30"/>
      <x:c r="AE10" s="30"/>
      <x:c r="AF10" s="30"/>
      <x:c r="AG10" s="30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>
      <x:c r="A11" s="1"/>
      <x:c r="B11" s="1"/>
      <x:c r="C11" s="32" t="n">
        <x:v>7</x:v>
      </x:c>
      <x:c r="D11" s="30" t="str">
        <x:f>Controls!C17</x:f>
        <x:v>Rival subsystem roots</x:v>
      </x:c>
      <x:c r="E11" s="38" t="n">
        <x:f>Controls!F17</x:f>
        <x:v>0.23</x:v>
      </x:c>
      <x:c r="F11" s="30" t="n">
        <x:f>Controls!E17-Controls!D17+1</x:f>
        <x:v>5</x:v>
      </x:c>
      <x:c r="G11" s="38" t="n">
        <x:f>E11/F11</x:f>
        <x:v>0.046</x:v>
      </x:c>
      <x:c r="H11" s="33" t="n">
        <x:f>Controls!$D$5*G11</x:f>
        <x:v>7.042681028528045</x:v>
      </x:c>
      <x:c r="I11" s="33" t="n">
        <x:f>Controls!$D$25*G11</x:f>
        <x:v>0.5868900857106705</x:v>
      </x:c>
      <x:c r="J11" s="30"/>
      <x:c r="K11" s="30"/>
      <x:c r="L11" s="30"/>
      <x:c r="M11" s="30"/>
      <x:c r="N11" s="30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  <x:c r="AA11" s="30"/>
      <x:c r="AB11" s="30"/>
      <x:c r="AC11" s="30"/>
      <x:c r="AD11" s="30"/>
      <x:c r="AE11" s="30"/>
      <x:c r="AF11" s="30"/>
      <x:c r="AG11" s="30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>
      <x:c r="A12" s="1"/>
      <x:c r="B12" s="1"/>
      <x:c r="C12" s="32" t="n">
        <x:v>8</x:v>
      </x:c>
      <x:c r="D12" s="30" t="str">
        <x:f>Controls!C17</x:f>
        <x:v>Rival subsystem roots</x:v>
      </x:c>
      <x:c r="E12" s="38" t="n">
        <x:f>Controls!F17</x:f>
        <x:v>0.23</x:v>
      </x:c>
      <x:c r="F12" s="30" t="n">
        <x:f>Controls!E17-Controls!D17+1</x:f>
        <x:v>5</x:v>
      </x:c>
      <x:c r="G12" s="38" t="n">
        <x:f>E12/F12</x:f>
        <x:v>0.046</x:v>
      </x:c>
      <x:c r="H12" s="33" t="n">
        <x:f>Controls!$D$5*G12</x:f>
        <x:v>7.042681028528045</x:v>
      </x:c>
      <x:c r="I12" s="33" t="n">
        <x:f>Controls!$D$25*G12</x:f>
        <x:v>0.5868900857106705</x:v>
      </x:c>
      <x:c r="J12" s="30"/>
      <x:c r="K12" s="30"/>
      <x:c r="L12" s="30"/>
      <x:c r="M12" s="30"/>
      <x:c r="N12" s="30"/>
      <x:c r="O12" s="30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  <x:c r="AA12" s="30"/>
      <x:c r="AB12" s="30"/>
      <x:c r="AC12" s="30"/>
      <x:c r="AD12" s="30"/>
      <x:c r="AE12" s="30"/>
      <x:c r="AF12" s="30"/>
      <x:c r="AG12" s="30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>
      <x:c r="A13" s="1"/>
      <x:c r="B13" s="1"/>
      <x:c r="C13" s="32" t="n">
        <x:v>9</x:v>
      </x:c>
      <x:c r="D13" s="30" t="str">
        <x:f>Controls!C17</x:f>
        <x:v>Rival subsystem roots</x:v>
      </x:c>
      <x:c r="E13" s="38" t="n">
        <x:f>Controls!F17</x:f>
        <x:v>0.23</x:v>
      </x:c>
      <x:c r="F13" s="30" t="n">
        <x:f>Controls!E17-Controls!D17+1</x:f>
        <x:v>5</x:v>
      </x:c>
      <x:c r="G13" s="38" t="n">
        <x:f>E13/F13</x:f>
        <x:v>0.046</x:v>
      </x:c>
      <x:c r="H13" s="33" t="n">
        <x:f>Controls!$D$5*G13</x:f>
        <x:v>7.042681028528045</x:v>
      </x:c>
      <x:c r="I13" s="33" t="n">
        <x:f>Controls!$D$25*G13</x:f>
        <x:v>0.5868900857106705</x:v>
      </x:c>
      <x:c r="J13" s="30"/>
      <x:c r="K13" s="30"/>
      <x:c r="L13" s="30"/>
      <x:c r="M13" s="30"/>
      <x:c r="N13" s="30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  <x:c r="AA13" s="30"/>
      <x:c r="AB13" s="30"/>
      <x:c r="AC13" s="30"/>
      <x:c r="AD13" s="30"/>
      <x:c r="AE13" s="30"/>
      <x:c r="AF13" s="30"/>
      <x:c r="AG13" s="30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>
      <x:c r="A14" s="1"/>
      <x:c r="B14" s="1"/>
      <x:c r="C14" s="32" t="n">
        <x:v>10</x:v>
      </x:c>
      <x:c r="D14" s="30" t="str">
        <x:f>Controls!C18</x:f>
        <x:v>Complete-system prototypes</x:v>
      </x:c>
      <x:c r="E14" s="38" t="n">
        <x:f>Controls!F18</x:f>
        <x:v>0.3</x:v>
      </x:c>
      <x:c r="F14" s="30" t="n">
        <x:f>Controls!E18-Controls!D18+1</x:f>
        <x:v>5</x:v>
      </x:c>
      <x:c r="G14" s="38" t="n">
        <x:f>E14/F14</x:f>
        <x:v>0.06</x:v>
      </x:c>
      <x:c r="H14" s="33" t="n">
        <x:f>Controls!$D$5*G14</x:f>
        <x:v>9.186105689384407</x:v>
      </x:c>
      <x:c r="I14" s="33" t="n">
        <x:f>Controls!$D$25*G14</x:f>
        <x:v>0.7655088074487005</x:v>
      </x:c>
      <x:c r="J14" s="30"/>
      <x:c r="K14" s="30"/>
      <x:c r="L14" s="30"/>
      <x:c r="M14" s="30"/>
      <x:c r="N14" s="30"/>
      <x:c r="O14" s="30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  <x:c r="AA14" s="30"/>
      <x:c r="AB14" s="30"/>
      <x:c r="AC14" s="30"/>
      <x:c r="AD14" s="30"/>
      <x:c r="AE14" s="30"/>
      <x:c r="AF14" s="30"/>
      <x:c r="AG14" s="30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>
      <x:c r="A15" s="1"/>
      <x:c r="B15" s="1"/>
      <x:c r="C15" s="32" t="n">
        <x:v>11</x:v>
      </x:c>
      <x:c r="D15" s="30" t="str">
        <x:f>Controls!C18</x:f>
        <x:v>Complete-system prototypes</x:v>
      </x:c>
      <x:c r="E15" s="38" t="n">
        <x:f>Controls!F18</x:f>
        <x:v>0.3</x:v>
      </x:c>
      <x:c r="F15" s="30" t="n">
        <x:f>Controls!E18-Controls!D18+1</x:f>
        <x:v>5</x:v>
      </x:c>
      <x:c r="G15" s="38" t="n">
        <x:f>E15/F15</x:f>
        <x:v>0.06</x:v>
      </x:c>
      <x:c r="H15" s="33" t="n">
        <x:f>Controls!$D$5*G15</x:f>
        <x:v>9.186105689384407</x:v>
      </x:c>
      <x:c r="I15" s="33" t="n">
        <x:f>Controls!$D$25*G15</x:f>
        <x:v>0.7655088074487005</x:v>
      </x:c>
      <x:c r="J15" s="30"/>
      <x:c r="K15" s="30"/>
      <x:c r="L15" s="30"/>
      <x:c r="M15" s="30"/>
      <x:c r="N15" s="30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  <x:c r="AA15" s="30"/>
      <x:c r="AB15" s="30"/>
      <x:c r="AC15" s="30"/>
      <x:c r="AD15" s="30"/>
      <x:c r="AE15" s="30"/>
      <x:c r="AF15" s="30"/>
      <x:c r="AG15" s="30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>
      <x:c r="A16" s="1"/>
      <x:c r="B16" s="1"/>
      <x:c r="C16" s="32" t="n">
        <x:v>12</x:v>
      </x:c>
      <x:c r="D16" s="30" t="str">
        <x:f>Controls!C18</x:f>
        <x:v>Complete-system prototypes</x:v>
      </x:c>
      <x:c r="E16" s="38" t="n">
        <x:f>Controls!F18</x:f>
        <x:v>0.3</x:v>
      </x:c>
      <x:c r="F16" s="30" t="n">
        <x:f>Controls!E18-Controls!D18+1</x:f>
        <x:v>5</x:v>
      </x:c>
      <x:c r="G16" s="38" t="n">
        <x:f>E16/F16</x:f>
        <x:v>0.06</x:v>
      </x:c>
      <x:c r="H16" s="33" t="n">
        <x:f>Controls!$D$5*G16</x:f>
        <x:v>9.186105689384407</x:v>
      </x:c>
      <x:c r="I16" s="33" t="n">
        <x:f>Controls!$D$25*G16</x:f>
        <x:v>0.7655088074487005</x:v>
      </x:c>
      <x:c r="J16" s="30"/>
      <x:c r="K16" s="30"/>
      <x:c r="L16" s="30"/>
      <x:c r="M16" s="30"/>
      <x:c r="N16" s="30"/>
      <x:c r="O16" s="30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  <x:c r="AA16" s="30"/>
      <x:c r="AB16" s="30"/>
      <x:c r="AC16" s="30"/>
      <x:c r="AD16" s="30"/>
      <x:c r="AE16" s="30"/>
      <x:c r="AF16" s="30"/>
      <x:c r="AG16" s="30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>
      <x:c r="A17" s="1"/>
      <x:c r="B17" s="1"/>
      <x:c r="C17" s="32" t="n">
        <x:v>13</x:v>
      </x:c>
      <x:c r="D17" s="30" t="str">
        <x:f>Controls!C18</x:f>
        <x:v>Complete-system prototypes</x:v>
      </x:c>
      <x:c r="E17" s="38" t="n">
        <x:f>Controls!F18</x:f>
        <x:v>0.3</x:v>
      </x:c>
      <x:c r="F17" s="30" t="n">
        <x:f>Controls!E18-Controls!D18+1</x:f>
        <x:v>5</x:v>
      </x:c>
      <x:c r="G17" s="38" t="n">
        <x:f>E17/F17</x:f>
        <x:v>0.06</x:v>
      </x:c>
      <x:c r="H17" s="33" t="n">
        <x:f>Controls!$D$5*G17</x:f>
        <x:v>9.186105689384407</x:v>
      </x:c>
      <x:c r="I17" s="33" t="n">
        <x:f>Controls!$D$25*G17</x:f>
        <x:v>0.7655088074487005</x:v>
      </x:c>
      <x:c r="J17" s="30"/>
      <x:c r="K17" s="30"/>
      <x:c r="L17" s="30"/>
      <x:c r="M17" s="30"/>
      <x:c r="N17" s="30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  <x:c r="AA17" s="30"/>
      <x:c r="AB17" s="30"/>
      <x:c r="AC17" s="30"/>
      <x:c r="AD17" s="30"/>
      <x:c r="AE17" s="30"/>
      <x:c r="AF17" s="30"/>
      <x:c r="AG17" s="30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>
      <x:c r="A18" s="1"/>
      <x:c r="B18" s="1"/>
      <x:c r="C18" s="32" t="n">
        <x:v>14</x:v>
      </x:c>
      <x:c r="D18" s="30" t="str">
        <x:f>Controls!C18</x:f>
        <x:v>Complete-system prototypes</x:v>
      </x:c>
      <x:c r="E18" s="38" t="n">
        <x:f>Controls!F18</x:f>
        <x:v>0.3</x:v>
      </x:c>
      <x:c r="F18" s="30" t="n">
        <x:f>Controls!E18-Controls!D18+1</x:f>
        <x:v>5</x:v>
      </x:c>
      <x:c r="G18" s="38" t="n">
        <x:f>E18/F18</x:f>
        <x:v>0.06</x:v>
      </x:c>
      <x:c r="H18" s="33" t="n">
        <x:f>Controls!$D$5*G18</x:f>
        <x:v>9.186105689384407</x:v>
      </x:c>
      <x:c r="I18" s="33" t="n">
        <x:f>Controls!$D$25*G18</x:f>
        <x:v>0.7655088074487005</x:v>
      </x:c>
      <x:c r="J18" s="30"/>
      <x:c r="K18" s="30"/>
      <x:c r="L18" s="30"/>
      <x:c r="M18" s="30"/>
      <x:c r="N18" s="30"/>
      <x:c r="O18" s="30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  <x:c r="AA18" s="30"/>
      <x:c r="AB18" s="30"/>
      <x:c r="AC18" s="30"/>
      <x:c r="AD18" s="30"/>
      <x:c r="AE18" s="30"/>
      <x:c r="AF18" s="30"/>
      <x:c r="AG18" s="30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>
      <x:c r="A19" s="1"/>
      <x:c r="B19" s="1"/>
      <x:c r="C19" s="32" t="n">
        <x:v>15</x:v>
      </x:c>
      <x:c r="D19" s="30" t="str">
        <x:f>Controls!C19</x:f>
        <x:v>Representative campaigns and production learning</x:v>
      </x:c>
      <x:c r="E19" s="38" t="n">
        <x:f>Controls!F19</x:f>
        <x:v>0.23</x:v>
      </x:c>
      <x:c r="F19" s="30" t="n">
        <x:f>Controls!E19-Controls!D19+1</x:f>
        <x:v>5</x:v>
      </x:c>
      <x:c r="G19" s="38" t="n">
        <x:f>E19/F19</x:f>
        <x:v>0.046</x:v>
      </x:c>
      <x:c r="H19" s="33" t="n">
        <x:f>Controls!$D$5*G19</x:f>
        <x:v>7.042681028528045</x:v>
      </x:c>
      <x:c r="I19" s="33" t="n">
        <x:f>Controls!$D$25*G19</x:f>
        <x:v>0.5868900857106705</x:v>
      </x:c>
      <x:c r="J19" s="30"/>
      <x:c r="K19" s="30"/>
      <x:c r="L19" s="30"/>
      <x:c r="M19" s="30"/>
      <x:c r="N19" s="30"/>
      <x:c r="O19" s="30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  <x:c r="AA19" s="30"/>
      <x:c r="AB19" s="30"/>
      <x:c r="AC19" s="30"/>
      <x:c r="AD19" s="30"/>
      <x:c r="AE19" s="30"/>
      <x:c r="AF19" s="30"/>
      <x:c r="AG19" s="30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>
      <x:c r="A20" s="1"/>
      <x:c r="B20" s="1"/>
      <x:c r="C20" s="32" t="n">
        <x:v>16</x:v>
      </x:c>
      <x:c r="D20" s="30" t="str">
        <x:f>Controls!C19</x:f>
        <x:v>Representative campaigns and production learning</x:v>
      </x:c>
      <x:c r="E20" s="38" t="n">
        <x:f>Controls!F19</x:f>
        <x:v>0.23</x:v>
      </x:c>
      <x:c r="F20" s="30" t="n">
        <x:f>Controls!E19-Controls!D19+1</x:f>
        <x:v>5</x:v>
      </x:c>
      <x:c r="G20" s="38" t="n">
        <x:f>E20/F20</x:f>
        <x:v>0.046</x:v>
      </x:c>
      <x:c r="H20" s="33" t="n">
        <x:f>Controls!$D$5*G20</x:f>
        <x:v>7.042681028528045</x:v>
      </x:c>
      <x:c r="I20" s="33" t="n">
        <x:f>Controls!$D$25*G20</x:f>
        <x:v>0.5868900857106705</x:v>
      </x:c>
      <x:c r="J20" s="30"/>
      <x:c r="K20" s="30"/>
      <x:c r="L20" s="30"/>
      <x:c r="M20" s="30"/>
      <x:c r="N20" s="30"/>
      <x:c r="O20" s="30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  <x:c r="AA20" s="30"/>
      <x:c r="AB20" s="30"/>
      <x:c r="AC20" s="30"/>
      <x:c r="AD20" s="30"/>
      <x:c r="AE20" s="30"/>
      <x:c r="AF20" s="30"/>
      <x:c r="AG20" s="30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>
      <x:c r="A21" s="1"/>
      <x:c r="B21" s="1"/>
      <x:c r="C21" s="32" t="n">
        <x:v>17</x:v>
      </x:c>
      <x:c r="D21" s="30" t="str">
        <x:f>Controls!C19</x:f>
        <x:v>Representative campaigns and production learning</x:v>
      </x:c>
      <x:c r="E21" s="38" t="n">
        <x:f>Controls!F19</x:f>
        <x:v>0.23</x:v>
      </x:c>
      <x:c r="F21" s="30" t="n">
        <x:f>Controls!E19-Controls!D19+1</x:f>
        <x:v>5</x:v>
      </x:c>
      <x:c r="G21" s="38" t="n">
        <x:f>E21/F21</x:f>
        <x:v>0.046</x:v>
      </x:c>
      <x:c r="H21" s="33" t="n">
        <x:f>Controls!$D$5*G21</x:f>
        <x:v>7.042681028528045</x:v>
      </x:c>
      <x:c r="I21" s="33" t="n">
        <x:f>Controls!$D$25*G21</x:f>
        <x:v>0.5868900857106705</x:v>
      </x:c>
      <x:c r="J21" s="30"/>
      <x:c r="K21" s="30"/>
      <x:c r="L21" s="30"/>
      <x:c r="M21" s="30"/>
      <x:c r="N21" s="30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  <x:c r="AA21" s="30"/>
      <x:c r="AB21" s="30"/>
      <x:c r="AC21" s="30"/>
      <x:c r="AD21" s="30"/>
      <x:c r="AE21" s="30"/>
      <x:c r="AF21" s="30"/>
      <x:c r="AG21" s="30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>
      <x:c r="A22" s="1"/>
      <x:c r="B22" s="1"/>
      <x:c r="C22" s="32" t="n">
        <x:v>18</x:v>
      </x:c>
      <x:c r="D22" s="30" t="str">
        <x:f>Controls!C19</x:f>
        <x:v>Representative campaigns and production learning</x:v>
      </x:c>
      <x:c r="E22" s="38" t="n">
        <x:f>Controls!F19</x:f>
        <x:v>0.23</x:v>
      </x:c>
      <x:c r="F22" s="30" t="n">
        <x:f>Controls!E19-Controls!D19+1</x:f>
        <x:v>5</x:v>
      </x:c>
      <x:c r="G22" s="38" t="n">
        <x:f>E22/F22</x:f>
        <x:v>0.046</x:v>
      </x:c>
      <x:c r="H22" s="33" t="n">
        <x:f>Controls!$D$5*G22</x:f>
        <x:v>7.042681028528045</x:v>
      </x:c>
      <x:c r="I22" s="33" t="n">
        <x:f>Controls!$D$25*G22</x:f>
        <x:v>0.5868900857106705</x:v>
      </x:c>
      <x:c r="J22" s="30"/>
      <x:c r="K22" s="30"/>
      <x:c r="L22" s="30"/>
      <x:c r="M22" s="30"/>
      <x:c r="N22" s="30"/>
      <x:c r="O22" s="30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  <x:c r="AA22" s="30"/>
      <x:c r="AB22" s="30"/>
      <x:c r="AC22" s="30"/>
      <x:c r="AD22" s="30"/>
      <x:c r="AE22" s="30"/>
      <x:c r="AF22" s="30"/>
      <x:c r="AG22" s="30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>
      <x:c r="A23" s="1"/>
      <x:c r="B23" s="1"/>
      <x:c r="C23" s="32" t="n">
        <x:v>19</x:v>
      </x:c>
      <x:c r="D23" s="30" t="str">
        <x:f>Controls!C19</x:f>
        <x:v>Representative campaigns and production learning</x:v>
      </x:c>
      <x:c r="E23" s="38" t="n">
        <x:f>Controls!F19</x:f>
        <x:v>0.23</x:v>
      </x:c>
      <x:c r="F23" s="30" t="n">
        <x:f>Controls!E19-Controls!D19+1</x:f>
        <x:v>5</x:v>
      </x:c>
      <x:c r="G23" s="38" t="n">
        <x:f>E23/F23</x:f>
        <x:v>0.046</x:v>
      </x:c>
      <x:c r="H23" s="33" t="n">
        <x:f>Controls!$D$5*G23</x:f>
        <x:v>7.042681028528045</x:v>
      </x:c>
      <x:c r="I23" s="33" t="n">
        <x:f>Controls!$D$25*G23</x:f>
        <x:v>0.5868900857106705</x:v>
      </x:c>
      <x:c r="J23" s="30"/>
      <x:c r="K23" s="30"/>
      <x:c r="L23" s="30"/>
      <x:c r="M23" s="30"/>
      <x:c r="N23" s="30"/>
      <x:c r="O23" s="30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  <x:c r="AA23" s="30"/>
      <x:c r="AB23" s="30"/>
      <x:c r="AC23" s="30"/>
      <x:c r="AD23" s="30"/>
      <x:c r="AE23" s="30"/>
      <x:c r="AF23" s="30"/>
      <x:c r="AG23" s="30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>
      <x:c r="A24" s="1"/>
      <x:c r="B24" s="1"/>
      <x:c r="C24" s="32" t="n">
        <x:v>20</x:v>
      </x:c>
      <x:c r="D24" s="30" t="str">
        <x:f>Controls!C20</x:f>
        <x:v>Qualification, renewal and next-generation challenge</x:v>
      </x:c>
      <x:c r="E24" s="38" t="n">
        <x:f>Controls!F20</x:f>
        <x:v>0.12</x:v>
      </x:c>
      <x:c r="F24" s="30" t="n">
        <x:f>Controls!E20-Controls!D20+1</x:f>
        <x:v>6</x:v>
      </x:c>
      <x:c r="G24" s="38" t="n">
        <x:f>E24/F24</x:f>
        <x:v>0.02</x:v>
      </x:c>
      <x:c r="H24" s="33" t="n">
        <x:f>Controls!$D$5*G24</x:f>
        <x:v>3.062035229794802</x:v>
      </x:c>
      <x:c r="I24" s="33" t="n">
        <x:f>Controls!$D$25*G24</x:f>
        <x:v>0.2551696024829002</x:v>
      </x:c>
      <x:c r="J24" s="30"/>
      <x:c r="K24" s="30"/>
      <x:c r="L24" s="30"/>
      <x:c r="M24" s="30"/>
      <x:c r="N24" s="30"/>
      <x:c r="O24" s="30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  <x:c r="AA24" s="30"/>
      <x:c r="AB24" s="30"/>
      <x:c r="AC24" s="30"/>
      <x:c r="AD24" s="30"/>
      <x:c r="AE24" s="30"/>
      <x:c r="AF24" s="30"/>
      <x:c r="AG24" s="30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>
      <x:c r="A25" s="1"/>
      <x:c r="B25" s="1"/>
      <x:c r="C25" s="32" t="n">
        <x:v>21</x:v>
      </x:c>
      <x:c r="D25" s="30" t="str">
        <x:f>Controls!C20</x:f>
        <x:v>Qualification, renewal and next-generation challenge</x:v>
      </x:c>
      <x:c r="E25" s="38" t="n">
        <x:f>Controls!F20</x:f>
        <x:v>0.12</x:v>
      </x:c>
      <x:c r="F25" s="30" t="n">
        <x:f>Controls!E20-Controls!D20+1</x:f>
        <x:v>6</x:v>
      </x:c>
      <x:c r="G25" s="38" t="n">
        <x:f>E25/F25</x:f>
        <x:v>0.02</x:v>
      </x:c>
      <x:c r="H25" s="33" t="n">
        <x:f>Controls!$D$5*G25</x:f>
        <x:v>3.062035229794802</x:v>
      </x:c>
      <x:c r="I25" s="33" t="n">
        <x:f>Controls!$D$25*G25</x:f>
        <x:v>0.2551696024829002</x:v>
      </x:c>
      <x:c r="J25" s="30"/>
      <x:c r="K25" s="30"/>
      <x:c r="L25" s="30"/>
      <x:c r="M25" s="30"/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  <x:c r="AA25" s="30"/>
      <x:c r="AB25" s="30"/>
      <x:c r="AC25" s="30"/>
      <x:c r="AD25" s="30"/>
      <x:c r="AE25" s="30"/>
      <x:c r="AF25" s="30"/>
      <x:c r="AG25" s="30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>
      <x:c r="A26" s="1"/>
      <x:c r="B26" s="1"/>
      <x:c r="C26" s="32" t="n">
        <x:v>22</x:v>
      </x:c>
      <x:c r="D26" s="30" t="str">
        <x:f>Controls!C20</x:f>
        <x:v>Qualification, renewal and next-generation challenge</x:v>
      </x:c>
      <x:c r="E26" s="38" t="n">
        <x:f>Controls!F20</x:f>
        <x:v>0.12</x:v>
      </x:c>
      <x:c r="F26" s="30" t="n">
        <x:f>Controls!E20-Controls!D20+1</x:f>
        <x:v>6</x:v>
      </x:c>
      <x:c r="G26" s="38" t="n">
        <x:f>E26/F26</x:f>
        <x:v>0.02</x:v>
      </x:c>
      <x:c r="H26" s="33" t="n">
        <x:f>Controls!$D$5*G26</x:f>
        <x:v>3.062035229794802</x:v>
      </x:c>
      <x:c r="I26" s="33" t="n">
        <x:f>Controls!$D$25*G26</x:f>
        <x:v>0.2551696024829002</x:v>
      </x:c>
      <x:c r="J26" s="3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  <x:c r="AA26" s="30"/>
      <x:c r="AB26" s="30"/>
      <x:c r="AC26" s="30"/>
      <x:c r="AD26" s="30"/>
      <x:c r="AE26" s="30"/>
      <x:c r="AF26" s="30"/>
      <x:c r="AG26" s="30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>
      <x:c r="A27" s="1"/>
      <x:c r="B27" s="1"/>
      <x:c r="C27" s="32" t="n">
        <x:v>23</x:v>
      </x:c>
      <x:c r="D27" s="30" t="str">
        <x:f>Controls!C20</x:f>
        <x:v>Qualification, renewal and next-generation challenge</x:v>
      </x:c>
      <x:c r="E27" s="38" t="n">
        <x:f>Controls!F20</x:f>
        <x:v>0.12</x:v>
      </x:c>
      <x:c r="F27" s="30" t="n">
        <x:f>Controls!E20-Controls!D20+1</x:f>
        <x:v>6</x:v>
      </x:c>
      <x:c r="G27" s="38" t="n">
        <x:f>E27/F27</x:f>
        <x:v>0.02</x:v>
      </x:c>
      <x:c r="H27" s="33" t="n">
        <x:f>Controls!$D$5*G27</x:f>
        <x:v>3.062035229794802</x:v>
      </x:c>
      <x:c r="I27" s="33" t="n">
        <x:f>Controls!$D$25*G27</x:f>
        <x:v>0.2551696024829002</x:v>
      </x:c>
      <x:c r="J27" s="30"/>
      <x:c r="K27" s="30"/>
      <x:c r="L27" s="30"/>
      <x:c r="M27" s="30"/>
      <x:c r="N27" s="30"/>
      <x:c r="O27" s="30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  <x:c r="AA27" s="30"/>
      <x:c r="AB27" s="30"/>
      <x:c r="AC27" s="30"/>
      <x:c r="AD27" s="30"/>
      <x:c r="AE27" s="30"/>
      <x:c r="AF27" s="30"/>
      <x:c r="AG27" s="30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>
      <x:c r="A28" s="1"/>
      <x:c r="B28" s="1"/>
      <x:c r="C28" s="32" t="n">
        <x:v>24</x:v>
      </x:c>
      <x:c r="D28" s="30" t="str">
        <x:f>Controls!C20</x:f>
        <x:v>Qualification, renewal and next-generation challenge</x:v>
      </x:c>
      <x:c r="E28" s="38" t="n">
        <x:f>Controls!F20</x:f>
        <x:v>0.12</x:v>
      </x:c>
      <x:c r="F28" s="30" t="n">
        <x:f>Controls!E20-Controls!D20+1</x:f>
        <x:v>6</x:v>
      </x:c>
      <x:c r="G28" s="38" t="n">
        <x:f>E28/F28</x:f>
        <x:v>0.02</x:v>
      </x:c>
      <x:c r="H28" s="33" t="n">
        <x:f>Controls!$D$5*G28</x:f>
        <x:v>3.062035229794802</x:v>
      </x:c>
      <x:c r="I28" s="33" t="n">
        <x:f>Controls!$D$25*G28</x:f>
        <x:v>0.2551696024829002</x:v>
      </x:c>
      <x:c r="J28" s="30"/>
      <x:c r="K28" s="30"/>
      <x:c r="L28" s="30"/>
      <x:c r="M28" s="30"/>
      <x:c r="N28" s="30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  <x:c r="AA28" s="30"/>
      <x:c r="AB28" s="30"/>
      <x:c r="AC28" s="30"/>
      <x:c r="AD28" s="30"/>
      <x:c r="AE28" s="30"/>
      <x:c r="AF28" s="30"/>
      <x:c r="AG28" s="30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>
      <x:c r="A29" s="1"/>
      <x:c r="B29" s="1"/>
      <x:c r="C29" s="32" t="n">
        <x:v>25</x:v>
      </x:c>
      <x:c r="D29" s="30" t="str">
        <x:f>Controls!C20</x:f>
        <x:v>Qualification, renewal and next-generation challenge</x:v>
      </x:c>
      <x:c r="E29" s="38" t="n">
        <x:f>Controls!F20</x:f>
        <x:v>0.12</x:v>
      </x:c>
      <x:c r="F29" s="30" t="n">
        <x:f>Controls!E20-Controls!D20+1</x:f>
        <x:v>6</x:v>
      </x:c>
      <x:c r="G29" s="38" t="n">
        <x:f>E29/F29</x:f>
        <x:v>0.02</x:v>
      </x:c>
      <x:c r="H29" s="33" t="n">
        <x:f>Controls!$D$5*G29</x:f>
        <x:v>3.062035229794802</x:v>
      </x:c>
      <x:c r="I29" s="33" t="n">
        <x:f>Controls!$D$25*G29</x:f>
        <x:v>0.2551696024829002</x:v>
      </x:c>
      <x:c r="J29" s="30"/>
      <x:c r="K29" s="30"/>
      <x:c r="L29" s="30"/>
      <x:c r="M29" s="30"/>
      <x:c r="N29" s="30"/>
      <x:c r="O29" s="30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  <x:c r="AA29" s="30"/>
      <x:c r="AB29" s="30"/>
      <x:c r="AC29" s="30"/>
      <x:c r="AD29" s="30"/>
      <x:c r="AE29" s="30"/>
      <x:c r="AF29" s="30"/>
      <x:c r="AG29" s="30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>
      <x:c r="A30" s="1"/>
      <x:c r="B30" s="1"/>
      <x:c r="C30" s="34" t="str">
        <x:v>Total</x:v>
      </x:c>
      <x:c r="D30" s="34"/>
      <x:c r="E30" s="34"/>
      <x:c r="F30" s="34"/>
      <x:c r="G30" s="42" t="n">
        <x:f>SUM(G5:G29)</x:f>
        <x:v>1.0000000000000002</x:v>
      </x:c>
      <x:c r="H30" s="41" t="n">
        <x:f>SUM(H5:H29)</x:f>
        <x:v>153.1017614897402</x:v>
      </x:c>
      <x:c r="I30" s="41" t="n">
        <x:f>SUM(I5:I29)</x:f>
        <x:v>12.758480124145008</x:v>
      </x:c>
      <x:c r="J30" s="30"/>
      <x:c r="K30" s="30"/>
      <x:c r="L30" s="30"/>
      <x:c r="M30" s="30"/>
      <x:c r="N30" s="30"/>
      <x:c r="O30" s="30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  <x:c r="AA30" s="30"/>
      <x:c r="AB30" s="30"/>
      <x:c r="AC30" s="30"/>
      <x:c r="AD30" s="30"/>
      <x:c r="AE30" s="30"/>
      <x:c r="AF30" s="30"/>
      <x:c r="AG30" s="30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>
      <x:c r="A31" s="1"/>
      <x:c r="B31" s="1"/>
      <x:c r="C31" s="30"/>
      <x:c r="D31" s="30"/>
      <x:c r="E31" s="30"/>
      <x:c r="F31" s="30"/>
      <x:c r="G31" s="30"/>
      <x:c r="H31" s="30"/>
      <x:c r="I31" s="30"/>
      <x:c r="J31" s="30"/>
      <x:c r="K31" s="30"/>
      <x:c r="L31" s="30"/>
      <x:c r="M31" s="30"/>
      <x:c r="N31" s="30"/>
      <x:c r="O31" s="30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  <x:c r="AA31" s="30"/>
      <x:c r="AB31" s="30"/>
      <x:c r="AC31" s="30"/>
      <x:c r="AD31" s="30"/>
      <x:c r="AE31" s="30"/>
      <x:c r="AF31" s="30"/>
      <x:c r="AG31" s="30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>
      <x:c r="A32" s="1"/>
      <x:c r="B32" s="1"/>
      <x:c r="C32" s="30"/>
      <x:c r="D32" s="30"/>
      <x:c r="E32" s="30"/>
      <x:c r="F32" s="30"/>
      <x:c r="G32" s="30"/>
      <x:c r="H32" s="30"/>
      <x:c r="I32" s="30"/>
      <x:c r="J32" s="30"/>
      <x:c r="K32" s="30"/>
      <x:c r="L32" s="30"/>
      <x:c r="M32" s="30"/>
      <x:c r="N32" s="30"/>
      <x:c r="O32" s="30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  <x:c r="AA32" s="30"/>
      <x:c r="AB32" s="30"/>
      <x:c r="AC32" s="30"/>
      <x:c r="AD32" s="30"/>
      <x:c r="AE32" s="30"/>
      <x:c r="AF32" s="30"/>
      <x:c r="AG32" s="30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>
      <x:c r="A33" s="1"/>
      <x:c r="B33" s="1"/>
      <x:c r="C33" s="30"/>
      <x:c r="D33" s="30"/>
      <x:c r="E33" s="30"/>
      <x:c r="F33" s="30"/>
      <x:c r="G33" s="30"/>
      <x:c r="H33" s="30"/>
      <x:c r="I33" s="30"/>
      <x:c r="J33" s="30"/>
      <x:c r="K33" s="30"/>
      <x:c r="L33" s="30"/>
      <x:c r="M33" s="30"/>
      <x:c r="N33" s="30"/>
      <x:c r="O33" s="30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  <x:c r="AA33" s="30"/>
      <x:c r="AB33" s="30"/>
      <x:c r="AC33" s="30"/>
      <x:c r="AD33" s="30"/>
      <x:c r="AE33" s="30"/>
      <x:c r="AF33" s="30"/>
      <x:c r="AG33" s="30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>
      <x:c r="A34" s="1"/>
      <x:c r="B34" s="1"/>
      <x:c r="C34" s="30"/>
      <x:c r="D34" s="30"/>
      <x:c r="E34" s="30"/>
      <x:c r="F34" s="30"/>
      <x:c r="G34" s="30"/>
      <x:c r="H34" s="30"/>
      <x:c r="I34" s="30"/>
      <x:c r="J34" s="30"/>
      <x:c r="K34" s="30"/>
      <x:c r="L34" s="30"/>
      <x:c r="M34" s="30"/>
      <x:c r="N34" s="30"/>
      <x:c r="O34" s="30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  <x:c r="AA34" s="30"/>
      <x:c r="AB34" s="30"/>
      <x:c r="AC34" s="30"/>
      <x:c r="AD34" s="30"/>
      <x:c r="AE34" s="30"/>
      <x:c r="AF34" s="30"/>
      <x:c r="AG34" s="30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>
      <x:c r="A35" s="1"/>
      <x:c r="B35" s="1"/>
      <x:c r="C35" s="30"/>
      <x:c r="D35" s="30"/>
      <x:c r="E35" s="30"/>
      <x:c r="F35" s="30"/>
      <x:c r="G35" s="30"/>
      <x:c r="H35" s="30"/>
      <x:c r="I35" s="30"/>
      <x:c r="J35" s="30"/>
      <x:c r="K35" s="30"/>
      <x:c r="L35" s="30"/>
      <x:c r="M35" s="30"/>
      <x:c r="N35" s="30"/>
      <x:c r="O35" s="30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  <x:c r="AA35" s="30"/>
      <x:c r="AB35" s="30"/>
      <x:c r="AC35" s="30"/>
      <x:c r="AD35" s="30"/>
      <x:c r="AE35" s="30"/>
      <x:c r="AF35" s="30"/>
      <x:c r="AG35" s="30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>
      <x:c r="A36" s="1"/>
      <x:c r="B36" s="1"/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  <x:c r="M36" s="30"/>
      <x:c r="N36" s="30"/>
      <x:c r="O36" s="30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  <x:c r="AA36" s="30"/>
      <x:c r="AB36" s="30"/>
      <x:c r="AC36" s="30"/>
      <x:c r="AD36" s="30"/>
      <x:c r="AE36" s="30"/>
      <x:c r="AF36" s="30"/>
      <x:c r="AG36" s="30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>
      <x:c r="A37" s="1"/>
      <x:c r="B37" s="1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  <x:c r="O37" s="30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  <x:c r="AA37" s="30"/>
      <x:c r="AB37" s="30"/>
      <x:c r="AC37" s="30"/>
      <x:c r="AD37" s="30"/>
      <x:c r="AE37" s="30"/>
      <x:c r="AF37" s="30"/>
      <x:c r="AG37" s="30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>
      <x:c r="A38" s="1"/>
      <x:c r="B38" s="1"/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  <x:c r="O38" s="30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  <x:c r="AA38" s="30"/>
      <x:c r="AB38" s="30"/>
      <x:c r="AC38" s="30"/>
      <x:c r="AD38" s="30"/>
      <x:c r="AE38" s="30"/>
      <x:c r="AF38" s="30"/>
      <x:c r="AG38" s="30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>
      <x:c r="A39" s="1"/>
      <x:c r="B39" s="1"/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  <x:c r="O39" s="30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  <x:c r="AA39" s="30"/>
      <x:c r="AB39" s="30"/>
      <x:c r="AC39" s="30"/>
      <x:c r="AD39" s="30"/>
      <x:c r="AE39" s="30"/>
      <x:c r="AF39" s="30"/>
      <x:c r="AG39" s="30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>
      <x:c r="A40" s="1"/>
      <x:c r="B40" s="1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  <x:c r="M40" s="30"/>
      <x:c r="N40" s="30"/>
      <x:c r="O40" s="30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  <x:c r="AA40" s="30"/>
      <x:c r="AB40" s="30"/>
      <x:c r="AC40" s="30"/>
      <x:c r="AD40" s="30"/>
      <x:c r="AE40" s="30"/>
      <x:c r="AF40" s="30"/>
      <x:c r="AG40" s="30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>
      <x:c r="A41" s="1"/>
      <x:c r="B41" s="1"/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  <x:c r="AA41" s="30"/>
      <x:c r="AB41" s="30"/>
      <x:c r="AC41" s="30"/>
      <x:c r="AD41" s="30"/>
      <x:c r="AE41" s="30"/>
      <x:c r="AF41" s="30"/>
      <x:c r="AG41" s="30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>
      <x:c r="A42" s="1"/>
      <x:c r="B42" s="1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  <x:c r="AA42" s="30"/>
      <x:c r="AB42" s="30"/>
      <x:c r="AC42" s="30"/>
      <x:c r="AD42" s="30"/>
      <x:c r="AE42" s="30"/>
      <x:c r="AF42" s="30"/>
      <x:c r="AG42" s="30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>
      <x:c r="A43" s="1"/>
      <x:c r="B43" s="1"/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  <x:c r="AA43" s="30"/>
      <x:c r="AB43" s="30"/>
      <x:c r="AC43" s="30"/>
      <x:c r="AD43" s="30"/>
      <x:c r="AE43" s="30"/>
      <x:c r="AF43" s="30"/>
      <x:c r="AG43" s="30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>
      <x:c r="A44" s="1"/>
      <x:c r="B44" s="1"/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  <x:c r="M44" s="30"/>
      <x:c r="N44" s="30"/>
      <x:c r="O44" s="30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  <x:c r="AA44" s="30"/>
      <x:c r="AB44" s="30"/>
      <x:c r="AC44" s="30"/>
      <x:c r="AD44" s="30"/>
      <x:c r="AE44" s="30"/>
      <x:c r="AF44" s="30"/>
      <x:c r="AG44" s="30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>
      <x:c r="A45" s="1"/>
      <x:c r="B45" s="1"/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  <x:c r="AA45" s="30"/>
      <x:c r="AB45" s="30"/>
      <x:c r="AC45" s="30"/>
      <x:c r="AD45" s="30"/>
      <x:c r="AE45" s="30"/>
      <x:c r="AF45" s="30"/>
      <x:c r="AG45" s="30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>
      <x:c r="A46" s="1"/>
      <x:c r="B46" s="1"/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  <x:c r="M46" s="30"/>
      <x:c r="N46" s="30"/>
      <x:c r="O46" s="30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  <x:c r="AA46" s="30"/>
      <x:c r="AB46" s="30"/>
      <x:c r="AC46" s="30"/>
      <x:c r="AD46" s="30"/>
      <x:c r="AE46" s="30"/>
      <x:c r="AF46" s="30"/>
      <x:c r="AG46" s="30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>
      <x:c r="A47" s="1"/>
      <x:c r="B47" s="1"/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  <x:c r="O47" s="30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  <x:c r="AA47" s="30"/>
      <x:c r="AB47" s="30"/>
      <x:c r="AC47" s="30"/>
      <x:c r="AD47" s="30"/>
      <x:c r="AE47" s="30"/>
      <x:c r="AF47" s="30"/>
      <x:c r="AG47" s="30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>
      <x:c r="A48" s="1"/>
      <x:c r="B48" s="1"/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  <x:c r="M48" s="30"/>
      <x:c r="N48" s="30"/>
      <x:c r="O48" s="30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  <x:c r="AA48" s="30"/>
      <x:c r="AB48" s="30"/>
      <x:c r="AC48" s="30"/>
      <x:c r="AD48" s="30"/>
      <x:c r="AE48" s="30"/>
      <x:c r="AF48" s="30"/>
      <x:c r="AG48" s="30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>
      <x:c r="A49" s="1"/>
      <x:c r="B49" s="1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0"/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  <x:c r="AA49" s="30"/>
      <x:c r="AB49" s="30"/>
      <x:c r="AC49" s="30"/>
      <x:c r="AD49" s="30"/>
      <x:c r="AE49" s="30"/>
      <x:c r="AF49" s="30"/>
      <x:c r="AG49" s="30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>
      <x:c r="A50" s="1"/>
      <x:c r="B50" s="1"/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  <x:c r="O50" s="30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  <x:c r="AA50" s="30"/>
      <x:c r="AB50" s="30"/>
      <x:c r="AC50" s="30"/>
      <x:c r="AD50" s="30"/>
      <x:c r="AE50" s="30"/>
      <x:c r="AF50" s="30"/>
      <x:c r="AG50" s="30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>
      <x:c r="A51" s="1"/>
      <x:c r="B51" s="1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  <x:c r="O51" s="30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  <x:c r="AA51" s="30"/>
      <x:c r="AB51" s="30"/>
      <x:c r="AC51" s="30"/>
      <x:c r="AD51" s="30"/>
      <x:c r="AE51" s="30"/>
      <x:c r="AF51" s="30"/>
      <x:c r="AG51" s="30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>
      <x:c r="A52" s="1"/>
      <x:c r="B52" s="1"/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  <x:c r="M52" s="30"/>
      <x:c r="N52" s="30"/>
      <x:c r="O52" s="30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  <x:c r="AA52" s="30"/>
      <x:c r="AB52" s="30"/>
      <x:c r="AC52" s="30"/>
      <x:c r="AD52" s="30"/>
      <x:c r="AE52" s="30"/>
      <x:c r="AF52" s="30"/>
      <x:c r="AG52" s="30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>
      <x:c r="A53" s="1"/>
      <x:c r="B53" s="1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  <x:c r="O53" s="30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  <x:c r="AA53" s="30"/>
      <x:c r="AB53" s="30"/>
      <x:c r="AC53" s="30"/>
      <x:c r="AD53" s="30"/>
      <x:c r="AE53" s="30"/>
      <x:c r="AF53" s="30"/>
      <x:c r="AG53" s="30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>
      <x:c r="A54" s="1"/>
      <x:c r="B54" s="1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  <x:c r="AA54" s="30"/>
      <x:c r="AB54" s="30"/>
      <x:c r="AC54" s="30"/>
      <x:c r="AD54" s="30"/>
      <x:c r="AE54" s="30"/>
      <x:c r="AF54" s="30"/>
      <x:c r="AG54" s="30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>
      <x:c r="A55" s="1"/>
      <x:c r="B55" s="1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  <x:c r="AA55" s="30"/>
      <x:c r="AB55" s="30"/>
      <x:c r="AC55" s="30"/>
      <x:c r="AD55" s="30"/>
      <x:c r="AE55" s="30"/>
      <x:c r="AF55" s="30"/>
      <x:c r="AG55" s="30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>
      <x:c r="A56" s="1"/>
      <x:c r="B56" s="1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  <x:c r="AA56" s="30"/>
      <x:c r="AB56" s="30"/>
      <x:c r="AC56" s="30"/>
      <x:c r="AD56" s="30"/>
      <x:c r="AE56" s="30"/>
      <x:c r="AF56" s="30"/>
      <x:c r="AG56" s="30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>
      <x:c r="A57" s="1"/>
      <x:c r="B57" s="1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  <x:c r="AA57" s="30"/>
      <x:c r="AB57" s="30"/>
      <x:c r="AC57" s="30"/>
      <x:c r="AD57" s="30"/>
      <x:c r="AE57" s="30"/>
      <x:c r="AF57" s="30"/>
      <x:c r="AG57" s="30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>
      <x:c r="A58" s="1"/>
      <x:c r="B58" s="1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0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  <x:c r="AA58" s="30"/>
      <x:c r="AB58" s="30"/>
      <x:c r="AC58" s="30"/>
      <x:c r="AD58" s="30"/>
      <x:c r="AE58" s="30"/>
      <x:c r="AF58" s="30"/>
      <x:c r="AG58" s="30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>
      <x:c r="A59" s="1"/>
      <x:c r="B59" s="1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  <x:c r="M59" s="30"/>
      <x:c r="N59" s="30"/>
      <x:c r="O59" s="30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  <x:c r="AA59" s="30"/>
      <x:c r="AB59" s="30"/>
      <x:c r="AC59" s="30"/>
      <x:c r="AD59" s="30"/>
      <x:c r="AE59" s="30"/>
      <x:c r="AF59" s="30"/>
      <x:c r="AG59" s="30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>
      <x:c r="A60" s="1"/>
      <x:c r="B60" s="1"/>
      <x:c r="C60" s="30"/>
      <x:c r="D60" s="30"/>
      <x:c r="E60" s="30"/>
      <x:c r="F60" s="30"/>
      <x:c r="G60" s="30"/>
      <x:c r="H60" s="30"/>
      <x:c r="I60" s="30"/>
      <x:c r="J60" s="30"/>
      <x:c r="K60" s="30"/>
      <x:c r="L60" s="30"/>
      <x:c r="M60" s="30"/>
      <x:c r="N60" s="30"/>
      <x:c r="O60" s="30"/>
      <x:c r="P60" s="30"/>
      <x:c r="Q60" s="30"/>
      <x:c r="R60" s="30"/>
      <x:c r="S60" s="30"/>
      <x:c r="T60" s="30"/>
      <x:c r="U60" s="30"/>
      <x:c r="V60" s="30"/>
      <x:c r="W60" s="30"/>
      <x:c r="X60" s="30"/>
      <x:c r="Y60" s="30"/>
      <x:c r="Z60" s="30"/>
      <x:c r="AA60" s="30"/>
      <x:c r="AB60" s="30"/>
      <x:c r="AC60" s="30"/>
      <x:c r="AD60" s="30"/>
      <x:c r="AE60" s="30"/>
      <x:c r="AF60" s="30"/>
      <x:c r="AG60" s="30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>
      <x:c r="A61" s="1"/>
      <x:c r="B61" s="1"/>
      <x:c r="C61" s="30"/>
      <x:c r="D61" s="30"/>
      <x:c r="E61" s="30"/>
      <x:c r="F61" s="30"/>
      <x:c r="G61" s="30"/>
      <x:c r="H61" s="30"/>
      <x:c r="I61" s="30"/>
      <x:c r="J61" s="30"/>
      <x:c r="K61" s="30"/>
      <x:c r="L61" s="30"/>
      <x:c r="M61" s="30"/>
      <x:c r="N61" s="30"/>
      <x:c r="O61" s="30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  <x:c r="AA61" s="30"/>
      <x:c r="AB61" s="30"/>
      <x:c r="AC61" s="30"/>
      <x:c r="AD61" s="30"/>
      <x:c r="AE61" s="30"/>
      <x:c r="AF61" s="30"/>
      <x:c r="AG61" s="30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>
      <x:c r="A62" s="1"/>
      <x:c r="B62" s="1"/>
      <x:c r="C62" s="30"/>
      <x:c r="D62" s="30"/>
      <x:c r="E62" s="30"/>
      <x:c r="F62" s="30"/>
      <x:c r="G62" s="30"/>
      <x:c r="H62" s="30"/>
      <x:c r="I62" s="30"/>
      <x:c r="J62" s="30"/>
      <x:c r="K62" s="30"/>
      <x:c r="L62" s="30"/>
      <x:c r="M62" s="30"/>
      <x:c r="N62" s="30"/>
      <x:c r="O62" s="30"/>
      <x:c r="P62" s="30"/>
      <x:c r="Q62" s="30"/>
      <x:c r="R62" s="30"/>
      <x:c r="S62" s="30"/>
      <x:c r="T62" s="30"/>
      <x:c r="U62" s="30"/>
      <x:c r="V62" s="30"/>
      <x:c r="W62" s="30"/>
      <x:c r="X62" s="30"/>
      <x:c r="Y62" s="30"/>
      <x:c r="Z62" s="30"/>
      <x:c r="AA62" s="30"/>
      <x:c r="AB62" s="30"/>
      <x:c r="AC62" s="30"/>
      <x:c r="AD62" s="30"/>
      <x:c r="AE62" s="30"/>
      <x:c r="AF62" s="30"/>
      <x:c r="AG62" s="30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>
      <x:c r="A63" s="1"/>
      <x:c r="B63" s="1"/>
      <x:c r="C63" s="30"/>
      <x:c r="D63" s="30"/>
      <x:c r="E63" s="30"/>
      <x:c r="F63" s="30"/>
      <x:c r="G63" s="30"/>
      <x:c r="H63" s="30"/>
      <x:c r="I63" s="30"/>
      <x:c r="J63" s="30"/>
      <x:c r="K63" s="30"/>
      <x:c r="L63" s="30"/>
      <x:c r="M63" s="30"/>
      <x:c r="N63" s="30"/>
      <x:c r="O63" s="30"/>
      <x:c r="P63" s="30"/>
      <x:c r="Q63" s="30"/>
      <x:c r="R63" s="30"/>
      <x:c r="S63" s="30"/>
      <x:c r="T63" s="30"/>
      <x:c r="U63" s="30"/>
      <x:c r="V63" s="30"/>
      <x:c r="W63" s="30"/>
      <x:c r="X63" s="30"/>
      <x:c r="Y63" s="30"/>
      <x:c r="Z63" s="30"/>
      <x:c r="AA63" s="30"/>
      <x:c r="AB63" s="30"/>
      <x:c r="AC63" s="30"/>
      <x:c r="AD63" s="30"/>
      <x:c r="AE63" s="30"/>
      <x:c r="AF63" s="30"/>
      <x:c r="AG63" s="30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>
      <x:c r="A64" s="1"/>
      <x:c r="B64" s="1"/>
      <x:c r="C64" s="30"/>
      <x:c r="D64" s="30"/>
      <x:c r="E64" s="30"/>
      <x:c r="F64" s="30"/>
      <x:c r="G64" s="30"/>
      <x:c r="H64" s="30"/>
      <x:c r="I64" s="30"/>
      <x:c r="J64" s="30"/>
      <x:c r="K64" s="30"/>
      <x:c r="L64" s="30"/>
      <x:c r="M64" s="30"/>
      <x:c r="N64" s="30"/>
      <x:c r="O64" s="30"/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30"/>
      <x:c r="AA64" s="30"/>
      <x:c r="AB64" s="30"/>
      <x:c r="AC64" s="30"/>
      <x:c r="AD64" s="30"/>
      <x:c r="AE64" s="30"/>
      <x:c r="AF64" s="30"/>
      <x:c r="AG64" s="30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>
      <x:c r="A65" s="1"/>
      <x:c r="B65" s="1"/>
      <x:c r="C65" s="30"/>
      <x:c r="D65" s="30"/>
      <x:c r="E65" s="30"/>
      <x:c r="F65" s="30"/>
      <x:c r="G65" s="30"/>
      <x:c r="H65" s="30"/>
      <x:c r="I65" s="30"/>
      <x:c r="J65" s="30"/>
      <x:c r="K65" s="30"/>
      <x:c r="L65" s="30"/>
      <x:c r="M65" s="30"/>
      <x:c r="N65" s="30"/>
      <x:c r="O65" s="30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  <x:c r="AA65" s="30"/>
      <x:c r="AB65" s="30"/>
      <x:c r="AC65" s="30"/>
      <x:c r="AD65" s="30"/>
      <x:c r="AE65" s="30"/>
      <x:c r="AF65" s="30"/>
      <x:c r="AG65" s="30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>
      <x:c r="A66" s="1"/>
      <x:c r="B66" s="1"/>
      <x:c r="C66" s="30"/>
      <x:c r="D66" s="30"/>
      <x:c r="E66" s="30"/>
      <x:c r="F66" s="30"/>
      <x:c r="G66" s="30"/>
      <x:c r="H66" s="30"/>
      <x:c r="I66" s="30"/>
      <x:c r="J66" s="30"/>
      <x:c r="K66" s="30"/>
      <x:c r="L66" s="30"/>
      <x:c r="M66" s="30"/>
      <x:c r="N66" s="30"/>
      <x:c r="O66" s="30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  <x:c r="AA66" s="30"/>
      <x:c r="AB66" s="30"/>
      <x:c r="AC66" s="30"/>
      <x:c r="AD66" s="30"/>
      <x:c r="AE66" s="30"/>
      <x:c r="AF66" s="30"/>
      <x:c r="AG66" s="30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>
      <x:c r="A67" s="1"/>
      <x:c r="B67" s="1"/>
      <x:c r="C67" s="30"/>
      <x:c r="D67" s="30"/>
      <x:c r="E67" s="30"/>
      <x:c r="F67" s="30"/>
      <x:c r="G67" s="30"/>
      <x:c r="H67" s="30"/>
      <x:c r="I67" s="30"/>
      <x:c r="J67" s="30"/>
      <x:c r="K67" s="30"/>
      <x:c r="L67" s="30"/>
      <x:c r="M67" s="30"/>
      <x:c r="N67" s="30"/>
      <x:c r="O67" s="30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  <x:c r="AA67" s="30"/>
      <x:c r="AB67" s="30"/>
      <x:c r="AC67" s="30"/>
      <x:c r="AD67" s="30"/>
      <x:c r="AE67" s="30"/>
      <x:c r="AF67" s="30"/>
      <x:c r="AG67" s="30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>
      <x:c r="A68" s="1"/>
      <x:c r="B68" s="1"/>
      <x:c r="C68" s="30"/>
      <x:c r="D68" s="30"/>
      <x:c r="E68" s="30"/>
      <x:c r="F68" s="30"/>
      <x:c r="G68" s="30"/>
      <x:c r="H68" s="30"/>
      <x:c r="I68" s="30"/>
      <x:c r="J68" s="30"/>
      <x:c r="K68" s="30"/>
      <x:c r="L68" s="30"/>
      <x:c r="M68" s="30"/>
      <x:c r="N68" s="30"/>
      <x:c r="O68" s="30"/>
      <x:c r="P68" s="30"/>
      <x:c r="Q68" s="30"/>
      <x:c r="R68" s="30"/>
      <x:c r="S68" s="30"/>
      <x:c r="T68" s="30"/>
      <x:c r="U68" s="30"/>
      <x:c r="V68" s="30"/>
      <x:c r="W68" s="30"/>
      <x:c r="X68" s="30"/>
      <x:c r="Y68" s="30"/>
      <x:c r="Z68" s="30"/>
      <x:c r="AA68" s="30"/>
      <x:c r="AB68" s="30"/>
      <x:c r="AC68" s="30"/>
      <x:c r="AD68" s="30"/>
      <x:c r="AE68" s="30"/>
      <x:c r="AF68" s="30"/>
      <x:c r="AG68" s="30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>
      <x:c r="A69" s="1"/>
      <x:c r="B69" s="1"/>
      <x:c r="C69" s="30"/>
      <x:c r="D69" s="30"/>
      <x:c r="E69" s="30"/>
      <x:c r="F69" s="30"/>
      <x:c r="G69" s="30"/>
      <x:c r="H69" s="30"/>
      <x:c r="I69" s="30"/>
      <x:c r="J69" s="30"/>
      <x:c r="K69" s="30"/>
      <x:c r="L69" s="30"/>
      <x:c r="M69" s="30"/>
      <x:c r="N69" s="30"/>
      <x:c r="O69" s="30"/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30"/>
      <x:c r="AA69" s="30"/>
      <x:c r="AB69" s="30"/>
      <x:c r="AC69" s="30"/>
      <x:c r="AD69" s="30"/>
      <x:c r="AE69" s="30"/>
      <x:c r="AF69" s="30"/>
      <x:c r="AG69" s="30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>
      <x:c r="A70" s="1"/>
      <x:c r="B70" s="1"/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  <x:c r="M70" s="30"/>
      <x:c r="N70" s="30"/>
      <x:c r="O70" s="30"/>
      <x:c r="P70" s="30"/>
      <x:c r="Q70" s="30"/>
      <x:c r="R70" s="30"/>
      <x:c r="S70" s="30"/>
      <x:c r="T70" s="30"/>
      <x:c r="U70" s="30"/>
      <x:c r="V70" s="30"/>
      <x:c r="W70" s="30"/>
      <x:c r="X70" s="30"/>
      <x:c r="Y70" s="30"/>
      <x:c r="Z70" s="30"/>
      <x:c r="AA70" s="30"/>
      <x:c r="AB70" s="30"/>
      <x:c r="AC70" s="30"/>
      <x:c r="AD70" s="30"/>
      <x:c r="AE70" s="30"/>
      <x:c r="AF70" s="30"/>
      <x:c r="AG70" s="30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>
      <x:c r="A71" s="1"/>
      <x:c r="B71" s="1"/>
      <x:c r="C71" s="30"/>
      <x:c r="D71" s="30"/>
      <x:c r="E71" s="30"/>
      <x:c r="F71" s="30"/>
      <x:c r="G71" s="30"/>
      <x:c r="H71" s="30"/>
      <x:c r="I71" s="30"/>
      <x:c r="J71" s="30"/>
      <x:c r="K71" s="30"/>
      <x:c r="L71" s="30"/>
      <x:c r="M71" s="30"/>
      <x:c r="N71" s="30"/>
      <x:c r="O71" s="30"/>
      <x:c r="P71" s="30"/>
      <x:c r="Q71" s="30"/>
      <x:c r="R71" s="30"/>
      <x:c r="S71" s="30"/>
      <x:c r="T71" s="30"/>
      <x:c r="U71" s="30"/>
      <x:c r="V71" s="30"/>
      <x:c r="W71" s="30"/>
      <x:c r="X71" s="30"/>
      <x:c r="Y71" s="30"/>
      <x:c r="Z71" s="30"/>
      <x:c r="AA71" s="30"/>
      <x:c r="AB71" s="30"/>
      <x:c r="AC71" s="30"/>
      <x:c r="AD71" s="30"/>
      <x:c r="AE71" s="30"/>
      <x:c r="AF71" s="30"/>
      <x:c r="AG71" s="30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>
      <x:c r="A72" s="1"/>
      <x:c r="B72" s="1"/>
      <x:c r="C72" s="30"/>
      <x:c r="D72" s="30"/>
      <x:c r="E72" s="30"/>
      <x:c r="F72" s="30"/>
      <x:c r="G72" s="30"/>
      <x:c r="H72" s="30"/>
      <x:c r="I72" s="30"/>
      <x:c r="J72" s="30"/>
      <x:c r="K72" s="30"/>
      <x:c r="L72" s="30"/>
      <x:c r="M72" s="30"/>
      <x:c r="N72" s="30"/>
      <x:c r="O72" s="30"/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30"/>
      <x:c r="AA72" s="30"/>
      <x:c r="AB72" s="30"/>
      <x:c r="AC72" s="30"/>
      <x:c r="AD72" s="30"/>
      <x:c r="AE72" s="30"/>
      <x:c r="AF72" s="30"/>
      <x:c r="AG72" s="30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>
      <x:c r="A73" s="1"/>
      <x:c r="B73" s="1"/>
      <x:c r="C73" s="30"/>
      <x:c r="D73" s="30"/>
      <x:c r="E73" s="30"/>
      <x:c r="F73" s="30"/>
      <x:c r="G73" s="30"/>
      <x:c r="H73" s="30"/>
      <x:c r="I73" s="30"/>
      <x:c r="J73" s="30"/>
      <x:c r="K73" s="30"/>
      <x:c r="L73" s="30"/>
      <x:c r="M73" s="30"/>
      <x:c r="N73" s="30"/>
      <x:c r="O73" s="30"/>
      <x:c r="P73" s="30"/>
      <x:c r="Q73" s="30"/>
      <x:c r="R73" s="30"/>
      <x:c r="S73" s="30"/>
      <x:c r="T73" s="30"/>
      <x:c r="U73" s="30"/>
      <x:c r="V73" s="30"/>
      <x:c r="W73" s="30"/>
      <x:c r="X73" s="30"/>
      <x:c r="Y73" s="30"/>
      <x:c r="Z73" s="30"/>
      <x:c r="AA73" s="30"/>
      <x:c r="AB73" s="30"/>
      <x:c r="AC73" s="30"/>
      <x:c r="AD73" s="30"/>
      <x:c r="AE73" s="30"/>
      <x:c r="AF73" s="30"/>
      <x:c r="AG73" s="30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>
      <x:c r="A74" s="1"/>
      <x:c r="B74" s="1"/>
      <x:c r="C74" s="30"/>
      <x:c r="D74" s="30"/>
      <x:c r="E74" s="30"/>
      <x:c r="F74" s="30"/>
      <x:c r="G74" s="30"/>
      <x:c r="H74" s="30"/>
      <x:c r="I74" s="30"/>
      <x:c r="J74" s="30"/>
      <x:c r="K74" s="30"/>
      <x:c r="L74" s="30"/>
      <x:c r="M74" s="30"/>
      <x:c r="N74" s="30"/>
      <x:c r="O74" s="30"/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30"/>
      <x:c r="AA74" s="30"/>
      <x:c r="AB74" s="30"/>
      <x:c r="AC74" s="30"/>
      <x:c r="AD74" s="30"/>
      <x:c r="AE74" s="30"/>
      <x:c r="AF74" s="30"/>
      <x:c r="AG74" s="30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>
      <x:c r="A75" s="1"/>
      <x:c r="B75" s="1"/>
      <x:c r="C75" s="30"/>
      <x:c r="D75" s="30"/>
      <x:c r="E75" s="30"/>
      <x:c r="F75" s="30"/>
      <x:c r="G75" s="30"/>
      <x:c r="H75" s="30"/>
      <x:c r="I75" s="30"/>
      <x:c r="J75" s="30"/>
      <x:c r="K75" s="30"/>
      <x:c r="L75" s="30"/>
      <x:c r="M75" s="30"/>
      <x:c r="N75" s="30"/>
      <x:c r="O75" s="30"/>
      <x:c r="P75" s="30"/>
      <x:c r="Q75" s="30"/>
      <x:c r="R75" s="30"/>
      <x:c r="S75" s="30"/>
      <x:c r="T75" s="30"/>
      <x:c r="U75" s="30"/>
      <x:c r="V75" s="30"/>
      <x:c r="W75" s="30"/>
      <x:c r="X75" s="30"/>
      <x:c r="Y75" s="30"/>
      <x:c r="Z75" s="30"/>
      <x:c r="AA75" s="30"/>
      <x:c r="AB75" s="30"/>
      <x:c r="AC75" s="30"/>
      <x:c r="AD75" s="30"/>
      <x:c r="AE75" s="30"/>
      <x:c r="AF75" s="30"/>
      <x:c r="AG75" s="30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>
      <x:c r="A76" s="1"/>
      <x:c r="B76" s="1"/>
      <x:c r="C76" s="30"/>
      <x:c r="D76" s="30"/>
      <x:c r="E76" s="30"/>
      <x:c r="F76" s="30"/>
      <x:c r="G76" s="30"/>
      <x:c r="H76" s="30"/>
      <x:c r="I76" s="30"/>
      <x:c r="J76" s="30"/>
      <x:c r="K76" s="30"/>
      <x:c r="L76" s="30"/>
      <x:c r="M76" s="30"/>
      <x:c r="N76" s="30"/>
      <x:c r="O76" s="30"/>
      <x:c r="P76" s="30"/>
      <x:c r="Q76" s="30"/>
      <x:c r="R76" s="30"/>
      <x:c r="S76" s="30"/>
      <x:c r="T76" s="30"/>
      <x:c r="U76" s="30"/>
      <x:c r="V76" s="30"/>
      <x:c r="W76" s="30"/>
      <x:c r="X76" s="30"/>
      <x:c r="Y76" s="30"/>
      <x:c r="Z76" s="30"/>
      <x:c r="AA76" s="30"/>
      <x:c r="AB76" s="30"/>
      <x:c r="AC76" s="30"/>
      <x:c r="AD76" s="30"/>
      <x:c r="AE76" s="30"/>
      <x:c r="AF76" s="30"/>
      <x:c r="AG76" s="30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>
      <x:c r="A77" s="1"/>
      <x:c r="B77" s="1"/>
      <x:c r="C77" s="30"/>
      <x:c r="D77" s="30"/>
      <x:c r="E77" s="30"/>
      <x:c r="F77" s="30"/>
      <x:c r="G77" s="30"/>
      <x:c r="H77" s="30"/>
      <x:c r="I77" s="30"/>
      <x:c r="J77" s="30"/>
      <x:c r="K77" s="30"/>
      <x:c r="L77" s="30"/>
      <x:c r="M77" s="30"/>
      <x:c r="N77" s="30"/>
      <x:c r="O77" s="30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  <x:c r="AA77" s="30"/>
      <x:c r="AB77" s="30"/>
      <x:c r="AC77" s="30"/>
      <x:c r="AD77" s="30"/>
      <x:c r="AE77" s="30"/>
      <x:c r="AF77" s="30"/>
      <x:c r="AG77" s="30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>
      <x:c r="A78" s="1"/>
      <x:c r="B78" s="1"/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  <x:c r="O78" s="30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  <x:c r="AA78" s="30"/>
      <x:c r="AB78" s="30"/>
      <x:c r="AC78" s="30"/>
      <x:c r="AD78" s="30"/>
      <x:c r="AE78" s="30"/>
      <x:c r="AF78" s="30"/>
      <x:c r="AG78" s="30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>
      <x:c r="A79" s="1"/>
      <x:c r="B79" s="1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  <x:c r="M79" s="30"/>
      <x:c r="N79" s="30"/>
      <x:c r="O79" s="30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  <x:c r="AA79" s="30"/>
      <x:c r="AB79" s="30"/>
      <x:c r="AC79" s="30"/>
      <x:c r="AD79" s="30"/>
      <x:c r="AE79" s="30"/>
      <x:c r="AF79" s="30"/>
      <x:c r="AG79" s="30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>
      <x:c r="A80" s="1"/>
      <x:c r="B80" s="1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  <x:c r="M80" s="30"/>
      <x:c r="N80" s="30"/>
      <x:c r="O80" s="30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  <x:c r="AA80" s="30"/>
      <x:c r="AB80" s="30"/>
      <x:c r="AC80" s="30"/>
      <x:c r="AD80" s="30"/>
      <x:c r="AE80" s="30"/>
      <x:c r="AF80" s="30"/>
      <x:c r="AG80" s="30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>
      <x:c r="A81" s="1"/>
      <x:c r="B81" s="1"/>
      <x:c r="C81" s="30"/>
      <x:c r="D81" s="30"/>
      <x:c r="E81" s="30"/>
      <x:c r="F81" s="30"/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  <x:c r="AA81" s="30"/>
      <x:c r="AB81" s="30"/>
      <x:c r="AC81" s="30"/>
      <x:c r="AD81" s="30"/>
      <x:c r="AE81" s="30"/>
      <x:c r="AF81" s="30"/>
      <x:c r="AG81" s="30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>
      <x:c r="A82" s="1"/>
      <x:c r="B82" s="1"/>
      <x:c r="C82" s="30"/>
      <x:c r="D82" s="30"/>
      <x:c r="E82" s="30"/>
      <x:c r="F82" s="30"/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30"/>
      <x:c r="AA82" s="30"/>
      <x:c r="AB82" s="30"/>
      <x:c r="AC82" s="30"/>
      <x:c r="AD82" s="30"/>
      <x:c r="AE82" s="30"/>
      <x:c r="AF82" s="30"/>
      <x:c r="AG82" s="30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>
      <x:c r="A83" s="1"/>
      <x:c r="B83" s="1"/>
      <x:c r="C83" s="30"/>
      <x:c r="D83" s="30"/>
      <x:c r="E83" s="30"/>
      <x:c r="F83" s="30"/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30"/>
      <x:c r="AA83" s="30"/>
      <x:c r="AB83" s="30"/>
      <x:c r="AC83" s="30"/>
      <x:c r="AD83" s="30"/>
      <x:c r="AE83" s="30"/>
      <x:c r="AF83" s="30"/>
      <x:c r="AG83" s="30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>
      <x:c r="A84" s="1"/>
      <x:c r="B84" s="1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30"/>
      <x:c r="AA84" s="30"/>
      <x:c r="AB84" s="30"/>
      <x:c r="AC84" s="30"/>
      <x:c r="AD84" s="30"/>
      <x:c r="AE84" s="30"/>
      <x:c r="AF84" s="30"/>
      <x:c r="AG84" s="30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>
      <x:c r="A85" s="1"/>
      <x:c r="B85" s="1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30"/>
      <x:c r="AA85" s="30"/>
      <x:c r="AB85" s="30"/>
      <x:c r="AC85" s="30"/>
      <x:c r="AD85" s="30"/>
      <x:c r="AE85" s="30"/>
      <x:c r="AF85" s="30"/>
      <x:c r="AG85" s="30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>
      <x:c r="A86" s="1"/>
      <x:c r="B86" s="1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30"/>
      <x:c r="AA86" s="30"/>
      <x:c r="AB86" s="30"/>
      <x:c r="AC86" s="30"/>
      <x:c r="AD86" s="30"/>
      <x:c r="AE86" s="30"/>
      <x:c r="AF86" s="30"/>
      <x:c r="AG86" s="30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>
      <x:c r="A87" s="1"/>
      <x:c r="B87" s="1"/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  <x:c r="Y87" s="30"/>
      <x:c r="Z87" s="30"/>
      <x:c r="AA87" s="30"/>
      <x:c r="AB87" s="30"/>
      <x:c r="AC87" s="30"/>
      <x:c r="AD87" s="30"/>
      <x:c r="AE87" s="30"/>
      <x:c r="AF87" s="30"/>
      <x:c r="AG87" s="30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>
      <x:c r="A88" s="1"/>
      <x:c r="B88" s="1"/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  <x:c r="Y88" s="30"/>
      <x:c r="Z88" s="30"/>
      <x:c r="AA88" s="30"/>
      <x:c r="AB88" s="30"/>
      <x:c r="AC88" s="30"/>
      <x:c r="AD88" s="30"/>
      <x:c r="AE88" s="30"/>
      <x:c r="AF88" s="30"/>
      <x:c r="AG88" s="30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>
      <x:c r="A89" s="1"/>
      <x:c r="B89" s="1"/>
      <x:c r="C89" s="30"/>
      <x:c r="D89" s="30"/>
      <x:c r="E89" s="30"/>
      <x:c r="F89" s="30"/>
      <x:c r="G89" s="3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  <x:c r="Y89" s="30"/>
      <x:c r="Z89" s="30"/>
      <x:c r="AA89" s="30"/>
      <x:c r="AB89" s="30"/>
      <x:c r="AC89" s="30"/>
      <x:c r="AD89" s="30"/>
      <x:c r="AE89" s="30"/>
      <x:c r="AF89" s="30"/>
      <x:c r="AG89" s="30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>
      <x:c r="A90" s="1"/>
      <x:c r="B90" s="1"/>
      <x:c r="C90" s="30"/>
      <x:c r="D90" s="30"/>
      <x:c r="E90" s="30"/>
      <x:c r="F90" s="30"/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30"/>
      <x:c r="AA90" s="30"/>
      <x:c r="AB90" s="30"/>
      <x:c r="AC90" s="30"/>
      <x:c r="AD90" s="30"/>
      <x:c r="AE90" s="30"/>
      <x:c r="AF90" s="30"/>
      <x:c r="AG90" s="30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>
      <x:c r="A91" s="1"/>
      <x:c r="B91" s="1"/>
      <x:c r="C91" s="30"/>
      <x:c r="D91" s="30"/>
      <x:c r="E91" s="30"/>
      <x:c r="F91" s="30"/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30"/>
      <x:c r="AA91" s="30"/>
      <x:c r="AB91" s="30"/>
      <x:c r="AC91" s="30"/>
      <x:c r="AD91" s="30"/>
      <x:c r="AE91" s="30"/>
      <x:c r="AF91" s="30"/>
      <x:c r="AG91" s="30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>
      <x:c r="A92" s="1"/>
      <x:c r="B92" s="1"/>
      <x:c r="C92" s="30"/>
      <x:c r="D92" s="30"/>
      <x:c r="E92" s="30"/>
      <x:c r="F92" s="30"/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  <x:c r="AA92" s="30"/>
      <x:c r="AB92" s="30"/>
      <x:c r="AC92" s="30"/>
      <x:c r="AD92" s="30"/>
      <x:c r="AE92" s="30"/>
      <x:c r="AF92" s="30"/>
      <x:c r="AG92" s="30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>
      <x:c r="A93" s="1"/>
      <x:c r="B93" s="1"/>
      <x:c r="C93" s="30"/>
      <x:c r="D93" s="30"/>
      <x:c r="E93" s="30"/>
      <x:c r="F93" s="30"/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  <x:c r="AA93" s="30"/>
      <x:c r="AB93" s="30"/>
      <x:c r="AC93" s="30"/>
      <x:c r="AD93" s="30"/>
      <x:c r="AE93" s="30"/>
      <x:c r="AF93" s="30"/>
      <x:c r="AG93" s="30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>
      <x:c r="A94" s="1"/>
      <x:c r="B94" s="1"/>
      <x:c r="C94" s="30"/>
      <x:c r="D94" s="30"/>
      <x:c r="E94" s="30"/>
      <x:c r="F94" s="30"/>
      <x:c r="G94" s="3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30"/>
      <x:c r="AA94" s="30"/>
      <x:c r="AB94" s="30"/>
      <x:c r="AC94" s="30"/>
      <x:c r="AD94" s="30"/>
      <x:c r="AE94" s="30"/>
      <x:c r="AF94" s="30"/>
      <x:c r="AG94" s="30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>
      <x:c r="A95" s="1"/>
      <x:c r="B95" s="1"/>
      <x:c r="C95" s="30"/>
      <x:c r="D95" s="30"/>
      <x:c r="E95" s="30"/>
      <x:c r="F95" s="30"/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30"/>
      <x:c r="AA95" s="30"/>
      <x:c r="AB95" s="30"/>
      <x:c r="AC95" s="30"/>
      <x:c r="AD95" s="30"/>
      <x:c r="AE95" s="30"/>
      <x:c r="AF95" s="30"/>
      <x:c r="AG95" s="30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>
      <x:c r="A96" s="1"/>
      <x:c r="B96" s="1"/>
      <x:c r="C96" s="30"/>
      <x:c r="D96" s="30"/>
      <x:c r="E96" s="30"/>
      <x:c r="F96" s="30"/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30"/>
      <x:c r="AA96" s="30"/>
      <x:c r="AB96" s="30"/>
      <x:c r="AC96" s="30"/>
      <x:c r="AD96" s="30"/>
      <x:c r="AE96" s="30"/>
      <x:c r="AF96" s="30"/>
      <x:c r="AG96" s="30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>
      <x:c r="A97" s="1"/>
      <x:c r="B97" s="1"/>
      <x:c r="C97" s="30"/>
      <x:c r="D97" s="30"/>
      <x:c r="E97" s="30"/>
      <x:c r="F97" s="30"/>
      <x:c r="G97" s="3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30"/>
      <x:c r="AA97" s="30"/>
      <x:c r="AB97" s="30"/>
      <x:c r="AC97" s="30"/>
      <x:c r="AD97" s="30"/>
      <x:c r="AE97" s="30"/>
      <x:c r="AF97" s="30"/>
      <x:c r="AG97" s="30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>
      <x:c r="A98" s="1"/>
      <x:c r="B98" s="1"/>
      <x:c r="C98" s="30"/>
      <x:c r="D98" s="30"/>
      <x:c r="E98" s="30"/>
      <x:c r="F98" s="30"/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30"/>
      <x:c r="AA98" s="30"/>
      <x:c r="AB98" s="30"/>
      <x:c r="AC98" s="30"/>
      <x:c r="AD98" s="30"/>
      <x:c r="AE98" s="30"/>
      <x:c r="AF98" s="30"/>
      <x:c r="AG98" s="30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>
      <x:c r="A99" s="1"/>
      <x:c r="B99" s="1"/>
      <x:c r="C99" s="30"/>
      <x:c r="D99" s="30"/>
      <x:c r="E99" s="30"/>
      <x:c r="F99" s="30"/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30"/>
      <x:c r="AA99" s="30"/>
      <x:c r="AB99" s="30"/>
      <x:c r="AC99" s="30"/>
      <x:c r="AD99" s="30"/>
      <x:c r="AE99" s="30"/>
      <x:c r="AF99" s="30"/>
      <x:c r="AG99" s="30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>
      <x:c r="A100" s="1"/>
      <x:c r="B100" s="1"/>
      <x:c r="C100" s="30"/>
      <x:c r="D100" s="30"/>
      <x:c r="E100" s="30"/>
      <x:c r="F100" s="30"/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30"/>
      <x:c r="AA100" s="30"/>
      <x:c r="AB100" s="30"/>
      <x:c r="AC100" s="30"/>
      <x:c r="AD100" s="30"/>
      <x:c r="AE100" s="30"/>
      <x:c r="AF100" s="30"/>
      <x:c r="AG100" s="30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>
      <x:c r="A101" s="1"/>
      <x:c r="B101" s="1"/>
      <x:c r="C101" s="30"/>
      <x:c r="D101" s="30"/>
      <x:c r="E101" s="30"/>
      <x:c r="F101" s="30"/>
      <x:c r="G101" s="30"/>
      <x:c r="H101" s="30"/>
      <x:c r="I101" s="30"/>
      <x:c r="J101" s="30"/>
      <x:c r="K101" s="30"/>
      <x:c r="L101" s="30"/>
      <x:c r="M101" s="30"/>
      <x:c r="N101" s="30"/>
      <x:c r="O101" s="30"/>
      <x:c r="P101" s="30"/>
      <x:c r="Q101" s="30"/>
      <x:c r="R101" s="30"/>
      <x:c r="S101" s="30"/>
      <x:c r="T101" s="30"/>
      <x:c r="U101" s="30"/>
      <x:c r="V101" s="30"/>
      <x:c r="W101" s="30"/>
      <x:c r="X101" s="30"/>
      <x:c r="Y101" s="30"/>
      <x:c r="Z101" s="30"/>
      <x:c r="AA101" s="30"/>
      <x:c r="AB101" s="30"/>
      <x:c r="AC101" s="30"/>
      <x:c r="AD101" s="30"/>
      <x:c r="AE101" s="30"/>
      <x:c r="AF101" s="30"/>
      <x:c r="AG101" s="30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>
      <x:c r="A102" s="1"/>
      <x:c r="B102" s="1"/>
      <x:c r="C102" s="30"/>
      <x:c r="D102" s="30"/>
      <x:c r="E102" s="30"/>
      <x:c r="F102" s="30"/>
      <x:c r="G102" s="30"/>
      <x:c r="H102" s="30"/>
      <x:c r="I102" s="30"/>
      <x:c r="J102" s="30"/>
      <x:c r="K102" s="30"/>
      <x:c r="L102" s="30"/>
      <x:c r="M102" s="30"/>
      <x:c r="N102" s="30"/>
      <x:c r="O102" s="30"/>
      <x:c r="P102" s="30"/>
      <x:c r="Q102" s="30"/>
      <x:c r="R102" s="30"/>
      <x:c r="S102" s="30"/>
      <x:c r="T102" s="30"/>
      <x:c r="U102" s="30"/>
      <x:c r="V102" s="30"/>
      <x:c r="W102" s="30"/>
      <x:c r="X102" s="30"/>
      <x:c r="Y102" s="30"/>
      <x:c r="Z102" s="30"/>
      <x:c r="AA102" s="30"/>
      <x:c r="AB102" s="30"/>
      <x:c r="AC102" s="30"/>
      <x:c r="AD102" s="30"/>
      <x:c r="AE102" s="30"/>
      <x:c r="AF102" s="30"/>
      <x:c r="AG102" s="30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>
      <x:c r="A103" s="1"/>
      <x:c r="B103" s="1"/>
      <x:c r="C103" s="30"/>
      <x:c r="D103" s="30"/>
      <x:c r="E103" s="30"/>
      <x:c r="F103" s="30"/>
      <x:c r="G103" s="3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0"/>
      <x:c r="T103" s="30"/>
      <x:c r="U103" s="30"/>
      <x:c r="V103" s="30"/>
      <x:c r="W103" s="30"/>
      <x:c r="X103" s="30"/>
      <x:c r="Y103" s="30"/>
      <x:c r="Z103" s="30"/>
      <x:c r="AA103" s="30"/>
      <x:c r="AB103" s="30"/>
      <x:c r="AC103" s="30"/>
      <x:c r="AD103" s="30"/>
      <x:c r="AE103" s="30"/>
      <x:c r="AF103" s="30"/>
      <x:c r="AG103" s="30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>
      <x:c r="A104" s="1"/>
      <x:c r="B104" s="1"/>
      <x:c r="C104" s="30"/>
      <x:c r="D104" s="30"/>
      <x:c r="E104" s="30"/>
      <x:c r="F104" s="30"/>
      <x:c r="G104" s="30"/>
      <x:c r="H104" s="30"/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0"/>
      <x:c r="T104" s="30"/>
      <x:c r="U104" s="30"/>
      <x:c r="V104" s="30"/>
      <x:c r="W104" s="30"/>
      <x:c r="X104" s="30"/>
      <x:c r="Y104" s="30"/>
      <x:c r="Z104" s="30"/>
      <x:c r="AA104" s="30"/>
      <x:c r="AB104" s="30"/>
      <x:c r="AC104" s="30"/>
      <x:c r="AD104" s="30"/>
      <x:c r="AE104" s="30"/>
      <x:c r="AF104" s="30"/>
      <x:c r="AG104" s="30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>
      <x:c r="A105" s="1"/>
      <x:c r="B105" s="1"/>
      <x:c r="C105" s="30"/>
      <x:c r="D105" s="30"/>
      <x:c r="E105" s="30"/>
      <x:c r="F105" s="30"/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  <x:c r="Q105" s="30"/>
      <x:c r="R105" s="30"/>
      <x:c r="S105" s="30"/>
      <x:c r="T105" s="30"/>
      <x:c r="U105" s="30"/>
      <x:c r="V105" s="30"/>
      <x:c r="W105" s="30"/>
      <x:c r="X105" s="30"/>
      <x:c r="Y105" s="30"/>
      <x:c r="Z105" s="30"/>
      <x:c r="AA105" s="30"/>
      <x:c r="AB105" s="30"/>
      <x:c r="AC105" s="30"/>
      <x:c r="AD105" s="30"/>
      <x:c r="AE105" s="30"/>
      <x:c r="AF105" s="30"/>
      <x:c r="AG105" s="30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>
      <x:c r="A106" s="1"/>
      <x:c r="B106" s="1"/>
      <x:c r="C106" s="30"/>
      <x:c r="D106" s="30"/>
      <x:c r="E106" s="30"/>
      <x:c r="F106" s="30"/>
      <x:c r="G106" s="30"/>
      <x:c r="H106" s="30"/>
      <x:c r="I106" s="30"/>
      <x:c r="J106" s="30"/>
      <x:c r="K106" s="30"/>
      <x:c r="L106" s="30"/>
      <x:c r="M106" s="30"/>
      <x:c r="N106" s="30"/>
      <x:c r="O106" s="30"/>
      <x:c r="P106" s="30"/>
      <x:c r="Q106" s="30"/>
      <x:c r="R106" s="30"/>
      <x:c r="S106" s="30"/>
      <x:c r="T106" s="30"/>
      <x:c r="U106" s="30"/>
      <x:c r="V106" s="30"/>
      <x:c r="W106" s="30"/>
      <x:c r="X106" s="30"/>
      <x:c r="Y106" s="30"/>
      <x:c r="Z106" s="30"/>
      <x:c r="AA106" s="30"/>
      <x:c r="AB106" s="30"/>
      <x:c r="AC106" s="30"/>
      <x:c r="AD106" s="30"/>
      <x:c r="AE106" s="30"/>
      <x:c r="AF106" s="30"/>
      <x:c r="AG106" s="30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>
      <x:c r="A107" s="1"/>
      <x:c r="B107" s="1"/>
      <x:c r="C107" s="30"/>
      <x:c r="D107" s="30"/>
      <x:c r="E107" s="30"/>
      <x:c r="F107" s="30"/>
      <x:c r="G107" s="30"/>
      <x:c r="H107" s="30"/>
      <x:c r="I107" s="30"/>
      <x:c r="J107" s="30"/>
      <x:c r="K107" s="30"/>
      <x:c r="L107" s="30"/>
      <x:c r="M107" s="30"/>
      <x:c r="N107" s="30"/>
      <x:c r="O107" s="30"/>
      <x:c r="P107" s="30"/>
      <x:c r="Q107" s="30"/>
      <x:c r="R107" s="30"/>
      <x:c r="S107" s="30"/>
      <x:c r="T107" s="30"/>
      <x:c r="U107" s="30"/>
      <x:c r="V107" s="30"/>
      <x:c r="W107" s="30"/>
      <x:c r="X107" s="30"/>
      <x:c r="Y107" s="30"/>
      <x:c r="Z107" s="30"/>
      <x:c r="AA107" s="30"/>
      <x:c r="AB107" s="30"/>
      <x:c r="AC107" s="30"/>
      <x:c r="AD107" s="30"/>
      <x:c r="AE107" s="30"/>
      <x:c r="AF107" s="30"/>
      <x:c r="AG107" s="30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>
      <x:c r="A108" s="1"/>
      <x:c r="B108" s="1"/>
      <x:c r="C108" s="30"/>
      <x:c r="D108" s="30"/>
      <x:c r="E108" s="30"/>
      <x:c r="F108" s="30"/>
      <x:c r="G108" s="30"/>
      <x:c r="H108" s="30"/>
      <x:c r="I108" s="30"/>
      <x:c r="J108" s="30"/>
      <x:c r="K108" s="30"/>
      <x:c r="L108" s="30"/>
      <x:c r="M108" s="30"/>
      <x:c r="N108" s="30"/>
      <x:c r="O108" s="30"/>
      <x:c r="P108" s="30"/>
      <x:c r="Q108" s="30"/>
      <x:c r="R108" s="30"/>
      <x:c r="S108" s="30"/>
      <x:c r="T108" s="30"/>
      <x:c r="U108" s="30"/>
      <x:c r="V108" s="30"/>
      <x:c r="W108" s="30"/>
      <x:c r="X108" s="30"/>
      <x:c r="Y108" s="30"/>
      <x:c r="Z108" s="30"/>
      <x:c r="AA108" s="30"/>
      <x:c r="AB108" s="30"/>
      <x:c r="AC108" s="30"/>
      <x:c r="AD108" s="30"/>
      <x:c r="AE108" s="30"/>
      <x:c r="AF108" s="30"/>
      <x:c r="AG108" s="30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>
      <x:c r="A109" s="1"/>
      <x:c r="B109" s="1"/>
      <x:c r="C109" s="30"/>
      <x:c r="D109" s="30"/>
      <x:c r="E109" s="30"/>
      <x:c r="F109" s="30"/>
      <x:c r="G109" s="30"/>
      <x:c r="H109" s="30"/>
      <x:c r="I109" s="30"/>
      <x:c r="J109" s="30"/>
      <x:c r="K109" s="30"/>
      <x:c r="L109" s="30"/>
      <x:c r="M109" s="30"/>
      <x:c r="N109" s="30"/>
      <x:c r="O109" s="30"/>
      <x:c r="P109" s="30"/>
      <x:c r="Q109" s="30"/>
      <x:c r="R109" s="30"/>
      <x:c r="S109" s="30"/>
      <x:c r="T109" s="30"/>
      <x:c r="U109" s="30"/>
      <x:c r="V109" s="30"/>
      <x:c r="W109" s="30"/>
      <x:c r="X109" s="30"/>
      <x:c r="Y109" s="30"/>
      <x:c r="Z109" s="30"/>
      <x:c r="AA109" s="30"/>
      <x:c r="AB109" s="30"/>
      <x:c r="AC109" s="30"/>
      <x:c r="AD109" s="30"/>
      <x:c r="AE109" s="30"/>
      <x:c r="AF109" s="30"/>
      <x:c r="AG109" s="30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>
      <x:c r="A110" s="1"/>
      <x:c r="B110" s="1"/>
      <x:c r="C110" s="30"/>
      <x:c r="D110" s="30"/>
      <x:c r="E110" s="30"/>
      <x:c r="F110" s="30"/>
      <x:c r="G110" s="30"/>
      <x:c r="H110" s="30"/>
      <x:c r="I110" s="30"/>
      <x:c r="J110" s="30"/>
      <x:c r="K110" s="30"/>
      <x:c r="L110" s="30"/>
      <x:c r="M110" s="30"/>
      <x:c r="N110" s="30"/>
      <x:c r="O110" s="30"/>
      <x:c r="P110" s="30"/>
      <x:c r="Q110" s="30"/>
      <x:c r="R110" s="30"/>
      <x:c r="S110" s="30"/>
      <x:c r="T110" s="30"/>
      <x:c r="U110" s="30"/>
      <x:c r="V110" s="30"/>
      <x:c r="W110" s="30"/>
      <x:c r="X110" s="30"/>
      <x:c r="Y110" s="30"/>
      <x:c r="Z110" s="30"/>
      <x:c r="AA110" s="30"/>
      <x:c r="AB110" s="30"/>
      <x:c r="AC110" s="30"/>
      <x:c r="AD110" s="30"/>
      <x:c r="AE110" s="30"/>
      <x:c r="AF110" s="30"/>
      <x:c r="AG110" s="30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>
      <x:c r="A111" s="1"/>
      <x:c r="B111" s="1"/>
      <x:c r="C111" s="30"/>
      <x:c r="D111" s="30"/>
      <x:c r="E111" s="30"/>
      <x:c r="F111" s="30"/>
      <x:c r="G111" s="30"/>
      <x:c r="H111" s="30"/>
      <x:c r="I111" s="30"/>
      <x:c r="J111" s="30"/>
      <x:c r="K111" s="30"/>
      <x:c r="L111" s="30"/>
      <x:c r="M111" s="30"/>
      <x:c r="N111" s="30"/>
      <x:c r="O111" s="30"/>
      <x:c r="P111" s="30"/>
      <x:c r="Q111" s="30"/>
      <x:c r="R111" s="30"/>
      <x:c r="S111" s="30"/>
      <x:c r="T111" s="30"/>
      <x:c r="U111" s="30"/>
      <x:c r="V111" s="30"/>
      <x:c r="W111" s="30"/>
      <x:c r="X111" s="30"/>
      <x:c r="Y111" s="30"/>
      <x:c r="Z111" s="30"/>
      <x:c r="AA111" s="30"/>
      <x:c r="AB111" s="30"/>
      <x:c r="AC111" s="30"/>
      <x:c r="AD111" s="30"/>
      <x:c r="AE111" s="30"/>
      <x:c r="AF111" s="30"/>
      <x:c r="AG111" s="30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>
      <x:c r="A112" s="1"/>
      <x:c r="B112" s="1"/>
      <x:c r="C112" s="30"/>
      <x:c r="D112" s="30"/>
      <x:c r="E112" s="30"/>
      <x:c r="F112" s="30"/>
      <x:c r="G112" s="30"/>
      <x:c r="H112" s="30"/>
      <x:c r="I112" s="30"/>
      <x:c r="J112" s="30"/>
      <x:c r="K112" s="30"/>
      <x:c r="L112" s="30"/>
      <x:c r="M112" s="30"/>
      <x:c r="N112" s="30"/>
      <x:c r="O112" s="30"/>
      <x:c r="P112" s="30"/>
      <x:c r="Q112" s="30"/>
      <x:c r="R112" s="30"/>
      <x:c r="S112" s="30"/>
      <x:c r="T112" s="30"/>
      <x:c r="U112" s="30"/>
      <x:c r="V112" s="30"/>
      <x:c r="W112" s="30"/>
      <x:c r="X112" s="30"/>
      <x:c r="Y112" s="30"/>
      <x:c r="Z112" s="30"/>
      <x:c r="AA112" s="30"/>
      <x:c r="AB112" s="30"/>
      <x:c r="AC112" s="30"/>
      <x:c r="AD112" s="30"/>
      <x:c r="AE112" s="30"/>
      <x:c r="AF112" s="30"/>
      <x:c r="AG112" s="30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>
      <x:c r="A113" s="1"/>
      <x:c r="B113" s="1"/>
      <x:c r="C113" s="30"/>
      <x:c r="D113" s="30"/>
      <x:c r="E113" s="30"/>
      <x:c r="F113" s="30"/>
      <x:c r="G113" s="30"/>
      <x:c r="H113" s="30"/>
      <x:c r="I113" s="30"/>
      <x:c r="J113" s="30"/>
      <x:c r="K113" s="30"/>
      <x:c r="L113" s="30"/>
      <x:c r="M113" s="30"/>
      <x:c r="N113" s="30"/>
      <x:c r="O113" s="30"/>
      <x:c r="P113" s="30"/>
      <x:c r="Q113" s="30"/>
      <x:c r="R113" s="30"/>
      <x:c r="S113" s="30"/>
      <x:c r="T113" s="30"/>
      <x:c r="U113" s="30"/>
      <x:c r="V113" s="30"/>
      <x:c r="W113" s="30"/>
      <x:c r="X113" s="30"/>
      <x:c r="Y113" s="30"/>
      <x:c r="Z113" s="30"/>
      <x:c r="AA113" s="30"/>
      <x:c r="AB113" s="30"/>
      <x:c r="AC113" s="30"/>
      <x:c r="AD113" s="30"/>
      <x:c r="AE113" s="30"/>
      <x:c r="AF113" s="30"/>
      <x:c r="AG113" s="30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>
      <x:c r="A114" s="1"/>
      <x:c r="B114" s="1"/>
      <x:c r="C114" s="30"/>
      <x:c r="D114" s="30"/>
      <x:c r="E114" s="30"/>
      <x:c r="F114" s="30"/>
      <x:c r="G114" s="30"/>
      <x:c r="H114" s="30"/>
      <x:c r="I114" s="30"/>
      <x:c r="J114" s="30"/>
      <x:c r="K114" s="30"/>
      <x:c r="L114" s="30"/>
      <x:c r="M114" s="30"/>
      <x:c r="N114" s="30"/>
      <x:c r="O114" s="30"/>
      <x:c r="P114" s="30"/>
      <x:c r="Q114" s="30"/>
      <x:c r="R114" s="30"/>
      <x:c r="S114" s="30"/>
      <x:c r="T114" s="30"/>
      <x:c r="U114" s="30"/>
      <x:c r="V114" s="30"/>
      <x:c r="W114" s="30"/>
      <x:c r="X114" s="30"/>
      <x:c r="Y114" s="30"/>
      <x:c r="Z114" s="30"/>
      <x:c r="AA114" s="30"/>
      <x:c r="AB114" s="30"/>
      <x:c r="AC114" s="30"/>
      <x:c r="AD114" s="30"/>
      <x:c r="AE114" s="30"/>
      <x:c r="AF114" s="30"/>
      <x:c r="AG114" s="30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>
      <x:c r="A115" s="1"/>
      <x:c r="B115" s="1"/>
      <x:c r="C115" s="30"/>
      <x:c r="D115" s="30"/>
      <x:c r="E115" s="30"/>
      <x:c r="F115" s="30"/>
      <x:c r="G115" s="30"/>
      <x:c r="H115" s="30"/>
      <x:c r="I115" s="30"/>
      <x:c r="J115" s="30"/>
      <x:c r="K115" s="30"/>
      <x:c r="L115" s="30"/>
      <x:c r="M115" s="30"/>
      <x:c r="N115" s="30"/>
      <x:c r="O115" s="30"/>
      <x:c r="P115" s="30"/>
      <x:c r="Q115" s="30"/>
      <x:c r="R115" s="30"/>
      <x:c r="S115" s="30"/>
      <x:c r="T115" s="30"/>
      <x:c r="U115" s="30"/>
      <x:c r="V115" s="30"/>
      <x:c r="W115" s="30"/>
      <x:c r="X115" s="30"/>
      <x:c r="Y115" s="30"/>
      <x:c r="Z115" s="30"/>
      <x:c r="AA115" s="30"/>
      <x:c r="AB115" s="30"/>
      <x:c r="AC115" s="30"/>
      <x:c r="AD115" s="30"/>
      <x:c r="AE115" s="30"/>
      <x:c r="AF115" s="30"/>
      <x:c r="AG115" s="30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>
      <x:c r="A116" s="1"/>
      <x:c r="B116" s="1"/>
      <x:c r="C116" s="30"/>
      <x:c r="D116" s="30"/>
      <x:c r="E116" s="30"/>
      <x:c r="F116" s="30"/>
      <x:c r="G116" s="30"/>
      <x:c r="H116" s="30"/>
      <x:c r="I116" s="30"/>
      <x:c r="J116" s="30"/>
      <x:c r="K116" s="30"/>
      <x:c r="L116" s="30"/>
      <x:c r="M116" s="30"/>
      <x:c r="N116" s="30"/>
      <x:c r="O116" s="30"/>
      <x:c r="P116" s="30"/>
      <x:c r="Q116" s="30"/>
      <x:c r="R116" s="30"/>
      <x:c r="S116" s="30"/>
      <x:c r="T116" s="30"/>
      <x:c r="U116" s="30"/>
      <x:c r="V116" s="30"/>
      <x:c r="W116" s="30"/>
      <x:c r="X116" s="30"/>
      <x:c r="Y116" s="30"/>
      <x:c r="Z116" s="30"/>
      <x:c r="AA116" s="30"/>
      <x:c r="AB116" s="30"/>
      <x:c r="AC116" s="30"/>
      <x:c r="AD116" s="30"/>
      <x:c r="AE116" s="30"/>
      <x:c r="AF116" s="30"/>
      <x:c r="AG116" s="30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>
      <x:c r="A117" s="1"/>
      <x:c r="B117" s="1"/>
      <x:c r="C117" s="30"/>
      <x:c r="D117" s="30"/>
      <x:c r="E117" s="30"/>
      <x:c r="F117" s="30"/>
      <x:c r="G117" s="30"/>
      <x:c r="H117" s="30"/>
      <x:c r="I117" s="30"/>
      <x:c r="J117" s="30"/>
      <x:c r="K117" s="30"/>
      <x:c r="L117" s="30"/>
      <x:c r="M117" s="30"/>
      <x:c r="N117" s="30"/>
      <x:c r="O117" s="30"/>
      <x:c r="P117" s="30"/>
      <x:c r="Q117" s="30"/>
      <x:c r="R117" s="30"/>
      <x:c r="S117" s="30"/>
      <x:c r="T117" s="30"/>
      <x:c r="U117" s="30"/>
      <x:c r="V117" s="30"/>
      <x:c r="W117" s="30"/>
      <x:c r="X117" s="30"/>
      <x:c r="Y117" s="30"/>
      <x:c r="Z117" s="30"/>
      <x:c r="AA117" s="30"/>
      <x:c r="AB117" s="30"/>
      <x:c r="AC117" s="30"/>
      <x:c r="AD117" s="30"/>
      <x:c r="AE117" s="30"/>
      <x:c r="AF117" s="30"/>
      <x:c r="AG117" s="30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>
      <x:c r="A118" s="1"/>
      <x:c r="B118" s="1"/>
      <x:c r="C118" s="30"/>
      <x:c r="D118" s="30"/>
      <x:c r="E118" s="30"/>
      <x:c r="F118" s="30"/>
      <x:c r="G118" s="30"/>
      <x:c r="H118" s="30"/>
      <x:c r="I118" s="30"/>
      <x:c r="J118" s="30"/>
      <x:c r="K118" s="30"/>
      <x:c r="L118" s="30"/>
      <x:c r="M118" s="30"/>
      <x:c r="N118" s="30"/>
      <x:c r="O118" s="30"/>
      <x:c r="P118" s="30"/>
      <x:c r="Q118" s="30"/>
      <x:c r="R118" s="30"/>
      <x:c r="S118" s="30"/>
      <x:c r="T118" s="30"/>
      <x:c r="U118" s="30"/>
      <x:c r="V118" s="30"/>
      <x:c r="W118" s="30"/>
      <x:c r="X118" s="30"/>
      <x:c r="Y118" s="30"/>
      <x:c r="Z118" s="30"/>
      <x:c r="AA118" s="30"/>
      <x:c r="AB118" s="30"/>
      <x:c r="AC118" s="30"/>
      <x:c r="AD118" s="30"/>
      <x:c r="AE118" s="30"/>
      <x:c r="AF118" s="30"/>
      <x:c r="AG118" s="30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>
      <x:c r="A119" s="1"/>
      <x:c r="B119" s="1"/>
      <x:c r="C119" s="30"/>
      <x:c r="D119" s="30"/>
      <x:c r="E119" s="30"/>
      <x:c r="F119" s="30"/>
      <x:c r="G119" s="30"/>
      <x:c r="H119" s="30"/>
      <x:c r="I119" s="30"/>
      <x:c r="J119" s="30"/>
      <x:c r="K119" s="30"/>
      <x:c r="L119" s="30"/>
      <x:c r="M119" s="30"/>
      <x:c r="N119" s="30"/>
      <x:c r="O119" s="30"/>
      <x:c r="P119" s="30"/>
      <x:c r="Q119" s="30"/>
      <x:c r="R119" s="30"/>
      <x:c r="S119" s="30"/>
      <x:c r="T119" s="30"/>
      <x:c r="U119" s="30"/>
      <x:c r="V119" s="30"/>
      <x:c r="W119" s="30"/>
      <x:c r="X119" s="30"/>
      <x:c r="Y119" s="30"/>
      <x:c r="Z119" s="30"/>
      <x:c r="AA119" s="30"/>
      <x:c r="AB119" s="30"/>
      <x:c r="AC119" s="30"/>
      <x:c r="AD119" s="30"/>
      <x:c r="AE119" s="30"/>
      <x:c r="AF119" s="30"/>
      <x:c r="AG119" s="30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>
      <x:c r="A120" s="1"/>
      <x:c r="B120" s="1"/>
      <x:c r="C120" s="30"/>
      <x:c r="D120" s="30"/>
      <x:c r="E120" s="30"/>
      <x:c r="F120" s="30"/>
      <x:c r="G120" s="30"/>
      <x:c r="H120" s="30"/>
      <x:c r="I120" s="30"/>
      <x:c r="J120" s="30"/>
      <x:c r="K120" s="30"/>
      <x:c r="L120" s="30"/>
      <x:c r="M120" s="30"/>
      <x:c r="N120" s="30"/>
      <x:c r="O120" s="30"/>
      <x:c r="P120" s="30"/>
      <x:c r="Q120" s="30"/>
      <x:c r="R120" s="30"/>
      <x:c r="S120" s="30"/>
      <x:c r="T120" s="30"/>
      <x:c r="U120" s="30"/>
      <x:c r="V120" s="30"/>
      <x:c r="W120" s="30"/>
      <x:c r="X120" s="30"/>
      <x:c r="Y120" s="30"/>
      <x:c r="Z120" s="30"/>
      <x:c r="AA120" s="30"/>
      <x:c r="AB120" s="30"/>
      <x:c r="AC120" s="30"/>
      <x:c r="AD120" s="30"/>
      <x:c r="AE120" s="30"/>
      <x:c r="AF120" s="30"/>
      <x:c r="AG120" s="30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>
      <x:c r="A121" s="1"/>
      <x:c r="B121" s="1"/>
      <x:c r="C121" s="30"/>
      <x:c r="D121" s="30"/>
      <x:c r="E121" s="30"/>
      <x:c r="F121" s="30"/>
      <x:c r="G121" s="30"/>
      <x:c r="H121" s="30"/>
      <x:c r="I121" s="30"/>
      <x:c r="J121" s="30"/>
      <x:c r="K121" s="30"/>
      <x:c r="L121" s="30"/>
      <x:c r="M121" s="30"/>
      <x:c r="N121" s="30"/>
      <x:c r="O121" s="30"/>
      <x:c r="P121" s="30"/>
      <x:c r="Q121" s="30"/>
      <x:c r="R121" s="30"/>
      <x:c r="S121" s="30"/>
      <x:c r="T121" s="30"/>
      <x:c r="U121" s="30"/>
      <x:c r="V121" s="30"/>
      <x:c r="W121" s="30"/>
      <x:c r="X121" s="30"/>
      <x:c r="Y121" s="30"/>
      <x:c r="Z121" s="30"/>
      <x:c r="AA121" s="30"/>
      <x:c r="AB121" s="30"/>
      <x:c r="AC121" s="30"/>
      <x:c r="AD121" s="30"/>
      <x:c r="AE121" s="30"/>
      <x:c r="AF121" s="30"/>
      <x:c r="AG121" s="30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>
      <x:c r="A122" s="1"/>
      <x:c r="B122" s="1"/>
      <x:c r="C122" s="30"/>
      <x:c r="D122" s="30"/>
      <x:c r="E122" s="30"/>
      <x:c r="F122" s="30"/>
      <x:c r="G122" s="30"/>
      <x:c r="H122" s="30"/>
      <x:c r="I122" s="30"/>
      <x:c r="J122" s="30"/>
      <x:c r="K122" s="30"/>
      <x:c r="L122" s="30"/>
      <x:c r="M122" s="30"/>
      <x:c r="N122" s="30"/>
      <x:c r="O122" s="30"/>
      <x:c r="P122" s="30"/>
      <x:c r="Q122" s="30"/>
      <x:c r="R122" s="30"/>
      <x:c r="S122" s="30"/>
      <x:c r="T122" s="30"/>
      <x:c r="U122" s="30"/>
      <x:c r="V122" s="30"/>
      <x:c r="W122" s="30"/>
      <x:c r="X122" s="30"/>
      <x:c r="Y122" s="30"/>
      <x:c r="Z122" s="30"/>
      <x:c r="AA122" s="30"/>
      <x:c r="AB122" s="30"/>
      <x:c r="AC122" s="30"/>
      <x:c r="AD122" s="30"/>
      <x:c r="AE122" s="30"/>
      <x:c r="AF122" s="30"/>
      <x:c r="AG122" s="30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>
      <x:c r="A123" s="1"/>
      <x:c r="B123" s="1"/>
      <x:c r="C123" s="30"/>
      <x:c r="D123" s="30"/>
      <x:c r="E123" s="30"/>
      <x:c r="F123" s="30"/>
      <x:c r="G123" s="30"/>
      <x:c r="H123" s="30"/>
      <x:c r="I123" s="30"/>
      <x:c r="J123" s="30"/>
      <x:c r="K123" s="30"/>
      <x:c r="L123" s="30"/>
      <x:c r="M123" s="30"/>
      <x:c r="N123" s="30"/>
      <x:c r="O123" s="30"/>
      <x:c r="P123" s="30"/>
      <x:c r="Q123" s="30"/>
      <x:c r="R123" s="30"/>
      <x:c r="S123" s="30"/>
      <x:c r="T123" s="30"/>
      <x:c r="U123" s="30"/>
      <x:c r="V123" s="30"/>
      <x:c r="W123" s="30"/>
      <x:c r="X123" s="30"/>
      <x:c r="Y123" s="30"/>
      <x:c r="Z123" s="30"/>
      <x:c r="AA123" s="30"/>
      <x:c r="AB123" s="30"/>
      <x:c r="AC123" s="30"/>
      <x:c r="AD123" s="30"/>
      <x:c r="AE123" s="30"/>
      <x:c r="AF123" s="30"/>
      <x:c r="AG123" s="30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>
      <x:c r="A124" s="1"/>
      <x:c r="B124" s="1"/>
      <x:c r="C124" s="30"/>
      <x:c r="D124" s="30"/>
      <x:c r="E124" s="30"/>
      <x:c r="F124" s="30"/>
      <x:c r="G124" s="30"/>
      <x:c r="H124" s="30"/>
      <x:c r="I124" s="30"/>
      <x:c r="J124" s="30"/>
      <x:c r="K124" s="30"/>
      <x:c r="L124" s="30"/>
      <x:c r="M124" s="30"/>
      <x:c r="N124" s="30"/>
      <x:c r="O124" s="30"/>
      <x:c r="P124" s="30"/>
      <x:c r="Q124" s="30"/>
      <x:c r="R124" s="30"/>
      <x:c r="S124" s="30"/>
      <x:c r="T124" s="30"/>
      <x:c r="U124" s="30"/>
      <x:c r="V124" s="30"/>
      <x:c r="W124" s="30"/>
      <x:c r="X124" s="30"/>
      <x:c r="Y124" s="30"/>
      <x:c r="Z124" s="30"/>
      <x:c r="AA124" s="30"/>
      <x:c r="AB124" s="30"/>
      <x:c r="AC124" s="30"/>
      <x:c r="AD124" s="30"/>
      <x:c r="AE124" s="30"/>
      <x:c r="AF124" s="30"/>
      <x:c r="AG124" s="30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>
      <x:c r="A125" s="1"/>
      <x:c r="B125" s="1"/>
      <x:c r="C125" s="30"/>
      <x:c r="D125" s="30"/>
      <x:c r="E125" s="30"/>
      <x:c r="F125" s="30"/>
      <x:c r="G125" s="30"/>
      <x:c r="H125" s="30"/>
      <x:c r="I125" s="30"/>
      <x:c r="J125" s="30"/>
      <x:c r="K125" s="30"/>
      <x:c r="L125" s="30"/>
      <x:c r="M125" s="30"/>
      <x:c r="N125" s="30"/>
      <x:c r="O125" s="30"/>
      <x:c r="P125" s="30"/>
      <x:c r="Q125" s="30"/>
      <x:c r="R125" s="30"/>
      <x:c r="S125" s="30"/>
      <x:c r="T125" s="30"/>
      <x:c r="U125" s="30"/>
      <x:c r="V125" s="30"/>
      <x:c r="W125" s="30"/>
      <x:c r="X125" s="30"/>
      <x:c r="Y125" s="30"/>
      <x:c r="Z125" s="30"/>
      <x:c r="AA125" s="30"/>
      <x:c r="AB125" s="30"/>
      <x:c r="AC125" s="30"/>
      <x:c r="AD125" s="30"/>
      <x:c r="AE125" s="30"/>
      <x:c r="AF125" s="30"/>
      <x:c r="AG125" s="30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>
      <x:c r="A126" s="1"/>
      <x:c r="B126" s="1"/>
      <x:c r="C126" s="30"/>
      <x:c r="D126" s="30"/>
      <x:c r="E126" s="30"/>
      <x:c r="F126" s="30"/>
      <x:c r="G126" s="30"/>
      <x:c r="H126" s="30"/>
      <x:c r="I126" s="30"/>
      <x:c r="J126" s="30"/>
      <x:c r="K126" s="30"/>
      <x:c r="L126" s="30"/>
      <x:c r="M126" s="30"/>
      <x:c r="N126" s="30"/>
      <x:c r="O126" s="30"/>
      <x:c r="P126" s="30"/>
      <x:c r="Q126" s="30"/>
      <x:c r="R126" s="30"/>
      <x:c r="S126" s="30"/>
      <x:c r="T126" s="30"/>
      <x:c r="U126" s="30"/>
      <x:c r="V126" s="30"/>
      <x:c r="W126" s="30"/>
      <x:c r="X126" s="30"/>
      <x:c r="Y126" s="30"/>
      <x:c r="Z126" s="30"/>
      <x:c r="AA126" s="30"/>
      <x:c r="AB126" s="30"/>
      <x:c r="AC126" s="30"/>
      <x:c r="AD126" s="30"/>
      <x:c r="AE126" s="30"/>
      <x:c r="AF126" s="30"/>
      <x:c r="AG126" s="30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>
      <x:c r="A127" s="1"/>
      <x:c r="B127" s="1"/>
      <x:c r="C127" s="30"/>
      <x:c r="D127" s="30"/>
      <x:c r="E127" s="30"/>
      <x:c r="F127" s="30"/>
      <x:c r="G127" s="30"/>
      <x:c r="H127" s="30"/>
      <x:c r="I127" s="30"/>
      <x:c r="J127" s="30"/>
      <x:c r="K127" s="30"/>
      <x:c r="L127" s="30"/>
      <x:c r="M127" s="30"/>
      <x:c r="N127" s="30"/>
      <x:c r="O127" s="30"/>
      <x:c r="P127" s="30"/>
      <x:c r="Q127" s="30"/>
      <x:c r="R127" s="30"/>
      <x:c r="S127" s="30"/>
      <x:c r="T127" s="30"/>
      <x:c r="U127" s="30"/>
      <x:c r="V127" s="30"/>
      <x:c r="W127" s="30"/>
      <x:c r="X127" s="30"/>
      <x:c r="Y127" s="30"/>
      <x:c r="Z127" s="30"/>
      <x:c r="AA127" s="30"/>
      <x:c r="AB127" s="30"/>
      <x:c r="AC127" s="30"/>
      <x:c r="AD127" s="30"/>
      <x:c r="AE127" s="30"/>
      <x:c r="AF127" s="30"/>
      <x:c r="AG127" s="30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>
      <x:c r="A128" s="1"/>
      <x:c r="B128" s="1"/>
      <x:c r="C128" s="30"/>
      <x:c r="D128" s="30"/>
      <x:c r="E128" s="30"/>
      <x:c r="F128" s="30"/>
      <x:c r="G128" s="30"/>
      <x:c r="H128" s="30"/>
      <x:c r="I128" s="30"/>
      <x:c r="J128" s="30"/>
      <x:c r="K128" s="30"/>
      <x:c r="L128" s="30"/>
      <x:c r="M128" s="30"/>
      <x:c r="N128" s="30"/>
      <x:c r="O128" s="30"/>
      <x:c r="P128" s="30"/>
      <x:c r="Q128" s="30"/>
      <x:c r="R128" s="30"/>
      <x:c r="S128" s="30"/>
      <x:c r="T128" s="30"/>
      <x:c r="U128" s="30"/>
      <x:c r="V128" s="30"/>
      <x:c r="W128" s="30"/>
      <x:c r="X128" s="30"/>
      <x:c r="Y128" s="30"/>
      <x:c r="Z128" s="30"/>
      <x:c r="AA128" s="30"/>
      <x:c r="AB128" s="30"/>
      <x:c r="AC128" s="30"/>
      <x:c r="AD128" s="30"/>
      <x:c r="AE128" s="30"/>
      <x:c r="AF128" s="30"/>
      <x:c r="AG128" s="30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>
      <x:c r="A129" s="1"/>
      <x:c r="B129" s="1"/>
      <x:c r="C129" s="30"/>
      <x:c r="D129" s="30"/>
      <x:c r="E129" s="30"/>
      <x:c r="F129" s="30"/>
      <x:c r="G129" s="30"/>
      <x:c r="H129" s="30"/>
      <x:c r="I129" s="30"/>
      <x:c r="J129" s="30"/>
      <x:c r="K129" s="30"/>
      <x:c r="L129" s="30"/>
      <x:c r="M129" s="30"/>
      <x:c r="N129" s="30"/>
      <x:c r="O129" s="30"/>
      <x:c r="P129" s="30"/>
      <x:c r="Q129" s="30"/>
      <x:c r="R129" s="30"/>
      <x:c r="S129" s="30"/>
      <x:c r="T129" s="30"/>
      <x:c r="U129" s="30"/>
      <x:c r="V129" s="30"/>
      <x:c r="W129" s="30"/>
      <x:c r="X129" s="30"/>
      <x:c r="Y129" s="30"/>
      <x:c r="Z129" s="30"/>
      <x:c r="AA129" s="30"/>
      <x:c r="AB129" s="30"/>
      <x:c r="AC129" s="30"/>
      <x:c r="AD129" s="30"/>
      <x:c r="AE129" s="30"/>
      <x:c r="AF129" s="30"/>
      <x:c r="AG129" s="30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>
      <x:c r="A130" s="1"/>
      <x:c r="B130" s="1"/>
      <x:c r="C130" s="30"/>
      <x:c r="D130" s="30"/>
      <x:c r="E130" s="30"/>
      <x:c r="F130" s="30"/>
      <x:c r="G130" s="30"/>
      <x:c r="H130" s="30"/>
      <x:c r="I130" s="30"/>
      <x:c r="J130" s="30"/>
      <x:c r="K130" s="30"/>
      <x:c r="L130" s="30"/>
      <x:c r="M130" s="30"/>
      <x:c r="N130" s="30"/>
      <x:c r="O130" s="30"/>
      <x:c r="P130" s="30"/>
      <x:c r="Q130" s="30"/>
      <x:c r="R130" s="30"/>
      <x:c r="S130" s="30"/>
      <x:c r="T130" s="30"/>
      <x:c r="U130" s="30"/>
      <x:c r="V130" s="30"/>
      <x:c r="W130" s="30"/>
      <x:c r="X130" s="30"/>
      <x:c r="Y130" s="30"/>
      <x:c r="Z130" s="30"/>
      <x:c r="AA130" s="30"/>
      <x:c r="AB130" s="30"/>
      <x:c r="AC130" s="30"/>
      <x:c r="AD130" s="30"/>
      <x:c r="AE130" s="30"/>
      <x:c r="AF130" s="30"/>
      <x:c r="AG130" s="30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>
      <x:c r="A131" s="1"/>
      <x:c r="B131" s="1"/>
      <x:c r="C131" s="30"/>
      <x:c r="D131" s="30"/>
      <x:c r="E131" s="30"/>
      <x:c r="F131" s="30"/>
      <x:c r="G131" s="30"/>
      <x:c r="H131" s="30"/>
      <x:c r="I131" s="30"/>
      <x:c r="J131" s="30"/>
      <x:c r="K131" s="30"/>
      <x:c r="L131" s="30"/>
      <x:c r="M131" s="30"/>
      <x:c r="N131" s="30"/>
      <x:c r="O131" s="30"/>
      <x:c r="P131" s="30"/>
      <x:c r="Q131" s="30"/>
      <x:c r="R131" s="30"/>
      <x:c r="S131" s="30"/>
      <x:c r="T131" s="30"/>
      <x:c r="U131" s="30"/>
      <x:c r="V131" s="30"/>
      <x:c r="W131" s="30"/>
      <x:c r="X131" s="30"/>
      <x:c r="Y131" s="30"/>
      <x:c r="Z131" s="30"/>
      <x:c r="AA131" s="30"/>
      <x:c r="AB131" s="30"/>
      <x:c r="AC131" s="30"/>
      <x:c r="AD131" s="30"/>
      <x:c r="AE131" s="30"/>
      <x:c r="AF131" s="30"/>
      <x:c r="AG131" s="30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>
      <x:c r="A132" s="1"/>
      <x:c r="B132" s="1"/>
      <x:c r="C132" s="30"/>
      <x:c r="D132" s="30"/>
      <x:c r="E132" s="30"/>
      <x:c r="F132" s="30"/>
      <x:c r="G132" s="30"/>
      <x:c r="H132" s="30"/>
      <x:c r="I132" s="30"/>
      <x:c r="J132" s="30"/>
      <x:c r="K132" s="30"/>
      <x:c r="L132" s="30"/>
      <x:c r="M132" s="30"/>
      <x:c r="N132" s="30"/>
      <x:c r="O132" s="30"/>
      <x:c r="P132" s="30"/>
      <x:c r="Q132" s="30"/>
      <x:c r="R132" s="30"/>
      <x:c r="S132" s="30"/>
      <x:c r="T132" s="30"/>
      <x:c r="U132" s="30"/>
      <x:c r="V132" s="30"/>
      <x:c r="W132" s="30"/>
      <x:c r="X132" s="30"/>
      <x:c r="Y132" s="30"/>
      <x:c r="Z132" s="30"/>
      <x:c r="AA132" s="30"/>
      <x:c r="AB132" s="30"/>
      <x:c r="AC132" s="30"/>
      <x:c r="AD132" s="30"/>
      <x:c r="AE132" s="30"/>
      <x:c r="AF132" s="30"/>
      <x:c r="AG132" s="30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>
      <x:c r="A133" s="1"/>
      <x:c r="B133" s="1"/>
      <x:c r="C133" s="30"/>
      <x:c r="D133" s="30"/>
      <x:c r="E133" s="30"/>
      <x:c r="F133" s="30"/>
      <x:c r="G133" s="30"/>
      <x:c r="H133" s="30"/>
      <x:c r="I133" s="30"/>
      <x:c r="J133" s="30"/>
      <x:c r="K133" s="30"/>
      <x:c r="L133" s="30"/>
      <x:c r="M133" s="30"/>
      <x:c r="N133" s="30"/>
      <x:c r="O133" s="30"/>
      <x:c r="P133" s="30"/>
      <x:c r="Q133" s="30"/>
      <x:c r="R133" s="30"/>
      <x:c r="S133" s="30"/>
      <x:c r="T133" s="30"/>
      <x:c r="U133" s="30"/>
      <x:c r="V133" s="30"/>
      <x:c r="W133" s="30"/>
      <x:c r="X133" s="30"/>
      <x:c r="Y133" s="30"/>
      <x:c r="Z133" s="30"/>
      <x:c r="AA133" s="30"/>
      <x:c r="AB133" s="30"/>
      <x:c r="AC133" s="30"/>
      <x:c r="AD133" s="30"/>
      <x:c r="AE133" s="30"/>
      <x:c r="AF133" s="30"/>
      <x:c r="AG133" s="30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>
      <x:c r="A134" s="1"/>
      <x:c r="B134" s="1"/>
      <x:c r="C134" s="30"/>
      <x:c r="D134" s="30"/>
      <x:c r="E134" s="30"/>
      <x:c r="F134" s="30"/>
      <x:c r="G134" s="30"/>
      <x:c r="H134" s="30"/>
      <x:c r="I134" s="30"/>
      <x:c r="J134" s="30"/>
      <x:c r="K134" s="30"/>
      <x:c r="L134" s="30"/>
      <x:c r="M134" s="30"/>
      <x:c r="N134" s="30"/>
      <x:c r="O134" s="30"/>
      <x:c r="P134" s="30"/>
      <x:c r="Q134" s="30"/>
      <x:c r="R134" s="30"/>
      <x:c r="S134" s="30"/>
      <x:c r="T134" s="30"/>
      <x:c r="U134" s="30"/>
      <x:c r="V134" s="30"/>
      <x:c r="W134" s="30"/>
      <x:c r="X134" s="30"/>
      <x:c r="Y134" s="30"/>
      <x:c r="Z134" s="30"/>
      <x:c r="AA134" s="30"/>
      <x:c r="AB134" s="30"/>
      <x:c r="AC134" s="30"/>
      <x:c r="AD134" s="30"/>
      <x:c r="AE134" s="30"/>
      <x:c r="AF134" s="30"/>
      <x:c r="AG134" s="30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>
      <x:c r="A135" s="1"/>
      <x:c r="B135" s="1"/>
      <x:c r="C135" s="30"/>
      <x:c r="D135" s="30"/>
      <x:c r="E135" s="30"/>
      <x:c r="F135" s="30"/>
      <x:c r="G135" s="30"/>
      <x:c r="H135" s="30"/>
      <x:c r="I135" s="30"/>
      <x:c r="J135" s="30"/>
      <x:c r="K135" s="30"/>
      <x:c r="L135" s="30"/>
      <x:c r="M135" s="30"/>
      <x:c r="N135" s="30"/>
      <x:c r="O135" s="30"/>
      <x:c r="P135" s="30"/>
      <x:c r="Q135" s="30"/>
      <x:c r="R135" s="30"/>
      <x:c r="S135" s="30"/>
      <x:c r="T135" s="30"/>
      <x:c r="U135" s="30"/>
      <x:c r="V135" s="30"/>
      <x:c r="W135" s="30"/>
      <x:c r="X135" s="30"/>
      <x:c r="Y135" s="30"/>
      <x:c r="Z135" s="30"/>
      <x:c r="AA135" s="30"/>
      <x:c r="AB135" s="30"/>
      <x:c r="AC135" s="30"/>
      <x:c r="AD135" s="30"/>
      <x:c r="AE135" s="30"/>
      <x:c r="AF135" s="30"/>
      <x:c r="AG135" s="30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>
      <x:c r="A136" s="1"/>
      <x:c r="B136" s="1"/>
      <x:c r="C136" s="30"/>
      <x:c r="D136" s="30"/>
      <x:c r="E136" s="30"/>
      <x:c r="F136" s="30"/>
      <x:c r="G136" s="30"/>
      <x:c r="H136" s="30"/>
      <x:c r="I136" s="30"/>
      <x:c r="J136" s="30"/>
      <x:c r="K136" s="30"/>
      <x:c r="L136" s="30"/>
      <x:c r="M136" s="30"/>
      <x:c r="N136" s="30"/>
      <x:c r="O136" s="30"/>
      <x:c r="P136" s="30"/>
      <x:c r="Q136" s="30"/>
      <x:c r="R136" s="30"/>
      <x:c r="S136" s="30"/>
      <x:c r="T136" s="30"/>
      <x:c r="U136" s="30"/>
      <x:c r="V136" s="30"/>
      <x:c r="W136" s="30"/>
      <x:c r="X136" s="30"/>
      <x:c r="Y136" s="30"/>
      <x:c r="Z136" s="30"/>
      <x:c r="AA136" s="30"/>
      <x:c r="AB136" s="30"/>
      <x:c r="AC136" s="30"/>
      <x:c r="AD136" s="30"/>
      <x:c r="AE136" s="30"/>
      <x:c r="AF136" s="30"/>
      <x:c r="AG136" s="30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>
      <x:c r="A137" s="1"/>
      <x:c r="B137" s="1"/>
      <x:c r="C137" s="30"/>
      <x:c r="D137" s="30"/>
      <x:c r="E137" s="30"/>
      <x:c r="F137" s="30"/>
      <x:c r="G137" s="30"/>
      <x:c r="H137" s="30"/>
      <x:c r="I137" s="30"/>
      <x:c r="J137" s="30"/>
      <x:c r="K137" s="30"/>
      <x:c r="L137" s="30"/>
      <x:c r="M137" s="30"/>
      <x:c r="N137" s="30"/>
      <x:c r="O137" s="30"/>
      <x:c r="P137" s="30"/>
      <x:c r="Q137" s="30"/>
      <x:c r="R137" s="30"/>
      <x:c r="S137" s="30"/>
      <x:c r="T137" s="30"/>
      <x:c r="U137" s="30"/>
      <x:c r="V137" s="30"/>
      <x:c r="W137" s="30"/>
      <x:c r="X137" s="30"/>
      <x:c r="Y137" s="30"/>
      <x:c r="Z137" s="30"/>
      <x:c r="AA137" s="30"/>
      <x:c r="AB137" s="30"/>
      <x:c r="AC137" s="30"/>
      <x:c r="AD137" s="30"/>
      <x:c r="AE137" s="30"/>
      <x:c r="AF137" s="30"/>
      <x:c r="AG137" s="30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>
      <x:c r="A138" s="1"/>
      <x:c r="B138" s="1"/>
      <x:c r="C138" s="30"/>
      <x:c r="D138" s="30"/>
      <x:c r="E138" s="30"/>
      <x:c r="F138" s="30"/>
      <x:c r="G138" s="30"/>
      <x:c r="H138" s="30"/>
      <x:c r="I138" s="30"/>
      <x:c r="J138" s="30"/>
      <x:c r="K138" s="30"/>
      <x:c r="L138" s="30"/>
      <x:c r="M138" s="30"/>
      <x:c r="N138" s="30"/>
      <x:c r="O138" s="30"/>
      <x:c r="P138" s="30"/>
      <x:c r="Q138" s="30"/>
      <x:c r="R138" s="30"/>
      <x:c r="S138" s="30"/>
      <x:c r="T138" s="30"/>
      <x:c r="U138" s="30"/>
      <x:c r="V138" s="30"/>
      <x:c r="W138" s="30"/>
      <x:c r="X138" s="30"/>
      <x:c r="Y138" s="30"/>
      <x:c r="Z138" s="30"/>
      <x:c r="AA138" s="30"/>
      <x:c r="AB138" s="30"/>
      <x:c r="AC138" s="30"/>
      <x:c r="AD138" s="30"/>
      <x:c r="AE138" s="30"/>
      <x:c r="AF138" s="30"/>
      <x:c r="AG138" s="30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>
      <x:c r="A139" s="1"/>
      <x:c r="B139" s="1"/>
      <x:c r="C139" s="30"/>
      <x:c r="D139" s="30"/>
      <x:c r="E139" s="30"/>
      <x:c r="F139" s="30"/>
      <x:c r="G139" s="30"/>
      <x:c r="H139" s="30"/>
      <x:c r="I139" s="30"/>
      <x:c r="J139" s="30"/>
      <x:c r="K139" s="30"/>
      <x:c r="L139" s="30"/>
      <x:c r="M139" s="30"/>
      <x:c r="N139" s="30"/>
      <x:c r="O139" s="30"/>
      <x:c r="P139" s="30"/>
      <x:c r="Q139" s="30"/>
      <x:c r="R139" s="30"/>
      <x:c r="S139" s="30"/>
      <x:c r="T139" s="30"/>
      <x:c r="U139" s="30"/>
      <x:c r="V139" s="30"/>
      <x:c r="W139" s="30"/>
      <x:c r="X139" s="30"/>
      <x:c r="Y139" s="30"/>
      <x:c r="Z139" s="30"/>
      <x:c r="AA139" s="30"/>
      <x:c r="AB139" s="30"/>
      <x:c r="AC139" s="30"/>
      <x:c r="AD139" s="30"/>
      <x:c r="AE139" s="30"/>
      <x:c r="AF139" s="30"/>
      <x:c r="AG139" s="30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>
      <x:c r="A140" s="1"/>
      <x:c r="B140" s="1"/>
      <x:c r="C140" s="30"/>
      <x:c r="D140" s="30"/>
      <x:c r="E140" s="30"/>
      <x:c r="F140" s="30"/>
      <x:c r="G140" s="30"/>
      <x:c r="H140" s="30"/>
      <x:c r="I140" s="30"/>
      <x:c r="J140" s="30"/>
      <x:c r="K140" s="30"/>
      <x:c r="L140" s="30"/>
      <x:c r="M140" s="30"/>
      <x:c r="N140" s="30"/>
      <x:c r="O140" s="30"/>
      <x:c r="P140" s="30"/>
      <x:c r="Q140" s="30"/>
      <x:c r="R140" s="30"/>
      <x:c r="S140" s="30"/>
      <x:c r="T140" s="30"/>
      <x:c r="U140" s="30"/>
      <x:c r="V140" s="30"/>
      <x:c r="W140" s="30"/>
      <x:c r="X140" s="30"/>
      <x:c r="Y140" s="30"/>
      <x:c r="Z140" s="30"/>
      <x:c r="AA140" s="30"/>
      <x:c r="AB140" s="30"/>
      <x:c r="AC140" s="30"/>
      <x:c r="AD140" s="30"/>
      <x:c r="AE140" s="30"/>
      <x:c r="AF140" s="30"/>
      <x:c r="AG140" s="30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>
      <x:c r="A141" s="1"/>
      <x:c r="B141" s="1"/>
      <x:c r="C141" s="30"/>
      <x:c r="D141" s="30"/>
      <x:c r="E141" s="30"/>
      <x:c r="F141" s="30"/>
      <x:c r="G141" s="30"/>
      <x:c r="H141" s="30"/>
      <x:c r="I141" s="30"/>
      <x:c r="J141" s="30"/>
      <x:c r="K141" s="30"/>
      <x:c r="L141" s="30"/>
      <x:c r="M141" s="30"/>
      <x:c r="N141" s="30"/>
      <x:c r="O141" s="30"/>
      <x:c r="P141" s="30"/>
      <x:c r="Q141" s="30"/>
      <x:c r="R141" s="30"/>
      <x:c r="S141" s="30"/>
      <x:c r="T141" s="30"/>
      <x:c r="U141" s="30"/>
      <x:c r="V141" s="30"/>
      <x:c r="W141" s="30"/>
      <x:c r="X141" s="30"/>
      <x:c r="Y141" s="30"/>
      <x:c r="Z141" s="30"/>
      <x:c r="AA141" s="30"/>
      <x:c r="AB141" s="30"/>
      <x:c r="AC141" s="30"/>
      <x:c r="AD141" s="30"/>
      <x:c r="AE141" s="30"/>
      <x:c r="AF141" s="30"/>
      <x:c r="AG141" s="30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>
      <x:c r="A142" s="1"/>
      <x:c r="B142" s="1"/>
      <x:c r="C142" s="30"/>
      <x:c r="D142" s="30"/>
      <x:c r="E142" s="30"/>
      <x:c r="F142" s="30"/>
      <x:c r="G142" s="30"/>
      <x:c r="H142" s="30"/>
      <x:c r="I142" s="30"/>
      <x:c r="J142" s="30"/>
      <x:c r="K142" s="30"/>
      <x:c r="L142" s="30"/>
      <x:c r="M142" s="30"/>
      <x:c r="N142" s="30"/>
      <x:c r="O142" s="30"/>
      <x:c r="P142" s="30"/>
      <x:c r="Q142" s="30"/>
      <x:c r="R142" s="30"/>
      <x:c r="S142" s="30"/>
      <x:c r="T142" s="30"/>
      <x:c r="U142" s="30"/>
      <x:c r="V142" s="30"/>
      <x:c r="W142" s="30"/>
      <x:c r="X142" s="30"/>
      <x:c r="Y142" s="30"/>
      <x:c r="Z142" s="30"/>
      <x:c r="AA142" s="30"/>
      <x:c r="AB142" s="30"/>
      <x:c r="AC142" s="30"/>
      <x:c r="AD142" s="30"/>
      <x:c r="AE142" s="30"/>
      <x:c r="AF142" s="30"/>
      <x:c r="AG142" s="30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>
      <x:c r="A143" s="1"/>
      <x:c r="B143" s="1"/>
      <x:c r="C143" s="30"/>
      <x:c r="D143" s="30"/>
      <x:c r="E143" s="30"/>
      <x:c r="F143" s="30"/>
      <x:c r="G143" s="30"/>
      <x:c r="H143" s="30"/>
      <x:c r="I143" s="30"/>
      <x:c r="J143" s="30"/>
      <x:c r="K143" s="30"/>
      <x:c r="L143" s="30"/>
      <x:c r="M143" s="30"/>
      <x:c r="N143" s="30"/>
      <x:c r="O143" s="30"/>
      <x:c r="P143" s="30"/>
      <x:c r="Q143" s="30"/>
      <x:c r="R143" s="30"/>
      <x:c r="S143" s="30"/>
      <x:c r="T143" s="30"/>
      <x:c r="U143" s="30"/>
      <x:c r="V143" s="30"/>
      <x:c r="W143" s="30"/>
      <x:c r="X143" s="30"/>
      <x:c r="Y143" s="30"/>
      <x:c r="Z143" s="30"/>
      <x:c r="AA143" s="30"/>
      <x:c r="AB143" s="30"/>
      <x:c r="AC143" s="30"/>
      <x:c r="AD143" s="30"/>
      <x:c r="AE143" s="30"/>
      <x:c r="AF143" s="30"/>
      <x:c r="AG143" s="30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>
      <x:c r="A144" s="1"/>
      <x:c r="B144" s="1"/>
      <x:c r="C144" s="30"/>
      <x:c r="D144" s="30"/>
      <x:c r="E144" s="30"/>
      <x:c r="F144" s="30"/>
      <x:c r="G144" s="30"/>
      <x:c r="H144" s="30"/>
      <x:c r="I144" s="30"/>
      <x:c r="J144" s="30"/>
      <x:c r="K144" s="30"/>
      <x:c r="L144" s="30"/>
      <x:c r="M144" s="30"/>
      <x:c r="N144" s="30"/>
      <x:c r="O144" s="30"/>
      <x:c r="P144" s="30"/>
      <x:c r="Q144" s="30"/>
      <x:c r="R144" s="30"/>
      <x:c r="S144" s="30"/>
      <x:c r="T144" s="30"/>
      <x:c r="U144" s="30"/>
      <x:c r="V144" s="30"/>
      <x:c r="W144" s="30"/>
      <x:c r="X144" s="30"/>
      <x:c r="Y144" s="30"/>
      <x:c r="Z144" s="30"/>
      <x:c r="AA144" s="30"/>
      <x:c r="AB144" s="30"/>
      <x:c r="AC144" s="30"/>
      <x:c r="AD144" s="30"/>
      <x:c r="AE144" s="30"/>
      <x:c r="AF144" s="30"/>
      <x:c r="AG144" s="30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>
      <x:c r="A145" s="1"/>
      <x:c r="B145" s="1"/>
      <x:c r="C145" s="30"/>
      <x:c r="D145" s="30"/>
      <x:c r="E145" s="30"/>
      <x:c r="F145" s="30"/>
      <x:c r="G145" s="30"/>
      <x:c r="H145" s="30"/>
      <x:c r="I145" s="30"/>
      <x:c r="J145" s="30"/>
      <x:c r="K145" s="30"/>
      <x:c r="L145" s="30"/>
      <x:c r="M145" s="30"/>
      <x:c r="N145" s="30"/>
      <x:c r="O145" s="30"/>
      <x:c r="P145" s="30"/>
      <x:c r="Q145" s="30"/>
      <x:c r="R145" s="30"/>
      <x:c r="S145" s="30"/>
      <x:c r="T145" s="30"/>
      <x:c r="U145" s="30"/>
      <x:c r="V145" s="30"/>
      <x:c r="W145" s="30"/>
      <x:c r="X145" s="30"/>
      <x:c r="Y145" s="30"/>
      <x:c r="Z145" s="30"/>
      <x:c r="AA145" s="30"/>
      <x:c r="AB145" s="30"/>
      <x:c r="AC145" s="30"/>
      <x:c r="AD145" s="30"/>
      <x:c r="AE145" s="30"/>
      <x:c r="AF145" s="30"/>
      <x:c r="AG145" s="30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>
      <x:c r="A146" s="1"/>
      <x:c r="B146" s="1"/>
      <x:c r="C146" s="30"/>
      <x:c r="D146" s="30"/>
      <x:c r="E146" s="30"/>
      <x:c r="F146" s="30"/>
      <x:c r="G146" s="30"/>
      <x:c r="H146" s="30"/>
      <x:c r="I146" s="30"/>
      <x:c r="J146" s="30"/>
      <x:c r="K146" s="30"/>
      <x:c r="L146" s="30"/>
      <x:c r="M146" s="30"/>
      <x:c r="N146" s="30"/>
      <x:c r="O146" s="30"/>
      <x:c r="P146" s="30"/>
      <x:c r="Q146" s="30"/>
      <x:c r="R146" s="30"/>
      <x:c r="S146" s="30"/>
      <x:c r="T146" s="30"/>
      <x:c r="U146" s="30"/>
      <x:c r="V146" s="30"/>
      <x:c r="W146" s="30"/>
      <x:c r="X146" s="30"/>
      <x:c r="Y146" s="30"/>
      <x:c r="Z146" s="30"/>
      <x:c r="AA146" s="30"/>
      <x:c r="AB146" s="30"/>
      <x:c r="AC146" s="30"/>
      <x:c r="AD146" s="30"/>
      <x:c r="AE146" s="30"/>
      <x:c r="AF146" s="30"/>
      <x:c r="AG146" s="30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>
      <x:c r="A147" s="1"/>
      <x:c r="B147" s="1"/>
      <x:c r="C147" s="30"/>
      <x:c r="D147" s="30"/>
      <x:c r="E147" s="30"/>
      <x:c r="F147" s="30"/>
      <x:c r="G147" s="30"/>
      <x:c r="H147" s="30"/>
      <x:c r="I147" s="30"/>
      <x:c r="J147" s="30"/>
      <x:c r="K147" s="30"/>
      <x:c r="L147" s="30"/>
      <x:c r="M147" s="30"/>
      <x:c r="N147" s="30"/>
      <x:c r="O147" s="30"/>
      <x:c r="P147" s="30"/>
      <x:c r="Q147" s="30"/>
      <x:c r="R147" s="30"/>
      <x:c r="S147" s="30"/>
      <x:c r="T147" s="30"/>
      <x:c r="U147" s="30"/>
      <x:c r="V147" s="30"/>
      <x:c r="W147" s="30"/>
      <x:c r="X147" s="30"/>
      <x:c r="Y147" s="30"/>
      <x:c r="Z147" s="30"/>
      <x:c r="AA147" s="30"/>
      <x:c r="AB147" s="30"/>
      <x:c r="AC147" s="30"/>
      <x:c r="AD147" s="30"/>
      <x:c r="AE147" s="30"/>
      <x:c r="AF147" s="30"/>
      <x:c r="AG147" s="30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>
      <x:c r="A148" s="1"/>
      <x:c r="B148" s="1"/>
      <x:c r="C148" s="30"/>
      <x:c r="D148" s="30"/>
      <x:c r="E148" s="30"/>
      <x:c r="F148" s="30"/>
      <x:c r="G148" s="30"/>
      <x:c r="H148" s="30"/>
      <x:c r="I148" s="30"/>
      <x:c r="J148" s="30"/>
      <x:c r="K148" s="30"/>
      <x:c r="L148" s="30"/>
      <x:c r="M148" s="30"/>
      <x:c r="N148" s="30"/>
      <x:c r="O148" s="30"/>
      <x:c r="P148" s="30"/>
      <x:c r="Q148" s="30"/>
      <x:c r="R148" s="30"/>
      <x:c r="S148" s="30"/>
      <x:c r="T148" s="30"/>
      <x:c r="U148" s="30"/>
      <x:c r="V148" s="30"/>
      <x:c r="W148" s="30"/>
      <x:c r="X148" s="30"/>
      <x:c r="Y148" s="30"/>
      <x:c r="Z148" s="30"/>
      <x:c r="AA148" s="30"/>
      <x:c r="AB148" s="30"/>
      <x:c r="AC148" s="30"/>
      <x:c r="AD148" s="30"/>
      <x:c r="AE148" s="30"/>
      <x:c r="AF148" s="30"/>
      <x:c r="AG148" s="30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>
      <x:c r="A149" s="1"/>
      <x:c r="B149" s="1"/>
      <x:c r="C149" s="30"/>
      <x:c r="D149" s="30"/>
      <x:c r="E149" s="30"/>
      <x:c r="F149" s="30"/>
      <x:c r="G149" s="30"/>
      <x:c r="H149" s="30"/>
      <x:c r="I149" s="30"/>
      <x:c r="J149" s="30"/>
      <x:c r="K149" s="30"/>
      <x:c r="L149" s="30"/>
      <x:c r="M149" s="30"/>
      <x:c r="N149" s="30"/>
      <x:c r="O149" s="30"/>
      <x:c r="P149" s="30"/>
      <x:c r="Q149" s="30"/>
      <x:c r="R149" s="30"/>
      <x:c r="S149" s="30"/>
      <x:c r="T149" s="30"/>
      <x:c r="U149" s="30"/>
      <x:c r="V149" s="30"/>
      <x:c r="W149" s="30"/>
      <x:c r="X149" s="30"/>
      <x:c r="Y149" s="30"/>
      <x:c r="Z149" s="30"/>
      <x:c r="AA149" s="30"/>
      <x:c r="AB149" s="30"/>
      <x:c r="AC149" s="30"/>
      <x:c r="AD149" s="30"/>
      <x:c r="AE149" s="30"/>
      <x:c r="AF149" s="30"/>
      <x:c r="AG149" s="30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>
      <x:c r="A150" s="1"/>
      <x:c r="B150" s="1"/>
      <x:c r="C150" s="30"/>
      <x:c r="D150" s="30"/>
      <x:c r="E150" s="30"/>
      <x:c r="F150" s="30"/>
      <x:c r="G150" s="30"/>
      <x:c r="H150" s="30"/>
      <x:c r="I150" s="30"/>
      <x:c r="J150" s="30"/>
      <x:c r="K150" s="30"/>
      <x:c r="L150" s="30"/>
      <x:c r="M150" s="30"/>
      <x:c r="N150" s="30"/>
      <x:c r="O150" s="30"/>
      <x:c r="P150" s="30"/>
      <x:c r="Q150" s="30"/>
      <x:c r="R150" s="30"/>
      <x:c r="S150" s="30"/>
      <x:c r="T150" s="30"/>
      <x:c r="U150" s="30"/>
      <x:c r="V150" s="30"/>
      <x:c r="W150" s="30"/>
      <x:c r="X150" s="30"/>
      <x:c r="Y150" s="30"/>
      <x:c r="Z150" s="30"/>
      <x:c r="AA150" s="30"/>
      <x:c r="AB150" s="30"/>
      <x:c r="AC150" s="30"/>
      <x:c r="AD150" s="30"/>
      <x:c r="AE150" s="30"/>
      <x:c r="AF150" s="30"/>
      <x:c r="AG150" s="30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>
      <x:c r="A151" s="1"/>
      <x:c r="B151" s="1"/>
      <x:c r="C151" s="30"/>
      <x:c r="D151" s="30"/>
      <x:c r="E151" s="30"/>
      <x:c r="F151" s="30"/>
      <x:c r="G151" s="30"/>
      <x:c r="H151" s="30"/>
      <x:c r="I151" s="30"/>
      <x:c r="J151" s="30"/>
      <x:c r="K151" s="30"/>
      <x:c r="L151" s="30"/>
      <x:c r="M151" s="30"/>
      <x:c r="N151" s="30"/>
      <x:c r="O151" s="30"/>
      <x:c r="P151" s="30"/>
      <x:c r="Q151" s="30"/>
      <x:c r="R151" s="30"/>
      <x:c r="S151" s="30"/>
      <x:c r="T151" s="30"/>
      <x:c r="U151" s="30"/>
      <x:c r="V151" s="30"/>
      <x:c r="W151" s="30"/>
      <x:c r="X151" s="30"/>
      <x:c r="Y151" s="30"/>
      <x:c r="Z151" s="30"/>
      <x:c r="AA151" s="30"/>
      <x:c r="AB151" s="30"/>
      <x:c r="AC151" s="30"/>
      <x:c r="AD151" s="30"/>
      <x:c r="AE151" s="30"/>
      <x:c r="AF151" s="30"/>
      <x:c r="AG151" s="30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>
      <x:c r="A152" s="1"/>
      <x:c r="B152" s="1"/>
      <x:c r="C152" s="30"/>
      <x:c r="D152" s="30"/>
      <x:c r="E152" s="30"/>
      <x:c r="F152" s="30"/>
      <x:c r="G152" s="30"/>
      <x:c r="H152" s="30"/>
      <x:c r="I152" s="30"/>
      <x:c r="J152" s="30"/>
      <x:c r="K152" s="30"/>
      <x:c r="L152" s="30"/>
      <x:c r="M152" s="30"/>
      <x:c r="N152" s="30"/>
      <x:c r="O152" s="30"/>
      <x:c r="P152" s="30"/>
      <x:c r="Q152" s="30"/>
      <x:c r="R152" s="30"/>
      <x:c r="S152" s="30"/>
      <x:c r="T152" s="30"/>
      <x:c r="U152" s="30"/>
      <x:c r="V152" s="30"/>
      <x:c r="W152" s="30"/>
      <x:c r="X152" s="30"/>
      <x:c r="Y152" s="30"/>
      <x:c r="Z152" s="30"/>
      <x:c r="AA152" s="30"/>
      <x:c r="AB152" s="30"/>
      <x:c r="AC152" s="30"/>
      <x:c r="AD152" s="30"/>
      <x:c r="AE152" s="30"/>
      <x:c r="AF152" s="30"/>
      <x:c r="AG152" s="30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>
      <x:c r="A153" s="1"/>
      <x:c r="B153" s="1"/>
      <x:c r="C153" s="30"/>
      <x:c r="D153" s="30"/>
      <x:c r="E153" s="30"/>
      <x:c r="F153" s="30"/>
      <x:c r="G153" s="30"/>
      <x:c r="H153" s="30"/>
      <x:c r="I153" s="30"/>
      <x:c r="J153" s="30"/>
      <x:c r="K153" s="30"/>
      <x:c r="L153" s="30"/>
      <x:c r="M153" s="30"/>
      <x:c r="N153" s="30"/>
      <x:c r="O153" s="30"/>
      <x:c r="P153" s="30"/>
      <x:c r="Q153" s="30"/>
      <x:c r="R153" s="30"/>
      <x:c r="S153" s="30"/>
      <x:c r="T153" s="30"/>
      <x:c r="U153" s="30"/>
      <x:c r="V153" s="30"/>
      <x:c r="W153" s="30"/>
      <x:c r="X153" s="30"/>
      <x:c r="Y153" s="30"/>
      <x:c r="Z153" s="30"/>
      <x:c r="AA153" s="30"/>
      <x:c r="AB153" s="30"/>
      <x:c r="AC153" s="30"/>
      <x:c r="AD153" s="30"/>
      <x:c r="AE153" s="30"/>
      <x:c r="AF153" s="30"/>
      <x:c r="AG153" s="30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>
      <x:c r="A154" s="1"/>
      <x:c r="B154" s="1"/>
      <x:c r="C154" s="30"/>
      <x:c r="D154" s="30"/>
      <x:c r="E154" s="30"/>
      <x:c r="F154" s="30"/>
      <x:c r="G154" s="30"/>
      <x:c r="H154" s="30"/>
      <x:c r="I154" s="30"/>
      <x:c r="J154" s="30"/>
      <x:c r="K154" s="30"/>
      <x:c r="L154" s="30"/>
      <x:c r="M154" s="30"/>
      <x:c r="N154" s="30"/>
      <x:c r="O154" s="30"/>
      <x:c r="P154" s="30"/>
      <x:c r="Q154" s="30"/>
      <x:c r="R154" s="30"/>
      <x:c r="S154" s="30"/>
      <x:c r="T154" s="30"/>
      <x:c r="U154" s="30"/>
      <x:c r="V154" s="30"/>
      <x:c r="W154" s="30"/>
      <x:c r="X154" s="30"/>
      <x:c r="Y154" s="30"/>
      <x:c r="Z154" s="30"/>
      <x:c r="AA154" s="30"/>
      <x:c r="AB154" s="30"/>
      <x:c r="AC154" s="30"/>
      <x:c r="AD154" s="30"/>
      <x:c r="AE154" s="30"/>
      <x:c r="AF154" s="30"/>
      <x:c r="AG154" s="30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>
      <x:c r="A155" s="1"/>
      <x:c r="B155" s="1"/>
      <x:c r="C155" s="30"/>
      <x:c r="D155" s="30"/>
      <x:c r="E155" s="30"/>
      <x:c r="F155" s="30"/>
      <x:c r="G155" s="30"/>
      <x:c r="H155" s="30"/>
      <x:c r="I155" s="30"/>
      <x:c r="J155" s="30"/>
      <x:c r="K155" s="30"/>
      <x:c r="L155" s="30"/>
      <x:c r="M155" s="30"/>
      <x:c r="N155" s="30"/>
      <x:c r="O155" s="30"/>
      <x:c r="P155" s="30"/>
      <x:c r="Q155" s="30"/>
      <x:c r="R155" s="30"/>
      <x:c r="S155" s="30"/>
      <x:c r="T155" s="30"/>
      <x:c r="U155" s="30"/>
      <x:c r="V155" s="30"/>
      <x:c r="W155" s="30"/>
      <x:c r="X155" s="30"/>
      <x:c r="Y155" s="30"/>
      <x:c r="Z155" s="30"/>
      <x:c r="AA155" s="30"/>
      <x:c r="AB155" s="30"/>
      <x:c r="AC155" s="30"/>
      <x:c r="AD155" s="30"/>
      <x:c r="AE155" s="30"/>
      <x:c r="AF155" s="30"/>
      <x:c r="AG155" s="30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>
      <x:c r="A156" s="1"/>
      <x:c r="B156" s="1"/>
      <x:c r="C156" s="30"/>
      <x:c r="D156" s="30"/>
      <x:c r="E156" s="30"/>
      <x:c r="F156" s="30"/>
      <x:c r="G156" s="30"/>
      <x:c r="H156" s="30"/>
      <x:c r="I156" s="30"/>
      <x:c r="J156" s="30"/>
      <x:c r="K156" s="30"/>
      <x:c r="L156" s="30"/>
      <x:c r="M156" s="30"/>
      <x:c r="N156" s="30"/>
      <x:c r="O156" s="30"/>
      <x:c r="P156" s="30"/>
      <x:c r="Q156" s="30"/>
      <x:c r="R156" s="30"/>
      <x:c r="S156" s="30"/>
      <x:c r="T156" s="30"/>
      <x:c r="U156" s="30"/>
      <x:c r="V156" s="30"/>
      <x:c r="W156" s="30"/>
      <x:c r="X156" s="30"/>
      <x:c r="Y156" s="30"/>
      <x:c r="Z156" s="30"/>
      <x:c r="AA156" s="30"/>
      <x:c r="AB156" s="30"/>
      <x:c r="AC156" s="30"/>
      <x:c r="AD156" s="30"/>
      <x:c r="AE156" s="30"/>
      <x:c r="AF156" s="30"/>
      <x:c r="AG156" s="30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>
      <x:c r="A157" s="1"/>
      <x:c r="B157" s="1"/>
      <x:c r="C157" s="30"/>
      <x:c r="D157" s="30"/>
      <x:c r="E157" s="30"/>
      <x:c r="F157" s="30"/>
      <x:c r="G157" s="30"/>
      <x:c r="H157" s="30"/>
      <x:c r="I157" s="30"/>
      <x:c r="J157" s="30"/>
      <x:c r="K157" s="30"/>
      <x:c r="L157" s="30"/>
      <x:c r="M157" s="30"/>
      <x:c r="N157" s="30"/>
      <x:c r="O157" s="30"/>
      <x:c r="P157" s="30"/>
      <x:c r="Q157" s="30"/>
      <x:c r="R157" s="30"/>
      <x:c r="S157" s="30"/>
      <x:c r="T157" s="30"/>
      <x:c r="U157" s="30"/>
      <x:c r="V157" s="30"/>
      <x:c r="W157" s="30"/>
      <x:c r="X157" s="30"/>
      <x:c r="Y157" s="30"/>
      <x:c r="Z157" s="30"/>
      <x:c r="AA157" s="30"/>
      <x:c r="AB157" s="30"/>
      <x:c r="AC157" s="30"/>
      <x:c r="AD157" s="30"/>
      <x:c r="AE157" s="30"/>
      <x:c r="AF157" s="30"/>
      <x:c r="AG157" s="30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>
      <x:c r="A158" s="1"/>
      <x:c r="B158" s="1"/>
      <x:c r="C158" s="30"/>
      <x:c r="D158" s="30"/>
      <x:c r="E158" s="30"/>
      <x:c r="F158" s="30"/>
      <x:c r="G158" s="30"/>
      <x:c r="H158" s="30"/>
      <x:c r="I158" s="30"/>
      <x:c r="J158" s="30"/>
      <x:c r="K158" s="30"/>
      <x:c r="L158" s="30"/>
      <x:c r="M158" s="30"/>
      <x:c r="N158" s="30"/>
      <x:c r="O158" s="30"/>
      <x:c r="P158" s="30"/>
      <x:c r="Q158" s="30"/>
      <x:c r="R158" s="30"/>
      <x:c r="S158" s="30"/>
      <x:c r="T158" s="30"/>
      <x:c r="U158" s="30"/>
      <x:c r="V158" s="30"/>
      <x:c r="W158" s="30"/>
      <x:c r="X158" s="30"/>
      <x:c r="Y158" s="30"/>
      <x:c r="Z158" s="30"/>
      <x:c r="AA158" s="30"/>
      <x:c r="AB158" s="30"/>
      <x:c r="AC158" s="30"/>
      <x:c r="AD158" s="30"/>
      <x:c r="AE158" s="30"/>
      <x:c r="AF158" s="30"/>
      <x:c r="AG158" s="30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>
      <x:c r="A159" s="1"/>
      <x:c r="B159" s="1"/>
      <x:c r="C159" s="30"/>
      <x:c r="D159" s="30"/>
      <x:c r="E159" s="30"/>
      <x:c r="F159" s="30"/>
      <x:c r="G159" s="30"/>
      <x:c r="H159" s="30"/>
      <x:c r="I159" s="30"/>
      <x:c r="J159" s="30"/>
      <x:c r="K159" s="30"/>
      <x:c r="L159" s="30"/>
      <x:c r="M159" s="30"/>
      <x:c r="N159" s="30"/>
      <x:c r="O159" s="30"/>
      <x:c r="P159" s="30"/>
      <x:c r="Q159" s="30"/>
      <x:c r="R159" s="30"/>
      <x:c r="S159" s="30"/>
      <x:c r="T159" s="30"/>
      <x:c r="U159" s="30"/>
      <x:c r="V159" s="30"/>
      <x:c r="W159" s="30"/>
      <x:c r="X159" s="30"/>
      <x:c r="Y159" s="30"/>
      <x:c r="Z159" s="30"/>
      <x:c r="AA159" s="30"/>
      <x:c r="AB159" s="30"/>
      <x:c r="AC159" s="30"/>
      <x:c r="AD159" s="30"/>
      <x:c r="AE159" s="30"/>
      <x:c r="AF159" s="30"/>
      <x:c r="AG159" s="30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>
      <x:c r="A160" s="1"/>
      <x:c r="B160" s="1"/>
      <x:c r="C160" s="30"/>
      <x:c r="D160" s="30"/>
      <x:c r="E160" s="30"/>
      <x:c r="F160" s="30"/>
      <x:c r="G160" s="30"/>
      <x:c r="H160" s="30"/>
      <x:c r="I160" s="30"/>
      <x:c r="J160" s="30"/>
      <x:c r="K160" s="30"/>
      <x:c r="L160" s="30"/>
      <x:c r="M160" s="30"/>
      <x:c r="N160" s="30"/>
      <x:c r="O160" s="30"/>
      <x:c r="P160" s="30"/>
      <x:c r="Q160" s="30"/>
      <x:c r="R160" s="30"/>
      <x:c r="S160" s="30"/>
      <x:c r="T160" s="30"/>
      <x:c r="U160" s="30"/>
      <x:c r="V160" s="30"/>
      <x:c r="W160" s="30"/>
      <x:c r="X160" s="30"/>
      <x:c r="Y160" s="30"/>
      <x:c r="Z160" s="30"/>
      <x:c r="AA160" s="30"/>
      <x:c r="AB160" s="30"/>
      <x:c r="AC160" s="30"/>
      <x:c r="AD160" s="30"/>
      <x:c r="AE160" s="30"/>
      <x:c r="AF160" s="30"/>
      <x:c r="AG160" s="30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>
      <x:c r="A161" s="1"/>
      <x:c r="B161" s="1"/>
      <x:c r="C161" s="30"/>
      <x:c r="D161" s="30"/>
      <x:c r="E161" s="30"/>
      <x:c r="F161" s="30"/>
      <x:c r="G161" s="30"/>
      <x:c r="H161" s="30"/>
      <x:c r="I161" s="30"/>
      <x:c r="J161" s="30"/>
      <x:c r="K161" s="30"/>
      <x:c r="L161" s="30"/>
      <x:c r="M161" s="30"/>
      <x:c r="N161" s="30"/>
      <x:c r="O161" s="30"/>
      <x:c r="P161" s="30"/>
      <x:c r="Q161" s="30"/>
      <x:c r="R161" s="30"/>
      <x:c r="S161" s="30"/>
      <x:c r="T161" s="30"/>
      <x:c r="U161" s="30"/>
      <x:c r="V161" s="30"/>
      <x:c r="W161" s="30"/>
      <x:c r="X161" s="30"/>
      <x:c r="Y161" s="30"/>
      <x:c r="Z161" s="30"/>
      <x:c r="AA161" s="30"/>
      <x:c r="AB161" s="30"/>
      <x:c r="AC161" s="30"/>
      <x:c r="AD161" s="30"/>
      <x:c r="AE161" s="30"/>
      <x:c r="AF161" s="30"/>
      <x:c r="AG161" s="30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>
      <x:c r="A162" s="1"/>
      <x:c r="B162" s="1"/>
      <x:c r="C162" s="30"/>
      <x:c r="D162" s="30"/>
      <x:c r="E162" s="30"/>
      <x:c r="F162" s="30"/>
      <x:c r="G162" s="30"/>
      <x:c r="H162" s="30"/>
      <x:c r="I162" s="30"/>
      <x:c r="J162" s="30"/>
      <x:c r="K162" s="30"/>
      <x:c r="L162" s="30"/>
      <x:c r="M162" s="30"/>
      <x:c r="N162" s="30"/>
      <x:c r="O162" s="30"/>
      <x:c r="P162" s="30"/>
      <x:c r="Q162" s="30"/>
      <x:c r="R162" s="30"/>
      <x:c r="S162" s="30"/>
      <x:c r="T162" s="30"/>
      <x:c r="U162" s="30"/>
      <x:c r="V162" s="30"/>
      <x:c r="W162" s="30"/>
      <x:c r="X162" s="30"/>
      <x:c r="Y162" s="30"/>
      <x:c r="Z162" s="30"/>
      <x:c r="AA162" s="30"/>
      <x:c r="AB162" s="30"/>
      <x:c r="AC162" s="30"/>
      <x:c r="AD162" s="30"/>
      <x:c r="AE162" s="30"/>
      <x:c r="AF162" s="30"/>
      <x:c r="AG162" s="30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>
      <x:c r="A163" s="1"/>
      <x:c r="B163" s="1"/>
      <x:c r="C163" s="30"/>
      <x:c r="D163" s="30"/>
      <x:c r="E163" s="30"/>
      <x:c r="F163" s="30"/>
      <x:c r="G163" s="30"/>
      <x:c r="H163" s="30"/>
      <x:c r="I163" s="30"/>
      <x:c r="J163" s="30"/>
      <x:c r="K163" s="30"/>
      <x:c r="L163" s="30"/>
      <x:c r="M163" s="30"/>
      <x:c r="N163" s="30"/>
      <x:c r="O163" s="30"/>
      <x:c r="P163" s="30"/>
      <x:c r="Q163" s="30"/>
      <x:c r="R163" s="30"/>
      <x:c r="S163" s="30"/>
      <x:c r="T163" s="30"/>
      <x:c r="U163" s="30"/>
      <x:c r="V163" s="30"/>
      <x:c r="W163" s="30"/>
      <x:c r="X163" s="30"/>
      <x:c r="Y163" s="30"/>
      <x:c r="Z163" s="30"/>
      <x:c r="AA163" s="30"/>
      <x:c r="AB163" s="30"/>
      <x:c r="AC163" s="30"/>
      <x:c r="AD163" s="30"/>
      <x:c r="AE163" s="30"/>
      <x:c r="AF163" s="30"/>
      <x:c r="AG163" s="30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>
      <x:c r="A164" s="1"/>
      <x:c r="B164" s="1"/>
      <x:c r="C164" s="30"/>
      <x:c r="D164" s="30"/>
      <x:c r="E164" s="30"/>
      <x:c r="F164" s="30"/>
      <x:c r="G164" s="30"/>
      <x:c r="H164" s="30"/>
      <x:c r="I164" s="30"/>
      <x:c r="J164" s="30"/>
      <x:c r="K164" s="30"/>
      <x:c r="L164" s="30"/>
      <x:c r="M164" s="30"/>
      <x:c r="N164" s="30"/>
      <x:c r="O164" s="30"/>
      <x:c r="P164" s="30"/>
      <x:c r="Q164" s="30"/>
      <x:c r="R164" s="30"/>
      <x:c r="S164" s="30"/>
      <x:c r="T164" s="30"/>
      <x:c r="U164" s="30"/>
      <x:c r="V164" s="30"/>
      <x:c r="W164" s="30"/>
      <x:c r="X164" s="30"/>
      <x:c r="Y164" s="30"/>
      <x:c r="Z164" s="30"/>
      <x:c r="AA164" s="30"/>
      <x:c r="AB164" s="30"/>
      <x:c r="AC164" s="30"/>
      <x:c r="AD164" s="30"/>
      <x:c r="AE164" s="30"/>
      <x:c r="AF164" s="30"/>
      <x:c r="AG164" s="30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>
      <x:c r="A165" s="1"/>
      <x:c r="B165" s="1"/>
      <x:c r="C165" s="30"/>
      <x:c r="D165" s="30"/>
      <x:c r="E165" s="30"/>
      <x:c r="F165" s="30"/>
      <x:c r="G165" s="30"/>
      <x:c r="H165" s="30"/>
      <x:c r="I165" s="30"/>
      <x:c r="J165" s="30"/>
      <x:c r="K165" s="30"/>
      <x:c r="L165" s="30"/>
      <x:c r="M165" s="30"/>
      <x:c r="N165" s="30"/>
      <x:c r="O165" s="30"/>
      <x:c r="P165" s="30"/>
      <x:c r="Q165" s="30"/>
      <x:c r="R165" s="30"/>
      <x:c r="S165" s="30"/>
      <x:c r="T165" s="30"/>
      <x:c r="U165" s="30"/>
      <x:c r="V165" s="30"/>
      <x:c r="W165" s="30"/>
      <x:c r="X165" s="30"/>
      <x:c r="Y165" s="30"/>
      <x:c r="Z165" s="30"/>
      <x:c r="AA165" s="30"/>
      <x:c r="AB165" s="30"/>
      <x:c r="AC165" s="30"/>
      <x:c r="AD165" s="30"/>
      <x:c r="AE165" s="30"/>
      <x:c r="AF165" s="30"/>
      <x:c r="AG165" s="30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>
      <x:c r="A166" s="1"/>
      <x:c r="B166" s="1"/>
      <x:c r="C166" s="30"/>
      <x:c r="D166" s="30"/>
      <x:c r="E166" s="30"/>
      <x:c r="F166" s="30"/>
      <x:c r="G166" s="30"/>
      <x:c r="H166" s="30"/>
      <x:c r="I166" s="30"/>
      <x:c r="J166" s="30"/>
      <x:c r="K166" s="30"/>
      <x:c r="L166" s="30"/>
      <x:c r="M166" s="30"/>
      <x:c r="N166" s="30"/>
      <x:c r="O166" s="30"/>
      <x:c r="P166" s="30"/>
      <x:c r="Q166" s="30"/>
      <x:c r="R166" s="30"/>
      <x:c r="S166" s="30"/>
      <x:c r="T166" s="30"/>
      <x:c r="U166" s="30"/>
      <x:c r="V166" s="30"/>
      <x:c r="W166" s="30"/>
      <x:c r="X166" s="30"/>
      <x:c r="Y166" s="30"/>
      <x:c r="Z166" s="30"/>
      <x:c r="AA166" s="30"/>
      <x:c r="AB166" s="30"/>
      <x:c r="AC166" s="30"/>
      <x:c r="AD166" s="30"/>
      <x:c r="AE166" s="30"/>
      <x:c r="AF166" s="30"/>
      <x:c r="AG166" s="30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>
      <x:c r="A167" s="1"/>
      <x:c r="B167" s="1"/>
      <x:c r="C167" s="30"/>
      <x:c r="D167" s="30"/>
      <x:c r="E167" s="30"/>
      <x:c r="F167" s="30"/>
      <x:c r="G167" s="30"/>
      <x:c r="H167" s="30"/>
      <x:c r="I167" s="30"/>
      <x:c r="J167" s="30"/>
      <x:c r="K167" s="30"/>
      <x:c r="L167" s="30"/>
      <x:c r="M167" s="30"/>
      <x:c r="N167" s="30"/>
      <x:c r="O167" s="30"/>
      <x:c r="P167" s="30"/>
      <x:c r="Q167" s="30"/>
      <x:c r="R167" s="30"/>
      <x:c r="S167" s="30"/>
      <x:c r="T167" s="30"/>
      <x:c r="U167" s="30"/>
      <x:c r="V167" s="30"/>
      <x:c r="W167" s="30"/>
      <x:c r="X167" s="30"/>
      <x:c r="Y167" s="30"/>
      <x:c r="Z167" s="30"/>
      <x:c r="AA167" s="30"/>
      <x:c r="AB167" s="30"/>
      <x:c r="AC167" s="30"/>
      <x:c r="AD167" s="30"/>
      <x:c r="AE167" s="30"/>
      <x:c r="AF167" s="30"/>
      <x:c r="AG167" s="30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>
      <x:c r="A168" s="1"/>
      <x:c r="B168" s="1"/>
      <x:c r="C168" s="30"/>
      <x:c r="D168" s="30"/>
      <x:c r="E168" s="30"/>
      <x:c r="F168" s="30"/>
      <x:c r="G168" s="30"/>
      <x:c r="H168" s="30"/>
      <x:c r="I168" s="30"/>
      <x:c r="J168" s="30"/>
      <x:c r="K168" s="30"/>
      <x:c r="L168" s="30"/>
      <x:c r="M168" s="30"/>
      <x:c r="N168" s="30"/>
      <x:c r="O168" s="30"/>
      <x:c r="P168" s="30"/>
      <x:c r="Q168" s="30"/>
      <x:c r="R168" s="30"/>
      <x:c r="S168" s="30"/>
      <x:c r="T168" s="30"/>
      <x:c r="U168" s="30"/>
      <x:c r="V168" s="30"/>
      <x:c r="W168" s="30"/>
      <x:c r="X168" s="30"/>
      <x:c r="Y168" s="30"/>
      <x:c r="Z168" s="30"/>
      <x:c r="AA168" s="30"/>
      <x:c r="AB168" s="30"/>
      <x:c r="AC168" s="30"/>
      <x:c r="AD168" s="30"/>
      <x:c r="AE168" s="30"/>
      <x:c r="AF168" s="30"/>
      <x:c r="AG168" s="30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>
      <x:c r="A169" s="1"/>
      <x:c r="B169" s="1"/>
      <x:c r="C169" s="30"/>
      <x:c r="D169" s="30"/>
      <x:c r="E169" s="30"/>
      <x:c r="F169" s="30"/>
      <x:c r="G169" s="30"/>
      <x:c r="H169" s="30"/>
      <x:c r="I169" s="30"/>
      <x:c r="J169" s="30"/>
      <x:c r="K169" s="30"/>
      <x:c r="L169" s="30"/>
      <x:c r="M169" s="30"/>
      <x:c r="N169" s="30"/>
      <x:c r="O169" s="30"/>
      <x:c r="P169" s="30"/>
      <x:c r="Q169" s="30"/>
      <x:c r="R169" s="30"/>
      <x:c r="S169" s="30"/>
      <x:c r="T169" s="30"/>
      <x:c r="U169" s="30"/>
      <x:c r="V169" s="30"/>
      <x:c r="W169" s="30"/>
      <x:c r="X169" s="30"/>
      <x:c r="Y169" s="30"/>
      <x:c r="Z169" s="30"/>
      <x:c r="AA169" s="30"/>
      <x:c r="AB169" s="30"/>
      <x:c r="AC169" s="30"/>
      <x:c r="AD169" s="30"/>
      <x:c r="AE169" s="30"/>
      <x:c r="AF169" s="30"/>
      <x:c r="AG169" s="30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>
      <x:c r="A170" s="1"/>
      <x:c r="B170" s="1"/>
      <x:c r="C170" s="30"/>
      <x:c r="D170" s="30"/>
      <x:c r="E170" s="30"/>
      <x:c r="F170" s="30"/>
      <x:c r="G170" s="30"/>
      <x:c r="H170" s="30"/>
      <x:c r="I170" s="30"/>
      <x:c r="J170" s="30"/>
      <x:c r="K170" s="30"/>
      <x:c r="L170" s="30"/>
      <x:c r="M170" s="30"/>
      <x:c r="N170" s="30"/>
      <x:c r="O170" s="30"/>
      <x:c r="P170" s="30"/>
      <x:c r="Q170" s="30"/>
      <x:c r="R170" s="30"/>
      <x:c r="S170" s="30"/>
      <x:c r="T170" s="30"/>
      <x:c r="U170" s="30"/>
      <x:c r="V170" s="30"/>
      <x:c r="W170" s="30"/>
      <x:c r="X170" s="30"/>
      <x:c r="Y170" s="30"/>
      <x:c r="Z170" s="30"/>
      <x:c r="AA170" s="30"/>
      <x:c r="AB170" s="30"/>
      <x:c r="AC170" s="30"/>
      <x:c r="AD170" s="30"/>
      <x:c r="AE170" s="30"/>
      <x:c r="AF170" s="30"/>
      <x:c r="AG170" s="30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>
      <x:c r="A171" s="1"/>
      <x:c r="B171" s="1"/>
      <x:c r="C171" s="30"/>
      <x:c r="D171" s="30"/>
      <x:c r="E171" s="30"/>
      <x:c r="F171" s="30"/>
      <x:c r="G171" s="30"/>
      <x:c r="H171" s="30"/>
      <x:c r="I171" s="30"/>
      <x:c r="J171" s="30"/>
      <x:c r="K171" s="30"/>
      <x:c r="L171" s="30"/>
      <x:c r="M171" s="30"/>
      <x:c r="N171" s="30"/>
      <x:c r="O171" s="30"/>
      <x:c r="P171" s="30"/>
      <x:c r="Q171" s="30"/>
      <x:c r="R171" s="30"/>
      <x:c r="S171" s="30"/>
      <x:c r="T171" s="30"/>
      <x:c r="U171" s="30"/>
      <x:c r="V171" s="30"/>
      <x:c r="W171" s="30"/>
      <x:c r="X171" s="30"/>
      <x:c r="Y171" s="30"/>
      <x:c r="Z171" s="30"/>
      <x:c r="AA171" s="30"/>
      <x:c r="AB171" s="30"/>
      <x:c r="AC171" s="30"/>
      <x:c r="AD171" s="30"/>
      <x:c r="AE171" s="30"/>
      <x:c r="AF171" s="30"/>
      <x:c r="AG171" s="30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>
      <x:c r="A172" s="1"/>
      <x:c r="B172" s="1"/>
      <x:c r="C172" s="30"/>
      <x:c r="D172" s="30"/>
      <x:c r="E172" s="30"/>
      <x:c r="F172" s="30"/>
      <x:c r="G172" s="30"/>
      <x:c r="H172" s="30"/>
      <x:c r="I172" s="30"/>
      <x:c r="J172" s="30"/>
      <x:c r="K172" s="30"/>
      <x:c r="L172" s="30"/>
      <x:c r="M172" s="30"/>
      <x:c r="N172" s="30"/>
      <x:c r="O172" s="30"/>
      <x:c r="P172" s="30"/>
      <x:c r="Q172" s="30"/>
      <x:c r="R172" s="30"/>
      <x:c r="S172" s="30"/>
      <x:c r="T172" s="30"/>
      <x:c r="U172" s="30"/>
      <x:c r="V172" s="30"/>
      <x:c r="W172" s="30"/>
      <x:c r="X172" s="30"/>
      <x:c r="Y172" s="30"/>
      <x:c r="Z172" s="30"/>
      <x:c r="AA172" s="30"/>
      <x:c r="AB172" s="30"/>
      <x:c r="AC172" s="30"/>
      <x:c r="AD172" s="30"/>
      <x:c r="AE172" s="30"/>
      <x:c r="AF172" s="30"/>
      <x:c r="AG172" s="30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>
      <x:c r="A173" s="1"/>
      <x:c r="B173" s="1"/>
      <x:c r="C173" s="30"/>
      <x:c r="D173" s="30"/>
      <x:c r="E173" s="30"/>
      <x:c r="F173" s="30"/>
      <x:c r="G173" s="30"/>
      <x:c r="H173" s="30"/>
      <x:c r="I173" s="30"/>
      <x:c r="J173" s="30"/>
      <x:c r="K173" s="30"/>
      <x:c r="L173" s="30"/>
      <x:c r="M173" s="30"/>
      <x:c r="N173" s="30"/>
      <x:c r="O173" s="30"/>
      <x:c r="P173" s="30"/>
      <x:c r="Q173" s="30"/>
      <x:c r="R173" s="30"/>
      <x:c r="S173" s="30"/>
      <x:c r="T173" s="30"/>
      <x:c r="U173" s="30"/>
      <x:c r="V173" s="30"/>
      <x:c r="W173" s="30"/>
      <x:c r="X173" s="30"/>
      <x:c r="Y173" s="30"/>
      <x:c r="Z173" s="30"/>
      <x:c r="AA173" s="30"/>
      <x:c r="AB173" s="30"/>
      <x:c r="AC173" s="30"/>
      <x:c r="AD173" s="30"/>
      <x:c r="AE173" s="30"/>
      <x:c r="AF173" s="30"/>
      <x:c r="AG173" s="30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>
      <x:c r="A174" s="1"/>
      <x:c r="B174" s="1"/>
      <x:c r="C174" s="30"/>
      <x:c r="D174" s="30"/>
      <x:c r="E174" s="30"/>
      <x:c r="F174" s="30"/>
      <x:c r="G174" s="30"/>
      <x:c r="H174" s="30"/>
      <x:c r="I174" s="30"/>
      <x:c r="J174" s="30"/>
      <x:c r="K174" s="30"/>
      <x:c r="L174" s="30"/>
      <x:c r="M174" s="30"/>
      <x:c r="N174" s="30"/>
      <x:c r="O174" s="30"/>
      <x:c r="P174" s="30"/>
      <x:c r="Q174" s="30"/>
      <x:c r="R174" s="30"/>
      <x:c r="S174" s="30"/>
      <x:c r="T174" s="30"/>
      <x:c r="U174" s="30"/>
      <x:c r="V174" s="30"/>
      <x:c r="W174" s="30"/>
      <x:c r="X174" s="30"/>
      <x:c r="Y174" s="30"/>
      <x:c r="Z174" s="30"/>
      <x:c r="AA174" s="30"/>
      <x:c r="AB174" s="30"/>
      <x:c r="AC174" s="30"/>
      <x:c r="AD174" s="30"/>
      <x:c r="AE174" s="30"/>
      <x:c r="AF174" s="30"/>
      <x:c r="AG174" s="30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>
      <x:c r="A175" s="1"/>
      <x:c r="B175" s="1"/>
      <x:c r="C175" s="30"/>
      <x:c r="D175" s="30"/>
      <x:c r="E175" s="30"/>
      <x:c r="F175" s="30"/>
      <x:c r="G175" s="30"/>
      <x:c r="H175" s="30"/>
      <x:c r="I175" s="30"/>
      <x:c r="J175" s="30"/>
      <x:c r="K175" s="30"/>
      <x:c r="L175" s="30"/>
      <x:c r="M175" s="30"/>
      <x:c r="N175" s="30"/>
      <x:c r="O175" s="30"/>
      <x:c r="P175" s="30"/>
      <x:c r="Q175" s="30"/>
      <x:c r="R175" s="30"/>
      <x:c r="S175" s="30"/>
      <x:c r="T175" s="30"/>
      <x:c r="U175" s="30"/>
      <x:c r="V175" s="30"/>
      <x:c r="W175" s="30"/>
      <x:c r="X175" s="30"/>
      <x:c r="Y175" s="30"/>
      <x:c r="Z175" s="30"/>
      <x:c r="AA175" s="30"/>
      <x:c r="AB175" s="30"/>
      <x:c r="AC175" s="30"/>
      <x:c r="AD175" s="30"/>
      <x:c r="AE175" s="30"/>
      <x:c r="AF175" s="30"/>
      <x:c r="AG175" s="30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>
      <x:c r="A176" s="1"/>
      <x:c r="B176" s="1"/>
      <x:c r="C176" s="30"/>
      <x:c r="D176" s="30"/>
      <x:c r="E176" s="30"/>
      <x:c r="F176" s="30"/>
      <x:c r="G176" s="30"/>
      <x:c r="H176" s="30"/>
      <x:c r="I176" s="30"/>
      <x:c r="J176" s="30"/>
      <x:c r="K176" s="30"/>
      <x:c r="L176" s="30"/>
      <x:c r="M176" s="30"/>
      <x:c r="N176" s="30"/>
      <x:c r="O176" s="30"/>
      <x:c r="P176" s="30"/>
      <x:c r="Q176" s="30"/>
      <x:c r="R176" s="30"/>
      <x:c r="S176" s="30"/>
      <x:c r="T176" s="30"/>
      <x:c r="U176" s="30"/>
      <x:c r="V176" s="30"/>
      <x:c r="W176" s="30"/>
      <x:c r="X176" s="30"/>
      <x:c r="Y176" s="30"/>
      <x:c r="Z176" s="30"/>
      <x:c r="AA176" s="30"/>
      <x:c r="AB176" s="30"/>
      <x:c r="AC176" s="30"/>
      <x:c r="AD176" s="30"/>
      <x:c r="AE176" s="30"/>
      <x:c r="AF176" s="30"/>
      <x:c r="AG176" s="30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>
      <x:c r="A177" s="1"/>
      <x:c r="B177" s="1"/>
      <x:c r="C177" s="30"/>
      <x:c r="D177" s="30"/>
      <x:c r="E177" s="30"/>
      <x:c r="F177" s="30"/>
      <x:c r="G177" s="30"/>
      <x:c r="H177" s="30"/>
      <x:c r="I177" s="30"/>
      <x:c r="J177" s="30"/>
      <x:c r="K177" s="30"/>
      <x:c r="L177" s="30"/>
      <x:c r="M177" s="30"/>
      <x:c r="N177" s="30"/>
      <x:c r="O177" s="30"/>
      <x:c r="P177" s="30"/>
      <x:c r="Q177" s="30"/>
      <x:c r="R177" s="30"/>
      <x:c r="S177" s="30"/>
      <x:c r="T177" s="30"/>
      <x:c r="U177" s="30"/>
      <x:c r="V177" s="30"/>
      <x:c r="W177" s="30"/>
      <x:c r="X177" s="30"/>
      <x:c r="Y177" s="30"/>
      <x:c r="Z177" s="30"/>
      <x:c r="AA177" s="30"/>
      <x:c r="AB177" s="30"/>
      <x:c r="AC177" s="30"/>
      <x:c r="AD177" s="30"/>
      <x:c r="AE177" s="30"/>
      <x:c r="AF177" s="30"/>
      <x:c r="AG177" s="30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>
      <x:c r="A178" s="1"/>
      <x:c r="B178" s="1"/>
      <x:c r="C178" s="30"/>
      <x:c r="D178" s="30"/>
      <x:c r="E178" s="30"/>
      <x:c r="F178" s="30"/>
      <x:c r="G178" s="30"/>
      <x:c r="H178" s="30"/>
      <x:c r="I178" s="30"/>
      <x:c r="J178" s="30"/>
      <x:c r="K178" s="30"/>
      <x:c r="L178" s="30"/>
      <x:c r="M178" s="30"/>
      <x:c r="N178" s="30"/>
      <x:c r="O178" s="30"/>
      <x:c r="P178" s="30"/>
      <x:c r="Q178" s="30"/>
      <x:c r="R178" s="30"/>
      <x:c r="S178" s="30"/>
      <x:c r="T178" s="30"/>
      <x:c r="U178" s="30"/>
      <x:c r="V178" s="30"/>
      <x:c r="W178" s="30"/>
      <x:c r="X178" s="30"/>
      <x:c r="Y178" s="30"/>
      <x:c r="Z178" s="30"/>
      <x:c r="AA178" s="30"/>
      <x:c r="AB178" s="30"/>
      <x:c r="AC178" s="30"/>
      <x:c r="AD178" s="30"/>
      <x:c r="AE178" s="30"/>
      <x:c r="AF178" s="30"/>
      <x:c r="AG178" s="30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>
      <x:c r="A179" s="1"/>
      <x:c r="B179" s="1"/>
      <x:c r="C179" s="30"/>
      <x:c r="D179" s="30"/>
      <x:c r="E179" s="30"/>
      <x:c r="F179" s="30"/>
      <x:c r="G179" s="30"/>
      <x:c r="H179" s="30"/>
      <x:c r="I179" s="30"/>
      <x:c r="J179" s="30"/>
      <x:c r="K179" s="30"/>
      <x:c r="L179" s="30"/>
      <x:c r="M179" s="30"/>
      <x:c r="N179" s="30"/>
      <x:c r="O179" s="30"/>
      <x:c r="P179" s="30"/>
      <x:c r="Q179" s="30"/>
      <x:c r="R179" s="30"/>
      <x:c r="S179" s="30"/>
      <x:c r="T179" s="30"/>
      <x:c r="U179" s="30"/>
      <x:c r="V179" s="30"/>
      <x:c r="W179" s="30"/>
      <x:c r="X179" s="30"/>
      <x:c r="Y179" s="30"/>
      <x:c r="Z179" s="30"/>
      <x:c r="AA179" s="30"/>
      <x:c r="AB179" s="30"/>
      <x:c r="AC179" s="30"/>
      <x:c r="AD179" s="30"/>
      <x:c r="AE179" s="30"/>
      <x:c r="AF179" s="30"/>
      <x:c r="AG179" s="30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>
      <x:c r="A180" s="1"/>
      <x:c r="B180" s="1"/>
      <x:c r="C180" s="30"/>
      <x:c r="D180" s="30"/>
      <x:c r="E180" s="30"/>
      <x:c r="F180" s="30"/>
      <x:c r="G180" s="30"/>
      <x:c r="H180" s="30"/>
      <x:c r="I180" s="30"/>
      <x:c r="J180" s="30"/>
      <x:c r="K180" s="30"/>
      <x:c r="L180" s="30"/>
      <x:c r="M180" s="30"/>
      <x:c r="N180" s="30"/>
      <x:c r="O180" s="30"/>
      <x:c r="P180" s="30"/>
      <x:c r="Q180" s="30"/>
      <x:c r="R180" s="30"/>
      <x:c r="S180" s="30"/>
      <x:c r="T180" s="30"/>
      <x:c r="U180" s="30"/>
      <x:c r="V180" s="30"/>
      <x:c r="W180" s="30"/>
      <x:c r="X180" s="30"/>
      <x:c r="Y180" s="30"/>
      <x:c r="Z180" s="30"/>
      <x:c r="AA180" s="30"/>
      <x:c r="AB180" s="30"/>
      <x:c r="AC180" s="30"/>
      <x:c r="AD180" s="30"/>
      <x:c r="AE180" s="30"/>
      <x:c r="AF180" s="30"/>
      <x:c r="AG180" s="30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</x:sheetData>
  <x:pageMargins left="0.7" right="0.7" top="0.75" bottom="0.75" header="0.3" footer="0.3"/>
  <x:drawing xmlns:r="http://schemas.openxmlformats.org/officeDocument/2006/relationships" r:id="Rfbfea9c03c524031"/>
</x:worksheet>
</file>

<file path=xl/worksheets/sheet13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2" hidden="0" customWidth="1"/>
    <x:col min="4" max="4" width="72" hidden="0" customWidth="1"/>
    <x:col min="5" max="5" width="64" hidden="0" customWidth="1"/>
    <x:col min="6" max="6" width="62" hidden="0" customWidth="1"/>
    <x:col min="7" max="7" width="76" hidden="0" customWidth="1"/>
    <x:col min="8" max="8" width="3" hidden="0" customWidth="1"/>
    <x:col min="9" max="9" width="3" hidden="0" customWidth="1"/>
    <x:col min="10" max="10" width="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>
      <x:c r="A2" s="1"/>
      <x:c r="B2" s="1"/>
      <x:c r="C2" s="3" t="str">
        <x:v>HU-04A continuity state, admission and matching campaign</x:v>
      </x:c>
      <x:c r="D2" s="2"/>
      <x:c r="E2" s="2"/>
      <x:c r="F2" s="2"/>
      <x:c r="G2" s="2"/>
      <x:c r="H2" s="2"/>
      <x:c r="I2" s="2"/>
      <x:c r="J2" s="2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>
      <x:c r="A3" s="1"/>
      <x:c r="B3" s="1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  <x:c r="AA3" s="30"/>
      <x:c r="AB3" s="30"/>
      <x:c r="AC3" s="30"/>
      <x:c r="AD3" s="30"/>
      <x:c r="AE3" s="30"/>
      <x:c r="AF3" s="30"/>
      <x:c r="AG3" s="30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>
      <x:c r="A4" s="1"/>
      <x:c r="B4" s="1"/>
      <x:c r="C4" s="9" t="str">
        <x:v>Campaign field</x:v>
      </x:c>
      <x:c r="D4" s="10" t="str">
        <x:v>Constitution</x:v>
      </x:c>
      <x:c r="E4" s="30"/>
      <x:c r="F4" s="30"/>
      <x:c r="G4" s="30"/>
      <x:c r="H4" s="30"/>
      <x:c r="I4" s="30"/>
      <x:c r="J4" s="30"/>
      <x:c r="K4" s="30"/>
      <x:c r="L4" s="30"/>
      <x:c r="M4" s="30"/>
      <x:c r="N4" s="30"/>
      <x:c r="O4" s="30"/>
      <x:c r="P4" s="30"/>
      <x:c r="Q4" s="30"/>
      <x:c r="R4" s="30"/>
      <x:c r="S4" s="30"/>
      <x:c r="T4" s="30"/>
      <x:c r="U4" s="30"/>
      <x:c r="V4" s="30"/>
      <x:c r="W4" s="30"/>
      <x:c r="X4" s="30"/>
      <x:c r="Y4" s="30"/>
      <x:c r="Z4" s="30"/>
      <x:c r="AA4" s="30"/>
      <x:c r="AB4" s="30"/>
      <x:c r="AC4" s="30"/>
      <x:c r="AD4" s="30"/>
      <x:c r="AE4" s="30"/>
      <x:c r="AF4" s="30"/>
      <x:c r="AG4" s="30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>
      <x:c r="A5" s="1"/>
      <x:c r="B5" s="1"/>
      <x:c r="C5" s="31" t="str">
        <x:v>Purpose</x:v>
      </x:c>
      <x:c r="D5" s="35" t="str">
        <x:v>Make every later MS-HU physical campaign measurable across the five routes and seven stages without making a centralized record system a condition of service.</x:v>
      </x:c>
      <x:c r="E5" s="30"/>
      <x:c r="F5" s="30"/>
      <x:c r="G5" s="30"/>
      <x:c r="H5" s="30"/>
      <x:c r="I5" s="30"/>
      <x:c r="J5" s="30"/>
      <x:c r="K5" s="30"/>
      <x:c r="L5" s="30"/>
      <x:c r="M5" s="30"/>
      <x:c r="N5" s="30"/>
      <x:c r="O5" s="30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  <x:c r="AA5" s="30"/>
      <x:c r="AB5" s="30"/>
      <x:c r="AC5" s="30"/>
      <x:c r="AD5" s="30"/>
      <x:c r="AE5" s="30"/>
      <x:c r="AF5" s="30"/>
      <x:c r="AG5" s="30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>
      <x:c r="A6" s="1"/>
      <x:c r="B6" s="1"/>
      <x:c r="C6" s="31" t="str">
        <x:v>Planning allocation (USD B)</x:v>
      </x:c>
      <x:c r="D6" s="43" t="n">
        <x:f>Controls!D25</x:f>
        <x:v>12.75848012414501</x:v>
      </x:c>
      <x:c r="E6" s="30"/>
      <x:c r="F6" s="30"/>
      <x:c r="G6" s="30"/>
      <x:c r="H6" s="30"/>
      <x:c r="I6" s="30"/>
      <x:c r="J6" s="30"/>
      <x:c r="K6" s="30"/>
      <x:c r="L6" s="30"/>
      <x:c r="M6" s="30"/>
      <x:c r="N6" s="30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30"/>
      <x:c r="Z6" s="30"/>
      <x:c r="AA6" s="30"/>
      <x:c r="AB6" s="30"/>
      <x:c r="AC6" s="30"/>
      <x:c r="AD6" s="30"/>
      <x:c r="AE6" s="30"/>
      <x:c r="AF6" s="30"/>
      <x:c r="AG6" s="30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>
      <x:c r="A7" s="1"/>
      <x:c r="B7" s="1"/>
      <x:c r="C7" s="31" t="str">
        <x:v>Complete rival roots</x:v>
      </x:c>
      <x:c r="D7" s="44" t="n">
        <x:v>4</x:v>
      </x:c>
      <x:c r="E7" s="30"/>
      <x:c r="F7" s="30"/>
      <x:c r="G7" s="30"/>
      <x:c r="H7" s="30"/>
      <x:c r="I7" s="30"/>
      <x:c r="J7" s="30"/>
      <x:c r="K7" s="30"/>
      <x:c r="L7" s="30"/>
      <x:c r="M7" s="30"/>
      <x:c r="N7" s="30"/>
      <x:c r="O7" s="30"/>
      <x:c r="P7" s="30"/>
      <x:c r="Q7" s="30"/>
      <x:c r="R7" s="30"/>
      <x:c r="S7" s="30"/>
      <x:c r="T7" s="30"/>
      <x:c r="U7" s="30"/>
      <x:c r="V7" s="30"/>
      <x:c r="W7" s="30"/>
      <x:c r="X7" s="30"/>
      <x:c r="Y7" s="30"/>
      <x:c r="Z7" s="30"/>
      <x:c r="AA7" s="30"/>
      <x:c r="AB7" s="30"/>
      <x:c r="AC7" s="30"/>
      <x:c r="AD7" s="30"/>
      <x:c r="AE7" s="30"/>
      <x:c r="AF7" s="30"/>
      <x:c r="AG7" s="30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>
      <x:c r="A8" s="1"/>
      <x:c r="B8" s="1"/>
      <x:c r="C8" s="31" t="str">
        <x:v>Service routes</x:v>
      </x:c>
      <x:c r="D8" s="44" t="n">
        <x:v>5</x:v>
      </x:c>
      <x:c r="E8" s="30"/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  <x:c r="T8" s="30"/>
      <x:c r="U8" s="30"/>
      <x:c r="V8" s="30"/>
      <x:c r="W8" s="30"/>
      <x:c r="X8" s="30"/>
      <x:c r="Y8" s="30"/>
      <x:c r="Z8" s="30"/>
      <x:c r="AA8" s="30"/>
      <x:c r="AB8" s="30"/>
      <x:c r="AC8" s="30"/>
      <x:c r="AD8" s="30"/>
      <x:c r="AE8" s="30"/>
      <x:c r="AF8" s="30"/>
      <x:c r="AG8" s="30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>
      <x:c r="A9" s="1"/>
      <x:c r="B9" s="1"/>
      <x:c r="C9" s="31" t="str">
        <x:v>Denial worlds</x:v>
      </x:c>
      <x:c r="D9" s="44" t="n">
        <x:v>12</x:v>
      </x:c>
      <x:c r="E9" s="30"/>
      <x:c r="F9" s="30"/>
      <x:c r="G9" s="30"/>
      <x:c r="H9" s="30"/>
      <x:c r="I9" s="30"/>
      <x:c r="J9" s="30"/>
      <x:c r="K9" s="30"/>
      <x:c r="L9" s="30"/>
      <x:c r="M9" s="30"/>
      <x:c r="N9" s="30"/>
      <x:c r="O9" s="30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  <x:c r="AA9" s="30"/>
      <x:c r="AB9" s="30"/>
      <x:c r="AC9" s="30"/>
      <x:c r="AD9" s="30"/>
      <x:c r="AE9" s="30"/>
      <x:c r="AF9" s="30"/>
      <x:c r="AG9" s="30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>
      <x:c r="A10" s="1"/>
      <x:c r="B10" s="1"/>
      <x:c r="C10" s="31" t="str">
        <x:v>Independent sites</x:v>
      </x:c>
      <x:c r="D10" s="44" t="n">
        <x:f>Controls!D8</x:f>
        <x:v>3</x:v>
      </x:c>
      <x:c r="E10" s="30"/>
      <x:c r="F10" s="30"/>
      <x:c r="G10" s="30"/>
      <x:c r="H10" s="30"/>
      <x:c r="I10" s="30"/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  <x:c r="AA10" s="30"/>
      <x:c r="AB10" s="30"/>
      <x:c r="AC10" s="30"/>
      <x:c r="AD10" s="30"/>
      <x:c r="AE10" s="30"/>
      <x:c r="AF10" s="30"/>
      <x:c r="AG10" s="30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>
      <x:c r="A11" s="1"/>
      <x:c r="B11" s="1"/>
      <x:c r="C11" s="31" t="str">
        <x:v>Route–world–root–site trials</x:v>
      </x:c>
      <x:c r="D11" s="44" t="n">
        <x:f>D7*D8*D9*D10</x:f>
        <x:v>720</x:v>
      </x:c>
      <x:c r="E11" s="30"/>
      <x:c r="F11" s="30"/>
      <x:c r="G11" s="30"/>
      <x:c r="H11" s="30"/>
      <x:c r="I11" s="30"/>
      <x:c r="J11" s="30"/>
      <x:c r="K11" s="30"/>
      <x:c r="L11" s="30"/>
      <x:c r="M11" s="30"/>
      <x:c r="N11" s="30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  <x:c r="AA11" s="30"/>
      <x:c r="AB11" s="30"/>
      <x:c r="AC11" s="30"/>
      <x:c r="AD11" s="30"/>
      <x:c r="AE11" s="30"/>
      <x:c r="AF11" s="30"/>
      <x:c r="AG11" s="30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>
      <x:c r="A12" s="1"/>
      <x:c r="B12" s="1"/>
      <x:c r="C12" s="34" t="str">
        <x:v>Stage decisions</x:v>
      </x:c>
      <x:c r="D12" s="44" t="n">
        <x:f>D11*Controls!D10</x:f>
        <x:v>5040</x:v>
      </x:c>
      <x:c r="E12" s="30"/>
      <x:c r="F12" s="30"/>
      <x:c r="G12" s="30"/>
      <x:c r="H12" s="30"/>
      <x:c r="I12" s="30"/>
      <x:c r="J12" s="30"/>
      <x:c r="K12" s="30"/>
      <x:c r="L12" s="30"/>
      <x:c r="M12" s="30"/>
      <x:c r="N12" s="30"/>
      <x:c r="O12" s="30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  <x:c r="AA12" s="30"/>
      <x:c r="AB12" s="30"/>
      <x:c r="AC12" s="30"/>
      <x:c r="AD12" s="30"/>
      <x:c r="AE12" s="30"/>
      <x:c r="AF12" s="30"/>
      <x:c r="AG12" s="30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>
      <x:c r="A13" s="1"/>
      <x:c r="B13" s="1"/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  <x:c r="N13" s="30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  <x:c r="AA13" s="30"/>
      <x:c r="AB13" s="30"/>
      <x:c r="AC13" s="30"/>
      <x:c r="AD13" s="30"/>
      <x:c r="AE13" s="30"/>
      <x:c r="AF13" s="30"/>
      <x:c r="AG13" s="30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>
      <x:c r="A14" s="1"/>
      <x:c r="B14" s="1"/>
      <x:c r="C14" s="30"/>
      <x:c r="D14" s="30"/>
      <x:c r="E14" s="30"/>
      <x:c r="F14" s="30"/>
      <x:c r="G14" s="30"/>
      <x:c r="H14" s="30"/>
      <x:c r="I14" s="30"/>
      <x:c r="J14" s="30"/>
      <x:c r="K14" s="30"/>
      <x:c r="L14" s="30"/>
      <x:c r="M14" s="30"/>
      <x:c r="N14" s="30"/>
      <x:c r="O14" s="30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  <x:c r="AA14" s="30"/>
      <x:c r="AB14" s="30"/>
      <x:c r="AC14" s="30"/>
      <x:c r="AD14" s="30"/>
      <x:c r="AE14" s="30"/>
      <x:c r="AF14" s="30"/>
      <x:c r="AG14" s="30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>
      <x:c r="A15" s="1"/>
      <x:c r="B15" s="1"/>
      <x:c r="C15" s="9" t="str">
        <x:v>Root</x:v>
      </x:c>
      <x:c r="D15" s="17" t="str">
        <x:v>Complete rival architecture</x:v>
      </x:c>
      <x:c r="E15" s="17" t="str">
        <x:v>Decisive independent substrate</x:v>
      </x:c>
      <x:c r="F15" s="17" t="str">
        <x:v>Complete-system boundary</x:v>
      </x:c>
      <x:c r="G15" s="10" t="str">
        <x:v>Kill exposure</x:v>
      </x:c>
      <x:c r="H15" s="30"/>
      <x:c r="I15" s="30"/>
      <x:c r="J15" s="30"/>
      <x:c r="K15" s="30"/>
      <x:c r="L15" s="30"/>
      <x:c r="M15" s="30"/>
      <x:c r="N15" s="30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  <x:c r="AA15" s="30"/>
      <x:c r="AB15" s="30"/>
      <x:c r="AC15" s="30"/>
      <x:c r="AD15" s="30"/>
      <x:c r="AE15" s="30"/>
      <x:c r="AF15" s="30"/>
      <x:c r="AG15" s="30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 ht="62" customHeight="1">
      <x:c r="A16" s="1"/>
      <x:c r="B16" s="1"/>
      <x:c r="C16" s="30" t="str">
        <x:v>CR-1</x:v>
      </x:c>
      <x:c r="D16" s="35" t="str">
        <x:v>Person-held continuity credential</x:v>
      </x:c>
      <x:c r="E16" s="35" t="str">
        <x:v>Tamper-evident physical token, human-readable state and encrypted offline update path</x:v>
      </x:c>
      <x:c r="F16" s="35" t="str">
        <x:v>Person, field reader, local authority, receiver and correction service</x:v>
      </x:c>
      <x:c r="G16" s="35" t="str">
        <x:v>Loss, coercion, inaccessible use or a hidden central dependency</x:v>
      </x:c>
      <x:c r="H16" s="30"/>
      <x:c r="I16" s="30"/>
      <x:c r="J16" s="30"/>
      <x:c r="K16" s="30"/>
      <x:c r="L16" s="30"/>
      <x:c r="M16" s="30"/>
      <x:c r="N16" s="30"/>
      <x:c r="O16" s="30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  <x:c r="AA16" s="30"/>
      <x:c r="AB16" s="30"/>
      <x:c r="AC16" s="30"/>
      <x:c r="AD16" s="30"/>
      <x:c r="AE16" s="30"/>
      <x:c r="AF16" s="30"/>
      <x:c r="AG16" s="30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 ht="62" customHeight="1">
      <x:c r="A17" s="1"/>
      <x:c r="B17" s="1"/>
      <x:c r="C17" s="30" t="str">
        <x:v>CR-2</x:v>
      </x:c>
      <x:c r="D17" s="35" t="str">
        <x:v>Household edge continuity kit</x:v>
      </x:c>
      <x:c r="E17" s="35" t="str">
        <x:v>Household and caregiver relationship store with local peer replication and physical fallback</x:v>
      </x:c>
      <x:c r="F17" s="35" t="str">
        <x:v>Household kit, accessibility interfaces, field teams, local gateways and receiver</x:v>
      </x:c>
      <x:c r="G17" s="35" t="str">
        <x:v>Household hardware becomes a condition of service or creates an unsafe shared household failure</x:v>
      </x:c>
      <x:c r="H17" s="30"/>
      <x:c r="I17" s="30"/>
      <x:c r="J17" s="30"/>
      <x:c r="K17" s="30"/>
      <x:c r="L17" s="30"/>
      <x:c r="M17" s="30"/>
      <x:c r="N17" s="30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  <x:c r="AA17" s="30"/>
      <x:c r="AB17" s="30"/>
      <x:c r="AC17" s="30"/>
      <x:c r="AD17" s="30"/>
      <x:c r="AE17" s="30"/>
      <x:c r="AF17" s="30"/>
      <x:c r="AG17" s="30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 ht="62" customHeight="1">
      <x:c r="A18" s="1"/>
      <x:c r="B18" s="1"/>
      <x:c r="C18" s="30" t="str">
        <x:v>CR-3</x:v>
      </x:c>
      <x:c r="D18" s="35" t="str">
        <x:v>Federated service-node matching</x:v>
      </x:c>
      <x:c r="E18" s="35" t="str">
        <x:v>Service nodes exchange minimum necessary availability and acceptance proofs without one master record</x:v>
      </x:c>
      <x:c r="F18" s="35" t="str">
        <x:v>Origin, clinical, mobility, support and receiver nodes with local authority</x:v>
      </x:c>
      <x:c r="G18" s="35" t="str">
        <x:v>Federation permits stale acceptance, silent duplication, surveillance or national common-mode failure</x:v>
      </x:c>
      <x:c r="H18" s="30"/>
      <x:c r="I18" s="30"/>
      <x:c r="J18" s="30"/>
      <x:c r="K18" s="30"/>
      <x:c r="L18" s="30"/>
      <x:c r="M18" s="30"/>
      <x:c r="N18" s="30"/>
      <x:c r="O18" s="30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  <x:c r="AA18" s="30"/>
      <x:c r="AB18" s="30"/>
      <x:c r="AC18" s="30"/>
      <x:c r="AD18" s="30"/>
      <x:c r="AE18" s="30"/>
      <x:c r="AF18" s="30"/>
      <x:c r="AG18" s="30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 ht="62" customHeight="1">
      <x:c r="A19" s="1"/>
      <x:c r="B19" s="1"/>
      <x:c r="C19" s="30" t="str">
        <x:v>CR-4</x:v>
      </x:c>
      <x:c r="D19" s="35" t="str">
        <x:v>Staffed analog-optical continuity network</x:v>
      </x:c>
      <x:c r="E19" s="35" t="str">
        <x:v>Paper, optical marks, voice procedure and courier replication provide a low-compute complete route</x:v>
      </x:c>
      <x:c r="F19" s="35" t="str">
        <x:v>Forms, seals, interpreters, couriers, local indexes, receiver desks and reconciliation</x:v>
      </x:c>
      <x:c r="G19" s="35" t="str">
        <x:v>Manual burden misses the service clock, loses correction or cannot expose contradiction</x:v>
      </x:c>
      <x:c r="H19" s="30"/>
      <x:c r="I19" s="30"/>
      <x:c r="J19" s="30"/>
      <x:c r="K19" s="30"/>
      <x:c r="L19" s="30"/>
      <x:c r="M19" s="30"/>
      <x:c r="N19" s="30"/>
      <x:c r="O19" s="30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  <x:c r="AA19" s="30"/>
      <x:c r="AB19" s="30"/>
      <x:c r="AC19" s="30"/>
      <x:c r="AD19" s="30"/>
      <x:c r="AE19" s="30"/>
      <x:c r="AF19" s="30"/>
      <x:c r="AG19" s="30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>
      <x:c r="A20" s="1"/>
      <x:c r="B20" s="1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  <x:c r="N20" s="30"/>
      <x:c r="O20" s="30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  <x:c r="AA20" s="30"/>
      <x:c r="AB20" s="30"/>
      <x:c r="AC20" s="30"/>
      <x:c r="AD20" s="30"/>
      <x:c r="AE20" s="30"/>
      <x:c r="AF20" s="30"/>
      <x:c r="AG20" s="30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>
      <x:c r="A21" s="1"/>
      <x:c r="B21" s="1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  <x:c r="AA21" s="30"/>
      <x:c r="AB21" s="30"/>
      <x:c r="AC21" s="30"/>
      <x:c r="AD21" s="30"/>
      <x:c r="AE21" s="30"/>
      <x:c r="AF21" s="30"/>
      <x:c r="AG21" s="30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>
      <x:c r="A22" s="1"/>
      <x:c r="B22" s="1"/>
      <x:c r="C22" s="9" t="str">
        <x:v>World</x:v>
      </x:c>
      <x:c r="D22" s="17" t="str">
        <x:v>Denied condition</x:v>
      </x:c>
      <x:c r="E22" s="17" t="str">
        <x:v>Contract at risk</x:v>
      </x:c>
      <x:c r="F22" s="17" t="str">
        <x:v>Required result</x:v>
      </x:c>
      <x:c r="G22" s="10" t="str">
        <x:v>Credit rule</x:v>
      </x:c>
      <x:c r="H22" s="30"/>
      <x:c r="I22" s="30"/>
      <x:c r="J22" s="30"/>
      <x:c r="K22" s="30"/>
      <x:c r="L22" s="30"/>
      <x:c r="M22" s="30"/>
      <x:c r="N22" s="30"/>
      <x:c r="O22" s="30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  <x:c r="AA22" s="30"/>
      <x:c r="AB22" s="30"/>
      <x:c r="AC22" s="30"/>
      <x:c r="AD22" s="30"/>
      <x:c r="AE22" s="30"/>
      <x:c r="AF22" s="30"/>
      <x:c r="AG22" s="30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 ht="48" customHeight="1">
      <x:c r="A23" s="1"/>
      <x:c r="B23" s="1"/>
      <x:c r="C23" s="30" t="str">
        <x:v>W0</x:v>
      </x:c>
      <x:c r="D23" s="35" t="str">
        <x:v>Complete reference service</x:v>
      </x:c>
      <x:c r="E23" s="35" t="str">
        <x:v>All five routes and seven stages</x:v>
      </x:c>
      <x:c r="F23" s="35" t="str">
        <x:v>Correct route closure and visible incomplete cases</x:v>
      </x:c>
      <x:c r="G23" s="35" t="str">
        <x:v>No served credit unless all required stages and state fields close; an incomplete route must stop visibly and safely.</x:v>
      </x:c>
      <x:c r="H23" s="30"/>
      <x:c r="I23" s="30"/>
      <x:c r="J23" s="30"/>
      <x:c r="K23" s="30"/>
      <x:c r="L23" s="30"/>
      <x:c r="M23" s="30"/>
      <x:c r="N23" s="30"/>
      <x:c r="O23" s="30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  <x:c r="AA23" s="30"/>
      <x:c r="AB23" s="30"/>
      <x:c r="AC23" s="30"/>
      <x:c r="AD23" s="30"/>
      <x:c r="AE23" s="30"/>
      <x:c r="AF23" s="30"/>
      <x:c r="AG23" s="30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 ht="48" customHeight="1">
      <x:c r="A24" s="1"/>
      <x:c r="B24" s="1"/>
      <x:c r="C24" s="30" t="str">
        <x:v>W1</x:v>
      </x:c>
      <x:c r="D24" s="35" t="str">
        <x:v>Commercial cloud and backhaul absent</x:v>
      </x:c>
      <x:c r="E24" s="35" t="str">
        <x:v>Offline state, matching and correction</x:v>
      </x:c>
      <x:c r="F24" s="35" t="str">
        <x:v>No false no-need, duplicate service or stranded handoff</x:v>
      </x:c>
      <x:c r="G24" s="35" t="str">
        <x:v>No served credit unless all required stages and state fields close; an incomplete route must stop visibly and safely.</x:v>
      </x:c>
      <x:c r="H24" s="30"/>
      <x:c r="I24" s="30"/>
      <x:c r="J24" s="30"/>
      <x:c r="K24" s="30"/>
      <x:c r="L24" s="30"/>
      <x:c r="M24" s="30"/>
      <x:c r="N24" s="30"/>
      <x:c r="O24" s="30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  <x:c r="AA24" s="30"/>
      <x:c r="AB24" s="30"/>
      <x:c r="AC24" s="30"/>
      <x:c r="AD24" s="30"/>
      <x:c r="AE24" s="30"/>
      <x:c r="AF24" s="30"/>
      <x:c r="AG24" s="30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 ht="48" customHeight="1">
      <x:c r="A25" s="1"/>
      <x:c r="B25" s="1"/>
      <x:c r="C25" s="30" t="str">
        <x:v>W2</x:v>
      </x:c>
      <x:c r="D25" s="35" t="str">
        <x:v>Regional power intermittent</x:v>
      </x:c>
      <x:c r="E25" s="35" t="str">
        <x:v>Person-held and local-node continuity</x:v>
      </x:c>
      <x:c r="F25" s="35" t="str">
        <x:v>Safe degraded operation and bounded recovery</x:v>
      </x:c>
      <x:c r="G25" s="35" t="str">
        <x:v>No served credit unless all required stages and state fields close; an incomplete route must stop visibly and safely.</x:v>
      </x:c>
      <x:c r="H25" s="30"/>
      <x:c r="I25" s="30"/>
      <x:c r="J25" s="30"/>
      <x:c r="K25" s="30"/>
      <x:c r="L25" s="30"/>
      <x:c r="M25" s="30"/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  <x:c r="AA25" s="30"/>
      <x:c r="AB25" s="30"/>
      <x:c r="AC25" s="30"/>
      <x:c r="AD25" s="30"/>
      <x:c r="AE25" s="30"/>
      <x:c r="AF25" s="30"/>
      <x:c r="AG25" s="30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 ht="48" customHeight="1">
      <x:c r="A26" s="1"/>
      <x:c r="B26" s="1"/>
      <x:c r="C26" s="30" t="str">
        <x:v>W3</x:v>
      </x:c>
      <x:c r="D26" s="35" t="str">
        <x:v>Conflicting identity or duplicate record</x:v>
      </x:c>
      <x:c r="E26" s="35" t="str">
        <x:v>Correction, provenance and authority</x:v>
      </x:c>
      <x:c r="F26" s="35" t="str">
        <x:v>Contradiction remains visible until lawful resolution</x:v>
      </x:c>
      <x:c r="G26" s="35" t="str">
        <x:v>No served credit unless all required stages and state fields close; an incomplete route must stop visibly and safely.</x:v>
      </x:c>
      <x:c r="H26" s="30"/>
      <x:c r="I26" s="30"/>
      <x:c r="J26" s="3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  <x:c r="AA26" s="30"/>
      <x:c r="AB26" s="30"/>
      <x:c r="AC26" s="30"/>
      <x:c r="AD26" s="30"/>
      <x:c r="AE26" s="30"/>
      <x:c r="AF26" s="30"/>
      <x:c r="AG26" s="30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 ht="48" customHeight="1">
      <x:c r="A27" s="1"/>
      <x:c r="B27" s="1"/>
      <x:c r="C27" s="30" t="str">
        <x:v>W4</x:v>
      </x:c>
      <x:c r="D27" s="35" t="str">
        <x:v>Caregiver and dependent separated</x:v>
      </x:c>
      <x:c r="E27" s="35" t="str">
        <x:v>Relationship, safeguarding and reunification</x:v>
      </x:c>
      <x:c r="F27" s="35" t="str">
        <x:v>No independent served credit when safe service requires the relationship</x:v>
      </x:c>
      <x:c r="G27" s="35" t="str">
        <x:v>No served credit unless all required stages and state fields close; an incomplete route must stop visibly and safely.</x:v>
      </x:c>
      <x:c r="H27" s="30"/>
      <x:c r="I27" s="30"/>
      <x:c r="J27" s="30"/>
      <x:c r="K27" s="30"/>
      <x:c r="L27" s="30"/>
      <x:c r="M27" s="30"/>
      <x:c r="N27" s="30"/>
      <x:c r="O27" s="30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  <x:c r="AA27" s="30"/>
      <x:c r="AB27" s="30"/>
      <x:c r="AC27" s="30"/>
      <x:c r="AD27" s="30"/>
      <x:c r="AE27" s="30"/>
      <x:c r="AF27" s="30"/>
      <x:c r="AG27" s="30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 ht="48" customHeight="1">
      <x:c r="A28" s="1"/>
      <x:c r="B28" s="1"/>
      <x:c r="C28" s="30" t="str">
        <x:v>W5</x:v>
      </x:c>
      <x:c r="D28" s="35" t="str">
        <x:v>Medication, device or essential property misrouted</x:v>
      </x:c>
      <x:c r="E28" s="35" t="str">
        <x:v>Therapy and assistive continuity</x:v>
      </x:c>
      <x:c r="F28" s="35" t="str">
        <x:v>Stop or recover before unsafe handoff</x:v>
      </x:c>
      <x:c r="G28" s="35" t="str">
        <x:v>No served credit unless all required stages and state fields close; an incomplete route must stop visibly and safely.</x:v>
      </x:c>
      <x:c r="H28" s="30"/>
      <x:c r="I28" s="30"/>
      <x:c r="J28" s="30"/>
      <x:c r="K28" s="30"/>
      <x:c r="L28" s="30"/>
      <x:c r="M28" s="30"/>
      <x:c r="N28" s="30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  <x:c r="AA28" s="30"/>
      <x:c r="AB28" s="30"/>
      <x:c r="AC28" s="30"/>
      <x:c r="AD28" s="30"/>
      <x:c r="AE28" s="30"/>
      <x:c r="AF28" s="30"/>
      <x:c r="AG28" s="30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 ht="48" customHeight="1">
      <x:c r="A29" s="1"/>
      <x:c r="B29" s="1"/>
      <x:c r="C29" s="30" t="str">
        <x:v>W6</x:v>
      </x:c>
      <x:c r="D29" s="35" t="str">
        <x:v>Cross-jurisdiction, Tribal or partner authority</x:v>
      </x:c>
      <x:c r="E29" s="35" t="str">
        <x:v>Consent, local law and transfer acceptance</x:v>
      </x:c>
      <x:c r="F29" s="35" t="str">
        <x:v>Local authority remains able to correct, refuse and audit</x:v>
      </x:c>
      <x:c r="G29" s="35" t="str">
        <x:v>No served credit unless all required stages and state fields close; an incomplete route must stop visibly and safely.</x:v>
      </x:c>
      <x:c r="H29" s="30"/>
      <x:c r="I29" s="30"/>
      <x:c r="J29" s="30"/>
      <x:c r="K29" s="30"/>
      <x:c r="L29" s="30"/>
      <x:c r="M29" s="30"/>
      <x:c r="N29" s="30"/>
      <x:c r="O29" s="30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  <x:c r="AA29" s="30"/>
      <x:c r="AB29" s="30"/>
      <x:c r="AC29" s="30"/>
      <x:c r="AD29" s="30"/>
      <x:c r="AE29" s="30"/>
      <x:c r="AF29" s="30"/>
      <x:c r="AG29" s="30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 ht="48" customHeight="1">
      <x:c r="A30" s="1"/>
      <x:c r="B30" s="1"/>
      <x:c r="C30" s="30" t="str">
        <x:v>W7</x:v>
      </x:c>
      <x:c r="D30" s="35" t="str">
        <x:v>Accepted receiver becomes unavailable</x:v>
      </x:c>
      <x:c r="E30" s="35" t="str">
        <x:v>Live acceptance and fallback destination</x:v>
      </x:c>
      <x:c r="F30" s="35" t="str">
        <x:v>No dispatch into a known unavailable service</x:v>
      </x:c>
      <x:c r="G30" s="35" t="str">
        <x:v>No served credit unless all required stages and state fields close; an incomplete route must stop visibly and safely.</x:v>
      </x:c>
      <x:c r="H30" s="30"/>
      <x:c r="I30" s="30"/>
      <x:c r="J30" s="30"/>
      <x:c r="K30" s="30"/>
      <x:c r="L30" s="30"/>
      <x:c r="M30" s="30"/>
      <x:c r="N30" s="30"/>
      <x:c r="O30" s="30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  <x:c r="AA30" s="30"/>
      <x:c r="AB30" s="30"/>
      <x:c r="AC30" s="30"/>
      <x:c r="AD30" s="30"/>
      <x:c r="AE30" s="30"/>
      <x:c r="AF30" s="30"/>
      <x:c r="AG30" s="30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 ht="48" customHeight="1">
      <x:c r="A31" s="1"/>
      <x:c r="B31" s="1"/>
      <x:c r="C31" s="30" t="str">
        <x:v>W8</x:v>
      </x:c>
      <x:c r="D31" s="35" t="str">
        <x:v>Clinical acuity changes during movement</x:v>
      </x:c>
      <x:c r="E31" s="35" t="str">
        <x:v>Reassessment, escort and destination match</x:v>
      </x:c>
      <x:c r="F31" s="35" t="str">
        <x:v>Route updates without losing prior state or treatment</x:v>
      </x:c>
      <x:c r="G31" s="35" t="str">
        <x:v>No served credit unless all required stages and state fields close; an incomplete route must stop visibly and safely.</x:v>
      </x:c>
      <x:c r="H31" s="30"/>
      <x:c r="I31" s="30"/>
      <x:c r="J31" s="30"/>
      <x:c r="K31" s="30"/>
      <x:c r="L31" s="30"/>
      <x:c r="M31" s="30"/>
      <x:c r="N31" s="30"/>
      <x:c r="O31" s="30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  <x:c r="AA31" s="30"/>
      <x:c r="AB31" s="30"/>
      <x:c r="AC31" s="30"/>
      <x:c r="AD31" s="30"/>
      <x:c r="AE31" s="30"/>
      <x:c r="AF31" s="30"/>
      <x:c r="AG31" s="30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 ht="48" customHeight="1">
      <x:c r="A32" s="1"/>
      <x:c r="B32" s="1"/>
      <x:c r="C32" s="30" t="str">
        <x:v>W9</x:v>
      </x:c>
      <x:c r="D32" s="35" t="str">
        <x:v>Language, sensory or cognitive interface loss</x:v>
      </x:c>
      <x:c r="E32" s="35" t="str">
        <x:v>Accessible communication and correction</x:v>
      </x:c>
      <x:c r="F32" s="35" t="str">
        <x:v>Person can understand, contest and carry the service state</x:v>
      </x:c>
      <x:c r="G32" s="35" t="str">
        <x:v>No served credit unless all required stages and state fields close; an incomplete route must stop visibly and safely.</x:v>
      </x:c>
      <x:c r="H32" s="30"/>
      <x:c r="I32" s="30"/>
      <x:c r="J32" s="30"/>
      <x:c r="K32" s="30"/>
      <x:c r="L32" s="30"/>
      <x:c r="M32" s="30"/>
      <x:c r="N32" s="30"/>
      <x:c r="O32" s="30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  <x:c r="AA32" s="30"/>
      <x:c r="AB32" s="30"/>
      <x:c r="AC32" s="30"/>
      <x:c r="AD32" s="30"/>
      <x:c r="AE32" s="30"/>
      <x:c r="AF32" s="30"/>
      <x:c r="AG32" s="30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 ht="48" customHeight="1">
      <x:c r="A33" s="1"/>
      <x:c r="B33" s="1"/>
      <x:c r="C33" s="30" t="str">
        <x:v>W10</x:v>
      </x:c>
      <x:c r="D33" s="35" t="str">
        <x:v>One service node is compromised</x:v>
      </x:c>
      <x:c r="E33" s="35" t="str">
        <x:v>Minimum disclosure, isolation and replay</x:v>
      </x:c>
      <x:c r="F33" s="35" t="str">
        <x:v>Compromise does not create silent national false acceptance</x:v>
      </x:c>
      <x:c r="G33" s="35" t="str">
        <x:v>No served credit unless all required stages and state fields close; an incomplete route must stop visibly and safely.</x:v>
      </x:c>
      <x:c r="H33" s="30"/>
      <x:c r="I33" s="30"/>
      <x:c r="J33" s="30"/>
      <x:c r="K33" s="30"/>
      <x:c r="L33" s="30"/>
      <x:c r="M33" s="30"/>
      <x:c r="N33" s="30"/>
      <x:c r="O33" s="30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  <x:c r="AA33" s="30"/>
      <x:c r="AB33" s="30"/>
      <x:c r="AC33" s="30"/>
      <x:c r="AD33" s="30"/>
      <x:c r="AE33" s="30"/>
      <x:c r="AF33" s="30"/>
      <x:c r="AG33" s="30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 ht="48" customHeight="1">
      <x:c r="A34" s="1"/>
      <x:c r="B34" s="1"/>
      <x:c r="C34" s="30" t="str">
        <x:v>W11</x:v>
      </x:c>
      <x:c r="D34" s="35" t="str">
        <x:v>Origin remains uninhabitable at discharge</x:v>
      </x:c>
      <x:c r="E34" s="35" t="str">
        <x:v>Supported transition and continuing service</x:v>
      </x:c>
      <x:c r="F34" s="35" t="str">
        <x:v>No case closure into unmanaged displacement</x:v>
      </x:c>
      <x:c r="G34" s="35" t="str">
        <x:v>No served credit unless all required stages and state fields close; an incomplete route must stop visibly and safely.</x:v>
      </x:c>
      <x:c r="H34" s="30"/>
      <x:c r="I34" s="30"/>
      <x:c r="J34" s="30"/>
      <x:c r="K34" s="30"/>
      <x:c r="L34" s="30"/>
      <x:c r="M34" s="30"/>
      <x:c r="N34" s="30"/>
      <x:c r="O34" s="30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  <x:c r="AA34" s="30"/>
      <x:c r="AB34" s="30"/>
      <x:c r="AC34" s="30"/>
      <x:c r="AD34" s="30"/>
      <x:c r="AE34" s="30"/>
      <x:c r="AF34" s="30"/>
      <x:c r="AG34" s="30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>
      <x:c r="A35" s="1"/>
      <x:c r="B35" s="1"/>
      <x:c r="C35" s="30"/>
      <x:c r="D35" s="30"/>
      <x:c r="E35" s="30"/>
      <x:c r="F35" s="30"/>
      <x:c r="G35" s="30"/>
      <x:c r="H35" s="30"/>
      <x:c r="I35" s="30"/>
      <x:c r="J35" s="30"/>
      <x:c r="K35" s="30"/>
      <x:c r="L35" s="30"/>
      <x:c r="M35" s="30"/>
      <x:c r="N35" s="30"/>
      <x:c r="O35" s="30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  <x:c r="AA35" s="30"/>
      <x:c r="AB35" s="30"/>
      <x:c r="AC35" s="30"/>
      <x:c r="AD35" s="30"/>
      <x:c r="AE35" s="30"/>
      <x:c r="AF35" s="30"/>
      <x:c r="AG35" s="30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>
      <x:c r="A36" s="1"/>
      <x:c r="B36" s="1"/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  <x:c r="M36" s="30"/>
      <x:c r="N36" s="30"/>
      <x:c r="O36" s="30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  <x:c r="AA36" s="30"/>
      <x:c r="AB36" s="30"/>
      <x:c r="AC36" s="30"/>
      <x:c r="AD36" s="30"/>
      <x:c r="AE36" s="30"/>
      <x:c r="AF36" s="30"/>
      <x:c r="AG36" s="30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>
      <x:c r="A37" s="1"/>
      <x:c r="B37" s="1"/>
      <x:c r="C37" s="9" t="str">
        <x:v>Authority</x:v>
      </x:c>
      <x:c r="D37" s="10" t="str">
        <x:v>Nondelegable power</x:v>
      </x:c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  <x:c r="O37" s="30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  <x:c r="AA37" s="30"/>
      <x:c r="AB37" s="30"/>
      <x:c r="AC37" s="30"/>
      <x:c r="AD37" s="30"/>
      <x:c r="AE37" s="30"/>
      <x:c r="AF37" s="30"/>
      <x:c r="AG37" s="30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>
      <x:c r="A38" s="1"/>
      <x:c r="B38" s="1"/>
      <x:c r="C38" s="30" t="str">
        <x:v>Affected person or guardian</x:v>
      </x:c>
      <x:c r="D38" s="35" t="str">
        <x:v>Inspect, correct, consent, refuse and retain a usable receipt</x:v>
      </x:c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  <x:c r="O38" s="30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  <x:c r="AA38" s="30"/>
      <x:c r="AB38" s="30"/>
      <x:c r="AC38" s="30"/>
      <x:c r="AD38" s="30"/>
      <x:c r="AE38" s="30"/>
      <x:c r="AF38" s="30"/>
      <x:c r="AG38" s="30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>
      <x:c r="A39" s="1"/>
      <x:c r="B39" s="1"/>
      <x:c r="C39" s="30" t="str">
        <x:v>Civil and safeguarding authority</x:v>
      </x:c>
      <x:c r="D39" s="35" t="str">
        <x:v>Set lawful priority, custody and protected-separation rules</x:v>
      </x:c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  <x:c r="O39" s="30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  <x:c r="AA39" s="30"/>
      <x:c r="AB39" s="30"/>
      <x:c r="AC39" s="30"/>
      <x:c r="AD39" s="30"/>
      <x:c r="AE39" s="30"/>
      <x:c r="AF39" s="30"/>
      <x:c r="AG39" s="30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>
      <x:c r="A40" s="1"/>
      <x:c r="B40" s="1"/>
      <x:c r="C40" s="30" t="str">
        <x:v>Clinical authority</x:v>
      </x:c>
      <x:c r="D40" s="35" t="str">
        <x:v>Assign acuity, therapy, escort, transfer and discharge state</x:v>
      </x:c>
      <x:c r="E40" s="30"/>
      <x:c r="F40" s="30"/>
      <x:c r="G40" s="30"/>
      <x:c r="H40" s="30"/>
      <x:c r="I40" s="30"/>
      <x:c r="J40" s="30"/>
      <x:c r="K40" s="30"/>
      <x:c r="L40" s="30"/>
      <x:c r="M40" s="30"/>
      <x:c r="N40" s="30"/>
      <x:c r="O40" s="30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  <x:c r="AA40" s="30"/>
      <x:c r="AB40" s="30"/>
      <x:c r="AC40" s="30"/>
      <x:c r="AD40" s="30"/>
      <x:c r="AE40" s="30"/>
      <x:c r="AF40" s="30"/>
      <x:c r="AG40" s="30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>
      <x:c r="A41" s="1"/>
      <x:c r="B41" s="1"/>
      <x:c r="C41" s="30" t="str">
        <x:v>Technical and privacy authority</x:v>
      </x:c>
      <x:c r="D41" s="35" t="str">
        <x:v>Release mechanisms, interfaces, security and minimum-necessary collection</x:v>
      </x:c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  <x:c r="AA41" s="30"/>
      <x:c r="AB41" s="30"/>
      <x:c r="AC41" s="30"/>
      <x:c r="AD41" s="30"/>
      <x:c r="AE41" s="30"/>
      <x:c r="AF41" s="30"/>
      <x:c r="AG41" s="30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>
      <x:c r="A42" s="1"/>
      <x:c r="B42" s="1"/>
      <x:c r="C42" s="30" t="str">
        <x:v>Independent assurance</x:v>
      </x:c>
      <x:c r="D42" s="35" t="str">
        <x:v>Freeze worlds, reconstruct results and deny outcome claims</x:v>
      </x:c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  <x:c r="AA42" s="30"/>
      <x:c r="AB42" s="30"/>
      <x:c r="AC42" s="30"/>
      <x:c r="AD42" s="30"/>
      <x:c r="AE42" s="30"/>
      <x:c r="AF42" s="30"/>
      <x:c r="AG42" s="30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>
      <x:c r="A43" s="1"/>
      <x:c r="B43" s="1"/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  <x:c r="AA43" s="30"/>
      <x:c r="AB43" s="30"/>
      <x:c r="AC43" s="30"/>
      <x:c r="AD43" s="30"/>
      <x:c r="AE43" s="30"/>
      <x:c r="AF43" s="30"/>
      <x:c r="AG43" s="30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>
      <x:c r="A44" s="1"/>
      <x:c r="B44" s="1"/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  <x:c r="M44" s="30"/>
      <x:c r="N44" s="30"/>
      <x:c r="O44" s="30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  <x:c r="AA44" s="30"/>
      <x:c r="AB44" s="30"/>
      <x:c r="AC44" s="30"/>
      <x:c r="AD44" s="30"/>
      <x:c r="AE44" s="30"/>
      <x:c r="AF44" s="30"/>
      <x:c r="AG44" s="30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>
      <x:c r="A45" s="1"/>
      <x:c r="B45" s="1"/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  <x:c r="AA45" s="30"/>
      <x:c r="AB45" s="30"/>
      <x:c r="AC45" s="30"/>
      <x:c r="AD45" s="30"/>
      <x:c r="AE45" s="30"/>
      <x:c r="AF45" s="30"/>
      <x:c r="AG45" s="30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>
      <x:c r="A46" s="1"/>
      <x:c r="B46" s="1"/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  <x:c r="M46" s="30"/>
      <x:c r="N46" s="30"/>
      <x:c r="O46" s="30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  <x:c r="AA46" s="30"/>
      <x:c r="AB46" s="30"/>
      <x:c r="AC46" s="30"/>
      <x:c r="AD46" s="30"/>
      <x:c r="AE46" s="30"/>
      <x:c r="AF46" s="30"/>
      <x:c r="AG46" s="30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>
      <x:c r="A47" s="1"/>
      <x:c r="B47" s="1"/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  <x:c r="O47" s="30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  <x:c r="AA47" s="30"/>
      <x:c r="AB47" s="30"/>
      <x:c r="AC47" s="30"/>
      <x:c r="AD47" s="30"/>
      <x:c r="AE47" s="30"/>
      <x:c r="AF47" s="30"/>
      <x:c r="AG47" s="30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>
      <x:c r="A48" s="1"/>
      <x:c r="B48" s="1"/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  <x:c r="M48" s="30"/>
      <x:c r="N48" s="30"/>
      <x:c r="O48" s="30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  <x:c r="AA48" s="30"/>
      <x:c r="AB48" s="30"/>
      <x:c r="AC48" s="30"/>
      <x:c r="AD48" s="30"/>
      <x:c r="AE48" s="30"/>
      <x:c r="AF48" s="30"/>
      <x:c r="AG48" s="30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>
      <x:c r="A49" s="1"/>
      <x:c r="B49" s="1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0"/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  <x:c r="AA49" s="30"/>
      <x:c r="AB49" s="30"/>
      <x:c r="AC49" s="30"/>
      <x:c r="AD49" s="30"/>
      <x:c r="AE49" s="30"/>
      <x:c r="AF49" s="30"/>
      <x:c r="AG49" s="30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>
      <x:c r="A50" s="1"/>
      <x:c r="B50" s="1"/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  <x:c r="O50" s="30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  <x:c r="AA50" s="30"/>
      <x:c r="AB50" s="30"/>
      <x:c r="AC50" s="30"/>
      <x:c r="AD50" s="30"/>
      <x:c r="AE50" s="30"/>
      <x:c r="AF50" s="30"/>
      <x:c r="AG50" s="30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>
      <x:c r="A51" s="1"/>
      <x:c r="B51" s="1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  <x:c r="O51" s="30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  <x:c r="AA51" s="30"/>
      <x:c r="AB51" s="30"/>
      <x:c r="AC51" s="30"/>
      <x:c r="AD51" s="30"/>
      <x:c r="AE51" s="30"/>
      <x:c r="AF51" s="30"/>
      <x:c r="AG51" s="30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>
      <x:c r="A52" s="1"/>
      <x:c r="B52" s="1"/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  <x:c r="M52" s="30"/>
      <x:c r="N52" s="30"/>
      <x:c r="O52" s="30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  <x:c r="AA52" s="30"/>
      <x:c r="AB52" s="30"/>
      <x:c r="AC52" s="30"/>
      <x:c r="AD52" s="30"/>
      <x:c r="AE52" s="30"/>
      <x:c r="AF52" s="30"/>
      <x:c r="AG52" s="30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>
      <x:c r="A53" s="1"/>
      <x:c r="B53" s="1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  <x:c r="O53" s="30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  <x:c r="AA53" s="30"/>
      <x:c r="AB53" s="30"/>
      <x:c r="AC53" s="30"/>
      <x:c r="AD53" s="30"/>
      <x:c r="AE53" s="30"/>
      <x:c r="AF53" s="30"/>
      <x:c r="AG53" s="30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>
      <x:c r="A54" s="1"/>
      <x:c r="B54" s="1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  <x:c r="AA54" s="30"/>
      <x:c r="AB54" s="30"/>
      <x:c r="AC54" s="30"/>
      <x:c r="AD54" s="30"/>
      <x:c r="AE54" s="30"/>
      <x:c r="AF54" s="30"/>
      <x:c r="AG54" s="30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>
      <x:c r="A55" s="1"/>
      <x:c r="B55" s="1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  <x:c r="AA55" s="30"/>
      <x:c r="AB55" s="30"/>
      <x:c r="AC55" s="30"/>
      <x:c r="AD55" s="30"/>
      <x:c r="AE55" s="30"/>
      <x:c r="AF55" s="30"/>
      <x:c r="AG55" s="30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>
      <x:c r="A56" s="1"/>
      <x:c r="B56" s="1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  <x:c r="AA56" s="30"/>
      <x:c r="AB56" s="30"/>
      <x:c r="AC56" s="30"/>
      <x:c r="AD56" s="30"/>
      <x:c r="AE56" s="30"/>
      <x:c r="AF56" s="30"/>
      <x:c r="AG56" s="30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>
      <x:c r="A57" s="1"/>
      <x:c r="B57" s="1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  <x:c r="AA57" s="30"/>
      <x:c r="AB57" s="30"/>
      <x:c r="AC57" s="30"/>
      <x:c r="AD57" s="30"/>
      <x:c r="AE57" s="30"/>
      <x:c r="AF57" s="30"/>
      <x:c r="AG57" s="30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>
      <x:c r="A58" s="1"/>
      <x:c r="B58" s="1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0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  <x:c r="AA58" s="30"/>
      <x:c r="AB58" s="30"/>
      <x:c r="AC58" s="30"/>
      <x:c r="AD58" s="30"/>
      <x:c r="AE58" s="30"/>
      <x:c r="AF58" s="30"/>
      <x:c r="AG58" s="30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>
      <x:c r="A59" s="1"/>
      <x:c r="B59" s="1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  <x:c r="M59" s="30"/>
      <x:c r="N59" s="30"/>
      <x:c r="O59" s="30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  <x:c r="AA59" s="30"/>
      <x:c r="AB59" s="30"/>
      <x:c r="AC59" s="30"/>
      <x:c r="AD59" s="30"/>
      <x:c r="AE59" s="30"/>
      <x:c r="AF59" s="30"/>
      <x:c r="AG59" s="30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>
      <x:c r="A60" s="1"/>
      <x:c r="B60" s="1"/>
      <x:c r="C60" s="30"/>
      <x:c r="D60" s="30"/>
      <x:c r="E60" s="30"/>
      <x:c r="F60" s="30"/>
      <x:c r="G60" s="30"/>
      <x:c r="H60" s="30"/>
      <x:c r="I60" s="30"/>
      <x:c r="J60" s="30"/>
      <x:c r="K60" s="30"/>
      <x:c r="L60" s="30"/>
      <x:c r="M60" s="30"/>
      <x:c r="N60" s="30"/>
      <x:c r="O60" s="30"/>
      <x:c r="P60" s="30"/>
      <x:c r="Q60" s="30"/>
      <x:c r="R60" s="30"/>
      <x:c r="S60" s="30"/>
      <x:c r="T60" s="30"/>
      <x:c r="U60" s="30"/>
      <x:c r="V60" s="30"/>
      <x:c r="W60" s="30"/>
      <x:c r="X60" s="30"/>
      <x:c r="Y60" s="30"/>
      <x:c r="Z60" s="30"/>
      <x:c r="AA60" s="30"/>
      <x:c r="AB60" s="30"/>
      <x:c r="AC60" s="30"/>
      <x:c r="AD60" s="30"/>
      <x:c r="AE60" s="30"/>
      <x:c r="AF60" s="30"/>
      <x:c r="AG60" s="30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>
      <x:c r="A61" s="1"/>
      <x:c r="B61" s="1"/>
      <x:c r="C61" s="30"/>
      <x:c r="D61" s="30"/>
      <x:c r="E61" s="30"/>
      <x:c r="F61" s="30"/>
      <x:c r="G61" s="30"/>
      <x:c r="H61" s="30"/>
      <x:c r="I61" s="30"/>
      <x:c r="J61" s="30"/>
      <x:c r="K61" s="30"/>
      <x:c r="L61" s="30"/>
      <x:c r="M61" s="30"/>
      <x:c r="N61" s="30"/>
      <x:c r="O61" s="30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  <x:c r="AA61" s="30"/>
      <x:c r="AB61" s="30"/>
      <x:c r="AC61" s="30"/>
      <x:c r="AD61" s="30"/>
      <x:c r="AE61" s="30"/>
      <x:c r="AF61" s="30"/>
      <x:c r="AG61" s="30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>
      <x:c r="A62" s="1"/>
      <x:c r="B62" s="1"/>
      <x:c r="C62" s="30"/>
      <x:c r="D62" s="30"/>
      <x:c r="E62" s="30"/>
      <x:c r="F62" s="30"/>
      <x:c r="G62" s="30"/>
      <x:c r="H62" s="30"/>
      <x:c r="I62" s="30"/>
      <x:c r="J62" s="30"/>
      <x:c r="K62" s="30"/>
      <x:c r="L62" s="30"/>
      <x:c r="M62" s="30"/>
      <x:c r="N62" s="30"/>
      <x:c r="O62" s="30"/>
      <x:c r="P62" s="30"/>
      <x:c r="Q62" s="30"/>
      <x:c r="R62" s="30"/>
      <x:c r="S62" s="30"/>
      <x:c r="T62" s="30"/>
      <x:c r="U62" s="30"/>
      <x:c r="V62" s="30"/>
      <x:c r="W62" s="30"/>
      <x:c r="X62" s="30"/>
      <x:c r="Y62" s="30"/>
      <x:c r="Z62" s="30"/>
      <x:c r="AA62" s="30"/>
      <x:c r="AB62" s="30"/>
      <x:c r="AC62" s="30"/>
      <x:c r="AD62" s="30"/>
      <x:c r="AE62" s="30"/>
      <x:c r="AF62" s="30"/>
      <x:c r="AG62" s="30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>
      <x:c r="A63" s="1"/>
      <x:c r="B63" s="1"/>
      <x:c r="C63" s="30"/>
      <x:c r="D63" s="30"/>
      <x:c r="E63" s="30"/>
      <x:c r="F63" s="30"/>
      <x:c r="G63" s="30"/>
      <x:c r="H63" s="30"/>
      <x:c r="I63" s="30"/>
      <x:c r="J63" s="30"/>
      <x:c r="K63" s="30"/>
      <x:c r="L63" s="30"/>
      <x:c r="M63" s="30"/>
      <x:c r="N63" s="30"/>
      <x:c r="O63" s="30"/>
      <x:c r="P63" s="30"/>
      <x:c r="Q63" s="30"/>
      <x:c r="R63" s="30"/>
      <x:c r="S63" s="30"/>
      <x:c r="T63" s="30"/>
      <x:c r="U63" s="30"/>
      <x:c r="V63" s="30"/>
      <x:c r="W63" s="30"/>
      <x:c r="X63" s="30"/>
      <x:c r="Y63" s="30"/>
      <x:c r="Z63" s="30"/>
      <x:c r="AA63" s="30"/>
      <x:c r="AB63" s="30"/>
      <x:c r="AC63" s="30"/>
      <x:c r="AD63" s="30"/>
      <x:c r="AE63" s="30"/>
      <x:c r="AF63" s="30"/>
      <x:c r="AG63" s="30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>
      <x:c r="A64" s="1"/>
      <x:c r="B64" s="1"/>
      <x:c r="C64" s="30"/>
      <x:c r="D64" s="30"/>
      <x:c r="E64" s="30"/>
      <x:c r="F64" s="30"/>
      <x:c r="G64" s="30"/>
      <x:c r="H64" s="30"/>
      <x:c r="I64" s="30"/>
      <x:c r="J64" s="30"/>
      <x:c r="K64" s="30"/>
      <x:c r="L64" s="30"/>
      <x:c r="M64" s="30"/>
      <x:c r="N64" s="30"/>
      <x:c r="O64" s="30"/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30"/>
      <x:c r="AA64" s="30"/>
      <x:c r="AB64" s="30"/>
      <x:c r="AC64" s="30"/>
      <x:c r="AD64" s="30"/>
      <x:c r="AE64" s="30"/>
      <x:c r="AF64" s="30"/>
      <x:c r="AG64" s="30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>
      <x:c r="A65" s="1"/>
      <x:c r="B65" s="1"/>
      <x:c r="C65" s="30"/>
      <x:c r="D65" s="30"/>
      <x:c r="E65" s="30"/>
      <x:c r="F65" s="30"/>
      <x:c r="G65" s="30"/>
      <x:c r="H65" s="30"/>
      <x:c r="I65" s="30"/>
      <x:c r="J65" s="30"/>
      <x:c r="K65" s="30"/>
      <x:c r="L65" s="30"/>
      <x:c r="M65" s="30"/>
      <x:c r="N65" s="30"/>
      <x:c r="O65" s="30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  <x:c r="AA65" s="30"/>
      <x:c r="AB65" s="30"/>
      <x:c r="AC65" s="30"/>
      <x:c r="AD65" s="30"/>
      <x:c r="AE65" s="30"/>
      <x:c r="AF65" s="30"/>
      <x:c r="AG65" s="30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>
      <x:c r="A66" s="1"/>
      <x:c r="B66" s="1"/>
      <x:c r="C66" s="30"/>
      <x:c r="D66" s="30"/>
      <x:c r="E66" s="30"/>
      <x:c r="F66" s="30"/>
      <x:c r="G66" s="30"/>
      <x:c r="H66" s="30"/>
      <x:c r="I66" s="30"/>
      <x:c r="J66" s="30"/>
      <x:c r="K66" s="30"/>
      <x:c r="L66" s="30"/>
      <x:c r="M66" s="30"/>
      <x:c r="N66" s="30"/>
      <x:c r="O66" s="30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  <x:c r="AA66" s="30"/>
      <x:c r="AB66" s="30"/>
      <x:c r="AC66" s="30"/>
      <x:c r="AD66" s="30"/>
      <x:c r="AE66" s="30"/>
      <x:c r="AF66" s="30"/>
      <x:c r="AG66" s="30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>
      <x:c r="A67" s="1"/>
      <x:c r="B67" s="1"/>
      <x:c r="C67" s="30"/>
      <x:c r="D67" s="30"/>
      <x:c r="E67" s="30"/>
      <x:c r="F67" s="30"/>
      <x:c r="G67" s="30"/>
      <x:c r="H67" s="30"/>
      <x:c r="I67" s="30"/>
      <x:c r="J67" s="30"/>
      <x:c r="K67" s="30"/>
      <x:c r="L67" s="30"/>
      <x:c r="M67" s="30"/>
      <x:c r="N67" s="30"/>
      <x:c r="O67" s="30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  <x:c r="AA67" s="30"/>
      <x:c r="AB67" s="30"/>
      <x:c r="AC67" s="30"/>
      <x:c r="AD67" s="30"/>
      <x:c r="AE67" s="30"/>
      <x:c r="AF67" s="30"/>
      <x:c r="AG67" s="30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>
      <x:c r="A68" s="1"/>
      <x:c r="B68" s="1"/>
      <x:c r="C68" s="30"/>
      <x:c r="D68" s="30"/>
      <x:c r="E68" s="30"/>
      <x:c r="F68" s="30"/>
      <x:c r="G68" s="30"/>
      <x:c r="H68" s="30"/>
      <x:c r="I68" s="30"/>
      <x:c r="J68" s="30"/>
      <x:c r="K68" s="30"/>
      <x:c r="L68" s="30"/>
      <x:c r="M68" s="30"/>
      <x:c r="N68" s="30"/>
      <x:c r="O68" s="30"/>
      <x:c r="P68" s="30"/>
      <x:c r="Q68" s="30"/>
      <x:c r="R68" s="30"/>
      <x:c r="S68" s="30"/>
      <x:c r="T68" s="30"/>
      <x:c r="U68" s="30"/>
      <x:c r="V68" s="30"/>
      <x:c r="W68" s="30"/>
      <x:c r="X68" s="30"/>
      <x:c r="Y68" s="30"/>
      <x:c r="Z68" s="30"/>
      <x:c r="AA68" s="30"/>
      <x:c r="AB68" s="30"/>
      <x:c r="AC68" s="30"/>
      <x:c r="AD68" s="30"/>
      <x:c r="AE68" s="30"/>
      <x:c r="AF68" s="30"/>
      <x:c r="AG68" s="30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>
      <x:c r="A69" s="1"/>
      <x:c r="B69" s="1"/>
      <x:c r="C69" s="30"/>
      <x:c r="D69" s="30"/>
      <x:c r="E69" s="30"/>
      <x:c r="F69" s="30"/>
      <x:c r="G69" s="30"/>
      <x:c r="H69" s="30"/>
      <x:c r="I69" s="30"/>
      <x:c r="J69" s="30"/>
      <x:c r="K69" s="30"/>
      <x:c r="L69" s="30"/>
      <x:c r="M69" s="30"/>
      <x:c r="N69" s="30"/>
      <x:c r="O69" s="30"/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30"/>
      <x:c r="AA69" s="30"/>
      <x:c r="AB69" s="30"/>
      <x:c r="AC69" s="30"/>
      <x:c r="AD69" s="30"/>
      <x:c r="AE69" s="30"/>
      <x:c r="AF69" s="30"/>
      <x:c r="AG69" s="30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>
      <x:c r="A70" s="1"/>
      <x:c r="B70" s="1"/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  <x:c r="M70" s="30"/>
      <x:c r="N70" s="30"/>
      <x:c r="O70" s="30"/>
      <x:c r="P70" s="30"/>
      <x:c r="Q70" s="30"/>
      <x:c r="R70" s="30"/>
      <x:c r="S70" s="30"/>
      <x:c r="T70" s="30"/>
      <x:c r="U70" s="30"/>
      <x:c r="V70" s="30"/>
      <x:c r="W70" s="30"/>
      <x:c r="X70" s="30"/>
      <x:c r="Y70" s="30"/>
      <x:c r="Z70" s="30"/>
      <x:c r="AA70" s="30"/>
      <x:c r="AB70" s="30"/>
      <x:c r="AC70" s="30"/>
      <x:c r="AD70" s="30"/>
      <x:c r="AE70" s="30"/>
      <x:c r="AF70" s="30"/>
      <x:c r="AG70" s="30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>
      <x:c r="A71" s="1"/>
      <x:c r="B71" s="1"/>
      <x:c r="C71" s="30"/>
      <x:c r="D71" s="30"/>
      <x:c r="E71" s="30"/>
      <x:c r="F71" s="30"/>
      <x:c r="G71" s="30"/>
      <x:c r="H71" s="30"/>
      <x:c r="I71" s="30"/>
      <x:c r="J71" s="30"/>
      <x:c r="K71" s="30"/>
      <x:c r="L71" s="30"/>
      <x:c r="M71" s="30"/>
      <x:c r="N71" s="30"/>
      <x:c r="O71" s="30"/>
      <x:c r="P71" s="30"/>
      <x:c r="Q71" s="30"/>
      <x:c r="R71" s="30"/>
      <x:c r="S71" s="30"/>
      <x:c r="T71" s="30"/>
      <x:c r="U71" s="30"/>
      <x:c r="V71" s="30"/>
      <x:c r="W71" s="30"/>
      <x:c r="X71" s="30"/>
      <x:c r="Y71" s="30"/>
      <x:c r="Z71" s="30"/>
      <x:c r="AA71" s="30"/>
      <x:c r="AB71" s="30"/>
      <x:c r="AC71" s="30"/>
      <x:c r="AD71" s="30"/>
      <x:c r="AE71" s="30"/>
      <x:c r="AF71" s="30"/>
      <x:c r="AG71" s="30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>
      <x:c r="A72" s="1"/>
      <x:c r="B72" s="1"/>
      <x:c r="C72" s="30"/>
      <x:c r="D72" s="30"/>
      <x:c r="E72" s="30"/>
      <x:c r="F72" s="30"/>
      <x:c r="G72" s="30"/>
      <x:c r="H72" s="30"/>
      <x:c r="I72" s="30"/>
      <x:c r="J72" s="30"/>
      <x:c r="K72" s="30"/>
      <x:c r="L72" s="30"/>
      <x:c r="M72" s="30"/>
      <x:c r="N72" s="30"/>
      <x:c r="O72" s="30"/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30"/>
      <x:c r="AA72" s="30"/>
      <x:c r="AB72" s="30"/>
      <x:c r="AC72" s="30"/>
      <x:c r="AD72" s="30"/>
      <x:c r="AE72" s="30"/>
      <x:c r="AF72" s="30"/>
      <x:c r="AG72" s="30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>
      <x:c r="A73" s="1"/>
      <x:c r="B73" s="1"/>
      <x:c r="C73" s="30"/>
      <x:c r="D73" s="30"/>
      <x:c r="E73" s="30"/>
      <x:c r="F73" s="30"/>
      <x:c r="G73" s="30"/>
      <x:c r="H73" s="30"/>
      <x:c r="I73" s="30"/>
      <x:c r="J73" s="30"/>
      <x:c r="K73" s="30"/>
      <x:c r="L73" s="30"/>
      <x:c r="M73" s="30"/>
      <x:c r="N73" s="30"/>
      <x:c r="O73" s="30"/>
      <x:c r="P73" s="30"/>
      <x:c r="Q73" s="30"/>
      <x:c r="R73" s="30"/>
      <x:c r="S73" s="30"/>
      <x:c r="T73" s="30"/>
      <x:c r="U73" s="30"/>
      <x:c r="V73" s="30"/>
      <x:c r="W73" s="30"/>
      <x:c r="X73" s="30"/>
      <x:c r="Y73" s="30"/>
      <x:c r="Z73" s="30"/>
      <x:c r="AA73" s="30"/>
      <x:c r="AB73" s="30"/>
      <x:c r="AC73" s="30"/>
      <x:c r="AD73" s="30"/>
      <x:c r="AE73" s="30"/>
      <x:c r="AF73" s="30"/>
      <x:c r="AG73" s="30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>
      <x:c r="A74" s="1"/>
      <x:c r="B74" s="1"/>
      <x:c r="C74" s="30"/>
      <x:c r="D74" s="30"/>
      <x:c r="E74" s="30"/>
      <x:c r="F74" s="30"/>
      <x:c r="G74" s="30"/>
      <x:c r="H74" s="30"/>
      <x:c r="I74" s="30"/>
      <x:c r="J74" s="30"/>
      <x:c r="K74" s="30"/>
      <x:c r="L74" s="30"/>
      <x:c r="M74" s="30"/>
      <x:c r="N74" s="30"/>
      <x:c r="O74" s="30"/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30"/>
      <x:c r="AA74" s="30"/>
      <x:c r="AB74" s="30"/>
      <x:c r="AC74" s="30"/>
      <x:c r="AD74" s="30"/>
      <x:c r="AE74" s="30"/>
      <x:c r="AF74" s="30"/>
      <x:c r="AG74" s="30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>
      <x:c r="A75" s="1"/>
      <x:c r="B75" s="1"/>
      <x:c r="C75" s="30"/>
      <x:c r="D75" s="30"/>
      <x:c r="E75" s="30"/>
      <x:c r="F75" s="30"/>
      <x:c r="G75" s="30"/>
      <x:c r="H75" s="30"/>
      <x:c r="I75" s="30"/>
      <x:c r="J75" s="30"/>
      <x:c r="K75" s="30"/>
      <x:c r="L75" s="30"/>
      <x:c r="M75" s="30"/>
      <x:c r="N75" s="30"/>
      <x:c r="O75" s="30"/>
      <x:c r="P75" s="30"/>
      <x:c r="Q75" s="30"/>
      <x:c r="R75" s="30"/>
      <x:c r="S75" s="30"/>
      <x:c r="T75" s="30"/>
      <x:c r="U75" s="30"/>
      <x:c r="V75" s="30"/>
      <x:c r="W75" s="30"/>
      <x:c r="X75" s="30"/>
      <x:c r="Y75" s="30"/>
      <x:c r="Z75" s="30"/>
      <x:c r="AA75" s="30"/>
      <x:c r="AB75" s="30"/>
      <x:c r="AC75" s="30"/>
      <x:c r="AD75" s="30"/>
      <x:c r="AE75" s="30"/>
      <x:c r="AF75" s="30"/>
      <x:c r="AG75" s="30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>
      <x:c r="A76" s="1"/>
      <x:c r="B76" s="1"/>
      <x:c r="C76" s="30"/>
      <x:c r="D76" s="30"/>
      <x:c r="E76" s="30"/>
      <x:c r="F76" s="30"/>
      <x:c r="G76" s="30"/>
      <x:c r="H76" s="30"/>
      <x:c r="I76" s="30"/>
      <x:c r="J76" s="30"/>
      <x:c r="K76" s="30"/>
      <x:c r="L76" s="30"/>
      <x:c r="M76" s="30"/>
      <x:c r="N76" s="30"/>
      <x:c r="O76" s="30"/>
      <x:c r="P76" s="30"/>
      <x:c r="Q76" s="30"/>
      <x:c r="R76" s="30"/>
      <x:c r="S76" s="30"/>
      <x:c r="T76" s="30"/>
      <x:c r="U76" s="30"/>
      <x:c r="V76" s="30"/>
      <x:c r="W76" s="30"/>
      <x:c r="X76" s="30"/>
      <x:c r="Y76" s="30"/>
      <x:c r="Z76" s="30"/>
      <x:c r="AA76" s="30"/>
      <x:c r="AB76" s="30"/>
      <x:c r="AC76" s="30"/>
      <x:c r="AD76" s="30"/>
      <x:c r="AE76" s="30"/>
      <x:c r="AF76" s="30"/>
      <x:c r="AG76" s="30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>
      <x:c r="A77" s="1"/>
      <x:c r="B77" s="1"/>
      <x:c r="C77" s="30"/>
      <x:c r="D77" s="30"/>
      <x:c r="E77" s="30"/>
      <x:c r="F77" s="30"/>
      <x:c r="G77" s="30"/>
      <x:c r="H77" s="30"/>
      <x:c r="I77" s="30"/>
      <x:c r="J77" s="30"/>
      <x:c r="K77" s="30"/>
      <x:c r="L77" s="30"/>
      <x:c r="M77" s="30"/>
      <x:c r="N77" s="30"/>
      <x:c r="O77" s="30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  <x:c r="AA77" s="30"/>
      <x:c r="AB77" s="30"/>
      <x:c r="AC77" s="30"/>
      <x:c r="AD77" s="30"/>
      <x:c r="AE77" s="30"/>
      <x:c r="AF77" s="30"/>
      <x:c r="AG77" s="30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>
      <x:c r="A78" s="1"/>
      <x:c r="B78" s="1"/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  <x:c r="O78" s="30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  <x:c r="AA78" s="30"/>
      <x:c r="AB78" s="30"/>
      <x:c r="AC78" s="30"/>
      <x:c r="AD78" s="30"/>
      <x:c r="AE78" s="30"/>
      <x:c r="AF78" s="30"/>
      <x:c r="AG78" s="30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>
      <x:c r="A79" s="1"/>
      <x:c r="B79" s="1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  <x:c r="M79" s="30"/>
      <x:c r="N79" s="30"/>
      <x:c r="O79" s="30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  <x:c r="AA79" s="30"/>
      <x:c r="AB79" s="30"/>
      <x:c r="AC79" s="30"/>
      <x:c r="AD79" s="30"/>
      <x:c r="AE79" s="30"/>
      <x:c r="AF79" s="30"/>
      <x:c r="AG79" s="30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>
      <x:c r="A80" s="1"/>
      <x:c r="B80" s="1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  <x:c r="M80" s="30"/>
      <x:c r="N80" s="30"/>
      <x:c r="O80" s="30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  <x:c r="AA80" s="30"/>
      <x:c r="AB80" s="30"/>
      <x:c r="AC80" s="30"/>
      <x:c r="AD80" s="30"/>
      <x:c r="AE80" s="30"/>
      <x:c r="AF80" s="30"/>
      <x:c r="AG80" s="30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>
      <x:c r="A81" s="1"/>
      <x:c r="B81" s="1"/>
      <x:c r="C81" s="30"/>
      <x:c r="D81" s="30"/>
      <x:c r="E81" s="30"/>
      <x:c r="F81" s="30"/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  <x:c r="AA81" s="30"/>
      <x:c r="AB81" s="30"/>
      <x:c r="AC81" s="30"/>
      <x:c r="AD81" s="30"/>
      <x:c r="AE81" s="30"/>
      <x:c r="AF81" s="30"/>
      <x:c r="AG81" s="30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>
      <x:c r="A82" s="1"/>
      <x:c r="B82" s="1"/>
      <x:c r="C82" s="30"/>
      <x:c r="D82" s="30"/>
      <x:c r="E82" s="30"/>
      <x:c r="F82" s="30"/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30"/>
      <x:c r="AA82" s="30"/>
      <x:c r="AB82" s="30"/>
      <x:c r="AC82" s="30"/>
      <x:c r="AD82" s="30"/>
      <x:c r="AE82" s="30"/>
      <x:c r="AF82" s="30"/>
      <x:c r="AG82" s="30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>
      <x:c r="A83" s="1"/>
      <x:c r="B83" s="1"/>
      <x:c r="C83" s="30"/>
      <x:c r="D83" s="30"/>
      <x:c r="E83" s="30"/>
      <x:c r="F83" s="30"/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30"/>
      <x:c r="AA83" s="30"/>
      <x:c r="AB83" s="30"/>
      <x:c r="AC83" s="30"/>
      <x:c r="AD83" s="30"/>
      <x:c r="AE83" s="30"/>
      <x:c r="AF83" s="30"/>
      <x:c r="AG83" s="30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>
      <x:c r="A84" s="1"/>
      <x:c r="B84" s="1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30"/>
      <x:c r="AA84" s="30"/>
      <x:c r="AB84" s="30"/>
      <x:c r="AC84" s="30"/>
      <x:c r="AD84" s="30"/>
      <x:c r="AE84" s="30"/>
      <x:c r="AF84" s="30"/>
      <x:c r="AG84" s="30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>
      <x:c r="A85" s="1"/>
      <x:c r="B85" s="1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30"/>
      <x:c r="AA85" s="30"/>
      <x:c r="AB85" s="30"/>
      <x:c r="AC85" s="30"/>
      <x:c r="AD85" s="30"/>
      <x:c r="AE85" s="30"/>
      <x:c r="AF85" s="30"/>
      <x:c r="AG85" s="30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>
      <x:c r="A86" s="1"/>
      <x:c r="B86" s="1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30"/>
      <x:c r="AA86" s="30"/>
      <x:c r="AB86" s="30"/>
      <x:c r="AC86" s="30"/>
      <x:c r="AD86" s="30"/>
      <x:c r="AE86" s="30"/>
      <x:c r="AF86" s="30"/>
      <x:c r="AG86" s="30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>
      <x:c r="A87" s="1"/>
      <x:c r="B87" s="1"/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  <x:c r="Y87" s="30"/>
      <x:c r="Z87" s="30"/>
      <x:c r="AA87" s="30"/>
      <x:c r="AB87" s="30"/>
      <x:c r="AC87" s="30"/>
      <x:c r="AD87" s="30"/>
      <x:c r="AE87" s="30"/>
      <x:c r="AF87" s="30"/>
      <x:c r="AG87" s="30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>
      <x:c r="A88" s="1"/>
      <x:c r="B88" s="1"/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  <x:c r="Y88" s="30"/>
      <x:c r="Z88" s="30"/>
      <x:c r="AA88" s="30"/>
      <x:c r="AB88" s="30"/>
      <x:c r="AC88" s="30"/>
      <x:c r="AD88" s="30"/>
      <x:c r="AE88" s="30"/>
      <x:c r="AF88" s="30"/>
      <x:c r="AG88" s="30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>
      <x:c r="A89" s="1"/>
      <x:c r="B89" s="1"/>
      <x:c r="C89" s="30"/>
      <x:c r="D89" s="30"/>
      <x:c r="E89" s="30"/>
      <x:c r="F89" s="30"/>
      <x:c r="G89" s="3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  <x:c r="Y89" s="30"/>
      <x:c r="Z89" s="30"/>
      <x:c r="AA89" s="30"/>
      <x:c r="AB89" s="30"/>
      <x:c r="AC89" s="30"/>
      <x:c r="AD89" s="30"/>
      <x:c r="AE89" s="30"/>
      <x:c r="AF89" s="30"/>
      <x:c r="AG89" s="30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>
      <x:c r="A90" s="1"/>
      <x:c r="B90" s="1"/>
      <x:c r="C90" s="30"/>
      <x:c r="D90" s="30"/>
      <x:c r="E90" s="30"/>
      <x:c r="F90" s="30"/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30"/>
      <x:c r="AA90" s="30"/>
      <x:c r="AB90" s="30"/>
      <x:c r="AC90" s="30"/>
      <x:c r="AD90" s="30"/>
      <x:c r="AE90" s="30"/>
      <x:c r="AF90" s="30"/>
      <x:c r="AG90" s="30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>
      <x:c r="A91" s="1"/>
      <x:c r="B91" s="1"/>
      <x:c r="C91" s="30"/>
      <x:c r="D91" s="30"/>
      <x:c r="E91" s="30"/>
      <x:c r="F91" s="30"/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30"/>
      <x:c r="AA91" s="30"/>
      <x:c r="AB91" s="30"/>
      <x:c r="AC91" s="30"/>
      <x:c r="AD91" s="30"/>
      <x:c r="AE91" s="30"/>
      <x:c r="AF91" s="30"/>
      <x:c r="AG91" s="30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>
      <x:c r="A92" s="1"/>
      <x:c r="B92" s="1"/>
      <x:c r="C92" s="30"/>
      <x:c r="D92" s="30"/>
      <x:c r="E92" s="30"/>
      <x:c r="F92" s="30"/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  <x:c r="AA92" s="30"/>
      <x:c r="AB92" s="30"/>
      <x:c r="AC92" s="30"/>
      <x:c r="AD92" s="30"/>
      <x:c r="AE92" s="30"/>
      <x:c r="AF92" s="30"/>
      <x:c r="AG92" s="30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>
      <x:c r="A93" s="1"/>
      <x:c r="B93" s="1"/>
      <x:c r="C93" s="30"/>
      <x:c r="D93" s="30"/>
      <x:c r="E93" s="30"/>
      <x:c r="F93" s="30"/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  <x:c r="AA93" s="30"/>
      <x:c r="AB93" s="30"/>
      <x:c r="AC93" s="30"/>
      <x:c r="AD93" s="30"/>
      <x:c r="AE93" s="30"/>
      <x:c r="AF93" s="30"/>
      <x:c r="AG93" s="30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>
      <x:c r="A94" s="1"/>
      <x:c r="B94" s="1"/>
      <x:c r="C94" s="30"/>
      <x:c r="D94" s="30"/>
      <x:c r="E94" s="30"/>
      <x:c r="F94" s="30"/>
      <x:c r="G94" s="3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30"/>
      <x:c r="AA94" s="30"/>
      <x:c r="AB94" s="30"/>
      <x:c r="AC94" s="30"/>
      <x:c r="AD94" s="30"/>
      <x:c r="AE94" s="30"/>
      <x:c r="AF94" s="30"/>
      <x:c r="AG94" s="30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>
      <x:c r="A95" s="1"/>
      <x:c r="B95" s="1"/>
      <x:c r="C95" s="30"/>
      <x:c r="D95" s="30"/>
      <x:c r="E95" s="30"/>
      <x:c r="F95" s="30"/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30"/>
      <x:c r="AA95" s="30"/>
      <x:c r="AB95" s="30"/>
      <x:c r="AC95" s="30"/>
      <x:c r="AD95" s="30"/>
      <x:c r="AE95" s="30"/>
      <x:c r="AF95" s="30"/>
      <x:c r="AG95" s="30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>
      <x:c r="A96" s="1"/>
      <x:c r="B96" s="1"/>
      <x:c r="C96" s="30"/>
      <x:c r="D96" s="30"/>
      <x:c r="E96" s="30"/>
      <x:c r="F96" s="30"/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30"/>
      <x:c r="AA96" s="30"/>
      <x:c r="AB96" s="30"/>
      <x:c r="AC96" s="30"/>
      <x:c r="AD96" s="30"/>
      <x:c r="AE96" s="30"/>
      <x:c r="AF96" s="30"/>
      <x:c r="AG96" s="30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>
      <x:c r="A97" s="1"/>
      <x:c r="B97" s="1"/>
      <x:c r="C97" s="30"/>
      <x:c r="D97" s="30"/>
      <x:c r="E97" s="30"/>
      <x:c r="F97" s="30"/>
      <x:c r="G97" s="3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30"/>
      <x:c r="AA97" s="30"/>
      <x:c r="AB97" s="30"/>
      <x:c r="AC97" s="30"/>
      <x:c r="AD97" s="30"/>
      <x:c r="AE97" s="30"/>
      <x:c r="AF97" s="30"/>
      <x:c r="AG97" s="30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>
      <x:c r="A98" s="1"/>
      <x:c r="B98" s="1"/>
      <x:c r="C98" s="30"/>
      <x:c r="D98" s="30"/>
      <x:c r="E98" s="30"/>
      <x:c r="F98" s="30"/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30"/>
      <x:c r="AA98" s="30"/>
      <x:c r="AB98" s="30"/>
      <x:c r="AC98" s="30"/>
      <x:c r="AD98" s="30"/>
      <x:c r="AE98" s="30"/>
      <x:c r="AF98" s="30"/>
      <x:c r="AG98" s="30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>
      <x:c r="A99" s="1"/>
      <x:c r="B99" s="1"/>
      <x:c r="C99" s="30"/>
      <x:c r="D99" s="30"/>
      <x:c r="E99" s="30"/>
      <x:c r="F99" s="30"/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30"/>
      <x:c r="AA99" s="30"/>
      <x:c r="AB99" s="30"/>
      <x:c r="AC99" s="30"/>
      <x:c r="AD99" s="30"/>
      <x:c r="AE99" s="30"/>
      <x:c r="AF99" s="30"/>
      <x:c r="AG99" s="30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>
      <x:c r="A100" s="1"/>
      <x:c r="B100" s="1"/>
      <x:c r="C100" s="30"/>
      <x:c r="D100" s="30"/>
      <x:c r="E100" s="30"/>
      <x:c r="F100" s="30"/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30"/>
      <x:c r="AA100" s="30"/>
      <x:c r="AB100" s="30"/>
      <x:c r="AC100" s="30"/>
      <x:c r="AD100" s="30"/>
      <x:c r="AE100" s="30"/>
      <x:c r="AF100" s="30"/>
      <x:c r="AG100" s="30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>
      <x:c r="A101" s="1"/>
      <x:c r="B101" s="1"/>
      <x:c r="C101" s="30"/>
      <x:c r="D101" s="30"/>
      <x:c r="E101" s="30"/>
      <x:c r="F101" s="30"/>
      <x:c r="G101" s="30"/>
      <x:c r="H101" s="30"/>
      <x:c r="I101" s="30"/>
      <x:c r="J101" s="30"/>
      <x:c r="K101" s="30"/>
      <x:c r="L101" s="30"/>
      <x:c r="M101" s="30"/>
      <x:c r="N101" s="30"/>
      <x:c r="O101" s="30"/>
      <x:c r="P101" s="30"/>
      <x:c r="Q101" s="30"/>
      <x:c r="R101" s="30"/>
      <x:c r="S101" s="30"/>
      <x:c r="T101" s="30"/>
      <x:c r="U101" s="30"/>
      <x:c r="V101" s="30"/>
      <x:c r="W101" s="30"/>
      <x:c r="X101" s="30"/>
      <x:c r="Y101" s="30"/>
      <x:c r="Z101" s="30"/>
      <x:c r="AA101" s="30"/>
      <x:c r="AB101" s="30"/>
      <x:c r="AC101" s="30"/>
      <x:c r="AD101" s="30"/>
      <x:c r="AE101" s="30"/>
      <x:c r="AF101" s="30"/>
      <x:c r="AG101" s="30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>
      <x:c r="A102" s="1"/>
      <x:c r="B102" s="1"/>
      <x:c r="C102" s="30"/>
      <x:c r="D102" s="30"/>
      <x:c r="E102" s="30"/>
      <x:c r="F102" s="30"/>
      <x:c r="G102" s="30"/>
      <x:c r="H102" s="30"/>
      <x:c r="I102" s="30"/>
      <x:c r="J102" s="30"/>
      <x:c r="K102" s="30"/>
      <x:c r="L102" s="30"/>
      <x:c r="M102" s="30"/>
      <x:c r="N102" s="30"/>
      <x:c r="O102" s="30"/>
      <x:c r="P102" s="30"/>
      <x:c r="Q102" s="30"/>
      <x:c r="R102" s="30"/>
      <x:c r="S102" s="30"/>
      <x:c r="T102" s="30"/>
      <x:c r="U102" s="30"/>
      <x:c r="V102" s="30"/>
      <x:c r="W102" s="30"/>
      <x:c r="X102" s="30"/>
      <x:c r="Y102" s="30"/>
      <x:c r="Z102" s="30"/>
      <x:c r="AA102" s="30"/>
      <x:c r="AB102" s="30"/>
      <x:c r="AC102" s="30"/>
      <x:c r="AD102" s="30"/>
      <x:c r="AE102" s="30"/>
      <x:c r="AF102" s="30"/>
      <x:c r="AG102" s="30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>
      <x:c r="A103" s="1"/>
      <x:c r="B103" s="1"/>
      <x:c r="C103" s="30"/>
      <x:c r="D103" s="30"/>
      <x:c r="E103" s="30"/>
      <x:c r="F103" s="30"/>
      <x:c r="G103" s="3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0"/>
      <x:c r="T103" s="30"/>
      <x:c r="U103" s="30"/>
      <x:c r="V103" s="30"/>
      <x:c r="W103" s="30"/>
      <x:c r="X103" s="30"/>
      <x:c r="Y103" s="30"/>
      <x:c r="Z103" s="30"/>
      <x:c r="AA103" s="30"/>
      <x:c r="AB103" s="30"/>
      <x:c r="AC103" s="30"/>
      <x:c r="AD103" s="30"/>
      <x:c r="AE103" s="30"/>
      <x:c r="AF103" s="30"/>
      <x:c r="AG103" s="30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>
      <x:c r="A104" s="1"/>
      <x:c r="B104" s="1"/>
      <x:c r="C104" s="30"/>
      <x:c r="D104" s="30"/>
      <x:c r="E104" s="30"/>
      <x:c r="F104" s="30"/>
      <x:c r="G104" s="30"/>
      <x:c r="H104" s="30"/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0"/>
      <x:c r="T104" s="30"/>
      <x:c r="U104" s="30"/>
      <x:c r="V104" s="30"/>
      <x:c r="W104" s="30"/>
      <x:c r="X104" s="30"/>
      <x:c r="Y104" s="30"/>
      <x:c r="Z104" s="30"/>
      <x:c r="AA104" s="30"/>
      <x:c r="AB104" s="30"/>
      <x:c r="AC104" s="30"/>
      <x:c r="AD104" s="30"/>
      <x:c r="AE104" s="30"/>
      <x:c r="AF104" s="30"/>
      <x:c r="AG104" s="30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>
      <x:c r="A105" s="1"/>
      <x:c r="B105" s="1"/>
      <x:c r="C105" s="30"/>
      <x:c r="D105" s="30"/>
      <x:c r="E105" s="30"/>
      <x:c r="F105" s="30"/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  <x:c r="Q105" s="30"/>
      <x:c r="R105" s="30"/>
      <x:c r="S105" s="30"/>
      <x:c r="T105" s="30"/>
      <x:c r="U105" s="30"/>
      <x:c r="V105" s="30"/>
      <x:c r="W105" s="30"/>
      <x:c r="X105" s="30"/>
      <x:c r="Y105" s="30"/>
      <x:c r="Z105" s="30"/>
      <x:c r="AA105" s="30"/>
      <x:c r="AB105" s="30"/>
      <x:c r="AC105" s="30"/>
      <x:c r="AD105" s="30"/>
      <x:c r="AE105" s="30"/>
      <x:c r="AF105" s="30"/>
      <x:c r="AG105" s="30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>
      <x:c r="A106" s="1"/>
      <x:c r="B106" s="1"/>
      <x:c r="C106" s="30"/>
      <x:c r="D106" s="30"/>
      <x:c r="E106" s="30"/>
      <x:c r="F106" s="30"/>
      <x:c r="G106" s="30"/>
      <x:c r="H106" s="30"/>
      <x:c r="I106" s="30"/>
      <x:c r="J106" s="30"/>
      <x:c r="K106" s="30"/>
      <x:c r="L106" s="30"/>
      <x:c r="M106" s="30"/>
      <x:c r="N106" s="30"/>
      <x:c r="O106" s="30"/>
      <x:c r="P106" s="30"/>
      <x:c r="Q106" s="30"/>
      <x:c r="R106" s="30"/>
      <x:c r="S106" s="30"/>
      <x:c r="T106" s="30"/>
      <x:c r="U106" s="30"/>
      <x:c r="V106" s="30"/>
      <x:c r="W106" s="30"/>
      <x:c r="X106" s="30"/>
      <x:c r="Y106" s="30"/>
      <x:c r="Z106" s="30"/>
      <x:c r="AA106" s="30"/>
      <x:c r="AB106" s="30"/>
      <x:c r="AC106" s="30"/>
      <x:c r="AD106" s="30"/>
      <x:c r="AE106" s="30"/>
      <x:c r="AF106" s="30"/>
      <x:c r="AG106" s="30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>
      <x:c r="A107" s="1"/>
      <x:c r="B107" s="1"/>
      <x:c r="C107" s="30"/>
      <x:c r="D107" s="30"/>
      <x:c r="E107" s="30"/>
      <x:c r="F107" s="30"/>
      <x:c r="G107" s="30"/>
      <x:c r="H107" s="30"/>
      <x:c r="I107" s="30"/>
      <x:c r="J107" s="30"/>
      <x:c r="K107" s="30"/>
      <x:c r="L107" s="30"/>
      <x:c r="M107" s="30"/>
      <x:c r="N107" s="30"/>
      <x:c r="O107" s="30"/>
      <x:c r="P107" s="30"/>
      <x:c r="Q107" s="30"/>
      <x:c r="R107" s="30"/>
      <x:c r="S107" s="30"/>
      <x:c r="T107" s="30"/>
      <x:c r="U107" s="30"/>
      <x:c r="V107" s="30"/>
      <x:c r="W107" s="30"/>
      <x:c r="X107" s="30"/>
      <x:c r="Y107" s="30"/>
      <x:c r="Z107" s="30"/>
      <x:c r="AA107" s="30"/>
      <x:c r="AB107" s="30"/>
      <x:c r="AC107" s="30"/>
      <x:c r="AD107" s="30"/>
      <x:c r="AE107" s="30"/>
      <x:c r="AF107" s="30"/>
      <x:c r="AG107" s="30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>
      <x:c r="A108" s="1"/>
      <x:c r="B108" s="1"/>
      <x:c r="C108" s="30"/>
      <x:c r="D108" s="30"/>
      <x:c r="E108" s="30"/>
      <x:c r="F108" s="30"/>
      <x:c r="G108" s="30"/>
      <x:c r="H108" s="30"/>
      <x:c r="I108" s="30"/>
      <x:c r="J108" s="30"/>
      <x:c r="K108" s="30"/>
      <x:c r="L108" s="30"/>
      <x:c r="M108" s="30"/>
      <x:c r="N108" s="30"/>
      <x:c r="O108" s="30"/>
      <x:c r="P108" s="30"/>
      <x:c r="Q108" s="30"/>
      <x:c r="R108" s="30"/>
      <x:c r="S108" s="30"/>
      <x:c r="T108" s="30"/>
      <x:c r="U108" s="30"/>
      <x:c r="V108" s="30"/>
      <x:c r="W108" s="30"/>
      <x:c r="X108" s="30"/>
      <x:c r="Y108" s="30"/>
      <x:c r="Z108" s="30"/>
      <x:c r="AA108" s="30"/>
      <x:c r="AB108" s="30"/>
      <x:c r="AC108" s="30"/>
      <x:c r="AD108" s="30"/>
      <x:c r="AE108" s="30"/>
      <x:c r="AF108" s="30"/>
      <x:c r="AG108" s="30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>
      <x:c r="A109" s="1"/>
      <x:c r="B109" s="1"/>
      <x:c r="C109" s="30"/>
      <x:c r="D109" s="30"/>
      <x:c r="E109" s="30"/>
      <x:c r="F109" s="30"/>
      <x:c r="G109" s="30"/>
      <x:c r="H109" s="30"/>
      <x:c r="I109" s="30"/>
      <x:c r="J109" s="30"/>
      <x:c r="K109" s="30"/>
      <x:c r="L109" s="30"/>
      <x:c r="M109" s="30"/>
      <x:c r="N109" s="30"/>
      <x:c r="O109" s="30"/>
      <x:c r="P109" s="30"/>
      <x:c r="Q109" s="30"/>
      <x:c r="R109" s="30"/>
      <x:c r="S109" s="30"/>
      <x:c r="T109" s="30"/>
      <x:c r="U109" s="30"/>
      <x:c r="V109" s="30"/>
      <x:c r="W109" s="30"/>
      <x:c r="X109" s="30"/>
      <x:c r="Y109" s="30"/>
      <x:c r="Z109" s="30"/>
      <x:c r="AA109" s="30"/>
      <x:c r="AB109" s="30"/>
      <x:c r="AC109" s="30"/>
      <x:c r="AD109" s="30"/>
      <x:c r="AE109" s="30"/>
      <x:c r="AF109" s="30"/>
      <x:c r="AG109" s="30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>
      <x:c r="A110" s="1"/>
      <x:c r="B110" s="1"/>
      <x:c r="C110" s="30"/>
      <x:c r="D110" s="30"/>
      <x:c r="E110" s="30"/>
      <x:c r="F110" s="30"/>
      <x:c r="G110" s="30"/>
      <x:c r="H110" s="30"/>
      <x:c r="I110" s="30"/>
      <x:c r="J110" s="30"/>
      <x:c r="K110" s="30"/>
      <x:c r="L110" s="30"/>
      <x:c r="M110" s="30"/>
      <x:c r="N110" s="30"/>
      <x:c r="O110" s="30"/>
      <x:c r="P110" s="30"/>
      <x:c r="Q110" s="30"/>
      <x:c r="R110" s="30"/>
      <x:c r="S110" s="30"/>
      <x:c r="T110" s="30"/>
      <x:c r="U110" s="30"/>
      <x:c r="V110" s="30"/>
      <x:c r="W110" s="30"/>
      <x:c r="X110" s="30"/>
      <x:c r="Y110" s="30"/>
      <x:c r="Z110" s="30"/>
      <x:c r="AA110" s="30"/>
      <x:c r="AB110" s="30"/>
      <x:c r="AC110" s="30"/>
      <x:c r="AD110" s="30"/>
      <x:c r="AE110" s="30"/>
      <x:c r="AF110" s="30"/>
      <x:c r="AG110" s="30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>
      <x:c r="A111" s="1"/>
      <x:c r="B111" s="1"/>
      <x:c r="C111" s="30"/>
      <x:c r="D111" s="30"/>
      <x:c r="E111" s="30"/>
      <x:c r="F111" s="30"/>
      <x:c r="G111" s="30"/>
      <x:c r="H111" s="30"/>
      <x:c r="I111" s="30"/>
      <x:c r="J111" s="30"/>
      <x:c r="K111" s="30"/>
      <x:c r="L111" s="30"/>
      <x:c r="M111" s="30"/>
      <x:c r="N111" s="30"/>
      <x:c r="O111" s="30"/>
      <x:c r="P111" s="30"/>
      <x:c r="Q111" s="30"/>
      <x:c r="R111" s="30"/>
      <x:c r="S111" s="30"/>
      <x:c r="T111" s="30"/>
      <x:c r="U111" s="30"/>
      <x:c r="V111" s="30"/>
      <x:c r="W111" s="30"/>
      <x:c r="X111" s="30"/>
      <x:c r="Y111" s="30"/>
      <x:c r="Z111" s="30"/>
      <x:c r="AA111" s="30"/>
      <x:c r="AB111" s="30"/>
      <x:c r="AC111" s="30"/>
      <x:c r="AD111" s="30"/>
      <x:c r="AE111" s="30"/>
      <x:c r="AF111" s="30"/>
      <x:c r="AG111" s="30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>
      <x:c r="A112" s="1"/>
      <x:c r="B112" s="1"/>
      <x:c r="C112" s="30"/>
      <x:c r="D112" s="30"/>
      <x:c r="E112" s="30"/>
      <x:c r="F112" s="30"/>
      <x:c r="G112" s="30"/>
      <x:c r="H112" s="30"/>
      <x:c r="I112" s="30"/>
      <x:c r="J112" s="30"/>
      <x:c r="K112" s="30"/>
      <x:c r="L112" s="30"/>
      <x:c r="M112" s="30"/>
      <x:c r="N112" s="30"/>
      <x:c r="O112" s="30"/>
      <x:c r="P112" s="30"/>
      <x:c r="Q112" s="30"/>
      <x:c r="R112" s="30"/>
      <x:c r="S112" s="30"/>
      <x:c r="T112" s="30"/>
      <x:c r="U112" s="30"/>
      <x:c r="V112" s="30"/>
      <x:c r="W112" s="30"/>
      <x:c r="X112" s="30"/>
      <x:c r="Y112" s="30"/>
      <x:c r="Z112" s="30"/>
      <x:c r="AA112" s="30"/>
      <x:c r="AB112" s="30"/>
      <x:c r="AC112" s="30"/>
      <x:c r="AD112" s="30"/>
      <x:c r="AE112" s="30"/>
      <x:c r="AF112" s="30"/>
      <x:c r="AG112" s="30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>
      <x:c r="A113" s="1"/>
      <x:c r="B113" s="1"/>
      <x:c r="C113" s="30"/>
      <x:c r="D113" s="30"/>
      <x:c r="E113" s="30"/>
      <x:c r="F113" s="30"/>
      <x:c r="G113" s="30"/>
      <x:c r="H113" s="30"/>
      <x:c r="I113" s="30"/>
      <x:c r="J113" s="30"/>
      <x:c r="K113" s="30"/>
      <x:c r="L113" s="30"/>
      <x:c r="M113" s="30"/>
      <x:c r="N113" s="30"/>
      <x:c r="O113" s="30"/>
      <x:c r="P113" s="30"/>
      <x:c r="Q113" s="30"/>
      <x:c r="R113" s="30"/>
      <x:c r="S113" s="30"/>
      <x:c r="T113" s="30"/>
      <x:c r="U113" s="30"/>
      <x:c r="V113" s="30"/>
      <x:c r="W113" s="30"/>
      <x:c r="X113" s="30"/>
      <x:c r="Y113" s="30"/>
      <x:c r="Z113" s="30"/>
      <x:c r="AA113" s="30"/>
      <x:c r="AB113" s="30"/>
      <x:c r="AC113" s="30"/>
      <x:c r="AD113" s="30"/>
      <x:c r="AE113" s="30"/>
      <x:c r="AF113" s="30"/>
      <x:c r="AG113" s="30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>
      <x:c r="A114" s="1"/>
      <x:c r="B114" s="1"/>
      <x:c r="C114" s="30"/>
      <x:c r="D114" s="30"/>
      <x:c r="E114" s="30"/>
      <x:c r="F114" s="30"/>
      <x:c r="G114" s="30"/>
      <x:c r="H114" s="30"/>
      <x:c r="I114" s="30"/>
      <x:c r="J114" s="30"/>
      <x:c r="K114" s="30"/>
      <x:c r="L114" s="30"/>
      <x:c r="M114" s="30"/>
      <x:c r="N114" s="30"/>
      <x:c r="O114" s="30"/>
      <x:c r="P114" s="30"/>
      <x:c r="Q114" s="30"/>
      <x:c r="R114" s="30"/>
      <x:c r="S114" s="30"/>
      <x:c r="T114" s="30"/>
      <x:c r="U114" s="30"/>
      <x:c r="V114" s="30"/>
      <x:c r="W114" s="30"/>
      <x:c r="X114" s="30"/>
      <x:c r="Y114" s="30"/>
      <x:c r="Z114" s="30"/>
      <x:c r="AA114" s="30"/>
      <x:c r="AB114" s="30"/>
      <x:c r="AC114" s="30"/>
      <x:c r="AD114" s="30"/>
      <x:c r="AE114" s="30"/>
      <x:c r="AF114" s="30"/>
      <x:c r="AG114" s="30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>
      <x:c r="A115" s="1"/>
      <x:c r="B115" s="1"/>
      <x:c r="C115" s="30"/>
      <x:c r="D115" s="30"/>
      <x:c r="E115" s="30"/>
      <x:c r="F115" s="30"/>
      <x:c r="G115" s="30"/>
      <x:c r="H115" s="30"/>
      <x:c r="I115" s="30"/>
      <x:c r="J115" s="30"/>
      <x:c r="K115" s="30"/>
      <x:c r="L115" s="30"/>
      <x:c r="M115" s="30"/>
      <x:c r="N115" s="30"/>
      <x:c r="O115" s="30"/>
      <x:c r="P115" s="30"/>
      <x:c r="Q115" s="30"/>
      <x:c r="R115" s="30"/>
      <x:c r="S115" s="30"/>
      <x:c r="T115" s="30"/>
      <x:c r="U115" s="30"/>
      <x:c r="V115" s="30"/>
      <x:c r="W115" s="30"/>
      <x:c r="X115" s="30"/>
      <x:c r="Y115" s="30"/>
      <x:c r="Z115" s="30"/>
      <x:c r="AA115" s="30"/>
      <x:c r="AB115" s="30"/>
      <x:c r="AC115" s="30"/>
      <x:c r="AD115" s="30"/>
      <x:c r="AE115" s="30"/>
      <x:c r="AF115" s="30"/>
      <x:c r="AG115" s="30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>
      <x:c r="A116" s="1"/>
      <x:c r="B116" s="1"/>
      <x:c r="C116" s="30"/>
      <x:c r="D116" s="30"/>
      <x:c r="E116" s="30"/>
      <x:c r="F116" s="30"/>
      <x:c r="G116" s="30"/>
      <x:c r="H116" s="30"/>
      <x:c r="I116" s="30"/>
      <x:c r="J116" s="30"/>
      <x:c r="K116" s="30"/>
      <x:c r="L116" s="30"/>
      <x:c r="M116" s="30"/>
      <x:c r="N116" s="30"/>
      <x:c r="O116" s="30"/>
      <x:c r="P116" s="30"/>
      <x:c r="Q116" s="30"/>
      <x:c r="R116" s="30"/>
      <x:c r="S116" s="30"/>
      <x:c r="T116" s="30"/>
      <x:c r="U116" s="30"/>
      <x:c r="V116" s="30"/>
      <x:c r="W116" s="30"/>
      <x:c r="X116" s="30"/>
      <x:c r="Y116" s="30"/>
      <x:c r="Z116" s="30"/>
      <x:c r="AA116" s="30"/>
      <x:c r="AB116" s="30"/>
      <x:c r="AC116" s="30"/>
      <x:c r="AD116" s="30"/>
      <x:c r="AE116" s="30"/>
      <x:c r="AF116" s="30"/>
      <x:c r="AG116" s="30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>
      <x:c r="A117" s="1"/>
      <x:c r="B117" s="1"/>
      <x:c r="C117" s="30"/>
      <x:c r="D117" s="30"/>
      <x:c r="E117" s="30"/>
      <x:c r="F117" s="30"/>
      <x:c r="G117" s="30"/>
      <x:c r="H117" s="30"/>
      <x:c r="I117" s="30"/>
      <x:c r="J117" s="30"/>
      <x:c r="K117" s="30"/>
      <x:c r="L117" s="30"/>
      <x:c r="M117" s="30"/>
      <x:c r="N117" s="30"/>
      <x:c r="O117" s="30"/>
      <x:c r="P117" s="30"/>
      <x:c r="Q117" s="30"/>
      <x:c r="R117" s="30"/>
      <x:c r="S117" s="30"/>
      <x:c r="T117" s="30"/>
      <x:c r="U117" s="30"/>
      <x:c r="V117" s="30"/>
      <x:c r="W117" s="30"/>
      <x:c r="X117" s="30"/>
      <x:c r="Y117" s="30"/>
      <x:c r="Z117" s="30"/>
      <x:c r="AA117" s="30"/>
      <x:c r="AB117" s="30"/>
      <x:c r="AC117" s="30"/>
      <x:c r="AD117" s="30"/>
      <x:c r="AE117" s="30"/>
      <x:c r="AF117" s="30"/>
      <x:c r="AG117" s="30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>
      <x:c r="A118" s="1"/>
      <x:c r="B118" s="1"/>
      <x:c r="C118" s="30"/>
      <x:c r="D118" s="30"/>
      <x:c r="E118" s="30"/>
      <x:c r="F118" s="30"/>
      <x:c r="G118" s="30"/>
      <x:c r="H118" s="30"/>
      <x:c r="I118" s="30"/>
      <x:c r="J118" s="30"/>
      <x:c r="K118" s="30"/>
      <x:c r="L118" s="30"/>
      <x:c r="M118" s="30"/>
      <x:c r="N118" s="30"/>
      <x:c r="O118" s="30"/>
      <x:c r="P118" s="30"/>
      <x:c r="Q118" s="30"/>
      <x:c r="R118" s="30"/>
      <x:c r="S118" s="30"/>
      <x:c r="T118" s="30"/>
      <x:c r="U118" s="30"/>
      <x:c r="V118" s="30"/>
      <x:c r="W118" s="30"/>
      <x:c r="X118" s="30"/>
      <x:c r="Y118" s="30"/>
      <x:c r="Z118" s="30"/>
      <x:c r="AA118" s="30"/>
      <x:c r="AB118" s="30"/>
      <x:c r="AC118" s="30"/>
      <x:c r="AD118" s="30"/>
      <x:c r="AE118" s="30"/>
      <x:c r="AF118" s="30"/>
      <x:c r="AG118" s="30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>
      <x:c r="A119" s="1"/>
      <x:c r="B119" s="1"/>
      <x:c r="C119" s="30"/>
      <x:c r="D119" s="30"/>
      <x:c r="E119" s="30"/>
      <x:c r="F119" s="30"/>
      <x:c r="G119" s="30"/>
      <x:c r="H119" s="30"/>
      <x:c r="I119" s="30"/>
      <x:c r="J119" s="30"/>
      <x:c r="K119" s="30"/>
      <x:c r="L119" s="30"/>
      <x:c r="M119" s="30"/>
      <x:c r="N119" s="30"/>
      <x:c r="O119" s="30"/>
      <x:c r="P119" s="30"/>
      <x:c r="Q119" s="30"/>
      <x:c r="R119" s="30"/>
      <x:c r="S119" s="30"/>
      <x:c r="T119" s="30"/>
      <x:c r="U119" s="30"/>
      <x:c r="V119" s="30"/>
      <x:c r="W119" s="30"/>
      <x:c r="X119" s="30"/>
      <x:c r="Y119" s="30"/>
      <x:c r="Z119" s="30"/>
      <x:c r="AA119" s="30"/>
      <x:c r="AB119" s="30"/>
      <x:c r="AC119" s="30"/>
      <x:c r="AD119" s="30"/>
      <x:c r="AE119" s="30"/>
      <x:c r="AF119" s="30"/>
      <x:c r="AG119" s="30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>
      <x:c r="A120" s="1"/>
      <x:c r="B120" s="1"/>
      <x:c r="C120" s="30"/>
      <x:c r="D120" s="30"/>
      <x:c r="E120" s="30"/>
      <x:c r="F120" s="30"/>
      <x:c r="G120" s="30"/>
      <x:c r="H120" s="30"/>
      <x:c r="I120" s="30"/>
      <x:c r="J120" s="30"/>
      <x:c r="K120" s="30"/>
      <x:c r="L120" s="30"/>
      <x:c r="M120" s="30"/>
      <x:c r="N120" s="30"/>
      <x:c r="O120" s="30"/>
      <x:c r="P120" s="30"/>
      <x:c r="Q120" s="30"/>
      <x:c r="R120" s="30"/>
      <x:c r="S120" s="30"/>
      <x:c r="T120" s="30"/>
      <x:c r="U120" s="30"/>
      <x:c r="V120" s="30"/>
      <x:c r="W120" s="30"/>
      <x:c r="X120" s="30"/>
      <x:c r="Y120" s="30"/>
      <x:c r="Z120" s="30"/>
      <x:c r="AA120" s="30"/>
      <x:c r="AB120" s="30"/>
      <x:c r="AC120" s="30"/>
      <x:c r="AD120" s="30"/>
      <x:c r="AE120" s="30"/>
      <x:c r="AF120" s="30"/>
      <x:c r="AG120" s="30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>
      <x:c r="A121" s="1"/>
      <x:c r="B121" s="1"/>
      <x:c r="C121" s="30"/>
      <x:c r="D121" s="30"/>
      <x:c r="E121" s="30"/>
      <x:c r="F121" s="30"/>
      <x:c r="G121" s="30"/>
      <x:c r="H121" s="30"/>
      <x:c r="I121" s="30"/>
      <x:c r="J121" s="30"/>
      <x:c r="K121" s="30"/>
      <x:c r="L121" s="30"/>
      <x:c r="M121" s="30"/>
      <x:c r="N121" s="30"/>
      <x:c r="O121" s="30"/>
      <x:c r="P121" s="30"/>
      <x:c r="Q121" s="30"/>
      <x:c r="R121" s="30"/>
      <x:c r="S121" s="30"/>
      <x:c r="T121" s="30"/>
      <x:c r="U121" s="30"/>
      <x:c r="V121" s="30"/>
      <x:c r="W121" s="30"/>
      <x:c r="X121" s="30"/>
      <x:c r="Y121" s="30"/>
      <x:c r="Z121" s="30"/>
      <x:c r="AA121" s="30"/>
      <x:c r="AB121" s="30"/>
      <x:c r="AC121" s="30"/>
      <x:c r="AD121" s="30"/>
      <x:c r="AE121" s="30"/>
      <x:c r="AF121" s="30"/>
      <x:c r="AG121" s="30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>
      <x:c r="A122" s="1"/>
      <x:c r="B122" s="1"/>
      <x:c r="C122" s="30"/>
      <x:c r="D122" s="30"/>
      <x:c r="E122" s="30"/>
      <x:c r="F122" s="30"/>
      <x:c r="G122" s="30"/>
      <x:c r="H122" s="30"/>
      <x:c r="I122" s="30"/>
      <x:c r="J122" s="30"/>
      <x:c r="K122" s="30"/>
      <x:c r="L122" s="30"/>
      <x:c r="M122" s="30"/>
      <x:c r="N122" s="30"/>
      <x:c r="O122" s="30"/>
      <x:c r="P122" s="30"/>
      <x:c r="Q122" s="30"/>
      <x:c r="R122" s="30"/>
      <x:c r="S122" s="30"/>
      <x:c r="T122" s="30"/>
      <x:c r="U122" s="30"/>
      <x:c r="V122" s="30"/>
      <x:c r="W122" s="30"/>
      <x:c r="X122" s="30"/>
      <x:c r="Y122" s="30"/>
      <x:c r="Z122" s="30"/>
      <x:c r="AA122" s="30"/>
      <x:c r="AB122" s="30"/>
      <x:c r="AC122" s="30"/>
      <x:c r="AD122" s="30"/>
      <x:c r="AE122" s="30"/>
      <x:c r="AF122" s="30"/>
      <x:c r="AG122" s="30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>
      <x:c r="A123" s="1"/>
      <x:c r="B123" s="1"/>
      <x:c r="C123" s="30"/>
      <x:c r="D123" s="30"/>
      <x:c r="E123" s="30"/>
      <x:c r="F123" s="30"/>
      <x:c r="G123" s="30"/>
      <x:c r="H123" s="30"/>
      <x:c r="I123" s="30"/>
      <x:c r="J123" s="30"/>
      <x:c r="K123" s="30"/>
      <x:c r="L123" s="30"/>
      <x:c r="M123" s="30"/>
      <x:c r="N123" s="30"/>
      <x:c r="O123" s="30"/>
      <x:c r="P123" s="30"/>
      <x:c r="Q123" s="30"/>
      <x:c r="R123" s="30"/>
      <x:c r="S123" s="30"/>
      <x:c r="T123" s="30"/>
      <x:c r="U123" s="30"/>
      <x:c r="V123" s="30"/>
      <x:c r="W123" s="30"/>
      <x:c r="X123" s="30"/>
      <x:c r="Y123" s="30"/>
      <x:c r="Z123" s="30"/>
      <x:c r="AA123" s="30"/>
      <x:c r="AB123" s="30"/>
      <x:c r="AC123" s="30"/>
      <x:c r="AD123" s="30"/>
      <x:c r="AE123" s="30"/>
      <x:c r="AF123" s="30"/>
      <x:c r="AG123" s="30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>
      <x:c r="A124" s="1"/>
      <x:c r="B124" s="1"/>
      <x:c r="C124" s="30"/>
      <x:c r="D124" s="30"/>
      <x:c r="E124" s="30"/>
      <x:c r="F124" s="30"/>
      <x:c r="G124" s="30"/>
      <x:c r="H124" s="30"/>
      <x:c r="I124" s="30"/>
      <x:c r="J124" s="30"/>
      <x:c r="K124" s="30"/>
      <x:c r="L124" s="30"/>
      <x:c r="M124" s="30"/>
      <x:c r="N124" s="30"/>
      <x:c r="O124" s="30"/>
      <x:c r="P124" s="30"/>
      <x:c r="Q124" s="30"/>
      <x:c r="R124" s="30"/>
      <x:c r="S124" s="30"/>
      <x:c r="T124" s="30"/>
      <x:c r="U124" s="30"/>
      <x:c r="V124" s="30"/>
      <x:c r="W124" s="30"/>
      <x:c r="X124" s="30"/>
      <x:c r="Y124" s="30"/>
      <x:c r="Z124" s="30"/>
      <x:c r="AA124" s="30"/>
      <x:c r="AB124" s="30"/>
      <x:c r="AC124" s="30"/>
      <x:c r="AD124" s="30"/>
      <x:c r="AE124" s="30"/>
      <x:c r="AF124" s="30"/>
      <x:c r="AG124" s="30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>
      <x:c r="A125" s="1"/>
      <x:c r="B125" s="1"/>
      <x:c r="C125" s="30"/>
      <x:c r="D125" s="30"/>
      <x:c r="E125" s="30"/>
      <x:c r="F125" s="30"/>
      <x:c r="G125" s="30"/>
      <x:c r="H125" s="30"/>
      <x:c r="I125" s="30"/>
      <x:c r="J125" s="30"/>
      <x:c r="K125" s="30"/>
      <x:c r="L125" s="30"/>
      <x:c r="M125" s="30"/>
      <x:c r="N125" s="30"/>
      <x:c r="O125" s="30"/>
      <x:c r="P125" s="30"/>
      <x:c r="Q125" s="30"/>
      <x:c r="R125" s="30"/>
      <x:c r="S125" s="30"/>
      <x:c r="T125" s="30"/>
      <x:c r="U125" s="30"/>
      <x:c r="V125" s="30"/>
      <x:c r="W125" s="30"/>
      <x:c r="X125" s="30"/>
      <x:c r="Y125" s="30"/>
      <x:c r="Z125" s="30"/>
      <x:c r="AA125" s="30"/>
      <x:c r="AB125" s="30"/>
      <x:c r="AC125" s="30"/>
      <x:c r="AD125" s="30"/>
      <x:c r="AE125" s="30"/>
      <x:c r="AF125" s="30"/>
      <x:c r="AG125" s="30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>
      <x:c r="A126" s="1"/>
      <x:c r="B126" s="1"/>
      <x:c r="C126" s="30"/>
      <x:c r="D126" s="30"/>
      <x:c r="E126" s="30"/>
      <x:c r="F126" s="30"/>
      <x:c r="G126" s="30"/>
      <x:c r="H126" s="30"/>
      <x:c r="I126" s="30"/>
      <x:c r="J126" s="30"/>
      <x:c r="K126" s="30"/>
      <x:c r="L126" s="30"/>
      <x:c r="M126" s="30"/>
      <x:c r="N126" s="30"/>
      <x:c r="O126" s="30"/>
      <x:c r="P126" s="30"/>
      <x:c r="Q126" s="30"/>
      <x:c r="R126" s="30"/>
      <x:c r="S126" s="30"/>
      <x:c r="T126" s="30"/>
      <x:c r="U126" s="30"/>
      <x:c r="V126" s="30"/>
      <x:c r="W126" s="30"/>
      <x:c r="X126" s="30"/>
      <x:c r="Y126" s="30"/>
      <x:c r="Z126" s="30"/>
      <x:c r="AA126" s="30"/>
      <x:c r="AB126" s="30"/>
      <x:c r="AC126" s="30"/>
      <x:c r="AD126" s="30"/>
      <x:c r="AE126" s="30"/>
      <x:c r="AF126" s="30"/>
      <x:c r="AG126" s="30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>
      <x:c r="A127" s="1"/>
      <x:c r="B127" s="1"/>
      <x:c r="C127" s="30"/>
      <x:c r="D127" s="30"/>
      <x:c r="E127" s="30"/>
      <x:c r="F127" s="30"/>
      <x:c r="G127" s="30"/>
      <x:c r="H127" s="30"/>
      <x:c r="I127" s="30"/>
      <x:c r="J127" s="30"/>
      <x:c r="K127" s="30"/>
      <x:c r="L127" s="30"/>
      <x:c r="M127" s="30"/>
      <x:c r="N127" s="30"/>
      <x:c r="O127" s="30"/>
      <x:c r="P127" s="30"/>
      <x:c r="Q127" s="30"/>
      <x:c r="R127" s="30"/>
      <x:c r="S127" s="30"/>
      <x:c r="T127" s="30"/>
      <x:c r="U127" s="30"/>
      <x:c r="V127" s="30"/>
      <x:c r="W127" s="30"/>
      <x:c r="X127" s="30"/>
      <x:c r="Y127" s="30"/>
      <x:c r="Z127" s="30"/>
      <x:c r="AA127" s="30"/>
      <x:c r="AB127" s="30"/>
      <x:c r="AC127" s="30"/>
      <x:c r="AD127" s="30"/>
      <x:c r="AE127" s="30"/>
      <x:c r="AF127" s="30"/>
      <x:c r="AG127" s="30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>
      <x:c r="A128" s="1"/>
      <x:c r="B128" s="1"/>
      <x:c r="C128" s="30"/>
      <x:c r="D128" s="30"/>
      <x:c r="E128" s="30"/>
      <x:c r="F128" s="30"/>
      <x:c r="G128" s="30"/>
      <x:c r="H128" s="30"/>
      <x:c r="I128" s="30"/>
      <x:c r="J128" s="30"/>
      <x:c r="K128" s="30"/>
      <x:c r="L128" s="30"/>
      <x:c r="M128" s="30"/>
      <x:c r="N128" s="30"/>
      <x:c r="O128" s="30"/>
      <x:c r="P128" s="30"/>
      <x:c r="Q128" s="30"/>
      <x:c r="R128" s="30"/>
      <x:c r="S128" s="30"/>
      <x:c r="T128" s="30"/>
      <x:c r="U128" s="30"/>
      <x:c r="V128" s="30"/>
      <x:c r="W128" s="30"/>
      <x:c r="X128" s="30"/>
      <x:c r="Y128" s="30"/>
      <x:c r="Z128" s="30"/>
      <x:c r="AA128" s="30"/>
      <x:c r="AB128" s="30"/>
      <x:c r="AC128" s="30"/>
      <x:c r="AD128" s="30"/>
      <x:c r="AE128" s="30"/>
      <x:c r="AF128" s="30"/>
      <x:c r="AG128" s="30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>
      <x:c r="A129" s="1"/>
      <x:c r="B129" s="1"/>
      <x:c r="C129" s="30"/>
      <x:c r="D129" s="30"/>
      <x:c r="E129" s="30"/>
      <x:c r="F129" s="30"/>
      <x:c r="G129" s="30"/>
      <x:c r="H129" s="30"/>
      <x:c r="I129" s="30"/>
      <x:c r="J129" s="30"/>
      <x:c r="K129" s="30"/>
      <x:c r="L129" s="30"/>
      <x:c r="M129" s="30"/>
      <x:c r="N129" s="30"/>
      <x:c r="O129" s="30"/>
      <x:c r="P129" s="30"/>
      <x:c r="Q129" s="30"/>
      <x:c r="R129" s="30"/>
      <x:c r="S129" s="30"/>
      <x:c r="T129" s="30"/>
      <x:c r="U129" s="30"/>
      <x:c r="V129" s="30"/>
      <x:c r="W129" s="30"/>
      <x:c r="X129" s="30"/>
      <x:c r="Y129" s="30"/>
      <x:c r="Z129" s="30"/>
      <x:c r="AA129" s="30"/>
      <x:c r="AB129" s="30"/>
      <x:c r="AC129" s="30"/>
      <x:c r="AD129" s="30"/>
      <x:c r="AE129" s="30"/>
      <x:c r="AF129" s="30"/>
      <x:c r="AG129" s="30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>
      <x:c r="A130" s="1"/>
      <x:c r="B130" s="1"/>
      <x:c r="C130" s="30"/>
      <x:c r="D130" s="30"/>
      <x:c r="E130" s="30"/>
      <x:c r="F130" s="30"/>
      <x:c r="G130" s="30"/>
      <x:c r="H130" s="30"/>
      <x:c r="I130" s="30"/>
      <x:c r="J130" s="30"/>
      <x:c r="K130" s="30"/>
      <x:c r="L130" s="30"/>
      <x:c r="M130" s="30"/>
      <x:c r="N130" s="30"/>
      <x:c r="O130" s="30"/>
      <x:c r="P130" s="30"/>
      <x:c r="Q130" s="30"/>
      <x:c r="R130" s="30"/>
      <x:c r="S130" s="30"/>
      <x:c r="T130" s="30"/>
      <x:c r="U130" s="30"/>
      <x:c r="V130" s="30"/>
      <x:c r="W130" s="30"/>
      <x:c r="X130" s="30"/>
      <x:c r="Y130" s="30"/>
      <x:c r="Z130" s="30"/>
      <x:c r="AA130" s="30"/>
      <x:c r="AB130" s="30"/>
      <x:c r="AC130" s="30"/>
      <x:c r="AD130" s="30"/>
      <x:c r="AE130" s="30"/>
      <x:c r="AF130" s="30"/>
      <x:c r="AG130" s="30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>
      <x:c r="A131" s="1"/>
      <x:c r="B131" s="1"/>
      <x:c r="C131" s="30"/>
      <x:c r="D131" s="30"/>
      <x:c r="E131" s="30"/>
      <x:c r="F131" s="30"/>
      <x:c r="G131" s="30"/>
      <x:c r="H131" s="30"/>
      <x:c r="I131" s="30"/>
      <x:c r="J131" s="30"/>
      <x:c r="K131" s="30"/>
      <x:c r="L131" s="30"/>
      <x:c r="M131" s="30"/>
      <x:c r="N131" s="30"/>
      <x:c r="O131" s="30"/>
      <x:c r="P131" s="30"/>
      <x:c r="Q131" s="30"/>
      <x:c r="R131" s="30"/>
      <x:c r="S131" s="30"/>
      <x:c r="T131" s="30"/>
      <x:c r="U131" s="30"/>
      <x:c r="V131" s="30"/>
      <x:c r="W131" s="30"/>
      <x:c r="X131" s="30"/>
      <x:c r="Y131" s="30"/>
      <x:c r="Z131" s="30"/>
      <x:c r="AA131" s="30"/>
      <x:c r="AB131" s="30"/>
      <x:c r="AC131" s="30"/>
      <x:c r="AD131" s="30"/>
      <x:c r="AE131" s="30"/>
      <x:c r="AF131" s="30"/>
      <x:c r="AG131" s="30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>
      <x:c r="A132" s="1"/>
      <x:c r="B132" s="1"/>
      <x:c r="C132" s="30"/>
      <x:c r="D132" s="30"/>
      <x:c r="E132" s="30"/>
      <x:c r="F132" s="30"/>
      <x:c r="G132" s="30"/>
      <x:c r="H132" s="30"/>
      <x:c r="I132" s="30"/>
      <x:c r="J132" s="30"/>
      <x:c r="K132" s="30"/>
      <x:c r="L132" s="30"/>
      <x:c r="M132" s="30"/>
      <x:c r="N132" s="30"/>
      <x:c r="O132" s="30"/>
      <x:c r="P132" s="30"/>
      <x:c r="Q132" s="30"/>
      <x:c r="R132" s="30"/>
      <x:c r="S132" s="30"/>
      <x:c r="T132" s="30"/>
      <x:c r="U132" s="30"/>
      <x:c r="V132" s="30"/>
      <x:c r="W132" s="30"/>
      <x:c r="X132" s="30"/>
      <x:c r="Y132" s="30"/>
      <x:c r="Z132" s="30"/>
      <x:c r="AA132" s="30"/>
      <x:c r="AB132" s="30"/>
      <x:c r="AC132" s="30"/>
      <x:c r="AD132" s="30"/>
      <x:c r="AE132" s="30"/>
      <x:c r="AF132" s="30"/>
      <x:c r="AG132" s="30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>
      <x:c r="A133" s="1"/>
      <x:c r="B133" s="1"/>
      <x:c r="C133" s="30"/>
      <x:c r="D133" s="30"/>
      <x:c r="E133" s="30"/>
      <x:c r="F133" s="30"/>
      <x:c r="G133" s="30"/>
      <x:c r="H133" s="30"/>
      <x:c r="I133" s="30"/>
      <x:c r="J133" s="30"/>
      <x:c r="K133" s="30"/>
      <x:c r="L133" s="30"/>
      <x:c r="M133" s="30"/>
      <x:c r="N133" s="30"/>
      <x:c r="O133" s="30"/>
      <x:c r="P133" s="30"/>
      <x:c r="Q133" s="30"/>
      <x:c r="R133" s="30"/>
      <x:c r="S133" s="30"/>
      <x:c r="T133" s="30"/>
      <x:c r="U133" s="30"/>
      <x:c r="V133" s="30"/>
      <x:c r="W133" s="30"/>
      <x:c r="X133" s="30"/>
      <x:c r="Y133" s="30"/>
      <x:c r="Z133" s="30"/>
      <x:c r="AA133" s="30"/>
      <x:c r="AB133" s="30"/>
      <x:c r="AC133" s="30"/>
      <x:c r="AD133" s="30"/>
      <x:c r="AE133" s="30"/>
      <x:c r="AF133" s="30"/>
      <x:c r="AG133" s="30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>
      <x:c r="A134" s="1"/>
      <x:c r="B134" s="1"/>
      <x:c r="C134" s="30"/>
      <x:c r="D134" s="30"/>
      <x:c r="E134" s="30"/>
      <x:c r="F134" s="30"/>
      <x:c r="G134" s="30"/>
      <x:c r="H134" s="30"/>
      <x:c r="I134" s="30"/>
      <x:c r="J134" s="30"/>
      <x:c r="K134" s="30"/>
      <x:c r="L134" s="30"/>
      <x:c r="M134" s="30"/>
      <x:c r="N134" s="30"/>
      <x:c r="O134" s="30"/>
      <x:c r="P134" s="30"/>
      <x:c r="Q134" s="30"/>
      <x:c r="R134" s="30"/>
      <x:c r="S134" s="30"/>
      <x:c r="T134" s="30"/>
      <x:c r="U134" s="30"/>
      <x:c r="V134" s="30"/>
      <x:c r="W134" s="30"/>
      <x:c r="X134" s="30"/>
      <x:c r="Y134" s="30"/>
      <x:c r="Z134" s="30"/>
      <x:c r="AA134" s="30"/>
      <x:c r="AB134" s="30"/>
      <x:c r="AC134" s="30"/>
      <x:c r="AD134" s="30"/>
      <x:c r="AE134" s="30"/>
      <x:c r="AF134" s="30"/>
      <x:c r="AG134" s="30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>
      <x:c r="A135" s="1"/>
      <x:c r="B135" s="1"/>
      <x:c r="C135" s="30"/>
      <x:c r="D135" s="30"/>
      <x:c r="E135" s="30"/>
      <x:c r="F135" s="30"/>
      <x:c r="G135" s="30"/>
      <x:c r="H135" s="30"/>
      <x:c r="I135" s="30"/>
      <x:c r="J135" s="30"/>
      <x:c r="K135" s="30"/>
      <x:c r="L135" s="30"/>
      <x:c r="M135" s="30"/>
      <x:c r="N135" s="30"/>
      <x:c r="O135" s="30"/>
      <x:c r="P135" s="30"/>
      <x:c r="Q135" s="30"/>
      <x:c r="R135" s="30"/>
      <x:c r="S135" s="30"/>
      <x:c r="T135" s="30"/>
      <x:c r="U135" s="30"/>
      <x:c r="V135" s="30"/>
      <x:c r="W135" s="30"/>
      <x:c r="X135" s="30"/>
      <x:c r="Y135" s="30"/>
      <x:c r="Z135" s="30"/>
      <x:c r="AA135" s="30"/>
      <x:c r="AB135" s="30"/>
      <x:c r="AC135" s="30"/>
      <x:c r="AD135" s="30"/>
      <x:c r="AE135" s="30"/>
      <x:c r="AF135" s="30"/>
      <x:c r="AG135" s="30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>
      <x:c r="A136" s="1"/>
      <x:c r="B136" s="1"/>
      <x:c r="C136" s="30"/>
      <x:c r="D136" s="30"/>
      <x:c r="E136" s="30"/>
      <x:c r="F136" s="30"/>
      <x:c r="G136" s="30"/>
      <x:c r="H136" s="30"/>
      <x:c r="I136" s="30"/>
      <x:c r="J136" s="30"/>
      <x:c r="K136" s="30"/>
      <x:c r="L136" s="30"/>
      <x:c r="M136" s="30"/>
      <x:c r="N136" s="30"/>
      <x:c r="O136" s="30"/>
      <x:c r="P136" s="30"/>
      <x:c r="Q136" s="30"/>
      <x:c r="R136" s="30"/>
      <x:c r="S136" s="30"/>
      <x:c r="T136" s="30"/>
      <x:c r="U136" s="30"/>
      <x:c r="V136" s="30"/>
      <x:c r="W136" s="30"/>
      <x:c r="X136" s="30"/>
      <x:c r="Y136" s="30"/>
      <x:c r="Z136" s="30"/>
      <x:c r="AA136" s="30"/>
      <x:c r="AB136" s="30"/>
      <x:c r="AC136" s="30"/>
      <x:c r="AD136" s="30"/>
      <x:c r="AE136" s="30"/>
      <x:c r="AF136" s="30"/>
      <x:c r="AG136" s="30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>
      <x:c r="A137" s="1"/>
      <x:c r="B137" s="1"/>
      <x:c r="C137" s="30"/>
      <x:c r="D137" s="30"/>
      <x:c r="E137" s="30"/>
      <x:c r="F137" s="30"/>
      <x:c r="G137" s="30"/>
      <x:c r="H137" s="30"/>
      <x:c r="I137" s="30"/>
      <x:c r="J137" s="30"/>
      <x:c r="K137" s="30"/>
      <x:c r="L137" s="30"/>
      <x:c r="M137" s="30"/>
      <x:c r="N137" s="30"/>
      <x:c r="O137" s="30"/>
      <x:c r="P137" s="30"/>
      <x:c r="Q137" s="30"/>
      <x:c r="R137" s="30"/>
      <x:c r="S137" s="30"/>
      <x:c r="T137" s="30"/>
      <x:c r="U137" s="30"/>
      <x:c r="V137" s="30"/>
      <x:c r="W137" s="30"/>
      <x:c r="X137" s="30"/>
      <x:c r="Y137" s="30"/>
      <x:c r="Z137" s="30"/>
      <x:c r="AA137" s="30"/>
      <x:c r="AB137" s="30"/>
      <x:c r="AC137" s="30"/>
      <x:c r="AD137" s="30"/>
      <x:c r="AE137" s="30"/>
      <x:c r="AF137" s="30"/>
      <x:c r="AG137" s="30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>
      <x:c r="A138" s="1"/>
      <x:c r="B138" s="1"/>
      <x:c r="C138" s="30"/>
      <x:c r="D138" s="30"/>
      <x:c r="E138" s="30"/>
      <x:c r="F138" s="30"/>
      <x:c r="G138" s="30"/>
      <x:c r="H138" s="30"/>
      <x:c r="I138" s="30"/>
      <x:c r="J138" s="30"/>
      <x:c r="K138" s="30"/>
      <x:c r="L138" s="30"/>
      <x:c r="M138" s="30"/>
      <x:c r="N138" s="30"/>
      <x:c r="O138" s="30"/>
      <x:c r="P138" s="30"/>
      <x:c r="Q138" s="30"/>
      <x:c r="R138" s="30"/>
      <x:c r="S138" s="30"/>
      <x:c r="T138" s="30"/>
      <x:c r="U138" s="30"/>
      <x:c r="V138" s="30"/>
      <x:c r="W138" s="30"/>
      <x:c r="X138" s="30"/>
      <x:c r="Y138" s="30"/>
      <x:c r="Z138" s="30"/>
      <x:c r="AA138" s="30"/>
      <x:c r="AB138" s="30"/>
      <x:c r="AC138" s="30"/>
      <x:c r="AD138" s="30"/>
      <x:c r="AE138" s="30"/>
      <x:c r="AF138" s="30"/>
      <x:c r="AG138" s="30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>
      <x:c r="A139" s="1"/>
      <x:c r="B139" s="1"/>
      <x:c r="C139" s="30"/>
      <x:c r="D139" s="30"/>
      <x:c r="E139" s="30"/>
      <x:c r="F139" s="30"/>
      <x:c r="G139" s="30"/>
      <x:c r="H139" s="30"/>
      <x:c r="I139" s="30"/>
      <x:c r="J139" s="30"/>
      <x:c r="K139" s="30"/>
      <x:c r="L139" s="30"/>
      <x:c r="M139" s="30"/>
      <x:c r="N139" s="30"/>
      <x:c r="O139" s="30"/>
      <x:c r="P139" s="30"/>
      <x:c r="Q139" s="30"/>
      <x:c r="R139" s="30"/>
      <x:c r="S139" s="30"/>
      <x:c r="T139" s="30"/>
      <x:c r="U139" s="30"/>
      <x:c r="V139" s="30"/>
      <x:c r="W139" s="30"/>
      <x:c r="X139" s="30"/>
      <x:c r="Y139" s="30"/>
      <x:c r="Z139" s="30"/>
      <x:c r="AA139" s="30"/>
      <x:c r="AB139" s="30"/>
      <x:c r="AC139" s="30"/>
      <x:c r="AD139" s="30"/>
      <x:c r="AE139" s="30"/>
      <x:c r="AF139" s="30"/>
      <x:c r="AG139" s="30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>
      <x:c r="A140" s="1"/>
      <x:c r="B140" s="1"/>
      <x:c r="C140" s="30"/>
      <x:c r="D140" s="30"/>
      <x:c r="E140" s="30"/>
      <x:c r="F140" s="30"/>
      <x:c r="G140" s="30"/>
      <x:c r="H140" s="30"/>
      <x:c r="I140" s="30"/>
      <x:c r="J140" s="30"/>
      <x:c r="K140" s="30"/>
      <x:c r="L140" s="30"/>
      <x:c r="M140" s="30"/>
      <x:c r="N140" s="30"/>
      <x:c r="O140" s="30"/>
      <x:c r="P140" s="30"/>
      <x:c r="Q140" s="30"/>
      <x:c r="R140" s="30"/>
      <x:c r="S140" s="30"/>
      <x:c r="T140" s="30"/>
      <x:c r="U140" s="30"/>
      <x:c r="V140" s="30"/>
      <x:c r="W140" s="30"/>
      <x:c r="X140" s="30"/>
      <x:c r="Y140" s="30"/>
      <x:c r="Z140" s="30"/>
      <x:c r="AA140" s="30"/>
      <x:c r="AB140" s="30"/>
      <x:c r="AC140" s="30"/>
      <x:c r="AD140" s="30"/>
      <x:c r="AE140" s="30"/>
      <x:c r="AF140" s="30"/>
      <x:c r="AG140" s="30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>
      <x:c r="A141" s="1"/>
      <x:c r="B141" s="1"/>
      <x:c r="C141" s="30"/>
      <x:c r="D141" s="30"/>
      <x:c r="E141" s="30"/>
      <x:c r="F141" s="30"/>
      <x:c r="G141" s="30"/>
      <x:c r="H141" s="30"/>
      <x:c r="I141" s="30"/>
      <x:c r="J141" s="30"/>
      <x:c r="K141" s="30"/>
      <x:c r="L141" s="30"/>
      <x:c r="M141" s="30"/>
      <x:c r="N141" s="30"/>
      <x:c r="O141" s="30"/>
      <x:c r="P141" s="30"/>
      <x:c r="Q141" s="30"/>
      <x:c r="R141" s="30"/>
      <x:c r="S141" s="30"/>
      <x:c r="T141" s="30"/>
      <x:c r="U141" s="30"/>
      <x:c r="V141" s="30"/>
      <x:c r="W141" s="30"/>
      <x:c r="X141" s="30"/>
      <x:c r="Y141" s="30"/>
      <x:c r="Z141" s="30"/>
      <x:c r="AA141" s="30"/>
      <x:c r="AB141" s="30"/>
      <x:c r="AC141" s="30"/>
      <x:c r="AD141" s="30"/>
      <x:c r="AE141" s="30"/>
      <x:c r="AF141" s="30"/>
      <x:c r="AG141" s="30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>
      <x:c r="A142" s="1"/>
      <x:c r="B142" s="1"/>
      <x:c r="C142" s="30"/>
      <x:c r="D142" s="30"/>
      <x:c r="E142" s="30"/>
      <x:c r="F142" s="30"/>
      <x:c r="G142" s="30"/>
      <x:c r="H142" s="30"/>
      <x:c r="I142" s="30"/>
      <x:c r="J142" s="30"/>
      <x:c r="K142" s="30"/>
      <x:c r="L142" s="30"/>
      <x:c r="M142" s="30"/>
      <x:c r="N142" s="30"/>
      <x:c r="O142" s="30"/>
      <x:c r="P142" s="30"/>
      <x:c r="Q142" s="30"/>
      <x:c r="R142" s="30"/>
      <x:c r="S142" s="30"/>
      <x:c r="T142" s="30"/>
      <x:c r="U142" s="30"/>
      <x:c r="V142" s="30"/>
      <x:c r="W142" s="30"/>
      <x:c r="X142" s="30"/>
      <x:c r="Y142" s="30"/>
      <x:c r="Z142" s="30"/>
      <x:c r="AA142" s="30"/>
      <x:c r="AB142" s="30"/>
      <x:c r="AC142" s="30"/>
      <x:c r="AD142" s="30"/>
      <x:c r="AE142" s="30"/>
      <x:c r="AF142" s="30"/>
      <x:c r="AG142" s="30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>
      <x:c r="A143" s="1"/>
      <x:c r="B143" s="1"/>
      <x:c r="C143" s="30"/>
      <x:c r="D143" s="30"/>
      <x:c r="E143" s="30"/>
      <x:c r="F143" s="30"/>
      <x:c r="G143" s="30"/>
      <x:c r="H143" s="30"/>
      <x:c r="I143" s="30"/>
      <x:c r="J143" s="30"/>
      <x:c r="K143" s="30"/>
      <x:c r="L143" s="30"/>
      <x:c r="M143" s="30"/>
      <x:c r="N143" s="30"/>
      <x:c r="O143" s="30"/>
      <x:c r="P143" s="30"/>
      <x:c r="Q143" s="30"/>
      <x:c r="R143" s="30"/>
      <x:c r="S143" s="30"/>
      <x:c r="T143" s="30"/>
      <x:c r="U143" s="30"/>
      <x:c r="V143" s="30"/>
      <x:c r="W143" s="30"/>
      <x:c r="X143" s="30"/>
      <x:c r="Y143" s="30"/>
      <x:c r="Z143" s="30"/>
      <x:c r="AA143" s="30"/>
      <x:c r="AB143" s="30"/>
      <x:c r="AC143" s="30"/>
      <x:c r="AD143" s="30"/>
      <x:c r="AE143" s="30"/>
      <x:c r="AF143" s="30"/>
      <x:c r="AG143" s="30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>
      <x:c r="A144" s="1"/>
      <x:c r="B144" s="1"/>
      <x:c r="C144" s="30"/>
      <x:c r="D144" s="30"/>
      <x:c r="E144" s="30"/>
      <x:c r="F144" s="30"/>
      <x:c r="G144" s="30"/>
      <x:c r="H144" s="30"/>
      <x:c r="I144" s="30"/>
      <x:c r="J144" s="30"/>
      <x:c r="K144" s="30"/>
      <x:c r="L144" s="30"/>
      <x:c r="M144" s="30"/>
      <x:c r="N144" s="30"/>
      <x:c r="O144" s="30"/>
      <x:c r="P144" s="30"/>
      <x:c r="Q144" s="30"/>
      <x:c r="R144" s="30"/>
      <x:c r="S144" s="30"/>
      <x:c r="T144" s="30"/>
      <x:c r="U144" s="30"/>
      <x:c r="V144" s="30"/>
      <x:c r="W144" s="30"/>
      <x:c r="X144" s="30"/>
      <x:c r="Y144" s="30"/>
      <x:c r="Z144" s="30"/>
      <x:c r="AA144" s="30"/>
      <x:c r="AB144" s="30"/>
      <x:c r="AC144" s="30"/>
      <x:c r="AD144" s="30"/>
      <x:c r="AE144" s="30"/>
      <x:c r="AF144" s="30"/>
      <x:c r="AG144" s="30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>
      <x:c r="A145" s="1"/>
      <x:c r="B145" s="1"/>
      <x:c r="C145" s="30"/>
      <x:c r="D145" s="30"/>
      <x:c r="E145" s="30"/>
      <x:c r="F145" s="30"/>
      <x:c r="G145" s="30"/>
      <x:c r="H145" s="30"/>
      <x:c r="I145" s="30"/>
      <x:c r="J145" s="30"/>
      <x:c r="K145" s="30"/>
      <x:c r="L145" s="30"/>
      <x:c r="M145" s="30"/>
      <x:c r="N145" s="30"/>
      <x:c r="O145" s="30"/>
      <x:c r="P145" s="30"/>
      <x:c r="Q145" s="30"/>
      <x:c r="R145" s="30"/>
      <x:c r="S145" s="30"/>
      <x:c r="T145" s="30"/>
      <x:c r="U145" s="30"/>
      <x:c r="V145" s="30"/>
      <x:c r="W145" s="30"/>
      <x:c r="X145" s="30"/>
      <x:c r="Y145" s="30"/>
      <x:c r="Z145" s="30"/>
      <x:c r="AA145" s="30"/>
      <x:c r="AB145" s="30"/>
      <x:c r="AC145" s="30"/>
      <x:c r="AD145" s="30"/>
      <x:c r="AE145" s="30"/>
      <x:c r="AF145" s="30"/>
      <x:c r="AG145" s="30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>
      <x:c r="A146" s="1"/>
      <x:c r="B146" s="1"/>
      <x:c r="C146" s="30"/>
      <x:c r="D146" s="30"/>
      <x:c r="E146" s="30"/>
      <x:c r="F146" s="30"/>
      <x:c r="G146" s="30"/>
      <x:c r="H146" s="30"/>
      <x:c r="I146" s="30"/>
      <x:c r="J146" s="30"/>
      <x:c r="K146" s="30"/>
      <x:c r="L146" s="30"/>
      <x:c r="M146" s="30"/>
      <x:c r="N146" s="30"/>
      <x:c r="O146" s="30"/>
      <x:c r="P146" s="30"/>
      <x:c r="Q146" s="30"/>
      <x:c r="R146" s="30"/>
      <x:c r="S146" s="30"/>
      <x:c r="T146" s="30"/>
      <x:c r="U146" s="30"/>
      <x:c r="V146" s="30"/>
      <x:c r="W146" s="30"/>
      <x:c r="X146" s="30"/>
      <x:c r="Y146" s="30"/>
      <x:c r="Z146" s="30"/>
      <x:c r="AA146" s="30"/>
      <x:c r="AB146" s="30"/>
      <x:c r="AC146" s="30"/>
      <x:c r="AD146" s="30"/>
      <x:c r="AE146" s="30"/>
      <x:c r="AF146" s="30"/>
      <x:c r="AG146" s="30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>
      <x:c r="A147" s="1"/>
      <x:c r="B147" s="1"/>
      <x:c r="C147" s="30"/>
      <x:c r="D147" s="30"/>
      <x:c r="E147" s="30"/>
      <x:c r="F147" s="30"/>
      <x:c r="G147" s="30"/>
      <x:c r="H147" s="30"/>
      <x:c r="I147" s="30"/>
      <x:c r="J147" s="30"/>
      <x:c r="K147" s="30"/>
      <x:c r="L147" s="30"/>
      <x:c r="M147" s="30"/>
      <x:c r="N147" s="30"/>
      <x:c r="O147" s="30"/>
      <x:c r="P147" s="30"/>
      <x:c r="Q147" s="30"/>
      <x:c r="R147" s="30"/>
      <x:c r="S147" s="30"/>
      <x:c r="T147" s="30"/>
      <x:c r="U147" s="30"/>
      <x:c r="V147" s="30"/>
      <x:c r="W147" s="30"/>
      <x:c r="X147" s="30"/>
      <x:c r="Y147" s="30"/>
      <x:c r="Z147" s="30"/>
      <x:c r="AA147" s="30"/>
      <x:c r="AB147" s="30"/>
      <x:c r="AC147" s="30"/>
      <x:c r="AD147" s="30"/>
      <x:c r="AE147" s="30"/>
      <x:c r="AF147" s="30"/>
      <x:c r="AG147" s="30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>
      <x:c r="A148" s="1"/>
      <x:c r="B148" s="1"/>
      <x:c r="C148" s="30"/>
      <x:c r="D148" s="30"/>
      <x:c r="E148" s="30"/>
      <x:c r="F148" s="30"/>
      <x:c r="G148" s="30"/>
      <x:c r="H148" s="30"/>
      <x:c r="I148" s="30"/>
      <x:c r="J148" s="30"/>
      <x:c r="K148" s="30"/>
      <x:c r="L148" s="30"/>
      <x:c r="M148" s="30"/>
      <x:c r="N148" s="30"/>
      <x:c r="O148" s="30"/>
      <x:c r="P148" s="30"/>
      <x:c r="Q148" s="30"/>
      <x:c r="R148" s="30"/>
      <x:c r="S148" s="30"/>
      <x:c r="T148" s="30"/>
      <x:c r="U148" s="30"/>
      <x:c r="V148" s="30"/>
      <x:c r="W148" s="30"/>
      <x:c r="X148" s="30"/>
      <x:c r="Y148" s="30"/>
      <x:c r="Z148" s="30"/>
      <x:c r="AA148" s="30"/>
      <x:c r="AB148" s="30"/>
      <x:c r="AC148" s="30"/>
      <x:c r="AD148" s="30"/>
      <x:c r="AE148" s="30"/>
      <x:c r="AF148" s="30"/>
      <x:c r="AG148" s="30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>
      <x:c r="A149" s="1"/>
      <x:c r="B149" s="1"/>
      <x:c r="C149" s="30"/>
      <x:c r="D149" s="30"/>
      <x:c r="E149" s="30"/>
      <x:c r="F149" s="30"/>
      <x:c r="G149" s="30"/>
      <x:c r="H149" s="30"/>
      <x:c r="I149" s="30"/>
      <x:c r="J149" s="30"/>
      <x:c r="K149" s="30"/>
      <x:c r="L149" s="30"/>
      <x:c r="M149" s="30"/>
      <x:c r="N149" s="30"/>
      <x:c r="O149" s="30"/>
      <x:c r="P149" s="30"/>
      <x:c r="Q149" s="30"/>
      <x:c r="R149" s="30"/>
      <x:c r="S149" s="30"/>
      <x:c r="T149" s="30"/>
      <x:c r="U149" s="30"/>
      <x:c r="V149" s="30"/>
      <x:c r="W149" s="30"/>
      <x:c r="X149" s="30"/>
      <x:c r="Y149" s="30"/>
      <x:c r="Z149" s="30"/>
      <x:c r="AA149" s="30"/>
      <x:c r="AB149" s="30"/>
      <x:c r="AC149" s="30"/>
      <x:c r="AD149" s="30"/>
      <x:c r="AE149" s="30"/>
      <x:c r="AF149" s="30"/>
      <x:c r="AG149" s="30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>
      <x:c r="A150" s="1"/>
      <x:c r="B150" s="1"/>
      <x:c r="C150" s="30"/>
      <x:c r="D150" s="30"/>
      <x:c r="E150" s="30"/>
      <x:c r="F150" s="30"/>
      <x:c r="G150" s="30"/>
      <x:c r="H150" s="30"/>
      <x:c r="I150" s="30"/>
      <x:c r="J150" s="30"/>
      <x:c r="K150" s="30"/>
      <x:c r="L150" s="30"/>
      <x:c r="M150" s="30"/>
      <x:c r="N150" s="30"/>
      <x:c r="O150" s="30"/>
      <x:c r="P150" s="30"/>
      <x:c r="Q150" s="30"/>
      <x:c r="R150" s="30"/>
      <x:c r="S150" s="30"/>
      <x:c r="T150" s="30"/>
      <x:c r="U150" s="30"/>
      <x:c r="V150" s="30"/>
      <x:c r="W150" s="30"/>
      <x:c r="X150" s="30"/>
      <x:c r="Y150" s="30"/>
      <x:c r="Z150" s="30"/>
      <x:c r="AA150" s="30"/>
      <x:c r="AB150" s="30"/>
      <x:c r="AC150" s="30"/>
      <x:c r="AD150" s="30"/>
      <x:c r="AE150" s="30"/>
      <x:c r="AF150" s="30"/>
      <x:c r="AG150" s="30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>
      <x:c r="A151" s="1"/>
      <x:c r="B151" s="1"/>
      <x:c r="C151" s="30"/>
      <x:c r="D151" s="30"/>
      <x:c r="E151" s="30"/>
      <x:c r="F151" s="30"/>
      <x:c r="G151" s="30"/>
      <x:c r="H151" s="30"/>
      <x:c r="I151" s="30"/>
      <x:c r="J151" s="30"/>
      <x:c r="K151" s="30"/>
      <x:c r="L151" s="30"/>
      <x:c r="M151" s="30"/>
      <x:c r="N151" s="30"/>
      <x:c r="O151" s="30"/>
      <x:c r="P151" s="30"/>
      <x:c r="Q151" s="30"/>
      <x:c r="R151" s="30"/>
      <x:c r="S151" s="30"/>
      <x:c r="T151" s="30"/>
      <x:c r="U151" s="30"/>
      <x:c r="V151" s="30"/>
      <x:c r="W151" s="30"/>
      <x:c r="X151" s="30"/>
      <x:c r="Y151" s="30"/>
      <x:c r="Z151" s="30"/>
      <x:c r="AA151" s="30"/>
      <x:c r="AB151" s="30"/>
      <x:c r="AC151" s="30"/>
      <x:c r="AD151" s="30"/>
      <x:c r="AE151" s="30"/>
      <x:c r="AF151" s="30"/>
      <x:c r="AG151" s="30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>
      <x:c r="A152" s="1"/>
      <x:c r="B152" s="1"/>
      <x:c r="C152" s="30"/>
      <x:c r="D152" s="30"/>
      <x:c r="E152" s="30"/>
      <x:c r="F152" s="30"/>
      <x:c r="G152" s="30"/>
      <x:c r="H152" s="30"/>
      <x:c r="I152" s="30"/>
      <x:c r="J152" s="30"/>
      <x:c r="K152" s="30"/>
      <x:c r="L152" s="30"/>
      <x:c r="M152" s="30"/>
      <x:c r="N152" s="30"/>
      <x:c r="O152" s="30"/>
      <x:c r="P152" s="30"/>
      <x:c r="Q152" s="30"/>
      <x:c r="R152" s="30"/>
      <x:c r="S152" s="30"/>
      <x:c r="T152" s="30"/>
      <x:c r="U152" s="30"/>
      <x:c r="V152" s="30"/>
      <x:c r="W152" s="30"/>
      <x:c r="X152" s="30"/>
      <x:c r="Y152" s="30"/>
      <x:c r="Z152" s="30"/>
      <x:c r="AA152" s="30"/>
      <x:c r="AB152" s="30"/>
      <x:c r="AC152" s="30"/>
      <x:c r="AD152" s="30"/>
      <x:c r="AE152" s="30"/>
      <x:c r="AF152" s="30"/>
      <x:c r="AG152" s="30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>
      <x:c r="A153" s="1"/>
      <x:c r="B153" s="1"/>
      <x:c r="C153" s="30"/>
      <x:c r="D153" s="30"/>
      <x:c r="E153" s="30"/>
      <x:c r="F153" s="30"/>
      <x:c r="G153" s="30"/>
      <x:c r="H153" s="30"/>
      <x:c r="I153" s="30"/>
      <x:c r="J153" s="30"/>
      <x:c r="K153" s="30"/>
      <x:c r="L153" s="30"/>
      <x:c r="M153" s="30"/>
      <x:c r="N153" s="30"/>
      <x:c r="O153" s="30"/>
      <x:c r="P153" s="30"/>
      <x:c r="Q153" s="30"/>
      <x:c r="R153" s="30"/>
      <x:c r="S153" s="30"/>
      <x:c r="T153" s="30"/>
      <x:c r="U153" s="30"/>
      <x:c r="V153" s="30"/>
      <x:c r="W153" s="30"/>
      <x:c r="X153" s="30"/>
      <x:c r="Y153" s="30"/>
      <x:c r="Z153" s="30"/>
      <x:c r="AA153" s="30"/>
      <x:c r="AB153" s="30"/>
      <x:c r="AC153" s="30"/>
      <x:c r="AD153" s="30"/>
      <x:c r="AE153" s="30"/>
      <x:c r="AF153" s="30"/>
      <x:c r="AG153" s="30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>
      <x:c r="A154" s="1"/>
      <x:c r="B154" s="1"/>
      <x:c r="C154" s="30"/>
      <x:c r="D154" s="30"/>
      <x:c r="E154" s="30"/>
      <x:c r="F154" s="30"/>
      <x:c r="G154" s="30"/>
      <x:c r="H154" s="30"/>
      <x:c r="I154" s="30"/>
      <x:c r="J154" s="30"/>
      <x:c r="K154" s="30"/>
      <x:c r="L154" s="30"/>
      <x:c r="M154" s="30"/>
      <x:c r="N154" s="30"/>
      <x:c r="O154" s="30"/>
      <x:c r="P154" s="30"/>
      <x:c r="Q154" s="30"/>
      <x:c r="R154" s="30"/>
      <x:c r="S154" s="30"/>
      <x:c r="T154" s="30"/>
      <x:c r="U154" s="30"/>
      <x:c r="V154" s="30"/>
      <x:c r="W154" s="30"/>
      <x:c r="X154" s="30"/>
      <x:c r="Y154" s="30"/>
      <x:c r="Z154" s="30"/>
      <x:c r="AA154" s="30"/>
      <x:c r="AB154" s="30"/>
      <x:c r="AC154" s="30"/>
      <x:c r="AD154" s="30"/>
      <x:c r="AE154" s="30"/>
      <x:c r="AF154" s="30"/>
      <x:c r="AG154" s="30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>
      <x:c r="A155" s="1"/>
      <x:c r="B155" s="1"/>
      <x:c r="C155" s="30"/>
      <x:c r="D155" s="30"/>
      <x:c r="E155" s="30"/>
      <x:c r="F155" s="30"/>
      <x:c r="G155" s="30"/>
      <x:c r="H155" s="30"/>
      <x:c r="I155" s="30"/>
      <x:c r="J155" s="30"/>
      <x:c r="K155" s="30"/>
      <x:c r="L155" s="30"/>
      <x:c r="M155" s="30"/>
      <x:c r="N155" s="30"/>
      <x:c r="O155" s="30"/>
      <x:c r="P155" s="30"/>
      <x:c r="Q155" s="30"/>
      <x:c r="R155" s="30"/>
      <x:c r="S155" s="30"/>
      <x:c r="T155" s="30"/>
      <x:c r="U155" s="30"/>
      <x:c r="V155" s="30"/>
      <x:c r="W155" s="30"/>
      <x:c r="X155" s="30"/>
      <x:c r="Y155" s="30"/>
      <x:c r="Z155" s="30"/>
      <x:c r="AA155" s="30"/>
      <x:c r="AB155" s="30"/>
      <x:c r="AC155" s="30"/>
      <x:c r="AD155" s="30"/>
      <x:c r="AE155" s="30"/>
      <x:c r="AF155" s="30"/>
      <x:c r="AG155" s="30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>
      <x:c r="A156" s="1"/>
      <x:c r="B156" s="1"/>
      <x:c r="C156" s="30"/>
      <x:c r="D156" s="30"/>
      <x:c r="E156" s="30"/>
      <x:c r="F156" s="30"/>
      <x:c r="G156" s="30"/>
      <x:c r="H156" s="30"/>
      <x:c r="I156" s="30"/>
      <x:c r="J156" s="30"/>
      <x:c r="K156" s="30"/>
      <x:c r="L156" s="30"/>
      <x:c r="M156" s="30"/>
      <x:c r="N156" s="30"/>
      <x:c r="O156" s="30"/>
      <x:c r="P156" s="30"/>
      <x:c r="Q156" s="30"/>
      <x:c r="R156" s="30"/>
      <x:c r="S156" s="30"/>
      <x:c r="T156" s="30"/>
      <x:c r="U156" s="30"/>
      <x:c r="V156" s="30"/>
      <x:c r="W156" s="30"/>
      <x:c r="X156" s="30"/>
      <x:c r="Y156" s="30"/>
      <x:c r="Z156" s="30"/>
      <x:c r="AA156" s="30"/>
      <x:c r="AB156" s="30"/>
      <x:c r="AC156" s="30"/>
      <x:c r="AD156" s="30"/>
      <x:c r="AE156" s="30"/>
      <x:c r="AF156" s="30"/>
      <x:c r="AG156" s="30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>
      <x:c r="A157" s="1"/>
      <x:c r="B157" s="1"/>
      <x:c r="C157" s="30"/>
      <x:c r="D157" s="30"/>
      <x:c r="E157" s="30"/>
      <x:c r="F157" s="30"/>
      <x:c r="G157" s="30"/>
      <x:c r="H157" s="30"/>
      <x:c r="I157" s="30"/>
      <x:c r="J157" s="30"/>
      <x:c r="K157" s="30"/>
      <x:c r="L157" s="30"/>
      <x:c r="M157" s="30"/>
      <x:c r="N157" s="30"/>
      <x:c r="O157" s="30"/>
      <x:c r="P157" s="30"/>
      <x:c r="Q157" s="30"/>
      <x:c r="R157" s="30"/>
      <x:c r="S157" s="30"/>
      <x:c r="T157" s="30"/>
      <x:c r="U157" s="30"/>
      <x:c r="V157" s="30"/>
      <x:c r="W157" s="30"/>
      <x:c r="X157" s="30"/>
      <x:c r="Y157" s="30"/>
      <x:c r="Z157" s="30"/>
      <x:c r="AA157" s="30"/>
      <x:c r="AB157" s="30"/>
      <x:c r="AC157" s="30"/>
      <x:c r="AD157" s="30"/>
      <x:c r="AE157" s="30"/>
      <x:c r="AF157" s="30"/>
      <x:c r="AG157" s="30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>
      <x:c r="A158" s="1"/>
      <x:c r="B158" s="1"/>
      <x:c r="C158" s="30"/>
      <x:c r="D158" s="30"/>
      <x:c r="E158" s="30"/>
      <x:c r="F158" s="30"/>
      <x:c r="G158" s="30"/>
      <x:c r="H158" s="30"/>
      <x:c r="I158" s="30"/>
      <x:c r="J158" s="30"/>
      <x:c r="K158" s="30"/>
      <x:c r="L158" s="30"/>
      <x:c r="M158" s="30"/>
      <x:c r="N158" s="30"/>
      <x:c r="O158" s="30"/>
      <x:c r="P158" s="30"/>
      <x:c r="Q158" s="30"/>
      <x:c r="R158" s="30"/>
      <x:c r="S158" s="30"/>
      <x:c r="T158" s="30"/>
      <x:c r="U158" s="30"/>
      <x:c r="V158" s="30"/>
      <x:c r="W158" s="30"/>
      <x:c r="X158" s="30"/>
      <x:c r="Y158" s="30"/>
      <x:c r="Z158" s="30"/>
      <x:c r="AA158" s="30"/>
      <x:c r="AB158" s="30"/>
      <x:c r="AC158" s="30"/>
      <x:c r="AD158" s="30"/>
      <x:c r="AE158" s="30"/>
      <x:c r="AF158" s="30"/>
      <x:c r="AG158" s="30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>
      <x:c r="A159" s="1"/>
      <x:c r="B159" s="1"/>
      <x:c r="C159" s="30"/>
      <x:c r="D159" s="30"/>
      <x:c r="E159" s="30"/>
      <x:c r="F159" s="30"/>
      <x:c r="G159" s="30"/>
      <x:c r="H159" s="30"/>
      <x:c r="I159" s="30"/>
      <x:c r="J159" s="30"/>
      <x:c r="K159" s="30"/>
      <x:c r="L159" s="30"/>
      <x:c r="M159" s="30"/>
      <x:c r="N159" s="30"/>
      <x:c r="O159" s="30"/>
      <x:c r="P159" s="30"/>
      <x:c r="Q159" s="30"/>
      <x:c r="R159" s="30"/>
      <x:c r="S159" s="30"/>
      <x:c r="T159" s="30"/>
      <x:c r="U159" s="30"/>
      <x:c r="V159" s="30"/>
      <x:c r="W159" s="30"/>
      <x:c r="X159" s="30"/>
      <x:c r="Y159" s="30"/>
      <x:c r="Z159" s="30"/>
      <x:c r="AA159" s="30"/>
      <x:c r="AB159" s="30"/>
      <x:c r="AC159" s="30"/>
      <x:c r="AD159" s="30"/>
      <x:c r="AE159" s="30"/>
      <x:c r="AF159" s="30"/>
      <x:c r="AG159" s="30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>
      <x:c r="A160" s="1"/>
      <x:c r="B160" s="1"/>
      <x:c r="C160" s="30"/>
      <x:c r="D160" s="30"/>
      <x:c r="E160" s="30"/>
      <x:c r="F160" s="30"/>
      <x:c r="G160" s="30"/>
      <x:c r="H160" s="30"/>
      <x:c r="I160" s="30"/>
      <x:c r="J160" s="30"/>
      <x:c r="K160" s="30"/>
      <x:c r="L160" s="30"/>
      <x:c r="M160" s="30"/>
      <x:c r="N160" s="30"/>
      <x:c r="O160" s="30"/>
      <x:c r="P160" s="30"/>
      <x:c r="Q160" s="30"/>
      <x:c r="R160" s="30"/>
      <x:c r="S160" s="30"/>
      <x:c r="T160" s="30"/>
      <x:c r="U160" s="30"/>
      <x:c r="V160" s="30"/>
      <x:c r="W160" s="30"/>
      <x:c r="X160" s="30"/>
      <x:c r="Y160" s="30"/>
      <x:c r="Z160" s="30"/>
      <x:c r="AA160" s="30"/>
      <x:c r="AB160" s="30"/>
      <x:c r="AC160" s="30"/>
      <x:c r="AD160" s="30"/>
      <x:c r="AE160" s="30"/>
      <x:c r="AF160" s="30"/>
      <x:c r="AG160" s="30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>
      <x:c r="A161" s="1"/>
      <x:c r="B161" s="1"/>
      <x:c r="C161" s="30"/>
      <x:c r="D161" s="30"/>
      <x:c r="E161" s="30"/>
      <x:c r="F161" s="30"/>
      <x:c r="G161" s="30"/>
      <x:c r="H161" s="30"/>
      <x:c r="I161" s="30"/>
      <x:c r="J161" s="30"/>
      <x:c r="K161" s="30"/>
      <x:c r="L161" s="30"/>
      <x:c r="M161" s="30"/>
      <x:c r="N161" s="30"/>
      <x:c r="O161" s="30"/>
      <x:c r="P161" s="30"/>
      <x:c r="Q161" s="30"/>
      <x:c r="R161" s="30"/>
      <x:c r="S161" s="30"/>
      <x:c r="T161" s="30"/>
      <x:c r="U161" s="30"/>
      <x:c r="V161" s="30"/>
      <x:c r="W161" s="30"/>
      <x:c r="X161" s="30"/>
      <x:c r="Y161" s="30"/>
      <x:c r="Z161" s="30"/>
      <x:c r="AA161" s="30"/>
      <x:c r="AB161" s="30"/>
      <x:c r="AC161" s="30"/>
      <x:c r="AD161" s="30"/>
      <x:c r="AE161" s="30"/>
      <x:c r="AF161" s="30"/>
      <x:c r="AG161" s="30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>
      <x:c r="A162" s="1"/>
      <x:c r="B162" s="1"/>
      <x:c r="C162" s="30"/>
      <x:c r="D162" s="30"/>
      <x:c r="E162" s="30"/>
      <x:c r="F162" s="30"/>
      <x:c r="G162" s="30"/>
      <x:c r="H162" s="30"/>
      <x:c r="I162" s="30"/>
      <x:c r="J162" s="30"/>
      <x:c r="K162" s="30"/>
      <x:c r="L162" s="30"/>
      <x:c r="M162" s="30"/>
      <x:c r="N162" s="30"/>
      <x:c r="O162" s="30"/>
      <x:c r="P162" s="30"/>
      <x:c r="Q162" s="30"/>
      <x:c r="R162" s="30"/>
      <x:c r="S162" s="30"/>
      <x:c r="T162" s="30"/>
      <x:c r="U162" s="30"/>
      <x:c r="V162" s="30"/>
      <x:c r="W162" s="30"/>
      <x:c r="X162" s="30"/>
      <x:c r="Y162" s="30"/>
      <x:c r="Z162" s="30"/>
      <x:c r="AA162" s="30"/>
      <x:c r="AB162" s="30"/>
      <x:c r="AC162" s="30"/>
      <x:c r="AD162" s="30"/>
      <x:c r="AE162" s="30"/>
      <x:c r="AF162" s="30"/>
      <x:c r="AG162" s="30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>
      <x:c r="A163" s="1"/>
      <x:c r="B163" s="1"/>
      <x:c r="C163" s="30"/>
      <x:c r="D163" s="30"/>
      <x:c r="E163" s="30"/>
      <x:c r="F163" s="30"/>
      <x:c r="G163" s="30"/>
      <x:c r="H163" s="30"/>
      <x:c r="I163" s="30"/>
      <x:c r="J163" s="30"/>
      <x:c r="K163" s="30"/>
      <x:c r="L163" s="30"/>
      <x:c r="M163" s="30"/>
      <x:c r="N163" s="30"/>
      <x:c r="O163" s="30"/>
      <x:c r="P163" s="30"/>
      <x:c r="Q163" s="30"/>
      <x:c r="R163" s="30"/>
      <x:c r="S163" s="30"/>
      <x:c r="T163" s="30"/>
      <x:c r="U163" s="30"/>
      <x:c r="V163" s="30"/>
      <x:c r="W163" s="30"/>
      <x:c r="X163" s="30"/>
      <x:c r="Y163" s="30"/>
      <x:c r="Z163" s="30"/>
      <x:c r="AA163" s="30"/>
      <x:c r="AB163" s="30"/>
      <x:c r="AC163" s="30"/>
      <x:c r="AD163" s="30"/>
      <x:c r="AE163" s="30"/>
      <x:c r="AF163" s="30"/>
      <x:c r="AG163" s="30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>
      <x:c r="A164" s="1"/>
      <x:c r="B164" s="1"/>
      <x:c r="C164" s="30"/>
      <x:c r="D164" s="30"/>
      <x:c r="E164" s="30"/>
      <x:c r="F164" s="30"/>
      <x:c r="G164" s="30"/>
      <x:c r="H164" s="30"/>
      <x:c r="I164" s="30"/>
      <x:c r="J164" s="30"/>
      <x:c r="K164" s="30"/>
      <x:c r="L164" s="30"/>
      <x:c r="M164" s="30"/>
      <x:c r="N164" s="30"/>
      <x:c r="O164" s="30"/>
      <x:c r="P164" s="30"/>
      <x:c r="Q164" s="30"/>
      <x:c r="R164" s="30"/>
      <x:c r="S164" s="30"/>
      <x:c r="T164" s="30"/>
      <x:c r="U164" s="30"/>
      <x:c r="V164" s="30"/>
      <x:c r="W164" s="30"/>
      <x:c r="X164" s="30"/>
      <x:c r="Y164" s="30"/>
      <x:c r="Z164" s="30"/>
      <x:c r="AA164" s="30"/>
      <x:c r="AB164" s="30"/>
      <x:c r="AC164" s="30"/>
      <x:c r="AD164" s="30"/>
      <x:c r="AE164" s="30"/>
      <x:c r="AF164" s="30"/>
      <x:c r="AG164" s="30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>
      <x:c r="A165" s="1"/>
      <x:c r="B165" s="1"/>
      <x:c r="C165" s="30"/>
      <x:c r="D165" s="30"/>
      <x:c r="E165" s="30"/>
      <x:c r="F165" s="30"/>
      <x:c r="G165" s="30"/>
      <x:c r="H165" s="30"/>
      <x:c r="I165" s="30"/>
      <x:c r="J165" s="30"/>
      <x:c r="K165" s="30"/>
      <x:c r="L165" s="30"/>
      <x:c r="M165" s="30"/>
      <x:c r="N165" s="30"/>
      <x:c r="O165" s="30"/>
      <x:c r="P165" s="30"/>
      <x:c r="Q165" s="30"/>
      <x:c r="R165" s="30"/>
      <x:c r="S165" s="30"/>
      <x:c r="T165" s="30"/>
      <x:c r="U165" s="30"/>
      <x:c r="V165" s="30"/>
      <x:c r="W165" s="30"/>
      <x:c r="X165" s="30"/>
      <x:c r="Y165" s="30"/>
      <x:c r="Z165" s="30"/>
      <x:c r="AA165" s="30"/>
      <x:c r="AB165" s="30"/>
      <x:c r="AC165" s="30"/>
      <x:c r="AD165" s="30"/>
      <x:c r="AE165" s="30"/>
      <x:c r="AF165" s="30"/>
      <x:c r="AG165" s="30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>
      <x:c r="A166" s="1"/>
      <x:c r="B166" s="1"/>
      <x:c r="C166" s="30"/>
      <x:c r="D166" s="30"/>
      <x:c r="E166" s="30"/>
      <x:c r="F166" s="30"/>
      <x:c r="G166" s="30"/>
      <x:c r="H166" s="30"/>
      <x:c r="I166" s="30"/>
      <x:c r="J166" s="30"/>
      <x:c r="K166" s="30"/>
      <x:c r="L166" s="30"/>
      <x:c r="M166" s="30"/>
      <x:c r="N166" s="30"/>
      <x:c r="O166" s="30"/>
      <x:c r="P166" s="30"/>
      <x:c r="Q166" s="30"/>
      <x:c r="R166" s="30"/>
      <x:c r="S166" s="30"/>
      <x:c r="T166" s="30"/>
      <x:c r="U166" s="30"/>
      <x:c r="V166" s="30"/>
      <x:c r="W166" s="30"/>
      <x:c r="X166" s="30"/>
      <x:c r="Y166" s="30"/>
      <x:c r="Z166" s="30"/>
      <x:c r="AA166" s="30"/>
      <x:c r="AB166" s="30"/>
      <x:c r="AC166" s="30"/>
      <x:c r="AD166" s="30"/>
      <x:c r="AE166" s="30"/>
      <x:c r="AF166" s="30"/>
      <x:c r="AG166" s="30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>
      <x:c r="A167" s="1"/>
      <x:c r="B167" s="1"/>
      <x:c r="C167" s="30"/>
      <x:c r="D167" s="30"/>
      <x:c r="E167" s="30"/>
      <x:c r="F167" s="30"/>
      <x:c r="G167" s="30"/>
      <x:c r="H167" s="30"/>
      <x:c r="I167" s="30"/>
      <x:c r="J167" s="30"/>
      <x:c r="K167" s="30"/>
      <x:c r="L167" s="30"/>
      <x:c r="M167" s="30"/>
      <x:c r="N167" s="30"/>
      <x:c r="O167" s="30"/>
      <x:c r="P167" s="30"/>
      <x:c r="Q167" s="30"/>
      <x:c r="R167" s="30"/>
      <x:c r="S167" s="30"/>
      <x:c r="T167" s="30"/>
      <x:c r="U167" s="30"/>
      <x:c r="V167" s="30"/>
      <x:c r="W167" s="30"/>
      <x:c r="X167" s="30"/>
      <x:c r="Y167" s="30"/>
      <x:c r="Z167" s="30"/>
      <x:c r="AA167" s="30"/>
      <x:c r="AB167" s="30"/>
      <x:c r="AC167" s="30"/>
      <x:c r="AD167" s="30"/>
      <x:c r="AE167" s="30"/>
      <x:c r="AF167" s="30"/>
      <x:c r="AG167" s="30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>
      <x:c r="A168" s="1"/>
      <x:c r="B168" s="1"/>
      <x:c r="C168" s="30"/>
      <x:c r="D168" s="30"/>
      <x:c r="E168" s="30"/>
      <x:c r="F168" s="30"/>
      <x:c r="G168" s="30"/>
      <x:c r="H168" s="30"/>
      <x:c r="I168" s="30"/>
      <x:c r="J168" s="30"/>
      <x:c r="K168" s="30"/>
      <x:c r="L168" s="30"/>
      <x:c r="M168" s="30"/>
      <x:c r="N168" s="30"/>
      <x:c r="O168" s="30"/>
      <x:c r="P168" s="30"/>
      <x:c r="Q168" s="30"/>
      <x:c r="R168" s="30"/>
      <x:c r="S168" s="30"/>
      <x:c r="T168" s="30"/>
      <x:c r="U168" s="30"/>
      <x:c r="V168" s="30"/>
      <x:c r="W168" s="30"/>
      <x:c r="X168" s="30"/>
      <x:c r="Y168" s="30"/>
      <x:c r="Z168" s="30"/>
      <x:c r="AA168" s="30"/>
      <x:c r="AB168" s="30"/>
      <x:c r="AC168" s="30"/>
      <x:c r="AD168" s="30"/>
      <x:c r="AE168" s="30"/>
      <x:c r="AF168" s="30"/>
      <x:c r="AG168" s="30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>
      <x:c r="A169" s="1"/>
      <x:c r="B169" s="1"/>
      <x:c r="C169" s="30"/>
      <x:c r="D169" s="30"/>
      <x:c r="E169" s="30"/>
      <x:c r="F169" s="30"/>
      <x:c r="G169" s="30"/>
      <x:c r="H169" s="30"/>
      <x:c r="I169" s="30"/>
      <x:c r="J169" s="30"/>
      <x:c r="K169" s="30"/>
      <x:c r="L169" s="30"/>
      <x:c r="M169" s="30"/>
      <x:c r="N169" s="30"/>
      <x:c r="O169" s="30"/>
      <x:c r="P169" s="30"/>
      <x:c r="Q169" s="30"/>
      <x:c r="R169" s="30"/>
      <x:c r="S169" s="30"/>
      <x:c r="T169" s="30"/>
      <x:c r="U169" s="30"/>
      <x:c r="V169" s="30"/>
      <x:c r="W169" s="30"/>
      <x:c r="X169" s="30"/>
      <x:c r="Y169" s="30"/>
      <x:c r="Z169" s="30"/>
      <x:c r="AA169" s="30"/>
      <x:c r="AB169" s="30"/>
      <x:c r="AC169" s="30"/>
      <x:c r="AD169" s="30"/>
      <x:c r="AE169" s="30"/>
      <x:c r="AF169" s="30"/>
      <x:c r="AG169" s="30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>
      <x:c r="A170" s="1"/>
      <x:c r="B170" s="1"/>
      <x:c r="C170" s="30"/>
      <x:c r="D170" s="30"/>
      <x:c r="E170" s="30"/>
      <x:c r="F170" s="30"/>
      <x:c r="G170" s="30"/>
      <x:c r="H170" s="30"/>
      <x:c r="I170" s="30"/>
      <x:c r="J170" s="30"/>
      <x:c r="K170" s="30"/>
      <x:c r="L170" s="30"/>
      <x:c r="M170" s="30"/>
      <x:c r="N170" s="30"/>
      <x:c r="O170" s="30"/>
      <x:c r="P170" s="30"/>
      <x:c r="Q170" s="30"/>
      <x:c r="R170" s="30"/>
      <x:c r="S170" s="30"/>
      <x:c r="T170" s="30"/>
      <x:c r="U170" s="30"/>
      <x:c r="V170" s="30"/>
      <x:c r="W170" s="30"/>
      <x:c r="X170" s="30"/>
      <x:c r="Y170" s="30"/>
      <x:c r="Z170" s="30"/>
      <x:c r="AA170" s="30"/>
      <x:c r="AB170" s="30"/>
      <x:c r="AC170" s="30"/>
      <x:c r="AD170" s="30"/>
      <x:c r="AE170" s="30"/>
      <x:c r="AF170" s="30"/>
      <x:c r="AG170" s="30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>
      <x:c r="A171" s="1"/>
      <x:c r="B171" s="1"/>
      <x:c r="C171" s="30"/>
      <x:c r="D171" s="30"/>
      <x:c r="E171" s="30"/>
      <x:c r="F171" s="30"/>
      <x:c r="G171" s="30"/>
      <x:c r="H171" s="30"/>
      <x:c r="I171" s="30"/>
      <x:c r="J171" s="30"/>
      <x:c r="K171" s="30"/>
      <x:c r="L171" s="30"/>
      <x:c r="M171" s="30"/>
      <x:c r="N171" s="30"/>
      <x:c r="O171" s="30"/>
      <x:c r="P171" s="30"/>
      <x:c r="Q171" s="30"/>
      <x:c r="R171" s="30"/>
      <x:c r="S171" s="30"/>
      <x:c r="T171" s="30"/>
      <x:c r="U171" s="30"/>
      <x:c r="V171" s="30"/>
      <x:c r="W171" s="30"/>
      <x:c r="X171" s="30"/>
      <x:c r="Y171" s="30"/>
      <x:c r="Z171" s="30"/>
      <x:c r="AA171" s="30"/>
      <x:c r="AB171" s="30"/>
      <x:c r="AC171" s="30"/>
      <x:c r="AD171" s="30"/>
      <x:c r="AE171" s="30"/>
      <x:c r="AF171" s="30"/>
      <x:c r="AG171" s="30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>
      <x:c r="A172" s="1"/>
      <x:c r="B172" s="1"/>
      <x:c r="C172" s="30"/>
      <x:c r="D172" s="30"/>
      <x:c r="E172" s="30"/>
      <x:c r="F172" s="30"/>
      <x:c r="G172" s="30"/>
      <x:c r="H172" s="30"/>
      <x:c r="I172" s="30"/>
      <x:c r="J172" s="30"/>
      <x:c r="K172" s="30"/>
      <x:c r="L172" s="30"/>
      <x:c r="M172" s="30"/>
      <x:c r="N172" s="30"/>
      <x:c r="O172" s="30"/>
      <x:c r="P172" s="30"/>
      <x:c r="Q172" s="30"/>
      <x:c r="R172" s="30"/>
      <x:c r="S172" s="30"/>
      <x:c r="T172" s="30"/>
      <x:c r="U172" s="30"/>
      <x:c r="V172" s="30"/>
      <x:c r="W172" s="30"/>
      <x:c r="X172" s="30"/>
      <x:c r="Y172" s="30"/>
      <x:c r="Z172" s="30"/>
      <x:c r="AA172" s="30"/>
      <x:c r="AB172" s="30"/>
      <x:c r="AC172" s="30"/>
      <x:c r="AD172" s="30"/>
      <x:c r="AE172" s="30"/>
      <x:c r="AF172" s="30"/>
      <x:c r="AG172" s="30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>
      <x:c r="A173" s="1"/>
      <x:c r="B173" s="1"/>
      <x:c r="C173" s="30"/>
      <x:c r="D173" s="30"/>
      <x:c r="E173" s="30"/>
      <x:c r="F173" s="30"/>
      <x:c r="G173" s="30"/>
      <x:c r="H173" s="30"/>
      <x:c r="I173" s="30"/>
      <x:c r="J173" s="30"/>
      <x:c r="K173" s="30"/>
      <x:c r="L173" s="30"/>
      <x:c r="M173" s="30"/>
      <x:c r="N173" s="30"/>
      <x:c r="O173" s="30"/>
      <x:c r="P173" s="30"/>
      <x:c r="Q173" s="30"/>
      <x:c r="R173" s="30"/>
      <x:c r="S173" s="30"/>
      <x:c r="T173" s="30"/>
      <x:c r="U173" s="30"/>
      <x:c r="V173" s="30"/>
      <x:c r="W173" s="30"/>
      <x:c r="X173" s="30"/>
      <x:c r="Y173" s="30"/>
      <x:c r="Z173" s="30"/>
      <x:c r="AA173" s="30"/>
      <x:c r="AB173" s="30"/>
      <x:c r="AC173" s="30"/>
      <x:c r="AD173" s="30"/>
      <x:c r="AE173" s="30"/>
      <x:c r="AF173" s="30"/>
      <x:c r="AG173" s="30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>
      <x:c r="A174" s="1"/>
      <x:c r="B174" s="1"/>
      <x:c r="C174" s="30"/>
      <x:c r="D174" s="30"/>
      <x:c r="E174" s="30"/>
      <x:c r="F174" s="30"/>
      <x:c r="G174" s="30"/>
      <x:c r="H174" s="30"/>
      <x:c r="I174" s="30"/>
      <x:c r="J174" s="30"/>
      <x:c r="K174" s="30"/>
      <x:c r="L174" s="30"/>
      <x:c r="M174" s="30"/>
      <x:c r="N174" s="30"/>
      <x:c r="O174" s="30"/>
      <x:c r="P174" s="30"/>
      <x:c r="Q174" s="30"/>
      <x:c r="R174" s="30"/>
      <x:c r="S174" s="30"/>
      <x:c r="T174" s="30"/>
      <x:c r="U174" s="30"/>
      <x:c r="V174" s="30"/>
      <x:c r="W174" s="30"/>
      <x:c r="X174" s="30"/>
      <x:c r="Y174" s="30"/>
      <x:c r="Z174" s="30"/>
      <x:c r="AA174" s="30"/>
      <x:c r="AB174" s="30"/>
      <x:c r="AC174" s="30"/>
      <x:c r="AD174" s="30"/>
      <x:c r="AE174" s="30"/>
      <x:c r="AF174" s="30"/>
      <x:c r="AG174" s="30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>
      <x:c r="A175" s="1"/>
      <x:c r="B175" s="1"/>
      <x:c r="C175" s="30"/>
      <x:c r="D175" s="30"/>
      <x:c r="E175" s="30"/>
      <x:c r="F175" s="30"/>
      <x:c r="G175" s="30"/>
      <x:c r="H175" s="30"/>
      <x:c r="I175" s="30"/>
      <x:c r="J175" s="30"/>
      <x:c r="K175" s="30"/>
      <x:c r="L175" s="30"/>
      <x:c r="M175" s="30"/>
      <x:c r="N175" s="30"/>
      <x:c r="O175" s="30"/>
      <x:c r="P175" s="30"/>
      <x:c r="Q175" s="30"/>
      <x:c r="R175" s="30"/>
      <x:c r="S175" s="30"/>
      <x:c r="T175" s="30"/>
      <x:c r="U175" s="30"/>
      <x:c r="V175" s="30"/>
      <x:c r="W175" s="30"/>
      <x:c r="X175" s="30"/>
      <x:c r="Y175" s="30"/>
      <x:c r="Z175" s="30"/>
      <x:c r="AA175" s="30"/>
      <x:c r="AB175" s="30"/>
      <x:c r="AC175" s="30"/>
      <x:c r="AD175" s="30"/>
      <x:c r="AE175" s="30"/>
      <x:c r="AF175" s="30"/>
      <x:c r="AG175" s="30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>
      <x:c r="A176" s="1"/>
      <x:c r="B176" s="1"/>
      <x:c r="C176" s="30"/>
      <x:c r="D176" s="30"/>
      <x:c r="E176" s="30"/>
      <x:c r="F176" s="30"/>
      <x:c r="G176" s="30"/>
      <x:c r="H176" s="30"/>
      <x:c r="I176" s="30"/>
      <x:c r="J176" s="30"/>
      <x:c r="K176" s="30"/>
      <x:c r="L176" s="30"/>
      <x:c r="M176" s="30"/>
      <x:c r="N176" s="30"/>
      <x:c r="O176" s="30"/>
      <x:c r="P176" s="30"/>
      <x:c r="Q176" s="30"/>
      <x:c r="R176" s="30"/>
      <x:c r="S176" s="30"/>
      <x:c r="T176" s="30"/>
      <x:c r="U176" s="30"/>
      <x:c r="V176" s="30"/>
      <x:c r="W176" s="30"/>
      <x:c r="X176" s="30"/>
      <x:c r="Y176" s="30"/>
      <x:c r="Z176" s="30"/>
      <x:c r="AA176" s="30"/>
      <x:c r="AB176" s="30"/>
      <x:c r="AC176" s="30"/>
      <x:c r="AD176" s="30"/>
      <x:c r="AE176" s="30"/>
      <x:c r="AF176" s="30"/>
      <x:c r="AG176" s="30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>
      <x:c r="A177" s="1"/>
      <x:c r="B177" s="1"/>
      <x:c r="C177" s="30"/>
      <x:c r="D177" s="30"/>
      <x:c r="E177" s="30"/>
      <x:c r="F177" s="30"/>
      <x:c r="G177" s="30"/>
      <x:c r="H177" s="30"/>
      <x:c r="I177" s="30"/>
      <x:c r="J177" s="30"/>
      <x:c r="K177" s="30"/>
      <x:c r="L177" s="30"/>
      <x:c r="M177" s="30"/>
      <x:c r="N177" s="30"/>
      <x:c r="O177" s="30"/>
      <x:c r="P177" s="30"/>
      <x:c r="Q177" s="30"/>
      <x:c r="R177" s="30"/>
      <x:c r="S177" s="30"/>
      <x:c r="T177" s="30"/>
      <x:c r="U177" s="30"/>
      <x:c r="V177" s="30"/>
      <x:c r="W177" s="30"/>
      <x:c r="X177" s="30"/>
      <x:c r="Y177" s="30"/>
      <x:c r="Z177" s="30"/>
      <x:c r="AA177" s="30"/>
      <x:c r="AB177" s="30"/>
      <x:c r="AC177" s="30"/>
      <x:c r="AD177" s="30"/>
      <x:c r="AE177" s="30"/>
      <x:c r="AF177" s="30"/>
      <x:c r="AG177" s="30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>
      <x:c r="A178" s="1"/>
      <x:c r="B178" s="1"/>
      <x:c r="C178" s="30"/>
      <x:c r="D178" s="30"/>
      <x:c r="E178" s="30"/>
      <x:c r="F178" s="30"/>
      <x:c r="G178" s="30"/>
      <x:c r="H178" s="30"/>
      <x:c r="I178" s="30"/>
      <x:c r="J178" s="30"/>
      <x:c r="K178" s="30"/>
      <x:c r="L178" s="30"/>
      <x:c r="M178" s="30"/>
      <x:c r="N178" s="30"/>
      <x:c r="O178" s="30"/>
      <x:c r="P178" s="30"/>
      <x:c r="Q178" s="30"/>
      <x:c r="R178" s="30"/>
      <x:c r="S178" s="30"/>
      <x:c r="T178" s="30"/>
      <x:c r="U178" s="30"/>
      <x:c r="V178" s="30"/>
      <x:c r="W178" s="30"/>
      <x:c r="X178" s="30"/>
      <x:c r="Y178" s="30"/>
      <x:c r="Z178" s="30"/>
      <x:c r="AA178" s="30"/>
      <x:c r="AB178" s="30"/>
      <x:c r="AC178" s="30"/>
      <x:c r="AD178" s="30"/>
      <x:c r="AE178" s="30"/>
      <x:c r="AF178" s="30"/>
      <x:c r="AG178" s="30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>
      <x:c r="A179" s="1"/>
      <x:c r="B179" s="1"/>
      <x:c r="C179" s="30"/>
      <x:c r="D179" s="30"/>
      <x:c r="E179" s="30"/>
      <x:c r="F179" s="30"/>
      <x:c r="G179" s="30"/>
      <x:c r="H179" s="30"/>
      <x:c r="I179" s="30"/>
      <x:c r="J179" s="30"/>
      <x:c r="K179" s="30"/>
      <x:c r="L179" s="30"/>
      <x:c r="M179" s="30"/>
      <x:c r="N179" s="30"/>
      <x:c r="O179" s="30"/>
      <x:c r="P179" s="30"/>
      <x:c r="Q179" s="30"/>
      <x:c r="R179" s="30"/>
      <x:c r="S179" s="30"/>
      <x:c r="T179" s="30"/>
      <x:c r="U179" s="30"/>
      <x:c r="V179" s="30"/>
      <x:c r="W179" s="30"/>
      <x:c r="X179" s="30"/>
      <x:c r="Y179" s="30"/>
      <x:c r="Z179" s="30"/>
      <x:c r="AA179" s="30"/>
      <x:c r="AB179" s="30"/>
      <x:c r="AC179" s="30"/>
      <x:c r="AD179" s="30"/>
      <x:c r="AE179" s="30"/>
      <x:c r="AF179" s="30"/>
      <x:c r="AG179" s="30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>
      <x:c r="A180" s="1"/>
      <x:c r="B180" s="1"/>
      <x:c r="C180" s="30"/>
      <x:c r="D180" s="30"/>
      <x:c r="E180" s="30"/>
      <x:c r="F180" s="30"/>
      <x:c r="G180" s="30"/>
      <x:c r="H180" s="30"/>
      <x:c r="I180" s="30"/>
      <x:c r="J180" s="30"/>
      <x:c r="K180" s="30"/>
      <x:c r="L180" s="30"/>
      <x:c r="M180" s="30"/>
      <x:c r="N180" s="30"/>
      <x:c r="O180" s="30"/>
      <x:c r="P180" s="30"/>
      <x:c r="Q180" s="30"/>
      <x:c r="R180" s="30"/>
      <x:c r="S180" s="30"/>
      <x:c r="T180" s="30"/>
      <x:c r="U180" s="30"/>
      <x:c r="V180" s="30"/>
      <x:c r="W180" s="30"/>
      <x:c r="X180" s="30"/>
      <x:c r="Y180" s="30"/>
      <x:c r="Z180" s="30"/>
      <x:c r="AA180" s="30"/>
      <x:c r="AB180" s="30"/>
      <x:c r="AC180" s="30"/>
      <x:c r="AD180" s="30"/>
      <x:c r="AE180" s="30"/>
      <x:c r="AF180" s="30"/>
      <x:c r="AG180" s="30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50" hidden="0" customWidth="1"/>
    <x:col min="4" max="4" width="18" hidden="0" customWidth="1"/>
    <x:col min="5" max="5" width="18" hidden="0" customWidth="1"/>
    <x:col min="6" max="6" width="14" hidden="0" customWidth="1"/>
    <x:col min="7" max="7" width="1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>
      <x:c r="A2" s="1"/>
      <x:c r="B2" s="1"/>
      <x:c r="C2" s="3" t="str">
        <x:v>Independent contract reconciliation audit</x:v>
      </x:c>
      <x:c r="D2" s="2"/>
      <x:c r="E2" s="2"/>
      <x:c r="F2" s="2"/>
      <x:c r="G2" s="2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>
      <x:c r="A3" s="1"/>
      <x:c r="B3" s="1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  <x:c r="AA3" s="30"/>
      <x:c r="AB3" s="30"/>
      <x:c r="AC3" s="30"/>
      <x:c r="AD3" s="30"/>
      <x:c r="AE3" s="30"/>
      <x:c r="AF3" s="30"/>
      <x:c r="AG3" s="30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>
      <x:c r="A4" s="1"/>
      <x:c r="B4" s="1"/>
      <x:c r="C4" s="9" t="str">
        <x:v>Check</x:v>
      </x:c>
      <x:c r="D4" s="17" t="str">
        <x:v>Expected</x:v>
      </x:c>
      <x:c r="E4" s="17" t="str">
        <x:v>Observed</x:v>
      </x:c>
      <x:c r="F4" s="17" t="str">
        <x:v>Tolerance</x:v>
      </x:c>
      <x:c r="G4" s="10" t="str">
        <x:v>Result</x:v>
      </x:c>
      <x:c r="H4" s="30"/>
      <x:c r="I4" s="30"/>
      <x:c r="J4" s="30"/>
      <x:c r="K4" s="30"/>
      <x:c r="L4" s="30"/>
      <x:c r="M4" s="30"/>
      <x:c r="N4" s="30"/>
      <x:c r="O4" s="30"/>
      <x:c r="P4" s="30"/>
      <x:c r="Q4" s="30"/>
      <x:c r="R4" s="30"/>
      <x:c r="S4" s="30"/>
      <x:c r="T4" s="30"/>
      <x:c r="U4" s="30"/>
      <x:c r="V4" s="30"/>
      <x:c r="W4" s="30"/>
      <x:c r="X4" s="30"/>
      <x:c r="Y4" s="30"/>
      <x:c r="Z4" s="30"/>
      <x:c r="AA4" s="30"/>
      <x:c r="AB4" s="30"/>
      <x:c r="AC4" s="30"/>
      <x:c r="AD4" s="30"/>
      <x:c r="AE4" s="30"/>
      <x:c r="AF4" s="30"/>
      <x:c r="AG4" s="30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>
      <x:c r="A5" s="1"/>
      <x:c r="B5" s="1"/>
      <x:c r="C5" s="30" t="str">
        <x:v>Rival contract count</x:v>
      </x:c>
      <x:c r="D5" s="32" t="n">
        <x:v>5</x:v>
      </x:c>
      <x:c r="E5" s="32" t="n">
        <x:f>COUNTA('Contract Test'!C5:C9)</x:f>
        <x:v>5</x:v>
      </x:c>
      <x:c r="F5" s="32" t="n">
        <x:v>0</x:v>
      </x:c>
      <x:c r="G5" s="30" t="str">
        <x:f>IF(ABS(E5-D5)&lt;=F5,"PASS","FAIL")</x:f>
        <x:v>PASS</x:v>
      </x:c>
      <x:c r="H5" s="30"/>
      <x:c r="I5" s="30"/>
      <x:c r="J5" s="30"/>
      <x:c r="K5" s="30"/>
      <x:c r="L5" s="30"/>
      <x:c r="M5" s="30"/>
      <x:c r="N5" s="30"/>
      <x:c r="O5" s="30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  <x:c r="AA5" s="30"/>
      <x:c r="AB5" s="30"/>
      <x:c r="AC5" s="30"/>
      <x:c r="AD5" s="30"/>
      <x:c r="AE5" s="30"/>
      <x:c r="AF5" s="30"/>
      <x:c r="AG5" s="30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>
      <x:c r="A6" s="1"/>
      <x:c r="B6" s="1"/>
      <x:c r="C6" s="30" t="str">
        <x:v>Selected contract count</x:v>
      </x:c>
      <x:c r="D6" s="32" t="n">
        <x:v>1</x:v>
      </x:c>
      <x:c r="E6" s="32" t="n">
        <x:f>COUNTIFS('Contract Test'!Q5:Q9,"SELECT")</x:f>
        <x:v>1</x:v>
      </x:c>
      <x:c r="F6" s="32" t="n">
        <x:v>0</x:v>
      </x:c>
      <x:c r="G6" s="30" t="str">
        <x:f>IF(ABS(E6-D6)&lt;=F6,"PASS","FAIL")</x:f>
        <x:v>PASS</x:v>
      </x:c>
      <x:c r="H6" s="30"/>
      <x:c r="I6" s="30"/>
      <x:c r="J6" s="30"/>
      <x:c r="K6" s="30"/>
      <x:c r="L6" s="30"/>
      <x:c r="M6" s="30"/>
      <x:c r="N6" s="30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30"/>
      <x:c r="Z6" s="30"/>
      <x:c r="AA6" s="30"/>
      <x:c r="AB6" s="30"/>
      <x:c r="AC6" s="30"/>
      <x:c r="AD6" s="30"/>
      <x:c r="AE6" s="30"/>
      <x:c r="AF6" s="30"/>
      <x:c r="AG6" s="30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>
      <x:c r="A7" s="1"/>
      <x:c r="B7" s="1"/>
      <x:c r="C7" s="30" t="str">
        <x:v>Selected contract gates</x:v>
      </x:c>
      <x:c r="D7" s="32" t="n">
        <x:v>11</x:v>
      </x:c>
      <x:c r="E7" s="32" t="n">
        <x:f>'Contract Test'!P9</x:f>
        <x:v>11</x:v>
      </x:c>
      <x:c r="F7" s="32" t="n">
        <x:v>0</x:v>
      </x:c>
      <x:c r="G7" s="30" t="str">
        <x:f>IF(ABS(E7-D7)&lt;=F7,"PASS","FAIL")</x:f>
        <x:v>PASS</x:v>
      </x:c>
      <x:c r="H7" s="30"/>
      <x:c r="I7" s="30"/>
      <x:c r="J7" s="30"/>
      <x:c r="K7" s="30"/>
      <x:c r="L7" s="30"/>
      <x:c r="M7" s="30"/>
      <x:c r="N7" s="30"/>
      <x:c r="O7" s="30"/>
      <x:c r="P7" s="30"/>
      <x:c r="Q7" s="30"/>
      <x:c r="R7" s="30"/>
      <x:c r="S7" s="30"/>
      <x:c r="T7" s="30"/>
      <x:c r="U7" s="30"/>
      <x:c r="V7" s="30"/>
      <x:c r="W7" s="30"/>
      <x:c r="X7" s="30"/>
      <x:c r="Y7" s="30"/>
      <x:c r="Z7" s="30"/>
      <x:c r="AA7" s="30"/>
      <x:c r="AB7" s="30"/>
      <x:c r="AC7" s="30"/>
      <x:c r="AD7" s="30"/>
      <x:c r="AE7" s="30"/>
      <x:c r="AF7" s="30"/>
      <x:c r="AG7" s="30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>
      <x:c r="A8" s="1"/>
      <x:c r="B8" s="1"/>
      <x:c r="C8" s="30" t="str">
        <x:v>Rejected rivals</x:v>
      </x:c>
      <x:c r="D8" s="32" t="n">
        <x:v>4</x:v>
      </x:c>
      <x:c r="E8" s="32" t="n">
        <x:f>COUNTIFS('Contract Test'!Q5:Q9,"REJECT")</x:f>
        <x:v>4</x:v>
      </x:c>
      <x:c r="F8" s="32" t="n">
        <x:v>0</x:v>
      </x:c>
      <x:c r="G8" s="30" t="str">
        <x:f>IF(ABS(E8-D8)&lt;=F8,"PASS","FAIL")</x:f>
        <x:v>PASS</x:v>
      </x:c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  <x:c r="T8" s="30"/>
      <x:c r="U8" s="30"/>
      <x:c r="V8" s="30"/>
      <x:c r="W8" s="30"/>
      <x:c r="X8" s="30"/>
      <x:c r="Y8" s="30"/>
      <x:c r="Z8" s="30"/>
      <x:c r="AA8" s="30"/>
      <x:c r="AB8" s="30"/>
      <x:c r="AC8" s="30"/>
      <x:c r="AD8" s="30"/>
      <x:c r="AE8" s="30"/>
      <x:c r="AF8" s="30"/>
      <x:c r="AG8" s="30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>
      <x:c r="A9" s="1"/>
      <x:c r="B9" s="1"/>
      <x:c r="C9" s="30" t="str">
        <x:v>Service routes</x:v>
      </x:c>
      <x:c r="D9" s="32" t="n">
        <x:v>5</x:v>
      </x:c>
      <x:c r="E9" s="32" t="n">
        <x:f>COUNTA(Routes!C5:C9)</x:f>
        <x:v>5</x:v>
      </x:c>
      <x:c r="F9" s="32" t="n">
        <x:v>0</x:v>
      </x:c>
      <x:c r="G9" s="30" t="str">
        <x:f>IF(ABS(E9-D9)&lt;=F9,"PASS","FAIL")</x:f>
        <x:v>PASS</x:v>
      </x:c>
      <x:c r="H9" s="30"/>
      <x:c r="I9" s="30"/>
      <x:c r="J9" s="30"/>
      <x:c r="K9" s="30"/>
      <x:c r="L9" s="30"/>
      <x:c r="M9" s="30"/>
      <x:c r="N9" s="30"/>
      <x:c r="O9" s="30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  <x:c r="AA9" s="30"/>
      <x:c r="AB9" s="30"/>
      <x:c r="AC9" s="30"/>
      <x:c r="AD9" s="30"/>
      <x:c r="AE9" s="30"/>
      <x:c r="AF9" s="30"/>
      <x:c r="AG9" s="30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>
      <x:c r="A10" s="1"/>
      <x:c r="B10" s="1"/>
      <x:c r="C10" s="30" t="str">
        <x:v>Serial service stages</x:v>
      </x:c>
      <x:c r="D10" s="32" t="n">
        <x:v>7</x:v>
      </x:c>
      <x:c r="E10" s="32" t="n">
        <x:f>COUNTA('Service Stages'!C5:C11)</x:f>
        <x:v>7</x:v>
      </x:c>
      <x:c r="F10" s="32" t="n">
        <x:v>0</x:v>
      </x:c>
      <x:c r="G10" s="30" t="str">
        <x:f>IF(ABS(E10-D10)&lt;=F10,"PASS","FAIL")</x:f>
        <x:v>PASS</x:v>
      </x:c>
      <x:c r="H10" s="30"/>
      <x:c r="I10" s="30"/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  <x:c r="AA10" s="30"/>
      <x:c r="AB10" s="30"/>
      <x:c r="AC10" s="30"/>
      <x:c r="AD10" s="30"/>
      <x:c r="AE10" s="30"/>
      <x:c r="AF10" s="30"/>
      <x:c r="AG10" s="30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>
      <x:c r="A11" s="1"/>
      <x:c r="B11" s="1"/>
      <x:c r="C11" s="30" t="str">
        <x:v>Route-stage obligations</x:v>
      </x:c>
      <x:c r="D11" s="32" t="n">
        <x:v>35</x:v>
      </x:c>
      <x:c r="E11" s="32" t="n">
        <x:f>COUNTA('Route Stage'!C5:C39)</x:f>
        <x:v>35</x:v>
      </x:c>
      <x:c r="F11" s="32" t="n">
        <x:v>0</x:v>
      </x:c>
      <x:c r="G11" s="30" t="str">
        <x:f>IF(ABS(E11-D11)&lt;=F11,"PASS","FAIL")</x:f>
        <x:v>PASS</x:v>
      </x:c>
      <x:c r="H11" s="30"/>
      <x:c r="I11" s="30"/>
      <x:c r="J11" s="30"/>
      <x:c r="K11" s="30"/>
      <x:c r="L11" s="30"/>
      <x:c r="M11" s="30"/>
      <x:c r="N11" s="30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  <x:c r="AA11" s="30"/>
      <x:c r="AB11" s="30"/>
      <x:c r="AC11" s="30"/>
      <x:c r="AD11" s="30"/>
      <x:c r="AE11" s="30"/>
      <x:c r="AF11" s="30"/>
      <x:c r="AG11" s="30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>
      <x:c r="A12" s="1"/>
      <x:c r="B12" s="1"/>
      <x:c r="C12" s="30" t="str">
        <x:v>Route-stage obligations passing</x:v>
      </x:c>
      <x:c r="D12" s="32" t="n">
        <x:v>35</x:v>
      </x:c>
      <x:c r="E12" s="32" t="n">
        <x:f>COUNTIFS('Route Stage'!K5:K39,"PASS")</x:f>
        <x:v>35</x:v>
      </x:c>
      <x:c r="F12" s="32" t="n">
        <x:v>0</x:v>
      </x:c>
      <x:c r="G12" s="30" t="str">
        <x:f>IF(ABS(E12-D12)&lt;=F12,"PASS","FAIL")</x:f>
        <x:v>PASS</x:v>
      </x:c>
      <x:c r="H12" s="30"/>
      <x:c r="I12" s="30"/>
      <x:c r="J12" s="30"/>
      <x:c r="K12" s="30"/>
      <x:c r="L12" s="30"/>
      <x:c r="M12" s="30"/>
      <x:c r="N12" s="30"/>
      <x:c r="O12" s="30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  <x:c r="AA12" s="30"/>
      <x:c r="AB12" s="30"/>
      <x:c r="AC12" s="30"/>
      <x:c r="AD12" s="30"/>
      <x:c r="AE12" s="30"/>
      <x:c r="AF12" s="30"/>
      <x:c r="AG12" s="30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>
      <x:c r="A13" s="1"/>
      <x:c r="B13" s="1"/>
      <x:c r="C13" s="30" t="str">
        <x:v>Valid owner references</x:v>
      </x:c>
      <x:c r="D13" s="32" t="n">
        <x:v>105</x:v>
      </x:c>
      <x:c r="E13" s="32" t="n">
        <x:f>'Route Stage'!J40</x:f>
        <x:v>105</x:v>
      </x:c>
      <x:c r="F13" s="32" t="n">
        <x:v>0</x:v>
      </x:c>
      <x:c r="G13" s="30" t="str">
        <x:f>IF(ABS(E13-D13)&lt;=F13,"PASS","FAIL")</x:f>
        <x:v>PASS</x:v>
      </x:c>
      <x:c r="H13" s="30"/>
      <x:c r="I13" s="30"/>
      <x:c r="J13" s="30"/>
      <x:c r="K13" s="30"/>
      <x:c r="L13" s="30"/>
      <x:c r="M13" s="30"/>
      <x:c r="N13" s="30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  <x:c r="AA13" s="30"/>
      <x:c r="AB13" s="30"/>
      <x:c r="AC13" s="30"/>
      <x:c r="AD13" s="30"/>
      <x:c r="AE13" s="30"/>
      <x:c r="AF13" s="30"/>
      <x:c r="AG13" s="30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>
      <x:c r="A14" s="1"/>
      <x:c r="B14" s="1"/>
      <x:c r="C14" s="30" t="str">
        <x:v>MS-HU families</x:v>
      </x:c>
      <x:c r="D14" s="32" t="n">
        <x:v>15</x:v>
      </x:c>
      <x:c r="E14" s="32" t="n">
        <x:f>COUNTA('Family Allocation'!C5:C19)</x:f>
        <x:v>15</x:v>
      </x:c>
      <x:c r="F14" s="32" t="n">
        <x:v>0</x:v>
      </x:c>
      <x:c r="G14" s="30" t="str">
        <x:f>IF(ABS(E14-D14)&lt;=F14,"PASS","FAIL")</x:f>
        <x:v>PASS</x:v>
      </x:c>
      <x:c r="H14" s="30"/>
      <x:c r="I14" s="30"/>
      <x:c r="J14" s="30"/>
      <x:c r="K14" s="30"/>
      <x:c r="L14" s="30"/>
      <x:c r="M14" s="30"/>
      <x:c r="N14" s="30"/>
      <x:c r="O14" s="30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  <x:c r="AA14" s="30"/>
      <x:c r="AB14" s="30"/>
      <x:c r="AC14" s="30"/>
      <x:c r="AD14" s="30"/>
      <x:c r="AE14" s="30"/>
      <x:c r="AF14" s="30"/>
      <x:c r="AG14" s="30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>
      <x:c r="A15" s="1"/>
      <x:c r="B15" s="1"/>
      <x:c r="C15" s="30" t="str">
        <x:v>Unique family route assignments</x:v>
      </x:c>
      <x:c r="D15" s="32" t="n">
        <x:v>15</x:v>
      </x:c>
      <x:c r="E15" s="32" t="n">
        <x:f>COUNTIFS('Family Allocation'!AF5:AF19,"PASS")</x:f>
        <x:v>15</x:v>
      </x:c>
      <x:c r="F15" s="32" t="n">
        <x:v>0</x:v>
      </x:c>
      <x:c r="G15" s="30" t="str">
        <x:f>IF(ABS(E15-D15)&lt;=F15,"PASS","FAIL")</x:f>
        <x:v>PASS</x:v>
      </x:c>
      <x:c r="H15" s="30"/>
      <x:c r="I15" s="30"/>
      <x:c r="J15" s="30"/>
      <x:c r="K15" s="30"/>
      <x:c r="L15" s="30"/>
      <x:c r="M15" s="30"/>
      <x:c r="N15" s="30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  <x:c r="AA15" s="30"/>
      <x:c r="AB15" s="30"/>
      <x:c r="AC15" s="30"/>
      <x:c r="AD15" s="30"/>
      <x:c r="AE15" s="30"/>
      <x:c r="AF15" s="30"/>
      <x:c r="AG15" s="30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>
      <x:c r="A16" s="1"/>
      <x:c r="B16" s="1"/>
      <x:c r="C16" s="30" t="str">
        <x:v>Concurrent formation demand</x:v>
      </x:c>
      <x:c r="D16" s="32" t="n">
        <x:v>879</x:v>
      </x:c>
      <x:c r="E16" s="32" t="n">
        <x:f>'Family Allocation'!J20</x:f>
        <x:v>879</x:v>
      </x:c>
      <x:c r="F16" s="32" t="n">
        <x:v>0</x:v>
      </x:c>
      <x:c r="G16" s="30" t="str">
        <x:f>IF(ABS(E16-D16)&lt;=F16,"PASS","FAIL")</x:f>
        <x:v>PASS</x:v>
      </x:c>
      <x:c r="H16" s="30"/>
      <x:c r="I16" s="30"/>
      <x:c r="J16" s="30"/>
      <x:c r="K16" s="30"/>
      <x:c r="L16" s="30"/>
      <x:c r="M16" s="30"/>
      <x:c r="N16" s="30"/>
      <x:c r="O16" s="30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  <x:c r="AA16" s="30"/>
      <x:c r="AB16" s="30"/>
      <x:c r="AC16" s="30"/>
      <x:c r="AD16" s="30"/>
      <x:c r="AE16" s="30"/>
      <x:c r="AF16" s="30"/>
      <x:c r="AG16" s="30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>
      <x:c r="A17" s="1"/>
      <x:c r="B17" s="1"/>
      <x:c r="C17" s="30" t="str">
        <x:v>N−1 inventory</x:v>
      </x:c>
      <x:c r="D17" s="32" t="n">
        <x:v>1944</x:v>
      </x:c>
      <x:c r="E17" s="32" t="n">
        <x:f>'Family Allocation'!K20</x:f>
        <x:v>1944</x:v>
      </x:c>
      <x:c r="F17" s="32" t="n">
        <x:v>0</x:v>
      </x:c>
      <x:c r="G17" s="30" t="str">
        <x:f>IF(ABS(E17-D17)&lt;=F17,"PASS","FAIL")</x:f>
        <x:v>PASS</x:v>
      </x:c>
      <x:c r="H17" s="30"/>
      <x:c r="I17" s="30"/>
      <x:c r="J17" s="30"/>
      <x:c r="K17" s="30"/>
      <x:c r="L17" s="30"/>
      <x:c r="M17" s="30"/>
      <x:c r="N17" s="30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  <x:c r="AA17" s="30"/>
      <x:c r="AB17" s="30"/>
      <x:c r="AC17" s="30"/>
      <x:c r="AD17" s="30"/>
      <x:c r="AE17" s="30"/>
      <x:c r="AF17" s="30"/>
      <x:c r="AG17" s="30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>
      <x:c r="A18" s="1"/>
      <x:c r="B18" s="1"/>
      <x:c r="C18" s="30" t="str">
        <x:v>Direct billets</x:v>
      </x:c>
      <x:c r="D18" s="32" t="n">
        <x:v>3251860</x:v>
      </x:c>
      <x:c r="E18" s="32" t="n">
        <x:f>'Family Allocation'!L20</x:f>
        <x:v>3251860</x:v>
      </x:c>
      <x:c r="F18" s="32" t="n">
        <x:v>0</x:v>
      </x:c>
      <x:c r="G18" s="30" t="str">
        <x:f>IF(ABS(E18-D18)&lt;=F18,"PASS","FAIL")</x:f>
        <x:v>PASS</x:v>
      </x:c>
      <x:c r="H18" s="30"/>
      <x:c r="I18" s="30"/>
      <x:c r="J18" s="30"/>
      <x:c r="K18" s="30"/>
      <x:c r="L18" s="30"/>
      <x:c r="M18" s="30"/>
      <x:c r="N18" s="30"/>
      <x:c r="O18" s="30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  <x:c r="AA18" s="30"/>
      <x:c r="AB18" s="30"/>
      <x:c r="AC18" s="30"/>
      <x:c r="AD18" s="30"/>
      <x:c r="AE18" s="30"/>
      <x:c r="AF18" s="30"/>
      <x:c r="AG18" s="30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>
      <x:c r="A19" s="1"/>
      <x:c r="B19" s="1"/>
      <x:c r="C19" s="30" t="str">
        <x:v>Formation capital</x:v>
      </x:c>
      <x:c r="D19" s="32" t="n">
        <x:v>2482.8</x:v>
      </x:c>
      <x:c r="E19" s="32" t="n">
        <x:f>'Family Allocation'!M20</x:f>
        <x:v>2482.8</x:v>
      </x:c>
      <x:c r="F19" s="32" t="n">
        <x:v>0.001</x:v>
      </x:c>
      <x:c r="G19" s="30" t="str">
        <x:f>IF(ABS(E19-D19)&lt;=F19,"PASS","FAIL")</x:f>
        <x:v>PASS</x:v>
      </x:c>
      <x:c r="H19" s="30"/>
      <x:c r="I19" s="30"/>
      <x:c r="J19" s="30"/>
      <x:c r="K19" s="30"/>
      <x:c r="L19" s="30"/>
      <x:c r="M19" s="30"/>
      <x:c r="N19" s="30"/>
      <x:c r="O19" s="30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  <x:c r="AA19" s="30"/>
      <x:c r="AB19" s="30"/>
      <x:c r="AC19" s="30"/>
      <x:c r="AD19" s="30"/>
      <x:c r="AE19" s="30"/>
      <x:c r="AF19" s="30"/>
      <x:c r="AG19" s="30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>
      <x:c r="A20" s="1"/>
      <x:c r="B20" s="1"/>
      <x:c r="C20" s="30" t="str">
        <x:v>Unclosed demand</x:v>
      </x:c>
      <x:c r="D20" s="32" t="n">
        <x:v>413.85</x:v>
      </x:c>
      <x:c r="E20" s="32" t="n">
        <x:f>'Family Allocation'!N20</x:f>
        <x:v>413.85</x:v>
      </x:c>
      <x:c r="F20" s="32" t="n">
        <x:v>0.001</x:v>
      </x:c>
      <x:c r="G20" s="30" t="str">
        <x:f>IF(ABS(E20-D20)&lt;=F20,"PASS","FAIL")</x:f>
        <x:v>PASS</x:v>
      </x:c>
      <x:c r="H20" s="30"/>
      <x:c r="I20" s="30"/>
      <x:c r="J20" s="30"/>
      <x:c r="K20" s="30"/>
      <x:c r="L20" s="30"/>
      <x:c r="M20" s="30"/>
      <x:c r="N20" s="30"/>
      <x:c r="O20" s="30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  <x:c r="AA20" s="30"/>
      <x:c r="AB20" s="30"/>
      <x:c r="AC20" s="30"/>
      <x:c r="AD20" s="30"/>
      <x:c r="AE20" s="30"/>
      <x:c r="AF20" s="30"/>
      <x:c r="AG20" s="30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>
      <x:c r="A21" s="1"/>
      <x:c r="B21" s="1"/>
      <x:c r="C21" s="30" t="str">
        <x:v>Campaign demand</x:v>
      </x:c>
      <x:c r="D21" s="32" t="n">
        <x:v>879</x:v>
      </x:c>
      <x:c r="E21" s="32" t="n">
        <x:f>'Campaign Load'!N10</x:f>
        <x:v>879</x:v>
      </x:c>
      <x:c r="F21" s="32" t="n">
        <x:v>0</x:v>
      </x:c>
      <x:c r="G21" s="30" t="str">
        <x:f>IF(ABS(E21-D21)&lt;=F21,"PASS","FAIL")</x:f>
        <x:v>PASS</x:v>
      </x:c>
      <x:c r="H21" s="30"/>
      <x:c r="I21" s="30"/>
      <x:c r="J21" s="30"/>
      <x:c r="K21" s="30"/>
      <x:c r="L21" s="30"/>
      <x:c r="M21" s="30"/>
      <x:c r="N21" s="30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  <x:c r="AA21" s="30"/>
      <x:c r="AB21" s="30"/>
      <x:c r="AC21" s="30"/>
      <x:c r="AD21" s="30"/>
      <x:c r="AE21" s="30"/>
      <x:c r="AF21" s="30"/>
      <x:c r="AG21" s="30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>
      <x:c r="A22" s="1"/>
      <x:c r="B22" s="1"/>
      <x:c r="C22" s="30" t="str">
        <x:v>Active route-campaign cells</x:v>
      </x:c>
      <x:c r="D22" s="32" t="n">
        <x:v>50</x:v>
      </x:c>
      <x:c r="E22" s="32" t="n">
        <x:f>'Campaign Load'!O10</x:f>
        <x:v>50</x:v>
      </x:c>
      <x:c r="F22" s="32" t="n">
        <x:v>0</x:v>
      </x:c>
      <x:c r="G22" s="30" t="str">
        <x:f>IF(ABS(E22-D22)&lt;=F22,"PASS","FAIL")</x:f>
        <x:v>PASS</x:v>
      </x:c>
      <x:c r="H22" s="30"/>
      <x:c r="I22" s="30"/>
      <x:c r="J22" s="30"/>
      <x:c r="K22" s="30"/>
      <x:c r="L22" s="30"/>
      <x:c r="M22" s="30"/>
      <x:c r="N22" s="30"/>
      <x:c r="O22" s="30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  <x:c r="AA22" s="30"/>
      <x:c r="AB22" s="30"/>
      <x:c r="AC22" s="30"/>
      <x:c r="AD22" s="30"/>
      <x:c r="AE22" s="30"/>
      <x:c r="AF22" s="30"/>
      <x:c r="AG22" s="30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>
      <x:c r="A23" s="1"/>
      <x:c r="B23" s="1"/>
      <x:c r="C23" s="30" t="str">
        <x:v>Routes active in all campaigns</x:v>
      </x:c>
      <x:c r="D23" s="32" t="n">
        <x:v>5</x:v>
      </x:c>
      <x:c r="E23" s="32" t="n">
        <x:f>COUNTIFS('Campaign Load'!P5:P9,"PASS")</x:f>
        <x:v>5</x:v>
      </x:c>
      <x:c r="F23" s="32" t="n">
        <x:v>0</x:v>
      </x:c>
      <x:c r="G23" s="30" t="str">
        <x:f>IF(ABS(E23-D23)&lt;=F23,"PASS","FAIL")</x:f>
        <x:v>PASS</x:v>
      </x:c>
      <x:c r="H23" s="30"/>
      <x:c r="I23" s="30"/>
      <x:c r="J23" s="30"/>
      <x:c r="K23" s="30"/>
      <x:c r="L23" s="30"/>
      <x:c r="M23" s="30"/>
      <x:c r="N23" s="30"/>
      <x:c r="O23" s="30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  <x:c r="AA23" s="30"/>
      <x:c r="AB23" s="30"/>
      <x:c r="AC23" s="30"/>
      <x:c r="AD23" s="30"/>
      <x:c r="AE23" s="30"/>
      <x:c r="AF23" s="30"/>
      <x:c r="AG23" s="30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>
      <x:c r="A24" s="1"/>
      <x:c r="B24" s="1"/>
      <x:c r="C24" s="30" t="str">
        <x:v>Continuity state fields</x:v>
      </x:c>
      <x:c r="D24" s="32" t="n">
        <x:v>12</x:v>
      </x:c>
      <x:c r="E24" s="32" t="n">
        <x:f>COUNTA('Continuity State'!C5:C16)</x:f>
        <x:v>12</x:v>
      </x:c>
      <x:c r="F24" s="32" t="n">
        <x:v>0</x:v>
      </x:c>
      <x:c r="G24" s="30" t="str">
        <x:f>IF(ABS(E24-D24)&lt;=F24,"PASS","FAIL")</x:f>
        <x:v>PASS</x:v>
      </x:c>
      <x:c r="H24" s="30"/>
      <x:c r="I24" s="30"/>
      <x:c r="J24" s="30"/>
      <x:c r="K24" s="30"/>
      <x:c r="L24" s="30"/>
      <x:c r="M24" s="30"/>
      <x:c r="N24" s="30"/>
      <x:c r="O24" s="30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  <x:c r="AA24" s="30"/>
      <x:c r="AB24" s="30"/>
      <x:c r="AC24" s="30"/>
      <x:c r="AD24" s="30"/>
      <x:c r="AE24" s="30"/>
      <x:c r="AF24" s="30"/>
      <x:c r="AG24" s="30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>
      <x:c r="A25" s="1"/>
      <x:c r="B25" s="1"/>
      <x:c r="C25" s="30" t="str">
        <x:v>Continuity state fields passing</x:v>
      </x:c>
      <x:c r="D25" s="32" t="n">
        <x:v>12</x:v>
      </x:c>
      <x:c r="E25" s="32" t="n">
        <x:f>COUNTIFS('Continuity State'!J5:J16,"PASS")</x:f>
        <x:v>12</x:v>
      </x:c>
      <x:c r="F25" s="32" t="n">
        <x:v>0</x:v>
      </x:c>
      <x:c r="G25" s="30" t="str">
        <x:f>IF(ABS(E25-D25)&lt;=F25,"PASS","FAIL")</x:f>
        <x:v>PASS</x:v>
      </x:c>
      <x:c r="H25" s="30"/>
      <x:c r="I25" s="30"/>
      <x:c r="J25" s="30"/>
      <x:c r="K25" s="30"/>
      <x:c r="L25" s="30"/>
      <x:c r="M25" s="30"/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  <x:c r="AA25" s="30"/>
      <x:c r="AB25" s="30"/>
      <x:c r="AC25" s="30"/>
      <x:c r="AD25" s="30"/>
      <x:c r="AE25" s="30"/>
      <x:c r="AF25" s="30"/>
      <x:c r="AG25" s="30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>
      <x:c r="A26" s="1"/>
      <x:c r="B26" s="1"/>
      <x:c r="C26" s="30" t="str">
        <x:v>External mission interfaces</x:v>
      </x:c>
      <x:c r="D26" s="32" t="n">
        <x:v>5</x:v>
      </x:c>
      <x:c r="E26" s="32" t="n">
        <x:f>COUNTA('Mission Interfaces'!C5:C9)</x:f>
        <x:v>5</x:v>
      </x:c>
      <x:c r="F26" s="32" t="n">
        <x:v>0</x:v>
      </x:c>
      <x:c r="G26" s="30" t="str">
        <x:f>IF(ABS(E26-D26)&lt;=F26,"PASS","FAIL")</x:f>
        <x:v>PASS</x:v>
      </x:c>
      <x:c r="H26" s="30"/>
      <x:c r="I26" s="30"/>
      <x:c r="J26" s="3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  <x:c r="AA26" s="30"/>
      <x:c r="AB26" s="30"/>
      <x:c r="AC26" s="30"/>
      <x:c r="AD26" s="30"/>
      <x:c r="AE26" s="30"/>
      <x:c r="AF26" s="30"/>
      <x:c r="AG26" s="30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>
      <x:c r="A27" s="1"/>
      <x:c r="B27" s="1"/>
      <x:c r="C27" s="30" t="str">
        <x:v>External interfaces passing</x:v>
      </x:c>
      <x:c r="D27" s="32" t="n">
        <x:v>5</x:v>
      </x:c>
      <x:c r="E27" s="32" t="n">
        <x:f>COUNTIFS('Mission Interfaces'!I5:I9,"PASS")</x:f>
        <x:v>5</x:v>
      </x:c>
      <x:c r="F27" s="32" t="n">
        <x:v>0</x:v>
      </x:c>
      <x:c r="G27" s="30" t="str">
        <x:f>IF(ABS(E27-D27)&lt;=F27,"PASS","FAIL")</x:f>
        <x:v>PASS</x:v>
      </x:c>
      <x:c r="H27" s="30"/>
      <x:c r="I27" s="30"/>
      <x:c r="J27" s="30"/>
      <x:c r="K27" s="30"/>
      <x:c r="L27" s="30"/>
      <x:c r="M27" s="30"/>
      <x:c r="N27" s="30"/>
      <x:c r="O27" s="30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  <x:c r="AA27" s="30"/>
      <x:c r="AB27" s="30"/>
      <x:c r="AC27" s="30"/>
      <x:c r="AD27" s="30"/>
      <x:c r="AE27" s="30"/>
      <x:c r="AF27" s="30"/>
      <x:c r="AG27" s="30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>
      <x:c r="A28" s="1"/>
      <x:c r="B28" s="1"/>
      <x:c r="C28" s="30" t="str">
        <x:v>Cross-portfolio quantity credit</x:v>
      </x:c>
      <x:c r="D28" s="32" t="n">
        <x:v>0</x:v>
      </x:c>
      <x:c r="E28" s="32" t="n">
        <x:f>SUM('Mission Interfaces'!H5:H9)</x:f>
        <x:v>0</x:v>
      </x:c>
      <x:c r="F28" s="32" t="n">
        <x:v>0</x:v>
      </x:c>
      <x:c r="G28" s="30" t="str">
        <x:f>IF(ABS(E28-D28)&lt;=F28,"PASS","FAIL")</x:f>
        <x:v>PASS</x:v>
      </x:c>
      <x:c r="H28" s="30"/>
      <x:c r="I28" s="30"/>
      <x:c r="J28" s="30"/>
      <x:c r="K28" s="30"/>
      <x:c r="L28" s="30"/>
      <x:c r="M28" s="30"/>
      <x:c r="N28" s="30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  <x:c r="AA28" s="30"/>
      <x:c r="AB28" s="30"/>
      <x:c r="AC28" s="30"/>
      <x:c r="AD28" s="30"/>
      <x:c r="AE28" s="30"/>
      <x:c r="AF28" s="30"/>
      <x:c r="AG28" s="30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>
      <x:c r="A29" s="1"/>
      <x:c r="B29" s="1"/>
      <x:c r="C29" s="30" t="str">
        <x:v>Technology competitions</x:v>
      </x:c>
      <x:c r="D29" s="32" t="n">
        <x:v>12</x:v>
      </x:c>
      <x:c r="E29" s="32" t="n">
        <x:f>COUNTA('Technology Portfolio'!C5:C16)</x:f>
        <x:v>12</x:v>
      </x:c>
      <x:c r="F29" s="32" t="n">
        <x:v>0</x:v>
      </x:c>
      <x:c r="G29" s="30" t="str">
        <x:f>IF(ABS(E29-D29)&lt;=F29,"PASS","FAIL")</x:f>
        <x:v>PASS</x:v>
      </x:c>
      <x:c r="H29" s="30"/>
      <x:c r="I29" s="30"/>
      <x:c r="J29" s="30"/>
      <x:c r="K29" s="30"/>
      <x:c r="L29" s="30"/>
      <x:c r="M29" s="30"/>
      <x:c r="N29" s="30"/>
      <x:c r="O29" s="30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  <x:c r="AA29" s="30"/>
      <x:c r="AB29" s="30"/>
      <x:c r="AC29" s="30"/>
      <x:c r="AD29" s="30"/>
      <x:c r="AE29" s="30"/>
      <x:c r="AF29" s="30"/>
      <x:c r="AG29" s="30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>
      <x:c r="A30" s="1"/>
      <x:c r="B30" s="1"/>
      <x:c r="C30" s="30" t="str">
        <x:v>Parent technology fields</x:v>
      </x:c>
      <x:c r="D30" s="32" t="n">
        <x:v>4</x:v>
      </x:c>
      <x:c r="E30" s="32" t="n">
        <x:f>(COUNTIFS('Technology Portfolio'!D5:D16,"HU-01")+COUNTIFS('Technology Portfolio'!D5:D16,"HU-02")+COUNTIFS('Technology Portfolio'!D5:D16,"HU-03")+COUNTIFS('Technology Portfolio'!D5:D16,"HU-04"))/3</x:f>
        <x:v>4</x:v>
      </x:c>
      <x:c r="F30" s="32" t="n">
        <x:v>0</x:v>
      </x:c>
      <x:c r="G30" s="30" t="str">
        <x:f>IF(ABS(E30-D30)&lt;=F30,"PASS","FAIL")</x:f>
        <x:v>PASS</x:v>
      </x:c>
      <x:c r="H30" s="30"/>
      <x:c r="I30" s="30"/>
      <x:c r="J30" s="30"/>
      <x:c r="K30" s="30"/>
      <x:c r="L30" s="30"/>
      <x:c r="M30" s="30"/>
      <x:c r="N30" s="30"/>
      <x:c r="O30" s="30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  <x:c r="AA30" s="30"/>
      <x:c r="AB30" s="30"/>
      <x:c r="AC30" s="30"/>
      <x:c r="AD30" s="30"/>
      <x:c r="AE30" s="30"/>
      <x:c r="AF30" s="30"/>
      <x:c r="AG30" s="30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>
      <x:c r="A31" s="1"/>
      <x:c r="B31" s="1"/>
      <x:c r="C31" s="30" t="str">
        <x:v>First technology campaign</x:v>
      </x:c>
      <x:c r="D31" s="32" t="n">
        <x:v>1</x:v>
      </x:c>
      <x:c r="E31" s="32" t="n">
        <x:f>COUNTIFS('Technology Portfolio'!P5:P16,"FIRST")</x:f>
        <x:v>1</x:v>
      </x:c>
      <x:c r="F31" s="32" t="n">
        <x:v>0</x:v>
      </x:c>
      <x:c r="G31" s="30" t="str">
        <x:f>IF(ABS(E31-D31)&lt;=F31,"PASS","FAIL")</x:f>
        <x:v>PASS</x:v>
      </x:c>
      <x:c r="H31" s="30"/>
      <x:c r="I31" s="30"/>
      <x:c r="J31" s="30"/>
      <x:c r="K31" s="30"/>
      <x:c r="L31" s="30"/>
      <x:c r="M31" s="30"/>
      <x:c r="N31" s="30"/>
      <x:c r="O31" s="30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  <x:c r="AA31" s="30"/>
      <x:c r="AB31" s="30"/>
      <x:c r="AC31" s="30"/>
      <x:c r="AD31" s="30"/>
      <x:c r="AE31" s="30"/>
      <x:c r="AF31" s="30"/>
      <x:c r="AG31" s="30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>
      <x:c r="A32" s="1"/>
      <x:c r="B32" s="1"/>
      <x:c r="C32" s="30" t="str">
        <x:v>Technology envelope conserved</x:v>
      </x:c>
      <x:c r="D32" s="32" t="n">
        <x:v>153.1017614897401</x:v>
      </x:c>
      <x:c r="E32" s="32" t="n">
        <x:f>'Technology Portfolio'!N17</x:f>
        <x:v>153.1017614897401</x:v>
      </x:c>
      <x:c r="F32" s="32" t="n">
        <x:v>0.001</x:v>
      </x:c>
      <x:c r="G32" s="30" t="str">
        <x:f>IF(ABS(E32-D32)&lt;=F32,"PASS","FAIL")</x:f>
        <x:v>PASS</x:v>
      </x:c>
      <x:c r="H32" s="30"/>
      <x:c r="I32" s="30"/>
      <x:c r="J32" s="30"/>
      <x:c r="K32" s="30"/>
      <x:c r="L32" s="30"/>
      <x:c r="M32" s="30"/>
      <x:c r="N32" s="30"/>
      <x:c r="O32" s="30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  <x:c r="AA32" s="30"/>
      <x:c r="AB32" s="30"/>
      <x:c r="AC32" s="30"/>
      <x:c r="AD32" s="30"/>
      <x:c r="AE32" s="30"/>
      <x:c r="AF32" s="30"/>
      <x:c r="AG32" s="30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>
      <x:c r="A33" s="1"/>
      <x:c r="B33" s="1"/>
      <x:c r="C33" s="30" t="str">
        <x:v>Phase shares</x:v>
      </x:c>
      <x:c r="D33" s="32" t="n">
        <x:v>1</x:v>
      </x:c>
      <x:c r="E33" s="32" t="n">
        <x:f>Controls!D23</x:f>
        <x:v>0.9999999999999999</x:v>
      </x:c>
      <x:c r="F33" s="32" t="n">
        <x:v>0.000001</x:v>
      </x:c>
      <x:c r="G33" s="30" t="str">
        <x:f>IF(ABS(E33-D33)&lt;=F33,"PASS","FAIL")</x:f>
        <x:v>PASS</x:v>
      </x:c>
      <x:c r="H33" s="30"/>
      <x:c r="I33" s="30"/>
      <x:c r="J33" s="30"/>
      <x:c r="K33" s="30"/>
      <x:c r="L33" s="30"/>
      <x:c r="M33" s="30"/>
      <x:c r="N33" s="30"/>
      <x:c r="O33" s="30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  <x:c r="AA33" s="30"/>
      <x:c r="AB33" s="30"/>
      <x:c r="AC33" s="30"/>
      <x:c r="AD33" s="30"/>
      <x:c r="AE33" s="30"/>
      <x:c r="AF33" s="30"/>
      <x:c r="AG33" s="30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>
      <x:c r="A34" s="1"/>
      <x:c r="B34" s="1"/>
      <x:c r="C34" s="30" t="str">
        <x:v>25-year portfolio allocation</x:v>
      </x:c>
      <x:c r="D34" s="32" t="n">
        <x:v>153.1017614897401</x:v>
      </x:c>
      <x:c r="E34" s="32" t="n">
        <x:f>'25-Year Profile'!H30</x:f>
        <x:v>153.1017614897402</x:v>
      </x:c>
      <x:c r="F34" s="32" t="n">
        <x:v>0.001</x:v>
      </x:c>
      <x:c r="G34" s="30" t="str">
        <x:f>IF(ABS(E34-D34)&lt;=F34,"PASS","FAIL")</x:f>
        <x:v>PASS</x:v>
      </x:c>
      <x:c r="H34" s="30"/>
      <x:c r="I34" s="30"/>
      <x:c r="J34" s="30"/>
      <x:c r="K34" s="30"/>
      <x:c r="L34" s="30"/>
      <x:c r="M34" s="30"/>
      <x:c r="N34" s="30"/>
      <x:c r="O34" s="30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  <x:c r="AA34" s="30"/>
      <x:c r="AB34" s="30"/>
      <x:c r="AC34" s="30"/>
      <x:c r="AD34" s="30"/>
      <x:c r="AE34" s="30"/>
      <x:c r="AF34" s="30"/>
      <x:c r="AG34" s="30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>
      <x:c r="A35" s="1"/>
      <x:c r="B35" s="1"/>
      <x:c r="C35" s="30" t="str">
        <x:v>First-campaign profile</x:v>
      </x:c>
      <x:c r="D35" s="32" t="n">
        <x:v>12.75848012414501</x:v>
      </x:c>
      <x:c r="E35" s="32" t="n">
        <x:f>'25-Year Profile'!I30</x:f>
        <x:v>12.758480124145008</x:v>
      </x:c>
      <x:c r="F35" s="32" t="n">
        <x:v>0.001</x:v>
      </x:c>
      <x:c r="G35" s="30" t="str">
        <x:f>IF(ABS(E35-D35)&lt;=F35,"PASS","FAIL")</x:f>
        <x:v>PASS</x:v>
      </x:c>
      <x:c r="H35" s="30"/>
      <x:c r="I35" s="30"/>
      <x:c r="J35" s="30"/>
      <x:c r="K35" s="30"/>
      <x:c r="L35" s="30"/>
      <x:c r="M35" s="30"/>
      <x:c r="N35" s="30"/>
      <x:c r="O35" s="30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  <x:c r="AA35" s="30"/>
      <x:c r="AB35" s="30"/>
      <x:c r="AC35" s="30"/>
      <x:c r="AD35" s="30"/>
      <x:c r="AE35" s="30"/>
      <x:c r="AF35" s="30"/>
      <x:c r="AG35" s="30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>
      <x:c r="A36" s="1"/>
      <x:c r="B36" s="1"/>
      <x:c r="C36" s="30" t="str">
        <x:v>First campaign roots</x:v>
      </x:c>
      <x:c r="D36" s="32" t="n">
        <x:v>4</x:v>
      </x:c>
      <x:c r="E36" s="32" t="n">
        <x:f>COUNTA('First Campaign'!C16:C19)</x:f>
        <x:v>4</x:v>
      </x:c>
      <x:c r="F36" s="32" t="n">
        <x:v>0</x:v>
      </x:c>
      <x:c r="G36" s="30" t="str">
        <x:f>IF(ABS(E36-D36)&lt;=F36,"PASS","FAIL")</x:f>
        <x:v>PASS</x:v>
      </x:c>
      <x:c r="H36" s="30"/>
      <x:c r="I36" s="30"/>
      <x:c r="J36" s="30"/>
      <x:c r="K36" s="30"/>
      <x:c r="L36" s="30"/>
      <x:c r="M36" s="30"/>
      <x:c r="N36" s="30"/>
      <x:c r="O36" s="30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  <x:c r="AA36" s="30"/>
      <x:c r="AB36" s="30"/>
      <x:c r="AC36" s="30"/>
      <x:c r="AD36" s="30"/>
      <x:c r="AE36" s="30"/>
      <x:c r="AF36" s="30"/>
      <x:c r="AG36" s="30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>
      <x:c r="A37" s="1"/>
      <x:c r="B37" s="1"/>
      <x:c r="C37" s="30" t="str">
        <x:v>First campaign worlds</x:v>
      </x:c>
      <x:c r="D37" s="32" t="n">
        <x:v>12</x:v>
      </x:c>
      <x:c r="E37" s="32" t="n">
        <x:f>COUNTA('First Campaign'!C23:C34)</x:f>
        <x:v>12</x:v>
      </x:c>
      <x:c r="F37" s="32" t="n">
        <x:v>0</x:v>
      </x:c>
      <x:c r="G37" s="30" t="str">
        <x:f>IF(ABS(E37-D37)&lt;=F37,"PASS","FAIL")</x:f>
        <x:v>PASS</x:v>
      </x:c>
      <x:c r="H37" s="30"/>
      <x:c r="I37" s="30"/>
      <x:c r="J37" s="30"/>
      <x:c r="K37" s="30"/>
      <x:c r="L37" s="30"/>
      <x:c r="M37" s="30"/>
      <x:c r="N37" s="30"/>
      <x:c r="O37" s="30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  <x:c r="AA37" s="30"/>
      <x:c r="AB37" s="30"/>
      <x:c r="AC37" s="30"/>
      <x:c r="AD37" s="30"/>
      <x:c r="AE37" s="30"/>
      <x:c r="AF37" s="30"/>
      <x:c r="AG37" s="30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>
      <x:c r="A38" s="1"/>
      <x:c r="B38" s="1"/>
      <x:c r="C38" s="30" t="str">
        <x:v>First campaign trial cells</x:v>
      </x:c>
      <x:c r="D38" s="32" t="n">
        <x:v>720</x:v>
      </x:c>
      <x:c r="E38" s="32" t="n">
        <x:f>'First Campaign'!D11</x:f>
        <x:v>720</x:v>
      </x:c>
      <x:c r="F38" s="32" t="n">
        <x:v>0</x:v>
      </x:c>
      <x:c r="G38" s="30" t="str">
        <x:f>IF(ABS(E38-D38)&lt;=F38,"PASS","FAIL")</x:f>
        <x:v>PASS</x:v>
      </x:c>
      <x:c r="H38" s="30"/>
      <x:c r="I38" s="30"/>
      <x:c r="J38" s="30"/>
      <x:c r="K38" s="30"/>
      <x:c r="L38" s="30"/>
      <x:c r="M38" s="30"/>
      <x:c r="N38" s="30"/>
      <x:c r="O38" s="30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  <x:c r="AA38" s="30"/>
      <x:c r="AB38" s="30"/>
      <x:c r="AC38" s="30"/>
      <x:c r="AD38" s="30"/>
      <x:c r="AE38" s="30"/>
      <x:c r="AF38" s="30"/>
      <x:c r="AG38" s="30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>
      <x:c r="A39" s="1"/>
      <x:c r="B39" s="1"/>
      <x:c r="C39" s="30" t="str">
        <x:v>First campaign stage decisions</x:v>
      </x:c>
      <x:c r="D39" s="32" t="n">
        <x:v>5040</x:v>
      </x:c>
      <x:c r="E39" s="32" t="n">
        <x:f>'First Campaign'!D12</x:f>
        <x:v>5040</x:v>
      </x:c>
      <x:c r="F39" s="32" t="n">
        <x:v>0</x:v>
      </x:c>
      <x:c r="G39" s="30" t="str">
        <x:f>IF(ABS(E39-D39)&lt;=F39,"PASS","FAIL")</x:f>
        <x:v>PASS</x:v>
      </x:c>
      <x:c r="H39" s="30"/>
      <x:c r="I39" s="30"/>
      <x:c r="J39" s="30"/>
      <x:c r="K39" s="30"/>
      <x:c r="L39" s="30"/>
      <x:c r="M39" s="30"/>
      <x:c r="N39" s="30"/>
      <x:c r="O39" s="30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  <x:c r="AA39" s="30"/>
      <x:c r="AB39" s="30"/>
      <x:c r="AC39" s="30"/>
      <x:c r="AD39" s="30"/>
      <x:c r="AE39" s="30"/>
      <x:c r="AF39" s="30"/>
      <x:c r="AG39" s="30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>
      <x:c r="A40" s="1"/>
      <x:c r="B40" s="1"/>
      <x:c r="C40" s="30" t="str">
        <x:v>Exterior rendering admission</x:v>
      </x:c>
      <x:c r="D40" s="32" t="n">
        <x:v>0</x:v>
      </x:c>
      <x:c r="E40" s="32" t="n">
        <x:f>Controls!D12</x:f>
        <x:v>0</x:v>
      </x:c>
      <x:c r="F40" s="32" t="n">
        <x:v>0</x:v>
      </x:c>
      <x:c r="G40" s="30" t="str">
        <x:f>IF(ABS(E40-D40)&lt;=F40,"PASS","FAIL")</x:f>
        <x:v>PASS</x:v>
      </x:c>
      <x:c r="H40" s="30"/>
      <x:c r="I40" s="30"/>
      <x:c r="J40" s="30"/>
      <x:c r="K40" s="30"/>
      <x:c r="L40" s="30"/>
      <x:c r="M40" s="30"/>
      <x:c r="N40" s="30"/>
      <x:c r="O40" s="30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  <x:c r="AA40" s="30"/>
      <x:c r="AB40" s="30"/>
      <x:c r="AC40" s="30"/>
      <x:c r="AD40" s="30"/>
      <x:c r="AE40" s="30"/>
      <x:c r="AF40" s="30"/>
      <x:c r="AG40" s="30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>
      <x:c r="A41" s="1"/>
      <x:c r="B41" s="1"/>
      <x:c r="C41" s="30" t="str">
        <x:v>Open-item running total</x:v>
      </x:c>
      <x:c r="D41" s="32" t="n">
        <x:v>0</x:v>
      </x:c>
      <x:c r="E41" s="32" t="n">
        <x:f>Controls!D13</x:f>
        <x:v>0</x:v>
      </x:c>
      <x:c r="F41" s="32" t="n">
        <x:v>0</x:v>
      </x:c>
      <x:c r="G41" s="30" t="str">
        <x:f>IF(ABS(E41-D41)&lt;=F41,"PASS","FAIL")</x:f>
        <x:v>PASS</x:v>
      </x:c>
      <x:c r="H41" s="30"/>
      <x:c r="I41" s="30"/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  <x:c r="AA41" s="30"/>
      <x:c r="AB41" s="30"/>
      <x:c r="AC41" s="30"/>
      <x:c r="AD41" s="30"/>
      <x:c r="AE41" s="30"/>
      <x:c r="AF41" s="30"/>
      <x:c r="AG41" s="30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>
      <x:c r="A42" s="1"/>
      <x:c r="B42" s="1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  <x:c r="AA42" s="30"/>
      <x:c r="AB42" s="30"/>
      <x:c r="AC42" s="30"/>
      <x:c r="AD42" s="30"/>
      <x:c r="AE42" s="30"/>
      <x:c r="AF42" s="30"/>
      <x:c r="AG42" s="30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>
      <x:c r="A43" s="1"/>
      <x:c r="B43" s="1"/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  <x:c r="AA43" s="30"/>
      <x:c r="AB43" s="30"/>
      <x:c r="AC43" s="30"/>
      <x:c r="AD43" s="30"/>
      <x:c r="AE43" s="30"/>
      <x:c r="AF43" s="30"/>
      <x:c r="AG43" s="30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>
      <x:c r="A44" s="1"/>
      <x:c r="B44" s="1"/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  <x:c r="M44" s="30"/>
      <x:c r="N44" s="30"/>
      <x:c r="O44" s="30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  <x:c r="AA44" s="30"/>
      <x:c r="AB44" s="30"/>
      <x:c r="AC44" s="30"/>
      <x:c r="AD44" s="30"/>
      <x:c r="AE44" s="30"/>
      <x:c r="AF44" s="30"/>
      <x:c r="AG44" s="30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>
      <x:c r="A45" s="1"/>
      <x:c r="B45" s="1"/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  <x:c r="AA45" s="30"/>
      <x:c r="AB45" s="30"/>
      <x:c r="AC45" s="30"/>
      <x:c r="AD45" s="30"/>
      <x:c r="AE45" s="30"/>
      <x:c r="AF45" s="30"/>
      <x:c r="AG45" s="30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>
      <x:c r="A46" s="1"/>
      <x:c r="B46" s="1"/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  <x:c r="M46" s="30"/>
      <x:c r="N46" s="30"/>
      <x:c r="O46" s="30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  <x:c r="AA46" s="30"/>
      <x:c r="AB46" s="30"/>
      <x:c r="AC46" s="30"/>
      <x:c r="AD46" s="30"/>
      <x:c r="AE46" s="30"/>
      <x:c r="AF46" s="30"/>
      <x:c r="AG46" s="30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>
      <x:c r="A47" s="1"/>
      <x:c r="B47" s="1"/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  <x:c r="O47" s="30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  <x:c r="AA47" s="30"/>
      <x:c r="AB47" s="30"/>
      <x:c r="AC47" s="30"/>
      <x:c r="AD47" s="30"/>
      <x:c r="AE47" s="30"/>
      <x:c r="AF47" s="30"/>
      <x:c r="AG47" s="30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>
      <x:c r="A48" s="1"/>
      <x:c r="B48" s="1"/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  <x:c r="M48" s="30"/>
      <x:c r="N48" s="30"/>
      <x:c r="O48" s="30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  <x:c r="AA48" s="30"/>
      <x:c r="AB48" s="30"/>
      <x:c r="AC48" s="30"/>
      <x:c r="AD48" s="30"/>
      <x:c r="AE48" s="30"/>
      <x:c r="AF48" s="30"/>
      <x:c r="AG48" s="30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>
      <x:c r="A49" s="1"/>
      <x:c r="B49" s="1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0"/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  <x:c r="AA49" s="30"/>
      <x:c r="AB49" s="30"/>
      <x:c r="AC49" s="30"/>
      <x:c r="AD49" s="30"/>
      <x:c r="AE49" s="30"/>
      <x:c r="AF49" s="30"/>
      <x:c r="AG49" s="30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>
      <x:c r="A50" s="1"/>
      <x:c r="B50" s="1"/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  <x:c r="O50" s="30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  <x:c r="AA50" s="30"/>
      <x:c r="AB50" s="30"/>
      <x:c r="AC50" s="30"/>
      <x:c r="AD50" s="30"/>
      <x:c r="AE50" s="30"/>
      <x:c r="AF50" s="30"/>
      <x:c r="AG50" s="30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>
      <x:c r="A51" s="1"/>
      <x:c r="B51" s="1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  <x:c r="O51" s="30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  <x:c r="AA51" s="30"/>
      <x:c r="AB51" s="30"/>
      <x:c r="AC51" s="30"/>
      <x:c r="AD51" s="30"/>
      <x:c r="AE51" s="30"/>
      <x:c r="AF51" s="30"/>
      <x:c r="AG51" s="30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>
      <x:c r="A52" s="1"/>
      <x:c r="B52" s="1"/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  <x:c r="M52" s="30"/>
      <x:c r="N52" s="30"/>
      <x:c r="O52" s="30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  <x:c r="AA52" s="30"/>
      <x:c r="AB52" s="30"/>
      <x:c r="AC52" s="30"/>
      <x:c r="AD52" s="30"/>
      <x:c r="AE52" s="30"/>
      <x:c r="AF52" s="30"/>
      <x:c r="AG52" s="30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>
      <x:c r="A53" s="1"/>
      <x:c r="B53" s="1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  <x:c r="O53" s="30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  <x:c r="AA53" s="30"/>
      <x:c r="AB53" s="30"/>
      <x:c r="AC53" s="30"/>
      <x:c r="AD53" s="30"/>
      <x:c r="AE53" s="30"/>
      <x:c r="AF53" s="30"/>
      <x:c r="AG53" s="30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>
      <x:c r="A54" s="1"/>
      <x:c r="B54" s="1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  <x:c r="AA54" s="30"/>
      <x:c r="AB54" s="30"/>
      <x:c r="AC54" s="30"/>
      <x:c r="AD54" s="30"/>
      <x:c r="AE54" s="30"/>
      <x:c r="AF54" s="30"/>
      <x:c r="AG54" s="30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>
      <x:c r="A55" s="1"/>
      <x:c r="B55" s="1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  <x:c r="AA55" s="30"/>
      <x:c r="AB55" s="30"/>
      <x:c r="AC55" s="30"/>
      <x:c r="AD55" s="30"/>
      <x:c r="AE55" s="30"/>
      <x:c r="AF55" s="30"/>
      <x:c r="AG55" s="30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>
      <x:c r="A56" s="1"/>
      <x:c r="B56" s="1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  <x:c r="AA56" s="30"/>
      <x:c r="AB56" s="30"/>
      <x:c r="AC56" s="30"/>
      <x:c r="AD56" s="30"/>
      <x:c r="AE56" s="30"/>
      <x:c r="AF56" s="30"/>
      <x:c r="AG56" s="30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>
      <x:c r="A57" s="1"/>
      <x:c r="B57" s="1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  <x:c r="AA57" s="30"/>
      <x:c r="AB57" s="30"/>
      <x:c r="AC57" s="30"/>
      <x:c r="AD57" s="30"/>
      <x:c r="AE57" s="30"/>
      <x:c r="AF57" s="30"/>
      <x:c r="AG57" s="30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>
      <x:c r="A58" s="1"/>
      <x:c r="B58" s="1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0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  <x:c r="AA58" s="30"/>
      <x:c r="AB58" s="30"/>
      <x:c r="AC58" s="30"/>
      <x:c r="AD58" s="30"/>
      <x:c r="AE58" s="30"/>
      <x:c r="AF58" s="30"/>
      <x:c r="AG58" s="30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>
      <x:c r="A59" s="1"/>
      <x:c r="B59" s="1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  <x:c r="M59" s="30"/>
      <x:c r="N59" s="30"/>
      <x:c r="O59" s="30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  <x:c r="AA59" s="30"/>
      <x:c r="AB59" s="30"/>
      <x:c r="AC59" s="30"/>
      <x:c r="AD59" s="30"/>
      <x:c r="AE59" s="30"/>
      <x:c r="AF59" s="30"/>
      <x:c r="AG59" s="30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>
      <x:c r="A60" s="1"/>
      <x:c r="B60" s="1"/>
      <x:c r="C60" s="30"/>
      <x:c r="D60" s="30"/>
      <x:c r="E60" s="30"/>
      <x:c r="F60" s="30"/>
      <x:c r="G60" s="30"/>
      <x:c r="H60" s="30"/>
      <x:c r="I60" s="30"/>
      <x:c r="J60" s="30"/>
      <x:c r="K60" s="30"/>
      <x:c r="L60" s="30"/>
      <x:c r="M60" s="30"/>
      <x:c r="N60" s="30"/>
      <x:c r="O60" s="30"/>
      <x:c r="P60" s="30"/>
      <x:c r="Q60" s="30"/>
      <x:c r="R60" s="30"/>
      <x:c r="S60" s="30"/>
      <x:c r="T60" s="30"/>
      <x:c r="U60" s="30"/>
      <x:c r="V60" s="30"/>
      <x:c r="W60" s="30"/>
      <x:c r="X60" s="30"/>
      <x:c r="Y60" s="30"/>
      <x:c r="Z60" s="30"/>
      <x:c r="AA60" s="30"/>
      <x:c r="AB60" s="30"/>
      <x:c r="AC60" s="30"/>
      <x:c r="AD60" s="30"/>
      <x:c r="AE60" s="30"/>
      <x:c r="AF60" s="30"/>
      <x:c r="AG60" s="30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>
      <x:c r="A61" s="1"/>
      <x:c r="B61" s="1"/>
      <x:c r="C61" s="30"/>
      <x:c r="D61" s="30"/>
      <x:c r="E61" s="30"/>
      <x:c r="F61" s="30"/>
      <x:c r="G61" s="30"/>
      <x:c r="H61" s="30"/>
      <x:c r="I61" s="30"/>
      <x:c r="J61" s="30"/>
      <x:c r="K61" s="30"/>
      <x:c r="L61" s="30"/>
      <x:c r="M61" s="30"/>
      <x:c r="N61" s="30"/>
      <x:c r="O61" s="30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  <x:c r="AA61" s="30"/>
      <x:c r="AB61" s="30"/>
      <x:c r="AC61" s="30"/>
      <x:c r="AD61" s="30"/>
      <x:c r="AE61" s="30"/>
      <x:c r="AF61" s="30"/>
      <x:c r="AG61" s="30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>
      <x:c r="A62" s="1"/>
      <x:c r="B62" s="1"/>
      <x:c r="C62" s="30"/>
      <x:c r="D62" s="30"/>
      <x:c r="E62" s="30"/>
      <x:c r="F62" s="30"/>
      <x:c r="G62" s="30"/>
      <x:c r="H62" s="30"/>
      <x:c r="I62" s="30"/>
      <x:c r="J62" s="30"/>
      <x:c r="K62" s="30"/>
      <x:c r="L62" s="30"/>
      <x:c r="M62" s="30"/>
      <x:c r="N62" s="30"/>
      <x:c r="O62" s="30"/>
      <x:c r="P62" s="30"/>
      <x:c r="Q62" s="30"/>
      <x:c r="R62" s="30"/>
      <x:c r="S62" s="30"/>
      <x:c r="T62" s="30"/>
      <x:c r="U62" s="30"/>
      <x:c r="V62" s="30"/>
      <x:c r="W62" s="30"/>
      <x:c r="X62" s="30"/>
      <x:c r="Y62" s="30"/>
      <x:c r="Z62" s="30"/>
      <x:c r="AA62" s="30"/>
      <x:c r="AB62" s="30"/>
      <x:c r="AC62" s="30"/>
      <x:c r="AD62" s="30"/>
      <x:c r="AE62" s="30"/>
      <x:c r="AF62" s="30"/>
      <x:c r="AG62" s="30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>
      <x:c r="A63" s="1"/>
      <x:c r="B63" s="1"/>
      <x:c r="C63" s="30"/>
      <x:c r="D63" s="30"/>
      <x:c r="E63" s="30"/>
      <x:c r="F63" s="30"/>
      <x:c r="G63" s="30"/>
      <x:c r="H63" s="30"/>
      <x:c r="I63" s="30"/>
      <x:c r="J63" s="30"/>
      <x:c r="K63" s="30"/>
      <x:c r="L63" s="30"/>
      <x:c r="M63" s="30"/>
      <x:c r="N63" s="30"/>
      <x:c r="O63" s="30"/>
      <x:c r="P63" s="30"/>
      <x:c r="Q63" s="30"/>
      <x:c r="R63" s="30"/>
      <x:c r="S63" s="30"/>
      <x:c r="T63" s="30"/>
      <x:c r="U63" s="30"/>
      <x:c r="V63" s="30"/>
      <x:c r="W63" s="30"/>
      <x:c r="X63" s="30"/>
      <x:c r="Y63" s="30"/>
      <x:c r="Z63" s="30"/>
      <x:c r="AA63" s="30"/>
      <x:c r="AB63" s="30"/>
      <x:c r="AC63" s="30"/>
      <x:c r="AD63" s="30"/>
      <x:c r="AE63" s="30"/>
      <x:c r="AF63" s="30"/>
      <x:c r="AG63" s="30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>
      <x:c r="A64" s="1"/>
      <x:c r="B64" s="1"/>
      <x:c r="C64" s="30"/>
      <x:c r="D64" s="30"/>
      <x:c r="E64" s="30"/>
      <x:c r="F64" s="30"/>
      <x:c r="G64" s="30"/>
      <x:c r="H64" s="30"/>
      <x:c r="I64" s="30"/>
      <x:c r="J64" s="30"/>
      <x:c r="K64" s="30"/>
      <x:c r="L64" s="30"/>
      <x:c r="M64" s="30"/>
      <x:c r="N64" s="30"/>
      <x:c r="O64" s="30"/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30"/>
      <x:c r="AA64" s="30"/>
      <x:c r="AB64" s="30"/>
      <x:c r="AC64" s="30"/>
      <x:c r="AD64" s="30"/>
      <x:c r="AE64" s="30"/>
      <x:c r="AF64" s="30"/>
      <x:c r="AG64" s="30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>
      <x:c r="A65" s="1"/>
      <x:c r="B65" s="1"/>
      <x:c r="C65" s="30"/>
      <x:c r="D65" s="30"/>
      <x:c r="E65" s="30"/>
      <x:c r="F65" s="30"/>
      <x:c r="G65" s="30"/>
      <x:c r="H65" s="30"/>
      <x:c r="I65" s="30"/>
      <x:c r="J65" s="30"/>
      <x:c r="K65" s="30"/>
      <x:c r="L65" s="30"/>
      <x:c r="M65" s="30"/>
      <x:c r="N65" s="30"/>
      <x:c r="O65" s="30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  <x:c r="AA65" s="30"/>
      <x:c r="AB65" s="30"/>
      <x:c r="AC65" s="30"/>
      <x:c r="AD65" s="30"/>
      <x:c r="AE65" s="30"/>
      <x:c r="AF65" s="30"/>
      <x:c r="AG65" s="30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>
      <x:c r="A66" s="1"/>
      <x:c r="B66" s="1"/>
      <x:c r="C66" s="30"/>
      <x:c r="D66" s="30"/>
      <x:c r="E66" s="30"/>
      <x:c r="F66" s="30"/>
      <x:c r="G66" s="30"/>
      <x:c r="H66" s="30"/>
      <x:c r="I66" s="30"/>
      <x:c r="J66" s="30"/>
      <x:c r="K66" s="30"/>
      <x:c r="L66" s="30"/>
      <x:c r="M66" s="30"/>
      <x:c r="N66" s="30"/>
      <x:c r="O66" s="30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  <x:c r="AA66" s="30"/>
      <x:c r="AB66" s="30"/>
      <x:c r="AC66" s="30"/>
      <x:c r="AD66" s="30"/>
      <x:c r="AE66" s="30"/>
      <x:c r="AF66" s="30"/>
      <x:c r="AG66" s="30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>
      <x:c r="A67" s="1"/>
      <x:c r="B67" s="1"/>
      <x:c r="C67" s="30"/>
      <x:c r="D67" s="30"/>
      <x:c r="E67" s="30"/>
      <x:c r="F67" s="30"/>
      <x:c r="G67" s="30"/>
      <x:c r="H67" s="30"/>
      <x:c r="I67" s="30"/>
      <x:c r="J67" s="30"/>
      <x:c r="K67" s="30"/>
      <x:c r="L67" s="30"/>
      <x:c r="M67" s="30"/>
      <x:c r="N67" s="30"/>
      <x:c r="O67" s="30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  <x:c r="AA67" s="30"/>
      <x:c r="AB67" s="30"/>
      <x:c r="AC67" s="30"/>
      <x:c r="AD67" s="30"/>
      <x:c r="AE67" s="30"/>
      <x:c r="AF67" s="30"/>
      <x:c r="AG67" s="30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>
      <x:c r="A68" s="1"/>
      <x:c r="B68" s="1"/>
      <x:c r="C68" s="30"/>
      <x:c r="D68" s="30"/>
      <x:c r="E68" s="30"/>
      <x:c r="F68" s="30"/>
      <x:c r="G68" s="30"/>
      <x:c r="H68" s="30"/>
      <x:c r="I68" s="30"/>
      <x:c r="J68" s="30"/>
      <x:c r="K68" s="30"/>
      <x:c r="L68" s="30"/>
      <x:c r="M68" s="30"/>
      <x:c r="N68" s="30"/>
      <x:c r="O68" s="30"/>
      <x:c r="P68" s="30"/>
      <x:c r="Q68" s="30"/>
      <x:c r="R68" s="30"/>
      <x:c r="S68" s="30"/>
      <x:c r="T68" s="30"/>
      <x:c r="U68" s="30"/>
      <x:c r="V68" s="30"/>
      <x:c r="W68" s="30"/>
      <x:c r="X68" s="30"/>
      <x:c r="Y68" s="30"/>
      <x:c r="Z68" s="30"/>
      <x:c r="AA68" s="30"/>
      <x:c r="AB68" s="30"/>
      <x:c r="AC68" s="30"/>
      <x:c r="AD68" s="30"/>
      <x:c r="AE68" s="30"/>
      <x:c r="AF68" s="30"/>
      <x:c r="AG68" s="30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>
      <x:c r="A69" s="1"/>
      <x:c r="B69" s="1"/>
      <x:c r="C69" s="30"/>
      <x:c r="D69" s="30"/>
      <x:c r="E69" s="30"/>
      <x:c r="F69" s="30"/>
      <x:c r="G69" s="30"/>
      <x:c r="H69" s="30"/>
      <x:c r="I69" s="30"/>
      <x:c r="J69" s="30"/>
      <x:c r="K69" s="30"/>
      <x:c r="L69" s="30"/>
      <x:c r="M69" s="30"/>
      <x:c r="N69" s="30"/>
      <x:c r="O69" s="30"/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30"/>
      <x:c r="AA69" s="30"/>
      <x:c r="AB69" s="30"/>
      <x:c r="AC69" s="30"/>
      <x:c r="AD69" s="30"/>
      <x:c r="AE69" s="30"/>
      <x:c r="AF69" s="30"/>
      <x:c r="AG69" s="30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>
      <x:c r="A70" s="1"/>
      <x:c r="B70" s="1"/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  <x:c r="M70" s="30"/>
      <x:c r="N70" s="30"/>
      <x:c r="O70" s="30"/>
      <x:c r="P70" s="30"/>
      <x:c r="Q70" s="30"/>
      <x:c r="R70" s="30"/>
      <x:c r="S70" s="30"/>
      <x:c r="T70" s="30"/>
      <x:c r="U70" s="30"/>
      <x:c r="V70" s="30"/>
      <x:c r="W70" s="30"/>
      <x:c r="X70" s="30"/>
      <x:c r="Y70" s="30"/>
      <x:c r="Z70" s="30"/>
      <x:c r="AA70" s="30"/>
      <x:c r="AB70" s="30"/>
      <x:c r="AC70" s="30"/>
      <x:c r="AD70" s="30"/>
      <x:c r="AE70" s="30"/>
      <x:c r="AF70" s="30"/>
      <x:c r="AG70" s="30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>
      <x:c r="A71" s="1"/>
      <x:c r="B71" s="1"/>
      <x:c r="C71" s="30"/>
      <x:c r="D71" s="30"/>
      <x:c r="E71" s="30"/>
      <x:c r="F71" s="30"/>
      <x:c r="G71" s="30"/>
      <x:c r="H71" s="30"/>
      <x:c r="I71" s="30"/>
      <x:c r="J71" s="30"/>
      <x:c r="K71" s="30"/>
      <x:c r="L71" s="30"/>
      <x:c r="M71" s="30"/>
      <x:c r="N71" s="30"/>
      <x:c r="O71" s="30"/>
      <x:c r="P71" s="30"/>
      <x:c r="Q71" s="30"/>
      <x:c r="R71" s="30"/>
      <x:c r="S71" s="30"/>
      <x:c r="T71" s="30"/>
      <x:c r="U71" s="30"/>
      <x:c r="V71" s="30"/>
      <x:c r="W71" s="30"/>
      <x:c r="X71" s="30"/>
      <x:c r="Y71" s="30"/>
      <x:c r="Z71" s="30"/>
      <x:c r="AA71" s="30"/>
      <x:c r="AB71" s="30"/>
      <x:c r="AC71" s="30"/>
      <x:c r="AD71" s="30"/>
      <x:c r="AE71" s="30"/>
      <x:c r="AF71" s="30"/>
      <x:c r="AG71" s="30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>
      <x:c r="A72" s="1"/>
      <x:c r="B72" s="1"/>
      <x:c r="C72" s="30"/>
      <x:c r="D72" s="30"/>
      <x:c r="E72" s="30"/>
      <x:c r="F72" s="30"/>
      <x:c r="G72" s="30"/>
      <x:c r="H72" s="30"/>
      <x:c r="I72" s="30"/>
      <x:c r="J72" s="30"/>
      <x:c r="K72" s="30"/>
      <x:c r="L72" s="30"/>
      <x:c r="M72" s="30"/>
      <x:c r="N72" s="30"/>
      <x:c r="O72" s="30"/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30"/>
      <x:c r="AA72" s="30"/>
      <x:c r="AB72" s="30"/>
      <x:c r="AC72" s="30"/>
      <x:c r="AD72" s="30"/>
      <x:c r="AE72" s="30"/>
      <x:c r="AF72" s="30"/>
      <x:c r="AG72" s="30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>
      <x:c r="A73" s="1"/>
      <x:c r="B73" s="1"/>
      <x:c r="C73" s="30"/>
      <x:c r="D73" s="30"/>
      <x:c r="E73" s="30"/>
      <x:c r="F73" s="30"/>
      <x:c r="G73" s="30"/>
      <x:c r="H73" s="30"/>
      <x:c r="I73" s="30"/>
      <x:c r="J73" s="30"/>
      <x:c r="K73" s="30"/>
      <x:c r="L73" s="30"/>
      <x:c r="M73" s="30"/>
      <x:c r="N73" s="30"/>
      <x:c r="O73" s="30"/>
      <x:c r="P73" s="30"/>
      <x:c r="Q73" s="30"/>
      <x:c r="R73" s="30"/>
      <x:c r="S73" s="30"/>
      <x:c r="T73" s="30"/>
      <x:c r="U73" s="30"/>
      <x:c r="V73" s="30"/>
      <x:c r="W73" s="30"/>
      <x:c r="X73" s="30"/>
      <x:c r="Y73" s="30"/>
      <x:c r="Z73" s="30"/>
      <x:c r="AA73" s="30"/>
      <x:c r="AB73" s="30"/>
      <x:c r="AC73" s="30"/>
      <x:c r="AD73" s="30"/>
      <x:c r="AE73" s="30"/>
      <x:c r="AF73" s="30"/>
      <x:c r="AG73" s="30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>
      <x:c r="A74" s="1"/>
      <x:c r="B74" s="1"/>
      <x:c r="C74" s="30"/>
      <x:c r="D74" s="30"/>
      <x:c r="E74" s="30"/>
      <x:c r="F74" s="30"/>
      <x:c r="G74" s="30"/>
      <x:c r="H74" s="30"/>
      <x:c r="I74" s="30"/>
      <x:c r="J74" s="30"/>
      <x:c r="K74" s="30"/>
      <x:c r="L74" s="30"/>
      <x:c r="M74" s="30"/>
      <x:c r="N74" s="30"/>
      <x:c r="O74" s="30"/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30"/>
      <x:c r="AA74" s="30"/>
      <x:c r="AB74" s="30"/>
      <x:c r="AC74" s="30"/>
      <x:c r="AD74" s="30"/>
      <x:c r="AE74" s="30"/>
      <x:c r="AF74" s="30"/>
      <x:c r="AG74" s="30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>
      <x:c r="A75" s="1"/>
      <x:c r="B75" s="1"/>
      <x:c r="C75" s="30"/>
      <x:c r="D75" s="30"/>
      <x:c r="E75" s="30"/>
      <x:c r="F75" s="30"/>
      <x:c r="G75" s="30"/>
      <x:c r="H75" s="30"/>
      <x:c r="I75" s="30"/>
      <x:c r="J75" s="30"/>
      <x:c r="K75" s="30"/>
      <x:c r="L75" s="30"/>
      <x:c r="M75" s="30"/>
      <x:c r="N75" s="30"/>
      <x:c r="O75" s="30"/>
      <x:c r="P75" s="30"/>
      <x:c r="Q75" s="30"/>
      <x:c r="R75" s="30"/>
      <x:c r="S75" s="30"/>
      <x:c r="T75" s="30"/>
      <x:c r="U75" s="30"/>
      <x:c r="V75" s="30"/>
      <x:c r="W75" s="30"/>
      <x:c r="X75" s="30"/>
      <x:c r="Y75" s="30"/>
      <x:c r="Z75" s="30"/>
      <x:c r="AA75" s="30"/>
      <x:c r="AB75" s="30"/>
      <x:c r="AC75" s="30"/>
      <x:c r="AD75" s="30"/>
      <x:c r="AE75" s="30"/>
      <x:c r="AF75" s="30"/>
      <x:c r="AG75" s="30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>
      <x:c r="A76" s="1"/>
      <x:c r="B76" s="1"/>
      <x:c r="C76" s="30"/>
      <x:c r="D76" s="30"/>
      <x:c r="E76" s="30"/>
      <x:c r="F76" s="30"/>
      <x:c r="G76" s="30"/>
      <x:c r="H76" s="30"/>
      <x:c r="I76" s="30"/>
      <x:c r="J76" s="30"/>
      <x:c r="K76" s="30"/>
      <x:c r="L76" s="30"/>
      <x:c r="M76" s="30"/>
      <x:c r="N76" s="30"/>
      <x:c r="O76" s="30"/>
      <x:c r="P76" s="30"/>
      <x:c r="Q76" s="30"/>
      <x:c r="R76" s="30"/>
      <x:c r="S76" s="30"/>
      <x:c r="T76" s="30"/>
      <x:c r="U76" s="30"/>
      <x:c r="V76" s="30"/>
      <x:c r="W76" s="30"/>
      <x:c r="X76" s="30"/>
      <x:c r="Y76" s="30"/>
      <x:c r="Z76" s="30"/>
      <x:c r="AA76" s="30"/>
      <x:c r="AB76" s="30"/>
      <x:c r="AC76" s="30"/>
      <x:c r="AD76" s="30"/>
      <x:c r="AE76" s="30"/>
      <x:c r="AF76" s="30"/>
      <x:c r="AG76" s="30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>
      <x:c r="A77" s="1"/>
      <x:c r="B77" s="1"/>
      <x:c r="C77" s="30"/>
      <x:c r="D77" s="30"/>
      <x:c r="E77" s="30"/>
      <x:c r="F77" s="30"/>
      <x:c r="G77" s="30"/>
      <x:c r="H77" s="30"/>
      <x:c r="I77" s="30"/>
      <x:c r="J77" s="30"/>
      <x:c r="K77" s="30"/>
      <x:c r="L77" s="30"/>
      <x:c r="M77" s="30"/>
      <x:c r="N77" s="30"/>
      <x:c r="O77" s="30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  <x:c r="AA77" s="30"/>
      <x:c r="AB77" s="30"/>
      <x:c r="AC77" s="30"/>
      <x:c r="AD77" s="30"/>
      <x:c r="AE77" s="30"/>
      <x:c r="AF77" s="30"/>
      <x:c r="AG77" s="30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>
      <x:c r="A78" s="1"/>
      <x:c r="B78" s="1"/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  <x:c r="O78" s="30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  <x:c r="AA78" s="30"/>
      <x:c r="AB78" s="30"/>
      <x:c r="AC78" s="30"/>
      <x:c r="AD78" s="30"/>
      <x:c r="AE78" s="30"/>
      <x:c r="AF78" s="30"/>
      <x:c r="AG78" s="30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>
      <x:c r="A79" s="1"/>
      <x:c r="B79" s="1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  <x:c r="M79" s="30"/>
      <x:c r="N79" s="30"/>
      <x:c r="O79" s="30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  <x:c r="AA79" s="30"/>
      <x:c r="AB79" s="30"/>
      <x:c r="AC79" s="30"/>
      <x:c r="AD79" s="30"/>
      <x:c r="AE79" s="30"/>
      <x:c r="AF79" s="30"/>
      <x:c r="AG79" s="30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>
      <x:c r="A80" s="1"/>
      <x:c r="B80" s="1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  <x:c r="M80" s="30"/>
      <x:c r="N80" s="30"/>
      <x:c r="O80" s="30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  <x:c r="AA80" s="30"/>
      <x:c r="AB80" s="30"/>
      <x:c r="AC80" s="30"/>
      <x:c r="AD80" s="30"/>
      <x:c r="AE80" s="30"/>
      <x:c r="AF80" s="30"/>
      <x:c r="AG80" s="30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>
      <x:c r="A81" s="1"/>
      <x:c r="B81" s="1"/>
      <x:c r="C81" s="30"/>
      <x:c r="D81" s="30"/>
      <x:c r="E81" s="30"/>
      <x:c r="F81" s="30"/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  <x:c r="AA81" s="30"/>
      <x:c r="AB81" s="30"/>
      <x:c r="AC81" s="30"/>
      <x:c r="AD81" s="30"/>
      <x:c r="AE81" s="30"/>
      <x:c r="AF81" s="30"/>
      <x:c r="AG81" s="30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>
      <x:c r="A82" s="1"/>
      <x:c r="B82" s="1"/>
      <x:c r="C82" s="30"/>
      <x:c r="D82" s="30"/>
      <x:c r="E82" s="30"/>
      <x:c r="F82" s="30"/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30"/>
      <x:c r="AA82" s="30"/>
      <x:c r="AB82" s="30"/>
      <x:c r="AC82" s="30"/>
      <x:c r="AD82" s="30"/>
      <x:c r="AE82" s="30"/>
      <x:c r="AF82" s="30"/>
      <x:c r="AG82" s="30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>
      <x:c r="A83" s="1"/>
      <x:c r="B83" s="1"/>
      <x:c r="C83" s="30"/>
      <x:c r="D83" s="30"/>
      <x:c r="E83" s="30"/>
      <x:c r="F83" s="30"/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30"/>
      <x:c r="AA83" s="30"/>
      <x:c r="AB83" s="30"/>
      <x:c r="AC83" s="30"/>
      <x:c r="AD83" s="30"/>
      <x:c r="AE83" s="30"/>
      <x:c r="AF83" s="30"/>
      <x:c r="AG83" s="30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>
      <x:c r="A84" s="1"/>
      <x:c r="B84" s="1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30"/>
      <x:c r="AA84" s="30"/>
      <x:c r="AB84" s="30"/>
      <x:c r="AC84" s="30"/>
      <x:c r="AD84" s="30"/>
      <x:c r="AE84" s="30"/>
      <x:c r="AF84" s="30"/>
      <x:c r="AG84" s="30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>
      <x:c r="A85" s="1"/>
      <x:c r="B85" s="1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30"/>
      <x:c r="AA85" s="30"/>
      <x:c r="AB85" s="30"/>
      <x:c r="AC85" s="30"/>
      <x:c r="AD85" s="30"/>
      <x:c r="AE85" s="30"/>
      <x:c r="AF85" s="30"/>
      <x:c r="AG85" s="30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>
      <x:c r="A86" s="1"/>
      <x:c r="B86" s="1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30"/>
      <x:c r="AA86" s="30"/>
      <x:c r="AB86" s="30"/>
      <x:c r="AC86" s="30"/>
      <x:c r="AD86" s="30"/>
      <x:c r="AE86" s="30"/>
      <x:c r="AF86" s="30"/>
      <x:c r="AG86" s="30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>
      <x:c r="A87" s="1"/>
      <x:c r="B87" s="1"/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  <x:c r="Y87" s="30"/>
      <x:c r="Z87" s="30"/>
      <x:c r="AA87" s="30"/>
      <x:c r="AB87" s="30"/>
      <x:c r="AC87" s="30"/>
      <x:c r="AD87" s="30"/>
      <x:c r="AE87" s="30"/>
      <x:c r="AF87" s="30"/>
      <x:c r="AG87" s="30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>
      <x:c r="A88" s="1"/>
      <x:c r="B88" s="1"/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  <x:c r="Y88" s="30"/>
      <x:c r="Z88" s="30"/>
      <x:c r="AA88" s="30"/>
      <x:c r="AB88" s="30"/>
      <x:c r="AC88" s="30"/>
      <x:c r="AD88" s="30"/>
      <x:c r="AE88" s="30"/>
      <x:c r="AF88" s="30"/>
      <x:c r="AG88" s="30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>
      <x:c r="A89" s="1"/>
      <x:c r="B89" s="1"/>
      <x:c r="C89" s="30"/>
      <x:c r="D89" s="30"/>
      <x:c r="E89" s="30"/>
      <x:c r="F89" s="30"/>
      <x:c r="G89" s="3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  <x:c r="Y89" s="30"/>
      <x:c r="Z89" s="30"/>
      <x:c r="AA89" s="30"/>
      <x:c r="AB89" s="30"/>
      <x:c r="AC89" s="30"/>
      <x:c r="AD89" s="30"/>
      <x:c r="AE89" s="30"/>
      <x:c r="AF89" s="30"/>
      <x:c r="AG89" s="30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>
      <x:c r="A90" s="1"/>
      <x:c r="B90" s="1"/>
      <x:c r="C90" s="30"/>
      <x:c r="D90" s="30"/>
      <x:c r="E90" s="30"/>
      <x:c r="F90" s="30"/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30"/>
      <x:c r="AA90" s="30"/>
      <x:c r="AB90" s="30"/>
      <x:c r="AC90" s="30"/>
      <x:c r="AD90" s="30"/>
      <x:c r="AE90" s="30"/>
      <x:c r="AF90" s="30"/>
      <x:c r="AG90" s="30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>
      <x:c r="A91" s="1"/>
      <x:c r="B91" s="1"/>
      <x:c r="C91" s="30"/>
      <x:c r="D91" s="30"/>
      <x:c r="E91" s="30"/>
      <x:c r="F91" s="30"/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30"/>
      <x:c r="AA91" s="30"/>
      <x:c r="AB91" s="30"/>
      <x:c r="AC91" s="30"/>
      <x:c r="AD91" s="30"/>
      <x:c r="AE91" s="30"/>
      <x:c r="AF91" s="30"/>
      <x:c r="AG91" s="30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>
      <x:c r="A92" s="1"/>
      <x:c r="B92" s="1"/>
      <x:c r="C92" s="30"/>
      <x:c r="D92" s="30"/>
      <x:c r="E92" s="30"/>
      <x:c r="F92" s="30"/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  <x:c r="AA92" s="30"/>
      <x:c r="AB92" s="30"/>
      <x:c r="AC92" s="30"/>
      <x:c r="AD92" s="30"/>
      <x:c r="AE92" s="30"/>
      <x:c r="AF92" s="30"/>
      <x:c r="AG92" s="30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>
      <x:c r="A93" s="1"/>
      <x:c r="B93" s="1"/>
      <x:c r="C93" s="30"/>
      <x:c r="D93" s="30"/>
      <x:c r="E93" s="30"/>
      <x:c r="F93" s="30"/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  <x:c r="AA93" s="30"/>
      <x:c r="AB93" s="30"/>
      <x:c r="AC93" s="30"/>
      <x:c r="AD93" s="30"/>
      <x:c r="AE93" s="30"/>
      <x:c r="AF93" s="30"/>
      <x:c r="AG93" s="30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>
      <x:c r="A94" s="1"/>
      <x:c r="B94" s="1"/>
      <x:c r="C94" s="30"/>
      <x:c r="D94" s="30"/>
      <x:c r="E94" s="30"/>
      <x:c r="F94" s="30"/>
      <x:c r="G94" s="3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30"/>
      <x:c r="AA94" s="30"/>
      <x:c r="AB94" s="30"/>
      <x:c r="AC94" s="30"/>
      <x:c r="AD94" s="30"/>
      <x:c r="AE94" s="30"/>
      <x:c r="AF94" s="30"/>
      <x:c r="AG94" s="30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>
      <x:c r="A95" s="1"/>
      <x:c r="B95" s="1"/>
      <x:c r="C95" s="30"/>
      <x:c r="D95" s="30"/>
      <x:c r="E95" s="30"/>
      <x:c r="F95" s="30"/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30"/>
      <x:c r="AA95" s="30"/>
      <x:c r="AB95" s="30"/>
      <x:c r="AC95" s="30"/>
      <x:c r="AD95" s="30"/>
      <x:c r="AE95" s="30"/>
      <x:c r="AF95" s="30"/>
      <x:c r="AG95" s="30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>
      <x:c r="A96" s="1"/>
      <x:c r="B96" s="1"/>
      <x:c r="C96" s="30"/>
      <x:c r="D96" s="30"/>
      <x:c r="E96" s="30"/>
      <x:c r="F96" s="30"/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30"/>
      <x:c r="AA96" s="30"/>
      <x:c r="AB96" s="30"/>
      <x:c r="AC96" s="30"/>
      <x:c r="AD96" s="30"/>
      <x:c r="AE96" s="30"/>
      <x:c r="AF96" s="30"/>
      <x:c r="AG96" s="30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>
      <x:c r="A97" s="1"/>
      <x:c r="B97" s="1"/>
      <x:c r="C97" s="30"/>
      <x:c r="D97" s="30"/>
      <x:c r="E97" s="30"/>
      <x:c r="F97" s="30"/>
      <x:c r="G97" s="3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30"/>
      <x:c r="AA97" s="30"/>
      <x:c r="AB97" s="30"/>
      <x:c r="AC97" s="30"/>
      <x:c r="AD97" s="30"/>
      <x:c r="AE97" s="30"/>
      <x:c r="AF97" s="30"/>
      <x:c r="AG97" s="30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>
      <x:c r="A98" s="1"/>
      <x:c r="B98" s="1"/>
      <x:c r="C98" s="30"/>
      <x:c r="D98" s="30"/>
      <x:c r="E98" s="30"/>
      <x:c r="F98" s="30"/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30"/>
      <x:c r="AA98" s="30"/>
      <x:c r="AB98" s="30"/>
      <x:c r="AC98" s="30"/>
      <x:c r="AD98" s="30"/>
      <x:c r="AE98" s="30"/>
      <x:c r="AF98" s="30"/>
      <x:c r="AG98" s="30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>
      <x:c r="A99" s="1"/>
      <x:c r="B99" s="1"/>
      <x:c r="C99" s="30"/>
      <x:c r="D99" s="30"/>
      <x:c r="E99" s="30"/>
      <x:c r="F99" s="30"/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30"/>
      <x:c r="AA99" s="30"/>
      <x:c r="AB99" s="30"/>
      <x:c r="AC99" s="30"/>
      <x:c r="AD99" s="30"/>
      <x:c r="AE99" s="30"/>
      <x:c r="AF99" s="30"/>
      <x:c r="AG99" s="30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>
      <x:c r="A100" s="1"/>
      <x:c r="B100" s="1"/>
      <x:c r="C100" s="30"/>
      <x:c r="D100" s="30"/>
      <x:c r="E100" s="30"/>
      <x:c r="F100" s="30"/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30"/>
      <x:c r="AA100" s="30"/>
      <x:c r="AB100" s="30"/>
      <x:c r="AC100" s="30"/>
      <x:c r="AD100" s="30"/>
      <x:c r="AE100" s="30"/>
      <x:c r="AF100" s="30"/>
      <x:c r="AG100" s="30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>
      <x:c r="A101" s="1"/>
      <x:c r="B101" s="1"/>
      <x:c r="C101" s="30"/>
      <x:c r="D101" s="30"/>
      <x:c r="E101" s="30"/>
      <x:c r="F101" s="30"/>
      <x:c r="G101" s="30"/>
      <x:c r="H101" s="30"/>
      <x:c r="I101" s="30"/>
      <x:c r="J101" s="30"/>
      <x:c r="K101" s="30"/>
      <x:c r="L101" s="30"/>
      <x:c r="M101" s="30"/>
      <x:c r="N101" s="30"/>
      <x:c r="O101" s="30"/>
      <x:c r="P101" s="30"/>
      <x:c r="Q101" s="30"/>
      <x:c r="R101" s="30"/>
      <x:c r="S101" s="30"/>
      <x:c r="T101" s="30"/>
      <x:c r="U101" s="30"/>
      <x:c r="V101" s="30"/>
      <x:c r="W101" s="30"/>
      <x:c r="X101" s="30"/>
      <x:c r="Y101" s="30"/>
      <x:c r="Z101" s="30"/>
      <x:c r="AA101" s="30"/>
      <x:c r="AB101" s="30"/>
      <x:c r="AC101" s="30"/>
      <x:c r="AD101" s="30"/>
      <x:c r="AE101" s="30"/>
      <x:c r="AF101" s="30"/>
      <x:c r="AG101" s="30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>
      <x:c r="A102" s="1"/>
      <x:c r="B102" s="1"/>
      <x:c r="C102" s="30"/>
      <x:c r="D102" s="30"/>
      <x:c r="E102" s="30"/>
      <x:c r="F102" s="30"/>
      <x:c r="G102" s="30"/>
      <x:c r="H102" s="30"/>
      <x:c r="I102" s="30"/>
      <x:c r="J102" s="30"/>
      <x:c r="K102" s="30"/>
      <x:c r="L102" s="30"/>
      <x:c r="M102" s="30"/>
      <x:c r="N102" s="30"/>
      <x:c r="O102" s="30"/>
      <x:c r="P102" s="30"/>
      <x:c r="Q102" s="30"/>
      <x:c r="R102" s="30"/>
      <x:c r="S102" s="30"/>
      <x:c r="T102" s="30"/>
      <x:c r="U102" s="30"/>
      <x:c r="V102" s="30"/>
      <x:c r="W102" s="30"/>
      <x:c r="X102" s="30"/>
      <x:c r="Y102" s="30"/>
      <x:c r="Z102" s="30"/>
      <x:c r="AA102" s="30"/>
      <x:c r="AB102" s="30"/>
      <x:c r="AC102" s="30"/>
      <x:c r="AD102" s="30"/>
      <x:c r="AE102" s="30"/>
      <x:c r="AF102" s="30"/>
      <x:c r="AG102" s="30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>
      <x:c r="A103" s="1"/>
      <x:c r="B103" s="1"/>
      <x:c r="C103" s="30"/>
      <x:c r="D103" s="30"/>
      <x:c r="E103" s="30"/>
      <x:c r="F103" s="30"/>
      <x:c r="G103" s="3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0"/>
      <x:c r="T103" s="30"/>
      <x:c r="U103" s="30"/>
      <x:c r="V103" s="30"/>
      <x:c r="W103" s="30"/>
      <x:c r="X103" s="30"/>
      <x:c r="Y103" s="30"/>
      <x:c r="Z103" s="30"/>
      <x:c r="AA103" s="30"/>
      <x:c r="AB103" s="30"/>
      <x:c r="AC103" s="30"/>
      <x:c r="AD103" s="30"/>
      <x:c r="AE103" s="30"/>
      <x:c r="AF103" s="30"/>
      <x:c r="AG103" s="30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>
      <x:c r="A104" s="1"/>
      <x:c r="B104" s="1"/>
      <x:c r="C104" s="30"/>
      <x:c r="D104" s="30"/>
      <x:c r="E104" s="30"/>
      <x:c r="F104" s="30"/>
      <x:c r="G104" s="30"/>
      <x:c r="H104" s="30"/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0"/>
      <x:c r="T104" s="30"/>
      <x:c r="U104" s="30"/>
      <x:c r="V104" s="30"/>
      <x:c r="W104" s="30"/>
      <x:c r="X104" s="30"/>
      <x:c r="Y104" s="30"/>
      <x:c r="Z104" s="30"/>
      <x:c r="AA104" s="30"/>
      <x:c r="AB104" s="30"/>
      <x:c r="AC104" s="30"/>
      <x:c r="AD104" s="30"/>
      <x:c r="AE104" s="30"/>
      <x:c r="AF104" s="30"/>
      <x:c r="AG104" s="30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>
      <x:c r="A105" s="1"/>
      <x:c r="B105" s="1"/>
      <x:c r="C105" s="30"/>
      <x:c r="D105" s="30"/>
      <x:c r="E105" s="30"/>
      <x:c r="F105" s="30"/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  <x:c r="Q105" s="30"/>
      <x:c r="R105" s="30"/>
      <x:c r="S105" s="30"/>
      <x:c r="T105" s="30"/>
      <x:c r="U105" s="30"/>
      <x:c r="V105" s="30"/>
      <x:c r="W105" s="30"/>
      <x:c r="X105" s="30"/>
      <x:c r="Y105" s="30"/>
      <x:c r="Z105" s="30"/>
      <x:c r="AA105" s="30"/>
      <x:c r="AB105" s="30"/>
      <x:c r="AC105" s="30"/>
      <x:c r="AD105" s="30"/>
      <x:c r="AE105" s="30"/>
      <x:c r="AF105" s="30"/>
      <x:c r="AG105" s="30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>
      <x:c r="A106" s="1"/>
      <x:c r="B106" s="1"/>
      <x:c r="C106" s="30"/>
      <x:c r="D106" s="30"/>
      <x:c r="E106" s="30"/>
      <x:c r="F106" s="30"/>
      <x:c r="G106" s="30"/>
      <x:c r="H106" s="30"/>
      <x:c r="I106" s="30"/>
      <x:c r="J106" s="30"/>
      <x:c r="K106" s="30"/>
      <x:c r="L106" s="30"/>
      <x:c r="M106" s="30"/>
      <x:c r="N106" s="30"/>
      <x:c r="O106" s="30"/>
      <x:c r="P106" s="30"/>
      <x:c r="Q106" s="30"/>
      <x:c r="R106" s="30"/>
      <x:c r="S106" s="30"/>
      <x:c r="T106" s="30"/>
      <x:c r="U106" s="30"/>
      <x:c r="V106" s="30"/>
      <x:c r="W106" s="30"/>
      <x:c r="X106" s="30"/>
      <x:c r="Y106" s="30"/>
      <x:c r="Z106" s="30"/>
      <x:c r="AA106" s="30"/>
      <x:c r="AB106" s="30"/>
      <x:c r="AC106" s="30"/>
      <x:c r="AD106" s="30"/>
      <x:c r="AE106" s="30"/>
      <x:c r="AF106" s="30"/>
      <x:c r="AG106" s="30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>
      <x:c r="A107" s="1"/>
      <x:c r="B107" s="1"/>
      <x:c r="C107" s="30"/>
      <x:c r="D107" s="30"/>
      <x:c r="E107" s="30"/>
      <x:c r="F107" s="30"/>
      <x:c r="G107" s="30"/>
      <x:c r="H107" s="30"/>
      <x:c r="I107" s="30"/>
      <x:c r="J107" s="30"/>
      <x:c r="K107" s="30"/>
      <x:c r="L107" s="30"/>
      <x:c r="M107" s="30"/>
      <x:c r="N107" s="30"/>
      <x:c r="O107" s="30"/>
      <x:c r="P107" s="30"/>
      <x:c r="Q107" s="30"/>
      <x:c r="R107" s="30"/>
      <x:c r="S107" s="30"/>
      <x:c r="T107" s="30"/>
      <x:c r="U107" s="30"/>
      <x:c r="V107" s="30"/>
      <x:c r="W107" s="30"/>
      <x:c r="X107" s="30"/>
      <x:c r="Y107" s="30"/>
      <x:c r="Z107" s="30"/>
      <x:c r="AA107" s="30"/>
      <x:c r="AB107" s="30"/>
      <x:c r="AC107" s="30"/>
      <x:c r="AD107" s="30"/>
      <x:c r="AE107" s="30"/>
      <x:c r="AF107" s="30"/>
      <x:c r="AG107" s="30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>
      <x:c r="A108" s="1"/>
      <x:c r="B108" s="1"/>
      <x:c r="C108" s="30"/>
      <x:c r="D108" s="30"/>
      <x:c r="E108" s="30"/>
      <x:c r="F108" s="30"/>
      <x:c r="G108" s="30"/>
      <x:c r="H108" s="30"/>
      <x:c r="I108" s="30"/>
      <x:c r="J108" s="30"/>
      <x:c r="K108" s="30"/>
      <x:c r="L108" s="30"/>
      <x:c r="M108" s="30"/>
      <x:c r="N108" s="30"/>
      <x:c r="O108" s="30"/>
      <x:c r="P108" s="30"/>
      <x:c r="Q108" s="30"/>
      <x:c r="R108" s="30"/>
      <x:c r="S108" s="30"/>
      <x:c r="T108" s="30"/>
      <x:c r="U108" s="30"/>
      <x:c r="V108" s="30"/>
      <x:c r="W108" s="30"/>
      <x:c r="X108" s="30"/>
      <x:c r="Y108" s="30"/>
      <x:c r="Z108" s="30"/>
      <x:c r="AA108" s="30"/>
      <x:c r="AB108" s="30"/>
      <x:c r="AC108" s="30"/>
      <x:c r="AD108" s="30"/>
      <x:c r="AE108" s="30"/>
      <x:c r="AF108" s="30"/>
      <x:c r="AG108" s="30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>
      <x:c r="A109" s="1"/>
      <x:c r="B109" s="1"/>
      <x:c r="C109" s="30"/>
      <x:c r="D109" s="30"/>
      <x:c r="E109" s="30"/>
      <x:c r="F109" s="30"/>
      <x:c r="G109" s="30"/>
      <x:c r="H109" s="30"/>
      <x:c r="I109" s="30"/>
      <x:c r="J109" s="30"/>
      <x:c r="K109" s="30"/>
      <x:c r="L109" s="30"/>
      <x:c r="M109" s="30"/>
      <x:c r="N109" s="30"/>
      <x:c r="O109" s="30"/>
      <x:c r="P109" s="30"/>
      <x:c r="Q109" s="30"/>
      <x:c r="R109" s="30"/>
      <x:c r="S109" s="30"/>
      <x:c r="T109" s="30"/>
      <x:c r="U109" s="30"/>
      <x:c r="V109" s="30"/>
      <x:c r="W109" s="30"/>
      <x:c r="X109" s="30"/>
      <x:c r="Y109" s="30"/>
      <x:c r="Z109" s="30"/>
      <x:c r="AA109" s="30"/>
      <x:c r="AB109" s="30"/>
      <x:c r="AC109" s="30"/>
      <x:c r="AD109" s="30"/>
      <x:c r="AE109" s="30"/>
      <x:c r="AF109" s="30"/>
      <x:c r="AG109" s="30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>
      <x:c r="A110" s="1"/>
      <x:c r="B110" s="1"/>
      <x:c r="C110" s="30"/>
      <x:c r="D110" s="30"/>
      <x:c r="E110" s="30"/>
      <x:c r="F110" s="30"/>
      <x:c r="G110" s="30"/>
      <x:c r="H110" s="30"/>
      <x:c r="I110" s="30"/>
      <x:c r="J110" s="30"/>
      <x:c r="K110" s="30"/>
      <x:c r="L110" s="30"/>
      <x:c r="M110" s="30"/>
      <x:c r="N110" s="30"/>
      <x:c r="O110" s="30"/>
      <x:c r="P110" s="30"/>
      <x:c r="Q110" s="30"/>
      <x:c r="R110" s="30"/>
      <x:c r="S110" s="30"/>
      <x:c r="T110" s="30"/>
      <x:c r="U110" s="30"/>
      <x:c r="V110" s="30"/>
      <x:c r="W110" s="30"/>
      <x:c r="X110" s="30"/>
      <x:c r="Y110" s="30"/>
      <x:c r="Z110" s="30"/>
      <x:c r="AA110" s="30"/>
      <x:c r="AB110" s="30"/>
      <x:c r="AC110" s="30"/>
      <x:c r="AD110" s="30"/>
      <x:c r="AE110" s="30"/>
      <x:c r="AF110" s="30"/>
      <x:c r="AG110" s="30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>
      <x:c r="A111" s="1"/>
      <x:c r="B111" s="1"/>
      <x:c r="C111" s="30"/>
      <x:c r="D111" s="30"/>
      <x:c r="E111" s="30"/>
      <x:c r="F111" s="30"/>
      <x:c r="G111" s="30"/>
      <x:c r="H111" s="30"/>
      <x:c r="I111" s="30"/>
      <x:c r="J111" s="30"/>
      <x:c r="K111" s="30"/>
      <x:c r="L111" s="30"/>
      <x:c r="M111" s="30"/>
      <x:c r="N111" s="30"/>
      <x:c r="O111" s="30"/>
      <x:c r="P111" s="30"/>
      <x:c r="Q111" s="30"/>
      <x:c r="R111" s="30"/>
      <x:c r="S111" s="30"/>
      <x:c r="T111" s="30"/>
      <x:c r="U111" s="30"/>
      <x:c r="V111" s="30"/>
      <x:c r="W111" s="30"/>
      <x:c r="X111" s="30"/>
      <x:c r="Y111" s="30"/>
      <x:c r="Z111" s="30"/>
      <x:c r="AA111" s="30"/>
      <x:c r="AB111" s="30"/>
      <x:c r="AC111" s="30"/>
      <x:c r="AD111" s="30"/>
      <x:c r="AE111" s="30"/>
      <x:c r="AF111" s="30"/>
      <x:c r="AG111" s="30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>
      <x:c r="A112" s="1"/>
      <x:c r="B112" s="1"/>
      <x:c r="C112" s="30"/>
      <x:c r="D112" s="30"/>
      <x:c r="E112" s="30"/>
      <x:c r="F112" s="30"/>
      <x:c r="G112" s="30"/>
      <x:c r="H112" s="30"/>
      <x:c r="I112" s="30"/>
      <x:c r="J112" s="30"/>
      <x:c r="K112" s="30"/>
      <x:c r="L112" s="30"/>
      <x:c r="M112" s="30"/>
      <x:c r="N112" s="30"/>
      <x:c r="O112" s="30"/>
      <x:c r="P112" s="30"/>
      <x:c r="Q112" s="30"/>
      <x:c r="R112" s="30"/>
      <x:c r="S112" s="30"/>
      <x:c r="T112" s="30"/>
      <x:c r="U112" s="30"/>
      <x:c r="V112" s="30"/>
      <x:c r="W112" s="30"/>
      <x:c r="X112" s="30"/>
      <x:c r="Y112" s="30"/>
      <x:c r="Z112" s="30"/>
      <x:c r="AA112" s="30"/>
      <x:c r="AB112" s="30"/>
      <x:c r="AC112" s="30"/>
      <x:c r="AD112" s="30"/>
      <x:c r="AE112" s="30"/>
      <x:c r="AF112" s="30"/>
      <x:c r="AG112" s="30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>
      <x:c r="A113" s="1"/>
      <x:c r="B113" s="1"/>
      <x:c r="C113" s="30"/>
      <x:c r="D113" s="30"/>
      <x:c r="E113" s="30"/>
      <x:c r="F113" s="30"/>
      <x:c r="G113" s="30"/>
      <x:c r="H113" s="30"/>
      <x:c r="I113" s="30"/>
      <x:c r="J113" s="30"/>
      <x:c r="K113" s="30"/>
      <x:c r="L113" s="30"/>
      <x:c r="M113" s="30"/>
      <x:c r="N113" s="30"/>
      <x:c r="O113" s="30"/>
      <x:c r="P113" s="30"/>
      <x:c r="Q113" s="30"/>
      <x:c r="R113" s="30"/>
      <x:c r="S113" s="30"/>
      <x:c r="T113" s="30"/>
      <x:c r="U113" s="30"/>
      <x:c r="V113" s="30"/>
      <x:c r="W113" s="30"/>
      <x:c r="X113" s="30"/>
      <x:c r="Y113" s="30"/>
      <x:c r="Z113" s="30"/>
      <x:c r="AA113" s="30"/>
      <x:c r="AB113" s="30"/>
      <x:c r="AC113" s="30"/>
      <x:c r="AD113" s="30"/>
      <x:c r="AE113" s="30"/>
      <x:c r="AF113" s="30"/>
      <x:c r="AG113" s="30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>
      <x:c r="A114" s="1"/>
      <x:c r="B114" s="1"/>
      <x:c r="C114" s="30"/>
      <x:c r="D114" s="30"/>
      <x:c r="E114" s="30"/>
      <x:c r="F114" s="30"/>
      <x:c r="G114" s="30"/>
      <x:c r="H114" s="30"/>
      <x:c r="I114" s="30"/>
      <x:c r="J114" s="30"/>
      <x:c r="K114" s="30"/>
      <x:c r="L114" s="30"/>
      <x:c r="M114" s="30"/>
      <x:c r="N114" s="30"/>
      <x:c r="O114" s="30"/>
      <x:c r="P114" s="30"/>
      <x:c r="Q114" s="30"/>
      <x:c r="R114" s="30"/>
      <x:c r="S114" s="30"/>
      <x:c r="T114" s="30"/>
      <x:c r="U114" s="30"/>
      <x:c r="V114" s="30"/>
      <x:c r="W114" s="30"/>
      <x:c r="X114" s="30"/>
      <x:c r="Y114" s="30"/>
      <x:c r="Z114" s="30"/>
      <x:c r="AA114" s="30"/>
      <x:c r="AB114" s="30"/>
      <x:c r="AC114" s="30"/>
      <x:c r="AD114" s="30"/>
      <x:c r="AE114" s="30"/>
      <x:c r="AF114" s="30"/>
      <x:c r="AG114" s="30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>
      <x:c r="A115" s="1"/>
      <x:c r="B115" s="1"/>
      <x:c r="C115" s="30"/>
      <x:c r="D115" s="30"/>
      <x:c r="E115" s="30"/>
      <x:c r="F115" s="30"/>
      <x:c r="G115" s="30"/>
      <x:c r="H115" s="30"/>
      <x:c r="I115" s="30"/>
      <x:c r="J115" s="30"/>
      <x:c r="K115" s="30"/>
      <x:c r="L115" s="30"/>
      <x:c r="M115" s="30"/>
      <x:c r="N115" s="30"/>
      <x:c r="O115" s="30"/>
      <x:c r="P115" s="30"/>
      <x:c r="Q115" s="30"/>
      <x:c r="R115" s="30"/>
      <x:c r="S115" s="30"/>
      <x:c r="T115" s="30"/>
      <x:c r="U115" s="30"/>
      <x:c r="V115" s="30"/>
      <x:c r="W115" s="30"/>
      <x:c r="X115" s="30"/>
      <x:c r="Y115" s="30"/>
      <x:c r="Z115" s="30"/>
      <x:c r="AA115" s="30"/>
      <x:c r="AB115" s="30"/>
      <x:c r="AC115" s="30"/>
      <x:c r="AD115" s="30"/>
      <x:c r="AE115" s="30"/>
      <x:c r="AF115" s="30"/>
      <x:c r="AG115" s="30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>
      <x:c r="A116" s="1"/>
      <x:c r="B116" s="1"/>
      <x:c r="C116" s="30"/>
      <x:c r="D116" s="30"/>
      <x:c r="E116" s="30"/>
      <x:c r="F116" s="30"/>
      <x:c r="G116" s="30"/>
      <x:c r="H116" s="30"/>
      <x:c r="I116" s="30"/>
      <x:c r="J116" s="30"/>
      <x:c r="K116" s="30"/>
      <x:c r="L116" s="30"/>
      <x:c r="M116" s="30"/>
      <x:c r="N116" s="30"/>
      <x:c r="O116" s="30"/>
      <x:c r="P116" s="30"/>
      <x:c r="Q116" s="30"/>
      <x:c r="R116" s="30"/>
      <x:c r="S116" s="30"/>
      <x:c r="T116" s="30"/>
      <x:c r="U116" s="30"/>
      <x:c r="V116" s="30"/>
      <x:c r="W116" s="30"/>
      <x:c r="X116" s="30"/>
      <x:c r="Y116" s="30"/>
      <x:c r="Z116" s="30"/>
      <x:c r="AA116" s="30"/>
      <x:c r="AB116" s="30"/>
      <x:c r="AC116" s="30"/>
      <x:c r="AD116" s="30"/>
      <x:c r="AE116" s="30"/>
      <x:c r="AF116" s="30"/>
      <x:c r="AG116" s="30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>
      <x:c r="A117" s="1"/>
      <x:c r="B117" s="1"/>
      <x:c r="C117" s="30"/>
      <x:c r="D117" s="30"/>
      <x:c r="E117" s="30"/>
      <x:c r="F117" s="30"/>
      <x:c r="G117" s="30"/>
      <x:c r="H117" s="30"/>
      <x:c r="I117" s="30"/>
      <x:c r="J117" s="30"/>
      <x:c r="K117" s="30"/>
      <x:c r="L117" s="30"/>
      <x:c r="M117" s="30"/>
      <x:c r="N117" s="30"/>
      <x:c r="O117" s="30"/>
      <x:c r="P117" s="30"/>
      <x:c r="Q117" s="30"/>
      <x:c r="R117" s="30"/>
      <x:c r="S117" s="30"/>
      <x:c r="T117" s="30"/>
      <x:c r="U117" s="30"/>
      <x:c r="V117" s="30"/>
      <x:c r="W117" s="30"/>
      <x:c r="X117" s="30"/>
      <x:c r="Y117" s="30"/>
      <x:c r="Z117" s="30"/>
      <x:c r="AA117" s="30"/>
      <x:c r="AB117" s="30"/>
      <x:c r="AC117" s="30"/>
      <x:c r="AD117" s="30"/>
      <x:c r="AE117" s="30"/>
      <x:c r="AF117" s="30"/>
      <x:c r="AG117" s="30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>
      <x:c r="A118" s="1"/>
      <x:c r="B118" s="1"/>
      <x:c r="C118" s="30"/>
      <x:c r="D118" s="30"/>
      <x:c r="E118" s="30"/>
      <x:c r="F118" s="30"/>
      <x:c r="G118" s="30"/>
      <x:c r="H118" s="30"/>
      <x:c r="I118" s="30"/>
      <x:c r="J118" s="30"/>
      <x:c r="K118" s="30"/>
      <x:c r="L118" s="30"/>
      <x:c r="M118" s="30"/>
      <x:c r="N118" s="30"/>
      <x:c r="O118" s="30"/>
      <x:c r="P118" s="30"/>
      <x:c r="Q118" s="30"/>
      <x:c r="R118" s="30"/>
      <x:c r="S118" s="30"/>
      <x:c r="T118" s="30"/>
      <x:c r="U118" s="30"/>
      <x:c r="V118" s="30"/>
      <x:c r="W118" s="30"/>
      <x:c r="X118" s="30"/>
      <x:c r="Y118" s="30"/>
      <x:c r="Z118" s="30"/>
      <x:c r="AA118" s="30"/>
      <x:c r="AB118" s="30"/>
      <x:c r="AC118" s="30"/>
      <x:c r="AD118" s="30"/>
      <x:c r="AE118" s="30"/>
      <x:c r="AF118" s="30"/>
      <x:c r="AG118" s="30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>
      <x:c r="A119" s="1"/>
      <x:c r="B119" s="1"/>
      <x:c r="C119" s="30"/>
      <x:c r="D119" s="30"/>
      <x:c r="E119" s="30"/>
      <x:c r="F119" s="30"/>
      <x:c r="G119" s="30"/>
      <x:c r="H119" s="30"/>
      <x:c r="I119" s="30"/>
      <x:c r="J119" s="30"/>
      <x:c r="K119" s="30"/>
      <x:c r="L119" s="30"/>
      <x:c r="M119" s="30"/>
      <x:c r="N119" s="30"/>
      <x:c r="O119" s="30"/>
      <x:c r="P119" s="30"/>
      <x:c r="Q119" s="30"/>
      <x:c r="R119" s="30"/>
      <x:c r="S119" s="30"/>
      <x:c r="T119" s="30"/>
      <x:c r="U119" s="30"/>
      <x:c r="V119" s="30"/>
      <x:c r="W119" s="30"/>
      <x:c r="X119" s="30"/>
      <x:c r="Y119" s="30"/>
      <x:c r="Z119" s="30"/>
      <x:c r="AA119" s="30"/>
      <x:c r="AB119" s="30"/>
      <x:c r="AC119" s="30"/>
      <x:c r="AD119" s="30"/>
      <x:c r="AE119" s="30"/>
      <x:c r="AF119" s="30"/>
      <x:c r="AG119" s="30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>
      <x:c r="A120" s="1"/>
      <x:c r="B120" s="1"/>
      <x:c r="C120" s="30"/>
      <x:c r="D120" s="30"/>
      <x:c r="E120" s="30"/>
      <x:c r="F120" s="30"/>
      <x:c r="G120" s="30"/>
      <x:c r="H120" s="30"/>
      <x:c r="I120" s="30"/>
      <x:c r="J120" s="30"/>
      <x:c r="K120" s="30"/>
      <x:c r="L120" s="30"/>
      <x:c r="M120" s="30"/>
      <x:c r="N120" s="30"/>
      <x:c r="O120" s="30"/>
      <x:c r="P120" s="30"/>
      <x:c r="Q120" s="30"/>
      <x:c r="R120" s="30"/>
      <x:c r="S120" s="30"/>
      <x:c r="T120" s="30"/>
      <x:c r="U120" s="30"/>
      <x:c r="V120" s="30"/>
      <x:c r="W120" s="30"/>
      <x:c r="X120" s="30"/>
      <x:c r="Y120" s="30"/>
      <x:c r="Z120" s="30"/>
      <x:c r="AA120" s="30"/>
      <x:c r="AB120" s="30"/>
      <x:c r="AC120" s="30"/>
      <x:c r="AD120" s="30"/>
      <x:c r="AE120" s="30"/>
      <x:c r="AF120" s="30"/>
      <x:c r="AG120" s="30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>
      <x:c r="A121" s="1"/>
      <x:c r="B121" s="1"/>
      <x:c r="C121" s="30"/>
      <x:c r="D121" s="30"/>
      <x:c r="E121" s="30"/>
      <x:c r="F121" s="30"/>
      <x:c r="G121" s="30"/>
      <x:c r="H121" s="30"/>
      <x:c r="I121" s="30"/>
      <x:c r="J121" s="30"/>
      <x:c r="K121" s="30"/>
      <x:c r="L121" s="30"/>
      <x:c r="M121" s="30"/>
      <x:c r="N121" s="30"/>
      <x:c r="O121" s="30"/>
      <x:c r="P121" s="30"/>
      <x:c r="Q121" s="30"/>
      <x:c r="R121" s="30"/>
      <x:c r="S121" s="30"/>
      <x:c r="T121" s="30"/>
      <x:c r="U121" s="30"/>
      <x:c r="V121" s="30"/>
      <x:c r="W121" s="30"/>
      <x:c r="X121" s="30"/>
      <x:c r="Y121" s="30"/>
      <x:c r="Z121" s="30"/>
      <x:c r="AA121" s="30"/>
      <x:c r="AB121" s="30"/>
      <x:c r="AC121" s="30"/>
      <x:c r="AD121" s="30"/>
      <x:c r="AE121" s="30"/>
      <x:c r="AF121" s="30"/>
      <x:c r="AG121" s="30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>
      <x:c r="A122" s="1"/>
      <x:c r="B122" s="1"/>
      <x:c r="C122" s="30"/>
      <x:c r="D122" s="30"/>
      <x:c r="E122" s="30"/>
      <x:c r="F122" s="30"/>
      <x:c r="G122" s="30"/>
      <x:c r="H122" s="30"/>
      <x:c r="I122" s="30"/>
      <x:c r="J122" s="30"/>
      <x:c r="K122" s="30"/>
      <x:c r="L122" s="30"/>
      <x:c r="M122" s="30"/>
      <x:c r="N122" s="30"/>
      <x:c r="O122" s="30"/>
      <x:c r="P122" s="30"/>
      <x:c r="Q122" s="30"/>
      <x:c r="R122" s="30"/>
      <x:c r="S122" s="30"/>
      <x:c r="T122" s="30"/>
      <x:c r="U122" s="30"/>
      <x:c r="V122" s="30"/>
      <x:c r="W122" s="30"/>
      <x:c r="X122" s="30"/>
      <x:c r="Y122" s="30"/>
      <x:c r="Z122" s="30"/>
      <x:c r="AA122" s="30"/>
      <x:c r="AB122" s="30"/>
      <x:c r="AC122" s="30"/>
      <x:c r="AD122" s="30"/>
      <x:c r="AE122" s="30"/>
      <x:c r="AF122" s="30"/>
      <x:c r="AG122" s="30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>
      <x:c r="A123" s="1"/>
      <x:c r="B123" s="1"/>
      <x:c r="C123" s="30"/>
      <x:c r="D123" s="30"/>
      <x:c r="E123" s="30"/>
      <x:c r="F123" s="30"/>
      <x:c r="G123" s="30"/>
      <x:c r="H123" s="30"/>
      <x:c r="I123" s="30"/>
      <x:c r="J123" s="30"/>
      <x:c r="K123" s="30"/>
      <x:c r="L123" s="30"/>
      <x:c r="M123" s="30"/>
      <x:c r="N123" s="30"/>
      <x:c r="O123" s="30"/>
      <x:c r="P123" s="30"/>
      <x:c r="Q123" s="30"/>
      <x:c r="R123" s="30"/>
      <x:c r="S123" s="30"/>
      <x:c r="T123" s="30"/>
      <x:c r="U123" s="30"/>
      <x:c r="V123" s="30"/>
      <x:c r="W123" s="30"/>
      <x:c r="X123" s="30"/>
      <x:c r="Y123" s="30"/>
      <x:c r="Z123" s="30"/>
      <x:c r="AA123" s="30"/>
      <x:c r="AB123" s="30"/>
      <x:c r="AC123" s="30"/>
      <x:c r="AD123" s="30"/>
      <x:c r="AE123" s="30"/>
      <x:c r="AF123" s="30"/>
      <x:c r="AG123" s="30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>
      <x:c r="A124" s="1"/>
      <x:c r="B124" s="1"/>
      <x:c r="C124" s="30"/>
      <x:c r="D124" s="30"/>
      <x:c r="E124" s="30"/>
      <x:c r="F124" s="30"/>
      <x:c r="G124" s="30"/>
      <x:c r="H124" s="30"/>
      <x:c r="I124" s="30"/>
      <x:c r="J124" s="30"/>
      <x:c r="K124" s="30"/>
      <x:c r="L124" s="30"/>
      <x:c r="M124" s="30"/>
      <x:c r="N124" s="30"/>
      <x:c r="O124" s="30"/>
      <x:c r="P124" s="30"/>
      <x:c r="Q124" s="30"/>
      <x:c r="R124" s="30"/>
      <x:c r="S124" s="30"/>
      <x:c r="T124" s="30"/>
      <x:c r="U124" s="30"/>
      <x:c r="V124" s="30"/>
      <x:c r="W124" s="30"/>
      <x:c r="X124" s="30"/>
      <x:c r="Y124" s="30"/>
      <x:c r="Z124" s="30"/>
      <x:c r="AA124" s="30"/>
      <x:c r="AB124" s="30"/>
      <x:c r="AC124" s="30"/>
      <x:c r="AD124" s="30"/>
      <x:c r="AE124" s="30"/>
      <x:c r="AF124" s="30"/>
      <x:c r="AG124" s="30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>
      <x:c r="A125" s="1"/>
      <x:c r="B125" s="1"/>
      <x:c r="C125" s="30"/>
      <x:c r="D125" s="30"/>
      <x:c r="E125" s="30"/>
      <x:c r="F125" s="30"/>
      <x:c r="G125" s="30"/>
      <x:c r="H125" s="30"/>
      <x:c r="I125" s="30"/>
      <x:c r="J125" s="30"/>
      <x:c r="K125" s="30"/>
      <x:c r="L125" s="30"/>
      <x:c r="M125" s="30"/>
      <x:c r="N125" s="30"/>
      <x:c r="O125" s="30"/>
      <x:c r="P125" s="30"/>
      <x:c r="Q125" s="30"/>
      <x:c r="R125" s="30"/>
      <x:c r="S125" s="30"/>
      <x:c r="T125" s="30"/>
      <x:c r="U125" s="30"/>
      <x:c r="V125" s="30"/>
      <x:c r="W125" s="30"/>
      <x:c r="X125" s="30"/>
      <x:c r="Y125" s="30"/>
      <x:c r="Z125" s="30"/>
      <x:c r="AA125" s="30"/>
      <x:c r="AB125" s="30"/>
      <x:c r="AC125" s="30"/>
      <x:c r="AD125" s="30"/>
      <x:c r="AE125" s="30"/>
      <x:c r="AF125" s="30"/>
      <x:c r="AG125" s="30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>
      <x:c r="A126" s="1"/>
      <x:c r="B126" s="1"/>
      <x:c r="C126" s="30"/>
      <x:c r="D126" s="30"/>
      <x:c r="E126" s="30"/>
      <x:c r="F126" s="30"/>
      <x:c r="G126" s="30"/>
      <x:c r="H126" s="30"/>
      <x:c r="I126" s="30"/>
      <x:c r="J126" s="30"/>
      <x:c r="K126" s="30"/>
      <x:c r="L126" s="30"/>
      <x:c r="M126" s="30"/>
      <x:c r="N126" s="30"/>
      <x:c r="O126" s="30"/>
      <x:c r="P126" s="30"/>
      <x:c r="Q126" s="30"/>
      <x:c r="R126" s="30"/>
      <x:c r="S126" s="30"/>
      <x:c r="T126" s="30"/>
      <x:c r="U126" s="30"/>
      <x:c r="V126" s="30"/>
      <x:c r="W126" s="30"/>
      <x:c r="X126" s="30"/>
      <x:c r="Y126" s="30"/>
      <x:c r="Z126" s="30"/>
      <x:c r="AA126" s="30"/>
      <x:c r="AB126" s="30"/>
      <x:c r="AC126" s="30"/>
      <x:c r="AD126" s="30"/>
      <x:c r="AE126" s="30"/>
      <x:c r="AF126" s="30"/>
      <x:c r="AG126" s="30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>
      <x:c r="A127" s="1"/>
      <x:c r="B127" s="1"/>
      <x:c r="C127" s="30"/>
      <x:c r="D127" s="30"/>
      <x:c r="E127" s="30"/>
      <x:c r="F127" s="30"/>
      <x:c r="G127" s="30"/>
      <x:c r="H127" s="30"/>
      <x:c r="I127" s="30"/>
      <x:c r="J127" s="30"/>
      <x:c r="K127" s="30"/>
      <x:c r="L127" s="30"/>
      <x:c r="M127" s="30"/>
      <x:c r="N127" s="30"/>
      <x:c r="O127" s="30"/>
      <x:c r="P127" s="30"/>
      <x:c r="Q127" s="30"/>
      <x:c r="R127" s="30"/>
      <x:c r="S127" s="30"/>
      <x:c r="T127" s="30"/>
      <x:c r="U127" s="30"/>
      <x:c r="V127" s="30"/>
      <x:c r="W127" s="30"/>
      <x:c r="X127" s="30"/>
      <x:c r="Y127" s="30"/>
      <x:c r="Z127" s="30"/>
      <x:c r="AA127" s="30"/>
      <x:c r="AB127" s="30"/>
      <x:c r="AC127" s="30"/>
      <x:c r="AD127" s="30"/>
      <x:c r="AE127" s="30"/>
      <x:c r="AF127" s="30"/>
      <x:c r="AG127" s="30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>
      <x:c r="A128" s="1"/>
      <x:c r="B128" s="1"/>
      <x:c r="C128" s="30"/>
      <x:c r="D128" s="30"/>
      <x:c r="E128" s="30"/>
      <x:c r="F128" s="30"/>
      <x:c r="G128" s="30"/>
      <x:c r="H128" s="30"/>
      <x:c r="I128" s="30"/>
      <x:c r="J128" s="30"/>
      <x:c r="K128" s="30"/>
      <x:c r="L128" s="30"/>
      <x:c r="M128" s="30"/>
      <x:c r="N128" s="30"/>
      <x:c r="O128" s="30"/>
      <x:c r="P128" s="30"/>
      <x:c r="Q128" s="30"/>
      <x:c r="R128" s="30"/>
      <x:c r="S128" s="30"/>
      <x:c r="T128" s="30"/>
      <x:c r="U128" s="30"/>
      <x:c r="V128" s="30"/>
      <x:c r="W128" s="30"/>
      <x:c r="X128" s="30"/>
      <x:c r="Y128" s="30"/>
      <x:c r="Z128" s="30"/>
      <x:c r="AA128" s="30"/>
      <x:c r="AB128" s="30"/>
      <x:c r="AC128" s="30"/>
      <x:c r="AD128" s="30"/>
      <x:c r="AE128" s="30"/>
      <x:c r="AF128" s="30"/>
      <x:c r="AG128" s="30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>
      <x:c r="A129" s="1"/>
      <x:c r="B129" s="1"/>
      <x:c r="C129" s="30"/>
      <x:c r="D129" s="30"/>
      <x:c r="E129" s="30"/>
      <x:c r="F129" s="30"/>
      <x:c r="G129" s="30"/>
      <x:c r="H129" s="30"/>
      <x:c r="I129" s="30"/>
      <x:c r="J129" s="30"/>
      <x:c r="K129" s="30"/>
      <x:c r="L129" s="30"/>
      <x:c r="M129" s="30"/>
      <x:c r="N129" s="30"/>
      <x:c r="O129" s="30"/>
      <x:c r="P129" s="30"/>
      <x:c r="Q129" s="30"/>
      <x:c r="R129" s="30"/>
      <x:c r="S129" s="30"/>
      <x:c r="T129" s="30"/>
      <x:c r="U129" s="30"/>
      <x:c r="V129" s="30"/>
      <x:c r="W129" s="30"/>
      <x:c r="X129" s="30"/>
      <x:c r="Y129" s="30"/>
      <x:c r="Z129" s="30"/>
      <x:c r="AA129" s="30"/>
      <x:c r="AB129" s="30"/>
      <x:c r="AC129" s="30"/>
      <x:c r="AD129" s="30"/>
      <x:c r="AE129" s="30"/>
      <x:c r="AF129" s="30"/>
      <x:c r="AG129" s="30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>
      <x:c r="A130" s="1"/>
      <x:c r="B130" s="1"/>
      <x:c r="C130" s="30"/>
      <x:c r="D130" s="30"/>
      <x:c r="E130" s="30"/>
      <x:c r="F130" s="30"/>
      <x:c r="G130" s="30"/>
      <x:c r="H130" s="30"/>
      <x:c r="I130" s="30"/>
      <x:c r="J130" s="30"/>
      <x:c r="K130" s="30"/>
      <x:c r="L130" s="30"/>
      <x:c r="M130" s="30"/>
      <x:c r="N130" s="30"/>
      <x:c r="O130" s="30"/>
      <x:c r="P130" s="30"/>
      <x:c r="Q130" s="30"/>
      <x:c r="R130" s="30"/>
      <x:c r="S130" s="30"/>
      <x:c r="T130" s="30"/>
      <x:c r="U130" s="30"/>
      <x:c r="V130" s="30"/>
      <x:c r="W130" s="30"/>
      <x:c r="X130" s="30"/>
      <x:c r="Y130" s="30"/>
      <x:c r="Z130" s="30"/>
      <x:c r="AA130" s="30"/>
      <x:c r="AB130" s="30"/>
      <x:c r="AC130" s="30"/>
      <x:c r="AD130" s="30"/>
      <x:c r="AE130" s="30"/>
      <x:c r="AF130" s="30"/>
      <x:c r="AG130" s="30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>
      <x:c r="A131" s="1"/>
      <x:c r="B131" s="1"/>
      <x:c r="C131" s="30"/>
      <x:c r="D131" s="30"/>
      <x:c r="E131" s="30"/>
      <x:c r="F131" s="30"/>
      <x:c r="G131" s="30"/>
      <x:c r="H131" s="30"/>
      <x:c r="I131" s="30"/>
      <x:c r="J131" s="30"/>
      <x:c r="K131" s="30"/>
      <x:c r="L131" s="30"/>
      <x:c r="M131" s="30"/>
      <x:c r="N131" s="30"/>
      <x:c r="O131" s="30"/>
      <x:c r="P131" s="30"/>
      <x:c r="Q131" s="30"/>
      <x:c r="R131" s="30"/>
      <x:c r="S131" s="30"/>
      <x:c r="T131" s="30"/>
      <x:c r="U131" s="30"/>
      <x:c r="V131" s="30"/>
      <x:c r="W131" s="30"/>
      <x:c r="X131" s="30"/>
      <x:c r="Y131" s="30"/>
      <x:c r="Z131" s="30"/>
      <x:c r="AA131" s="30"/>
      <x:c r="AB131" s="30"/>
      <x:c r="AC131" s="30"/>
      <x:c r="AD131" s="30"/>
      <x:c r="AE131" s="30"/>
      <x:c r="AF131" s="30"/>
      <x:c r="AG131" s="30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>
      <x:c r="A132" s="1"/>
      <x:c r="B132" s="1"/>
      <x:c r="C132" s="30"/>
      <x:c r="D132" s="30"/>
      <x:c r="E132" s="30"/>
      <x:c r="F132" s="30"/>
      <x:c r="G132" s="30"/>
      <x:c r="H132" s="30"/>
      <x:c r="I132" s="30"/>
      <x:c r="J132" s="30"/>
      <x:c r="K132" s="30"/>
      <x:c r="L132" s="30"/>
      <x:c r="M132" s="30"/>
      <x:c r="N132" s="30"/>
      <x:c r="O132" s="30"/>
      <x:c r="P132" s="30"/>
      <x:c r="Q132" s="30"/>
      <x:c r="R132" s="30"/>
      <x:c r="S132" s="30"/>
      <x:c r="T132" s="30"/>
      <x:c r="U132" s="30"/>
      <x:c r="V132" s="30"/>
      <x:c r="W132" s="30"/>
      <x:c r="X132" s="30"/>
      <x:c r="Y132" s="30"/>
      <x:c r="Z132" s="30"/>
      <x:c r="AA132" s="30"/>
      <x:c r="AB132" s="30"/>
      <x:c r="AC132" s="30"/>
      <x:c r="AD132" s="30"/>
      <x:c r="AE132" s="30"/>
      <x:c r="AF132" s="30"/>
      <x:c r="AG132" s="30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>
      <x:c r="A133" s="1"/>
      <x:c r="B133" s="1"/>
      <x:c r="C133" s="30"/>
      <x:c r="D133" s="30"/>
      <x:c r="E133" s="30"/>
      <x:c r="F133" s="30"/>
      <x:c r="G133" s="30"/>
      <x:c r="H133" s="30"/>
      <x:c r="I133" s="30"/>
      <x:c r="J133" s="30"/>
      <x:c r="K133" s="30"/>
      <x:c r="L133" s="30"/>
      <x:c r="M133" s="30"/>
      <x:c r="N133" s="30"/>
      <x:c r="O133" s="30"/>
      <x:c r="P133" s="30"/>
      <x:c r="Q133" s="30"/>
      <x:c r="R133" s="30"/>
      <x:c r="S133" s="30"/>
      <x:c r="T133" s="30"/>
      <x:c r="U133" s="30"/>
      <x:c r="V133" s="30"/>
      <x:c r="W133" s="30"/>
      <x:c r="X133" s="30"/>
      <x:c r="Y133" s="30"/>
      <x:c r="Z133" s="30"/>
      <x:c r="AA133" s="30"/>
      <x:c r="AB133" s="30"/>
      <x:c r="AC133" s="30"/>
      <x:c r="AD133" s="30"/>
      <x:c r="AE133" s="30"/>
      <x:c r="AF133" s="30"/>
      <x:c r="AG133" s="30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>
      <x:c r="A134" s="1"/>
      <x:c r="B134" s="1"/>
      <x:c r="C134" s="30"/>
      <x:c r="D134" s="30"/>
      <x:c r="E134" s="30"/>
      <x:c r="F134" s="30"/>
      <x:c r="G134" s="30"/>
      <x:c r="H134" s="30"/>
      <x:c r="I134" s="30"/>
      <x:c r="J134" s="30"/>
      <x:c r="K134" s="30"/>
      <x:c r="L134" s="30"/>
      <x:c r="M134" s="30"/>
      <x:c r="N134" s="30"/>
      <x:c r="O134" s="30"/>
      <x:c r="P134" s="30"/>
      <x:c r="Q134" s="30"/>
      <x:c r="R134" s="30"/>
      <x:c r="S134" s="30"/>
      <x:c r="T134" s="30"/>
      <x:c r="U134" s="30"/>
      <x:c r="V134" s="30"/>
      <x:c r="W134" s="30"/>
      <x:c r="X134" s="30"/>
      <x:c r="Y134" s="30"/>
      <x:c r="Z134" s="30"/>
      <x:c r="AA134" s="30"/>
      <x:c r="AB134" s="30"/>
      <x:c r="AC134" s="30"/>
      <x:c r="AD134" s="30"/>
      <x:c r="AE134" s="30"/>
      <x:c r="AF134" s="30"/>
      <x:c r="AG134" s="30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>
      <x:c r="A135" s="1"/>
      <x:c r="B135" s="1"/>
      <x:c r="C135" s="30"/>
      <x:c r="D135" s="30"/>
      <x:c r="E135" s="30"/>
      <x:c r="F135" s="30"/>
      <x:c r="G135" s="30"/>
      <x:c r="H135" s="30"/>
      <x:c r="I135" s="30"/>
      <x:c r="J135" s="30"/>
      <x:c r="K135" s="30"/>
      <x:c r="L135" s="30"/>
      <x:c r="M135" s="30"/>
      <x:c r="N135" s="30"/>
      <x:c r="O135" s="30"/>
      <x:c r="P135" s="30"/>
      <x:c r="Q135" s="30"/>
      <x:c r="R135" s="30"/>
      <x:c r="S135" s="30"/>
      <x:c r="T135" s="30"/>
      <x:c r="U135" s="30"/>
      <x:c r="V135" s="30"/>
      <x:c r="W135" s="30"/>
      <x:c r="X135" s="30"/>
      <x:c r="Y135" s="30"/>
      <x:c r="Z135" s="30"/>
      <x:c r="AA135" s="30"/>
      <x:c r="AB135" s="30"/>
      <x:c r="AC135" s="30"/>
      <x:c r="AD135" s="30"/>
      <x:c r="AE135" s="30"/>
      <x:c r="AF135" s="30"/>
      <x:c r="AG135" s="30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>
      <x:c r="A136" s="1"/>
      <x:c r="B136" s="1"/>
      <x:c r="C136" s="30"/>
      <x:c r="D136" s="30"/>
      <x:c r="E136" s="30"/>
      <x:c r="F136" s="30"/>
      <x:c r="G136" s="30"/>
      <x:c r="H136" s="30"/>
      <x:c r="I136" s="30"/>
      <x:c r="J136" s="30"/>
      <x:c r="K136" s="30"/>
      <x:c r="L136" s="30"/>
      <x:c r="M136" s="30"/>
      <x:c r="N136" s="30"/>
      <x:c r="O136" s="30"/>
      <x:c r="P136" s="30"/>
      <x:c r="Q136" s="30"/>
      <x:c r="R136" s="30"/>
      <x:c r="S136" s="30"/>
      <x:c r="T136" s="30"/>
      <x:c r="U136" s="30"/>
      <x:c r="V136" s="30"/>
      <x:c r="W136" s="30"/>
      <x:c r="X136" s="30"/>
      <x:c r="Y136" s="30"/>
      <x:c r="Z136" s="30"/>
      <x:c r="AA136" s="30"/>
      <x:c r="AB136" s="30"/>
      <x:c r="AC136" s="30"/>
      <x:c r="AD136" s="30"/>
      <x:c r="AE136" s="30"/>
      <x:c r="AF136" s="30"/>
      <x:c r="AG136" s="30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>
      <x:c r="A137" s="1"/>
      <x:c r="B137" s="1"/>
      <x:c r="C137" s="30"/>
      <x:c r="D137" s="30"/>
      <x:c r="E137" s="30"/>
      <x:c r="F137" s="30"/>
      <x:c r="G137" s="30"/>
      <x:c r="H137" s="30"/>
      <x:c r="I137" s="30"/>
      <x:c r="J137" s="30"/>
      <x:c r="K137" s="30"/>
      <x:c r="L137" s="30"/>
      <x:c r="M137" s="30"/>
      <x:c r="N137" s="30"/>
      <x:c r="O137" s="30"/>
      <x:c r="P137" s="30"/>
      <x:c r="Q137" s="30"/>
      <x:c r="R137" s="30"/>
      <x:c r="S137" s="30"/>
      <x:c r="T137" s="30"/>
      <x:c r="U137" s="30"/>
      <x:c r="V137" s="30"/>
      <x:c r="W137" s="30"/>
      <x:c r="X137" s="30"/>
      <x:c r="Y137" s="30"/>
      <x:c r="Z137" s="30"/>
      <x:c r="AA137" s="30"/>
      <x:c r="AB137" s="30"/>
      <x:c r="AC137" s="30"/>
      <x:c r="AD137" s="30"/>
      <x:c r="AE137" s="30"/>
      <x:c r="AF137" s="30"/>
      <x:c r="AG137" s="30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>
      <x:c r="A138" s="1"/>
      <x:c r="B138" s="1"/>
      <x:c r="C138" s="30"/>
      <x:c r="D138" s="30"/>
      <x:c r="E138" s="30"/>
      <x:c r="F138" s="30"/>
      <x:c r="G138" s="30"/>
      <x:c r="H138" s="30"/>
      <x:c r="I138" s="30"/>
      <x:c r="J138" s="30"/>
      <x:c r="K138" s="30"/>
      <x:c r="L138" s="30"/>
      <x:c r="M138" s="30"/>
      <x:c r="N138" s="30"/>
      <x:c r="O138" s="30"/>
      <x:c r="P138" s="30"/>
      <x:c r="Q138" s="30"/>
      <x:c r="R138" s="30"/>
      <x:c r="S138" s="30"/>
      <x:c r="T138" s="30"/>
      <x:c r="U138" s="30"/>
      <x:c r="V138" s="30"/>
      <x:c r="W138" s="30"/>
      <x:c r="X138" s="30"/>
      <x:c r="Y138" s="30"/>
      <x:c r="Z138" s="30"/>
      <x:c r="AA138" s="30"/>
      <x:c r="AB138" s="30"/>
      <x:c r="AC138" s="30"/>
      <x:c r="AD138" s="30"/>
      <x:c r="AE138" s="30"/>
      <x:c r="AF138" s="30"/>
      <x:c r="AG138" s="30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>
      <x:c r="A139" s="1"/>
      <x:c r="B139" s="1"/>
      <x:c r="C139" s="30"/>
      <x:c r="D139" s="30"/>
      <x:c r="E139" s="30"/>
      <x:c r="F139" s="30"/>
      <x:c r="G139" s="30"/>
      <x:c r="H139" s="30"/>
      <x:c r="I139" s="30"/>
      <x:c r="J139" s="30"/>
      <x:c r="K139" s="30"/>
      <x:c r="L139" s="30"/>
      <x:c r="M139" s="30"/>
      <x:c r="N139" s="30"/>
      <x:c r="O139" s="30"/>
      <x:c r="P139" s="30"/>
      <x:c r="Q139" s="30"/>
      <x:c r="R139" s="30"/>
      <x:c r="S139" s="30"/>
      <x:c r="T139" s="30"/>
      <x:c r="U139" s="30"/>
      <x:c r="V139" s="30"/>
      <x:c r="W139" s="30"/>
      <x:c r="X139" s="30"/>
      <x:c r="Y139" s="30"/>
      <x:c r="Z139" s="30"/>
      <x:c r="AA139" s="30"/>
      <x:c r="AB139" s="30"/>
      <x:c r="AC139" s="30"/>
      <x:c r="AD139" s="30"/>
      <x:c r="AE139" s="30"/>
      <x:c r="AF139" s="30"/>
      <x:c r="AG139" s="30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>
      <x:c r="A140" s="1"/>
      <x:c r="B140" s="1"/>
      <x:c r="C140" s="30"/>
      <x:c r="D140" s="30"/>
      <x:c r="E140" s="30"/>
      <x:c r="F140" s="30"/>
      <x:c r="G140" s="30"/>
      <x:c r="H140" s="30"/>
      <x:c r="I140" s="30"/>
      <x:c r="J140" s="30"/>
      <x:c r="K140" s="30"/>
      <x:c r="L140" s="30"/>
      <x:c r="M140" s="30"/>
      <x:c r="N140" s="30"/>
      <x:c r="O140" s="30"/>
      <x:c r="P140" s="30"/>
      <x:c r="Q140" s="30"/>
      <x:c r="R140" s="30"/>
      <x:c r="S140" s="30"/>
      <x:c r="T140" s="30"/>
      <x:c r="U140" s="30"/>
      <x:c r="V140" s="30"/>
      <x:c r="W140" s="30"/>
      <x:c r="X140" s="30"/>
      <x:c r="Y140" s="30"/>
      <x:c r="Z140" s="30"/>
      <x:c r="AA140" s="30"/>
      <x:c r="AB140" s="30"/>
      <x:c r="AC140" s="30"/>
      <x:c r="AD140" s="30"/>
      <x:c r="AE140" s="30"/>
      <x:c r="AF140" s="30"/>
      <x:c r="AG140" s="30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>
      <x:c r="A141" s="1"/>
      <x:c r="B141" s="1"/>
      <x:c r="C141" s="30"/>
      <x:c r="D141" s="30"/>
      <x:c r="E141" s="30"/>
      <x:c r="F141" s="30"/>
      <x:c r="G141" s="30"/>
      <x:c r="H141" s="30"/>
      <x:c r="I141" s="30"/>
      <x:c r="J141" s="30"/>
      <x:c r="K141" s="30"/>
      <x:c r="L141" s="30"/>
      <x:c r="M141" s="30"/>
      <x:c r="N141" s="30"/>
      <x:c r="O141" s="30"/>
      <x:c r="P141" s="30"/>
      <x:c r="Q141" s="30"/>
      <x:c r="R141" s="30"/>
      <x:c r="S141" s="30"/>
      <x:c r="T141" s="30"/>
      <x:c r="U141" s="30"/>
      <x:c r="V141" s="30"/>
      <x:c r="W141" s="30"/>
      <x:c r="X141" s="30"/>
      <x:c r="Y141" s="30"/>
      <x:c r="Z141" s="30"/>
      <x:c r="AA141" s="30"/>
      <x:c r="AB141" s="30"/>
      <x:c r="AC141" s="30"/>
      <x:c r="AD141" s="30"/>
      <x:c r="AE141" s="30"/>
      <x:c r="AF141" s="30"/>
      <x:c r="AG141" s="30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>
      <x:c r="A142" s="1"/>
      <x:c r="B142" s="1"/>
      <x:c r="C142" s="30"/>
      <x:c r="D142" s="30"/>
      <x:c r="E142" s="30"/>
      <x:c r="F142" s="30"/>
      <x:c r="G142" s="30"/>
      <x:c r="H142" s="30"/>
      <x:c r="I142" s="30"/>
      <x:c r="J142" s="30"/>
      <x:c r="K142" s="30"/>
      <x:c r="L142" s="30"/>
      <x:c r="M142" s="30"/>
      <x:c r="N142" s="30"/>
      <x:c r="O142" s="30"/>
      <x:c r="P142" s="30"/>
      <x:c r="Q142" s="30"/>
      <x:c r="R142" s="30"/>
      <x:c r="S142" s="30"/>
      <x:c r="T142" s="30"/>
      <x:c r="U142" s="30"/>
      <x:c r="V142" s="30"/>
      <x:c r="W142" s="30"/>
      <x:c r="X142" s="30"/>
      <x:c r="Y142" s="30"/>
      <x:c r="Z142" s="30"/>
      <x:c r="AA142" s="30"/>
      <x:c r="AB142" s="30"/>
      <x:c r="AC142" s="30"/>
      <x:c r="AD142" s="30"/>
      <x:c r="AE142" s="30"/>
      <x:c r="AF142" s="30"/>
      <x:c r="AG142" s="30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>
      <x:c r="A143" s="1"/>
      <x:c r="B143" s="1"/>
      <x:c r="C143" s="30"/>
      <x:c r="D143" s="30"/>
      <x:c r="E143" s="30"/>
      <x:c r="F143" s="30"/>
      <x:c r="G143" s="30"/>
      <x:c r="H143" s="30"/>
      <x:c r="I143" s="30"/>
      <x:c r="J143" s="30"/>
      <x:c r="K143" s="30"/>
      <x:c r="L143" s="30"/>
      <x:c r="M143" s="30"/>
      <x:c r="N143" s="30"/>
      <x:c r="O143" s="30"/>
      <x:c r="P143" s="30"/>
      <x:c r="Q143" s="30"/>
      <x:c r="R143" s="30"/>
      <x:c r="S143" s="30"/>
      <x:c r="T143" s="30"/>
      <x:c r="U143" s="30"/>
      <x:c r="V143" s="30"/>
      <x:c r="W143" s="30"/>
      <x:c r="X143" s="30"/>
      <x:c r="Y143" s="30"/>
      <x:c r="Z143" s="30"/>
      <x:c r="AA143" s="30"/>
      <x:c r="AB143" s="30"/>
      <x:c r="AC143" s="30"/>
      <x:c r="AD143" s="30"/>
      <x:c r="AE143" s="30"/>
      <x:c r="AF143" s="30"/>
      <x:c r="AG143" s="30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>
      <x:c r="A144" s="1"/>
      <x:c r="B144" s="1"/>
      <x:c r="C144" s="30"/>
      <x:c r="D144" s="30"/>
      <x:c r="E144" s="30"/>
      <x:c r="F144" s="30"/>
      <x:c r="G144" s="30"/>
      <x:c r="H144" s="30"/>
      <x:c r="I144" s="30"/>
      <x:c r="J144" s="30"/>
      <x:c r="K144" s="30"/>
      <x:c r="L144" s="30"/>
      <x:c r="M144" s="30"/>
      <x:c r="N144" s="30"/>
      <x:c r="O144" s="30"/>
      <x:c r="P144" s="30"/>
      <x:c r="Q144" s="30"/>
      <x:c r="R144" s="30"/>
      <x:c r="S144" s="30"/>
      <x:c r="T144" s="30"/>
      <x:c r="U144" s="30"/>
      <x:c r="V144" s="30"/>
      <x:c r="W144" s="30"/>
      <x:c r="X144" s="30"/>
      <x:c r="Y144" s="30"/>
      <x:c r="Z144" s="30"/>
      <x:c r="AA144" s="30"/>
      <x:c r="AB144" s="30"/>
      <x:c r="AC144" s="30"/>
      <x:c r="AD144" s="30"/>
      <x:c r="AE144" s="30"/>
      <x:c r="AF144" s="30"/>
      <x:c r="AG144" s="30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>
      <x:c r="A145" s="1"/>
      <x:c r="B145" s="1"/>
      <x:c r="C145" s="30"/>
      <x:c r="D145" s="30"/>
      <x:c r="E145" s="30"/>
      <x:c r="F145" s="30"/>
      <x:c r="G145" s="30"/>
      <x:c r="H145" s="30"/>
      <x:c r="I145" s="30"/>
      <x:c r="J145" s="30"/>
      <x:c r="K145" s="30"/>
      <x:c r="L145" s="30"/>
      <x:c r="M145" s="30"/>
      <x:c r="N145" s="30"/>
      <x:c r="O145" s="30"/>
      <x:c r="P145" s="30"/>
      <x:c r="Q145" s="30"/>
      <x:c r="R145" s="30"/>
      <x:c r="S145" s="30"/>
      <x:c r="T145" s="30"/>
      <x:c r="U145" s="30"/>
      <x:c r="V145" s="30"/>
      <x:c r="W145" s="30"/>
      <x:c r="X145" s="30"/>
      <x:c r="Y145" s="30"/>
      <x:c r="Z145" s="30"/>
      <x:c r="AA145" s="30"/>
      <x:c r="AB145" s="30"/>
      <x:c r="AC145" s="30"/>
      <x:c r="AD145" s="30"/>
      <x:c r="AE145" s="30"/>
      <x:c r="AF145" s="30"/>
      <x:c r="AG145" s="30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>
      <x:c r="A146" s="1"/>
      <x:c r="B146" s="1"/>
      <x:c r="C146" s="30"/>
      <x:c r="D146" s="30"/>
      <x:c r="E146" s="30"/>
      <x:c r="F146" s="30"/>
      <x:c r="G146" s="30"/>
      <x:c r="H146" s="30"/>
      <x:c r="I146" s="30"/>
      <x:c r="J146" s="30"/>
      <x:c r="K146" s="30"/>
      <x:c r="L146" s="30"/>
      <x:c r="M146" s="30"/>
      <x:c r="N146" s="30"/>
      <x:c r="O146" s="30"/>
      <x:c r="P146" s="30"/>
      <x:c r="Q146" s="30"/>
      <x:c r="R146" s="30"/>
      <x:c r="S146" s="30"/>
      <x:c r="T146" s="30"/>
      <x:c r="U146" s="30"/>
      <x:c r="V146" s="30"/>
      <x:c r="W146" s="30"/>
      <x:c r="X146" s="30"/>
      <x:c r="Y146" s="30"/>
      <x:c r="Z146" s="30"/>
      <x:c r="AA146" s="30"/>
      <x:c r="AB146" s="30"/>
      <x:c r="AC146" s="30"/>
      <x:c r="AD146" s="30"/>
      <x:c r="AE146" s="30"/>
      <x:c r="AF146" s="30"/>
      <x:c r="AG146" s="30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>
      <x:c r="A147" s="1"/>
      <x:c r="B147" s="1"/>
      <x:c r="C147" s="30"/>
      <x:c r="D147" s="30"/>
      <x:c r="E147" s="30"/>
      <x:c r="F147" s="30"/>
      <x:c r="G147" s="30"/>
      <x:c r="H147" s="30"/>
      <x:c r="I147" s="30"/>
      <x:c r="J147" s="30"/>
      <x:c r="K147" s="30"/>
      <x:c r="L147" s="30"/>
      <x:c r="M147" s="30"/>
      <x:c r="N147" s="30"/>
      <x:c r="O147" s="30"/>
      <x:c r="P147" s="30"/>
      <x:c r="Q147" s="30"/>
      <x:c r="R147" s="30"/>
      <x:c r="S147" s="30"/>
      <x:c r="T147" s="30"/>
      <x:c r="U147" s="30"/>
      <x:c r="V147" s="30"/>
      <x:c r="W147" s="30"/>
      <x:c r="X147" s="30"/>
      <x:c r="Y147" s="30"/>
      <x:c r="Z147" s="30"/>
      <x:c r="AA147" s="30"/>
      <x:c r="AB147" s="30"/>
      <x:c r="AC147" s="30"/>
      <x:c r="AD147" s="30"/>
      <x:c r="AE147" s="30"/>
      <x:c r="AF147" s="30"/>
      <x:c r="AG147" s="30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>
      <x:c r="A148" s="1"/>
      <x:c r="B148" s="1"/>
      <x:c r="C148" s="30"/>
      <x:c r="D148" s="30"/>
      <x:c r="E148" s="30"/>
      <x:c r="F148" s="30"/>
      <x:c r="G148" s="30"/>
      <x:c r="H148" s="30"/>
      <x:c r="I148" s="30"/>
      <x:c r="J148" s="30"/>
      <x:c r="K148" s="30"/>
      <x:c r="L148" s="30"/>
      <x:c r="M148" s="30"/>
      <x:c r="N148" s="30"/>
      <x:c r="O148" s="30"/>
      <x:c r="P148" s="30"/>
      <x:c r="Q148" s="30"/>
      <x:c r="R148" s="30"/>
      <x:c r="S148" s="30"/>
      <x:c r="T148" s="30"/>
      <x:c r="U148" s="30"/>
      <x:c r="V148" s="30"/>
      <x:c r="W148" s="30"/>
      <x:c r="X148" s="30"/>
      <x:c r="Y148" s="30"/>
      <x:c r="Z148" s="30"/>
      <x:c r="AA148" s="30"/>
      <x:c r="AB148" s="30"/>
      <x:c r="AC148" s="30"/>
      <x:c r="AD148" s="30"/>
      <x:c r="AE148" s="30"/>
      <x:c r="AF148" s="30"/>
      <x:c r="AG148" s="30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>
      <x:c r="A149" s="1"/>
      <x:c r="B149" s="1"/>
      <x:c r="C149" s="30"/>
      <x:c r="D149" s="30"/>
      <x:c r="E149" s="30"/>
      <x:c r="F149" s="30"/>
      <x:c r="G149" s="30"/>
      <x:c r="H149" s="30"/>
      <x:c r="I149" s="30"/>
      <x:c r="J149" s="30"/>
      <x:c r="K149" s="30"/>
      <x:c r="L149" s="30"/>
      <x:c r="M149" s="30"/>
      <x:c r="N149" s="30"/>
      <x:c r="O149" s="30"/>
      <x:c r="P149" s="30"/>
      <x:c r="Q149" s="30"/>
      <x:c r="R149" s="30"/>
      <x:c r="S149" s="30"/>
      <x:c r="T149" s="30"/>
      <x:c r="U149" s="30"/>
      <x:c r="V149" s="30"/>
      <x:c r="W149" s="30"/>
      <x:c r="X149" s="30"/>
      <x:c r="Y149" s="30"/>
      <x:c r="Z149" s="30"/>
      <x:c r="AA149" s="30"/>
      <x:c r="AB149" s="30"/>
      <x:c r="AC149" s="30"/>
      <x:c r="AD149" s="30"/>
      <x:c r="AE149" s="30"/>
      <x:c r="AF149" s="30"/>
      <x:c r="AG149" s="30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>
      <x:c r="A150" s="1"/>
      <x:c r="B150" s="1"/>
      <x:c r="C150" s="30"/>
      <x:c r="D150" s="30"/>
      <x:c r="E150" s="30"/>
      <x:c r="F150" s="30"/>
      <x:c r="G150" s="30"/>
      <x:c r="H150" s="30"/>
      <x:c r="I150" s="30"/>
      <x:c r="J150" s="30"/>
      <x:c r="K150" s="30"/>
      <x:c r="L150" s="30"/>
      <x:c r="M150" s="30"/>
      <x:c r="N150" s="30"/>
      <x:c r="O150" s="30"/>
      <x:c r="P150" s="30"/>
      <x:c r="Q150" s="30"/>
      <x:c r="R150" s="30"/>
      <x:c r="S150" s="30"/>
      <x:c r="T150" s="30"/>
      <x:c r="U150" s="30"/>
      <x:c r="V150" s="30"/>
      <x:c r="W150" s="30"/>
      <x:c r="X150" s="30"/>
      <x:c r="Y150" s="30"/>
      <x:c r="Z150" s="30"/>
      <x:c r="AA150" s="30"/>
      <x:c r="AB150" s="30"/>
      <x:c r="AC150" s="30"/>
      <x:c r="AD150" s="30"/>
      <x:c r="AE150" s="30"/>
      <x:c r="AF150" s="30"/>
      <x:c r="AG150" s="30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>
      <x:c r="A151" s="1"/>
      <x:c r="B151" s="1"/>
      <x:c r="C151" s="30"/>
      <x:c r="D151" s="30"/>
      <x:c r="E151" s="30"/>
      <x:c r="F151" s="30"/>
      <x:c r="G151" s="30"/>
      <x:c r="H151" s="30"/>
      <x:c r="I151" s="30"/>
      <x:c r="J151" s="30"/>
      <x:c r="K151" s="30"/>
      <x:c r="L151" s="30"/>
      <x:c r="M151" s="30"/>
      <x:c r="N151" s="30"/>
      <x:c r="O151" s="30"/>
      <x:c r="P151" s="30"/>
      <x:c r="Q151" s="30"/>
      <x:c r="R151" s="30"/>
      <x:c r="S151" s="30"/>
      <x:c r="T151" s="30"/>
      <x:c r="U151" s="30"/>
      <x:c r="V151" s="30"/>
      <x:c r="W151" s="30"/>
      <x:c r="X151" s="30"/>
      <x:c r="Y151" s="30"/>
      <x:c r="Z151" s="30"/>
      <x:c r="AA151" s="30"/>
      <x:c r="AB151" s="30"/>
      <x:c r="AC151" s="30"/>
      <x:c r="AD151" s="30"/>
      <x:c r="AE151" s="30"/>
      <x:c r="AF151" s="30"/>
      <x:c r="AG151" s="30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>
      <x:c r="A152" s="1"/>
      <x:c r="B152" s="1"/>
      <x:c r="C152" s="30"/>
      <x:c r="D152" s="30"/>
      <x:c r="E152" s="30"/>
      <x:c r="F152" s="30"/>
      <x:c r="G152" s="30"/>
      <x:c r="H152" s="30"/>
      <x:c r="I152" s="30"/>
      <x:c r="J152" s="30"/>
      <x:c r="K152" s="30"/>
      <x:c r="L152" s="30"/>
      <x:c r="M152" s="30"/>
      <x:c r="N152" s="30"/>
      <x:c r="O152" s="30"/>
      <x:c r="P152" s="30"/>
      <x:c r="Q152" s="30"/>
      <x:c r="R152" s="30"/>
      <x:c r="S152" s="30"/>
      <x:c r="T152" s="30"/>
      <x:c r="U152" s="30"/>
      <x:c r="V152" s="30"/>
      <x:c r="W152" s="30"/>
      <x:c r="X152" s="30"/>
      <x:c r="Y152" s="30"/>
      <x:c r="Z152" s="30"/>
      <x:c r="AA152" s="30"/>
      <x:c r="AB152" s="30"/>
      <x:c r="AC152" s="30"/>
      <x:c r="AD152" s="30"/>
      <x:c r="AE152" s="30"/>
      <x:c r="AF152" s="30"/>
      <x:c r="AG152" s="30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>
      <x:c r="A153" s="1"/>
      <x:c r="B153" s="1"/>
      <x:c r="C153" s="30"/>
      <x:c r="D153" s="30"/>
      <x:c r="E153" s="30"/>
      <x:c r="F153" s="30"/>
      <x:c r="G153" s="30"/>
      <x:c r="H153" s="30"/>
      <x:c r="I153" s="30"/>
      <x:c r="J153" s="30"/>
      <x:c r="K153" s="30"/>
      <x:c r="L153" s="30"/>
      <x:c r="M153" s="30"/>
      <x:c r="N153" s="30"/>
      <x:c r="O153" s="30"/>
      <x:c r="P153" s="30"/>
      <x:c r="Q153" s="30"/>
      <x:c r="R153" s="30"/>
      <x:c r="S153" s="30"/>
      <x:c r="T153" s="30"/>
      <x:c r="U153" s="30"/>
      <x:c r="V153" s="30"/>
      <x:c r="W153" s="30"/>
      <x:c r="X153" s="30"/>
      <x:c r="Y153" s="30"/>
      <x:c r="Z153" s="30"/>
      <x:c r="AA153" s="30"/>
      <x:c r="AB153" s="30"/>
      <x:c r="AC153" s="30"/>
      <x:c r="AD153" s="30"/>
      <x:c r="AE153" s="30"/>
      <x:c r="AF153" s="30"/>
      <x:c r="AG153" s="30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>
      <x:c r="A154" s="1"/>
      <x:c r="B154" s="1"/>
      <x:c r="C154" s="30"/>
      <x:c r="D154" s="30"/>
      <x:c r="E154" s="30"/>
      <x:c r="F154" s="30"/>
      <x:c r="G154" s="30"/>
      <x:c r="H154" s="30"/>
      <x:c r="I154" s="30"/>
      <x:c r="J154" s="30"/>
      <x:c r="K154" s="30"/>
      <x:c r="L154" s="30"/>
      <x:c r="M154" s="30"/>
      <x:c r="N154" s="30"/>
      <x:c r="O154" s="30"/>
      <x:c r="P154" s="30"/>
      <x:c r="Q154" s="30"/>
      <x:c r="R154" s="30"/>
      <x:c r="S154" s="30"/>
      <x:c r="T154" s="30"/>
      <x:c r="U154" s="30"/>
      <x:c r="V154" s="30"/>
      <x:c r="W154" s="30"/>
      <x:c r="X154" s="30"/>
      <x:c r="Y154" s="30"/>
      <x:c r="Z154" s="30"/>
      <x:c r="AA154" s="30"/>
      <x:c r="AB154" s="30"/>
      <x:c r="AC154" s="30"/>
      <x:c r="AD154" s="30"/>
      <x:c r="AE154" s="30"/>
      <x:c r="AF154" s="30"/>
      <x:c r="AG154" s="30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>
      <x:c r="A155" s="1"/>
      <x:c r="B155" s="1"/>
      <x:c r="C155" s="30"/>
      <x:c r="D155" s="30"/>
      <x:c r="E155" s="30"/>
      <x:c r="F155" s="30"/>
      <x:c r="G155" s="30"/>
      <x:c r="H155" s="30"/>
      <x:c r="I155" s="30"/>
      <x:c r="J155" s="30"/>
      <x:c r="K155" s="30"/>
      <x:c r="L155" s="30"/>
      <x:c r="M155" s="30"/>
      <x:c r="N155" s="30"/>
      <x:c r="O155" s="30"/>
      <x:c r="P155" s="30"/>
      <x:c r="Q155" s="30"/>
      <x:c r="R155" s="30"/>
      <x:c r="S155" s="30"/>
      <x:c r="T155" s="30"/>
      <x:c r="U155" s="30"/>
      <x:c r="V155" s="30"/>
      <x:c r="W155" s="30"/>
      <x:c r="X155" s="30"/>
      <x:c r="Y155" s="30"/>
      <x:c r="Z155" s="30"/>
      <x:c r="AA155" s="30"/>
      <x:c r="AB155" s="30"/>
      <x:c r="AC155" s="30"/>
      <x:c r="AD155" s="30"/>
      <x:c r="AE155" s="30"/>
      <x:c r="AF155" s="30"/>
      <x:c r="AG155" s="30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>
      <x:c r="A156" s="1"/>
      <x:c r="B156" s="1"/>
      <x:c r="C156" s="30"/>
      <x:c r="D156" s="30"/>
      <x:c r="E156" s="30"/>
      <x:c r="F156" s="30"/>
      <x:c r="G156" s="30"/>
      <x:c r="H156" s="30"/>
      <x:c r="I156" s="30"/>
      <x:c r="J156" s="30"/>
      <x:c r="K156" s="30"/>
      <x:c r="L156" s="30"/>
      <x:c r="M156" s="30"/>
      <x:c r="N156" s="30"/>
      <x:c r="O156" s="30"/>
      <x:c r="P156" s="30"/>
      <x:c r="Q156" s="30"/>
      <x:c r="R156" s="30"/>
      <x:c r="S156" s="30"/>
      <x:c r="T156" s="30"/>
      <x:c r="U156" s="30"/>
      <x:c r="V156" s="30"/>
      <x:c r="W156" s="30"/>
      <x:c r="X156" s="30"/>
      <x:c r="Y156" s="30"/>
      <x:c r="Z156" s="30"/>
      <x:c r="AA156" s="30"/>
      <x:c r="AB156" s="30"/>
      <x:c r="AC156" s="30"/>
      <x:c r="AD156" s="30"/>
      <x:c r="AE156" s="30"/>
      <x:c r="AF156" s="30"/>
      <x:c r="AG156" s="30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>
      <x:c r="A157" s="1"/>
      <x:c r="B157" s="1"/>
      <x:c r="C157" s="30"/>
      <x:c r="D157" s="30"/>
      <x:c r="E157" s="30"/>
      <x:c r="F157" s="30"/>
      <x:c r="G157" s="30"/>
      <x:c r="H157" s="30"/>
      <x:c r="I157" s="30"/>
      <x:c r="J157" s="30"/>
      <x:c r="K157" s="30"/>
      <x:c r="L157" s="30"/>
      <x:c r="M157" s="30"/>
      <x:c r="N157" s="30"/>
      <x:c r="O157" s="30"/>
      <x:c r="P157" s="30"/>
      <x:c r="Q157" s="30"/>
      <x:c r="R157" s="30"/>
      <x:c r="S157" s="30"/>
      <x:c r="T157" s="30"/>
      <x:c r="U157" s="30"/>
      <x:c r="V157" s="30"/>
      <x:c r="W157" s="30"/>
      <x:c r="X157" s="30"/>
      <x:c r="Y157" s="30"/>
      <x:c r="Z157" s="30"/>
      <x:c r="AA157" s="30"/>
      <x:c r="AB157" s="30"/>
      <x:c r="AC157" s="30"/>
      <x:c r="AD157" s="30"/>
      <x:c r="AE157" s="30"/>
      <x:c r="AF157" s="30"/>
      <x:c r="AG157" s="30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>
      <x:c r="A158" s="1"/>
      <x:c r="B158" s="1"/>
      <x:c r="C158" s="30"/>
      <x:c r="D158" s="30"/>
      <x:c r="E158" s="30"/>
      <x:c r="F158" s="30"/>
      <x:c r="G158" s="30"/>
      <x:c r="H158" s="30"/>
      <x:c r="I158" s="30"/>
      <x:c r="J158" s="30"/>
      <x:c r="K158" s="30"/>
      <x:c r="L158" s="30"/>
      <x:c r="M158" s="30"/>
      <x:c r="N158" s="30"/>
      <x:c r="O158" s="30"/>
      <x:c r="P158" s="30"/>
      <x:c r="Q158" s="30"/>
      <x:c r="R158" s="30"/>
      <x:c r="S158" s="30"/>
      <x:c r="T158" s="30"/>
      <x:c r="U158" s="30"/>
      <x:c r="V158" s="30"/>
      <x:c r="W158" s="30"/>
      <x:c r="X158" s="30"/>
      <x:c r="Y158" s="30"/>
      <x:c r="Z158" s="30"/>
      <x:c r="AA158" s="30"/>
      <x:c r="AB158" s="30"/>
      <x:c r="AC158" s="30"/>
      <x:c r="AD158" s="30"/>
      <x:c r="AE158" s="30"/>
      <x:c r="AF158" s="30"/>
      <x:c r="AG158" s="30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>
      <x:c r="A159" s="1"/>
      <x:c r="B159" s="1"/>
      <x:c r="C159" s="30"/>
      <x:c r="D159" s="30"/>
      <x:c r="E159" s="30"/>
      <x:c r="F159" s="30"/>
      <x:c r="G159" s="30"/>
      <x:c r="H159" s="30"/>
      <x:c r="I159" s="30"/>
      <x:c r="J159" s="30"/>
      <x:c r="K159" s="30"/>
      <x:c r="L159" s="30"/>
      <x:c r="M159" s="30"/>
      <x:c r="N159" s="30"/>
      <x:c r="O159" s="30"/>
      <x:c r="P159" s="30"/>
      <x:c r="Q159" s="30"/>
      <x:c r="R159" s="30"/>
      <x:c r="S159" s="30"/>
      <x:c r="T159" s="30"/>
      <x:c r="U159" s="30"/>
      <x:c r="V159" s="30"/>
      <x:c r="W159" s="30"/>
      <x:c r="X159" s="30"/>
      <x:c r="Y159" s="30"/>
      <x:c r="Z159" s="30"/>
      <x:c r="AA159" s="30"/>
      <x:c r="AB159" s="30"/>
      <x:c r="AC159" s="30"/>
      <x:c r="AD159" s="30"/>
      <x:c r="AE159" s="30"/>
      <x:c r="AF159" s="30"/>
      <x:c r="AG159" s="30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>
      <x:c r="A160" s="1"/>
      <x:c r="B160" s="1"/>
      <x:c r="C160" s="30"/>
      <x:c r="D160" s="30"/>
      <x:c r="E160" s="30"/>
      <x:c r="F160" s="30"/>
      <x:c r="G160" s="30"/>
      <x:c r="H160" s="30"/>
      <x:c r="I160" s="30"/>
      <x:c r="J160" s="30"/>
      <x:c r="K160" s="30"/>
      <x:c r="L160" s="30"/>
      <x:c r="M160" s="30"/>
      <x:c r="N160" s="30"/>
      <x:c r="O160" s="30"/>
      <x:c r="P160" s="30"/>
      <x:c r="Q160" s="30"/>
      <x:c r="R160" s="30"/>
      <x:c r="S160" s="30"/>
      <x:c r="T160" s="30"/>
      <x:c r="U160" s="30"/>
      <x:c r="V160" s="30"/>
      <x:c r="W160" s="30"/>
      <x:c r="X160" s="30"/>
      <x:c r="Y160" s="30"/>
      <x:c r="Z160" s="30"/>
      <x:c r="AA160" s="30"/>
      <x:c r="AB160" s="30"/>
      <x:c r="AC160" s="30"/>
      <x:c r="AD160" s="30"/>
      <x:c r="AE160" s="30"/>
      <x:c r="AF160" s="30"/>
      <x:c r="AG160" s="30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>
      <x:c r="A161" s="1"/>
      <x:c r="B161" s="1"/>
      <x:c r="C161" s="30"/>
      <x:c r="D161" s="30"/>
      <x:c r="E161" s="30"/>
      <x:c r="F161" s="30"/>
      <x:c r="G161" s="30"/>
      <x:c r="H161" s="30"/>
      <x:c r="I161" s="30"/>
      <x:c r="J161" s="30"/>
      <x:c r="K161" s="30"/>
      <x:c r="L161" s="30"/>
      <x:c r="M161" s="30"/>
      <x:c r="N161" s="30"/>
      <x:c r="O161" s="30"/>
      <x:c r="P161" s="30"/>
      <x:c r="Q161" s="30"/>
      <x:c r="R161" s="30"/>
      <x:c r="S161" s="30"/>
      <x:c r="T161" s="30"/>
      <x:c r="U161" s="30"/>
      <x:c r="V161" s="30"/>
      <x:c r="W161" s="30"/>
      <x:c r="X161" s="30"/>
      <x:c r="Y161" s="30"/>
      <x:c r="Z161" s="30"/>
      <x:c r="AA161" s="30"/>
      <x:c r="AB161" s="30"/>
      <x:c r="AC161" s="30"/>
      <x:c r="AD161" s="30"/>
      <x:c r="AE161" s="30"/>
      <x:c r="AF161" s="30"/>
      <x:c r="AG161" s="30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>
      <x:c r="A162" s="1"/>
      <x:c r="B162" s="1"/>
      <x:c r="C162" s="30"/>
      <x:c r="D162" s="30"/>
      <x:c r="E162" s="30"/>
      <x:c r="F162" s="30"/>
      <x:c r="G162" s="30"/>
      <x:c r="H162" s="30"/>
      <x:c r="I162" s="30"/>
      <x:c r="J162" s="30"/>
      <x:c r="K162" s="30"/>
      <x:c r="L162" s="30"/>
      <x:c r="M162" s="30"/>
      <x:c r="N162" s="30"/>
      <x:c r="O162" s="30"/>
      <x:c r="P162" s="30"/>
      <x:c r="Q162" s="30"/>
      <x:c r="R162" s="30"/>
      <x:c r="S162" s="30"/>
      <x:c r="T162" s="30"/>
      <x:c r="U162" s="30"/>
      <x:c r="V162" s="30"/>
      <x:c r="W162" s="30"/>
      <x:c r="X162" s="30"/>
      <x:c r="Y162" s="30"/>
      <x:c r="Z162" s="30"/>
      <x:c r="AA162" s="30"/>
      <x:c r="AB162" s="30"/>
      <x:c r="AC162" s="30"/>
      <x:c r="AD162" s="30"/>
      <x:c r="AE162" s="30"/>
      <x:c r="AF162" s="30"/>
      <x:c r="AG162" s="30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>
      <x:c r="A163" s="1"/>
      <x:c r="B163" s="1"/>
      <x:c r="C163" s="30"/>
      <x:c r="D163" s="30"/>
      <x:c r="E163" s="30"/>
      <x:c r="F163" s="30"/>
      <x:c r="G163" s="30"/>
      <x:c r="H163" s="30"/>
      <x:c r="I163" s="30"/>
      <x:c r="J163" s="30"/>
      <x:c r="K163" s="30"/>
      <x:c r="L163" s="30"/>
      <x:c r="M163" s="30"/>
      <x:c r="N163" s="30"/>
      <x:c r="O163" s="30"/>
      <x:c r="P163" s="30"/>
      <x:c r="Q163" s="30"/>
      <x:c r="R163" s="30"/>
      <x:c r="S163" s="30"/>
      <x:c r="T163" s="30"/>
      <x:c r="U163" s="30"/>
      <x:c r="V163" s="30"/>
      <x:c r="W163" s="30"/>
      <x:c r="X163" s="30"/>
      <x:c r="Y163" s="30"/>
      <x:c r="Z163" s="30"/>
      <x:c r="AA163" s="30"/>
      <x:c r="AB163" s="30"/>
      <x:c r="AC163" s="30"/>
      <x:c r="AD163" s="30"/>
      <x:c r="AE163" s="30"/>
      <x:c r="AF163" s="30"/>
      <x:c r="AG163" s="30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>
      <x:c r="A164" s="1"/>
      <x:c r="B164" s="1"/>
      <x:c r="C164" s="30"/>
      <x:c r="D164" s="30"/>
      <x:c r="E164" s="30"/>
      <x:c r="F164" s="30"/>
      <x:c r="G164" s="30"/>
      <x:c r="H164" s="30"/>
      <x:c r="I164" s="30"/>
      <x:c r="J164" s="30"/>
      <x:c r="K164" s="30"/>
      <x:c r="L164" s="30"/>
      <x:c r="M164" s="30"/>
      <x:c r="N164" s="30"/>
      <x:c r="O164" s="30"/>
      <x:c r="P164" s="30"/>
      <x:c r="Q164" s="30"/>
      <x:c r="R164" s="30"/>
      <x:c r="S164" s="30"/>
      <x:c r="T164" s="30"/>
      <x:c r="U164" s="30"/>
      <x:c r="V164" s="30"/>
      <x:c r="W164" s="30"/>
      <x:c r="X164" s="30"/>
      <x:c r="Y164" s="30"/>
      <x:c r="Z164" s="30"/>
      <x:c r="AA164" s="30"/>
      <x:c r="AB164" s="30"/>
      <x:c r="AC164" s="30"/>
      <x:c r="AD164" s="30"/>
      <x:c r="AE164" s="30"/>
      <x:c r="AF164" s="30"/>
      <x:c r="AG164" s="30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>
      <x:c r="A165" s="1"/>
      <x:c r="B165" s="1"/>
      <x:c r="C165" s="30"/>
      <x:c r="D165" s="30"/>
      <x:c r="E165" s="30"/>
      <x:c r="F165" s="30"/>
      <x:c r="G165" s="30"/>
      <x:c r="H165" s="30"/>
      <x:c r="I165" s="30"/>
      <x:c r="J165" s="30"/>
      <x:c r="K165" s="30"/>
      <x:c r="L165" s="30"/>
      <x:c r="M165" s="30"/>
      <x:c r="N165" s="30"/>
      <x:c r="O165" s="30"/>
      <x:c r="P165" s="30"/>
      <x:c r="Q165" s="30"/>
      <x:c r="R165" s="30"/>
      <x:c r="S165" s="30"/>
      <x:c r="T165" s="30"/>
      <x:c r="U165" s="30"/>
      <x:c r="V165" s="30"/>
      <x:c r="W165" s="30"/>
      <x:c r="X165" s="30"/>
      <x:c r="Y165" s="30"/>
      <x:c r="Z165" s="30"/>
      <x:c r="AA165" s="30"/>
      <x:c r="AB165" s="30"/>
      <x:c r="AC165" s="30"/>
      <x:c r="AD165" s="30"/>
      <x:c r="AE165" s="30"/>
      <x:c r="AF165" s="30"/>
      <x:c r="AG165" s="30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>
      <x:c r="A166" s="1"/>
      <x:c r="B166" s="1"/>
      <x:c r="C166" s="30"/>
      <x:c r="D166" s="30"/>
      <x:c r="E166" s="30"/>
      <x:c r="F166" s="30"/>
      <x:c r="G166" s="30"/>
      <x:c r="H166" s="30"/>
      <x:c r="I166" s="30"/>
      <x:c r="J166" s="30"/>
      <x:c r="K166" s="30"/>
      <x:c r="L166" s="30"/>
      <x:c r="M166" s="30"/>
      <x:c r="N166" s="30"/>
      <x:c r="O166" s="30"/>
      <x:c r="P166" s="30"/>
      <x:c r="Q166" s="30"/>
      <x:c r="R166" s="30"/>
      <x:c r="S166" s="30"/>
      <x:c r="T166" s="30"/>
      <x:c r="U166" s="30"/>
      <x:c r="V166" s="30"/>
      <x:c r="W166" s="30"/>
      <x:c r="X166" s="30"/>
      <x:c r="Y166" s="30"/>
      <x:c r="Z166" s="30"/>
      <x:c r="AA166" s="30"/>
      <x:c r="AB166" s="30"/>
      <x:c r="AC166" s="30"/>
      <x:c r="AD166" s="30"/>
      <x:c r="AE166" s="30"/>
      <x:c r="AF166" s="30"/>
      <x:c r="AG166" s="30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>
      <x:c r="A167" s="1"/>
      <x:c r="B167" s="1"/>
      <x:c r="C167" s="30"/>
      <x:c r="D167" s="30"/>
      <x:c r="E167" s="30"/>
      <x:c r="F167" s="30"/>
      <x:c r="G167" s="30"/>
      <x:c r="H167" s="30"/>
      <x:c r="I167" s="30"/>
      <x:c r="J167" s="30"/>
      <x:c r="K167" s="30"/>
      <x:c r="L167" s="30"/>
      <x:c r="M167" s="30"/>
      <x:c r="N167" s="30"/>
      <x:c r="O167" s="30"/>
      <x:c r="P167" s="30"/>
      <x:c r="Q167" s="30"/>
      <x:c r="R167" s="30"/>
      <x:c r="S167" s="30"/>
      <x:c r="T167" s="30"/>
      <x:c r="U167" s="30"/>
      <x:c r="V167" s="30"/>
      <x:c r="W167" s="30"/>
      <x:c r="X167" s="30"/>
      <x:c r="Y167" s="30"/>
      <x:c r="Z167" s="30"/>
      <x:c r="AA167" s="30"/>
      <x:c r="AB167" s="30"/>
      <x:c r="AC167" s="30"/>
      <x:c r="AD167" s="30"/>
      <x:c r="AE167" s="30"/>
      <x:c r="AF167" s="30"/>
      <x:c r="AG167" s="30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>
      <x:c r="A168" s="1"/>
      <x:c r="B168" s="1"/>
      <x:c r="C168" s="30"/>
      <x:c r="D168" s="30"/>
      <x:c r="E168" s="30"/>
      <x:c r="F168" s="30"/>
      <x:c r="G168" s="30"/>
      <x:c r="H168" s="30"/>
      <x:c r="I168" s="30"/>
      <x:c r="J168" s="30"/>
      <x:c r="K168" s="30"/>
      <x:c r="L168" s="30"/>
      <x:c r="M168" s="30"/>
      <x:c r="N168" s="30"/>
      <x:c r="O168" s="30"/>
      <x:c r="P168" s="30"/>
      <x:c r="Q168" s="30"/>
      <x:c r="R168" s="30"/>
      <x:c r="S168" s="30"/>
      <x:c r="T168" s="30"/>
      <x:c r="U168" s="30"/>
      <x:c r="V168" s="30"/>
      <x:c r="W168" s="30"/>
      <x:c r="X168" s="30"/>
      <x:c r="Y168" s="30"/>
      <x:c r="Z168" s="30"/>
      <x:c r="AA168" s="30"/>
      <x:c r="AB168" s="30"/>
      <x:c r="AC168" s="30"/>
      <x:c r="AD168" s="30"/>
      <x:c r="AE168" s="30"/>
      <x:c r="AF168" s="30"/>
      <x:c r="AG168" s="30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>
      <x:c r="A169" s="1"/>
      <x:c r="B169" s="1"/>
      <x:c r="C169" s="30"/>
      <x:c r="D169" s="30"/>
      <x:c r="E169" s="30"/>
      <x:c r="F169" s="30"/>
      <x:c r="G169" s="30"/>
      <x:c r="H169" s="30"/>
      <x:c r="I169" s="30"/>
      <x:c r="J169" s="30"/>
      <x:c r="K169" s="30"/>
      <x:c r="L169" s="30"/>
      <x:c r="M169" s="30"/>
      <x:c r="N169" s="30"/>
      <x:c r="O169" s="30"/>
      <x:c r="P169" s="30"/>
      <x:c r="Q169" s="30"/>
      <x:c r="R169" s="30"/>
      <x:c r="S169" s="30"/>
      <x:c r="T169" s="30"/>
      <x:c r="U169" s="30"/>
      <x:c r="V169" s="30"/>
      <x:c r="W169" s="30"/>
      <x:c r="X169" s="30"/>
      <x:c r="Y169" s="30"/>
      <x:c r="Z169" s="30"/>
      <x:c r="AA169" s="30"/>
      <x:c r="AB169" s="30"/>
      <x:c r="AC169" s="30"/>
      <x:c r="AD169" s="30"/>
      <x:c r="AE169" s="30"/>
      <x:c r="AF169" s="30"/>
      <x:c r="AG169" s="30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>
      <x:c r="A170" s="1"/>
      <x:c r="B170" s="1"/>
      <x:c r="C170" s="30"/>
      <x:c r="D170" s="30"/>
      <x:c r="E170" s="30"/>
      <x:c r="F170" s="30"/>
      <x:c r="G170" s="30"/>
      <x:c r="H170" s="30"/>
      <x:c r="I170" s="30"/>
      <x:c r="J170" s="30"/>
      <x:c r="K170" s="30"/>
      <x:c r="L170" s="30"/>
      <x:c r="M170" s="30"/>
      <x:c r="N170" s="30"/>
      <x:c r="O170" s="30"/>
      <x:c r="P170" s="30"/>
      <x:c r="Q170" s="30"/>
      <x:c r="R170" s="30"/>
      <x:c r="S170" s="30"/>
      <x:c r="T170" s="30"/>
      <x:c r="U170" s="30"/>
      <x:c r="V170" s="30"/>
      <x:c r="W170" s="30"/>
      <x:c r="X170" s="30"/>
      <x:c r="Y170" s="30"/>
      <x:c r="Z170" s="30"/>
      <x:c r="AA170" s="30"/>
      <x:c r="AB170" s="30"/>
      <x:c r="AC170" s="30"/>
      <x:c r="AD170" s="30"/>
      <x:c r="AE170" s="30"/>
      <x:c r="AF170" s="30"/>
      <x:c r="AG170" s="30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>
      <x:c r="A171" s="1"/>
      <x:c r="B171" s="1"/>
      <x:c r="C171" s="30"/>
      <x:c r="D171" s="30"/>
      <x:c r="E171" s="30"/>
      <x:c r="F171" s="30"/>
      <x:c r="G171" s="30"/>
      <x:c r="H171" s="30"/>
      <x:c r="I171" s="30"/>
      <x:c r="J171" s="30"/>
      <x:c r="K171" s="30"/>
      <x:c r="L171" s="30"/>
      <x:c r="M171" s="30"/>
      <x:c r="N171" s="30"/>
      <x:c r="O171" s="30"/>
      <x:c r="P171" s="30"/>
      <x:c r="Q171" s="30"/>
      <x:c r="R171" s="30"/>
      <x:c r="S171" s="30"/>
      <x:c r="T171" s="30"/>
      <x:c r="U171" s="30"/>
      <x:c r="V171" s="30"/>
      <x:c r="W171" s="30"/>
      <x:c r="X171" s="30"/>
      <x:c r="Y171" s="30"/>
      <x:c r="Z171" s="30"/>
      <x:c r="AA171" s="30"/>
      <x:c r="AB171" s="30"/>
      <x:c r="AC171" s="30"/>
      <x:c r="AD171" s="30"/>
      <x:c r="AE171" s="30"/>
      <x:c r="AF171" s="30"/>
      <x:c r="AG171" s="30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>
      <x:c r="A172" s="1"/>
      <x:c r="B172" s="1"/>
      <x:c r="C172" s="30"/>
      <x:c r="D172" s="30"/>
      <x:c r="E172" s="30"/>
      <x:c r="F172" s="30"/>
      <x:c r="G172" s="30"/>
      <x:c r="H172" s="30"/>
      <x:c r="I172" s="30"/>
      <x:c r="J172" s="30"/>
      <x:c r="K172" s="30"/>
      <x:c r="L172" s="30"/>
      <x:c r="M172" s="30"/>
      <x:c r="N172" s="30"/>
      <x:c r="O172" s="30"/>
      <x:c r="P172" s="30"/>
      <x:c r="Q172" s="30"/>
      <x:c r="R172" s="30"/>
      <x:c r="S172" s="30"/>
      <x:c r="T172" s="30"/>
      <x:c r="U172" s="30"/>
      <x:c r="V172" s="30"/>
      <x:c r="W172" s="30"/>
      <x:c r="X172" s="30"/>
      <x:c r="Y172" s="30"/>
      <x:c r="Z172" s="30"/>
      <x:c r="AA172" s="30"/>
      <x:c r="AB172" s="30"/>
      <x:c r="AC172" s="30"/>
      <x:c r="AD172" s="30"/>
      <x:c r="AE172" s="30"/>
      <x:c r="AF172" s="30"/>
      <x:c r="AG172" s="30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>
      <x:c r="A173" s="1"/>
      <x:c r="B173" s="1"/>
      <x:c r="C173" s="30"/>
      <x:c r="D173" s="30"/>
      <x:c r="E173" s="30"/>
      <x:c r="F173" s="30"/>
      <x:c r="G173" s="30"/>
      <x:c r="H173" s="30"/>
      <x:c r="I173" s="30"/>
      <x:c r="J173" s="30"/>
      <x:c r="K173" s="30"/>
      <x:c r="L173" s="30"/>
      <x:c r="M173" s="30"/>
      <x:c r="N173" s="30"/>
      <x:c r="O173" s="30"/>
      <x:c r="P173" s="30"/>
      <x:c r="Q173" s="30"/>
      <x:c r="R173" s="30"/>
      <x:c r="S173" s="30"/>
      <x:c r="T173" s="30"/>
      <x:c r="U173" s="30"/>
      <x:c r="V173" s="30"/>
      <x:c r="W173" s="30"/>
      <x:c r="X173" s="30"/>
      <x:c r="Y173" s="30"/>
      <x:c r="Z173" s="30"/>
      <x:c r="AA173" s="30"/>
      <x:c r="AB173" s="30"/>
      <x:c r="AC173" s="30"/>
      <x:c r="AD173" s="30"/>
      <x:c r="AE173" s="30"/>
      <x:c r="AF173" s="30"/>
      <x:c r="AG173" s="30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>
      <x:c r="A174" s="1"/>
      <x:c r="B174" s="1"/>
      <x:c r="C174" s="30"/>
      <x:c r="D174" s="30"/>
      <x:c r="E174" s="30"/>
      <x:c r="F174" s="30"/>
      <x:c r="G174" s="30"/>
      <x:c r="H174" s="30"/>
      <x:c r="I174" s="30"/>
      <x:c r="J174" s="30"/>
      <x:c r="K174" s="30"/>
      <x:c r="L174" s="30"/>
      <x:c r="M174" s="30"/>
      <x:c r="N174" s="30"/>
      <x:c r="O174" s="30"/>
      <x:c r="P174" s="30"/>
      <x:c r="Q174" s="30"/>
      <x:c r="R174" s="30"/>
      <x:c r="S174" s="30"/>
      <x:c r="T174" s="30"/>
      <x:c r="U174" s="30"/>
      <x:c r="V174" s="30"/>
      <x:c r="W174" s="30"/>
      <x:c r="X174" s="30"/>
      <x:c r="Y174" s="30"/>
      <x:c r="Z174" s="30"/>
      <x:c r="AA174" s="30"/>
      <x:c r="AB174" s="30"/>
      <x:c r="AC174" s="30"/>
      <x:c r="AD174" s="30"/>
      <x:c r="AE174" s="30"/>
      <x:c r="AF174" s="30"/>
      <x:c r="AG174" s="30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>
      <x:c r="A175" s="1"/>
      <x:c r="B175" s="1"/>
      <x:c r="C175" s="30"/>
      <x:c r="D175" s="30"/>
      <x:c r="E175" s="30"/>
      <x:c r="F175" s="30"/>
      <x:c r="G175" s="30"/>
      <x:c r="H175" s="30"/>
      <x:c r="I175" s="30"/>
      <x:c r="J175" s="30"/>
      <x:c r="K175" s="30"/>
      <x:c r="L175" s="30"/>
      <x:c r="M175" s="30"/>
      <x:c r="N175" s="30"/>
      <x:c r="O175" s="30"/>
      <x:c r="P175" s="30"/>
      <x:c r="Q175" s="30"/>
      <x:c r="R175" s="30"/>
      <x:c r="S175" s="30"/>
      <x:c r="T175" s="30"/>
      <x:c r="U175" s="30"/>
      <x:c r="V175" s="30"/>
      <x:c r="W175" s="30"/>
      <x:c r="X175" s="30"/>
      <x:c r="Y175" s="30"/>
      <x:c r="Z175" s="30"/>
      <x:c r="AA175" s="30"/>
      <x:c r="AB175" s="30"/>
      <x:c r="AC175" s="30"/>
      <x:c r="AD175" s="30"/>
      <x:c r="AE175" s="30"/>
      <x:c r="AF175" s="30"/>
      <x:c r="AG175" s="30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>
      <x:c r="A176" s="1"/>
      <x:c r="B176" s="1"/>
      <x:c r="C176" s="30"/>
      <x:c r="D176" s="30"/>
      <x:c r="E176" s="30"/>
      <x:c r="F176" s="30"/>
      <x:c r="G176" s="30"/>
      <x:c r="H176" s="30"/>
      <x:c r="I176" s="30"/>
      <x:c r="J176" s="30"/>
      <x:c r="K176" s="30"/>
      <x:c r="L176" s="30"/>
      <x:c r="M176" s="30"/>
      <x:c r="N176" s="30"/>
      <x:c r="O176" s="30"/>
      <x:c r="P176" s="30"/>
      <x:c r="Q176" s="30"/>
      <x:c r="R176" s="30"/>
      <x:c r="S176" s="30"/>
      <x:c r="T176" s="30"/>
      <x:c r="U176" s="30"/>
      <x:c r="V176" s="30"/>
      <x:c r="W176" s="30"/>
      <x:c r="X176" s="30"/>
      <x:c r="Y176" s="30"/>
      <x:c r="Z176" s="30"/>
      <x:c r="AA176" s="30"/>
      <x:c r="AB176" s="30"/>
      <x:c r="AC176" s="30"/>
      <x:c r="AD176" s="30"/>
      <x:c r="AE176" s="30"/>
      <x:c r="AF176" s="30"/>
      <x:c r="AG176" s="30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>
      <x:c r="A177" s="1"/>
      <x:c r="B177" s="1"/>
      <x:c r="C177" s="30"/>
      <x:c r="D177" s="30"/>
      <x:c r="E177" s="30"/>
      <x:c r="F177" s="30"/>
      <x:c r="G177" s="30"/>
      <x:c r="H177" s="30"/>
      <x:c r="I177" s="30"/>
      <x:c r="J177" s="30"/>
      <x:c r="K177" s="30"/>
      <x:c r="L177" s="30"/>
      <x:c r="M177" s="30"/>
      <x:c r="N177" s="30"/>
      <x:c r="O177" s="30"/>
      <x:c r="P177" s="30"/>
      <x:c r="Q177" s="30"/>
      <x:c r="R177" s="30"/>
      <x:c r="S177" s="30"/>
      <x:c r="T177" s="30"/>
      <x:c r="U177" s="30"/>
      <x:c r="V177" s="30"/>
      <x:c r="W177" s="30"/>
      <x:c r="X177" s="30"/>
      <x:c r="Y177" s="30"/>
      <x:c r="Z177" s="30"/>
      <x:c r="AA177" s="30"/>
      <x:c r="AB177" s="30"/>
      <x:c r="AC177" s="30"/>
      <x:c r="AD177" s="30"/>
      <x:c r="AE177" s="30"/>
      <x:c r="AF177" s="30"/>
      <x:c r="AG177" s="30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>
      <x:c r="A178" s="1"/>
      <x:c r="B178" s="1"/>
      <x:c r="C178" s="30"/>
      <x:c r="D178" s="30"/>
      <x:c r="E178" s="30"/>
      <x:c r="F178" s="30"/>
      <x:c r="G178" s="30"/>
      <x:c r="H178" s="30"/>
      <x:c r="I178" s="30"/>
      <x:c r="J178" s="30"/>
      <x:c r="K178" s="30"/>
      <x:c r="L178" s="30"/>
      <x:c r="M178" s="30"/>
      <x:c r="N178" s="30"/>
      <x:c r="O178" s="30"/>
      <x:c r="P178" s="30"/>
      <x:c r="Q178" s="30"/>
      <x:c r="R178" s="30"/>
      <x:c r="S178" s="30"/>
      <x:c r="T178" s="30"/>
      <x:c r="U178" s="30"/>
      <x:c r="V178" s="30"/>
      <x:c r="W178" s="30"/>
      <x:c r="X178" s="30"/>
      <x:c r="Y178" s="30"/>
      <x:c r="Z178" s="30"/>
      <x:c r="AA178" s="30"/>
      <x:c r="AB178" s="30"/>
      <x:c r="AC178" s="30"/>
      <x:c r="AD178" s="30"/>
      <x:c r="AE178" s="30"/>
      <x:c r="AF178" s="30"/>
      <x:c r="AG178" s="30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>
      <x:c r="A179" s="1"/>
      <x:c r="B179" s="1"/>
      <x:c r="C179" s="30"/>
      <x:c r="D179" s="30"/>
      <x:c r="E179" s="30"/>
      <x:c r="F179" s="30"/>
      <x:c r="G179" s="30"/>
      <x:c r="H179" s="30"/>
      <x:c r="I179" s="30"/>
      <x:c r="J179" s="30"/>
      <x:c r="K179" s="30"/>
      <x:c r="L179" s="30"/>
      <x:c r="M179" s="30"/>
      <x:c r="N179" s="30"/>
      <x:c r="O179" s="30"/>
      <x:c r="P179" s="30"/>
      <x:c r="Q179" s="30"/>
      <x:c r="R179" s="30"/>
      <x:c r="S179" s="30"/>
      <x:c r="T179" s="30"/>
      <x:c r="U179" s="30"/>
      <x:c r="V179" s="30"/>
      <x:c r="W179" s="30"/>
      <x:c r="X179" s="30"/>
      <x:c r="Y179" s="30"/>
      <x:c r="Z179" s="30"/>
      <x:c r="AA179" s="30"/>
      <x:c r="AB179" s="30"/>
      <x:c r="AC179" s="30"/>
      <x:c r="AD179" s="30"/>
      <x:c r="AE179" s="30"/>
      <x:c r="AF179" s="30"/>
      <x:c r="AG179" s="30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>
      <x:c r="A180" s="1"/>
      <x:c r="B180" s="1"/>
      <x:c r="C180" s="30"/>
      <x:c r="D180" s="30"/>
      <x:c r="E180" s="30"/>
      <x:c r="F180" s="30"/>
      <x:c r="G180" s="30"/>
      <x:c r="H180" s="30"/>
      <x:c r="I180" s="30"/>
      <x:c r="J180" s="30"/>
      <x:c r="K180" s="30"/>
      <x:c r="L180" s="30"/>
      <x:c r="M180" s="30"/>
      <x:c r="N180" s="30"/>
      <x:c r="O180" s="30"/>
      <x:c r="P180" s="30"/>
      <x:c r="Q180" s="30"/>
      <x:c r="R180" s="30"/>
      <x:c r="S180" s="30"/>
      <x:c r="T180" s="30"/>
      <x:c r="U180" s="30"/>
      <x:c r="V180" s="30"/>
      <x:c r="W180" s="30"/>
      <x:c r="X180" s="30"/>
      <x:c r="Y180" s="30"/>
      <x:c r="Z180" s="30"/>
      <x:c r="AA180" s="30"/>
      <x:c r="AB180" s="30"/>
      <x:c r="AC180" s="30"/>
      <x:c r="AD180" s="30"/>
      <x:c r="AE180" s="30"/>
      <x:c r="AF180" s="30"/>
      <x:c r="AG180" s="30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</x:sheetData>
  <x:conditionalFormatting sqref="G5:G41">
    <x:cfRule type="containsText" dxfId="8" priority="1" operator="containsText" text="FAIL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7F8C8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8" hidden="0" customWidth="1"/>
    <x:col min="4" max="4" width="98" hidden="0" customWidth="1"/>
    <x:col min="5" max="5" width="18" hidden="0" customWidth="1"/>
    <x:col min="6" max="6" width="76" hidden="0" customWidth="1"/>
    <x:col min="7" max="7" width="5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>
      <x:c r="A2" s="1"/>
      <x:c r="B2" s="1"/>
      <x:c r="C2" s="3" t="str">
        <x:v>Internal source lineage</x:v>
      </x:c>
      <x:c r="D2" s="2"/>
      <x:c r="E2" s="2"/>
      <x:c r="F2" s="2"/>
      <x:c r="G2" s="2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</x:row>
    <x:row r="3">
      <x:c r="A3" s="1"/>
      <x:c r="B3" s="1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  <x:c r="AA3" s="30"/>
      <x:c r="AB3" s="30"/>
      <x:c r="AC3" s="30"/>
      <x:c r="AD3" s="30"/>
      <x:c r="AE3" s="30"/>
      <x:c r="AF3" s="30"/>
      <x:c r="AG3" s="30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</x:row>
    <x:row r="4">
      <x:c r="A4" s="1"/>
      <x:c r="B4" s="1"/>
      <x:c r="C4" s="9" t="str">
        <x:v>Source</x:v>
      </x:c>
      <x:c r="D4" s="17" t="str">
        <x:v>Repository artifact</x:v>
      </x:c>
      <x:c r="E4" s="17" t="str">
        <x:v>State date</x:v>
      </x:c>
      <x:c r="F4" s="17" t="str">
        <x:v>Claims used</x:v>
      </x:c>
      <x:c r="G4" s="10" t="str">
        <x:v>Limit</x:v>
      </x:c>
      <x:c r="H4" s="30"/>
      <x:c r="I4" s="30"/>
      <x:c r="J4" s="30"/>
      <x:c r="K4" s="30"/>
      <x:c r="L4" s="30"/>
      <x:c r="M4" s="30"/>
      <x:c r="N4" s="30"/>
      <x:c r="O4" s="30"/>
      <x:c r="P4" s="30"/>
      <x:c r="Q4" s="30"/>
      <x:c r="R4" s="30"/>
      <x:c r="S4" s="30"/>
      <x:c r="T4" s="30"/>
      <x:c r="U4" s="30"/>
      <x:c r="V4" s="30"/>
      <x:c r="W4" s="30"/>
      <x:c r="X4" s="30"/>
      <x:c r="Y4" s="30"/>
      <x:c r="Z4" s="30"/>
      <x:c r="AA4" s="30"/>
      <x:c r="AB4" s="30"/>
      <x:c r="AC4" s="30"/>
      <x:c r="AD4" s="30"/>
      <x:c r="AE4" s="30"/>
      <x:c r="AF4" s="30"/>
      <x:c r="AG4" s="30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</x:row>
    <x:row r="5">
      <x:c r="A5" s="1"/>
      <x:c r="B5" s="1"/>
      <x:c r="C5" s="30" t="str">
        <x:v>Pass 168 MSPT-1</x:v>
      </x:c>
      <x:c r="D5" s="30" t="str">
        <x:v>research/force/generation/department-of-resilience-six-mission-system-portfolio-topology-and-technology-competition-constitution.md</x:v>
      </x:c>
      <x:c r="E5" s="30" t="str">
        <x:v>2026-09-10</x:v>
      </x:c>
      <x:c r="F5" s="30" t="str">
        <x:v>MS-HU boundary, 15 families, force load and USD 153B technology envelope</x:v>
      </x:c>
      <x:c r="G5" s="30" t="str">
        <x:v>Portfolio planning constitution</x:v>
      </x:c>
      <x:c r="H5" s="30"/>
      <x:c r="I5" s="30"/>
      <x:c r="J5" s="30"/>
      <x:c r="K5" s="30"/>
      <x:c r="L5" s="30"/>
      <x:c r="M5" s="30"/>
      <x:c r="N5" s="30"/>
      <x:c r="O5" s="30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  <x:c r="AA5" s="30"/>
      <x:c r="AB5" s="30"/>
      <x:c r="AC5" s="30"/>
      <x:c r="AD5" s="30"/>
      <x:c r="AE5" s="30"/>
      <x:c r="AF5" s="30"/>
      <x:c r="AG5" s="30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</x:row>
    <x:row r="6">
      <x:c r="A6" s="1"/>
      <x:c r="B6" s="1"/>
      <x:c r="C6" s="30" t="str">
        <x:v>National Formation Registry</x:v>
      </x:c>
      <x:c r="D6" s="30" t="str">
        <x:v>research/force/generation/national-formation-registry.md</x:v>
      </x:c>
      <x:c r="E6" s="30" t="str">
        <x:v>2026-09-10</x:v>
      </x:c>
      <x:c r="F6" s="30" t="str">
        <x:v>Family missions, contract completeness and relational deficits</x:v>
      </x:c>
      <x:c r="G6" s="30" t="str">
        <x:v>R1/R2 planning registry; no R3 force admission</x:v>
      </x:c>
      <x:c r="H6" s="30"/>
      <x:c r="I6" s="30"/>
      <x:c r="J6" s="30"/>
      <x:c r="K6" s="30"/>
      <x:c r="L6" s="30"/>
      <x:c r="M6" s="30"/>
      <x:c r="N6" s="30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30"/>
      <x:c r="Z6" s="30"/>
      <x:c r="AA6" s="30"/>
      <x:c r="AB6" s="30"/>
      <x:c r="AC6" s="30"/>
      <x:c r="AD6" s="30"/>
      <x:c r="AE6" s="30"/>
      <x:c r="AF6" s="30"/>
      <x:c r="AG6" s="30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</x:row>
    <x:row r="7">
      <x:c r="A7" s="1"/>
      <x:c r="B7" s="1"/>
      <x:c r="C7" s="30" t="str">
        <x:v>Clinical continuity contract</x:v>
      </x:c>
      <x:c r="D7" s="30" t="str">
        <x:v>research/force/generation/f36-cisa40-sa6-root-a-clinical-utility-acuity-and-medical-continuity-service-contract.md</x:v>
      </x:c>
      <x:c r="E7" s="30" t="str">
        <x:v>2026-09-10</x:v>
      </x:c>
      <x:c r="F7" s="30" t="str">
        <x:v>Episode closure, acuity, utilities, patient transfer and supported discharge</x:v>
      </x:c>
      <x:c r="G7" s="30" t="str">
        <x:v>One 100,000-person clinical kernel; no national rate authority</x:v>
      </x:c>
      <x:c r="H7" s="30"/>
      <x:c r="I7" s="30"/>
      <x:c r="J7" s="30"/>
      <x:c r="K7" s="30"/>
      <x:c r="L7" s="30"/>
      <x:c r="M7" s="30"/>
      <x:c r="N7" s="30"/>
      <x:c r="O7" s="30"/>
      <x:c r="P7" s="30"/>
      <x:c r="Q7" s="30"/>
      <x:c r="R7" s="30"/>
      <x:c r="S7" s="30"/>
      <x:c r="T7" s="30"/>
      <x:c r="U7" s="30"/>
      <x:c r="V7" s="30"/>
      <x:c r="W7" s="30"/>
      <x:c r="X7" s="30"/>
      <x:c r="Y7" s="30"/>
      <x:c r="Z7" s="30"/>
      <x:c r="AA7" s="30"/>
      <x:c r="AB7" s="30"/>
      <x:c r="AC7" s="30"/>
      <x:c r="AD7" s="30"/>
      <x:c r="AE7" s="30"/>
      <x:c r="AF7" s="30"/>
      <x:c r="AG7" s="30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</x:row>
    <x:row r="8">
      <x:c r="A8" s="1"/>
      <x:c r="B8" s="1"/>
      <x:c r="C8" s="30" t="str">
        <x:v>Neighborhood continuity cell</x:v>
      </x:c>
      <x:c r="D8" s="30" t="str">
        <x:v>research/force/mobility/neighborhood-continuity-and-access-cell.md</x:v>
      </x:c>
      <x:c r="E8" s="30" t="str">
        <x:v>2026-09-10</x:v>
      </x:c>
      <x:c r="F8" s="30" t="str">
        <x:v>Household contact, stay-first protection, accessibility, collection, rights and handoff</x:v>
      </x:c>
      <x:c r="G8" s="30" t="str">
        <x:v>One bounded demand class; physical values remain hypotheses</x:v>
      </x:c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  <x:c r="T8" s="30"/>
      <x:c r="U8" s="30"/>
      <x:c r="V8" s="30"/>
      <x:c r="W8" s="30"/>
      <x:c r="X8" s="30"/>
      <x:c r="Y8" s="30"/>
      <x:c r="Z8" s="30"/>
      <x:c r="AA8" s="30"/>
      <x:c r="AB8" s="30"/>
      <x:c r="AC8" s="30"/>
      <x:c r="AD8" s="30"/>
      <x:c r="AE8" s="30"/>
      <x:c r="AF8" s="30"/>
      <x:c r="AG8" s="30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</x:row>
    <x:row r="9">
      <x:c r="A9" s="1"/>
      <x:c r="B9" s="1"/>
      <x:c r="C9" s="30" t="str">
        <x:v>National civil mobility</x:v>
      </x:c>
      <x:c r="D9" s="30" t="str">
        <x:v>research/force/mobility/national-civil-mobility-and-continuity-force.md</x:v>
      </x:c>
      <x:c r="E9" s="30" t="str">
        <x:v>2026-09-10</x:v>
      </x:c>
      <x:c r="F9" s="30" t="str">
        <x:v>Origin-to-receiver continuity, collection, line-haul, admission and return</x:v>
      </x:c>
      <x:c r="G9" s="30" t="str">
        <x:v>Predecessor mobility comparator; later assurance limits retained</x:v>
      </x:c>
      <x:c r="H9" s="30"/>
      <x:c r="I9" s="30"/>
      <x:c r="J9" s="30"/>
      <x:c r="K9" s="30"/>
      <x:c r="L9" s="30"/>
      <x:c r="M9" s="30"/>
      <x:c r="N9" s="30"/>
      <x:c r="O9" s="30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  <x:c r="AA9" s="30"/>
      <x:c r="AB9" s="30"/>
      <x:c r="AC9" s="30"/>
      <x:c r="AD9" s="30"/>
      <x:c r="AE9" s="30"/>
      <x:c r="AF9" s="30"/>
      <x:c r="AG9" s="30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</x:row>
    <x:row r="10">
      <x:c r="A10" s="1"/>
      <x:c r="B10" s="1"/>
      <x:c r="C10" s="30" t="str">
        <x:v>Population Continuity Complex</x:v>
      </x:c>
      <x:c r="D10" s="30" t="str">
        <x:v>research/systems/population-continuity/configuration-model.md</x:v>
      </x:c>
      <x:c r="E10" s="30" t="str">
        <x:v>2026-09-10</x:v>
      </x:c>
      <x:c r="F10" s="30" t="str">
        <x:v>Food, occupied environment, WASH, labor and service-energy boundaries</x:v>
      </x:c>
      <x:c r="G10" s="30" t="str">
        <x:v>R2+ configuration; exterior forms blocked</x:v>
      </x:c>
      <x:c r="H10" s="30"/>
      <x:c r="I10" s="30"/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  <x:c r="AA10" s="30"/>
      <x:c r="AB10" s="30"/>
      <x:c r="AC10" s="30"/>
      <x:c r="AD10" s="30"/>
      <x:c r="AE10" s="30"/>
      <x:c r="AF10" s="30"/>
      <x:c r="AG10" s="30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</x:row>
    <x:row r="11">
      <x:c r="A11" s="1"/>
      <x:c r="B11" s="1"/>
      <x:c r="C11" s="30" t="str">
        <x:v>PCC-D1 district</x:v>
      </x:c>
      <x:c r="D11" s="30" t="str">
        <x:v>research/systems/population-continuity/district-configuration.md</x:v>
      </x:c>
      <x:c r="E11" s="30" t="str">
        <x:v>2026-09-10</x:v>
      </x:c>
      <x:c r="F11" s="30" t="str">
        <x:v>Complete occupied-service chain, accessibility, receiving interfaces and release</x:v>
      </x:c>
      <x:c r="G11" s="30" t="str">
        <x:v>Prepared/mobile division remains dependency-bounded</x:v>
      </x:c>
      <x:c r="H11" s="30"/>
      <x:c r="I11" s="30"/>
      <x:c r="J11" s="30"/>
      <x:c r="K11" s="30"/>
      <x:c r="L11" s="30"/>
      <x:c r="M11" s="30"/>
      <x:c r="N11" s="30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  <x:c r="AA11" s="30"/>
      <x:c r="AB11" s="30"/>
      <x:c r="AC11" s="30"/>
      <x:c r="AD11" s="30"/>
      <x:c r="AE11" s="30"/>
      <x:c r="AF11" s="30"/>
      <x:c r="AG11" s="30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</x:row>
    <x:row r="12">
      <x:c r="A12" s="1"/>
      <x:c r="B12" s="1"/>
      <x:c r="C12" s="30" t="str">
        <x:v>Department force architecture</x:v>
      </x:c>
      <x:c r="D12" s="30" t="str">
        <x:v>research/force/force-architecture.md</x:v>
      </x:c>
      <x:c r="E12" s="30" t="str">
        <x:v>2026-09-10</x:v>
      </x:c>
      <x:c r="F12" s="30" t="str">
        <x:v>Six mission systems, seven services, nine effect ledgers and authority separation</x:v>
      </x:c>
      <x:c r="G12" s="30" t="str">
        <x:v>Institutional design authority</x:v>
      </x:c>
      <x:c r="H12" s="30"/>
      <x:c r="I12" s="30"/>
      <x:c r="J12" s="30"/>
      <x:c r="K12" s="30"/>
      <x:c r="L12" s="30"/>
      <x:c r="M12" s="30"/>
      <x:c r="N12" s="30"/>
      <x:c r="O12" s="30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  <x:c r="AA12" s="30"/>
      <x:c r="AB12" s="30"/>
      <x:c r="AC12" s="30"/>
      <x:c r="AD12" s="30"/>
      <x:c r="AE12" s="30"/>
      <x:c r="AF12" s="30"/>
      <x:c r="AG12" s="30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</x:row>
    <x:row r="13">
      <x:c r="A13" s="1"/>
      <x:c r="B13" s="1"/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  <x:c r="N13" s="30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  <x:c r="AA13" s="30"/>
      <x:c r="AB13" s="30"/>
      <x:c r="AC13" s="30"/>
      <x:c r="AD13" s="30"/>
      <x:c r="AE13" s="30"/>
      <x:c r="AF13" s="30"/>
      <x:c r="AG13" s="30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</x:row>
    <x:row r="14">
      <x:c r="A14" s="1"/>
      <x:c r="B14" s="1"/>
      <x:c r="C14" s="30"/>
      <x:c r="D14" s="30"/>
      <x:c r="E14" s="30"/>
      <x:c r="F14" s="30"/>
      <x:c r="G14" s="30"/>
      <x:c r="H14" s="30"/>
      <x:c r="I14" s="30"/>
      <x:c r="J14" s="30"/>
      <x:c r="K14" s="30"/>
      <x:c r="L14" s="30"/>
      <x:c r="M14" s="30"/>
      <x:c r="N14" s="30"/>
      <x:c r="O14" s="30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  <x:c r="AA14" s="30"/>
      <x:c r="AB14" s="30"/>
      <x:c r="AC14" s="30"/>
      <x:c r="AD14" s="30"/>
      <x:c r="AE14" s="30"/>
      <x:c r="AF14" s="30"/>
      <x:c r="AG14" s="30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</x:row>
    <x:row r="15">
      <x:c r="A15" s="1"/>
      <x:c r="B15" s="1"/>
      <x:c r="C15" s="45" t="str">
        <x:v>Research object</x:v>
      </x:c>
      <x:c r="D15" s="30" t="str">
        <x:v>HCC-1 — complete MS-HU service contract</x:v>
      </x:c>
      <x:c r="E15" s="30"/>
      <x:c r="F15" s="30"/>
      <x:c r="G15" s="30"/>
      <x:c r="H15" s="30"/>
      <x:c r="I15" s="30"/>
      <x:c r="J15" s="30"/>
      <x:c r="K15" s="30"/>
      <x:c r="L15" s="30"/>
      <x:c r="M15" s="30"/>
      <x:c r="N15" s="30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  <x:c r="AA15" s="30"/>
      <x:c r="AB15" s="30"/>
      <x:c r="AC15" s="30"/>
      <x:c r="AD15" s="30"/>
      <x:c r="AE15" s="30"/>
      <x:c r="AF15" s="30"/>
      <x:c r="AG15" s="30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</x:row>
    <x:row r="16">
      <x:c r="A16" s="1"/>
      <x:c r="B16" s="1"/>
      <x:c r="C16" s="45" t="str">
        <x:v>Financial basis</x:v>
      </x:c>
      <x:c r="D16" s="30" t="str">
        <x:v>Constant 2026 USD; undiscounted; inherited portfolio exposure</x:v>
      </x:c>
      <x:c r="E16" s="30"/>
      <x:c r="F16" s="30"/>
      <x:c r="G16" s="30"/>
      <x:c r="H16" s="30"/>
      <x:c r="I16" s="30"/>
      <x:c r="J16" s="30"/>
      <x:c r="K16" s="30"/>
      <x:c r="L16" s="30"/>
      <x:c r="M16" s="30"/>
      <x:c r="N16" s="30"/>
      <x:c r="O16" s="30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  <x:c r="AA16" s="30"/>
      <x:c r="AB16" s="30"/>
      <x:c r="AC16" s="30"/>
      <x:c r="AD16" s="30"/>
      <x:c r="AE16" s="30"/>
      <x:c r="AF16" s="30"/>
      <x:c r="AG16" s="30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</x:row>
    <x:row r="17">
      <x:c r="A17" s="1"/>
      <x:c r="B17" s="1"/>
      <x:c r="C17" s="45" t="str">
        <x:v>Service unit</x:v>
      </x:c>
      <x:c r="D17" s="30" t="str">
        <x:v>Person–household–care relationship bundle</x:v>
      </x:c>
      <x:c r="E17" s="30"/>
      <x:c r="F17" s="30"/>
      <x:c r="G17" s="30"/>
      <x:c r="H17" s="30"/>
      <x:c r="I17" s="30"/>
      <x:c r="J17" s="30"/>
      <x:c r="K17" s="30"/>
      <x:c r="L17" s="30"/>
      <x:c r="M17" s="30"/>
      <x:c r="N17" s="30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  <x:c r="AA17" s="30"/>
      <x:c r="AB17" s="30"/>
      <x:c r="AC17" s="30"/>
      <x:c r="AD17" s="30"/>
      <x:c r="AE17" s="30"/>
      <x:c r="AF17" s="30"/>
      <x:c r="AG17" s="30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</x:row>
    <x:row r="18">
      <x:c r="A18" s="1"/>
      <x:c r="B18" s="1"/>
      <x:c r="C18" s="45" t="str">
        <x:v>Capacity state</x:v>
      </x:c>
      <x:c r="D18" s="30" t="str">
        <x:v>No new person capacity, formation credit or readiness evidence</x:v>
      </x:c>
      <x:c r="E18" s="30"/>
      <x:c r="F18" s="30"/>
      <x:c r="G18" s="30"/>
      <x:c r="H18" s="30"/>
      <x:c r="I18" s="30"/>
      <x:c r="J18" s="30"/>
      <x:c r="K18" s="30"/>
      <x:c r="L18" s="30"/>
      <x:c r="M18" s="30"/>
      <x:c r="N18" s="30"/>
      <x:c r="O18" s="30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  <x:c r="AA18" s="30"/>
      <x:c r="AB18" s="30"/>
      <x:c r="AC18" s="30"/>
      <x:c r="AD18" s="30"/>
      <x:c r="AE18" s="30"/>
      <x:c r="AF18" s="30"/>
      <x:c r="AG18" s="30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</x:row>
    <x:row r="19">
      <x:c r="A19" s="1"/>
      <x:c r="B19" s="1"/>
      <x:c r="C19" s="45" t="str">
        <x:v>Technology state</x:v>
      </x:c>
      <x:c r="D19" s="30" t="str">
        <x:v>Twelve problem-field competitions; four complete first-campaign roots enter</x:v>
      </x:c>
      <x:c r="E19" s="30"/>
      <x:c r="F19" s="30"/>
      <x:c r="G19" s="30"/>
      <x:c r="H19" s="30"/>
      <x:c r="I19" s="30"/>
      <x:c r="J19" s="30"/>
      <x:c r="K19" s="30"/>
      <x:c r="L19" s="30"/>
      <x:c r="M19" s="30"/>
      <x:c r="N19" s="30"/>
      <x:c r="O19" s="30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  <x:c r="AA19" s="30"/>
      <x:c r="AB19" s="30"/>
      <x:c r="AC19" s="30"/>
      <x:c r="AD19" s="30"/>
      <x:c r="AE19" s="30"/>
      <x:c r="AF19" s="30"/>
      <x:c r="AG19" s="30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</x:row>
    <x:row r="20">
      <x:c r="A20" s="1"/>
      <x:c r="B20" s="1"/>
      <x:c r="C20" s="45" t="str">
        <x:v>Privacy state</x:v>
      </x:c>
      <x:c r="D20" s="30" t="str">
        <x:v>Minimum necessary, route-specific, correctable and offline-capable</x:v>
      </x:c>
      <x:c r="E20" s="30"/>
      <x:c r="F20" s="30"/>
      <x:c r="G20" s="30"/>
      <x:c r="H20" s="30"/>
      <x:c r="I20" s="30"/>
      <x:c r="J20" s="30"/>
      <x:c r="K20" s="30"/>
      <x:c r="L20" s="30"/>
      <x:c r="M20" s="30"/>
      <x:c r="N20" s="30"/>
      <x:c r="O20" s="30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  <x:c r="AA20" s="30"/>
      <x:c r="AB20" s="30"/>
      <x:c r="AC20" s="30"/>
      <x:c r="AD20" s="30"/>
      <x:c r="AE20" s="30"/>
      <x:c r="AF20" s="30"/>
      <x:c r="AG20" s="30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</x:row>
    <x:row r="21">
      <x:c r="A21" s="1"/>
      <x:c r="B21" s="1"/>
      <x:c r="C21" s="45" t="str">
        <x:v>Rendering</x:v>
      </x:c>
      <x:c r="D21" s="30" t="str">
        <x:v>No exterior form authorized</x:v>
      </x:c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  <x:c r="AA21" s="30"/>
      <x:c r="AB21" s="30"/>
      <x:c r="AC21" s="30"/>
      <x:c r="AD21" s="30"/>
      <x:c r="AE21" s="30"/>
      <x:c r="AF21" s="30"/>
      <x:c r="AG21" s="30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</x:row>
    <x:row r="22">
      <x:c r="A22" s="1"/>
      <x:c r="B22" s="1"/>
      <x:c r="C22" s="30"/>
      <x:c r="D22" s="30"/>
      <x:c r="E22" s="30"/>
      <x:c r="F22" s="30"/>
      <x:c r="G22" s="30"/>
      <x:c r="H22" s="30"/>
      <x:c r="I22" s="30"/>
      <x:c r="J22" s="30"/>
      <x:c r="K22" s="30"/>
      <x:c r="L22" s="30"/>
      <x:c r="M22" s="30"/>
      <x:c r="N22" s="30"/>
      <x:c r="O22" s="30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  <x:c r="AA22" s="30"/>
      <x:c r="AB22" s="30"/>
      <x:c r="AC22" s="30"/>
      <x:c r="AD22" s="30"/>
      <x:c r="AE22" s="30"/>
      <x:c r="AF22" s="30"/>
      <x:c r="AG22" s="30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</x:row>
    <x:row r="23">
      <x:c r="A23" s="1"/>
      <x:c r="B23" s="1"/>
      <x:c r="C23" s="30"/>
      <x:c r="D23" s="30"/>
      <x:c r="E23" s="30"/>
      <x:c r="F23" s="30"/>
      <x:c r="G23" s="30"/>
      <x:c r="H23" s="30"/>
      <x:c r="I23" s="30"/>
      <x:c r="J23" s="30"/>
      <x:c r="K23" s="30"/>
      <x:c r="L23" s="30"/>
      <x:c r="M23" s="30"/>
      <x:c r="N23" s="30"/>
      <x:c r="O23" s="30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  <x:c r="AA23" s="30"/>
      <x:c r="AB23" s="30"/>
      <x:c r="AC23" s="30"/>
      <x:c r="AD23" s="30"/>
      <x:c r="AE23" s="30"/>
      <x:c r="AF23" s="30"/>
      <x:c r="AG23" s="30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</x:row>
    <x:row r="24">
      <x:c r="A24" s="1"/>
      <x:c r="B24" s="1"/>
      <x:c r="C24" s="30"/>
      <x:c r="D24" s="30"/>
      <x:c r="E24" s="30"/>
      <x:c r="F24" s="30"/>
      <x:c r="G24" s="30"/>
      <x:c r="H24" s="30"/>
      <x:c r="I24" s="30"/>
      <x:c r="J24" s="30"/>
      <x:c r="K24" s="30"/>
      <x:c r="L24" s="30"/>
      <x:c r="M24" s="30"/>
      <x:c r="N24" s="30"/>
      <x:c r="O24" s="30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  <x:c r="AA24" s="30"/>
      <x:c r="AB24" s="30"/>
      <x:c r="AC24" s="30"/>
      <x:c r="AD24" s="30"/>
      <x:c r="AE24" s="30"/>
      <x:c r="AF24" s="30"/>
      <x:c r="AG24" s="30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</x:row>
    <x:row r="25">
      <x:c r="A25" s="1"/>
      <x:c r="B25" s="1"/>
      <x:c r="C25" s="30"/>
      <x:c r="D25" s="30"/>
      <x:c r="E25" s="30"/>
      <x:c r="F25" s="30"/>
      <x:c r="G25" s="30"/>
      <x:c r="H25" s="30"/>
      <x:c r="I25" s="30"/>
      <x:c r="J25" s="30"/>
      <x:c r="K25" s="30"/>
      <x:c r="L25" s="30"/>
      <x:c r="M25" s="30"/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  <x:c r="AA25" s="30"/>
      <x:c r="AB25" s="30"/>
      <x:c r="AC25" s="30"/>
      <x:c r="AD25" s="30"/>
      <x:c r="AE25" s="30"/>
      <x:c r="AF25" s="30"/>
      <x:c r="AG25" s="30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</x:row>
    <x:row r="26">
      <x:c r="A26" s="1"/>
      <x:c r="B26" s="1"/>
      <x:c r="C26" s="30"/>
      <x:c r="D26" s="30"/>
      <x:c r="E26" s="30"/>
      <x:c r="F26" s="30"/>
      <x:c r="G26" s="30"/>
      <x:c r="H26" s="30"/>
      <x:c r="I26" s="30"/>
      <x:c r="J26" s="3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  <x:c r="AA26" s="30"/>
      <x:c r="AB26" s="30"/>
      <x:c r="AC26" s="30"/>
      <x:c r="AD26" s="30"/>
      <x:c r="AE26" s="30"/>
      <x:c r="AF26" s="30"/>
      <x:c r="AG26" s="30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</x:row>
    <x:row r="27">
      <x:c r="A27" s="1"/>
      <x:c r="B27" s="1"/>
      <x:c r="C27" s="30"/>
      <x:c r="D27" s="30"/>
      <x:c r="E27" s="30"/>
      <x:c r="F27" s="30"/>
      <x:c r="G27" s="30"/>
      <x:c r="H27" s="30"/>
      <x:c r="I27" s="30"/>
      <x:c r="J27" s="30"/>
      <x:c r="K27" s="30"/>
      <x:c r="L27" s="30"/>
      <x:c r="M27" s="30"/>
      <x:c r="N27" s="30"/>
      <x:c r="O27" s="30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  <x:c r="AA27" s="30"/>
      <x:c r="AB27" s="30"/>
      <x:c r="AC27" s="30"/>
      <x:c r="AD27" s="30"/>
      <x:c r="AE27" s="30"/>
      <x:c r="AF27" s="30"/>
      <x:c r="AG27" s="30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</x:row>
    <x:row r="28">
      <x:c r="A28" s="1"/>
      <x:c r="B28" s="1"/>
      <x:c r="C28" s="30"/>
      <x:c r="D28" s="30"/>
      <x:c r="E28" s="30"/>
      <x:c r="F28" s="30"/>
      <x:c r="G28" s="30"/>
      <x:c r="H28" s="30"/>
      <x:c r="I28" s="30"/>
      <x:c r="J28" s="30"/>
      <x:c r="K28" s="30"/>
      <x:c r="L28" s="30"/>
      <x:c r="M28" s="30"/>
      <x:c r="N28" s="30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  <x:c r="AA28" s="30"/>
      <x:c r="AB28" s="30"/>
      <x:c r="AC28" s="30"/>
      <x:c r="AD28" s="30"/>
      <x:c r="AE28" s="30"/>
      <x:c r="AF28" s="30"/>
      <x:c r="AG28" s="30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</x:row>
    <x:row r="29">
      <x:c r="A29" s="1"/>
      <x:c r="B29" s="1"/>
      <x:c r="C29" s="30"/>
      <x:c r="D29" s="30"/>
      <x:c r="E29" s="30"/>
      <x:c r="F29" s="30"/>
      <x:c r="G29" s="30"/>
      <x:c r="H29" s="30"/>
      <x:c r="I29" s="30"/>
      <x:c r="J29" s="30"/>
      <x:c r="K29" s="30"/>
      <x:c r="L29" s="30"/>
      <x:c r="M29" s="30"/>
      <x:c r="N29" s="30"/>
      <x:c r="O29" s="30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  <x:c r="AA29" s="30"/>
      <x:c r="AB29" s="30"/>
      <x:c r="AC29" s="30"/>
      <x:c r="AD29" s="30"/>
      <x:c r="AE29" s="30"/>
      <x:c r="AF29" s="30"/>
      <x:c r="AG29" s="30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</x:row>
    <x:row r="30">
      <x:c r="A30" s="1"/>
      <x:c r="B30" s="1"/>
      <x:c r="C30" s="30"/>
      <x:c r="D30" s="30"/>
      <x:c r="E30" s="30"/>
      <x:c r="F30" s="30"/>
      <x:c r="G30" s="30"/>
      <x:c r="H30" s="30"/>
      <x:c r="I30" s="30"/>
      <x:c r="J30" s="30"/>
      <x:c r="K30" s="30"/>
      <x:c r="L30" s="30"/>
      <x:c r="M30" s="30"/>
      <x:c r="N30" s="30"/>
      <x:c r="O30" s="30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  <x:c r="AA30" s="30"/>
      <x:c r="AB30" s="30"/>
      <x:c r="AC30" s="30"/>
      <x:c r="AD30" s="30"/>
      <x:c r="AE30" s="30"/>
      <x:c r="AF30" s="30"/>
      <x:c r="AG30" s="30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</x:row>
    <x:row r="31">
      <x:c r="A31" s="1"/>
      <x:c r="B31" s="1"/>
      <x:c r="C31" s="30"/>
      <x:c r="D31" s="30"/>
      <x:c r="E31" s="30"/>
      <x:c r="F31" s="30"/>
      <x:c r="G31" s="30"/>
      <x:c r="H31" s="30"/>
      <x:c r="I31" s="30"/>
      <x:c r="J31" s="30"/>
      <x:c r="K31" s="30"/>
      <x:c r="L31" s="30"/>
      <x:c r="M31" s="30"/>
      <x:c r="N31" s="30"/>
      <x:c r="O31" s="30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  <x:c r="AA31" s="30"/>
      <x:c r="AB31" s="30"/>
      <x:c r="AC31" s="30"/>
      <x:c r="AD31" s="30"/>
      <x:c r="AE31" s="30"/>
      <x:c r="AF31" s="30"/>
      <x:c r="AG31" s="30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</x:row>
    <x:row r="32">
      <x:c r="A32" s="1"/>
      <x:c r="B32" s="1"/>
      <x:c r="C32" s="30"/>
      <x:c r="D32" s="30"/>
      <x:c r="E32" s="30"/>
      <x:c r="F32" s="30"/>
      <x:c r="G32" s="30"/>
      <x:c r="H32" s="30"/>
      <x:c r="I32" s="30"/>
      <x:c r="J32" s="30"/>
      <x:c r="K32" s="30"/>
      <x:c r="L32" s="30"/>
      <x:c r="M32" s="30"/>
      <x:c r="N32" s="30"/>
      <x:c r="O32" s="30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  <x:c r="AA32" s="30"/>
      <x:c r="AB32" s="30"/>
      <x:c r="AC32" s="30"/>
      <x:c r="AD32" s="30"/>
      <x:c r="AE32" s="30"/>
      <x:c r="AF32" s="30"/>
      <x:c r="AG32" s="30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</x:row>
    <x:row r="33">
      <x:c r="A33" s="1"/>
      <x:c r="B33" s="1"/>
      <x:c r="C33" s="30"/>
      <x:c r="D33" s="30"/>
      <x:c r="E33" s="30"/>
      <x:c r="F33" s="30"/>
      <x:c r="G33" s="30"/>
      <x:c r="H33" s="30"/>
      <x:c r="I33" s="30"/>
      <x:c r="J33" s="30"/>
      <x:c r="K33" s="30"/>
      <x:c r="L33" s="30"/>
      <x:c r="M33" s="30"/>
      <x:c r="N33" s="30"/>
      <x:c r="O33" s="30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  <x:c r="AA33" s="30"/>
      <x:c r="AB33" s="30"/>
      <x:c r="AC33" s="30"/>
      <x:c r="AD33" s="30"/>
      <x:c r="AE33" s="30"/>
      <x:c r="AF33" s="30"/>
      <x:c r="AG33" s="30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</x:row>
    <x:row r="34">
      <x:c r="A34" s="1"/>
      <x:c r="B34" s="1"/>
      <x:c r="C34" s="30"/>
      <x:c r="D34" s="30"/>
      <x:c r="E34" s="30"/>
      <x:c r="F34" s="30"/>
      <x:c r="G34" s="30"/>
      <x:c r="H34" s="30"/>
      <x:c r="I34" s="30"/>
      <x:c r="J34" s="30"/>
      <x:c r="K34" s="30"/>
      <x:c r="L34" s="30"/>
      <x:c r="M34" s="30"/>
      <x:c r="N34" s="30"/>
      <x:c r="O34" s="30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  <x:c r="AA34" s="30"/>
      <x:c r="AB34" s="30"/>
      <x:c r="AC34" s="30"/>
      <x:c r="AD34" s="30"/>
      <x:c r="AE34" s="30"/>
      <x:c r="AF34" s="30"/>
      <x:c r="AG34" s="30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</x:row>
    <x:row r="35">
      <x:c r="A35" s="1"/>
      <x:c r="B35" s="1"/>
      <x:c r="C35" s="30"/>
      <x:c r="D35" s="30"/>
      <x:c r="E35" s="30"/>
      <x:c r="F35" s="30"/>
      <x:c r="G35" s="30"/>
      <x:c r="H35" s="30"/>
      <x:c r="I35" s="30"/>
      <x:c r="J35" s="30"/>
      <x:c r="K35" s="30"/>
      <x:c r="L35" s="30"/>
      <x:c r="M35" s="30"/>
      <x:c r="N35" s="30"/>
      <x:c r="O35" s="30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  <x:c r="AA35" s="30"/>
      <x:c r="AB35" s="30"/>
      <x:c r="AC35" s="30"/>
      <x:c r="AD35" s="30"/>
      <x:c r="AE35" s="30"/>
      <x:c r="AF35" s="30"/>
      <x:c r="AG35" s="30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</x:row>
    <x:row r="36">
      <x:c r="A36" s="1"/>
      <x:c r="B36" s="1"/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  <x:c r="M36" s="30"/>
      <x:c r="N36" s="30"/>
      <x:c r="O36" s="30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  <x:c r="AA36" s="30"/>
      <x:c r="AB36" s="30"/>
      <x:c r="AC36" s="30"/>
      <x:c r="AD36" s="30"/>
      <x:c r="AE36" s="30"/>
      <x:c r="AF36" s="30"/>
      <x:c r="AG36" s="30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</x:row>
    <x:row r="37">
      <x:c r="A37" s="1"/>
      <x:c r="B37" s="1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  <x:c r="O37" s="30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  <x:c r="AA37" s="30"/>
      <x:c r="AB37" s="30"/>
      <x:c r="AC37" s="30"/>
      <x:c r="AD37" s="30"/>
      <x:c r="AE37" s="30"/>
      <x:c r="AF37" s="30"/>
      <x:c r="AG37" s="30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</x:row>
    <x:row r="38">
      <x:c r="A38" s="1"/>
      <x:c r="B38" s="1"/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  <x:c r="O38" s="30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  <x:c r="AA38" s="30"/>
      <x:c r="AB38" s="30"/>
      <x:c r="AC38" s="30"/>
      <x:c r="AD38" s="30"/>
      <x:c r="AE38" s="30"/>
      <x:c r="AF38" s="30"/>
      <x:c r="AG38" s="30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</x:row>
    <x:row r="39">
      <x:c r="A39" s="1"/>
      <x:c r="B39" s="1"/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  <x:c r="O39" s="30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  <x:c r="AA39" s="30"/>
      <x:c r="AB39" s="30"/>
      <x:c r="AC39" s="30"/>
      <x:c r="AD39" s="30"/>
      <x:c r="AE39" s="30"/>
      <x:c r="AF39" s="30"/>
      <x:c r="AG39" s="30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</x:row>
    <x:row r="40">
      <x:c r="A40" s="1"/>
      <x:c r="B40" s="1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  <x:c r="M40" s="30"/>
      <x:c r="N40" s="30"/>
      <x:c r="O40" s="30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  <x:c r="AA40" s="30"/>
      <x:c r="AB40" s="30"/>
      <x:c r="AC40" s="30"/>
      <x:c r="AD40" s="30"/>
      <x:c r="AE40" s="30"/>
      <x:c r="AF40" s="30"/>
      <x:c r="AG40" s="30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</x:row>
    <x:row r="41">
      <x:c r="A41" s="1"/>
      <x:c r="B41" s="1"/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  <x:c r="AA41" s="30"/>
      <x:c r="AB41" s="30"/>
      <x:c r="AC41" s="30"/>
      <x:c r="AD41" s="30"/>
      <x:c r="AE41" s="30"/>
      <x:c r="AF41" s="30"/>
      <x:c r="AG41" s="30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</x:row>
    <x:row r="42">
      <x:c r="A42" s="1"/>
      <x:c r="B42" s="1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  <x:c r="AA42" s="30"/>
      <x:c r="AB42" s="30"/>
      <x:c r="AC42" s="30"/>
      <x:c r="AD42" s="30"/>
      <x:c r="AE42" s="30"/>
      <x:c r="AF42" s="30"/>
      <x:c r="AG42" s="30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</x:row>
    <x:row r="43">
      <x:c r="A43" s="1"/>
      <x:c r="B43" s="1"/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  <x:c r="AA43" s="30"/>
      <x:c r="AB43" s="30"/>
      <x:c r="AC43" s="30"/>
      <x:c r="AD43" s="30"/>
      <x:c r="AE43" s="30"/>
      <x:c r="AF43" s="30"/>
      <x:c r="AG43" s="30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</x:row>
    <x:row r="44">
      <x:c r="A44" s="1"/>
      <x:c r="B44" s="1"/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  <x:c r="M44" s="30"/>
      <x:c r="N44" s="30"/>
      <x:c r="O44" s="30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  <x:c r="AA44" s="30"/>
      <x:c r="AB44" s="30"/>
      <x:c r="AC44" s="30"/>
      <x:c r="AD44" s="30"/>
      <x:c r="AE44" s="30"/>
      <x:c r="AF44" s="30"/>
      <x:c r="AG44" s="30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</x:row>
    <x:row r="45">
      <x:c r="A45" s="1"/>
      <x:c r="B45" s="1"/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  <x:c r="AA45" s="30"/>
      <x:c r="AB45" s="30"/>
      <x:c r="AC45" s="30"/>
      <x:c r="AD45" s="30"/>
      <x:c r="AE45" s="30"/>
      <x:c r="AF45" s="30"/>
      <x:c r="AG45" s="30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</x:row>
    <x:row r="46">
      <x:c r="A46" s="1"/>
      <x:c r="B46" s="1"/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  <x:c r="M46" s="30"/>
      <x:c r="N46" s="30"/>
      <x:c r="O46" s="30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  <x:c r="AA46" s="30"/>
      <x:c r="AB46" s="30"/>
      <x:c r="AC46" s="30"/>
      <x:c r="AD46" s="30"/>
      <x:c r="AE46" s="30"/>
      <x:c r="AF46" s="30"/>
      <x:c r="AG46" s="30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</x:row>
    <x:row r="47">
      <x:c r="A47" s="1"/>
      <x:c r="B47" s="1"/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  <x:c r="O47" s="30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  <x:c r="AA47" s="30"/>
      <x:c r="AB47" s="30"/>
      <x:c r="AC47" s="30"/>
      <x:c r="AD47" s="30"/>
      <x:c r="AE47" s="30"/>
      <x:c r="AF47" s="30"/>
      <x:c r="AG47" s="30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</x:row>
    <x:row r="48">
      <x:c r="A48" s="1"/>
      <x:c r="B48" s="1"/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  <x:c r="M48" s="30"/>
      <x:c r="N48" s="30"/>
      <x:c r="O48" s="30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  <x:c r="AA48" s="30"/>
      <x:c r="AB48" s="30"/>
      <x:c r="AC48" s="30"/>
      <x:c r="AD48" s="30"/>
      <x:c r="AE48" s="30"/>
      <x:c r="AF48" s="30"/>
      <x:c r="AG48" s="30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</x:row>
    <x:row r="49">
      <x:c r="A49" s="1"/>
      <x:c r="B49" s="1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0"/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  <x:c r="AA49" s="30"/>
      <x:c r="AB49" s="30"/>
      <x:c r="AC49" s="30"/>
      <x:c r="AD49" s="30"/>
      <x:c r="AE49" s="30"/>
      <x:c r="AF49" s="30"/>
      <x:c r="AG49" s="30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</x:row>
    <x:row r="50">
      <x:c r="A50" s="1"/>
      <x:c r="B50" s="1"/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  <x:c r="O50" s="30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  <x:c r="AA50" s="30"/>
      <x:c r="AB50" s="30"/>
      <x:c r="AC50" s="30"/>
      <x:c r="AD50" s="30"/>
      <x:c r="AE50" s="30"/>
      <x:c r="AF50" s="30"/>
      <x:c r="AG50" s="30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</x:row>
    <x:row r="51">
      <x:c r="A51" s="1"/>
      <x:c r="B51" s="1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  <x:c r="O51" s="30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  <x:c r="AA51" s="30"/>
      <x:c r="AB51" s="30"/>
      <x:c r="AC51" s="30"/>
      <x:c r="AD51" s="30"/>
      <x:c r="AE51" s="30"/>
      <x:c r="AF51" s="30"/>
      <x:c r="AG51" s="30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</x:row>
    <x:row r="52">
      <x:c r="A52" s="1"/>
      <x:c r="B52" s="1"/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  <x:c r="M52" s="30"/>
      <x:c r="N52" s="30"/>
      <x:c r="O52" s="30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  <x:c r="AA52" s="30"/>
      <x:c r="AB52" s="30"/>
      <x:c r="AC52" s="30"/>
      <x:c r="AD52" s="30"/>
      <x:c r="AE52" s="30"/>
      <x:c r="AF52" s="30"/>
      <x:c r="AG52" s="30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</x:row>
    <x:row r="53">
      <x:c r="A53" s="1"/>
      <x:c r="B53" s="1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  <x:c r="O53" s="30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  <x:c r="AA53" s="30"/>
      <x:c r="AB53" s="30"/>
      <x:c r="AC53" s="30"/>
      <x:c r="AD53" s="30"/>
      <x:c r="AE53" s="30"/>
      <x:c r="AF53" s="30"/>
      <x:c r="AG53" s="30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</x:row>
    <x:row r="54">
      <x:c r="A54" s="1"/>
      <x:c r="B54" s="1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  <x:c r="AA54" s="30"/>
      <x:c r="AB54" s="30"/>
      <x:c r="AC54" s="30"/>
      <x:c r="AD54" s="30"/>
      <x:c r="AE54" s="30"/>
      <x:c r="AF54" s="30"/>
      <x:c r="AG54" s="30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</x:row>
    <x:row r="55">
      <x:c r="A55" s="1"/>
      <x:c r="B55" s="1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  <x:c r="AA55" s="30"/>
      <x:c r="AB55" s="30"/>
      <x:c r="AC55" s="30"/>
      <x:c r="AD55" s="30"/>
      <x:c r="AE55" s="30"/>
      <x:c r="AF55" s="30"/>
      <x:c r="AG55" s="30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</x:row>
    <x:row r="56">
      <x:c r="A56" s="1"/>
      <x:c r="B56" s="1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  <x:c r="AA56" s="30"/>
      <x:c r="AB56" s="30"/>
      <x:c r="AC56" s="30"/>
      <x:c r="AD56" s="30"/>
      <x:c r="AE56" s="30"/>
      <x:c r="AF56" s="30"/>
      <x:c r="AG56" s="30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</x:row>
    <x:row r="57">
      <x:c r="A57" s="1"/>
      <x:c r="B57" s="1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  <x:c r="AA57" s="30"/>
      <x:c r="AB57" s="30"/>
      <x:c r="AC57" s="30"/>
      <x:c r="AD57" s="30"/>
      <x:c r="AE57" s="30"/>
      <x:c r="AF57" s="30"/>
      <x:c r="AG57" s="30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</x:row>
    <x:row r="58">
      <x:c r="A58" s="1"/>
      <x:c r="B58" s="1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0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  <x:c r="AA58" s="30"/>
      <x:c r="AB58" s="30"/>
      <x:c r="AC58" s="30"/>
      <x:c r="AD58" s="30"/>
      <x:c r="AE58" s="30"/>
      <x:c r="AF58" s="30"/>
      <x:c r="AG58" s="30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</x:row>
    <x:row r="59">
      <x:c r="A59" s="1"/>
      <x:c r="B59" s="1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  <x:c r="M59" s="30"/>
      <x:c r="N59" s="30"/>
      <x:c r="O59" s="30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  <x:c r="AA59" s="30"/>
      <x:c r="AB59" s="30"/>
      <x:c r="AC59" s="30"/>
      <x:c r="AD59" s="30"/>
      <x:c r="AE59" s="30"/>
      <x:c r="AF59" s="30"/>
      <x:c r="AG59" s="30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</x:row>
    <x:row r="60">
      <x:c r="A60" s="1"/>
      <x:c r="B60" s="1"/>
      <x:c r="C60" s="30"/>
      <x:c r="D60" s="30"/>
      <x:c r="E60" s="30"/>
      <x:c r="F60" s="30"/>
      <x:c r="G60" s="30"/>
      <x:c r="H60" s="30"/>
      <x:c r="I60" s="30"/>
      <x:c r="J60" s="30"/>
      <x:c r="K60" s="30"/>
      <x:c r="L60" s="30"/>
      <x:c r="M60" s="30"/>
      <x:c r="N60" s="30"/>
      <x:c r="O60" s="30"/>
      <x:c r="P60" s="30"/>
      <x:c r="Q60" s="30"/>
      <x:c r="R60" s="30"/>
      <x:c r="S60" s="30"/>
      <x:c r="T60" s="30"/>
      <x:c r="U60" s="30"/>
      <x:c r="V60" s="30"/>
      <x:c r="W60" s="30"/>
      <x:c r="X60" s="30"/>
      <x:c r="Y60" s="30"/>
      <x:c r="Z60" s="30"/>
      <x:c r="AA60" s="30"/>
      <x:c r="AB60" s="30"/>
      <x:c r="AC60" s="30"/>
      <x:c r="AD60" s="30"/>
      <x:c r="AE60" s="30"/>
      <x:c r="AF60" s="30"/>
      <x:c r="AG60" s="30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</x:row>
    <x:row r="61">
      <x:c r="A61" s="1"/>
      <x:c r="B61" s="1"/>
      <x:c r="C61" s="30"/>
      <x:c r="D61" s="30"/>
      <x:c r="E61" s="30"/>
      <x:c r="F61" s="30"/>
      <x:c r="G61" s="30"/>
      <x:c r="H61" s="30"/>
      <x:c r="I61" s="30"/>
      <x:c r="J61" s="30"/>
      <x:c r="K61" s="30"/>
      <x:c r="L61" s="30"/>
      <x:c r="M61" s="30"/>
      <x:c r="N61" s="30"/>
      <x:c r="O61" s="30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  <x:c r="AA61" s="30"/>
      <x:c r="AB61" s="30"/>
      <x:c r="AC61" s="30"/>
      <x:c r="AD61" s="30"/>
      <x:c r="AE61" s="30"/>
      <x:c r="AF61" s="30"/>
      <x:c r="AG61" s="30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</x:row>
    <x:row r="62">
      <x:c r="A62" s="1"/>
      <x:c r="B62" s="1"/>
      <x:c r="C62" s="30"/>
      <x:c r="D62" s="30"/>
      <x:c r="E62" s="30"/>
      <x:c r="F62" s="30"/>
      <x:c r="G62" s="30"/>
      <x:c r="H62" s="30"/>
      <x:c r="I62" s="30"/>
      <x:c r="J62" s="30"/>
      <x:c r="K62" s="30"/>
      <x:c r="L62" s="30"/>
      <x:c r="M62" s="30"/>
      <x:c r="N62" s="30"/>
      <x:c r="O62" s="30"/>
      <x:c r="P62" s="30"/>
      <x:c r="Q62" s="30"/>
      <x:c r="R62" s="30"/>
      <x:c r="S62" s="30"/>
      <x:c r="T62" s="30"/>
      <x:c r="U62" s="30"/>
      <x:c r="V62" s="30"/>
      <x:c r="W62" s="30"/>
      <x:c r="X62" s="30"/>
      <x:c r="Y62" s="30"/>
      <x:c r="Z62" s="30"/>
      <x:c r="AA62" s="30"/>
      <x:c r="AB62" s="30"/>
      <x:c r="AC62" s="30"/>
      <x:c r="AD62" s="30"/>
      <x:c r="AE62" s="30"/>
      <x:c r="AF62" s="30"/>
      <x:c r="AG62" s="30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</x:row>
    <x:row r="63">
      <x:c r="A63" s="1"/>
      <x:c r="B63" s="1"/>
      <x:c r="C63" s="30"/>
      <x:c r="D63" s="30"/>
      <x:c r="E63" s="30"/>
      <x:c r="F63" s="30"/>
      <x:c r="G63" s="30"/>
      <x:c r="H63" s="30"/>
      <x:c r="I63" s="30"/>
      <x:c r="J63" s="30"/>
      <x:c r="K63" s="30"/>
      <x:c r="L63" s="30"/>
      <x:c r="M63" s="30"/>
      <x:c r="N63" s="30"/>
      <x:c r="O63" s="30"/>
      <x:c r="P63" s="30"/>
      <x:c r="Q63" s="30"/>
      <x:c r="R63" s="30"/>
      <x:c r="S63" s="30"/>
      <x:c r="T63" s="30"/>
      <x:c r="U63" s="30"/>
      <x:c r="V63" s="30"/>
      <x:c r="W63" s="30"/>
      <x:c r="X63" s="30"/>
      <x:c r="Y63" s="30"/>
      <x:c r="Z63" s="30"/>
      <x:c r="AA63" s="30"/>
      <x:c r="AB63" s="30"/>
      <x:c r="AC63" s="30"/>
      <x:c r="AD63" s="30"/>
      <x:c r="AE63" s="30"/>
      <x:c r="AF63" s="30"/>
      <x:c r="AG63" s="30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</x:row>
    <x:row r="64">
      <x:c r="A64" s="1"/>
      <x:c r="B64" s="1"/>
      <x:c r="C64" s="30"/>
      <x:c r="D64" s="30"/>
      <x:c r="E64" s="30"/>
      <x:c r="F64" s="30"/>
      <x:c r="G64" s="30"/>
      <x:c r="H64" s="30"/>
      <x:c r="I64" s="30"/>
      <x:c r="J64" s="30"/>
      <x:c r="K64" s="30"/>
      <x:c r="L64" s="30"/>
      <x:c r="M64" s="30"/>
      <x:c r="N64" s="30"/>
      <x:c r="O64" s="30"/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30"/>
      <x:c r="AA64" s="30"/>
      <x:c r="AB64" s="30"/>
      <x:c r="AC64" s="30"/>
      <x:c r="AD64" s="30"/>
      <x:c r="AE64" s="30"/>
      <x:c r="AF64" s="30"/>
      <x:c r="AG64" s="30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</x:row>
    <x:row r="65">
      <x:c r="A65" s="1"/>
      <x:c r="B65" s="1"/>
      <x:c r="C65" s="30"/>
      <x:c r="D65" s="30"/>
      <x:c r="E65" s="30"/>
      <x:c r="F65" s="30"/>
      <x:c r="G65" s="30"/>
      <x:c r="H65" s="30"/>
      <x:c r="I65" s="30"/>
      <x:c r="J65" s="30"/>
      <x:c r="K65" s="30"/>
      <x:c r="L65" s="30"/>
      <x:c r="M65" s="30"/>
      <x:c r="N65" s="30"/>
      <x:c r="O65" s="30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  <x:c r="AA65" s="30"/>
      <x:c r="AB65" s="30"/>
      <x:c r="AC65" s="30"/>
      <x:c r="AD65" s="30"/>
      <x:c r="AE65" s="30"/>
      <x:c r="AF65" s="30"/>
      <x:c r="AG65" s="30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</x:row>
    <x:row r="66">
      <x:c r="A66" s="1"/>
      <x:c r="B66" s="1"/>
      <x:c r="C66" s="30"/>
      <x:c r="D66" s="30"/>
      <x:c r="E66" s="30"/>
      <x:c r="F66" s="30"/>
      <x:c r="G66" s="30"/>
      <x:c r="H66" s="30"/>
      <x:c r="I66" s="30"/>
      <x:c r="J66" s="30"/>
      <x:c r="K66" s="30"/>
      <x:c r="L66" s="30"/>
      <x:c r="M66" s="30"/>
      <x:c r="N66" s="30"/>
      <x:c r="O66" s="30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  <x:c r="AA66" s="30"/>
      <x:c r="AB66" s="30"/>
      <x:c r="AC66" s="30"/>
      <x:c r="AD66" s="30"/>
      <x:c r="AE66" s="30"/>
      <x:c r="AF66" s="30"/>
      <x:c r="AG66" s="30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</x:row>
    <x:row r="67">
      <x:c r="A67" s="1"/>
      <x:c r="B67" s="1"/>
      <x:c r="C67" s="30"/>
      <x:c r="D67" s="30"/>
      <x:c r="E67" s="30"/>
      <x:c r="F67" s="30"/>
      <x:c r="G67" s="30"/>
      <x:c r="H67" s="30"/>
      <x:c r="I67" s="30"/>
      <x:c r="J67" s="30"/>
      <x:c r="K67" s="30"/>
      <x:c r="L67" s="30"/>
      <x:c r="M67" s="30"/>
      <x:c r="N67" s="30"/>
      <x:c r="O67" s="30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  <x:c r="AA67" s="30"/>
      <x:c r="AB67" s="30"/>
      <x:c r="AC67" s="30"/>
      <x:c r="AD67" s="30"/>
      <x:c r="AE67" s="30"/>
      <x:c r="AF67" s="30"/>
      <x:c r="AG67" s="30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</x:row>
    <x:row r="68">
      <x:c r="A68" s="1"/>
      <x:c r="B68" s="1"/>
      <x:c r="C68" s="30"/>
      <x:c r="D68" s="30"/>
      <x:c r="E68" s="30"/>
      <x:c r="F68" s="30"/>
      <x:c r="G68" s="30"/>
      <x:c r="H68" s="30"/>
      <x:c r="I68" s="30"/>
      <x:c r="J68" s="30"/>
      <x:c r="K68" s="30"/>
      <x:c r="L68" s="30"/>
      <x:c r="M68" s="30"/>
      <x:c r="N68" s="30"/>
      <x:c r="O68" s="30"/>
      <x:c r="P68" s="30"/>
      <x:c r="Q68" s="30"/>
      <x:c r="R68" s="30"/>
      <x:c r="S68" s="30"/>
      <x:c r="T68" s="30"/>
      <x:c r="U68" s="30"/>
      <x:c r="V68" s="30"/>
      <x:c r="W68" s="30"/>
      <x:c r="X68" s="30"/>
      <x:c r="Y68" s="30"/>
      <x:c r="Z68" s="30"/>
      <x:c r="AA68" s="30"/>
      <x:c r="AB68" s="30"/>
      <x:c r="AC68" s="30"/>
      <x:c r="AD68" s="30"/>
      <x:c r="AE68" s="30"/>
      <x:c r="AF68" s="30"/>
      <x:c r="AG68" s="30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</x:row>
    <x:row r="69">
      <x:c r="A69" s="1"/>
      <x:c r="B69" s="1"/>
      <x:c r="C69" s="30"/>
      <x:c r="D69" s="30"/>
      <x:c r="E69" s="30"/>
      <x:c r="F69" s="30"/>
      <x:c r="G69" s="30"/>
      <x:c r="H69" s="30"/>
      <x:c r="I69" s="30"/>
      <x:c r="J69" s="30"/>
      <x:c r="K69" s="30"/>
      <x:c r="L69" s="30"/>
      <x:c r="M69" s="30"/>
      <x:c r="N69" s="30"/>
      <x:c r="O69" s="30"/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30"/>
      <x:c r="AA69" s="30"/>
      <x:c r="AB69" s="30"/>
      <x:c r="AC69" s="30"/>
      <x:c r="AD69" s="30"/>
      <x:c r="AE69" s="30"/>
      <x:c r="AF69" s="30"/>
      <x:c r="AG69" s="30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</x:row>
    <x:row r="70">
      <x:c r="A70" s="1"/>
      <x:c r="B70" s="1"/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  <x:c r="M70" s="30"/>
      <x:c r="N70" s="30"/>
      <x:c r="O70" s="30"/>
      <x:c r="P70" s="30"/>
      <x:c r="Q70" s="30"/>
      <x:c r="R70" s="30"/>
      <x:c r="S70" s="30"/>
      <x:c r="T70" s="30"/>
      <x:c r="U70" s="30"/>
      <x:c r="V70" s="30"/>
      <x:c r="W70" s="30"/>
      <x:c r="X70" s="30"/>
      <x:c r="Y70" s="30"/>
      <x:c r="Z70" s="30"/>
      <x:c r="AA70" s="30"/>
      <x:c r="AB70" s="30"/>
      <x:c r="AC70" s="30"/>
      <x:c r="AD70" s="30"/>
      <x:c r="AE70" s="30"/>
      <x:c r="AF70" s="30"/>
      <x:c r="AG70" s="30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</x:row>
    <x:row r="71">
      <x:c r="A71" s="1"/>
      <x:c r="B71" s="1"/>
      <x:c r="C71" s="30"/>
      <x:c r="D71" s="30"/>
      <x:c r="E71" s="30"/>
      <x:c r="F71" s="30"/>
      <x:c r="G71" s="30"/>
      <x:c r="H71" s="30"/>
      <x:c r="I71" s="30"/>
      <x:c r="J71" s="30"/>
      <x:c r="K71" s="30"/>
      <x:c r="L71" s="30"/>
      <x:c r="M71" s="30"/>
      <x:c r="N71" s="30"/>
      <x:c r="O71" s="30"/>
      <x:c r="P71" s="30"/>
      <x:c r="Q71" s="30"/>
      <x:c r="R71" s="30"/>
      <x:c r="S71" s="30"/>
      <x:c r="T71" s="30"/>
      <x:c r="U71" s="30"/>
      <x:c r="V71" s="30"/>
      <x:c r="W71" s="30"/>
      <x:c r="X71" s="30"/>
      <x:c r="Y71" s="30"/>
      <x:c r="Z71" s="30"/>
      <x:c r="AA71" s="30"/>
      <x:c r="AB71" s="30"/>
      <x:c r="AC71" s="30"/>
      <x:c r="AD71" s="30"/>
      <x:c r="AE71" s="30"/>
      <x:c r="AF71" s="30"/>
      <x:c r="AG71" s="30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</x:row>
    <x:row r="72">
      <x:c r="A72" s="1"/>
      <x:c r="B72" s="1"/>
      <x:c r="C72" s="30"/>
      <x:c r="D72" s="30"/>
      <x:c r="E72" s="30"/>
      <x:c r="F72" s="30"/>
      <x:c r="G72" s="30"/>
      <x:c r="H72" s="30"/>
      <x:c r="I72" s="30"/>
      <x:c r="J72" s="30"/>
      <x:c r="K72" s="30"/>
      <x:c r="L72" s="30"/>
      <x:c r="M72" s="30"/>
      <x:c r="N72" s="30"/>
      <x:c r="O72" s="30"/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30"/>
      <x:c r="AA72" s="30"/>
      <x:c r="AB72" s="30"/>
      <x:c r="AC72" s="30"/>
      <x:c r="AD72" s="30"/>
      <x:c r="AE72" s="30"/>
      <x:c r="AF72" s="30"/>
      <x:c r="AG72" s="30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</x:row>
    <x:row r="73">
      <x:c r="A73" s="1"/>
      <x:c r="B73" s="1"/>
      <x:c r="C73" s="30"/>
      <x:c r="D73" s="30"/>
      <x:c r="E73" s="30"/>
      <x:c r="F73" s="30"/>
      <x:c r="G73" s="30"/>
      <x:c r="H73" s="30"/>
      <x:c r="I73" s="30"/>
      <x:c r="J73" s="30"/>
      <x:c r="K73" s="30"/>
      <x:c r="L73" s="30"/>
      <x:c r="M73" s="30"/>
      <x:c r="N73" s="30"/>
      <x:c r="O73" s="30"/>
      <x:c r="P73" s="30"/>
      <x:c r="Q73" s="30"/>
      <x:c r="R73" s="30"/>
      <x:c r="S73" s="30"/>
      <x:c r="T73" s="30"/>
      <x:c r="U73" s="30"/>
      <x:c r="V73" s="30"/>
      <x:c r="W73" s="30"/>
      <x:c r="X73" s="30"/>
      <x:c r="Y73" s="30"/>
      <x:c r="Z73" s="30"/>
      <x:c r="AA73" s="30"/>
      <x:c r="AB73" s="30"/>
      <x:c r="AC73" s="30"/>
      <x:c r="AD73" s="30"/>
      <x:c r="AE73" s="30"/>
      <x:c r="AF73" s="30"/>
      <x:c r="AG73" s="30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</x:row>
    <x:row r="74">
      <x:c r="A74" s="1"/>
      <x:c r="B74" s="1"/>
      <x:c r="C74" s="30"/>
      <x:c r="D74" s="30"/>
      <x:c r="E74" s="30"/>
      <x:c r="F74" s="30"/>
      <x:c r="G74" s="30"/>
      <x:c r="H74" s="30"/>
      <x:c r="I74" s="30"/>
      <x:c r="J74" s="30"/>
      <x:c r="K74" s="30"/>
      <x:c r="L74" s="30"/>
      <x:c r="M74" s="30"/>
      <x:c r="N74" s="30"/>
      <x:c r="O74" s="30"/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30"/>
      <x:c r="AA74" s="30"/>
      <x:c r="AB74" s="30"/>
      <x:c r="AC74" s="30"/>
      <x:c r="AD74" s="30"/>
      <x:c r="AE74" s="30"/>
      <x:c r="AF74" s="30"/>
      <x:c r="AG74" s="30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</x:row>
    <x:row r="75">
      <x:c r="A75" s="1"/>
      <x:c r="B75" s="1"/>
      <x:c r="C75" s="30"/>
      <x:c r="D75" s="30"/>
      <x:c r="E75" s="30"/>
      <x:c r="F75" s="30"/>
      <x:c r="G75" s="30"/>
      <x:c r="H75" s="30"/>
      <x:c r="I75" s="30"/>
      <x:c r="J75" s="30"/>
      <x:c r="K75" s="30"/>
      <x:c r="L75" s="30"/>
      <x:c r="M75" s="30"/>
      <x:c r="N75" s="30"/>
      <x:c r="O75" s="30"/>
      <x:c r="P75" s="30"/>
      <x:c r="Q75" s="30"/>
      <x:c r="R75" s="30"/>
      <x:c r="S75" s="30"/>
      <x:c r="T75" s="30"/>
      <x:c r="U75" s="30"/>
      <x:c r="V75" s="30"/>
      <x:c r="W75" s="30"/>
      <x:c r="X75" s="30"/>
      <x:c r="Y75" s="30"/>
      <x:c r="Z75" s="30"/>
      <x:c r="AA75" s="30"/>
      <x:c r="AB75" s="30"/>
      <x:c r="AC75" s="30"/>
      <x:c r="AD75" s="30"/>
      <x:c r="AE75" s="30"/>
      <x:c r="AF75" s="30"/>
      <x:c r="AG75" s="30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</x:row>
    <x:row r="76">
      <x:c r="A76" s="1"/>
      <x:c r="B76" s="1"/>
      <x:c r="C76" s="30"/>
      <x:c r="D76" s="30"/>
      <x:c r="E76" s="30"/>
      <x:c r="F76" s="30"/>
      <x:c r="G76" s="30"/>
      <x:c r="H76" s="30"/>
      <x:c r="I76" s="30"/>
      <x:c r="J76" s="30"/>
      <x:c r="K76" s="30"/>
      <x:c r="L76" s="30"/>
      <x:c r="M76" s="30"/>
      <x:c r="N76" s="30"/>
      <x:c r="O76" s="30"/>
      <x:c r="P76" s="30"/>
      <x:c r="Q76" s="30"/>
      <x:c r="R76" s="30"/>
      <x:c r="S76" s="30"/>
      <x:c r="T76" s="30"/>
      <x:c r="U76" s="30"/>
      <x:c r="V76" s="30"/>
      <x:c r="W76" s="30"/>
      <x:c r="X76" s="30"/>
      <x:c r="Y76" s="30"/>
      <x:c r="Z76" s="30"/>
      <x:c r="AA76" s="30"/>
      <x:c r="AB76" s="30"/>
      <x:c r="AC76" s="30"/>
      <x:c r="AD76" s="30"/>
      <x:c r="AE76" s="30"/>
      <x:c r="AF76" s="30"/>
      <x:c r="AG76" s="30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</x:row>
    <x:row r="77">
      <x:c r="A77" s="1"/>
      <x:c r="B77" s="1"/>
      <x:c r="C77" s="30"/>
      <x:c r="D77" s="30"/>
      <x:c r="E77" s="30"/>
      <x:c r="F77" s="30"/>
      <x:c r="G77" s="30"/>
      <x:c r="H77" s="30"/>
      <x:c r="I77" s="30"/>
      <x:c r="J77" s="30"/>
      <x:c r="K77" s="30"/>
      <x:c r="L77" s="30"/>
      <x:c r="M77" s="30"/>
      <x:c r="N77" s="30"/>
      <x:c r="O77" s="30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  <x:c r="AA77" s="30"/>
      <x:c r="AB77" s="30"/>
      <x:c r="AC77" s="30"/>
      <x:c r="AD77" s="30"/>
      <x:c r="AE77" s="30"/>
      <x:c r="AF77" s="30"/>
      <x:c r="AG77" s="30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</x:row>
    <x:row r="78">
      <x:c r="A78" s="1"/>
      <x:c r="B78" s="1"/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  <x:c r="O78" s="30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  <x:c r="AA78" s="30"/>
      <x:c r="AB78" s="30"/>
      <x:c r="AC78" s="30"/>
      <x:c r="AD78" s="30"/>
      <x:c r="AE78" s="30"/>
      <x:c r="AF78" s="30"/>
      <x:c r="AG78" s="30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</x:row>
    <x:row r="79">
      <x:c r="A79" s="1"/>
      <x:c r="B79" s="1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  <x:c r="M79" s="30"/>
      <x:c r="N79" s="30"/>
      <x:c r="O79" s="30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  <x:c r="AA79" s="30"/>
      <x:c r="AB79" s="30"/>
      <x:c r="AC79" s="30"/>
      <x:c r="AD79" s="30"/>
      <x:c r="AE79" s="30"/>
      <x:c r="AF79" s="30"/>
      <x:c r="AG79" s="30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</x:row>
    <x:row r="80">
      <x:c r="A80" s="1"/>
      <x:c r="B80" s="1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  <x:c r="M80" s="30"/>
      <x:c r="N80" s="30"/>
      <x:c r="O80" s="30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  <x:c r="AA80" s="30"/>
      <x:c r="AB80" s="30"/>
      <x:c r="AC80" s="30"/>
      <x:c r="AD80" s="30"/>
      <x:c r="AE80" s="30"/>
      <x:c r="AF80" s="30"/>
      <x:c r="AG80" s="30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</x:row>
    <x:row r="81">
      <x:c r="A81" s="1"/>
      <x:c r="B81" s="1"/>
      <x:c r="C81" s="30"/>
      <x:c r="D81" s="30"/>
      <x:c r="E81" s="30"/>
      <x:c r="F81" s="30"/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  <x:c r="AA81" s="30"/>
      <x:c r="AB81" s="30"/>
      <x:c r="AC81" s="30"/>
      <x:c r="AD81" s="30"/>
      <x:c r="AE81" s="30"/>
      <x:c r="AF81" s="30"/>
      <x:c r="AG81" s="30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</x:row>
    <x:row r="82">
      <x:c r="A82" s="1"/>
      <x:c r="B82" s="1"/>
      <x:c r="C82" s="30"/>
      <x:c r="D82" s="30"/>
      <x:c r="E82" s="30"/>
      <x:c r="F82" s="30"/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30"/>
      <x:c r="AA82" s="30"/>
      <x:c r="AB82" s="30"/>
      <x:c r="AC82" s="30"/>
      <x:c r="AD82" s="30"/>
      <x:c r="AE82" s="30"/>
      <x:c r="AF82" s="30"/>
      <x:c r="AG82" s="30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</x:row>
    <x:row r="83">
      <x:c r="A83" s="1"/>
      <x:c r="B83" s="1"/>
      <x:c r="C83" s="30"/>
      <x:c r="D83" s="30"/>
      <x:c r="E83" s="30"/>
      <x:c r="F83" s="30"/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30"/>
      <x:c r="AA83" s="30"/>
      <x:c r="AB83" s="30"/>
      <x:c r="AC83" s="30"/>
      <x:c r="AD83" s="30"/>
      <x:c r="AE83" s="30"/>
      <x:c r="AF83" s="30"/>
      <x:c r="AG83" s="30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</x:row>
    <x:row r="84">
      <x:c r="A84" s="1"/>
      <x:c r="B84" s="1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30"/>
      <x:c r="AA84" s="30"/>
      <x:c r="AB84" s="30"/>
      <x:c r="AC84" s="30"/>
      <x:c r="AD84" s="30"/>
      <x:c r="AE84" s="30"/>
      <x:c r="AF84" s="30"/>
      <x:c r="AG84" s="30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</x:row>
    <x:row r="85">
      <x:c r="A85" s="1"/>
      <x:c r="B85" s="1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30"/>
      <x:c r="AA85" s="30"/>
      <x:c r="AB85" s="30"/>
      <x:c r="AC85" s="30"/>
      <x:c r="AD85" s="30"/>
      <x:c r="AE85" s="30"/>
      <x:c r="AF85" s="30"/>
      <x:c r="AG85" s="30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</x:row>
    <x:row r="86">
      <x:c r="A86" s="1"/>
      <x:c r="B86" s="1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30"/>
      <x:c r="AA86" s="30"/>
      <x:c r="AB86" s="30"/>
      <x:c r="AC86" s="30"/>
      <x:c r="AD86" s="30"/>
      <x:c r="AE86" s="30"/>
      <x:c r="AF86" s="30"/>
      <x:c r="AG86" s="30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</x:row>
    <x:row r="87">
      <x:c r="A87" s="1"/>
      <x:c r="B87" s="1"/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  <x:c r="Y87" s="30"/>
      <x:c r="Z87" s="30"/>
      <x:c r="AA87" s="30"/>
      <x:c r="AB87" s="30"/>
      <x:c r="AC87" s="30"/>
      <x:c r="AD87" s="30"/>
      <x:c r="AE87" s="30"/>
      <x:c r="AF87" s="30"/>
      <x:c r="AG87" s="30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</x:row>
    <x:row r="88">
      <x:c r="A88" s="1"/>
      <x:c r="B88" s="1"/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  <x:c r="Y88" s="30"/>
      <x:c r="Z88" s="30"/>
      <x:c r="AA88" s="30"/>
      <x:c r="AB88" s="30"/>
      <x:c r="AC88" s="30"/>
      <x:c r="AD88" s="30"/>
      <x:c r="AE88" s="30"/>
      <x:c r="AF88" s="30"/>
      <x:c r="AG88" s="30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</x:row>
    <x:row r="89">
      <x:c r="A89" s="1"/>
      <x:c r="B89" s="1"/>
      <x:c r="C89" s="30"/>
      <x:c r="D89" s="30"/>
      <x:c r="E89" s="30"/>
      <x:c r="F89" s="30"/>
      <x:c r="G89" s="3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  <x:c r="Y89" s="30"/>
      <x:c r="Z89" s="30"/>
      <x:c r="AA89" s="30"/>
      <x:c r="AB89" s="30"/>
      <x:c r="AC89" s="30"/>
      <x:c r="AD89" s="30"/>
      <x:c r="AE89" s="30"/>
      <x:c r="AF89" s="30"/>
      <x:c r="AG89" s="30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</x:row>
    <x:row r="90">
      <x:c r="A90" s="1"/>
      <x:c r="B90" s="1"/>
      <x:c r="C90" s="30"/>
      <x:c r="D90" s="30"/>
      <x:c r="E90" s="30"/>
      <x:c r="F90" s="30"/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30"/>
      <x:c r="AA90" s="30"/>
      <x:c r="AB90" s="30"/>
      <x:c r="AC90" s="30"/>
      <x:c r="AD90" s="30"/>
      <x:c r="AE90" s="30"/>
      <x:c r="AF90" s="30"/>
      <x:c r="AG90" s="30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</x:row>
    <x:row r="91">
      <x:c r="A91" s="1"/>
      <x:c r="B91" s="1"/>
      <x:c r="C91" s="30"/>
      <x:c r="D91" s="30"/>
      <x:c r="E91" s="30"/>
      <x:c r="F91" s="30"/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30"/>
      <x:c r="AA91" s="30"/>
      <x:c r="AB91" s="30"/>
      <x:c r="AC91" s="30"/>
      <x:c r="AD91" s="30"/>
      <x:c r="AE91" s="30"/>
      <x:c r="AF91" s="30"/>
      <x:c r="AG91" s="30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</x:row>
    <x:row r="92">
      <x:c r="A92" s="1"/>
      <x:c r="B92" s="1"/>
      <x:c r="C92" s="30"/>
      <x:c r="D92" s="30"/>
      <x:c r="E92" s="30"/>
      <x:c r="F92" s="30"/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  <x:c r="AA92" s="30"/>
      <x:c r="AB92" s="30"/>
      <x:c r="AC92" s="30"/>
      <x:c r="AD92" s="30"/>
      <x:c r="AE92" s="30"/>
      <x:c r="AF92" s="30"/>
      <x:c r="AG92" s="30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</x:row>
    <x:row r="93">
      <x:c r="A93" s="1"/>
      <x:c r="B93" s="1"/>
      <x:c r="C93" s="30"/>
      <x:c r="D93" s="30"/>
      <x:c r="E93" s="30"/>
      <x:c r="F93" s="30"/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  <x:c r="AA93" s="30"/>
      <x:c r="AB93" s="30"/>
      <x:c r="AC93" s="30"/>
      <x:c r="AD93" s="30"/>
      <x:c r="AE93" s="30"/>
      <x:c r="AF93" s="30"/>
      <x:c r="AG93" s="30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</x:row>
    <x:row r="94">
      <x:c r="A94" s="1"/>
      <x:c r="B94" s="1"/>
      <x:c r="C94" s="30"/>
      <x:c r="D94" s="30"/>
      <x:c r="E94" s="30"/>
      <x:c r="F94" s="30"/>
      <x:c r="G94" s="3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30"/>
      <x:c r="AA94" s="30"/>
      <x:c r="AB94" s="30"/>
      <x:c r="AC94" s="30"/>
      <x:c r="AD94" s="30"/>
      <x:c r="AE94" s="30"/>
      <x:c r="AF94" s="30"/>
      <x:c r="AG94" s="30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</x:row>
    <x:row r="95">
      <x:c r="A95" s="1"/>
      <x:c r="B95" s="1"/>
      <x:c r="C95" s="30"/>
      <x:c r="D95" s="30"/>
      <x:c r="E95" s="30"/>
      <x:c r="F95" s="30"/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30"/>
      <x:c r="AA95" s="30"/>
      <x:c r="AB95" s="30"/>
      <x:c r="AC95" s="30"/>
      <x:c r="AD95" s="30"/>
      <x:c r="AE95" s="30"/>
      <x:c r="AF95" s="30"/>
      <x:c r="AG95" s="30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</x:row>
    <x:row r="96">
      <x:c r="A96" s="1"/>
      <x:c r="B96" s="1"/>
      <x:c r="C96" s="30"/>
      <x:c r="D96" s="30"/>
      <x:c r="E96" s="30"/>
      <x:c r="F96" s="30"/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30"/>
      <x:c r="AA96" s="30"/>
      <x:c r="AB96" s="30"/>
      <x:c r="AC96" s="30"/>
      <x:c r="AD96" s="30"/>
      <x:c r="AE96" s="30"/>
      <x:c r="AF96" s="30"/>
      <x:c r="AG96" s="30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</x:row>
    <x:row r="97">
      <x:c r="A97" s="1"/>
      <x:c r="B97" s="1"/>
      <x:c r="C97" s="30"/>
      <x:c r="D97" s="30"/>
      <x:c r="E97" s="30"/>
      <x:c r="F97" s="30"/>
      <x:c r="G97" s="3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30"/>
      <x:c r="AA97" s="30"/>
      <x:c r="AB97" s="30"/>
      <x:c r="AC97" s="30"/>
      <x:c r="AD97" s="30"/>
      <x:c r="AE97" s="30"/>
      <x:c r="AF97" s="30"/>
      <x:c r="AG97" s="30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</x:row>
    <x:row r="98">
      <x:c r="A98" s="1"/>
      <x:c r="B98" s="1"/>
      <x:c r="C98" s="30"/>
      <x:c r="D98" s="30"/>
      <x:c r="E98" s="30"/>
      <x:c r="F98" s="30"/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30"/>
      <x:c r="AA98" s="30"/>
      <x:c r="AB98" s="30"/>
      <x:c r="AC98" s="30"/>
      <x:c r="AD98" s="30"/>
      <x:c r="AE98" s="30"/>
      <x:c r="AF98" s="30"/>
      <x:c r="AG98" s="30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</x:row>
    <x:row r="99">
      <x:c r="A99" s="1"/>
      <x:c r="B99" s="1"/>
      <x:c r="C99" s="30"/>
      <x:c r="D99" s="30"/>
      <x:c r="E99" s="30"/>
      <x:c r="F99" s="30"/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30"/>
      <x:c r="AA99" s="30"/>
      <x:c r="AB99" s="30"/>
      <x:c r="AC99" s="30"/>
      <x:c r="AD99" s="30"/>
      <x:c r="AE99" s="30"/>
      <x:c r="AF99" s="30"/>
      <x:c r="AG99" s="30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</x:row>
    <x:row r="100">
      <x:c r="A100" s="1"/>
      <x:c r="B100" s="1"/>
      <x:c r="C100" s="30"/>
      <x:c r="D100" s="30"/>
      <x:c r="E100" s="30"/>
      <x:c r="F100" s="30"/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30"/>
      <x:c r="AA100" s="30"/>
      <x:c r="AB100" s="30"/>
      <x:c r="AC100" s="30"/>
      <x:c r="AD100" s="30"/>
      <x:c r="AE100" s="30"/>
      <x:c r="AF100" s="30"/>
      <x:c r="AG100" s="30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</x:row>
    <x:row r="101">
      <x:c r="A101" s="1"/>
      <x:c r="B101" s="1"/>
      <x:c r="C101" s="30"/>
      <x:c r="D101" s="30"/>
      <x:c r="E101" s="30"/>
      <x:c r="F101" s="30"/>
      <x:c r="G101" s="30"/>
      <x:c r="H101" s="30"/>
      <x:c r="I101" s="30"/>
      <x:c r="J101" s="30"/>
      <x:c r="K101" s="30"/>
      <x:c r="L101" s="30"/>
      <x:c r="M101" s="30"/>
      <x:c r="N101" s="30"/>
      <x:c r="O101" s="30"/>
      <x:c r="P101" s="30"/>
      <x:c r="Q101" s="30"/>
      <x:c r="R101" s="30"/>
      <x:c r="S101" s="30"/>
      <x:c r="T101" s="30"/>
      <x:c r="U101" s="30"/>
      <x:c r="V101" s="30"/>
      <x:c r="W101" s="30"/>
      <x:c r="X101" s="30"/>
      <x:c r="Y101" s="30"/>
      <x:c r="Z101" s="30"/>
      <x:c r="AA101" s="30"/>
      <x:c r="AB101" s="30"/>
      <x:c r="AC101" s="30"/>
      <x:c r="AD101" s="30"/>
      <x:c r="AE101" s="30"/>
      <x:c r="AF101" s="30"/>
      <x:c r="AG101" s="30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</x:row>
    <x:row r="102">
      <x:c r="A102" s="1"/>
      <x:c r="B102" s="1"/>
      <x:c r="C102" s="30"/>
      <x:c r="D102" s="30"/>
      <x:c r="E102" s="30"/>
      <x:c r="F102" s="30"/>
      <x:c r="G102" s="30"/>
      <x:c r="H102" s="30"/>
      <x:c r="I102" s="30"/>
      <x:c r="J102" s="30"/>
      <x:c r="K102" s="30"/>
      <x:c r="L102" s="30"/>
      <x:c r="M102" s="30"/>
      <x:c r="N102" s="30"/>
      <x:c r="O102" s="30"/>
      <x:c r="P102" s="30"/>
      <x:c r="Q102" s="30"/>
      <x:c r="R102" s="30"/>
      <x:c r="S102" s="30"/>
      <x:c r="T102" s="30"/>
      <x:c r="U102" s="30"/>
      <x:c r="V102" s="30"/>
      <x:c r="W102" s="30"/>
      <x:c r="X102" s="30"/>
      <x:c r="Y102" s="30"/>
      <x:c r="Z102" s="30"/>
      <x:c r="AA102" s="30"/>
      <x:c r="AB102" s="30"/>
      <x:c r="AC102" s="30"/>
      <x:c r="AD102" s="30"/>
      <x:c r="AE102" s="30"/>
      <x:c r="AF102" s="30"/>
      <x:c r="AG102" s="30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</x:row>
    <x:row r="103">
      <x:c r="A103" s="1"/>
      <x:c r="B103" s="1"/>
      <x:c r="C103" s="30"/>
      <x:c r="D103" s="30"/>
      <x:c r="E103" s="30"/>
      <x:c r="F103" s="30"/>
      <x:c r="G103" s="3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0"/>
      <x:c r="T103" s="30"/>
      <x:c r="U103" s="30"/>
      <x:c r="V103" s="30"/>
      <x:c r="W103" s="30"/>
      <x:c r="X103" s="30"/>
      <x:c r="Y103" s="30"/>
      <x:c r="Z103" s="30"/>
      <x:c r="AA103" s="30"/>
      <x:c r="AB103" s="30"/>
      <x:c r="AC103" s="30"/>
      <x:c r="AD103" s="30"/>
      <x:c r="AE103" s="30"/>
      <x:c r="AF103" s="30"/>
      <x:c r="AG103" s="30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</x:row>
    <x:row r="104">
      <x:c r="A104" s="1"/>
      <x:c r="B104" s="1"/>
      <x:c r="C104" s="30"/>
      <x:c r="D104" s="30"/>
      <x:c r="E104" s="30"/>
      <x:c r="F104" s="30"/>
      <x:c r="G104" s="30"/>
      <x:c r="H104" s="30"/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0"/>
      <x:c r="T104" s="30"/>
      <x:c r="U104" s="30"/>
      <x:c r="V104" s="30"/>
      <x:c r="W104" s="30"/>
      <x:c r="X104" s="30"/>
      <x:c r="Y104" s="30"/>
      <x:c r="Z104" s="30"/>
      <x:c r="AA104" s="30"/>
      <x:c r="AB104" s="30"/>
      <x:c r="AC104" s="30"/>
      <x:c r="AD104" s="30"/>
      <x:c r="AE104" s="30"/>
      <x:c r="AF104" s="30"/>
      <x:c r="AG104" s="30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</x:row>
    <x:row r="105">
      <x:c r="A105" s="1"/>
      <x:c r="B105" s="1"/>
      <x:c r="C105" s="30"/>
      <x:c r="D105" s="30"/>
      <x:c r="E105" s="30"/>
      <x:c r="F105" s="30"/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  <x:c r="Q105" s="30"/>
      <x:c r="R105" s="30"/>
      <x:c r="S105" s="30"/>
      <x:c r="T105" s="30"/>
      <x:c r="U105" s="30"/>
      <x:c r="V105" s="30"/>
      <x:c r="W105" s="30"/>
      <x:c r="X105" s="30"/>
      <x:c r="Y105" s="30"/>
      <x:c r="Z105" s="30"/>
      <x:c r="AA105" s="30"/>
      <x:c r="AB105" s="30"/>
      <x:c r="AC105" s="30"/>
      <x:c r="AD105" s="30"/>
      <x:c r="AE105" s="30"/>
      <x:c r="AF105" s="30"/>
      <x:c r="AG105" s="30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</x:row>
    <x:row r="106">
      <x:c r="A106" s="1"/>
      <x:c r="B106" s="1"/>
      <x:c r="C106" s="30"/>
      <x:c r="D106" s="30"/>
      <x:c r="E106" s="30"/>
      <x:c r="F106" s="30"/>
      <x:c r="G106" s="30"/>
      <x:c r="H106" s="30"/>
      <x:c r="I106" s="30"/>
      <x:c r="J106" s="30"/>
      <x:c r="K106" s="30"/>
      <x:c r="L106" s="30"/>
      <x:c r="M106" s="30"/>
      <x:c r="N106" s="30"/>
      <x:c r="O106" s="30"/>
      <x:c r="P106" s="30"/>
      <x:c r="Q106" s="30"/>
      <x:c r="R106" s="30"/>
      <x:c r="S106" s="30"/>
      <x:c r="T106" s="30"/>
      <x:c r="U106" s="30"/>
      <x:c r="V106" s="30"/>
      <x:c r="W106" s="30"/>
      <x:c r="X106" s="30"/>
      <x:c r="Y106" s="30"/>
      <x:c r="Z106" s="30"/>
      <x:c r="AA106" s="30"/>
      <x:c r="AB106" s="30"/>
      <x:c r="AC106" s="30"/>
      <x:c r="AD106" s="30"/>
      <x:c r="AE106" s="30"/>
      <x:c r="AF106" s="30"/>
      <x:c r="AG106" s="30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</x:row>
    <x:row r="107">
      <x:c r="A107" s="1"/>
      <x:c r="B107" s="1"/>
      <x:c r="C107" s="30"/>
      <x:c r="D107" s="30"/>
      <x:c r="E107" s="30"/>
      <x:c r="F107" s="30"/>
      <x:c r="G107" s="30"/>
      <x:c r="H107" s="30"/>
      <x:c r="I107" s="30"/>
      <x:c r="J107" s="30"/>
      <x:c r="K107" s="30"/>
      <x:c r="L107" s="30"/>
      <x:c r="M107" s="30"/>
      <x:c r="N107" s="30"/>
      <x:c r="O107" s="30"/>
      <x:c r="P107" s="30"/>
      <x:c r="Q107" s="30"/>
      <x:c r="R107" s="30"/>
      <x:c r="S107" s="30"/>
      <x:c r="T107" s="30"/>
      <x:c r="U107" s="30"/>
      <x:c r="V107" s="30"/>
      <x:c r="W107" s="30"/>
      <x:c r="X107" s="30"/>
      <x:c r="Y107" s="30"/>
      <x:c r="Z107" s="30"/>
      <x:c r="AA107" s="30"/>
      <x:c r="AB107" s="30"/>
      <x:c r="AC107" s="30"/>
      <x:c r="AD107" s="30"/>
      <x:c r="AE107" s="30"/>
      <x:c r="AF107" s="30"/>
      <x:c r="AG107" s="30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</x:row>
    <x:row r="108">
      <x:c r="A108" s="1"/>
      <x:c r="B108" s="1"/>
      <x:c r="C108" s="30"/>
      <x:c r="D108" s="30"/>
      <x:c r="E108" s="30"/>
      <x:c r="F108" s="30"/>
      <x:c r="G108" s="30"/>
      <x:c r="H108" s="30"/>
      <x:c r="I108" s="30"/>
      <x:c r="J108" s="30"/>
      <x:c r="K108" s="30"/>
      <x:c r="L108" s="30"/>
      <x:c r="M108" s="30"/>
      <x:c r="N108" s="30"/>
      <x:c r="O108" s="30"/>
      <x:c r="P108" s="30"/>
      <x:c r="Q108" s="30"/>
      <x:c r="R108" s="30"/>
      <x:c r="S108" s="30"/>
      <x:c r="T108" s="30"/>
      <x:c r="U108" s="30"/>
      <x:c r="V108" s="30"/>
      <x:c r="W108" s="30"/>
      <x:c r="X108" s="30"/>
      <x:c r="Y108" s="30"/>
      <x:c r="Z108" s="30"/>
      <x:c r="AA108" s="30"/>
      <x:c r="AB108" s="30"/>
      <x:c r="AC108" s="30"/>
      <x:c r="AD108" s="30"/>
      <x:c r="AE108" s="30"/>
      <x:c r="AF108" s="30"/>
      <x:c r="AG108" s="30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</x:row>
    <x:row r="109">
      <x:c r="A109" s="1"/>
      <x:c r="B109" s="1"/>
      <x:c r="C109" s="30"/>
      <x:c r="D109" s="30"/>
      <x:c r="E109" s="30"/>
      <x:c r="F109" s="30"/>
      <x:c r="G109" s="30"/>
      <x:c r="H109" s="30"/>
      <x:c r="I109" s="30"/>
      <x:c r="J109" s="30"/>
      <x:c r="K109" s="30"/>
      <x:c r="L109" s="30"/>
      <x:c r="M109" s="30"/>
      <x:c r="N109" s="30"/>
      <x:c r="O109" s="30"/>
      <x:c r="P109" s="30"/>
      <x:c r="Q109" s="30"/>
      <x:c r="R109" s="30"/>
      <x:c r="S109" s="30"/>
      <x:c r="T109" s="30"/>
      <x:c r="U109" s="30"/>
      <x:c r="V109" s="30"/>
      <x:c r="W109" s="30"/>
      <x:c r="X109" s="30"/>
      <x:c r="Y109" s="30"/>
      <x:c r="Z109" s="30"/>
      <x:c r="AA109" s="30"/>
      <x:c r="AB109" s="30"/>
      <x:c r="AC109" s="30"/>
      <x:c r="AD109" s="30"/>
      <x:c r="AE109" s="30"/>
      <x:c r="AF109" s="30"/>
      <x:c r="AG109" s="30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</x:row>
    <x:row r="110">
      <x:c r="A110" s="1"/>
      <x:c r="B110" s="1"/>
      <x:c r="C110" s="30"/>
      <x:c r="D110" s="30"/>
      <x:c r="E110" s="30"/>
      <x:c r="F110" s="30"/>
      <x:c r="G110" s="30"/>
      <x:c r="H110" s="30"/>
      <x:c r="I110" s="30"/>
      <x:c r="J110" s="30"/>
      <x:c r="K110" s="30"/>
      <x:c r="L110" s="30"/>
      <x:c r="M110" s="30"/>
      <x:c r="N110" s="30"/>
      <x:c r="O110" s="30"/>
      <x:c r="P110" s="30"/>
      <x:c r="Q110" s="30"/>
      <x:c r="R110" s="30"/>
      <x:c r="S110" s="30"/>
      <x:c r="T110" s="30"/>
      <x:c r="U110" s="30"/>
      <x:c r="V110" s="30"/>
      <x:c r="W110" s="30"/>
      <x:c r="X110" s="30"/>
      <x:c r="Y110" s="30"/>
      <x:c r="Z110" s="30"/>
      <x:c r="AA110" s="30"/>
      <x:c r="AB110" s="30"/>
      <x:c r="AC110" s="30"/>
      <x:c r="AD110" s="30"/>
      <x:c r="AE110" s="30"/>
      <x:c r="AF110" s="30"/>
      <x:c r="AG110" s="30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</x:row>
    <x:row r="111">
      <x:c r="A111" s="1"/>
      <x:c r="B111" s="1"/>
      <x:c r="C111" s="30"/>
      <x:c r="D111" s="30"/>
      <x:c r="E111" s="30"/>
      <x:c r="F111" s="30"/>
      <x:c r="G111" s="30"/>
      <x:c r="H111" s="30"/>
      <x:c r="I111" s="30"/>
      <x:c r="J111" s="30"/>
      <x:c r="K111" s="30"/>
      <x:c r="L111" s="30"/>
      <x:c r="M111" s="30"/>
      <x:c r="N111" s="30"/>
      <x:c r="O111" s="30"/>
      <x:c r="P111" s="30"/>
      <x:c r="Q111" s="30"/>
      <x:c r="R111" s="30"/>
      <x:c r="S111" s="30"/>
      <x:c r="T111" s="30"/>
      <x:c r="U111" s="30"/>
      <x:c r="V111" s="30"/>
      <x:c r="W111" s="30"/>
      <x:c r="X111" s="30"/>
      <x:c r="Y111" s="30"/>
      <x:c r="Z111" s="30"/>
      <x:c r="AA111" s="30"/>
      <x:c r="AB111" s="30"/>
      <x:c r="AC111" s="30"/>
      <x:c r="AD111" s="30"/>
      <x:c r="AE111" s="30"/>
      <x:c r="AF111" s="30"/>
      <x:c r="AG111" s="30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</x:row>
    <x:row r="112">
      <x:c r="A112" s="1"/>
      <x:c r="B112" s="1"/>
      <x:c r="C112" s="30"/>
      <x:c r="D112" s="30"/>
      <x:c r="E112" s="30"/>
      <x:c r="F112" s="30"/>
      <x:c r="G112" s="30"/>
      <x:c r="H112" s="30"/>
      <x:c r="I112" s="30"/>
      <x:c r="J112" s="30"/>
      <x:c r="K112" s="30"/>
      <x:c r="L112" s="30"/>
      <x:c r="M112" s="30"/>
      <x:c r="N112" s="30"/>
      <x:c r="O112" s="30"/>
      <x:c r="P112" s="30"/>
      <x:c r="Q112" s="30"/>
      <x:c r="R112" s="30"/>
      <x:c r="S112" s="30"/>
      <x:c r="T112" s="30"/>
      <x:c r="U112" s="30"/>
      <x:c r="V112" s="30"/>
      <x:c r="W112" s="30"/>
      <x:c r="X112" s="30"/>
      <x:c r="Y112" s="30"/>
      <x:c r="Z112" s="30"/>
      <x:c r="AA112" s="30"/>
      <x:c r="AB112" s="30"/>
      <x:c r="AC112" s="30"/>
      <x:c r="AD112" s="30"/>
      <x:c r="AE112" s="30"/>
      <x:c r="AF112" s="30"/>
      <x:c r="AG112" s="30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</x:row>
    <x:row r="113">
      <x:c r="A113" s="1"/>
      <x:c r="B113" s="1"/>
      <x:c r="C113" s="30"/>
      <x:c r="D113" s="30"/>
      <x:c r="E113" s="30"/>
      <x:c r="F113" s="30"/>
      <x:c r="G113" s="30"/>
      <x:c r="H113" s="30"/>
      <x:c r="I113" s="30"/>
      <x:c r="J113" s="30"/>
      <x:c r="K113" s="30"/>
      <x:c r="L113" s="30"/>
      <x:c r="M113" s="30"/>
      <x:c r="N113" s="30"/>
      <x:c r="O113" s="30"/>
      <x:c r="P113" s="30"/>
      <x:c r="Q113" s="30"/>
      <x:c r="R113" s="30"/>
      <x:c r="S113" s="30"/>
      <x:c r="T113" s="30"/>
      <x:c r="U113" s="30"/>
      <x:c r="V113" s="30"/>
      <x:c r="W113" s="30"/>
      <x:c r="X113" s="30"/>
      <x:c r="Y113" s="30"/>
      <x:c r="Z113" s="30"/>
      <x:c r="AA113" s="30"/>
      <x:c r="AB113" s="30"/>
      <x:c r="AC113" s="30"/>
      <x:c r="AD113" s="30"/>
      <x:c r="AE113" s="30"/>
      <x:c r="AF113" s="30"/>
      <x:c r="AG113" s="30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</x:row>
    <x:row r="114">
      <x:c r="A114" s="1"/>
      <x:c r="B114" s="1"/>
      <x:c r="C114" s="30"/>
      <x:c r="D114" s="30"/>
      <x:c r="E114" s="30"/>
      <x:c r="F114" s="30"/>
      <x:c r="G114" s="30"/>
      <x:c r="H114" s="30"/>
      <x:c r="I114" s="30"/>
      <x:c r="J114" s="30"/>
      <x:c r="K114" s="30"/>
      <x:c r="L114" s="30"/>
      <x:c r="M114" s="30"/>
      <x:c r="N114" s="30"/>
      <x:c r="O114" s="30"/>
      <x:c r="P114" s="30"/>
      <x:c r="Q114" s="30"/>
      <x:c r="R114" s="30"/>
      <x:c r="S114" s="30"/>
      <x:c r="T114" s="30"/>
      <x:c r="U114" s="30"/>
      <x:c r="V114" s="30"/>
      <x:c r="W114" s="30"/>
      <x:c r="X114" s="30"/>
      <x:c r="Y114" s="30"/>
      <x:c r="Z114" s="30"/>
      <x:c r="AA114" s="30"/>
      <x:c r="AB114" s="30"/>
      <x:c r="AC114" s="30"/>
      <x:c r="AD114" s="30"/>
      <x:c r="AE114" s="30"/>
      <x:c r="AF114" s="30"/>
      <x:c r="AG114" s="30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</x:row>
    <x:row r="115">
      <x:c r="A115" s="1"/>
      <x:c r="B115" s="1"/>
      <x:c r="C115" s="30"/>
      <x:c r="D115" s="30"/>
      <x:c r="E115" s="30"/>
      <x:c r="F115" s="30"/>
      <x:c r="G115" s="30"/>
      <x:c r="H115" s="30"/>
      <x:c r="I115" s="30"/>
      <x:c r="J115" s="30"/>
      <x:c r="K115" s="30"/>
      <x:c r="L115" s="30"/>
      <x:c r="M115" s="30"/>
      <x:c r="N115" s="30"/>
      <x:c r="O115" s="30"/>
      <x:c r="P115" s="30"/>
      <x:c r="Q115" s="30"/>
      <x:c r="R115" s="30"/>
      <x:c r="S115" s="30"/>
      <x:c r="T115" s="30"/>
      <x:c r="U115" s="30"/>
      <x:c r="V115" s="30"/>
      <x:c r="W115" s="30"/>
      <x:c r="X115" s="30"/>
      <x:c r="Y115" s="30"/>
      <x:c r="Z115" s="30"/>
      <x:c r="AA115" s="30"/>
      <x:c r="AB115" s="30"/>
      <x:c r="AC115" s="30"/>
      <x:c r="AD115" s="30"/>
      <x:c r="AE115" s="30"/>
      <x:c r="AF115" s="30"/>
      <x:c r="AG115" s="30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</x:row>
    <x:row r="116">
      <x:c r="A116" s="1"/>
      <x:c r="B116" s="1"/>
      <x:c r="C116" s="30"/>
      <x:c r="D116" s="30"/>
      <x:c r="E116" s="30"/>
      <x:c r="F116" s="30"/>
      <x:c r="G116" s="30"/>
      <x:c r="H116" s="30"/>
      <x:c r="I116" s="30"/>
      <x:c r="J116" s="30"/>
      <x:c r="K116" s="30"/>
      <x:c r="L116" s="30"/>
      <x:c r="M116" s="30"/>
      <x:c r="N116" s="30"/>
      <x:c r="O116" s="30"/>
      <x:c r="P116" s="30"/>
      <x:c r="Q116" s="30"/>
      <x:c r="R116" s="30"/>
      <x:c r="S116" s="30"/>
      <x:c r="T116" s="30"/>
      <x:c r="U116" s="30"/>
      <x:c r="V116" s="30"/>
      <x:c r="W116" s="30"/>
      <x:c r="X116" s="30"/>
      <x:c r="Y116" s="30"/>
      <x:c r="Z116" s="30"/>
      <x:c r="AA116" s="30"/>
      <x:c r="AB116" s="30"/>
      <x:c r="AC116" s="30"/>
      <x:c r="AD116" s="30"/>
      <x:c r="AE116" s="30"/>
      <x:c r="AF116" s="30"/>
      <x:c r="AG116" s="30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</x:row>
    <x:row r="117">
      <x:c r="A117" s="1"/>
      <x:c r="B117" s="1"/>
      <x:c r="C117" s="30"/>
      <x:c r="D117" s="30"/>
      <x:c r="E117" s="30"/>
      <x:c r="F117" s="30"/>
      <x:c r="G117" s="30"/>
      <x:c r="H117" s="30"/>
      <x:c r="I117" s="30"/>
      <x:c r="J117" s="30"/>
      <x:c r="K117" s="30"/>
      <x:c r="L117" s="30"/>
      <x:c r="M117" s="30"/>
      <x:c r="N117" s="30"/>
      <x:c r="O117" s="30"/>
      <x:c r="P117" s="30"/>
      <x:c r="Q117" s="30"/>
      <x:c r="R117" s="30"/>
      <x:c r="S117" s="30"/>
      <x:c r="T117" s="30"/>
      <x:c r="U117" s="30"/>
      <x:c r="V117" s="30"/>
      <x:c r="W117" s="30"/>
      <x:c r="X117" s="30"/>
      <x:c r="Y117" s="30"/>
      <x:c r="Z117" s="30"/>
      <x:c r="AA117" s="30"/>
      <x:c r="AB117" s="30"/>
      <x:c r="AC117" s="30"/>
      <x:c r="AD117" s="30"/>
      <x:c r="AE117" s="30"/>
      <x:c r="AF117" s="30"/>
      <x:c r="AG117" s="30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</x:row>
    <x:row r="118">
      <x:c r="A118" s="1"/>
      <x:c r="B118" s="1"/>
      <x:c r="C118" s="30"/>
      <x:c r="D118" s="30"/>
      <x:c r="E118" s="30"/>
      <x:c r="F118" s="30"/>
      <x:c r="G118" s="30"/>
      <x:c r="H118" s="30"/>
      <x:c r="I118" s="30"/>
      <x:c r="J118" s="30"/>
      <x:c r="K118" s="30"/>
      <x:c r="L118" s="30"/>
      <x:c r="M118" s="30"/>
      <x:c r="N118" s="30"/>
      <x:c r="O118" s="30"/>
      <x:c r="P118" s="30"/>
      <x:c r="Q118" s="30"/>
      <x:c r="R118" s="30"/>
      <x:c r="S118" s="30"/>
      <x:c r="T118" s="30"/>
      <x:c r="U118" s="30"/>
      <x:c r="V118" s="30"/>
      <x:c r="W118" s="30"/>
      <x:c r="X118" s="30"/>
      <x:c r="Y118" s="30"/>
      <x:c r="Z118" s="30"/>
      <x:c r="AA118" s="30"/>
      <x:c r="AB118" s="30"/>
      <x:c r="AC118" s="30"/>
      <x:c r="AD118" s="30"/>
      <x:c r="AE118" s="30"/>
      <x:c r="AF118" s="30"/>
      <x:c r="AG118" s="30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</x:row>
    <x:row r="119">
      <x:c r="A119" s="1"/>
      <x:c r="B119" s="1"/>
      <x:c r="C119" s="30"/>
      <x:c r="D119" s="30"/>
      <x:c r="E119" s="30"/>
      <x:c r="F119" s="30"/>
      <x:c r="G119" s="30"/>
      <x:c r="H119" s="30"/>
      <x:c r="I119" s="30"/>
      <x:c r="J119" s="30"/>
      <x:c r="K119" s="30"/>
      <x:c r="L119" s="30"/>
      <x:c r="M119" s="30"/>
      <x:c r="N119" s="30"/>
      <x:c r="O119" s="30"/>
      <x:c r="P119" s="30"/>
      <x:c r="Q119" s="30"/>
      <x:c r="R119" s="30"/>
      <x:c r="S119" s="30"/>
      <x:c r="T119" s="30"/>
      <x:c r="U119" s="30"/>
      <x:c r="V119" s="30"/>
      <x:c r="W119" s="30"/>
      <x:c r="X119" s="30"/>
      <x:c r="Y119" s="30"/>
      <x:c r="Z119" s="30"/>
      <x:c r="AA119" s="30"/>
      <x:c r="AB119" s="30"/>
      <x:c r="AC119" s="30"/>
      <x:c r="AD119" s="30"/>
      <x:c r="AE119" s="30"/>
      <x:c r="AF119" s="30"/>
      <x:c r="AG119" s="30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</x:row>
    <x:row r="120">
      <x:c r="A120" s="1"/>
      <x:c r="B120" s="1"/>
      <x:c r="C120" s="30"/>
      <x:c r="D120" s="30"/>
      <x:c r="E120" s="30"/>
      <x:c r="F120" s="30"/>
      <x:c r="G120" s="30"/>
      <x:c r="H120" s="30"/>
      <x:c r="I120" s="30"/>
      <x:c r="J120" s="30"/>
      <x:c r="K120" s="30"/>
      <x:c r="L120" s="30"/>
      <x:c r="M120" s="30"/>
      <x:c r="N120" s="30"/>
      <x:c r="O120" s="30"/>
      <x:c r="P120" s="30"/>
      <x:c r="Q120" s="30"/>
      <x:c r="R120" s="30"/>
      <x:c r="S120" s="30"/>
      <x:c r="T120" s="30"/>
      <x:c r="U120" s="30"/>
      <x:c r="V120" s="30"/>
      <x:c r="W120" s="30"/>
      <x:c r="X120" s="30"/>
      <x:c r="Y120" s="30"/>
      <x:c r="Z120" s="30"/>
      <x:c r="AA120" s="30"/>
      <x:c r="AB120" s="30"/>
      <x:c r="AC120" s="30"/>
      <x:c r="AD120" s="30"/>
      <x:c r="AE120" s="30"/>
      <x:c r="AF120" s="30"/>
      <x:c r="AG120" s="30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</x:row>
    <x:row r="121">
      <x:c r="A121" s="1"/>
      <x:c r="B121" s="1"/>
      <x:c r="C121" s="30"/>
      <x:c r="D121" s="30"/>
      <x:c r="E121" s="30"/>
      <x:c r="F121" s="30"/>
      <x:c r="G121" s="30"/>
      <x:c r="H121" s="30"/>
      <x:c r="I121" s="30"/>
      <x:c r="J121" s="30"/>
      <x:c r="K121" s="30"/>
      <x:c r="L121" s="30"/>
      <x:c r="M121" s="30"/>
      <x:c r="N121" s="30"/>
      <x:c r="O121" s="30"/>
      <x:c r="P121" s="30"/>
      <x:c r="Q121" s="30"/>
      <x:c r="R121" s="30"/>
      <x:c r="S121" s="30"/>
      <x:c r="T121" s="30"/>
      <x:c r="U121" s="30"/>
      <x:c r="V121" s="30"/>
      <x:c r="W121" s="30"/>
      <x:c r="X121" s="30"/>
      <x:c r="Y121" s="30"/>
      <x:c r="Z121" s="30"/>
      <x:c r="AA121" s="30"/>
      <x:c r="AB121" s="30"/>
      <x:c r="AC121" s="30"/>
      <x:c r="AD121" s="30"/>
      <x:c r="AE121" s="30"/>
      <x:c r="AF121" s="30"/>
      <x:c r="AG121" s="30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</x:row>
    <x:row r="122">
      <x:c r="A122" s="1"/>
      <x:c r="B122" s="1"/>
      <x:c r="C122" s="30"/>
      <x:c r="D122" s="30"/>
      <x:c r="E122" s="30"/>
      <x:c r="F122" s="30"/>
      <x:c r="G122" s="30"/>
      <x:c r="H122" s="30"/>
      <x:c r="I122" s="30"/>
      <x:c r="J122" s="30"/>
      <x:c r="K122" s="30"/>
      <x:c r="L122" s="30"/>
      <x:c r="M122" s="30"/>
      <x:c r="N122" s="30"/>
      <x:c r="O122" s="30"/>
      <x:c r="P122" s="30"/>
      <x:c r="Q122" s="30"/>
      <x:c r="R122" s="30"/>
      <x:c r="S122" s="30"/>
      <x:c r="T122" s="30"/>
      <x:c r="U122" s="30"/>
      <x:c r="V122" s="30"/>
      <x:c r="W122" s="30"/>
      <x:c r="X122" s="30"/>
      <x:c r="Y122" s="30"/>
      <x:c r="Z122" s="30"/>
      <x:c r="AA122" s="30"/>
      <x:c r="AB122" s="30"/>
      <x:c r="AC122" s="30"/>
      <x:c r="AD122" s="30"/>
      <x:c r="AE122" s="30"/>
      <x:c r="AF122" s="30"/>
      <x:c r="AG122" s="30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</x:row>
    <x:row r="123">
      <x:c r="A123" s="1"/>
      <x:c r="B123" s="1"/>
      <x:c r="C123" s="30"/>
      <x:c r="D123" s="30"/>
      <x:c r="E123" s="30"/>
      <x:c r="F123" s="30"/>
      <x:c r="G123" s="30"/>
      <x:c r="H123" s="30"/>
      <x:c r="I123" s="30"/>
      <x:c r="J123" s="30"/>
      <x:c r="K123" s="30"/>
      <x:c r="L123" s="30"/>
      <x:c r="M123" s="30"/>
      <x:c r="N123" s="30"/>
      <x:c r="O123" s="30"/>
      <x:c r="P123" s="30"/>
      <x:c r="Q123" s="30"/>
      <x:c r="R123" s="30"/>
      <x:c r="S123" s="30"/>
      <x:c r="T123" s="30"/>
      <x:c r="U123" s="30"/>
      <x:c r="V123" s="30"/>
      <x:c r="W123" s="30"/>
      <x:c r="X123" s="30"/>
      <x:c r="Y123" s="30"/>
      <x:c r="Z123" s="30"/>
      <x:c r="AA123" s="30"/>
      <x:c r="AB123" s="30"/>
      <x:c r="AC123" s="30"/>
      <x:c r="AD123" s="30"/>
      <x:c r="AE123" s="30"/>
      <x:c r="AF123" s="30"/>
      <x:c r="AG123" s="30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</x:row>
    <x:row r="124">
      <x:c r="A124" s="1"/>
      <x:c r="B124" s="1"/>
      <x:c r="C124" s="30"/>
      <x:c r="D124" s="30"/>
      <x:c r="E124" s="30"/>
      <x:c r="F124" s="30"/>
      <x:c r="G124" s="30"/>
      <x:c r="H124" s="30"/>
      <x:c r="I124" s="30"/>
      <x:c r="J124" s="30"/>
      <x:c r="K124" s="30"/>
      <x:c r="L124" s="30"/>
      <x:c r="M124" s="30"/>
      <x:c r="N124" s="30"/>
      <x:c r="O124" s="30"/>
      <x:c r="P124" s="30"/>
      <x:c r="Q124" s="30"/>
      <x:c r="R124" s="30"/>
      <x:c r="S124" s="30"/>
      <x:c r="T124" s="30"/>
      <x:c r="U124" s="30"/>
      <x:c r="V124" s="30"/>
      <x:c r="W124" s="30"/>
      <x:c r="X124" s="30"/>
      <x:c r="Y124" s="30"/>
      <x:c r="Z124" s="30"/>
      <x:c r="AA124" s="30"/>
      <x:c r="AB124" s="30"/>
      <x:c r="AC124" s="30"/>
      <x:c r="AD124" s="30"/>
      <x:c r="AE124" s="30"/>
      <x:c r="AF124" s="30"/>
      <x:c r="AG124" s="30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</x:row>
    <x:row r="125">
      <x:c r="A125" s="1"/>
      <x:c r="B125" s="1"/>
      <x:c r="C125" s="30"/>
      <x:c r="D125" s="30"/>
      <x:c r="E125" s="30"/>
      <x:c r="F125" s="30"/>
      <x:c r="G125" s="30"/>
      <x:c r="H125" s="30"/>
      <x:c r="I125" s="30"/>
      <x:c r="J125" s="30"/>
      <x:c r="K125" s="30"/>
      <x:c r="L125" s="30"/>
      <x:c r="M125" s="30"/>
      <x:c r="N125" s="30"/>
      <x:c r="O125" s="30"/>
      <x:c r="P125" s="30"/>
      <x:c r="Q125" s="30"/>
      <x:c r="R125" s="30"/>
      <x:c r="S125" s="30"/>
      <x:c r="T125" s="30"/>
      <x:c r="U125" s="30"/>
      <x:c r="V125" s="30"/>
      <x:c r="W125" s="30"/>
      <x:c r="X125" s="30"/>
      <x:c r="Y125" s="30"/>
      <x:c r="Z125" s="30"/>
      <x:c r="AA125" s="30"/>
      <x:c r="AB125" s="30"/>
      <x:c r="AC125" s="30"/>
      <x:c r="AD125" s="30"/>
      <x:c r="AE125" s="30"/>
      <x:c r="AF125" s="30"/>
      <x:c r="AG125" s="30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</x:row>
    <x:row r="126">
      <x:c r="A126" s="1"/>
      <x:c r="B126" s="1"/>
      <x:c r="C126" s="30"/>
      <x:c r="D126" s="30"/>
      <x:c r="E126" s="30"/>
      <x:c r="F126" s="30"/>
      <x:c r="G126" s="30"/>
      <x:c r="H126" s="30"/>
      <x:c r="I126" s="30"/>
      <x:c r="J126" s="30"/>
      <x:c r="K126" s="30"/>
      <x:c r="L126" s="30"/>
      <x:c r="M126" s="30"/>
      <x:c r="N126" s="30"/>
      <x:c r="O126" s="30"/>
      <x:c r="P126" s="30"/>
      <x:c r="Q126" s="30"/>
      <x:c r="R126" s="30"/>
      <x:c r="S126" s="30"/>
      <x:c r="T126" s="30"/>
      <x:c r="U126" s="30"/>
      <x:c r="V126" s="30"/>
      <x:c r="W126" s="30"/>
      <x:c r="X126" s="30"/>
      <x:c r="Y126" s="30"/>
      <x:c r="Z126" s="30"/>
      <x:c r="AA126" s="30"/>
      <x:c r="AB126" s="30"/>
      <x:c r="AC126" s="30"/>
      <x:c r="AD126" s="30"/>
      <x:c r="AE126" s="30"/>
      <x:c r="AF126" s="30"/>
      <x:c r="AG126" s="30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</x:row>
    <x:row r="127">
      <x:c r="A127" s="1"/>
      <x:c r="B127" s="1"/>
      <x:c r="C127" s="30"/>
      <x:c r="D127" s="30"/>
      <x:c r="E127" s="30"/>
      <x:c r="F127" s="30"/>
      <x:c r="G127" s="30"/>
      <x:c r="H127" s="30"/>
      <x:c r="I127" s="30"/>
      <x:c r="J127" s="30"/>
      <x:c r="K127" s="30"/>
      <x:c r="L127" s="30"/>
      <x:c r="M127" s="30"/>
      <x:c r="N127" s="30"/>
      <x:c r="O127" s="30"/>
      <x:c r="P127" s="30"/>
      <x:c r="Q127" s="30"/>
      <x:c r="R127" s="30"/>
      <x:c r="S127" s="30"/>
      <x:c r="T127" s="30"/>
      <x:c r="U127" s="30"/>
      <x:c r="V127" s="30"/>
      <x:c r="W127" s="30"/>
      <x:c r="X127" s="30"/>
      <x:c r="Y127" s="30"/>
      <x:c r="Z127" s="30"/>
      <x:c r="AA127" s="30"/>
      <x:c r="AB127" s="30"/>
      <x:c r="AC127" s="30"/>
      <x:c r="AD127" s="30"/>
      <x:c r="AE127" s="30"/>
      <x:c r="AF127" s="30"/>
      <x:c r="AG127" s="30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</x:row>
    <x:row r="128">
      <x:c r="A128" s="1"/>
      <x:c r="B128" s="1"/>
      <x:c r="C128" s="30"/>
      <x:c r="D128" s="30"/>
      <x:c r="E128" s="30"/>
      <x:c r="F128" s="30"/>
      <x:c r="G128" s="30"/>
      <x:c r="H128" s="30"/>
      <x:c r="I128" s="30"/>
      <x:c r="J128" s="30"/>
      <x:c r="K128" s="30"/>
      <x:c r="L128" s="30"/>
      <x:c r="M128" s="30"/>
      <x:c r="N128" s="30"/>
      <x:c r="O128" s="30"/>
      <x:c r="P128" s="30"/>
      <x:c r="Q128" s="30"/>
      <x:c r="R128" s="30"/>
      <x:c r="S128" s="30"/>
      <x:c r="T128" s="30"/>
      <x:c r="U128" s="30"/>
      <x:c r="V128" s="30"/>
      <x:c r="W128" s="30"/>
      <x:c r="X128" s="30"/>
      <x:c r="Y128" s="30"/>
      <x:c r="Z128" s="30"/>
      <x:c r="AA128" s="30"/>
      <x:c r="AB128" s="30"/>
      <x:c r="AC128" s="30"/>
      <x:c r="AD128" s="30"/>
      <x:c r="AE128" s="30"/>
      <x:c r="AF128" s="30"/>
      <x:c r="AG128" s="30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</x:row>
    <x:row r="129">
      <x:c r="A129" s="1"/>
      <x:c r="B129" s="1"/>
      <x:c r="C129" s="30"/>
      <x:c r="D129" s="30"/>
      <x:c r="E129" s="30"/>
      <x:c r="F129" s="30"/>
      <x:c r="G129" s="30"/>
      <x:c r="H129" s="30"/>
      <x:c r="I129" s="30"/>
      <x:c r="J129" s="30"/>
      <x:c r="K129" s="30"/>
      <x:c r="L129" s="30"/>
      <x:c r="M129" s="30"/>
      <x:c r="N129" s="30"/>
      <x:c r="O129" s="30"/>
      <x:c r="P129" s="30"/>
      <x:c r="Q129" s="30"/>
      <x:c r="R129" s="30"/>
      <x:c r="S129" s="30"/>
      <x:c r="T129" s="30"/>
      <x:c r="U129" s="30"/>
      <x:c r="V129" s="30"/>
      <x:c r="W129" s="30"/>
      <x:c r="X129" s="30"/>
      <x:c r="Y129" s="30"/>
      <x:c r="Z129" s="30"/>
      <x:c r="AA129" s="30"/>
      <x:c r="AB129" s="30"/>
      <x:c r="AC129" s="30"/>
      <x:c r="AD129" s="30"/>
      <x:c r="AE129" s="30"/>
      <x:c r="AF129" s="30"/>
      <x:c r="AG129" s="30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</x:row>
    <x:row r="130">
      <x:c r="A130" s="1"/>
      <x:c r="B130" s="1"/>
      <x:c r="C130" s="30"/>
      <x:c r="D130" s="30"/>
      <x:c r="E130" s="30"/>
      <x:c r="F130" s="30"/>
      <x:c r="G130" s="30"/>
      <x:c r="H130" s="30"/>
      <x:c r="I130" s="30"/>
      <x:c r="J130" s="30"/>
      <x:c r="K130" s="30"/>
      <x:c r="L130" s="30"/>
      <x:c r="M130" s="30"/>
      <x:c r="N130" s="30"/>
      <x:c r="O130" s="30"/>
      <x:c r="P130" s="30"/>
      <x:c r="Q130" s="30"/>
      <x:c r="R130" s="30"/>
      <x:c r="S130" s="30"/>
      <x:c r="T130" s="30"/>
      <x:c r="U130" s="30"/>
      <x:c r="V130" s="30"/>
      <x:c r="W130" s="30"/>
      <x:c r="X130" s="30"/>
      <x:c r="Y130" s="30"/>
      <x:c r="Z130" s="30"/>
      <x:c r="AA130" s="30"/>
      <x:c r="AB130" s="30"/>
      <x:c r="AC130" s="30"/>
      <x:c r="AD130" s="30"/>
      <x:c r="AE130" s="30"/>
      <x:c r="AF130" s="30"/>
      <x:c r="AG130" s="30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</x:row>
    <x:row r="131">
      <x:c r="A131" s="1"/>
      <x:c r="B131" s="1"/>
      <x:c r="C131" s="30"/>
      <x:c r="D131" s="30"/>
      <x:c r="E131" s="30"/>
      <x:c r="F131" s="30"/>
      <x:c r="G131" s="30"/>
      <x:c r="H131" s="30"/>
      <x:c r="I131" s="30"/>
      <x:c r="J131" s="30"/>
      <x:c r="K131" s="30"/>
      <x:c r="L131" s="30"/>
      <x:c r="M131" s="30"/>
      <x:c r="N131" s="30"/>
      <x:c r="O131" s="30"/>
      <x:c r="P131" s="30"/>
      <x:c r="Q131" s="30"/>
      <x:c r="R131" s="30"/>
      <x:c r="S131" s="30"/>
      <x:c r="T131" s="30"/>
      <x:c r="U131" s="30"/>
      <x:c r="V131" s="30"/>
      <x:c r="W131" s="30"/>
      <x:c r="X131" s="30"/>
      <x:c r="Y131" s="30"/>
      <x:c r="Z131" s="30"/>
      <x:c r="AA131" s="30"/>
      <x:c r="AB131" s="30"/>
      <x:c r="AC131" s="30"/>
      <x:c r="AD131" s="30"/>
      <x:c r="AE131" s="30"/>
      <x:c r="AF131" s="30"/>
      <x:c r="AG131" s="30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</x:row>
    <x:row r="132">
      <x:c r="A132" s="1"/>
      <x:c r="B132" s="1"/>
      <x:c r="C132" s="30"/>
      <x:c r="D132" s="30"/>
      <x:c r="E132" s="30"/>
      <x:c r="F132" s="30"/>
      <x:c r="G132" s="30"/>
      <x:c r="H132" s="30"/>
      <x:c r="I132" s="30"/>
      <x:c r="J132" s="30"/>
      <x:c r="K132" s="30"/>
      <x:c r="L132" s="30"/>
      <x:c r="M132" s="30"/>
      <x:c r="N132" s="30"/>
      <x:c r="O132" s="30"/>
      <x:c r="P132" s="30"/>
      <x:c r="Q132" s="30"/>
      <x:c r="R132" s="30"/>
      <x:c r="S132" s="30"/>
      <x:c r="T132" s="30"/>
      <x:c r="U132" s="30"/>
      <x:c r="V132" s="30"/>
      <x:c r="W132" s="30"/>
      <x:c r="X132" s="30"/>
      <x:c r="Y132" s="30"/>
      <x:c r="Z132" s="30"/>
      <x:c r="AA132" s="30"/>
      <x:c r="AB132" s="30"/>
      <x:c r="AC132" s="30"/>
      <x:c r="AD132" s="30"/>
      <x:c r="AE132" s="30"/>
      <x:c r="AF132" s="30"/>
      <x:c r="AG132" s="30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</x:row>
    <x:row r="133">
      <x:c r="A133" s="1"/>
      <x:c r="B133" s="1"/>
      <x:c r="C133" s="30"/>
      <x:c r="D133" s="30"/>
      <x:c r="E133" s="30"/>
      <x:c r="F133" s="30"/>
      <x:c r="G133" s="30"/>
      <x:c r="H133" s="30"/>
      <x:c r="I133" s="30"/>
      <x:c r="J133" s="30"/>
      <x:c r="K133" s="30"/>
      <x:c r="L133" s="30"/>
      <x:c r="M133" s="30"/>
      <x:c r="N133" s="30"/>
      <x:c r="O133" s="30"/>
      <x:c r="P133" s="30"/>
      <x:c r="Q133" s="30"/>
      <x:c r="R133" s="30"/>
      <x:c r="S133" s="30"/>
      <x:c r="T133" s="30"/>
      <x:c r="U133" s="30"/>
      <x:c r="V133" s="30"/>
      <x:c r="W133" s="30"/>
      <x:c r="X133" s="30"/>
      <x:c r="Y133" s="30"/>
      <x:c r="Z133" s="30"/>
      <x:c r="AA133" s="30"/>
      <x:c r="AB133" s="30"/>
      <x:c r="AC133" s="30"/>
      <x:c r="AD133" s="30"/>
      <x:c r="AE133" s="30"/>
      <x:c r="AF133" s="30"/>
      <x:c r="AG133" s="30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</x:row>
    <x:row r="134">
      <x:c r="A134" s="1"/>
      <x:c r="B134" s="1"/>
      <x:c r="C134" s="30"/>
      <x:c r="D134" s="30"/>
      <x:c r="E134" s="30"/>
      <x:c r="F134" s="30"/>
      <x:c r="G134" s="30"/>
      <x:c r="H134" s="30"/>
      <x:c r="I134" s="30"/>
      <x:c r="J134" s="30"/>
      <x:c r="K134" s="30"/>
      <x:c r="L134" s="30"/>
      <x:c r="M134" s="30"/>
      <x:c r="N134" s="30"/>
      <x:c r="O134" s="30"/>
      <x:c r="P134" s="30"/>
      <x:c r="Q134" s="30"/>
      <x:c r="R134" s="30"/>
      <x:c r="S134" s="30"/>
      <x:c r="T134" s="30"/>
      <x:c r="U134" s="30"/>
      <x:c r="V134" s="30"/>
      <x:c r="W134" s="30"/>
      <x:c r="X134" s="30"/>
      <x:c r="Y134" s="30"/>
      <x:c r="Z134" s="30"/>
      <x:c r="AA134" s="30"/>
      <x:c r="AB134" s="30"/>
      <x:c r="AC134" s="30"/>
      <x:c r="AD134" s="30"/>
      <x:c r="AE134" s="30"/>
      <x:c r="AF134" s="30"/>
      <x:c r="AG134" s="30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</x:row>
    <x:row r="135">
      <x:c r="A135" s="1"/>
      <x:c r="B135" s="1"/>
      <x:c r="C135" s="30"/>
      <x:c r="D135" s="30"/>
      <x:c r="E135" s="30"/>
      <x:c r="F135" s="30"/>
      <x:c r="G135" s="30"/>
      <x:c r="H135" s="30"/>
      <x:c r="I135" s="30"/>
      <x:c r="J135" s="30"/>
      <x:c r="K135" s="30"/>
      <x:c r="L135" s="30"/>
      <x:c r="M135" s="30"/>
      <x:c r="N135" s="30"/>
      <x:c r="O135" s="30"/>
      <x:c r="P135" s="30"/>
      <x:c r="Q135" s="30"/>
      <x:c r="R135" s="30"/>
      <x:c r="S135" s="30"/>
      <x:c r="T135" s="30"/>
      <x:c r="U135" s="30"/>
      <x:c r="V135" s="30"/>
      <x:c r="W135" s="30"/>
      <x:c r="X135" s="30"/>
      <x:c r="Y135" s="30"/>
      <x:c r="Z135" s="30"/>
      <x:c r="AA135" s="30"/>
      <x:c r="AB135" s="30"/>
      <x:c r="AC135" s="30"/>
      <x:c r="AD135" s="30"/>
      <x:c r="AE135" s="30"/>
      <x:c r="AF135" s="30"/>
      <x:c r="AG135" s="30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</x:row>
    <x:row r="136">
      <x:c r="A136" s="1"/>
      <x:c r="B136" s="1"/>
      <x:c r="C136" s="30"/>
      <x:c r="D136" s="30"/>
      <x:c r="E136" s="30"/>
      <x:c r="F136" s="30"/>
      <x:c r="G136" s="30"/>
      <x:c r="H136" s="30"/>
      <x:c r="I136" s="30"/>
      <x:c r="J136" s="30"/>
      <x:c r="K136" s="30"/>
      <x:c r="L136" s="30"/>
      <x:c r="M136" s="30"/>
      <x:c r="N136" s="30"/>
      <x:c r="O136" s="30"/>
      <x:c r="P136" s="30"/>
      <x:c r="Q136" s="30"/>
      <x:c r="R136" s="30"/>
      <x:c r="S136" s="30"/>
      <x:c r="T136" s="30"/>
      <x:c r="U136" s="30"/>
      <x:c r="V136" s="30"/>
      <x:c r="W136" s="30"/>
      <x:c r="X136" s="30"/>
      <x:c r="Y136" s="30"/>
      <x:c r="Z136" s="30"/>
      <x:c r="AA136" s="30"/>
      <x:c r="AB136" s="30"/>
      <x:c r="AC136" s="30"/>
      <x:c r="AD136" s="30"/>
      <x:c r="AE136" s="30"/>
      <x:c r="AF136" s="30"/>
      <x:c r="AG136" s="30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</x:row>
    <x:row r="137">
      <x:c r="A137" s="1"/>
      <x:c r="B137" s="1"/>
      <x:c r="C137" s="30"/>
      <x:c r="D137" s="30"/>
      <x:c r="E137" s="30"/>
      <x:c r="F137" s="30"/>
      <x:c r="G137" s="30"/>
      <x:c r="H137" s="30"/>
      <x:c r="I137" s="30"/>
      <x:c r="J137" s="30"/>
      <x:c r="K137" s="30"/>
      <x:c r="L137" s="30"/>
      <x:c r="M137" s="30"/>
      <x:c r="N137" s="30"/>
      <x:c r="O137" s="30"/>
      <x:c r="P137" s="30"/>
      <x:c r="Q137" s="30"/>
      <x:c r="R137" s="30"/>
      <x:c r="S137" s="30"/>
      <x:c r="T137" s="30"/>
      <x:c r="U137" s="30"/>
      <x:c r="V137" s="30"/>
      <x:c r="W137" s="30"/>
      <x:c r="X137" s="30"/>
      <x:c r="Y137" s="30"/>
      <x:c r="Z137" s="30"/>
      <x:c r="AA137" s="30"/>
      <x:c r="AB137" s="30"/>
      <x:c r="AC137" s="30"/>
      <x:c r="AD137" s="30"/>
      <x:c r="AE137" s="30"/>
      <x:c r="AF137" s="30"/>
      <x:c r="AG137" s="30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</x:row>
    <x:row r="138">
      <x:c r="A138" s="1"/>
      <x:c r="B138" s="1"/>
      <x:c r="C138" s="30"/>
      <x:c r="D138" s="30"/>
      <x:c r="E138" s="30"/>
      <x:c r="F138" s="30"/>
      <x:c r="G138" s="30"/>
      <x:c r="H138" s="30"/>
      <x:c r="I138" s="30"/>
      <x:c r="J138" s="30"/>
      <x:c r="K138" s="30"/>
      <x:c r="L138" s="30"/>
      <x:c r="M138" s="30"/>
      <x:c r="N138" s="30"/>
      <x:c r="O138" s="30"/>
      <x:c r="P138" s="30"/>
      <x:c r="Q138" s="30"/>
      <x:c r="R138" s="30"/>
      <x:c r="S138" s="30"/>
      <x:c r="T138" s="30"/>
      <x:c r="U138" s="30"/>
      <x:c r="V138" s="30"/>
      <x:c r="W138" s="30"/>
      <x:c r="X138" s="30"/>
      <x:c r="Y138" s="30"/>
      <x:c r="Z138" s="30"/>
      <x:c r="AA138" s="30"/>
      <x:c r="AB138" s="30"/>
      <x:c r="AC138" s="30"/>
      <x:c r="AD138" s="30"/>
      <x:c r="AE138" s="30"/>
      <x:c r="AF138" s="30"/>
      <x:c r="AG138" s="30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</x:row>
    <x:row r="139">
      <x:c r="A139" s="1"/>
      <x:c r="B139" s="1"/>
      <x:c r="C139" s="30"/>
      <x:c r="D139" s="30"/>
      <x:c r="E139" s="30"/>
      <x:c r="F139" s="30"/>
      <x:c r="G139" s="30"/>
      <x:c r="H139" s="30"/>
      <x:c r="I139" s="30"/>
      <x:c r="J139" s="30"/>
      <x:c r="K139" s="30"/>
      <x:c r="L139" s="30"/>
      <x:c r="M139" s="30"/>
      <x:c r="N139" s="30"/>
      <x:c r="O139" s="30"/>
      <x:c r="P139" s="30"/>
      <x:c r="Q139" s="30"/>
      <x:c r="R139" s="30"/>
      <x:c r="S139" s="30"/>
      <x:c r="T139" s="30"/>
      <x:c r="U139" s="30"/>
      <x:c r="V139" s="30"/>
      <x:c r="W139" s="30"/>
      <x:c r="X139" s="30"/>
      <x:c r="Y139" s="30"/>
      <x:c r="Z139" s="30"/>
      <x:c r="AA139" s="30"/>
      <x:c r="AB139" s="30"/>
      <x:c r="AC139" s="30"/>
      <x:c r="AD139" s="30"/>
      <x:c r="AE139" s="30"/>
      <x:c r="AF139" s="30"/>
      <x:c r="AG139" s="30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</x:row>
    <x:row r="140">
      <x:c r="A140" s="1"/>
      <x:c r="B140" s="1"/>
      <x:c r="C140" s="30"/>
      <x:c r="D140" s="30"/>
      <x:c r="E140" s="30"/>
      <x:c r="F140" s="30"/>
      <x:c r="G140" s="30"/>
      <x:c r="H140" s="30"/>
      <x:c r="I140" s="30"/>
      <x:c r="J140" s="30"/>
      <x:c r="K140" s="30"/>
      <x:c r="L140" s="30"/>
      <x:c r="M140" s="30"/>
      <x:c r="N140" s="30"/>
      <x:c r="O140" s="30"/>
      <x:c r="P140" s="30"/>
      <x:c r="Q140" s="30"/>
      <x:c r="R140" s="30"/>
      <x:c r="S140" s="30"/>
      <x:c r="T140" s="30"/>
      <x:c r="U140" s="30"/>
      <x:c r="V140" s="30"/>
      <x:c r="W140" s="30"/>
      <x:c r="X140" s="30"/>
      <x:c r="Y140" s="30"/>
      <x:c r="Z140" s="30"/>
      <x:c r="AA140" s="30"/>
      <x:c r="AB140" s="30"/>
      <x:c r="AC140" s="30"/>
      <x:c r="AD140" s="30"/>
      <x:c r="AE140" s="30"/>
      <x:c r="AF140" s="30"/>
      <x:c r="AG140" s="30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</x:row>
    <x:row r="141">
      <x:c r="A141" s="1"/>
      <x:c r="B141" s="1"/>
      <x:c r="C141" s="30"/>
      <x:c r="D141" s="30"/>
      <x:c r="E141" s="30"/>
      <x:c r="F141" s="30"/>
      <x:c r="G141" s="30"/>
      <x:c r="H141" s="30"/>
      <x:c r="I141" s="30"/>
      <x:c r="J141" s="30"/>
      <x:c r="K141" s="30"/>
      <x:c r="L141" s="30"/>
      <x:c r="M141" s="30"/>
      <x:c r="N141" s="30"/>
      <x:c r="O141" s="30"/>
      <x:c r="P141" s="30"/>
      <x:c r="Q141" s="30"/>
      <x:c r="R141" s="30"/>
      <x:c r="S141" s="30"/>
      <x:c r="T141" s="30"/>
      <x:c r="U141" s="30"/>
      <x:c r="V141" s="30"/>
      <x:c r="W141" s="30"/>
      <x:c r="X141" s="30"/>
      <x:c r="Y141" s="30"/>
      <x:c r="Z141" s="30"/>
      <x:c r="AA141" s="30"/>
      <x:c r="AB141" s="30"/>
      <x:c r="AC141" s="30"/>
      <x:c r="AD141" s="30"/>
      <x:c r="AE141" s="30"/>
      <x:c r="AF141" s="30"/>
      <x:c r="AG141" s="30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</x:row>
    <x:row r="142">
      <x:c r="A142" s="1"/>
      <x:c r="B142" s="1"/>
      <x:c r="C142" s="30"/>
      <x:c r="D142" s="30"/>
      <x:c r="E142" s="30"/>
      <x:c r="F142" s="30"/>
      <x:c r="G142" s="30"/>
      <x:c r="H142" s="30"/>
      <x:c r="I142" s="30"/>
      <x:c r="J142" s="30"/>
      <x:c r="K142" s="30"/>
      <x:c r="L142" s="30"/>
      <x:c r="M142" s="30"/>
      <x:c r="N142" s="30"/>
      <x:c r="O142" s="30"/>
      <x:c r="P142" s="30"/>
      <x:c r="Q142" s="30"/>
      <x:c r="R142" s="30"/>
      <x:c r="S142" s="30"/>
      <x:c r="T142" s="30"/>
      <x:c r="U142" s="30"/>
      <x:c r="V142" s="30"/>
      <x:c r="W142" s="30"/>
      <x:c r="X142" s="30"/>
      <x:c r="Y142" s="30"/>
      <x:c r="Z142" s="30"/>
      <x:c r="AA142" s="30"/>
      <x:c r="AB142" s="30"/>
      <x:c r="AC142" s="30"/>
      <x:c r="AD142" s="30"/>
      <x:c r="AE142" s="30"/>
      <x:c r="AF142" s="30"/>
      <x:c r="AG142" s="30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</x:row>
    <x:row r="143">
      <x:c r="A143" s="1"/>
      <x:c r="B143" s="1"/>
      <x:c r="C143" s="30"/>
      <x:c r="D143" s="30"/>
      <x:c r="E143" s="30"/>
      <x:c r="F143" s="30"/>
      <x:c r="G143" s="30"/>
      <x:c r="H143" s="30"/>
      <x:c r="I143" s="30"/>
      <x:c r="J143" s="30"/>
      <x:c r="K143" s="30"/>
      <x:c r="L143" s="30"/>
      <x:c r="M143" s="30"/>
      <x:c r="N143" s="30"/>
      <x:c r="O143" s="30"/>
      <x:c r="P143" s="30"/>
      <x:c r="Q143" s="30"/>
      <x:c r="R143" s="30"/>
      <x:c r="S143" s="30"/>
      <x:c r="T143" s="30"/>
      <x:c r="U143" s="30"/>
      <x:c r="V143" s="30"/>
      <x:c r="W143" s="30"/>
      <x:c r="X143" s="30"/>
      <x:c r="Y143" s="30"/>
      <x:c r="Z143" s="30"/>
      <x:c r="AA143" s="30"/>
      <x:c r="AB143" s="30"/>
      <x:c r="AC143" s="30"/>
      <x:c r="AD143" s="30"/>
      <x:c r="AE143" s="30"/>
      <x:c r="AF143" s="30"/>
      <x:c r="AG143" s="30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</x:row>
    <x:row r="144">
      <x:c r="A144" s="1"/>
      <x:c r="B144" s="1"/>
      <x:c r="C144" s="30"/>
      <x:c r="D144" s="30"/>
      <x:c r="E144" s="30"/>
      <x:c r="F144" s="30"/>
      <x:c r="G144" s="30"/>
      <x:c r="H144" s="30"/>
      <x:c r="I144" s="30"/>
      <x:c r="J144" s="30"/>
      <x:c r="K144" s="30"/>
      <x:c r="L144" s="30"/>
      <x:c r="M144" s="30"/>
      <x:c r="N144" s="30"/>
      <x:c r="O144" s="30"/>
      <x:c r="P144" s="30"/>
      <x:c r="Q144" s="30"/>
      <x:c r="R144" s="30"/>
      <x:c r="S144" s="30"/>
      <x:c r="T144" s="30"/>
      <x:c r="U144" s="30"/>
      <x:c r="V144" s="30"/>
      <x:c r="W144" s="30"/>
      <x:c r="X144" s="30"/>
      <x:c r="Y144" s="30"/>
      <x:c r="Z144" s="30"/>
      <x:c r="AA144" s="30"/>
      <x:c r="AB144" s="30"/>
      <x:c r="AC144" s="30"/>
      <x:c r="AD144" s="30"/>
      <x:c r="AE144" s="30"/>
      <x:c r="AF144" s="30"/>
      <x:c r="AG144" s="30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</x:row>
    <x:row r="145">
      <x:c r="A145" s="1"/>
      <x:c r="B145" s="1"/>
      <x:c r="C145" s="30"/>
      <x:c r="D145" s="30"/>
      <x:c r="E145" s="30"/>
      <x:c r="F145" s="30"/>
      <x:c r="G145" s="30"/>
      <x:c r="H145" s="30"/>
      <x:c r="I145" s="30"/>
      <x:c r="J145" s="30"/>
      <x:c r="K145" s="30"/>
      <x:c r="L145" s="30"/>
      <x:c r="M145" s="30"/>
      <x:c r="N145" s="30"/>
      <x:c r="O145" s="30"/>
      <x:c r="P145" s="30"/>
      <x:c r="Q145" s="30"/>
      <x:c r="R145" s="30"/>
      <x:c r="S145" s="30"/>
      <x:c r="T145" s="30"/>
      <x:c r="U145" s="30"/>
      <x:c r="V145" s="30"/>
      <x:c r="W145" s="30"/>
      <x:c r="X145" s="30"/>
      <x:c r="Y145" s="30"/>
      <x:c r="Z145" s="30"/>
      <x:c r="AA145" s="30"/>
      <x:c r="AB145" s="30"/>
      <x:c r="AC145" s="30"/>
      <x:c r="AD145" s="30"/>
      <x:c r="AE145" s="30"/>
      <x:c r="AF145" s="30"/>
      <x:c r="AG145" s="30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</x:row>
    <x:row r="146">
      <x:c r="A146" s="1"/>
      <x:c r="B146" s="1"/>
      <x:c r="C146" s="30"/>
      <x:c r="D146" s="30"/>
      <x:c r="E146" s="30"/>
      <x:c r="F146" s="30"/>
      <x:c r="G146" s="30"/>
      <x:c r="H146" s="30"/>
      <x:c r="I146" s="30"/>
      <x:c r="J146" s="30"/>
      <x:c r="K146" s="30"/>
      <x:c r="L146" s="30"/>
      <x:c r="M146" s="30"/>
      <x:c r="N146" s="30"/>
      <x:c r="O146" s="30"/>
      <x:c r="P146" s="30"/>
      <x:c r="Q146" s="30"/>
      <x:c r="R146" s="30"/>
      <x:c r="S146" s="30"/>
      <x:c r="T146" s="30"/>
      <x:c r="U146" s="30"/>
      <x:c r="V146" s="30"/>
      <x:c r="W146" s="30"/>
      <x:c r="X146" s="30"/>
      <x:c r="Y146" s="30"/>
      <x:c r="Z146" s="30"/>
      <x:c r="AA146" s="30"/>
      <x:c r="AB146" s="30"/>
      <x:c r="AC146" s="30"/>
      <x:c r="AD146" s="30"/>
      <x:c r="AE146" s="30"/>
      <x:c r="AF146" s="30"/>
      <x:c r="AG146" s="30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</x:row>
    <x:row r="147">
      <x:c r="A147" s="1"/>
      <x:c r="B147" s="1"/>
      <x:c r="C147" s="30"/>
      <x:c r="D147" s="30"/>
      <x:c r="E147" s="30"/>
      <x:c r="F147" s="30"/>
      <x:c r="G147" s="30"/>
      <x:c r="H147" s="30"/>
      <x:c r="I147" s="30"/>
      <x:c r="J147" s="30"/>
      <x:c r="K147" s="30"/>
      <x:c r="L147" s="30"/>
      <x:c r="M147" s="30"/>
      <x:c r="N147" s="30"/>
      <x:c r="O147" s="30"/>
      <x:c r="P147" s="30"/>
      <x:c r="Q147" s="30"/>
      <x:c r="R147" s="30"/>
      <x:c r="S147" s="30"/>
      <x:c r="T147" s="30"/>
      <x:c r="U147" s="30"/>
      <x:c r="V147" s="30"/>
      <x:c r="W147" s="30"/>
      <x:c r="X147" s="30"/>
      <x:c r="Y147" s="30"/>
      <x:c r="Z147" s="30"/>
      <x:c r="AA147" s="30"/>
      <x:c r="AB147" s="30"/>
      <x:c r="AC147" s="30"/>
      <x:c r="AD147" s="30"/>
      <x:c r="AE147" s="30"/>
      <x:c r="AF147" s="30"/>
      <x:c r="AG147" s="30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</x:row>
    <x:row r="148">
      <x:c r="A148" s="1"/>
      <x:c r="B148" s="1"/>
      <x:c r="C148" s="30"/>
      <x:c r="D148" s="30"/>
      <x:c r="E148" s="30"/>
      <x:c r="F148" s="30"/>
      <x:c r="G148" s="30"/>
      <x:c r="H148" s="30"/>
      <x:c r="I148" s="30"/>
      <x:c r="J148" s="30"/>
      <x:c r="K148" s="30"/>
      <x:c r="L148" s="30"/>
      <x:c r="M148" s="30"/>
      <x:c r="N148" s="30"/>
      <x:c r="O148" s="30"/>
      <x:c r="P148" s="30"/>
      <x:c r="Q148" s="30"/>
      <x:c r="R148" s="30"/>
      <x:c r="S148" s="30"/>
      <x:c r="T148" s="30"/>
      <x:c r="U148" s="30"/>
      <x:c r="V148" s="30"/>
      <x:c r="W148" s="30"/>
      <x:c r="X148" s="30"/>
      <x:c r="Y148" s="30"/>
      <x:c r="Z148" s="30"/>
      <x:c r="AA148" s="30"/>
      <x:c r="AB148" s="30"/>
      <x:c r="AC148" s="30"/>
      <x:c r="AD148" s="30"/>
      <x:c r="AE148" s="30"/>
      <x:c r="AF148" s="30"/>
      <x:c r="AG148" s="30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</x:row>
    <x:row r="149">
      <x:c r="A149" s="1"/>
      <x:c r="B149" s="1"/>
      <x:c r="C149" s="30"/>
      <x:c r="D149" s="30"/>
      <x:c r="E149" s="30"/>
      <x:c r="F149" s="30"/>
      <x:c r="G149" s="30"/>
      <x:c r="H149" s="30"/>
      <x:c r="I149" s="30"/>
      <x:c r="J149" s="30"/>
      <x:c r="K149" s="30"/>
      <x:c r="L149" s="30"/>
      <x:c r="M149" s="30"/>
      <x:c r="N149" s="30"/>
      <x:c r="O149" s="30"/>
      <x:c r="P149" s="30"/>
      <x:c r="Q149" s="30"/>
      <x:c r="R149" s="30"/>
      <x:c r="S149" s="30"/>
      <x:c r="T149" s="30"/>
      <x:c r="U149" s="30"/>
      <x:c r="V149" s="30"/>
      <x:c r="W149" s="30"/>
      <x:c r="X149" s="30"/>
      <x:c r="Y149" s="30"/>
      <x:c r="Z149" s="30"/>
      <x:c r="AA149" s="30"/>
      <x:c r="AB149" s="30"/>
      <x:c r="AC149" s="30"/>
      <x:c r="AD149" s="30"/>
      <x:c r="AE149" s="30"/>
      <x:c r="AF149" s="30"/>
      <x:c r="AG149" s="30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</x:row>
    <x:row r="150">
      <x:c r="A150" s="1"/>
      <x:c r="B150" s="1"/>
      <x:c r="C150" s="30"/>
      <x:c r="D150" s="30"/>
      <x:c r="E150" s="30"/>
      <x:c r="F150" s="30"/>
      <x:c r="G150" s="30"/>
      <x:c r="H150" s="30"/>
      <x:c r="I150" s="30"/>
      <x:c r="J150" s="30"/>
      <x:c r="K150" s="30"/>
      <x:c r="L150" s="30"/>
      <x:c r="M150" s="30"/>
      <x:c r="N150" s="30"/>
      <x:c r="O150" s="30"/>
      <x:c r="P150" s="30"/>
      <x:c r="Q150" s="30"/>
      <x:c r="R150" s="30"/>
      <x:c r="S150" s="30"/>
      <x:c r="T150" s="30"/>
      <x:c r="U150" s="30"/>
      <x:c r="V150" s="30"/>
      <x:c r="W150" s="30"/>
      <x:c r="X150" s="30"/>
      <x:c r="Y150" s="30"/>
      <x:c r="Z150" s="30"/>
      <x:c r="AA150" s="30"/>
      <x:c r="AB150" s="30"/>
      <x:c r="AC150" s="30"/>
      <x:c r="AD150" s="30"/>
      <x:c r="AE150" s="30"/>
      <x:c r="AF150" s="30"/>
      <x:c r="AG150" s="30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</x:row>
    <x:row r="151">
      <x:c r="A151" s="1"/>
      <x:c r="B151" s="1"/>
      <x:c r="C151" s="30"/>
      <x:c r="D151" s="30"/>
      <x:c r="E151" s="30"/>
      <x:c r="F151" s="30"/>
      <x:c r="G151" s="30"/>
      <x:c r="H151" s="30"/>
      <x:c r="I151" s="30"/>
      <x:c r="J151" s="30"/>
      <x:c r="K151" s="30"/>
      <x:c r="L151" s="30"/>
      <x:c r="M151" s="30"/>
      <x:c r="N151" s="30"/>
      <x:c r="O151" s="30"/>
      <x:c r="P151" s="30"/>
      <x:c r="Q151" s="30"/>
      <x:c r="R151" s="30"/>
      <x:c r="S151" s="30"/>
      <x:c r="T151" s="30"/>
      <x:c r="U151" s="30"/>
      <x:c r="V151" s="30"/>
      <x:c r="W151" s="30"/>
      <x:c r="X151" s="30"/>
      <x:c r="Y151" s="30"/>
      <x:c r="Z151" s="30"/>
      <x:c r="AA151" s="30"/>
      <x:c r="AB151" s="30"/>
      <x:c r="AC151" s="30"/>
      <x:c r="AD151" s="30"/>
      <x:c r="AE151" s="30"/>
      <x:c r="AF151" s="30"/>
      <x:c r="AG151" s="30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</x:row>
    <x:row r="152">
      <x:c r="A152" s="1"/>
      <x:c r="B152" s="1"/>
      <x:c r="C152" s="30"/>
      <x:c r="D152" s="30"/>
      <x:c r="E152" s="30"/>
      <x:c r="F152" s="30"/>
      <x:c r="G152" s="30"/>
      <x:c r="H152" s="30"/>
      <x:c r="I152" s="30"/>
      <x:c r="J152" s="30"/>
      <x:c r="K152" s="30"/>
      <x:c r="L152" s="30"/>
      <x:c r="M152" s="30"/>
      <x:c r="N152" s="30"/>
      <x:c r="O152" s="30"/>
      <x:c r="P152" s="30"/>
      <x:c r="Q152" s="30"/>
      <x:c r="R152" s="30"/>
      <x:c r="S152" s="30"/>
      <x:c r="T152" s="30"/>
      <x:c r="U152" s="30"/>
      <x:c r="V152" s="30"/>
      <x:c r="W152" s="30"/>
      <x:c r="X152" s="30"/>
      <x:c r="Y152" s="30"/>
      <x:c r="Z152" s="30"/>
      <x:c r="AA152" s="30"/>
      <x:c r="AB152" s="30"/>
      <x:c r="AC152" s="30"/>
      <x:c r="AD152" s="30"/>
      <x:c r="AE152" s="30"/>
      <x:c r="AF152" s="30"/>
      <x:c r="AG152" s="30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</x:row>
    <x:row r="153">
      <x:c r="A153" s="1"/>
      <x:c r="B153" s="1"/>
      <x:c r="C153" s="30"/>
      <x:c r="D153" s="30"/>
      <x:c r="E153" s="30"/>
      <x:c r="F153" s="30"/>
      <x:c r="G153" s="30"/>
      <x:c r="H153" s="30"/>
      <x:c r="I153" s="30"/>
      <x:c r="J153" s="30"/>
      <x:c r="K153" s="30"/>
      <x:c r="L153" s="30"/>
      <x:c r="M153" s="30"/>
      <x:c r="N153" s="30"/>
      <x:c r="O153" s="30"/>
      <x:c r="P153" s="30"/>
      <x:c r="Q153" s="30"/>
      <x:c r="R153" s="30"/>
      <x:c r="S153" s="30"/>
      <x:c r="T153" s="30"/>
      <x:c r="U153" s="30"/>
      <x:c r="V153" s="30"/>
      <x:c r="W153" s="30"/>
      <x:c r="X153" s="30"/>
      <x:c r="Y153" s="30"/>
      <x:c r="Z153" s="30"/>
      <x:c r="AA153" s="30"/>
      <x:c r="AB153" s="30"/>
      <x:c r="AC153" s="30"/>
      <x:c r="AD153" s="30"/>
      <x:c r="AE153" s="30"/>
      <x:c r="AF153" s="30"/>
      <x:c r="AG153" s="30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</x:row>
    <x:row r="154">
      <x:c r="A154" s="1"/>
      <x:c r="B154" s="1"/>
      <x:c r="C154" s="30"/>
      <x:c r="D154" s="30"/>
      <x:c r="E154" s="30"/>
      <x:c r="F154" s="30"/>
      <x:c r="G154" s="30"/>
      <x:c r="H154" s="30"/>
      <x:c r="I154" s="30"/>
      <x:c r="J154" s="30"/>
      <x:c r="K154" s="30"/>
      <x:c r="L154" s="30"/>
      <x:c r="M154" s="30"/>
      <x:c r="N154" s="30"/>
      <x:c r="O154" s="30"/>
      <x:c r="P154" s="30"/>
      <x:c r="Q154" s="30"/>
      <x:c r="R154" s="30"/>
      <x:c r="S154" s="30"/>
      <x:c r="T154" s="30"/>
      <x:c r="U154" s="30"/>
      <x:c r="V154" s="30"/>
      <x:c r="W154" s="30"/>
      <x:c r="X154" s="30"/>
      <x:c r="Y154" s="30"/>
      <x:c r="Z154" s="30"/>
      <x:c r="AA154" s="30"/>
      <x:c r="AB154" s="30"/>
      <x:c r="AC154" s="30"/>
      <x:c r="AD154" s="30"/>
      <x:c r="AE154" s="30"/>
      <x:c r="AF154" s="30"/>
      <x:c r="AG154" s="30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</x:row>
    <x:row r="155">
      <x:c r="A155" s="1"/>
      <x:c r="B155" s="1"/>
      <x:c r="C155" s="30"/>
      <x:c r="D155" s="30"/>
      <x:c r="E155" s="30"/>
      <x:c r="F155" s="30"/>
      <x:c r="G155" s="30"/>
      <x:c r="H155" s="30"/>
      <x:c r="I155" s="30"/>
      <x:c r="J155" s="30"/>
      <x:c r="K155" s="30"/>
      <x:c r="L155" s="30"/>
      <x:c r="M155" s="30"/>
      <x:c r="N155" s="30"/>
      <x:c r="O155" s="30"/>
      <x:c r="P155" s="30"/>
      <x:c r="Q155" s="30"/>
      <x:c r="R155" s="30"/>
      <x:c r="S155" s="30"/>
      <x:c r="T155" s="30"/>
      <x:c r="U155" s="30"/>
      <x:c r="V155" s="30"/>
      <x:c r="W155" s="30"/>
      <x:c r="X155" s="30"/>
      <x:c r="Y155" s="30"/>
      <x:c r="Z155" s="30"/>
      <x:c r="AA155" s="30"/>
      <x:c r="AB155" s="30"/>
      <x:c r="AC155" s="30"/>
      <x:c r="AD155" s="30"/>
      <x:c r="AE155" s="30"/>
      <x:c r="AF155" s="30"/>
      <x:c r="AG155" s="30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</x:row>
    <x:row r="156">
      <x:c r="A156" s="1"/>
      <x:c r="B156" s="1"/>
      <x:c r="C156" s="30"/>
      <x:c r="D156" s="30"/>
      <x:c r="E156" s="30"/>
      <x:c r="F156" s="30"/>
      <x:c r="G156" s="30"/>
      <x:c r="H156" s="30"/>
      <x:c r="I156" s="30"/>
      <x:c r="J156" s="30"/>
      <x:c r="K156" s="30"/>
      <x:c r="L156" s="30"/>
      <x:c r="M156" s="30"/>
      <x:c r="N156" s="30"/>
      <x:c r="O156" s="30"/>
      <x:c r="P156" s="30"/>
      <x:c r="Q156" s="30"/>
      <x:c r="R156" s="30"/>
      <x:c r="S156" s="30"/>
      <x:c r="T156" s="30"/>
      <x:c r="U156" s="30"/>
      <x:c r="V156" s="30"/>
      <x:c r="W156" s="30"/>
      <x:c r="X156" s="30"/>
      <x:c r="Y156" s="30"/>
      <x:c r="Z156" s="30"/>
      <x:c r="AA156" s="30"/>
      <x:c r="AB156" s="30"/>
      <x:c r="AC156" s="30"/>
      <x:c r="AD156" s="30"/>
      <x:c r="AE156" s="30"/>
      <x:c r="AF156" s="30"/>
      <x:c r="AG156" s="30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</x:row>
    <x:row r="157">
      <x:c r="A157" s="1"/>
      <x:c r="B157" s="1"/>
      <x:c r="C157" s="30"/>
      <x:c r="D157" s="30"/>
      <x:c r="E157" s="30"/>
      <x:c r="F157" s="30"/>
      <x:c r="G157" s="30"/>
      <x:c r="H157" s="30"/>
      <x:c r="I157" s="30"/>
      <x:c r="J157" s="30"/>
      <x:c r="K157" s="30"/>
      <x:c r="L157" s="30"/>
      <x:c r="M157" s="30"/>
      <x:c r="N157" s="30"/>
      <x:c r="O157" s="30"/>
      <x:c r="P157" s="30"/>
      <x:c r="Q157" s="30"/>
      <x:c r="R157" s="30"/>
      <x:c r="S157" s="30"/>
      <x:c r="T157" s="30"/>
      <x:c r="U157" s="30"/>
      <x:c r="V157" s="30"/>
      <x:c r="W157" s="30"/>
      <x:c r="X157" s="30"/>
      <x:c r="Y157" s="30"/>
      <x:c r="Z157" s="30"/>
      <x:c r="AA157" s="30"/>
      <x:c r="AB157" s="30"/>
      <x:c r="AC157" s="30"/>
      <x:c r="AD157" s="30"/>
      <x:c r="AE157" s="30"/>
      <x:c r="AF157" s="30"/>
      <x:c r="AG157" s="30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</x:row>
    <x:row r="158">
      <x:c r="A158" s="1"/>
      <x:c r="B158" s="1"/>
      <x:c r="C158" s="30"/>
      <x:c r="D158" s="30"/>
      <x:c r="E158" s="30"/>
      <x:c r="F158" s="30"/>
      <x:c r="G158" s="30"/>
      <x:c r="H158" s="30"/>
      <x:c r="I158" s="30"/>
      <x:c r="J158" s="30"/>
      <x:c r="K158" s="30"/>
      <x:c r="L158" s="30"/>
      <x:c r="M158" s="30"/>
      <x:c r="N158" s="30"/>
      <x:c r="O158" s="30"/>
      <x:c r="P158" s="30"/>
      <x:c r="Q158" s="30"/>
      <x:c r="R158" s="30"/>
      <x:c r="S158" s="30"/>
      <x:c r="T158" s="30"/>
      <x:c r="U158" s="30"/>
      <x:c r="V158" s="30"/>
      <x:c r="W158" s="30"/>
      <x:c r="X158" s="30"/>
      <x:c r="Y158" s="30"/>
      <x:c r="Z158" s="30"/>
      <x:c r="AA158" s="30"/>
      <x:c r="AB158" s="30"/>
      <x:c r="AC158" s="30"/>
      <x:c r="AD158" s="30"/>
      <x:c r="AE158" s="30"/>
      <x:c r="AF158" s="30"/>
      <x:c r="AG158" s="30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</x:row>
    <x:row r="159">
      <x:c r="A159" s="1"/>
      <x:c r="B159" s="1"/>
      <x:c r="C159" s="30"/>
      <x:c r="D159" s="30"/>
      <x:c r="E159" s="30"/>
      <x:c r="F159" s="30"/>
      <x:c r="G159" s="30"/>
      <x:c r="H159" s="30"/>
      <x:c r="I159" s="30"/>
      <x:c r="J159" s="30"/>
      <x:c r="K159" s="30"/>
      <x:c r="L159" s="30"/>
      <x:c r="M159" s="30"/>
      <x:c r="N159" s="30"/>
      <x:c r="O159" s="30"/>
      <x:c r="P159" s="30"/>
      <x:c r="Q159" s="30"/>
      <x:c r="R159" s="30"/>
      <x:c r="S159" s="30"/>
      <x:c r="T159" s="30"/>
      <x:c r="U159" s="30"/>
      <x:c r="V159" s="30"/>
      <x:c r="W159" s="30"/>
      <x:c r="X159" s="30"/>
      <x:c r="Y159" s="30"/>
      <x:c r="Z159" s="30"/>
      <x:c r="AA159" s="30"/>
      <x:c r="AB159" s="30"/>
      <x:c r="AC159" s="30"/>
      <x:c r="AD159" s="30"/>
      <x:c r="AE159" s="30"/>
      <x:c r="AF159" s="30"/>
      <x:c r="AG159" s="30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</x:row>
    <x:row r="160">
      <x:c r="A160" s="1"/>
      <x:c r="B160" s="1"/>
      <x:c r="C160" s="30"/>
      <x:c r="D160" s="30"/>
      <x:c r="E160" s="30"/>
      <x:c r="F160" s="30"/>
      <x:c r="G160" s="30"/>
      <x:c r="H160" s="30"/>
      <x:c r="I160" s="30"/>
      <x:c r="J160" s="30"/>
      <x:c r="K160" s="30"/>
      <x:c r="L160" s="30"/>
      <x:c r="M160" s="30"/>
      <x:c r="N160" s="30"/>
      <x:c r="O160" s="30"/>
      <x:c r="P160" s="30"/>
      <x:c r="Q160" s="30"/>
      <x:c r="R160" s="30"/>
      <x:c r="S160" s="30"/>
      <x:c r="T160" s="30"/>
      <x:c r="U160" s="30"/>
      <x:c r="V160" s="30"/>
      <x:c r="W160" s="30"/>
      <x:c r="X160" s="30"/>
      <x:c r="Y160" s="30"/>
      <x:c r="Z160" s="30"/>
      <x:c r="AA160" s="30"/>
      <x:c r="AB160" s="30"/>
      <x:c r="AC160" s="30"/>
      <x:c r="AD160" s="30"/>
      <x:c r="AE160" s="30"/>
      <x:c r="AF160" s="30"/>
      <x:c r="AG160" s="30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</x:row>
    <x:row r="161">
      <x:c r="A161" s="1"/>
      <x:c r="B161" s="1"/>
      <x:c r="C161" s="30"/>
      <x:c r="D161" s="30"/>
      <x:c r="E161" s="30"/>
      <x:c r="F161" s="30"/>
      <x:c r="G161" s="30"/>
      <x:c r="H161" s="30"/>
      <x:c r="I161" s="30"/>
      <x:c r="J161" s="30"/>
      <x:c r="K161" s="30"/>
      <x:c r="L161" s="30"/>
      <x:c r="M161" s="30"/>
      <x:c r="N161" s="30"/>
      <x:c r="O161" s="30"/>
      <x:c r="P161" s="30"/>
      <x:c r="Q161" s="30"/>
      <x:c r="R161" s="30"/>
      <x:c r="S161" s="30"/>
      <x:c r="T161" s="30"/>
      <x:c r="U161" s="30"/>
      <x:c r="V161" s="30"/>
      <x:c r="W161" s="30"/>
      <x:c r="X161" s="30"/>
      <x:c r="Y161" s="30"/>
      <x:c r="Z161" s="30"/>
      <x:c r="AA161" s="30"/>
      <x:c r="AB161" s="30"/>
      <x:c r="AC161" s="30"/>
      <x:c r="AD161" s="30"/>
      <x:c r="AE161" s="30"/>
      <x:c r="AF161" s="30"/>
      <x:c r="AG161" s="30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</x:row>
    <x:row r="162">
      <x:c r="A162" s="1"/>
      <x:c r="B162" s="1"/>
      <x:c r="C162" s="30"/>
      <x:c r="D162" s="30"/>
      <x:c r="E162" s="30"/>
      <x:c r="F162" s="30"/>
      <x:c r="G162" s="30"/>
      <x:c r="H162" s="30"/>
      <x:c r="I162" s="30"/>
      <x:c r="J162" s="30"/>
      <x:c r="K162" s="30"/>
      <x:c r="L162" s="30"/>
      <x:c r="M162" s="30"/>
      <x:c r="N162" s="30"/>
      <x:c r="O162" s="30"/>
      <x:c r="P162" s="30"/>
      <x:c r="Q162" s="30"/>
      <x:c r="R162" s="30"/>
      <x:c r="S162" s="30"/>
      <x:c r="T162" s="30"/>
      <x:c r="U162" s="30"/>
      <x:c r="V162" s="30"/>
      <x:c r="W162" s="30"/>
      <x:c r="X162" s="30"/>
      <x:c r="Y162" s="30"/>
      <x:c r="Z162" s="30"/>
      <x:c r="AA162" s="30"/>
      <x:c r="AB162" s="30"/>
      <x:c r="AC162" s="30"/>
      <x:c r="AD162" s="30"/>
      <x:c r="AE162" s="30"/>
      <x:c r="AF162" s="30"/>
      <x:c r="AG162" s="30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</x:row>
    <x:row r="163">
      <x:c r="A163" s="1"/>
      <x:c r="B163" s="1"/>
      <x:c r="C163" s="30"/>
      <x:c r="D163" s="30"/>
      <x:c r="E163" s="30"/>
      <x:c r="F163" s="30"/>
      <x:c r="G163" s="30"/>
      <x:c r="H163" s="30"/>
      <x:c r="I163" s="30"/>
      <x:c r="J163" s="30"/>
      <x:c r="K163" s="30"/>
      <x:c r="L163" s="30"/>
      <x:c r="M163" s="30"/>
      <x:c r="N163" s="30"/>
      <x:c r="O163" s="30"/>
      <x:c r="P163" s="30"/>
      <x:c r="Q163" s="30"/>
      <x:c r="R163" s="30"/>
      <x:c r="S163" s="30"/>
      <x:c r="T163" s="30"/>
      <x:c r="U163" s="30"/>
      <x:c r="V163" s="30"/>
      <x:c r="W163" s="30"/>
      <x:c r="X163" s="30"/>
      <x:c r="Y163" s="30"/>
      <x:c r="Z163" s="30"/>
      <x:c r="AA163" s="30"/>
      <x:c r="AB163" s="30"/>
      <x:c r="AC163" s="30"/>
      <x:c r="AD163" s="30"/>
      <x:c r="AE163" s="30"/>
      <x:c r="AF163" s="30"/>
      <x:c r="AG163" s="30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</x:row>
    <x:row r="164">
      <x:c r="A164" s="1"/>
      <x:c r="B164" s="1"/>
      <x:c r="C164" s="30"/>
      <x:c r="D164" s="30"/>
      <x:c r="E164" s="30"/>
      <x:c r="F164" s="30"/>
      <x:c r="G164" s="30"/>
      <x:c r="H164" s="30"/>
      <x:c r="I164" s="30"/>
      <x:c r="J164" s="30"/>
      <x:c r="K164" s="30"/>
      <x:c r="L164" s="30"/>
      <x:c r="M164" s="30"/>
      <x:c r="N164" s="30"/>
      <x:c r="O164" s="30"/>
      <x:c r="P164" s="30"/>
      <x:c r="Q164" s="30"/>
      <x:c r="R164" s="30"/>
      <x:c r="S164" s="30"/>
      <x:c r="T164" s="30"/>
      <x:c r="U164" s="30"/>
      <x:c r="V164" s="30"/>
      <x:c r="W164" s="30"/>
      <x:c r="X164" s="30"/>
      <x:c r="Y164" s="30"/>
      <x:c r="Z164" s="30"/>
      <x:c r="AA164" s="30"/>
      <x:c r="AB164" s="30"/>
      <x:c r="AC164" s="30"/>
      <x:c r="AD164" s="30"/>
      <x:c r="AE164" s="30"/>
      <x:c r="AF164" s="30"/>
      <x:c r="AG164" s="30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</x:row>
    <x:row r="165">
      <x:c r="A165" s="1"/>
      <x:c r="B165" s="1"/>
      <x:c r="C165" s="30"/>
      <x:c r="D165" s="30"/>
      <x:c r="E165" s="30"/>
      <x:c r="F165" s="30"/>
      <x:c r="G165" s="30"/>
      <x:c r="H165" s="30"/>
      <x:c r="I165" s="30"/>
      <x:c r="J165" s="30"/>
      <x:c r="K165" s="30"/>
      <x:c r="L165" s="30"/>
      <x:c r="M165" s="30"/>
      <x:c r="N165" s="30"/>
      <x:c r="O165" s="30"/>
      <x:c r="P165" s="30"/>
      <x:c r="Q165" s="30"/>
      <x:c r="R165" s="30"/>
      <x:c r="S165" s="30"/>
      <x:c r="T165" s="30"/>
      <x:c r="U165" s="30"/>
      <x:c r="V165" s="30"/>
      <x:c r="W165" s="30"/>
      <x:c r="X165" s="30"/>
      <x:c r="Y165" s="30"/>
      <x:c r="Z165" s="30"/>
      <x:c r="AA165" s="30"/>
      <x:c r="AB165" s="30"/>
      <x:c r="AC165" s="30"/>
      <x:c r="AD165" s="30"/>
      <x:c r="AE165" s="30"/>
      <x:c r="AF165" s="30"/>
      <x:c r="AG165" s="30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</x:row>
    <x:row r="166">
      <x:c r="A166" s="1"/>
      <x:c r="B166" s="1"/>
      <x:c r="C166" s="30"/>
      <x:c r="D166" s="30"/>
      <x:c r="E166" s="30"/>
      <x:c r="F166" s="30"/>
      <x:c r="G166" s="30"/>
      <x:c r="H166" s="30"/>
      <x:c r="I166" s="30"/>
      <x:c r="J166" s="30"/>
      <x:c r="K166" s="30"/>
      <x:c r="L166" s="30"/>
      <x:c r="M166" s="30"/>
      <x:c r="N166" s="30"/>
      <x:c r="O166" s="30"/>
      <x:c r="P166" s="30"/>
      <x:c r="Q166" s="30"/>
      <x:c r="R166" s="30"/>
      <x:c r="S166" s="30"/>
      <x:c r="T166" s="30"/>
      <x:c r="U166" s="30"/>
      <x:c r="V166" s="30"/>
      <x:c r="W166" s="30"/>
      <x:c r="X166" s="30"/>
      <x:c r="Y166" s="30"/>
      <x:c r="Z166" s="30"/>
      <x:c r="AA166" s="30"/>
      <x:c r="AB166" s="30"/>
      <x:c r="AC166" s="30"/>
      <x:c r="AD166" s="30"/>
      <x:c r="AE166" s="30"/>
      <x:c r="AF166" s="30"/>
      <x:c r="AG166" s="30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</x:row>
    <x:row r="167">
      <x:c r="A167" s="1"/>
      <x:c r="B167" s="1"/>
      <x:c r="C167" s="30"/>
      <x:c r="D167" s="30"/>
      <x:c r="E167" s="30"/>
      <x:c r="F167" s="30"/>
      <x:c r="G167" s="30"/>
      <x:c r="H167" s="30"/>
      <x:c r="I167" s="30"/>
      <x:c r="J167" s="30"/>
      <x:c r="K167" s="30"/>
      <x:c r="L167" s="30"/>
      <x:c r="M167" s="30"/>
      <x:c r="N167" s="30"/>
      <x:c r="O167" s="30"/>
      <x:c r="P167" s="30"/>
      <x:c r="Q167" s="30"/>
      <x:c r="R167" s="30"/>
      <x:c r="S167" s="30"/>
      <x:c r="T167" s="30"/>
      <x:c r="U167" s="30"/>
      <x:c r="V167" s="30"/>
      <x:c r="W167" s="30"/>
      <x:c r="X167" s="30"/>
      <x:c r="Y167" s="30"/>
      <x:c r="Z167" s="30"/>
      <x:c r="AA167" s="30"/>
      <x:c r="AB167" s="30"/>
      <x:c r="AC167" s="30"/>
      <x:c r="AD167" s="30"/>
      <x:c r="AE167" s="30"/>
      <x:c r="AF167" s="30"/>
      <x:c r="AG167" s="30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</x:row>
    <x:row r="168">
      <x:c r="A168" s="1"/>
      <x:c r="B168" s="1"/>
      <x:c r="C168" s="30"/>
      <x:c r="D168" s="30"/>
      <x:c r="E168" s="30"/>
      <x:c r="F168" s="30"/>
      <x:c r="G168" s="30"/>
      <x:c r="H168" s="30"/>
      <x:c r="I168" s="30"/>
      <x:c r="J168" s="30"/>
      <x:c r="K168" s="30"/>
      <x:c r="L168" s="30"/>
      <x:c r="M168" s="30"/>
      <x:c r="N168" s="30"/>
      <x:c r="O168" s="30"/>
      <x:c r="P168" s="30"/>
      <x:c r="Q168" s="30"/>
      <x:c r="R168" s="30"/>
      <x:c r="S168" s="30"/>
      <x:c r="T168" s="30"/>
      <x:c r="U168" s="30"/>
      <x:c r="V168" s="30"/>
      <x:c r="W168" s="30"/>
      <x:c r="X168" s="30"/>
      <x:c r="Y168" s="30"/>
      <x:c r="Z168" s="30"/>
      <x:c r="AA168" s="30"/>
      <x:c r="AB168" s="30"/>
      <x:c r="AC168" s="30"/>
      <x:c r="AD168" s="30"/>
      <x:c r="AE168" s="30"/>
      <x:c r="AF168" s="30"/>
      <x:c r="AG168" s="30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</x:row>
    <x:row r="169">
      <x:c r="A169" s="1"/>
      <x:c r="B169" s="1"/>
      <x:c r="C169" s="30"/>
      <x:c r="D169" s="30"/>
      <x:c r="E169" s="30"/>
      <x:c r="F169" s="30"/>
      <x:c r="G169" s="30"/>
      <x:c r="H169" s="30"/>
      <x:c r="I169" s="30"/>
      <x:c r="J169" s="30"/>
      <x:c r="K169" s="30"/>
      <x:c r="L169" s="30"/>
      <x:c r="M169" s="30"/>
      <x:c r="N169" s="30"/>
      <x:c r="O169" s="30"/>
      <x:c r="P169" s="30"/>
      <x:c r="Q169" s="30"/>
      <x:c r="R169" s="30"/>
      <x:c r="S169" s="30"/>
      <x:c r="T169" s="30"/>
      <x:c r="U169" s="30"/>
      <x:c r="V169" s="30"/>
      <x:c r="W169" s="30"/>
      <x:c r="X169" s="30"/>
      <x:c r="Y169" s="30"/>
      <x:c r="Z169" s="30"/>
      <x:c r="AA169" s="30"/>
      <x:c r="AB169" s="30"/>
      <x:c r="AC169" s="30"/>
      <x:c r="AD169" s="30"/>
      <x:c r="AE169" s="30"/>
      <x:c r="AF169" s="30"/>
      <x:c r="AG169" s="30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</x:row>
    <x:row r="170">
      <x:c r="A170" s="1"/>
      <x:c r="B170" s="1"/>
      <x:c r="C170" s="30"/>
      <x:c r="D170" s="30"/>
      <x:c r="E170" s="30"/>
      <x:c r="F170" s="30"/>
      <x:c r="G170" s="30"/>
      <x:c r="H170" s="30"/>
      <x:c r="I170" s="30"/>
      <x:c r="J170" s="30"/>
      <x:c r="K170" s="30"/>
      <x:c r="L170" s="30"/>
      <x:c r="M170" s="30"/>
      <x:c r="N170" s="30"/>
      <x:c r="O170" s="30"/>
      <x:c r="P170" s="30"/>
      <x:c r="Q170" s="30"/>
      <x:c r="R170" s="30"/>
      <x:c r="S170" s="30"/>
      <x:c r="T170" s="30"/>
      <x:c r="U170" s="30"/>
      <x:c r="V170" s="30"/>
      <x:c r="W170" s="30"/>
      <x:c r="X170" s="30"/>
      <x:c r="Y170" s="30"/>
      <x:c r="Z170" s="30"/>
      <x:c r="AA170" s="30"/>
      <x:c r="AB170" s="30"/>
      <x:c r="AC170" s="30"/>
      <x:c r="AD170" s="30"/>
      <x:c r="AE170" s="30"/>
      <x:c r="AF170" s="30"/>
      <x:c r="AG170" s="30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</x:row>
    <x:row r="171">
      <x:c r="A171" s="1"/>
      <x:c r="B171" s="1"/>
      <x:c r="C171" s="30"/>
      <x:c r="D171" s="30"/>
      <x:c r="E171" s="30"/>
      <x:c r="F171" s="30"/>
      <x:c r="G171" s="30"/>
      <x:c r="H171" s="30"/>
      <x:c r="I171" s="30"/>
      <x:c r="J171" s="30"/>
      <x:c r="K171" s="30"/>
      <x:c r="L171" s="30"/>
      <x:c r="M171" s="30"/>
      <x:c r="N171" s="30"/>
      <x:c r="O171" s="30"/>
      <x:c r="P171" s="30"/>
      <x:c r="Q171" s="30"/>
      <x:c r="R171" s="30"/>
      <x:c r="S171" s="30"/>
      <x:c r="T171" s="30"/>
      <x:c r="U171" s="30"/>
      <x:c r="V171" s="30"/>
      <x:c r="W171" s="30"/>
      <x:c r="X171" s="30"/>
      <x:c r="Y171" s="30"/>
      <x:c r="Z171" s="30"/>
      <x:c r="AA171" s="30"/>
      <x:c r="AB171" s="30"/>
      <x:c r="AC171" s="30"/>
      <x:c r="AD171" s="30"/>
      <x:c r="AE171" s="30"/>
      <x:c r="AF171" s="30"/>
      <x:c r="AG171" s="30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</x:row>
    <x:row r="172">
      <x:c r="A172" s="1"/>
      <x:c r="B172" s="1"/>
      <x:c r="C172" s="30"/>
      <x:c r="D172" s="30"/>
      <x:c r="E172" s="30"/>
      <x:c r="F172" s="30"/>
      <x:c r="G172" s="30"/>
      <x:c r="H172" s="30"/>
      <x:c r="I172" s="30"/>
      <x:c r="J172" s="30"/>
      <x:c r="K172" s="30"/>
      <x:c r="L172" s="30"/>
      <x:c r="M172" s="30"/>
      <x:c r="N172" s="30"/>
      <x:c r="O172" s="30"/>
      <x:c r="P172" s="30"/>
      <x:c r="Q172" s="30"/>
      <x:c r="R172" s="30"/>
      <x:c r="S172" s="30"/>
      <x:c r="T172" s="30"/>
      <x:c r="U172" s="30"/>
      <x:c r="V172" s="30"/>
      <x:c r="W172" s="30"/>
      <x:c r="X172" s="30"/>
      <x:c r="Y172" s="30"/>
      <x:c r="Z172" s="30"/>
      <x:c r="AA172" s="30"/>
      <x:c r="AB172" s="30"/>
      <x:c r="AC172" s="30"/>
      <x:c r="AD172" s="30"/>
      <x:c r="AE172" s="30"/>
      <x:c r="AF172" s="30"/>
      <x:c r="AG172" s="30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</x:row>
    <x:row r="173">
      <x:c r="A173" s="1"/>
      <x:c r="B173" s="1"/>
      <x:c r="C173" s="30"/>
      <x:c r="D173" s="30"/>
      <x:c r="E173" s="30"/>
      <x:c r="F173" s="30"/>
      <x:c r="G173" s="30"/>
      <x:c r="H173" s="30"/>
      <x:c r="I173" s="30"/>
      <x:c r="J173" s="30"/>
      <x:c r="K173" s="30"/>
      <x:c r="L173" s="30"/>
      <x:c r="M173" s="30"/>
      <x:c r="N173" s="30"/>
      <x:c r="O173" s="30"/>
      <x:c r="P173" s="30"/>
      <x:c r="Q173" s="30"/>
      <x:c r="R173" s="30"/>
      <x:c r="S173" s="30"/>
      <x:c r="T173" s="30"/>
      <x:c r="U173" s="30"/>
      <x:c r="V173" s="30"/>
      <x:c r="W173" s="30"/>
      <x:c r="X173" s="30"/>
      <x:c r="Y173" s="30"/>
      <x:c r="Z173" s="30"/>
      <x:c r="AA173" s="30"/>
      <x:c r="AB173" s="30"/>
      <x:c r="AC173" s="30"/>
      <x:c r="AD173" s="30"/>
      <x:c r="AE173" s="30"/>
      <x:c r="AF173" s="30"/>
      <x:c r="AG173" s="30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</x:row>
    <x:row r="174">
      <x:c r="A174" s="1"/>
      <x:c r="B174" s="1"/>
      <x:c r="C174" s="30"/>
      <x:c r="D174" s="30"/>
      <x:c r="E174" s="30"/>
      <x:c r="F174" s="30"/>
      <x:c r="G174" s="30"/>
      <x:c r="H174" s="30"/>
      <x:c r="I174" s="30"/>
      <x:c r="J174" s="30"/>
      <x:c r="K174" s="30"/>
      <x:c r="L174" s="30"/>
      <x:c r="M174" s="30"/>
      <x:c r="N174" s="30"/>
      <x:c r="O174" s="30"/>
      <x:c r="P174" s="30"/>
      <x:c r="Q174" s="30"/>
      <x:c r="R174" s="30"/>
      <x:c r="S174" s="30"/>
      <x:c r="T174" s="30"/>
      <x:c r="U174" s="30"/>
      <x:c r="V174" s="30"/>
      <x:c r="W174" s="30"/>
      <x:c r="X174" s="30"/>
      <x:c r="Y174" s="30"/>
      <x:c r="Z174" s="30"/>
      <x:c r="AA174" s="30"/>
      <x:c r="AB174" s="30"/>
      <x:c r="AC174" s="30"/>
      <x:c r="AD174" s="30"/>
      <x:c r="AE174" s="30"/>
      <x:c r="AF174" s="30"/>
      <x:c r="AG174" s="30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</x:row>
    <x:row r="175">
      <x:c r="A175" s="1"/>
      <x:c r="B175" s="1"/>
      <x:c r="C175" s="30"/>
      <x:c r="D175" s="30"/>
      <x:c r="E175" s="30"/>
      <x:c r="F175" s="30"/>
      <x:c r="G175" s="30"/>
      <x:c r="H175" s="30"/>
      <x:c r="I175" s="30"/>
      <x:c r="J175" s="30"/>
      <x:c r="K175" s="30"/>
      <x:c r="L175" s="30"/>
      <x:c r="M175" s="30"/>
      <x:c r="N175" s="30"/>
      <x:c r="O175" s="30"/>
      <x:c r="P175" s="30"/>
      <x:c r="Q175" s="30"/>
      <x:c r="R175" s="30"/>
      <x:c r="S175" s="30"/>
      <x:c r="T175" s="30"/>
      <x:c r="U175" s="30"/>
      <x:c r="V175" s="30"/>
      <x:c r="W175" s="30"/>
      <x:c r="X175" s="30"/>
      <x:c r="Y175" s="30"/>
      <x:c r="Z175" s="30"/>
      <x:c r="AA175" s="30"/>
      <x:c r="AB175" s="30"/>
      <x:c r="AC175" s="30"/>
      <x:c r="AD175" s="30"/>
      <x:c r="AE175" s="30"/>
      <x:c r="AF175" s="30"/>
      <x:c r="AG175" s="30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</x:row>
    <x:row r="176">
      <x:c r="A176" s="1"/>
      <x:c r="B176" s="1"/>
      <x:c r="C176" s="30"/>
      <x:c r="D176" s="30"/>
      <x:c r="E176" s="30"/>
      <x:c r="F176" s="30"/>
      <x:c r="G176" s="30"/>
      <x:c r="H176" s="30"/>
      <x:c r="I176" s="30"/>
      <x:c r="J176" s="30"/>
      <x:c r="K176" s="30"/>
      <x:c r="L176" s="30"/>
      <x:c r="M176" s="30"/>
      <x:c r="N176" s="30"/>
      <x:c r="O176" s="30"/>
      <x:c r="P176" s="30"/>
      <x:c r="Q176" s="30"/>
      <x:c r="R176" s="30"/>
      <x:c r="S176" s="30"/>
      <x:c r="T176" s="30"/>
      <x:c r="U176" s="30"/>
      <x:c r="V176" s="30"/>
      <x:c r="W176" s="30"/>
      <x:c r="X176" s="30"/>
      <x:c r="Y176" s="30"/>
      <x:c r="Z176" s="30"/>
      <x:c r="AA176" s="30"/>
      <x:c r="AB176" s="30"/>
      <x:c r="AC176" s="30"/>
      <x:c r="AD176" s="30"/>
      <x:c r="AE176" s="30"/>
      <x:c r="AF176" s="30"/>
      <x:c r="AG176" s="30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</x:row>
    <x:row r="177">
      <x:c r="A177" s="1"/>
      <x:c r="B177" s="1"/>
      <x:c r="C177" s="30"/>
      <x:c r="D177" s="30"/>
      <x:c r="E177" s="30"/>
      <x:c r="F177" s="30"/>
      <x:c r="G177" s="30"/>
      <x:c r="H177" s="30"/>
      <x:c r="I177" s="30"/>
      <x:c r="J177" s="30"/>
      <x:c r="K177" s="30"/>
      <x:c r="L177" s="30"/>
      <x:c r="M177" s="30"/>
      <x:c r="N177" s="30"/>
      <x:c r="O177" s="30"/>
      <x:c r="P177" s="30"/>
      <x:c r="Q177" s="30"/>
      <x:c r="R177" s="30"/>
      <x:c r="S177" s="30"/>
      <x:c r="T177" s="30"/>
      <x:c r="U177" s="30"/>
      <x:c r="V177" s="30"/>
      <x:c r="W177" s="30"/>
      <x:c r="X177" s="30"/>
      <x:c r="Y177" s="30"/>
      <x:c r="Z177" s="30"/>
      <x:c r="AA177" s="30"/>
      <x:c r="AB177" s="30"/>
      <x:c r="AC177" s="30"/>
      <x:c r="AD177" s="30"/>
      <x:c r="AE177" s="30"/>
      <x:c r="AF177" s="30"/>
      <x:c r="AG177" s="30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</x:row>
    <x:row r="178">
      <x:c r="A178" s="1"/>
      <x:c r="B178" s="1"/>
      <x:c r="C178" s="30"/>
      <x:c r="D178" s="30"/>
      <x:c r="E178" s="30"/>
      <x:c r="F178" s="30"/>
      <x:c r="G178" s="30"/>
      <x:c r="H178" s="30"/>
      <x:c r="I178" s="30"/>
      <x:c r="J178" s="30"/>
      <x:c r="K178" s="30"/>
      <x:c r="L178" s="30"/>
      <x:c r="M178" s="30"/>
      <x:c r="N178" s="30"/>
      <x:c r="O178" s="30"/>
      <x:c r="P178" s="30"/>
      <x:c r="Q178" s="30"/>
      <x:c r="R178" s="30"/>
      <x:c r="S178" s="30"/>
      <x:c r="T178" s="30"/>
      <x:c r="U178" s="30"/>
      <x:c r="V178" s="30"/>
      <x:c r="W178" s="30"/>
      <x:c r="X178" s="30"/>
      <x:c r="Y178" s="30"/>
      <x:c r="Z178" s="30"/>
      <x:c r="AA178" s="30"/>
      <x:c r="AB178" s="30"/>
      <x:c r="AC178" s="30"/>
      <x:c r="AD178" s="30"/>
      <x:c r="AE178" s="30"/>
      <x:c r="AF178" s="30"/>
      <x:c r="AG178" s="30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</x:row>
    <x:row r="179">
      <x:c r="A179" s="1"/>
      <x:c r="B179" s="1"/>
      <x:c r="C179" s="30"/>
      <x:c r="D179" s="30"/>
      <x:c r="E179" s="30"/>
      <x:c r="F179" s="30"/>
      <x:c r="G179" s="30"/>
      <x:c r="H179" s="30"/>
      <x:c r="I179" s="30"/>
      <x:c r="J179" s="30"/>
      <x:c r="K179" s="30"/>
      <x:c r="L179" s="30"/>
      <x:c r="M179" s="30"/>
      <x:c r="N179" s="30"/>
      <x:c r="O179" s="30"/>
      <x:c r="P179" s="30"/>
      <x:c r="Q179" s="30"/>
      <x:c r="R179" s="30"/>
      <x:c r="S179" s="30"/>
      <x:c r="T179" s="30"/>
      <x:c r="U179" s="30"/>
      <x:c r="V179" s="30"/>
      <x:c r="W179" s="30"/>
      <x:c r="X179" s="30"/>
      <x:c r="Y179" s="30"/>
      <x:c r="Z179" s="30"/>
      <x:c r="AA179" s="30"/>
      <x:c r="AB179" s="30"/>
      <x:c r="AC179" s="30"/>
      <x:c r="AD179" s="30"/>
      <x:c r="AE179" s="30"/>
      <x:c r="AF179" s="30"/>
      <x:c r="AG179" s="30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</x:row>
    <x:row r="180">
      <x:c r="A180" s="1"/>
      <x:c r="B180" s="1"/>
      <x:c r="C180" s="30"/>
      <x:c r="D180" s="30"/>
      <x:c r="E180" s="30"/>
      <x:c r="F180" s="30"/>
      <x:c r="G180" s="30"/>
      <x:c r="H180" s="30"/>
      <x:c r="I180" s="30"/>
      <x:c r="J180" s="30"/>
      <x:c r="K180" s="30"/>
      <x:c r="L180" s="30"/>
      <x:c r="M180" s="30"/>
      <x:c r="N180" s="30"/>
      <x:c r="O180" s="30"/>
      <x:c r="P180" s="30"/>
      <x:c r="Q180" s="30"/>
      <x:c r="R180" s="30"/>
      <x:c r="S180" s="30"/>
      <x:c r="T180" s="30"/>
      <x:c r="U180" s="30"/>
      <x:c r="V180" s="30"/>
      <x:c r="W180" s="30"/>
      <x:c r="X180" s="30"/>
      <x:c r="Y180" s="30"/>
      <x:c r="Z180" s="30"/>
      <x:c r="AA180" s="30"/>
      <x:c r="AB180" s="30"/>
      <x:c r="AC180" s="30"/>
      <x:c r="AD180" s="30"/>
      <x:c r="AE180" s="30"/>
      <x:c r="AF180" s="30"/>
      <x:c r="AG180" s="30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</x:row>
  </x:sheetData>
  <x:pageMargins left="0.7" right="0.7" top="0.75" bottom="0.75" header="0.3" footer="0.3"/>
</x:worksheet>
</file>