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Controls" sheetId="2" state="visible" r:id="rId4"/>
    <sheet name="Architecture" sheetId="3" state="visible" r:id="rId5"/>
    <sheet name="Five-Circuit Compact" sheetId="4" state="visible" r:id="rId6"/>
    <sheet name="Institution Map" sheetId="5" state="visible" r:id="rId7"/>
    <sheet name="Authority Boundaries" sheetId="6" state="visible" r:id="rId8"/>
    <sheet name="State Transitions" sheetId="7" state="visible" r:id="rId9"/>
    <sheet name="Nonconversion Laws" sheetId="8" state="visible" r:id="rId10"/>
    <sheet name="Industrial Base" sheetId="9" state="visible" r:id="rId11"/>
    <sheet name="Formation System" sheetId="10" state="visible" r:id="rId12"/>
    <sheet name="Readiness System" sheetId="11" state="visible" r:id="rId13"/>
    <sheet name="Allocation System" sheetId="12" state="visible" r:id="rId14"/>
    <sheet name="Fiscal Ledgers" sheetId="13" state="visible" r:id="rId15"/>
    <sheet name="25-Year Resource Path" sheetId="14" state="visible" r:id="rId16"/>
    <sheet name="Operating Economy" sheetId="15" state="visible" r:id="rId17"/>
    <sheet name="Failure and Rollback" sheetId="16" state="visible" r:id="rId18"/>
    <sheet name="Innovation" sheetId="17" state="visible" r:id="rId19"/>
    <sheet name="Return Map" sheetId="18" state="visible" r:id="rId20"/>
    <sheet name="Audit" sheetId="19" state="visible" r:id="rId21"/>
    <sheet name="Mutation Tests" sheetId="20" state="visible" r:id="rId22"/>
    <sheet name="Sources" sheetId="21" state="visible" r:id="rId23"/>
    <sheet name="Read Me" sheetId="22" state="visible" r:id="rId2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<sst xmlns="http://schemas.openxmlformats.org/spreadsheetml/2006/main" count="652" uniqueCount="504">
  <si>
    <t xml:space="preserve">Department force-generation compact and return</t>
  </si>
  <si>
    <t xml:space="preserve">Pass 195 | DFG-5 | five circuits create mass without consolidating truth or authority</t>
  </si>
  <si>
    <t xml:space="preserve">Circuit</t>
  </si>
  <si>
    <t xml:space="preserve">Primary scale</t>
  </si>
  <si>
    <t xml:space="preserve">Decision metric</t>
  </si>
  <si>
    <t xml:space="preserve">Value</t>
  </si>
  <si>
    <t xml:space="preserve">Industry</t>
  </si>
  <si>
    <t xml:space="preserve">Verdict</t>
  </si>
  <si>
    <t xml:space="preserve">RETURN</t>
  </si>
  <si>
    <t xml:space="preserve">Formation</t>
  </si>
  <si>
    <t xml:space="preserve">Deepest branch</t>
  </si>
  <si>
    <t xml:space="preserve">DFG-5, fifth of five</t>
  </si>
  <si>
    <t xml:space="preserve">Ready</t>
  </si>
  <si>
    <t xml:space="preserve">Selected architecture</t>
  </si>
  <si>
    <t xml:space="preserve">Constitutional five-circuit compact</t>
  </si>
  <si>
    <t xml:space="preserve">Committed</t>
  </si>
  <si>
    <t xml:space="preserve">Circuits</t>
  </si>
  <si>
    <t xml:space="preserve">Reserve</t>
  </si>
  <si>
    <t xml:space="preserve">Institution classes</t>
  </si>
  <si>
    <t xml:space="preserve">State transitions</t>
  </si>
  <si>
    <t xml:space="preserve">Forbidden conversions</t>
  </si>
  <si>
    <t xml:space="preserve">Root Houses</t>
  </si>
  <si>
    <t xml:space="preserve">Owned formations</t>
  </si>
  <si>
    <t xml:space="preserve">Ready floor</t>
  </si>
  <si>
    <t xml:space="preserve">Committed force</t>
  </si>
  <si>
    <t xml:space="preserve">Protected reserve</t>
  </si>
  <si>
    <t xml:space="preserve">Mature capital screen USD B</t>
  </si>
  <si>
    <t xml:space="preserve">Mature annual operations USD B</t>
  </si>
  <si>
    <t xml:space="preserve">Domestic market USD B/year</t>
  </si>
  <si>
    <t xml:space="preserve">Released authority</t>
  </si>
  <si>
    <t xml:space="preserve">Return state</t>
  </si>
  <si>
    <t xml:space="preserve">SOURCE EMPTY / HOLD</t>
  </si>
  <si>
    <t xml:space="preserve">Force-generation compact controls</t>
  </si>
  <si>
    <t xml:space="preserve">Three fiscal circuits remain separate; blue controls cannot manufacture authority.</t>
  </si>
  <si>
    <t xml:space="preserve">Control</t>
  </si>
  <si>
    <t xml:space="preserve">Unit</t>
  </si>
  <si>
    <t xml:space="preserve">Technology program</t>
  </si>
  <si>
    <t xml:space="preserve">USD B</t>
  </si>
  <si>
    <t xml:space="preserve">Formation capital</t>
  </si>
  <si>
    <t xml:space="preserve">Common capital and reserve</t>
  </si>
  <si>
    <t xml:space="preserve">Mature capital screen</t>
  </si>
  <si>
    <t xml:space="preserve">Mature annual operations</t>
  </si>
  <si>
    <t xml:space="preserve">USD B/year</t>
  </si>
  <si>
    <t xml:space="preserve">Domestic market</t>
  </si>
  <si>
    <t xml:space="preserve">Reference partner market</t>
  </si>
  <si>
    <t xml:space="preserve">Build years</t>
  </si>
  <si>
    <t xml:space="preserve">years</t>
  </si>
  <si>
    <t xml:space="preserve">Sustaining years</t>
  </si>
  <si>
    <t xml:space="preserve">formations</t>
  </si>
  <si>
    <t xml:space="preserve">Force-generation integration architecture</t>
  </si>
  <si>
    <t xml:space="preserve">Only the compact integrates the full cycle without giving one hierarchy all warrants.</t>
  </si>
  <si>
    <t xml:space="preserve">Architecture</t>
  </si>
  <si>
    <t xml:space="preserve">Civil sovereignty</t>
  </si>
  <si>
    <t xml:space="preserve">Root rivalry</t>
  </si>
  <si>
    <t xml:space="preserve">Service depth</t>
  </si>
  <si>
    <t xml:space="preserve">Independent proof</t>
  </si>
  <si>
    <t xml:space="preserve">Serial formation</t>
  </si>
  <si>
    <t xml:space="preserve">Family readiness</t>
  </si>
  <si>
    <t xml:space="preserve">Scarcity law</t>
  </si>
  <si>
    <t xml:space="preserve">Fiscal separation</t>
  </si>
  <si>
    <t xml:space="preserve">Regeneration</t>
  </si>
  <si>
    <t xml:space="preserve">Public rollback</t>
  </si>
  <si>
    <t xml:space="preserve">Decision</t>
  </si>
  <si>
    <t xml:space="preserve">One Force Generation Command</t>
  </si>
  <si>
    <t xml:space="preserve">PASS</t>
  </si>
  <si>
    <t xml:space="preserve">FAIL</t>
  </si>
  <si>
    <t xml:space="preserve">REJECT</t>
  </si>
  <si>
    <t xml:space="preserve">Seven sovereign services</t>
  </si>
  <si>
    <t xml:space="preserve">Industrial mobilization state</t>
  </si>
  <si>
    <t xml:space="preserve">Operational-command economy</t>
  </si>
  <si>
    <t xml:space="preserve">SELECT</t>
  </si>
  <si>
    <t xml:space="preserve">The interfaces are permanent; authority does not flow upward into a force-generation super-command.</t>
  </si>
  <si>
    <t xml:space="preserve">Domain</t>
  </si>
  <si>
    <t xml:space="preserve">Principal institutions</t>
  </si>
  <si>
    <t xml:space="preserve">Positive power</t>
  </si>
  <si>
    <t xml:space="preserve">Prohibition</t>
  </si>
  <si>
    <t xml:space="preserve">C1</t>
  </si>
  <si>
    <t xml:space="preserve">Public purpose and capital</t>
  </si>
  <si>
    <t xml:space="preserve">Civil Resilience Authority; Capital Board</t>
  </si>
  <si>
    <t xml:space="preserve">Public effects, program ceilings and cancellation</t>
  </si>
  <si>
    <t xml:space="preserve">Cannot select mechanism, evidence or serial</t>
  </si>
  <si>
    <t xml:space="preserve">C2</t>
  </si>
  <si>
    <t xml:space="preserve">Technology and productive commonwealth</t>
  </si>
  <si>
    <t xml:space="preserve">Mission Systems; Root Houses; Industrial Mobilization Administration</t>
  </si>
  <si>
    <t xml:space="preserve">Compete roots, reproduce configurations, sustain labor and suppliers</t>
  </si>
  <si>
    <t xml:space="preserve">Factory and revenue create zero force credit</t>
  </si>
  <si>
    <t xml:space="preserve">C3</t>
  </si>
  <si>
    <t xml:space="preserve">Formation generation</t>
  </si>
  <si>
    <t xml:space="preserve">Seven services; Strategic Sustainment; Resilience Proving Service</t>
  </si>
  <si>
    <t xml:space="preserve">Bind articles, crews, stocks, receivers and ten warrants</t>
  </si>
  <si>
    <t xml:space="preserve">Equipment or favorable output cannot self-certify</t>
  </si>
  <si>
    <t xml:space="preserve">C4</t>
  </si>
  <si>
    <t xml:space="preserve">Readiness and allocation</t>
  </si>
  <si>
    <t xml:space="preserve">Joint Capacity Authority; NMAC; Rights and Scarcity Tribunal</t>
  </si>
  <si>
    <t xml:space="preserve">Maintain family floors and issue collision-free schedules</t>
  </si>
  <si>
    <t xml:space="preserve">Aggregate slack cannot cure scarce families</t>
  </si>
  <si>
    <t xml:space="preserve">C5</t>
  </si>
  <si>
    <t xml:space="preserve">Employment, transfer and regeneration</t>
  </si>
  <si>
    <t xml:space="preserve">Operational commands; civil/host receivers; Productive Commonwealth</t>
  </si>
  <si>
    <t xml:space="preserve">Deliver accepted effects, transfer service, return and rebuild serials</t>
  </si>
  <si>
    <t xml:space="preserve">Employment cannot rewrite evidence or custody</t>
  </si>
  <si>
    <t xml:space="preserve">Fifteen institution classes</t>
  </si>
  <si>
    <t xml:space="preserve">Scale comes from specialized powers joined by public interfaces, not one consolidated chain.</t>
  </si>
  <si>
    <t xml:space="preserve">Institution</t>
  </si>
  <si>
    <t xml:space="preserve">Exclusive role</t>
  </si>
  <si>
    <t xml:space="preserve">Civil Resilience Authority</t>
  </si>
  <si>
    <t xml:space="preserve">Public priority, admission, acceptance, transfer</t>
  </si>
  <si>
    <t xml:space="preserve">Department Capital Board</t>
  </si>
  <si>
    <t xml:space="preserve">Portfolio option, stage and cancellation authority</t>
  </si>
  <si>
    <t xml:space="preserve">Six Mission System Commands</t>
  </si>
  <si>
    <t xml:space="preserve">Complete end-to-end service baselines</t>
  </si>
  <si>
    <t xml:space="preserve">Seven operating services</t>
  </si>
  <si>
    <t xml:space="preserve">Professions, article release and formation generation</t>
  </si>
  <si>
    <t xml:space="preserve">Twenty-four Root Houses</t>
  </si>
  <si>
    <t xml:space="preserve">Independent design, build and reproduction roots</t>
  </si>
  <si>
    <t xml:space="preserve">Industrial Mobilization Administration</t>
  </si>
  <si>
    <t xml:space="preserve">Public rights, alternate production and productive estate</t>
  </si>
  <si>
    <t xml:space="preserve">Resilience Proving Service</t>
  </si>
  <si>
    <t xml:space="preserve">Hostile worlds, evidence custody and adverse disposition</t>
  </si>
  <si>
    <t xml:space="preserve">Strategic Sustainment Command</t>
  </si>
  <si>
    <t xml:space="preserve">Stocks, replacement and regeneration</t>
  </si>
  <si>
    <t xml:space="preserve">Joint Capacity Authority</t>
  </si>
  <si>
    <t xml:space="preserve">Serial readiness, family floors and reservation</t>
  </si>
  <si>
    <t xml:space="preserve">National Mobilization and Allocation Command</t>
  </si>
  <si>
    <t xml:space="preserve">Collision-free executable schedules</t>
  </si>
  <si>
    <t xml:space="preserve">Seven District Commands</t>
  </si>
  <si>
    <t xml:space="preserve">Local access, stocks, crews and receivers</t>
  </si>
  <si>
    <t xml:space="preserve">Operational Commands</t>
  </si>
  <si>
    <t xml:space="preserve">Employment inside accepted objectives</t>
  </si>
  <si>
    <t xml:space="preserve">Rights and Scarcity Tribunal</t>
  </si>
  <si>
    <t xml:space="preserve">Expedited rights and allocation review</t>
  </si>
  <si>
    <t xml:space="preserve">International Custody Chamber</t>
  </si>
  <si>
    <t xml:space="preserve">Sovereign invitation, release and return</t>
  </si>
  <si>
    <t xml:space="preserve">Public Allocation Ledger</t>
  </si>
  <si>
    <t xml:space="preserve">Reconstructable decisions, failures and rollback</t>
  </si>
  <si>
    <t xml:space="preserve">Five exclusive warrant domains</t>
  </si>
  <si>
    <t xml:space="preserve">Each circuit receives inputs but cannot issue its own successor state.</t>
  </si>
  <si>
    <t xml:space="preserve">Owner</t>
  </si>
  <si>
    <t xml:space="preserve">Input received</t>
  </si>
  <si>
    <t xml:space="preserve">Output issued</t>
  </si>
  <si>
    <t xml:space="preserve">Cannot issue</t>
  </si>
  <si>
    <t xml:space="preserve">Public value</t>
  </si>
  <si>
    <t xml:space="preserve">Population state and lawful objective</t>
  </si>
  <si>
    <t xml:space="preserve">Accepted effect and transfer</t>
  </si>
  <si>
    <t xml:space="preserve">Technical or readiness release</t>
  </si>
  <si>
    <t xml:space="preserve">Technical truth</t>
  </si>
  <si>
    <t xml:space="preserve">Services + Proving Service</t>
  </si>
  <si>
    <t xml:space="preserve">Controlled mechanism and trials</t>
  </si>
  <si>
    <t xml:space="preserve">Article/formation evidence</t>
  </si>
  <si>
    <t xml:space="preserve">Civil priority or allocation</t>
  </si>
  <si>
    <t xml:space="preserve">Industrial reproducibility</t>
  </si>
  <si>
    <t xml:space="preserve">Root Houses + IMA</t>
  </si>
  <si>
    <t xml:space="preserve">Public rights and accepted configuration</t>
  </si>
  <si>
    <t xml:space="preserve">Cold production availability</t>
  </si>
  <si>
    <t xml:space="preserve">Formation credit</t>
  </si>
  <si>
    <t xml:space="preserve">Readiness truth</t>
  </si>
  <si>
    <t xml:space="preserve">Ten-warrant serial and exclusive claims</t>
  </si>
  <si>
    <t xml:space="preserve">Family-ready state</t>
  </si>
  <si>
    <t xml:space="preserve">Campaign priority</t>
  </si>
  <si>
    <t xml:space="preserve">Executable allocation</t>
  </si>
  <si>
    <t xml:space="preserve">NMAC + rights/custody authorities</t>
  </si>
  <si>
    <t xml:space="preserve">Admitted claim and ready serials</t>
  </si>
  <si>
    <t xml:space="preserve">Twelve-seal schedule</t>
  </si>
  <si>
    <t xml:space="preserve">Evidence or civil acceptance</t>
  </si>
  <si>
    <t xml:space="preserve">Ten-state public-service lifecycle</t>
  </si>
  <si>
    <t xml:space="preserve">Every transition has one positive artifact and one prohibited inference.</t>
  </si>
  <si>
    <t xml:space="preserve">From</t>
  </si>
  <si>
    <t xml:space="preserve">To</t>
  </si>
  <si>
    <t xml:space="preserve">Issuing authority</t>
  </si>
  <si>
    <t xml:space="preserve">Positive artifact</t>
  </si>
  <si>
    <t xml:space="preserve">Prohibited inference</t>
  </si>
  <si>
    <t xml:space="preserve">Public effect</t>
  </si>
  <si>
    <t xml:space="preserve">Mission baseline</t>
  </si>
  <si>
    <t xml:space="preserve">Accepted need and measurable service</t>
  </si>
  <si>
    <t xml:space="preserve">No platform requirement</t>
  </si>
  <si>
    <t xml:space="preserve">Root competition</t>
  </si>
  <si>
    <t xml:space="preserve">Mission System Command</t>
  </si>
  <si>
    <t xml:space="preserve">Unlike mechanisms and kill criteria</t>
  </si>
  <si>
    <t xml:space="preserve">No favored exterior</t>
  </si>
  <si>
    <t xml:space="preserve">Production availability</t>
  </si>
  <si>
    <t xml:space="preserve">Root House + RPS + Industrial Mobilization</t>
  </si>
  <si>
    <t xml:space="preserve">Reproducible cold route</t>
  </si>
  <si>
    <t xml:space="preserve">No formation credit</t>
  </si>
  <si>
    <t xml:space="preserve">Accepted article</t>
  </si>
  <si>
    <t xml:space="preserve">Operating service</t>
  </si>
  <si>
    <t xml:space="preserve">Controlled equipment and technical release</t>
  </si>
  <si>
    <t xml:space="preserve">No crew/readiness credit</t>
  </si>
  <si>
    <t xml:space="preserve">Service formation</t>
  </si>
  <si>
    <t xml:space="preserve">Operating service + RPS</t>
  </si>
  <si>
    <t xml:space="preserve">Ten warrants on one serial</t>
  </si>
  <si>
    <t xml:space="preserve">No averaging</t>
  </si>
  <si>
    <t xml:space="preserve">Ready family pool</t>
  </si>
  <si>
    <t xml:space="preserve">Family floor, district and reservation pass</t>
  </si>
  <si>
    <t xml:space="preserve">No aggregate percentage</t>
  </si>
  <si>
    <t xml:space="preserve">Allocation order</t>
  </si>
  <si>
    <t xml:space="preserve">NMAC + civil/rights authorities</t>
  </si>
  <si>
    <t xml:space="preserve">Twelve seals and zero collisions</t>
  </si>
  <si>
    <t xml:space="preserve">No executive waiver</t>
  </si>
  <si>
    <t xml:space="preserve">Campaign credit</t>
  </si>
  <si>
    <t xml:space="preserve">Operational command + civil receiver</t>
  </si>
  <si>
    <t xml:space="preserve">Complete public service accepted</t>
  </si>
  <si>
    <t xml:space="preserve">No output-only success</t>
  </si>
  <si>
    <t xml:space="preserve">Transfer</t>
  </si>
  <si>
    <t xml:space="preserve">Civil/host receiver</t>
  </si>
  <si>
    <t xml:space="preserve">Local capacity and residual custody accepted</t>
  </si>
  <si>
    <t xml:space="preserve">No premature exit</t>
  </si>
  <si>
    <t xml:space="preserve">Regenerated serial</t>
  </si>
  <si>
    <t xml:space="preserve">Strategic Sustainment + productive commonwealth</t>
  </si>
  <si>
    <t xml:space="preserve">Cold rebuild and recertification</t>
  </si>
  <si>
    <t xml:space="preserve">No erased adverse history</t>
  </si>
  <si>
    <t xml:space="preserve">Twelve forbidden conversions</t>
  </si>
  <si>
    <t xml:space="preserve">These are constitutional firebreaks, not accounting preferences.</t>
  </si>
  <si>
    <t xml:space="preserve">Law</t>
  </si>
  <si>
    <t xml:space="preserve">Forbidden conversion</t>
  </si>
  <si>
    <t xml:space="preserve">Reason</t>
  </si>
  <si>
    <t xml:space="preserve">P01</t>
  </si>
  <si>
    <t xml:space="preserve">Program spending → capability</t>
  </si>
  <si>
    <t xml:space="preserve">Money spent never issues a technical, evidentiary or readiness warrant</t>
  </si>
  <si>
    <t xml:space="preserve">P02</t>
  </si>
  <si>
    <t xml:space="preserve">Market revenue → readiness</t>
  </si>
  <si>
    <t xml:space="preserve">Useful civil sales sustain industry but create zero formation credit</t>
  </si>
  <si>
    <t xml:space="preserve">P03</t>
  </si>
  <si>
    <t xml:space="preserve">Factory → formation</t>
  </si>
  <si>
    <t xml:space="preserve">Tooling, workers and cold lots are regeneration sources only</t>
  </si>
  <si>
    <t xml:space="preserve">P04</t>
  </si>
  <si>
    <t xml:space="preserve">Accepted article → formation</t>
  </si>
  <si>
    <t xml:space="preserve">Equipment lacks crew, stocks, receiver, command, trial and regeneration</t>
  </si>
  <si>
    <t xml:space="preserve">P05</t>
  </si>
  <si>
    <t xml:space="preserve">Service formation → campaign</t>
  </si>
  <si>
    <t xml:space="preserve">Joint interface, concurrent trial and civil admission remain separate</t>
  </si>
  <si>
    <t xml:space="preserve">P06</t>
  </si>
  <si>
    <t xml:space="preserve">Aggregate inventory → family coverage</t>
  </si>
  <si>
    <t xml:space="preserve">Every one of forty-eight families is non-substitutable</t>
  </si>
  <si>
    <t xml:space="preserve">P07</t>
  </si>
  <si>
    <t xml:space="preserve">Aggregate reserve → new campaign</t>
  </si>
  <si>
    <t xml:space="preserve">A 502-formation reserve covers only 390 of a 406-formation event</t>
  </si>
  <si>
    <t xml:space="preserve">P08</t>
  </si>
  <si>
    <t xml:space="preserve">Geographic buffer → general reserve</t>
  </si>
  <si>
    <t xml:space="preserve">Conversion consumes published N−1 assurance</t>
  </si>
  <si>
    <t xml:space="preserve">P09</t>
  </si>
  <si>
    <t xml:space="preserve">Crew relief → free article</t>
  </si>
  <si>
    <t xml:space="preserve">An occupied article remains committed through recertification</t>
  </si>
  <si>
    <t xml:space="preserve">P10</t>
  </si>
  <si>
    <t xml:space="preserve">International urgency → domestic recall</t>
  </si>
  <si>
    <t xml:space="preserve">Accepted serials require bilateral release</t>
  </si>
  <si>
    <t xml:space="preserve">P11</t>
  </si>
  <si>
    <t xml:space="preserve">Positive evidence → erased failure</t>
  </si>
  <si>
    <t xml:space="preserve">Adverse history and rollback remain public</t>
  </si>
  <si>
    <t xml:space="preserve">P12</t>
  </si>
  <si>
    <t xml:space="preserve">Common interface → quantity saving</t>
  </si>
  <si>
    <t xml:space="preserve">Only exclusive reservation plus substitution evidence reduces force</t>
  </si>
  <si>
    <t xml:space="preserve">Productive Commonwealth input circuit</t>
  </si>
  <si>
    <t xml:space="preserve">Industry supplies regeneration and useful civil output; every identity remains source-empty.</t>
  </si>
  <si>
    <t xml:space="preserve">Metric</t>
  </si>
  <si>
    <t xml:space="preserve">Force-credit rule</t>
  </si>
  <si>
    <t xml:space="preserve">Industrial Root Houses</t>
  </si>
  <si>
    <t xml:space="preserve">firms</t>
  </si>
  <si>
    <t xml:space="preserve">ZERO UNTIL SERIAL CONVERSION</t>
  </si>
  <si>
    <t xml:space="preserve">Public production cells</t>
  </si>
  <si>
    <t xml:space="preserve">cells</t>
  </si>
  <si>
    <t xml:space="preserve">Campus roles</t>
  </si>
  <si>
    <t xml:space="preserve">campuses</t>
  </si>
  <si>
    <t xml:space="preserve">Qualified industrial positions</t>
  </si>
  <si>
    <t xml:space="preserve">positions</t>
  </si>
  <si>
    <t xml:space="preserve">Annual supplier cold lots</t>
  </si>
  <si>
    <t xml:space="preserve">lots</t>
  </si>
  <si>
    <t xml:space="preserve">Domestic useful-output market</t>
  </si>
  <si>
    <t xml:space="preserve">Formation-generation output circuit</t>
  </si>
  <si>
    <t xml:space="preserve">People, articles, receivers and evidence bind to 5,251 serials.</t>
  </si>
  <si>
    <t xml:space="preserve">Authority</t>
  </si>
  <si>
    <t xml:space="preserve">Formation families</t>
  </si>
  <si>
    <t xml:space="preserve">families</t>
  </si>
  <si>
    <t xml:space="preserve">Owned formation serials</t>
  </si>
  <si>
    <t xml:space="preserve">Direct affiliated billets</t>
  </si>
  <si>
    <t xml:space="preserve">billets</t>
  </si>
  <si>
    <t xml:space="preserve">Crew-set equivalents</t>
  </si>
  <si>
    <t xml:space="preserve">sets</t>
  </si>
  <si>
    <t xml:space="preserve">Permanent readiness circuit</t>
  </si>
  <si>
    <t xml:space="preserve">Ready and regeneration accounts conserve the entire inventory.</t>
  </si>
  <si>
    <t xml:space="preserve">Account</t>
  </si>
  <si>
    <t xml:space="preserve">Formations</t>
  </si>
  <si>
    <t xml:space="preserve">Treatment</t>
  </si>
  <si>
    <t xml:space="preserve">Ready and occupied</t>
  </si>
  <si>
    <t xml:space="preserve">Ready; explicit activation</t>
  </si>
  <si>
    <t xml:space="preserve">Geographic buffer</t>
  </si>
  <si>
    <t xml:space="preserve">Ready; N−1 assurance</t>
  </si>
  <si>
    <t xml:space="preserve">Requalification</t>
  </si>
  <si>
    <t xml:space="preserve">Not ready</t>
  </si>
  <si>
    <t xml:space="preserve">Maintenance</t>
  </si>
  <si>
    <t xml:space="preserve">Deep overhaul</t>
  </si>
  <si>
    <t xml:space="preserve">Total</t>
  </si>
  <si>
    <t xml:space="preserve">Conserved</t>
  </si>
  <si>
    <t xml:space="preserve">Constitutional allocation circuit</t>
  </si>
  <si>
    <t xml:space="preserve">NMAC schedules only claims that preserve prior warrants and public rights.</t>
  </si>
  <si>
    <t xml:space="preserve">Meaning</t>
  </si>
  <si>
    <t xml:space="preserve">Instantaneous ready floor</t>
  </si>
  <si>
    <t xml:space="preserve">Committed campaigns</t>
  </si>
  <si>
    <t xml:space="preserve">Regeneration pool</t>
  </si>
  <si>
    <t xml:space="preserve">Family-campaign claims</t>
  </si>
  <si>
    <t xml:space="preserve">claims</t>
  </si>
  <si>
    <t xml:space="preserve">Allocation seals</t>
  </si>
  <si>
    <t xml:space="preserve">seals</t>
  </si>
  <si>
    <t xml:space="preserve">Three separate fiscal circuits</t>
  </si>
  <si>
    <t xml:space="preserve">The ledgers may be compared but not collapsed into one readiness total.</t>
  </si>
  <si>
    <t xml:space="preserve">Ledger</t>
  </si>
  <si>
    <t xml:space="preserve">25-year / mature value</t>
  </si>
  <si>
    <t xml:space="preserve">Status</t>
  </si>
  <si>
    <t xml:space="preserve">What it cannot buy</t>
  </si>
  <si>
    <t xml:space="preserve">Technology and proving</t>
  </si>
  <si>
    <t xml:space="preserve">USD 1.00T finite</t>
  </si>
  <si>
    <t xml:space="preserve">Program authority</t>
  </si>
  <si>
    <t xml:space="preserve">Automatic procurement or readiness</t>
  </si>
  <si>
    <t xml:space="preserve">Mature force capital</t>
  </si>
  <si>
    <t xml:space="preserve">USD 17.4T screen</t>
  </si>
  <si>
    <t xml:space="preserve">Formation + common capital</t>
  </si>
  <si>
    <t xml:space="preserve">Evidence, acceptance or operations</t>
  </si>
  <si>
    <t xml:space="preserve">USD 2.11T/year</t>
  </si>
  <si>
    <t xml:space="preserve">Steady-state screen</t>
  </si>
  <si>
    <t xml:space="preserve">New capital authority</t>
  </si>
  <si>
    <t xml:space="preserve">USD 75.0B/year</t>
  </si>
  <si>
    <t xml:space="preserve">Separate market revenue</t>
  </si>
  <si>
    <t xml:space="preserve">Formation or reserve credit</t>
  </si>
  <si>
    <t xml:space="preserve">USD 12.0B/year</t>
  </si>
  <si>
    <t xml:space="preserve">Optional opportunity</t>
  </si>
  <si>
    <t xml:space="preserve">Domestic sovereignty or recall</t>
  </si>
  <si>
    <t xml:space="preserve">Twenty-five-year resource-path model</t>
  </si>
  <si>
    <t xml:space="preserve">Operations ramp with built inventory; market revenue remains separate and partner sales optional.</t>
  </si>
  <si>
    <t xml:space="preserve">Year</t>
  </si>
  <si>
    <t xml:space="preserve">Built share</t>
  </si>
  <si>
    <t xml:space="preserve">Technology program USD B</t>
  </si>
  <si>
    <t xml:space="preserve">Formation capital USD B</t>
  </si>
  <si>
    <t xml:space="preserve">Common capital USD B</t>
  </si>
  <si>
    <t xml:space="preserve">Operations USD B</t>
  </si>
  <si>
    <t xml:space="preserve">Domestic market USD B</t>
  </si>
  <si>
    <t xml:space="preserve">Partner market USD B</t>
  </si>
  <si>
    <t xml:space="preserve">Mature capital USD B</t>
  </si>
  <si>
    <t xml:space="preserve">Operating economy USD B</t>
  </si>
  <si>
    <t xml:space="preserve">Mature force and productive economy</t>
  </si>
  <si>
    <t xml:space="preserve">Market activity sustains industry but remains outside the readiness ledger.</t>
  </si>
  <si>
    <t xml:space="preserve">Measure</t>
  </si>
  <si>
    <t xml:space="preserve">Annual USD B</t>
  </si>
  <si>
    <t xml:space="preserve">15-year USD B</t>
  </si>
  <si>
    <t xml:space="preserve">25-year equivalent USD B</t>
  </si>
  <si>
    <t xml:space="preserve">Mature operations</t>
  </si>
  <si>
    <t xml:space="preserve">—</t>
  </si>
  <si>
    <t xml:space="preserve">Force operating screen</t>
  </si>
  <si>
    <t xml:space="preserve">Domestic useful output</t>
  </si>
  <si>
    <t xml:space="preserve">Separate sales</t>
  </si>
  <si>
    <t xml:space="preserve">Reference partner output</t>
  </si>
  <si>
    <t xml:space="preserve">Optional sales</t>
  </si>
  <si>
    <t xml:space="preserve">Availability program</t>
  </si>
  <si>
    <t xml:space="preserve">Inside USD 1.00T program</t>
  </si>
  <si>
    <t xml:space="preserve">Command-and-truth reference</t>
  </si>
  <si>
    <t xml:space="preserve">Inside operations</t>
  </si>
  <si>
    <t xml:space="preserve">Cross-circuit failure law</t>
  </si>
  <si>
    <t xml:space="preserve">A failure returns only the affected object to its last valid state and preserves history.</t>
  </si>
  <si>
    <t xml:space="preserve">Failure</t>
  </si>
  <si>
    <t xml:space="preserve">Rollback</t>
  </si>
  <si>
    <t xml:space="preserve">Receiver</t>
  </si>
  <si>
    <t xml:space="preserve">Unchanged authority</t>
  </si>
  <si>
    <t xml:space="preserve">Root insolvency</t>
  </si>
  <si>
    <t xml:space="preserve">Production availability to alternate route</t>
  </si>
  <si>
    <t xml:space="preserve">Continuity receiver</t>
  </si>
  <si>
    <t xml:space="preserve">Adverse evidence</t>
  </si>
  <si>
    <t xml:space="preserve">Cold-lot failure</t>
  </si>
  <si>
    <t xml:space="preserve">Reproducibility to HOLD</t>
  </si>
  <si>
    <t xml:space="preserve">Public need</t>
  </si>
  <si>
    <t xml:space="preserve">Formation trial failure</t>
  </si>
  <si>
    <t xml:space="preserve">Serial to technical/formation release</t>
  </si>
  <si>
    <t xml:space="preserve">Unrelated serials</t>
  </si>
  <si>
    <t xml:space="preserve">Reservation collision</t>
  </si>
  <si>
    <t xml:space="preserve">Both claims to zero</t>
  </si>
  <si>
    <t xml:space="preserve">Civil priority</t>
  </si>
  <si>
    <t xml:space="preserve">Receiver withdrawal</t>
  </si>
  <si>
    <t xml:space="preserve">Allocation to claim recompilation</t>
  </si>
  <si>
    <t xml:space="preserve">NMAC</t>
  </si>
  <si>
    <t xml:space="preserve">Evidence history</t>
  </si>
  <si>
    <t xml:space="preserve">International release dispute</t>
  </si>
  <si>
    <t xml:space="preserve">Custody remains committed</t>
  </si>
  <si>
    <t xml:space="preserve">No domestic recall</t>
  </si>
  <si>
    <t xml:space="preserve">Regeneration failure</t>
  </si>
  <si>
    <t xml:space="preserve">Serial remains non-ready</t>
  </si>
  <si>
    <t xml:space="preserve">Family floor shrinks publicly</t>
  </si>
  <si>
    <t xml:space="preserve">Rights violation</t>
  </si>
  <si>
    <t xml:space="preserve">Execution seal revoked</t>
  </si>
  <si>
    <t xml:space="preserve">No urgency waiver</t>
  </si>
  <si>
    <t xml:space="preserve">Technology program for the compact</t>
  </si>
  <si>
    <t xml:space="preserve">The compact must be executable, adversarially testable and publicly reconstructable.</t>
  </si>
  <si>
    <t xml:space="preserve">Program</t>
  </si>
  <si>
    <t xml:space="preserve">Technology</t>
  </si>
  <si>
    <t xml:space="preserve">Capability</t>
  </si>
  <si>
    <t xml:space="preserve">I01</t>
  </si>
  <si>
    <t xml:space="preserve">Executable constitutional twin</t>
  </si>
  <si>
    <t xml:space="preserve">Represent institutions, warrants, clocks, collisions and rollback as one inspectable state</t>
  </si>
  <si>
    <t xml:space="preserve">I02</t>
  </si>
  <si>
    <t xml:space="preserve">Cross-circuit provenance fabric</t>
  </si>
  <si>
    <t xml:space="preserve">Trace public need through mechanism, article, formation, campaign and regeneration</t>
  </si>
  <si>
    <t xml:space="preserve">I03</t>
  </si>
  <si>
    <t xml:space="preserve">Sovereign offline scheduler</t>
  </si>
  <si>
    <t xml:space="preserve">Operate allocation and custody after national communications partition</t>
  </si>
  <si>
    <t xml:space="preserve">I04</t>
  </si>
  <si>
    <t xml:space="preserve">Public causal evidence bank</t>
  </si>
  <si>
    <t xml:space="preserve">Preserve positive, adverse and invalid evidence across firms and generations</t>
  </si>
  <si>
    <t xml:space="preserve">I05</t>
  </si>
  <si>
    <t xml:space="preserve">Adaptive family-floor governor</t>
  </si>
  <si>
    <t xml:space="preserve">Recompute non-substitutable readiness after hazard, labor and district loss</t>
  </si>
  <si>
    <t xml:space="preserve">I06</t>
  </si>
  <si>
    <t xml:space="preserve">Cold-regeneration orchestration</t>
  </si>
  <si>
    <t xml:space="preserve">Move exact configuration, tools, people and suppliers across public/private routes</t>
  </si>
  <si>
    <t xml:space="preserve">I07</t>
  </si>
  <si>
    <t xml:space="preserve">Receiver federation</t>
  </si>
  <si>
    <t xml:space="preserve">Make civil endpoints active members of force generation rather than mission afterthoughts</t>
  </si>
  <si>
    <t xml:space="preserve">I08</t>
  </si>
  <si>
    <t xml:space="preserve">Rights-preserving population state</t>
  </si>
  <si>
    <t xml:space="preserve">Measure service deficit without converting vulnerability into surveillance</t>
  </si>
  <si>
    <t xml:space="preserve">I09</t>
  </si>
  <si>
    <t xml:space="preserve">Partner-sovereign replication kit</t>
  </si>
  <si>
    <t xml:space="preserve">Export complete capability without remote operational dependence</t>
  </si>
  <si>
    <t xml:space="preserve">I10</t>
  </si>
  <si>
    <t xml:space="preserve">Industrial-demobilization compiler</t>
  </si>
  <si>
    <t xml:space="preserve">Move capacity into useful civil output without destroying mobilization paths</t>
  </si>
  <si>
    <t xml:space="preserve">I11</t>
  </si>
  <si>
    <t xml:space="preserve">Adversarial institutional range</t>
  </si>
  <si>
    <t xml:space="preserve">Test authority capture, collision, insolvency and evidence suppression at full scale</t>
  </si>
  <si>
    <t xml:space="preserve">I12</t>
  </si>
  <si>
    <t xml:space="preserve">Machine-readable public compact</t>
  </si>
  <si>
    <t xml:space="preserve">Let outsiders reproduce why money, readiness and service claims did or did not advance</t>
  </si>
  <si>
    <t xml:space="preserve">Five-pass DFG return</t>
  </si>
  <si>
    <t xml:space="preserve">Each pass closes one Department-scale conversion and hands a bounded result upward.</t>
  </si>
  <si>
    <t xml:space="preserve">Pass</t>
  </si>
  <si>
    <t xml:space="preserve">Object</t>
  </si>
  <si>
    <t xml:space="preserve">Established</t>
  </si>
  <si>
    <t xml:space="preserve">Returned constraint</t>
  </si>
  <si>
    <t xml:space="preserve">DFG-1 conversion</t>
  </si>
  <si>
    <t xml:space="preserve">Five states, ten formation warrants, 5,251 serials</t>
  </si>
  <si>
    <t xml:space="preserve">Industry is not force</t>
  </si>
  <si>
    <t xml:space="preserve">DFG-2 build</t>
  </si>
  <si>
    <t xml:space="preserve">336 seeds, 528 family-year cohorts, eleven-year build</t>
  </si>
  <si>
    <t xml:space="preserve">Balanced generation before scale</t>
  </si>
  <si>
    <t xml:space="preserve">DFG-3 readiness</t>
  </si>
  <si>
    <t xml:space="preserve">Six accounts and 3,667 ready floor</t>
  </si>
  <si>
    <t xml:space="preserve">Rotation cannot consume promise</t>
  </si>
  <si>
    <t xml:space="preserve">DFG-4 allocation</t>
  </si>
  <si>
    <t xml:space="preserve">Ten authorities, seven layers, twelve seals</t>
  </si>
  <si>
    <t xml:space="preserve">Aggregate reserve is not complete service</t>
  </si>
  <si>
    <t xml:space="preserve">DFG-5 compact</t>
  </si>
  <si>
    <t xml:space="preserve">Five circuits, fifteen institutions, twelve firebreaks</t>
  </si>
  <si>
    <t xml:space="preserve">Return to mature-force architecture</t>
  </si>
  <si>
    <t xml:space="preserve">Terminal audit</t>
  </si>
  <si>
    <t xml:space="preserve">One-way checks never issue authority.</t>
  </si>
  <si>
    <t xml:space="preserve">Audit</t>
  </si>
  <si>
    <t xml:space="preserve">Expected</t>
  </si>
  <si>
    <t xml:space="preserve">Observed</t>
  </si>
  <si>
    <t xml:space="preserve">Result</t>
  </si>
  <si>
    <t xml:space="preserve">Institutions</t>
  </si>
  <si>
    <t xml:space="preserve">Transitions</t>
  </si>
  <si>
    <t xml:space="preserve">Firebreaks</t>
  </si>
  <si>
    <t xml:space="preserve">Capital reconciliation</t>
  </si>
  <si>
    <t xml:space="preserve">Owned inventory</t>
  </si>
  <si>
    <t xml:space="preserve">Return passes</t>
  </si>
  <si>
    <t xml:space="preserve">Restored mutation tests</t>
  </si>
  <si>
    <t xml:space="preserve">Four compact controls fail their terminal audit and restore.</t>
  </si>
  <si>
    <t xml:space="preserve">Test</t>
  </si>
  <si>
    <t xml:space="preserve">Baseline</t>
  </si>
  <si>
    <t xml:space="preserve">Mutation</t>
  </si>
  <si>
    <t xml:space="preserve">Mutated</t>
  </si>
  <si>
    <t xml:space="preserve">Restored</t>
  </si>
  <si>
    <t xml:space="preserve">M1</t>
  </si>
  <si>
    <t xml:space="preserve">M2</t>
  </si>
  <si>
    <t xml:space="preserve">M3</t>
  </si>
  <si>
    <t xml:space="preserve">M4</t>
  </si>
  <si>
    <t xml:space="preserve">Internal source lineage</t>
  </si>
  <si>
    <t xml:space="preserve">No external sites or datasets are introduced.</t>
  </si>
  <si>
    <t xml:space="preserve">Artifact</t>
  </si>
  <si>
    <t xml:space="preserve">Claims integrated</t>
  </si>
  <si>
    <t xml:space="preserve">department-of-resilience-productive-commonwealth-sustaining-economy-and-return.md</t>
  </si>
  <si>
    <t xml:space="preserve">Industrial availability, labor, suppliers and market</t>
  </si>
  <si>
    <t xml:space="preserve">department-of-resilience-formation-and-joint-readiness-conversion-constitution.md</t>
  </si>
  <si>
    <t xml:space="preserve">Five states and ten formation warrants</t>
  </si>
  <si>
    <t xml:space="preserve">department-of-resilience-synchronized-formation-generation-campaign.md</t>
  </si>
  <si>
    <t xml:space="preserve">National build and regeneration campaign</t>
  </si>
  <si>
    <t xml:space="preserve">department-of-resilience-permanent-readiness-cycle-constitution.md</t>
  </si>
  <si>
    <t xml:space="preserve">Six readiness accounts and family floors</t>
  </si>
  <si>
    <t xml:space="preserve">department-of-resilience-national-mobilization-and-allocation-command.md</t>
  </si>
  <si>
    <t xml:space="preserve">Constitutional allocation and scarcity law</t>
  </si>
  <si>
    <t xml:space="preserve">Model use and limits</t>
  </si>
  <si>
    <t xml:space="preserve">This workbook integrates the force-generation constitution and returns the branch; it issues no real authority.</t>
  </si>
  <si>
    <t xml:space="preserve">Topic</t>
  </si>
  <si>
    <t xml:space="preserve">Guidance</t>
  </si>
  <si>
    <t xml:space="preserve">Purpose</t>
  </si>
  <si>
    <t xml:space="preserve">Join industrial availability, formation generation, readiness, allocation, employment and regeneration without one super-command.</t>
  </si>
  <si>
    <t xml:space="preserve">Five circuits and fifteen institution classes exchange bounded artifacts through ten state transitions.</t>
  </si>
  <si>
    <t xml:space="preserve">Twelve forbidden conversions prevent money, factories, equipment, aggregate slack or urgency from creating force.</t>
  </si>
  <si>
    <t xml:space="preserve">Fiscal</t>
  </si>
  <si>
    <t xml:space="preserve">Technology, mature capital, operations and market revenue remain separate ledgers.</t>
  </si>
  <si>
    <t xml:space="preserve">25-year path</t>
  </si>
  <si>
    <t xml:space="preserve">Operations ramp linearly with built share; this is a transparent planning hypothesis, not a budget estimate.</t>
  </si>
  <si>
    <t xml:space="preserve">All implementation identities and released authority remain zero.</t>
  </si>
  <si>
    <t xml:space="preserve">Return</t>
  </si>
  <si>
    <t xml:space="preserve">DFG ends at five passes and returns to mature Department architecture.</t>
  </si>
  <si>
    <t xml:space="preserve">Rendering</t>
  </si>
  <si>
    <t xml:space="preserve">No exterior form is authorized by this compact.</t>
  </si>
  <si>
    <t xml:space="preserve">Next</t>
  </si>
  <si>
    <t xml:space="preserve">Select the next Department-level architecture question now that force generation is coherent.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</si>
</sst>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"/>
    <numFmt numFmtId="166" formatCode="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24D"/>
      <name val="Arial"/>
      <family val="0"/>
      <charset val="1"/>
    </font>
    <font>
      <i val="true"/>
      <sz val="10"/>
      <color rgb="FF5B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24D"/>
        <bgColor rgb="FF1F2933"/>
      </patternFill>
    </fill>
    <fill>
      <patternFill patternType="solid">
        <fgColor rgb="FFDCEAF2"/>
        <bgColor rgb="FFE2F0D9"/>
      </patternFill>
    </fill>
    <fill>
      <patternFill patternType="solid">
        <fgColor rgb="FFFCE8E6"/>
        <bgColor rgb="FFE2F0D9"/>
      </patternFill>
    </fill>
    <fill>
      <patternFill patternType="solid">
        <fgColor rgb="FFE2F0D9"/>
        <bgColor rgb="FFDCEA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F6B8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CE8E6"/>
      <rgbColor rgb="FFDCEA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F6B8A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Force-generation scale by circuit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"Primary scale"</c:f>
              <c:strCache>
                <c:ptCount val="1"/>
                <c:pt idx="0">
                  <c:v>Primary scale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Decision!$M$6:$M$10</c:f>
              <c:strCache>
                <c:ptCount val="5"/>
                <c:pt idx="0">
                  <c:v>Industry</c:v>
                </c:pt>
                <c:pt idx="1">
                  <c:v>Formation</c:v>
                </c:pt>
                <c:pt idx="2">
                  <c:v>Ready</c:v>
                </c:pt>
                <c:pt idx="3">
                  <c:v>Committed</c:v>
                </c:pt>
                <c:pt idx="4">
                  <c:v>Reserve</c:v>
                </c:pt>
              </c:strCache>
            </c:strRef>
          </c:cat>
          <c:val>
            <c:numRef>
              <c:f>Decision!$N$6:$N$10</c:f>
              <c:numCache>
                <c:formatCode>General</c:formatCode>
                <c:ptCount val="5"/>
                <c:pt idx="0">
                  <c:v>24</c:v>
                </c:pt>
                <c:pt idx="1">
                  <c:v>5251</c:v>
                </c:pt>
                <c:pt idx="2">
                  <c:v>3667</c:v>
                </c:pt>
                <c:pt idx="3">
                  <c:v>2420</c:v>
                </c:pt>
                <c:pt idx="4">
                  <c:v>502</c:v>
                </c:pt>
              </c:numCache>
            </c:numRef>
          </c:val>
        </c:ser>
        <c:gapWidth val="150"/>
        <c:overlap val="0"/>
        <c:axId val="99427320"/>
        <c:axId val="42550464"/>
      </c:barChart>
      <c:catAx>
        <c:axId val="9942732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2550464"/>
        <c:crosses val="autoZero"/>
        <c:auto val="1"/>
        <c:lblAlgn val="ctr"/>
        <c:lblOffset val="100"/>
        <c:noMultiLvlLbl val="0"/>
      </c:catAx>
      <c:valAx>
        <c:axId val="4255046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9427320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10</xdr:col>
      <xdr:colOff>845640</xdr:colOff>
      <xdr:row>22</xdr:row>
      <xdr:rowOff>190080</xdr:rowOff>
    </xdr:to>
    <xdr:graphicFrame>
      <xdr:nvGraphicFramePr>
        <xdr:cNvPr id="1" name="Chart"/>
        <xdr:cNvGraphicFramePr/>
      </xdr:nvGraphicFramePr>
      <xdr:xfrm>
        <a:off x="6250320" y="997560"/>
        <a:ext cx="6766200" cy="34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6"/>
    <col collapsed="false" customWidth="true" hidden="false" outlineLevel="0" max="11" min="4" style="0" width="12"/>
    <col collapsed="false" customWidth="true" hidden="false" outlineLevel="0" max="13" min="13" style="0" width="20"/>
    <col collapsed="false" customWidth="true" hidden="false" outlineLevel="0" max="14" min="14" style="0" width="18"/>
  </cols>
  <sheetData>
    <row r="2" customFormat="false" ht="18.55" hidden="false" customHeight="false" outlineLevel="0" collapsed="false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2</v>
      </c>
      <c r="N5" s="2" t="s">
        <v>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</v>
      </c>
      <c r="B6" s="5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6</v>
      </c>
      <c r="N6" s="2" t="n">
        <v>24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7</v>
      </c>
      <c r="B7" s="7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9</v>
      </c>
      <c r="N7" s="2" t="n">
        <v>5251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10</v>
      </c>
      <c r="B8" s="7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 t="s">
        <v>12</v>
      </c>
      <c r="N8" s="2" t="n">
        <v>3667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13</v>
      </c>
      <c r="B9" s="7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15</v>
      </c>
      <c r="N9" s="2" t="n">
        <v>2420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16</v>
      </c>
      <c r="B10" s="7" t="n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17</v>
      </c>
      <c r="N10" s="2" t="n">
        <v>502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18</v>
      </c>
      <c r="B11" s="7" t="n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19</v>
      </c>
      <c r="B12" s="7" t="n">
        <v>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20</v>
      </c>
      <c r="B13" s="7" t="n">
        <v>12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21</v>
      </c>
      <c r="B14" s="7" t="n">
        <v>24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22</v>
      </c>
      <c r="B15" s="7" t="n">
        <v>5251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23</v>
      </c>
      <c r="B16" s="7" t="n">
        <v>3667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24</v>
      </c>
      <c r="B17" s="7" t="n">
        <v>2420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25</v>
      </c>
      <c r="B18" s="7" t="n">
        <v>502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26</v>
      </c>
      <c r="B19" s="8" t="n">
        <v>17400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27</v>
      </c>
      <c r="B20" s="8" t="n">
        <v>2110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28</v>
      </c>
      <c r="B21" s="8" t="n">
        <v>75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29</v>
      </c>
      <c r="B22" s="7" t="n"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30</v>
      </c>
      <c r="B23" s="7" t="s">
        <v>31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3" min="2" style="0" width="18"/>
  </cols>
  <sheetData>
    <row r="2" customFormat="false" ht="18.55" hidden="false" customHeight="false" outlineLevel="0" collapsed="false">
      <c r="A2" s="1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34</v>
      </c>
      <c r="B6" s="5" t="s">
        <v>5</v>
      </c>
      <c r="C6" s="5" t="s">
        <v>35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36</v>
      </c>
      <c r="B7" s="9" t="n">
        <v>1000</v>
      </c>
      <c r="C7" s="6" t="s">
        <v>37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38</v>
      </c>
      <c r="B8" s="9" t="n">
        <v>9410.56</v>
      </c>
      <c r="C8" s="6" t="s">
        <v>37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39</v>
      </c>
      <c r="B9" s="9" t="n">
        <v>7989.44</v>
      </c>
      <c r="C9" s="6" t="s">
        <v>37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40</v>
      </c>
      <c r="B10" s="9" t="n">
        <v>17400</v>
      </c>
      <c r="C10" s="6" t="s">
        <v>37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41</v>
      </c>
      <c r="B11" s="9" t="n">
        <v>2110</v>
      </c>
      <c r="C11" s="6" t="s">
        <v>42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43</v>
      </c>
      <c r="B12" s="9" t="n">
        <v>75</v>
      </c>
      <c r="C12" s="6" t="s">
        <v>42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44</v>
      </c>
      <c r="B13" s="9" t="n">
        <v>12</v>
      </c>
      <c r="C13" s="6" t="s">
        <v>42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45</v>
      </c>
      <c r="B14" s="9" t="n">
        <v>11</v>
      </c>
      <c r="C14" s="6" t="s">
        <v>46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47</v>
      </c>
      <c r="B15" s="9" t="n">
        <v>15</v>
      </c>
      <c r="C15" s="6" t="s">
        <v>46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22</v>
      </c>
      <c r="B16" s="9" t="n">
        <v>5251</v>
      </c>
      <c r="C16" s="6" t="s">
        <v>48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23</v>
      </c>
      <c r="B17" s="9" t="n">
        <v>3667</v>
      </c>
      <c r="C17" s="6" t="s">
        <v>48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29</v>
      </c>
      <c r="B18" s="9" t="n">
        <v>0</v>
      </c>
      <c r="C18" s="6" t="s">
        <v>48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7" min="6" style="0" width="16"/>
    <col collapsed="false" customWidth="true" hidden="false" outlineLevel="0" max="8" min="8" style="0" width="15"/>
    <col collapsed="false" customWidth="true" hidden="false" outlineLevel="0" max="10" min="9" style="0" width="16"/>
    <col collapsed="false" customWidth="true" hidden="false" outlineLevel="0" max="11" min="11" style="0" width="17"/>
    <col collapsed="false" customWidth="true" hidden="false" outlineLevel="0" max="12" min="12" style="0" width="12"/>
  </cols>
  <sheetData>
    <row r="2" customFormat="false" ht="18.55" hidden="false" customHeight="false" outlineLevel="0" collapsed="false">
      <c r="A2" s="1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51</v>
      </c>
      <c r="B6" s="5" t="s">
        <v>52</v>
      </c>
      <c r="C6" s="5" t="s">
        <v>53</v>
      </c>
      <c r="D6" s="5" t="s">
        <v>54</v>
      </c>
      <c r="E6" s="5" t="s">
        <v>55</v>
      </c>
      <c r="F6" s="5" t="s">
        <v>56</v>
      </c>
      <c r="G6" s="5" t="s">
        <v>57</v>
      </c>
      <c r="H6" s="5" t="s">
        <v>58</v>
      </c>
      <c r="I6" s="5" t="s">
        <v>59</v>
      </c>
      <c r="J6" s="5" t="s">
        <v>60</v>
      </c>
      <c r="K6" s="5" t="s">
        <v>61</v>
      </c>
      <c r="L6" s="5" t="s">
        <v>62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63</v>
      </c>
      <c r="B7" s="6" t="s">
        <v>64</v>
      </c>
      <c r="C7" s="6" t="s">
        <v>65</v>
      </c>
      <c r="D7" s="6" t="s">
        <v>65</v>
      </c>
      <c r="E7" s="6" t="s">
        <v>65</v>
      </c>
      <c r="F7" s="6" t="s">
        <v>65</v>
      </c>
      <c r="G7" s="6" t="s">
        <v>65</v>
      </c>
      <c r="H7" s="6" t="s">
        <v>65</v>
      </c>
      <c r="I7" s="6" t="s">
        <v>65</v>
      </c>
      <c r="J7" s="6" t="s">
        <v>65</v>
      </c>
      <c r="K7" s="6" t="s">
        <v>65</v>
      </c>
      <c r="L7" s="10" t="s">
        <v>66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67</v>
      </c>
      <c r="B8" s="6" t="s">
        <v>64</v>
      </c>
      <c r="C8" s="6" t="s">
        <v>64</v>
      </c>
      <c r="D8" s="6" t="s">
        <v>65</v>
      </c>
      <c r="E8" s="6" t="s">
        <v>65</v>
      </c>
      <c r="F8" s="6" t="s">
        <v>65</v>
      </c>
      <c r="G8" s="6" t="s">
        <v>65</v>
      </c>
      <c r="H8" s="6" t="s">
        <v>65</v>
      </c>
      <c r="I8" s="6" t="s">
        <v>65</v>
      </c>
      <c r="J8" s="6" t="s">
        <v>65</v>
      </c>
      <c r="K8" s="6" t="s">
        <v>65</v>
      </c>
      <c r="L8" s="10" t="s">
        <v>66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68</v>
      </c>
      <c r="B9" s="6" t="s">
        <v>64</v>
      </c>
      <c r="C9" s="6" t="s">
        <v>64</v>
      </c>
      <c r="D9" s="6" t="s">
        <v>64</v>
      </c>
      <c r="E9" s="6" t="s">
        <v>65</v>
      </c>
      <c r="F9" s="6" t="s">
        <v>65</v>
      </c>
      <c r="G9" s="6" t="s">
        <v>65</v>
      </c>
      <c r="H9" s="6" t="s">
        <v>65</v>
      </c>
      <c r="I9" s="6" t="s">
        <v>65</v>
      </c>
      <c r="J9" s="6" t="s">
        <v>65</v>
      </c>
      <c r="K9" s="6" t="s">
        <v>65</v>
      </c>
      <c r="L9" s="10" t="s">
        <v>66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69</v>
      </c>
      <c r="B10" s="6" t="s">
        <v>64</v>
      </c>
      <c r="C10" s="6" t="s">
        <v>64</v>
      </c>
      <c r="D10" s="6" t="s">
        <v>64</v>
      </c>
      <c r="E10" s="6" t="s">
        <v>64</v>
      </c>
      <c r="F10" s="6" t="s">
        <v>64</v>
      </c>
      <c r="G10" s="6" t="s">
        <v>65</v>
      </c>
      <c r="H10" s="6" t="s">
        <v>65</v>
      </c>
      <c r="I10" s="6" t="s">
        <v>65</v>
      </c>
      <c r="J10" s="6" t="s">
        <v>65</v>
      </c>
      <c r="K10" s="6" t="s">
        <v>65</v>
      </c>
      <c r="L10" s="10" t="s">
        <v>66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14</v>
      </c>
      <c r="B11" s="6" t="s">
        <v>64</v>
      </c>
      <c r="C11" s="6" t="s">
        <v>64</v>
      </c>
      <c r="D11" s="6" t="s">
        <v>64</v>
      </c>
      <c r="E11" s="6" t="s">
        <v>64</v>
      </c>
      <c r="F11" s="6" t="s">
        <v>64</v>
      </c>
      <c r="G11" s="6" t="s">
        <v>64</v>
      </c>
      <c r="H11" s="6" t="s">
        <v>64</v>
      </c>
      <c r="I11" s="6" t="s">
        <v>64</v>
      </c>
      <c r="J11" s="6" t="s">
        <v>64</v>
      </c>
      <c r="K11" s="6" t="s">
        <v>64</v>
      </c>
      <c r="L11" s="11" t="s">
        <v>70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62"/>
    <col collapsed="false" customWidth="true" hidden="false" outlineLevel="0" max="4" min="4" style="0" width="71"/>
    <col collapsed="false" customWidth="true" hidden="false" outlineLevel="0" max="5" min="5" style="0" width="55"/>
  </cols>
  <sheetData>
    <row r="2" customFormat="false" ht="18.55" hidden="false" customHeight="false" outlineLevel="0" collapsed="false">
      <c r="A2" s="1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71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2</v>
      </c>
      <c r="B6" s="5" t="s">
        <v>72</v>
      </c>
      <c r="C6" s="5" t="s">
        <v>73</v>
      </c>
      <c r="D6" s="5" t="s">
        <v>74</v>
      </c>
      <c r="E6" s="5" t="s">
        <v>75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56" hidden="false" customHeight="true" outlineLevel="0" collapsed="false">
      <c r="A7" s="6" t="s">
        <v>76</v>
      </c>
      <c r="B7" s="12" t="s">
        <v>77</v>
      </c>
      <c r="C7" s="12" t="s">
        <v>78</v>
      </c>
      <c r="D7" s="12" t="s">
        <v>79</v>
      </c>
      <c r="E7" s="12" t="s">
        <v>80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56" hidden="false" customHeight="true" outlineLevel="0" collapsed="false">
      <c r="A8" s="6" t="s">
        <v>81</v>
      </c>
      <c r="B8" s="12" t="s">
        <v>82</v>
      </c>
      <c r="C8" s="12" t="s">
        <v>83</v>
      </c>
      <c r="D8" s="12" t="s">
        <v>84</v>
      </c>
      <c r="E8" s="12" t="s">
        <v>85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56" hidden="false" customHeight="true" outlineLevel="0" collapsed="false">
      <c r="A9" s="6" t="s">
        <v>86</v>
      </c>
      <c r="B9" s="12" t="s">
        <v>87</v>
      </c>
      <c r="C9" s="12" t="s">
        <v>88</v>
      </c>
      <c r="D9" s="12" t="s">
        <v>89</v>
      </c>
      <c r="E9" s="12" t="s">
        <v>90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56" hidden="false" customHeight="true" outlineLevel="0" collapsed="false">
      <c r="A10" s="6" t="s">
        <v>91</v>
      </c>
      <c r="B10" s="12" t="s">
        <v>92</v>
      </c>
      <c r="C10" s="12" t="s">
        <v>93</v>
      </c>
      <c r="D10" s="12" t="s">
        <v>94</v>
      </c>
      <c r="E10" s="12" t="s">
        <v>95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56" hidden="false" customHeight="true" outlineLevel="0" collapsed="false">
      <c r="A11" s="6" t="s">
        <v>96</v>
      </c>
      <c r="B11" s="12" t="s">
        <v>97</v>
      </c>
      <c r="C11" s="12" t="s">
        <v>98</v>
      </c>
      <c r="D11" s="12" t="s">
        <v>99</v>
      </c>
      <c r="E11" s="12" t="s">
        <v>100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2"/>
  </cols>
  <sheetData>
    <row r="2" customFormat="false" ht="18.55" hidden="false" customHeight="false" outlineLevel="0" collapsed="false">
      <c r="A2" s="1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102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103</v>
      </c>
      <c r="B6" s="5" t="s">
        <v>104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105</v>
      </c>
      <c r="B7" s="12" t="s">
        <v>106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107</v>
      </c>
      <c r="B8" s="12" t="s">
        <v>108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109</v>
      </c>
      <c r="B9" s="12" t="s">
        <v>110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111</v>
      </c>
      <c r="B10" s="12" t="s">
        <v>112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113</v>
      </c>
      <c r="B11" s="12" t="s">
        <v>114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115</v>
      </c>
      <c r="B12" s="12" t="s">
        <v>116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117</v>
      </c>
      <c r="B13" s="12" t="s">
        <v>118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119</v>
      </c>
      <c r="B14" s="12" t="s">
        <v>120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121</v>
      </c>
      <c r="B15" s="12" t="s">
        <v>122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123</v>
      </c>
      <c r="B16" s="12" t="s">
        <v>124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125</v>
      </c>
      <c r="B17" s="12" t="s">
        <v>126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127</v>
      </c>
      <c r="B18" s="12" t="s">
        <v>128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129</v>
      </c>
      <c r="B19" s="12" t="s">
        <v>130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131</v>
      </c>
      <c r="B20" s="12" t="s">
        <v>132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133</v>
      </c>
      <c r="B21" s="12" t="s">
        <v>134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3"/>
    <col collapsed="false" customWidth="true" hidden="false" outlineLevel="0" max="3" min="3" style="0" width="60"/>
    <col collapsed="false" customWidth="true" hidden="false" outlineLevel="0" max="4" min="4" style="0" width="47"/>
    <col collapsed="false" customWidth="true" hidden="false" outlineLevel="0" max="5" min="5" style="0" width="42"/>
  </cols>
  <sheetData>
    <row r="2" customFormat="false" ht="18.55" hidden="false" customHeight="false" outlineLevel="0" collapsed="false">
      <c r="A2" s="1" t="s">
        <v>135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136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72</v>
      </c>
      <c r="B6" s="5" t="s">
        <v>137</v>
      </c>
      <c r="C6" s="5" t="s">
        <v>138</v>
      </c>
      <c r="D6" s="5" t="s">
        <v>139</v>
      </c>
      <c r="E6" s="5" t="s">
        <v>140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141</v>
      </c>
      <c r="B7" s="12" t="s">
        <v>105</v>
      </c>
      <c r="C7" s="12" t="s">
        <v>142</v>
      </c>
      <c r="D7" s="12" t="s">
        <v>143</v>
      </c>
      <c r="E7" s="12" t="s">
        <v>144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145</v>
      </c>
      <c r="B8" s="12" t="s">
        <v>146</v>
      </c>
      <c r="C8" s="12" t="s">
        <v>147</v>
      </c>
      <c r="D8" s="12" t="s">
        <v>148</v>
      </c>
      <c r="E8" s="12" t="s">
        <v>149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150</v>
      </c>
      <c r="B9" s="12" t="s">
        <v>151</v>
      </c>
      <c r="C9" s="12" t="s">
        <v>152</v>
      </c>
      <c r="D9" s="12" t="s">
        <v>153</v>
      </c>
      <c r="E9" s="12" t="s">
        <v>154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155</v>
      </c>
      <c r="B10" s="12" t="s">
        <v>121</v>
      </c>
      <c r="C10" s="12" t="s">
        <v>156</v>
      </c>
      <c r="D10" s="12" t="s">
        <v>157</v>
      </c>
      <c r="E10" s="12" t="s">
        <v>158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159</v>
      </c>
      <c r="B11" s="12" t="s">
        <v>160</v>
      </c>
      <c r="C11" s="12" t="s">
        <v>161</v>
      </c>
      <c r="D11" s="12" t="s">
        <v>162</v>
      </c>
      <c r="E11" s="12" t="s">
        <v>163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54"/>
    <col collapsed="false" customWidth="true" hidden="false" outlineLevel="0" max="5" min="5" style="0" width="41"/>
  </cols>
  <sheetData>
    <row r="2" customFormat="false" ht="18.55" hidden="false" customHeight="false" outlineLevel="0" collapsed="false">
      <c r="A2" s="1" t="s">
        <v>164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166</v>
      </c>
      <c r="B6" s="5" t="s">
        <v>167</v>
      </c>
      <c r="C6" s="5" t="s">
        <v>168</v>
      </c>
      <c r="D6" s="5" t="s">
        <v>169</v>
      </c>
      <c r="E6" s="5" t="s">
        <v>170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4" hidden="false" customHeight="true" outlineLevel="0" collapsed="false">
      <c r="A7" s="6" t="s">
        <v>171</v>
      </c>
      <c r="B7" s="6" t="s">
        <v>172</v>
      </c>
      <c r="C7" s="12" t="s">
        <v>105</v>
      </c>
      <c r="D7" s="12" t="s">
        <v>173</v>
      </c>
      <c r="E7" s="12" t="s">
        <v>174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4" hidden="false" customHeight="true" outlineLevel="0" collapsed="false">
      <c r="A8" s="6" t="s">
        <v>172</v>
      </c>
      <c r="B8" s="6" t="s">
        <v>175</v>
      </c>
      <c r="C8" s="12" t="s">
        <v>176</v>
      </c>
      <c r="D8" s="12" t="s">
        <v>177</v>
      </c>
      <c r="E8" s="12" t="s">
        <v>178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4" hidden="false" customHeight="true" outlineLevel="0" collapsed="false">
      <c r="A9" s="6" t="s">
        <v>175</v>
      </c>
      <c r="B9" s="6" t="s">
        <v>179</v>
      </c>
      <c r="C9" s="12" t="s">
        <v>180</v>
      </c>
      <c r="D9" s="12" t="s">
        <v>181</v>
      </c>
      <c r="E9" s="12" t="s">
        <v>182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4" hidden="false" customHeight="true" outlineLevel="0" collapsed="false">
      <c r="A10" s="6" t="s">
        <v>179</v>
      </c>
      <c r="B10" s="6" t="s">
        <v>183</v>
      </c>
      <c r="C10" s="12" t="s">
        <v>184</v>
      </c>
      <c r="D10" s="12" t="s">
        <v>185</v>
      </c>
      <c r="E10" s="12" t="s">
        <v>186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4" hidden="false" customHeight="true" outlineLevel="0" collapsed="false">
      <c r="A11" s="6" t="s">
        <v>183</v>
      </c>
      <c r="B11" s="6" t="s">
        <v>187</v>
      </c>
      <c r="C11" s="12" t="s">
        <v>188</v>
      </c>
      <c r="D11" s="12" t="s">
        <v>189</v>
      </c>
      <c r="E11" s="12" t="s">
        <v>190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4" hidden="false" customHeight="true" outlineLevel="0" collapsed="false">
      <c r="A12" s="6" t="s">
        <v>187</v>
      </c>
      <c r="B12" s="6" t="s">
        <v>191</v>
      </c>
      <c r="C12" s="12" t="s">
        <v>121</v>
      </c>
      <c r="D12" s="12" t="s">
        <v>192</v>
      </c>
      <c r="E12" s="12" t="s">
        <v>193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4" hidden="false" customHeight="true" outlineLevel="0" collapsed="false">
      <c r="A13" s="6" t="s">
        <v>191</v>
      </c>
      <c r="B13" s="6" t="s">
        <v>194</v>
      </c>
      <c r="C13" s="12" t="s">
        <v>195</v>
      </c>
      <c r="D13" s="12" t="s">
        <v>196</v>
      </c>
      <c r="E13" s="12" t="s">
        <v>197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4" hidden="false" customHeight="true" outlineLevel="0" collapsed="false">
      <c r="A14" s="6" t="s">
        <v>194</v>
      </c>
      <c r="B14" s="6" t="s">
        <v>198</v>
      </c>
      <c r="C14" s="12" t="s">
        <v>199</v>
      </c>
      <c r="D14" s="12" t="s">
        <v>200</v>
      </c>
      <c r="E14" s="12" t="s">
        <v>201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4" hidden="false" customHeight="true" outlineLevel="0" collapsed="false">
      <c r="A15" s="6" t="s">
        <v>198</v>
      </c>
      <c r="B15" s="6" t="s">
        <v>202</v>
      </c>
      <c r="C15" s="12" t="s">
        <v>203</v>
      </c>
      <c r="D15" s="12" t="s">
        <v>204</v>
      </c>
      <c r="E15" s="12" t="s">
        <v>205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4" hidden="false" customHeight="true" outlineLevel="0" collapsed="false">
      <c r="A16" s="6" t="s">
        <v>202</v>
      </c>
      <c r="B16" s="6" t="s">
        <v>206</v>
      </c>
      <c r="C16" s="12" t="s">
        <v>207</v>
      </c>
      <c r="D16" s="12" t="s">
        <v>208</v>
      </c>
      <c r="E16" s="12" t="s">
        <v>209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98"/>
  </cols>
  <sheetData>
    <row r="2" customFormat="false" ht="18.55" hidden="false" customHeight="false" outlineLevel="0" collapsed="false">
      <c r="A2" s="1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211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212</v>
      </c>
      <c r="B6" s="5" t="s">
        <v>213</v>
      </c>
      <c r="C6" s="5" t="s">
        <v>214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2" hidden="false" customHeight="true" outlineLevel="0" collapsed="false">
      <c r="A7" s="6" t="s">
        <v>215</v>
      </c>
      <c r="B7" s="12" t="s">
        <v>216</v>
      </c>
      <c r="C7" s="12" t="s">
        <v>217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2" hidden="false" customHeight="true" outlineLevel="0" collapsed="false">
      <c r="A8" s="6" t="s">
        <v>218</v>
      </c>
      <c r="B8" s="12" t="s">
        <v>219</v>
      </c>
      <c r="C8" s="12" t="s">
        <v>220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2" hidden="false" customHeight="true" outlineLevel="0" collapsed="false">
      <c r="A9" s="6" t="s">
        <v>221</v>
      </c>
      <c r="B9" s="12" t="s">
        <v>222</v>
      </c>
      <c r="C9" s="12" t="s">
        <v>223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2" hidden="false" customHeight="true" outlineLevel="0" collapsed="false">
      <c r="A10" s="6" t="s">
        <v>224</v>
      </c>
      <c r="B10" s="12" t="s">
        <v>225</v>
      </c>
      <c r="C10" s="12" t="s">
        <v>226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2" hidden="false" customHeight="true" outlineLevel="0" collapsed="false">
      <c r="A11" s="6" t="s">
        <v>227</v>
      </c>
      <c r="B11" s="12" t="s">
        <v>228</v>
      </c>
      <c r="C11" s="12" t="s">
        <v>229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2" hidden="false" customHeight="true" outlineLevel="0" collapsed="false">
      <c r="A12" s="6" t="s">
        <v>230</v>
      </c>
      <c r="B12" s="12" t="s">
        <v>231</v>
      </c>
      <c r="C12" s="12" t="s">
        <v>232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2" hidden="false" customHeight="true" outlineLevel="0" collapsed="false">
      <c r="A13" s="6" t="s">
        <v>233</v>
      </c>
      <c r="B13" s="12" t="s">
        <v>234</v>
      </c>
      <c r="C13" s="12" t="s">
        <v>235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2" hidden="false" customHeight="true" outlineLevel="0" collapsed="false">
      <c r="A14" s="6" t="s">
        <v>236</v>
      </c>
      <c r="B14" s="12" t="s">
        <v>237</v>
      </c>
      <c r="C14" s="12" t="s">
        <v>238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2" hidden="false" customHeight="true" outlineLevel="0" collapsed="false">
      <c r="A15" s="6" t="s">
        <v>239</v>
      </c>
      <c r="B15" s="12" t="s">
        <v>240</v>
      </c>
      <c r="C15" s="12" t="s">
        <v>241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2" hidden="false" customHeight="true" outlineLevel="0" collapsed="false">
      <c r="A16" s="6" t="s">
        <v>242</v>
      </c>
      <c r="B16" s="12" t="s">
        <v>243</v>
      </c>
      <c r="C16" s="12" t="s">
        <v>244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42" hidden="false" customHeight="true" outlineLevel="0" collapsed="false">
      <c r="A17" s="6" t="s">
        <v>245</v>
      </c>
      <c r="B17" s="12" t="s">
        <v>246</v>
      </c>
      <c r="C17" s="12" t="s">
        <v>247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42" hidden="false" customHeight="true" outlineLevel="0" collapsed="false">
      <c r="A18" s="6" t="s">
        <v>248</v>
      </c>
      <c r="B18" s="12" t="s">
        <v>249</v>
      </c>
      <c r="C18" s="12" t="s">
        <v>250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9"/>
    <col collapsed="false" customWidth="true" hidden="false" outlineLevel="0" max="4" min="4" style="0" width="36"/>
  </cols>
  <sheetData>
    <row r="2" customFormat="false" ht="18.55" hidden="false" customHeight="false" outlineLevel="0" collapsed="false">
      <c r="A2" s="1" t="s">
        <v>251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252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253</v>
      </c>
      <c r="B6" s="5" t="s">
        <v>5</v>
      </c>
      <c r="C6" s="5" t="s">
        <v>35</v>
      </c>
      <c r="D6" s="5" t="s">
        <v>254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255</v>
      </c>
      <c r="B7" s="6" t="n">
        <v>24</v>
      </c>
      <c r="C7" s="6" t="s">
        <v>256</v>
      </c>
      <c r="D7" s="6" t="s">
        <v>257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258</v>
      </c>
      <c r="B8" s="6" t="n">
        <v>24</v>
      </c>
      <c r="C8" s="6" t="s">
        <v>259</v>
      </c>
      <c r="D8" s="6" t="s">
        <v>257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260</v>
      </c>
      <c r="B9" s="6" t="n">
        <v>96</v>
      </c>
      <c r="C9" s="6" t="s">
        <v>261</v>
      </c>
      <c r="D9" s="6" t="s">
        <v>257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262</v>
      </c>
      <c r="B10" s="6" t="n">
        <v>199584</v>
      </c>
      <c r="C10" s="6" t="s">
        <v>263</v>
      </c>
      <c r="D10" s="6" t="s">
        <v>257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264</v>
      </c>
      <c r="B11" s="6" t="n">
        <v>1152</v>
      </c>
      <c r="C11" s="6" t="s">
        <v>265</v>
      </c>
      <c r="D11" s="6" t="s">
        <v>257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266</v>
      </c>
      <c r="B12" s="6" t="n">
        <v>75</v>
      </c>
      <c r="C12" s="6" t="s">
        <v>42</v>
      </c>
      <c r="D12" s="6" t="s">
        <v>257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8"/>
  </cols>
  <sheetData>
    <row r="2" customFormat="false" ht="18.55" hidden="false" customHeight="false" outlineLevel="0" collapsed="false">
      <c r="A2" s="1" t="s">
        <v>267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268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253</v>
      </c>
      <c r="B6" s="5" t="s">
        <v>5</v>
      </c>
      <c r="C6" s="5" t="s">
        <v>35</v>
      </c>
      <c r="D6" s="5" t="s">
        <v>269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270</v>
      </c>
      <c r="B7" s="6" t="n">
        <v>48</v>
      </c>
      <c r="C7" s="6" t="s">
        <v>271</v>
      </c>
      <c r="D7" s="10" t="s">
        <v>31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272</v>
      </c>
      <c r="B8" s="6" t="n">
        <v>5251</v>
      </c>
      <c r="C8" s="6" t="s">
        <v>48</v>
      </c>
      <c r="D8" s="10" t="s">
        <v>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273</v>
      </c>
      <c r="B9" s="6" t="n">
        <v>11465213</v>
      </c>
      <c r="C9" s="6" t="s">
        <v>274</v>
      </c>
      <c r="D9" s="10" t="s">
        <v>31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275</v>
      </c>
      <c r="B10" s="6" t="n">
        <v>15123.6</v>
      </c>
      <c r="C10" s="6" t="s">
        <v>276</v>
      </c>
      <c r="D10" s="10" t="s">
        <v>31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8"/>
    <col collapsed="false" customWidth="true" hidden="false" outlineLevel="0" max="3" min="3" style="0" width="40"/>
  </cols>
  <sheetData>
    <row r="2" customFormat="false" ht="18.55" hidden="false" customHeight="false" outlineLevel="0" collapsed="false">
      <c r="A2" s="1" t="s">
        <v>277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278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279</v>
      </c>
      <c r="B6" s="5" t="s">
        <v>280</v>
      </c>
      <c r="C6" s="5" t="s">
        <v>281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15</v>
      </c>
      <c r="B7" s="6" t="n">
        <v>2420</v>
      </c>
      <c r="C7" s="6" t="s">
        <v>282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25</v>
      </c>
      <c r="B8" s="6" t="n">
        <v>502</v>
      </c>
      <c r="C8" s="6" t="s">
        <v>283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284</v>
      </c>
      <c r="B9" s="6" t="n">
        <v>745</v>
      </c>
      <c r="C9" s="6" t="s">
        <v>285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286</v>
      </c>
      <c r="B10" s="6" t="n">
        <v>514</v>
      </c>
      <c r="C10" s="6" t="s">
        <v>287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288</v>
      </c>
      <c r="B11" s="6" t="n">
        <v>527</v>
      </c>
      <c r="C11" s="6" t="s">
        <v>287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289</v>
      </c>
      <c r="B12" s="6" t="n">
        <v>543</v>
      </c>
      <c r="C12" s="6" t="s">
        <v>287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290</v>
      </c>
      <c r="B13" s="6" t="n">
        <v>5251</v>
      </c>
      <c r="C13" s="6" t="s">
        <v>291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22"/>
  </cols>
  <sheetData>
    <row r="2" customFormat="false" ht="18.55" hidden="false" customHeight="false" outlineLevel="0" collapsed="false">
      <c r="A2" s="1" t="s">
        <v>292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293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253</v>
      </c>
      <c r="B6" s="5" t="s">
        <v>5</v>
      </c>
      <c r="C6" s="5" t="s">
        <v>294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295</v>
      </c>
      <c r="B7" s="6" t="n">
        <v>3667</v>
      </c>
      <c r="C7" s="6" t="s">
        <v>48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296</v>
      </c>
      <c r="B8" s="6" t="n">
        <v>2420</v>
      </c>
      <c r="C8" s="6" t="s">
        <v>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25</v>
      </c>
      <c r="B9" s="6" t="n">
        <v>502</v>
      </c>
      <c r="C9" s="6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284</v>
      </c>
      <c r="B10" s="6" t="n">
        <v>745</v>
      </c>
      <c r="C10" s="6" t="s">
        <v>48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297</v>
      </c>
      <c r="B11" s="6" t="n">
        <v>1584</v>
      </c>
      <c r="C11" s="6" t="s">
        <v>48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298</v>
      </c>
      <c r="B12" s="6" t="n">
        <v>480</v>
      </c>
      <c r="C12" s="6" t="s">
        <v>299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300</v>
      </c>
      <c r="B13" s="6" t="n">
        <v>12</v>
      </c>
      <c r="C13" s="6" t="s">
        <v>301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29</v>
      </c>
      <c r="B14" s="6" t="n">
        <v>0</v>
      </c>
      <c r="C14" s="6" t="s">
        <v>48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7"/>
    <col collapsed="false" customWidth="true" hidden="false" outlineLevel="0" max="3" min="3" style="0" width="31"/>
    <col collapsed="false" customWidth="true" hidden="false" outlineLevel="0" max="4" min="4" style="0" width="47"/>
  </cols>
  <sheetData>
    <row r="2" customFormat="false" ht="18.55" hidden="false" customHeight="false" outlineLevel="0" collapsed="false">
      <c r="A2" s="1" t="s">
        <v>302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303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304</v>
      </c>
      <c r="B6" s="5" t="s">
        <v>305</v>
      </c>
      <c r="C6" s="5" t="s">
        <v>306</v>
      </c>
      <c r="D6" s="5" t="s">
        <v>307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308</v>
      </c>
      <c r="B7" s="6" t="s">
        <v>309</v>
      </c>
      <c r="C7" s="12" t="s">
        <v>310</v>
      </c>
      <c r="D7" s="12" t="s">
        <v>311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312</v>
      </c>
      <c r="B8" s="6" t="s">
        <v>313</v>
      </c>
      <c r="C8" s="12" t="s">
        <v>314</v>
      </c>
      <c r="D8" s="12" t="s">
        <v>315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41</v>
      </c>
      <c r="B9" s="6" t="s">
        <v>316</v>
      </c>
      <c r="C9" s="12" t="s">
        <v>317</v>
      </c>
      <c r="D9" s="12" t="s">
        <v>318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266</v>
      </c>
      <c r="B10" s="6" t="s">
        <v>319</v>
      </c>
      <c r="C10" s="12" t="s">
        <v>320</v>
      </c>
      <c r="D10" s="12" t="s">
        <v>321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44</v>
      </c>
      <c r="B11" s="6" t="s">
        <v>322</v>
      </c>
      <c r="C11" s="12" t="s">
        <v>323</v>
      </c>
      <c r="D11" s="12" t="s">
        <v>324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4" min="3" style="0" width="24"/>
    <col collapsed="false" customWidth="true" hidden="false" outlineLevel="0" max="5" min="5" style="0" width="22"/>
    <col collapsed="false" customWidth="true" hidden="false" outlineLevel="0" max="6" min="6" style="0" width="19"/>
    <col collapsed="false" customWidth="true" hidden="false" outlineLevel="0" max="7" min="7" style="0" width="23"/>
    <col collapsed="false" customWidth="true" hidden="false" outlineLevel="0" max="9" min="8" style="0" width="22"/>
    <col collapsed="false" customWidth="true" hidden="false" outlineLevel="0" max="10" min="10" style="0" width="24"/>
  </cols>
  <sheetData>
    <row r="2" customFormat="false" ht="18.55" hidden="false" customHeight="false" outlineLevel="0" collapsed="false">
      <c r="A2" s="1" t="s">
        <v>325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3.85" hidden="false" customHeight="false" outlineLevel="0" collapsed="false">
      <c r="A6" s="5" t="s">
        <v>327</v>
      </c>
      <c r="B6" s="5" t="s">
        <v>328</v>
      </c>
      <c r="C6" s="5" t="s">
        <v>329</v>
      </c>
      <c r="D6" s="5" t="s">
        <v>330</v>
      </c>
      <c r="E6" s="5" t="s">
        <v>331</v>
      </c>
      <c r="F6" s="5" t="s">
        <v>332</v>
      </c>
      <c r="G6" s="5" t="s">
        <v>333</v>
      </c>
      <c r="H6" s="5" t="s">
        <v>334</v>
      </c>
      <c r="I6" s="5" t="s">
        <v>335</v>
      </c>
      <c r="J6" s="5" t="s">
        <v>336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n">
        <v>1</v>
      </c>
      <c r="B7" s="13" t="n">
        <v>0.02</v>
      </c>
      <c r="C7" s="14" t="n">
        <v>88</v>
      </c>
      <c r="D7" s="14" t="n">
        <v>188.2112</v>
      </c>
      <c r="E7" s="14" t="n">
        <v>159.8</v>
      </c>
      <c r="F7" s="14" t="n">
        <v>42.2</v>
      </c>
      <c r="G7" s="14" t="n">
        <v>0</v>
      </c>
      <c r="H7" s="14" t="n">
        <v>0</v>
      </c>
      <c r="I7" s="14" t="n">
        <v>348.0112</v>
      </c>
      <c r="J7" s="14" t="n">
        <v>42.2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n">
        <v>2</v>
      </c>
      <c r="B8" s="13" t="n">
        <v>0.05</v>
      </c>
      <c r="C8" s="14" t="n">
        <v>88</v>
      </c>
      <c r="D8" s="14" t="n">
        <v>282.3168</v>
      </c>
      <c r="E8" s="14" t="n">
        <v>239.7</v>
      </c>
      <c r="F8" s="14" t="n">
        <v>105.5</v>
      </c>
      <c r="G8" s="14" t="n">
        <v>0</v>
      </c>
      <c r="H8" s="14" t="n">
        <v>0</v>
      </c>
      <c r="I8" s="14" t="n">
        <v>522.0168</v>
      </c>
      <c r="J8" s="14" t="n">
        <v>105.5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n">
        <v>3</v>
      </c>
      <c r="B9" s="13" t="n">
        <v>0.1</v>
      </c>
      <c r="C9" s="14" t="n">
        <v>88</v>
      </c>
      <c r="D9" s="14" t="n">
        <v>470.528</v>
      </c>
      <c r="E9" s="14" t="n">
        <v>399.5</v>
      </c>
      <c r="F9" s="14" t="n">
        <v>211</v>
      </c>
      <c r="G9" s="14" t="n">
        <v>0</v>
      </c>
      <c r="H9" s="14" t="n">
        <v>0</v>
      </c>
      <c r="I9" s="14" t="n">
        <v>870.028</v>
      </c>
      <c r="J9" s="14" t="n">
        <v>211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n">
        <v>4</v>
      </c>
      <c r="B10" s="13" t="n">
        <v>0.18</v>
      </c>
      <c r="C10" s="14" t="n">
        <v>88</v>
      </c>
      <c r="D10" s="14" t="n">
        <v>752.8448</v>
      </c>
      <c r="E10" s="14" t="n">
        <v>639.2</v>
      </c>
      <c r="F10" s="14" t="n">
        <v>379.8</v>
      </c>
      <c r="G10" s="14" t="n">
        <v>0</v>
      </c>
      <c r="H10" s="14" t="n">
        <v>0</v>
      </c>
      <c r="I10" s="14" t="n">
        <v>1392.0448</v>
      </c>
      <c r="J10" s="14" t="n">
        <v>379.8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n">
        <v>5</v>
      </c>
      <c r="B11" s="13" t="n">
        <v>0.28</v>
      </c>
      <c r="C11" s="14" t="n">
        <v>88</v>
      </c>
      <c r="D11" s="14" t="n">
        <v>941.056</v>
      </c>
      <c r="E11" s="14" t="n">
        <v>799</v>
      </c>
      <c r="F11" s="14" t="n">
        <v>590.8</v>
      </c>
      <c r="G11" s="14" t="n">
        <v>0</v>
      </c>
      <c r="H11" s="14" t="n">
        <v>0</v>
      </c>
      <c r="I11" s="14" t="n">
        <v>1740.056</v>
      </c>
      <c r="J11" s="14" t="n">
        <v>590.8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n">
        <v>6</v>
      </c>
      <c r="B12" s="13" t="n">
        <v>0.4</v>
      </c>
      <c r="C12" s="14" t="n">
        <v>88</v>
      </c>
      <c r="D12" s="14" t="n">
        <v>1129.2672</v>
      </c>
      <c r="E12" s="14" t="n">
        <v>958.8</v>
      </c>
      <c r="F12" s="14" t="n">
        <v>844</v>
      </c>
      <c r="G12" s="14" t="n">
        <v>0</v>
      </c>
      <c r="H12" s="14" t="n">
        <v>0</v>
      </c>
      <c r="I12" s="14" t="n">
        <v>2088.0672</v>
      </c>
      <c r="J12" s="14" t="n">
        <v>844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n">
        <v>7</v>
      </c>
      <c r="B13" s="13" t="n">
        <v>0.54</v>
      </c>
      <c r="C13" s="14" t="n">
        <v>88</v>
      </c>
      <c r="D13" s="14" t="n">
        <v>1317.4784</v>
      </c>
      <c r="E13" s="14" t="n">
        <v>1118.6</v>
      </c>
      <c r="F13" s="14" t="n">
        <v>1139.4</v>
      </c>
      <c r="G13" s="14" t="n">
        <v>0</v>
      </c>
      <c r="H13" s="14" t="n">
        <v>0</v>
      </c>
      <c r="I13" s="14" t="n">
        <v>2436.0784</v>
      </c>
      <c r="J13" s="14" t="n">
        <v>1139.4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n">
        <v>8</v>
      </c>
      <c r="B14" s="13" t="n">
        <v>0.7</v>
      </c>
      <c r="C14" s="14" t="n">
        <v>88</v>
      </c>
      <c r="D14" s="14" t="n">
        <v>1505.6896</v>
      </c>
      <c r="E14" s="14" t="n">
        <v>1278.4</v>
      </c>
      <c r="F14" s="14" t="n">
        <v>1477</v>
      </c>
      <c r="G14" s="14" t="n">
        <v>0</v>
      </c>
      <c r="H14" s="14" t="n">
        <v>0</v>
      </c>
      <c r="I14" s="14" t="n">
        <v>2784.0896</v>
      </c>
      <c r="J14" s="14" t="n">
        <v>1477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n">
        <v>9</v>
      </c>
      <c r="B15" s="13" t="n">
        <v>0.84</v>
      </c>
      <c r="C15" s="14" t="n">
        <v>88</v>
      </c>
      <c r="D15" s="14" t="n">
        <v>1317.4784</v>
      </c>
      <c r="E15" s="14" t="n">
        <v>1118.6</v>
      </c>
      <c r="F15" s="14" t="n">
        <v>1772.4</v>
      </c>
      <c r="G15" s="14" t="n">
        <v>0</v>
      </c>
      <c r="H15" s="14" t="n">
        <v>0</v>
      </c>
      <c r="I15" s="14" t="n">
        <v>2436.0784</v>
      </c>
      <c r="J15" s="14" t="n">
        <v>1772.4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n">
        <v>10</v>
      </c>
      <c r="B16" s="13" t="n">
        <v>0.94</v>
      </c>
      <c r="C16" s="14" t="n">
        <v>88</v>
      </c>
      <c r="D16" s="14" t="n">
        <v>941.056</v>
      </c>
      <c r="E16" s="14" t="n">
        <v>799</v>
      </c>
      <c r="F16" s="14" t="n">
        <v>1983.4</v>
      </c>
      <c r="G16" s="14" t="n">
        <v>0</v>
      </c>
      <c r="H16" s="14" t="n">
        <v>0</v>
      </c>
      <c r="I16" s="14" t="n">
        <v>1740.056</v>
      </c>
      <c r="J16" s="14" t="n">
        <v>1983.4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n">
        <v>11</v>
      </c>
      <c r="B17" s="13" t="n">
        <v>1</v>
      </c>
      <c r="C17" s="14" t="n">
        <v>8</v>
      </c>
      <c r="D17" s="14" t="n">
        <v>564.6336</v>
      </c>
      <c r="E17" s="14" t="n">
        <v>479.4</v>
      </c>
      <c r="F17" s="14" t="n">
        <v>2110</v>
      </c>
      <c r="G17" s="14" t="n">
        <v>75</v>
      </c>
      <c r="H17" s="14" t="n">
        <v>12</v>
      </c>
      <c r="I17" s="14" t="n">
        <v>1044.0336</v>
      </c>
      <c r="J17" s="14" t="n">
        <v>2197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n">
        <v>12</v>
      </c>
      <c r="B18" s="13" t="n">
        <v>1</v>
      </c>
      <c r="C18" s="14" t="n">
        <v>8</v>
      </c>
      <c r="D18" s="14" t="n">
        <v>0</v>
      </c>
      <c r="E18" s="14" t="n">
        <v>0</v>
      </c>
      <c r="F18" s="14" t="n">
        <v>2110</v>
      </c>
      <c r="G18" s="14" t="n">
        <v>75</v>
      </c>
      <c r="H18" s="14" t="n">
        <v>12</v>
      </c>
      <c r="I18" s="14" t="n">
        <v>0</v>
      </c>
      <c r="J18" s="14" t="n">
        <v>2197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n">
        <v>13</v>
      </c>
      <c r="B19" s="13" t="n">
        <v>1</v>
      </c>
      <c r="C19" s="14" t="n">
        <v>8</v>
      </c>
      <c r="D19" s="14" t="n">
        <v>0</v>
      </c>
      <c r="E19" s="14" t="n">
        <v>0</v>
      </c>
      <c r="F19" s="14" t="n">
        <v>2110</v>
      </c>
      <c r="G19" s="14" t="n">
        <v>75</v>
      </c>
      <c r="H19" s="14" t="n">
        <v>12</v>
      </c>
      <c r="I19" s="14" t="n">
        <v>0</v>
      </c>
      <c r="J19" s="14" t="n">
        <v>2197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n">
        <v>14</v>
      </c>
      <c r="B20" s="13" t="n">
        <v>1</v>
      </c>
      <c r="C20" s="14" t="n">
        <v>8</v>
      </c>
      <c r="D20" s="14" t="n">
        <v>0</v>
      </c>
      <c r="E20" s="14" t="n">
        <v>0</v>
      </c>
      <c r="F20" s="14" t="n">
        <v>2110</v>
      </c>
      <c r="G20" s="14" t="n">
        <v>75</v>
      </c>
      <c r="H20" s="14" t="n">
        <v>12</v>
      </c>
      <c r="I20" s="14" t="n">
        <v>0</v>
      </c>
      <c r="J20" s="14" t="n">
        <v>2197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n">
        <v>15</v>
      </c>
      <c r="B21" s="13" t="n">
        <v>1</v>
      </c>
      <c r="C21" s="14" t="n">
        <v>8</v>
      </c>
      <c r="D21" s="14" t="n">
        <v>0</v>
      </c>
      <c r="E21" s="14" t="n">
        <v>0</v>
      </c>
      <c r="F21" s="14" t="n">
        <v>2110</v>
      </c>
      <c r="G21" s="14" t="n">
        <v>75</v>
      </c>
      <c r="H21" s="14" t="n">
        <v>12</v>
      </c>
      <c r="I21" s="14" t="n">
        <v>0</v>
      </c>
      <c r="J21" s="14" t="n">
        <v>2197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n">
        <v>16</v>
      </c>
      <c r="B22" s="13" t="n">
        <v>1</v>
      </c>
      <c r="C22" s="14" t="n">
        <v>8</v>
      </c>
      <c r="D22" s="14" t="n">
        <v>0</v>
      </c>
      <c r="E22" s="14" t="n">
        <v>0</v>
      </c>
      <c r="F22" s="14" t="n">
        <v>2110</v>
      </c>
      <c r="G22" s="14" t="n">
        <v>75</v>
      </c>
      <c r="H22" s="14" t="n">
        <v>12</v>
      </c>
      <c r="I22" s="14" t="n">
        <v>0</v>
      </c>
      <c r="J22" s="14" t="n">
        <v>2197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n">
        <v>17</v>
      </c>
      <c r="B23" s="13" t="n">
        <v>1</v>
      </c>
      <c r="C23" s="14" t="n">
        <v>8</v>
      </c>
      <c r="D23" s="14" t="n">
        <v>0</v>
      </c>
      <c r="E23" s="14" t="n">
        <v>0</v>
      </c>
      <c r="F23" s="14" t="n">
        <v>2110</v>
      </c>
      <c r="G23" s="14" t="n">
        <v>75</v>
      </c>
      <c r="H23" s="14" t="n">
        <v>12</v>
      </c>
      <c r="I23" s="14" t="n">
        <v>0</v>
      </c>
      <c r="J23" s="14" t="n">
        <v>2197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6" t="n">
        <v>18</v>
      </c>
      <c r="B24" s="13" t="n">
        <v>1</v>
      </c>
      <c r="C24" s="14" t="n">
        <v>8</v>
      </c>
      <c r="D24" s="14" t="n">
        <v>0</v>
      </c>
      <c r="E24" s="14" t="n">
        <v>0</v>
      </c>
      <c r="F24" s="14" t="n">
        <v>2110</v>
      </c>
      <c r="G24" s="14" t="n">
        <v>75</v>
      </c>
      <c r="H24" s="14" t="n">
        <v>12</v>
      </c>
      <c r="I24" s="14" t="n">
        <v>0</v>
      </c>
      <c r="J24" s="14" t="n">
        <v>2197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6" t="n">
        <v>19</v>
      </c>
      <c r="B25" s="13" t="n">
        <v>1</v>
      </c>
      <c r="C25" s="14" t="n">
        <v>8</v>
      </c>
      <c r="D25" s="14" t="n">
        <v>0</v>
      </c>
      <c r="E25" s="14" t="n">
        <v>0</v>
      </c>
      <c r="F25" s="14" t="n">
        <v>2110</v>
      </c>
      <c r="G25" s="14" t="n">
        <v>75</v>
      </c>
      <c r="H25" s="14" t="n">
        <v>12</v>
      </c>
      <c r="I25" s="14" t="n">
        <v>0</v>
      </c>
      <c r="J25" s="14" t="n">
        <v>2197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6" t="n">
        <v>20</v>
      </c>
      <c r="B26" s="13" t="n">
        <v>1</v>
      </c>
      <c r="C26" s="14" t="n">
        <v>8</v>
      </c>
      <c r="D26" s="14" t="n">
        <v>0</v>
      </c>
      <c r="E26" s="14" t="n">
        <v>0</v>
      </c>
      <c r="F26" s="14" t="n">
        <v>2110</v>
      </c>
      <c r="G26" s="14" t="n">
        <v>75</v>
      </c>
      <c r="H26" s="14" t="n">
        <v>12</v>
      </c>
      <c r="I26" s="14" t="n">
        <v>0</v>
      </c>
      <c r="J26" s="14" t="n">
        <v>2197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6" t="n">
        <v>21</v>
      </c>
      <c r="B27" s="13" t="n">
        <v>1</v>
      </c>
      <c r="C27" s="14" t="n">
        <v>8</v>
      </c>
      <c r="D27" s="14" t="n">
        <v>0</v>
      </c>
      <c r="E27" s="14" t="n">
        <v>0</v>
      </c>
      <c r="F27" s="14" t="n">
        <v>2110</v>
      </c>
      <c r="G27" s="14" t="n">
        <v>75</v>
      </c>
      <c r="H27" s="14" t="n">
        <v>12</v>
      </c>
      <c r="I27" s="14" t="n">
        <v>0</v>
      </c>
      <c r="J27" s="14" t="n">
        <v>2197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6" t="n">
        <v>22</v>
      </c>
      <c r="B28" s="13" t="n">
        <v>1</v>
      </c>
      <c r="C28" s="14" t="n">
        <v>8</v>
      </c>
      <c r="D28" s="14" t="n">
        <v>0</v>
      </c>
      <c r="E28" s="14" t="n">
        <v>0</v>
      </c>
      <c r="F28" s="14" t="n">
        <v>2110</v>
      </c>
      <c r="G28" s="14" t="n">
        <v>75</v>
      </c>
      <c r="H28" s="14" t="n">
        <v>12</v>
      </c>
      <c r="I28" s="14" t="n">
        <v>0</v>
      </c>
      <c r="J28" s="14" t="n">
        <v>2197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6" t="n">
        <v>23</v>
      </c>
      <c r="B29" s="13" t="n">
        <v>1</v>
      </c>
      <c r="C29" s="14" t="n">
        <v>8</v>
      </c>
      <c r="D29" s="14" t="n">
        <v>0</v>
      </c>
      <c r="E29" s="14" t="n">
        <v>0</v>
      </c>
      <c r="F29" s="14" t="n">
        <v>2110</v>
      </c>
      <c r="G29" s="14" t="n">
        <v>75</v>
      </c>
      <c r="H29" s="14" t="n">
        <v>12</v>
      </c>
      <c r="I29" s="14" t="n">
        <v>0</v>
      </c>
      <c r="J29" s="14" t="n">
        <v>2197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6" t="n">
        <v>24</v>
      </c>
      <c r="B30" s="13" t="n">
        <v>1</v>
      </c>
      <c r="C30" s="14" t="n">
        <v>8</v>
      </c>
      <c r="D30" s="14" t="n">
        <v>0</v>
      </c>
      <c r="E30" s="14" t="n">
        <v>0</v>
      </c>
      <c r="F30" s="14" t="n">
        <v>2110</v>
      </c>
      <c r="G30" s="14" t="n">
        <v>75</v>
      </c>
      <c r="H30" s="14" t="n">
        <v>12</v>
      </c>
      <c r="I30" s="14" t="n">
        <v>0</v>
      </c>
      <c r="J30" s="14" t="n">
        <v>2197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6" t="n">
        <v>25</v>
      </c>
      <c r="B31" s="13" t="n">
        <v>1</v>
      </c>
      <c r="C31" s="14" t="n">
        <v>8</v>
      </c>
      <c r="D31" s="14" t="n">
        <v>0</v>
      </c>
      <c r="E31" s="14" t="n">
        <v>0</v>
      </c>
      <c r="F31" s="14" t="n">
        <v>2110</v>
      </c>
      <c r="G31" s="14" t="n">
        <v>75</v>
      </c>
      <c r="H31" s="14" t="n">
        <v>12</v>
      </c>
      <c r="I31" s="14" t="n">
        <v>0</v>
      </c>
      <c r="J31" s="14" t="n">
        <v>2197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26"/>
    <col collapsed="false" customWidth="true" hidden="false" outlineLevel="0" max="5" min="5" style="0" width="35"/>
  </cols>
  <sheetData>
    <row r="2" customFormat="false" ht="18.55" hidden="false" customHeight="false" outlineLevel="0" collapsed="false">
      <c r="A2" s="1" t="s">
        <v>337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339</v>
      </c>
      <c r="B6" s="5" t="s">
        <v>340</v>
      </c>
      <c r="C6" s="5" t="s">
        <v>341</v>
      </c>
      <c r="D6" s="5" t="s">
        <v>342</v>
      </c>
      <c r="E6" s="5" t="s">
        <v>281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343</v>
      </c>
      <c r="B7" s="14" t="n">
        <v>2110</v>
      </c>
      <c r="C7" s="14" t="s">
        <v>344</v>
      </c>
      <c r="D7" s="14" t="n">
        <v>52750</v>
      </c>
      <c r="E7" s="6" t="s">
        <v>345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346</v>
      </c>
      <c r="B8" s="14" t="n">
        <v>75</v>
      </c>
      <c r="C8" s="14" t="n">
        <v>1125</v>
      </c>
      <c r="D8" s="14" t="s">
        <v>344</v>
      </c>
      <c r="E8" s="6" t="s">
        <v>347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348</v>
      </c>
      <c r="B9" s="14" t="n">
        <v>12</v>
      </c>
      <c r="C9" s="14" t="n">
        <v>180</v>
      </c>
      <c r="D9" s="14" t="s">
        <v>344</v>
      </c>
      <c r="E9" s="6" t="s">
        <v>349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350</v>
      </c>
      <c r="B10" s="14" t="n">
        <v>8</v>
      </c>
      <c r="C10" s="14" t="n">
        <v>120</v>
      </c>
      <c r="D10" s="14" t="s">
        <v>344</v>
      </c>
      <c r="E10" s="6" t="s">
        <v>351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352</v>
      </c>
      <c r="B11" s="14" t="n">
        <v>21.1</v>
      </c>
      <c r="C11" s="14" t="s">
        <v>344</v>
      </c>
      <c r="D11" s="14" t="n">
        <v>527.5</v>
      </c>
      <c r="E11" s="6" t="s">
        <v>353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49"/>
    <col collapsed="false" customWidth="true" hidden="false" outlineLevel="0" max="3" min="3" style="0" width="42"/>
    <col collapsed="false" customWidth="true" hidden="false" outlineLevel="0" max="4" min="4" style="0" width="40"/>
  </cols>
  <sheetData>
    <row r="2" customFormat="false" ht="18.55" hidden="false" customHeight="false" outlineLevel="0" collapsed="false">
      <c r="A2" s="1" t="s">
        <v>354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355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356</v>
      </c>
      <c r="B6" s="5" t="s">
        <v>357</v>
      </c>
      <c r="C6" s="5" t="s">
        <v>358</v>
      </c>
      <c r="D6" s="5" t="s">
        <v>359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360</v>
      </c>
      <c r="B7" s="12" t="s">
        <v>361</v>
      </c>
      <c r="C7" s="12" t="s">
        <v>362</v>
      </c>
      <c r="D7" s="12" t="s">
        <v>363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364</v>
      </c>
      <c r="B8" s="12" t="s">
        <v>365</v>
      </c>
      <c r="C8" s="12" t="s">
        <v>115</v>
      </c>
      <c r="D8" s="12" t="s">
        <v>366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367</v>
      </c>
      <c r="B9" s="12" t="s">
        <v>368</v>
      </c>
      <c r="C9" s="12" t="s">
        <v>184</v>
      </c>
      <c r="D9" s="12" t="s">
        <v>369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370</v>
      </c>
      <c r="B10" s="12" t="s">
        <v>371</v>
      </c>
      <c r="C10" s="12" t="s">
        <v>121</v>
      </c>
      <c r="D10" s="12" t="s">
        <v>372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373</v>
      </c>
      <c r="B11" s="12" t="s">
        <v>374</v>
      </c>
      <c r="C11" s="12" t="s">
        <v>375</v>
      </c>
      <c r="D11" s="12" t="s">
        <v>376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377</v>
      </c>
      <c r="B12" s="12" t="s">
        <v>378</v>
      </c>
      <c r="C12" s="12" t="s">
        <v>131</v>
      </c>
      <c r="D12" s="12" t="s">
        <v>379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380</v>
      </c>
      <c r="B13" s="12" t="s">
        <v>381</v>
      </c>
      <c r="C13" s="12" t="s">
        <v>119</v>
      </c>
      <c r="D13" s="12" t="s">
        <v>382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383</v>
      </c>
      <c r="B14" s="12" t="s">
        <v>384</v>
      </c>
      <c r="C14" s="12" t="s">
        <v>129</v>
      </c>
      <c r="D14" s="12" t="s">
        <v>385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3"/>
    <col collapsed="false" customWidth="true" hidden="false" outlineLevel="0" max="3" min="3" style="0" width="91"/>
  </cols>
  <sheetData>
    <row r="2" customFormat="false" ht="18.55" hidden="false" customHeight="false" outlineLevel="0" collapsed="false">
      <c r="A2" s="1" t="s">
        <v>386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387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388</v>
      </c>
      <c r="B6" s="5" t="s">
        <v>389</v>
      </c>
      <c r="C6" s="5" t="s">
        <v>390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2" hidden="false" customHeight="true" outlineLevel="0" collapsed="false">
      <c r="A7" s="6" t="s">
        <v>391</v>
      </c>
      <c r="B7" s="12" t="s">
        <v>392</v>
      </c>
      <c r="C7" s="12" t="s">
        <v>393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2" hidden="false" customHeight="true" outlineLevel="0" collapsed="false">
      <c r="A8" s="6" t="s">
        <v>394</v>
      </c>
      <c r="B8" s="12" t="s">
        <v>395</v>
      </c>
      <c r="C8" s="12" t="s">
        <v>396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2" hidden="false" customHeight="true" outlineLevel="0" collapsed="false">
      <c r="A9" s="6" t="s">
        <v>397</v>
      </c>
      <c r="B9" s="12" t="s">
        <v>398</v>
      </c>
      <c r="C9" s="12" t="s">
        <v>399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2" hidden="false" customHeight="true" outlineLevel="0" collapsed="false">
      <c r="A10" s="6" t="s">
        <v>400</v>
      </c>
      <c r="B10" s="12" t="s">
        <v>401</v>
      </c>
      <c r="C10" s="12" t="s">
        <v>402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2" hidden="false" customHeight="true" outlineLevel="0" collapsed="false">
      <c r="A11" s="6" t="s">
        <v>403</v>
      </c>
      <c r="B11" s="12" t="s">
        <v>404</v>
      </c>
      <c r="C11" s="12" t="s">
        <v>405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2" hidden="false" customHeight="true" outlineLevel="0" collapsed="false">
      <c r="A12" s="6" t="s">
        <v>406</v>
      </c>
      <c r="B12" s="12" t="s">
        <v>407</v>
      </c>
      <c r="C12" s="12" t="s">
        <v>408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2" hidden="false" customHeight="true" outlineLevel="0" collapsed="false">
      <c r="A13" s="6" t="s">
        <v>409</v>
      </c>
      <c r="B13" s="12" t="s">
        <v>410</v>
      </c>
      <c r="C13" s="12" t="s">
        <v>411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2" hidden="false" customHeight="true" outlineLevel="0" collapsed="false">
      <c r="A14" s="6" t="s">
        <v>412</v>
      </c>
      <c r="B14" s="12" t="s">
        <v>413</v>
      </c>
      <c r="C14" s="12" t="s">
        <v>414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2" hidden="false" customHeight="true" outlineLevel="0" collapsed="false">
      <c r="A15" s="6" t="s">
        <v>415</v>
      </c>
      <c r="B15" s="12" t="s">
        <v>416</v>
      </c>
      <c r="C15" s="12" t="s">
        <v>417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2" hidden="false" customHeight="true" outlineLevel="0" collapsed="false">
      <c r="A16" s="6" t="s">
        <v>418</v>
      </c>
      <c r="B16" s="12" t="s">
        <v>419</v>
      </c>
      <c r="C16" s="12" t="s">
        <v>420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42" hidden="false" customHeight="true" outlineLevel="0" collapsed="false">
      <c r="A17" s="6" t="s">
        <v>421</v>
      </c>
      <c r="B17" s="12" t="s">
        <v>422</v>
      </c>
      <c r="C17" s="12" t="s">
        <v>423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42" hidden="false" customHeight="true" outlineLevel="0" collapsed="false">
      <c r="A18" s="6" t="s">
        <v>424</v>
      </c>
      <c r="B18" s="12" t="s">
        <v>425</v>
      </c>
      <c r="C18" s="12" t="s">
        <v>426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71"/>
    <col collapsed="false" customWidth="true" hidden="false" outlineLevel="0" max="4" min="4" style="0" width="57"/>
  </cols>
  <sheetData>
    <row r="2" customFormat="false" ht="18.55" hidden="false" customHeight="false" outlineLevel="0" collapsed="false">
      <c r="A2" s="1" t="s">
        <v>427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428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429</v>
      </c>
      <c r="B6" s="5" t="s">
        <v>430</v>
      </c>
      <c r="C6" s="5" t="s">
        <v>431</v>
      </c>
      <c r="D6" s="5" t="s">
        <v>432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n">
        <v>191</v>
      </c>
      <c r="B7" s="6" t="s">
        <v>433</v>
      </c>
      <c r="C7" s="12" t="s">
        <v>434</v>
      </c>
      <c r="D7" s="12" t="s">
        <v>435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n">
        <v>192</v>
      </c>
      <c r="B8" s="6" t="s">
        <v>436</v>
      </c>
      <c r="C8" s="12" t="s">
        <v>437</v>
      </c>
      <c r="D8" s="12" t="s">
        <v>438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n">
        <v>193</v>
      </c>
      <c r="B9" s="6" t="s">
        <v>439</v>
      </c>
      <c r="C9" s="12" t="s">
        <v>440</v>
      </c>
      <c r="D9" s="12" t="s">
        <v>441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n">
        <v>194</v>
      </c>
      <c r="B10" s="6" t="s">
        <v>442</v>
      </c>
      <c r="C10" s="12" t="s">
        <v>443</v>
      </c>
      <c r="D10" s="12" t="s">
        <v>444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n">
        <v>195</v>
      </c>
      <c r="B11" s="6" t="s">
        <v>445</v>
      </c>
      <c r="C11" s="12" t="s">
        <v>446</v>
      </c>
      <c r="D11" s="12" t="s">
        <v>447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8"/>
    <col collapsed="false" customWidth="true" hidden="false" outlineLevel="0" max="4" min="4" style="0" width="13"/>
  </cols>
  <sheetData>
    <row r="2" customFormat="false" ht="18.55" hidden="false" customHeight="false" outlineLevel="0" collapsed="false">
      <c r="A2" s="1" t="s">
        <v>448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449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450</v>
      </c>
      <c r="B6" s="5" t="s">
        <v>451</v>
      </c>
      <c r="C6" s="5" t="s">
        <v>452</v>
      </c>
      <c r="D6" s="5" t="s">
        <v>453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16</v>
      </c>
      <c r="B7" s="6" t="n">
        <v>5</v>
      </c>
      <c r="C7" s="6" t="n">
        <f aca="false">COUNTA('Five-Circuit Compact'!A7:A11)</f>
        <v>5</v>
      </c>
      <c r="D7" s="11" t="str">
        <f aca="false">IF(ABS(B7-C7)&lt;0.01,"PASS","FAIL")</f>
        <v>PASS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454</v>
      </c>
      <c r="B8" s="6" t="n">
        <v>15</v>
      </c>
      <c r="C8" s="6" t="n">
        <f aca="false">COUNTA('Institution Map'!A7:A21)</f>
        <v>15</v>
      </c>
      <c r="D8" s="11" t="str">
        <f aca="false">IF(ABS(B8-C8)&lt;0.01,"PASS","FAIL")</f>
        <v>PASS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455</v>
      </c>
      <c r="B9" s="6" t="n">
        <v>10</v>
      </c>
      <c r="C9" s="6" t="n">
        <f aca="false">COUNTA('State Transitions'!A7:A16)</f>
        <v>10</v>
      </c>
      <c r="D9" s="11" t="str">
        <f aca="false">IF(ABS(B9-C9)&lt;0.01,"PASS","FAIL")</f>
        <v>PASS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456</v>
      </c>
      <c r="B10" s="6" t="n">
        <v>12</v>
      </c>
      <c r="C10" s="6" t="n">
        <f aca="false">COUNTA('Nonconversion Laws'!A7:A18)</f>
        <v>12</v>
      </c>
      <c r="D10" s="11" t="str">
        <f aca="false">IF(ABS(B10-C10)&lt;0.01,"PASS","FAIL")</f>
        <v>PASS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457</v>
      </c>
      <c r="B11" s="6" t="n">
        <v>17400</v>
      </c>
      <c r="C11" s="6" t="n">
        <f aca="false">Controls!B10</f>
        <v>17400</v>
      </c>
      <c r="D11" s="11" t="str">
        <f aca="false">IF(ABS(B11-C11)&lt;0.01,"PASS","FAIL")</f>
        <v>PASS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314</v>
      </c>
      <c r="B12" s="6" t="n">
        <v>17400</v>
      </c>
      <c r="C12" s="6" t="n">
        <f aca="false">Controls!B8+Controls!B9</f>
        <v>17400</v>
      </c>
      <c r="D12" s="11" t="str">
        <f aca="false">IF(ABS(B12-C12)&lt;0.01,"PASS","FAIL")</f>
        <v>PASS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458</v>
      </c>
      <c r="B13" s="6" t="n">
        <v>5251</v>
      </c>
      <c r="C13" s="6" t="n">
        <f aca="false">'Readiness System'!B13</f>
        <v>5251</v>
      </c>
      <c r="D13" s="11" t="str">
        <f aca="false">IF(ABS(B13-C13)&lt;0.01,"PASS","FAIL")</f>
        <v>PASS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23</v>
      </c>
      <c r="B14" s="6" t="n">
        <v>3667</v>
      </c>
      <c r="C14" s="6" t="n">
        <f aca="false">SUM('Readiness System'!B7:B9)</f>
        <v>3667</v>
      </c>
      <c r="D14" s="11" t="str">
        <f aca="false">IF(ABS(B14-C14)&lt;0.01,"PASS","FAIL")</f>
        <v>PASS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60</v>
      </c>
      <c r="B15" s="6" t="n">
        <v>1584</v>
      </c>
      <c r="C15" s="6" t="n">
        <f aca="false">SUM('Readiness System'!B10:B12)</f>
        <v>1584</v>
      </c>
      <c r="D15" s="11" t="str">
        <f aca="false">IF(ABS(B15-C15)&lt;0.01,"PASS","FAIL")</f>
        <v>PASS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459</v>
      </c>
      <c r="B16" s="6" t="n">
        <v>5</v>
      </c>
      <c r="C16" s="6" t="n">
        <f aca="false">COUNTA('Return Map'!A7:A11)</f>
        <v>5</v>
      </c>
      <c r="D16" s="11" t="str">
        <f aca="false">IF(ABS(B16-C16)&lt;0.01,"PASS","FAIL")</f>
        <v>PASS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310</v>
      </c>
      <c r="B17" s="6" t="n">
        <v>1000</v>
      </c>
      <c r="C17" s="6" t="n">
        <f aca="false">SUM('25-Year Resource Path'!C7:C31)</f>
        <v>1000</v>
      </c>
      <c r="D17" s="11" t="str">
        <f aca="false">IF(ABS(B17-C17)&lt;0.01,"PASS","FAIL")</f>
        <v>PASS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29</v>
      </c>
      <c r="B18" s="6" t="n">
        <v>0</v>
      </c>
      <c r="C18" s="6" t="n">
        <f aca="false">Controls!B18</f>
        <v>0</v>
      </c>
      <c r="D18" s="11" t="str">
        <f aca="false">IF(ABS(B18-C18)&lt;0.01,"PASS","FAIL")</f>
        <v>PASS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6" min="5" style="0" width="14"/>
  </cols>
  <sheetData>
    <row r="2" customFormat="false" ht="18.55" hidden="false" customHeight="false" outlineLevel="0" collapsed="false">
      <c r="A2" s="1" t="s">
        <v>460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461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462</v>
      </c>
      <c r="B6" s="5" t="s">
        <v>34</v>
      </c>
      <c r="C6" s="5" t="s">
        <v>463</v>
      </c>
      <c r="D6" s="5" t="s">
        <v>464</v>
      </c>
      <c r="E6" s="5" t="s">
        <v>465</v>
      </c>
      <c r="F6" s="5" t="s">
        <v>466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467</v>
      </c>
      <c r="B7" s="6" t="s">
        <v>36</v>
      </c>
      <c r="C7" s="6" t="n">
        <v>1000</v>
      </c>
      <c r="D7" s="6" t="n">
        <v>1001</v>
      </c>
      <c r="E7" s="6" t="s">
        <v>65</v>
      </c>
      <c r="F7" s="6" t="s">
        <v>64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468</v>
      </c>
      <c r="B8" s="6" t="s">
        <v>38</v>
      </c>
      <c r="C8" s="6" t="n">
        <v>9410.56</v>
      </c>
      <c r="D8" s="6" t="n">
        <v>9411.56</v>
      </c>
      <c r="E8" s="6" t="s">
        <v>65</v>
      </c>
      <c r="F8" s="6" t="s">
        <v>64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469</v>
      </c>
      <c r="B9" s="6" t="s">
        <v>22</v>
      </c>
      <c r="C9" s="6" t="n">
        <v>5251</v>
      </c>
      <c r="D9" s="6" t="n">
        <v>5252</v>
      </c>
      <c r="E9" s="6" t="s">
        <v>65</v>
      </c>
      <c r="F9" s="6" t="s">
        <v>64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470</v>
      </c>
      <c r="B10" s="6" t="s">
        <v>29</v>
      </c>
      <c r="C10" s="6" t="n">
        <v>0</v>
      </c>
      <c r="D10" s="6" t="n">
        <v>1</v>
      </c>
      <c r="E10" s="6" t="s">
        <v>65</v>
      </c>
      <c r="F10" s="6" t="s">
        <v>64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3"/>
    <col collapsed="false" customWidth="true" hidden="false" outlineLevel="0" max="3" min="3" style="0" width="72"/>
  </cols>
  <sheetData>
    <row r="2" customFormat="false" ht="18.55" hidden="false" customHeight="false" outlineLevel="0" collapsed="false">
      <c r="A2" s="1" t="s">
        <v>471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472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429</v>
      </c>
      <c r="B6" s="5" t="s">
        <v>473</v>
      </c>
      <c r="C6" s="5" t="s">
        <v>474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n">
        <v>190</v>
      </c>
      <c r="B7" s="6" t="s">
        <v>475</v>
      </c>
      <c r="C7" s="6" t="s">
        <v>476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n">
        <v>191</v>
      </c>
      <c r="B8" s="6" t="s">
        <v>477</v>
      </c>
      <c r="C8" s="6" t="s">
        <v>478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n">
        <v>192</v>
      </c>
      <c r="B9" s="6" t="s">
        <v>479</v>
      </c>
      <c r="C9" s="6" t="s">
        <v>480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n">
        <v>193</v>
      </c>
      <c r="B10" s="6" t="s">
        <v>481</v>
      </c>
      <c r="C10" s="6" t="s">
        <v>482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n">
        <v>194</v>
      </c>
      <c r="B11" s="6" t="s">
        <v>483</v>
      </c>
      <c r="C11" s="6" t="s">
        <v>484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21"/>
  </cols>
  <sheetData>
    <row r="2" customFormat="false" ht="18.55" hidden="false" customHeight="false" outlineLevel="0" collapsed="false">
      <c r="A2" s="1" t="s">
        <v>485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486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487</v>
      </c>
      <c r="B6" s="5" t="s">
        <v>488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4" hidden="false" customHeight="true" outlineLevel="0" collapsed="false">
      <c r="A7" s="6" t="s">
        <v>489</v>
      </c>
      <c r="B7" s="12" t="s">
        <v>490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4" hidden="false" customHeight="true" outlineLevel="0" collapsed="false">
      <c r="A8" s="6" t="s">
        <v>51</v>
      </c>
      <c r="B8" s="12" t="s">
        <v>491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4" hidden="false" customHeight="true" outlineLevel="0" collapsed="false">
      <c r="A9" s="6" t="s">
        <v>456</v>
      </c>
      <c r="B9" s="12" t="s">
        <v>492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4" hidden="false" customHeight="true" outlineLevel="0" collapsed="false">
      <c r="A10" s="6" t="s">
        <v>493</v>
      </c>
      <c r="B10" s="12" t="s">
        <v>494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4" hidden="false" customHeight="true" outlineLevel="0" collapsed="false">
      <c r="A11" s="6" t="s">
        <v>495</v>
      </c>
      <c r="B11" s="12" t="s">
        <v>496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4" hidden="false" customHeight="true" outlineLevel="0" collapsed="false">
      <c r="A12" s="6" t="s">
        <v>269</v>
      </c>
      <c r="B12" s="12" t="s">
        <v>497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4" hidden="false" customHeight="true" outlineLevel="0" collapsed="false">
      <c r="A13" s="6" t="s">
        <v>498</v>
      </c>
      <c r="B13" s="12" t="s">
        <v>499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4" hidden="false" customHeight="true" outlineLevel="0" collapsed="false">
      <c r="A14" s="6" t="s">
        <v>500</v>
      </c>
      <c r="B14" s="12" t="s">
        <v>501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4" hidden="false" customHeight="true" outlineLevel="0" collapsed="false">
      <c r="A15" s="6" t="s">
        <v>502</v>
      </c>
      <c r="B15" s="12" t="s">
        <v>503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