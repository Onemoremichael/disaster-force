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81cf685a343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54c3e374d94ca7"/>
    <x:sheet xmlns:r="http://schemas.openxmlformats.org/officeDocument/2006/relationships" name="Controls" sheetId="2" r:id="Rf681b843e45f45c2"/>
    <x:sheet xmlns:r="http://schemas.openxmlformats.org/officeDocument/2006/relationships" name="Campus Bill" sheetId="3" r:id="Rfdd93e83c99b427e"/>
    <x:sheet xmlns:r="http://schemas.openxmlformats.org/officeDocument/2006/relationships" name="Architecture" sheetId="4" r:id="R794e8ba7eaad4d6e"/>
    <x:sheet xmlns:r="http://schemas.openxmlformats.org/officeDocument/2006/relationships" name="Failure Worlds" sheetId="5" r:id="R25e4a498dcde4fbf"/>
    <x:sheet xmlns:r="http://schemas.openxmlformats.org/officeDocument/2006/relationships" name="Shipset Logic" sheetId="6" r:id="Rb1a4391549f149a9"/>
    <x:sheet xmlns:r="http://schemas.openxmlformats.org/officeDocument/2006/relationships" name="Receiver Sites" sheetId="7" r:id="R5ae8f51670ae4800"/>
    <x:sheet xmlns:r="http://schemas.openxmlformats.org/officeDocument/2006/relationships" name="Critical Path" sheetId="8" r:id="R65c064c664d54d33"/>
    <x:sheet xmlns:r="http://schemas.openxmlformats.org/officeDocument/2006/relationships" name="No Borrow" sheetId="9" r:id="R774da3e610754c50"/>
    <x:sheet xmlns:r="http://schemas.openxmlformats.org/officeDocument/2006/relationships" name="Workforce" sheetId="10" r:id="R0d9bf1d0845a4f4b"/>
    <x:sheet xmlns:r="http://schemas.openxmlformats.org/officeDocument/2006/relationships" name="Commissioning" sheetId="11" r:id="R5a67cbcc7ff54302"/>
    <x:sheet xmlns:r="http://schemas.openxmlformats.org/officeDocument/2006/relationships" name="Capital" sheetId="12" r:id="R366c58fe72674b25"/>
    <x:sheet xmlns:r="http://schemas.openxmlformats.org/officeDocument/2006/relationships" name="Annual Support" sheetId="13" r:id="Re0dcc1a5a83a4014"/>
    <x:sheet xmlns:r="http://schemas.openxmlformats.org/officeDocument/2006/relationships" name="Release Gates" sheetId="14" r:id="R8780f83ec7984aed"/>
    <x:sheet xmlns:r="http://schemas.openxmlformats.org/officeDocument/2006/relationships" name="Audit" sheetId="15" r:id="R507f6e9f647d4e89"/>
    <x:sheet xmlns:r="http://schemas.openxmlformats.org/officeDocument/2006/relationships" name="ReadMe" sheetId="16" r:id="Rb2bd5e805026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0"/>
    <x:numFmt numFmtId="202" formatCode="0"/>
    <x:numFmt numFmtId="203" formatCode="0.000000"/>
  </x:numFmts>
  <x:fonts count="9">
    <x:font>
      <x:sz val="11"/>
      <x:name val="Carlito"/>
    </x:font>
    <x:font>
      <x:b/>
      <x:sz val="15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sz val="10"/>
      <x:name val="Arial"/>
    </x:font>
    <x:font>
      <x:sz val="10"/>
      <x:color rgb="FF0070C0"/>
      <x:name val="Arial"/>
    </x:font>
    <x:font>
      <x:b/>
      <x:sz val="10"/>
      <x:color rgb="FF17324D"/>
      <x:name val="Arial"/>
    </x:font>
    <x:font>
      <x:b/>
      <x:sz val="10"/>
      <x:color rgb="FF273444"/>
      <x:name val="Arial"/>
    </x:font>
    <x:font>
      <x:sz val="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5"/>
      </x:patternFill>
    </x:fill>
  </x:fills>
  <x:borders count="6">
    <x:border/>
    <x:border>
      <x:bottom style="thin">
        <x:color rgb="FF17324D"/>
      </x:bottom>
    </x:border>
    <x:border>
      <x:bottom style="thin">
        <x:color rgb="FFC8D3DD"/>
      </x:bottom>
    </x:border>
    <x:border>
      <x:left style="thin">
        <x:color rgb="FFC8D3DD"/>
      </x:left>
      <x:top style="thin">
        <x:color rgb="FFC8D3DD"/>
      </x:top>
      <x:bottom style="thin">
        <x:color rgb="FFC8D3DD"/>
      </x:bottom>
    </x:border>
    <x:border>
      <x:top style="thin">
        <x:color rgb="FFC8D3DD"/>
      </x:top>
      <x:bottom style="thin">
        <x:color rgb="FFC8D3DD"/>
      </x:bottom>
    </x:border>
    <x:border>
      <x:right style="thin">
        <x:color rgb="FFC8D3DD"/>
      </x:right>
      <x:top style="thin">
        <x:color rgb="FFC8D3DD"/>
      </x:top>
      <x:bottom style="thin">
        <x:color rgb="FFC8D3DD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4" fillId="0" borderId="0" xfId="0" applyNumberFormat="1" applyFont="1" applyFill="1" applyBorder="1"/>
    <x:xf numFmtId="200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4" fillId="0" borderId="0" xfId="0" applyNumberFormat="1" applyFont="1" applyFill="1" applyBorder="1"/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3" xfId="0" applyNumberFormat="1" applyFont="1" applyFill="1" applyBorder="1"/>
    <x:xf numFmtId="0" fontId="7" fillId="3" borderId="4" xfId="0" applyNumberFormat="1" applyFont="1" applyFill="1" applyBorder="1"/>
    <x:xf numFmtId="0" fontId="7" fillId="3" borderId="5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1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64"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b/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3E632E"/>
      </x:font>
      <x:fill>
        <x:patternFill patternType="solid">
          <x:bgColor rgb="FFE2F0D9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color rgb="FF8A65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2672c50bac4e39" /><Relationship Type="http://schemas.openxmlformats.org/officeDocument/2006/relationships/theme" Target="/xl/theme/theme1.xml" Id="R4586a9c20cc44af4" /><Relationship Type="http://schemas.openxmlformats.org/officeDocument/2006/relationships/sharedStrings" Target="/xl/sharedStrings.xml" Id="R5cdee23844174772" /><Relationship Type="http://schemas.openxmlformats.org/officeDocument/2006/relationships/worksheet" Target="/xl/worksheets/sheet1.xml" Id="R4654c3e374d94ca7" /><Relationship Type="http://schemas.openxmlformats.org/officeDocument/2006/relationships/worksheet" Target="/xl/worksheets/sheet2.xml" Id="Rf681b843e45f45c2" /><Relationship Type="http://schemas.openxmlformats.org/officeDocument/2006/relationships/worksheet" Target="/xl/worksheets/sheet3.xml" Id="Rfdd93e83c99b427e" /><Relationship Type="http://schemas.openxmlformats.org/officeDocument/2006/relationships/worksheet" Target="/xl/worksheets/sheet4.xml" Id="R794e8ba7eaad4d6e" /><Relationship Type="http://schemas.openxmlformats.org/officeDocument/2006/relationships/worksheet" Target="/xl/worksheets/sheet5.xml" Id="R25e4a498dcde4fbf" /><Relationship Type="http://schemas.openxmlformats.org/officeDocument/2006/relationships/worksheet" Target="/xl/worksheets/sheet6.xml" Id="Rb1a4391549f149a9" /><Relationship Type="http://schemas.openxmlformats.org/officeDocument/2006/relationships/worksheet" Target="/xl/worksheets/sheet7.xml" Id="R5ae8f51670ae4800" /><Relationship Type="http://schemas.openxmlformats.org/officeDocument/2006/relationships/worksheet" Target="/xl/worksheets/sheet8.xml" Id="R65c064c664d54d33" /><Relationship Type="http://schemas.openxmlformats.org/officeDocument/2006/relationships/worksheet" Target="/xl/worksheets/sheet9.xml" Id="R774da3e610754c50" /><Relationship Type="http://schemas.openxmlformats.org/officeDocument/2006/relationships/worksheet" Target="/xl/worksheets/sheet10.xml" Id="R0d9bf1d0845a4f4b" /><Relationship Type="http://schemas.openxmlformats.org/officeDocument/2006/relationships/worksheet" Target="/xl/worksheets/sheet11.xml" Id="R5a67cbcc7ff54302" /><Relationship Type="http://schemas.openxmlformats.org/officeDocument/2006/relationships/worksheet" Target="/xl/worksheets/sheet12.xml" Id="R366c58fe72674b25" /><Relationship Type="http://schemas.openxmlformats.org/officeDocument/2006/relationships/worksheet" Target="/xl/worksheets/sheet13.xml" Id="Re0dcc1a5a83a4014" /><Relationship Type="http://schemas.openxmlformats.org/officeDocument/2006/relationships/worksheet" Target="/xl/worksheets/sheet14.xml" Id="R8780f83ec7984aed" /><Relationship Type="http://schemas.openxmlformats.org/officeDocument/2006/relationships/worksheet" Target="/xl/worksheets/sheet15.xml" Id="R507f6e9f647d4e89" /><Relationship Type="http://schemas.openxmlformats.org/officeDocument/2006/relationships/worksheet" Target="/xl/worksheets/sheet16.xml" Id="Rb2bd5e80502646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32" hidden="0" customWidth="1"/>
    <x:col min="3" max="3" width="34" hidden="0" customWidth="1"/>
    <x:col min="4" max="4" width="18" hidden="0" customWidth="1"/>
    <x:col min="5" max="5" width="18" hidden="0" customWidth="1"/>
    <x:col min="6" max="6" width="30" hidden="0" customWidth="1"/>
    <x:col min="7" max="7" width="28" hidden="0" customWidth="1"/>
    <x:col min="8" max="8" width="18" hidden="0" customWidth="1"/>
    <x:col min="9" max="9" width="18" hidden="0" customWidth="1"/>
    <x:col min="10" max="10" width="18" hidden="0" customWidth="1"/>
  </x:cols>
  <x:sheetData>
    <x:row r="2">
      <x:c r="B2" s="1" t="str">
        <x:v>F36 campus-regeneration capital and industrial exercise</x:v>
      </x:c>
      <x:c r="C2" s="38"/>
      <x:c r="D2" s="38"/>
      <x:c r="E2" s="38"/>
      <x:c r="F2" s="38"/>
      <x:c r="G2" s="38"/>
      <x:c r="H2" s="38"/>
      <x:c r="I2" s="38"/>
      <x:c r="J2" s="38"/>
    </x:row>
    <x:row r="3">
      <x:c r="B3" s="2" t="str">
        <x:v>A USD 10.000B standing architecture is the first planning reference to close the compound loss inside a protected 180-day clock.</x:v>
      </x:c>
      <x:c r="C3" s="38"/>
      <x:c r="D3" s="38"/>
      <x:c r="E3" s="38"/>
      <x:c r="F3" s="38"/>
      <x:c r="G3" s="38"/>
      <x:c r="H3" s="38"/>
      <x:c r="I3" s="38"/>
      <x:c r="J3" s="38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</x:row>
    <x:row r="6">
      <x:c r="B6" s="32" t="str">
        <x:v>Selected planning reference</x:v>
      </x:c>
      <x:c r="C6" s="33" t="str">
        <x:v>Selected planning reference</x:v>
      </x:c>
      <x:c r="D6" s="33" t="str">
        <x:v>Selected planning reference</x:v>
      </x:c>
      <x:c r="E6" s="33" t="str">
        <x:v>Selected planning reference</x:v>
      </x:c>
      <x:c r="F6" s="32" t="str">
        <x:v>Present authority</x:v>
      </x:c>
      <x:c r="G6" s="33" t="str">
        <x:v>Present authority</x:v>
      </x:c>
      <x:c r="H6" s="33" t="str">
        <x:v>Present authority</x:v>
      </x:c>
      <x:c r="I6" s="33" t="str">
        <x:v>Present authority</x:v>
      </x:c>
      <x:c r="J6" s="34" t="str">
        <x:v>Present authority</x:v>
      </x:c>
    </x:row>
    <x:row r="7">
      <x:c r="B7" s="38" t="str">
        <x:v>Architecture</x:v>
      </x:c>
      <x:c r="C7" s="38" t="str">
        <x:v>hard-gate selection</x:v>
      </x:c>
      <x:c r="D7" s="38" t="str">
        <x:f>Architecture!C10</x:f>
        <x:v>CRS-1</x:v>
      </x:c>
      <x:c r="E7" s="38" t="str">
        <x:v>state</x:v>
      </x:c>
      <x:c r="F7" s="38" t="str">
        <x:v>Planning architecture</x:v>
      </x:c>
      <x:c r="G7" s="38" t="str">
        <x:v>G01-G20</x:v>
      </x:c>
      <x:c r="H7" s="38" t="str">
        <x:f>'Release Gates'!D43</x:f>
        <x:v>AUTHORIZED</x:v>
      </x:c>
      <x:c r="I7" s="38"/>
      <x:c r="J7" s="38"/>
    </x:row>
    <x:row r="8">
      <x:c r="B8" s="38" t="str">
        <x:v>Installed campus value</x:v>
      </x:c>
      <x:c r="C8" s="38" t="str">
        <x:v>one complete campus</x:v>
      </x:c>
      <x:c r="D8" s="40" t="n">
        <x:f>'Controls'!$D$10</x:f>
        <x:v>1.34</x:v>
      </x:c>
      <x:c r="E8" s="38" t="str">
        <x:v>USD B</x:v>
      </x:c>
      <x:c r="F8" s="38" t="str">
        <x:v>Program authority</x:v>
      </x:c>
      <x:c r="G8" s="38" t="str">
        <x:v>capital and support</x:v>
      </x:c>
      <x:c r="H8" s="38" t="str">
        <x:f>'Release Gates'!D44</x:f>
        <x:v>HOLD</x:v>
      </x:c>
      <x:c r="I8" s="38"/>
      <x:c r="J8" s="38"/>
    </x:row>
    <x:row r="9">
      <x:c r="B9" s="38" t="str">
        <x:v>Complete shipsets</x:v>
      </x:c>
      <x:c r="C9" s="38" t="str">
        <x:v>integer inventory</x:v>
      </x:c>
      <x:c r="D9" s="40" t="n">
        <x:f>'Controls'!$D$11</x:f>
        <x:v>4</x:v>
      </x:c>
      <x:c r="E9" s="38" t="str">
        <x:v>shipsets</x:v>
      </x:c>
      <x:c r="F9" s="38" t="str">
        <x:v>Physical formation</x:v>
      </x:c>
      <x:c r="G9" s="38" t="str">
        <x:v>people, roots, shipsets, sites</x:v>
      </x:c>
      <x:c r="H9" s="38" t="str">
        <x:f>'Release Gates'!D45</x:f>
        <x:v>HOLD</x:v>
      </x:c>
      <x:c r="I9" s="38"/>
      <x:c r="J9" s="38"/>
    </x:row>
    <x:row r="10">
      <x:c r="B10" s="38" t="str">
        <x:v>Unlike roots</x:v>
      </x:c>
      <x:c r="C10" s="38" t="str">
        <x:v>independent execution</x:v>
      </x:c>
      <x:c r="D10" s="40" t="n">
        <x:f>'Controls'!$D$12</x:f>
        <x:v>2</x:v>
      </x:c>
      <x:c r="E10" s="38" t="str">
        <x:v>roots</x:v>
      </x:c>
      <x:c r="F10" s="38" t="str">
        <x:v>Cold exercise</x:v>
      </x:c>
      <x:c r="G10" s="38" t="str">
        <x:v>no-notice campaign</x:v>
      </x:c>
      <x:c r="H10" s="38" t="str">
        <x:f>'Release Gates'!D46</x:f>
        <x:v>HOLD</x:v>
      </x:c>
      <x:c r="I10" s="38"/>
      <x:c r="J10" s="38"/>
    </x:row>
    <x:row r="11">
      <x:c r="B11" s="38" t="str">
        <x:v>Receiver sites</x:v>
      </x:c>
      <x:c r="C11" s="38" t="str">
        <x:v>planning identities only</x:v>
      </x:c>
      <x:c r="D11" s="40" t="n">
        <x:f>'Controls'!$D$14</x:f>
        <x:v>6</x:v>
      </x:c>
      <x:c r="E11" s="38" t="str">
        <x:v>sites</x:v>
      </x:c>
      <x:c r="F11" s="38" t="str">
        <x:v>Replacement campus</x:v>
      </x:c>
      <x:c r="G11" s="38" t="str">
        <x:v>independent admission</x:v>
      </x:c>
      <x:c r="H11" s="38" t="str">
        <x:f>'Release Gates'!D47</x:f>
        <x:v>HOLD</x:v>
      </x:c>
      <x:c r="I11" s="38"/>
      <x:c r="J11" s="38"/>
    </x:row>
    <x:row r="12">
      <x:c r="B12" s="38" t="str">
        <x:v>Public formation</x:v>
      </x:c>
      <x:c r="C12" s="38" t="str">
        <x:v>CRG-1</x:v>
      </x:c>
      <x:c r="D12" s="40" t="n">
        <x:f>'Controls'!$D$15</x:f>
        <x:v>300</x:v>
      </x:c>
      <x:c r="E12" s="38" t="str">
        <x:v>people</x:v>
      </x:c>
      <x:c r="F12" s="38" t="str">
        <x:v>Production and rendering</x:v>
      </x:c>
      <x:c r="G12" s="38" t="str">
        <x:v>parent F36 chain</x:v>
      </x:c>
      <x:c r="H12" s="38" t="str">
        <x:f>'Release Gates'!D48</x:f>
        <x:v>BLOCKED</x:v>
      </x:c>
      <x:c r="I12" s="38"/>
      <x:c r="J12" s="38"/>
    </x:row>
    <x:row r="13">
      <x:c r="B13" s="38" t="str">
        <x:v>Industrial affiliates</x:v>
      </x:c>
      <x:c r="C13" s="38" t="str">
        <x:v>retained pool</x:v>
      </x:c>
      <x:c r="D13" s="40" t="n">
        <x:f>'Controls'!$D$16</x:f>
        <x:v>1400</x:v>
      </x:c>
      <x:c r="E13" s="38" t="str">
        <x:v>people</x:v>
      </x:c>
      <x:c r="F13" s="38"/>
      <x:c r="G13" s="38"/>
      <x:c r="H13" s="38"/>
      <x:c r="I13" s="38"/>
      <x:c r="J13" s="38"/>
    </x:row>
    <x:row r="14">
      <x:c r="B14" s="38" t="str">
        <x:v>Worst declared completion</x:v>
      </x:c>
      <x:c r="C14" s="38" t="str">
        <x:v>W05 compound cut</x:v>
      </x:c>
      <x:c r="D14" s="40" t="n">
        <x:f>MAX('Failure Worlds'!E7:E17)</x:f>
        <x:v>162</x:v>
      </x:c>
      <x:c r="E14" s="38" t="str">
        <x:v>days</x:v>
      </x:c>
      <x:c r="F14" s="38"/>
      <x:c r="G14" s="38"/>
      <x:c r="H14" s="38"/>
      <x:c r="I14" s="38"/>
      <x:c r="J14" s="38"/>
    </x:row>
    <x:row r="15">
      <x:c r="B15" s="38" t="str">
        <x:v>Schedule reserve</x:v>
      </x:c>
      <x:c r="C15" s="38" t="str">
        <x:v>inside day 180</x:v>
      </x:c>
      <x:c r="D15" s="40" t="n">
        <x:f>'Controls'!$D$7-D14</x:f>
        <x:v>18</x:v>
      </x:c>
      <x:c r="E15" s="38" t="str">
        <x:v>days</x:v>
      </x:c>
      <x:c r="F15" s="38"/>
      <x:c r="G15" s="38"/>
      <x:c r="H15" s="38"/>
      <x:c r="I15" s="38"/>
      <x:c r="J15" s="38"/>
    </x:row>
    <x:row r="16">
      <x:c r="B16" s="38" t="str">
        <x:v>Incremental capital authority</x:v>
      </x:c>
      <x:c r="C16" s="38" t="str">
        <x:v>gross less compatible overlap</x:v>
      </x:c>
      <x:c r="D16" s="40" t="n">
        <x:f>Capital!D24</x:f>
        <x:v>9.9</x:v>
      </x:c>
      <x:c r="E16" s="38" t="str">
        <x:v>USD B</x:v>
      </x:c>
      <x:c r="F16" s="38"/>
      <x:c r="G16" s="38"/>
      <x:c r="H16" s="38"/>
      <x:c r="I16" s="38"/>
      <x:c r="J16" s="38"/>
    </x:row>
    <x:row r="17">
      <x:c r="B17" s="38" t="str">
        <x:v>Annual support</x:v>
      </x:c>
      <x:c r="C17" s="38" t="str">
        <x:v>standing readiness</x:v>
      </x:c>
      <x:c r="D17" s="40" t="n">
        <x:f>'Annual Support'!C17</x:f>
        <x:v>0.62</x:v>
      </x:c>
      <x:c r="E17" s="38" t="str">
        <x:v>USD B/year</x:v>
      </x:c>
      <x:c r="F17" s="38"/>
      <x:c r="G17" s="38"/>
      <x:c r="H17" s="38"/>
      <x:c r="I17" s="38"/>
      <x:c r="J17" s="38"/>
    </x:row>
    <x:row r="18">
      <x:c r="B18" s="38" t="str">
        <x:v>Twenty-five-year incremental boundary</x:v>
      </x:c>
      <x:c r="C18" s="38" t="str">
        <x:v>constant planning dollars</x:v>
      </x:c>
      <x:c r="D18" s="40" t="n">
        <x:f>Capital!D28</x:f>
        <x:v>25.4</x:v>
      </x:c>
      <x:c r="E18" s="38" t="str">
        <x:v>USD B</x:v>
      </x:c>
      <x:c r="F18" s="38"/>
      <x:c r="G18" s="38"/>
      <x:c r="H18" s="38"/>
      <x:c r="I18" s="38"/>
      <x:c r="J18" s="38"/>
    </x:row>
    <x:row r="19">
      <x:c r="B19" s="38"/>
      <x:c r="C19" s="38"/>
      <x:c r="D19" s="38"/>
      <x:c r="E19" s="38"/>
      <x:c r="F19" s="38"/>
      <x:c r="G19" s="38"/>
      <x:c r="H19" s="38"/>
      <x:c r="I19" s="38"/>
      <x:c r="J19" s="38"/>
    </x:row>
    <x:row r="20">
      <x:c r="B20" s="38"/>
      <x:c r="C20" s="38"/>
      <x:c r="D20" s="38"/>
      <x:c r="E20" s="38"/>
      <x:c r="F20" s="38"/>
      <x:c r="G20" s="38"/>
      <x:c r="H20" s="38"/>
      <x:c r="I20" s="38"/>
      <x:c r="J20" s="38"/>
    </x:row>
    <x:row r="21">
      <x:c r="B21" s="38"/>
      <x:c r="C21" s="38"/>
      <x:c r="D21" s="38"/>
      <x:c r="E21" s="38"/>
      <x:c r="F21" s="38"/>
      <x:c r="G21" s="38"/>
      <x:c r="H21" s="38"/>
      <x:c r="I21" s="38"/>
      <x:c r="J21" s="38"/>
    </x:row>
    <x:row r="22">
      <x:c r="B22" s="32" t="str">
        <x:v>Decisive judgments</x:v>
      </x:c>
      <x:c r="C22" s="33" t="str">
        <x:v>Decisive judgments</x:v>
      </x:c>
      <x:c r="D22" s="33" t="str">
        <x:v>Decisive judgments</x:v>
      </x:c>
      <x:c r="E22" s="33" t="str">
        <x:v>Decisive judgments</x:v>
      </x:c>
      <x:c r="F22" s="33" t="str">
        <x:v>Decisive judgments</x:v>
      </x:c>
      <x:c r="G22" s="33" t="str">
        <x:v>Decisive judgments</x:v>
      </x:c>
      <x:c r="H22" s="33" t="str">
        <x:v>Decisive judgments</x:v>
      </x:c>
      <x:c r="I22" s="33" t="str">
        <x:v>Decisive judgments</x:v>
      </x:c>
      <x:c r="J22" s="34" t="str">
        <x:v>Decisive judgments</x:v>
      </x:c>
    </x:row>
    <x:row r="23" ht="40" customHeight="1">
      <x:c r="B23" s="15" t="str">
        <x:v>Capability</x:v>
      </x:c>
      <x:c r="C23" s="41" t="str">
        <x:v>Regeneration is a standing force function, not an insurance payment after loss.</x:v>
      </x:c>
      <x:c r="D23" s="41"/>
      <x:c r="E23" s="41"/>
      <x:c r="F23" s="41"/>
      <x:c r="G23" s="41"/>
      <x:c r="H23" s="41"/>
      <x:c r="I23" s="41"/>
      <x:c r="J23" s="41"/>
    </x:row>
    <x:row r="24" ht="40" customHeight="1">
      <x:c r="B24" s="15" t="str">
        <x:v>Inventory</x:v>
      </x:c>
      <x:c r="C24" s="41" t="str">
        <x:v>Four complete root-coherent shipsets are required while singleton services remain indivisible.</x:v>
      </x:c>
      <x:c r="D24" s="41"/>
      <x:c r="E24" s="41"/>
      <x:c r="F24" s="41"/>
      <x:c r="G24" s="41"/>
      <x:c r="H24" s="41"/>
      <x:c r="I24" s="41"/>
      <x:c r="J24" s="41"/>
    </x:row>
    <x:row r="25" ht="40" customHeight="1">
      <x:c r="B25" s="15" t="str">
        <x:v>Geography</x:v>
      </x:c>
      <x:c r="C25" s="41" t="str">
        <x:v>Dark receiver sites are prepared options and receive zero routine campus capacity credit.</x:v>
      </x:c>
      <x:c r="D25" s="41"/>
      <x:c r="E25" s="41"/>
      <x:c r="F25" s="41"/>
      <x:c r="G25" s="41"/>
      <x:c r="H25" s="41"/>
      <x:c r="I25" s="41"/>
      <x:c r="J25" s="41"/>
    </x:row>
    <x:row r="26" ht="40" customHeight="1">
      <x:c r="B26" s="15" t="str">
        <x:v>People</x:v>
      </x:c>
      <x:c r="C26" s="41" t="str">
        <x:v>A separate public formation and retained affiliates prevent the two surviving campuses from being stripped.</x:v>
      </x:c>
      <x:c r="D26" s="41"/>
      <x:c r="E26" s="41"/>
      <x:c r="F26" s="41"/>
      <x:c r="G26" s="41"/>
      <x:c r="H26" s="41"/>
      <x:c r="I26" s="41"/>
      <x:c r="J26" s="41"/>
    </x:row>
    <x:row r="27" ht="40" customHeight="1">
      <x:c r="B27" s="15" t="str">
        <x:v>Schedule</x:v>
      </x:c>
      <x:c r="C27" s="41" t="str">
        <x:v>The compound root-plus-arsenal world closes at day 162 and retains eighteen days before the deadline.</x:v>
      </x:c>
      <x:c r="D27" s="41"/>
      <x:c r="E27" s="41"/>
      <x:c r="F27" s="41"/>
      <x:c r="G27" s="41"/>
      <x:c r="H27" s="41"/>
      <x:c r="I27" s="41"/>
      <x:c r="J27" s="41"/>
    </x:row>
    <x:row r="28" ht="40" customHeight="1">
      <x:c r="B28" s="15" t="str">
        <x:v>Finance</x:v>
      </x:c>
      <x:c r="C28" s="41" t="str">
        <x:v>USD 25.400B is the incremental twenty-five-year boundary; USD 25.500B is the gross boundary.</x:v>
      </x:c>
      <x:c r="D28" s="41"/>
      <x:c r="E28" s="41"/>
      <x:c r="F28" s="41"/>
      <x:c r="G28" s="41"/>
      <x:c r="H28" s="41"/>
      <x:c r="I28" s="41"/>
      <x:c r="J28" s="41"/>
    </x:row>
    <x:row r="29" ht="40" customHeight="1">
      <x:c r="B29" s="15" t="str">
        <x:v>Evidence</x:v>
      </x:c>
      <x:c r="C29" s="41" t="str">
        <x:v>All physical roots, shipsets, sites, rosters, commissioning packets and exercises remain unobserved.</x:v>
      </x:c>
      <x:c r="D29" s="41"/>
      <x:c r="E29" s="41"/>
      <x:c r="F29" s="41"/>
      <x:c r="G29" s="41"/>
      <x:c r="H29" s="41"/>
      <x:c r="I29" s="41"/>
      <x:c r="J29" s="41"/>
    </x:row>
    <x:row r="30" ht="40" customHeight="1">
      <x:c r="B30" s="15" t="str">
        <x:v>Form</x:v>
      </x:c>
      <x:c r="C30" s="41" t="str">
        <x:v>Module geometry, internal arrangement, production and rendering remain blocked.</x:v>
      </x:c>
      <x:c r="D30" s="41"/>
      <x:c r="E30" s="41"/>
      <x:c r="F30" s="41"/>
      <x:c r="G30" s="41"/>
      <x:c r="H30" s="41"/>
      <x:c r="I30" s="41"/>
      <x:c r="J30" s="41"/>
    </x:row>
  </x:sheetData>
  <x:mergeCells>
    <x:mergeCell ref="B2:J2"/>
    <x:mergeCell ref="B3:J3"/>
    <x:mergeCell ref="B6:J6"/>
    <x:mergeCell ref="F6:J6"/>
    <x:mergeCell ref="B22:J22"/>
    <x:mergeCell ref="C23:J23"/>
    <x:mergeCell ref="C24:J24"/>
    <x:mergeCell ref="C25:J25"/>
    <x:mergeCell ref="C26:J26"/>
    <x:mergeCell ref="C27:J27"/>
    <x:mergeCell ref="C28:J28"/>
    <x:mergeCell ref="C29:J29"/>
    <x:mergeCell ref="C30:J30"/>
  </x:mergeCells>
  <x:conditionalFormatting sqref="H7:H12">
    <x:cfRule type="containsText" dxfId="240" priority="1" operator="containsText" text="PASS"/>
    <x:cfRule type="containsText" dxfId="241" priority="2" operator="containsText" text="SELECT"/>
    <x:cfRule type="containsText" dxfId="242" priority="3" operator="containsText" text="AUTHORIZED"/>
    <x:cfRule type="containsText" dxfId="243" priority="4" operator="containsText" text="COMPLETE"/>
    <x:cfRule type="containsText" dxfId="244" priority="5" operator="containsText" text="HOLD"/>
    <x:cfRule type="containsText" dxfId="245" priority="6" operator="containsText" text="OPEN"/>
    <x:cfRule type="containsText" dxfId="246" priority="7" operator="containsText" text="SAFE_STOP"/>
    <x:cfRule type="containsText" dxfId="247" priority="8" operator="containsText" text="BLOCKED"/>
    <x:cfRule type="containsText" dxfId="248" priority="9" operator="containsText" text="PLANNING"/>
    <x:cfRule type="containsText" dxfId="249" priority="10" operator="containsText" text="FAIL"/>
    <x:cfRule type="containsText" dxfId="250" priority="11" operator="containsText" text="REJECT"/>
    <x:cfRule type="containsText" dxfId="251" priority="12" operator="containsText" text="BREACH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1" hidden="0" customWidth="1"/>
    <x:col min="3" max="3" width="46" hidden="0" customWidth="1"/>
    <x:col min="4" max="4" width="21" hidden="0" customWidth="1"/>
    <x:col min="5" max="5" width="21" hidden="0" customWidth="1"/>
    <x:col min="6" max="6" width="18" hidden="0" customWidth="1"/>
    <x:col min="7" max="7" width="31" hidden="0" customWidth="1"/>
  </x:cols>
  <x:sheetData>
    <x:row r="2">
      <x:c r="B2" s="1" t="str">
        <x:v>Campus-regeneration controls</x:v>
      </x:c>
      <x:c r="C2" s="38"/>
      <x:c r="D2" s="38"/>
      <x:c r="E2" s="38"/>
      <x:c r="F2" s="38"/>
      <x:c r="G2" s="38"/>
    </x:row>
    <x:row r="3">
      <x:c r="B3" s="2" t="str">
        <x:v>Blue values are inherited constraints or explicit planning assumptions. Physical authority values remain zero.</x:v>
      </x:c>
      <x:c r="C3" s="38"/>
      <x:c r="D3" s="38"/>
      <x:c r="E3" s="38"/>
      <x:c r="F3" s="38"/>
      <x:c r="G3" s="38"/>
    </x:row>
    <x:row r="4">
      <x:c r="B4" s="39"/>
      <x:c r="C4" s="39"/>
      <x:c r="D4" s="39"/>
      <x:c r="E4" s="39"/>
      <x:c r="F4" s="39"/>
      <x:c r="G4" s="39"/>
    </x:row>
    <x:row r="5">
      <x:c r="B5" s="38"/>
      <x:c r="C5" s="38"/>
      <x:c r="D5" s="38"/>
      <x:c r="E5" s="38"/>
      <x:c r="F5" s="38"/>
      <x:c r="G5" s="38"/>
    </x:row>
    <x:row r="6">
      <x:c r="B6" s="7" t="str">
        <x:v>ID</x:v>
      </x:c>
      <x:c r="C6" s="7" t="str">
        <x:v>Control</x:v>
      </x:c>
      <x:c r="D6" s="7" t="str">
        <x:v>Value</x:v>
      </x:c>
      <x:c r="E6" s="7" t="str">
        <x:v>Unit</x:v>
      </x:c>
      <x:c r="F6" s="7" t="str">
        <x:v>State</x:v>
      </x:c>
      <x:c r="G6" s="7" t="str">
        <x:v>Authority</x:v>
      </x:c>
    </x:row>
    <x:row r="7">
      <x:c r="B7" s="9" t="str">
        <x:v>C01</x:v>
      </x:c>
      <x:c r="C7" s="9" t="str">
        <x:v>Permanent-loss reconstruction deadline</x:v>
      </x:c>
      <x:c r="D7" s="11" t="n">
        <x:v>180</x:v>
      </x:c>
      <x:c r="E7" s="9" t="str">
        <x:v>days</x:v>
      </x:c>
      <x:c r="F7" s="9" t="str">
        <x:v>FROZEN</x:v>
      </x:c>
      <x:c r="G7" s="9" t="str">
        <x:v>Pass 104</x:v>
      </x:c>
    </x:row>
    <x:row r="8">
      <x:c r="B8" s="9" t="str">
        <x:v>C02</x:v>
      </x:c>
      <x:c r="C8" s="9" t="str">
        <x:v>Required schedule reserve</x:v>
      </x:c>
      <x:c r="D8" s="13" t="n">
        <x:v>0.1</x:v>
      </x:c>
      <x:c r="E8" s="9" t="str">
        <x:v>share of deadline</x:v>
      </x:c>
      <x:c r="F8" s="9" t="str">
        <x:v>DESIGN</x:v>
      </x:c>
      <x:c r="G8" s="9" t="str">
        <x:v>this pass</x:v>
      </x:c>
    </x:row>
    <x:row r="9">
      <x:c r="B9" s="9" t="str">
        <x:v>C03</x:v>
      </x:c>
      <x:c r="C9" s="9" t="str">
        <x:v>Internal completion target</x:v>
      </x:c>
      <x:c r="D9" s="11" t="n">
        <x:v>162</x:v>
      </x:c>
      <x:c r="E9" s="9" t="str">
        <x:v>days</x:v>
      </x:c>
      <x:c r="F9" s="9" t="str">
        <x:v>DERIVED</x:v>
      </x:c>
      <x:c r="G9" s="9" t="str">
        <x:v>deadline less reserve</x:v>
      </x:c>
    </x:row>
    <x:row r="10">
      <x:c r="B10" s="9" t="str">
        <x:v>C04</x:v>
      </x:c>
      <x:c r="C10" s="9" t="str">
        <x:v>Installed value of one campus</x:v>
      </x:c>
      <x:c r="D10" s="14" t="n">
        <x:v>1.34</x:v>
      </x:c>
      <x:c r="E10" s="9" t="str">
        <x:v>USD B</x:v>
      </x:c>
      <x:c r="F10" s="9" t="str">
        <x:v>FROZEN</x:v>
      </x:c>
      <x:c r="G10" s="9" t="str">
        <x:v>Pass 104</x:v>
      </x:c>
    </x:row>
    <x:row r="11">
      <x:c r="B11" s="9" t="str">
        <x:v>C05</x:v>
      </x:c>
      <x:c r="C11" s="9" t="str">
        <x:v>Complete root-coherent shipsets</x:v>
      </x:c>
      <x:c r="D11" s="14" t="n">
        <x:v>4</x:v>
      </x:c>
      <x:c r="E11" s="9" t="str">
        <x:v>shipsets</x:v>
      </x:c>
      <x:c r="F11" s="9" t="str">
        <x:v>DESIGN</x:v>
      </x:c>
      <x:c r="G11" s="9" t="str">
        <x:v>integer compound-loss rule</x:v>
      </x:c>
    </x:row>
    <x:row r="12">
      <x:c r="B12" s="9" t="str">
        <x:v>C06</x:v>
      </x:c>
      <x:c r="C12" s="9" t="str">
        <x:v>Unlike industrial roots</x:v>
      </x:c>
      <x:c r="D12" s="14" t="n">
        <x:v>2</x:v>
      </x:c>
      <x:c r="E12" s="9" t="str">
        <x:v>roots</x:v>
      </x:c>
      <x:c r="F12" s="9" t="str">
        <x:v>DESIGN</x:v>
      </x:c>
      <x:c r="G12" s="9" t="str">
        <x:v>root independence</x:v>
      </x:c>
    </x:row>
    <x:row r="13">
      <x:c r="B13" s="9" t="str">
        <x:v>C07</x:v>
      </x:c>
      <x:c r="C13" s="9" t="str">
        <x:v>Separated module arsenals</x:v>
      </x:c>
      <x:c r="D13" s="14" t="n">
        <x:v>4</x:v>
      </x:c>
      <x:c r="E13" s="9" t="str">
        <x:v>arsenals</x:v>
      </x:c>
      <x:c r="F13" s="9" t="str">
        <x:v>DESIGN</x:v>
      </x:c>
      <x:c r="G13" s="9" t="str">
        <x:v>one shipset each</x:v>
      </x:c>
    </x:row>
    <x:row r="14">
      <x:c r="B14" s="9" t="str">
        <x:v>C08</x:v>
      </x:c>
      <x:c r="C14" s="9" t="str">
        <x:v>Dark receiver sites</x:v>
      </x:c>
      <x:c r="D14" s="14" t="n">
        <x:v>6</x:v>
      </x:c>
      <x:c r="E14" s="9" t="str">
        <x:v>sites</x:v>
      </x:c>
      <x:c r="F14" s="9" t="str">
        <x:v>DESIGN</x:v>
      </x:c>
      <x:c r="G14" s="9" t="str">
        <x:v>geographic options</x:v>
      </x:c>
    </x:row>
    <x:row r="15">
      <x:c r="B15" s="9" t="str">
        <x:v>C09</x:v>
      </x:c>
      <x:c r="C15" s="9" t="str">
        <x:v>Public regeneration billets</x:v>
      </x:c>
      <x:c r="D15" s="14" t="n">
        <x:v>300</x:v>
      </x:c>
      <x:c r="E15" s="9" t="str">
        <x:v>people</x:v>
      </x:c>
      <x:c r="F15" s="9" t="str">
        <x:v>DESIGN</x:v>
      </x:c>
      <x:c r="G15" s="9" t="str">
        <x:v>CRG-1</x:v>
      </x:c>
    </x:row>
    <x:row r="16">
      <x:c r="B16" s="9" t="str">
        <x:v>C10</x:v>
      </x:c>
      <x:c r="C16" s="9" t="str">
        <x:v>Retained industrial affiliates</x:v>
      </x:c>
      <x:c r="D16" s="14" t="n">
        <x:v>1400</x:v>
      </x:c>
      <x:c r="E16" s="9" t="str">
        <x:v>people</x:v>
      </x:c>
      <x:c r="F16" s="9" t="str">
        <x:v>DESIGN</x:v>
      </x:c>
      <x:c r="G16" s="9" t="str">
        <x:v>unlike roots and logistics</x:v>
      </x:c>
    </x:row>
    <x:row r="17">
      <x:c r="B17" s="9" t="str">
        <x:v>C11</x:v>
      </x:c>
      <x:c r="C17" s="9" t="str">
        <x:v>Gross standing capital</x:v>
      </x:c>
      <x:c r="D17" s="14" t="n">
        <x:v>10</x:v>
      </x:c>
      <x:c r="E17" s="9" t="str">
        <x:v>USD B</x:v>
      </x:c>
      <x:c r="F17" s="9" t="str">
        <x:v>DESIGN</x:v>
      </x:c>
      <x:c r="G17" s="9" t="str">
        <x:v>capital schedule</x:v>
      </x:c>
    </x:row>
    <x:row r="18">
      <x:c r="B18" s="9" t="str">
        <x:v>C12</x:v>
      </x:c>
      <x:c r="C18" s="9" t="str">
        <x:v>Recognized inherited overlap</x:v>
      </x:c>
      <x:c r="D18" s="14" t="n">
        <x:v>0.1</x:v>
      </x:c>
      <x:c r="E18" s="9" t="str">
        <x:v>USD B</x:v>
      </x:c>
      <x:c r="F18" s="9" t="str">
        <x:v>DESIGN</x:v>
      </x:c>
      <x:c r="G18" s="9" t="str">
        <x:v>adapters and references only</x:v>
      </x:c>
    </x:row>
    <x:row r="19">
      <x:c r="B19" s="9" t="str">
        <x:v>C13</x:v>
      </x:c>
      <x:c r="C19" s="9" t="str">
        <x:v>Incremental capital authority</x:v>
      </x:c>
      <x:c r="D19" s="14" t="n">
        <x:v>9.9</x:v>
      </x:c>
      <x:c r="E19" s="9" t="str">
        <x:v>USD B</x:v>
      </x:c>
      <x:c r="F19" s="9" t="str">
        <x:v>DERIVED</x:v>
      </x:c>
      <x:c r="G19" s="9" t="str">
        <x:v>gross less overlap</x:v>
      </x:c>
    </x:row>
    <x:row r="20">
      <x:c r="B20" s="9" t="str">
        <x:v>C14</x:v>
      </x:c>
      <x:c r="C20" s="9" t="str">
        <x:v>Annual support</x:v>
      </x:c>
      <x:c r="D20" s="14" t="n">
        <x:v>0.62</x:v>
      </x:c>
      <x:c r="E20" s="9" t="str">
        <x:v>USD B/year</x:v>
      </x:c>
      <x:c r="F20" s="9" t="str">
        <x:v>DESIGN</x:v>
      </x:c>
      <x:c r="G20" s="9" t="str">
        <x:v>support schedule</x:v>
      </x:c>
    </x:row>
    <x:row r="21">
      <x:c r="B21" s="9" t="str">
        <x:v>C15</x:v>
      </x:c>
      <x:c r="C21" s="9" t="str">
        <x:v>Program horizon</x:v>
      </x:c>
      <x:c r="D21" s="14" t="n">
        <x:v>25</x:v>
      </x:c>
      <x:c r="E21" s="9" t="str">
        <x:v>years</x:v>
      </x:c>
      <x:c r="F21" s="9" t="str">
        <x:v>FROZEN</x:v>
      </x:c>
      <x:c r="G21" s="9" t="str">
        <x:v>comparison horizon</x:v>
      </x:c>
    </x:row>
    <x:row r="22">
      <x:c r="B22" s="9" t="str">
        <x:v>C16</x:v>
      </x:c>
      <x:c r="C22" s="9" t="str">
        <x:v>Twenty-five-year incremental boundary</x:v>
      </x:c>
      <x:c r="D22" s="14" t="n">
        <x:v>25.4</x:v>
      </x:c>
      <x:c r="E22" s="9" t="str">
        <x:v>USD B</x:v>
      </x:c>
      <x:c r="F22" s="9" t="str">
        <x:v>DERIVED</x:v>
      </x:c>
      <x:c r="G22" s="9" t="str">
        <x:v>capital plus support</x:v>
      </x:c>
    </x:row>
    <x:row r="23">
      <x:c r="B23" s="9" t="str">
        <x:v>C17</x:v>
      </x:c>
      <x:c r="C23" s="9" t="str">
        <x:v>Twenty-five-year gross boundary</x:v>
      </x:c>
      <x:c r="D23" s="14" t="n">
        <x:v>25.5</x:v>
      </x:c>
      <x:c r="E23" s="9" t="str">
        <x:v>USD B</x:v>
      </x:c>
      <x:c r="F23" s="9" t="str">
        <x:v>DERIVED</x:v>
      </x:c>
      <x:c r="G23" s="9" t="str">
        <x:v>capital plus support</x:v>
      </x:c>
    </x:row>
    <x:row r="24">
      <x:c r="B24" s="9" t="str">
        <x:v>C18</x:v>
      </x:c>
      <x:c r="C24" s="9" t="str">
        <x:v>Inherited reset and modular stock</x:v>
      </x:c>
      <x:c r="D24" s="11" t="n">
        <x:v>0.25</x:v>
      </x:c>
      <x:c r="E24" s="9" t="str">
        <x:v>USD B</x:v>
      </x:c>
      <x:c r="F24" s="9" t="str">
        <x:v>FROZEN</x:v>
      </x:c>
      <x:c r="G24" s="9" t="str">
        <x:v>Pass 104</x:v>
      </x:c>
    </x:row>
    <x:row r="25">
      <x:c r="B25" s="9" t="str">
        <x:v>C19</x:v>
      </x:c>
      <x:c r="C25" s="9" t="str">
        <x:v>Controlled program reserve</x:v>
      </x:c>
      <x:c r="D25" s="11" t="n">
        <x:v>0.21</x:v>
      </x:c>
      <x:c r="E25" s="9" t="str">
        <x:v>USD B</x:v>
      </x:c>
      <x:c r="F25" s="9" t="str">
        <x:v>FROZEN</x:v>
      </x:c>
      <x:c r="G25" s="9" t="str">
        <x:v>Pass 104</x:v>
      </x:c>
    </x:row>
    <x:row r="26">
      <x:c r="B26" s="9" t="str">
        <x:v>C20</x:v>
      </x:c>
      <x:c r="C26" s="9" t="str">
        <x:v>Reset stock kept for operations</x:v>
      </x:c>
      <x:c r="D26" s="11" t="n">
        <x:v>0.15</x:v>
      </x:c>
      <x:c r="E26" s="9" t="str">
        <x:v>USD B</x:v>
      </x:c>
      <x:c r="F26" s="9" t="str">
        <x:v>DERIVED</x:v>
      </x:c>
      <x:c r="G26" s="9" t="str">
        <x:v>reset less compatible overlap</x:v>
      </x:c>
    </x:row>
    <x:row r="27">
      <x:c r="B27" s="9" t="str">
        <x:v>C21</x:v>
      </x:c>
      <x:c r="C27" s="9" t="str">
        <x:v>Mission failure worlds</x:v>
      </x:c>
      <x:c r="D27" s="11" t="n">
        <x:v>11</x:v>
      </x:c>
      <x:c r="E27" s="9" t="str">
        <x:v>worlds</x:v>
      </x:c>
      <x:c r="F27" s="9" t="str">
        <x:v>DESIGN</x:v>
      </x:c>
      <x:c r="G27" s="9" t="str">
        <x:v>W01-W11</x:v>
      </x:c>
    </x:row>
    <x:row r="28">
      <x:c r="B28" s="9" t="str">
        <x:v>C22</x:v>
      </x:c>
      <x:c r="C28" s="9" t="str">
        <x:v>Required safe-stop worlds</x:v>
      </x:c>
      <x:c r="D28" s="11" t="n">
        <x:v>1</x:v>
      </x:c>
      <x:c r="E28" s="9" t="str">
        <x:v>world</x:v>
      </x:c>
      <x:c r="F28" s="9" t="str">
        <x:v>DESIGN</x:v>
      </x:c>
      <x:c r="G28" s="9" t="str">
        <x:v>W12</x:v>
      </x:c>
    </x:row>
    <x:row r="29">
      <x:c r="B29" s="9" t="str">
        <x:v>C23</x:v>
      </x:c>
      <x:c r="C29" s="9" t="str">
        <x:v>Program capital authority granted</x:v>
      </x:c>
      <x:c r="D29" s="11" t="n">
        <x:v>0</x:v>
      </x:c>
      <x:c r="E29" s="9" t="str">
        <x:v>binary</x:v>
      </x:c>
      <x:c r="F29" s="9" t="str">
        <x:v>OPEN</x:v>
      </x:c>
      <x:c r="G29" s="9" t="str">
        <x:v>not granted</x:v>
      </x:c>
    </x:row>
    <x:row r="30">
      <x:c r="B30" s="9" t="str">
        <x:v>C24</x:v>
      </x:c>
      <x:c r="C30" s="9" t="str">
        <x:v>Annual support authority granted</x:v>
      </x:c>
      <x:c r="D30" s="11" t="n">
        <x:v>0</x:v>
      </x:c>
      <x:c r="E30" s="9" t="str">
        <x:v>binary</x:v>
      </x:c>
      <x:c r="F30" s="9" t="str">
        <x:v>OPEN</x:v>
      </x:c>
      <x:c r="G30" s="9" t="str">
        <x:v>not granted</x:v>
      </x:c>
    </x:row>
    <x:row r="31">
      <x:c r="B31" s="9" t="str">
        <x:v>C25</x:v>
      </x:c>
      <x:c r="C31" s="9" t="str">
        <x:v>CRG-1 roster constituted</x:v>
      </x:c>
      <x:c r="D31" s="11" t="n">
        <x:v>0</x:v>
      </x:c>
      <x:c r="E31" s="9" t="str">
        <x:v>binary</x:v>
      </x:c>
      <x:c r="F31" s="9" t="str">
        <x:v>OPEN</x:v>
      </x:c>
      <x:c r="G31" s="9" t="str">
        <x:v>no physical roster</x:v>
      </x:c>
    </x:row>
    <x:row r="32">
      <x:c r="B32" s="9" t="str">
        <x:v>C26</x:v>
      </x:c>
      <x:c r="C32" s="9" t="str">
        <x:v>Industrial affiliate rosters constituted</x:v>
      </x:c>
      <x:c r="D32" s="11" t="n">
        <x:v>0</x:v>
      </x:c>
      <x:c r="E32" s="9" t="str">
        <x:v>binary</x:v>
      </x:c>
      <x:c r="F32" s="9" t="str">
        <x:v>OPEN</x:v>
      </x:c>
      <x:c r="G32" s="9" t="str">
        <x:v>no physical roster</x:v>
      </x:c>
    </x:row>
    <x:row r="33">
      <x:c r="B33" s="9" t="str">
        <x:v>C27</x:v>
      </x:c>
      <x:c r="C33" s="9" t="str">
        <x:v>Root A physically qualified</x:v>
      </x:c>
      <x:c r="D33" s="11" t="n">
        <x:v>0</x:v>
      </x:c>
      <x:c r="E33" s="9" t="str">
        <x:v>binary</x:v>
      </x:c>
      <x:c r="F33" s="9" t="str">
        <x:v>OPEN</x:v>
      </x:c>
      <x:c r="G33" s="9" t="str">
        <x:v>not built</x:v>
      </x:c>
    </x:row>
    <x:row r="34">
      <x:c r="B34" s="9" t="str">
        <x:v>C28</x:v>
      </x:c>
      <x:c r="C34" s="9" t="str">
        <x:v>Root B physically qualified</x:v>
      </x:c>
      <x:c r="D34" s="11" t="n">
        <x:v>0</x:v>
      </x:c>
      <x:c r="E34" s="9" t="str">
        <x:v>binary</x:v>
      </x:c>
      <x:c r="F34" s="9" t="str">
        <x:v>OPEN</x:v>
      </x:c>
      <x:c r="G34" s="9" t="str">
        <x:v>not built</x:v>
      </x:c>
    </x:row>
    <x:row r="35">
      <x:c r="B35" s="9" t="str">
        <x:v>C29</x:v>
      </x:c>
      <x:c r="C35" s="9" t="str">
        <x:v>Four shipsets accepted</x:v>
      </x:c>
      <x:c r="D35" s="11" t="n">
        <x:v>0</x:v>
      </x:c>
      <x:c r="E35" s="9" t="str">
        <x:v>binary</x:v>
      </x:c>
      <x:c r="F35" s="9" t="str">
        <x:v>OPEN</x:v>
      </x:c>
      <x:c r="G35" s="9" t="str">
        <x:v>not built</x:v>
      </x:c>
    </x:row>
    <x:row r="36">
      <x:c r="B36" s="9" t="str">
        <x:v>C30</x:v>
      </x:c>
      <x:c r="C36" s="9" t="str">
        <x:v>Six receiver sites current</x:v>
      </x:c>
      <x:c r="D36" s="11" t="n">
        <x:v>0</x:v>
      </x:c>
      <x:c r="E36" s="9" t="str">
        <x:v>binary</x:v>
      </x:c>
      <x:c r="F36" s="9" t="str">
        <x:v>OPEN</x:v>
      </x:c>
      <x:c r="G36" s="9" t="str">
        <x:v>not acquired or accepted</x:v>
      </x:c>
    </x:row>
    <x:row r="37">
      <x:c r="B37" s="9" t="str">
        <x:v>C31</x:v>
      </x:c>
      <x:c r="C37" s="9" t="str">
        <x:v>Cold reconstruction exercise complete</x:v>
      </x:c>
      <x:c r="D37" s="11" t="n">
        <x:v>0</x:v>
      </x:c>
      <x:c r="E37" s="9" t="str">
        <x:v>binary</x:v>
      </x:c>
      <x:c r="F37" s="9" t="str">
        <x:v>OPEN</x:v>
      </x:c>
      <x:c r="G37" s="9" t="str">
        <x:v>not executed</x:v>
      </x:c>
    </x:row>
    <x:row r="38">
      <x:c r="B38" s="9" t="str">
        <x:v>C32</x:v>
      </x:c>
      <x:c r="C38" s="9" t="str">
        <x:v>Replacement campus physically admitted</x:v>
      </x:c>
      <x:c r="D38" s="11" t="n">
        <x:v>0</x:v>
      </x:c>
      <x:c r="E38" s="9" t="str">
        <x:v>binary</x:v>
      </x:c>
      <x:c r="F38" s="9" t="str">
        <x:v>OPEN</x:v>
      </x:c>
      <x:c r="G38" s="9" t="str">
        <x:v>not admitted</x:v>
      </x:c>
    </x:row>
    <x:row r="39">
      <x:c r="B39" s="9" t="str">
        <x:v>C33</x:v>
      </x:c>
      <x:c r="C39" s="9" t="str">
        <x:v>Production and form authority</x:v>
      </x:c>
      <x:c r="D39" s="11" t="n">
        <x:v>0</x:v>
      </x:c>
      <x:c r="E39" s="9" t="str">
        <x:v>binary</x:v>
      </x:c>
      <x:c r="F39" s="9" t="str">
        <x:v>BLOCKED</x:v>
      </x:c>
      <x:c r="G39" s="9" t="str">
        <x:v>parent F36 chain</x:v>
      </x:c>
    </x:row>
    <x:row r="40">
      <x:c r="B40" s="10" t="str">
        <x:v>C34</x:v>
      </x:c>
      <x:c r="C40" s="10" t="str">
        <x:v>Exterior rendering authority</x:v>
      </x:c>
      <x:c r="D40" s="12" t="n">
        <x:v>0</x:v>
      </x:c>
      <x:c r="E40" s="10" t="str">
        <x:v>binary</x:v>
      </x:c>
      <x:c r="F40" s="10" t="str">
        <x:v>BLOCKED</x:v>
      </x:c>
      <x:c r="G40" s="10" t="str">
        <x:v>parent F36 chain</x:v>
      </x:c>
    </x:row>
  </x:sheetData>
  <x:mergeCells>
    <x:mergeCell ref="B2:G2"/>
    <x:mergeCell ref="B3:G3"/>
  </x:mergeCells>
  <x:conditionalFormatting sqref="F7:F40">
    <x:cfRule type="containsText" dxfId="0" priority="1" operator="containsText" text="PASS"/>
    <x:cfRule type="containsText" dxfId="1" priority="2" operator="containsText" text="SELECT"/>
    <x:cfRule type="containsText" dxfId="2" priority="3" operator="containsText" text="AUTHORIZED"/>
    <x:cfRule type="containsText" dxfId="3" priority="4" operator="containsText" text="COMPLETE"/>
    <x:cfRule type="containsText" dxfId="4" priority="5" operator="containsText" text="HOLD"/>
    <x:cfRule type="containsText" dxfId="5" priority="6" operator="containsText" text="OPEN"/>
    <x:cfRule type="containsText" dxfId="6" priority="7" operator="containsText" text="SAFE_STOP"/>
    <x:cfRule type="containsText" dxfId="7" priority="8" operator="containsText" text="BLOCKED"/>
    <x:cfRule type="containsText" dxfId="8" priority="9" operator="containsText" text="PLANNING"/>
    <x:cfRule type="containsText" dxfId="9" priority="10" operator="containsText" text="FAIL"/>
    <x:cfRule type="containsText" dxfId="10" priority="11" operator="containsText" text="REJECT"/>
    <x:cfRule type="containsText" dxfId="11" priority="12" operator="containsText" text="BREACH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4" hidden="0" customWidth="1"/>
    <x:col min="3" max="3" width="13" hidden="0" customWidth="1"/>
    <x:col min="4" max="4" width="17" hidden="0" customWidth="1"/>
    <x:col min="5" max="5" width="24" hidden="0" customWidth="1"/>
    <x:col min="6" max="6" width="13" hidden="0" customWidth="1"/>
    <x:col min="7" max="7" width="46" hidden="0" customWidth="1"/>
    <x:col min="8" max="8" width="16" hidden="0" customWidth="1"/>
  </x:cols>
  <x:sheetData>
    <x:row r="2">
      <x:c r="B2" s="1" t="str">
        <x:v>Complete campus bill of service</x:v>
      </x:c>
      <x:c r="C2" s="38"/>
      <x:c r="D2" s="38"/>
      <x:c r="E2" s="38"/>
      <x:c r="F2" s="38"/>
      <x:c r="G2" s="38"/>
      <x:c r="H2" s="38"/>
    </x:row>
    <x:row r="3">
      <x:c r="B3" s="2" t="str">
        <x:v>Installed replacement value is not the cost of regeneration readiness.</x:v>
      </x:c>
      <x:c r="C3" s="38"/>
      <x:c r="D3" s="38"/>
      <x:c r="E3" s="38"/>
      <x:c r="F3" s="38"/>
      <x:c r="G3" s="38"/>
      <x:c r="H3" s="38"/>
    </x:row>
    <x:row r="4">
      <x:c r="B4" s="39"/>
      <x:c r="C4" s="39"/>
      <x:c r="D4" s="39"/>
      <x:c r="E4" s="39"/>
      <x:c r="F4" s="39"/>
      <x:c r="G4" s="39"/>
      <x:c r="H4" s="39"/>
    </x:row>
    <x:row r="5">
      <x:c r="B5" s="38"/>
      <x:c r="C5" s="38"/>
      <x:c r="D5" s="38"/>
      <x:c r="E5" s="38"/>
      <x:c r="F5" s="38"/>
      <x:c r="G5" s="38"/>
      <x:c r="H5" s="38"/>
    </x:row>
    <x:row r="6">
      <x:c r="B6" s="7" t="str">
        <x:v>Service</x:v>
      </x:c>
      <x:c r="C6" s="7" t="str">
        <x:v>Quantity</x:v>
      </x:c>
      <x:c r="D6" s="7" t="str">
        <x:v>Unit</x:v>
      </x:c>
      <x:c r="E6" s="7" t="str">
        <x:v>Installed value (USD B)</x:v>
      </x:c>
      <x:c r="F6" s="7" t="str">
        <x:v>Share</x:v>
      </x:c>
      <x:c r="G6" s="7" t="str">
        <x:v>Acceptance object</x:v>
      </x:c>
      <x:c r="H6" s="7" t="str">
        <x:v>Completeness</x:v>
      </x:c>
    </x:row>
    <x:row r="7">
      <x:c r="B7" s="9" t="str">
        <x:v>Closure bays</x:v>
      </x:c>
      <x:c r="C7" s="9" t="n">
        <x:v>2</x:v>
      </x:c>
      <x:c r="D7" s="9" t="str">
        <x:v>bays</x:v>
      </x:c>
      <x:c r="E7" s="20" t="n">
        <x:v>0.26</x:v>
      </x:c>
      <x:c r="F7" s="21" t="n">
        <x:f>E7/$E$16</x:f>
        <x:v>0.1940298507462686</x:v>
      </x:c>
      <x:c r="G7" s="9" t="str">
        <x:v>two independently runnable closure chains</x:v>
      </x:c>
      <x:c r="H7" s="9" t="str">
        <x:f>IF(AND(C7&gt;0,E7&gt;0,G7&lt;&gt;""),"PASS","FAIL")</x:f>
        <x:v>PASS</x:v>
      </x:c>
    </x:row>
    <x:row r="8">
      <x:c r="B8" s="9" t="str">
        <x:v>Damage cells</x:v>
      </x:c>
      <x:c r="C8" s="9" t="n">
        <x:v>2</x:v>
      </x:c>
      <x:c r="D8" s="9" t="str">
        <x:v>cells</x:v>
      </x:c>
      <x:c r="E8" s="20" t="n">
        <x:v>0.48</x:v>
      </x:c>
      <x:c r="F8" s="21" t="n">
        <x:f>E8/$E$16</x:f>
        <x:v>0.3582089552238805</x:v>
      </x:c>
      <x:c r="G8" s="9" t="str">
        <x:v>two representative destructive chains</x:v>
      </x:c>
      <x:c r="H8" s="9" t="str">
        <x:f>IF(AND(C8&gt;0,E8&gt;0,G8&lt;&gt;""),"PASS","FAIL")</x:f>
        <x:v>PASS</x:v>
      </x:c>
    </x:row>
    <x:row r="9">
      <x:c r="B9" s="9" t="str">
        <x:v>Hydraulic and utility island</x:v>
      </x:c>
      <x:c r="C9" s="9" t="n">
        <x:v>1</x:v>
      </x:c>
      <x:c r="D9" s="9" t="str">
        <x:v>system</x:v>
      </x:c>
      <x:c r="E9" s="20" t="n">
        <x:v>0.18</x:v>
      </x:c>
      <x:c r="F9" s="21" t="n">
        <x:f>E9/$E$16</x:f>
        <x:v>0.1343283582089552</x:v>
      </x:c>
      <x:c r="G9" s="9" t="str">
        <x:v>source, receiver, power, heat and black start</x:v>
      </x:c>
      <x:c r="H9" s="9" t="str">
        <x:f>IF(AND(C9&gt;0,E9&gt;0,G9&lt;&gt;""),"PASS","FAIL")</x:f>
        <x:v>PASS</x:v>
      </x:c>
    </x:row>
    <x:row r="10">
      <x:c r="B10" s="9" t="str">
        <x:v>Sanitary laboratories</x:v>
      </x:c>
      <x:c r="C10" s="9" t="n">
        <x:v>2</x:v>
      </x:c>
      <x:c r="D10" s="9" t="str">
        <x:v>labs</x:v>
      </x:c>
      <x:c r="E10" s="20" t="n">
        <x:v>0.1</x:v>
      </x:c>
      <x:c r="F10" s="21" t="n">
        <x:f>E10/$E$16</x:f>
        <x:v>0.07462686567164178</x:v>
      </x:c>
      <x:c r="G10" s="9" t="str">
        <x:v>two isolated sample paths</x:v>
      </x:c>
      <x:c r="H10" s="9" t="str">
        <x:f>IF(AND(C10&gt;0,E10&gt;0,G10&lt;&gt;""),"PASS","FAIL")</x:f>
        <x:v>PASS</x:v>
      </x:c>
    </x:row>
    <x:row r="11">
      <x:c r="B11" s="9" t="str">
        <x:v>Forensic line</x:v>
      </x:c>
      <x:c r="C11" s="9" t="n">
        <x:v>1</x:v>
      </x:c>
      <x:c r="D11" s="9" t="str">
        <x:v>line</x:v>
      </x:c>
      <x:c r="E11" s="20" t="n">
        <x:v>0.09</x:v>
      </x:c>
      <x:c r="F11" s="21" t="n">
        <x:f>E11/$E$16</x:f>
        <x:v>0.0671641791044776</x:v>
      </x:c>
      <x:c r="G11" s="9" t="str">
        <x:v>independent cause separation</x:v>
      </x:c>
      <x:c r="H11" s="9" t="str">
        <x:f>IF(AND(C11&gt;0,E11&gt;0,G11&lt;&gt;""),"PASS","FAIL")</x:f>
        <x:v>PASS</x:v>
      </x:c>
    </x:row>
    <x:row r="12">
      <x:c r="B12" s="9" t="str">
        <x:v>Metrology estate</x:v>
      </x:c>
      <x:c r="C12" s="9" t="n">
        <x:v>2</x:v>
      </x:c>
      <x:c r="D12" s="9" t="str">
        <x:v>detachments</x:v>
      </x:c>
      <x:c r="E12" s="20" t="n">
        <x:v>0.07</x:v>
      </x:c>
      <x:c r="F12" s="21" t="n">
        <x:f>E12/$E$16</x:f>
        <x:v>0.052238805970149245</x:v>
      </x:c>
      <x:c r="G12" s="9" t="str">
        <x:v>traveling and site reference hierarchy</x:v>
      </x:c>
      <x:c r="H12" s="9" t="str">
        <x:f>IF(AND(C12&gt;0,E12&gt;0,G12&lt;&gt;""),"PASS","FAIL")</x:f>
        <x:v>PASS</x:v>
      </x:c>
    </x:row>
    <x:row r="13">
      <x:c r="B13" s="9" t="str">
        <x:v>Evidence and replay</x:v>
      </x:c>
      <x:c r="C13" s="9" t="n">
        <x:v>2</x:v>
      </x:c>
      <x:c r="D13" s="9" t="str">
        <x:v>cells</x:v>
      </x:c>
      <x:c r="E13" s="20" t="n">
        <x:v>0.05</x:v>
      </x:c>
      <x:c r="F13" s="21" t="n">
        <x:f>E13/$E$16</x:f>
        <x:v>0.03731343283582089</x:v>
      </x:c>
      <x:c r="G13" s="9" t="str">
        <x:v>two-original custody and replay</x:v>
      </x:c>
      <x:c r="H13" s="9" t="str">
        <x:f>IF(AND(C13&gt;0,E13&gt;0,G13&lt;&gt;""),"PASS","FAIL")</x:f>
        <x:v>PASS</x:v>
      </x:c>
    </x:row>
    <x:row r="14">
      <x:c r="B14" s="9" t="str">
        <x:v>Blind configuration shop</x:v>
      </x:c>
      <x:c r="C14" s="9" t="n">
        <x:v>1</x:v>
      </x:c>
      <x:c r="D14" s="9" t="str">
        <x:v>shop</x:v>
      </x:c>
      <x:c r="E14" s="20" t="n">
        <x:v>0.03</x:v>
      </x:c>
      <x:c r="F14" s="21" t="n">
        <x:f>E14/$E$16</x:f>
        <x:v>0.022388059701492533</x:v>
      </x:c>
      <x:c r="G14" s="9" t="str">
        <x:v>truth and builder separation</x:v>
      </x:c>
      <x:c r="H14" s="9" t="str">
        <x:f>IF(AND(C14&gt;0,E14&gt;0,G14&lt;&gt;""),"PASS","FAIL")</x:f>
        <x:v>PASS</x:v>
      </x:c>
    </x:row>
    <x:row r="15">
      <x:c r="B15" s="9" t="str">
        <x:v>Site separation and custody</x:v>
      </x:c>
      <x:c r="C15" s="9" t="n">
        <x:v>1</x:v>
      </x:c>
      <x:c r="D15" s="9" t="str">
        <x:v>system</x:v>
      </x:c>
      <x:c r="E15" s="20" t="n">
        <x:v>0.08</x:v>
      </x:c>
      <x:c r="F15" s="21" t="n">
        <x:f>E15/$E$16</x:f>
        <x:v>0.05970149253731342</x:v>
      </x:c>
      <x:c r="G15" s="9" t="str">
        <x:v>admitted perimeter, zones and custody</x:v>
      </x:c>
      <x:c r="H15" s="9" t="str">
        <x:f>IF(AND(C15&gt;0,E15&gt;0,G15&lt;&gt;""),"PASS","FAIL")</x:f>
        <x:v>PASS</x:v>
      </x:c>
    </x:row>
    <x:row r="16">
      <x:c r="B16" s="23" t="str">
        <x:v>Complete campus</x:v>
      </x:c>
      <x:c r="C16" s="10"/>
      <x:c r="D16" s="10"/>
      <x:c r="E16" s="24" t="n">
        <x:f>SUM(E7:E15)</x:f>
        <x:v>1.3400000000000003</x:v>
      </x:c>
      <x:c r="F16" s="25" t="n">
        <x:f>SUM(F7:F15)</x:f>
        <x:v>0.9999999999999997</x:v>
      </x:c>
      <x:c r="G16" s="10" t="str">
        <x:v>all services and common chains together</x:v>
      </x:c>
      <x:c r="H16" s="10" t="str">
        <x:f>IF(AND(ABS(E16-'Controls'!$D$10)&lt;0.000001,COUNTIF(H7:H15,"PASS")=9),"PASS","FAIL")</x:f>
        <x:v>PASS</x:v>
      </x:c>
    </x:row>
  </x:sheetData>
  <x:mergeCells>
    <x:mergeCell ref="B2:H2"/>
    <x:mergeCell ref="B3:H3"/>
    <x:mergeCell ref="B16:D16"/>
  </x:mergeCells>
  <x:conditionalFormatting sqref="H7:H16">
    <x:cfRule type="containsText" dxfId="12" priority="1" operator="containsText" text="PASS"/>
    <x:cfRule type="containsText" dxfId="13" priority="2" operator="containsText" text="SELECT"/>
    <x:cfRule type="containsText" dxfId="14" priority="3" operator="containsText" text="AUTHORIZED"/>
    <x:cfRule type="containsText" dxfId="15" priority="4" operator="containsText" text="COMPLETE"/>
    <x:cfRule type="containsText" dxfId="16" priority="5" operator="containsText" text="HOLD"/>
    <x:cfRule type="containsText" dxfId="17" priority="6" operator="containsText" text="OPEN"/>
    <x:cfRule type="containsText" dxfId="18" priority="7" operator="containsText" text="SAFE_STOP"/>
    <x:cfRule type="containsText" dxfId="19" priority="8" operator="containsText" text="BLOCKED"/>
    <x:cfRule type="containsText" dxfId="20" priority="9" operator="containsText" text="PLANNING"/>
    <x:cfRule type="containsText" dxfId="21" priority="10" operator="containsText" text="FAIL"/>
    <x:cfRule type="containsText" dxfId="22" priority="11" operator="containsText" text="REJECT"/>
    <x:cfRule type="containsText" dxfId="23" priority="12" operator="containsText" text="BREACH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9" hidden="0" customWidth="1"/>
    <x:col min="3" max="3" width="28" hidden="0" customWidth="1"/>
    <x:col min="4" max="4" width="45" hidden="0" customWidth="1"/>
    <x:col min="5" max="5" width="10" hidden="0" customWidth="1"/>
    <x:col min="6" max="6" width="11" hidden="0" customWidth="1"/>
    <x:col min="7" max="7" width="9" hidden="0" customWidth="1"/>
    <x:col min="8" max="8" width="11" hidden="0" customWidth="1"/>
    <x:col min="9" max="9" width="14" hidden="0" customWidth="1"/>
    <x:col min="10" max="10" width="13" hidden="0" customWidth="1"/>
    <x:col min="11" max="11" width="17" hidden="0" customWidth="1"/>
    <x:col min="12" max="12" width="17" hidden="0" customWidth="1"/>
    <x:col min="13" max="13" width="13" hidden="0" customWidth="1"/>
    <x:col min="14" max="14" width="13" hidden="0" customWidth="1"/>
    <x:col min="15" max="15" width="18" hidden="0" customWidth="1"/>
    <x:col min="16" max="16" width="16" hidden="0" customWidth="1"/>
    <x:col min="17" max="17" width="15" hidden="0" customWidth="1"/>
    <x:col min="18" max="18" width="14" hidden="0" customWidth="1"/>
  </x:cols>
  <x:sheetData>
    <x:row r="2">
      <x:c r="B2" s="1" t="str">
        <x:v>Campus-regeneration architecture competition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</x:row>
    <x:row r="3">
      <x:c r="B3" s="2" t="str">
        <x:v>Hard gates decide the architecture. Lower cost cannot compensate for root, no-borrow or deadline failure.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  <x:c r="P3" s="38"/>
      <x:c r="Q3" s="38"/>
      <x:c r="R3" s="38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</x:row>
    <x:row r="6">
      <x:c r="B6" s="7" t="str">
        <x:v>ID</x:v>
      </x:c>
      <x:c r="C6" s="7" t="str">
        <x:v>Architecture</x:v>
      </x:c>
      <x:c r="D6" s="7" t="str">
        <x:v>Standing proposition</x:v>
      </x:c>
      <x:c r="E6" s="7" t="str">
        <x:v>Roots</x:v>
      </x:c>
      <x:c r="F6" s="7" t="str">
        <x:v>Shipsets</x:v>
      </x:c>
      <x:c r="G6" s="7" t="str">
        <x:v>Sites</x:v>
      </x:c>
      <x:c r="H6" s="7" t="str">
        <x:v>Arsenals</x:v>
      </x:c>
      <x:c r="I6" s="7" t="str">
        <x:v>Public billets</x:v>
      </x:c>
      <x:c r="J6" s="7" t="str">
        <x:v>Affiliates</x:v>
      </x:c>
      <x:c r="K6" s="7" t="str">
        <x:v>Capital (USD B)</x:v>
      </x:c>
      <x:c r="L6" s="7" t="str">
        <x:v>Annual (USD B)</x:v>
      </x:c>
      <x:c r="M6" s="7" t="str">
        <x:v>Worst days</x:v>
      </x:c>
      <x:c r="N6" s="7" t="str">
        <x:v>No-borrow</x:v>
      </x:c>
      <x:c r="O6" s="7" t="str">
        <x:v>Compound survival</x:v>
      </x:c>
      <x:c r="P6" s="7" t="str">
        <x:v>Schedule reserve</x:v>
      </x:c>
      <x:c r="Q6" s="7" t="str">
        <x:v>Mission gates</x:v>
      </x:c>
      <x:c r="R6" s="7" t="str">
        <x:v>Decision</x:v>
      </x:c>
    </x:row>
    <x:row r="7">
      <x:c r="B7" s="9" t="str">
        <x:v>R0</x:v>
      </x:c>
      <x:c r="C7" s="9" t="str">
        <x:v>BESPOKE_REBUILD</x:v>
      </x:c>
      <x:c r="D7" s="9" t="str">
        <x:v>fund and contract after loss</x:v>
      </x:c>
      <x:c r="E7" s="9" t="n">
        <x:v>0</x:v>
      </x:c>
      <x:c r="F7" s="9" t="n">
        <x:v>0</x:v>
      </x:c>
      <x:c r="G7" s="9" t="n">
        <x:v>0</x:v>
      </x:c>
      <x:c r="H7" s="9" t="n">
        <x:v>0</x:v>
      </x:c>
      <x:c r="I7" s="9" t="n">
        <x:v>0</x:v>
      </x:c>
      <x:c r="J7" s="9" t="n">
        <x:v>0</x:v>
      </x:c>
      <x:c r="K7" s="20" t="n">
        <x:v>1.34</x:v>
      </x:c>
      <x:c r="L7" s="20" t="n">
        <x:v>0.025</x:v>
      </x:c>
      <x:c r="M7" s="9" t="n">
        <x:v>420</x:v>
      </x:c>
      <x:c r="N7" s="9" t="n">
        <x:v>0</x:v>
      </x:c>
      <x:c r="O7" s="9" t="n">
        <x:v>0</x:v>
      </x:c>
      <x:c r="P7" s="28" t="n">
        <x:f>'Controls'!$D$7-M7</x:f>
        <x:v>-240</x:v>
      </x:c>
      <x:c r="Q7" s="9" t="str">
        <x:f>IF(AND(P7&gt;='Controls'!$D$7*'Controls'!$D$8,N7=1,O7=1),"PASS","FAIL")</x:f>
        <x:v>FAIL</x:v>
      </x:c>
      <x:c r="R7" s="9" t="str">
        <x:f>IF(Q7="PASS","SELECT","REJECT")</x:f>
        <x:v>REJECT</x:v>
      </x:c>
    </x:row>
    <x:row r="8">
      <x:c r="B8" s="9" t="str">
        <x:v>R1</x:v>
      </x:c>
      <x:c r="C8" s="9" t="str">
        <x:v>CENTRAL_SHIPSET</x:v>
      </x:c>
      <x:c r="D8" s="9" t="str">
        <x:v>one shipset and one receiver</x:v>
      </x:c>
      <x:c r="E8" s="9" t="n">
        <x:v>1</x:v>
      </x:c>
      <x:c r="F8" s="9" t="n">
        <x:v>1</x:v>
      </x:c>
      <x:c r="G8" s="9" t="n">
        <x:v>1</x:v>
      </x:c>
      <x:c r="H8" s="9" t="n">
        <x:v>1</x:v>
      </x:c>
      <x:c r="I8" s="9" t="n">
        <x:v>80</x:v>
      </x:c>
      <x:c r="J8" s="9" t="n">
        <x:v>350</x:v>
      </x:c>
      <x:c r="K8" s="20" t="n">
        <x:v>2.62</x:v>
      </x:c>
      <x:c r="L8" s="20" t="n">
        <x:v>0.16</x:v>
      </x:c>
      <x:c r="M8" s="9" t="n">
        <x:v>238</x:v>
      </x:c>
      <x:c r="N8" s="9" t="n">
        <x:v>0</x:v>
      </x:c>
      <x:c r="O8" s="9" t="n">
        <x:v>0</x:v>
      </x:c>
      <x:c r="P8" s="28" t="n">
        <x:f>'Controls'!$D$7-M8</x:f>
        <x:v>-58</x:v>
      </x:c>
      <x:c r="Q8" s="9" t="str">
        <x:f>IF(AND(P8&gt;='Controls'!$D$7*'Controls'!$D$8,N8=1,O8=1),"PASS","FAIL")</x:f>
        <x:v>FAIL</x:v>
      </x:c>
      <x:c r="R8" s="9" t="str">
        <x:f>IF(Q8="PASS","SELECT","REJECT")</x:f>
        <x:v>REJECT</x:v>
      </x:c>
    </x:row>
    <x:row r="9">
      <x:c r="B9" s="9" t="str">
        <x:v>R2</x:v>
      </x:c>
      <x:c r="C9" s="9" t="str">
        <x:v>DISTRIBUTED_SINGLE_ROOT</x:v>
      </x:c>
      <x:c r="D9" s="9" t="str">
        <x:v>two shipsets and four sites under one root</x:v>
      </x:c>
      <x:c r="E9" s="9" t="n">
        <x:v>1</x:v>
      </x:c>
      <x:c r="F9" s="9" t="n">
        <x:v>2</x:v>
      </x:c>
      <x:c r="G9" s="9" t="n">
        <x:v>4</x:v>
      </x:c>
      <x:c r="H9" s="9" t="n">
        <x:v>4</x:v>
      </x:c>
      <x:c r="I9" s="9" t="n">
        <x:v>160</x:v>
      </x:c>
      <x:c r="J9" s="9" t="n">
        <x:v>800</x:v>
      </x:c>
      <x:c r="K9" s="20" t="n">
        <x:v>4.4</x:v>
      </x:c>
      <x:c r="L9" s="20" t="n">
        <x:v>0.286</x:v>
      </x:c>
      <x:c r="M9" s="9" t="n">
        <x:v>176</x:v>
      </x:c>
      <x:c r="N9" s="9" t="n">
        <x:v>1</x:v>
      </x:c>
      <x:c r="O9" s="9" t="n">
        <x:v>0</x:v>
      </x:c>
      <x:c r="P9" s="28" t="n">
        <x:f>'Controls'!$D$7-M9</x:f>
        <x:v>4</x:v>
      </x:c>
      <x:c r="Q9" s="9" t="str">
        <x:f>IF(AND(P9&gt;='Controls'!$D$7*'Controls'!$D$8,N9=1,O9=1),"PASS","FAIL")</x:f>
        <x:v>FAIL</x:v>
      </x:c>
      <x:c r="R9" s="9" t="str">
        <x:f>IF(Q9="PASS","SELECT","REJECT")</x:f>
        <x:v>REJECT</x:v>
      </x:c>
    </x:row>
    <x:row r="10">
      <x:c r="B10" s="10" t="str">
        <x:v>R3</x:v>
      </x:c>
      <x:c r="C10" s="10" t="str">
        <x:v>CRS-1</x:v>
      </x:c>
      <x:c r="D10" s="10" t="str">
        <x:v>four shipsets, dual roots and separate formation</x:v>
      </x:c>
      <x:c r="E10" s="10" t="n">
        <x:v>2</x:v>
      </x:c>
      <x:c r="F10" s="10" t="n">
        <x:v>4</x:v>
      </x:c>
      <x:c r="G10" s="10" t="n">
        <x:v>6</x:v>
      </x:c>
      <x:c r="H10" s="10" t="n">
        <x:v>4</x:v>
      </x:c>
      <x:c r="I10" s="10" t="n">
        <x:v>300</x:v>
      </x:c>
      <x:c r="J10" s="10" t="n">
        <x:v>1400</x:v>
      </x:c>
      <x:c r="K10" s="24" t="n">
        <x:v>10</x:v>
      </x:c>
      <x:c r="L10" s="24" t="n">
        <x:v>0.62</x:v>
      </x:c>
      <x:c r="M10" s="10" t="n">
        <x:v>162</x:v>
      </x:c>
      <x:c r="N10" s="10" t="n">
        <x:v>1</x:v>
      </x:c>
      <x:c r="O10" s="10" t="n">
        <x:v>1</x:v>
      </x:c>
      <x:c r="P10" s="29" t="n">
        <x:f>'Controls'!$D$7-M10</x:f>
        <x:v>18</x:v>
      </x:c>
      <x:c r="Q10" s="10" t="str">
        <x:f>IF(AND(P10&gt;='Controls'!$D$7*'Controls'!$D$8,N10=1,O10=1),"PASS","FAIL")</x:f>
        <x:v>PASS</x:v>
      </x:c>
      <x:c r="R10" s="10" t="str">
        <x:f>IF(Q10="PASS","SELECT","REJECT")</x:f>
        <x:v>SELECT</x:v>
      </x:c>
    </x:row>
    <x:row r="11">
      <x:c r="B11" s="38"/>
      <x:c r="C11" s="38"/>
      <x:c r="D11" s="38"/>
      <x:c r="E11" s="38"/>
      <x:c r="F11" s="38"/>
      <x:c r="G11" s="38"/>
      <x:c r="H11" s="38"/>
      <x:c r="I11" s="38"/>
      <x:c r="J11" s="38"/>
      <x:c r="K11" s="38"/>
      <x:c r="L11" s="38"/>
      <x:c r="M11" s="38"/>
      <x:c r="N11" s="38"/>
      <x:c r="O11" s="38"/>
      <x:c r="P11" s="38"/>
      <x:c r="Q11" s="38"/>
      <x:c r="R11" s="38"/>
    </x:row>
    <x:row r="12">
      <x:c r="B12" s="38"/>
      <x:c r="C12" s="38"/>
      <x:c r="D12" s="38"/>
      <x:c r="E12" s="38"/>
      <x:c r="F12" s="38"/>
      <x:c r="G12" s="38"/>
      <x:c r="H12" s="38"/>
      <x:c r="I12" s="38"/>
      <x:c r="J12" s="38"/>
      <x:c r="K12" s="38"/>
      <x:c r="L12" s="38"/>
      <x:c r="M12" s="38"/>
      <x:c r="N12" s="38"/>
      <x:c r="O12" s="38"/>
      <x:c r="P12" s="38"/>
      <x:c r="Q12" s="38"/>
      <x:c r="R12" s="38"/>
    </x:row>
    <x:row r="13"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  <x:c r="M13" s="38"/>
      <x:c r="N13" s="38"/>
      <x:c r="O13" s="38"/>
      <x:c r="P13" s="38"/>
      <x:c r="Q13" s="38"/>
      <x:c r="R13" s="38"/>
    </x:row>
    <x:row r="14">
      <x:c r="B14" s="32" t="str">
        <x:v>Interpretation</x:v>
      </x:c>
      <x:c r="C14" s="33" t="str">
        <x:v>Interpretation</x:v>
      </x:c>
      <x:c r="D14" s="33" t="str">
        <x:v>Interpretation</x:v>
      </x:c>
      <x:c r="E14" s="33" t="str">
        <x:v>Interpretation</x:v>
      </x:c>
      <x:c r="F14" s="33" t="str">
        <x:v>Interpretation</x:v>
      </x:c>
      <x:c r="G14" s="33" t="str">
        <x:v>Interpretation</x:v>
      </x:c>
      <x:c r="H14" s="33" t="str">
        <x:v>Interpretation</x:v>
      </x:c>
      <x:c r="I14" s="33" t="str">
        <x:v>Interpretation</x:v>
      </x:c>
      <x:c r="J14" s="33" t="str">
        <x:v>Interpretation</x:v>
      </x:c>
      <x:c r="K14" s="33" t="str">
        <x:v>Interpretation</x:v>
      </x:c>
      <x:c r="L14" s="33" t="str">
        <x:v>Interpretation</x:v>
      </x:c>
      <x:c r="M14" s="33" t="str">
        <x:v>Interpretation</x:v>
      </x:c>
      <x:c r="N14" s="33" t="str">
        <x:v>Interpretation</x:v>
      </x:c>
      <x:c r="O14" s="33" t="str">
        <x:v>Interpretation</x:v>
      </x:c>
      <x:c r="P14" s="33" t="str">
        <x:v>Interpretation</x:v>
      </x:c>
      <x:c r="Q14" s="33" t="str">
        <x:v>Interpretation</x:v>
      </x:c>
      <x:c r="R14" s="34" t="str">
        <x:v>Interpretation</x:v>
      </x:c>
    </x:row>
    <x:row r="15" ht="34" customHeight="1">
      <x:c r="B15" s="15" t="str">
        <x:v>R0</x:v>
      </x:c>
      <x:c r="C15" s="41" t="str">
        <x:v>No standing site, people, equipment or executable root exists when the clock begins.</x:v>
      </x:c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</x:row>
    <x:row r="16" ht="34" customHeight="1">
      <x:c r="B16" s="15" t="str">
        <x:v>R1</x:v>
      </x:c>
      <x:c r="C16" s="41" t="str">
        <x:v>Central inventory is removed by a single node loss and misses the deadline.</x:v>
      </x:c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</x:row>
    <x:row r="17" ht="34" customHeight="1">
      <x:c r="B17" s="15" t="str">
        <x:v>R2</x:v>
      </x:c>
      <x:c r="C17" s="41" t="str">
        <x:v>Geographic distribution remains one technical root and has only four days before day 180.</x:v>
      </x:c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</x:row>
    <x:row r="18" ht="34" customHeight="1">
      <x:c r="B18" s="15" t="str">
        <x:v>R3</x:v>
      </x:c>
      <x:c r="C18" s="41" t="str">
        <x:v>First architecture to retain a complete root-coherent path after one root plus one arsenal loss.</x:v>
      </x:c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</x:row>
  </x:sheetData>
  <x:mergeCells>
    <x:mergeCell ref="B2:R2"/>
    <x:mergeCell ref="B3:R3"/>
    <x:mergeCell ref="B14:R14"/>
    <x:mergeCell ref="C15:R15"/>
    <x:mergeCell ref="C16:R16"/>
    <x:mergeCell ref="C17:R17"/>
    <x:mergeCell ref="C18:R18"/>
  </x:mergeCells>
  <x:conditionalFormatting sqref="Q7:R10">
    <x:cfRule type="containsText" dxfId="24" priority="1" operator="containsText" text="PASS"/>
    <x:cfRule type="containsText" dxfId="25" priority="2" operator="containsText" text="SELECT"/>
    <x:cfRule type="containsText" dxfId="26" priority="3" operator="containsText" text="AUTHORIZED"/>
    <x:cfRule type="containsText" dxfId="27" priority="4" operator="containsText" text="COMPLETE"/>
    <x:cfRule type="containsText" dxfId="28" priority="5" operator="containsText" text="HOLD"/>
    <x:cfRule type="containsText" dxfId="29" priority="6" operator="containsText" text="OPEN"/>
    <x:cfRule type="containsText" dxfId="30" priority="7" operator="containsText" text="SAFE_STOP"/>
    <x:cfRule type="containsText" dxfId="31" priority="8" operator="containsText" text="BLOCKED"/>
    <x:cfRule type="containsText" dxfId="32" priority="9" operator="containsText" text="PLANNING"/>
    <x:cfRule type="containsText" dxfId="33" priority="10" operator="containsText" text="FAIL"/>
    <x:cfRule type="containsText" dxfId="34" priority="11" operator="containsText" text="REJECT"/>
    <x:cfRule type="containsText" dxfId="35" priority="12" operator="containsText" text="BREACH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47" hidden="0" customWidth="1"/>
    <x:col min="4" max="4" width="40" hidden="0" customWidth="1"/>
    <x:col min="5" max="5" width="16" hidden="0" customWidth="1"/>
    <x:col min="6" max="6" width="12" hidden="0" customWidth="1"/>
    <x:col min="7" max="7" width="17" hidden="0" customWidth="1"/>
    <x:col min="8" max="8" width="13" hidden="0" customWidth="1"/>
    <x:col min="9" max="9" width="14" hidden="0" customWidth="1"/>
    <x:col min="10" max="10" width="18" hidden="0" customWidth="1"/>
  </x:cols>
  <x:sheetData>
    <x:row r="2">
      <x:c r="B2" s="1" t="str">
        <x:v>Declared reconstruction failure worlds</x:v>
      </x:c>
      <x:c r="C2" s="38"/>
      <x:c r="D2" s="38"/>
      <x:c r="E2" s="38"/>
      <x:c r="F2" s="38"/>
      <x:c r="G2" s="38"/>
      <x:c r="H2" s="38"/>
      <x:c r="I2" s="38"/>
      <x:c r="J2" s="38"/>
    </x:row>
    <x:row r="3">
      <x:c r="B3" s="2" t="str">
        <x:v>Planning times are hypotheses. W12 is a lawful stop, not a fabricated mission completion.</x:v>
      </x:c>
      <x:c r="C3" s="38"/>
      <x:c r="D3" s="38"/>
      <x:c r="E3" s="38"/>
      <x:c r="F3" s="38"/>
      <x:c r="G3" s="38"/>
      <x:c r="H3" s="38"/>
      <x:c r="I3" s="38"/>
      <x:c r="J3" s="38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</x:row>
    <x:row r="6">
      <x:c r="B6" s="7" t="str">
        <x:v>World</x:v>
      </x:c>
      <x:c r="C6" s="7" t="str">
        <x:v>Injected loss</x:v>
      </x:c>
      <x:c r="D6" s="7" t="str">
        <x:v>Required terminal</x:v>
      </x:c>
      <x:c r="E6" s="7" t="str">
        <x:v>Planning days</x:v>
      </x:c>
      <x:c r="F6" s="7" t="str">
        <x:v>Class</x:v>
      </x:c>
      <x:c r="G6" s="7" t="str">
        <x:v>Internal target</x:v>
      </x:c>
      <x:c r="H6" s="7" t="str">
        <x:v>Margin</x:v>
      </x:c>
      <x:c r="I6" s="7" t="str">
        <x:v>Gate</x:v>
      </x:c>
      <x:c r="J6" s="7" t="str">
        <x:v>Physical evidence</x:v>
      </x:c>
    </x:row>
    <x:row r="7">
      <x:c r="B7" s="9" t="str">
        <x:v>W01</x:v>
      </x:c>
      <x:c r="C7" s="9" t="str">
        <x:v>Complete campus destruction</x:v>
      </x:c>
      <x:c r="D7" s="9" t="str">
        <x:v>replacement admitted</x:v>
      </x:c>
      <x:c r="E7" s="28" t="n">
        <x:v>146</x:v>
      </x:c>
      <x:c r="F7" s="9" t="str">
        <x:v>MISSION</x:v>
      </x:c>
      <x:c r="G7" s="28" t="n">
        <x:f>'Controls'!$D$9</x:f>
        <x:v>162</x:v>
      </x:c>
      <x:c r="H7" s="28" t="n">
        <x:f>IF(F7="MISSION",G7-E7,"n.a.")</x:f>
        <x:v>16</x:v>
      </x:c>
      <x:c r="I7" s="9" t="str">
        <x:f>IF(F7="MISSION",IF(E7&lt;=G7,"PASS","FAIL"),IF(D7="SAFE_STOP","PASS","FAIL"))</x:f>
        <x:v>PASS</x:v>
      </x:c>
      <x:c r="J7" s="9" t="str">
        <x:v>OPEN</x:v>
      </x:c>
    </x:row>
    <x:row r="8">
      <x:c r="B8" s="9" t="str">
        <x:v>W02</x:v>
      </x:c>
      <x:c r="C8" s="9" t="str">
        <x:v>Destroyed region inaccessible</x:v>
      </x:c>
      <x:c r="D8" s="9" t="str">
        <x:v>alternate receiver admitted</x:v>
      </x:c>
      <x:c r="E8" s="28" t="n">
        <x:v>150</x:v>
      </x:c>
      <x:c r="F8" s="9" t="str">
        <x:v>MISSION</x:v>
      </x:c>
      <x:c r="G8" s="28" t="n">
        <x:f>'Controls'!$D$9</x:f>
        <x:v>162</x:v>
      </x:c>
      <x:c r="H8" s="28" t="n">
        <x:f>IF(F8="MISSION",G8-E8,"n.a.")</x:f>
        <x:v>12</x:v>
      </x:c>
      <x:c r="I8" s="9" t="str">
        <x:f>IF(F8="MISSION",IF(E8&lt;=G8,"PASS","FAIL"),IF(D8="SAFE_STOP","PASS","FAIL"))</x:f>
        <x:v>PASS</x:v>
      </x:c>
      <x:c r="J8" s="9" t="str">
        <x:v>OPEN</x:v>
      </x:c>
    </x:row>
    <x:row r="9">
      <x:c r="B9" s="9" t="str">
        <x:v>W03</x:v>
      </x:c>
      <x:c r="C9" s="9" t="str">
        <x:v>One module arsenal lost</x:v>
      </x:c>
      <x:c r="D9" s="9" t="str">
        <x:v>complete surviving shipset admitted</x:v>
      </x:c>
      <x:c r="E9" s="28" t="n">
        <x:v>154</x:v>
      </x:c>
      <x:c r="F9" s="9" t="str">
        <x:v>MISSION</x:v>
      </x:c>
      <x:c r="G9" s="28" t="n">
        <x:f>'Controls'!$D$9</x:f>
        <x:v>162</x:v>
      </x:c>
      <x:c r="H9" s="28" t="n">
        <x:f>IF(F9="MISSION",G9-E9,"n.a.")</x:f>
        <x:v>8</x:v>
      </x:c>
      <x:c r="I9" s="9" t="str">
        <x:f>IF(F9="MISSION",IF(E9&lt;=G9,"PASS","FAIL"),IF(D9="SAFE_STOP","PASS","FAIL"))</x:f>
        <x:v>PASS</x:v>
      </x:c>
      <x:c r="J9" s="9" t="str">
        <x:v>OPEN</x:v>
      </x:c>
    </x:row>
    <x:row r="10">
      <x:c r="B10" s="9" t="str">
        <x:v>W04</x:v>
      </x:c>
      <x:c r="C10" s="9" t="str">
        <x:v>One industrial root denied</x:v>
      </x:c>
      <x:c r="D10" s="9" t="str">
        <x:v>unlike-root shipset admitted</x:v>
      </x:c>
      <x:c r="E10" s="28" t="n">
        <x:v>158</x:v>
      </x:c>
      <x:c r="F10" s="9" t="str">
        <x:v>MISSION</x:v>
      </x:c>
      <x:c r="G10" s="28" t="n">
        <x:f>'Controls'!$D$9</x:f>
        <x:v>162</x:v>
      </x:c>
      <x:c r="H10" s="28" t="n">
        <x:f>IF(F10="MISSION",G10-E10,"n.a.")</x:f>
        <x:v>4</x:v>
      </x:c>
      <x:c r="I10" s="9" t="str">
        <x:f>IF(F10="MISSION",IF(E10&lt;=G10,"PASS","FAIL"),IF(D10="SAFE_STOP","PASS","FAIL"))</x:f>
        <x:v>PASS</x:v>
      </x:c>
      <x:c r="J10" s="9" t="str">
        <x:v>OPEN</x:v>
      </x:c>
    </x:row>
    <x:row r="11">
      <x:c r="B11" s="9" t="str">
        <x:v>W05</x:v>
      </x:c>
      <x:c r="C11" s="9" t="str">
        <x:v>One root and one arsenal denied</x:v>
      </x:c>
      <x:c r="D11" s="9" t="str">
        <x:v>root-coherent shipset admitted</x:v>
      </x:c>
      <x:c r="E11" s="28" t="n">
        <x:v>162</x:v>
      </x:c>
      <x:c r="F11" s="9" t="str">
        <x:v>MISSION</x:v>
      </x:c>
      <x:c r="G11" s="28" t="n">
        <x:f>'Controls'!$D$9</x:f>
        <x:v>162</x:v>
      </x:c>
      <x:c r="H11" s="28" t="n">
        <x:f>IF(F11="MISSION",G11-E11,"n.a.")</x:f>
        <x:v>0</x:v>
      </x:c>
      <x:c r="I11" s="9" t="str">
        <x:f>IF(F11="MISSION",IF(E11&lt;=G11,"PASS","FAIL"),IF(D11="SAFE_STOP","PASS","FAIL"))</x:f>
        <x:v>PASS</x:v>
      </x:c>
      <x:c r="J11" s="9" t="str">
        <x:v>OPEN</x:v>
      </x:c>
    </x:row>
    <x:row r="12">
      <x:c r="B12" s="9" t="str">
        <x:v>W06</x:v>
      </x:c>
      <x:c r="C12" s="9" t="str">
        <x:v>Receiver grid unavailable</x:v>
      </x:c>
      <x:c r="D12" s="9" t="str">
        <x:v>island utility chain admitted</x:v>
      </x:c>
      <x:c r="E12" s="28" t="n">
        <x:v>152</x:v>
      </x:c>
      <x:c r="F12" s="9" t="str">
        <x:v>MISSION</x:v>
      </x:c>
      <x:c r="G12" s="28" t="n">
        <x:f>'Controls'!$D$9</x:f>
        <x:v>162</x:v>
      </x:c>
      <x:c r="H12" s="28" t="n">
        <x:f>IF(F12="MISSION",G12-E12,"n.a.")</x:f>
        <x:v>10</x:v>
      </x:c>
      <x:c r="I12" s="9" t="str">
        <x:f>IF(F12="MISSION",IF(E12&lt;=G12,"PASS","FAIL"),IF(D12="SAFE_STOP","PASS","FAIL"))</x:f>
        <x:v>PASS</x:v>
      </x:c>
      <x:c r="J12" s="9" t="str">
        <x:v>OPEN</x:v>
      </x:c>
    </x:row>
    <x:row r="13">
      <x:c r="B13" s="9" t="str">
        <x:v>W07</x:v>
      </x:c>
      <x:c r="C13" s="9" t="str">
        <x:v>Intended source water unavailable</x:v>
      </x:c>
      <x:c r="D13" s="9" t="str">
        <x:v>alternate source and receiver admitted</x:v>
      </x:c>
      <x:c r="E13" s="28" t="n">
        <x:v>155</x:v>
      </x:c>
      <x:c r="F13" s="9" t="str">
        <x:v>MISSION</x:v>
      </x:c>
      <x:c r="G13" s="28" t="n">
        <x:f>'Controls'!$D$9</x:f>
        <x:v>162</x:v>
      </x:c>
      <x:c r="H13" s="28" t="n">
        <x:f>IF(F13="MISSION",G13-E13,"n.a.")</x:f>
        <x:v>7</x:v>
      </x:c>
      <x:c r="I13" s="9" t="str">
        <x:f>IF(F13="MISSION",IF(E13&lt;=G13,"PASS","FAIL"),IF(D13="SAFE_STOP","PASS","FAIL"))</x:f>
        <x:v>PASS</x:v>
      </x:c>
      <x:c r="J13" s="9" t="str">
        <x:v>OPEN</x:v>
      </x:c>
    </x:row>
    <x:row r="14">
      <x:c r="B14" s="9" t="str">
        <x:v>W08</x:v>
      </x:c>
      <x:c r="C14" s="9" t="str">
        <x:v>Primary heavy route cut</x:v>
      </x:c>
      <x:c r="D14" s="9" t="str">
        <x:v>bypass movement completed</x:v>
      </x:c>
      <x:c r="E14" s="28" t="n">
        <x:v>157</x:v>
      </x:c>
      <x:c r="F14" s="9" t="str">
        <x:v>MISSION</x:v>
      </x:c>
      <x:c r="G14" s="28" t="n">
        <x:f>'Controls'!$D$9</x:f>
        <x:v>162</x:v>
      </x:c>
      <x:c r="H14" s="28" t="n">
        <x:f>IF(F14="MISSION",G14-E14,"n.a.")</x:f>
        <x:v>5</x:v>
      </x:c>
      <x:c r="I14" s="9" t="str">
        <x:f>IF(F14="MISSION",IF(E14&lt;=G14,"PASS","FAIL"),IF(D14="SAFE_STOP","PASS","FAIL"))</x:f>
        <x:v>PASS</x:v>
      </x:c>
      <x:c r="J14" s="9" t="str">
        <x:v>OPEN</x:v>
      </x:c>
    </x:row>
    <x:row r="15">
      <x:c r="B15" s="9" t="str">
        <x:v>W09</x:v>
      </x:c>
      <x:c r="C15" s="9" t="str">
        <x:v>Contaminated debris and waste route</x:v>
      </x:c>
      <x:c r="D15" s="9" t="str">
        <x:v>clean isolated waste chain admitted</x:v>
      </x:c>
      <x:c r="E15" s="28" t="n">
        <x:v>160</x:v>
      </x:c>
      <x:c r="F15" s="9" t="str">
        <x:v>MISSION</x:v>
      </x:c>
      <x:c r="G15" s="28" t="n">
        <x:f>'Controls'!$D$9</x:f>
        <x:v>162</x:v>
      </x:c>
      <x:c r="H15" s="28" t="n">
        <x:f>IF(F15="MISSION",G15-E15,"n.a.")</x:f>
        <x:v>2</x:v>
      </x:c>
      <x:c r="I15" s="9" t="str">
        <x:f>IF(F15="MISSION",IF(E15&lt;=G15,"PASS","FAIL"),IF(D15="SAFE_STOP","PASS","FAIL"))</x:f>
        <x:v>PASS</x:v>
      </x:c>
      <x:c r="J15" s="9" t="str">
        <x:v>OPEN</x:v>
      </x:c>
    </x:row>
    <x:row r="16">
      <x:c r="B16" s="9" t="str">
        <x:v>W10</x:v>
      </x:c>
      <x:c r="C16" s="9" t="str">
        <x:v>National network and signing service unavailable</x:v>
      </x:c>
      <x:c r="D16" s="9" t="str">
        <x:v>offline evidence chain admitted</x:v>
      </x:c>
      <x:c r="E16" s="28" t="n">
        <x:v>149</x:v>
      </x:c>
      <x:c r="F16" s="9" t="str">
        <x:v>MISSION</x:v>
      </x:c>
      <x:c r="G16" s="28" t="n">
        <x:f>'Controls'!$D$9</x:f>
        <x:v>162</x:v>
      </x:c>
      <x:c r="H16" s="28" t="n">
        <x:f>IF(F16="MISSION",G16-E16,"n.a.")</x:f>
        <x:v>13</x:v>
      </x:c>
      <x:c r="I16" s="9" t="str">
        <x:f>IF(F16="MISSION",IF(E16&lt;=G16,"PASS","FAIL"),IF(D16="SAFE_STOP","PASS","FAIL"))</x:f>
        <x:v>PASS</x:v>
      </x:c>
      <x:c r="J16" s="9" t="str">
        <x:v>OPEN</x:v>
      </x:c>
    </x:row>
    <x:row r="17">
      <x:c r="B17" s="9" t="str">
        <x:v>W11</x:v>
      </x:c>
      <x:c r="C17" s="9" t="str">
        <x:v>Twenty percent non-muster and one reference cache lost</x:v>
      </x:c>
      <x:c r="D17" s="9" t="str">
        <x:v>reserve roster and reference admitted</x:v>
      </x:c>
      <x:c r="E17" s="28" t="n">
        <x:v>161</x:v>
      </x:c>
      <x:c r="F17" s="9" t="str">
        <x:v>MISSION</x:v>
      </x:c>
      <x:c r="G17" s="28" t="n">
        <x:f>'Controls'!$D$9</x:f>
        <x:v>162</x:v>
      </x:c>
      <x:c r="H17" s="28" t="n">
        <x:f>IF(F17="MISSION",G17-E17,"n.a.")</x:f>
        <x:v>1</x:v>
      </x:c>
      <x:c r="I17" s="9" t="str">
        <x:f>IF(F17="MISSION",IF(E17&lt;=G17,"PASS","FAIL"),IF(D17="SAFE_STOP","PASS","FAIL"))</x:f>
        <x:v>PASS</x:v>
      </x:c>
      <x:c r="J17" s="9" t="str">
        <x:v>OPEN</x:v>
      </x:c>
    </x:row>
    <x:row r="18">
      <x:c r="B18" s="10" t="str">
        <x:v>W12</x:v>
      </x:c>
      <x:c r="C18" s="10" t="str">
        <x:v>Second active-campus loss during rebuild</x:v>
      </x:c>
      <x:c r="D18" s="10" t="str">
        <x:v>SAFE_STOP</x:v>
      </x:c>
      <x:c r="E18" s="29"/>
      <x:c r="F18" s="10" t="str">
        <x:v>STOP</x:v>
      </x:c>
      <x:c r="G18" s="29" t="n">
        <x:f>'Controls'!$D$9</x:f>
        <x:v>162</x:v>
      </x:c>
      <x:c r="H18" s="29" t="str">
        <x:f>IF(F18="MISSION",G18-E18,"n.a.")</x:f>
        <x:v>n.a.</x:v>
      </x:c>
      <x:c r="I18" s="10" t="str">
        <x:f>IF(F18="MISSION",IF(E18&lt;=G18,"PASS","FAIL"),IF(D18="SAFE_STOP","PASS","FAIL"))</x:f>
        <x:v>PASS</x:v>
      </x:c>
      <x:c r="J18" s="10" t="str">
        <x:v>OPEN</x:v>
      </x:c>
    </x:row>
  </x:sheetData>
  <x:mergeCells>
    <x:mergeCell ref="B2:J2"/>
    <x:mergeCell ref="B3:J3"/>
  </x:mergeCells>
  <x:conditionalFormatting sqref="I7:J18">
    <x:cfRule type="containsText" dxfId="36" priority="1" operator="containsText" text="PASS"/>
    <x:cfRule type="containsText" dxfId="37" priority="2" operator="containsText" text="SELECT"/>
    <x:cfRule type="containsText" dxfId="38" priority="3" operator="containsText" text="AUTHORIZED"/>
    <x:cfRule type="containsText" dxfId="39" priority="4" operator="containsText" text="COMPLETE"/>
    <x:cfRule type="containsText" dxfId="40" priority="5" operator="containsText" text="HOLD"/>
    <x:cfRule type="containsText" dxfId="41" priority="6" operator="containsText" text="OPEN"/>
    <x:cfRule type="containsText" dxfId="42" priority="7" operator="containsText" text="SAFE_STOP"/>
    <x:cfRule type="containsText" dxfId="43" priority="8" operator="containsText" text="BLOCKED"/>
    <x:cfRule type="containsText" dxfId="44" priority="9" operator="containsText" text="PLANNING"/>
    <x:cfRule type="containsText" dxfId="45" priority="10" operator="containsText" text="FAIL"/>
    <x:cfRule type="containsText" dxfId="46" priority="11" operator="containsText" text="REJECT"/>
    <x:cfRule type="containsText" dxfId="47" priority="12" operator="containsText" text="BREACH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4" hidden="0" customWidth="1"/>
    <x:col min="3" max="3" width="19" hidden="0" customWidth="1"/>
    <x:col min="4" max="4" width="24" hidden="0" customWidth="1"/>
    <x:col min="5" max="5" width="28" hidden="0" customWidth="1"/>
    <x:col min="6" max="6" width="16" hidden="0" customWidth="1"/>
    <x:col min="7" max="7" width="14" hidden="0" customWidth="1"/>
    <x:col min="8" max="8" width="15" hidden="0" customWidth="1"/>
  </x:cols>
  <x:sheetData>
    <x:row r="2">
      <x:c r="B2" s="1" t="str">
        <x:v>Integer shipset and compound-loss logic</x:v>
      </x:c>
      <x:c r="C2" s="38"/>
      <x:c r="D2" s="38"/>
      <x:c r="E2" s="38"/>
      <x:c r="F2" s="38"/>
      <x:c r="G2" s="38"/>
      <x:c r="H2" s="38"/>
    </x:row>
    <x:row r="3">
      <x:c r="B3" s="2" t="str">
        <x:v>Four full shipsets are the minimum conservative solution while singleton services remain indivisible.</x:v>
      </x:c>
      <x:c r="C3" s="38"/>
      <x:c r="D3" s="38"/>
      <x:c r="E3" s="38"/>
      <x:c r="F3" s="38"/>
      <x:c r="G3" s="38"/>
      <x:c r="H3" s="38"/>
    </x:row>
    <x:row r="4">
      <x:c r="B4" s="39"/>
      <x:c r="C4" s="39"/>
      <x:c r="D4" s="39"/>
      <x:c r="E4" s="39"/>
      <x:c r="F4" s="39"/>
      <x:c r="G4" s="39"/>
      <x:c r="H4" s="39"/>
    </x:row>
    <x:row r="5">
      <x:c r="B5" s="38"/>
      <x:c r="C5" s="38"/>
      <x:c r="D5" s="38"/>
      <x:c r="E5" s="38"/>
      <x:c r="F5" s="38"/>
      <x:c r="G5" s="38"/>
      <x:c r="H5" s="38"/>
    </x:row>
    <x:row r="6">
      <x:c r="B6" s="7" t="str">
        <x:v>Shipset</x:v>
      </x:c>
      <x:c r="C6" s="7" t="str">
        <x:v>Root</x:v>
      </x:c>
      <x:c r="D6" s="7" t="str">
        <x:v>Arsenal</x:v>
      </x:c>
      <x:c r="E6" s="7" t="str">
        <x:v>Campus completeness</x:v>
      </x:c>
      <x:c r="F6" s="7" t="str">
        <x:v>Root-coherent</x:v>
      </x:c>
      <x:c r="G6" s="38"/>
      <x:c r="H6" s="38"/>
    </x:row>
    <x:row r="7">
      <x:c r="B7" s="9" t="str">
        <x:v>A1</x:v>
      </x:c>
      <x:c r="C7" s="9" t="str">
        <x:v>ROOT_A</x:v>
      </x:c>
      <x:c r="D7" s="9" t="str">
        <x:v>ARSENAL_1</x:v>
      </x:c>
      <x:c r="E7" s="9" t="n">
        <x:v>1</x:v>
      </x:c>
      <x:c r="F7" s="9" t="n">
        <x:v>1</x:v>
      </x:c>
      <x:c r="G7" s="38"/>
      <x:c r="H7" s="38"/>
    </x:row>
    <x:row r="8">
      <x:c r="B8" s="9" t="str">
        <x:v>A2</x:v>
      </x:c>
      <x:c r="C8" s="9" t="str">
        <x:v>ROOT_A</x:v>
      </x:c>
      <x:c r="D8" s="9" t="str">
        <x:v>ARSENAL_2</x:v>
      </x:c>
      <x:c r="E8" s="9" t="n">
        <x:v>1</x:v>
      </x:c>
      <x:c r="F8" s="9" t="n">
        <x:v>1</x:v>
      </x:c>
      <x:c r="G8" s="38"/>
      <x:c r="H8" s="38"/>
    </x:row>
    <x:row r="9">
      <x:c r="B9" s="9" t="str">
        <x:v>B1</x:v>
      </x:c>
      <x:c r="C9" s="9" t="str">
        <x:v>ROOT_B</x:v>
      </x:c>
      <x:c r="D9" s="9" t="str">
        <x:v>ARSENAL_3</x:v>
      </x:c>
      <x:c r="E9" s="9" t="n">
        <x:v>1</x:v>
      </x:c>
      <x:c r="F9" s="9" t="n">
        <x:v>1</x:v>
      </x:c>
      <x:c r="G9" s="38"/>
      <x:c r="H9" s="38"/>
    </x:row>
    <x:row r="10">
      <x:c r="B10" s="10" t="str">
        <x:v>B2</x:v>
      </x:c>
      <x:c r="C10" s="10" t="str">
        <x:v>ROOT_B</x:v>
      </x:c>
      <x:c r="D10" s="10" t="str">
        <x:v>ARSENAL_4</x:v>
      </x:c>
      <x:c r="E10" s="10" t="n">
        <x:v>1</x:v>
      </x:c>
      <x:c r="F10" s="10" t="n">
        <x:v>1</x:v>
      </x:c>
      <x:c r="G10" s="38"/>
      <x:c r="H10" s="38"/>
    </x:row>
    <x:row r="11">
      <x:c r="B11" s="38"/>
      <x:c r="C11" s="38"/>
      <x:c r="D11" s="38"/>
      <x:c r="E11" s="38"/>
      <x:c r="F11" s="38"/>
      <x:c r="G11" s="38"/>
      <x:c r="H11" s="38"/>
    </x:row>
    <x:row r="12">
      <x:c r="B12" s="38"/>
      <x:c r="C12" s="38"/>
      <x:c r="D12" s="38"/>
      <x:c r="E12" s="38"/>
      <x:c r="F12" s="38"/>
      <x:c r="G12" s="38"/>
      <x:c r="H12" s="38"/>
    </x:row>
    <x:row r="13">
      <x:c r="B13" s="38"/>
      <x:c r="C13" s="38"/>
      <x:c r="D13" s="38"/>
      <x:c r="E13" s="38"/>
      <x:c r="F13" s="38"/>
      <x:c r="G13" s="38"/>
      <x:c r="H13" s="38"/>
    </x:row>
    <x:row r="14">
      <x:c r="B14" s="32" t="str">
        <x:v>Every root-plus-arsenal compound cut</x:v>
      </x:c>
      <x:c r="C14" s="33" t="str">
        <x:v>Every root-plus-arsenal compound cut</x:v>
      </x:c>
      <x:c r="D14" s="33" t="str">
        <x:v>Every root-plus-arsenal compound cut</x:v>
      </x:c>
      <x:c r="E14" s="33" t="str">
        <x:v>Every root-plus-arsenal compound cut</x:v>
      </x:c>
      <x:c r="F14" s="33" t="str">
        <x:v>Every root-plus-arsenal compound cut</x:v>
      </x:c>
      <x:c r="G14" s="33" t="str">
        <x:v>Every root-plus-arsenal compound cut</x:v>
      </x:c>
      <x:c r="H14" s="34" t="str">
        <x:v>Every root-plus-arsenal compound cut</x:v>
      </x:c>
    </x:row>
    <x:row r="15">
      <x:c r="B15" s="7" t="str">
        <x:v>Case</x:v>
      </x:c>
      <x:c r="C15" s="7" t="str">
        <x:v>Denied root</x:v>
      </x:c>
      <x:c r="D15" s="7" t="str">
        <x:v>Denied arsenal</x:v>
      </x:c>
      <x:c r="E15" s="7" t="str">
        <x:v>Surviving complete shipsets</x:v>
      </x:c>
      <x:c r="F15" s="7" t="str">
        <x:v>Requirement</x:v>
      </x:c>
      <x:c r="G15" s="7" t="str">
        <x:v>Margin</x:v>
      </x:c>
      <x:c r="H15" s="7" t="str">
        <x:v>Gate</x:v>
      </x:c>
    </x:row>
    <x:row r="16">
      <x:c r="B16" s="9" t="str">
        <x:v>CUT_A_1</x:v>
      </x:c>
      <x:c r="C16" s="9" t="str">
        <x:v>ROOT_A</x:v>
      </x:c>
      <x:c r="D16" s="9" t="str">
        <x:v>ARSENAL_1</x:v>
      </x:c>
      <x:c r="E16" s="9" t="n">
        <x:f>SUMIFS($E$7:$E$10,$C$7:$C$10,"&lt;&gt;"&amp;C16,$D$7:$D$10,"&lt;&gt;"&amp;D16)</x:f>
        <x:v>2</x:v>
      </x:c>
      <x:c r="F16" s="9" t="n">
        <x:v>1</x:v>
      </x:c>
      <x:c r="G16" s="9" t="n">
        <x:f>E16-F16</x:f>
        <x:v>1</x:v>
      </x:c>
      <x:c r="H16" s="9" t="str">
        <x:f>IF(E16&gt;=F16,"PASS","FAIL")</x:f>
        <x:v>PASS</x:v>
      </x:c>
    </x:row>
    <x:row r="17">
      <x:c r="B17" s="9" t="str">
        <x:v>CUT_A_2</x:v>
      </x:c>
      <x:c r="C17" s="9" t="str">
        <x:v>ROOT_A</x:v>
      </x:c>
      <x:c r="D17" s="9" t="str">
        <x:v>ARSENAL_2</x:v>
      </x:c>
      <x:c r="E17" s="9" t="n">
        <x:f>SUMIFS($E$7:$E$10,$C$7:$C$10,"&lt;&gt;"&amp;C17,$D$7:$D$10,"&lt;&gt;"&amp;D17)</x:f>
        <x:v>2</x:v>
      </x:c>
      <x:c r="F17" s="9" t="n">
        <x:v>1</x:v>
      </x:c>
      <x:c r="G17" s="9" t="n">
        <x:f>E17-F17</x:f>
        <x:v>1</x:v>
      </x:c>
      <x:c r="H17" s="9" t="str">
        <x:f>IF(E17&gt;=F17,"PASS","FAIL")</x:f>
        <x:v>PASS</x:v>
      </x:c>
    </x:row>
    <x:row r="18">
      <x:c r="B18" s="9" t="str">
        <x:v>CUT_A_3</x:v>
      </x:c>
      <x:c r="C18" s="9" t="str">
        <x:v>ROOT_A</x:v>
      </x:c>
      <x:c r="D18" s="9" t="str">
        <x:v>ARSENAL_3</x:v>
      </x:c>
      <x:c r="E18" s="9" t="n">
        <x:f>SUMIFS($E$7:$E$10,$C$7:$C$10,"&lt;&gt;"&amp;C18,$D$7:$D$10,"&lt;&gt;"&amp;D18)</x:f>
        <x:v>1</x:v>
      </x:c>
      <x:c r="F18" s="9" t="n">
        <x:v>1</x:v>
      </x:c>
      <x:c r="G18" s="9" t="n">
        <x:f>E18-F18</x:f>
        <x:v>0</x:v>
      </x:c>
      <x:c r="H18" s="9" t="str">
        <x:f>IF(E18&gt;=F18,"PASS","FAIL")</x:f>
        <x:v>PASS</x:v>
      </x:c>
    </x:row>
    <x:row r="19">
      <x:c r="B19" s="9" t="str">
        <x:v>CUT_A_4</x:v>
      </x:c>
      <x:c r="C19" s="9" t="str">
        <x:v>ROOT_A</x:v>
      </x:c>
      <x:c r="D19" s="9" t="str">
        <x:v>ARSENAL_4</x:v>
      </x:c>
      <x:c r="E19" s="9" t="n">
        <x:f>SUMIFS($E$7:$E$10,$C$7:$C$10,"&lt;&gt;"&amp;C19,$D$7:$D$10,"&lt;&gt;"&amp;D19)</x:f>
        <x:v>1</x:v>
      </x:c>
      <x:c r="F19" s="9" t="n">
        <x:v>1</x:v>
      </x:c>
      <x:c r="G19" s="9" t="n">
        <x:f>E19-F19</x:f>
        <x:v>0</x:v>
      </x:c>
      <x:c r="H19" s="9" t="str">
        <x:f>IF(E19&gt;=F19,"PASS","FAIL")</x:f>
        <x:v>PASS</x:v>
      </x:c>
    </x:row>
    <x:row r="20">
      <x:c r="B20" s="9" t="str">
        <x:v>CUT_B_1</x:v>
      </x:c>
      <x:c r="C20" s="9" t="str">
        <x:v>ROOT_B</x:v>
      </x:c>
      <x:c r="D20" s="9" t="str">
        <x:v>ARSENAL_1</x:v>
      </x:c>
      <x:c r="E20" s="9" t="n">
        <x:f>SUMIFS($E$7:$E$10,$C$7:$C$10,"&lt;&gt;"&amp;C20,$D$7:$D$10,"&lt;&gt;"&amp;D20)</x:f>
        <x:v>1</x:v>
      </x:c>
      <x:c r="F20" s="9" t="n">
        <x:v>1</x:v>
      </x:c>
      <x:c r="G20" s="9" t="n">
        <x:f>E20-F20</x:f>
        <x:v>0</x:v>
      </x:c>
      <x:c r="H20" s="9" t="str">
        <x:f>IF(E20&gt;=F20,"PASS","FAIL")</x:f>
        <x:v>PASS</x:v>
      </x:c>
    </x:row>
    <x:row r="21">
      <x:c r="B21" s="9" t="str">
        <x:v>CUT_B_2</x:v>
      </x:c>
      <x:c r="C21" s="9" t="str">
        <x:v>ROOT_B</x:v>
      </x:c>
      <x:c r="D21" s="9" t="str">
        <x:v>ARSENAL_2</x:v>
      </x:c>
      <x:c r="E21" s="9" t="n">
        <x:f>SUMIFS($E$7:$E$10,$C$7:$C$10,"&lt;&gt;"&amp;C21,$D$7:$D$10,"&lt;&gt;"&amp;D21)</x:f>
        <x:v>1</x:v>
      </x:c>
      <x:c r="F21" s="9" t="n">
        <x:v>1</x:v>
      </x:c>
      <x:c r="G21" s="9" t="n">
        <x:f>E21-F21</x:f>
        <x:v>0</x:v>
      </x:c>
      <x:c r="H21" s="9" t="str">
        <x:f>IF(E21&gt;=F21,"PASS","FAIL")</x:f>
        <x:v>PASS</x:v>
      </x:c>
    </x:row>
    <x:row r="22">
      <x:c r="B22" s="9" t="str">
        <x:v>CUT_B_3</x:v>
      </x:c>
      <x:c r="C22" s="9" t="str">
        <x:v>ROOT_B</x:v>
      </x:c>
      <x:c r="D22" s="9" t="str">
        <x:v>ARSENAL_3</x:v>
      </x:c>
      <x:c r="E22" s="9" t="n">
        <x:f>SUMIFS($E$7:$E$10,$C$7:$C$10,"&lt;&gt;"&amp;C22,$D$7:$D$10,"&lt;&gt;"&amp;D22)</x:f>
        <x:v>2</x:v>
      </x:c>
      <x:c r="F22" s="9" t="n">
        <x:v>1</x:v>
      </x:c>
      <x:c r="G22" s="9" t="n">
        <x:f>E22-F22</x:f>
        <x:v>1</x:v>
      </x:c>
      <x:c r="H22" s="9" t="str">
        <x:f>IF(E22&gt;=F22,"PASS","FAIL")</x:f>
        <x:v>PASS</x:v>
      </x:c>
    </x:row>
    <x:row r="23">
      <x:c r="B23" s="10" t="str">
        <x:v>CUT_B_4</x:v>
      </x:c>
      <x:c r="C23" s="10" t="str">
        <x:v>ROOT_B</x:v>
      </x:c>
      <x:c r="D23" s="10" t="str">
        <x:v>ARSENAL_4</x:v>
      </x:c>
      <x:c r="E23" s="10" t="n">
        <x:f>SUMIFS($E$7:$E$10,$C$7:$C$10,"&lt;&gt;"&amp;C23,$D$7:$D$10,"&lt;&gt;"&amp;D23)</x:f>
        <x:v>2</x:v>
      </x:c>
      <x:c r="F23" s="10" t="n">
        <x:v>1</x:v>
      </x:c>
      <x:c r="G23" s="10" t="n">
        <x:f>E23-F23</x:f>
        <x:v>1</x:v>
      </x:c>
      <x:c r="H23" s="10" t="str">
        <x:f>IF(E23&gt;=F23,"PASS","FAIL")</x:f>
        <x:v>PASS</x:v>
      </x:c>
    </x:row>
    <x:row r="24">
      <x:c r="B24" s="38"/>
      <x:c r="C24" s="38"/>
      <x:c r="D24" s="38"/>
      <x:c r="E24" s="38"/>
      <x:c r="F24" s="38"/>
      <x:c r="G24" s="38"/>
      <x:c r="H24" s="38"/>
    </x:row>
    <x:row r="25">
      <x:c r="B25" s="38"/>
      <x:c r="C25" s="38"/>
      <x:c r="D25" s="38"/>
      <x:c r="E25" s="38"/>
      <x:c r="F25" s="38"/>
      <x:c r="G25" s="38"/>
      <x:c r="H25" s="38"/>
    </x:row>
    <x:row r="26">
      <x:c r="B26" s="38"/>
      <x:c r="C26" s="38"/>
      <x:c r="D26" s="38"/>
      <x:c r="E26" s="38"/>
      <x:c r="F26" s="38"/>
      <x:c r="G26" s="38"/>
      <x:c r="H26" s="38"/>
    </x:row>
    <x:row r="27">
      <x:c r="B27" s="32" t="str">
        <x:v>Divisibility warning</x:v>
      </x:c>
      <x:c r="C27" s="33" t="str">
        <x:v>Divisibility warning</x:v>
      </x:c>
      <x:c r="D27" s="33" t="str">
        <x:v>Divisibility warning</x:v>
      </x:c>
      <x:c r="E27" s="33" t="str">
        <x:v>Divisibility warning</x:v>
      </x:c>
      <x:c r="F27" s="33" t="str">
        <x:v>Divisibility warning</x:v>
      </x:c>
      <x:c r="G27" s="33" t="str">
        <x:v>Divisibility warning</x:v>
      </x:c>
      <x:c r="H27" s="34" t="str">
        <x:v>Divisibility warning</x:v>
      </x:c>
    </x:row>
    <x:row r="28" ht="40" customHeight="1">
      <x:c r="B28" s="38" t="str">
        <x:v>Financial reserve factor</x:v>
      </x:c>
      <x:c r="C28" s="38" t="n">
        <x:v>2.667</x:v>
      </x:c>
      <x:c r="D28" s="41" t="str">
        <x:v>Valid only when every service is divisible and cross-root compatible.</x:v>
      </x:c>
      <x:c r="E28" s="41"/>
      <x:c r="F28" s="41"/>
      <x:c r="G28" s="41"/>
      <x:c r="H28" s="41"/>
    </x:row>
    <x:row r="29" ht="40" customHeight="1">
      <x:c r="B29" s="38" t="str">
        <x:v>Physical integer shipsets</x:v>
      </x:c>
      <x:c r="C29" s="38" t="n">
        <x:v>4</x:v>
      </x:c>
      <x:c r="D29" s="41" t="str">
        <x:v>Four root-coherent shipsets preserve one complete campus after the compound cut.</x:v>
      </x:c>
      <x:c r="E29" s="41"/>
      <x:c r="F29" s="41"/>
      <x:c r="G29" s="41"/>
      <x:c r="H29" s="41"/>
    </x:row>
    <x:row r="30" ht="40" customHeight="1">
      <x:c r="B30" s="38" t="str">
        <x:v>Singleton services in campus bill</x:v>
      </x:c>
      <x:c r="C30" s="38" t="n">
        <x:v>4</x:v>
      </x:c>
      <x:c r="D30" s="41" t="str">
        <x:v>Utility, forensic, blind and custody chains include singleton functions.</x:v>
      </x:c>
      <x:c r="E30" s="41"/>
      <x:c r="F30" s="41"/>
      <x:c r="G30" s="41"/>
      <x:c r="H30" s="41"/>
    </x:row>
    <x:row r="31" ht="40" customHeight="1">
      <x:c r="B31" s="38" t="str">
        <x:v>Permitted first-generation fractional credit</x:v>
      </x:c>
      <x:c r="C31" s="38" t="n">
        <x:v>0</x:v>
      </x:c>
      <x:c r="D31" s="41" t="str">
        <x:v>A later physical campaign may earn cellular or cross-root credit; planning cannot assume it.</x:v>
      </x:c>
      <x:c r="E31" s="41"/>
      <x:c r="F31" s="41"/>
      <x:c r="G31" s="41"/>
      <x:c r="H31" s="41"/>
    </x:row>
  </x:sheetData>
  <x:mergeCells>
    <x:mergeCell ref="B2:H2"/>
    <x:mergeCell ref="B3:H3"/>
    <x:mergeCell ref="B14:H14"/>
    <x:mergeCell ref="B27:H27"/>
    <x:mergeCell ref="D28:H28"/>
    <x:mergeCell ref="D29:H29"/>
    <x:mergeCell ref="D30:H30"/>
    <x:mergeCell ref="D31:H31"/>
  </x:mergeCells>
  <x:conditionalFormatting sqref="H16:H23">
    <x:cfRule type="containsText" dxfId="48" priority="1" operator="containsText" text="PASS"/>
    <x:cfRule type="containsText" dxfId="49" priority="2" operator="containsText" text="SELECT"/>
    <x:cfRule type="containsText" dxfId="50" priority="3" operator="containsText" text="AUTHORIZED"/>
    <x:cfRule type="containsText" dxfId="51" priority="4" operator="containsText" text="COMPLETE"/>
    <x:cfRule type="containsText" dxfId="52" priority="5" operator="containsText" text="HOLD"/>
    <x:cfRule type="containsText" dxfId="53" priority="6" operator="containsText" text="OPEN"/>
    <x:cfRule type="containsText" dxfId="54" priority="7" operator="containsText" text="SAFE_STOP"/>
    <x:cfRule type="containsText" dxfId="55" priority="8" operator="containsText" text="BLOCKED"/>
    <x:cfRule type="containsText" dxfId="56" priority="9" operator="containsText" text="PLANNING"/>
    <x:cfRule type="containsText" dxfId="57" priority="10" operator="containsText" text="FAIL"/>
    <x:cfRule type="containsText" dxfId="58" priority="11" operator="containsText" text="REJECT"/>
    <x:cfRule type="containsText" dxfId="59" priority="12" operator="containsText" text="BREACH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2" hidden="0" customWidth="1"/>
    <x:col min="3" max="3" width="16" hidden="0" customWidth="1"/>
    <x:col min="4" max="4" width="18" hidden="0" customWidth="1"/>
    <x:col min="5" max="5" width="19" hidden="0" customWidth="1"/>
    <x:col min="6" max="6" width="20" hidden="0" customWidth="1"/>
    <x:col min="7" max="7" width="20" hidden="0" customWidth="1"/>
    <x:col min="8" max="8" width="17" hidden="0" customWidth="1"/>
    <x:col min="9" max="9" width="15" hidden="0" customWidth="1"/>
    <x:col min="10" max="10" width="17" hidden="0" customWidth="1"/>
    <x:col min="11" max="11" width="25" hidden="0" customWidth="1"/>
    <x:col min="12" max="12" width="16" hidden="0" customWidth="1"/>
  </x:cols>
  <x:sheetData>
    <x:row r="2">
      <x:c r="B2" s="1" t="str">
        <x:v>Dark receiver-site planning standard</x:v>
      </x:c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>
      <x:c r="B3" s="2" t="str">
        <x:v>These are planning identities, not selected or acquired locations. No site earns routine campus capacity.</x:v>
      </x:c>
      <x:c r="C3" s="38"/>
      <x:c r="D3" s="38"/>
      <x:c r="E3" s="38"/>
      <x:c r="F3" s="38"/>
      <x:c r="G3" s="38"/>
      <x:c r="H3" s="38"/>
      <x:c r="I3" s="38"/>
      <x:c r="J3" s="38"/>
      <x:c r="K3" s="38"/>
      <x:c r="L3" s="38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  <x:c r="L5" s="38"/>
    </x:row>
    <x:row r="6">
      <x:c r="B6" s="7" t="str">
        <x:v>Site</x:v>
      </x:c>
      <x:c r="C6" s="7" t="str">
        <x:v>Planning identity</x:v>
      </x:c>
      <x:c r="D6" s="7" t="str">
        <x:v>Hazard envelope</x:v>
      </x:c>
      <x:c r="E6" s="7" t="str">
        <x:v>Heavy approaches</x:v>
      </x:c>
      <x:c r="F6" s="7" t="str">
        <x:v>Water configurations</x:v>
      </x:c>
      <x:c r="G6" s="7" t="str">
        <x:v>Island power interface</x:v>
      </x:c>
      <x:c r="H6" s="7" t="str">
        <x:v>Waste isolation</x:v>
      </x:c>
      <x:c r="I6" s="7" t="str">
        <x:v>Custody zones</x:v>
      </x:c>
      <x:c r="J6" s="7" t="str">
        <x:v>Annual currency</x:v>
      </x:c>
      <x:c r="K6" s="7" t="str">
        <x:v>Operating capacity credit</x:v>
      </x:c>
      <x:c r="L6" s="7" t="str">
        <x:v>Planning gate</x:v>
      </x:c>
    </x:row>
    <x:row r="7">
      <x:c r="B7" s="9" t="str">
        <x:v>DRS-01</x:v>
      </x:c>
      <x:c r="C7" s="9" t="str">
        <x:v>PLANNING_ONLY</x:v>
      </x:c>
      <x:c r="D7" s="9" t="n">
        <x:v>1</x:v>
      </x:c>
      <x:c r="E7" s="9" t="n">
        <x:v>2</x:v>
      </x:c>
      <x:c r="F7" s="9" t="n">
        <x:v>2</x:v>
      </x:c>
      <x:c r="G7" s="9" t="n">
        <x:v>1</x:v>
      </x:c>
      <x:c r="H7" s="9" t="n">
        <x:v>1</x:v>
      </x:c>
      <x:c r="I7" s="9" t="n">
        <x:v>1</x:v>
      </x:c>
      <x:c r="J7" s="9" t="n">
        <x:v>1</x:v>
      </x:c>
      <x:c r="K7" s="9" t="n">
        <x:v>0</x:v>
      </x:c>
      <x:c r="L7" s="9" t="str">
        <x:f>IF(AND(D7=1,E7&gt;=2,F7&gt;=2,G7=1,H7=1,I7=1,J7=1,K7=0),"PASS","FAIL")</x:f>
        <x:v>PASS</x:v>
      </x:c>
    </x:row>
    <x:row r="8">
      <x:c r="B8" s="9" t="str">
        <x:v>DRS-02</x:v>
      </x:c>
      <x:c r="C8" s="9" t="str">
        <x:v>PLANNING_ONLY</x:v>
      </x:c>
      <x:c r="D8" s="9" t="n">
        <x:v>1</x:v>
      </x:c>
      <x:c r="E8" s="9" t="n">
        <x:v>2</x:v>
      </x:c>
      <x:c r="F8" s="9" t="n">
        <x:v>2</x:v>
      </x:c>
      <x:c r="G8" s="9" t="n">
        <x:v>1</x:v>
      </x:c>
      <x:c r="H8" s="9" t="n">
        <x:v>1</x:v>
      </x:c>
      <x:c r="I8" s="9" t="n">
        <x:v>1</x:v>
      </x:c>
      <x:c r="J8" s="9" t="n">
        <x:v>1</x:v>
      </x:c>
      <x:c r="K8" s="9" t="n">
        <x:v>0</x:v>
      </x:c>
      <x:c r="L8" s="9" t="str">
        <x:f>IF(AND(D8=1,E8&gt;=2,F8&gt;=2,G8=1,H8=1,I8=1,J8=1,K8=0),"PASS","FAIL")</x:f>
        <x:v>PASS</x:v>
      </x:c>
    </x:row>
    <x:row r="9">
      <x:c r="B9" s="9" t="str">
        <x:v>DRS-03</x:v>
      </x:c>
      <x:c r="C9" s="9" t="str">
        <x:v>PLANNING_ONLY</x:v>
      </x:c>
      <x:c r="D9" s="9" t="n">
        <x:v>1</x:v>
      </x:c>
      <x:c r="E9" s="9" t="n">
        <x:v>2</x:v>
      </x:c>
      <x:c r="F9" s="9" t="n">
        <x:v>2</x:v>
      </x:c>
      <x:c r="G9" s="9" t="n">
        <x:v>1</x:v>
      </x:c>
      <x:c r="H9" s="9" t="n">
        <x:v>1</x:v>
      </x:c>
      <x:c r="I9" s="9" t="n">
        <x:v>1</x:v>
      </x:c>
      <x:c r="J9" s="9" t="n">
        <x:v>1</x:v>
      </x:c>
      <x:c r="K9" s="9" t="n">
        <x:v>0</x:v>
      </x:c>
      <x:c r="L9" s="9" t="str">
        <x:f>IF(AND(D9=1,E9&gt;=2,F9&gt;=2,G9=1,H9=1,I9=1,J9=1,K9=0),"PASS","FAIL")</x:f>
        <x:v>PASS</x:v>
      </x:c>
    </x:row>
    <x:row r="10">
      <x:c r="B10" s="9" t="str">
        <x:v>DRS-04</x:v>
      </x:c>
      <x:c r="C10" s="9" t="str">
        <x:v>PLANNING_ONLY</x:v>
      </x:c>
      <x:c r="D10" s="9" t="n">
        <x:v>1</x:v>
      </x:c>
      <x:c r="E10" s="9" t="n">
        <x:v>2</x:v>
      </x:c>
      <x:c r="F10" s="9" t="n">
        <x:v>2</x:v>
      </x:c>
      <x:c r="G10" s="9" t="n">
        <x:v>1</x:v>
      </x:c>
      <x:c r="H10" s="9" t="n">
        <x:v>1</x:v>
      </x:c>
      <x:c r="I10" s="9" t="n">
        <x:v>1</x:v>
      </x:c>
      <x:c r="J10" s="9" t="n">
        <x:v>1</x:v>
      </x:c>
      <x:c r="K10" s="9" t="n">
        <x:v>0</x:v>
      </x:c>
      <x:c r="L10" s="9" t="str">
        <x:f>IF(AND(D10=1,E10&gt;=2,F10&gt;=2,G10=1,H10=1,I10=1,J10=1,K10=0),"PASS","FAIL")</x:f>
        <x:v>PASS</x:v>
      </x:c>
    </x:row>
    <x:row r="11">
      <x:c r="B11" s="9" t="str">
        <x:v>DRS-05</x:v>
      </x:c>
      <x:c r="C11" s="9" t="str">
        <x:v>PLANNING_ONLY</x:v>
      </x:c>
      <x:c r="D11" s="9" t="n">
        <x:v>1</x:v>
      </x:c>
      <x:c r="E11" s="9" t="n">
        <x:v>2</x:v>
      </x:c>
      <x:c r="F11" s="9" t="n">
        <x:v>2</x:v>
      </x:c>
      <x:c r="G11" s="9" t="n">
        <x:v>1</x:v>
      </x:c>
      <x:c r="H11" s="9" t="n">
        <x:v>1</x:v>
      </x:c>
      <x:c r="I11" s="9" t="n">
        <x:v>1</x:v>
      </x:c>
      <x:c r="J11" s="9" t="n">
        <x:v>1</x:v>
      </x:c>
      <x:c r="K11" s="9" t="n">
        <x:v>0</x:v>
      </x:c>
      <x:c r="L11" s="9" t="str">
        <x:f>IF(AND(D11=1,E11&gt;=2,F11&gt;=2,G11=1,H11=1,I11=1,J11=1,K11=0),"PASS","FAIL")</x:f>
        <x:v>PASS</x:v>
      </x:c>
    </x:row>
    <x:row r="12">
      <x:c r="B12" s="10" t="str">
        <x:v>DRS-06</x:v>
      </x:c>
      <x:c r="C12" s="10" t="str">
        <x:v>PLANNING_ONLY</x:v>
      </x:c>
      <x:c r="D12" s="10" t="n">
        <x:v>1</x:v>
      </x:c>
      <x:c r="E12" s="10" t="n">
        <x:v>2</x:v>
      </x:c>
      <x:c r="F12" s="10" t="n">
        <x:v>2</x:v>
      </x:c>
      <x:c r="G12" s="10" t="n">
        <x:v>1</x:v>
      </x:c>
      <x:c r="H12" s="10" t="n">
        <x:v>1</x:v>
      </x:c>
      <x:c r="I12" s="10" t="n">
        <x:v>1</x:v>
      </x:c>
      <x:c r="J12" s="10" t="n">
        <x:v>1</x:v>
      </x:c>
      <x:c r="K12" s="10" t="n">
        <x:v>0</x:v>
      </x:c>
      <x:c r="L12" s="10" t="str">
        <x:f>IF(AND(D12=1,E12&gt;=2,F12&gt;=2,G12=1,H12=1,I12=1,J12=1,K12=0),"PASS","FAIL")</x:f>
        <x:v>PASS</x:v>
      </x:c>
    </x:row>
    <x:row r="13">
      <x:c r="B13" s="38"/>
      <x:c r="C13" s="38"/>
      <x:c r="D13" s="38"/>
      <x:c r="E13" s="38"/>
      <x:c r="F13" s="38"/>
      <x:c r="G13" s="38"/>
      <x:c r="H13" s="38"/>
      <x:c r="I13" s="38"/>
      <x:c r="J13" s="38"/>
      <x:c r="K13" s="38"/>
      <x:c r="L13" s="38"/>
    </x:row>
    <x:row r="14">
      <x:c r="B14" s="38"/>
      <x:c r="C14" s="38"/>
      <x:c r="D14" s="38"/>
      <x:c r="E14" s="38"/>
      <x:c r="F14" s="38"/>
      <x:c r="G14" s="38"/>
      <x:c r="H14" s="38"/>
      <x:c r="I14" s="38"/>
      <x:c r="J14" s="38"/>
      <x:c r="K14" s="38"/>
      <x:c r="L14" s="38"/>
    </x:row>
    <x:row r="15">
      <x:c r="B15" s="38"/>
      <x:c r="C15" s="38"/>
      <x:c r="D15" s="38"/>
      <x:c r="E15" s="38"/>
      <x:c r="F15" s="38"/>
      <x:c r="G15" s="38"/>
      <x:c r="H15" s="38"/>
      <x:c r="I15" s="38"/>
      <x:c r="J15" s="38"/>
      <x:c r="K15" s="38"/>
      <x:c r="L15" s="38"/>
    </x:row>
    <x:row r="16">
      <x:c r="B16" s="32" t="str">
        <x:v>Physical status</x:v>
      </x:c>
      <x:c r="C16" s="33" t="str">
        <x:v>Physical status</x:v>
      </x:c>
      <x:c r="D16" s="33" t="str">
        <x:v>Physical status</x:v>
      </x:c>
      <x:c r="E16" s="33" t="str">
        <x:v>Physical status</x:v>
      </x:c>
      <x:c r="F16" s="33" t="str">
        <x:v>Physical status</x:v>
      </x:c>
      <x:c r="G16" s="33" t="str">
        <x:v>Physical status</x:v>
      </x:c>
      <x:c r="H16" s="33" t="str">
        <x:v>Physical status</x:v>
      </x:c>
      <x:c r="I16" s="33" t="str">
        <x:v>Physical status</x:v>
      </x:c>
      <x:c r="J16" s="33" t="str">
        <x:v>Physical status</x:v>
      </x:c>
      <x:c r="K16" s="33" t="str">
        <x:v>Physical status</x:v>
      </x:c>
      <x:c r="L16" s="34" t="str">
        <x:v>Physical status</x:v>
      </x:c>
    </x:row>
    <x:row r="17" ht="34" customHeight="1">
      <x:c r="B17" s="38" t="str">
        <x:v>Named real sites</x:v>
      </x:c>
      <x:c r="C17" s="38" t="n">
        <x:v>0</x:v>
      </x:c>
      <x:c r="D17" s="41" t="str">
        <x:v>The six rows above define required diversity and interfaces. They do not assert geography.</x:v>
      </x:c>
      <x:c r="E17" s="41"/>
      <x:c r="F17" s="41"/>
      <x:c r="G17" s="41"/>
      <x:c r="H17" s="41"/>
      <x:c r="I17" s="41"/>
      <x:c r="J17" s="41"/>
      <x:c r="K17" s="41"/>
      <x:c r="L17" s="41"/>
    </x:row>
    <x:row r="18" ht="34" customHeight="1">
      <x:c r="B18" s="38" t="str">
        <x:v>Land interests executed</x:v>
      </x:c>
      <x:c r="C18" s="38" t="n">
        <x:v>0</x:v>
      </x:c>
      <x:c r="D18" s="41" t="str">
        <x:v>No land acquisition or emergency-use interest is recorded in this package.</x:v>
      </x:c>
      <x:c r="E18" s="41"/>
      <x:c r="F18" s="41"/>
      <x:c r="G18" s="41"/>
      <x:c r="H18" s="41"/>
      <x:c r="I18" s="41"/>
      <x:c r="J18" s="41"/>
      <x:c r="K18" s="41"/>
      <x:c r="L18" s="41"/>
    </x:row>
    <x:row r="19" ht="34" customHeight="1">
      <x:c r="B19" s="38" t="str">
        <x:v>Environmental compacts current</x:v>
      </x:c>
      <x:c r="C19" s="38" t="n">
        <x:v>0</x:v>
      </x:c>
      <x:c r="D19" s="41" t="str">
        <x:v>No local environmental or community acceptance is recorded in this package.</x:v>
      </x:c>
      <x:c r="E19" s="41"/>
      <x:c r="F19" s="41"/>
      <x:c r="G19" s="41"/>
      <x:c r="H19" s="41"/>
      <x:c r="I19" s="41"/>
      <x:c r="J19" s="41"/>
      <x:c r="K19" s="41"/>
      <x:c r="L19" s="41"/>
    </x:row>
    <x:row r="20" ht="34" customHeight="1">
      <x:c r="B20" s="38" t="str">
        <x:v>Receiver sites physically accepted</x:v>
      </x:c>
      <x:c r="C20" s="38" t="n">
        <x:v>0</x:v>
      </x:c>
      <x:c r="D20" s="41" t="str">
        <x:v>Physical receiver readiness remains held.</x:v>
      </x:c>
      <x:c r="E20" s="41"/>
      <x:c r="F20" s="41"/>
      <x:c r="G20" s="41"/>
      <x:c r="H20" s="41"/>
      <x:c r="I20" s="41"/>
      <x:c r="J20" s="41"/>
      <x:c r="K20" s="41"/>
      <x:c r="L20" s="41"/>
    </x:row>
  </x:sheetData>
  <x:mergeCells>
    <x:mergeCell ref="B2:L2"/>
    <x:mergeCell ref="B3:L3"/>
    <x:mergeCell ref="B16:L16"/>
    <x:mergeCell ref="D17:L17"/>
    <x:mergeCell ref="D18:L18"/>
    <x:mergeCell ref="D19:L19"/>
    <x:mergeCell ref="D20:L20"/>
  </x:mergeCells>
  <x:conditionalFormatting sqref="L7:L12">
    <x:cfRule type="containsText" dxfId="60" priority="1" operator="containsText" text="PASS"/>
    <x:cfRule type="containsText" dxfId="61" priority="2" operator="containsText" text="SELECT"/>
    <x:cfRule type="containsText" dxfId="62" priority="3" operator="containsText" text="AUTHORIZED"/>
    <x:cfRule type="containsText" dxfId="63" priority="4" operator="containsText" text="COMPLETE"/>
    <x:cfRule type="containsText" dxfId="64" priority="5" operator="containsText" text="HOLD"/>
    <x:cfRule type="containsText" dxfId="65" priority="6" operator="containsText" text="OPEN"/>
    <x:cfRule type="containsText" dxfId="66" priority="7" operator="containsText" text="SAFE_STOP"/>
    <x:cfRule type="containsText" dxfId="67" priority="8" operator="containsText" text="BLOCKED"/>
    <x:cfRule type="containsText" dxfId="68" priority="9" operator="containsText" text="PLANNING"/>
    <x:cfRule type="containsText" dxfId="69" priority="10" operator="containsText" text="FAIL"/>
    <x:cfRule type="containsText" dxfId="70" priority="11" operator="containsText" text="REJECT"/>
    <x:cfRule type="containsText" dxfId="71" priority="12" operator="containsText" text="BREACH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48" hidden="0" customWidth="1"/>
    <x:col min="4" max="4" width="14" hidden="0" customWidth="1"/>
    <x:col min="5" max="5" width="14" hidden="0" customWidth="1"/>
    <x:col min="6" max="6" width="14" hidden="0" customWidth="1"/>
    <x:col min="7" max="7" width="43" hidden="0" customWidth="1"/>
    <x:col min="8" max="8" width="13" hidden="0" customWidth="1"/>
    <x:col min="9" max="9" width="12" hidden="0" customWidth="1"/>
    <x:col min="10" max="10" width="15" hidden="0" customWidth="1"/>
    <x:col min="11" max="11" width="18" hidden="0" customWidth="1"/>
  </x:cols>
  <x:sheetData>
    <x:row r="2">
      <x:c r="B2" s="1" t="str">
        <x:v>W05 compound-loss reconstruction schedule</x:v>
      </x:c>
      <x:c r="C2" s="38"/>
      <x:c r="D2" s="38"/>
      <x:c r="E2" s="38"/>
      <x:c r="F2" s="38"/>
      <x:c r="G2" s="38"/>
      <x:c r="H2" s="38"/>
      <x:c r="I2" s="38"/>
      <x:c r="J2" s="38"/>
      <x:c r="K2" s="38"/>
    </x:row>
    <x:row r="3">
      <x:c r="B3" s="2" t="str">
        <x:v>Overlapping work is allowed; no acceptance packet may bypass its physical predecessor.</x:v>
      </x:c>
      <x:c r="C3" s="38"/>
      <x:c r="D3" s="38"/>
      <x:c r="E3" s="38"/>
      <x:c r="F3" s="38"/>
      <x:c r="G3" s="38"/>
      <x:c r="H3" s="38"/>
      <x:c r="I3" s="38"/>
      <x:c r="J3" s="38"/>
      <x:c r="K3" s="38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  <x:c r="K4" s="39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  <x:c r="K5" s="38"/>
    </x:row>
    <x:row r="6">
      <x:c r="B6" s="7" t="str">
        <x:v>Package</x:v>
      </x:c>
      <x:c r="C6" s="7" t="str">
        <x:v>Work</x:v>
      </x:c>
      <x:c r="D6" s="7" t="str">
        <x:v>Start day</x:v>
      </x:c>
      <x:c r="E6" s="7" t="str">
        <x:v>Duration</x:v>
      </x:c>
      <x:c r="F6" s="7" t="str">
        <x:v>Finish day</x:v>
      </x:c>
      <x:c r="G6" s="7" t="str">
        <x:v>Terminal artifact</x:v>
      </x:c>
      <x:c r="H6" s="7" t="str">
        <x:v>Target</x:v>
      </x:c>
      <x:c r="I6" s="7" t="str">
        <x:v>Slack</x:v>
      </x:c>
      <x:c r="J6" s="7" t="str">
        <x:v>Planning gate</x:v>
      </x:c>
      <x:c r="K6" s="7" t="str">
        <x:v>Physical evidence</x:v>
      </x:c>
    </x:row>
    <x:row r="7">
      <x:c r="B7" s="9" t="str">
        <x:v>P01</x:v>
      </x:c>
      <x:c r="C7" s="9" t="str">
        <x:v>Loss authentication and receiver selection</x:v>
      </x:c>
      <x:c r="D7" s="9" t="n">
        <x:v>0</x:v>
      </x:c>
      <x:c r="E7" s="9" t="n">
        <x:v>6</x:v>
      </x:c>
      <x:c r="F7" s="9" t="n">
        <x:f>D7+E7</x:f>
        <x:v>6</x:v>
      </x:c>
      <x:c r="G7" s="9" t="str">
        <x:v>signed loss and site branch</x:v>
      </x:c>
      <x:c r="H7" s="9" t="n">
        <x:f>'Controls'!$D$9</x:f>
        <x:v>162</x:v>
      </x:c>
      <x:c r="I7" s="9" t="n">
        <x:f>H7-F7</x:f>
        <x:v>156</x:v>
      </x:c>
      <x:c r="J7" s="9" t="str">
        <x:f>IF(AND(D7&gt;=0,E7&gt;0,F7&lt;=H7),"PASS","FAIL")</x:f>
        <x:v>PASS</x:v>
      </x:c>
      <x:c r="K7" s="9" t="str">
        <x:v>OPEN</x:v>
      </x:c>
    </x:row>
    <x:row r="8">
      <x:c r="B8" s="9" t="str">
        <x:v>P02</x:v>
      </x:c>
      <x:c r="C8" s="9" t="str">
        <x:v>Roster muster, root isolation and shipset release</x:v>
      </x:c>
      <x:c r="D8" s="9" t="n">
        <x:v>0</x:v>
      </x:c>
      <x:c r="E8" s="9" t="n">
        <x:v>12</x:v>
      </x:c>
      <x:c r="F8" s="9" t="n">
        <x:f>D8+E8</x:f>
        <x:v>12</x:v>
      </x:c>
      <x:c r="G8" s="9" t="str">
        <x:v>independent people and item ledger</x:v>
      </x:c>
      <x:c r="H8" s="9" t="n">
        <x:f>'Controls'!$D$9</x:f>
        <x:v>162</x:v>
      </x:c>
      <x:c r="I8" s="9" t="n">
        <x:f>H8-F8</x:f>
        <x:v>150</x:v>
      </x:c>
      <x:c r="J8" s="9" t="str">
        <x:f>IF(AND(D8&gt;=0,E8&gt;0,F8&lt;=H8),"PASS","FAIL")</x:f>
        <x:v>PASS</x:v>
      </x:c>
      <x:c r="K8" s="9" t="str">
        <x:v>OPEN</x:v>
      </x:c>
    </x:row>
    <x:row r="9">
      <x:c r="B9" s="9" t="str">
        <x:v>P03</x:v>
      </x:c>
      <x:c r="C9" s="9" t="str">
        <x:v>Receiver revalidation and custody activation</x:v>
      </x:c>
      <x:c r="D9" s="9" t="n">
        <x:v>4</x:v>
      </x:c>
      <x:c r="E9" s="9" t="n">
        <x:v>20</x:v>
      </x:c>
      <x:c r="F9" s="9" t="n">
        <x:f>D9+E9</x:f>
        <x:v>24</x:v>
      </x:c>
      <x:c r="G9" s="9" t="str">
        <x:v>site release</x:v>
      </x:c>
      <x:c r="H9" s="9" t="n">
        <x:f>'Controls'!$D$9</x:f>
        <x:v>162</x:v>
      </x:c>
      <x:c r="I9" s="9" t="n">
        <x:f>H9-F9</x:f>
        <x:v>138</x:v>
      </x:c>
      <x:c r="J9" s="9" t="str">
        <x:f>IF(AND(D9&gt;=0,E9&gt;0,F9&lt;=H9),"PASS","FAIL")</x:f>
        <x:v>PASS</x:v>
      </x:c>
      <x:c r="K9" s="9" t="str">
        <x:v>OPEN</x:v>
      </x:c>
    </x:row>
    <x:row r="10">
      <x:c r="B10" s="9" t="str">
        <x:v>P04</x:v>
      </x:c>
      <x:c r="C10" s="9" t="str">
        <x:v>Civil reactivation and utility corridors</x:v>
      </x:c>
      <x:c r="D10" s="9" t="n">
        <x:v>8</x:v>
      </x:c>
      <x:c r="E10" s="9" t="n">
        <x:v>34</x:v>
      </x:c>
      <x:c r="F10" s="9" t="n">
        <x:f>D10+E10</x:f>
        <x:v>42</x:v>
      </x:c>
      <x:c r="G10" s="9" t="str">
        <x:v>surveyed pads and corridors</x:v>
      </x:c>
      <x:c r="H10" s="9" t="n">
        <x:f>'Controls'!$D$9</x:f>
        <x:v>162</x:v>
      </x:c>
      <x:c r="I10" s="9" t="n">
        <x:f>H10-F10</x:f>
        <x:v>120</x:v>
      </x:c>
      <x:c r="J10" s="9" t="str">
        <x:f>IF(AND(D10&gt;=0,E10&gt;0,F10&lt;=H10),"PASS","FAIL")</x:f>
        <x:v>PASS</x:v>
      </x:c>
      <x:c r="K10" s="9" t="str">
        <x:v>OPEN</x:v>
      </x:c>
    </x:row>
    <x:row r="11">
      <x:c r="B11" s="9" t="str">
        <x:v>P05</x:v>
      </x:c>
      <x:c r="C11" s="9" t="str">
        <x:v>Distributed transport and identity receipt</x:v>
      </x:c>
      <x:c r="D11" s="9" t="n">
        <x:v>12</x:v>
      </x:c>
      <x:c r="E11" s="9" t="n">
        <x:v>40</x:v>
      </x:c>
      <x:c r="F11" s="9" t="n">
        <x:f>D11+E11</x:f>
        <x:v>52</x:v>
      </x:c>
      <x:c r="G11" s="9" t="str">
        <x:v>reconciled module custody</x:v>
      </x:c>
      <x:c r="H11" s="9" t="n">
        <x:f>'Controls'!$D$9</x:f>
        <x:v>162</x:v>
      </x:c>
      <x:c r="I11" s="9" t="n">
        <x:f>H11-F11</x:f>
        <x:v>110</x:v>
      </x:c>
      <x:c r="J11" s="9" t="str">
        <x:f>IF(AND(D11&gt;=0,E11&gt;0,F11&lt;=H11),"PASS","FAIL")</x:f>
        <x:v>PASS</x:v>
      </x:c>
      <x:c r="K11" s="9" t="str">
        <x:v>OPEN</x:v>
      </x:c>
    </x:row>
    <x:row r="12">
      <x:c r="B12" s="9" t="str">
        <x:v>P06</x:v>
      </x:c>
      <x:c r="C12" s="9" t="str">
        <x:v>Grid-forming power and communications nucleus</x:v>
      </x:c>
      <x:c r="D12" s="9" t="n">
        <x:v>38</x:v>
      </x:c>
      <x:c r="E12" s="9" t="n">
        <x:v>34</x:v>
      </x:c>
      <x:c r="F12" s="9" t="n">
        <x:f>D12+E12</x:f>
        <x:v>72</x:v>
      </x:c>
      <x:c r="G12" s="9" t="str">
        <x:v>island black start</x:v>
      </x:c>
      <x:c r="H12" s="9" t="n">
        <x:f>'Controls'!$D$9</x:f>
        <x:v>162</x:v>
      </x:c>
      <x:c r="I12" s="9" t="n">
        <x:f>H12-F12</x:f>
        <x:v>90</x:v>
      </x:c>
      <x:c r="J12" s="9" t="str">
        <x:f>IF(AND(D12&gt;=0,E12&gt;0,F12&lt;=H12),"PASS","FAIL")</x:f>
        <x:v>PASS</x:v>
      </x:c>
      <x:c r="K12" s="9" t="str">
        <x:v>OPEN</x:v>
      </x:c>
    </x:row>
    <x:row r="13">
      <x:c r="B13" s="9" t="str">
        <x:v>P07</x:v>
      </x:c>
      <x:c r="C13" s="9" t="str">
        <x:v>Hydraulic, thermal, source, receiver and waste</x:v>
      </x:c>
      <x:c r="D13" s="9" t="n">
        <x:v>44</x:v>
      </x:c>
      <x:c r="E13" s="9" t="n">
        <x:v>44</x:v>
      </x:c>
      <x:c r="F13" s="9" t="n">
        <x:f>D13+E13</x:f>
        <x:v>88</x:v>
      </x:c>
      <x:c r="G13" s="9" t="str">
        <x:v>safe wet utility loop</x:v>
      </x:c>
      <x:c r="H13" s="9" t="n">
        <x:f>'Controls'!$D$9</x:f>
        <x:v>162</x:v>
      </x:c>
      <x:c r="I13" s="9" t="n">
        <x:f>H13-F13</x:f>
        <x:v>74</x:v>
      </x:c>
      <x:c r="J13" s="9" t="str">
        <x:f>IF(AND(D13&gt;=0,E13&gt;0,F13&lt;=H13),"PASS","FAIL")</x:f>
        <x:v>PASS</x:v>
      </x:c>
      <x:c r="K13" s="9" t="str">
        <x:v>OPEN</x:v>
      </x:c>
    </x:row>
    <x:row r="14">
      <x:c r="B14" s="9" t="str">
        <x:v>P08</x:v>
      </x:c>
      <x:c r="C14" s="9" t="str">
        <x:v>Evidence, metrology, blind and forensic chains</x:v>
      </x:c>
      <x:c r="D14" s="9" t="n">
        <x:v>52</x:v>
      </x:c>
      <x:c r="E14" s="9" t="n">
        <x:v>50</x:v>
      </x:c>
      <x:c r="F14" s="9" t="n">
        <x:f>D14+E14</x:f>
        <x:v>102</x:v>
      </x:c>
      <x:c r="G14" s="9" t="str">
        <x:v>independent reference estate</x:v>
      </x:c>
      <x:c r="H14" s="9" t="n">
        <x:f>'Controls'!$D$9</x:f>
        <x:v>162</x:v>
      </x:c>
      <x:c r="I14" s="9" t="n">
        <x:f>H14-F14</x:f>
        <x:v>60</x:v>
      </x:c>
      <x:c r="J14" s="9" t="str">
        <x:f>IF(AND(D14&gt;=0,E14&gt;0,F14&lt;=H14),"PASS","FAIL")</x:f>
        <x:v>PASS</x:v>
      </x:c>
      <x:c r="K14" s="9" t="str">
        <x:v>OPEN</x:v>
      </x:c>
    </x:row>
    <x:row r="15">
      <x:c r="B15" s="9" t="str">
        <x:v>P09</x:v>
      </x:c>
      <x:c r="C15" s="9" t="str">
        <x:v>Station and laboratory assembly</x:v>
      </x:c>
      <x:c r="D15" s="9" t="n">
        <x:v>58</x:v>
      </x:c>
      <x:c r="E15" s="9" t="n">
        <x:v>58</x:v>
      </x:c>
      <x:c r="F15" s="9" t="n">
        <x:f>D15+E15</x:f>
        <x:v>116</x:v>
      </x:c>
      <x:c r="G15" s="9" t="str">
        <x:v>mechanically complete services</x:v>
      </x:c>
      <x:c r="H15" s="9" t="n">
        <x:f>'Controls'!$D$9</x:f>
        <x:v>162</x:v>
      </x:c>
      <x:c r="I15" s="9" t="n">
        <x:f>H15-F15</x:f>
        <x:v>46</x:v>
      </x:c>
      <x:c r="J15" s="9" t="str">
        <x:f>IF(AND(D15&gt;=0,E15&gt;0,F15&lt;=H15),"PASS","FAIL")</x:f>
        <x:v>PASS</x:v>
      </x:c>
      <x:c r="K15" s="9" t="str">
        <x:v>OPEN</x:v>
      </x:c>
    </x:row>
    <x:row r="16">
      <x:c r="B16" s="9" t="str">
        <x:v>P10</x:v>
      </x:c>
      <x:c r="C16" s="9" t="str">
        <x:v>Configuration reconciliation and dry integration</x:v>
      </x:c>
      <x:c r="D16" s="9" t="n">
        <x:v>116</x:v>
      </x:c>
      <x:c r="E16" s="9" t="n">
        <x:v>18</x:v>
      </x:c>
      <x:c r="F16" s="9" t="n">
        <x:f>D16+E16</x:f>
        <x:v>134</x:v>
      </x:c>
      <x:c r="G16" s="9" t="str">
        <x:v>signed configuration baseline</x:v>
      </x:c>
      <x:c r="H16" s="9" t="n">
        <x:f>'Controls'!$D$9</x:f>
        <x:v>162</x:v>
      </x:c>
      <x:c r="I16" s="9" t="n">
        <x:f>H16-F16</x:f>
        <x:v>28</x:v>
      </x:c>
      <x:c r="J16" s="9" t="str">
        <x:f>IF(AND(D16&gt;=0,E16&gt;0,F16&lt;=H16),"PASS","FAIL")</x:f>
        <x:v>PASS</x:v>
      </x:c>
      <x:c r="K16" s="9" t="str">
        <x:v>OPEN</x:v>
      </x:c>
    </x:row>
    <x:row r="17">
      <x:c r="B17" s="9" t="str">
        <x:v>P11</x:v>
      </x:c>
      <x:c r="C17" s="9" t="str">
        <x:v>Black-start, wet-reference and containment trials</x:v>
      </x:c>
      <x:c r="D17" s="9" t="n">
        <x:v>134</x:v>
      </x:c>
      <x:c r="E17" s="9" t="n">
        <x:v>16</x:v>
      </x:c>
      <x:c r="F17" s="9" t="n">
        <x:f>D17+E17</x:f>
        <x:v>150</x:v>
      </x:c>
      <x:c r="G17" s="9" t="str">
        <x:v>common-service acceptance</x:v>
      </x:c>
      <x:c r="H17" s="9" t="n">
        <x:f>'Controls'!$D$9</x:f>
        <x:v>162</x:v>
      </x:c>
      <x:c r="I17" s="9" t="n">
        <x:f>H17-F17</x:f>
        <x:v>12</x:v>
      </x:c>
      <x:c r="J17" s="9" t="str">
        <x:f>IF(AND(D17&gt;=0,E17&gt;0,F17&lt;=H17),"PASS","FAIL")</x:f>
        <x:v>PASS</x:v>
      </x:c>
      <x:c r="K17" s="9" t="str">
        <x:v>OPEN</x:v>
      </x:c>
    </x:row>
    <x:row r="18">
      <x:c r="B18" s="9" t="str">
        <x:v>P12</x:v>
      </x:c>
      <x:c r="C18" s="9" t="str">
        <x:v>Known-truth brackets and failure insertion</x:v>
      </x:c>
      <x:c r="D18" s="9" t="n">
        <x:v>148</x:v>
      </x:c>
      <x:c r="E18" s="9" t="n">
        <x:v>10</x:v>
      </x:c>
      <x:c r="F18" s="9" t="n">
        <x:f>D18+E18</x:f>
        <x:v>158</x:v>
      </x:c>
      <x:c r="G18" s="9" t="str">
        <x:v>service evidence packets</x:v>
      </x:c>
      <x:c r="H18" s="9" t="n">
        <x:f>'Controls'!$D$9</x:f>
        <x:v>162</x:v>
      </x:c>
      <x:c r="I18" s="9" t="n">
        <x:f>H18-F18</x:f>
        <x:v>4</x:v>
      </x:c>
      <x:c r="J18" s="9" t="str">
        <x:f>IF(AND(D18&gt;=0,E18&gt;0,F18&lt;=H18),"PASS","FAIL")</x:f>
        <x:v>PASS</x:v>
      </x:c>
      <x:c r="K18" s="9" t="str">
        <x:v>OPEN</x:v>
      </x:c>
    </x:row>
    <x:row r="19">
      <x:c r="B19" s="10" t="str">
        <x:v>P13</x:v>
      </x:c>
      <x:c r="C19" s="10" t="str">
        <x:v>Independent replay, challenge and board admission</x:v>
      </x:c>
      <x:c r="D19" s="10" t="n">
        <x:v>156</x:v>
      </x:c>
      <x:c r="E19" s="10" t="n">
        <x:v>6</x:v>
      </x:c>
      <x:c r="F19" s="10" t="n">
        <x:f>D19+E19</x:f>
        <x:v>162</x:v>
      </x:c>
      <x:c r="G19" s="10" t="str">
        <x:v>campus admission record</x:v>
      </x:c>
      <x:c r="H19" s="10" t="n">
        <x:f>'Controls'!$D$9</x:f>
        <x:v>162</x:v>
      </x:c>
      <x:c r="I19" s="10" t="n">
        <x:f>H19-F19</x:f>
        <x:v>0</x:v>
      </x:c>
      <x:c r="J19" s="10" t="str">
        <x:f>IF(AND(D19&gt;=0,E19&gt;0,F19&lt;=H19),"PASS","FAIL")</x:f>
        <x:v>PASS</x:v>
      </x:c>
      <x:c r="K19" s="10" t="str">
        <x:v>OPEN</x:v>
      </x:c>
    </x:row>
    <x:row r="20">
      <x:c r="B20" s="38"/>
      <x:c r="C20" s="38"/>
      <x:c r="D20" s="38"/>
      <x:c r="E20" s="38"/>
      <x:c r="F20" s="38"/>
      <x:c r="G20" s="38"/>
      <x:c r="H20" s="38"/>
      <x:c r="I20" s="38"/>
      <x:c r="J20" s="38"/>
      <x:c r="K20" s="38"/>
    </x:row>
    <x:row r="21">
      <x:c r="B21" s="38"/>
      <x:c r="C21" s="38"/>
      <x:c r="D21" s="38"/>
      <x:c r="E21" s="38"/>
      <x:c r="F21" s="38"/>
      <x:c r="G21" s="38"/>
      <x:c r="H21" s="38"/>
      <x:c r="I21" s="38"/>
      <x:c r="J21" s="38"/>
      <x:c r="K21" s="38"/>
    </x:row>
    <x:row r="22">
      <x:c r="B22" s="38"/>
      <x:c r="C22" s="38"/>
      <x:c r="D22" s="38"/>
      <x:c r="E22" s="38"/>
      <x:c r="F22" s="38"/>
      <x:c r="G22" s="38"/>
      <x:c r="H22" s="38"/>
      <x:c r="I22" s="38"/>
      <x:c r="J22" s="38"/>
      <x:c r="K22" s="38"/>
    </x:row>
    <x:row r="23">
      <x:c r="B23" s="32" t="str">
        <x:v>Terminal schedule result</x:v>
      </x:c>
      <x:c r="C23" s="33" t="str">
        <x:v>Terminal schedule result</x:v>
      </x:c>
      <x:c r="D23" s="33" t="str">
        <x:v>Terminal schedule result</x:v>
      </x:c>
      <x:c r="E23" s="33" t="str">
        <x:v>Terminal schedule result</x:v>
      </x:c>
      <x:c r="F23" s="33" t="str">
        <x:v>Terminal schedule result</x:v>
      </x:c>
      <x:c r="G23" s="33" t="str">
        <x:v>Terminal schedule result</x:v>
      </x:c>
      <x:c r="H23" s="33" t="str">
        <x:v>Terminal schedule result</x:v>
      </x:c>
      <x:c r="I23" s="33" t="str">
        <x:v>Terminal schedule result</x:v>
      </x:c>
      <x:c r="J23" s="33" t="str">
        <x:v>Terminal schedule result</x:v>
      </x:c>
      <x:c r="K23" s="34" t="str">
        <x:v>Terminal schedule result</x:v>
      </x:c>
    </x:row>
    <x:row r="24">
      <x:c r="B24" s="38" t="str">
        <x:v>Latest finish</x:v>
      </x:c>
      <x:c r="C24" s="38"/>
      <x:c r="D24" s="38" t="n">
        <x:f>MAX(F7:F19)</x:f>
        <x:v>162</x:v>
      </x:c>
      <x:c r="E24" s="38"/>
      <x:c r="F24" s="38"/>
      <x:c r="G24" s="38"/>
      <x:c r="H24" s="38"/>
      <x:c r="I24" s="38"/>
      <x:c r="J24" s="38"/>
      <x:c r="K24" s="38"/>
    </x:row>
    <x:row r="25">
      <x:c r="B25" s="38" t="str">
        <x:v>Deadline</x:v>
      </x:c>
      <x:c r="C25" s="38"/>
      <x:c r="D25" s="38" t="n">
        <x:f>'Controls'!$D$7</x:f>
        <x:v>180</x:v>
      </x:c>
      <x:c r="E25" s="38"/>
      <x:c r="F25" s="38"/>
      <x:c r="G25" s="38"/>
      <x:c r="H25" s="38"/>
      <x:c r="I25" s="38"/>
      <x:c r="J25" s="38"/>
      <x:c r="K25" s="38"/>
    </x:row>
    <x:row r="26">
      <x:c r="B26" s="38" t="str">
        <x:v>Internal target</x:v>
      </x:c>
      <x:c r="C26" s="38"/>
      <x:c r="D26" s="38" t="n">
        <x:f>'Controls'!$D$9</x:f>
        <x:v>162</x:v>
      </x:c>
      <x:c r="E26" s="38"/>
      <x:c r="F26" s="38"/>
      <x:c r="G26" s="38"/>
      <x:c r="H26" s="38"/>
      <x:c r="I26" s="38"/>
      <x:c r="J26" s="38"/>
      <x:c r="K26" s="38"/>
    </x:row>
    <x:row r="27">
      <x:c r="B27" s="38" t="str">
        <x:v>Management reserve</x:v>
      </x:c>
      <x:c r="C27" s="38"/>
      <x:c r="D27" s="38" t="n">
        <x:f>D25-D24</x:f>
        <x:v>18</x:v>
      </x:c>
      <x:c r="E27" s="38"/>
      <x:c r="F27" s="38"/>
      <x:c r="G27" s="38"/>
      <x:c r="H27" s="38"/>
      <x:c r="I27" s="38"/>
      <x:c r="J27" s="38"/>
      <x:c r="K27" s="38"/>
    </x:row>
    <x:row r="28">
      <x:c r="B28" s="38" t="str">
        <x:v>Schedule state</x:v>
      </x:c>
      <x:c r="C28" s="38"/>
      <x:c r="D28" s="38" t="str">
        <x:f>IF(AND(D24&lt;=D26,D27&gt;=D25*'Controls'!$D$8),"PASS","FAIL")</x:f>
        <x:v>PASS</x:v>
      </x:c>
      <x:c r="E28" s="38"/>
      <x:c r="F28" s="38"/>
      <x:c r="G28" s="38"/>
      <x:c r="H28" s="38"/>
      <x:c r="I28" s="38"/>
      <x:c r="J28" s="38"/>
      <x:c r="K28" s="38"/>
    </x:row>
  </x:sheetData>
  <x:mergeCells>
    <x:mergeCell ref="B2:K2"/>
    <x:mergeCell ref="B3:K3"/>
    <x:mergeCell ref="B23:K23"/>
  </x:mergeCells>
  <x:conditionalFormatting sqref="J7:K19">
    <x:cfRule type="containsText" dxfId="72" priority="1" operator="containsText" text="PASS"/>
    <x:cfRule type="containsText" dxfId="73" priority="2" operator="containsText" text="SELECT"/>
    <x:cfRule type="containsText" dxfId="74" priority="3" operator="containsText" text="AUTHORIZED"/>
    <x:cfRule type="containsText" dxfId="75" priority="4" operator="containsText" text="COMPLETE"/>
    <x:cfRule type="containsText" dxfId="76" priority="5" operator="containsText" text="HOLD"/>
    <x:cfRule type="containsText" dxfId="77" priority="6" operator="containsText" text="OPEN"/>
    <x:cfRule type="containsText" dxfId="78" priority="7" operator="containsText" text="SAFE_STOP"/>
    <x:cfRule type="containsText" dxfId="79" priority="8" operator="containsText" text="BLOCKED"/>
    <x:cfRule type="containsText" dxfId="80" priority="9" operator="containsText" text="PLANNING"/>
    <x:cfRule type="containsText" dxfId="81" priority="10" operator="containsText" text="FAIL"/>
    <x:cfRule type="containsText" dxfId="82" priority="11" operator="containsText" text="REJECT"/>
    <x:cfRule type="containsText" dxfId="83" priority="12" operator="containsText" text="BREACH"/>
  </x:conditionalFormatting>
  <x:conditionalFormatting sqref="D28:D28">
    <x:cfRule type="containsText" dxfId="84" priority="13" operator="containsText" text="PASS"/>
    <x:cfRule type="containsText" dxfId="85" priority="14" operator="containsText" text="SELECT"/>
    <x:cfRule type="containsText" dxfId="86" priority="15" operator="containsText" text="AUTHORIZED"/>
    <x:cfRule type="containsText" dxfId="87" priority="16" operator="containsText" text="COMPLETE"/>
    <x:cfRule type="containsText" dxfId="88" priority="17" operator="containsText" text="HOLD"/>
    <x:cfRule type="containsText" dxfId="89" priority="18" operator="containsText" text="OPEN"/>
    <x:cfRule type="containsText" dxfId="90" priority="19" operator="containsText" text="SAFE_STOP"/>
    <x:cfRule type="containsText" dxfId="91" priority="20" operator="containsText" text="BLOCKED"/>
    <x:cfRule type="containsText" dxfId="92" priority="21" operator="containsText" text="PLANNING"/>
    <x:cfRule type="containsText" dxfId="93" priority="22" operator="containsText" text="FAIL"/>
    <x:cfRule type="containsText" dxfId="94" priority="23" operator="containsText" text="REJECT"/>
    <x:cfRule type="containsText" dxfId="95" priority="24" operator="containsText" text="BREACH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34" hidden="0" customWidth="1"/>
    <x:col min="3" max="3" width="49" hidden="0" customWidth="1"/>
    <x:col min="4" max="4" width="26" hidden="0" customWidth="1"/>
    <x:col min="5" max="5" width="24" hidden="0" customWidth="1"/>
    <x:col min="6" max="6" width="26" hidden="0" customWidth="1"/>
    <x:col min="7" max="7" width="16" hidden="0" customWidth="1"/>
    <x:col min="8" max="8" width="16" hidden="0" customWidth="1"/>
    <x:col min="9" max="9" width="17" hidden="0" customWidth="1"/>
    <x:col min="10" max="10" width="31" hidden="0" customWidth="1"/>
  </x:cols>
  <x:sheetData>
    <x:row r="2">
      <x:c r="B2" s="1" t="str">
        <x:v>No-borrow ledger</x:v>
      </x:c>
      <x:c r="C2" s="38"/>
      <x:c r="D2" s="38"/>
      <x:c r="E2" s="38"/>
      <x:c r="F2" s="38"/>
      <x:c r="G2" s="38"/>
      <x:c r="H2" s="38"/>
      <x:c r="I2" s="38"/>
      <x:c r="J2" s="38"/>
    </x:row>
    <x:row r="3">
      <x:c r="B3" s="2" t="str">
        <x:v>The two surviving campuses retain their campaign, safety and reset obligations during reconstruction.</x:v>
      </x:c>
      <x:c r="C3" s="38"/>
      <x:c r="D3" s="38"/>
      <x:c r="E3" s="38"/>
      <x:c r="F3" s="38"/>
      <x:c r="G3" s="38"/>
      <x:c r="H3" s="38"/>
      <x:c r="I3" s="38"/>
      <x:c r="J3" s="38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</x:row>
    <x:row r="6">
      <x:c r="B6" s="7" t="str">
        <x:v>Resource</x:v>
      </x:c>
      <x:c r="C6" s="7" t="str">
        <x:v>Independent source</x:v>
      </x:c>
      <x:c r="D6" s="7" t="str">
        <x:v>Operating-campus dependency</x:v>
      </x:c>
      <x:c r="E6" s="7" t="str">
        <x:v>Planning source defined</x:v>
      </x:c>
      <x:c r="F6" s="7" t="str">
        <x:v>Physical source constituted</x:v>
      </x:c>
      <x:c r="G6" s="7" t="str">
        <x:v>Planning gate</x:v>
      </x:c>
      <x:c r="H6" s="7" t="str">
        <x:v>Physical gate</x:v>
      </x:c>
      <x:c r="I6" s="7" t="str">
        <x:v>Readiness debit</x:v>
      </x:c>
      <x:c r="J6" s="7" t="str">
        <x:v>Consequence</x:v>
      </x:c>
    </x:row>
    <x:row r="7">
      <x:c r="B7" s="9" t="str">
        <x:v>Public command and loss authority</x:v>
      </x:c>
      <x:c r="C7" s="9" t="str">
        <x:v>CRG-1 command detachment</x:v>
      </x:c>
      <x:c r="D7" s="9" t="n">
        <x:v>0</x:v>
      </x:c>
      <x:c r="E7" s="9" t="n">
        <x:v>1</x:v>
      </x:c>
      <x:c r="F7" s="9" t="n">
        <x:v>0</x:v>
      </x:c>
      <x:c r="G7" s="9" t="str">
        <x:f>IF(AND(D7=0,E7=1),"PASS","FAIL")</x:f>
        <x:v>PASS</x:v>
      </x:c>
      <x:c r="H7" s="9" t="str">
        <x:f>IF(F7=1,"PASS","HOLD")</x:f>
        <x:v>HOLD</x:v>
      </x:c>
      <x:c r="I7" s="9" t="n">
        <x:v>0</x:v>
      </x:c>
      <x:c r="J7" s="9" t="str">
        <x:f>IF(OR(D7&gt;0,I7&gt;0),"SURVIVING CAMPUS IMPAIRED","INDEPENDENT IN PLAN")</x:f>
        <x:v>INDEPENDENT IN PLAN</x:v>
      </x:c>
    </x:row>
    <x:row r="8">
      <x:c r="B8" s="9" t="str">
        <x:v>Civil and receiver-site labor</x:v>
      </x:c>
      <x:c r="C8" s="9" t="str">
        <x:v>CRG-1 civil detachment and retained partners</x:v>
      </x:c>
      <x:c r="D8" s="9" t="n">
        <x:v>0</x:v>
      </x:c>
      <x:c r="E8" s="9" t="n">
        <x:v>1</x:v>
      </x:c>
      <x:c r="F8" s="9" t="n">
        <x:v>0</x:v>
      </x:c>
      <x:c r="G8" s="9" t="str">
        <x:f>IF(AND(D8=0,E8=1),"PASS","FAIL")</x:f>
        <x:v>PASS</x:v>
      </x:c>
      <x:c r="H8" s="9" t="str">
        <x:f>IF(F8=1,"PASS","HOLD")</x:f>
        <x:v>HOLD</x:v>
      </x:c>
      <x:c r="I8" s="9" t="n">
        <x:v>0</x:v>
      </x:c>
      <x:c r="J8" s="9" t="str">
        <x:f>IF(OR(D8&gt;0,I8&gt;0),"SURVIVING CAMPUS IMPAIRED","INDEPENDENT IN PLAN")</x:f>
        <x:v>INDEPENDENT IN PLAN</x:v>
      </x:c>
    </x:row>
    <x:row r="9">
      <x:c r="B9" s="9" t="str">
        <x:v>Utility and hydraulic specialists</x:v>
      </x:c>
      <x:c r="C9" s="9" t="str">
        <x:v>CRG-1 utility detachment and both roots</x:v>
      </x:c>
      <x:c r="D9" s="9" t="n">
        <x:v>0</x:v>
      </x:c>
      <x:c r="E9" s="9" t="n">
        <x:v>1</x:v>
      </x:c>
      <x:c r="F9" s="9" t="n">
        <x:v>0</x:v>
      </x:c>
      <x:c r="G9" s="9" t="str">
        <x:f>IF(AND(D9=0,E9=1),"PASS","FAIL")</x:f>
        <x:v>PASS</x:v>
      </x:c>
      <x:c r="H9" s="9" t="str">
        <x:f>IF(F9=1,"PASS","HOLD")</x:f>
        <x:v>HOLD</x:v>
      </x:c>
      <x:c r="I9" s="9" t="n">
        <x:v>0</x:v>
      </x:c>
      <x:c r="J9" s="9" t="str">
        <x:f>IF(OR(D9&gt;0,I9&gt;0),"SURVIVING CAMPUS IMPAIRED","INDEPENDENT IN PLAN")</x:f>
        <x:v>INDEPENDENT IN PLAN</x:v>
      </x:c>
    </x:row>
    <x:row r="10">
      <x:c r="B10" s="9" t="str">
        <x:v>Station assembly specialists</x:v>
      </x:c>
      <x:c r="C10" s="9" t="str">
        <x:v>CRG-1 station detachment and root affiliates</x:v>
      </x:c>
      <x:c r="D10" s="9" t="n">
        <x:v>0</x:v>
      </x:c>
      <x:c r="E10" s="9" t="n">
        <x:v>1</x:v>
      </x:c>
      <x:c r="F10" s="9" t="n">
        <x:v>0</x:v>
      </x:c>
      <x:c r="G10" s="9" t="str">
        <x:f>IF(AND(D10=0,E10=1),"PASS","FAIL")</x:f>
        <x:v>PASS</x:v>
      </x:c>
      <x:c r="H10" s="9" t="str">
        <x:f>IF(F10=1,"PASS","HOLD")</x:f>
        <x:v>HOLD</x:v>
      </x:c>
      <x:c r="I10" s="9" t="n">
        <x:v>0</x:v>
      </x:c>
      <x:c r="J10" s="9" t="str">
        <x:f>IF(OR(D10&gt;0,I10&gt;0),"SURVIVING CAMPUS IMPAIRED","INDEPENDENT IN PLAN")</x:f>
        <x:v>INDEPENDENT IN PLAN</x:v>
      </x:c>
    </x:row>
    <x:row r="11">
      <x:c r="B11" s="9" t="str">
        <x:v>Metrology masters and references</x:v>
      </x:c>
      <x:c r="C11" s="9" t="str">
        <x:v>mobile commissioning estate</x:v>
      </x:c>
      <x:c r="D11" s="9" t="n">
        <x:v>0</x:v>
      </x:c>
      <x:c r="E11" s="9" t="n">
        <x:v>1</x:v>
      </x:c>
      <x:c r="F11" s="9" t="n">
        <x:v>0</x:v>
      </x:c>
      <x:c r="G11" s="9" t="str">
        <x:f>IF(AND(D11=0,E11=1),"PASS","FAIL")</x:f>
        <x:v>PASS</x:v>
      </x:c>
      <x:c r="H11" s="9" t="str">
        <x:f>IF(F11=1,"PASS","HOLD")</x:f>
        <x:v>HOLD</x:v>
      </x:c>
      <x:c r="I11" s="9" t="n">
        <x:v>0</x:v>
      </x:c>
      <x:c r="J11" s="9" t="str">
        <x:f>IF(OR(D11&gt;0,I11&gt;0),"SURVIVING CAMPUS IMPAIRED","INDEPENDENT IN PLAN")</x:f>
        <x:v>INDEPENDENT IN PLAN</x:v>
      </x:c>
    </x:row>
    <x:row r="12">
      <x:c r="B12" s="9" t="str">
        <x:v>Evidence hardware and signing roots</x:v>
      </x:c>
      <x:c r="C12" s="9" t="str">
        <x:v>offline public evidence estate</x:v>
      </x:c>
      <x:c r="D12" s="9" t="n">
        <x:v>0</x:v>
      </x:c>
      <x:c r="E12" s="9" t="n">
        <x:v>1</x:v>
      </x:c>
      <x:c r="F12" s="9" t="n">
        <x:v>0</x:v>
      </x:c>
      <x:c r="G12" s="9" t="str">
        <x:f>IF(AND(D12=0,E12=1),"PASS","FAIL")</x:f>
        <x:v>PASS</x:v>
      </x:c>
      <x:c r="H12" s="9" t="str">
        <x:f>IF(F12=1,"PASS","HOLD")</x:f>
        <x:v>HOLD</x:v>
      </x:c>
      <x:c r="I12" s="9" t="n">
        <x:v>0</x:v>
      </x:c>
      <x:c r="J12" s="9" t="str">
        <x:f>IF(OR(D12&gt;0,I12&gt;0),"SURVIVING CAMPUS IMPAIRED","INDEPENDENT IN PLAN")</x:f>
        <x:v>INDEPENDENT IN PLAN</x:v>
      </x:c>
    </x:row>
    <x:row r="13">
      <x:c r="B13" s="9" t="str">
        <x:v>Technical data and software</x:v>
      </x:c>
      <x:c r="C13" s="9" t="str">
        <x:v>two public controlled originals</x:v>
      </x:c>
      <x:c r="D13" s="9" t="n">
        <x:v>0</x:v>
      </x:c>
      <x:c r="E13" s="9" t="n">
        <x:v>1</x:v>
      </x:c>
      <x:c r="F13" s="9" t="n">
        <x:v>0</x:v>
      </x:c>
      <x:c r="G13" s="9" t="str">
        <x:f>IF(AND(D13=0,E13=1),"PASS","FAIL")</x:f>
        <x:v>PASS</x:v>
      </x:c>
      <x:c r="H13" s="9" t="str">
        <x:f>IF(F13=1,"PASS","HOLD")</x:f>
        <x:v>HOLD</x:v>
      </x:c>
      <x:c r="I13" s="9" t="n">
        <x:v>0</x:v>
      </x:c>
      <x:c r="J13" s="9" t="str">
        <x:f>IF(OR(D13&gt;0,I13&gt;0),"SURVIVING CAMPUS IMPAIRED","INDEPENDENT IN PLAN")</x:f>
        <x:v>INDEPENDENT IN PLAN</x:v>
      </x:c>
    </x:row>
    <x:row r="14">
      <x:c r="B14" s="9" t="str">
        <x:v>Heavy transport and lifting</x:v>
      </x:c>
      <x:c r="C14" s="9" t="str">
        <x:v>mobile assembly formation</x:v>
      </x:c>
      <x:c r="D14" s="9" t="n">
        <x:v>0</x:v>
      </x:c>
      <x:c r="E14" s="9" t="n">
        <x:v>1</x:v>
      </x:c>
      <x:c r="F14" s="9" t="n">
        <x:v>0</x:v>
      </x:c>
      <x:c r="G14" s="9" t="str">
        <x:f>IF(AND(D14=0,E14=1),"PASS","FAIL")</x:f>
        <x:v>PASS</x:v>
      </x:c>
      <x:c r="H14" s="9" t="str">
        <x:f>IF(F14=1,"PASS","HOLD")</x:f>
        <x:v>HOLD</x:v>
      </x:c>
      <x:c r="I14" s="9" t="n">
        <x:v>0</x:v>
      </x:c>
      <x:c r="J14" s="9" t="str">
        <x:f>IF(OR(D14&gt;0,I14&gt;0),"SURVIVING CAMPUS IMPAIRED","INDEPENDENT IN PLAN")</x:f>
        <x:v>INDEPENDENT IN PLAN</x:v>
      </x:c>
    </x:row>
    <x:row r="15">
      <x:c r="B15" s="9" t="str">
        <x:v>Spares and consumables</x:v>
      </x:c>
      <x:c r="C15" s="9" t="str">
        <x:v>complete shipset and preservation inventory</x:v>
      </x:c>
      <x:c r="D15" s="9" t="n">
        <x:v>0</x:v>
      </x:c>
      <x:c r="E15" s="9" t="n">
        <x:v>1</x:v>
      </x:c>
      <x:c r="F15" s="9" t="n">
        <x:v>0</x:v>
      </x:c>
      <x:c r="G15" s="9" t="str">
        <x:f>IF(AND(D15=0,E15=1),"PASS","FAIL")</x:f>
        <x:v>PASS</x:v>
      </x:c>
      <x:c r="H15" s="9" t="str">
        <x:f>IF(F15=1,"PASS","HOLD")</x:f>
        <x:v>HOLD</x:v>
      </x:c>
      <x:c r="I15" s="9" t="n">
        <x:v>0</x:v>
      </x:c>
      <x:c r="J15" s="9" t="str">
        <x:f>IF(OR(D15&gt;0,I15&gt;0),"SURVIVING CAMPUS IMPAIRED","INDEPENDENT IN PLAN")</x:f>
        <x:v>INDEPENDENT IN PLAN</x:v>
      </x:c>
    </x:row>
    <x:row r="16">
      <x:c r="B16" s="10" t="str">
        <x:v>Waste and decontamination path</x:v>
      </x:c>
      <x:c r="C16" s="10" t="str">
        <x:v>isolated environmental reserve</x:v>
      </x:c>
      <x:c r="D16" s="10" t="n">
        <x:v>0</x:v>
      </x:c>
      <x:c r="E16" s="10" t="n">
        <x:v>1</x:v>
      </x:c>
      <x:c r="F16" s="10" t="n">
        <x:v>0</x:v>
      </x:c>
      <x:c r="G16" s="10" t="str">
        <x:f>IF(AND(D16=0,E16=1),"PASS","FAIL")</x:f>
        <x:v>PASS</x:v>
      </x:c>
      <x:c r="H16" s="10" t="str">
        <x:f>IF(F16=1,"PASS","HOLD")</x:f>
        <x:v>HOLD</x:v>
      </x:c>
      <x:c r="I16" s="10" t="n">
        <x:v>0</x:v>
      </x:c>
      <x:c r="J16" s="10" t="str">
        <x:f>IF(OR(D16&gt;0,I16&gt;0),"SURVIVING CAMPUS IMPAIRED","INDEPENDENT IN PLAN")</x:f>
        <x:v>INDEPENDENT IN PLAN</x:v>
      </x:c>
    </x:row>
  </x:sheetData>
  <x:mergeCells>
    <x:mergeCell ref="B2:J2"/>
    <x:mergeCell ref="B3:J3"/>
  </x:mergeCells>
  <x:conditionalFormatting sqref="G7:H16">
    <x:cfRule type="containsText" dxfId="96" priority="1" operator="containsText" text="PASS"/>
    <x:cfRule type="containsText" dxfId="97" priority="2" operator="containsText" text="SELECT"/>
    <x:cfRule type="containsText" dxfId="98" priority="3" operator="containsText" text="AUTHORIZED"/>
    <x:cfRule type="containsText" dxfId="99" priority="4" operator="containsText" text="COMPLETE"/>
    <x:cfRule type="containsText" dxfId="100" priority="5" operator="containsText" text="HOLD"/>
    <x:cfRule type="containsText" dxfId="101" priority="6" operator="containsText" text="OPEN"/>
    <x:cfRule type="containsText" dxfId="102" priority="7" operator="containsText" text="SAFE_STOP"/>
    <x:cfRule type="containsText" dxfId="103" priority="8" operator="containsText" text="BLOCKED"/>
    <x:cfRule type="containsText" dxfId="104" priority="9" operator="containsText" text="PLANNING"/>
    <x:cfRule type="containsText" dxfId="105" priority="10" operator="containsText" text="FAIL"/>
    <x:cfRule type="containsText" dxfId="106" priority="11" operator="containsText" text="REJECT"/>
    <x:cfRule type="containsText" dxfId="107" priority="12" operator="containsText" text="BREACH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9" hidden="0" customWidth="1"/>
    <x:col min="3" max="3" width="14" hidden="0" customWidth="1"/>
    <x:col min="4" max="4" width="14" hidden="0" customWidth="1"/>
    <x:col min="5" max="5" width="17" hidden="0" customWidth="1"/>
    <x:col min="6" max="6" width="4" hidden="0" customWidth="1"/>
    <x:col min="7" max="7" width="30" hidden="0" customWidth="1"/>
    <x:col min="8" max="8" width="18" hidden="0" customWidth="1"/>
    <x:col min="9" max="9" width="18" hidden="0" customWidth="1"/>
  </x:cols>
  <x:sheetData>
    <x:row r="2">
      <x:c r="B2" s="1" t="str">
        <x:v>Independent regeneration workforce</x:v>
      </x:c>
      <x:c r="C2" s="38"/>
      <x:c r="D2" s="38"/>
      <x:c r="E2" s="38"/>
      <x:c r="F2" s="38"/>
      <x:c r="G2" s="38"/>
      <x:c r="H2" s="38"/>
      <x:c r="I2" s="38"/>
    </x:row>
    <x:row r="3">
      <x:c r="B3" s="2" t="str">
        <x:v>Public authority remains separate from retained industrial execution.</x:v>
      </x:c>
      <x:c r="C3" s="38"/>
      <x:c r="D3" s="38"/>
      <x:c r="E3" s="38"/>
      <x:c r="F3" s="38"/>
      <x:c r="G3" s="38"/>
      <x:c r="H3" s="38"/>
      <x:c r="I3" s="38"/>
    </x:row>
    <x:row r="4">
      <x:c r="B4" s="39"/>
      <x:c r="C4" s="39"/>
      <x:c r="D4" s="39"/>
      <x:c r="E4" s="39"/>
      <x:c r="F4" s="39"/>
      <x:c r="G4" s="39"/>
      <x:c r="H4" s="39"/>
      <x:c r="I4" s="39"/>
    </x:row>
    <x:row r="5">
      <x:c r="B5" s="38"/>
      <x:c r="C5" s="38"/>
      <x:c r="D5" s="38"/>
      <x:c r="E5" s="38"/>
      <x:c r="F5" s="38"/>
      <x:c r="G5" s="38"/>
      <x:c r="H5" s="38"/>
      <x:c r="I5" s="38"/>
    </x:row>
    <x:row r="6">
      <x:c r="B6" s="7" t="str">
        <x:v>Public detachment</x:v>
      </x:c>
      <x:c r="C6" s="7" t="str">
        <x:v>Billets</x:v>
      </x:c>
      <x:c r="D6" s="7" t="str">
        <x:v>Share</x:v>
      </x:c>
      <x:c r="E6" s="7" t="str">
        <x:v>Planning gate</x:v>
      </x:c>
      <x:c r="F6" s="38"/>
      <x:c r="G6" s="7" t="str">
        <x:v>Authority</x:v>
      </x:c>
      <x:c r="H6" s="7" t="str">
        <x:v>Planning state</x:v>
      </x:c>
      <x:c r="I6" s="7" t="str">
        <x:v>Physical state</x:v>
      </x:c>
    </x:row>
    <x:row r="7">
      <x:c r="B7" s="9" t="str">
        <x:v>Command, loss authentication and logistics</x:v>
      </x:c>
      <x:c r="C7" s="9" t="n">
        <x:v>45</x:v>
      </x:c>
      <x:c r="D7" s="21" t="n">
        <x:f>C7/$C$13</x:f>
        <x:v>0.15</x:v>
      </x:c>
      <x:c r="E7" s="9" t="str">
        <x:f>IF(C7&gt;0,"PASS","FAIL")</x:f>
        <x:v>PASS</x:v>
      </x:c>
      <x:c r="F7" s="38"/>
      <x:c r="G7" s="9" t="str">
        <x:v>Public safety and admission</x:v>
      </x:c>
      <x:c r="H7" s="9" t="str">
        <x:v>PUBLIC</x:v>
      </x:c>
      <x:c r="I7" s="9" t="str">
        <x:v>OPEN</x:v>
      </x:c>
    </x:row>
    <x:row r="8">
      <x:c r="B8" s="9" t="str">
        <x:v>Civil works and receiver activation</x:v>
      </x:c>
      <x:c r="C8" s="9" t="n">
        <x:v>50</x:v>
      </x:c>
      <x:c r="D8" s="21" t="n">
        <x:f>C8/$C$13</x:f>
        <x:v>0.16666666666666666</x:v>
      </x:c>
      <x:c r="E8" s="9" t="str">
        <x:f>IF(C8&gt;0,"PASS","FAIL")</x:f>
        <x:v>PASS</x:v>
      </x:c>
      <x:c r="F8" s="38"/>
      <x:c r="G8" s="9" t="str">
        <x:v>Evidence and cause</x:v>
      </x:c>
      <x:c r="H8" s="9" t="str">
        <x:v>PUBLIC</x:v>
      </x:c>
      <x:c r="I8" s="9" t="str">
        <x:v>OPEN</x:v>
      </x:c>
    </x:row>
    <x:row r="9">
      <x:c r="B9" s="9" t="str">
        <x:v>Power, hydraulic, thermal and waste utilities</x:v>
      </x:c>
      <x:c r="C9" s="9" t="n">
        <x:v>65</x:v>
      </x:c>
      <x:c r="D9" s="21" t="n">
        <x:f>C9/$C$13</x:f>
        <x:v>0.21666666666666667</x:v>
      </x:c>
      <x:c r="E9" s="9" t="str">
        <x:f>IF(C9&gt;0,"PASS","FAIL")</x:f>
        <x:v>PASS</x:v>
      </x:c>
      <x:c r="F9" s="38"/>
      <x:c r="G9" s="9" t="str">
        <x:v>Industrial execution</x:v>
      </x:c>
      <x:c r="H9" s="9" t="str">
        <x:v>AFFILIATE</x:v>
      </x:c>
      <x:c r="I9" s="9" t="str">
        <x:v>OPEN</x:v>
      </x:c>
    </x:row>
    <x:row r="10">
      <x:c r="B10" s="9" t="str">
        <x:v>Station assembly and integration</x:v>
      </x:c>
      <x:c r="C10" s="9" t="n">
        <x:v>75</x:v>
      </x:c>
      <x:c r="D10" s="21" t="n">
        <x:f>C10/$C$13</x:f>
        <x:v>0.25</x:v>
      </x:c>
      <x:c r="E10" s="9" t="str">
        <x:f>IF(C10&gt;0,"PASS","FAIL")</x:f>
        <x:v>PASS</x:v>
      </x:c>
      <x:c r="F10" s="38"/>
      <x:c r="G10" s="10" t="str">
        <x:v>Campus transfer</x:v>
      </x:c>
      <x:c r="H10" s="10" t="str">
        <x:v>PUBLIC</x:v>
      </x:c>
      <x:c r="I10" s="10" t="str">
        <x:v>OPEN</x:v>
      </x:c>
    </x:row>
    <x:row r="11">
      <x:c r="B11" s="9" t="str">
        <x:v>Metrology, evidence and commissioning</x:v>
      </x:c>
      <x:c r="C11" s="9" t="n">
        <x:v>45</x:v>
      </x:c>
      <x:c r="D11" s="21" t="n">
        <x:f>C11/$C$13</x:f>
        <x:v>0.15</x:v>
      </x:c>
      <x:c r="E11" s="9" t="str">
        <x:f>IF(C11&gt;0,"PASS","FAIL")</x:f>
        <x:v>PASS</x:v>
      </x:c>
      <x:c r="F11" s="38"/>
      <x:c r="G11" s="38"/>
      <x:c r="H11" s="38"/>
      <x:c r="I11" s="38"/>
    </x:row>
    <x:row r="12">
      <x:c r="B12" s="9" t="str">
        <x:v>Safety, qualification and transfer</x:v>
      </x:c>
      <x:c r="C12" s="9" t="n">
        <x:v>20</x:v>
      </x:c>
      <x:c r="D12" s="21" t="n">
        <x:f>C12/$C$13</x:f>
        <x:v>0.06666666666666667</x:v>
      </x:c>
      <x:c r="E12" s="9" t="str">
        <x:f>IF(C12&gt;0,"PASS","FAIL")</x:f>
        <x:v>PASS</x:v>
      </x:c>
      <x:c r="F12" s="38"/>
      <x:c r="G12" s="38"/>
      <x:c r="H12" s="38"/>
      <x:c r="I12" s="38"/>
    </x:row>
    <x:row r="13">
      <x:c r="B13" s="10" t="str">
        <x:v>Total public CRG-1</x:v>
      </x:c>
      <x:c r="C13" s="10" t="n">
        <x:f>SUM(C7:C12)</x:f>
        <x:v>300</x:v>
      </x:c>
      <x:c r="D13" s="25" t="n">
        <x:f>SUM(D7:D12)</x:f>
        <x:v>1</x:v>
      </x:c>
      <x:c r="E13" s="10" t="str">
        <x:f>IF(C13='Controls'!$D$15,"PASS","FAIL")</x:f>
        <x:v>PASS</x:v>
      </x:c>
      <x:c r="F13" s="38"/>
      <x:c r="G13" s="38"/>
      <x:c r="H13" s="38"/>
      <x:c r="I13" s="38"/>
    </x:row>
    <x:row r="14">
      <x:c r="B14" s="38"/>
      <x:c r="C14" s="38"/>
      <x:c r="D14" s="38"/>
      <x:c r="E14" s="38"/>
      <x:c r="F14" s="38"/>
      <x:c r="G14" s="38"/>
      <x:c r="H14" s="38"/>
      <x:c r="I14" s="38"/>
    </x:row>
    <x:row r="15">
      <x:c r="B15" s="38"/>
      <x:c r="C15" s="38"/>
      <x:c r="D15" s="38"/>
      <x:c r="E15" s="38"/>
      <x:c r="F15" s="38"/>
      <x:c r="G15" s="38"/>
      <x:c r="H15" s="38"/>
      <x:c r="I15" s="38"/>
    </x:row>
    <x:row r="16">
      <x:c r="B16" s="38"/>
      <x:c r="C16" s="38"/>
      <x:c r="D16" s="38"/>
      <x:c r="E16" s="38"/>
      <x:c r="F16" s="38"/>
      <x:c r="G16" s="38"/>
      <x:c r="H16" s="38"/>
      <x:c r="I16" s="38"/>
    </x:row>
    <x:row r="17">
      <x:c r="B17" s="32" t="str">
        <x:v>Retained industrial affiliates</x:v>
      </x:c>
      <x:c r="C17" s="33" t="str">
        <x:v>Retained industrial affiliates</x:v>
      </x:c>
      <x:c r="D17" s="33" t="str">
        <x:v>Retained industrial affiliates</x:v>
      </x:c>
      <x:c r="E17" s="33" t="str">
        <x:v>Retained industrial affiliates</x:v>
      </x:c>
      <x:c r="F17" s="33" t="str">
        <x:v>Retained industrial affiliates</x:v>
      </x:c>
      <x:c r="G17" s="33" t="str">
        <x:v>Retained industrial affiliates</x:v>
      </x:c>
      <x:c r="H17" s="33" t="str">
        <x:v>Retained industrial affiliates</x:v>
      </x:c>
      <x:c r="I17" s="34" t="str">
        <x:v>Retained industrial affiliates</x:v>
      </x:c>
    </x:row>
    <x:row r="18">
      <x:c r="B18" s="7" t="str">
        <x:v>Affiliate pool</x:v>
      </x:c>
      <x:c r="C18" s="7" t="str">
        <x:v>People</x:v>
      </x:c>
      <x:c r="D18" s="7" t="str">
        <x:v>Share</x:v>
      </x:c>
      <x:c r="E18" s="7" t="str">
        <x:v>Planning gate</x:v>
      </x:c>
      <x:c r="F18" s="38"/>
      <x:c r="G18" s="38"/>
      <x:c r="H18" s="38"/>
      <x:c r="I18" s="38"/>
    </x:row>
    <x:row r="19">
      <x:c r="B19" s="9" t="str">
        <x:v>Root A production and field teams</x:v>
      </x:c>
      <x:c r="C19" s="9" t="n">
        <x:v>400</x:v>
      </x:c>
      <x:c r="D19" s="21" t="n">
        <x:f>C19/$C$24</x:f>
        <x:v>0.2857142857142857</x:v>
      </x:c>
      <x:c r="E19" s="9" t="str">
        <x:f>IF(C19&gt;0,"PASS","FAIL")</x:f>
        <x:v>PASS</x:v>
      </x:c>
      <x:c r="F19" s="38"/>
      <x:c r="G19" s="38"/>
      <x:c r="H19" s="38"/>
      <x:c r="I19" s="38"/>
    </x:row>
    <x:row r="20">
      <x:c r="B20" s="9" t="str">
        <x:v>Root B production and field teams</x:v>
      </x:c>
      <x:c r="C20" s="9" t="n">
        <x:v>400</x:v>
      </x:c>
      <x:c r="D20" s="21" t="n">
        <x:f>C20/$C$24</x:f>
        <x:v>0.2857142857142857</x:v>
      </x:c>
      <x:c r="E20" s="9" t="str">
        <x:f>IF(C20&gt;0,"PASS","FAIL")</x:f>
        <x:v>PASS</x:v>
      </x:c>
      <x:c r="F20" s="38"/>
      <x:c r="G20" s="38"/>
      <x:c r="H20" s="38"/>
      <x:c r="I20" s="38"/>
    </x:row>
    <x:row r="21">
      <x:c r="B21" s="9" t="str">
        <x:v>Heavy transport and lifting</x:v>
      </x:c>
      <x:c r="C21" s="9" t="n">
        <x:v>250</x:v>
      </x:c>
      <x:c r="D21" s="21" t="n">
        <x:f>C21/$C$24</x:f>
        <x:v>0.17857142857142858</x:v>
      </x:c>
      <x:c r="E21" s="9" t="str">
        <x:f>IF(C21&gt;0,"PASS","FAIL")</x:f>
        <x:v>PASS</x:v>
      </x:c>
      <x:c r="F21" s="38"/>
      <x:c r="G21" s="38"/>
      <x:c r="H21" s="38"/>
      <x:c r="I21" s="38"/>
    </x:row>
    <x:row r="22">
      <x:c r="B22" s="9" t="str">
        <x:v>Civil, utility and environmental partners</x:v>
      </x:c>
      <x:c r="C22" s="9" t="n">
        <x:v>200</x:v>
      </x:c>
      <x:c r="D22" s="21" t="n">
        <x:f>C22/$C$24</x:f>
        <x:v>0.14285714285714285</x:v>
      </x:c>
      <x:c r="E22" s="9" t="str">
        <x:f>IF(C22&gt;0,"PASS","FAIL")</x:f>
        <x:v>PASS</x:v>
      </x:c>
      <x:c r="F22" s="38"/>
      <x:c r="G22" s="38"/>
      <x:c r="H22" s="38"/>
      <x:c r="I22" s="38"/>
    </x:row>
    <x:row r="23">
      <x:c r="B23" s="9" t="str">
        <x:v>Instrumentation, software and reference suppliers</x:v>
      </x:c>
      <x:c r="C23" s="9" t="n">
        <x:v>150</x:v>
      </x:c>
      <x:c r="D23" s="21" t="n">
        <x:f>C23/$C$24</x:f>
        <x:v>0.10714285714285714</x:v>
      </x:c>
      <x:c r="E23" s="9" t="str">
        <x:f>IF(C23&gt;0,"PASS","FAIL")</x:f>
        <x:v>PASS</x:v>
      </x:c>
      <x:c r="F23" s="38"/>
      <x:c r="G23" s="38"/>
      <x:c r="H23" s="38"/>
      <x:c r="I23" s="38"/>
    </x:row>
    <x:row r="24">
      <x:c r="B24" s="10" t="str">
        <x:v>Total affiliates</x:v>
      </x:c>
      <x:c r="C24" s="10" t="n">
        <x:f>SUM(C19:C23)</x:f>
        <x:v>1400</x:v>
      </x:c>
      <x:c r="D24" s="25" t="n">
        <x:f>SUM(D19:D23)</x:f>
        <x:v>0.9999999999999999</x:v>
      </x:c>
      <x:c r="E24" s="10" t="str">
        <x:f>IF(C24='Controls'!$D$16,"PASS","FAIL")</x:f>
        <x:v>PASS</x:v>
      </x:c>
      <x:c r="F24" s="38"/>
      <x:c r="G24" s="38"/>
      <x:c r="H24" s="38"/>
      <x:c r="I24" s="38"/>
    </x:row>
  </x:sheetData>
  <x:mergeCells>
    <x:mergeCell ref="B2:I2"/>
    <x:mergeCell ref="B3:I3"/>
    <x:mergeCell ref="B17:I17"/>
  </x:mergeCells>
  <x:conditionalFormatting sqref="E7:E13">
    <x:cfRule type="containsText" dxfId="108" priority="1" operator="containsText" text="PASS"/>
    <x:cfRule type="containsText" dxfId="109" priority="2" operator="containsText" text="SELECT"/>
    <x:cfRule type="containsText" dxfId="110" priority="3" operator="containsText" text="AUTHORIZED"/>
    <x:cfRule type="containsText" dxfId="111" priority="4" operator="containsText" text="COMPLETE"/>
    <x:cfRule type="containsText" dxfId="112" priority="5" operator="containsText" text="HOLD"/>
    <x:cfRule type="containsText" dxfId="113" priority="6" operator="containsText" text="OPEN"/>
    <x:cfRule type="containsText" dxfId="114" priority="7" operator="containsText" text="SAFE_STOP"/>
    <x:cfRule type="containsText" dxfId="115" priority="8" operator="containsText" text="BLOCKED"/>
    <x:cfRule type="containsText" dxfId="116" priority="9" operator="containsText" text="PLANNING"/>
    <x:cfRule type="containsText" dxfId="117" priority="10" operator="containsText" text="FAIL"/>
    <x:cfRule type="containsText" dxfId="118" priority="11" operator="containsText" text="REJECT"/>
    <x:cfRule type="containsText" dxfId="119" priority="12" operator="containsText" text="BREACH"/>
  </x:conditionalFormatting>
  <x:conditionalFormatting sqref="E19:E24">
    <x:cfRule type="containsText" dxfId="120" priority="13" operator="containsText" text="PASS"/>
    <x:cfRule type="containsText" dxfId="121" priority="14" operator="containsText" text="SELECT"/>
    <x:cfRule type="containsText" dxfId="122" priority="15" operator="containsText" text="AUTHORIZED"/>
    <x:cfRule type="containsText" dxfId="123" priority="16" operator="containsText" text="COMPLETE"/>
    <x:cfRule type="containsText" dxfId="124" priority="17" operator="containsText" text="HOLD"/>
    <x:cfRule type="containsText" dxfId="125" priority="18" operator="containsText" text="OPEN"/>
    <x:cfRule type="containsText" dxfId="126" priority="19" operator="containsText" text="SAFE_STOP"/>
    <x:cfRule type="containsText" dxfId="127" priority="20" operator="containsText" text="BLOCKED"/>
    <x:cfRule type="containsText" dxfId="128" priority="21" operator="containsText" text="PLANNING"/>
    <x:cfRule type="containsText" dxfId="129" priority="22" operator="containsText" text="FAIL"/>
    <x:cfRule type="containsText" dxfId="130" priority="23" operator="containsText" text="REJECT"/>
    <x:cfRule type="containsText" dxfId="131" priority="24" operator="containsText" text="BREACH"/>
  </x:conditionalFormatting>
  <x:conditionalFormatting sqref="I7:I10">
    <x:cfRule type="containsText" dxfId="132" priority="25" operator="containsText" text="PASS"/>
    <x:cfRule type="containsText" dxfId="133" priority="26" operator="containsText" text="SELECT"/>
    <x:cfRule type="containsText" dxfId="134" priority="27" operator="containsText" text="AUTHORIZED"/>
    <x:cfRule type="containsText" dxfId="135" priority="28" operator="containsText" text="COMPLETE"/>
    <x:cfRule type="containsText" dxfId="136" priority="29" operator="containsText" text="HOLD"/>
    <x:cfRule type="containsText" dxfId="137" priority="30" operator="containsText" text="OPEN"/>
    <x:cfRule type="containsText" dxfId="138" priority="31" operator="containsText" text="SAFE_STOP"/>
    <x:cfRule type="containsText" dxfId="139" priority="32" operator="containsText" text="BLOCKED"/>
    <x:cfRule type="containsText" dxfId="140" priority="33" operator="containsText" text="PLANNING"/>
    <x:cfRule type="containsText" dxfId="141" priority="34" operator="containsText" text="FAIL"/>
    <x:cfRule type="containsText" dxfId="142" priority="35" operator="containsText" text="REJECT"/>
    <x:cfRule type="containsText" dxfId="143" priority="36" operator="containsText" text="BREACH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0" hidden="0" customWidth="1"/>
    <x:col min="3" max="3" width="53" hidden="0" customWidth="1"/>
    <x:col min="4" max="4" width="18" hidden="0" customWidth="1"/>
    <x:col min="5" max="5" width="20" hidden="0" customWidth="1"/>
    <x:col min="6" max="6" width="18" hidden="0" customWidth="1"/>
    <x:col min="7" max="7" width="24" hidden="0" customWidth="1"/>
    <x:col min="8" max="8" width="24" hidden="0" customWidth="1"/>
    <x:col min="9" max="9" width="16" hidden="0" customWidth="1"/>
    <x:col min="10" max="10" width="18" hidden="0" customWidth="1"/>
  </x:cols>
  <x:sheetData>
    <x:row r="2">
      <x:c r="B2" s="1" t="str">
        <x:v>Independent commissioning chain</x:v>
      </x:c>
      <x:c r="C2" s="38"/>
      <x:c r="D2" s="38"/>
      <x:c r="E2" s="38"/>
      <x:c r="F2" s="38"/>
      <x:c r="G2" s="38"/>
      <x:c r="H2" s="38"/>
      <x:c r="I2" s="38"/>
      <x:c r="J2" s="38"/>
    </x:row>
    <x:row r="3">
      <x:c r="B3" s="2" t="str">
        <x:v>The assembly formation cannot accept its own work. Planning definition and physical evidence remain separate.</x:v>
      </x:c>
      <x:c r="C3" s="38"/>
      <x:c r="D3" s="38"/>
      <x:c r="E3" s="38"/>
      <x:c r="F3" s="38"/>
      <x:c r="G3" s="38"/>
      <x:c r="H3" s="38"/>
      <x:c r="I3" s="38"/>
      <x:c r="J3" s="38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</x:row>
    <x:row r="6">
      <x:c r="B6" s="7" t="str">
        <x:v>Gate</x:v>
      </x:c>
      <x:c r="C6" s="7" t="str">
        <x:v>Acceptance test</x:v>
      </x:c>
      <x:c r="D6" s="7" t="str">
        <x:v>Class</x:v>
      </x:c>
      <x:c r="E6" s="7" t="str">
        <x:v>Planning method</x:v>
      </x:c>
      <x:c r="F6" s="7" t="str">
        <x:v>Physical packet</x:v>
      </x:c>
      <x:c r="G6" s="7" t="str">
        <x:v>Independent reviewer</x:v>
      </x:c>
      <x:c r="H6" s="7" t="str">
        <x:v>Open safety disposition</x:v>
      </x:c>
      <x:c r="I6" s="7" t="str">
        <x:v>Planning gate</x:v>
      </x:c>
      <x:c r="J6" s="7" t="str">
        <x:v>Admission state</x:v>
      </x:c>
    </x:row>
    <x:row r="7">
      <x:c r="B7" s="9" t="str">
        <x:v>K01</x:v>
      </x:c>
      <x:c r="C7" s="9" t="str">
        <x:v>Module identity and root ancestry reconcile</x:v>
      </x:c>
      <x:c r="D7" s="9" t="str">
        <x:v>IDENTITY</x:v>
      </x:c>
      <x:c r="E7" s="9" t="n">
        <x:v>1</x:v>
      </x:c>
      <x:c r="F7" s="9" t="n">
        <x:v>0</x:v>
      </x:c>
      <x:c r="G7" s="9" t="n">
        <x:v>1</x:v>
      </x:c>
      <x:c r="H7" s="9" t="n">
        <x:v>0</x:v>
      </x:c>
      <x:c r="I7" s="9" t="str">
        <x:f>IF(AND(E7=1,G7=1),"PASS","FAIL")</x:f>
        <x:v>PASS</x:v>
      </x:c>
      <x:c r="J7" s="9" t="str">
        <x:f>IF(AND(F7=1,H7=0),"PASS","HOLD")</x:f>
        <x:v>HOLD</x:v>
      </x:c>
    </x:row>
    <x:row r="8">
      <x:c r="B8" s="9" t="str">
        <x:v>K02</x:v>
      </x:c>
      <x:c r="C8" s="9" t="str">
        <x:v>Technical data and executable configuration reconcile</x:v>
      </x:c>
      <x:c r="D8" s="9" t="str">
        <x:v>CONFIGURATION</x:v>
      </x:c>
      <x:c r="E8" s="9" t="n">
        <x:v>1</x:v>
      </x:c>
      <x:c r="F8" s="9" t="n">
        <x:v>0</x:v>
      </x:c>
      <x:c r="G8" s="9" t="n">
        <x:v>1</x:v>
      </x:c>
      <x:c r="H8" s="9" t="n">
        <x:v>0</x:v>
      </x:c>
      <x:c r="I8" s="9" t="str">
        <x:f>IF(AND(E8=1,G8=1),"PASS","FAIL")</x:f>
        <x:v>PASS</x:v>
      </x:c>
      <x:c r="J8" s="9" t="str">
        <x:f>IF(AND(F8=1,H8=0),"PASS","HOLD")</x:f>
        <x:v>HOLD</x:v>
      </x:c>
    </x:row>
    <x:row r="9">
      <x:c r="B9" s="9" t="str">
        <x:v>K03</x:v>
      </x:c>
      <x:c r="C9" s="9" t="str">
        <x:v>Structural and geometric interfaces meet reference</x:v>
      </x:c>
      <x:c r="D9" s="9" t="str">
        <x:v>GEOMETRY</x:v>
      </x:c>
      <x:c r="E9" s="9" t="n">
        <x:v>1</x:v>
      </x:c>
      <x:c r="F9" s="9" t="n">
        <x:v>0</x:v>
      </x:c>
      <x:c r="G9" s="9" t="n">
        <x:v>1</x:v>
      </x:c>
      <x:c r="H9" s="9" t="n">
        <x:v>0</x:v>
      </x:c>
      <x:c r="I9" s="9" t="str">
        <x:f>IF(AND(E9=1,G9=1),"PASS","FAIL")</x:f>
        <x:v>PASS</x:v>
      </x:c>
      <x:c r="J9" s="9" t="str">
        <x:f>IF(AND(F9=1,H9=0),"PASS","HOLD")</x:f>
        <x:v>HOLD</x:v>
      </x:c>
    </x:row>
    <x:row r="10">
      <x:c r="B10" s="9" t="str">
        <x:v>K04</x:v>
      </x:c>
      <x:c r="C10" s="9" t="str">
        <x:v>Grid-forming power and black start close</x:v>
      </x:c>
      <x:c r="D10" s="9" t="str">
        <x:v>UTILITY</x:v>
      </x:c>
      <x:c r="E10" s="9" t="n">
        <x:v>1</x:v>
      </x:c>
      <x:c r="F10" s="9" t="n">
        <x:v>0</x:v>
      </x:c>
      <x:c r="G10" s="9" t="n">
        <x:v>1</x:v>
      </x:c>
      <x:c r="H10" s="9" t="n">
        <x:v>0</x:v>
      </x:c>
      <x:c r="I10" s="9" t="str">
        <x:f>IF(AND(E10=1,G10=1),"PASS","FAIL")</x:f>
        <x:v>PASS</x:v>
      </x:c>
      <x:c r="J10" s="9" t="str">
        <x:f>IF(AND(F10=1,H10=0),"PASS","HOLD")</x:f>
        <x:v>HOLD</x:v>
      </x:c>
    </x:row>
    <x:row r="11">
      <x:c r="B11" s="9" t="str">
        <x:v>K05</x:v>
      </x:c>
      <x:c r="C11" s="9" t="str">
        <x:v>Source, receiver, hydraulic and thermal chains close</x:v>
      </x:c>
      <x:c r="D11" s="9" t="str">
        <x:v>UTILITY</x:v>
      </x:c>
      <x:c r="E11" s="9" t="n">
        <x:v>1</x:v>
      </x:c>
      <x:c r="F11" s="9" t="n">
        <x:v>0</x:v>
      </x:c>
      <x:c r="G11" s="9" t="n">
        <x:v>1</x:v>
      </x:c>
      <x:c r="H11" s="9" t="n">
        <x:v>0</x:v>
      </x:c>
      <x:c r="I11" s="9" t="str">
        <x:f>IF(AND(E11=1,G11=1),"PASS","FAIL")</x:f>
        <x:v>PASS</x:v>
      </x:c>
      <x:c r="J11" s="9" t="str">
        <x:f>IF(AND(F11=1,H11=0),"PASS","HOLD")</x:f>
        <x:v>HOLD</x:v>
      </x:c>
    </x:row>
    <x:row r="12">
      <x:c r="B12" s="9" t="str">
        <x:v>K06</x:v>
      </x:c>
      <x:c r="C12" s="9" t="str">
        <x:v>Waste, decontamination and clean-zone isolation close</x:v>
      </x:c>
      <x:c r="D12" s="9" t="str">
        <x:v>SAFETY</x:v>
      </x:c>
      <x:c r="E12" s="9" t="n">
        <x:v>1</x:v>
      </x:c>
      <x:c r="F12" s="9" t="n">
        <x:v>0</x:v>
      </x:c>
      <x:c r="G12" s="9" t="n">
        <x:v>1</x:v>
      </x:c>
      <x:c r="H12" s="9" t="n">
        <x:v>0</x:v>
      </x:c>
      <x:c r="I12" s="9" t="str">
        <x:f>IF(AND(E12=1,G12=1),"PASS","FAIL")</x:f>
        <x:v>PASS</x:v>
      </x:c>
      <x:c r="J12" s="9" t="str">
        <x:f>IF(AND(F12=1,H12=0),"PASS","HOLD")</x:f>
        <x:v>HOLD</x:v>
      </x:c>
    </x:row>
    <x:row r="13">
      <x:c r="B13" s="9" t="str">
        <x:v>K07</x:v>
      </x:c>
      <x:c r="C13" s="9" t="str">
        <x:v>Offline time, signing and evidence chain closes</x:v>
      </x:c>
      <x:c r="D13" s="9" t="str">
        <x:v>EVIDENCE</x:v>
      </x:c>
      <x:c r="E13" s="9" t="n">
        <x:v>1</x:v>
      </x:c>
      <x:c r="F13" s="9" t="n">
        <x:v>0</x:v>
      </x:c>
      <x:c r="G13" s="9" t="n">
        <x:v>1</x:v>
      </x:c>
      <x:c r="H13" s="9" t="n">
        <x:v>0</x:v>
      </x:c>
      <x:c r="I13" s="9" t="str">
        <x:f>IF(AND(E13=1,G13=1),"PASS","FAIL")</x:f>
        <x:v>PASS</x:v>
      </x:c>
      <x:c r="J13" s="9" t="str">
        <x:f>IF(AND(F13=1,H13=0),"PASS","HOLD")</x:f>
        <x:v>HOLD</x:v>
      </x:c>
    </x:row>
    <x:row r="14">
      <x:c r="B14" s="9" t="str">
        <x:v>K08</x:v>
      </x:c>
      <x:c r="C14" s="9" t="str">
        <x:v>Known-truth measurement brackets reproduce</x:v>
      </x:c>
      <x:c r="D14" s="9" t="str">
        <x:v>METROLOGY</x:v>
      </x:c>
      <x:c r="E14" s="9" t="n">
        <x:v>1</x:v>
      </x:c>
      <x:c r="F14" s="9" t="n">
        <x:v>0</x:v>
      </x:c>
      <x:c r="G14" s="9" t="n">
        <x:v>1</x:v>
      </x:c>
      <x:c r="H14" s="9" t="n">
        <x:v>0</x:v>
      </x:c>
      <x:c r="I14" s="9" t="str">
        <x:f>IF(AND(E14=1,G14=1),"PASS","FAIL")</x:f>
        <x:v>PASS</x:v>
      </x:c>
      <x:c r="J14" s="9" t="str">
        <x:f>IF(AND(F14=1,H14=0),"PASS","HOLD")</x:f>
        <x:v>HOLD</x:v>
      </x:c>
    </x:row>
    <x:row r="15">
      <x:c r="B15" s="9" t="str">
        <x:v>K09</x:v>
      </x:c>
      <x:c r="C15" s="9" t="str">
        <x:v>Inserted configuration and calibration faults are detected</x:v>
      </x:c>
      <x:c r="D15" s="9" t="str">
        <x:v>CHALLENGE</x:v>
      </x:c>
      <x:c r="E15" s="9" t="n">
        <x:v>1</x:v>
      </x:c>
      <x:c r="F15" s="9" t="n">
        <x:v>0</x:v>
      </x:c>
      <x:c r="G15" s="9" t="n">
        <x:v>1</x:v>
      </x:c>
      <x:c r="H15" s="9" t="n">
        <x:v>0</x:v>
      </x:c>
      <x:c r="I15" s="9" t="str">
        <x:f>IF(AND(E15=1,G15=1),"PASS","FAIL")</x:f>
        <x:v>PASS</x:v>
      </x:c>
      <x:c r="J15" s="9" t="str">
        <x:f>IF(AND(F15=1,H15=0),"PASS","HOLD")</x:f>
        <x:v>HOLD</x:v>
      </x:c>
    </x:row>
    <x:row r="16">
      <x:c r="B16" s="9" t="str">
        <x:v>K10</x:v>
      </x:c>
      <x:c r="C16" s="9" t="str">
        <x:v>Native records replay without builder interpretation</x:v>
      </x:c>
      <x:c r="D16" s="9" t="str">
        <x:v>REPLAY</x:v>
      </x:c>
      <x:c r="E16" s="9" t="n">
        <x:v>1</x:v>
      </x:c>
      <x:c r="F16" s="9" t="n">
        <x:v>0</x:v>
      </x:c>
      <x:c r="G16" s="9" t="n">
        <x:v>1</x:v>
      </x:c>
      <x:c r="H16" s="9" t="n">
        <x:v>0</x:v>
      </x:c>
      <x:c r="I16" s="9" t="str">
        <x:f>IF(AND(E16=1,G16=1),"PASS","FAIL")</x:f>
        <x:v>PASS</x:v>
      </x:c>
      <x:c r="J16" s="9" t="str">
        <x:f>IF(AND(F16=1,H16=0),"PASS","HOLD")</x:f>
        <x:v>HOLD</x:v>
      </x:c>
    </x:row>
    <x:row r="17">
      <x:c r="B17" s="9" t="str">
        <x:v>K11</x:v>
      </x:c>
      <x:c r="C17" s="9" t="str">
        <x:v>Every campus bill-of-service line is accepted</x:v>
      </x:c>
      <x:c r="D17" s="9" t="str">
        <x:v>SERVICE</x:v>
      </x:c>
      <x:c r="E17" s="9" t="n">
        <x:v>1</x:v>
      </x:c>
      <x:c r="F17" s="9" t="n">
        <x:v>0</x:v>
      </x:c>
      <x:c r="G17" s="9" t="n">
        <x:v>1</x:v>
      </x:c>
      <x:c r="H17" s="9" t="n">
        <x:v>0</x:v>
      </x:c>
      <x:c r="I17" s="9" t="str">
        <x:f>IF(AND(E17=1,G17=1),"PASS","FAIL")</x:f>
        <x:v>PASS</x:v>
      </x:c>
      <x:c r="J17" s="9" t="str">
        <x:f>IF(AND(F17=1,H17=0),"PASS","HOLD")</x:f>
        <x:v>HOLD</x:v>
      </x:c>
    </x:row>
    <x:row r="18">
      <x:c r="B18" s="10" t="str">
        <x:v>K12</x:v>
      </x:c>
      <x:c r="C18" s="10" t="str">
        <x:v>Independent board admits the complete campus</x:v>
      </x:c>
      <x:c r="D18" s="10" t="str">
        <x:v>AUTHORITY</x:v>
      </x:c>
      <x:c r="E18" s="10" t="n">
        <x:v>1</x:v>
      </x:c>
      <x:c r="F18" s="10" t="n">
        <x:v>0</x:v>
      </x:c>
      <x:c r="G18" s="10" t="n">
        <x:v>1</x:v>
      </x:c>
      <x:c r="H18" s="10" t="n">
        <x:v>0</x:v>
      </x:c>
      <x:c r="I18" s="10" t="str">
        <x:f>IF(AND(E18=1,G18=1),"PASS","FAIL")</x:f>
        <x:v>PASS</x:v>
      </x:c>
      <x:c r="J18" s="10" t="str">
        <x:f>IF(AND(F18=1,H18=0),"PASS","HOLD")</x:f>
        <x:v>HOLD</x:v>
      </x:c>
    </x:row>
  </x:sheetData>
  <x:mergeCells>
    <x:mergeCell ref="B2:J2"/>
    <x:mergeCell ref="B3:J3"/>
  </x:mergeCells>
  <x:conditionalFormatting sqref="I7:J18">
    <x:cfRule type="containsText" dxfId="144" priority="1" operator="containsText" text="PASS"/>
    <x:cfRule type="containsText" dxfId="145" priority="2" operator="containsText" text="SELECT"/>
    <x:cfRule type="containsText" dxfId="146" priority="3" operator="containsText" text="AUTHORIZED"/>
    <x:cfRule type="containsText" dxfId="147" priority="4" operator="containsText" text="COMPLETE"/>
    <x:cfRule type="containsText" dxfId="148" priority="5" operator="containsText" text="HOLD"/>
    <x:cfRule type="containsText" dxfId="149" priority="6" operator="containsText" text="OPEN"/>
    <x:cfRule type="containsText" dxfId="150" priority="7" operator="containsText" text="SAFE_STOP"/>
    <x:cfRule type="containsText" dxfId="151" priority="8" operator="containsText" text="BLOCKED"/>
    <x:cfRule type="containsText" dxfId="152" priority="9" operator="containsText" text="PLANNING"/>
    <x:cfRule type="containsText" dxfId="153" priority="10" operator="containsText" text="FAIL"/>
    <x:cfRule type="containsText" dxfId="154" priority="11" operator="containsText" text="REJECT"/>
    <x:cfRule type="containsText" dxfId="155" priority="12" operator="containsText" text="BREACH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56" hidden="0" customWidth="1"/>
    <x:col min="3" max="3" width="15" hidden="0" customWidth="1"/>
    <x:col min="4" max="4" width="15" hidden="0" customWidth="1"/>
    <x:col min="5" max="5" width="47" hidden="0" customWidth="1"/>
    <x:col min="6" max="6" width="17" hidden="0" customWidth="1"/>
    <x:col min="7" max="7" width="23" hidden="0" customWidth="1"/>
    <x:col min="8" max="8" width="23" hidden="0" customWidth="1"/>
  </x:cols>
  <x:sheetData>
    <x:row r="2">
      <x:c r="B2" s="1" t="str">
        <x:v>Standing capital and twenty-five-year boundary</x:v>
      </x:c>
      <x:c r="C2" s="38"/>
      <x:c r="D2" s="38"/>
      <x:c r="E2" s="38"/>
      <x:c r="F2" s="38"/>
      <x:c r="G2" s="38"/>
      <x:c r="H2" s="38"/>
    </x:row>
    <x:row r="3">
      <x:c r="B3" s="2" t="str">
        <x:v>Constant planning dollars. Values are design hypotheses rather than vendor estimates.</x:v>
      </x:c>
      <x:c r="C3" s="38"/>
      <x:c r="D3" s="38"/>
      <x:c r="E3" s="38"/>
      <x:c r="F3" s="38"/>
      <x:c r="G3" s="38"/>
      <x:c r="H3" s="38"/>
    </x:row>
    <x:row r="4">
      <x:c r="B4" s="39"/>
      <x:c r="C4" s="39"/>
      <x:c r="D4" s="39"/>
      <x:c r="E4" s="39"/>
      <x:c r="F4" s="39"/>
      <x:c r="G4" s="39"/>
      <x:c r="H4" s="39"/>
    </x:row>
    <x:row r="5">
      <x:c r="B5" s="38"/>
      <x:c r="C5" s="38"/>
      <x:c r="D5" s="38"/>
      <x:c r="E5" s="38"/>
      <x:c r="F5" s="38"/>
      <x:c r="G5" s="38"/>
      <x:c r="H5" s="38"/>
    </x:row>
    <x:row r="6">
      <x:c r="B6" s="7" t="str">
        <x:v>Capital line</x:v>
      </x:c>
      <x:c r="C6" s="7" t="str">
        <x:v>USD B</x:v>
      </x:c>
      <x:c r="D6" s="7" t="str">
        <x:v>Share</x:v>
      </x:c>
      <x:c r="E6" s="7" t="str">
        <x:v>Purpose</x:v>
      </x:c>
      <x:c r="F6" s="7" t="str">
        <x:v>Reconciliation</x:v>
      </x:c>
      <x:c r="G6" s="38"/>
      <x:c r="H6" s="38"/>
    </x:row>
    <x:row r="7">
      <x:c r="B7" s="9" t="str">
        <x:v>Four complete root-coherent campus shipsets</x:v>
      </x:c>
      <x:c r="C7" s="20" t="n">
        <x:v>5.36</x:v>
      </x:c>
      <x:c r="D7" s="21" t="n">
        <x:f>C7/$C$17</x:f>
        <x:v>0.536</x:v>
      </x:c>
      <x:c r="E7" s="9" t="str">
        <x:v>one full bill of service at each arsenal</x:v>
      </x:c>
      <x:c r="F7" s="9" t="str">
        <x:f>IF(C7&gt;=0,"PASS","FAIL")</x:f>
        <x:v>PASS</x:v>
      </x:c>
      <x:c r="G7" s="38"/>
      <x:c r="H7" s="38"/>
    </x:row>
    <x:row r="8">
      <x:c r="B8" s="9" t="str">
        <x:v>Unlike roots, tooling, qualification and public technical-data rights</x:v>
      </x:c>
      <x:c r="C8" s="20" t="n">
        <x:v>0.9</x:v>
      </x:c>
      <x:c r="D8" s="21" t="n">
        <x:f>C8/$C$17</x:f>
        <x:v>0.09</x:v>
      </x:c>
      <x:c r="E8" s="9" t="str">
        <x:v>two independently executable build paths</x:v>
      </x:c>
      <x:c r="F8" s="9" t="str">
        <x:f>IF(C8&gt;=0,"PASS","FAIL")</x:f>
        <x:v>PASS</x:v>
      </x:c>
      <x:c r="G8" s="38"/>
      <x:c r="H8" s="38"/>
    </x:row>
    <x:row r="9">
      <x:c r="B9" s="9" t="str">
        <x:v>Six dark receiver sites</x:v>
      </x:c>
      <x:c r="C9" s="20" t="n">
        <x:v>0.48</x:v>
      </x:c>
      <x:c r="D9" s="21" t="n">
        <x:f>C9/$C$17</x:f>
        <x:v>0.048</x:v>
      </x:c>
      <x:c r="E9" s="9" t="str">
        <x:v>prepared options without operating capacity</x:v>
      </x:c>
      <x:c r="F9" s="9" t="str">
        <x:f>IF(C9&gt;=0,"PASS","FAIL")</x:f>
        <x:v>PASS</x:v>
      </x:c>
      <x:c r="G9" s="38"/>
      <x:c r="H9" s="38"/>
    </x:row>
    <x:row r="10">
      <x:c r="B10" s="9" t="str">
        <x:v>Four module arsenals</x:v>
      </x:c>
      <x:c r="C10" s="20" t="n">
        <x:v>0.48</x:v>
      </x:c>
      <x:c r="D10" s="21" t="n">
        <x:f>C10/$C$17</x:f>
        <x:v>0.048</x:v>
      </x:c>
      <x:c r="E10" s="9" t="str">
        <x:v>preservation, custody and load-out estate</x:v>
      </x:c>
      <x:c r="F10" s="9" t="str">
        <x:f>IF(C10&gt;=0,"PASS","FAIL")</x:f>
        <x:v>PASS</x:v>
      </x:c>
      <x:c r="G10" s="38"/>
      <x:c r="H10" s="38"/>
    </x:row>
    <x:row r="11">
      <x:c r="B11" s="9" t="str">
        <x:v>Mobile heavy assembly and transport formation</x:v>
      </x:c>
      <x:c r="C11" s="20" t="n">
        <x:v>0.55</x:v>
      </x:c>
      <x:c r="D11" s="21" t="n">
        <x:f>C11/$C$17</x:f>
        <x:v>0.05500000000000001</x:v>
      </x:c>
      <x:c r="E11" s="9" t="str">
        <x:v>movers, lifting, survey and route kits</x:v>
      </x:c>
      <x:c r="F11" s="9" t="str">
        <x:f>IF(C11&gt;=0,"PASS","FAIL")</x:f>
        <x:v>PASS</x:v>
      </x:c>
      <x:c r="G11" s="38"/>
      <x:c r="H11" s="38"/>
    </x:row>
    <x:row r="12">
      <x:c r="B12" s="9" t="str">
        <x:v>Independent commissioning and reference estate</x:v>
      </x:c>
      <x:c r="C12" s="20" t="n">
        <x:v>0.35</x:v>
      </x:c>
      <x:c r="D12" s="21" t="n">
        <x:f>C12/$C$17</x:f>
        <x:v>0.034999999999999996</x:v>
      </x:c>
      <x:c r="E12" s="9" t="str">
        <x:v>metrology, known truth, evidence and replay</x:v>
      </x:c>
      <x:c r="F12" s="9" t="str">
        <x:f>IF(C12&gt;=0,"PASS","FAIL")</x:f>
        <x:v>PASS</x:v>
      </x:c>
      <x:c r="G12" s="38"/>
      <x:c r="H12" s="38"/>
    </x:row>
    <x:row r="13">
      <x:c r="B13" s="9" t="str">
        <x:v>Full-scale regeneration exercise range</x:v>
      </x:c>
      <x:c r="C13" s="20" t="n">
        <x:v>0.45</x:v>
      </x:c>
      <x:c r="D13" s="21" t="n">
        <x:f>C13/$C$17</x:f>
        <x:v>0.045</x:v>
      </x:c>
      <x:c r="E13" s="9" t="str">
        <x:v>non-credit-bearing integration and rehearsal</x:v>
      </x:c>
      <x:c r="F13" s="9" t="str">
        <x:f>IF(C13&gt;=0,"PASS","FAIL")</x:f>
        <x:v>PASS</x:v>
      </x:c>
      <x:c r="G13" s="38"/>
      <x:c r="H13" s="38"/>
    </x:row>
    <x:row r="14">
      <x:c r="B14" s="9" t="str">
        <x:v>Environmental, waste and decontamination reserve</x:v>
      </x:c>
      <x:c r="C14" s="20" t="n">
        <x:v>0.25</x:v>
      </x:c>
      <x:c r="D14" s="21" t="n">
        <x:f>C14/$C$17</x:f>
        <x:v>0.025</x:v>
      </x:c>
      <x:c r="E14" s="9" t="str">
        <x:v>clean-site and isolated material paths</x:v>
      </x:c>
      <x:c r="F14" s="9" t="str">
        <x:f>IF(C14&gt;=0,"PASS","FAIL")</x:f>
        <x:v>PASS</x:v>
      </x:c>
      <x:c r="G14" s="38"/>
      <x:c r="H14" s="38"/>
    </x:row>
    <x:row r="15">
      <x:c r="B15" s="9" t="str">
        <x:v>Offline data, keys and configuration estate</x:v>
      </x:c>
      <x:c r="C15" s="20" t="n">
        <x:v>0.22</x:v>
      </x:c>
      <x:c r="D15" s="21" t="n">
        <x:f>C15/$C$17</x:f>
        <x:v>0.022</x:v>
      </x:c>
      <x:c r="E15" s="9" t="str">
        <x:v>executable public design and alternate trust roots</x:v>
      </x:c>
      <x:c r="F15" s="9" t="str">
        <x:f>IF(C15&gt;=0,"PASS","FAIL")</x:f>
        <x:v>PASS</x:v>
      </x:c>
      <x:c r="G15" s="38"/>
      <x:c r="H15" s="38"/>
    </x:row>
    <x:row r="16">
      <x:c r="B16" s="9" t="str">
        <x:v>Capital contingency</x:v>
      </x:c>
      <x:c r="C16" s="20" t="n">
        <x:v>0.96</x:v>
      </x:c>
      <x:c r="D16" s="21" t="n">
        <x:f>C16/$C$17</x:f>
        <x:v>0.096</x:v>
      </x:c>
      <x:c r="E16" s="9" t="str">
        <x:v>unresolved first-generation integration and site risk</x:v>
      </x:c>
      <x:c r="F16" s="9" t="str">
        <x:f>IF(C16&gt;=0,"PASS","FAIL")</x:f>
        <x:v>PASS</x:v>
      </x:c>
      <x:c r="G16" s="38"/>
      <x:c r="H16" s="38"/>
    </x:row>
    <x:row r="17">
      <x:c r="B17" s="10" t="str">
        <x:v>Gross standing capital</x:v>
      </x:c>
      <x:c r="C17" s="24" t="n">
        <x:f>SUM(C7:C16)</x:f>
        <x:v>10</x:v>
      </x:c>
      <x:c r="D17" s="25" t="n">
        <x:f>SUM(D7:D16)</x:f>
        <x:v>1.0000000000000002</x:v>
      </x:c>
      <x:c r="E17" s="10" t="str">
        <x:v>complete program capital boundary</x:v>
      </x:c>
      <x:c r="F17" s="10" t="str">
        <x:f>IF(ABS(C17-'Controls'!$D$17)&lt;0.000001,"PASS","FAIL")</x:f>
        <x:v>PASS</x:v>
      </x:c>
      <x:c r="G17" s="38"/>
      <x:c r="H17" s="38"/>
    </x:row>
    <x:row r="18">
      <x:c r="B18" s="38"/>
      <x:c r="C18" s="38"/>
      <x:c r="D18" s="38"/>
      <x:c r="E18" s="38"/>
      <x:c r="F18" s="38"/>
      <x:c r="G18" s="38"/>
      <x:c r="H18" s="38"/>
    </x:row>
    <x:row r="19">
      <x:c r="B19" s="38"/>
      <x:c r="C19" s="38"/>
      <x:c r="D19" s="38"/>
      <x:c r="E19" s="38"/>
      <x:c r="F19" s="38"/>
      <x:c r="G19" s="38"/>
      <x:c r="H19" s="38"/>
    </x:row>
    <x:row r="20">
      <x:c r="B20" s="38"/>
      <x:c r="C20" s="38"/>
      <x:c r="D20" s="38"/>
      <x:c r="E20" s="38"/>
      <x:c r="F20" s="38"/>
      <x:c r="G20" s="38"/>
      <x:c r="H20" s="38"/>
    </x:row>
    <x:row r="21">
      <x:c r="B21" s="32" t="str">
        <x:v>Program boundary</x:v>
      </x:c>
      <x:c r="C21" s="33" t="str">
        <x:v>Program boundary</x:v>
      </x:c>
      <x:c r="D21" s="33" t="str">
        <x:v>Program boundary</x:v>
      </x:c>
      <x:c r="E21" s="33" t="str">
        <x:v>Program boundary</x:v>
      </x:c>
      <x:c r="F21" s="33" t="str">
        <x:v>Program boundary</x:v>
      </x:c>
      <x:c r="G21" s="33" t="str">
        <x:v>Program boundary</x:v>
      </x:c>
      <x:c r="H21" s="34" t="str">
        <x:v>Program boundary</x:v>
      </x:c>
    </x:row>
    <x:row r="22">
      <x:c r="B22" s="38" t="str">
        <x:v>Gross standing capital</x:v>
      </x:c>
      <x:c r="C22" s="38"/>
      <x:c r="D22" s="40" t="n">
        <x:f>C17</x:f>
        <x:v>10</x:v>
      </x:c>
      <x:c r="E22" s="38" t="str">
        <x:v>USD B</x:v>
      </x:c>
      <x:c r="F22" s="40" t="n">
        <x:f>D22/'Controls'!$D$10</x:f>
        <x:v>7.462686567164178</x:v>
      </x:c>
      <x:c r="G22" s="38" t="str">
        <x:v>times one installed campus value</x:v>
      </x:c>
      <x:c r="H22" s="38"/>
    </x:row>
    <x:row r="23">
      <x:c r="B23" s="38" t="str">
        <x:v>Recognized inherited overlap</x:v>
      </x:c>
      <x:c r="C23" s="38"/>
      <x:c r="D23" s="40" t="n">
        <x:f>'Controls'!$D$18</x:f>
        <x:v>0.1</x:v>
      </x:c>
      <x:c r="E23" s="38" t="str">
        <x:v>USD B</x:v>
      </x:c>
      <x:c r="F23" s="40" t="n">
        <x:f>'Controls'!$D$24-'Controls'!$D$26</x:f>
        <x:v>0.1</x:v>
      </x:c>
      <x:c r="G23" s="38" t="str">
        <x:v>reset stock demonstrably compatible</x:v>
      </x:c>
      <x:c r="H23" s="38"/>
    </x:row>
    <x:row r="24">
      <x:c r="B24" s="38" t="str">
        <x:v>Incremental capital authority</x:v>
      </x:c>
      <x:c r="C24" s="38"/>
      <x:c r="D24" s="40" t="n">
        <x:f>D22-D23</x:f>
        <x:v>9.9</x:v>
      </x:c>
      <x:c r="E24" s="38" t="str">
        <x:v>USD B</x:v>
      </x:c>
      <x:c r="F24" s="38" t="str">
        <x:f>IF(ABS(D24-'Controls'!$D$19)&lt;0.000001,"PASS","FAIL")</x:f>
        <x:v>PASS</x:v>
      </x:c>
      <x:c r="G24" s="38"/>
      <x:c r="H24" s="38"/>
    </x:row>
    <x:row r="25">
      <x:c r="B25" s="38" t="str">
        <x:v>Annual support</x:v>
      </x:c>
      <x:c r="C25" s="38"/>
      <x:c r="D25" s="40" t="n">
        <x:f>'Controls'!$D$20</x:f>
        <x:v>0.62</x:v>
      </x:c>
      <x:c r="E25" s="38" t="str">
        <x:v>USD B/year</x:v>
      </x:c>
      <x:c r="F25" s="38"/>
      <x:c r="G25" s="38"/>
      <x:c r="H25" s="38"/>
    </x:row>
    <x:row r="26">
      <x:c r="B26" s="38" t="str">
        <x:v>Program horizon</x:v>
      </x:c>
      <x:c r="C26" s="38"/>
      <x:c r="D26" s="40" t="n">
        <x:f>'Controls'!$D$21</x:f>
        <x:v>25</x:v>
      </x:c>
      <x:c r="E26" s="38" t="str">
        <x:v>years</x:v>
      </x:c>
      <x:c r="F26" s="38"/>
      <x:c r="G26" s="38"/>
      <x:c r="H26" s="38"/>
    </x:row>
    <x:row r="27">
      <x:c r="B27" s="38" t="str">
        <x:v>Twenty-five-year support</x:v>
      </x:c>
      <x:c r="C27" s="38"/>
      <x:c r="D27" s="40" t="n">
        <x:f>D25*D26</x:f>
        <x:v>15.5</x:v>
      </x:c>
      <x:c r="E27" s="38" t="str">
        <x:v>USD B</x:v>
      </x:c>
      <x:c r="F27" s="38"/>
      <x:c r="G27" s="38"/>
      <x:c r="H27" s="38"/>
    </x:row>
    <x:row r="28">
      <x:c r="B28" s="38" t="str">
        <x:v>Twenty-five-year incremental boundary</x:v>
      </x:c>
      <x:c r="C28" s="38"/>
      <x:c r="D28" s="40" t="n">
        <x:f>D24+D27</x:f>
        <x:v>25.4</x:v>
      </x:c>
      <x:c r="E28" s="38" t="str">
        <x:v>USD B</x:v>
      </x:c>
      <x:c r="F28" s="38" t="str">
        <x:f>IF(ABS(D28-'Controls'!$D$22)&lt;0.000001,"PASS","FAIL")</x:f>
        <x:v>PASS</x:v>
      </x:c>
      <x:c r="G28" s="38"/>
      <x:c r="H28" s="38"/>
    </x:row>
    <x:row r="29">
      <x:c r="B29" s="38" t="str">
        <x:v>Twenty-five-year gross boundary</x:v>
      </x:c>
      <x:c r="C29" s="38"/>
      <x:c r="D29" s="40" t="n">
        <x:f>D22+D27</x:f>
        <x:v>25.5</x:v>
      </x:c>
      <x:c r="E29" s="38" t="str">
        <x:v>USD B</x:v>
      </x:c>
      <x:c r="F29" s="38" t="str">
        <x:f>IF(ABS(D29-'Controls'!$D$23)&lt;0.000001,"PASS","FAIL")</x:f>
        <x:v>PASS</x:v>
      </x:c>
      <x:c r="G29" s="38"/>
      <x:c r="H29" s="38"/>
    </x:row>
  </x:sheetData>
  <x:mergeCells>
    <x:mergeCell ref="B2:H2"/>
    <x:mergeCell ref="B3:H3"/>
    <x:mergeCell ref="B21:H21"/>
    <x:mergeCell ref="G22:H22"/>
    <x:mergeCell ref="G23:H23"/>
  </x:mergeCells>
  <x:conditionalFormatting sqref="F7:F17">
    <x:cfRule type="containsText" dxfId="156" priority="1" operator="containsText" text="PASS"/>
    <x:cfRule type="containsText" dxfId="157" priority="2" operator="containsText" text="SELECT"/>
    <x:cfRule type="containsText" dxfId="158" priority="3" operator="containsText" text="AUTHORIZED"/>
    <x:cfRule type="containsText" dxfId="159" priority="4" operator="containsText" text="COMPLETE"/>
    <x:cfRule type="containsText" dxfId="160" priority="5" operator="containsText" text="HOLD"/>
    <x:cfRule type="containsText" dxfId="161" priority="6" operator="containsText" text="OPEN"/>
    <x:cfRule type="containsText" dxfId="162" priority="7" operator="containsText" text="SAFE_STOP"/>
    <x:cfRule type="containsText" dxfId="163" priority="8" operator="containsText" text="BLOCKED"/>
    <x:cfRule type="containsText" dxfId="164" priority="9" operator="containsText" text="PLANNING"/>
    <x:cfRule type="containsText" dxfId="165" priority="10" operator="containsText" text="FAIL"/>
    <x:cfRule type="containsText" dxfId="166" priority="11" operator="containsText" text="REJECT"/>
    <x:cfRule type="containsText" dxfId="167" priority="12" operator="containsText" text="BREACH"/>
  </x:conditionalFormatting>
  <x:conditionalFormatting sqref="F24:F29">
    <x:cfRule type="containsText" dxfId="168" priority="13" operator="containsText" text="PASS"/>
    <x:cfRule type="containsText" dxfId="169" priority="14" operator="containsText" text="SELECT"/>
    <x:cfRule type="containsText" dxfId="170" priority="15" operator="containsText" text="AUTHORIZED"/>
    <x:cfRule type="containsText" dxfId="171" priority="16" operator="containsText" text="COMPLETE"/>
    <x:cfRule type="containsText" dxfId="172" priority="17" operator="containsText" text="HOLD"/>
    <x:cfRule type="containsText" dxfId="173" priority="18" operator="containsText" text="OPEN"/>
    <x:cfRule type="containsText" dxfId="174" priority="19" operator="containsText" text="SAFE_STOP"/>
    <x:cfRule type="containsText" dxfId="175" priority="20" operator="containsText" text="BLOCKED"/>
    <x:cfRule type="containsText" dxfId="176" priority="21" operator="containsText" text="PLANNING"/>
    <x:cfRule type="containsText" dxfId="177" priority="22" operator="containsText" text="FAIL"/>
    <x:cfRule type="containsText" dxfId="178" priority="23" operator="containsText" text="REJECT"/>
    <x:cfRule type="containsText" dxfId="179" priority="24" operator="containsText" text="BREACH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55" hidden="0" customWidth="1"/>
    <x:col min="3" max="3" width="19" hidden="0" customWidth="1"/>
    <x:col min="4" max="4" width="14" hidden="0" customWidth="1"/>
    <x:col min="5" max="5" width="17" hidden="0" customWidth="1"/>
    <x:col min="6" max="6" width="20" hidden="0" customWidth="1"/>
  </x:cols>
  <x:sheetData>
    <x:row r="2">
      <x:c r="B2" s="1" t="str">
        <x:v>Annual readiness support</x:v>
      </x:c>
      <x:c r="C2" s="38"/>
      <x:c r="D2" s="38"/>
      <x:c r="E2" s="38"/>
      <x:c r="F2" s="38"/>
      <x:c r="G2" s="38"/>
    </x:row>
    <x:row r="3">
      <x:c r="B3" s="2" t="str">
        <x:v>Stored equipment receives no readiness credit without preservation, people, production options and exercises.</x:v>
      </x:c>
      <x:c r="C3" s="38"/>
      <x:c r="D3" s="38"/>
      <x:c r="E3" s="38"/>
      <x:c r="F3" s="38"/>
      <x:c r="G3" s="38"/>
    </x:row>
    <x:row r="4">
      <x:c r="B4" s="39"/>
      <x:c r="C4" s="39"/>
      <x:c r="D4" s="39"/>
      <x:c r="E4" s="39"/>
      <x:c r="F4" s="39"/>
      <x:c r="G4" s="39"/>
    </x:row>
    <x:row r="5">
      <x:c r="B5" s="38"/>
      <x:c r="C5" s="38"/>
      <x:c r="D5" s="38"/>
      <x:c r="E5" s="38"/>
      <x:c r="F5" s="38"/>
      <x:c r="G5" s="38"/>
    </x:row>
    <x:row r="6">
      <x:c r="B6" s="7" t="str">
        <x:v>Support line</x:v>
      </x:c>
      <x:c r="C6" s="7" t="str">
        <x:v>USD B/year</x:v>
      </x:c>
      <x:c r="D6" s="7" t="str">
        <x:v>Share</x:v>
      </x:c>
      <x:c r="E6" s="7" t="str">
        <x:v>Planning gate</x:v>
      </x:c>
      <x:c r="F6" s="7" t="str">
        <x:v>Physical authority</x:v>
      </x:c>
      <x:c r="G6" s="38"/>
    </x:row>
    <x:row r="7">
      <x:c r="B7" s="9" t="str">
        <x:v>300-person public CRG-1</x:v>
      </x:c>
      <x:c r="C7" s="20" t="n">
        <x:v>0.09</x:v>
      </x:c>
      <x:c r="D7" s="21" t="n">
        <x:f>C7/$C$17</x:f>
        <x:v>0.14516129032258063</x:v>
      </x:c>
      <x:c r="E7" s="9" t="str">
        <x:f>IF(C7&gt;=0,"PASS","FAIL")</x:f>
        <x:v>PASS</x:v>
      </x:c>
      <x:c r="F7" s="9" t="str">
        <x:v>OPEN</x:v>
      </x:c>
      <x:c r="G7" s="38"/>
    </x:row>
    <x:row r="8">
      <x:c r="B8" s="9" t="str">
        <x:v>1,400 retained industrial affiliates</x:v>
      </x:c>
      <x:c r="C8" s="20" t="n">
        <x:v>0.112</x:v>
      </x:c>
      <x:c r="D8" s="21" t="n">
        <x:f>C8/$C$17</x:f>
        <x:v>0.1806451612903226</x:v>
      </x:c>
      <x:c r="E8" s="9" t="str">
        <x:f>IF(C8&gt;=0,"PASS","FAIL")</x:f>
        <x:v>PASS</x:v>
      </x:c>
      <x:c r="F8" s="9" t="str">
        <x:v>OPEN</x:v>
      </x:c>
      <x:c r="G8" s="38"/>
    </x:row>
    <x:row r="9">
      <x:c r="B9" s="9" t="str">
        <x:v>Shipset preservation, rotation and recertification</x:v>
      </x:c>
      <x:c r="C9" s="20" t="n">
        <x:v>0.13</x:v>
      </x:c>
      <x:c r="D9" s="21" t="n">
        <x:f>C9/$C$17</x:f>
        <x:v>0.20967741935483872</x:v>
      </x:c>
      <x:c r="E9" s="9" t="str">
        <x:f>IF(C9&gt;=0,"PASS","FAIL")</x:f>
        <x:v>PASS</x:v>
      </x:c>
      <x:c r="F9" s="9" t="str">
        <x:v>OPEN</x:v>
      </x:c>
      <x:c r="G9" s="38"/>
    </x:row>
    <x:row r="10">
      <x:c r="B10" s="9" t="str">
        <x:v>Receiver-site inspection and option maintenance</x:v>
      </x:c>
      <x:c r="C10" s="20" t="n">
        <x:v>0.036</x:v>
      </x:c>
      <x:c r="D10" s="21" t="n">
        <x:f>C10/$C$17</x:f>
        <x:v>0.058064516129032254</x:v>
      </x:c>
      <x:c r="E10" s="9" t="str">
        <x:f>IF(C10&gt;=0,"PASS","FAIL")</x:f>
        <x:v>PASS</x:v>
      </x:c>
      <x:c r="F10" s="9" t="str">
        <x:v>OPEN</x:v>
      </x:c>
      <x:c r="G10" s="38"/>
    </x:row>
    <x:row r="11">
      <x:c r="B11" s="9" t="str">
        <x:v>Unlike-root tooling and line qualification</x:v>
      </x:c>
      <x:c r="C11" s="20" t="n">
        <x:v>0.06</x:v>
      </x:c>
      <x:c r="D11" s="21" t="n">
        <x:f>C11/$C$17</x:f>
        <x:v>0.0967741935483871</x:v>
      </x:c>
      <x:c r="E11" s="9" t="str">
        <x:f>IF(C11&gt;=0,"PASS","FAIL")</x:f>
        <x:v>PASS</x:v>
      </x:c>
      <x:c r="F11" s="9" t="str">
        <x:v>OPEN</x:v>
      </x:c>
      <x:c r="G11" s="38"/>
    </x:row>
    <x:row r="12">
      <x:c r="B12" s="9" t="str">
        <x:v>Annual partial-chain exercises</x:v>
      </x:c>
      <x:c r="C12" s="20" t="n">
        <x:v>0.06</x:v>
      </x:c>
      <x:c r="D12" s="21" t="n">
        <x:f>C12/$C$17</x:f>
        <x:v>0.0967741935483871</x:v>
      </x:c>
      <x:c r="E12" s="9" t="str">
        <x:f>IF(C12&gt;=0,"PASS","FAIL")</x:f>
        <x:v>PASS</x:v>
      </x:c>
      <x:c r="F12" s="9" t="str">
        <x:v>OPEN</x:v>
      </x:c>
      <x:c r="G12" s="38"/>
    </x:row>
    <x:row r="13">
      <x:c r="B13" s="9" t="str">
        <x:v>Triennial complete cold reconstruction reserve</x:v>
      </x:c>
      <x:c r="C13" s="20" t="n">
        <x:v>0.075</x:v>
      </x:c>
      <x:c r="D13" s="21" t="n">
        <x:f>C13/$C$17</x:f>
        <x:v>0.12096774193548386</x:v>
      </x:c>
      <x:c r="E13" s="9" t="str">
        <x:f>IF(C13&gt;=0,"PASS","FAIL")</x:f>
        <x:v>PASS</x:v>
      </x:c>
      <x:c r="F13" s="9" t="str">
        <x:v>OPEN</x:v>
      </x:c>
      <x:c r="G13" s="38"/>
    </x:row>
    <x:row r="14">
      <x:c r="B14" s="9" t="str">
        <x:v>Transport and alternate-route rehearsal</x:v>
      </x:c>
      <x:c r="C14" s="20" t="n">
        <x:v>0.03</x:v>
      </x:c>
      <x:c r="D14" s="21" t="n">
        <x:f>C14/$C$17</x:f>
        <x:v>0.04838709677419355</x:v>
      </x:c>
      <x:c r="E14" s="9" t="str">
        <x:f>IF(C14&gt;=0,"PASS","FAIL")</x:f>
        <x:v>PASS</x:v>
      </x:c>
      <x:c r="F14" s="9" t="str">
        <x:v>OPEN</x:v>
      </x:c>
      <x:c r="G14" s="38"/>
    </x:row>
    <x:row r="15">
      <x:c r="B15" s="9" t="str">
        <x:v>Evidence, data and key renewal</x:v>
      </x:c>
      <x:c r="C15" s="20" t="n">
        <x:v>0.015</x:v>
      </x:c>
      <x:c r="D15" s="21" t="n">
        <x:f>C15/$C$17</x:f>
        <x:v>0.024193548387096774</x:v>
      </x:c>
      <x:c r="E15" s="9" t="str">
        <x:f>IF(C15&gt;=0,"PASS","FAIL")</x:f>
        <x:v>PASS</x:v>
      </x:c>
      <x:c r="F15" s="9" t="str">
        <x:v>OPEN</x:v>
      </x:c>
      <x:c r="G15" s="38"/>
    </x:row>
    <x:row r="16">
      <x:c r="B16" s="9" t="str">
        <x:v>Environmental, waste and community compacts</x:v>
      </x:c>
      <x:c r="C16" s="20" t="n">
        <x:v>0.012</x:v>
      </x:c>
      <x:c r="D16" s="21" t="n">
        <x:f>C16/$C$17</x:f>
        <x:v>0.01935483870967742</x:v>
      </x:c>
      <x:c r="E16" s="9" t="str">
        <x:f>IF(C16&gt;=0,"PASS","FAIL")</x:f>
        <x:v>PASS</x:v>
      </x:c>
      <x:c r="F16" s="9" t="str">
        <x:v>OPEN</x:v>
      </x:c>
      <x:c r="G16" s="38"/>
    </x:row>
    <x:row r="17">
      <x:c r="B17" s="10" t="str">
        <x:v>Total annual support</x:v>
      </x:c>
      <x:c r="C17" s="24" t="n">
        <x:f>SUM(C7:C16)</x:f>
        <x:v>0.62</x:v>
      </x:c>
      <x:c r="D17" s="25" t="n">
        <x:f>SUM(D7:D16)</x:f>
        <x:v>1</x:v>
      </x:c>
      <x:c r="E17" s="10" t="str">
        <x:f>IF(ABS(C17-'Controls'!$D$20)&lt;0.000001,"PASS","FAIL")</x:f>
        <x:v>PASS</x:v>
      </x:c>
      <x:c r="F17" s="10" t="str">
        <x:v>OPEN</x:v>
      </x:c>
      <x:c r="G17" s="38"/>
    </x:row>
  </x:sheetData>
  <x:mergeCells>
    <x:mergeCell ref="B2:G2"/>
    <x:mergeCell ref="B3:G3"/>
  </x:mergeCells>
  <x:conditionalFormatting sqref="E7:F17">
    <x:cfRule type="containsText" dxfId="180" priority="1" operator="containsText" text="PASS"/>
    <x:cfRule type="containsText" dxfId="181" priority="2" operator="containsText" text="SELECT"/>
    <x:cfRule type="containsText" dxfId="182" priority="3" operator="containsText" text="AUTHORIZED"/>
    <x:cfRule type="containsText" dxfId="183" priority="4" operator="containsText" text="COMPLETE"/>
    <x:cfRule type="containsText" dxfId="184" priority="5" operator="containsText" text="HOLD"/>
    <x:cfRule type="containsText" dxfId="185" priority="6" operator="containsText" text="OPEN"/>
    <x:cfRule type="containsText" dxfId="186" priority="7" operator="containsText" text="SAFE_STOP"/>
    <x:cfRule type="containsText" dxfId="187" priority="8" operator="containsText" text="BLOCKED"/>
    <x:cfRule type="containsText" dxfId="188" priority="9" operator="containsText" text="PLANNING"/>
    <x:cfRule type="containsText" dxfId="189" priority="10" operator="containsText" text="FAIL"/>
    <x:cfRule type="containsText" dxfId="190" priority="11" operator="containsText" text="REJECT"/>
    <x:cfRule type="containsText" dxfId="191" priority="12" operator="containsText" text="BREACH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47" hidden="0" customWidth="1"/>
    <x:col min="4" max="4" width="17" hidden="0" customWidth="1"/>
    <x:col min="5" max="5" width="13" hidden="0" customWidth="1"/>
    <x:col min="6" max="6" width="13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</x:cols>
  <x:sheetData>
    <x:row r="2">
      <x:c r="B2" s="1" t="str">
        <x:v>Campus-regeneration release ladder</x:v>
      </x:c>
      <x:c r="C2" s="38"/>
      <x:c r="D2" s="38"/>
      <x:c r="E2" s="38"/>
      <x:c r="F2" s="38"/>
      <x:c r="G2" s="38"/>
      <x:c r="H2" s="38"/>
      <x:c r="I2" s="38"/>
      <x:c r="J2" s="38"/>
    </x:row>
    <x:row r="3">
      <x:c r="B3" s="2" t="str">
        <x:v>Planning can select an architecture. It cannot create capital, equipment, sites, evidence, production or rendering authority.</x:v>
      </x:c>
      <x:c r="C3" s="38"/>
      <x:c r="D3" s="38"/>
      <x:c r="E3" s="38"/>
      <x:c r="F3" s="38"/>
      <x:c r="G3" s="38"/>
      <x:c r="H3" s="38"/>
      <x:c r="I3" s="38"/>
      <x:c r="J3" s="38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</x:row>
    <x:row r="6">
      <x:c r="B6" s="7" t="str">
        <x:v>Gate</x:v>
      </x:c>
      <x:c r="C6" s="7" t="str">
        <x:v>Decision</x:v>
      </x:c>
      <x:c r="D6" s="7" t="str">
        <x:v>Class</x:v>
      </x:c>
      <x:c r="E6" s="7" t="str">
        <x:v>Required</x:v>
      </x:c>
      <x:c r="F6" s="7" t="str">
        <x:v>Observed</x:v>
      </x:c>
      <x:c r="G6" s="7" t="str">
        <x:v>Gate state</x:v>
      </x:c>
      <x:c r="H6" s="7" t="str">
        <x:v>Consequence</x:v>
      </x:c>
      <x:c r="I6" s="7" t="str">
        <x:v>Production/form</x:v>
      </x:c>
      <x:c r="J6" s="7" t="str">
        <x:v>Rendering</x:v>
      </x:c>
    </x:row>
    <x:row r="7">
      <x:c r="B7" s="9" t="str">
        <x:v>G01</x:v>
      </x:c>
      <x:c r="C7" s="9" t="str">
        <x:v>permanent-loss state and clock defined</x:v>
      </x:c>
      <x:c r="D7" s="9" t="str">
        <x:v>PLANNING</x:v>
      </x:c>
      <x:c r="E7" s="9" t="n">
        <x:v>1</x:v>
      </x:c>
      <x:c r="F7" s="9" t="n">
        <x:f>IF(AND('Controls'!$D$7=180,'Controls'!$D$9=162),1,0)</x:f>
        <x:v>1</x:v>
      </x:c>
      <x:c r="G7" s="9" t="str">
        <x:f>IF(F7=1,"PLANNING PASS","FAIL")</x:f>
        <x:v>PLANNING PASS</x:v>
      </x:c>
      <x:c r="H7" s="9" t="str">
        <x:v>architecture evidence</x:v>
      </x:c>
      <x:c r="I7" s="9" t="str">
        <x:v>BLOCKED</x:v>
      </x:c>
      <x:c r="J7" s="9" t="str">
        <x:v>BLOCKED</x:v>
      </x:c>
    </x:row>
    <x:row r="8">
      <x:c r="B8" s="9" t="str">
        <x:v>G02</x:v>
      </x:c>
      <x:c r="C8" s="9" t="str">
        <x:v>complete campus bill reconciles</x:v>
      </x:c>
      <x:c r="D8" s="9" t="str">
        <x:v>PLANNING</x:v>
      </x:c>
      <x:c r="E8" s="9" t="n">
        <x:v>1</x:v>
      </x:c>
      <x:c r="F8" s="9" t="n">
        <x:f>IF(AND(ABS('Campus Bill'!E16-'Controls'!$D$10)&lt;0.000001,'Campus Bill'!H16="PASS"),1,0)</x:f>
        <x:v>1</x:v>
      </x:c>
      <x:c r="G8" s="9" t="str">
        <x:f>IF(F8=1,"PLANNING PASS","FAIL")</x:f>
        <x:v>PLANNING PASS</x:v>
      </x:c>
      <x:c r="H8" s="9" t="str">
        <x:v>architecture evidence</x:v>
      </x:c>
      <x:c r="I8" s="9" t="str">
        <x:v>BLOCKED</x:v>
      </x:c>
      <x:c r="J8" s="9" t="str">
        <x:v>BLOCKED</x:v>
      </x:c>
    </x:row>
    <x:row r="9">
      <x:c r="B9" s="9" t="str">
        <x:v>G03</x:v>
      </x:c>
      <x:c r="C9" s="9" t="str">
        <x:v>four integer shipsets specified</x:v>
      </x:c>
      <x:c r="D9" s="9" t="str">
        <x:v>PLANNING</x:v>
      </x:c>
      <x:c r="E9" s="9" t="n">
        <x:v>1</x:v>
      </x:c>
      <x:c r="F9" s="9" t="n">
        <x:f>IF(AND('Controls'!$D$11=4,COUNTA('Shipset Logic'!B7:B10)=4),1,0)</x:f>
        <x:v>1</x:v>
      </x:c>
      <x:c r="G9" s="9" t="str">
        <x:f>IF(F9=1,"PLANNING PASS","FAIL")</x:f>
        <x:v>PLANNING PASS</x:v>
      </x:c>
      <x:c r="H9" s="9" t="str">
        <x:v>architecture evidence</x:v>
      </x:c>
      <x:c r="I9" s="9" t="str">
        <x:v>BLOCKED</x:v>
      </x:c>
      <x:c r="J9" s="9" t="str">
        <x:v>BLOCKED</x:v>
      </x:c>
    </x:row>
    <x:row r="10">
      <x:c r="B10" s="9" t="str">
        <x:v>G04</x:v>
      </x:c>
      <x:c r="C10" s="9" t="str">
        <x:v>two unlike roots specified</x:v>
      </x:c>
      <x:c r="D10" s="9" t="str">
        <x:v>PLANNING</x:v>
      </x:c>
      <x:c r="E10" s="9" t="n">
        <x:v>1</x:v>
      </x:c>
      <x:c r="F10" s="9" t="n">
        <x:f>IF(AND('Controls'!$D$12=2,COUNTIFS('Shipset Logic'!C7:C10,"ROOT_A")=2,COUNTIFS('Shipset Logic'!C7:C10,"ROOT_B")=2),1,0)</x:f>
        <x:v>1</x:v>
      </x:c>
      <x:c r="G10" s="9" t="str">
        <x:f>IF(F10=1,"PLANNING PASS","FAIL")</x:f>
        <x:v>PLANNING PASS</x:v>
      </x:c>
      <x:c r="H10" s="9" t="str">
        <x:v>architecture evidence</x:v>
      </x:c>
      <x:c r="I10" s="9" t="str">
        <x:v>BLOCKED</x:v>
      </x:c>
      <x:c r="J10" s="9" t="str">
        <x:v>BLOCKED</x:v>
      </x:c>
    </x:row>
    <x:row r="11">
      <x:c r="B11" s="9" t="str">
        <x:v>G05</x:v>
      </x:c>
      <x:c r="C11" s="9" t="str">
        <x:v>root-plus-arsenal compound cuts close</x:v>
      </x:c>
      <x:c r="D11" s="9" t="str">
        <x:v>PLANNING</x:v>
      </x:c>
      <x:c r="E11" s="9" t="n">
        <x:v>1</x:v>
      </x:c>
      <x:c r="F11" s="9" t="n">
        <x:f>IF(COUNTIF('Shipset Logic'!H16:H23,"PASS")=8,1,0)</x:f>
        <x:v>1</x:v>
      </x:c>
      <x:c r="G11" s="9" t="str">
        <x:f>IF(F11=1,"PLANNING PASS","FAIL")</x:f>
        <x:v>PLANNING PASS</x:v>
      </x:c>
      <x:c r="H11" s="9" t="str">
        <x:v>architecture evidence</x:v>
      </x:c>
      <x:c r="I11" s="9" t="str">
        <x:v>BLOCKED</x:v>
      </x:c>
      <x:c r="J11" s="9" t="str">
        <x:v>BLOCKED</x:v>
      </x:c>
    </x:row>
    <x:row r="12">
      <x:c r="B12" s="9" t="str">
        <x:v>G06</x:v>
      </x:c>
      <x:c r="C12" s="9" t="str">
        <x:v>six non-operating receiver standards defined</x:v>
      </x:c>
      <x:c r="D12" s="9" t="str">
        <x:v>PLANNING</x:v>
      </x:c>
      <x:c r="E12" s="9" t="n">
        <x:v>1</x:v>
      </x:c>
      <x:c r="F12" s="9" t="n">
        <x:f>IF(AND(COUNTA('Receiver Sites'!B7:B12)=6,COUNTIF('Receiver Sites'!L7:L12,"PASS")=6),1,0)</x:f>
        <x:v>1</x:v>
      </x:c>
      <x:c r="G12" s="9" t="str">
        <x:f>IF(F12=1,"PLANNING PASS","FAIL")</x:f>
        <x:v>PLANNING PASS</x:v>
      </x:c>
      <x:c r="H12" s="9" t="str">
        <x:v>architecture evidence</x:v>
      </x:c>
      <x:c r="I12" s="9" t="str">
        <x:v>BLOCKED</x:v>
      </x:c>
      <x:c r="J12" s="9" t="str">
        <x:v>BLOCKED</x:v>
      </x:c>
    </x:row>
    <x:row r="13">
      <x:c r="B13" s="9" t="str">
        <x:v>G07</x:v>
      </x:c>
      <x:c r="C13" s="9" t="str">
        <x:v>300-person public formation reconciles</x:v>
      </x:c>
      <x:c r="D13" s="9" t="str">
        <x:v>PLANNING</x:v>
      </x:c>
      <x:c r="E13" s="9" t="n">
        <x:v>1</x:v>
      </x:c>
      <x:c r="F13" s="9" t="n">
        <x:f>IF(AND(Workforce!C13='Controls'!$D$15,Workforce!E13="PASS"),1,0)</x:f>
        <x:v>1</x:v>
      </x:c>
      <x:c r="G13" s="9" t="str">
        <x:f>IF(F13=1,"PLANNING PASS","FAIL")</x:f>
        <x:v>PLANNING PASS</x:v>
      </x:c>
      <x:c r="H13" s="9" t="str">
        <x:v>architecture evidence</x:v>
      </x:c>
      <x:c r="I13" s="9" t="str">
        <x:v>BLOCKED</x:v>
      </x:c>
      <x:c r="J13" s="9" t="str">
        <x:v>BLOCKED</x:v>
      </x:c>
    </x:row>
    <x:row r="14">
      <x:c r="B14" s="9" t="str">
        <x:v>G08</x:v>
      </x:c>
      <x:c r="C14" s="9" t="str">
        <x:v>1,400 affiliate pool reconciles</x:v>
      </x:c>
      <x:c r="D14" s="9" t="str">
        <x:v>PLANNING</x:v>
      </x:c>
      <x:c r="E14" s="9" t="n">
        <x:v>1</x:v>
      </x:c>
      <x:c r="F14" s="9" t="n">
        <x:f>IF(AND(Workforce!C24='Controls'!$D$16,Workforce!E24="PASS"),1,0)</x:f>
        <x:v>1</x:v>
      </x:c>
      <x:c r="G14" s="9" t="str">
        <x:f>IF(F14=1,"PLANNING PASS","FAIL")</x:f>
        <x:v>PLANNING PASS</x:v>
      </x:c>
      <x:c r="H14" s="9" t="str">
        <x:v>architecture evidence</x:v>
      </x:c>
      <x:c r="I14" s="9" t="str">
        <x:v>BLOCKED</x:v>
      </x:c>
      <x:c r="J14" s="9" t="str">
        <x:v>BLOCKED</x:v>
      </x:c>
    </x:row>
    <x:row r="15">
      <x:c r="B15" s="9" t="str">
        <x:v>G09</x:v>
      </x:c>
      <x:c r="C15" s="9" t="str">
        <x:v>no-borrow sources defined</x:v>
      </x:c>
      <x:c r="D15" s="9" t="str">
        <x:v>PLANNING</x:v>
      </x:c>
      <x:c r="E15" s="9" t="n">
        <x:v>1</x:v>
      </x:c>
      <x:c r="F15" s="9" t="n">
        <x:f>IF(COUNTIF('No Borrow'!G7:G16,"PASS")=10,1,0)</x:f>
        <x:v>1</x:v>
      </x:c>
      <x:c r="G15" s="9" t="str">
        <x:f>IF(F15=1,"PLANNING PASS","FAIL")</x:f>
        <x:v>PLANNING PASS</x:v>
      </x:c>
      <x:c r="H15" s="9" t="str">
        <x:v>architecture evidence</x:v>
      </x:c>
      <x:c r="I15" s="9" t="str">
        <x:v>BLOCKED</x:v>
      </x:c>
      <x:c r="J15" s="9" t="str">
        <x:v>BLOCKED</x:v>
      </x:c>
    </x:row>
    <x:row r="16">
      <x:c r="B16" s="9" t="str">
        <x:v>G10</x:v>
      </x:c>
      <x:c r="C16" s="9" t="str">
        <x:v>independent commissioning chain defined</x:v>
      </x:c>
      <x:c r="D16" s="9" t="str">
        <x:v>PLANNING</x:v>
      </x:c>
      <x:c r="E16" s="9" t="n">
        <x:v>1</x:v>
      </x:c>
      <x:c r="F16" s="9" t="n">
        <x:f>IF(COUNTIF(Commissioning!I7:I18,"PASS")=12,1,0)</x:f>
        <x:v>1</x:v>
      </x:c>
      <x:c r="G16" s="9" t="str">
        <x:f>IF(F16=1,"PLANNING PASS","FAIL")</x:f>
        <x:v>PLANNING PASS</x:v>
      </x:c>
      <x:c r="H16" s="9" t="str">
        <x:v>architecture evidence</x:v>
      </x:c>
      <x:c r="I16" s="9" t="str">
        <x:v>BLOCKED</x:v>
      </x:c>
      <x:c r="J16" s="9" t="str">
        <x:v>BLOCKED</x:v>
      </x:c>
    </x:row>
    <x:row r="17">
      <x:c r="B17" s="9" t="str">
        <x:v>G11</x:v>
      </x:c>
      <x:c r="C17" s="9" t="str">
        <x:v>eleven mission worlds close by day 162</x:v>
      </x:c>
      <x:c r="D17" s="9" t="str">
        <x:v>PLANNING</x:v>
      </x:c>
      <x:c r="E17" s="9" t="n">
        <x:v>1</x:v>
      </x:c>
      <x:c r="F17" s="9" t="n">
        <x:f>IF(COUNTIFS('Failure Worlds'!F7:F18,"MISSION",'Failure Worlds'!I7:I18,"PASS")='Controls'!$D$27,1,0)</x:f>
        <x:v>1</x:v>
      </x:c>
      <x:c r="G17" s="9" t="str">
        <x:f>IF(F17=1,"PLANNING PASS","FAIL")</x:f>
        <x:v>PLANNING PASS</x:v>
      </x:c>
      <x:c r="H17" s="9" t="str">
        <x:v>architecture evidence</x:v>
      </x:c>
      <x:c r="I17" s="9" t="str">
        <x:v>BLOCKED</x:v>
      </x:c>
      <x:c r="J17" s="9" t="str">
        <x:v>BLOCKED</x:v>
      </x:c>
    </x:row>
    <x:row r="18">
      <x:c r="B18" s="9" t="str">
        <x:v>G12</x:v>
      </x:c>
      <x:c r="C18" s="9" t="str">
        <x:v>second active-campus loss reaches safe stop</x:v>
      </x:c>
      <x:c r="D18" s="9" t="str">
        <x:v>PLANNING</x:v>
      </x:c>
      <x:c r="E18" s="9" t="n">
        <x:v>1</x:v>
      </x:c>
      <x:c r="F18" s="9" t="n">
        <x:f>IF(COUNTIFS('Failure Worlds'!F7:F18,"STOP",'Failure Worlds'!I7:I18,"PASS")='Controls'!$D$28,1,0)</x:f>
        <x:v>1</x:v>
      </x:c>
      <x:c r="G18" s="9" t="str">
        <x:f>IF(F18=1,"PLANNING PASS","FAIL")</x:f>
        <x:v>PLANNING PASS</x:v>
      </x:c>
      <x:c r="H18" s="9" t="str">
        <x:v>architecture evidence</x:v>
      </x:c>
      <x:c r="I18" s="9" t="str">
        <x:v>BLOCKED</x:v>
      </x:c>
      <x:c r="J18" s="9" t="str">
        <x:v>BLOCKED</x:v>
      </x:c>
    </x:row>
    <x:row r="19">
      <x:c r="B19" s="9" t="str">
        <x:v>G13</x:v>
      </x:c>
      <x:c r="C19" s="9" t="str">
        <x:v>compound critical path closes by day 162</x:v>
      </x:c>
      <x:c r="D19" s="9" t="str">
        <x:v>PLANNING</x:v>
      </x:c>
      <x:c r="E19" s="9" t="n">
        <x:v>1</x:v>
      </x:c>
      <x:c r="F19" s="9" t="n">
        <x:f>IF('Critical Path'!D24&lt;='Controls'!$D$9,1,0)</x:f>
        <x:v>1</x:v>
      </x:c>
      <x:c r="G19" s="9" t="str">
        <x:f>IF(F19=1,"PLANNING PASS","FAIL")</x:f>
        <x:v>PLANNING PASS</x:v>
      </x:c>
      <x:c r="H19" s="9" t="str">
        <x:v>architecture evidence</x:v>
      </x:c>
      <x:c r="I19" s="9" t="str">
        <x:v>BLOCKED</x:v>
      </x:c>
      <x:c r="J19" s="9" t="str">
        <x:v>BLOCKED</x:v>
      </x:c>
    </x:row>
    <x:row r="20">
      <x:c r="B20" s="9" t="str">
        <x:v>G14</x:v>
      </x:c>
      <x:c r="C20" s="9" t="str">
        <x:v>eighteen-day schedule reserve retained</x:v>
      </x:c>
      <x:c r="D20" s="9" t="str">
        <x:v>PLANNING</x:v>
      </x:c>
      <x:c r="E20" s="9" t="n">
        <x:v>1</x:v>
      </x:c>
      <x:c r="F20" s="9" t="n">
        <x:f>IF('Critical Path'!D27&gt;='Controls'!$D$7*'Controls'!$D$8,1,0)</x:f>
        <x:v>1</x:v>
      </x:c>
      <x:c r="G20" s="9" t="str">
        <x:f>IF(F20=1,"PLANNING PASS","FAIL")</x:f>
        <x:v>PLANNING PASS</x:v>
      </x:c>
      <x:c r="H20" s="9" t="str">
        <x:v>architecture evidence</x:v>
      </x:c>
      <x:c r="I20" s="9" t="str">
        <x:v>BLOCKED</x:v>
      </x:c>
      <x:c r="J20" s="9" t="str">
        <x:v>BLOCKED</x:v>
      </x:c>
    </x:row>
    <x:row r="21">
      <x:c r="B21" s="9" t="str">
        <x:v>G15</x:v>
      </x:c>
      <x:c r="C21" s="9" t="str">
        <x:v>USD 10.000B capital schedule reconciles</x:v>
      </x:c>
      <x:c r="D21" s="9" t="str">
        <x:v>PLANNING</x:v>
      </x:c>
      <x:c r="E21" s="9" t="n">
        <x:v>1</x:v>
      </x:c>
      <x:c r="F21" s="9" t="n">
        <x:f>IF(ABS(Capital!C17-'Controls'!$D$17)&lt;0.000001,1,0)</x:f>
        <x:v>1</x:v>
      </x:c>
      <x:c r="G21" s="9" t="str">
        <x:f>IF(F21=1,"PLANNING PASS","FAIL")</x:f>
        <x:v>PLANNING PASS</x:v>
      </x:c>
      <x:c r="H21" s="9" t="str">
        <x:v>architecture evidence</x:v>
      </x:c>
      <x:c r="I21" s="9" t="str">
        <x:v>BLOCKED</x:v>
      </x:c>
      <x:c r="J21" s="9" t="str">
        <x:v>BLOCKED</x:v>
      </x:c>
    </x:row>
    <x:row r="22">
      <x:c r="B22" s="9" t="str">
        <x:v>G16</x:v>
      </x:c>
      <x:c r="C22" s="9" t="str">
        <x:v>USD 0.620B annual schedule reconciles</x:v>
      </x:c>
      <x:c r="D22" s="9" t="str">
        <x:v>PLANNING</x:v>
      </x:c>
      <x:c r="E22" s="9" t="n">
        <x:v>1</x:v>
      </x:c>
      <x:c r="F22" s="9" t="n">
        <x:f>IF(ABS('Annual Support'!C17-'Controls'!$D$20)&lt;0.000001,1,0)</x:f>
        <x:v>1</x:v>
      </x:c>
      <x:c r="G22" s="9" t="str">
        <x:f>IF(F22=1,"PLANNING PASS","FAIL")</x:f>
        <x:v>PLANNING PASS</x:v>
      </x:c>
      <x:c r="H22" s="9" t="str">
        <x:v>architecture evidence</x:v>
      </x:c>
      <x:c r="I22" s="9" t="str">
        <x:v>BLOCKED</x:v>
      </x:c>
      <x:c r="J22" s="9" t="str">
        <x:v>BLOCKED</x:v>
      </x:c>
    </x:row>
    <x:row r="23">
      <x:c r="B23" s="9" t="str">
        <x:v>G17</x:v>
      </x:c>
      <x:c r="C23" s="9" t="str">
        <x:v>recognized overlap does not consume operations stock</x:v>
      </x:c>
      <x:c r="D23" s="9" t="str">
        <x:v>PLANNING</x:v>
      </x:c>
      <x:c r="E23" s="9" t="n">
        <x:v>1</x:v>
      </x:c>
      <x:c r="F23" s="9" t="n">
        <x:f>IF(AND(ABS('Controls'!$D$24-'Controls'!$D$18-'Controls'!$D$26)&lt;0.000001,'Controls'!$D$25=0.21),1,0)</x:f>
        <x:v>1</x:v>
      </x:c>
      <x:c r="G23" s="9" t="str">
        <x:f>IF(F23=1,"PLANNING PASS","FAIL")</x:f>
        <x:v>PLANNING PASS</x:v>
      </x:c>
      <x:c r="H23" s="9" t="str">
        <x:v>architecture evidence</x:v>
      </x:c>
      <x:c r="I23" s="9" t="str">
        <x:v>BLOCKED</x:v>
      </x:c>
      <x:c r="J23" s="9" t="str">
        <x:v>BLOCKED</x:v>
      </x:c>
    </x:row>
    <x:row r="24">
      <x:c r="B24" s="9" t="str">
        <x:v>G18</x:v>
      </x:c>
      <x:c r="C24" s="9" t="str">
        <x:v>USD 25.400B incremental boundary reconciles</x:v>
      </x:c>
      <x:c r="D24" s="9" t="str">
        <x:v>PLANNING</x:v>
      </x:c>
      <x:c r="E24" s="9" t="n">
        <x:v>1</x:v>
      </x:c>
      <x:c r="F24" s="9" t="n">
        <x:f>IF(ABS(Capital!D28-'Controls'!$D$22)&lt;0.000001,1,0)</x:f>
        <x:v>1</x:v>
      </x:c>
      <x:c r="G24" s="9" t="str">
        <x:f>IF(F24=1,"PLANNING PASS","FAIL")</x:f>
        <x:v>PLANNING PASS</x:v>
      </x:c>
      <x:c r="H24" s="9" t="str">
        <x:v>architecture evidence</x:v>
      </x:c>
      <x:c r="I24" s="9" t="str">
        <x:v>BLOCKED</x:v>
      </x:c>
      <x:c r="J24" s="9" t="str">
        <x:v>BLOCKED</x:v>
      </x:c>
    </x:row>
    <x:row r="25">
      <x:c r="B25" s="9" t="str">
        <x:v>G19</x:v>
      </x:c>
      <x:c r="C25" s="9" t="str">
        <x:v>dark sites receive zero operating credit</x:v>
      </x:c>
      <x:c r="D25" s="9" t="str">
        <x:v>PLANNING</x:v>
      </x:c>
      <x:c r="E25" s="9" t="n">
        <x:v>1</x:v>
      </x:c>
      <x:c r="F25" s="9" t="n">
        <x:f>IF(SUM('Receiver Sites'!K7:K12)=0,1,0)</x:f>
        <x:v>1</x:v>
      </x:c>
      <x:c r="G25" s="9" t="str">
        <x:f>IF(F25=1,"PLANNING PASS","FAIL")</x:f>
        <x:v>PLANNING PASS</x:v>
      </x:c>
      <x:c r="H25" s="9" t="str">
        <x:v>architecture evidence</x:v>
      </x:c>
      <x:c r="I25" s="9" t="str">
        <x:v>BLOCKED</x:v>
      </x:c>
      <x:c r="J25" s="9" t="str">
        <x:v>BLOCKED</x:v>
      </x:c>
    </x:row>
    <x:row r="26">
      <x:c r="B26" s="9" t="str">
        <x:v>G20</x:v>
      </x:c>
      <x:c r="C26" s="9" t="str">
        <x:v>production and rendering remain blocked</x:v>
      </x:c>
      <x:c r="D26" s="9" t="str">
        <x:v>PLANNING</x:v>
      </x:c>
      <x:c r="E26" s="9" t="n">
        <x:v>1</x:v>
      </x:c>
      <x:c r="F26" s="9" t="n">
        <x:f>IF(AND('Controls'!$D$39=0,'Controls'!$D$40=0),1,0)</x:f>
        <x:v>1</x:v>
      </x:c>
      <x:c r="G26" s="9" t="str">
        <x:f>IF(F26=1,"PLANNING PASS","FAIL")</x:f>
        <x:v>PLANNING PASS</x:v>
      </x:c>
      <x:c r="H26" s="9" t="str">
        <x:v>architecture evidence</x:v>
      </x:c>
      <x:c r="I26" s="9" t="str">
        <x:v>BLOCKED</x:v>
      </x:c>
      <x:c r="J26" s="9" t="str">
        <x:v>BLOCKED</x:v>
      </x:c>
    </x:row>
    <x:row r="27">
      <x:c r="B27" s="9" t="str">
        <x:v>G21</x:v>
      </x:c>
      <x:c r="C27" s="9" t="str">
        <x:v>capital authority enacted</x:v>
      </x:c>
      <x:c r="D27" s="9" t="str">
        <x:v>PHYSICAL</x:v>
      </x:c>
      <x:c r="E27" s="9" t="n">
        <x:v>1</x:v>
      </x:c>
      <x:c r="F27" s="9" t="n">
        <x:f>'Controls'!$D$29</x:f>
        <x:v>0</x:v>
      </x:c>
      <x:c r="G27" s="9" t="str">
        <x:f>IF(F27=1,"PASS",IF(OR(B27="production and form authority",B27="exterior rendering authority"),"BLOCKED","OPEN"))</x:f>
        <x:v>OPEN</x:v>
      </x:c>
      <x:c r="H27" s="9" t="str">
        <x:v>physical predecessor</x:v>
      </x:c>
      <x:c r="I27" s="9" t="str">
        <x:v>BLOCKED</x:v>
      </x:c>
      <x:c r="J27" s="9" t="str">
        <x:v>BLOCKED</x:v>
      </x:c>
    </x:row>
    <x:row r="28">
      <x:c r="B28" s="9" t="str">
        <x:v>G22</x:v>
      </x:c>
      <x:c r="C28" s="9" t="str">
        <x:v>annual support authority enacted</x:v>
      </x:c>
      <x:c r="D28" s="9" t="str">
        <x:v>PHYSICAL</x:v>
      </x:c>
      <x:c r="E28" s="9" t="n">
        <x:v>1</x:v>
      </x:c>
      <x:c r="F28" s="9" t="n">
        <x:f>'Controls'!$D$30</x:f>
        <x:v>0</x:v>
      </x:c>
      <x:c r="G28" s="9" t="str">
        <x:f>IF(F28=1,"PASS",IF(OR(B28="production and form authority",B28="exterior rendering authority"),"BLOCKED","OPEN"))</x:f>
        <x:v>OPEN</x:v>
      </x:c>
      <x:c r="H28" s="9" t="str">
        <x:v>physical predecessor</x:v>
      </x:c>
      <x:c r="I28" s="9" t="str">
        <x:v>BLOCKED</x:v>
      </x:c>
      <x:c r="J28" s="9" t="str">
        <x:v>BLOCKED</x:v>
      </x:c>
    </x:row>
    <x:row r="29">
      <x:c r="B29" s="9" t="str">
        <x:v>G23</x:v>
      </x:c>
      <x:c r="C29" s="9" t="str">
        <x:v>CRG-1 roster constituted</x:v>
      </x:c>
      <x:c r="D29" s="9" t="str">
        <x:v>PHYSICAL</x:v>
      </x:c>
      <x:c r="E29" s="9" t="n">
        <x:v>1</x:v>
      </x:c>
      <x:c r="F29" s="9" t="n">
        <x:f>'Controls'!$D$31</x:f>
        <x:v>0</x:v>
      </x:c>
      <x:c r="G29" s="9" t="str">
        <x:f>IF(F29=1,"PASS",IF(OR(B29="production and form authority",B29="exterior rendering authority"),"BLOCKED","OPEN"))</x:f>
        <x:v>OPEN</x:v>
      </x:c>
      <x:c r="H29" s="9" t="str">
        <x:v>physical predecessor</x:v>
      </x:c>
      <x:c r="I29" s="9" t="str">
        <x:v>BLOCKED</x:v>
      </x:c>
      <x:c r="J29" s="9" t="str">
        <x:v>BLOCKED</x:v>
      </x:c>
    </x:row>
    <x:row r="30">
      <x:c r="B30" s="9" t="str">
        <x:v>G24</x:v>
      </x:c>
      <x:c r="C30" s="9" t="str">
        <x:v>affiliate rosters constituted</x:v>
      </x:c>
      <x:c r="D30" s="9" t="str">
        <x:v>PHYSICAL</x:v>
      </x:c>
      <x:c r="E30" s="9" t="n">
        <x:v>1</x:v>
      </x:c>
      <x:c r="F30" s="9" t="n">
        <x:f>'Controls'!$D$32</x:f>
        <x:v>0</x:v>
      </x:c>
      <x:c r="G30" s="9" t="str">
        <x:f>IF(F30=1,"PASS",IF(OR(B30="production and form authority",B30="exterior rendering authority"),"BLOCKED","OPEN"))</x:f>
        <x:v>OPEN</x:v>
      </x:c>
      <x:c r="H30" s="9" t="str">
        <x:v>physical predecessor</x:v>
      </x:c>
      <x:c r="I30" s="9" t="str">
        <x:v>BLOCKED</x:v>
      </x:c>
      <x:c r="J30" s="9" t="str">
        <x:v>BLOCKED</x:v>
      </x:c>
    </x:row>
    <x:row r="31">
      <x:c r="B31" s="9" t="str">
        <x:v>G25</x:v>
      </x:c>
      <x:c r="C31" s="9" t="str">
        <x:v>Root A physically qualified</x:v>
      </x:c>
      <x:c r="D31" s="9" t="str">
        <x:v>PHYSICAL</x:v>
      </x:c>
      <x:c r="E31" s="9" t="n">
        <x:v>1</x:v>
      </x:c>
      <x:c r="F31" s="9" t="n">
        <x:f>'Controls'!$D$33</x:f>
        <x:v>0</x:v>
      </x:c>
      <x:c r="G31" s="9" t="str">
        <x:f>IF(F31=1,"PASS",IF(OR(B31="production and form authority",B31="exterior rendering authority"),"BLOCKED","OPEN"))</x:f>
        <x:v>OPEN</x:v>
      </x:c>
      <x:c r="H31" s="9" t="str">
        <x:v>physical predecessor</x:v>
      </x:c>
      <x:c r="I31" s="9" t="str">
        <x:v>BLOCKED</x:v>
      </x:c>
      <x:c r="J31" s="9" t="str">
        <x:v>BLOCKED</x:v>
      </x:c>
    </x:row>
    <x:row r="32">
      <x:c r="B32" s="9" t="str">
        <x:v>G26</x:v>
      </x:c>
      <x:c r="C32" s="9" t="str">
        <x:v>Root B physically qualified</x:v>
      </x:c>
      <x:c r="D32" s="9" t="str">
        <x:v>PHYSICAL</x:v>
      </x:c>
      <x:c r="E32" s="9" t="n">
        <x:v>1</x:v>
      </x:c>
      <x:c r="F32" s="9" t="n">
        <x:f>'Controls'!$D$34</x:f>
        <x:v>0</x:v>
      </x:c>
      <x:c r="G32" s="9" t="str">
        <x:f>IF(F32=1,"PASS",IF(OR(B32="production and form authority",B32="exterior rendering authority"),"BLOCKED","OPEN"))</x:f>
        <x:v>OPEN</x:v>
      </x:c>
      <x:c r="H32" s="9" t="str">
        <x:v>physical predecessor</x:v>
      </x:c>
      <x:c r="I32" s="9" t="str">
        <x:v>BLOCKED</x:v>
      </x:c>
      <x:c r="J32" s="9" t="str">
        <x:v>BLOCKED</x:v>
      </x:c>
    </x:row>
    <x:row r="33">
      <x:c r="B33" s="9" t="str">
        <x:v>G27</x:v>
      </x:c>
      <x:c r="C33" s="9" t="str">
        <x:v>four shipsets physically accepted</x:v>
      </x:c>
      <x:c r="D33" s="9" t="str">
        <x:v>PHYSICAL</x:v>
      </x:c>
      <x:c r="E33" s="9" t="n">
        <x:v>1</x:v>
      </x:c>
      <x:c r="F33" s="9" t="n">
        <x:f>'Controls'!$D$35</x:f>
        <x:v>0</x:v>
      </x:c>
      <x:c r="G33" s="9" t="str">
        <x:f>IF(F33=1,"PASS",IF(OR(B33="production and form authority",B33="exterior rendering authority"),"BLOCKED","OPEN"))</x:f>
        <x:v>OPEN</x:v>
      </x:c>
      <x:c r="H33" s="9" t="str">
        <x:v>physical predecessor</x:v>
      </x:c>
      <x:c r="I33" s="9" t="str">
        <x:v>BLOCKED</x:v>
      </x:c>
      <x:c r="J33" s="9" t="str">
        <x:v>BLOCKED</x:v>
      </x:c>
    </x:row>
    <x:row r="34">
      <x:c r="B34" s="9" t="str">
        <x:v>G28</x:v>
      </x:c>
      <x:c r="C34" s="9" t="str">
        <x:v>six receiver sites physically current</x:v>
      </x:c>
      <x:c r="D34" s="9" t="str">
        <x:v>PHYSICAL</x:v>
      </x:c>
      <x:c r="E34" s="9" t="n">
        <x:v>1</x:v>
      </x:c>
      <x:c r="F34" s="9" t="n">
        <x:f>'Controls'!$D$36</x:f>
        <x:v>0</x:v>
      </x:c>
      <x:c r="G34" s="9" t="str">
        <x:f>IF(F34=1,"PASS",IF(OR(B34="production and form authority",B34="exterior rendering authority"),"BLOCKED","OPEN"))</x:f>
        <x:v>OPEN</x:v>
      </x:c>
      <x:c r="H34" s="9" t="str">
        <x:v>physical predecessor</x:v>
      </x:c>
      <x:c r="I34" s="9" t="str">
        <x:v>BLOCKED</x:v>
      </x:c>
      <x:c r="J34" s="9" t="str">
        <x:v>BLOCKED</x:v>
      </x:c>
    </x:row>
    <x:row r="35">
      <x:c r="B35" s="9" t="str">
        <x:v>G29</x:v>
      </x:c>
      <x:c r="C35" s="9" t="str">
        <x:v>cold reconstruction exercise complete</x:v>
      </x:c>
      <x:c r="D35" s="9" t="str">
        <x:v>PHYSICAL</x:v>
      </x:c>
      <x:c r="E35" s="9" t="n">
        <x:v>1</x:v>
      </x:c>
      <x:c r="F35" s="9" t="n">
        <x:f>'Controls'!$D$37</x:f>
        <x:v>0</x:v>
      </x:c>
      <x:c r="G35" s="9" t="str">
        <x:f>IF(F35=1,"PASS",IF(OR(B35="production and form authority",B35="exterior rendering authority"),"BLOCKED","OPEN"))</x:f>
        <x:v>OPEN</x:v>
      </x:c>
      <x:c r="H35" s="9" t="str">
        <x:v>physical predecessor</x:v>
      </x:c>
      <x:c r="I35" s="9" t="str">
        <x:v>BLOCKED</x:v>
      </x:c>
      <x:c r="J35" s="9" t="str">
        <x:v>BLOCKED</x:v>
      </x:c>
    </x:row>
    <x:row r="36">
      <x:c r="B36" s="9" t="str">
        <x:v>G30</x:v>
      </x:c>
      <x:c r="C36" s="9" t="str">
        <x:v>replacement campus physically admitted</x:v>
      </x:c>
      <x:c r="D36" s="9" t="str">
        <x:v>PHYSICAL</x:v>
      </x:c>
      <x:c r="E36" s="9" t="n">
        <x:v>1</x:v>
      </x:c>
      <x:c r="F36" s="9" t="n">
        <x:f>'Controls'!$D$38</x:f>
        <x:v>0</x:v>
      </x:c>
      <x:c r="G36" s="9" t="str">
        <x:f>IF(F36=1,"PASS",IF(OR(B36="production and form authority",B36="exterior rendering authority"),"BLOCKED","OPEN"))</x:f>
        <x:v>OPEN</x:v>
      </x:c>
      <x:c r="H36" s="9" t="str">
        <x:v>physical predecessor</x:v>
      </x:c>
      <x:c r="I36" s="9" t="str">
        <x:v>BLOCKED</x:v>
      </x:c>
      <x:c r="J36" s="9" t="str">
        <x:v>BLOCKED</x:v>
      </x:c>
    </x:row>
    <x:row r="37">
      <x:c r="B37" s="9" t="str">
        <x:v>G31</x:v>
      </x:c>
      <x:c r="C37" s="9" t="str">
        <x:v>production and form authority</x:v>
      </x:c>
      <x:c r="D37" s="9" t="str">
        <x:v>PHYSICAL</x:v>
      </x:c>
      <x:c r="E37" s="9" t="n">
        <x:v>1</x:v>
      </x:c>
      <x:c r="F37" s="9" t="n">
        <x:f>'Controls'!$D$39</x:f>
        <x:v>0</x:v>
      </x:c>
      <x:c r="G37" s="9" t="str">
        <x:f>IF(F37=1,"PASS",IF(OR(B37="production and form authority",B37="exterior rendering authority"),"BLOCKED","OPEN"))</x:f>
        <x:v>OPEN</x:v>
      </x:c>
      <x:c r="H37" s="9" t="str">
        <x:v>physical predecessor</x:v>
      </x:c>
      <x:c r="I37" s="9" t="str">
        <x:v>BLOCKED</x:v>
      </x:c>
      <x:c r="J37" s="9" t="str">
        <x:v>BLOCKED</x:v>
      </x:c>
    </x:row>
    <x:row r="38">
      <x:c r="B38" s="10" t="str">
        <x:v>G32</x:v>
      </x:c>
      <x:c r="C38" s="10" t="str">
        <x:v>exterior rendering authority</x:v>
      </x:c>
      <x:c r="D38" s="10" t="str">
        <x:v>PHYSICAL</x:v>
      </x:c>
      <x:c r="E38" s="10" t="n">
        <x:v>1</x:v>
      </x:c>
      <x:c r="F38" s="10" t="n">
        <x:f>'Controls'!$D$40</x:f>
        <x:v>0</x:v>
      </x:c>
      <x:c r="G38" s="10" t="str">
        <x:f>IF(F38=1,"PASS",IF(OR(B38="production and form authority",B38="exterior rendering authority"),"BLOCKED","OPEN"))</x:f>
        <x:v>OPEN</x:v>
      </x:c>
      <x:c r="H38" s="10" t="str">
        <x:v>physical predecessor</x:v>
      </x:c>
      <x:c r="I38" s="10" t="str">
        <x:v>BLOCKED</x:v>
      </x:c>
      <x:c r="J38" s="10" t="str">
        <x:v>BLOCKED</x:v>
      </x:c>
    </x:row>
    <x:row r="39">
      <x:c r="B39" s="38"/>
      <x:c r="C39" s="38"/>
      <x:c r="D39" s="38"/>
      <x:c r="E39" s="38"/>
      <x:c r="F39" s="38"/>
      <x:c r="G39" s="38"/>
      <x:c r="H39" s="38"/>
      <x:c r="I39" s="38"/>
      <x:c r="J39" s="38"/>
    </x:row>
    <x:row r="40">
      <x:c r="B40" s="38"/>
      <x:c r="C40" s="38"/>
      <x:c r="D40" s="38"/>
      <x:c r="E40" s="38"/>
      <x:c r="F40" s="38"/>
      <x:c r="G40" s="38"/>
      <x:c r="H40" s="38"/>
      <x:c r="I40" s="38"/>
      <x:c r="J40" s="38"/>
    </x:row>
    <x:row r="41">
      <x:c r="B41" s="38"/>
      <x:c r="C41" s="38"/>
      <x:c r="D41" s="38"/>
      <x:c r="E41" s="38"/>
      <x:c r="F41" s="38"/>
      <x:c r="G41" s="38"/>
      <x:c r="H41" s="38"/>
      <x:c r="I41" s="38"/>
      <x:c r="J41" s="38"/>
    </x:row>
    <x:row r="42">
      <x:c r="B42" s="32" t="str">
        <x:v>Present authority states</x:v>
      </x:c>
      <x:c r="C42" s="33" t="str">
        <x:v>Present authority states</x:v>
      </x:c>
      <x:c r="D42" s="33" t="str">
        <x:v>Present authority states</x:v>
      </x:c>
      <x:c r="E42" s="33" t="str">
        <x:v>Present authority states</x:v>
      </x:c>
      <x:c r="F42" s="33" t="str">
        <x:v>Present authority states</x:v>
      </x:c>
      <x:c r="G42" s="33" t="str">
        <x:v>Present authority states</x:v>
      </x:c>
      <x:c r="H42" s="33" t="str">
        <x:v>Present authority states</x:v>
      </x:c>
      <x:c r="I42" s="33" t="str">
        <x:v>Present authority states</x:v>
      </x:c>
      <x:c r="J42" s="34" t="str">
        <x:v>Present authority states</x:v>
      </x:c>
    </x:row>
    <x:row r="43">
      <x:c r="B43" s="38" t="str">
        <x:v>Planning architecture</x:v>
      </x:c>
      <x:c r="C43" s="38" t="str">
        <x:v>G01-G20</x:v>
      </x:c>
      <x:c r="D43" s="38" t="str">
        <x:f>IF(COUNTIF(G7:G26,"PLANNING PASS")=20,"AUTHORIZED","HOLD")</x:f>
        <x:v>AUTHORIZED</x:v>
      </x:c>
      <x:c r="E43" s="38"/>
      <x:c r="F43" s="38"/>
      <x:c r="G43" s="38"/>
      <x:c r="H43" s="38"/>
      <x:c r="I43" s="38"/>
      <x:c r="J43" s="38"/>
    </x:row>
    <x:row r="44">
      <x:c r="B44" s="38" t="str">
        <x:v>Program authority</x:v>
      </x:c>
      <x:c r="C44" s="38" t="str">
        <x:v>G21-G22</x:v>
      </x:c>
      <x:c r="D44" s="38" t="str">
        <x:f>IF(AND(G27="PASS",G28="PASS"),"AUTHORIZED","HOLD")</x:f>
        <x:v>HOLD</x:v>
      </x:c>
      <x:c r="E44" s="38"/>
      <x:c r="F44" s="38"/>
      <x:c r="G44" s="38"/>
      <x:c r="H44" s="38"/>
      <x:c r="I44" s="38"/>
      <x:c r="J44" s="38"/>
    </x:row>
    <x:row r="45">
      <x:c r="B45" s="38" t="str">
        <x:v>Physical formation</x:v>
      </x:c>
      <x:c r="C45" s="38" t="str">
        <x:v>G23-G28</x:v>
      </x:c>
      <x:c r="D45" s="38" t="str">
        <x:f>IF(COUNTIF(G29:G34,"PASS")=6,"CONSTITUTED","HOLD")</x:f>
        <x:v>HOLD</x:v>
      </x:c>
      <x:c r="E45" s="38"/>
      <x:c r="F45" s="38"/>
      <x:c r="G45" s="38"/>
      <x:c r="H45" s="38"/>
      <x:c r="I45" s="38"/>
      <x:c r="J45" s="38"/>
    </x:row>
    <x:row r="46">
      <x:c r="B46" s="38" t="str">
        <x:v>Cold reconstruction exercise</x:v>
      </x:c>
      <x:c r="C46" s="38" t="str">
        <x:v>G29</x:v>
      </x:c>
      <x:c r="D46" s="38" t="str">
        <x:f>IF(G35="PASS","COMPLETE","HOLD")</x:f>
        <x:v>HOLD</x:v>
      </x:c>
      <x:c r="E46" s="38"/>
      <x:c r="F46" s="38"/>
      <x:c r="G46" s="38"/>
      <x:c r="H46" s="38"/>
      <x:c r="I46" s="38"/>
      <x:c r="J46" s="38"/>
    </x:row>
    <x:row r="47">
      <x:c r="B47" s="38" t="str">
        <x:v>Replacement campus</x:v>
      </x:c>
      <x:c r="C47" s="38" t="str">
        <x:v>G30</x:v>
      </x:c>
      <x:c r="D47" s="38" t="str">
        <x:f>IF(G36="PASS","ADMITTED","HOLD")</x:f>
        <x:v>HOLD</x:v>
      </x:c>
      <x:c r="E47" s="38"/>
      <x:c r="F47" s="38"/>
      <x:c r="G47" s="38"/>
      <x:c r="H47" s="38"/>
      <x:c r="I47" s="38"/>
      <x:c r="J47" s="38"/>
    </x:row>
    <x:row r="48">
      <x:c r="B48" s="38" t="str">
        <x:v>Production and rendering</x:v>
      </x:c>
      <x:c r="C48" s="38" t="str">
        <x:v>G31-G32</x:v>
      </x:c>
      <x:c r="D48" s="38" t="str">
        <x:f>IF(AND(D47="ADMITTED",G37="PASS",G38="PASS"),"AUTHORIZED","BLOCKED")</x:f>
        <x:v>BLOCKED</x:v>
      </x:c>
      <x:c r="E48" s="38"/>
      <x:c r="F48" s="38"/>
      <x:c r="G48" s="38"/>
      <x:c r="H48" s="38"/>
      <x:c r="I48" s="38"/>
      <x:c r="J48" s="38"/>
    </x:row>
  </x:sheetData>
  <x:mergeCells>
    <x:mergeCell ref="B2:J2"/>
    <x:mergeCell ref="B3:J3"/>
    <x:mergeCell ref="B42:J42"/>
  </x:mergeCells>
  <x:conditionalFormatting sqref="G7:G38">
    <x:cfRule type="containsText" dxfId="192" priority="1" operator="containsText" text="PASS"/>
    <x:cfRule type="containsText" dxfId="193" priority="2" operator="containsText" text="SELECT"/>
    <x:cfRule type="containsText" dxfId="194" priority="3" operator="containsText" text="AUTHORIZED"/>
    <x:cfRule type="containsText" dxfId="195" priority="4" operator="containsText" text="COMPLETE"/>
    <x:cfRule type="containsText" dxfId="196" priority="5" operator="containsText" text="HOLD"/>
    <x:cfRule type="containsText" dxfId="197" priority="6" operator="containsText" text="OPEN"/>
    <x:cfRule type="containsText" dxfId="198" priority="7" operator="containsText" text="SAFE_STOP"/>
    <x:cfRule type="containsText" dxfId="199" priority="8" operator="containsText" text="BLOCKED"/>
    <x:cfRule type="containsText" dxfId="200" priority="9" operator="containsText" text="PLANNING"/>
    <x:cfRule type="containsText" dxfId="201" priority="10" operator="containsText" text="FAIL"/>
    <x:cfRule type="containsText" dxfId="202" priority="11" operator="containsText" text="REJECT"/>
    <x:cfRule type="containsText" dxfId="203" priority="12" operator="containsText" text="BREACH"/>
  </x:conditionalFormatting>
  <x:conditionalFormatting sqref="I7:J38">
    <x:cfRule type="containsText" dxfId="204" priority="13" operator="containsText" text="PASS"/>
    <x:cfRule type="containsText" dxfId="205" priority="14" operator="containsText" text="SELECT"/>
    <x:cfRule type="containsText" dxfId="206" priority="15" operator="containsText" text="AUTHORIZED"/>
    <x:cfRule type="containsText" dxfId="207" priority="16" operator="containsText" text="COMPLETE"/>
    <x:cfRule type="containsText" dxfId="208" priority="17" operator="containsText" text="HOLD"/>
    <x:cfRule type="containsText" dxfId="209" priority="18" operator="containsText" text="OPEN"/>
    <x:cfRule type="containsText" dxfId="210" priority="19" operator="containsText" text="SAFE_STOP"/>
    <x:cfRule type="containsText" dxfId="211" priority="20" operator="containsText" text="BLOCKED"/>
    <x:cfRule type="containsText" dxfId="212" priority="21" operator="containsText" text="PLANNING"/>
    <x:cfRule type="containsText" dxfId="213" priority="22" operator="containsText" text="FAIL"/>
    <x:cfRule type="containsText" dxfId="214" priority="23" operator="containsText" text="REJECT"/>
    <x:cfRule type="containsText" dxfId="215" priority="24" operator="containsText" text="BREACH"/>
  </x:conditionalFormatting>
  <x:conditionalFormatting sqref="D43:D48">
    <x:cfRule type="containsText" dxfId="216" priority="25" operator="containsText" text="PASS"/>
    <x:cfRule type="containsText" dxfId="217" priority="26" operator="containsText" text="SELECT"/>
    <x:cfRule type="containsText" dxfId="218" priority="27" operator="containsText" text="AUTHORIZED"/>
    <x:cfRule type="containsText" dxfId="219" priority="28" operator="containsText" text="COMPLETE"/>
    <x:cfRule type="containsText" dxfId="220" priority="29" operator="containsText" text="HOLD"/>
    <x:cfRule type="containsText" dxfId="221" priority="30" operator="containsText" text="OPEN"/>
    <x:cfRule type="containsText" dxfId="222" priority="31" operator="containsText" text="SAFE_STOP"/>
    <x:cfRule type="containsText" dxfId="223" priority="32" operator="containsText" text="BLOCKED"/>
    <x:cfRule type="containsText" dxfId="224" priority="33" operator="containsText" text="PLANNING"/>
    <x:cfRule type="containsText" dxfId="225" priority="34" operator="containsText" text="FAIL"/>
    <x:cfRule type="containsText" dxfId="226" priority="35" operator="containsText" text="REJECT"/>
    <x:cfRule type="containsText" dxfId="227" priority="36" operator="containsText" text="BREACH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7F8C8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12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38" hidden="0" customWidth="1"/>
  </x:cols>
  <x:sheetData>
    <x:row r="2">
      <x:c r="B2" s="1" t="str">
        <x:v>Independent terminal audit</x:v>
      </x:c>
      <x:c r="C2" s="38"/>
      <x:c r="D2" s="38"/>
      <x:c r="E2" s="38"/>
      <x:c r="F2" s="38"/>
      <x:c r="G2" s="38"/>
      <x:c r="H2" s="38"/>
    </x:row>
    <x:row r="3">
      <x:c r="B3" s="2" t="str">
        <x:v>This sheet observes the workbook and feeds no architecture, schedule, financial or release calculation.</x:v>
      </x:c>
      <x:c r="C3" s="38"/>
      <x:c r="D3" s="38"/>
      <x:c r="E3" s="38"/>
      <x:c r="F3" s="38"/>
      <x:c r="G3" s="38"/>
      <x:c r="H3" s="38"/>
    </x:row>
    <x:row r="4">
      <x:c r="B4" s="39"/>
      <x:c r="C4" s="39"/>
      <x:c r="D4" s="39"/>
      <x:c r="E4" s="39"/>
      <x:c r="F4" s="39"/>
      <x:c r="G4" s="39"/>
      <x:c r="H4" s="39"/>
    </x:row>
    <x:row r="5">
      <x:c r="B5" s="38"/>
      <x:c r="C5" s="38"/>
      <x:c r="D5" s="38"/>
      <x:c r="E5" s="38"/>
      <x:c r="F5" s="38"/>
      <x:c r="G5" s="38"/>
      <x:c r="H5" s="38"/>
    </x:row>
    <x:row r="6">
      <x:c r="B6" s="7" t="str">
        <x:v>Check</x:v>
      </x:c>
      <x:c r="C6" s="7" t="str">
        <x:v>Control</x:v>
      </x:c>
      <x:c r="D6" s="7" t="str">
        <x:v>Actual</x:v>
      </x:c>
      <x:c r="E6" s="7" t="str">
        <x:v>Expected</x:v>
      </x:c>
      <x:c r="F6" s="7" t="str">
        <x:v>Difference</x:v>
      </x:c>
      <x:c r="G6" s="7" t="str">
        <x:v>Result</x:v>
      </x:c>
      <x:c r="H6" s="7" t="str">
        <x:v>Notes</x:v>
      </x:c>
    </x:row>
    <x:row r="7">
      <x:c r="B7" s="9" t="str">
        <x:v>AU01</x:v>
      </x:c>
      <x:c r="C7" s="9" t="str">
        <x:v>Control count</x:v>
      </x:c>
      <x:c r="D7" s="36" t="n">
        <x:f>COUNTA(Controls!B7:B40)</x:f>
        <x:v>34</x:v>
      </x:c>
      <x:c r="E7" s="36" t="n">
        <x:v>34</x:v>
      </x:c>
      <x:c r="F7" s="36" t="n">
        <x:f>D7-E7</x:f>
        <x:v>0</x:v>
      </x:c>
      <x:c r="G7" s="9" t="str">
        <x:f>IF(ABS(F7)&lt;0.000001,"PASS","FAIL")</x:f>
        <x:v>PASS</x:v>
      </x:c>
      <x:c r="H7" s="9" t="str"/>
    </x:row>
    <x:row r="8">
      <x:c r="B8" s="9" t="str">
        <x:v>AU02</x:v>
      </x:c>
      <x:c r="C8" s="9" t="str">
        <x:v>Internal target</x:v>
      </x:c>
      <x:c r="D8" s="36" t="n">
        <x:f>'Controls'!$D$9</x:f>
        <x:v>162</x:v>
      </x:c>
      <x:c r="E8" s="36" t="n">
        <x:v>162</x:v>
      </x:c>
      <x:c r="F8" s="36" t="n">
        <x:f>D8-E8</x:f>
        <x:v>0</x:v>
      </x:c>
      <x:c r="G8" s="9" t="str">
        <x:f>IF(ABS(F8)&lt;0.000001,"PASS","FAIL")</x:f>
        <x:v>PASS</x:v>
      </x:c>
      <x:c r="H8" s="9" t="str"/>
    </x:row>
    <x:row r="9">
      <x:c r="B9" s="9" t="str">
        <x:v>AU03</x:v>
      </x:c>
      <x:c r="C9" s="9" t="str">
        <x:v>Campus service lines</x:v>
      </x:c>
      <x:c r="D9" s="36" t="n">
        <x:f>COUNTA('Campus Bill'!B7:B15)</x:f>
        <x:v>9</x:v>
      </x:c>
      <x:c r="E9" s="36" t="n">
        <x:v>9</x:v>
      </x:c>
      <x:c r="F9" s="36" t="n">
        <x:f>D9-E9</x:f>
        <x:v>0</x:v>
      </x:c>
      <x:c r="G9" s="9" t="str">
        <x:f>IF(ABS(F9)&lt;0.000001,"PASS","FAIL")</x:f>
        <x:v>PASS</x:v>
      </x:c>
      <x:c r="H9" s="9" t="str"/>
    </x:row>
    <x:row r="10">
      <x:c r="B10" s="9" t="str">
        <x:v>AU04</x:v>
      </x:c>
      <x:c r="C10" s="9" t="str">
        <x:v>Campus installed value</x:v>
      </x:c>
      <x:c r="D10" s="36" t="n">
        <x:f>'Campus Bill'!E16</x:f>
        <x:v>1.3400000000000003</x:v>
      </x:c>
      <x:c r="E10" s="36" t="n">
        <x:v>1.34</x:v>
      </x:c>
      <x:c r="F10" s="36" t="n">
        <x:f>D10-E10</x:f>
        <x:v>2.220446049250313e-16</x:v>
      </x:c>
      <x:c r="G10" s="9" t="str">
        <x:f>IF(ABS(F10)&lt;0.000001,"PASS","FAIL")</x:f>
        <x:v>PASS</x:v>
      </x:c>
      <x:c r="H10" s="9" t="str"/>
    </x:row>
    <x:row r="11">
      <x:c r="B11" s="9" t="str">
        <x:v>AU05</x:v>
      </x:c>
      <x:c r="C11" s="9" t="str">
        <x:v>Campus completeness gates</x:v>
      </x:c>
      <x:c r="D11" s="36" t="n">
        <x:f>COUNTIF('Campus Bill'!H7:H16,"PASS")</x:f>
        <x:v>10</x:v>
      </x:c>
      <x:c r="E11" s="36" t="n">
        <x:v>10</x:v>
      </x:c>
      <x:c r="F11" s="36" t="n">
        <x:f>D11-E11</x:f>
        <x:v>0</x:v>
      </x:c>
      <x:c r="G11" s="9" t="str">
        <x:f>IF(ABS(F11)&lt;0.000001,"PASS","FAIL")</x:f>
        <x:v>PASS</x:v>
      </x:c>
      <x:c r="H11" s="9" t="str"/>
    </x:row>
    <x:row r="12">
      <x:c r="B12" s="9" t="str">
        <x:v>AU06</x:v>
      </x:c>
      <x:c r="C12" s="9" t="str">
        <x:v>Architecture alternatives</x:v>
      </x:c>
      <x:c r="D12" s="36" t="n">
        <x:f>COUNTA(Architecture!B7:B10)</x:f>
        <x:v>4</x:v>
      </x:c>
      <x:c r="E12" s="36" t="n">
        <x:v>4</x:v>
      </x:c>
      <x:c r="F12" s="36" t="n">
        <x:f>D12-E12</x:f>
        <x:v>0</x:v>
      </x:c>
      <x:c r="G12" s="9" t="str">
        <x:f>IF(ABS(F12)&lt;0.000001,"PASS","FAIL")</x:f>
        <x:v>PASS</x:v>
      </x:c>
      <x:c r="H12" s="9" t="str"/>
    </x:row>
    <x:row r="13">
      <x:c r="B13" s="9" t="str">
        <x:v>AU07</x:v>
      </x:c>
      <x:c r="C13" s="9" t="str">
        <x:v>Selected architectures</x:v>
      </x:c>
      <x:c r="D13" s="36" t="n">
        <x:f>COUNTIF(Architecture!R7:R10,"SELECT")</x:f>
        <x:v>1</x:v>
      </x:c>
      <x:c r="E13" s="36" t="n">
        <x:v>1</x:v>
      </x:c>
      <x:c r="F13" s="36" t="n">
        <x:f>D13-E13</x:f>
        <x:v>0</x:v>
      </x:c>
      <x:c r="G13" s="9" t="str">
        <x:f>IF(ABS(F13)&lt;0.000001,"PASS","FAIL")</x:f>
        <x:v>PASS</x:v>
      </x:c>
      <x:c r="H13" s="9" t="str"/>
    </x:row>
    <x:row r="14">
      <x:c r="B14" s="9" t="str">
        <x:v>AU08</x:v>
      </x:c>
      <x:c r="C14" s="9" t="str">
        <x:v>Selected architecture ID</x:v>
      </x:c>
      <x:c r="D14" s="36" t="n">
        <x:f>IF(Architecture!R10="SELECT",3,0)</x:f>
        <x:v>3</x:v>
      </x:c>
      <x:c r="E14" s="36" t="n">
        <x:v>3</x:v>
      </x:c>
      <x:c r="F14" s="36" t="n">
        <x:f>D14-E14</x:f>
        <x:v>0</x:v>
      </x:c>
      <x:c r="G14" s="9" t="str">
        <x:f>IF(ABS(F14)&lt;0.000001,"PASS","FAIL")</x:f>
        <x:v>PASS</x:v>
      </x:c>
      <x:c r="H14" s="9" t="str"/>
    </x:row>
    <x:row r="15">
      <x:c r="B15" s="9" t="str">
        <x:v>AU09</x:v>
      </x:c>
      <x:c r="C15" s="9" t="str">
        <x:v>Selected roots</x:v>
      </x:c>
      <x:c r="D15" s="36" t="n">
        <x:f>Architecture!E10</x:f>
        <x:v>2</x:v>
      </x:c>
      <x:c r="E15" s="36" t="n">
        <x:v>2</x:v>
      </x:c>
      <x:c r="F15" s="36" t="n">
        <x:f>D15-E15</x:f>
        <x:v>0</x:v>
      </x:c>
      <x:c r="G15" s="9" t="str">
        <x:f>IF(ABS(F15)&lt;0.000001,"PASS","FAIL")</x:f>
        <x:v>PASS</x:v>
      </x:c>
      <x:c r="H15" s="9" t="str"/>
    </x:row>
    <x:row r="16">
      <x:c r="B16" s="9" t="str">
        <x:v>AU10</x:v>
      </x:c>
      <x:c r="C16" s="9" t="str">
        <x:v>Selected shipsets</x:v>
      </x:c>
      <x:c r="D16" s="36" t="n">
        <x:f>Architecture!F10</x:f>
        <x:v>4</x:v>
      </x:c>
      <x:c r="E16" s="36" t="n">
        <x:v>4</x:v>
      </x:c>
      <x:c r="F16" s="36" t="n">
        <x:f>D16-E16</x:f>
        <x:v>0</x:v>
      </x:c>
      <x:c r="G16" s="9" t="str">
        <x:f>IF(ABS(F16)&lt;0.000001,"PASS","FAIL")</x:f>
        <x:v>PASS</x:v>
      </x:c>
      <x:c r="H16" s="9" t="str"/>
    </x:row>
    <x:row r="17">
      <x:c r="B17" s="9" t="str">
        <x:v>AU11</x:v>
      </x:c>
      <x:c r="C17" s="9" t="str">
        <x:v>Selected receiver sites</x:v>
      </x:c>
      <x:c r="D17" s="36" t="n">
        <x:f>Architecture!G10</x:f>
        <x:v>6</x:v>
      </x:c>
      <x:c r="E17" s="36" t="n">
        <x:v>6</x:v>
      </x:c>
      <x:c r="F17" s="36" t="n">
        <x:f>D17-E17</x:f>
        <x:v>0</x:v>
      </x:c>
      <x:c r="G17" s="9" t="str">
        <x:f>IF(ABS(F17)&lt;0.000001,"PASS","FAIL")</x:f>
        <x:v>PASS</x:v>
      </x:c>
      <x:c r="H17" s="9" t="str"/>
    </x:row>
    <x:row r="18">
      <x:c r="B18" s="9" t="str">
        <x:v>AU12</x:v>
      </x:c>
      <x:c r="C18" s="9" t="str">
        <x:v>Selected arsenals</x:v>
      </x:c>
      <x:c r="D18" s="36" t="n">
        <x:f>Architecture!H10</x:f>
        <x:v>4</x:v>
      </x:c>
      <x:c r="E18" s="36" t="n">
        <x:v>4</x:v>
      </x:c>
      <x:c r="F18" s="36" t="n">
        <x:f>D18-E18</x:f>
        <x:v>0</x:v>
      </x:c>
      <x:c r="G18" s="9" t="str">
        <x:f>IF(ABS(F18)&lt;0.000001,"PASS","FAIL")</x:f>
        <x:v>PASS</x:v>
      </x:c>
      <x:c r="H18" s="9" t="str"/>
    </x:row>
    <x:row r="19">
      <x:c r="B19" s="9" t="str">
        <x:v>AU13</x:v>
      </x:c>
      <x:c r="C19" s="9" t="str">
        <x:v>Selected public billets</x:v>
      </x:c>
      <x:c r="D19" s="36" t="n">
        <x:f>Architecture!I10</x:f>
        <x:v>300</x:v>
      </x:c>
      <x:c r="E19" s="36" t="n">
        <x:v>300</x:v>
      </x:c>
      <x:c r="F19" s="36" t="n">
        <x:f>D19-E19</x:f>
        <x:v>0</x:v>
      </x:c>
      <x:c r="G19" s="9" t="str">
        <x:f>IF(ABS(F19)&lt;0.000001,"PASS","FAIL")</x:f>
        <x:v>PASS</x:v>
      </x:c>
      <x:c r="H19" s="9" t="str"/>
    </x:row>
    <x:row r="20">
      <x:c r="B20" s="9" t="str">
        <x:v>AU14</x:v>
      </x:c>
      <x:c r="C20" s="9" t="str">
        <x:v>Selected affiliates</x:v>
      </x:c>
      <x:c r="D20" s="36" t="n">
        <x:f>Architecture!J10</x:f>
        <x:v>1400</x:v>
      </x:c>
      <x:c r="E20" s="36" t="n">
        <x:v>1400</x:v>
      </x:c>
      <x:c r="F20" s="36" t="n">
        <x:f>D20-E20</x:f>
        <x:v>0</x:v>
      </x:c>
      <x:c r="G20" s="9" t="str">
        <x:f>IF(ABS(F20)&lt;0.000001,"PASS","FAIL")</x:f>
        <x:v>PASS</x:v>
      </x:c>
      <x:c r="H20" s="9" t="str"/>
    </x:row>
    <x:row r="21">
      <x:c r="B21" s="9" t="str">
        <x:v>AU15</x:v>
      </x:c>
      <x:c r="C21" s="9" t="str">
        <x:v>Selected capital</x:v>
      </x:c>
      <x:c r="D21" s="36" t="n">
        <x:f>Architecture!K10</x:f>
        <x:v>10</x:v>
      </x:c>
      <x:c r="E21" s="36" t="n">
        <x:v>10</x:v>
      </x:c>
      <x:c r="F21" s="36" t="n">
        <x:f>D21-E21</x:f>
        <x:v>0</x:v>
      </x:c>
      <x:c r="G21" s="9" t="str">
        <x:f>IF(ABS(F21)&lt;0.000001,"PASS","FAIL")</x:f>
        <x:v>PASS</x:v>
      </x:c>
      <x:c r="H21" s="9" t="str"/>
    </x:row>
    <x:row r="22">
      <x:c r="B22" s="9" t="str">
        <x:v>AU16</x:v>
      </x:c>
      <x:c r="C22" s="9" t="str">
        <x:v>Selected annual support</x:v>
      </x:c>
      <x:c r="D22" s="36" t="n">
        <x:f>Architecture!L10</x:f>
        <x:v>0.62</x:v>
      </x:c>
      <x:c r="E22" s="36" t="n">
        <x:v>0.62</x:v>
      </x:c>
      <x:c r="F22" s="36" t="n">
        <x:f>D22-E22</x:f>
        <x:v>0</x:v>
      </x:c>
      <x:c r="G22" s="9" t="str">
        <x:f>IF(ABS(F22)&lt;0.000001,"PASS","FAIL")</x:f>
        <x:v>PASS</x:v>
      </x:c>
      <x:c r="H22" s="9" t="str"/>
    </x:row>
    <x:row r="23">
      <x:c r="B23" s="9" t="str">
        <x:v>AU17</x:v>
      </x:c>
      <x:c r="C23" s="9" t="str">
        <x:v>Selected worst completion</x:v>
      </x:c>
      <x:c r="D23" s="36" t="n">
        <x:f>Architecture!M10</x:f>
        <x:v>162</x:v>
      </x:c>
      <x:c r="E23" s="36" t="n">
        <x:v>162</x:v>
      </x:c>
      <x:c r="F23" s="36" t="n">
        <x:f>D23-E23</x:f>
        <x:v>0</x:v>
      </x:c>
      <x:c r="G23" s="9" t="str">
        <x:f>IF(ABS(F23)&lt;0.000001,"PASS","FAIL")</x:f>
        <x:v>PASS</x:v>
      </x:c>
      <x:c r="H23" s="9" t="str"/>
    </x:row>
    <x:row r="24">
      <x:c r="B24" s="9" t="str">
        <x:v>AU18</x:v>
      </x:c>
      <x:c r="C24" s="9" t="str">
        <x:v>Selected schedule reserve</x:v>
      </x:c>
      <x:c r="D24" s="36" t="n">
        <x:f>Architecture!P10</x:f>
        <x:v>18</x:v>
      </x:c>
      <x:c r="E24" s="36" t="n">
        <x:v>18</x:v>
      </x:c>
      <x:c r="F24" s="36" t="n">
        <x:f>D24-E24</x:f>
        <x:v>0</x:v>
      </x:c>
      <x:c r="G24" s="9" t="str">
        <x:f>IF(ABS(F24)&lt;0.000001,"PASS","FAIL")</x:f>
        <x:v>PASS</x:v>
      </x:c>
      <x:c r="H24" s="9" t="str"/>
    </x:row>
    <x:row r="25">
      <x:c r="B25" s="9" t="str">
        <x:v>AU19</x:v>
      </x:c>
      <x:c r="C25" s="9" t="str">
        <x:v>Shipset inventory count</x:v>
      </x:c>
      <x:c r="D25" s="36" t="n">
        <x:f>COUNTA('Shipset Logic'!B7:B10)</x:f>
        <x:v>4</x:v>
      </x:c>
      <x:c r="E25" s="36" t="n">
        <x:v>4</x:v>
      </x:c>
      <x:c r="F25" s="36" t="n">
        <x:f>D25-E25</x:f>
        <x:v>0</x:v>
      </x:c>
      <x:c r="G25" s="9" t="str">
        <x:f>IF(ABS(F25)&lt;0.000001,"PASS","FAIL")</x:f>
        <x:v>PASS</x:v>
      </x:c>
      <x:c r="H25" s="9" t="str"/>
    </x:row>
    <x:row r="26">
      <x:c r="B26" s="9" t="str">
        <x:v>AU20</x:v>
      </x:c>
      <x:c r="C26" s="9" t="str">
        <x:v>Root A shipsets</x:v>
      </x:c>
      <x:c r="D26" s="36" t="n">
        <x:f>COUNTIFS('Shipset Logic'!C7:C10,"ROOT_A")</x:f>
        <x:v>2</x:v>
      </x:c>
      <x:c r="E26" s="36" t="n">
        <x:v>2</x:v>
      </x:c>
      <x:c r="F26" s="36" t="n">
        <x:f>D26-E26</x:f>
        <x:v>0</x:v>
      </x:c>
      <x:c r="G26" s="9" t="str">
        <x:f>IF(ABS(F26)&lt;0.000001,"PASS","FAIL")</x:f>
        <x:v>PASS</x:v>
      </x:c>
      <x:c r="H26" s="9" t="str"/>
    </x:row>
    <x:row r="27">
      <x:c r="B27" s="9" t="str">
        <x:v>AU21</x:v>
      </x:c>
      <x:c r="C27" s="9" t="str">
        <x:v>Root B shipsets</x:v>
      </x:c>
      <x:c r="D27" s="36" t="n">
        <x:f>COUNTIFS('Shipset Logic'!C7:C10,"ROOT_B")</x:f>
        <x:v>2</x:v>
      </x:c>
      <x:c r="E27" s="36" t="n">
        <x:v>2</x:v>
      </x:c>
      <x:c r="F27" s="36" t="n">
        <x:f>D27-E27</x:f>
        <x:v>0</x:v>
      </x:c>
      <x:c r="G27" s="9" t="str">
        <x:f>IF(ABS(F27)&lt;0.000001,"PASS","FAIL")</x:f>
        <x:v>PASS</x:v>
      </x:c>
      <x:c r="H27" s="9" t="str"/>
    </x:row>
    <x:row r="28">
      <x:c r="B28" s="9" t="str">
        <x:v>AU22</x:v>
      </x:c>
      <x:c r="C28" s="9" t="str">
        <x:v>Compound cuts tested</x:v>
      </x:c>
      <x:c r="D28" s="36" t="n">
        <x:f>COUNTA('Shipset Logic'!B16:B23)</x:f>
        <x:v>8</x:v>
      </x:c>
      <x:c r="E28" s="36" t="n">
        <x:v>8</x:v>
      </x:c>
      <x:c r="F28" s="36" t="n">
        <x:f>D28-E28</x:f>
        <x:v>0</x:v>
      </x:c>
      <x:c r="G28" s="9" t="str">
        <x:f>IF(ABS(F28)&lt;0.000001,"PASS","FAIL")</x:f>
        <x:v>PASS</x:v>
      </x:c>
      <x:c r="H28" s="9" t="str"/>
    </x:row>
    <x:row r="29">
      <x:c r="B29" s="9" t="str">
        <x:v>AU23</x:v>
      </x:c>
      <x:c r="C29" s="9" t="str">
        <x:v>Compound cuts passing</x:v>
      </x:c>
      <x:c r="D29" s="36" t="n">
        <x:f>COUNTIF('Shipset Logic'!H16:H23,"PASS")</x:f>
        <x:v>8</x:v>
      </x:c>
      <x:c r="E29" s="36" t="n">
        <x:v>8</x:v>
      </x:c>
      <x:c r="F29" s="36" t="n">
        <x:f>D29-E29</x:f>
        <x:v>0</x:v>
      </x:c>
      <x:c r="G29" s="9" t="str">
        <x:f>IF(ABS(F29)&lt;0.000001,"PASS","FAIL")</x:f>
        <x:v>PASS</x:v>
      </x:c>
      <x:c r="H29" s="9" t="str"/>
    </x:row>
    <x:row r="30">
      <x:c r="B30" s="9" t="str">
        <x:v>AU24</x:v>
      </x:c>
      <x:c r="C30" s="9" t="str">
        <x:v>Minimum surviving complete shipsets</x:v>
      </x:c>
      <x:c r="D30" s="36" t="n">
        <x:f>MIN('Shipset Logic'!E16:E23)</x:f>
        <x:v>1</x:v>
      </x:c>
      <x:c r="E30" s="36" t="n">
        <x:v>1</x:v>
      </x:c>
      <x:c r="F30" s="36" t="n">
        <x:f>D30-E30</x:f>
        <x:v>0</x:v>
      </x:c>
      <x:c r="G30" s="9" t="str">
        <x:f>IF(ABS(F30)&lt;0.000001,"PASS","FAIL")</x:f>
        <x:v>PASS</x:v>
      </x:c>
      <x:c r="H30" s="9" t="str"/>
    </x:row>
    <x:row r="31">
      <x:c r="B31" s="9" t="str">
        <x:v>AU25</x:v>
      </x:c>
      <x:c r="C31" s="9" t="str">
        <x:v>Receiver planning identities</x:v>
      </x:c>
      <x:c r="D31" s="36" t="n">
        <x:f>COUNTA('Receiver Sites'!B7:B12)</x:f>
        <x:v>6</x:v>
      </x:c>
      <x:c r="E31" s="36" t="n">
        <x:v>6</x:v>
      </x:c>
      <x:c r="F31" s="36" t="n">
        <x:f>D31-E31</x:f>
        <x:v>0</x:v>
      </x:c>
      <x:c r="G31" s="9" t="str">
        <x:f>IF(ABS(F31)&lt;0.000001,"PASS","FAIL")</x:f>
        <x:v>PASS</x:v>
      </x:c>
      <x:c r="H31" s="9" t="str"/>
    </x:row>
    <x:row r="32">
      <x:c r="B32" s="9" t="str">
        <x:v>AU26</x:v>
      </x:c>
      <x:c r="C32" s="9" t="str">
        <x:v>Receiver planning gates</x:v>
      </x:c>
      <x:c r="D32" s="36" t="n">
        <x:f>COUNTIF('Receiver Sites'!L7:L12,"PASS")</x:f>
        <x:v>6</x:v>
      </x:c>
      <x:c r="E32" s="36" t="n">
        <x:v>6</x:v>
      </x:c>
      <x:c r="F32" s="36" t="n">
        <x:f>D32-E32</x:f>
        <x:v>0</x:v>
      </x:c>
      <x:c r="G32" s="9" t="str">
        <x:f>IF(ABS(F32)&lt;0.000001,"PASS","FAIL")</x:f>
        <x:v>PASS</x:v>
      </x:c>
      <x:c r="H32" s="9" t="str"/>
    </x:row>
    <x:row r="33">
      <x:c r="B33" s="9" t="str">
        <x:v>AU27</x:v>
      </x:c>
      <x:c r="C33" s="9" t="str">
        <x:v>Receiver operating capacity credit</x:v>
      </x:c>
      <x:c r="D33" s="36" t="n">
        <x:f>SUM('Receiver Sites'!K7:K12)</x:f>
        <x:v>0</x:v>
      </x:c>
      <x:c r="E33" s="36" t="n">
        <x:v>0</x:v>
      </x:c>
      <x:c r="F33" s="36" t="n">
        <x:f>D33-E33</x:f>
        <x:v>0</x:v>
      </x:c>
      <x:c r="G33" s="9" t="str">
        <x:f>IF(ABS(F33)&lt;0.000001,"PASS","FAIL")</x:f>
        <x:v>PASS</x:v>
      </x:c>
      <x:c r="H33" s="9" t="str"/>
    </x:row>
    <x:row r="34">
      <x:c r="B34" s="9" t="str">
        <x:v>AU28</x:v>
      </x:c>
      <x:c r="C34" s="9" t="str">
        <x:v>Named real receiver sites</x:v>
      </x:c>
      <x:c r="D34" s="36" t="n">
        <x:f>'Receiver Sites'!C17</x:f>
        <x:v>0</x:v>
      </x:c>
      <x:c r="E34" s="36" t="n">
        <x:v>0</x:v>
      </x:c>
      <x:c r="F34" s="36" t="n">
        <x:f>D34-E34</x:f>
        <x:v>0</x:v>
      </x:c>
      <x:c r="G34" s="9" t="str">
        <x:f>IF(ABS(F34)&lt;0.000001,"PASS","FAIL")</x:f>
        <x:v>PASS</x:v>
      </x:c>
      <x:c r="H34" s="9" t="str"/>
    </x:row>
    <x:row r="35">
      <x:c r="B35" s="9" t="str">
        <x:v>AU29</x:v>
      </x:c>
      <x:c r="C35" s="9" t="str">
        <x:v>Critical work packages</x:v>
      </x:c>
      <x:c r="D35" s="36" t="n">
        <x:f>COUNTA('Critical Path'!B7:B19)</x:f>
        <x:v>13</x:v>
      </x:c>
      <x:c r="E35" s="36" t="n">
        <x:v>13</x:v>
      </x:c>
      <x:c r="F35" s="36" t="n">
        <x:f>D35-E35</x:f>
        <x:v>0</x:v>
      </x:c>
      <x:c r="G35" s="9" t="str">
        <x:f>IF(ABS(F35)&lt;0.000001,"PASS","FAIL")</x:f>
        <x:v>PASS</x:v>
      </x:c>
      <x:c r="H35" s="9" t="str"/>
    </x:row>
    <x:row r="36">
      <x:c r="B36" s="9" t="str">
        <x:v>AU30</x:v>
      </x:c>
      <x:c r="C36" s="9" t="str">
        <x:v>Critical package planning gates</x:v>
      </x:c>
      <x:c r="D36" s="36" t="n">
        <x:f>COUNTIF('Critical Path'!J7:J19,"PASS")</x:f>
        <x:v>13</x:v>
      </x:c>
      <x:c r="E36" s="36" t="n">
        <x:v>13</x:v>
      </x:c>
      <x:c r="F36" s="36" t="n">
        <x:f>D36-E36</x:f>
        <x:v>0</x:v>
      </x:c>
      <x:c r="G36" s="9" t="str">
        <x:f>IF(ABS(F36)&lt;0.000001,"PASS","FAIL")</x:f>
        <x:v>PASS</x:v>
      </x:c>
      <x:c r="H36" s="9" t="str"/>
    </x:row>
    <x:row r="37">
      <x:c r="B37" s="9" t="str">
        <x:v>AU31</x:v>
      </x:c>
      <x:c r="C37" s="9" t="str">
        <x:v>Latest critical finish</x:v>
      </x:c>
      <x:c r="D37" s="36" t="n">
        <x:f>'Critical Path'!D24</x:f>
        <x:v>162</x:v>
      </x:c>
      <x:c r="E37" s="36" t="n">
        <x:v>162</x:v>
      </x:c>
      <x:c r="F37" s="36" t="n">
        <x:f>D37-E37</x:f>
        <x:v>0</x:v>
      </x:c>
      <x:c r="G37" s="9" t="str">
        <x:f>IF(ABS(F37)&lt;0.000001,"PASS","FAIL")</x:f>
        <x:v>PASS</x:v>
      </x:c>
      <x:c r="H37" s="9" t="str"/>
    </x:row>
    <x:row r="38">
      <x:c r="B38" s="9" t="str">
        <x:v>AU32</x:v>
      </x:c>
      <x:c r="C38" s="9" t="str">
        <x:v>Management reserve</x:v>
      </x:c>
      <x:c r="D38" s="36" t="n">
        <x:f>'Critical Path'!D27</x:f>
        <x:v>18</x:v>
      </x:c>
      <x:c r="E38" s="36" t="n">
        <x:v>18</x:v>
      </x:c>
      <x:c r="F38" s="36" t="n">
        <x:f>D38-E38</x:f>
        <x:v>0</x:v>
      </x:c>
      <x:c r="G38" s="9" t="str">
        <x:f>IF(ABS(F38)&lt;0.000001,"PASS","FAIL")</x:f>
        <x:v>PASS</x:v>
      </x:c>
      <x:c r="H38" s="9" t="str"/>
    </x:row>
    <x:row r="39">
      <x:c r="B39" s="9" t="str">
        <x:v>AU33</x:v>
      </x:c>
      <x:c r="C39" s="9" t="str">
        <x:v>Mission worlds</x:v>
      </x:c>
      <x:c r="D39" s="36" t="n">
        <x:f>COUNTIFS('Failure Worlds'!F7:F18,"MISSION")</x:f>
        <x:v>11</x:v>
      </x:c>
      <x:c r="E39" s="36" t="n">
        <x:v>11</x:v>
      </x:c>
      <x:c r="F39" s="36" t="n">
        <x:f>D39-E39</x:f>
        <x:v>0</x:v>
      </x:c>
      <x:c r="G39" s="9" t="str">
        <x:f>IF(ABS(F39)&lt;0.000001,"PASS","FAIL")</x:f>
        <x:v>PASS</x:v>
      </x:c>
      <x:c r="H39" s="9" t="str"/>
    </x:row>
    <x:row r="40">
      <x:c r="B40" s="9" t="str">
        <x:v>AU34</x:v>
      </x:c>
      <x:c r="C40" s="9" t="str">
        <x:v>Mission worlds passing</x:v>
      </x:c>
      <x:c r="D40" s="36" t="n">
        <x:f>COUNTIFS('Failure Worlds'!F7:F18,"MISSION",'Failure Worlds'!I7:I18,"PASS")</x:f>
        <x:v>11</x:v>
      </x:c>
      <x:c r="E40" s="36" t="n">
        <x:v>11</x:v>
      </x:c>
      <x:c r="F40" s="36" t="n">
        <x:f>D40-E40</x:f>
        <x:v>0</x:v>
      </x:c>
      <x:c r="G40" s="9" t="str">
        <x:f>IF(ABS(F40)&lt;0.000001,"PASS","FAIL")</x:f>
        <x:v>PASS</x:v>
      </x:c>
      <x:c r="H40" s="9" t="str"/>
    </x:row>
    <x:row r="41">
      <x:c r="B41" s="9" t="str">
        <x:v>AU35</x:v>
      </x:c>
      <x:c r="C41" s="9" t="str">
        <x:v>Safe-stop worlds</x:v>
      </x:c>
      <x:c r="D41" s="36" t="n">
        <x:f>COUNTIFS('Failure Worlds'!F7:F18,"STOP")</x:f>
        <x:v>1</x:v>
      </x:c>
      <x:c r="E41" s="36" t="n">
        <x:v>1</x:v>
      </x:c>
      <x:c r="F41" s="36" t="n">
        <x:f>D41-E41</x:f>
        <x:v>0</x:v>
      </x:c>
      <x:c r="G41" s="9" t="str">
        <x:f>IF(ABS(F41)&lt;0.000001,"PASS","FAIL")</x:f>
        <x:v>PASS</x:v>
      </x:c>
      <x:c r="H41" s="9" t="str"/>
    </x:row>
    <x:row r="42">
      <x:c r="B42" s="9" t="str">
        <x:v>AU36</x:v>
      </x:c>
      <x:c r="C42" s="9" t="str">
        <x:v>Safe-stop worlds passing</x:v>
      </x:c>
      <x:c r="D42" s="36" t="n">
        <x:f>COUNTIFS('Failure Worlds'!F7:F18,"STOP",'Failure Worlds'!I7:I18,"PASS")</x:f>
        <x:v>1</x:v>
      </x:c>
      <x:c r="E42" s="36" t="n">
        <x:v>1</x:v>
      </x:c>
      <x:c r="F42" s="36" t="n">
        <x:f>D42-E42</x:f>
        <x:v>0</x:v>
      </x:c>
      <x:c r="G42" s="9" t="str">
        <x:f>IF(ABS(F42)&lt;0.000001,"PASS","FAIL")</x:f>
        <x:v>PASS</x:v>
      </x:c>
      <x:c r="H42" s="9" t="str"/>
    </x:row>
    <x:row r="43">
      <x:c r="B43" s="9" t="str">
        <x:v>AU37</x:v>
      </x:c>
      <x:c r="C43" s="9" t="str">
        <x:v>Worst mission-world completion</x:v>
      </x:c>
      <x:c r="D43" s="36" t="n">
        <x:f>MAX('Failure Worlds'!E7:E17)</x:f>
        <x:v>162</x:v>
      </x:c>
      <x:c r="E43" s="36" t="n">
        <x:v>162</x:v>
      </x:c>
      <x:c r="F43" s="36" t="n">
        <x:f>D43-E43</x:f>
        <x:v>0</x:v>
      </x:c>
      <x:c r="G43" s="9" t="str">
        <x:f>IF(ABS(F43)&lt;0.000001,"PASS","FAIL")</x:f>
        <x:v>PASS</x:v>
      </x:c>
      <x:c r="H43" s="9" t="str"/>
    </x:row>
    <x:row r="44">
      <x:c r="B44" s="9" t="str">
        <x:v>AU38</x:v>
      </x:c>
      <x:c r="C44" s="9" t="str">
        <x:v>No-borrow resource lines</x:v>
      </x:c>
      <x:c r="D44" s="36" t="n">
        <x:f>COUNTA('No Borrow'!B7:B16)</x:f>
        <x:v>10</x:v>
      </x:c>
      <x:c r="E44" s="36" t="n">
        <x:v>10</x:v>
      </x:c>
      <x:c r="F44" s="36" t="n">
        <x:f>D44-E44</x:f>
        <x:v>0</x:v>
      </x:c>
      <x:c r="G44" s="9" t="str">
        <x:f>IF(ABS(F44)&lt;0.000001,"PASS","FAIL")</x:f>
        <x:v>PASS</x:v>
      </x:c>
      <x:c r="H44" s="9" t="str"/>
    </x:row>
    <x:row r="45">
      <x:c r="B45" s="9" t="str">
        <x:v>AU39</x:v>
      </x:c>
      <x:c r="C45" s="9" t="str">
        <x:v>No-borrow planning gates</x:v>
      </x:c>
      <x:c r="D45" s="36" t="n">
        <x:f>COUNTIF('No Borrow'!G7:G16,"PASS")</x:f>
        <x:v>10</x:v>
      </x:c>
      <x:c r="E45" s="36" t="n">
        <x:v>10</x:v>
      </x:c>
      <x:c r="F45" s="36" t="n">
        <x:f>D45-E45</x:f>
        <x:v>0</x:v>
      </x:c>
      <x:c r="G45" s="9" t="str">
        <x:f>IF(ABS(F45)&lt;0.000001,"PASS","FAIL")</x:f>
        <x:v>PASS</x:v>
      </x:c>
      <x:c r="H45" s="9" t="str"/>
    </x:row>
    <x:row r="46">
      <x:c r="B46" s="9" t="str">
        <x:v>AU40</x:v>
      </x:c>
      <x:c r="C46" s="9" t="str">
        <x:v>Operating-campus dependency</x:v>
      </x:c>
      <x:c r="D46" s="36" t="n">
        <x:f>SUM('No Borrow'!D7:D16)</x:f>
        <x:v>0</x:v>
      </x:c>
      <x:c r="E46" s="36" t="n">
        <x:v>0</x:v>
      </x:c>
      <x:c r="F46" s="36" t="n">
        <x:f>D46-E46</x:f>
        <x:v>0</x:v>
      </x:c>
      <x:c r="G46" s="9" t="str">
        <x:f>IF(ABS(F46)&lt;0.000001,"PASS","FAIL")</x:f>
        <x:v>PASS</x:v>
      </x:c>
      <x:c r="H46" s="9" t="str"/>
    </x:row>
    <x:row r="47">
      <x:c r="B47" s="9" t="str">
        <x:v>AU41</x:v>
      </x:c>
      <x:c r="C47" s="9" t="str">
        <x:v>Readiness debits</x:v>
      </x:c>
      <x:c r="D47" s="36" t="n">
        <x:f>SUM('No Borrow'!I7:I16)</x:f>
        <x:v>0</x:v>
      </x:c>
      <x:c r="E47" s="36" t="n">
        <x:v>0</x:v>
      </x:c>
      <x:c r="F47" s="36" t="n">
        <x:f>D47-E47</x:f>
        <x:v>0</x:v>
      </x:c>
      <x:c r="G47" s="9" t="str">
        <x:f>IF(ABS(F47)&lt;0.000001,"PASS","FAIL")</x:f>
        <x:v>PASS</x:v>
      </x:c>
      <x:c r="H47" s="9" t="str"/>
    </x:row>
    <x:row r="48">
      <x:c r="B48" s="9" t="str">
        <x:v>AU42</x:v>
      </x:c>
      <x:c r="C48" s="9" t="str">
        <x:v>Public billets</x:v>
      </x:c>
      <x:c r="D48" s="36" t="n">
        <x:f>Workforce!C13</x:f>
        <x:v>300</x:v>
      </x:c>
      <x:c r="E48" s="36" t="n">
        <x:v>300</x:v>
      </x:c>
      <x:c r="F48" s="36" t="n">
        <x:f>D48-E48</x:f>
        <x:v>0</x:v>
      </x:c>
      <x:c r="G48" s="9" t="str">
        <x:f>IF(ABS(F48)&lt;0.000001,"PASS","FAIL")</x:f>
        <x:v>PASS</x:v>
      </x:c>
      <x:c r="H48" s="9" t="str"/>
    </x:row>
    <x:row r="49">
      <x:c r="B49" s="9" t="str">
        <x:v>AU43</x:v>
      </x:c>
      <x:c r="C49" s="9" t="str">
        <x:v>Affiliate pool</x:v>
      </x:c>
      <x:c r="D49" s="36" t="n">
        <x:f>Workforce!C24</x:f>
        <x:v>1400</x:v>
      </x:c>
      <x:c r="E49" s="36" t="n">
        <x:v>1400</x:v>
      </x:c>
      <x:c r="F49" s="36" t="n">
        <x:f>D49-E49</x:f>
        <x:v>0</x:v>
      </x:c>
      <x:c r="G49" s="9" t="str">
        <x:f>IF(ABS(F49)&lt;0.000001,"PASS","FAIL")</x:f>
        <x:v>PASS</x:v>
      </x:c>
      <x:c r="H49" s="9" t="str"/>
    </x:row>
    <x:row r="50">
      <x:c r="B50" s="9" t="str">
        <x:v>AU44</x:v>
      </x:c>
      <x:c r="C50" s="9" t="str">
        <x:v>Public workforce gates</x:v>
      </x:c>
      <x:c r="D50" s="36" t="n">
        <x:f>COUNTIF(Workforce!E7:E13,"PASS")</x:f>
        <x:v>7</x:v>
      </x:c>
      <x:c r="E50" s="36" t="n">
        <x:v>7</x:v>
      </x:c>
      <x:c r="F50" s="36" t="n">
        <x:f>D50-E50</x:f>
        <x:v>0</x:v>
      </x:c>
      <x:c r="G50" s="9" t="str">
        <x:f>IF(ABS(F50)&lt;0.000001,"PASS","FAIL")</x:f>
        <x:v>PASS</x:v>
      </x:c>
      <x:c r="H50" s="9" t="str"/>
    </x:row>
    <x:row r="51">
      <x:c r="B51" s="9" t="str">
        <x:v>AU45</x:v>
      </x:c>
      <x:c r="C51" s="9" t="str">
        <x:v>Affiliate workforce gates</x:v>
      </x:c>
      <x:c r="D51" s="36" t="n">
        <x:f>COUNTIF(Workforce!E19:E24,"PASS")</x:f>
        <x:v>6</x:v>
      </x:c>
      <x:c r="E51" s="36" t="n">
        <x:v>6</x:v>
      </x:c>
      <x:c r="F51" s="36" t="n">
        <x:f>D51-E51</x:f>
        <x:v>0</x:v>
      </x:c>
      <x:c r="G51" s="9" t="str">
        <x:f>IF(ABS(F51)&lt;0.000001,"PASS","FAIL")</x:f>
        <x:v>PASS</x:v>
      </x:c>
      <x:c r="H51" s="9" t="str"/>
    </x:row>
    <x:row r="52">
      <x:c r="B52" s="9" t="str">
        <x:v>AU46</x:v>
      </x:c>
      <x:c r="C52" s="9" t="str">
        <x:v>Commissioning gates</x:v>
      </x:c>
      <x:c r="D52" s="36" t="n">
        <x:f>COUNTA(Commissioning!B7:B18)</x:f>
        <x:v>12</x:v>
      </x:c>
      <x:c r="E52" s="36" t="n">
        <x:v>12</x:v>
      </x:c>
      <x:c r="F52" s="36" t="n">
        <x:f>D52-E52</x:f>
        <x:v>0</x:v>
      </x:c>
      <x:c r="G52" s="9" t="str">
        <x:f>IF(ABS(F52)&lt;0.000001,"PASS","FAIL")</x:f>
        <x:v>PASS</x:v>
      </x:c>
      <x:c r="H52" s="9" t="str"/>
    </x:row>
    <x:row r="53">
      <x:c r="B53" s="9" t="str">
        <x:v>AU47</x:v>
      </x:c>
      <x:c r="C53" s="9" t="str">
        <x:v>Commissioning planning gates</x:v>
      </x:c>
      <x:c r="D53" s="36" t="n">
        <x:f>COUNTIF(Commissioning!I7:I18,"PASS")</x:f>
        <x:v>12</x:v>
      </x:c>
      <x:c r="E53" s="36" t="n">
        <x:v>12</x:v>
      </x:c>
      <x:c r="F53" s="36" t="n">
        <x:f>D53-E53</x:f>
        <x:v>0</x:v>
      </x:c>
      <x:c r="G53" s="9" t="str">
        <x:f>IF(ABS(F53)&lt;0.000001,"PASS","FAIL")</x:f>
        <x:v>PASS</x:v>
      </x:c>
      <x:c r="H53" s="9" t="str"/>
    </x:row>
    <x:row r="54">
      <x:c r="B54" s="9" t="str">
        <x:v>AU48</x:v>
      </x:c>
      <x:c r="C54" s="9" t="str">
        <x:v>Commissioning physical passes</x:v>
      </x:c>
      <x:c r="D54" s="36" t="n">
        <x:f>COUNTIF(Commissioning!J7:J18,"PASS")</x:f>
        <x:v>0</x:v>
      </x:c>
      <x:c r="E54" s="36" t="n">
        <x:v>0</x:v>
      </x:c>
      <x:c r="F54" s="36" t="n">
        <x:f>D54-E54</x:f>
        <x:v>0</x:v>
      </x:c>
      <x:c r="G54" s="9" t="str">
        <x:f>IF(ABS(F54)&lt;0.000001,"PASS","FAIL")</x:f>
        <x:v>PASS</x:v>
      </x:c>
      <x:c r="H54" s="9" t="str"/>
    </x:row>
    <x:row r="55">
      <x:c r="B55" s="9" t="str">
        <x:v>AU49</x:v>
      </x:c>
      <x:c r="C55" s="9" t="str">
        <x:v>Capital lines</x:v>
      </x:c>
      <x:c r="D55" s="36" t="n">
        <x:f>COUNTA(Capital!B7:B16)</x:f>
        <x:v>10</x:v>
      </x:c>
      <x:c r="E55" s="36" t="n">
        <x:v>10</x:v>
      </x:c>
      <x:c r="F55" s="36" t="n">
        <x:f>D55-E55</x:f>
        <x:v>0</x:v>
      </x:c>
      <x:c r="G55" s="9" t="str">
        <x:f>IF(ABS(F55)&lt;0.000001,"PASS","FAIL")</x:f>
        <x:v>PASS</x:v>
      </x:c>
      <x:c r="H55" s="9" t="str"/>
    </x:row>
    <x:row r="56">
      <x:c r="B56" s="9" t="str">
        <x:v>AU50</x:v>
      </x:c>
      <x:c r="C56" s="9" t="str">
        <x:v>Gross standing capital</x:v>
      </x:c>
      <x:c r="D56" s="36" t="n">
        <x:f>Capital!C17</x:f>
        <x:v>10</x:v>
      </x:c>
      <x:c r="E56" s="36" t="n">
        <x:v>10</x:v>
      </x:c>
      <x:c r="F56" s="36" t="n">
        <x:f>D56-E56</x:f>
        <x:v>0</x:v>
      </x:c>
      <x:c r="G56" s="9" t="str">
        <x:f>IF(ABS(F56)&lt;0.000001,"PASS","FAIL")</x:f>
        <x:v>PASS</x:v>
      </x:c>
      <x:c r="H56" s="9" t="str"/>
    </x:row>
    <x:row r="57">
      <x:c r="B57" s="9" t="str">
        <x:v>AU51</x:v>
      </x:c>
      <x:c r="C57" s="9" t="str">
        <x:v>Shipset capital</x:v>
      </x:c>
      <x:c r="D57" s="36" t="n">
        <x:f>Capital!C7</x:f>
        <x:v>5.36</x:v>
      </x:c>
      <x:c r="E57" s="36" t="n">
        <x:v>5.36</x:v>
      </x:c>
      <x:c r="F57" s="36" t="n">
        <x:f>D57-E57</x:f>
        <x:v>0</x:v>
      </x:c>
      <x:c r="G57" s="9" t="str">
        <x:f>IF(ABS(F57)&lt;0.000001,"PASS","FAIL")</x:f>
        <x:v>PASS</x:v>
      </x:c>
      <x:c r="H57" s="9" t="str"/>
    </x:row>
    <x:row r="58">
      <x:c r="B58" s="9" t="str">
        <x:v>AU52</x:v>
      </x:c>
      <x:c r="C58" s="9" t="str">
        <x:v>Capital to campus ratio</x:v>
      </x:c>
      <x:c r="D58" s="36" t="n">
        <x:f>Capital!F22</x:f>
        <x:v>7.462686567164178</x:v>
      </x:c>
      <x:c r="E58" s="36" t="n">
        <x:v>7.462686567</x:v>
      </x:c>
      <x:c r="F58" s="36" t="n">
        <x:f>D58-E58</x:f>
        <x:v>1.6417800452472875e-10</x:v>
      </x:c>
      <x:c r="G58" s="9" t="str">
        <x:f>IF(ABS(F58)&lt;0.000001,"PASS","FAIL")</x:f>
        <x:v>PASS</x:v>
      </x:c>
      <x:c r="H58" s="9" t="str"/>
    </x:row>
    <x:row r="59">
      <x:c r="B59" s="9" t="str">
        <x:v>AU53</x:v>
      </x:c>
      <x:c r="C59" s="9" t="str">
        <x:v>Recognized inherited overlap</x:v>
      </x:c>
      <x:c r="D59" s="36" t="n">
        <x:f>Capital!D23</x:f>
        <x:v>0.1</x:v>
      </x:c>
      <x:c r="E59" s="36" t="n">
        <x:v>0.1</x:v>
      </x:c>
      <x:c r="F59" s="36" t="n">
        <x:f>D59-E59</x:f>
        <x:v>0</x:v>
      </x:c>
      <x:c r="G59" s="9" t="str">
        <x:f>IF(ABS(F59)&lt;0.000001,"PASS","FAIL")</x:f>
        <x:v>PASS</x:v>
      </x:c>
      <x:c r="H59" s="9" t="str"/>
    </x:row>
    <x:row r="60">
      <x:c r="B60" s="9" t="str">
        <x:v>AU54</x:v>
      </x:c>
      <x:c r="C60" s="9" t="str">
        <x:v>Incremental capital authority</x:v>
      </x:c>
      <x:c r="D60" s="36" t="n">
        <x:f>Capital!D24</x:f>
        <x:v>9.9</x:v>
      </x:c>
      <x:c r="E60" s="36" t="n">
        <x:v>9.9</x:v>
      </x:c>
      <x:c r="F60" s="36" t="n">
        <x:f>D60-E60</x:f>
        <x:v>0</x:v>
      </x:c>
      <x:c r="G60" s="9" t="str">
        <x:f>IF(ABS(F60)&lt;0.000001,"PASS","FAIL")</x:f>
        <x:v>PASS</x:v>
      </x:c>
      <x:c r="H60" s="9" t="str"/>
    </x:row>
    <x:row r="61">
      <x:c r="B61" s="9" t="str">
        <x:v>AU55</x:v>
      </x:c>
      <x:c r="C61" s="9" t="str">
        <x:v>Annual support lines</x:v>
      </x:c>
      <x:c r="D61" s="36" t="n">
        <x:f>COUNTA('Annual Support'!B7:B16)</x:f>
        <x:v>10</x:v>
      </x:c>
      <x:c r="E61" s="36" t="n">
        <x:v>10</x:v>
      </x:c>
      <x:c r="F61" s="36" t="n">
        <x:f>D61-E61</x:f>
        <x:v>0</x:v>
      </x:c>
      <x:c r="G61" s="9" t="str">
        <x:f>IF(ABS(F61)&lt;0.000001,"PASS","FAIL")</x:f>
        <x:v>PASS</x:v>
      </x:c>
      <x:c r="H61" s="9" t="str"/>
    </x:row>
    <x:row r="62">
      <x:c r="B62" s="9" t="str">
        <x:v>AU56</x:v>
      </x:c>
      <x:c r="C62" s="9" t="str">
        <x:v>Annual support</x:v>
      </x:c>
      <x:c r="D62" s="36" t="n">
        <x:f>'Annual Support'!C17</x:f>
        <x:v>0.62</x:v>
      </x:c>
      <x:c r="E62" s="36" t="n">
        <x:v>0.62</x:v>
      </x:c>
      <x:c r="F62" s="36" t="n">
        <x:f>D62-E62</x:f>
        <x:v>0</x:v>
      </x:c>
      <x:c r="G62" s="9" t="str">
        <x:f>IF(ABS(F62)&lt;0.000001,"PASS","FAIL")</x:f>
        <x:v>PASS</x:v>
      </x:c>
      <x:c r="H62" s="9" t="str"/>
    </x:row>
    <x:row r="63">
      <x:c r="B63" s="9" t="str">
        <x:v>AU57</x:v>
      </x:c>
      <x:c r="C63" s="9" t="str">
        <x:v>Twenty-five-year support</x:v>
      </x:c>
      <x:c r="D63" s="36" t="n">
        <x:f>Capital!D27</x:f>
        <x:v>15.5</x:v>
      </x:c>
      <x:c r="E63" s="36" t="n">
        <x:v>15.5</x:v>
      </x:c>
      <x:c r="F63" s="36" t="n">
        <x:f>D63-E63</x:f>
        <x:v>0</x:v>
      </x:c>
      <x:c r="G63" s="9" t="str">
        <x:f>IF(ABS(F63)&lt;0.000001,"PASS","FAIL")</x:f>
        <x:v>PASS</x:v>
      </x:c>
      <x:c r="H63" s="9" t="str"/>
    </x:row>
    <x:row r="64">
      <x:c r="B64" s="9" t="str">
        <x:v>AU58</x:v>
      </x:c>
      <x:c r="C64" s="9" t="str">
        <x:v>Twenty-five-year incremental boundary</x:v>
      </x:c>
      <x:c r="D64" s="36" t="n">
        <x:f>Capital!D28</x:f>
        <x:v>25.4</x:v>
      </x:c>
      <x:c r="E64" s="36" t="n">
        <x:v>25.4</x:v>
      </x:c>
      <x:c r="F64" s="36" t="n">
        <x:f>D64-E64</x:f>
        <x:v>0</x:v>
      </x:c>
      <x:c r="G64" s="9" t="str">
        <x:f>IF(ABS(F64)&lt;0.000001,"PASS","FAIL")</x:f>
        <x:v>PASS</x:v>
      </x:c>
      <x:c r="H64" s="9" t="str"/>
    </x:row>
    <x:row r="65">
      <x:c r="B65" s="9" t="str">
        <x:v>AU59</x:v>
      </x:c>
      <x:c r="C65" s="9" t="str">
        <x:v>Twenty-five-year gross boundary</x:v>
      </x:c>
      <x:c r="D65" s="36" t="n">
        <x:f>Capital!D29</x:f>
        <x:v>25.5</x:v>
      </x:c>
      <x:c r="E65" s="36" t="n">
        <x:v>25.5</x:v>
      </x:c>
      <x:c r="F65" s="36" t="n">
        <x:f>D65-E65</x:f>
        <x:v>0</x:v>
      </x:c>
      <x:c r="G65" s="9" t="str">
        <x:f>IF(ABS(F65)&lt;0.000001,"PASS","FAIL")</x:f>
        <x:v>PASS</x:v>
      </x:c>
      <x:c r="H65" s="9" t="str"/>
    </x:row>
    <x:row r="66">
      <x:c r="B66" s="9" t="str">
        <x:v>AU60</x:v>
      </x:c>
      <x:c r="C66" s="9" t="str">
        <x:v>Protected operations reset stock</x:v>
      </x:c>
      <x:c r="D66" s="36" t="n">
        <x:f>'Controls'!$D$26</x:f>
        <x:v>0.15</x:v>
      </x:c>
      <x:c r="E66" s="36" t="n">
        <x:v>0.15</x:v>
      </x:c>
      <x:c r="F66" s="36" t="n">
        <x:f>D66-E66</x:f>
        <x:v>0</x:v>
      </x:c>
      <x:c r="G66" s="9" t="str">
        <x:f>IF(ABS(F66)&lt;0.000001,"PASS","FAIL")</x:f>
        <x:v>PASS</x:v>
      </x:c>
      <x:c r="H66" s="9" t="str"/>
    </x:row>
    <x:row r="67">
      <x:c r="B67" s="9" t="str">
        <x:v>AU61</x:v>
      </x:c>
      <x:c r="C67" s="9" t="str">
        <x:v>Controlled reserve remains protected</x:v>
      </x:c>
      <x:c r="D67" s="36" t="n">
        <x:f>'Controls'!$D$25</x:f>
        <x:v>0.21</x:v>
      </x:c>
      <x:c r="E67" s="36" t="n">
        <x:v>0.21</x:v>
      </x:c>
      <x:c r="F67" s="36" t="n">
        <x:f>D67-E67</x:f>
        <x:v>0</x:v>
      </x:c>
      <x:c r="G67" s="9" t="str">
        <x:f>IF(ABS(F67)&lt;0.000001,"PASS","FAIL")</x:f>
        <x:v>PASS</x:v>
      </x:c>
      <x:c r="H67" s="9" t="str"/>
    </x:row>
    <x:row r="68">
      <x:c r="B68" s="9" t="str">
        <x:v>AU62</x:v>
      </x:c>
      <x:c r="C68" s="9" t="str">
        <x:v>Planning gates passing</x:v>
      </x:c>
      <x:c r="D68" s="36" t="n">
        <x:f>COUNTIF('Release Gates'!G7:G26,"PLANNING PASS")</x:f>
        <x:v>20</x:v>
      </x:c>
      <x:c r="E68" s="36" t="n">
        <x:v>20</x:v>
      </x:c>
      <x:c r="F68" s="36" t="n">
        <x:f>D68-E68</x:f>
        <x:v>0</x:v>
      </x:c>
      <x:c r="G68" s="9" t="str">
        <x:f>IF(ABS(F68)&lt;0.000001,"PASS","FAIL")</x:f>
        <x:v>PASS</x:v>
      </x:c>
      <x:c r="H68" s="9" t="str"/>
    </x:row>
    <x:row r="69">
      <x:c r="B69" s="9" t="str">
        <x:v>AU63</x:v>
      </x:c>
      <x:c r="C69" s="9" t="str">
        <x:v>Physical gates passing</x:v>
      </x:c>
      <x:c r="D69" s="36" t="n">
        <x:f>COUNTIF('Release Gates'!G27:G38,"PASS")</x:f>
        <x:v>0</x:v>
      </x:c>
      <x:c r="E69" s="36" t="n">
        <x:v>0</x:v>
      </x:c>
      <x:c r="F69" s="36" t="n">
        <x:f>D69-E69</x:f>
        <x:v>0</x:v>
      </x:c>
      <x:c r="G69" s="9" t="str">
        <x:f>IF(ABS(F69)&lt;0.000001,"PASS","FAIL")</x:f>
        <x:v>PASS</x:v>
      </x:c>
      <x:c r="H69" s="9" t="str"/>
    </x:row>
    <x:row r="70">
      <x:c r="B70" s="9" t="str">
        <x:v>AU64</x:v>
      </x:c>
      <x:c r="C70" s="9" t="str">
        <x:v>Planning architecture authorized</x:v>
      </x:c>
      <x:c r="D70" s="36" t="n">
        <x:f>IF('Release Gates'!D43="AUTHORIZED",1,0)</x:f>
        <x:v>1</x:v>
      </x:c>
      <x:c r="E70" s="36" t="n">
        <x:v>1</x:v>
      </x:c>
      <x:c r="F70" s="36" t="n">
        <x:f>D70-E70</x:f>
        <x:v>0</x:v>
      </x:c>
      <x:c r="G70" s="9" t="str">
        <x:f>IF(ABS(F70)&lt;0.000001,"PASS","FAIL")</x:f>
        <x:v>PASS</x:v>
      </x:c>
      <x:c r="H70" s="9" t="str"/>
    </x:row>
    <x:row r="71">
      <x:c r="B71" s="9" t="str">
        <x:v>AU65</x:v>
      </x:c>
      <x:c r="C71" s="9" t="str">
        <x:v>Program authority held</x:v>
      </x:c>
      <x:c r="D71" s="36" t="n">
        <x:f>IF('Release Gates'!D44="HOLD",1,0)</x:f>
        <x:v>1</x:v>
      </x:c>
      <x:c r="E71" s="36" t="n">
        <x:v>1</x:v>
      </x:c>
      <x:c r="F71" s="36" t="n">
        <x:f>D71-E71</x:f>
        <x:v>0</x:v>
      </x:c>
      <x:c r="G71" s="9" t="str">
        <x:f>IF(ABS(F71)&lt;0.000001,"PASS","FAIL")</x:f>
        <x:v>PASS</x:v>
      </x:c>
      <x:c r="H71" s="9" t="str"/>
    </x:row>
    <x:row r="72">
      <x:c r="B72" s="9" t="str">
        <x:v>AU66</x:v>
      </x:c>
      <x:c r="C72" s="9" t="str">
        <x:v>Physical formation held</x:v>
      </x:c>
      <x:c r="D72" s="36" t="n">
        <x:f>IF('Release Gates'!D45="HOLD",1,0)</x:f>
        <x:v>1</x:v>
      </x:c>
      <x:c r="E72" s="36" t="n">
        <x:v>1</x:v>
      </x:c>
      <x:c r="F72" s="36" t="n">
        <x:f>D72-E72</x:f>
        <x:v>0</x:v>
      </x:c>
      <x:c r="G72" s="9" t="str">
        <x:f>IF(ABS(F72)&lt;0.000001,"PASS","FAIL")</x:f>
        <x:v>PASS</x:v>
      </x:c>
      <x:c r="H72" s="9" t="str"/>
    </x:row>
    <x:row r="73">
      <x:c r="B73" s="9" t="str">
        <x:v>AU67</x:v>
      </x:c>
      <x:c r="C73" s="9" t="str">
        <x:v>Cold exercise held</x:v>
      </x:c>
      <x:c r="D73" s="36" t="n">
        <x:f>IF('Release Gates'!D46="HOLD",1,0)</x:f>
        <x:v>1</x:v>
      </x:c>
      <x:c r="E73" s="36" t="n">
        <x:v>1</x:v>
      </x:c>
      <x:c r="F73" s="36" t="n">
        <x:f>D73-E73</x:f>
        <x:v>0</x:v>
      </x:c>
      <x:c r="G73" s="9" t="str">
        <x:f>IF(ABS(F73)&lt;0.000001,"PASS","FAIL")</x:f>
        <x:v>PASS</x:v>
      </x:c>
      <x:c r="H73" s="9" t="str"/>
    </x:row>
    <x:row r="74">
      <x:c r="B74" s="9" t="str">
        <x:v>AU68</x:v>
      </x:c>
      <x:c r="C74" s="9" t="str">
        <x:v>Replacement campus held</x:v>
      </x:c>
      <x:c r="D74" s="36" t="n">
        <x:f>IF('Release Gates'!D47="HOLD",1,0)</x:f>
        <x:v>1</x:v>
      </x:c>
      <x:c r="E74" s="36" t="n">
        <x:v>1</x:v>
      </x:c>
      <x:c r="F74" s="36" t="n">
        <x:f>D74-E74</x:f>
        <x:v>0</x:v>
      </x:c>
      <x:c r="G74" s="9" t="str">
        <x:f>IF(ABS(F74)&lt;0.000001,"PASS","FAIL")</x:f>
        <x:v>PASS</x:v>
      </x:c>
      <x:c r="H74" s="9" t="str"/>
    </x:row>
    <x:row r="75">
      <x:c r="B75" s="10" t="str">
        <x:v>AU69</x:v>
      </x:c>
      <x:c r="C75" s="10" t="str">
        <x:v>Production and rendering blocked</x:v>
      </x:c>
      <x:c r="D75" s="37" t="n">
        <x:f>IF('Release Gates'!D48="BLOCKED",1,0)</x:f>
        <x:v>1</x:v>
      </x:c>
      <x:c r="E75" s="37" t="n">
        <x:v>1</x:v>
      </x:c>
      <x:c r="F75" s="37" t="n">
        <x:f>D75-E75</x:f>
        <x:v>0</x:v>
      </x:c>
      <x:c r="G75" s="10" t="str">
        <x:f>IF(ABS(F75)&lt;0.000001,"PASS","FAIL")</x:f>
        <x:v>PASS</x:v>
      </x:c>
      <x:c r="H75" s="10" t="str"/>
    </x:row>
  </x:sheetData>
  <x:mergeCells>
    <x:mergeCell ref="B2:H2"/>
    <x:mergeCell ref="B3:H3"/>
  </x:mergeCells>
  <x:conditionalFormatting sqref="G7:G75">
    <x:cfRule type="containsText" dxfId="228" priority="1" operator="containsText" text="PASS"/>
    <x:cfRule type="containsText" dxfId="229" priority="2" operator="containsText" text="SELECT"/>
    <x:cfRule type="containsText" dxfId="230" priority="3" operator="containsText" text="AUTHORIZED"/>
    <x:cfRule type="containsText" dxfId="231" priority="4" operator="containsText" text="COMPLETE"/>
    <x:cfRule type="containsText" dxfId="232" priority="5" operator="containsText" text="HOLD"/>
    <x:cfRule type="containsText" dxfId="233" priority="6" operator="containsText" text="OPEN"/>
    <x:cfRule type="containsText" dxfId="234" priority="7" operator="containsText" text="SAFE_STOP"/>
    <x:cfRule type="containsText" dxfId="235" priority="8" operator="containsText" text="BLOCKED"/>
    <x:cfRule type="containsText" dxfId="236" priority="9" operator="containsText" text="PLANNING"/>
    <x:cfRule type="containsText" dxfId="237" priority="10" operator="containsText" text="FAIL"/>
    <x:cfRule type="containsText" dxfId="238" priority="11" operator="containsText" text="REJECT"/>
    <x:cfRule type="containsText" dxfId="239" priority="12" operator="containsText" text="BREACH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7F8C8D"/>
  </x:sheetPr>
  <x:sheetViews>
    <x:sheetView showGridLines="0" workbookViewId="0"/>
  </x:sheetViews>
  <x:sheetFormatPr defaultRowHeight="15"/>
  <x:cols>
    <x:col min="2" max="2" width="31" hidden="0" customWidth="1"/>
    <x:col min="3" max="3" width="27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2">
      <x:c r="B2" s="1" t="str">
        <x:v>Workbook method and limitations</x:v>
      </x:c>
      <x:c r="C2" s="38"/>
      <x:c r="D2" s="38"/>
      <x:c r="E2" s="38"/>
      <x:c r="F2" s="38"/>
      <x:c r="G2" s="38"/>
      <x:c r="H2" s="38"/>
      <x:c r="I2" s="38"/>
      <x:c r="J2" s="38"/>
    </x:row>
    <x:row r="3">
      <x:c r="B3" s="2" t="str">
        <x:v>The workbook is an executable planning constitution. It contains no vendor bids, selected sites or physical exercise observations.</x:v>
      </x:c>
      <x:c r="C3" s="38"/>
      <x:c r="D3" s="38"/>
      <x:c r="E3" s="38"/>
      <x:c r="F3" s="38"/>
      <x:c r="G3" s="38"/>
      <x:c r="H3" s="38"/>
      <x:c r="I3" s="38"/>
      <x:c r="J3" s="38"/>
    </x:row>
    <x:row r="4">
      <x:c r="B4" s="39"/>
      <x:c r="C4" s="39"/>
      <x:c r="D4" s="39"/>
      <x:c r="E4" s="39"/>
      <x:c r="F4" s="39"/>
      <x:c r="G4" s="39"/>
      <x:c r="H4" s="39"/>
      <x:c r="I4" s="39"/>
      <x:c r="J4" s="39"/>
    </x:row>
    <x:row r="5">
      <x:c r="B5" s="38"/>
      <x:c r="C5" s="38"/>
      <x:c r="D5" s="38"/>
      <x:c r="E5" s="38"/>
      <x:c r="F5" s="38"/>
      <x:c r="G5" s="38"/>
      <x:c r="H5" s="38"/>
      <x:c r="I5" s="38"/>
      <x:c r="J5" s="38"/>
    </x:row>
    <x:row r="6">
      <x:c r="B6" s="32" t="str">
        <x:v>Method</x:v>
      </x:c>
      <x:c r="C6" s="33" t="str">
        <x:v>Method</x:v>
      </x:c>
      <x:c r="D6" s="33" t="str">
        <x:v>Method</x:v>
      </x:c>
      <x:c r="E6" s="33" t="str">
        <x:v>Method</x:v>
      </x:c>
      <x:c r="F6" s="33" t="str">
        <x:v>Method</x:v>
      </x:c>
      <x:c r="G6" s="33" t="str">
        <x:v>Method</x:v>
      </x:c>
      <x:c r="H6" s="33" t="str">
        <x:v>Method</x:v>
      </x:c>
      <x:c r="I6" s="33" t="str">
        <x:v>Method</x:v>
      </x:c>
      <x:c r="J6" s="34" t="str">
        <x:v>Method</x:v>
      </x:c>
    </x:row>
    <x:row r="7" ht="43" customHeight="1">
      <x:c r="B7" s="15" t="str">
        <x:v>Decision</x:v>
      </x:c>
      <x:c r="C7" s="41" t="str">
        <x:v>What standing institution can recreate one complete F36 campus inside 180 days without borrowing from the surviving campuses?</x:v>
      </x:c>
      <x:c r="D7" s="41"/>
      <x:c r="E7" s="41"/>
      <x:c r="F7" s="41"/>
      <x:c r="G7" s="41"/>
      <x:c r="H7" s="41"/>
      <x:c r="I7" s="41"/>
      <x:c r="J7" s="41"/>
    </x:row>
    <x:row r="8" ht="43" customHeight="1">
      <x:c r="B8" s="15" t="str">
        <x:v>Architecture</x:v>
      </x:c>
      <x:c r="C8" s="41" t="str">
        <x:v>Four alternatives face the same deadline, no-borrow and compound root-plus-arsenal loss gates.</x:v>
      </x:c>
      <x:c r="D8" s="41"/>
      <x:c r="E8" s="41"/>
      <x:c r="F8" s="41"/>
      <x:c r="G8" s="41"/>
      <x:c r="H8" s="41"/>
      <x:c r="I8" s="41"/>
      <x:c r="J8" s="41"/>
    </x:row>
    <x:row r="9" ht="43" customHeight="1">
      <x:c r="B9" s="15" t="str">
        <x:v>Inventory</x:v>
      </x:c>
      <x:c r="C9" s="41" t="str">
        <x:v>Four root-coherent integer shipsets avoid false fractional credit for singleton campus services.</x:v>
      </x:c>
      <x:c r="D9" s="41"/>
      <x:c r="E9" s="41"/>
      <x:c r="F9" s="41"/>
      <x:c r="G9" s="41"/>
      <x:c r="H9" s="41"/>
      <x:c r="I9" s="41"/>
      <x:c r="J9" s="41"/>
    </x:row>
    <x:row r="10" ht="43" customHeight="1">
      <x:c r="B10" s="15" t="str">
        <x:v>Sites</x:v>
      </x:c>
      <x:c r="C10" s="41" t="str">
        <x:v>Six receiver rows define planning standards only. They name no real locations and earn no operating capacity.</x:v>
      </x:c>
      <x:c r="D10" s="41"/>
      <x:c r="E10" s="41"/>
      <x:c r="F10" s="41"/>
      <x:c r="G10" s="41"/>
      <x:c r="H10" s="41"/>
      <x:c r="I10" s="41"/>
      <x:c r="J10" s="41"/>
    </x:row>
    <x:row r="11" ht="43" customHeight="1">
      <x:c r="B11" s="15" t="str">
        <x:v>Schedule</x:v>
      </x:c>
      <x:c r="C11" s="41" t="str">
        <x:v>The W05 compound-loss work package closes at day 162, leaving an eighteen-day management reserve.</x:v>
      </x:c>
      <x:c r="D11" s="41"/>
      <x:c r="E11" s="41"/>
      <x:c r="F11" s="41"/>
      <x:c r="G11" s="41"/>
      <x:c r="H11" s="41"/>
      <x:c r="I11" s="41"/>
      <x:c r="J11" s="41"/>
    </x:row>
    <x:row r="12" ht="43" customHeight="1">
      <x:c r="B12" s="15" t="str">
        <x:v>Finance</x:v>
      </x:c>
      <x:c r="C12" s="41" t="str">
        <x:v>Constant USD billions. Capital, annual support, inherited overlap and twenty-five-year boundaries remain distinct.</x:v>
      </x:c>
      <x:c r="D12" s="41"/>
      <x:c r="E12" s="41"/>
      <x:c r="F12" s="41"/>
      <x:c r="G12" s="41"/>
      <x:c r="H12" s="41"/>
      <x:c r="I12" s="41"/>
      <x:c r="J12" s="41"/>
    </x:row>
    <x:row r="13" ht="43" customHeight="1">
      <x:c r="B13" s="15" t="str">
        <x:v>Evidence</x:v>
      </x:c>
      <x:c r="C13" s="41" t="str">
        <x:v>Planning method columns equal one where the package defines a rule. Every physical evidence column remains zero or OPEN.</x:v>
      </x:c>
      <x:c r="D13" s="41"/>
      <x:c r="E13" s="41"/>
      <x:c r="F13" s="41"/>
      <x:c r="G13" s="41"/>
      <x:c r="H13" s="41"/>
      <x:c r="I13" s="41"/>
      <x:c r="J13" s="41"/>
    </x:row>
    <x:row r="14" ht="43" customHeight="1">
      <x:c r="B14" s="15" t="str">
        <x:v>Sources</x:v>
      </x:c>
      <x:c r="C14" s="41" t="str">
        <x:v>Internal Pass 104-106 program lineage only. No external sites or current standards are used.</x:v>
      </x:c>
      <x:c r="D14" s="41"/>
      <x:c r="E14" s="41"/>
      <x:c r="F14" s="41"/>
      <x:c r="G14" s="41"/>
      <x:c r="H14" s="41"/>
      <x:c r="I14" s="41"/>
      <x:c r="J14" s="41"/>
    </x:row>
    <x:row r="15" ht="43" customHeight="1">
      <x:c r="B15" s="15" t="str">
        <x:v>Authority</x:v>
      </x:c>
      <x:c r="C15" s="41" t="str">
        <x:v>The model selects a planning reference. Capital, people, roots, sites, exercise, campus admission, production and rendering remain held.</x:v>
      </x:c>
      <x:c r="D15" s="41"/>
      <x:c r="E15" s="41"/>
      <x:c r="F15" s="41"/>
      <x:c r="G15" s="41"/>
      <x:c r="H15" s="41"/>
      <x:c r="I15" s="41"/>
      <x:c r="J15" s="41"/>
    </x:row>
    <x:row r="16">
      <x:c r="B16" s="38"/>
      <x:c r="C16" s="38"/>
      <x:c r="D16" s="38"/>
      <x:c r="E16" s="38"/>
      <x:c r="F16" s="38"/>
      <x:c r="G16" s="38"/>
      <x:c r="H16" s="38"/>
      <x:c r="I16" s="38"/>
      <x:c r="J16" s="38"/>
    </x:row>
    <x:row r="17">
      <x:c r="B17" s="38"/>
      <x:c r="C17" s="38"/>
      <x:c r="D17" s="38"/>
      <x:c r="E17" s="38"/>
      <x:c r="F17" s="38"/>
      <x:c r="G17" s="38"/>
      <x:c r="H17" s="38"/>
      <x:c r="I17" s="38"/>
      <x:c r="J17" s="38"/>
    </x:row>
    <x:row r="18">
      <x:c r="B18" s="38"/>
      <x:c r="C18" s="38"/>
      <x:c r="D18" s="38"/>
      <x:c r="E18" s="38"/>
      <x:c r="F18" s="38"/>
      <x:c r="G18" s="38"/>
      <x:c r="H18" s="38"/>
      <x:c r="I18" s="38"/>
      <x:c r="J18" s="38"/>
    </x:row>
    <x:row r="19">
      <x:c r="B19" s="32" t="str">
        <x:v>Decision grammar</x:v>
      </x:c>
      <x:c r="C19" s="33" t="str">
        <x:v>Decision grammar</x:v>
      </x:c>
      <x:c r="D19" s="33" t="str">
        <x:v>Decision grammar</x:v>
      </x:c>
      <x:c r="E19" s="33" t="str">
        <x:v>Decision grammar</x:v>
      </x:c>
      <x:c r="F19" s="33" t="str">
        <x:v>Decision grammar</x:v>
      </x:c>
      <x:c r="G19" s="33" t="str">
        <x:v>Decision grammar</x:v>
      </x:c>
      <x:c r="H19" s="33" t="str">
        <x:v>Decision grammar</x:v>
      </x:c>
      <x:c r="I19" s="33" t="str">
        <x:v>Decision grammar</x:v>
      </x:c>
      <x:c r="J19" s="34" t="str">
        <x:v>Decision grammar</x:v>
      </x:c>
    </x:row>
    <x:row r="20" ht="40" customHeight="1">
      <x:c r="B20" s="15" t="str">
        <x:v>SELECT</x:v>
      </x:c>
      <x:c r="C20" s="41" t="str">
        <x:v>The architecture passes every registered planning hard gate.</x:v>
      </x:c>
      <x:c r="D20" s="41"/>
      <x:c r="E20" s="41"/>
      <x:c r="F20" s="41"/>
      <x:c r="G20" s="41"/>
      <x:c r="H20" s="41"/>
      <x:c r="I20" s="41"/>
      <x:c r="J20" s="41"/>
    </x:row>
    <x:row r="21" ht="40" customHeight="1">
      <x:c r="B21" s="15" t="str">
        <x:v>REJECT</x:v>
      </x:c>
      <x:c r="C21" s="41" t="str">
        <x:v>At least one planning hard gate fails.</x:v>
      </x:c>
      <x:c r="D21" s="41"/>
      <x:c r="E21" s="41"/>
      <x:c r="F21" s="41"/>
      <x:c r="G21" s="41"/>
      <x:c r="H21" s="41"/>
      <x:c r="I21" s="41"/>
      <x:c r="J21" s="41"/>
    </x:row>
    <x:row r="22" ht="40" customHeight="1">
      <x:c r="B22" s="15" t="str">
        <x:v>PLANNING PASS</x:v>
      </x:c>
      <x:c r="C22" s="41" t="str">
        <x:v>The rule, structure and calculation are complete in this package.</x:v>
      </x:c>
      <x:c r="D22" s="41"/>
      <x:c r="E22" s="41"/>
      <x:c r="F22" s="41"/>
      <x:c r="G22" s="41"/>
      <x:c r="H22" s="41"/>
      <x:c r="I22" s="41"/>
      <x:c r="J22" s="41"/>
    </x:row>
    <x:row r="23" ht="40" customHeight="1">
      <x:c r="B23" s="15" t="str">
        <x:v>OPEN / HOLD</x:v>
      </x:c>
      <x:c r="C23" s="41" t="str">
        <x:v>Physical authority or evidence does not yet exist.</x:v>
      </x:c>
      <x:c r="D23" s="41"/>
      <x:c r="E23" s="41"/>
      <x:c r="F23" s="41"/>
      <x:c r="G23" s="41"/>
      <x:c r="H23" s="41"/>
      <x:c r="I23" s="41"/>
      <x:c r="J23" s="41"/>
    </x:row>
    <x:row r="24" ht="40" customHeight="1">
      <x:c r="B24" s="15" t="str">
        <x:v>SAFE_STOP</x:v>
      </x:c>
      <x:c r="C24" s="41" t="str">
        <x:v>A second active-campus loss protects the remaining campus and suspends the reconstruction clock.</x:v>
      </x:c>
      <x:c r="D24" s="41"/>
      <x:c r="E24" s="41"/>
      <x:c r="F24" s="41"/>
      <x:c r="G24" s="41"/>
      <x:c r="H24" s="41"/>
      <x:c r="I24" s="41"/>
      <x:c r="J24" s="41"/>
    </x:row>
    <x:row r="25" ht="40" customHeight="1">
      <x:c r="B25" s="15" t="str">
        <x:v>BLOCKED</x:v>
      </x:c>
      <x:c r="C25" s="41" t="str">
        <x:v>The parent production or rendering predecessor is absent.</x:v>
      </x:c>
      <x:c r="D25" s="41"/>
      <x:c r="E25" s="41"/>
      <x:c r="F25" s="41"/>
      <x:c r="G25" s="41"/>
      <x:c r="H25" s="41"/>
      <x:c r="I25" s="41"/>
      <x:c r="J25" s="41"/>
    </x:row>
  </x:sheetData>
  <x:mergeCells>
    <x:mergeCell ref="B2:J2"/>
    <x:mergeCell ref="B3:J3"/>
    <x:mergeCell ref="B6:J6"/>
    <x:mergeCell ref="C7:J7"/>
    <x:mergeCell ref="C8:J8"/>
    <x:mergeCell ref="C9:J9"/>
    <x:mergeCell ref="C10:J10"/>
    <x:mergeCell ref="C11:J11"/>
    <x:mergeCell ref="C12:J12"/>
    <x:mergeCell ref="C13:J13"/>
    <x:mergeCell ref="C14:J14"/>
    <x:mergeCell ref="C15:J15"/>
    <x:mergeCell ref="B19:J19"/>
    <x:mergeCell ref="C20:J20"/>
    <x:mergeCell ref="C21:J21"/>
    <x:mergeCell ref="C22:J22"/>
    <x:mergeCell ref="C23:J23"/>
    <x:mergeCell ref="C24:J24"/>
    <x:mergeCell ref="C25:J25"/>
  </x:mergeCells>
  <x:conditionalFormatting sqref="B20:B25">
    <x:cfRule type="containsText" dxfId="252" priority="1" operator="containsText" text="PASS"/>
    <x:cfRule type="containsText" dxfId="253" priority="2" operator="containsText" text="SELECT"/>
    <x:cfRule type="containsText" dxfId="254" priority="3" operator="containsText" text="AUTHORIZED"/>
    <x:cfRule type="containsText" dxfId="255" priority="4" operator="containsText" text="COMPLETE"/>
    <x:cfRule type="containsText" dxfId="256" priority="5" operator="containsText" text="HOLD"/>
    <x:cfRule type="containsText" dxfId="257" priority="6" operator="containsText" text="OPEN"/>
    <x:cfRule type="containsText" dxfId="258" priority="7" operator="containsText" text="SAFE_STOP"/>
    <x:cfRule type="containsText" dxfId="259" priority="8" operator="containsText" text="BLOCKED"/>
    <x:cfRule type="containsText" dxfId="260" priority="9" operator="containsText" text="PLANNING"/>
    <x:cfRule type="containsText" dxfId="261" priority="10" operator="containsText" text="FAIL"/>
    <x:cfRule type="containsText" dxfId="262" priority="11" operator="containsText" text="REJECT"/>
    <x:cfRule type="containsText" dxfId="263" priority="12" operator="containsText" text="BREACH"/>
  </x:conditionalFormatting>
  <x:pageMargins left="0.7" right="0.7" top="0.75" bottom="0.75" header="0.3" footer="0.3"/>
</x:worksheet>
</file>