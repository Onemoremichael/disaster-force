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935271b3c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570863f1d18e493a"/>
    <x:sheet xmlns:r="http://schemas.openxmlformats.org/officeDocument/2006/relationships" name="Assumptions" sheetId="2" r:id="Re7590e51ae874eeb"/>
    <x:sheet xmlns:r="http://schemas.openxmlformats.org/officeDocument/2006/relationships" name="Architectures" sheetId="3" r:id="Rc4363bfd0165427e"/>
    <x:sheet xmlns:r="http://schemas.openxmlformats.org/officeDocument/2006/relationships" name="Article Bank" sheetId="4" r:id="R7e7c00bcfc684a80"/>
    <x:sheet xmlns:r="http://schemas.openxmlformats.org/officeDocument/2006/relationships" name="Trial Matrix" sheetId="5" r:id="Rb6a3337ae39948d5"/>
    <x:sheet xmlns:r="http://schemas.openxmlformats.org/officeDocument/2006/relationships" name="Trial Decisions" sheetId="6" r:id="R9f477da337ce4b6a"/>
    <x:sheet xmlns:r="http://schemas.openxmlformats.org/officeDocument/2006/relationships" name="Selection" sheetId="7" r:id="Ra3efca6d50eb43a7"/>
    <x:sheet xmlns:r="http://schemas.openxmlformats.org/officeDocument/2006/relationships" name="Assembly Bank" sheetId="8" r:id="R6cb22c6323d04c3a"/>
    <x:sheet xmlns:r="http://schemas.openxmlformats.org/officeDocument/2006/relationships" name="Cell Map" sheetId="9" r:id="R8c7fb22df7474c6e"/>
    <x:sheet xmlns:r="http://schemas.openxmlformats.org/officeDocument/2006/relationships" name="Event Register" sheetId="10" r:id="Rf698d91c006d4b40"/>
    <x:sheet xmlns:r="http://schemas.openxmlformats.org/officeDocument/2006/relationships" name="Event Gates" sheetId="11" r:id="R13c76171348243b8"/>
    <x:sheet xmlns:r="http://schemas.openxmlformats.org/officeDocument/2006/relationships" name="Evidence Objects" sheetId="12" r:id="Rb789720dfb974320"/>
    <x:sheet xmlns:r="http://schemas.openxmlformats.org/officeDocument/2006/relationships" name="Measurements" sheetId="13" r:id="R2a1d47f1b32240c0"/>
    <x:sheet xmlns:r="http://schemas.openxmlformats.org/officeDocument/2006/relationships" name="Safeing" sheetId="14" r:id="R26505052ad0f4913"/>
    <x:sheet xmlns:r="http://schemas.openxmlformats.org/officeDocument/2006/relationships" name="Return" sheetId="15" r:id="R02b4b77fc8024315"/>
    <x:sheet xmlns:r="http://schemas.openxmlformats.org/officeDocument/2006/relationships" name="Schedule" sheetId="16" r:id="R21431005f46c4346"/>
    <x:sheet xmlns:r="http://schemas.openxmlformats.org/officeDocument/2006/relationships" name="Evidence" sheetId="17" r:id="Rab5202892be14453"/>
    <x:sheet xmlns:r="http://schemas.openxmlformats.org/officeDocument/2006/relationships" name="Workforce" sheetId="18" r:id="Rcc8cbfba07354f24"/>
    <x:sheet xmlns:r="http://schemas.openxmlformats.org/officeDocument/2006/relationships" name="Technology" sheetId="19" r:id="R2ffd68d33fe747a3"/>
    <x:sheet xmlns:r="http://schemas.openxmlformats.org/officeDocument/2006/relationships" name="Finance" sheetId="20" r:id="R85fbf92ab0f94d02"/>
    <x:sheet xmlns:r="http://schemas.openxmlformats.org/officeDocument/2006/relationships" name="Cases" sheetId="21" r:id="Re8aaefa172ec4c5c"/>
    <x:sheet xmlns:r="http://schemas.openxmlformats.org/officeDocument/2006/relationships" name="Audit" sheetId="22" r:id="R1620f37aa93c4dc9"/>
    <x:sheet xmlns:r="http://schemas.openxmlformats.org/officeDocument/2006/relationships" name="Sources" sheetId="23" r:id="Rc0fcc774e984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#,##0.00;[Red](#,##0.00);-"/>
  </x:numFmts>
  <x:fonts count="7">
    <x:font>
      <x:sz val="11"/>
      <x:name val="Carlito"/>
    </x:font>
    <x:font>
      <x:b/>
      <x:sz val="15"/>
      <x:color rgb="FF17324D"/>
      <x:name val="Arial"/>
    </x:font>
    <x:font>
      <x:i/>
      <x:sz val="9"/>
      <x:color rgb="FF5B67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70C0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CAD4D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8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fec4af602489e" /><Relationship Type="http://schemas.openxmlformats.org/officeDocument/2006/relationships/theme" Target="/xl/theme/theme1.xml" Id="R426756cdf4694bb1" /><Relationship Type="http://schemas.openxmlformats.org/officeDocument/2006/relationships/sharedStrings" Target="/xl/sharedStrings.xml" Id="R759217a5290c43ec" /><Relationship Type="http://schemas.openxmlformats.org/officeDocument/2006/relationships/worksheet" Target="/xl/worksheets/sheet1.xml" Id="R570863f1d18e493a" /><Relationship Type="http://schemas.openxmlformats.org/officeDocument/2006/relationships/worksheet" Target="/xl/worksheets/sheet2.xml" Id="Re7590e51ae874eeb" /><Relationship Type="http://schemas.openxmlformats.org/officeDocument/2006/relationships/worksheet" Target="/xl/worksheets/sheet3.xml" Id="Rc4363bfd0165427e" /><Relationship Type="http://schemas.openxmlformats.org/officeDocument/2006/relationships/worksheet" Target="/xl/worksheets/sheet4.xml" Id="R7e7c00bcfc684a80" /><Relationship Type="http://schemas.openxmlformats.org/officeDocument/2006/relationships/worksheet" Target="/xl/worksheets/sheet5.xml" Id="Rb6a3337ae39948d5" /><Relationship Type="http://schemas.openxmlformats.org/officeDocument/2006/relationships/worksheet" Target="/xl/worksheets/sheet6.xml" Id="R9f477da337ce4b6a" /><Relationship Type="http://schemas.openxmlformats.org/officeDocument/2006/relationships/worksheet" Target="/xl/worksheets/sheet7.xml" Id="Ra3efca6d50eb43a7" /><Relationship Type="http://schemas.openxmlformats.org/officeDocument/2006/relationships/worksheet" Target="/xl/worksheets/sheet8.xml" Id="R6cb22c6323d04c3a" /><Relationship Type="http://schemas.openxmlformats.org/officeDocument/2006/relationships/worksheet" Target="/xl/worksheets/sheet9.xml" Id="R8c7fb22df7474c6e" /><Relationship Type="http://schemas.openxmlformats.org/officeDocument/2006/relationships/worksheet" Target="/xl/worksheets/sheet10.xml" Id="Rf698d91c006d4b40" /><Relationship Type="http://schemas.openxmlformats.org/officeDocument/2006/relationships/worksheet" Target="/xl/worksheets/sheet11.xml" Id="R13c76171348243b8" /><Relationship Type="http://schemas.openxmlformats.org/officeDocument/2006/relationships/worksheet" Target="/xl/worksheets/sheet12.xml" Id="Rb789720dfb974320" /><Relationship Type="http://schemas.openxmlformats.org/officeDocument/2006/relationships/worksheet" Target="/xl/worksheets/sheet13.xml" Id="R2a1d47f1b32240c0" /><Relationship Type="http://schemas.openxmlformats.org/officeDocument/2006/relationships/worksheet" Target="/xl/worksheets/sheet14.xml" Id="R26505052ad0f4913" /><Relationship Type="http://schemas.openxmlformats.org/officeDocument/2006/relationships/worksheet" Target="/xl/worksheets/sheet15.xml" Id="R02b4b77fc8024315" /><Relationship Type="http://schemas.openxmlformats.org/officeDocument/2006/relationships/worksheet" Target="/xl/worksheets/sheet16.xml" Id="R21431005f46c4346" /><Relationship Type="http://schemas.openxmlformats.org/officeDocument/2006/relationships/worksheet" Target="/xl/worksheets/sheet17.xml" Id="Rab5202892be14453" /><Relationship Type="http://schemas.openxmlformats.org/officeDocument/2006/relationships/worksheet" Target="/xl/worksheets/sheet18.xml" Id="Rcc8cbfba07354f24" /><Relationship Type="http://schemas.openxmlformats.org/officeDocument/2006/relationships/worksheet" Target="/xl/worksheets/sheet19.xml" Id="R2ffd68d33fe747a3" /><Relationship Type="http://schemas.openxmlformats.org/officeDocument/2006/relationships/worksheet" Target="/xl/worksheets/sheet20.xml" Id="R85fbf92ab0f94d02" /><Relationship Type="http://schemas.openxmlformats.org/officeDocument/2006/relationships/worksheet" Target="/xl/worksheets/sheet21.xml" Id="Re8aaefa172ec4c5c" /><Relationship Type="http://schemas.openxmlformats.org/officeDocument/2006/relationships/worksheet" Target="/xl/worksheets/sheet22.xml" Id="R1620f37aa93c4dc9" /><Relationship Type="http://schemas.openxmlformats.org/officeDocument/2006/relationships/worksheet" Target="/xl/worksheets/sheet23.xml" Id="Rc0fcc774e9844bd2" /></Relationships>
</file>

<file path=xl/tables/table1.xml><?xml version="1.0" encoding="utf-8"?>
<x:table xmlns:x="http://schemas.openxmlformats.org/spreadsheetml/2006/main" id="1" name="RbhAssumptions" displayName="RbhAssumptions" ref="A7:E49" headerRowCount="1" totalsRowCount="0" totalsRowShown="0">
  <x:tableColumns count="5">
    <x:tableColumn id="1" name="Parameter"/>
    <x:tableColumn id="2" name="Value"/>
    <x:tableColumn id="3" name="Unit"/>
    <x:tableColumn id="4" name="Role"/>
    <x:tableColumn id="5" name="Interna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Table" displayName="ArchitectureTable" ref="A5:H8" headerRowCount="1" totalsRowCount="0" totalsRowShown="0">
  <x:tableColumns count="8">
    <x:tableColumn id="1" name="Candidate"/>
    <x:tableColumn id="2" name="Concept"/>
    <x:tableColumn id="3" name="Interaction geometry"/>
    <x:tableColumn id="4" name="Primary advantage"/>
    <x:tableColumn id="5" name="Primary uncertainty"/>
    <x:tableColumn id="6" name="Hard-screen state"/>
    <x:tableColumn id="7" name="Minimax rank"/>
    <x:tableColumn id="8" name="Deci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ticleBankTable" displayName="ArticleBankTable" ref="A5:H23" headerRowCount="1" totalsRowCount="0" totalsRowShown="0">
  <x:tableColumns count="8">
    <x:tableColumn id="1" name="Article"/>
    <x:tableColumn id="2" name="Candidate"/>
    <x:tableColumn id="3" name="Lineage"/>
    <x:tableColumn id="4" name="Campus"/>
    <x:tableColumn id="5" name="Interface acceptance"/>
    <x:tableColumn id="6" name="Calibration acceptance"/>
    <x:tableColumn id="7" name="Physical state"/>
    <x:tableColumn id="8" name="Article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ialMatrixTable" displayName="TrialMatrixTable" ref="A7:U115" headerRowCount="1" totalsRowCount="0" totalsRowShown="0">
  <x:tableColumns count="21">
    <x:tableColumn id="1" name="Trial"/>
    <x:tableColumn id="2" name="Article"/>
    <x:tableColumn id="3" name="Candidate"/>
    <x:tableColumn id="4" name="Lineage"/>
    <x:tableColumn id="5" name="Campus"/>
    <x:tableColumn id="6" name="Family"/>
    <x:tableColumn id="7" name="Energy ratio"/>
    <x:tableColumn id="8" name="Onset error ms"/>
    <x:tableColumn id="9" name="Duration error ms"/>
    <x:tableColumn id="10" name="Location error mm"/>
    <x:tableColumn id="11" name="Repeat error mm"/>
    <x:tableColumn id="12" name="Abort cessation ms"/>
    <x:tableColumn id="13" name="Temp 60 s C"/>
    <x:tableColumn id="14" name="Temp 10 min C"/>
    <x:tableColumn id="15" name="Pre-command clear"/>
    <x:tableColumn id="16" name="No uncommanded discharge"/>
    <x:tableColumn id="17" name="Gates closed"/>
    <x:tableColumn id="18" name="Records bound"/>
    <x:tableColumn id="19" name="Safeing paths accepted"/>
    <x:tableColumn id="20" name="Outside replays accepted"/>
    <x:tableColumn id="21" name="Dispos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ialDecisionTable" displayName="TrialDecisionTable" ref="A5:I8" headerRowCount="1" totalsRowCount="0" totalsRowShown="0">
  <x:tableColumns count="9">
    <x:tableColumn id="1" name="Candidate"/>
    <x:tableColumn id="2" name="Required trials"/>
    <x:tableColumn id="3" name="Pass"/>
    <x:tableColumn id="4" name="Adverse"/>
    <x:tableColumn id="5" name="Open"/>
    <x:tableColumn id="6" name="Article acceptance"/>
    <x:tableColumn id="7" name="Independent review"/>
    <x:tableColumn id="8" name="Hard-screen decision"/>
    <x:tableColumn id="9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emblyBankTable" displayName="AssemblyBankTable" ref="A5:I23" headerRowCount="1" totalsRowCount="0" totalsRowShown="0">
  <x:tableColumns count="9">
    <x:tableColumn id="1" name="Assembly"/>
    <x:tableColumn id="2" name="Lineage"/>
    <x:tableColumn id="3" name="Role"/>
    <x:tableColumn id="4" name="Assigned cell"/>
    <x:tableColumn id="5" name="Geometry"/>
    <x:tableColumn id="6" name="Energy path"/>
    <x:tableColumn id="7" name="Isolation"/>
    <x:tableColumn id="8" name="Evidence identity"/>
    <x:tableColumn id="9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ellMapTable" displayName="CellMapTable" ref="A5:I17" headerRowCount="1" totalsRowCount="0" totalsRowShown="0">
  <x:tableColumns count="9">
    <x:tableColumn id="1" name="Cell"/>
    <x:tableColumn id="2" name="Rig"/>
    <x:tableColumn id="3" name="Campus"/>
    <x:tableColumn id="4" name="Truth root"/>
    <x:tableColumn id="5" name="Builder lineage"/>
    <x:tableColumn id="6" name="Assembly"/>
    <x:tableColumn id="7" name="Primary event"/>
    <x:tableColumn id="8" name="Credit count"/>
    <x:tableColumn id="9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entRegisterTable" displayName="EventRegisterTable" ref="A7:R23" headerRowCount="1" totalsRowCount="0" totalsRowShown="0">
  <x:tableColumns count="18">
    <x:tableColumn id="1" name="Event"/>
    <x:tableColumn id="2" name="Role"/>
    <x:tableColumn id="3" name="Truth-root family"/>
    <x:tableColumn id="4" name="Exact cell"/>
    <x:tableColumn id="5" name="Assembly"/>
    <x:tableColumn id="6" name="Source kg"/>
    <x:tableColumn id="7" name="Water m³"/>
    <x:tableColumn id="8" name="Energy ratio"/>
    <x:tableColumn id="9" name="Onset error ms"/>
    <x:tableColumn id="10" name="Duration error ms"/>
    <x:tableColumn id="11" name="Location error mm"/>
    <x:tableColumn id="12" name="Pre-command clear"/>
    <x:tableColumn id="13" name="Uncommanded discharge"/>
    <x:tableColumn id="14" name="Opportunity complete"/>
    <x:tableColumn id="15" name="Gates state"/>
    <x:tableColumn id="16" name="Evidence state"/>
    <x:tableColumn id="17" name="Return state"/>
    <x:tableColumn id="18" name="Disposi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ventGateTable" displayName="EventGateTable" ref="A5:D21" headerRowCount="1" totalsRowCount="0" totalsRowShown="0">
  <x:tableColumns count="4">
    <x:tableColumn id="1" name="Event"/>
    <x:tableColumn id="2" name="Required gates"/>
    <x:tableColumn id="3" name="Closed gates"/>
    <x:tableColumn id="4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ObjectTable" displayName="EvidenceObjectTable" ref="A5:J21" headerRowCount="1" totalsRowCount="0" totalsRowShown="0">
  <x:tableColumns count="10">
    <x:tableColumn id="1" name="Event"/>
    <x:tableColumn id="2" name="Required records"/>
    <x:tableColumn id="3" name="Bound records"/>
    <x:tableColumn id="4" name="Channels required"/>
    <x:tableColumn id="5" name="Channels accepted"/>
    <x:tableColumn id="6" name="Safeing paths required"/>
    <x:tableColumn id="7" name="Safeing paths accepted"/>
    <x:tableColumn id="8" name="Replay decisions required"/>
    <x:tableColumn id="9" name="Replay decisions accepted"/>
    <x:tableColumn id="10" name="St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asurementTable" displayName="MeasurementTable" ref="A5:F165" headerRowCount="1" totalsRowCount="0" totalsRowShown="0">
  <x:tableColumns count="6">
    <x:tableColumn id="1" name="Channel"/>
    <x:tableColumn id="2" name="Domain"/>
    <x:tableColumn id="3" name="Root"/>
    <x:tableColumn id="4" name="Rate class"/>
    <x:tableColumn id="5" name="Calibration"/>
    <x:tableColumn id="6" name="St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afeingTable" displayName="SafeingTable" ref="A5:F17" headerRowCount="1" totalsRowCount="0" totalsRowShown="0">
  <x:tableColumns count="6">
    <x:tableColumn id="1" name="Path"/>
    <x:tableColumn id="2" name="Function"/>
    <x:tableColumn id="3" name="Independent energy"/>
    <x:tableColumn id="4" name="Final-state witness"/>
    <x:tableColumn id="5" name="Drill acceptance"/>
    <x:tableColumn id="6" name="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turnTable" displayName="ReturnTable" ref="A5:L21" headerRowCount="1" totalsRowCount="0" totalsRowShown="0">
  <x:tableColumns count="12">
    <x:tableColumn id="1" name="Event"/>
    <x:tableColumn id="2" name="Assembly"/>
    <x:tableColumn id="3" name="Elapsed h"/>
    <x:tableColumn id="4" name="One-hour temperature"/>
    <x:tableColumn id="5" name="24 h electrical"/>
    <x:tableColumn id="6" name="24 h geometry"/>
    <x:tableColumn id="7" name="Three-day drift"/>
    <x:tableColumn id="8" name="Evidence replay"/>
    <x:tableColumn id="9" name="Safeing replay"/>
    <x:tableColumn id="10" name="Day-seven baseline"/>
    <x:tableColumn id="11" name="Authority"/>
    <x:tableColumn id="12" name="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cheduleTable" displayName="ScheduleTable" ref="A5:C11" headerRowCount="1" totalsRowCount="0" totalsRowShown="0">
  <x:tableColumns count="3">
    <x:tableColumn id="1" name="Segment"/>
    <x:tableColumn id="2" name="Primary weeks"/>
    <x:tableColumn id="3" name="Maximum week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orkforceTable" displayName="WorkforceTable" ref="A5:C12" headerRowCount="1" totalsRowCount="0" totalsRowShown="0">
  <x:tableColumns count="3">
    <x:tableColumn id="1" name="Function"/>
    <x:tableColumn id="2" name="Positions"/>
    <x:tableColumn id="3" name="Owned capacit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echnologyTable" displayName="TechnologyTable" ref="A5:C13" headerRowCount="1" totalsRowCount="0" totalsRowShown="0">
  <x:tableColumns count="3">
    <x:tableColumn id="1" name="Program"/>
    <x:tableColumn id="2" name="USD M"/>
    <x:tableColumn id="3" name="Required advan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BoundaryCaseTable" displayName="BoundaryCaseTable" ref="A5:H125" headerRowCount="1" totalsRowCount="0" totalsRowShown="0">
  <x:tableColumns count="8">
    <x:tableColumn id="1" name="Case"/>
    <x:tableColumn id="2" name="Category"/>
    <x:tableColumn id="3" name="Input"/>
    <x:tableColumn id="4" name="Lower"/>
    <x:tableColumn id="5" name="Upper"/>
    <x:tableColumn id="6" name="Expected"/>
    <x:tableColumn id="7" name="Calculated"/>
    <x:tableColumn id="8" name="Audi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uditTable" displayName="AuditTable" ref="A5:F245" headerRowCount="1" totalsRowCount="0" totalsRowShown="0">
  <x:tableColumns count="6">
    <x:tableColumn id="1" name="Audit"/>
    <x:tableColumn id="2" name="Family"/>
    <x:tableColumn id="3" name="Assertion"/>
    <x:tableColumn id="4" name="Expected"/>
    <x:tableColumn id="5" name="Observed"/>
    <x:tableColumn id="6" name="St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Table" displayName="SourceTable" ref="A5:E13" headerRowCount="1" totalsRowCount="0" totalsRowShown="0">
  <x:tableColumns count="5">
    <x:tableColumn id="1" name="ID"/>
    <x:tableColumn id="2" name="Document"/>
    <x:tableColumn id="3" name="Role"/>
    <x:tableColumn id="4" name="Access"/>
    <x:tableColumn id="5" name="External 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0f2e445c334c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5968b2b7ab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c4fe222eda49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70db9f0535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ca2e25b65540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c66bb69400d41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37cd5089ec74c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3423ed70a3c45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bd166042f749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74ee3eb330742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1919996b8e44f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4ef50de9184749f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2c919e65dc7e475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303fd1d32d3446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7d4d19928d6647b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5e5231f36b144a7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85d46ba593ee48f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178b13ba6b5d4ad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d2fff08039af489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6" hidden="0" customWidth="1"/>
    <x:col min="2" max="2" width="27" hidden="0" customWidth="1"/>
    <x:col min="3" max="3" width="4" hidden="0" customWidth="1"/>
    <x:col min="4" max="4" width="37" hidden="0" customWidth="1"/>
    <x:col min="5" max="5" width="31" hidden="0" customWidth="1"/>
  </x:cols>
  <x:sheetData>
    <x:row r="2" ht="26" customHeight="1">
      <x:c r="A2" s="18" t="str">
        <x:v>RBH-1 dry igniter-reference constitution</x:v>
      </x:c>
      <x:c r="B2" s="18" t="str">
        <x:v>RBH-1 dry igniter-reference constitution</x:v>
      </x:c>
      <x:c r="C2" s="18" t="str">
        <x:v>RBH-1 dry igniter-reference constitution</x:v>
      </x:c>
      <x:c r="D2" s="18" t="str">
        <x:v>RBH-1 dry igniter-reference constitution</x:v>
      </x:c>
      <x:c r="E2" s="18" t="str">
        <x:v>RBH-1 dry igniter-reference constitution</x:v>
      </x:c>
      <x:c r="F2" s="18" t="str">
        <x:v>RBH-1 dry igniter-reference constitution</x:v>
      </x:c>
      <x:c r="G2" s="18" t="str">
        <x:v>RBH-1 dry igniter-reference constitution</x:v>
      </x:c>
      <x:c r="H2" s="18" t="str">
        <x:v>RBH-1 dry igniter-reference constitution</x:v>
      </x:c>
      <x:c r="I2" s="18" t="str">
        <x:v>RBH-1 dry igniter-reference constitution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  <x:row r="5">
      <x:c r="A5" s="9" t="str">
        <x:v>Program metric</x:v>
      </x:c>
      <x:c r="B5" s="9" t="str">
        <x:v>Value</x:v>
      </x:c>
      <x:c r="C5" s="20"/>
      <x:c r="D5" s="9" t="str">
        <x:v>Allocation and authority</x:v>
      </x:c>
      <x:c r="E5" s="9" t="str">
        <x:v>Value</x:v>
      </x:c>
      <x:c r="F5" s="20"/>
      <x:c r="G5" s="20"/>
      <x:c r="H5" s="20"/>
      <x:c r="I5" s="20"/>
    </x:row>
    <x:row r="6">
      <x:c r="A6" s="11" t="str">
        <x:v>Candidate architectures</x:v>
      </x:c>
      <x:c r="B6" s="11" t="n">
        <x:v>3</x:v>
      </x:c>
      <x:c r="C6" s="11"/>
      <x:c r="D6" s="11" t="str">
        <x:v>Assigned positions</x:v>
      </x:c>
      <x:c r="E6" s="11" t="n">
        <x:f>Workforce!B14</x:f>
        <x:v>260</x:v>
      </x:c>
      <x:c r="F6" s="20"/>
      <x:c r="G6" s="20"/>
      <x:c r="H6" s="20"/>
      <x:c r="I6" s="20"/>
    </x:row>
    <x:row r="7">
      <x:c r="A7" s="11" t="str">
        <x:v>Candidate articles</x:v>
      </x:c>
      <x:c r="B7" s="11" t="n">
        <x:v>18</x:v>
      </x:c>
      <x:c r="C7" s="11"/>
      <x:c r="D7" s="11" t="str">
        <x:v>Capital allocation USD M</x:v>
      </x:c>
      <x:c r="E7" s="11" t="n">
        <x:f>Finance!B7</x:f>
        <x:v>180</x:v>
      </x:c>
      <x:c r="F7" s="20"/>
      <x:c r="G7" s="20"/>
      <x:c r="H7" s="20"/>
      <x:c r="I7" s="20"/>
    </x:row>
    <x:row r="8">
      <x:c r="A8" s="11" t="str">
        <x:v>Architecture trials</x:v>
      </x:c>
      <x:c r="B8" s="11" t="n">
        <x:v>108</x:v>
      </x:c>
      <x:c r="C8" s="11"/>
      <x:c r="D8" s="11" t="str">
        <x:v>Annual support USD M</x:v>
      </x:c>
      <x:c r="E8" s="11" t="n">
        <x:v>42</x:v>
      </x:c>
      <x:c r="F8" s="20"/>
      <x:c r="G8" s="20"/>
      <x:c r="H8" s="20"/>
      <x:c r="I8" s="20"/>
    </x:row>
    <x:row r="9">
      <x:c r="A9" s="11" t="str">
        <x:v>Selected assembly bank</x:v>
      </x:c>
      <x:c r="B9" s="11" t="n">
        <x:v>18</x:v>
      </x:c>
      <x:c r="C9" s="11"/>
      <x:c r="D9" s="11" t="str">
        <x:v>Technology allocation USD M</x:v>
      </x:c>
      <x:c r="E9" s="11" t="n">
        <x:f>Technology!B15</x:f>
        <x:v>95</x:v>
      </x:c>
      <x:c r="F9" s="20"/>
      <x:c r="G9" s="20"/>
      <x:c r="H9" s="20"/>
      <x:c r="I9" s="20"/>
    </x:row>
    <x:row r="10">
      <x:c r="A10" s="11" t="str">
        <x:v>Exact cells</x:v>
      </x:c>
      <x:c r="B10" s="11" t="n">
        <x:v>12</x:v>
      </x:c>
      <x:c r="C10" s="11"/>
      <x:c r="D10" s="11" t="str">
        <x:v>Stage exposure USD M</x:v>
      </x:c>
      <x:c r="E10" s="11" t="n">
        <x:f>Finance!B17</x:f>
        <x:v>232.5</x:v>
      </x:c>
      <x:c r="F10" s="20"/>
      <x:c r="G10" s="20"/>
      <x:c r="H10" s="20"/>
      <x:c r="I10" s="20"/>
    </x:row>
    <x:row r="11">
      <x:c r="A11" s="11" t="str">
        <x:v>Required class events</x:v>
      </x:c>
      <x:c r="B11" s="11" t="n">
        <x:v>12</x:v>
      </x:c>
      <x:c r="C11" s="11"/>
      <x:c r="D11" s="11" t="str">
        <x:v>Capital remaining USD M</x:v>
      </x:c>
      <x:c r="E11" s="11" t="n">
        <x:f>Finance!B8</x:f>
        <x:v>920</x:v>
      </x:c>
      <x:c r="F11" s="20"/>
      <x:c r="G11" s="20"/>
      <x:c r="H11" s="20"/>
      <x:c r="I11" s="20"/>
    </x:row>
    <x:row r="12">
      <x:c r="A12" s="11" t="str">
        <x:v>Maximum class events</x:v>
      </x:c>
      <x:c r="B12" s="11" t="n">
        <x:v>16</x:v>
      </x:c>
      <x:c r="C12" s="11"/>
      <x:c r="D12" s="11" t="str">
        <x:v>Annual increment remaining USD M</x:v>
      </x:c>
      <x:c r="E12" s="11" t="n">
        <x:f>Finance!B11</x:f>
        <x:v>25</x:v>
      </x:c>
      <x:c r="F12" s="20"/>
      <x:c r="G12" s="20"/>
      <x:c r="H12" s="20"/>
      <x:c r="I12" s="20"/>
    </x:row>
    <x:row r="13">
      <x:c r="A13" s="11" t="str">
        <x:v>Measurement channels</x:v>
      </x:c>
      <x:c r="B13" s="11" t="n">
        <x:v>160</x:v>
      </x:c>
      <x:c r="C13" s="11"/>
      <x:c r="D13" s="11" t="str">
        <x:v>Technology remaining USD M</x:v>
      </x:c>
      <x:c r="E13" s="11" t="n">
        <x:f>Finance!B14</x:f>
        <x:v>140</x:v>
      </x:c>
      <x:c r="F13" s="20"/>
      <x:c r="G13" s="20"/>
      <x:c r="H13" s="20"/>
      <x:c r="I13" s="20"/>
    </x:row>
    <x:row r="14">
      <x:c r="A14" s="11" t="str">
        <x:v>Evidence provision GB</x:v>
      </x:c>
      <x:c r="B14" s="11" t="n">
        <x:v>30000</x:v>
      </x:c>
      <x:c r="C14" s="11"/>
      <x:c r="D14" s="11" t="str">
        <x:v>Next object</x:v>
      </x:c>
      <x:c r="E14" s="11" t="str">
        <x:v>RBI-1 ER-02 water-only constitution</x:v>
      </x:c>
      <x:c r="F14" s="20"/>
      <x:c r="G14" s="20"/>
      <x:c r="H14" s="20"/>
      <x:c r="I14" s="20"/>
    </x:row>
    <x:row r="15">
      <x:c r="A15" s="11" t="str">
        <x:v>Primary calendar weeks</x:v>
      </x:c>
      <x:c r="B15" s="11" t="n">
        <x:f>Schedule!B11</x:f>
        <x:v>37</x:v>
      </x:c>
      <x:c r="C15" s="11"/>
      <x:c r="D15" s="11" t="str">
        <x:v>Igniter discharge</x:v>
      </x:c>
      <x:c r="E15" s="11" t="str">
        <x:v>BLOCKED</x:v>
      </x:c>
      <x:c r="F15" s="20"/>
      <x:c r="G15" s="20"/>
      <x:c r="H15" s="20"/>
      <x:c r="I15" s="20"/>
    </x:row>
    <x:row r="16">
      <x:c r="A16" s="11" t="str">
        <x:v>Maximum calendar weeks</x:v>
      </x:c>
      <x:c r="B16" s="11" t="n">
        <x:f>Schedule!C11</x:f>
        <x:v>39</x:v>
      </x:c>
      <x:c r="C16" s="11"/>
      <x:c r="D16" s="11" t="str">
        <x:v>Water issue</x:v>
      </x:c>
      <x:c r="E16" s="11" t="str">
        <x:v>BLOCKED</x:v>
      </x:c>
      <x:c r="F16" s="20"/>
      <x:c r="G16" s="20"/>
      <x:c r="H16" s="20"/>
      <x:c r="I16" s="20"/>
    </x:row>
    <x:row r="17">
      <x:c r="A17" s="11" t="str">
        <x:v>Class authority</x:v>
      </x:c>
      <x:c r="B17" s="11" t="str">
        <x:f>IF(OR(COUNTIFS('Cell Map'!I6:I17,"DENY")&gt;0,COUNTIFS('Event Register'!R8:R23,"VALID-ADVERSE")&gt;0),"NO-CLASS",IF(COUNTIFS('Cell Map'!I6:I17,"CREDIT")=12,"ER-01-QUALIFIED","OPEN"))</x:f>
        <x:v>OPEN</x:v>
      </x:c>
      <x:c r="C17" s="11"/>
      <x:c r="D17" s="11" t="str">
        <x:v>Energetic source</x:v>
      </x:c>
      <x:c r="E17" s="11" t="str">
        <x:v>BLOCKED</x:v>
      </x:c>
      <x:c r="F17" s="20"/>
      <x:c r="G17" s="20"/>
      <x:c r="H17" s="20"/>
      <x:c r="I17" s="20"/>
    </x:row>
    <x:row r="18">
      <x:c r="A18" s="11"/>
      <x:c r="B18" s="11"/>
      <x:c r="C18" s="11"/>
      <x:c r="D18" s="11" t="str">
        <x:v>Flame</x:v>
      </x:c>
      <x:c r="E18" s="11" t="str">
        <x:v>BLOCKED</x:v>
      </x:c>
      <x:c r="F18" s="20"/>
      <x:c r="G18" s="20"/>
      <x:c r="H18" s="20"/>
      <x:c r="I18" s="20"/>
    </x:row>
    <x:row r="19">
      <x:c r="A19" s="11"/>
      <x:c r="B19" s="11"/>
      <x:c r="C19" s="11"/>
      <x:c r="D19" s="11" t="str">
        <x:v>Exterior rendering</x:v>
      </x:c>
      <x:c r="E19" s="11" t="str">
        <x:v>BLOCKED</x:v>
      </x:c>
      <x:c r="F19" s="20"/>
      <x:c r="G19" s="20"/>
      <x:c r="H19" s="20"/>
      <x:c r="I19" s="20"/>
    </x:row>
  </x:sheetData>
  <x:mergeCells>
    <x:mergeCell ref="A2:I2"/>
  </x:mergeCells>
  <x:conditionalFormatting sqref="B17:E19">
    <x:cfRule type="containsText" dxfId="64" priority="1" operator="containsText" text="DENY"/>
    <x:cfRule type="containsText" dxfId="65" priority="2" operator="containsText" text="ADVERSE"/>
    <x:cfRule type="containsText" dxfId="66" priority="3" operator="containsText" text="FAIL"/>
    <x:cfRule type="containsText" dxfId="67" priority="4" operator="containsText" text="OP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5A8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29" hidden="0" customWidth="1"/>
    <x:col min="5" max="5" width="18" hidden="0" customWidth="1"/>
  </x:cols>
  <x:sheetData>
    <x:row r="2" ht="26" customHeight="1">
      <x:c r="A2" s="18" t="str">
        <x:v>RBH-1 registered planning assumptions</x:v>
      </x:c>
      <x:c r="B2" s="18" t="str">
        <x:v>RBH-1 registered planning assumptions</x:v>
      </x:c>
      <x:c r="C2" s="18" t="str">
        <x:v>RBH-1 registered planning assumptions</x:v>
      </x:c>
      <x:c r="D2" s="18" t="str">
        <x:v>RBH-1 registered planning assumptions</x:v>
      </x:c>
      <x:c r="E2" s="18" t="str">
        <x:v>RBH-1 registered planning assumptions</x:v>
      </x:c>
      <x:c r="F2" s="18" t="str">
        <x:v>RBH-1 registered planning assumptions</x:v>
      </x:c>
    </x:row>
    <x:row r="3">
      <x:c r="A3" s="19"/>
      <x:c r="B3" s="19"/>
      <x:c r="C3" s="19"/>
      <x:c r="D3" s="19"/>
      <x:c r="E3" s="19"/>
      <x:c r="F3" s="19"/>
    </x:row>
    <x:row r="4">
      <x:c r="A4" s="20"/>
      <x:c r="B4" s="20"/>
      <x:c r="C4" s="20"/>
      <x:c r="D4" s="20"/>
      <x:c r="E4" s="20"/>
      <x:c r="F4" s="20"/>
    </x:row>
    <x:row r="5">
      <x:c r="A5" s="21" t="str">
        <x:v>Blue values are planning inputs from the internal research chain. Physical observations remain in their owning registers.</x:v>
      </x:c>
      <x:c r="B5" s="20"/>
      <x:c r="C5" s="20"/>
      <x:c r="D5" s="20"/>
      <x:c r="E5" s="20"/>
      <x:c r="F5" s="20"/>
    </x:row>
    <x:row r="6">
      <x:c r="A6" s="20"/>
      <x:c r="B6" s="20"/>
      <x:c r="C6" s="20"/>
      <x:c r="D6" s="20"/>
      <x:c r="E6" s="20"/>
      <x:c r="F6" s="20"/>
    </x:row>
    <x:row r="7">
      <x:c r="A7" s="9" t="str">
        <x:v>Parameter</x:v>
      </x:c>
      <x:c r="B7" s="9" t="str">
        <x:v>Value</x:v>
      </x:c>
      <x:c r="C7" s="9" t="str">
        <x:v>Unit</x:v>
      </x:c>
      <x:c r="D7" s="9" t="str">
        <x:v>Role</x:v>
      </x:c>
      <x:c r="E7" s="9" t="str">
        <x:v>Internal source</x:v>
      </x:c>
      <x:c r="F7" s="20"/>
    </x:row>
    <x:row r="8">
      <x:c r="A8" s="11" t="str">
        <x:v>Candidate architectures</x:v>
      </x:c>
      <x:c r="B8" s="14" t="n">
        <x:v>3</x:v>
      </x:c>
      <x:c r="C8" s="11" t="str">
        <x:v>count</x:v>
      </x:c>
      <x:c r="D8" s="11" t="str">
        <x:v>competition</x:v>
      </x:c>
      <x:c r="E8" s="11" t="str">
        <x:v>RBH-1</x:v>
      </x:c>
      <x:c r="F8" s="20"/>
    </x:row>
    <x:row r="9">
      <x:c r="A9" s="11" t="str">
        <x:v>Builder lineages</x:v>
      </x:c>
      <x:c r="B9" s="14" t="n">
        <x:v>2</x:v>
      </x:c>
      <x:c r="C9" s="11" t="str">
        <x:v>count</x:v>
      </x:c>
      <x:c r="D9" s="11" t="str">
        <x:v>independent construction</x:v>
      </x:c>
      <x:c r="E9" s="11" t="str">
        <x:v>RBG-1</x:v>
      </x:c>
      <x:c r="F9" s="20"/>
    </x:row>
    <x:row r="10">
      <x:c r="A10" s="11" t="str">
        <x:v>Campuses</x:v>
      </x:c>
      <x:c r="B10" s="14" t="n">
        <x:v>3</x:v>
      </x:c>
      <x:c r="C10" s="11" t="str">
        <x:v>count</x:v>
      </x:c>
      <x:c r="D10" s="11" t="str">
        <x:v>site diversity</x:v>
      </x:c>
      <x:c r="E10" s="11" t="str">
        <x:v>RBG-1</x:v>
      </x:c>
      <x:c r="F10" s="20"/>
    </x:row>
    <x:row r="11">
      <x:c r="A11" s="11" t="str">
        <x:v>Candidate articles</x:v>
      </x:c>
      <x:c r="B11" s="14" t="n">
        <x:v>18</x:v>
      </x:c>
      <x:c r="C11" s="11" t="str">
        <x:v>count</x:v>
      </x:c>
      <x:c r="D11" s="11" t="str">
        <x:v>three by two by three</x:v>
      </x:c>
      <x:c r="E11" s="11" t="str">
        <x:v>RBH-1</x:v>
      </x:c>
      <x:c r="F11" s="20"/>
    </x:row>
    <x:row r="12">
      <x:c r="A12" s="11" t="str">
        <x:v>Trials per article</x:v>
      </x:c>
      <x:c r="B12" s="14" t="n">
        <x:v>6</x:v>
      </x:c>
      <x:c r="C12" s="11" t="str">
        <x:v>count</x:v>
      </x:c>
      <x:c r="D12" s="11" t="str">
        <x:v>challenge families</x:v>
      </x:c>
      <x:c r="E12" s="11" t="str">
        <x:v>RBH-1</x:v>
      </x:c>
      <x:c r="F12" s="20"/>
    </x:row>
    <x:row r="13">
      <x:c r="A13" s="11" t="str">
        <x:v>Required architecture trials</x:v>
      </x:c>
      <x:c r="B13" s="14" t="n">
        <x:v>108</x:v>
      </x:c>
      <x:c r="C13" s="11" t="str">
        <x:v>count</x:v>
      </x:c>
      <x:c r="D13" s="11" t="str">
        <x:v>complete denominator</x:v>
      </x:c>
      <x:c r="E13" s="11" t="str">
        <x:v>RBH-1</x:v>
      </x:c>
      <x:c r="F13" s="20"/>
    </x:row>
    <x:row r="14">
      <x:c r="A14" s="11" t="str">
        <x:v>Active selected assemblies</x:v>
      </x:c>
      <x:c r="B14" s="14" t="n">
        <x:v>12</x:v>
      </x:c>
      <x:c r="C14" s="11" t="str">
        <x:v>count</x:v>
      </x:c>
      <x:c r="D14" s="11" t="str">
        <x:v>exact cells</x:v>
      </x:c>
      <x:c r="E14" s="11" t="str">
        <x:v>RBH-1</x:v>
      </x:c>
      <x:c r="F14" s="20"/>
    </x:row>
    <x:row r="15">
      <x:c r="A15" s="11" t="str">
        <x:v>Operational spares</x:v>
      </x:c>
      <x:c r="B15" s="14" t="n">
        <x:v>4</x:v>
      </x:c>
      <x:c r="C15" s="11" t="str">
        <x:v>count</x:v>
      </x:c>
      <x:c r="D15" s="11" t="str">
        <x:v>same lineage</x:v>
      </x:c>
      <x:c r="E15" s="11" t="str">
        <x:v>RBH-1</x:v>
      </x:c>
      <x:c r="F15" s="20"/>
    </x:row>
    <x:row r="16">
      <x:c r="A16" s="11" t="str">
        <x:v>Forensic assemblies</x:v>
      </x:c>
      <x:c r="B16" s="14" t="n">
        <x:v>2</x:v>
      </x:c>
      <x:c r="C16" s="11" t="str">
        <x:v>count</x:v>
      </x:c>
      <x:c r="D16" s="11" t="str">
        <x:v>sealed</x:v>
      </x:c>
      <x:c r="E16" s="11" t="str">
        <x:v>RBH-1</x:v>
      </x:c>
      <x:c r="F16" s="20"/>
    </x:row>
    <x:row r="17">
      <x:c r="A17" s="11" t="str">
        <x:v>Required class events</x:v>
      </x:c>
      <x:c r="B17" s="14" t="n">
        <x:v>12</x:v>
      </x:c>
      <x:c r="C17" s="11" t="str">
        <x:v>count</x:v>
      </x:c>
      <x:c r="D17" s="11" t="str">
        <x:v>one per exact cell</x:v>
      </x:c>
      <x:c r="E17" s="11" t="str">
        <x:v>RBH-1</x:v>
      </x:c>
      <x:c r="F17" s="20"/>
    </x:row>
    <x:row r="18">
      <x:c r="A18" s="11" t="str">
        <x:v>Reserve events</x:v>
      </x:c>
      <x:c r="B18" s="14" t="n">
        <x:v>4</x:v>
      </x:c>
      <x:c r="C18" s="11" t="str">
        <x:v>count</x:v>
      </x:c>
      <x:c r="D18" s="11" t="str">
        <x:v>invalidity only</x:v>
      </x:c>
      <x:c r="E18" s="11" t="str">
        <x:v>RBH-1</x:v>
      </x:c>
      <x:c r="F18" s="20"/>
    </x:row>
    <x:row r="19">
      <x:c r="A19" s="11" t="str">
        <x:v>Maximum event events</x:v>
      </x:c>
      <x:c r="B19" s="14" t="n">
        <x:v>16</x:v>
      </x:c>
      <x:c r="C19" s="11" t="str">
        <x:v>count</x:v>
      </x:c>
      <x:c r="D19" s="11" t="str">
        <x:v>class capacity</x:v>
      </x:c>
      <x:c r="E19" s="11" t="str">
        <x:v>RBH-1</x:v>
      </x:c>
      <x:c r="F19" s="20"/>
    </x:row>
    <x:row r="20">
      <x:c r="A20" s="11" t="str">
        <x:v>Delivered energy ratio lower</x:v>
      </x:c>
      <x:c r="B20" s="14" t="n">
        <x:v>0.95</x:v>
      </x:c>
      <x:c r="C20" s="11" t="str">
        <x:v>ratio</x:v>
      </x:c>
      <x:c r="D20" s="11" t="str">
        <x:v>hard screen</x:v>
      </x:c>
      <x:c r="E20" s="11" t="str">
        <x:v>RBH-1</x:v>
      </x:c>
      <x:c r="F20" s="20"/>
    </x:row>
    <x:row r="21">
      <x:c r="A21" s="11" t="str">
        <x:v>Delivered energy ratio upper</x:v>
      </x:c>
      <x:c r="B21" s="14" t="n">
        <x:v>1.05</x:v>
      </x:c>
      <x:c r="C21" s="11" t="str">
        <x:v>ratio</x:v>
      </x:c>
      <x:c r="D21" s="11" t="str">
        <x:v>hard screen</x:v>
      </x:c>
      <x:c r="E21" s="11" t="str">
        <x:v>RBH-1</x:v>
      </x:c>
      <x:c r="F21" s="20"/>
    </x:row>
    <x:row r="22">
      <x:c r="A22" s="11" t="str">
        <x:v>Onset error maximum</x:v>
      </x:c>
      <x:c r="B22" s="14" t="n">
        <x:v>10</x:v>
      </x:c>
      <x:c r="C22" s="11" t="str">
        <x:v>ms</x:v>
      </x:c>
      <x:c r="D22" s="11" t="str">
        <x:v>hard screen</x:v>
      </x:c>
      <x:c r="E22" s="11" t="str">
        <x:v>RBH-1</x:v>
      </x:c>
      <x:c r="F22" s="20"/>
    </x:row>
    <x:row r="23">
      <x:c r="A23" s="11" t="str">
        <x:v>Duration error maximum</x:v>
      </x:c>
      <x:c r="B23" s="14" t="n">
        <x:v>50</x:v>
      </x:c>
      <x:c r="C23" s="11" t="str">
        <x:v>ms</x:v>
      </x:c>
      <x:c r="D23" s="11" t="str">
        <x:v>hard screen</x:v>
      </x:c>
      <x:c r="E23" s="11" t="str">
        <x:v>RBH-1</x:v>
      </x:c>
      <x:c r="F23" s="20"/>
    </x:row>
    <x:row r="24">
      <x:c r="A24" s="11" t="str">
        <x:v>Location error maximum</x:v>
      </x:c>
      <x:c r="B24" s="14" t="n">
        <x:v>5</x:v>
      </x:c>
      <x:c r="C24" s="11" t="str">
        <x:v>mm</x:v>
      </x:c>
      <x:c r="D24" s="11" t="str">
        <x:v>hard screen</x:v>
      </x:c>
      <x:c r="E24" s="11" t="str">
        <x:v>RBH-1</x:v>
      </x:c>
      <x:c r="F24" s="20"/>
    </x:row>
    <x:row r="25">
      <x:c r="A25" s="11" t="str">
        <x:v>Repeat coordinate maximum</x:v>
      </x:c>
      <x:c r="B25" s="14" t="n">
        <x:v>2</x:v>
      </x:c>
      <x:c r="C25" s="11" t="str">
        <x:v>mm</x:v>
      </x:c>
      <x:c r="D25" s="11" t="str">
        <x:v>hard screen</x:v>
      </x:c>
      <x:c r="E25" s="11" t="str">
        <x:v>RBH-1</x:v>
      </x:c>
      <x:c r="F25" s="20"/>
    </x:row>
    <x:row r="26">
      <x:c r="A26" s="11" t="str">
        <x:v>Abort cessation maximum</x:v>
      </x:c>
      <x:c r="B26" s="14" t="n">
        <x:v>100</x:v>
      </x:c>
      <x:c r="C26" s="11" t="str">
        <x:v>ms</x:v>
      </x:c>
      <x:c r="D26" s="11" t="str">
        <x:v>hard screen</x:v>
      </x:c>
      <x:c r="E26" s="11" t="str">
        <x:v>RBH-1</x:v>
      </x:c>
      <x:c r="F26" s="20"/>
    </x:row>
    <x:row r="27">
      <x:c r="A27" s="11" t="str">
        <x:v>Temperature at 60 s maximum</x:v>
      </x:c>
      <x:c r="B27" s="14" t="n">
        <x:v>80</x:v>
      </x:c>
      <x:c r="C27" s="11" t="str">
        <x:v>deg C</x:v>
      </x:c>
      <x:c r="D27" s="11" t="str">
        <x:v>hard screen</x:v>
      </x:c>
      <x:c r="E27" s="11" t="str">
        <x:v>RBH-1</x:v>
      </x:c>
      <x:c r="F27" s="20"/>
    </x:row>
    <x:row r="28">
      <x:c r="A28" s="11" t="str">
        <x:v>Temperature at 10 min maximum</x:v>
      </x:c>
      <x:c r="B28" s="14" t="n">
        <x:v>45</x:v>
      </x:c>
      <x:c r="C28" s="11" t="str">
        <x:v>deg C</x:v>
      </x:c>
      <x:c r="D28" s="11" t="str">
        <x:v>hard screen</x:v>
      </x:c>
      <x:c r="E28" s="11" t="str">
        <x:v>RBH-1</x:v>
      </x:c>
      <x:c r="F28" s="20"/>
    </x:row>
    <x:row r="29">
      <x:c r="A29" s="11" t="str">
        <x:v>Opportunity duration</x:v>
      </x:c>
      <x:c r="B29" s="14" t="n">
        <x:v>10</x:v>
      </x:c>
      <x:c r="C29" s="11" t="str">
        <x:v>s</x:v>
      </x:c>
      <x:c r="D29" s="11" t="str">
        <x:v>event definition</x:v>
      </x:c>
      <x:c r="E29" s="11" t="str">
        <x:v>RFE-1</x:v>
      </x:c>
      <x:c r="F29" s="20"/>
    </x:row>
    <x:row r="30">
      <x:c r="A30" s="11" t="str">
        <x:v>Dry return</x:v>
      </x:c>
      <x:c r="B30" s="14" t="n">
        <x:v>168</x:v>
      </x:c>
      <x:c r="C30" s="11" t="str">
        <x:v>h</x:v>
      </x:c>
      <x:c r="D30" s="11" t="str">
        <x:v>assembly baseline</x:v>
      </x:c>
      <x:c r="E30" s="11" t="str">
        <x:v>RBH-1</x:v>
      </x:c>
      <x:c r="F30" s="20"/>
    </x:row>
    <x:row r="31">
      <x:c r="A31" s="11" t="str">
        <x:v>Measurement channels</x:v>
      </x:c>
      <x:c r="B31" s="14" t="n">
        <x:v>160</x:v>
      </x:c>
      <x:c r="C31" s="11" t="str">
        <x:v>count</x:v>
      </x:c>
      <x:c r="D31" s="11" t="str">
        <x:v>each trial and event</x:v>
      </x:c>
      <x:c r="E31" s="11" t="str">
        <x:v>RBH-1</x:v>
      </x:c>
      <x:c r="F31" s="20"/>
    </x:row>
    <x:row r="32">
      <x:c r="A32" s="11" t="str">
        <x:v>Architecture evidence per trial</x:v>
      </x:c>
      <x:c r="B32" s="14" t="n">
        <x:v>120</x:v>
      </x:c>
      <x:c r="C32" s="11" t="str">
        <x:v>GB</x:v>
      </x:c>
      <x:c r="D32" s="11" t="str">
        <x:v>allocated capacity</x:v>
      </x:c>
      <x:c r="E32" s="11" t="str">
        <x:v>RBH-1</x:v>
      </x:c>
      <x:c r="F32" s="20"/>
    </x:row>
    <x:row r="33">
      <x:c r="A33" s="11" t="str">
        <x:v>Class evidence per event</x:v>
      </x:c>
      <x:c r="B33" s="14" t="n">
        <x:v>640</x:v>
      </x:c>
      <x:c r="C33" s="11" t="str">
        <x:v>GB</x:v>
      </x:c>
      <x:c r="D33" s="11" t="str">
        <x:v>allocated capacity</x:v>
      </x:c>
      <x:c r="E33" s="11" t="str">
        <x:v>RBH-1</x:v>
      </x:c>
      <x:c r="F33" s="20"/>
    </x:row>
    <x:row r="34">
      <x:c r="A34" s="11" t="str">
        <x:v>Evidence provision</x:v>
      </x:c>
      <x:c r="B34" s="14" t="n">
        <x:v>30000</x:v>
      </x:c>
      <x:c r="C34" s="11" t="str">
        <x:v>GB</x:v>
      </x:c>
      <x:c r="D34" s="11" t="str">
        <x:v>program capacity</x:v>
      </x:c>
      <x:c r="E34" s="11" t="str">
        <x:v>RBH-1</x:v>
      </x:c>
      <x:c r="F34" s="20"/>
    </x:row>
    <x:row r="35">
      <x:c r="A35" s="11" t="str">
        <x:v>Architecture campaign</x:v>
      </x:c>
      <x:c r="B35" s="14" t="n">
        <x:v>12</x:v>
      </x:c>
      <x:c r="C35" s="11" t="str">
        <x:v>weeks</x:v>
      </x:c>
      <x:c r="D35" s="11" t="str">
        <x:v>schedule</x:v>
      </x:c>
      <x:c r="E35" s="11" t="str">
        <x:v>RBH-1</x:v>
      </x:c>
      <x:c r="F35" s="20"/>
    </x:row>
    <x:row r="36">
      <x:c r="A36" s="11" t="str">
        <x:v>Selection review</x:v>
      </x:c>
      <x:c r="B36" s="14" t="n">
        <x:v>4</x:v>
      </x:c>
      <x:c r="C36" s="11" t="str">
        <x:v>weeks</x:v>
      </x:c>
      <x:c r="D36" s="11" t="str">
        <x:v>schedule</x:v>
      </x:c>
      <x:c r="E36" s="11" t="str">
        <x:v>RBH-1</x:v>
      </x:c>
      <x:c r="F36" s="20"/>
    </x:row>
    <x:row r="37">
      <x:c r="A37" s="11" t="str">
        <x:v>Selected bank build</x:v>
      </x:c>
      <x:c r="B37" s="14" t="n">
        <x:v>12</x:v>
      </x:c>
      <x:c r="C37" s="11" t="str">
        <x:v>weeks</x:v>
      </x:c>
      <x:c r="D37" s="11" t="str">
        <x:v>schedule</x:v>
      </x:c>
      <x:c r="E37" s="11" t="str">
        <x:v>RBH-1</x:v>
      </x:c>
      <x:c r="F37" s="20"/>
    </x:row>
    <x:row r="38">
      <x:c r="A38" s="11" t="str">
        <x:v>Primary issue</x:v>
      </x:c>
      <x:c r="B38" s="14" t="n">
        <x:v>6</x:v>
      </x:c>
      <x:c r="C38" s="11" t="str">
        <x:v>weeks</x:v>
      </x:c>
      <x:c r="D38" s="11" t="str">
        <x:v>two per week</x:v>
      </x:c>
      <x:c r="E38" s="11" t="str">
        <x:v>RBH-1</x:v>
      </x:c>
      <x:c r="F38" s="20"/>
    </x:row>
    <x:row r="39">
      <x:c r="A39" s="11" t="str">
        <x:v>Reserve issue extension</x:v>
      </x:c>
      <x:c r="B39" s="14" t="n">
        <x:v>2</x:v>
      </x:c>
      <x:c r="C39" s="11" t="str">
        <x:v>weeks</x:v>
      </x:c>
      <x:c r="D39" s="11" t="str">
        <x:v>four reserves</x:v>
      </x:c>
      <x:c r="E39" s="11" t="str">
        <x:v>RBH-1</x:v>
      </x:c>
      <x:c r="F39" s="20"/>
    </x:row>
    <x:row r="40">
      <x:c r="A40" s="11" t="str">
        <x:v>Return and class review</x:v>
      </x:c>
      <x:c r="B40" s="14" t="n">
        <x:v>3</x:v>
      </x:c>
      <x:c r="C40" s="11" t="str">
        <x:v>weeks</x:v>
      </x:c>
      <x:c r="D40" s="11" t="str">
        <x:v>tail</x:v>
      </x:c>
      <x:c r="E40" s="11" t="str">
        <x:v>RBH-1</x:v>
      </x:c>
      <x:c r="F40" s="20"/>
    </x:row>
    <x:row r="41">
      <x:c r="A41" s="11" t="str">
        <x:v>Stage duration</x:v>
      </x:c>
      <x:c r="B41" s="14" t="n">
        <x:v>15</x:v>
      </x:c>
      <x:c r="C41" s="11" t="str">
        <x:v>months</x:v>
      </x:c>
      <x:c r="D41" s="11" t="str">
        <x:v>allocation</x:v>
      </x:c>
      <x:c r="E41" s="11" t="str">
        <x:v>RBH-1</x:v>
      </x:c>
      <x:c r="F41" s="20"/>
    </x:row>
    <x:row r="42">
      <x:c r="A42" s="11" t="str">
        <x:v>RBH capital allocation</x:v>
      </x:c>
      <x:c r="B42" s="14" t="n">
        <x:v>180</x:v>
      </x:c>
      <x:c r="C42" s="11" t="str">
        <x:v>USD M</x:v>
      </x:c>
      <x:c r="D42" s="11" t="str">
        <x:v>RAS-3R subset</x:v>
      </x:c>
      <x:c r="E42" s="11" t="str">
        <x:v>RBH-1</x:v>
      </x:c>
      <x:c r="F42" s="20"/>
    </x:row>
    <x:row r="43">
      <x:c r="A43" s="11" t="str">
        <x:v>RBH annual support</x:v>
      </x:c>
      <x:c r="B43" s="14" t="n">
        <x:v>42</x:v>
      </x:c>
      <x:c r="C43" s="11" t="str">
        <x:v>USD M/year</x:v>
      </x:c>
      <x:c r="D43" s="11" t="str">
        <x:v>RAS-3R subset</x:v>
      </x:c>
      <x:c r="E43" s="11" t="str">
        <x:v>RBH-1</x:v>
      </x:c>
      <x:c r="F43" s="20"/>
    </x:row>
    <x:row r="44">
      <x:c r="A44" s="11" t="str">
        <x:v>RBH technology allocation</x:v>
      </x:c>
      <x:c r="B44" s="14" t="n">
        <x:v>95</x:v>
      </x:c>
      <x:c r="C44" s="11" t="str">
        <x:v>USD M</x:v>
      </x:c>
      <x:c r="D44" s="11" t="str">
        <x:v>RAS-3R subset</x:v>
      </x:c>
      <x:c r="E44" s="11" t="str">
        <x:v>RBH-1</x:v>
      </x:c>
      <x:c r="F44" s="20"/>
    </x:row>
    <x:row r="45">
      <x:c r="A45" s="11" t="str">
        <x:v>Assigned positions</x:v>
      </x:c>
      <x:c r="B45" s="14" t="n">
        <x:v>260</x:v>
      </x:c>
      <x:c r="C45" s="11" t="str">
        <x:v>positions</x:v>
      </x:c>
      <x:c r="D45" s="11" t="str">
        <x:v>RAS-3R subset</x:v>
      </x:c>
      <x:c r="E45" s="11" t="str">
        <x:v>RBH-1</x:v>
      </x:c>
      <x:c r="F45" s="20"/>
    </x:row>
    <x:row r="46">
      <x:c r="A46" s="11" t="str">
        <x:v>RAS-3R capital increment</x:v>
      </x:c>
      <x:c r="B46" s="14" t="n">
        <x:v>1100</x:v>
      </x:c>
      <x:c r="C46" s="11" t="str">
        <x:v>USD M</x:v>
      </x:c>
      <x:c r="D46" s="11" t="str">
        <x:v>parent increment</x:v>
      </x:c>
      <x:c r="E46" s="11" t="str">
        <x:v>RBG-1</x:v>
      </x:c>
      <x:c r="F46" s="20"/>
    </x:row>
    <x:row r="47">
      <x:c r="A47" s="11" t="str">
        <x:v>RAS-3R annual increment</x:v>
      </x:c>
      <x:c r="B47" s="14" t="n">
        <x:v>67</x:v>
      </x:c>
      <x:c r="C47" s="11" t="str">
        <x:v>USD M/year</x:v>
      </x:c>
      <x:c r="D47" s="11" t="str">
        <x:v>parent increment</x:v>
      </x:c>
      <x:c r="E47" s="11" t="str">
        <x:v>RBG-1</x:v>
      </x:c>
      <x:c r="F47" s="20"/>
    </x:row>
    <x:row r="48">
      <x:c r="A48" s="11" t="str">
        <x:v>RAS-3R technology increment</x:v>
      </x:c>
      <x:c r="B48" s="14" t="n">
        <x:v>235</x:v>
      </x:c>
      <x:c r="C48" s="11" t="str">
        <x:v>USD M</x:v>
      </x:c>
      <x:c r="D48" s="11" t="str">
        <x:v>parent increment</x:v>
      </x:c>
      <x:c r="E48" s="11" t="str">
        <x:v>RBG-1</x:v>
      </x:c>
      <x:c r="F48" s="20"/>
    </x:row>
    <x:row r="49">
      <x:c r="A49" s="11" t="str">
        <x:v>RAS-3R positions</x:v>
      </x:c>
      <x:c r="B49" s="14" t="n">
        <x:v>720</x:v>
      </x:c>
      <x:c r="C49" s="11" t="str">
        <x:v>positions</x:v>
      </x:c>
      <x:c r="D49" s="11" t="str">
        <x:v>parent formation</x:v>
      </x:c>
      <x:c r="E49" s="11" t="str">
        <x:v>RBG-1</x:v>
      </x:c>
      <x:c r="F49" s="20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800f2e445c334c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32" hidden="0" customWidth="1"/>
    <x:col min="5" max="5" width="38" hidden="0" customWidth="1"/>
    <x:col min="6" max="6" width="20" hidden="0" customWidth="1"/>
    <x:col min="7" max="7" width="16" hidden="0" customWidth="1"/>
    <x:col min="8" max="8" width="16" hidden="0" customWidth="1"/>
  </x:cols>
  <x:sheetData>
    <x:row r="2" ht="26" customHeight="1">
      <x:c r="A2" s="18" t="str">
        <x:v>Public ignition-reference candidates</x:v>
      </x:c>
      <x:c r="B2" s="18" t="str">
        <x:v>Public ignition-reference candidates</x:v>
      </x:c>
      <x:c r="C2" s="18" t="str">
        <x:v>Public ignition-reference candidates</x:v>
      </x:c>
      <x:c r="D2" s="18" t="str">
        <x:v>Public ignition-reference candidates</x:v>
      </x:c>
      <x:c r="E2" s="18" t="str">
        <x:v>Public ignition-reference candidates</x:v>
      </x:c>
      <x:c r="F2" s="18" t="str">
        <x:v>Public ignition-reference candidates</x:v>
      </x:c>
      <x:c r="G2" s="18" t="str">
        <x:v>Public ignition-reference candidates</x:v>
      </x:c>
      <x:c r="H2" s="18" t="str">
        <x:v>Public ignition-reference candidates</x:v>
      </x:c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9" t="str">
        <x:v>Candidate</x:v>
      </x:c>
      <x:c r="B5" s="9" t="str">
        <x:v>Concept</x:v>
      </x:c>
      <x:c r="C5" s="9" t="str">
        <x:v>Interaction geometry</x:v>
      </x:c>
      <x:c r="D5" s="9" t="str">
        <x:v>Primary advantage</x:v>
      </x:c>
      <x:c r="E5" s="9" t="str">
        <x:v>Primary uncertainty</x:v>
      </x:c>
      <x:c r="F5" s="9" t="str">
        <x:v>Hard-screen state</x:v>
      </x:c>
      <x:c r="G5" s="9" t="str">
        <x:v>Minimax rank</x:v>
      </x:c>
      <x:c r="H5" s="9" t="str">
        <x:v>Decision</x:v>
      </x:c>
    </x:row>
    <x:row r="6">
      <x:c r="A6" s="11" t="str">
        <x:v>IA-1</x:v>
      </x:c>
      <x:c r="B6" s="11" t="str">
        <x:v>isolated point discharge</x:v>
      </x:c>
      <x:c r="C6" s="11" t="str">
        <x:v>localized interaction</x:v>
      </x:c>
      <x:c r="D6" s="11" t="str">
        <x:v>compact and directly instrumentable</x:v>
      </x:c>
      <x:c r="E6" s="11" t="str">
        <x:v>electrode state, interference, placement</x:v>
      </x:c>
      <x:c r="F6" s="13"/>
      <x:c r="G6" s="13"/>
      <x:c r="H6" s="11" t="str">
        <x:f>IF(OR(F6="",COUNT(G6)=0),"OPEN",IF(F6&lt;&gt;"PASS","DENY",IF(G6=1,"SELECTABLE","QUALIFIED")))</x:f>
        <x:v>OPEN</x:v>
      </x:c>
    </x:row>
    <x:row r="7">
      <x:c r="A7" s="11" t="str">
        <x:v>IA-2</x:v>
      </x:c>
      <x:c r="B7" s="11" t="str">
        <x:v>remote radiant head</x:v>
      </x:c>
      <x:c r="C7" s="11" t="str">
        <x:v>line-of-sight interaction</x:v>
      </x:c>
      <x:c r="D7" s="11" t="str">
        <x:v>no energized surface hardware</x:v>
      </x:c>
      <x:c r="E7" s="11" t="str">
        <x:v>window state and spatial evidence</x:v>
      </x:c>
      <x:c r="F7" s="13"/>
      <x:c r="G7" s="13"/>
      <x:c r="H7" s="11" t="str">
        <x:f>IF(OR(F7="",COUNT(G7)=0),"OPEN",IF(F7&lt;&gt;"PASS","DENY",IF(G7=1,"SELECTABLE","QUALIFIED")))</x:f>
        <x:v>OPEN</x:v>
      </x:c>
    </x:row>
    <x:row r="8">
      <x:c r="A8" s="11" t="str">
        <x:v>IA-3</x:v>
      </x:c>
      <x:c r="B8" s="11" t="str">
        <x:v>distributed resistive element</x:v>
      </x:c>
      <x:c r="C8" s="11" t="str">
        <x:v>bounded area interaction</x:v>
      </x:c>
      <x:c r="D8" s="11" t="str">
        <x:v>controlled footprint</x:v>
      </x:c>
      <x:c r="E8" s="11" t="str">
        <x:v>stored heat and slow removal</x:v>
      </x:c>
      <x:c r="F8" s="13"/>
      <x:c r="G8" s="13"/>
      <x:c r="H8" s="11" t="str">
        <x:f>IF(OR(F8="",COUNT(G8)=0),"OPEN",IF(F8&lt;&gt;"PASS","DENY",IF(G8=1,"SELECTABLE","QUALIFIED")))</x:f>
        <x:v>OPEN</x:v>
      </x:c>
    </x:row>
  </x:sheetData>
  <x:mergeCells>
    <x:mergeCell ref="A2:H2"/>
  </x:mergeCells>
  <x:conditionalFormatting sqref="H6:H8">
    <x:cfRule type="containsText" dxfId="0" priority="1" operator="containsText" text="DENY"/>
    <x:cfRule type="containsText" dxfId="1" priority="2" operator="containsText" text="ADVERSE"/>
    <x:cfRule type="containsText" dxfId="2" priority="3" operator="containsText" text="FAIL"/>
    <x:cfRule type="containsText" dxfId="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6a5968b2b7ab42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1" hidden="0" customWidth="1"/>
    <x:col min="5" max="5" width="22" hidden="0" customWidth="1"/>
    <x:col min="6" max="6" width="23" hidden="0" customWidth="1"/>
    <x:col min="7" max="7" width="18" hidden="0" customWidth="1"/>
    <x:col min="8" max="8" width="16" hidden="0" customWidth="1"/>
  </x:cols>
  <x:sheetData>
    <x:row r="2" ht="26" customHeight="1">
      <x:c r="A2" s="18" t="str">
        <x:v>Eighteen candidate articles</x:v>
      </x:c>
      <x:c r="B2" s="18" t="str">
        <x:v>Eighteen candidate articles</x:v>
      </x:c>
      <x:c r="C2" s="18" t="str">
        <x:v>Eighteen candidate articles</x:v>
      </x:c>
      <x:c r="D2" s="18" t="str">
        <x:v>Eighteen candidate articles</x:v>
      </x:c>
      <x:c r="E2" s="18" t="str">
        <x:v>Eighteen candidate articles</x:v>
      </x:c>
      <x:c r="F2" s="18" t="str">
        <x:v>Eighteen candidate articles</x:v>
      </x:c>
      <x:c r="G2" s="18" t="str">
        <x:v>Eighteen candidate articles</x:v>
      </x:c>
      <x:c r="H2" s="18" t="str">
        <x:v>Eighteen candidate articles</x:v>
      </x:c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9" t="str">
        <x:v>Article</x:v>
      </x:c>
      <x:c r="B5" s="9" t="str">
        <x:v>Candidate</x:v>
      </x:c>
      <x:c r="C5" s="9" t="str">
        <x:v>Lineage</x:v>
      </x:c>
      <x:c r="D5" s="9" t="str">
        <x:v>Campus</x:v>
      </x:c>
      <x:c r="E5" s="9" t="str">
        <x:v>Interface acceptance</x:v>
      </x:c>
      <x:c r="F5" s="9" t="str">
        <x:v>Calibration acceptance</x:v>
      </x:c>
      <x:c r="G5" s="9" t="str">
        <x:v>Physical state</x:v>
      </x:c>
      <x:c r="H5" s="9" t="str">
        <x:v>Article state</x:v>
      </x:c>
    </x:row>
    <x:row r="6">
      <x:c r="A6" s="11" t="str">
        <x:v>IART-01</x:v>
      </x:c>
      <x:c r="B6" s="11" t="str">
        <x:v>IA-1</x:v>
      </x:c>
      <x:c r="C6" s="11" t="str">
        <x:v>BL-A</x:v>
      </x:c>
      <x:c r="D6" s="11" t="str">
        <x:v>C-1</x:v>
      </x:c>
      <x:c r="E6" s="13"/>
      <x:c r="F6" s="13"/>
      <x:c r="G6" s="13"/>
      <x:c r="H6" s="11" t="str">
        <x:f>IF(COUNTA(E6:G6)&lt;3,"OPEN",IF(AND(E6="PASS",F6="PASS",G6="ACCEPTED"),"ACCEPTED","DENY"))</x:f>
        <x:v>OPEN</x:v>
      </x:c>
    </x:row>
    <x:row r="7">
      <x:c r="A7" s="11" t="str">
        <x:v>IART-02</x:v>
      </x:c>
      <x:c r="B7" s="11" t="str">
        <x:v>IA-1</x:v>
      </x:c>
      <x:c r="C7" s="11" t="str">
        <x:v>BL-A</x:v>
      </x:c>
      <x:c r="D7" s="11" t="str">
        <x:v>C-2</x:v>
      </x:c>
      <x:c r="E7" s="13"/>
      <x:c r="F7" s="13"/>
      <x:c r="G7" s="13"/>
      <x:c r="H7" s="11" t="str">
        <x:f>IF(COUNTA(E7:G7)&lt;3,"OPEN",IF(AND(E7="PASS",F7="PASS",G7="ACCEPTED"),"ACCEPTED","DENY"))</x:f>
        <x:v>OPEN</x:v>
      </x:c>
    </x:row>
    <x:row r="8">
      <x:c r="A8" s="11" t="str">
        <x:v>IART-03</x:v>
      </x:c>
      <x:c r="B8" s="11" t="str">
        <x:v>IA-1</x:v>
      </x:c>
      <x:c r="C8" s="11" t="str">
        <x:v>BL-A</x:v>
      </x:c>
      <x:c r="D8" s="11" t="str">
        <x:v>C-3</x:v>
      </x:c>
      <x:c r="E8" s="13"/>
      <x:c r="F8" s="13"/>
      <x:c r="G8" s="13"/>
      <x:c r="H8" s="11" t="str">
        <x:f>IF(COUNTA(E8:G8)&lt;3,"OPEN",IF(AND(E8="PASS",F8="PASS",G8="ACCEPTED"),"ACCEPTED","DENY"))</x:f>
        <x:v>OPEN</x:v>
      </x:c>
    </x:row>
    <x:row r="9">
      <x:c r="A9" s="11" t="str">
        <x:v>IART-04</x:v>
      </x:c>
      <x:c r="B9" s="11" t="str">
        <x:v>IA-1</x:v>
      </x:c>
      <x:c r="C9" s="11" t="str">
        <x:v>BL-B</x:v>
      </x:c>
      <x:c r="D9" s="11" t="str">
        <x:v>C-1</x:v>
      </x:c>
      <x:c r="E9" s="13"/>
      <x:c r="F9" s="13"/>
      <x:c r="G9" s="13"/>
      <x:c r="H9" s="11" t="str">
        <x:f>IF(COUNTA(E9:G9)&lt;3,"OPEN",IF(AND(E9="PASS",F9="PASS",G9="ACCEPTED"),"ACCEPTED","DENY"))</x:f>
        <x:v>OPEN</x:v>
      </x:c>
    </x:row>
    <x:row r="10">
      <x:c r="A10" s="11" t="str">
        <x:v>IART-05</x:v>
      </x:c>
      <x:c r="B10" s="11" t="str">
        <x:v>IA-1</x:v>
      </x:c>
      <x:c r="C10" s="11" t="str">
        <x:v>BL-B</x:v>
      </x:c>
      <x:c r="D10" s="11" t="str">
        <x:v>C-2</x:v>
      </x:c>
      <x:c r="E10" s="13"/>
      <x:c r="F10" s="13"/>
      <x:c r="G10" s="13"/>
      <x:c r="H10" s="11" t="str">
        <x:f>IF(COUNTA(E10:G10)&lt;3,"OPEN",IF(AND(E10="PASS",F10="PASS",G10="ACCEPTED"),"ACCEPTED","DENY"))</x:f>
        <x:v>OPEN</x:v>
      </x:c>
    </x:row>
    <x:row r="11">
      <x:c r="A11" s="11" t="str">
        <x:v>IART-06</x:v>
      </x:c>
      <x:c r="B11" s="11" t="str">
        <x:v>IA-1</x:v>
      </x:c>
      <x:c r="C11" s="11" t="str">
        <x:v>BL-B</x:v>
      </x:c>
      <x:c r="D11" s="11" t="str">
        <x:v>C-3</x:v>
      </x:c>
      <x:c r="E11" s="13"/>
      <x:c r="F11" s="13"/>
      <x:c r="G11" s="13"/>
      <x:c r="H11" s="11" t="str">
        <x:f>IF(COUNTA(E11:G11)&lt;3,"OPEN",IF(AND(E11="PASS",F11="PASS",G11="ACCEPTED"),"ACCEPTED","DENY"))</x:f>
        <x:v>OPEN</x:v>
      </x:c>
    </x:row>
    <x:row r="12">
      <x:c r="A12" s="11" t="str">
        <x:v>IART-07</x:v>
      </x:c>
      <x:c r="B12" s="11" t="str">
        <x:v>IA-2</x:v>
      </x:c>
      <x:c r="C12" s="11" t="str">
        <x:v>BL-A</x:v>
      </x:c>
      <x:c r="D12" s="11" t="str">
        <x:v>C-1</x:v>
      </x:c>
      <x:c r="E12" s="13"/>
      <x:c r="F12" s="13"/>
      <x:c r="G12" s="13"/>
      <x:c r="H12" s="11" t="str">
        <x:f>IF(COUNTA(E12:G12)&lt;3,"OPEN",IF(AND(E12="PASS",F12="PASS",G12="ACCEPTED"),"ACCEPTED","DENY"))</x:f>
        <x:v>OPEN</x:v>
      </x:c>
    </x:row>
    <x:row r="13">
      <x:c r="A13" s="11" t="str">
        <x:v>IART-08</x:v>
      </x:c>
      <x:c r="B13" s="11" t="str">
        <x:v>IA-2</x:v>
      </x:c>
      <x:c r="C13" s="11" t="str">
        <x:v>BL-A</x:v>
      </x:c>
      <x:c r="D13" s="11" t="str">
        <x:v>C-2</x:v>
      </x:c>
      <x:c r="E13" s="13"/>
      <x:c r="F13" s="13"/>
      <x:c r="G13" s="13"/>
      <x:c r="H13" s="11" t="str">
        <x:f>IF(COUNTA(E13:G13)&lt;3,"OPEN",IF(AND(E13="PASS",F13="PASS",G13="ACCEPTED"),"ACCEPTED","DENY"))</x:f>
        <x:v>OPEN</x:v>
      </x:c>
    </x:row>
    <x:row r="14">
      <x:c r="A14" s="11" t="str">
        <x:v>IART-09</x:v>
      </x:c>
      <x:c r="B14" s="11" t="str">
        <x:v>IA-2</x:v>
      </x:c>
      <x:c r="C14" s="11" t="str">
        <x:v>BL-A</x:v>
      </x:c>
      <x:c r="D14" s="11" t="str">
        <x:v>C-3</x:v>
      </x:c>
      <x:c r="E14" s="13"/>
      <x:c r="F14" s="13"/>
      <x:c r="G14" s="13"/>
      <x:c r="H14" s="11" t="str">
        <x:f>IF(COUNTA(E14:G14)&lt;3,"OPEN",IF(AND(E14="PASS",F14="PASS",G14="ACCEPTED"),"ACCEPTED","DENY"))</x:f>
        <x:v>OPEN</x:v>
      </x:c>
    </x:row>
    <x:row r="15">
      <x:c r="A15" s="11" t="str">
        <x:v>IART-10</x:v>
      </x:c>
      <x:c r="B15" s="11" t="str">
        <x:v>IA-2</x:v>
      </x:c>
      <x:c r="C15" s="11" t="str">
        <x:v>BL-B</x:v>
      </x:c>
      <x:c r="D15" s="11" t="str">
        <x:v>C-1</x:v>
      </x:c>
      <x:c r="E15" s="13"/>
      <x:c r="F15" s="13"/>
      <x:c r="G15" s="13"/>
      <x:c r="H15" s="11" t="str">
        <x:f>IF(COUNTA(E15:G15)&lt;3,"OPEN",IF(AND(E15="PASS",F15="PASS",G15="ACCEPTED"),"ACCEPTED","DENY"))</x:f>
        <x:v>OPEN</x:v>
      </x:c>
    </x:row>
    <x:row r="16">
      <x:c r="A16" s="11" t="str">
        <x:v>IART-11</x:v>
      </x:c>
      <x:c r="B16" s="11" t="str">
        <x:v>IA-2</x:v>
      </x:c>
      <x:c r="C16" s="11" t="str">
        <x:v>BL-B</x:v>
      </x:c>
      <x:c r="D16" s="11" t="str">
        <x:v>C-2</x:v>
      </x:c>
      <x:c r="E16" s="13"/>
      <x:c r="F16" s="13"/>
      <x:c r="G16" s="13"/>
      <x:c r="H16" s="11" t="str">
        <x:f>IF(COUNTA(E16:G16)&lt;3,"OPEN",IF(AND(E16="PASS",F16="PASS",G16="ACCEPTED"),"ACCEPTED","DENY"))</x:f>
        <x:v>OPEN</x:v>
      </x:c>
    </x:row>
    <x:row r="17">
      <x:c r="A17" s="11" t="str">
        <x:v>IART-12</x:v>
      </x:c>
      <x:c r="B17" s="11" t="str">
        <x:v>IA-2</x:v>
      </x:c>
      <x:c r="C17" s="11" t="str">
        <x:v>BL-B</x:v>
      </x:c>
      <x:c r="D17" s="11" t="str">
        <x:v>C-3</x:v>
      </x:c>
      <x:c r="E17" s="13"/>
      <x:c r="F17" s="13"/>
      <x:c r="G17" s="13"/>
      <x:c r="H17" s="11" t="str">
        <x:f>IF(COUNTA(E17:G17)&lt;3,"OPEN",IF(AND(E17="PASS",F17="PASS",G17="ACCEPTED"),"ACCEPTED","DENY"))</x:f>
        <x:v>OPEN</x:v>
      </x:c>
    </x:row>
    <x:row r="18">
      <x:c r="A18" s="11" t="str">
        <x:v>IART-13</x:v>
      </x:c>
      <x:c r="B18" s="11" t="str">
        <x:v>IA-3</x:v>
      </x:c>
      <x:c r="C18" s="11" t="str">
        <x:v>BL-A</x:v>
      </x:c>
      <x:c r="D18" s="11" t="str">
        <x:v>C-1</x:v>
      </x:c>
      <x:c r="E18" s="13"/>
      <x:c r="F18" s="13"/>
      <x:c r="G18" s="13"/>
      <x:c r="H18" s="11" t="str">
        <x:f>IF(COUNTA(E18:G18)&lt;3,"OPEN",IF(AND(E18="PASS",F18="PASS",G18="ACCEPTED"),"ACCEPTED","DENY"))</x:f>
        <x:v>OPEN</x:v>
      </x:c>
    </x:row>
    <x:row r="19">
      <x:c r="A19" s="11" t="str">
        <x:v>IART-14</x:v>
      </x:c>
      <x:c r="B19" s="11" t="str">
        <x:v>IA-3</x:v>
      </x:c>
      <x:c r="C19" s="11" t="str">
        <x:v>BL-A</x:v>
      </x:c>
      <x:c r="D19" s="11" t="str">
        <x:v>C-2</x:v>
      </x:c>
      <x:c r="E19" s="13"/>
      <x:c r="F19" s="13"/>
      <x:c r="G19" s="13"/>
      <x:c r="H19" s="11" t="str">
        <x:f>IF(COUNTA(E19:G19)&lt;3,"OPEN",IF(AND(E19="PASS",F19="PASS",G19="ACCEPTED"),"ACCEPTED","DENY"))</x:f>
        <x:v>OPEN</x:v>
      </x:c>
    </x:row>
    <x:row r="20">
      <x:c r="A20" s="11" t="str">
        <x:v>IART-15</x:v>
      </x:c>
      <x:c r="B20" s="11" t="str">
        <x:v>IA-3</x:v>
      </x:c>
      <x:c r="C20" s="11" t="str">
        <x:v>BL-A</x:v>
      </x:c>
      <x:c r="D20" s="11" t="str">
        <x:v>C-3</x:v>
      </x:c>
      <x:c r="E20" s="13"/>
      <x:c r="F20" s="13"/>
      <x:c r="G20" s="13"/>
      <x:c r="H20" s="11" t="str">
        <x:f>IF(COUNTA(E20:G20)&lt;3,"OPEN",IF(AND(E20="PASS",F20="PASS",G20="ACCEPTED"),"ACCEPTED","DENY"))</x:f>
        <x:v>OPEN</x:v>
      </x:c>
    </x:row>
    <x:row r="21">
      <x:c r="A21" s="11" t="str">
        <x:v>IART-16</x:v>
      </x:c>
      <x:c r="B21" s="11" t="str">
        <x:v>IA-3</x:v>
      </x:c>
      <x:c r="C21" s="11" t="str">
        <x:v>BL-B</x:v>
      </x:c>
      <x:c r="D21" s="11" t="str">
        <x:v>C-1</x:v>
      </x:c>
      <x:c r="E21" s="13"/>
      <x:c r="F21" s="13"/>
      <x:c r="G21" s="13"/>
      <x:c r="H21" s="11" t="str">
        <x:f>IF(COUNTA(E21:G21)&lt;3,"OPEN",IF(AND(E21="PASS",F21="PASS",G21="ACCEPTED"),"ACCEPTED","DENY"))</x:f>
        <x:v>OPEN</x:v>
      </x:c>
    </x:row>
    <x:row r="22">
      <x:c r="A22" s="11" t="str">
        <x:v>IART-17</x:v>
      </x:c>
      <x:c r="B22" s="11" t="str">
        <x:v>IA-3</x:v>
      </x:c>
      <x:c r="C22" s="11" t="str">
        <x:v>BL-B</x:v>
      </x:c>
      <x:c r="D22" s="11" t="str">
        <x:v>C-2</x:v>
      </x:c>
      <x:c r="E22" s="13"/>
      <x:c r="F22" s="13"/>
      <x:c r="G22" s="13"/>
      <x:c r="H22" s="11" t="str">
        <x:f>IF(COUNTA(E22:G22)&lt;3,"OPEN",IF(AND(E22="PASS",F22="PASS",G22="ACCEPTED"),"ACCEPTED","DENY"))</x:f>
        <x:v>OPEN</x:v>
      </x:c>
    </x:row>
    <x:row r="23">
      <x:c r="A23" s="11" t="str">
        <x:v>IART-18</x:v>
      </x:c>
      <x:c r="B23" s="11" t="str">
        <x:v>IA-3</x:v>
      </x:c>
      <x:c r="C23" s="11" t="str">
        <x:v>BL-B</x:v>
      </x:c>
      <x:c r="D23" s="11" t="str">
        <x:v>C-3</x:v>
      </x:c>
      <x:c r="E23" s="13"/>
      <x:c r="F23" s="13"/>
      <x:c r="G23" s="13"/>
      <x:c r="H23" s="11" t="str">
        <x:f>IF(COUNTA(E23:G23)&lt;3,"OPEN",IF(AND(E23="PASS",F23="PASS",G23="ACCEPTED"),"ACCEPTED","DENY"))</x:f>
        <x:v>OPEN</x:v>
      </x:c>
    </x:row>
  </x:sheetData>
  <x:mergeCells>
    <x:mergeCell ref="A2:H2"/>
  </x:mergeCells>
  <x:conditionalFormatting sqref="H6:H23">
    <x:cfRule type="containsText" dxfId="4" priority="1" operator="containsText" text="DENY"/>
    <x:cfRule type="containsText" dxfId="5" priority="2" operator="containsText" text="ADVERSE"/>
    <x:cfRule type="containsText" dxfId="6" priority="3" operator="containsText" text="FAIL"/>
    <x:cfRule type="containsText" dxfId="7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1cc4fe222eda49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24" hidden="0" customWidth="1"/>
    <x:col min="7" max="7" width="15" hidden="0" customWidth="1"/>
    <x:col min="8" max="8" width="17" hidden="0" customWidth="1"/>
    <x:col min="9" max="9" width="19" hidden="0" customWidth="1"/>
    <x:col min="10" max="10" width="19" hidden="0" customWidth="1"/>
    <x:col min="11" max="11" width="17" hidden="0" customWidth="1"/>
    <x:col min="12" max="12" width="21" hidden="0" customWidth="1"/>
    <x:col min="13" max="13" width="16" hidden="0" customWidth="1"/>
    <x:col min="14" max="14" width="18" hidden="0" customWidth="1"/>
    <x:col min="15" max="15" width="19" hidden="0" customWidth="1"/>
    <x:col min="16" max="16" width="25" hidden="0" customWidth="1"/>
    <x:col min="17" max="17" width="15" hidden="0" customWidth="1"/>
    <x:col min="18" max="18" width="16" hidden="0" customWidth="1"/>
    <x:col min="19" max="19" width="23" hidden="0" customWidth="1"/>
    <x:col min="20" max="20" width="23" hidden="0" customWidth="1"/>
    <x:col min="21" max="21" width="20" hidden="0" customWidth="1"/>
  </x:cols>
  <x:sheetData>
    <x:row r="2" ht="26" customHeight="1">
      <x:c r="A2" s="18" t="str">
        <x:v>One hundred eight architecture trials</x:v>
      </x:c>
      <x:c r="B2" s="18" t="str">
        <x:v>One hundred eight architecture trials</x:v>
      </x:c>
      <x:c r="C2" s="18" t="str">
        <x:v>One hundred eight architecture trials</x:v>
      </x:c>
      <x:c r="D2" s="18" t="str">
        <x:v>One hundred eight architecture trials</x:v>
      </x:c>
      <x:c r="E2" s="18" t="str">
        <x:v>One hundred eight architecture trials</x:v>
      </x:c>
      <x:c r="F2" s="18" t="str">
        <x:v>One hundred eight architecture trials</x:v>
      </x:c>
      <x:c r="G2" s="18" t="str">
        <x:v>One hundred eight architecture trials</x:v>
      </x:c>
      <x:c r="H2" s="18" t="str">
        <x:v>One hundred eight architecture trials</x:v>
      </x:c>
      <x:c r="I2" s="18" t="str">
        <x:v>One hundred eight architecture trials</x:v>
      </x:c>
      <x:c r="J2" s="18" t="str">
        <x:v>One hundred eight architecture trials</x:v>
      </x:c>
      <x:c r="K2" s="18" t="str">
        <x:v>One hundred eight architecture trials</x:v>
      </x:c>
      <x:c r="L2" s="18" t="str">
        <x:v>One hundred eight architecture trials</x:v>
      </x:c>
      <x:c r="M2" s="18" t="str">
        <x:v>One hundred eight architecture trials</x:v>
      </x:c>
      <x:c r="N2" s="18" t="str">
        <x:v>One hundred eight architecture trials</x:v>
      </x:c>
      <x:c r="O2" s="18" t="str">
        <x:v>One hundred eight architecture trials</x:v>
      </x:c>
      <x:c r="P2" s="18" t="str">
        <x:v>One hundred eight architecture trials</x:v>
      </x:c>
      <x:c r="Q2" s="18" t="str">
        <x:v>One hundred eight architecture trials</x:v>
      </x:c>
      <x:c r="R2" s="18" t="str">
        <x:v>One hundred eight architecture trials</x:v>
      </x:c>
      <x:c r="S2" s="18" t="str">
        <x:v>One hundred eight architecture trials</x:v>
      </x:c>
      <x:c r="T2" s="18" t="str">
        <x:v>One hundred eight architecture trials</x:v>
      </x:c>
      <x:c r="U2" s="18" t="str">
        <x:v>One hundred eight architecture trials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</x:row>
    <x:row r="5">
      <x:c r="A5" s="21" t="str">
        <x:v>Observed fields remain blank. A valid adverse result remains in the denominator and denies the relevant candidate hard screen.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</x:row>
    <x:row r="7">
      <x:c r="A7" s="9" t="str">
        <x:v>Trial</x:v>
      </x:c>
      <x:c r="B7" s="9" t="str">
        <x:v>Article</x:v>
      </x:c>
      <x:c r="C7" s="9" t="str">
        <x:v>Candidate</x:v>
      </x:c>
      <x:c r="D7" s="9" t="str">
        <x:v>Lineage</x:v>
      </x:c>
      <x:c r="E7" s="9" t="str">
        <x:v>Campus</x:v>
      </x:c>
      <x:c r="F7" s="9" t="str">
        <x:v>Family</x:v>
      </x:c>
      <x:c r="G7" s="9" t="str">
        <x:v>Energy ratio</x:v>
      </x:c>
      <x:c r="H7" s="9" t="str">
        <x:v>Onset error ms</x:v>
      </x:c>
      <x:c r="I7" s="9" t="str">
        <x:v>Duration error ms</x:v>
      </x:c>
      <x:c r="J7" s="9" t="str">
        <x:v>Location error mm</x:v>
      </x:c>
      <x:c r="K7" s="9" t="str">
        <x:v>Repeat error mm</x:v>
      </x:c>
      <x:c r="L7" s="9" t="str">
        <x:v>Abort cessation ms</x:v>
      </x:c>
      <x:c r="M7" s="9" t="str">
        <x:v>Temp 60 s C</x:v>
      </x:c>
      <x:c r="N7" s="9" t="str">
        <x:v>Temp 10 min C</x:v>
      </x:c>
      <x:c r="O7" s="9" t="str">
        <x:v>Pre-command clear</x:v>
      </x:c>
      <x:c r="P7" s="9" t="str">
        <x:v>No uncommanded discharge</x:v>
      </x:c>
      <x:c r="Q7" s="9" t="str">
        <x:v>Gates closed</x:v>
      </x:c>
      <x:c r="R7" s="9" t="str">
        <x:v>Records bound</x:v>
      </x:c>
      <x:c r="S7" s="9" t="str">
        <x:v>Safeing paths accepted</x:v>
      </x:c>
      <x:c r="T7" s="9" t="str">
        <x:v>Outside replays accepted</x:v>
      </x:c>
      <x:c r="U7" s="9" t="str">
        <x:v>Disposition</x:v>
      </x:c>
    </x:row>
    <x:row r="8">
      <x:c r="A8" s="11" t="str">
        <x:v>ITR-001</x:v>
      </x:c>
      <x:c r="B8" s="11" t="str">
        <x:v>IART-01</x:v>
      </x:c>
      <x:c r="C8" s="11" t="str">
        <x:v>IA-1</x:v>
      </x:c>
      <x:c r="D8" s="11" t="str">
        <x:v>BL-A</x:v>
      </x:c>
      <x:c r="E8" s="11" t="str">
        <x:v>C-1</x:v>
      </x:c>
      <x:c r="F8" s="11" t="str">
        <x:v>IT-1 nominal</x:v>
      </x:c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1" t="str">
        <x:f>IF(OR(COUNT(G8:N8)&lt;8,COUNTA(O8:P8)&lt;2,COUNT(Q8:T8)&lt;4),"OPEN",IF(AND(G8&gt;='Assumptions'!$B$20,G8&lt;='Assumptions'!$B$21,ABS(H8)&lt;='Assumptions'!$B$22,ABS(I8)&lt;='Assumptions'!$B$23,ABS(J8)&lt;='Assumptions'!$B$24,ABS(K8)&lt;='Assumptions'!$B$25,L8&lt;='Assumptions'!$B$26,M8&lt;='Assumptions'!$B$27,N8&lt;='Assumptions'!$B$28,O8="YES",P8="YES",Q8=24,R8=96,S8=8,T8=2),"PASS","VALID-ADVERSE"))</x:f>
        <x:v>OPEN</x:v>
      </x:c>
    </x:row>
    <x:row r="9">
      <x:c r="A9" s="11" t="str">
        <x:v>ITR-002</x:v>
      </x:c>
      <x:c r="B9" s="11" t="str">
        <x:v>IART-01</x:v>
      </x:c>
      <x:c r="C9" s="11" t="str">
        <x:v>IA-1</x:v>
      </x:c>
      <x:c r="D9" s="11" t="str">
        <x:v>BL-A</x:v>
      </x:c>
      <x:c r="E9" s="11" t="str">
        <x:v>C-1</x:v>
      </x:c>
      <x:c r="F9" s="11" t="str">
        <x:v>IT-2 geometry edge</x:v>
      </x:c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1" t="str">
        <x:f>IF(OR(COUNT(G9:N9)&lt;8,COUNTA(O9:P9)&lt;2,COUNT(Q9:T9)&lt;4),"OPEN",IF(AND(G9&gt;='Assumptions'!$B$20,G9&lt;='Assumptions'!$B$21,ABS(H9)&lt;='Assumptions'!$B$22,ABS(I9)&lt;='Assumptions'!$B$23,ABS(J9)&lt;='Assumptions'!$B$24,ABS(K9)&lt;='Assumptions'!$B$25,L9&lt;='Assumptions'!$B$26,M9&lt;='Assumptions'!$B$27,N9&lt;='Assumptions'!$B$28,O9="YES",P9="YES",Q9=24,R9=96,S9=8,T9=2),"PASS","VALID-ADVERSE"))</x:f>
        <x:v>OPEN</x:v>
      </x:c>
    </x:row>
    <x:row r="10">
      <x:c r="A10" s="11" t="str">
        <x:v>ITR-003</x:v>
      </x:c>
      <x:c r="B10" s="11" t="str">
        <x:v>IART-01</x:v>
      </x:c>
      <x:c r="C10" s="11" t="str">
        <x:v>IA-1</x:v>
      </x:c>
      <x:c r="D10" s="11" t="str">
        <x:v>BL-A</x:v>
      </x:c>
      <x:c r="E10" s="11" t="str">
        <x:v>C-1</x:v>
      </x:c>
      <x:c r="F10" s="11" t="str">
        <x:v>IT-3 atmosphere boundary</x:v>
      </x:c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1" t="str">
        <x:f>IF(OR(COUNT(G10:N10)&lt;8,COUNTA(O10:P10)&lt;2,COUNT(Q10:T10)&lt;4),"OPEN",IF(AND(G10&gt;='Assumptions'!$B$20,G10&lt;='Assumptions'!$B$21,ABS(H10)&lt;='Assumptions'!$B$22,ABS(I10)&lt;='Assumptions'!$B$23,ABS(J10)&lt;='Assumptions'!$B$24,ABS(K10)&lt;='Assumptions'!$B$25,L10&lt;='Assumptions'!$B$26,M10&lt;='Assumptions'!$B$27,N10&lt;='Assumptions'!$B$28,O10="YES",P10="YES",Q10=24,R10=96,S10=8,T10=2),"PASS","VALID-ADVERSE"))</x:f>
        <x:v>OPEN</x:v>
      </x:c>
    </x:row>
    <x:row r="11">
      <x:c r="A11" s="11" t="str">
        <x:v>ITR-004</x:v>
      </x:c>
      <x:c r="B11" s="11" t="str">
        <x:v>IART-01</x:v>
      </x:c>
      <x:c r="C11" s="11" t="str">
        <x:v>IA-1</x:v>
      </x:c>
      <x:c r="D11" s="11" t="str">
        <x:v>BL-A</x:v>
      </x:c>
      <x:c r="E11" s="11" t="str">
        <x:v>C-1</x:v>
      </x:c>
      <x:c r="F11" s="11" t="str">
        <x:v>IT-4 service denied</x:v>
      </x:c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1" t="str">
        <x:f>IF(OR(COUNT(G11:N11)&lt;8,COUNTA(O11:P11)&lt;2,COUNT(Q11:T11)&lt;4),"OPEN",IF(AND(G11&gt;='Assumptions'!$B$20,G11&lt;='Assumptions'!$B$21,ABS(H11)&lt;='Assumptions'!$B$22,ABS(I11)&lt;='Assumptions'!$B$23,ABS(J11)&lt;='Assumptions'!$B$24,ABS(K11)&lt;='Assumptions'!$B$25,L11&lt;='Assumptions'!$B$26,M11&lt;='Assumptions'!$B$27,N11&lt;='Assumptions'!$B$28,O11="YES",P11="YES",Q11=24,R11=96,S11=8,T11=2),"PASS","VALID-ADVERSE"))</x:f>
        <x:v>OPEN</x:v>
      </x:c>
    </x:row>
    <x:row r="12">
      <x:c r="A12" s="11" t="str">
        <x:v>ITR-005</x:v>
      </x:c>
      <x:c r="B12" s="11" t="str">
        <x:v>IART-01</x:v>
      </x:c>
      <x:c r="C12" s="11" t="str">
        <x:v>IA-1</x:v>
      </x:c>
      <x:c r="D12" s="11" t="str">
        <x:v>BL-A</x:v>
      </x:c>
      <x:c r="E12" s="11" t="str">
        <x:v>C-1</x:v>
      </x:c>
      <x:c r="F12" s="11" t="str">
        <x:v>IT-5 network/time loss</x:v>
      </x:c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1" t="str">
        <x:f>IF(OR(COUNT(G12:N12)&lt;8,COUNTA(O12:P12)&lt;2,COUNT(Q12:T12)&lt;4),"OPEN",IF(AND(G12&gt;='Assumptions'!$B$20,G12&lt;='Assumptions'!$B$21,ABS(H12)&lt;='Assumptions'!$B$22,ABS(I12)&lt;='Assumptions'!$B$23,ABS(J12)&lt;='Assumptions'!$B$24,ABS(K12)&lt;='Assumptions'!$B$25,L12&lt;='Assumptions'!$B$26,M12&lt;='Assumptions'!$B$27,N12&lt;='Assumptions'!$B$28,O12="YES",P12="YES",Q12=24,R12=96,S12=8,T12=2),"PASS","VALID-ADVERSE"))</x:f>
        <x:v>OPEN</x:v>
      </x:c>
    </x:row>
    <x:row r="13">
      <x:c r="A13" s="11" t="str">
        <x:v>ITR-006</x:v>
      </x:c>
      <x:c r="B13" s="11" t="str">
        <x:v>IART-01</x:v>
      </x:c>
      <x:c r="C13" s="11" t="str">
        <x:v>IA-1</x:v>
      </x:c>
      <x:c r="D13" s="11" t="str">
        <x:v>BL-A</x:v>
      </x:c>
      <x:c r="E13" s="11" t="str">
        <x:v>C-1</x:v>
      </x:c>
      <x:c r="F13" s="11" t="str">
        <x:v>IT-6 interrupt/remove</x:v>
      </x:c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1" t="str">
        <x:f>IF(OR(COUNT(G13:N13)&lt;8,COUNTA(O13:P13)&lt;2,COUNT(Q13:T13)&lt;4),"OPEN",IF(AND(G13&gt;='Assumptions'!$B$20,G13&lt;='Assumptions'!$B$21,ABS(H13)&lt;='Assumptions'!$B$22,ABS(I13)&lt;='Assumptions'!$B$23,ABS(J13)&lt;='Assumptions'!$B$24,ABS(K13)&lt;='Assumptions'!$B$25,L13&lt;='Assumptions'!$B$26,M13&lt;='Assumptions'!$B$27,N13&lt;='Assumptions'!$B$28,O13="YES",P13="YES",Q13=24,R13=96,S13=8,T13=2),"PASS","VALID-ADVERSE"))</x:f>
        <x:v>OPEN</x:v>
      </x:c>
    </x:row>
    <x:row r="14">
      <x:c r="A14" s="11" t="str">
        <x:v>ITR-007</x:v>
      </x:c>
      <x:c r="B14" s="11" t="str">
        <x:v>IART-02</x:v>
      </x:c>
      <x:c r="C14" s="11" t="str">
        <x:v>IA-1</x:v>
      </x:c>
      <x:c r="D14" s="11" t="str">
        <x:v>BL-A</x:v>
      </x:c>
      <x:c r="E14" s="11" t="str">
        <x:v>C-2</x:v>
      </x:c>
      <x:c r="F14" s="11" t="str">
        <x:v>IT-1 nominal</x:v>
      </x:c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1" t="str">
        <x:f>IF(OR(COUNT(G14:N14)&lt;8,COUNTA(O14:P14)&lt;2,COUNT(Q14:T14)&lt;4),"OPEN",IF(AND(G14&gt;='Assumptions'!$B$20,G14&lt;='Assumptions'!$B$21,ABS(H14)&lt;='Assumptions'!$B$22,ABS(I14)&lt;='Assumptions'!$B$23,ABS(J14)&lt;='Assumptions'!$B$24,ABS(K14)&lt;='Assumptions'!$B$25,L14&lt;='Assumptions'!$B$26,M14&lt;='Assumptions'!$B$27,N14&lt;='Assumptions'!$B$28,O14="YES",P14="YES",Q14=24,R14=96,S14=8,T14=2),"PASS","VALID-ADVERSE"))</x:f>
        <x:v>OPEN</x:v>
      </x:c>
    </x:row>
    <x:row r="15">
      <x:c r="A15" s="11" t="str">
        <x:v>ITR-008</x:v>
      </x:c>
      <x:c r="B15" s="11" t="str">
        <x:v>IART-02</x:v>
      </x:c>
      <x:c r="C15" s="11" t="str">
        <x:v>IA-1</x:v>
      </x:c>
      <x:c r="D15" s="11" t="str">
        <x:v>BL-A</x:v>
      </x:c>
      <x:c r="E15" s="11" t="str">
        <x:v>C-2</x:v>
      </x:c>
      <x:c r="F15" s="11" t="str">
        <x:v>IT-2 geometry edge</x:v>
      </x:c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1" t="str">
        <x:f>IF(OR(COUNT(G15:N15)&lt;8,COUNTA(O15:P15)&lt;2,COUNT(Q15:T15)&lt;4),"OPEN",IF(AND(G15&gt;='Assumptions'!$B$20,G15&lt;='Assumptions'!$B$21,ABS(H15)&lt;='Assumptions'!$B$22,ABS(I15)&lt;='Assumptions'!$B$23,ABS(J15)&lt;='Assumptions'!$B$24,ABS(K15)&lt;='Assumptions'!$B$25,L15&lt;='Assumptions'!$B$26,M15&lt;='Assumptions'!$B$27,N15&lt;='Assumptions'!$B$28,O15="YES",P15="YES",Q15=24,R15=96,S15=8,T15=2),"PASS","VALID-ADVERSE"))</x:f>
        <x:v>OPEN</x:v>
      </x:c>
    </x:row>
    <x:row r="16">
      <x:c r="A16" s="11" t="str">
        <x:v>ITR-009</x:v>
      </x:c>
      <x:c r="B16" s="11" t="str">
        <x:v>IART-02</x:v>
      </x:c>
      <x:c r="C16" s="11" t="str">
        <x:v>IA-1</x:v>
      </x:c>
      <x:c r="D16" s="11" t="str">
        <x:v>BL-A</x:v>
      </x:c>
      <x:c r="E16" s="11" t="str">
        <x:v>C-2</x:v>
      </x:c>
      <x:c r="F16" s="11" t="str">
        <x:v>IT-3 atmosphere boundary</x:v>
      </x:c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1" t="str">
        <x:f>IF(OR(COUNT(G16:N16)&lt;8,COUNTA(O16:P16)&lt;2,COUNT(Q16:T16)&lt;4),"OPEN",IF(AND(G16&gt;='Assumptions'!$B$20,G16&lt;='Assumptions'!$B$21,ABS(H16)&lt;='Assumptions'!$B$22,ABS(I16)&lt;='Assumptions'!$B$23,ABS(J16)&lt;='Assumptions'!$B$24,ABS(K16)&lt;='Assumptions'!$B$25,L16&lt;='Assumptions'!$B$26,M16&lt;='Assumptions'!$B$27,N16&lt;='Assumptions'!$B$28,O16="YES",P16="YES",Q16=24,R16=96,S16=8,T16=2),"PASS","VALID-ADVERSE"))</x:f>
        <x:v>OPEN</x:v>
      </x:c>
    </x:row>
    <x:row r="17">
      <x:c r="A17" s="11" t="str">
        <x:v>ITR-010</x:v>
      </x:c>
      <x:c r="B17" s="11" t="str">
        <x:v>IART-02</x:v>
      </x:c>
      <x:c r="C17" s="11" t="str">
        <x:v>IA-1</x:v>
      </x:c>
      <x:c r="D17" s="11" t="str">
        <x:v>BL-A</x:v>
      </x:c>
      <x:c r="E17" s="11" t="str">
        <x:v>C-2</x:v>
      </x:c>
      <x:c r="F17" s="11" t="str">
        <x:v>IT-4 service denied</x:v>
      </x:c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1" t="str">
        <x:f>IF(OR(COUNT(G17:N17)&lt;8,COUNTA(O17:P17)&lt;2,COUNT(Q17:T17)&lt;4),"OPEN",IF(AND(G17&gt;='Assumptions'!$B$20,G17&lt;='Assumptions'!$B$21,ABS(H17)&lt;='Assumptions'!$B$22,ABS(I17)&lt;='Assumptions'!$B$23,ABS(J17)&lt;='Assumptions'!$B$24,ABS(K17)&lt;='Assumptions'!$B$25,L17&lt;='Assumptions'!$B$26,M17&lt;='Assumptions'!$B$27,N17&lt;='Assumptions'!$B$28,O17="YES",P17="YES",Q17=24,R17=96,S17=8,T17=2),"PASS","VALID-ADVERSE"))</x:f>
        <x:v>OPEN</x:v>
      </x:c>
    </x:row>
    <x:row r="18">
      <x:c r="A18" s="11" t="str">
        <x:v>ITR-011</x:v>
      </x:c>
      <x:c r="B18" s="11" t="str">
        <x:v>IART-02</x:v>
      </x:c>
      <x:c r="C18" s="11" t="str">
        <x:v>IA-1</x:v>
      </x:c>
      <x:c r="D18" s="11" t="str">
        <x:v>BL-A</x:v>
      </x:c>
      <x:c r="E18" s="11" t="str">
        <x:v>C-2</x:v>
      </x:c>
      <x:c r="F18" s="11" t="str">
        <x:v>IT-5 network/time loss</x:v>
      </x:c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1" t="str">
        <x:f>IF(OR(COUNT(G18:N18)&lt;8,COUNTA(O18:P18)&lt;2,COUNT(Q18:T18)&lt;4),"OPEN",IF(AND(G18&gt;='Assumptions'!$B$20,G18&lt;='Assumptions'!$B$21,ABS(H18)&lt;='Assumptions'!$B$22,ABS(I18)&lt;='Assumptions'!$B$23,ABS(J18)&lt;='Assumptions'!$B$24,ABS(K18)&lt;='Assumptions'!$B$25,L18&lt;='Assumptions'!$B$26,M18&lt;='Assumptions'!$B$27,N18&lt;='Assumptions'!$B$28,O18="YES",P18="YES",Q18=24,R18=96,S18=8,T18=2),"PASS","VALID-ADVERSE"))</x:f>
        <x:v>OPEN</x:v>
      </x:c>
    </x:row>
    <x:row r="19">
      <x:c r="A19" s="11" t="str">
        <x:v>ITR-012</x:v>
      </x:c>
      <x:c r="B19" s="11" t="str">
        <x:v>IART-02</x:v>
      </x:c>
      <x:c r="C19" s="11" t="str">
        <x:v>IA-1</x:v>
      </x:c>
      <x:c r="D19" s="11" t="str">
        <x:v>BL-A</x:v>
      </x:c>
      <x:c r="E19" s="11" t="str">
        <x:v>C-2</x:v>
      </x:c>
      <x:c r="F19" s="11" t="str">
        <x:v>IT-6 interrupt/remove</x:v>
      </x:c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1" t="str">
        <x:f>IF(OR(COUNT(G19:N19)&lt;8,COUNTA(O19:P19)&lt;2,COUNT(Q19:T19)&lt;4),"OPEN",IF(AND(G19&gt;='Assumptions'!$B$20,G19&lt;='Assumptions'!$B$21,ABS(H19)&lt;='Assumptions'!$B$22,ABS(I19)&lt;='Assumptions'!$B$23,ABS(J19)&lt;='Assumptions'!$B$24,ABS(K19)&lt;='Assumptions'!$B$25,L19&lt;='Assumptions'!$B$26,M19&lt;='Assumptions'!$B$27,N19&lt;='Assumptions'!$B$28,O19="YES",P19="YES",Q19=24,R19=96,S19=8,T19=2),"PASS","VALID-ADVERSE"))</x:f>
        <x:v>OPEN</x:v>
      </x:c>
    </x:row>
    <x:row r="20">
      <x:c r="A20" s="11" t="str">
        <x:v>ITR-013</x:v>
      </x:c>
      <x:c r="B20" s="11" t="str">
        <x:v>IART-03</x:v>
      </x:c>
      <x:c r="C20" s="11" t="str">
        <x:v>IA-1</x:v>
      </x:c>
      <x:c r="D20" s="11" t="str">
        <x:v>BL-A</x:v>
      </x:c>
      <x:c r="E20" s="11" t="str">
        <x:v>C-3</x:v>
      </x:c>
      <x:c r="F20" s="11" t="str">
        <x:v>IT-1 nominal</x:v>
      </x:c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1" t="str">
        <x:f>IF(OR(COUNT(G20:N20)&lt;8,COUNTA(O20:P20)&lt;2,COUNT(Q20:T20)&lt;4),"OPEN",IF(AND(G20&gt;='Assumptions'!$B$20,G20&lt;='Assumptions'!$B$21,ABS(H20)&lt;='Assumptions'!$B$22,ABS(I20)&lt;='Assumptions'!$B$23,ABS(J20)&lt;='Assumptions'!$B$24,ABS(K20)&lt;='Assumptions'!$B$25,L20&lt;='Assumptions'!$B$26,M20&lt;='Assumptions'!$B$27,N20&lt;='Assumptions'!$B$28,O20="YES",P20="YES",Q20=24,R20=96,S20=8,T20=2),"PASS","VALID-ADVERSE"))</x:f>
        <x:v>OPEN</x:v>
      </x:c>
    </x:row>
    <x:row r="21">
      <x:c r="A21" s="11" t="str">
        <x:v>ITR-014</x:v>
      </x:c>
      <x:c r="B21" s="11" t="str">
        <x:v>IART-03</x:v>
      </x:c>
      <x:c r="C21" s="11" t="str">
        <x:v>IA-1</x:v>
      </x:c>
      <x:c r="D21" s="11" t="str">
        <x:v>BL-A</x:v>
      </x:c>
      <x:c r="E21" s="11" t="str">
        <x:v>C-3</x:v>
      </x:c>
      <x:c r="F21" s="11" t="str">
        <x:v>IT-2 geometry edge</x:v>
      </x:c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1" t="str">
        <x:f>IF(OR(COUNT(G21:N21)&lt;8,COUNTA(O21:P21)&lt;2,COUNT(Q21:T21)&lt;4),"OPEN",IF(AND(G21&gt;='Assumptions'!$B$20,G21&lt;='Assumptions'!$B$21,ABS(H21)&lt;='Assumptions'!$B$22,ABS(I21)&lt;='Assumptions'!$B$23,ABS(J21)&lt;='Assumptions'!$B$24,ABS(K21)&lt;='Assumptions'!$B$25,L21&lt;='Assumptions'!$B$26,M21&lt;='Assumptions'!$B$27,N21&lt;='Assumptions'!$B$28,O21="YES",P21="YES",Q21=24,R21=96,S21=8,T21=2),"PASS","VALID-ADVERSE"))</x:f>
        <x:v>OPEN</x:v>
      </x:c>
    </x:row>
    <x:row r="22">
      <x:c r="A22" s="11" t="str">
        <x:v>ITR-015</x:v>
      </x:c>
      <x:c r="B22" s="11" t="str">
        <x:v>IART-03</x:v>
      </x:c>
      <x:c r="C22" s="11" t="str">
        <x:v>IA-1</x:v>
      </x:c>
      <x:c r="D22" s="11" t="str">
        <x:v>BL-A</x:v>
      </x:c>
      <x:c r="E22" s="11" t="str">
        <x:v>C-3</x:v>
      </x:c>
      <x:c r="F22" s="11" t="str">
        <x:v>IT-3 atmosphere boundary</x:v>
      </x:c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1" t="str">
        <x:f>IF(OR(COUNT(G22:N22)&lt;8,COUNTA(O22:P22)&lt;2,COUNT(Q22:T22)&lt;4),"OPEN",IF(AND(G22&gt;='Assumptions'!$B$20,G22&lt;='Assumptions'!$B$21,ABS(H22)&lt;='Assumptions'!$B$22,ABS(I22)&lt;='Assumptions'!$B$23,ABS(J22)&lt;='Assumptions'!$B$24,ABS(K22)&lt;='Assumptions'!$B$25,L22&lt;='Assumptions'!$B$26,M22&lt;='Assumptions'!$B$27,N22&lt;='Assumptions'!$B$28,O22="YES",P22="YES",Q22=24,R22=96,S22=8,T22=2),"PASS","VALID-ADVERSE"))</x:f>
        <x:v>OPEN</x:v>
      </x:c>
    </x:row>
    <x:row r="23">
      <x:c r="A23" s="11" t="str">
        <x:v>ITR-016</x:v>
      </x:c>
      <x:c r="B23" s="11" t="str">
        <x:v>IART-03</x:v>
      </x:c>
      <x:c r="C23" s="11" t="str">
        <x:v>IA-1</x:v>
      </x:c>
      <x:c r="D23" s="11" t="str">
        <x:v>BL-A</x:v>
      </x:c>
      <x:c r="E23" s="11" t="str">
        <x:v>C-3</x:v>
      </x:c>
      <x:c r="F23" s="11" t="str">
        <x:v>IT-4 service denied</x:v>
      </x:c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1" t="str">
        <x:f>IF(OR(COUNT(G23:N23)&lt;8,COUNTA(O23:P23)&lt;2,COUNT(Q23:T23)&lt;4),"OPEN",IF(AND(G23&gt;='Assumptions'!$B$20,G23&lt;='Assumptions'!$B$21,ABS(H23)&lt;='Assumptions'!$B$22,ABS(I23)&lt;='Assumptions'!$B$23,ABS(J23)&lt;='Assumptions'!$B$24,ABS(K23)&lt;='Assumptions'!$B$25,L23&lt;='Assumptions'!$B$26,M23&lt;='Assumptions'!$B$27,N23&lt;='Assumptions'!$B$28,O23="YES",P23="YES",Q23=24,R23=96,S23=8,T23=2),"PASS","VALID-ADVERSE"))</x:f>
        <x:v>OPEN</x:v>
      </x:c>
    </x:row>
    <x:row r="24">
      <x:c r="A24" s="11" t="str">
        <x:v>ITR-017</x:v>
      </x:c>
      <x:c r="B24" s="11" t="str">
        <x:v>IART-03</x:v>
      </x:c>
      <x:c r="C24" s="11" t="str">
        <x:v>IA-1</x:v>
      </x:c>
      <x:c r="D24" s="11" t="str">
        <x:v>BL-A</x:v>
      </x:c>
      <x:c r="E24" s="11" t="str">
        <x:v>C-3</x:v>
      </x:c>
      <x:c r="F24" s="11" t="str">
        <x:v>IT-5 network/time loss</x:v>
      </x:c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1" t="str">
        <x:f>IF(OR(COUNT(G24:N24)&lt;8,COUNTA(O24:P24)&lt;2,COUNT(Q24:T24)&lt;4),"OPEN",IF(AND(G24&gt;='Assumptions'!$B$20,G24&lt;='Assumptions'!$B$21,ABS(H24)&lt;='Assumptions'!$B$22,ABS(I24)&lt;='Assumptions'!$B$23,ABS(J24)&lt;='Assumptions'!$B$24,ABS(K24)&lt;='Assumptions'!$B$25,L24&lt;='Assumptions'!$B$26,M24&lt;='Assumptions'!$B$27,N24&lt;='Assumptions'!$B$28,O24="YES",P24="YES",Q24=24,R24=96,S24=8,T24=2),"PASS","VALID-ADVERSE"))</x:f>
        <x:v>OPEN</x:v>
      </x:c>
    </x:row>
    <x:row r="25">
      <x:c r="A25" s="11" t="str">
        <x:v>ITR-018</x:v>
      </x:c>
      <x:c r="B25" s="11" t="str">
        <x:v>IART-03</x:v>
      </x:c>
      <x:c r="C25" s="11" t="str">
        <x:v>IA-1</x:v>
      </x:c>
      <x:c r="D25" s="11" t="str">
        <x:v>BL-A</x:v>
      </x:c>
      <x:c r="E25" s="11" t="str">
        <x:v>C-3</x:v>
      </x:c>
      <x:c r="F25" s="11" t="str">
        <x:v>IT-6 interrupt/remove</x:v>
      </x:c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1" t="str">
        <x:f>IF(OR(COUNT(G25:N25)&lt;8,COUNTA(O25:P25)&lt;2,COUNT(Q25:T25)&lt;4),"OPEN",IF(AND(G25&gt;='Assumptions'!$B$20,G25&lt;='Assumptions'!$B$21,ABS(H25)&lt;='Assumptions'!$B$22,ABS(I25)&lt;='Assumptions'!$B$23,ABS(J25)&lt;='Assumptions'!$B$24,ABS(K25)&lt;='Assumptions'!$B$25,L25&lt;='Assumptions'!$B$26,M25&lt;='Assumptions'!$B$27,N25&lt;='Assumptions'!$B$28,O25="YES",P25="YES",Q25=24,R25=96,S25=8,T25=2),"PASS","VALID-ADVERSE"))</x:f>
        <x:v>OPEN</x:v>
      </x:c>
    </x:row>
    <x:row r="26">
      <x:c r="A26" s="11" t="str">
        <x:v>ITR-019</x:v>
      </x:c>
      <x:c r="B26" s="11" t="str">
        <x:v>IART-04</x:v>
      </x:c>
      <x:c r="C26" s="11" t="str">
        <x:v>IA-1</x:v>
      </x:c>
      <x:c r="D26" s="11" t="str">
        <x:v>BL-B</x:v>
      </x:c>
      <x:c r="E26" s="11" t="str">
        <x:v>C-1</x:v>
      </x:c>
      <x:c r="F26" s="11" t="str">
        <x:v>IT-1 nominal</x:v>
      </x:c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1" t="str">
        <x:f>IF(OR(COUNT(G26:N26)&lt;8,COUNTA(O26:P26)&lt;2,COUNT(Q26:T26)&lt;4),"OPEN",IF(AND(G26&gt;='Assumptions'!$B$20,G26&lt;='Assumptions'!$B$21,ABS(H26)&lt;='Assumptions'!$B$22,ABS(I26)&lt;='Assumptions'!$B$23,ABS(J26)&lt;='Assumptions'!$B$24,ABS(K26)&lt;='Assumptions'!$B$25,L26&lt;='Assumptions'!$B$26,M26&lt;='Assumptions'!$B$27,N26&lt;='Assumptions'!$B$28,O26="YES",P26="YES",Q26=24,R26=96,S26=8,T26=2),"PASS","VALID-ADVERSE"))</x:f>
        <x:v>OPEN</x:v>
      </x:c>
    </x:row>
    <x:row r="27">
      <x:c r="A27" s="11" t="str">
        <x:v>ITR-020</x:v>
      </x:c>
      <x:c r="B27" s="11" t="str">
        <x:v>IART-04</x:v>
      </x:c>
      <x:c r="C27" s="11" t="str">
        <x:v>IA-1</x:v>
      </x:c>
      <x:c r="D27" s="11" t="str">
        <x:v>BL-B</x:v>
      </x:c>
      <x:c r="E27" s="11" t="str">
        <x:v>C-1</x:v>
      </x:c>
      <x:c r="F27" s="11" t="str">
        <x:v>IT-2 geometry edge</x:v>
      </x:c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1" t="str">
        <x:f>IF(OR(COUNT(G27:N27)&lt;8,COUNTA(O27:P27)&lt;2,COUNT(Q27:T27)&lt;4),"OPEN",IF(AND(G27&gt;='Assumptions'!$B$20,G27&lt;='Assumptions'!$B$21,ABS(H27)&lt;='Assumptions'!$B$22,ABS(I27)&lt;='Assumptions'!$B$23,ABS(J27)&lt;='Assumptions'!$B$24,ABS(K27)&lt;='Assumptions'!$B$25,L27&lt;='Assumptions'!$B$26,M27&lt;='Assumptions'!$B$27,N27&lt;='Assumptions'!$B$28,O27="YES",P27="YES",Q27=24,R27=96,S27=8,T27=2),"PASS","VALID-ADVERSE"))</x:f>
        <x:v>OPEN</x:v>
      </x:c>
    </x:row>
    <x:row r="28">
      <x:c r="A28" s="11" t="str">
        <x:v>ITR-021</x:v>
      </x:c>
      <x:c r="B28" s="11" t="str">
        <x:v>IART-04</x:v>
      </x:c>
      <x:c r="C28" s="11" t="str">
        <x:v>IA-1</x:v>
      </x:c>
      <x:c r="D28" s="11" t="str">
        <x:v>BL-B</x:v>
      </x:c>
      <x:c r="E28" s="11" t="str">
        <x:v>C-1</x:v>
      </x:c>
      <x:c r="F28" s="11" t="str">
        <x:v>IT-3 atmosphere boundary</x:v>
      </x:c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1" t="str">
        <x:f>IF(OR(COUNT(G28:N28)&lt;8,COUNTA(O28:P28)&lt;2,COUNT(Q28:T28)&lt;4),"OPEN",IF(AND(G28&gt;='Assumptions'!$B$20,G28&lt;='Assumptions'!$B$21,ABS(H28)&lt;='Assumptions'!$B$22,ABS(I28)&lt;='Assumptions'!$B$23,ABS(J28)&lt;='Assumptions'!$B$24,ABS(K28)&lt;='Assumptions'!$B$25,L28&lt;='Assumptions'!$B$26,M28&lt;='Assumptions'!$B$27,N28&lt;='Assumptions'!$B$28,O28="YES",P28="YES",Q28=24,R28=96,S28=8,T28=2),"PASS","VALID-ADVERSE"))</x:f>
        <x:v>OPEN</x:v>
      </x:c>
    </x:row>
    <x:row r="29">
      <x:c r="A29" s="11" t="str">
        <x:v>ITR-022</x:v>
      </x:c>
      <x:c r="B29" s="11" t="str">
        <x:v>IART-04</x:v>
      </x:c>
      <x:c r="C29" s="11" t="str">
        <x:v>IA-1</x:v>
      </x:c>
      <x:c r="D29" s="11" t="str">
        <x:v>BL-B</x:v>
      </x:c>
      <x:c r="E29" s="11" t="str">
        <x:v>C-1</x:v>
      </x:c>
      <x:c r="F29" s="11" t="str">
        <x:v>IT-4 service denied</x:v>
      </x:c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1" t="str">
        <x:f>IF(OR(COUNT(G29:N29)&lt;8,COUNTA(O29:P29)&lt;2,COUNT(Q29:T29)&lt;4),"OPEN",IF(AND(G29&gt;='Assumptions'!$B$20,G29&lt;='Assumptions'!$B$21,ABS(H29)&lt;='Assumptions'!$B$22,ABS(I29)&lt;='Assumptions'!$B$23,ABS(J29)&lt;='Assumptions'!$B$24,ABS(K29)&lt;='Assumptions'!$B$25,L29&lt;='Assumptions'!$B$26,M29&lt;='Assumptions'!$B$27,N29&lt;='Assumptions'!$B$28,O29="YES",P29="YES",Q29=24,R29=96,S29=8,T29=2),"PASS","VALID-ADVERSE"))</x:f>
        <x:v>OPEN</x:v>
      </x:c>
    </x:row>
    <x:row r="30">
      <x:c r="A30" s="11" t="str">
        <x:v>ITR-023</x:v>
      </x:c>
      <x:c r="B30" s="11" t="str">
        <x:v>IART-04</x:v>
      </x:c>
      <x:c r="C30" s="11" t="str">
        <x:v>IA-1</x:v>
      </x:c>
      <x:c r="D30" s="11" t="str">
        <x:v>BL-B</x:v>
      </x:c>
      <x:c r="E30" s="11" t="str">
        <x:v>C-1</x:v>
      </x:c>
      <x:c r="F30" s="11" t="str">
        <x:v>IT-5 network/time loss</x:v>
      </x:c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1" t="str">
        <x:f>IF(OR(COUNT(G30:N30)&lt;8,COUNTA(O30:P30)&lt;2,COUNT(Q30:T30)&lt;4),"OPEN",IF(AND(G30&gt;='Assumptions'!$B$20,G30&lt;='Assumptions'!$B$21,ABS(H30)&lt;='Assumptions'!$B$22,ABS(I30)&lt;='Assumptions'!$B$23,ABS(J30)&lt;='Assumptions'!$B$24,ABS(K30)&lt;='Assumptions'!$B$25,L30&lt;='Assumptions'!$B$26,M30&lt;='Assumptions'!$B$27,N30&lt;='Assumptions'!$B$28,O30="YES",P30="YES",Q30=24,R30=96,S30=8,T30=2),"PASS","VALID-ADVERSE"))</x:f>
        <x:v>OPEN</x:v>
      </x:c>
    </x:row>
    <x:row r="31">
      <x:c r="A31" s="11" t="str">
        <x:v>ITR-024</x:v>
      </x:c>
      <x:c r="B31" s="11" t="str">
        <x:v>IART-04</x:v>
      </x:c>
      <x:c r="C31" s="11" t="str">
        <x:v>IA-1</x:v>
      </x:c>
      <x:c r="D31" s="11" t="str">
        <x:v>BL-B</x:v>
      </x:c>
      <x:c r="E31" s="11" t="str">
        <x:v>C-1</x:v>
      </x:c>
      <x:c r="F31" s="11" t="str">
        <x:v>IT-6 interrupt/remove</x:v>
      </x:c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1" t="str">
        <x:f>IF(OR(COUNT(G31:N31)&lt;8,COUNTA(O31:P31)&lt;2,COUNT(Q31:T31)&lt;4),"OPEN",IF(AND(G31&gt;='Assumptions'!$B$20,G31&lt;='Assumptions'!$B$21,ABS(H31)&lt;='Assumptions'!$B$22,ABS(I31)&lt;='Assumptions'!$B$23,ABS(J31)&lt;='Assumptions'!$B$24,ABS(K31)&lt;='Assumptions'!$B$25,L31&lt;='Assumptions'!$B$26,M31&lt;='Assumptions'!$B$27,N31&lt;='Assumptions'!$B$28,O31="YES",P31="YES",Q31=24,R31=96,S31=8,T31=2),"PASS","VALID-ADVERSE"))</x:f>
        <x:v>OPEN</x:v>
      </x:c>
    </x:row>
    <x:row r="32">
      <x:c r="A32" s="11" t="str">
        <x:v>ITR-025</x:v>
      </x:c>
      <x:c r="B32" s="11" t="str">
        <x:v>IART-05</x:v>
      </x:c>
      <x:c r="C32" s="11" t="str">
        <x:v>IA-1</x:v>
      </x:c>
      <x:c r="D32" s="11" t="str">
        <x:v>BL-B</x:v>
      </x:c>
      <x:c r="E32" s="11" t="str">
        <x:v>C-2</x:v>
      </x:c>
      <x:c r="F32" s="11" t="str">
        <x:v>IT-1 nominal</x:v>
      </x:c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1" t="str">
        <x:f>IF(OR(COUNT(G32:N32)&lt;8,COUNTA(O32:P32)&lt;2,COUNT(Q32:T32)&lt;4),"OPEN",IF(AND(G32&gt;='Assumptions'!$B$20,G32&lt;='Assumptions'!$B$21,ABS(H32)&lt;='Assumptions'!$B$22,ABS(I32)&lt;='Assumptions'!$B$23,ABS(J32)&lt;='Assumptions'!$B$24,ABS(K32)&lt;='Assumptions'!$B$25,L32&lt;='Assumptions'!$B$26,M32&lt;='Assumptions'!$B$27,N32&lt;='Assumptions'!$B$28,O32="YES",P32="YES",Q32=24,R32=96,S32=8,T32=2),"PASS","VALID-ADVERSE"))</x:f>
        <x:v>OPEN</x:v>
      </x:c>
    </x:row>
    <x:row r="33">
      <x:c r="A33" s="11" t="str">
        <x:v>ITR-026</x:v>
      </x:c>
      <x:c r="B33" s="11" t="str">
        <x:v>IART-05</x:v>
      </x:c>
      <x:c r="C33" s="11" t="str">
        <x:v>IA-1</x:v>
      </x:c>
      <x:c r="D33" s="11" t="str">
        <x:v>BL-B</x:v>
      </x:c>
      <x:c r="E33" s="11" t="str">
        <x:v>C-2</x:v>
      </x:c>
      <x:c r="F33" s="11" t="str">
        <x:v>IT-2 geometry edge</x:v>
      </x:c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1" t="str">
        <x:f>IF(OR(COUNT(G33:N33)&lt;8,COUNTA(O33:P33)&lt;2,COUNT(Q33:T33)&lt;4),"OPEN",IF(AND(G33&gt;='Assumptions'!$B$20,G33&lt;='Assumptions'!$B$21,ABS(H33)&lt;='Assumptions'!$B$22,ABS(I33)&lt;='Assumptions'!$B$23,ABS(J33)&lt;='Assumptions'!$B$24,ABS(K33)&lt;='Assumptions'!$B$25,L33&lt;='Assumptions'!$B$26,M33&lt;='Assumptions'!$B$27,N33&lt;='Assumptions'!$B$28,O33="YES",P33="YES",Q33=24,R33=96,S33=8,T33=2),"PASS","VALID-ADVERSE"))</x:f>
        <x:v>OPEN</x:v>
      </x:c>
    </x:row>
    <x:row r="34">
      <x:c r="A34" s="11" t="str">
        <x:v>ITR-027</x:v>
      </x:c>
      <x:c r="B34" s="11" t="str">
        <x:v>IART-05</x:v>
      </x:c>
      <x:c r="C34" s="11" t="str">
        <x:v>IA-1</x:v>
      </x:c>
      <x:c r="D34" s="11" t="str">
        <x:v>BL-B</x:v>
      </x:c>
      <x:c r="E34" s="11" t="str">
        <x:v>C-2</x:v>
      </x:c>
      <x:c r="F34" s="11" t="str">
        <x:v>IT-3 atmosphere boundary</x:v>
      </x:c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1" t="str">
        <x:f>IF(OR(COUNT(G34:N34)&lt;8,COUNTA(O34:P34)&lt;2,COUNT(Q34:T34)&lt;4),"OPEN",IF(AND(G34&gt;='Assumptions'!$B$20,G34&lt;='Assumptions'!$B$21,ABS(H34)&lt;='Assumptions'!$B$22,ABS(I34)&lt;='Assumptions'!$B$23,ABS(J34)&lt;='Assumptions'!$B$24,ABS(K34)&lt;='Assumptions'!$B$25,L34&lt;='Assumptions'!$B$26,M34&lt;='Assumptions'!$B$27,N34&lt;='Assumptions'!$B$28,O34="YES",P34="YES",Q34=24,R34=96,S34=8,T34=2),"PASS","VALID-ADVERSE"))</x:f>
        <x:v>OPEN</x:v>
      </x:c>
    </x:row>
    <x:row r="35">
      <x:c r="A35" s="11" t="str">
        <x:v>ITR-028</x:v>
      </x:c>
      <x:c r="B35" s="11" t="str">
        <x:v>IART-05</x:v>
      </x:c>
      <x:c r="C35" s="11" t="str">
        <x:v>IA-1</x:v>
      </x:c>
      <x:c r="D35" s="11" t="str">
        <x:v>BL-B</x:v>
      </x:c>
      <x:c r="E35" s="11" t="str">
        <x:v>C-2</x:v>
      </x:c>
      <x:c r="F35" s="11" t="str">
        <x:v>IT-4 service denied</x:v>
      </x:c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1" t="str">
        <x:f>IF(OR(COUNT(G35:N35)&lt;8,COUNTA(O35:P35)&lt;2,COUNT(Q35:T35)&lt;4),"OPEN",IF(AND(G35&gt;='Assumptions'!$B$20,G35&lt;='Assumptions'!$B$21,ABS(H35)&lt;='Assumptions'!$B$22,ABS(I35)&lt;='Assumptions'!$B$23,ABS(J35)&lt;='Assumptions'!$B$24,ABS(K35)&lt;='Assumptions'!$B$25,L35&lt;='Assumptions'!$B$26,M35&lt;='Assumptions'!$B$27,N35&lt;='Assumptions'!$B$28,O35="YES",P35="YES",Q35=24,R35=96,S35=8,T35=2),"PASS","VALID-ADVERSE"))</x:f>
        <x:v>OPEN</x:v>
      </x:c>
    </x:row>
    <x:row r="36">
      <x:c r="A36" s="11" t="str">
        <x:v>ITR-029</x:v>
      </x:c>
      <x:c r="B36" s="11" t="str">
        <x:v>IART-05</x:v>
      </x:c>
      <x:c r="C36" s="11" t="str">
        <x:v>IA-1</x:v>
      </x:c>
      <x:c r="D36" s="11" t="str">
        <x:v>BL-B</x:v>
      </x:c>
      <x:c r="E36" s="11" t="str">
        <x:v>C-2</x:v>
      </x:c>
      <x:c r="F36" s="11" t="str">
        <x:v>IT-5 network/time loss</x:v>
      </x:c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1" t="str">
        <x:f>IF(OR(COUNT(G36:N36)&lt;8,COUNTA(O36:P36)&lt;2,COUNT(Q36:T36)&lt;4),"OPEN",IF(AND(G36&gt;='Assumptions'!$B$20,G36&lt;='Assumptions'!$B$21,ABS(H36)&lt;='Assumptions'!$B$22,ABS(I36)&lt;='Assumptions'!$B$23,ABS(J36)&lt;='Assumptions'!$B$24,ABS(K36)&lt;='Assumptions'!$B$25,L36&lt;='Assumptions'!$B$26,M36&lt;='Assumptions'!$B$27,N36&lt;='Assumptions'!$B$28,O36="YES",P36="YES",Q36=24,R36=96,S36=8,T36=2),"PASS","VALID-ADVERSE"))</x:f>
        <x:v>OPEN</x:v>
      </x:c>
    </x:row>
    <x:row r="37">
      <x:c r="A37" s="11" t="str">
        <x:v>ITR-030</x:v>
      </x:c>
      <x:c r="B37" s="11" t="str">
        <x:v>IART-05</x:v>
      </x:c>
      <x:c r="C37" s="11" t="str">
        <x:v>IA-1</x:v>
      </x:c>
      <x:c r="D37" s="11" t="str">
        <x:v>BL-B</x:v>
      </x:c>
      <x:c r="E37" s="11" t="str">
        <x:v>C-2</x:v>
      </x:c>
      <x:c r="F37" s="11" t="str">
        <x:v>IT-6 interrupt/remove</x:v>
      </x:c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1" t="str">
        <x:f>IF(OR(COUNT(G37:N37)&lt;8,COUNTA(O37:P37)&lt;2,COUNT(Q37:T37)&lt;4),"OPEN",IF(AND(G37&gt;='Assumptions'!$B$20,G37&lt;='Assumptions'!$B$21,ABS(H37)&lt;='Assumptions'!$B$22,ABS(I37)&lt;='Assumptions'!$B$23,ABS(J37)&lt;='Assumptions'!$B$24,ABS(K37)&lt;='Assumptions'!$B$25,L37&lt;='Assumptions'!$B$26,M37&lt;='Assumptions'!$B$27,N37&lt;='Assumptions'!$B$28,O37="YES",P37="YES",Q37=24,R37=96,S37=8,T37=2),"PASS","VALID-ADVERSE"))</x:f>
        <x:v>OPEN</x:v>
      </x:c>
    </x:row>
    <x:row r="38">
      <x:c r="A38" s="11" t="str">
        <x:v>ITR-031</x:v>
      </x:c>
      <x:c r="B38" s="11" t="str">
        <x:v>IART-06</x:v>
      </x:c>
      <x:c r="C38" s="11" t="str">
        <x:v>IA-1</x:v>
      </x:c>
      <x:c r="D38" s="11" t="str">
        <x:v>BL-B</x:v>
      </x:c>
      <x:c r="E38" s="11" t="str">
        <x:v>C-3</x:v>
      </x:c>
      <x:c r="F38" s="11" t="str">
        <x:v>IT-1 nominal</x:v>
      </x:c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1" t="str">
        <x:f>IF(OR(COUNT(G38:N38)&lt;8,COUNTA(O38:P38)&lt;2,COUNT(Q38:T38)&lt;4),"OPEN",IF(AND(G38&gt;='Assumptions'!$B$20,G38&lt;='Assumptions'!$B$21,ABS(H38)&lt;='Assumptions'!$B$22,ABS(I38)&lt;='Assumptions'!$B$23,ABS(J38)&lt;='Assumptions'!$B$24,ABS(K38)&lt;='Assumptions'!$B$25,L38&lt;='Assumptions'!$B$26,M38&lt;='Assumptions'!$B$27,N38&lt;='Assumptions'!$B$28,O38="YES",P38="YES",Q38=24,R38=96,S38=8,T38=2),"PASS","VALID-ADVERSE"))</x:f>
        <x:v>OPEN</x:v>
      </x:c>
    </x:row>
    <x:row r="39">
      <x:c r="A39" s="11" t="str">
        <x:v>ITR-032</x:v>
      </x:c>
      <x:c r="B39" s="11" t="str">
        <x:v>IART-06</x:v>
      </x:c>
      <x:c r="C39" s="11" t="str">
        <x:v>IA-1</x:v>
      </x:c>
      <x:c r="D39" s="11" t="str">
        <x:v>BL-B</x:v>
      </x:c>
      <x:c r="E39" s="11" t="str">
        <x:v>C-3</x:v>
      </x:c>
      <x:c r="F39" s="11" t="str">
        <x:v>IT-2 geometry edge</x:v>
      </x:c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1" t="str">
        <x:f>IF(OR(COUNT(G39:N39)&lt;8,COUNTA(O39:P39)&lt;2,COUNT(Q39:T39)&lt;4),"OPEN",IF(AND(G39&gt;='Assumptions'!$B$20,G39&lt;='Assumptions'!$B$21,ABS(H39)&lt;='Assumptions'!$B$22,ABS(I39)&lt;='Assumptions'!$B$23,ABS(J39)&lt;='Assumptions'!$B$24,ABS(K39)&lt;='Assumptions'!$B$25,L39&lt;='Assumptions'!$B$26,M39&lt;='Assumptions'!$B$27,N39&lt;='Assumptions'!$B$28,O39="YES",P39="YES",Q39=24,R39=96,S39=8,T39=2),"PASS","VALID-ADVERSE"))</x:f>
        <x:v>OPEN</x:v>
      </x:c>
    </x:row>
    <x:row r="40">
      <x:c r="A40" s="11" t="str">
        <x:v>ITR-033</x:v>
      </x:c>
      <x:c r="B40" s="11" t="str">
        <x:v>IART-06</x:v>
      </x:c>
      <x:c r="C40" s="11" t="str">
        <x:v>IA-1</x:v>
      </x:c>
      <x:c r="D40" s="11" t="str">
        <x:v>BL-B</x:v>
      </x:c>
      <x:c r="E40" s="11" t="str">
        <x:v>C-3</x:v>
      </x:c>
      <x:c r="F40" s="11" t="str">
        <x:v>IT-3 atmosphere boundary</x:v>
      </x:c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1" t="str">
        <x:f>IF(OR(COUNT(G40:N40)&lt;8,COUNTA(O40:P40)&lt;2,COUNT(Q40:T40)&lt;4),"OPEN",IF(AND(G40&gt;='Assumptions'!$B$20,G40&lt;='Assumptions'!$B$21,ABS(H40)&lt;='Assumptions'!$B$22,ABS(I40)&lt;='Assumptions'!$B$23,ABS(J40)&lt;='Assumptions'!$B$24,ABS(K40)&lt;='Assumptions'!$B$25,L40&lt;='Assumptions'!$B$26,M40&lt;='Assumptions'!$B$27,N40&lt;='Assumptions'!$B$28,O40="YES",P40="YES",Q40=24,R40=96,S40=8,T40=2),"PASS","VALID-ADVERSE"))</x:f>
        <x:v>OPEN</x:v>
      </x:c>
    </x:row>
    <x:row r="41">
      <x:c r="A41" s="11" t="str">
        <x:v>ITR-034</x:v>
      </x:c>
      <x:c r="B41" s="11" t="str">
        <x:v>IART-06</x:v>
      </x:c>
      <x:c r="C41" s="11" t="str">
        <x:v>IA-1</x:v>
      </x:c>
      <x:c r="D41" s="11" t="str">
        <x:v>BL-B</x:v>
      </x:c>
      <x:c r="E41" s="11" t="str">
        <x:v>C-3</x:v>
      </x:c>
      <x:c r="F41" s="11" t="str">
        <x:v>IT-4 service denied</x:v>
      </x:c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1" t="str">
        <x:f>IF(OR(COUNT(G41:N41)&lt;8,COUNTA(O41:P41)&lt;2,COUNT(Q41:T41)&lt;4),"OPEN",IF(AND(G41&gt;='Assumptions'!$B$20,G41&lt;='Assumptions'!$B$21,ABS(H41)&lt;='Assumptions'!$B$22,ABS(I41)&lt;='Assumptions'!$B$23,ABS(J41)&lt;='Assumptions'!$B$24,ABS(K41)&lt;='Assumptions'!$B$25,L41&lt;='Assumptions'!$B$26,M41&lt;='Assumptions'!$B$27,N41&lt;='Assumptions'!$B$28,O41="YES",P41="YES",Q41=24,R41=96,S41=8,T41=2),"PASS","VALID-ADVERSE"))</x:f>
        <x:v>OPEN</x:v>
      </x:c>
    </x:row>
    <x:row r="42">
      <x:c r="A42" s="11" t="str">
        <x:v>ITR-035</x:v>
      </x:c>
      <x:c r="B42" s="11" t="str">
        <x:v>IART-06</x:v>
      </x:c>
      <x:c r="C42" s="11" t="str">
        <x:v>IA-1</x:v>
      </x:c>
      <x:c r="D42" s="11" t="str">
        <x:v>BL-B</x:v>
      </x:c>
      <x:c r="E42" s="11" t="str">
        <x:v>C-3</x:v>
      </x:c>
      <x:c r="F42" s="11" t="str">
        <x:v>IT-5 network/time loss</x:v>
      </x:c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1" t="str">
        <x:f>IF(OR(COUNT(G42:N42)&lt;8,COUNTA(O42:P42)&lt;2,COUNT(Q42:T42)&lt;4),"OPEN",IF(AND(G42&gt;='Assumptions'!$B$20,G42&lt;='Assumptions'!$B$21,ABS(H42)&lt;='Assumptions'!$B$22,ABS(I42)&lt;='Assumptions'!$B$23,ABS(J42)&lt;='Assumptions'!$B$24,ABS(K42)&lt;='Assumptions'!$B$25,L42&lt;='Assumptions'!$B$26,M42&lt;='Assumptions'!$B$27,N42&lt;='Assumptions'!$B$28,O42="YES",P42="YES",Q42=24,R42=96,S42=8,T42=2),"PASS","VALID-ADVERSE"))</x:f>
        <x:v>OPEN</x:v>
      </x:c>
    </x:row>
    <x:row r="43">
      <x:c r="A43" s="11" t="str">
        <x:v>ITR-036</x:v>
      </x:c>
      <x:c r="B43" s="11" t="str">
        <x:v>IART-06</x:v>
      </x:c>
      <x:c r="C43" s="11" t="str">
        <x:v>IA-1</x:v>
      </x:c>
      <x:c r="D43" s="11" t="str">
        <x:v>BL-B</x:v>
      </x:c>
      <x:c r="E43" s="11" t="str">
        <x:v>C-3</x:v>
      </x:c>
      <x:c r="F43" s="11" t="str">
        <x:v>IT-6 interrupt/remove</x:v>
      </x:c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1" t="str">
        <x:f>IF(OR(COUNT(G43:N43)&lt;8,COUNTA(O43:P43)&lt;2,COUNT(Q43:T43)&lt;4),"OPEN",IF(AND(G43&gt;='Assumptions'!$B$20,G43&lt;='Assumptions'!$B$21,ABS(H43)&lt;='Assumptions'!$B$22,ABS(I43)&lt;='Assumptions'!$B$23,ABS(J43)&lt;='Assumptions'!$B$24,ABS(K43)&lt;='Assumptions'!$B$25,L43&lt;='Assumptions'!$B$26,M43&lt;='Assumptions'!$B$27,N43&lt;='Assumptions'!$B$28,O43="YES",P43="YES",Q43=24,R43=96,S43=8,T43=2),"PASS","VALID-ADVERSE"))</x:f>
        <x:v>OPEN</x:v>
      </x:c>
    </x:row>
    <x:row r="44">
      <x:c r="A44" s="11" t="str">
        <x:v>ITR-037</x:v>
      </x:c>
      <x:c r="B44" s="11" t="str">
        <x:v>IART-07</x:v>
      </x:c>
      <x:c r="C44" s="11" t="str">
        <x:v>IA-2</x:v>
      </x:c>
      <x:c r="D44" s="11" t="str">
        <x:v>BL-A</x:v>
      </x:c>
      <x:c r="E44" s="11" t="str">
        <x:v>C-1</x:v>
      </x:c>
      <x:c r="F44" s="11" t="str">
        <x:v>IT-1 nominal</x:v>
      </x:c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1" t="str">
        <x:f>IF(OR(COUNT(G44:N44)&lt;8,COUNTA(O44:P44)&lt;2,COUNT(Q44:T44)&lt;4),"OPEN",IF(AND(G44&gt;='Assumptions'!$B$20,G44&lt;='Assumptions'!$B$21,ABS(H44)&lt;='Assumptions'!$B$22,ABS(I44)&lt;='Assumptions'!$B$23,ABS(J44)&lt;='Assumptions'!$B$24,ABS(K44)&lt;='Assumptions'!$B$25,L44&lt;='Assumptions'!$B$26,M44&lt;='Assumptions'!$B$27,N44&lt;='Assumptions'!$B$28,O44="YES",P44="YES",Q44=24,R44=96,S44=8,T44=2),"PASS","VALID-ADVERSE"))</x:f>
        <x:v>OPEN</x:v>
      </x:c>
    </x:row>
    <x:row r="45">
      <x:c r="A45" s="11" t="str">
        <x:v>ITR-038</x:v>
      </x:c>
      <x:c r="B45" s="11" t="str">
        <x:v>IART-07</x:v>
      </x:c>
      <x:c r="C45" s="11" t="str">
        <x:v>IA-2</x:v>
      </x:c>
      <x:c r="D45" s="11" t="str">
        <x:v>BL-A</x:v>
      </x:c>
      <x:c r="E45" s="11" t="str">
        <x:v>C-1</x:v>
      </x:c>
      <x:c r="F45" s="11" t="str">
        <x:v>IT-2 geometry edge</x:v>
      </x:c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1" t="str">
        <x:f>IF(OR(COUNT(G45:N45)&lt;8,COUNTA(O45:P45)&lt;2,COUNT(Q45:T45)&lt;4),"OPEN",IF(AND(G45&gt;='Assumptions'!$B$20,G45&lt;='Assumptions'!$B$21,ABS(H45)&lt;='Assumptions'!$B$22,ABS(I45)&lt;='Assumptions'!$B$23,ABS(J45)&lt;='Assumptions'!$B$24,ABS(K45)&lt;='Assumptions'!$B$25,L45&lt;='Assumptions'!$B$26,M45&lt;='Assumptions'!$B$27,N45&lt;='Assumptions'!$B$28,O45="YES",P45="YES",Q45=24,R45=96,S45=8,T45=2),"PASS","VALID-ADVERSE"))</x:f>
        <x:v>OPEN</x:v>
      </x:c>
    </x:row>
    <x:row r="46">
      <x:c r="A46" s="11" t="str">
        <x:v>ITR-039</x:v>
      </x:c>
      <x:c r="B46" s="11" t="str">
        <x:v>IART-07</x:v>
      </x:c>
      <x:c r="C46" s="11" t="str">
        <x:v>IA-2</x:v>
      </x:c>
      <x:c r="D46" s="11" t="str">
        <x:v>BL-A</x:v>
      </x:c>
      <x:c r="E46" s="11" t="str">
        <x:v>C-1</x:v>
      </x:c>
      <x:c r="F46" s="11" t="str">
        <x:v>IT-3 atmosphere boundary</x:v>
      </x:c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1" t="str">
        <x:f>IF(OR(COUNT(G46:N46)&lt;8,COUNTA(O46:P46)&lt;2,COUNT(Q46:T46)&lt;4),"OPEN",IF(AND(G46&gt;='Assumptions'!$B$20,G46&lt;='Assumptions'!$B$21,ABS(H46)&lt;='Assumptions'!$B$22,ABS(I46)&lt;='Assumptions'!$B$23,ABS(J46)&lt;='Assumptions'!$B$24,ABS(K46)&lt;='Assumptions'!$B$25,L46&lt;='Assumptions'!$B$26,M46&lt;='Assumptions'!$B$27,N46&lt;='Assumptions'!$B$28,O46="YES",P46="YES",Q46=24,R46=96,S46=8,T46=2),"PASS","VALID-ADVERSE"))</x:f>
        <x:v>OPEN</x:v>
      </x:c>
    </x:row>
    <x:row r="47">
      <x:c r="A47" s="11" t="str">
        <x:v>ITR-040</x:v>
      </x:c>
      <x:c r="B47" s="11" t="str">
        <x:v>IART-07</x:v>
      </x:c>
      <x:c r="C47" s="11" t="str">
        <x:v>IA-2</x:v>
      </x:c>
      <x:c r="D47" s="11" t="str">
        <x:v>BL-A</x:v>
      </x:c>
      <x:c r="E47" s="11" t="str">
        <x:v>C-1</x:v>
      </x:c>
      <x:c r="F47" s="11" t="str">
        <x:v>IT-4 service denied</x:v>
      </x:c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1" t="str">
        <x:f>IF(OR(COUNT(G47:N47)&lt;8,COUNTA(O47:P47)&lt;2,COUNT(Q47:T47)&lt;4),"OPEN",IF(AND(G47&gt;='Assumptions'!$B$20,G47&lt;='Assumptions'!$B$21,ABS(H47)&lt;='Assumptions'!$B$22,ABS(I47)&lt;='Assumptions'!$B$23,ABS(J47)&lt;='Assumptions'!$B$24,ABS(K47)&lt;='Assumptions'!$B$25,L47&lt;='Assumptions'!$B$26,M47&lt;='Assumptions'!$B$27,N47&lt;='Assumptions'!$B$28,O47="YES",P47="YES",Q47=24,R47=96,S47=8,T47=2),"PASS","VALID-ADVERSE"))</x:f>
        <x:v>OPEN</x:v>
      </x:c>
    </x:row>
    <x:row r="48">
      <x:c r="A48" s="11" t="str">
        <x:v>ITR-041</x:v>
      </x:c>
      <x:c r="B48" s="11" t="str">
        <x:v>IART-07</x:v>
      </x:c>
      <x:c r="C48" s="11" t="str">
        <x:v>IA-2</x:v>
      </x:c>
      <x:c r="D48" s="11" t="str">
        <x:v>BL-A</x:v>
      </x:c>
      <x:c r="E48" s="11" t="str">
        <x:v>C-1</x:v>
      </x:c>
      <x:c r="F48" s="11" t="str">
        <x:v>IT-5 network/time loss</x:v>
      </x:c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1" t="str">
        <x:f>IF(OR(COUNT(G48:N48)&lt;8,COUNTA(O48:P48)&lt;2,COUNT(Q48:T48)&lt;4),"OPEN",IF(AND(G48&gt;='Assumptions'!$B$20,G48&lt;='Assumptions'!$B$21,ABS(H48)&lt;='Assumptions'!$B$22,ABS(I48)&lt;='Assumptions'!$B$23,ABS(J48)&lt;='Assumptions'!$B$24,ABS(K48)&lt;='Assumptions'!$B$25,L48&lt;='Assumptions'!$B$26,M48&lt;='Assumptions'!$B$27,N48&lt;='Assumptions'!$B$28,O48="YES",P48="YES",Q48=24,R48=96,S48=8,T48=2),"PASS","VALID-ADVERSE"))</x:f>
        <x:v>OPEN</x:v>
      </x:c>
    </x:row>
    <x:row r="49">
      <x:c r="A49" s="11" t="str">
        <x:v>ITR-042</x:v>
      </x:c>
      <x:c r="B49" s="11" t="str">
        <x:v>IART-07</x:v>
      </x:c>
      <x:c r="C49" s="11" t="str">
        <x:v>IA-2</x:v>
      </x:c>
      <x:c r="D49" s="11" t="str">
        <x:v>BL-A</x:v>
      </x:c>
      <x:c r="E49" s="11" t="str">
        <x:v>C-1</x:v>
      </x:c>
      <x:c r="F49" s="11" t="str">
        <x:v>IT-6 interrupt/remove</x:v>
      </x:c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1" t="str">
        <x:f>IF(OR(COUNT(G49:N49)&lt;8,COUNTA(O49:P49)&lt;2,COUNT(Q49:T49)&lt;4),"OPEN",IF(AND(G49&gt;='Assumptions'!$B$20,G49&lt;='Assumptions'!$B$21,ABS(H49)&lt;='Assumptions'!$B$22,ABS(I49)&lt;='Assumptions'!$B$23,ABS(J49)&lt;='Assumptions'!$B$24,ABS(K49)&lt;='Assumptions'!$B$25,L49&lt;='Assumptions'!$B$26,M49&lt;='Assumptions'!$B$27,N49&lt;='Assumptions'!$B$28,O49="YES",P49="YES",Q49=24,R49=96,S49=8,T49=2),"PASS","VALID-ADVERSE"))</x:f>
        <x:v>OPEN</x:v>
      </x:c>
    </x:row>
    <x:row r="50">
      <x:c r="A50" s="11" t="str">
        <x:v>ITR-043</x:v>
      </x:c>
      <x:c r="B50" s="11" t="str">
        <x:v>IART-08</x:v>
      </x:c>
      <x:c r="C50" s="11" t="str">
        <x:v>IA-2</x:v>
      </x:c>
      <x:c r="D50" s="11" t="str">
        <x:v>BL-A</x:v>
      </x:c>
      <x:c r="E50" s="11" t="str">
        <x:v>C-2</x:v>
      </x:c>
      <x:c r="F50" s="11" t="str">
        <x:v>IT-1 nominal</x:v>
      </x:c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1" t="str">
        <x:f>IF(OR(COUNT(G50:N50)&lt;8,COUNTA(O50:P50)&lt;2,COUNT(Q50:T50)&lt;4),"OPEN",IF(AND(G50&gt;='Assumptions'!$B$20,G50&lt;='Assumptions'!$B$21,ABS(H50)&lt;='Assumptions'!$B$22,ABS(I50)&lt;='Assumptions'!$B$23,ABS(J50)&lt;='Assumptions'!$B$24,ABS(K50)&lt;='Assumptions'!$B$25,L50&lt;='Assumptions'!$B$26,M50&lt;='Assumptions'!$B$27,N50&lt;='Assumptions'!$B$28,O50="YES",P50="YES",Q50=24,R50=96,S50=8,T50=2),"PASS","VALID-ADVERSE"))</x:f>
        <x:v>OPEN</x:v>
      </x:c>
    </x:row>
    <x:row r="51">
      <x:c r="A51" s="11" t="str">
        <x:v>ITR-044</x:v>
      </x:c>
      <x:c r="B51" s="11" t="str">
        <x:v>IART-08</x:v>
      </x:c>
      <x:c r="C51" s="11" t="str">
        <x:v>IA-2</x:v>
      </x:c>
      <x:c r="D51" s="11" t="str">
        <x:v>BL-A</x:v>
      </x:c>
      <x:c r="E51" s="11" t="str">
        <x:v>C-2</x:v>
      </x:c>
      <x:c r="F51" s="11" t="str">
        <x:v>IT-2 geometry edge</x:v>
      </x:c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1" t="str">
        <x:f>IF(OR(COUNT(G51:N51)&lt;8,COUNTA(O51:P51)&lt;2,COUNT(Q51:T51)&lt;4),"OPEN",IF(AND(G51&gt;='Assumptions'!$B$20,G51&lt;='Assumptions'!$B$21,ABS(H51)&lt;='Assumptions'!$B$22,ABS(I51)&lt;='Assumptions'!$B$23,ABS(J51)&lt;='Assumptions'!$B$24,ABS(K51)&lt;='Assumptions'!$B$25,L51&lt;='Assumptions'!$B$26,M51&lt;='Assumptions'!$B$27,N51&lt;='Assumptions'!$B$28,O51="YES",P51="YES",Q51=24,R51=96,S51=8,T51=2),"PASS","VALID-ADVERSE"))</x:f>
        <x:v>OPEN</x:v>
      </x:c>
    </x:row>
    <x:row r="52">
      <x:c r="A52" s="11" t="str">
        <x:v>ITR-045</x:v>
      </x:c>
      <x:c r="B52" s="11" t="str">
        <x:v>IART-08</x:v>
      </x:c>
      <x:c r="C52" s="11" t="str">
        <x:v>IA-2</x:v>
      </x:c>
      <x:c r="D52" s="11" t="str">
        <x:v>BL-A</x:v>
      </x:c>
      <x:c r="E52" s="11" t="str">
        <x:v>C-2</x:v>
      </x:c>
      <x:c r="F52" s="11" t="str">
        <x:v>IT-3 atmosphere boundary</x:v>
      </x:c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1" t="str">
        <x:f>IF(OR(COUNT(G52:N52)&lt;8,COUNTA(O52:P52)&lt;2,COUNT(Q52:T52)&lt;4),"OPEN",IF(AND(G52&gt;='Assumptions'!$B$20,G52&lt;='Assumptions'!$B$21,ABS(H52)&lt;='Assumptions'!$B$22,ABS(I52)&lt;='Assumptions'!$B$23,ABS(J52)&lt;='Assumptions'!$B$24,ABS(K52)&lt;='Assumptions'!$B$25,L52&lt;='Assumptions'!$B$26,M52&lt;='Assumptions'!$B$27,N52&lt;='Assumptions'!$B$28,O52="YES",P52="YES",Q52=24,R52=96,S52=8,T52=2),"PASS","VALID-ADVERSE"))</x:f>
        <x:v>OPEN</x:v>
      </x:c>
    </x:row>
    <x:row r="53">
      <x:c r="A53" s="11" t="str">
        <x:v>ITR-046</x:v>
      </x:c>
      <x:c r="B53" s="11" t="str">
        <x:v>IART-08</x:v>
      </x:c>
      <x:c r="C53" s="11" t="str">
        <x:v>IA-2</x:v>
      </x:c>
      <x:c r="D53" s="11" t="str">
        <x:v>BL-A</x:v>
      </x:c>
      <x:c r="E53" s="11" t="str">
        <x:v>C-2</x:v>
      </x:c>
      <x:c r="F53" s="11" t="str">
        <x:v>IT-4 service denied</x:v>
      </x:c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1" t="str">
        <x:f>IF(OR(COUNT(G53:N53)&lt;8,COUNTA(O53:P53)&lt;2,COUNT(Q53:T53)&lt;4),"OPEN",IF(AND(G53&gt;='Assumptions'!$B$20,G53&lt;='Assumptions'!$B$21,ABS(H53)&lt;='Assumptions'!$B$22,ABS(I53)&lt;='Assumptions'!$B$23,ABS(J53)&lt;='Assumptions'!$B$24,ABS(K53)&lt;='Assumptions'!$B$25,L53&lt;='Assumptions'!$B$26,M53&lt;='Assumptions'!$B$27,N53&lt;='Assumptions'!$B$28,O53="YES",P53="YES",Q53=24,R53=96,S53=8,T53=2),"PASS","VALID-ADVERSE"))</x:f>
        <x:v>OPEN</x:v>
      </x:c>
    </x:row>
    <x:row r="54">
      <x:c r="A54" s="11" t="str">
        <x:v>ITR-047</x:v>
      </x:c>
      <x:c r="B54" s="11" t="str">
        <x:v>IART-08</x:v>
      </x:c>
      <x:c r="C54" s="11" t="str">
        <x:v>IA-2</x:v>
      </x:c>
      <x:c r="D54" s="11" t="str">
        <x:v>BL-A</x:v>
      </x:c>
      <x:c r="E54" s="11" t="str">
        <x:v>C-2</x:v>
      </x:c>
      <x:c r="F54" s="11" t="str">
        <x:v>IT-5 network/time loss</x:v>
      </x:c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1" t="str">
        <x:f>IF(OR(COUNT(G54:N54)&lt;8,COUNTA(O54:P54)&lt;2,COUNT(Q54:T54)&lt;4),"OPEN",IF(AND(G54&gt;='Assumptions'!$B$20,G54&lt;='Assumptions'!$B$21,ABS(H54)&lt;='Assumptions'!$B$22,ABS(I54)&lt;='Assumptions'!$B$23,ABS(J54)&lt;='Assumptions'!$B$24,ABS(K54)&lt;='Assumptions'!$B$25,L54&lt;='Assumptions'!$B$26,M54&lt;='Assumptions'!$B$27,N54&lt;='Assumptions'!$B$28,O54="YES",P54="YES",Q54=24,R54=96,S54=8,T54=2),"PASS","VALID-ADVERSE"))</x:f>
        <x:v>OPEN</x:v>
      </x:c>
    </x:row>
    <x:row r="55">
      <x:c r="A55" s="11" t="str">
        <x:v>ITR-048</x:v>
      </x:c>
      <x:c r="B55" s="11" t="str">
        <x:v>IART-08</x:v>
      </x:c>
      <x:c r="C55" s="11" t="str">
        <x:v>IA-2</x:v>
      </x:c>
      <x:c r="D55" s="11" t="str">
        <x:v>BL-A</x:v>
      </x:c>
      <x:c r="E55" s="11" t="str">
        <x:v>C-2</x:v>
      </x:c>
      <x:c r="F55" s="11" t="str">
        <x:v>IT-6 interrupt/remove</x:v>
      </x:c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1" t="str">
        <x:f>IF(OR(COUNT(G55:N55)&lt;8,COUNTA(O55:P55)&lt;2,COUNT(Q55:T55)&lt;4),"OPEN",IF(AND(G55&gt;='Assumptions'!$B$20,G55&lt;='Assumptions'!$B$21,ABS(H55)&lt;='Assumptions'!$B$22,ABS(I55)&lt;='Assumptions'!$B$23,ABS(J55)&lt;='Assumptions'!$B$24,ABS(K55)&lt;='Assumptions'!$B$25,L55&lt;='Assumptions'!$B$26,M55&lt;='Assumptions'!$B$27,N55&lt;='Assumptions'!$B$28,O55="YES",P55="YES",Q55=24,R55=96,S55=8,T55=2),"PASS","VALID-ADVERSE"))</x:f>
        <x:v>OPEN</x:v>
      </x:c>
    </x:row>
    <x:row r="56">
      <x:c r="A56" s="11" t="str">
        <x:v>ITR-049</x:v>
      </x:c>
      <x:c r="B56" s="11" t="str">
        <x:v>IART-09</x:v>
      </x:c>
      <x:c r="C56" s="11" t="str">
        <x:v>IA-2</x:v>
      </x:c>
      <x:c r="D56" s="11" t="str">
        <x:v>BL-A</x:v>
      </x:c>
      <x:c r="E56" s="11" t="str">
        <x:v>C-3</x:v>
      </x:c>
      <x:c r="F56" s="11" t="str">
        <x:v>IT-1 nominal</x:v>
      </x:c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1" t="str">
        <x:f>IF(OR(COUNT(G56:N56)&lt;8,COUNTA(O56:P56)&lt;2,COUNT(Q56:T56)&lt;4),"OPEN",IF(AND(G56&gt;='Assumptions'!$B$20,G56&lt;='Assumptions'!$B$21,ABS(H56)&lt;='Assumptions'!$B$22,ABS(I56)&lt;='Assumptions'!$B$23,ABS(J56)&lt;='Assumptions'!$B$24,ABS(K56)&lt;='Assumptions'!$B$25,L56&lt;='Assumptions'!$B$26,M56&lt;='Assumptions'!$B$27,N56&lt;='Assumptions'!$B$28,O56="YES",P56="YES",Q56=24,R56=96,S56=8,T56=2),"PASS","VALID-ADVERSE"))</x:f>
        <x:v>OPEN</x:v>
      </x:c>
    </x:row>
    <x:row r="57">
      <x:c r="A57" s="11" t="str">
        <x:v>ITR-050</x:v>
      </x:c>
      <x:c r="B57" s="11" t="str">
        <x:v>IART-09</x:v>
      </x:c>
      <x:c r="C57" s="11" t="str">
        <x:v>IA-2</x:v>
      </x:c>
      <x:c r="D57" s="11" t="str">
        <x:v>BL-A</x:v>
      </x:c>
      <x:c r="E57" s="11" t="str">
        <x:v>C-3</x:v>
      </x:c>
      <x:c r="F57" s="11" t="str">
        <x:v>IT-2 geometry edge</x:v>
      </x:c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1" t="str">
        <x:f>IF(OR(COUNT(G57:N57)&lt;8,COUNTA(O57:P57)&lt;2,COUNT(Q57:T57)&lt;4),"OPEN",IF(AND(G57&gt;='Assumptions'!$B$20,G57&lt;='Assumptions'!$B$21,ABS(H57)&lt;='Assumptions'!$B$22,ABS(I57)&lt;='Assumptions'!$B$23,ABS(J57)&lt;='Assumptions'!$B$24,ABS(K57)&lt;='Assumptions'!$B$25,L57&lt;='Assumptions'!$B$26,M57&lt;='Assumptions'!$B$27,N57&lt;='Assumptions'!$B$28,O57="YES",P57="YES",Q57=24,R57=96,S57=8,T57=2),"PASS","VALID-ADVERSE"))</x:f>
        <x:v>OPEN</x:v>
      </x:c>
    </x:row>
    <x:row r="58">
      <x:c r="A58" s="11" t="str">
        <x:v>ITR-051</x:v>
      </x:c>
      <x:c r="B58" s="11" t="str">
        <x:v>IART-09</x:v>
      </x:c>
      <x:c r="C58" s="11" t="str">
        <x:v>IA-2</x:v>
      </x:c>
      <x:c r="D58" s="11" t="str">
        <x:v>BL-A</x:v>
      </x:c>
      <x:c r="E58" s="11" t="str">
        <x:v>C-3</x:v>
      </x:c>
      <x:c r="F58" s="11" t="str">
        <x:v>IT-3 atmosphere boundary</x:v>
      </x:c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1" t="str">
        <x:f>IF(OR(COUNT(G58:N58)&lt;8,COUNTA(O58:P58)&lt;2,COUNT(Q58:T58)&lt;4),"OPEN",IF(AND(G58&gt;='Assumptions'!$B$20,G58&lt;='Assumptions'!$B$21,ABS(H58)&lt;='Assumptions'!$B$22,ABS(I58)&lt;='Assumptions'!$B$23,ABS(J58)&lt;='Assumptions'!$B$24,ABS(K58)&lt;='Assumptions'!$B$25,L58&lt;='Assumptions'!$B$26,M58&lt;='Assumptions'!$B$27,N58&lt;='Assumptions'!$B$28,O58="YES",P58="YES",Q58=24,R58=96,S58=8,T58=2),"PASS","VALID-ADVERSE"))</x:f>
        <x:v>OPEN</x:v>
      </x:c>
    </x:row>
    <x:row r="59">
      <x:c r="A59" s="11" t="str">
        <x:v>ITR-052</x:v>
      </x:c>
      <x:c r="B59" s="11" t="str">
        <x:v>IART-09</x:v>
      </x:c>
      <x:c r="C59" s="11" t="str">
        <x:v>IA-2</x:v>
      </x:c>
      <x:c r="D59" s="11" t="str">
        <x:v>BL-A</x:v>
      </x:c>
      <x:c r="E59" s="11" t="str">
        <x:v>C-3</x:v>
      </x:c>
      <x:c r="F59" s="11" t="str">
        <x:v>IT-4 service denied</x:v>
      </x:c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1" t="str">
        <x:f>IF(OR(COUNT(G59:N59)&lt;8,COUNTA(O59:P59)&lt;2,COUNT(Q59:T59)&lt;4),"OPEN",IF(AND(G59&gt;='Assumptions'!$B$20,G59&lt;='Assumptions'!$B$21,ABS(H59)&lt;='Assumptions'!$B$22,ABS(I59)&lt;='Assumptions'!$B$23,ABS(J59)&lt;='Assumptions'!$B$24,ABS(K59)&lt;='Assumptions'!$B$25,L59&lt;='Assumptions'!$B$26,M59&lt;='Assumptions'!$B$27,N59&lt;='Assumptions'!$B$28,O59="YES",P59="YES",Q59=24,R59=96,S59=8,T59=2),"PASS","VALID-ADVERSE"))</x:f>
        <x:v>OPEN</x:v>
      </x:c>
    </x:row>
    <x:row r="60">
      <x:c r="A60" s="11" t="str">
        <x:v>ITR-053</x:v>
      </x:c>
      <x:c r="B60" s="11" t="str">
        <x:v>IART-09</x:v>
      </x:c>
      <x:c r="C60" s="11" t="str">
        <x:v>IA-2</x:v>
      </x:c>
      <x:c r="D60" s="11" t="str">
        <x:v>BL-A</x:v>
      </x:c>
      <x:c r="E60" s="11" t="str">
        <x:v>C-3</x:v>
      </x:c>
      <x:c r="F60" s="11" t="str">
        <x:v>IT-5 network/time loss</x:v>
      </x:c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1" t="str">
        <x:f>IF(OR(COUNT(G60:N60)&lt;8,COUNTA(O60:P60)&lt;2,COUNT(Q60:T60)&lt;4),"OPEN",IF(AND(G60&gt;='Assumptions'!$B$20,G60&lt;='Assumptions'!$B$21,ABS(H60)&lt;='Assumptions'!$B$22,ABS(I60)&lt;='Assumptions'!$B$23,ABS(J60)&lt;='Assumptions'!$B$24,ABS(K60)&lt;='Assumptions'!$B$25,L60&lt;='Assumptions'!$B$26,M60&lt;='Assumptions'!$B$27,N60&lt;='Assumptions'!$B$28,O60="YES",P60="YES",Q60=24,R60=96,S60=8,T60=2),"PASS","VALID-ADVERSE"))</x:f>
        <x:v>OPEN</x:v>
      </x:c>
    </x:row>
    <x:row r="61">
      <x:c r="A61" s="11" t="str">
        <x:v>ITR-054</x:v>
      </x:c>
      <x:c r="B61" s="11" t="str">
        <x:v>IART-09</x:v>
      </x:c>
      <x:c r="C61" s="11" t="str">
        <x:v>IA-2</x:v>
      </x:c>
      <x:c r="D61" s="11" t="str">
        <x:v>BL-A</x:v>
      </x:c>
      <x:c r="E61" s="11" t="str">
        <x:v>C-3</x:v>
      </x:c>
      <x:c r="F61" s="11" t="str">
        <x:v>IT-6 interrupt/remove</x:v>
      </x:c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1" t="str">
        <x:f>IF(OR(COUNT(G61:N61)&lt;8,COUNTA(O61:P61)&lt;2,COUNT(Q61:T61)&lt;4),"OPEN",IF(AND(G61&gt;='Assumptions'!$B$20,G61&lt;='Assumptions'!$B$21,ABS(H61)&lt;='Assumptions'!$B$22,ABS(I61)&lt;='Assumptions'!$B$23,ABS(J61)&lt;='Assumptions'!$B$24,ABS(K61)&lt;='Assumptions'!$B$25,L61&lt;='Assumptions'!$B$26,M61&lt;='Assumptions'!$B$27,N61&lt;='Assumptions'!$B$28,O61="YES",P61="YES",Q61=24,R61=96,S61=8,T61=2),"PASS","VALID-ADVERSE"))</x:f>
        <x:v>OPEN</x:v>
      </x:c>
    </x:row>
    <x:row r="62">
      <x:c r="A62" s="11" t="str">
        <x:v>ITR-055</x:v>
      </x:c>
      <x:c r="B62" s="11" t="str">
        <x:v>IART-10</x:v>
      </x:c>
      <x:c r="C62" s="11" t="str">
        <x:v>IA-2</x:v>
      </x:c>
      <x:c r="D62" s="11" t="str">
        <x:v>BL-B</x:v>
      </x:c>
      <x:c r="E62" s="11" t="str">
        <x:v>C-1</x:v>
      </x:c>
      <x:c r="F62" s="11" t="str">
        <x:v>IT-1 nominal</x:v>
      </x:c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1" t="str">
        <x:f>IF(OR(COUNT(G62:N62)&lt;8,COUNTA(O62:P62)&lt;2,COUNT(Q62:T62)&lt;4),"OPEN",IF(AND(G62&gt;='Assumptions'!$B$20,G62&lt;='Assumptions'!$B$21,ABS(H62)&lt;='Assumptions'!$B$22,ABS(I62)&lt;='Assumptions'!$B$23,ABS(J62)&lt;='Assumptions'!$B$24,ABS(K62)&lt;='Assumptions'!$B$25,L62&lt;='Assumptions'!$B$26,M62&lt;='Assumptions'!$B$27,N62&lt;='Assumptions'!$B$28,O62="YES",P62="YES",Q62=24,R62=96,S62=8,T62=2),"PASS","VALID-ADVERSE"))</x:f>
        <x:v>OPEN</x:v>
      </x:c>
    </x:row>
    <x:row r="63">
      <x:c r="A63" s="11" t="str">
        <x:v>ITR-056</x:v>
      </x:c>
      <x:c r="B63" s="11" t="str">
        <x:v>IART-10</x:v>
      </x:c>
      <x:c r="C63" s="11" t="str">
        <x:v>IA-2</x:v>
      </x:c>
      <x:c r="D63" s="11" t="str">
        <x:v>BL-B</x:v>
      </x:c>
      <x:c r="E63" s="11" t="str">
        <x:v>C-1</x:v>
      </x:c>
      <x:c r="F63" s="11" t="str">
        <x:v>IT-2 geometry edge</x:v>
      </x:c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1" t="str">
        <x:f>IF(OR(COUNT(G63:N63)&lt;8,COUNTA(O63:P63)&lt;2,COUNT(Q63:T63)&lt;4),"OPEN",IF(AND(G63&gt;='Assumptions'!$B$20,G63&lt;='Assumptions'!$B$21,ABS(H63)&lt;='Assumptions'!$B$22,ABS(I63)&lt;='Assumptions'!$B$23,ABS(J63)&lt;='Assumptions'!$B$24,ABS(K63)&lt;='Assumptions'!$B$25,L63&lt;='Assumptions'!$B$26,M63&lt;='Assumptions'!$B$27,N63&lt;='Assumptions'!$B$28,O63="YES",P63="YES",Q63=24,R63=96,S63=8,T63=2),"PASS","VALID-ADVERSE"))</x:f>
        <x:v>OPEN</x:v>
      </x:c>
    </x:row>
    <x:row r="64">
      <x:c r="A64" s="11" t="str">
        <x:v>ITR-057</x:v>
      </x:c>
      <x:c r="B64" s="11" t="str">
        <x:v>IART-10</x:v>
      </x:c>
      <x:c r="C64" s="11" t="str">
        <x:v>IA-2</x:v>
      </x:c>
      <x:c r="D64" s="11" t="str">
        <x:v>BL-B</x:v>
      </x:c>
      <x:c r="E64" s="11" t="str">
        <x:v>C-1</x:v>
      </x:c>
      <x:c r="F64" s="11" t="str">
        <x:v>IT-3 atmosphere boundary</x:v>
      </x:c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1" t="str">
        <x:f>IF(OR(COUNT(G64:N64)&lt;8,COUNTA(O64:P64)&lt;2,COUNT(Q64:T64)&lt;4),"OPEN",IF(AND(G64&gt;='Assumptions'!$B$20,G64&lt;='Assumptions'!$B$21,ABS(H64)&lt;='Assumptions'!$B$22,ABS(I64)&lt;='Assumptions'!$B$23,ABS(J64)&lt;='Assumptions'!$B$24,ABS(K64)&lt;='Assumptions'!$B$25,L64&lt;='Assumptions'!$B$26,M64&lt;='Assumptions'!$B$27,N64&lt;='Assumptions'!$B$28,O64="YES",P64="YES",Q64=24,R64=96,S64=8,T64=2),"PASS","VALID-ADVERSE"))</x:f>
        <x:v>OPEN</x:v>
      </x:c>
    </x:row>
    <x:row r="65">
      <x:c r="A65" s="11" t="str">
        <x:v>ITR-058</x:v>
      </x:c>
      <x:c r="B65" s="11" t="str">
        <x:v>IART-10</x:v>
      </x:c>
      <x:c r="C65" s="11" t="str">
        <x:v>IA-2</x:v>
      </x:c>
      <x:c r="D65" s="11" t="str">
        <x:v>BL-B</x:v>
      </x:c>
      <x:c r="E65" s="11" t="str">
        <x:v>C-1</x:v>
      </x:c>
      <x:c r="F65" s="11" t="str">
        <x:v>IT-4 service denied</x:v>
      </x:c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1" t="str">
        <x:f>IF(OR(COUNT(G65:N65)&lt;8,COUNTA(O65:P65)&lt;2,COUNT(Q65:T65)&lt;4),"OPEN",IF(AND(G65&gt;='Assumptions'!$B$20,G65&lt;='Assumptions'!$B$21,ABS(H65)&lt;='Assumptions'!$B$22,ABS(I65)&lt;='Assumptions'!$B$23,ABS(J65)&lt;='Assumptions'!$B$24,ABS(K65)&lt;='Assumptions'!$B$25,L65&lt;='Assumptions'!$B$26,M65&lt;='Assumptions'!$B$27,N65&lt;='Assumptions'!$B$28,O65="YES",P65="YES",Q65=24,R65=96,S65=8,T65=2),"PASS","VALID-ADVERSE"))</x:f>
        <x:v>OPEN</x:v>
      </x:c>
    </x:row>
    <x:row r="66">
      <x:c r="A66" s="11" t="str">
        <x:v>ITR-059</x:v>
      </x:c>
      <x:c r="B66" s="11" t="str">
        <x:v>IART-10</x:v>
      </x:c>
      <x:c r="C66" s="11" t="str">
        <x:v>IA-2</x:v>
      </x:c>
      <x:c r="D66" s="11" t="str">
        <x:v>BL-B</x:v>
      </x:c>
      <x:c r="E66" s="11" t="str">
        <x:v>C-1</x:v>
      </x:c>
      <x:c r="F66" s="11" t="str">
        <x:v>IT-5 network/time loss</x:v>
      </x:c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1" t="str">
        <x:f>IF(OR(COUNT(G66:N66)&lt;8,COUNTA(O66:P66)&lt;2,COUNT(Q66:T66)&lt;4),"OPEN",IF(AND(G66&gt;='Assumptions'!$B$20,G66&lt;='Assumptions'!$B$21,ABS(H66)&lt;='Assumptions'!$B$22,ABS(I66)&lt;='Assumptions'!$B$23,ABS(J66)&lt;='Assumptions'!$B$24,ABS(K66)&lt;='Assumptions'!$B$25,L66&lt;='Assumptions'!$B$26,M66&lt;='Assumptions'!$B$27,N66&lt;='Assumptions'!$B$28,O66="YES",P66="YES",Q66=24,R66=96,S66=8,T66=2),"PASS","VALID-ADVERSE"))</x:f>
        <x:v>OPEN</x:v>
      </x:c>
    </x:row>
    <x:row r="67">
      <x:c r="A67" s="11" t="str">
        <x:v>ITR-060</x:v>
      </x:c>
      <x:c r="B67" s="11" t="str">
        <x:v>IART-10</x:v>
      </x:c>
      <x:c r="C67" s="11" t="str">
        <x:v>IA-2</x:v>
      </x:c>
      <x:c r="D67" s="11" t="str">
        <x:v>BL-B</x:v>
      </x:c>
      <x:c r="E67" s="11" t="str">
        <x:v>C-1</x:v>
      </x:c>
      <x:c r="F67" s="11" t="str">
        <x:v>IT-6 interrupt/remove</x:v>
      </x:c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1" t="str">
        <x:f>IF(OR(COUNT(G67:N67)&lt;8,COUNTA(O67:P67)&lt;2,COUNT(Q67:T67)&lt;4),"OPEN",IF(AND(G67&gt;='Assumptions'!$B$20,G67&lt;='Assumptions'!$B$21,ABS(H67)&lt;='Assumptions'!$B$22,ABS(I67)&lt;='Assumptions'!$B$23,ABS(J67)&lt;='Assumptions'!$B$24,ABS(K67)&lt;='Assumptions'!$B$25,L67&lt;='Assumptions'!$B$26,M67&lt;='Assumptions'!$B$27,N67&lt;='Assumptions'!$B$28,O67="YES",P67="YES",Q67=24,R67=96,S67=8,T67=2),"PASS","VALID-ADVERSE"))</x:f>
        <x:v>OPEN</x:v>
      </x:c>
    </x:row>
    <x:row r="68">
      <x:c r="A68" s="11" t="str">
        <x:v>ITR-061</x:v>
      </x:c>
      <x:c r="B68" s="11" t="str">
        <x:v>IART-11</x:v>
      </x:c>
      <x:c r="C68" s="11" t="str">
        <x:v>IA-2</x:v>
      </x:c>
      <x:c r="D68" s="11" t="str">
        <x:v>BL-B</x:v>
      </x:c>
      <x:c r="E68" s="11" t="str">
        <x:v>C-2</x:v>
      </x:c>
      <x:c r="F68" s="11" t="str">
        <x:v>IT-1 nominal</x:v>
      </x:c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1" t="str">
        <x:f>IF(OR(COUNT(G68:N68)&lt;8,COUNTA(O68:P68)&lt;2,COUNT(Q68:T68)&lt;4),"OPEN",IF(AND(G68&gt;='Assumptions'!$B$20,G68&lt;='Assumptions'!$B$21,ABS(H68)&lt;='Assumptions'!$B$22,ABS(I68)&lt;='Assumptions'!$B$23,ABS(J68)&lt;='Assumptions'!$B$24,ABS(K68)&lt;='Assumptions'!$B$25,L68&lt;='Assumptions'!$B$26,M68&lt;='Assumptions'!$B$27,N68&lt;='Assumptions'!$B$28,O68="YES",P68="YES",Q68=24,R68=96,S68=8,T68=2),"PASS","VALID-ADVERSE"))</x:f>
        <x:v>OPEN</x:v>
      </x:c>
    </x:row>
    <x:row r="69">
      <x:c r="A69" s="11" t="str">
        <x:v>ITR-062</x:v>
      </x:c>
      <x:c r="B69" s="11" t="str">
        <x:v>IART-11</x:v>
      </x:c>
      <x:c r="C69" s="11" t="str">
        <x:v>IA-2</x:v>
      </x:c>
      <x:c r="D69" s="11" t="str">
        <x:v>BL-B</x:v>
      </x:c>
      <x:c r="E69" s="11" t="str">
        <x:v>C-2</x:v>
      </x:c>
      <x:c r="F69" s="11" t="str">
        <x:v>IT-2 geometry edge</x:v>
      </x:c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1" t="str">
        <x:f>IF(OR(COUNT(G69:N69)&lt;8,COUNTA(O69:P69)&lt;2,COUNT(Q69:T69)&lt;4),"OPEN",IF(AND(G69&gt;='Assumptions'!$B$20,G69&lt;='Assumptions'!$B$21,ABS(H69)&lt;='Assumptions'!$B$22,ABS(I69)&lt;='Assumptions'!$B$23,ABS(J69)&lt;='Assumptions'!$B$24,ABS(K69)&lt;='Assumptions'!$B$25,L69&lt;='Assumptions'!$B$26,M69&lt;='Assumptions'!$B$27,N69&lt;='Assumptions'!$B$28,O69="YES",P69="YES",Q69=24,R69=96,S69=8,T69=2),"PASS","VALID-ADVERSE"))</x:f>
        <x:v>OPEN</x:v>
      </x:c>
    </x:row>
    <x:row r="70">
      <x:c r="A70" s="11" t="str">
        <x:v>ITR-063</x:v>
      </x:c>
      <x:c r="B70" s="11" t="str">
        <x:v>IART-11</x:v>
      </x:c>
      <x:c r="C70" s="11" t="str">
        <x:v>IA-2</x:v>
      </x:c>
      <x:c r="D70" s="11" t="str">
        <x:v>BL-B</x:v>
      </x:c>
      <x:c r="E70" s="11" t="str">
        <x:v>C-2</x:v>
      </x:c>
      <x:c r="F70" s="11" t="str">
        <x:v>IT-3 atmosphere boundary</x:v>
      </x:c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1" t="str">
        <x:f>IF(OR(COUNT(G70:N70)&lt;8,COUNTA(O70:P70)&lt;2,COUNT(Q70:T70)&lt;4),"OPEN",IF(AND(G70&gt;='Assumptions'!$B$20,G70&lt;='Assumptions'!$B$21,ABS(H70)&lt;='Assumptions'!$B$22,ABS(I70)&lt;='Assumptions'!$B$23,ABS(J70)&lt;='Assumptions'!$B$24,ABS(K70)&lt;='Assumptions'!$B$25,L70&lt;='Assumptions'!$B$26,M70&lt;='Assumptions'!$B$27,N70&lt;='Assumptions'!$B$28,O70="YES",P70="YES",Q70=24,R70=96,S70=8,T70=2),"PASS","VALID-ADVERSE"))</x:f>
        <x:v>OPEN</x:v>
      </x:c>
    </x:row>
    <x:row r="71">
      <x:c r="A71" s="11" t="str">
        <x:v>ITR-064</x:v>
      </x:c>
      <x:c r="B71" s="11" t="str">
        <x:v>IART-11</x:v>
      </x:c>
      <x:c r="C71" s="11" t="str">
        <x:v>IA-2</x:v>
      </x:c>
      <x:c r="D71" s="11" t="str">
        <x:v>BL-B</x:v>
      </x:c>
      <x:c r="E71" s="11" t="str">
        <x:v>C-2</x:v>
      </x:c>
      <x:c r="F71" s="11" t="str">
        <x:v>IT-4 service denied</x:v>
      </x:c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1" t="str">
        <x:f>IF(OR(COUNT(G71:N71)&lt;8,COUNTA(O71:P71)&lt;2,COUNT(Q71:T71)&lt;4),"OPEN",IF(AND(G71&gt;='Assumptions'!$B$20,G71&lt;='Assumptions'!$B$21,ABS(H71)&lt;='Assumptions'!$B$22,ABS(I71)&lt;='Assumptions'!$B$23,ABS(J71)&lt;='Assumptions'!$B$24,ABS(K71)&lt;='Assumptions'!$B$25,L71&lt;='Assumptions'!$B$26,M71&lt;='Assumptions'!$B$27,N71&lt;='Assumptions'!$B$28,O71="YES",P71="YES",Q71=24,R71=96,S71=8,T71=2),"PASS","VALID-ADVERSE"))</x:f>
        <x:v>OPEN</x:v>
      </x:c>
    </x:row>
    <x:row r="72">
      <x:c r="A72" s="11" t="str">
        <x:v>ITR-065</x:v>
      </x:c>
      <x:c r="B72" s="11" t="str">
        <x:v>IART-11</x:v>
      </x:c>
      <x:c r="C72" s="11" t="str">
        <x:v>IA-2</x:v>
      </x:c>
      <x:c r="D72" s="11" t="str">
        <x:v>BL-B</x:v>
      </x:c>
      <x:c r="E72" s="11" t="str">
        <x:v>C-2</x:v>
      </x:c>
      <x:c r="F72" s="11" t="str">
        <x:v>IT-5 network/time loss</x:v>
      </x:c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1" t="str">
        <x:f>IF(OR(COUNT(G72:N72)&lt;8,COUNTA(O72:P72)&lt;2,COUNT(Q72:T72)&lt;4),"OPEN",IF(AND(G72&gt;='Assumptions'!$B$20,G72&lt;='Assumptions'!$B$21,ABS(H72)&lt;='Assumptions'!$B$22,ABS(I72)&lt;='Assumptions'!$B$23,ABS(J72)&lt;='Assumptions'!$B$24,ABS(K72)&lt;='Assumptions'!$B$25,L72&lt;='Assumptions'!$B$26,M72&lt;='Assumptions'!$B$27,N72&lt;='Assumptions'!$B$28,O72="YES",P72="YES",Q72=24,R72=96,S72=8,T72=2),"PASS","VALID-ADVERSE"))</x:f>
        <x:v>OPEN</x:v>
      </x:c>
    </x:row>
    <x:row r="73">
      <x:c r="A73" s="11" t="str">
        <x:v>ITR-066</x:v>
      </x:c>
      <x:c r="B73" s="11" t="str">
        <x:v>IART-11</x:v>
      </x:c>
      <x:c r="C73" s="11" t="str">
        <x:v>IA-2</x:v>
      </x:c>
      <x:c r="D73" s="11" t="str">
        <x:v>BL-B</x:v>
      </x:c>
      <x:c r="E73" s="11" t="str">
        <x:v>C-2</x:v>
      </x:c>
      <x:c r="F73" s="11" t="str">
        <x:v>IT-6 interrupt/remove</x:v>
      </x:c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1" t="str">
        <x:f>IF(OR(COUNT(G73:N73)&lt;8,COUNTA(O73:P73)&lt;2,COUNT(Q73:T73)&lt;4),"OPEN",IF(AND(G73&gt;='Assumptions'!$B$20,G73&lt;='Assumptions'!$B$21,ABS(H73)&lt;='Assumptions'!$B$22,ABS(I73)&lt;='Assumptions'!$B$23,ABS(J73)&lt;='Assumptions'!$B$24,ABS(K73)&lt;='Assumptions'!$B$25,L73&lt;='Assumptions'!$B$26,M73&lt;='Assumptions'!$B$27,N73&lt;='Assumptions'!$B$28,O73="YES",P73="YES",Q73=24,R73=96,S73=8,T73=2),"PASS","VALID-ADVERSE"))</x:f>
        <x:v>OPEN</x:v>
      </x:c>
    </x:row>
    <x:row r="74">
      <x:c r="A74" s="11" t="str">
        <x:v>ITR-067</x:v>
      </x:c>
      <x:c r="B74" s="11" t="str">
        <x:v>IART-12</x:v>
      </x:c>
      <x:c r="C74" s="11" t="str">
        <x:v>IA-2</x:v>
      </x:c>
      <x:c r="D74" s="11" t="str">
        <x:v>BL-B</x:v>
      </x:c>
      <x:c r="E74" s="11" t="str">
        <x:v>C-3</x:v>
      </x:c>
      <x:c r="F74" s="11" t="str">
        <x:v>IT-1 nominal</x:v>
      </x:c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1" t="str">
        <x:f>IF(OR(COUNT(G74:N74)&lt;8,COUNTA(O74:P74)&lt;2,COUNT(Q74:T74)&lt;4),"OPEN",IF(AND(G74&gt;='Assumptions'!$B$20,G74&lt;='Assumptions'!$B$21,ABS(H74)&lt;='Assumptions'!$B$22,ABS(I74)&lt;='Assumptions'!$B$23,ABS(J74)&lt;='Assumptions'!$B$24,ABS(K74)&lt;='Assumptions'!$B$25,L74&lt;='Assumptions'!$B$26,M74&lt;='Assumptions'!$B$27,N74&lt;='Assumptions'!$B$28,O74="YES",P74="YES",Q74=24,R74=96,S74=8,T74=2),"PASS","VALID-ADVERSE"))</x:f>
        <x:v>OPEN</x:v>
      </x:c>
    </x:row>
    <x:row r="75">
      <x:c r="A75" s="11" t="str">
        <x:v>ITR-068</x:v>
      </x:c>
      <x:c r="B75" s="11" t="str">
        <x:v>IART-12</x:v>
      </x:c>
      <x:c r="C75" s="11" t="str">
        <x:v>IA-2</x:v>
      </x:c>
      <x:c r="D75" s="11" t="str">
        <x:v>BL-B</x:v>
      </x:c>
      <x:c r="E75" s="11" t="str">
        <x:v>C-3</x:v>
      </x:c>
      <x:c r="F75" s="11" t="str">
        <x:v>IT-2 geometry edge</x:v>
      </x:c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1" t="str">
        <x:f>IF(OR(COUNT(G75:N75)&lt;8,COUNTA(O75:P75)&lt;2,COUNT(Q75:T75)&lt;4),"OPEN",IF(AND(G75&gt;='Assumptions'!$B$20,G75&lt;='Assumptions'!$B$21,ABS(H75)&lt;='Assumptions'!$B$22,ABS(I75)&lt;='Assumptions'!$B$23,ABS(J75)&lt;='Assumptions'!$B$24,ABS(K75)&lt;='Assumptions'!$B$25,L75&lt;='Assumptions'!$B$26,M75&lt;='Assumptions'!$B$27,N75&lt;='Assumptions'!$B$28,O75="YES",P75="YES",Q75=24,R75=96,S75=8,T75=2),"PASS","VALID-ADVERSE"))</x:f>
        <x:v>OPEN</x:v>
      </x:c>
    </x:row>
    <x:row r="76">
      <x:c r="A76" s="11" t="str">
        <x:v>ITR-069</x:v>
      </x:c>
      <x:c r="B76" s="11" t="str">
        <x:v>IART-12</x:v>
      </x:c>
      <x:c r="C76" s="11" t="str">
        <x:v>IA-2</x:v>
      </x:c>
      <x:c r="D76" s="11" t="str">
        <x:v>BL-B</x:v>
      </x:c>
      <x:c r="E76" s="11" t="str">
        <x:v>C-3</x:v>
      </x:c>
      <x:c r="F76" s="11" t="str">
        <x:v>IT-3 atmosphere boundary</x:v>
      </x:c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1" t="str">
        <x:f>IF(OR(COUNT(G76:N76)&lt;8,COUNTA(O76:P76)&lt;2,COUNT(Q76:T76)&lt;4),"OPEN",IF(AND(G76&gt;='Assumptions'!$B$20,G76&lt;='Assumptions'!$B$21,ABS(H76)&lt;='Assumptions'!$B$22,ABS(I76)&lt;='Assumptions'!$B$23,ABS(J76)&lt;='Assumptions'!$B$24,ABS(K76)&lt;='Assumptions'!$B$25,L76&lt;='Assumptions'!$B$26,M76&lt;='Assumptions'!$B$27,N76&lt;='Assumptions'!$B$28,O76="YES",P76="YES",Q76=24,R76=96,S76=8,T76=2),"PASS","VALID-ADVERSE"))</x:f>
        <x:v>OPEN</x:v>
      </x:c>
    </x:row>
    <x:row r="77">
      <x:c r="A77" s="11" t="str">
        <x:v>ITR-070</x:v>
      </x:c>
      <x:c r="B77" s="11" t="str">
        <x:v>IART-12</x:v>
      </x:c>
      <x:c r="C77" s="11" t="str">
        <x:v>IA-2</x:v>
      </x:c>
      <x:c r="D77" s="11" t="str">
        <x:v>BL-B</x:v>
      </x:c>
      <x:c r="E77" s="11" t="str">
        <x:v>C-3</x:v>
      </x:c>
      <x:c r="F77" s="11" t="str">
        <x:v>IT-4 service denied</x:v>
      </x:c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1" t="str">
        <x:f>IF(OR(COUNT(G77:N77)&lt;8,COUNTA(O77:P77)&lt;2,COUNT(Q77:T77)&lt;4),"OPEN",IF(AND(G77&gt;='Assumptions'!$B$20,G77&lt;='Assumptions'!$B$21,ABS(H77)&lt;='Assumptions'!$B$22,ABS(I77)&lt;='Assumptions'!$B$23,ABS(J77)&lt;='Assumptions'!$B$24,ABS(K77)&lt;='Assumptions'!$B$25,L77&lt;='Assumptions'!$B$26,M77&lt;='Assumptions'!$B$27,N77&lt;='Assumptions'!$B$28,O77="YES",P77="YES",Q77=24,R77=96,S77=8,T77=2),"PASS","VALID-ADVERSE"))</x:f>
        <x:v>OPEN</x:v>
      </x:c>
    </x:row>
    <x:row r="78">
      <x:c r="A78" s="11" t="str">
        <x:v>ITR-071</x:v>
      </x:c>
      <x:c r="B78" s="11" t="str">
        <x:v>IART-12</x:v>
      </x:c>
      <x:c r="C78" s="11" t="str">
        <x:v>IA-2</x:v>
      </x:c>
      <x:c r="D78" s="11" t="str">
        <x:v>BL-B</x:v>
      </x:c>
      <x:c r="E78" s="11" t="str">
        <x:v>C-3</x:v>
      </x:c>
      <x:c r="F78" s="11" t="str">
        <x:v>IT-5 network/time loss</x:v>
      </x:c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1" t="str">
        <x:f>IF(OR(COUNT(G78:N78)&lt;8,COUNTA(O78:P78)&lt;2,COUNT(Q78:T78)&lt;4),"OPEN",IF(AND(G78&gt;='Assumptions'!$B$20,G78&lt;='Assumptions'!$B$21,ABS(H78)&lt;='Assumptions'!$B$22,ABS(I78)&lt;='Assumptions'!$B$23,ABS(J78)&lt;='Assumptions'!$B$24,ABS(K78)&lt;='Assumptions'!$B$25,L78&lt;='Assumptions'!$B$26,M78&lt;='Assumptions'!$B$27,N78&lt;='Assumptions'!$B$28,O78="YES",P78="YES",Q78=24,R78=96,S78=8,T78=2),"PASS","VALID-ADVERSE"))</x:f>
        <x:v>OPEN</x:v>
      </x:c>
    </x:row>
    <x:row r="79">
      <x:c r="A79" s="11" t="str">
        <x:v>ITR-072</x:v>
      </x:c>
      <x:c r="B79" s="11" t="str">
        <x:v>IART-12</x:v>
      </x:c>
      <x:c r="C79" s="11" t="str">
        <x:v>IA-2</x:v>
      </x:c>
      <x:c r="D79" s="11" t="str">
        <x:v>BL-B</x:v>
      </x:c>
      <x:c r="E79" s="11" t="str">
        <x:v>C-3</x:v>
      </x:c>
      <x:c r="F79" s="11" t="str">
        <x:v>IT-6 interrupt/remove</x:v>
      </x:c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1" t="str">
        <x:f>IF(OR(COUNT(G79:N79)&lt;8,COUNTA(O79:P79)&lt;2,COUNT(Q79:T79)&lt;4),"OPEN",IF(AND(G79&gt;='Assumptions'!$B$20,G79&lt;='Assumptions'!$B$21,ABS(H79)&lt;='Assumptions'!$B$22,ABS(I79)&lt;='Assumptions'!$B$23,ABS(J79)&lt;='Assumptions'!$B$24,ABS(K79)&lt;='Assumptions'!$B$25,L79&lt;='Assumptions'!$B$26,M79&lt;='Assumptions'!$B$27,N79&lt;='Assumptions'!$B$28,O79="YES",P79="YES",Q79=24,R79=96,S79=8,T79=2),"PASS","VALID-ADVERSE"))</x:f>
        <x:v>OPEN</x:v>
      </x:c>
    </x:row>
    <x:row r="80">
      <x:c r="A80" s="11" t="str">
        <x:v>ITR-073</x:v>
      </x:c>
      <x:c r="B80" s="11" t="str">
        <x:v>IART-13</x:v>
      </x:c>
      <x:c r="C80" s="11" t="str">
        <x:v>IA-3</x:v>
      </x:c>
      <x:c r="D80" s="11" t="str">
        <x:v>BL-A</x:v>
      </x:c>
      <x:c r="E80" s="11" t="str">
        <x:v>C-1</x:v>
      </x:c>
      <x:c r="F80" s="11" t="str">
        <x:v>IT-1 nominal</x:v>
      </x:c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1" t="str">
        <x:f>IF(OR(COUNT(G80:N80)&lt;8,COUNTA(O80:P80)&lt;2,COUNT(Q80:T80)&lt;4),"OPEN",IF(AND(G80&gt;='Assumptions'!$B$20,G80&lt;='Assumptions'!$B$21,ABS(H80)&lt;='Assumptions'!$B$22,ABS(I80)&lt;='Assumptions'!$B$23,ABS(J80)&lt;='Assumptions'!$B$24,ABS(K80)&lt;='Assumptions'!$B$25,L80&lt;='Assumptions'!$B$26,M80&lt;='Assumptions'!$B$27,N80&lt;='Assumptions'!$B$28,O80="YES",P80="YES",Q80=24,R80=96,S80=8,T80=2),"PASS","VALID-ADVERSE"))</x:f>
        <x:v>OPEN</x:v>
      </x:c>
    </x:row>
    <x:row r="81">
      <x:c r="A81" s="11" t="str">
        <x:v>ITR-074</x:v>
      </x:c>
      <x:c r="B81" s="11" t="str">
        <x:v>IART-13</x:v>
      </x:c>
      <x:c r="C81" s="11" t="str">
        <x:v>IA-3</x:v>
      </x:c>
      <x:c r="D81" s="11" t="str">
        <x:v>BL-A</x:v>
      </x:c>
      <x:c r="E81" s="11" t="str">
        <x:v>C-1</x:v>
      </x:c>
      <x:c r="F81" s="11" t="str">
        <x:v>IT-2 geometry edge</x:v>
      </x:c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1" t="str">
        <x:f>IF(OR(COUNT(G81:N81)&lt;8,COUNTA(O81:P81)&lt;2,COUNT(Q81:T81)&lt;4),"OPEN",IF(AND(G81&gt;='Assumptions'!$B$20,G81&lt;='Assumptions'!$B$21,ABS(H81)&lt;='Assumptions'!$B$22,ABS(I81)&lt;='Assumptions'!$B$23,ABS(J81)&lt;='Assumptions'!$B$24,ABS(K81)&lt;='Assumptions'!$B$25,L81&lt;='Assumptions'!$B$26,M81&lt;='Assumptions'!$B$27,N81&lt;='Assumptions'!$B$28,O81="YES",P81="YES",Q81=24,R81=96,S81=8,T81=2),"PASS","VALID-ADVERSE"))</x:f>
        <x:v>OPEN</x:v>
      </x:c>
    </x:row>
    <x:row r="82">
      <x:c r="A82" s="11" t="str">
        <x:v>ITR-075</x:v>
      </x:c>
      <x:c r="B82" s="11" t="str">
        <x:v>IART-13</x:v>
      </x:c>
      <x:c r="C82" s="11" t="str">
        <x:v>IA-3</x:v>
      </x:c>
      <x:c r="D82" s="11" t="str">
        <x:v>BL-A</x:v>
      </x:c>
      <x:c r="E82" s="11" t="str">
        <x:v>C-1</x:v>
      </x:c>
      <x:c r="F82" s="11" t="str">
        <x:v>IT-3 atmosphere boundary</x:v>
      </x:c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1" t="str">
        <x:f>IF(OR(COUNT(G82:N82)&lt;8,COUNTA(O82:P82)&lt;2,COUNT(Q82:T82)&lt;4),"OPEN",IF(AND(G82&gt;='Assumptions'!$B$20,G82&lt;='Assumptions'!$B$21,ABS(H82)&lt;='Assumptions'!$B$22,ABS(I82)&lt;='Assumptions'!$B$23,ABS(J82)&lt;='Assumptions'!$B$24,ABS(K82)&lt;='Assumptions'!$B$25,L82&lt;='Assumptions'!$B$26,M82&lt;='Assumptions'!$B$27,N82&lt;='Assumptions'!$B$28,O82="YES",P82="YES",Q82=24,R82=96,S82=8,T82=2),"PASS","VALID-ADVERSE"))</x:f>
        <x:v>OPEN</x:v>
      </x:c>
    </x:row>
    <x:row r="83">
      <x:c r="A83" s="11" t="str">
        <x:v>ITR-076</x:v>
      </x:c>
      <x:c r="B83" s="11" t="str">
        <x:v>IART-13</x:v>
      </x:c>
      <x:c r="C83" s="11" t="str">
        <x:v>IA-3</x:v>
      </x:c>
      <x:c r="D83" s="11" t="str">
        <x:v>BL-A</x:v>
      </x:c>
      <x:c r="E83" s="11" t="str">
        <x:v>C-1</x:v>
      </x:c>
      <x:c r="F83" s="11" t="str">
        <x:v>IT-4 service denied</x:v>
      </x:c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1" t="str">
        <x:f>IF(OR(COUNT(G83:N83)&lt;8,COUNTA(O83:P83)&lt;2,COUNT(Q83:T83)&lt;4),"OPEN",IF(AND(G83&gt;='Assumptions'!$B$20,G83&lt;='Assumptions'!$B$21,ABS(H83)&lt;='Assumptions'!$B$22,ABS(I83)&lt;='Assumptions'!$B$23,ABS(J83)&lt;='Assumptions'!$B$24,ABS(K83)&lt;='Assumptions'!$B$25,L83&lt;='Assumptions'!$B$26,M83&lt;='Assumptions'!$B$27,N83&lt;='Assumptions'!$B$28,O83="YES",P83="YES",Q83=24,R83=96,S83=8,T83=2),"PASS","VALID-ADVERSE"))</x:f>
        <x:v>OPEN</x:v>
      </x:c>
    </x:row>
    <x:row r="84">
      <x:c r="A84" s="11" t="str">
        <x:v>ITR-077</x:v>
      </x:c>
      <x:c r="B84" s="11" t="str">
        <x:v>IART-13</x:v>
      </x:c>
      <x:c r="C84" s="11" t="str">
        <x:v>IA-3</x:v>
      </x:c>
      <x:c r="D84" s="11" t="str">
        <x:v>BL-A</x:v>
      </x:c>
      <x:c r="E84" s="11" t="str">
        <x:v>C-1</x:v>
      </x:c>
      <x:c r="F84" s="11" t="str">
        <x:v>IT-5 network/time loss</x:v>
      </x:c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1" t="str">
        <x:f>IF(OR(COUNT(G84:N84)&lt;8,COUNTA(O84:P84)&lt;2,COUNT(Q84:T84)&lt;4),"OPEN",IF(AND(G84&gt;='Assumptions'!$B$20,G84&lt;='Assumptions'!$B$21,ABS(H84)&lt;='Assumptions'!$B$22,ABS(I84)&lt;='Assumptions'!$B$23,ABS(J84)&lt;='Assumptions'!$B$24,ABS(K84)&lt;='Assumptions'!$B$25,L84&lt;='Assumptions'!$B$26,M84&lt;='Assumptions'!$B$27,N84&lt;='Assumptions'!$B$28,O84="YES",P84="YES",Q84=24,R84=96,S84=8,T84=2),"PASS","VALID-ADVERSE"))</x:f>
        <x:v>OPEN</x:v>
      </x:c>
    </x:row>
    <x:row r="85">
      <x:c r="A85" s="11" t="str">
        <x:v>ITR-078</x:v>
      </x:c>
      <x:c r="B85" s="11" t="str">
        <x:v>IART-13</x:v>
      </x:c>
      <x:c r="C85" s="11" t="str">
        <x:v>IA-3</x:v>
      </x:c>
      <x:c r="D85" s="11" t="str">
        <x:v>BL-A</x:v>
      </x:c>
      <x:c r="E85" s="11" t="str">
        <x:v>C-1</x:v>
      </x:c>
      <x:c r="F85" s="11" t="str">
        <x:v>IT-6 interrupt/remove</x:v>
      </x:c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1" t="str">
        <x:f>IF(OR(COUNT(G85:N85)&lt;8,COUNTA(O85:P85)&lt;2,COUNT(Q85:T85)&lt;4),"OPEN",IF(AND(G85&gt;='Assumptions'!$B$20,G85&lt;='Assumptions'!$B$21,ABS(H85)&lt;='Assumptions'!$B$22,ABS(I85)&lt;='Assumptions'!$B$23,ABS(J85)&lt;='Assumptions'!$B$24,ABS(K85)&lt;='Assumptions'!$B$25,L85&lt;='Assumptions'!$B$26,M85&lt;='Assumptions'!$B$27,N85&lt;='Assumptions'!$B$28,O85="YES",P85="YES",Q85=24,R85=96,S85=8,T85=2),"PASS","VALID-ADVERSE"))</x:f>
        <x:v>OPEN</x:v>
      </x:c>
    </x:row>
    <x:row r="86">
      <x:c r="A86" s="11" t="str">
        <x:v>ITR-079</x:v>
      </x:c>
      <x:c r="B86" s="11" t="str">
        <x:v>IART-14</x:v>
      </x:c>
      <x:c r="C86" s="11" t="str">
        <x:v>IA-3</x:v>
      </x:c>
      <x:c r="D86" s="11" t="str">
        <x:v>BL-A</x:v>
      </x:c>
      <x:c r="E86" s="11" t="str">
        <x:v>C-2</x:v>
      </x:c>
      <x:c r="F86" s="11" t="str">
        <x:v>IT-1 nominal</x:v>
      </x:c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1" t="str">
        <x:f>IF(OR(COUNT(G86:N86)&lt;8,COUNTA(O86:P86)&lt;2,COUNT(Q86:T86)&lt;4),"OPEN",IF(AND(G86&gt;='Assumptions'!$B$20,G86&lt;='Assumptions'!$B$21,ABS(H86)&lt;='Assumptions'!$B$22,ABS(I86)&lt;='Assumptions'!$B$23,ABS(J86)&lt;='Assumptions'!$B$24,ABS(K86)&lt;='Assumptions'!$B$25,L86&lt;='Assumptions'!$B$26,M86&lt;='Assumptions'!$B$27,N86&lt;='Assumptions'!$B$28,O86="YES",P86="YES",Q86=24,R86=96,S86=8,T86=2),"PASS","VALID-ADVERSE"))</x:f>
        <x:v>OPEN</x:v>
      </x:c>
    </x:row>
    <x:row r="87">
      <x:c r="A87" s="11" t="str">
        <x:v>ITR-080</x:v>
      </x:c>
      <x:c r="B87" s="11" t="str">
        <x:v>IART-14</x:v>
      </x:c>
      <x:c r="C87" s="11" t="str">
        <x:v>IA-3</x:v>
      </x:c>
      <x:c r="D87" s="11" t="str">
        <x:v>BL-A</x:v>
      </x:c>
      <x:c r="E87" s="11" t="str">
        <x:v>C-2</x:v>
      </x:c>
      <x:c r="F87" s="11" t="str">
        <x:v>IT-2 geometry edge</x:v>
      </x:c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1" t="str">
        <x:f>IF(OR(COUNT(G87:N87)&lt;8,COUNTA(O87:P87)&lt;2,COUNT(Q87:T87)&lt;4),"OPEN",IF(AND(G87&gt;='Assumptions'!$B$20,G87&lt;='Assumptions'!$B$21,ABS(H87)&lt;='Assumptions'!$B$22,ABS(I87)&lt;='Assumptions'!$B$23,ABS(J87)&lt;='Assumptions'!$B$24,ABS(K87)&lt;='Assumptions'!$B$25,L87&lt;='Assumptions'!$B$26,M87&lt;='Assumptions'!$B$27,N87&lt;='Assumptions'!$B$28,O87="YES",P87="YES",Q87=24,R87=96,S87=8,T87=2),"PASS","VALID-ADVERSE"))</x:f>
        <x:v>OPEN</x:v>
      </x:c>
    </x:row>
    <x:row r="88">
      <x:c r="A88" s="11" t="str">
        <x:v>ITR-081</x:v>
      </x:c>
      <x:c r="B88" s="11" t="str">
        <x:v>IART-14</x:v>
      </x:c>
      <x:c r="C88" s="11" t="str">
        <x:v>IA-3</x:v>
      </x:c>
      <x:c r="D88" s="11" t="str">
        <x:v>BL-A</x:v>
      </x:c>
      <x:c r="E88" s="11" t="str">
        <x:v>C-2</x:v>
      </x:c>
      <x:c r="F88" s="11" t="str">
        <x:v>IT-3 atmosphere boundary</x:v>
      </x:c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1" t="str">
        <x:f>IF(OR(COUNT(G88:N88)&lt;8,COUNTA(O88:P88)&lt;2,COUNT(Q88:T88)&lt;4),"OPEN",IF(AND(G88&gt;='Assumptions'!$B$20,G88&lt;='Assumptions'!$B$21,ABS(H88)&lt;='Assumptions'!$B$22,ABS(I88)&lt;='Assumptions'!$B$23,ABS(J88)&lt;='Assumptions'!$B$24,ABS(K88)&lt;='Assumptions'!$B$25,L88&lt;='Assumptions'!$B$26,M88&lt;='Assumptions'!$B$27,N88&lt;='Assumptions'!$B$28,O88="YES",P88="YES",Q88=24,R88=96,S88=8,T88=2),"PASS","VALID-ADVERSE"))</x:f>
        <x:v>OPEN</x:v>
      </x:c>
    </x:row>
    <x:row r="89">
      <x:c r="A89" s="11" t="str">
        <x:v>ITR-082</x:v>
      </x:c>
      <x:c r="B89" s="11" t="str">
        <x:v>IART-14</x:v>
      </x:c>
      <x:c r="C89" s="11" t="str">
        <x:v>IA-3</x:v>
      </x:c>
      <x:c r="D89" s="11" t="str">
        <x:v>BL-A</x:v>
      </x:c>
      <x:c r="E89" s="11" t="str">
        <x:v>C-2</x:v>
      </x:c>
      <x:c r="F89" s="11" t="str">
        <x:v>IT-4 service denied</x:v>
      </x:c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1" t="str">
        <x:f>IF(OR(COUNT(G89:N89)&lt;8,COUNTA(O89:P89)&lt;2,COUNT(Q89:T89)&lt;4),"OPEN",IF(AND(G89&gt;='Assumptions'!$B$20,G89&lt;='Assumptions'!$B$21,ABS(H89)&lt;='Assumptions'!$B$22,ABS(I89)&lt;='Assumptions'!$B$23,ABS(J89)&lt;='Assumptions'!$B$24,ABS(K89)&lt;='Assumptions'!$B$25,L89&lt;='Assumptions'!$B$26,M89&lt;='Assumptions'!$B$27,N89&lt;='Assumptions'!$B$28,O89="YES",P89="YES",Q89=24,R89=96,S89=8,T89=2),"PASS","VALID-ADVERSE"))</x:f>
        <x:v>OPEN</x:v>
      </x:c>
    </x:row>
    <x:row r="90">
      <x:c r="A90" s="11" t="str">
        <x:v>ITR-083</x:v>
      </x:c>
      <x:c r="B90" s="11" t="str">
        <x:v>IART-14</x:v>
      </x:c>
      <x:c r="C90" s="11" t="str">
        <x:v>IA-3</x:v>
      </x:c>
      <x:c r="D90" s="11" t="str">
        <x:v>BL-A</x:v>
      </x:c>
      <x:c r="E90" s="11" t="str">
        <x:v>C-2</x:v>
      </x:c>
      <x:c r="F90" s="11" t="str">
        <x:v>IT-5 network/time loss</x:v>
      </x:c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1" t="str">
        <x:f>IF(OR(COUNT(G90:N90)&lt;8,COUNTA(O90:P90)&lt;2,COUNT(Q90:T90)&lt;4),"OPEN",IF(AND(G90&gt;='Assumptions'!$B$20,G90&lt;='Assumptions'!$B$21,ABS(H90)&lt;='Assumptions'!$B$22,ABS(I90)&lt;='Assumptions'!$B$23,ABS(J90)&lt;='Assumptions'!$B$24,ABS(K90)&lt;='Assumptions'!$B$25,L90&lt;='Assumptions'!$B$26,M90&lt;='Assumptions'!$B$27,N90&lt;='Assumptions'!$B$28,O90="YES",P90="YES",Q90=24,R90=96,S90=8,T90=2),"PASS","VALID-ADVERSE"))</x:f>
        <x:v>OPEN</x:v>
      </x:c>
    </x:row>
    <x:row r="91">
      <x:c r="A91" s="11" t="str">
        <x:v>ITR-084</x:v>
      </x:c>
      <x:c r="B91" s="11" t="str">
        <x:v>IART-14</x:v>
      </x:c>
      <x:c r="C91" s="11" t="str">
        <x:v>IA-3</x:v>
      </x:c>
      <x:c r="D91" s="11" t="str">
        <x:v>BL-A</x:v>
      </x:c>
      <x:c r="E91" s="11" t="str">
        <x:v>C-2</x:v>
      </x:c>
      <x:c r="F91" s="11" t="str">
        <x:v>IT-6 interrupt/remove</x:v>
      </x:c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1" t="str">
        <x:f>IF(OR(COUNT(G91:N91)&lt;8,COUNTA(O91:P91)&lt;2,COUNT(Q91:T91)&lt;4),"OPEN",IF(AND(G91&gt;='Assumptions'!$B$20,G91&lt;='Assumptions'!$B$21,ABS(H91)&lt;='Assumptions'!$B$22,ABS(I91)&lt;='Assumptions'!$B$23,ABS(J91)&lt;='Assumptions'!$B$24,ABS(K91)&lt;='Assumptions'!$B$25,L91&lt;='Assumptions'!$B$26,M91&lt;='Assumptions'!$B$27,N91&lt;='Assumptions'!$B$28,O91="YES",P91="YES",Q91=24,R91=96,S91=8,T91=2),"PASS","VALID-ADVERSE"))</x:f>
        <x:v>OPEN</x:v>
      </x:c>
    </x:row>
    <x:row r="92">
      <x:c r="A92" s="11" t="str">
        <x:v>ITR-085</x:v>
      </x:c>
      <x:c r="B92" s="11" t="str">
        <x:v>IART-15</x:v>
      </x:c>
      <x:c r="C92" s="11" t="str">
        <x:v>IA-3</x:v>
      </x:c>
      <x:c r="D92" s="11" t="str">
        <x:v>BL-A</x:v>
      </x:c>
      <x:c r="E92" s="11" t="str">
        <x:v>C-3</x:v>
      </x:c>
      <x:c r="F92" s="11" t="str">
        <x:v>IT-1 nominal</x:v>
      </x:c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1" t="str">
        <x:f>IF(OR(COUNT(G92:N92)&lt;8,COUNTA(O92:P92)&lt;2,COUNT(Q92:T92)&lt;4),"OPEN",IF(AND(G92&gt;='Assumptions'!$B$20,G92&lt;='Assumptions'!$B$21,ABS(H92)&lt;='Assumptions'!$B$22,ABS(I92)&lt;='Assumptions'!$B$23,ABS(J92)&lt;='Assumptions'!$B$24,ABS(K92)&lt;='Assumptions'!$B$25,L92&lt;='Assumptions'!$B$26,M92&lt;='Assumptions'!$B$27,N92&lt;='Assumptions'!$B$28,O92="YES",P92="YES",Q92=24,R92=96,S92=8,T92=2),"PASS","VALID-ADVERSE"))</x:f>
        <x:v>OPEN</x:v>
      </x:c>
    </x:row>
    <x:row r="93">
      <x:c r="A93" s="11" t="str">
        <x:v>ITR-086</x:v>
      </x:c>
      <x:c r="B93" s="11" t="str">
        <x:v>IART-15</x:v>
      </x:c>
      <x:c r="C93" s="11" t="str">
        <x:v>IA-3</x:v>
      </x:c>
      <x:c r="D93" s="11" t="str">
        <x:v>BL-A</x:v>
      </x:c>
      <x:c r="E93" s="11" t="str">
        <x:v>C-3</x:v>
      </x:c>
      <x:c r="F93" s="11" t="str">
        <x:v>IT-2 geometry edge</x:v>
      </x:c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1" t="str">
        <x:f>IF(OR(COUNT(G93:N93)&lt;8,COUNTA(O93:P93)&lt;2,COUNT(Q93:T93)&lt;4),"OPEN",IF(AND(G93&gt;='Assumptions'!$B$20,G93&lt;='Assumptions'!$B$21,ABS(H93)&lt;='Assumptions'!$B$22,ABS(I93)&lt;='Assumptions'!$B$23,ABS(J93)&lt;='Assumptions'!$B$24,ABS(K93)&lt;='Assumptions'!$B$25,L93&lt;='Assumptions'!$B$26,M93&lt;='Assumptions'!$B$27,N93&lt;='Assumptions'!$B$28,O93="YES",P93="YES",Q93=24,R93=96,S93=8,T93=2),"PASS","VALID-ADVERSE"))</x:f>
        <x:v>OPEN</x:v>
      </x:c>
    </x:row>
    <x:row r="94">
      <x:c r="A94" s="11" t="str">
        <x:v>ITR-087</x:v>
      </x:c>
      <x:c r="B94" s="11" t="str">
        <x:v>IART-15</x:v>
      </x:c>
      <x:c r="C94" s="11" t="str">
        <x:v>IA-3</x:v>
      </x:c>
      <x:c r="D94" s="11" t="str">
        <x:v>BL-A</x:v>
      </x:c>
      <x:c r="E94" s="11" t="str">
        <x:v>C-3</x:v>
      </x:c>
      <x:c r="F94" s="11" t="str">
        <x:v>IT-3 atmosphere boundary</x:v>
      </x:c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1" t="str">
        <x:f>IF(OR(COUNT(G94:N94)&lt;8,COUNTA(O94:P94)&lt;2,COUNT(Q94:T94)&lt;4),"OPEN",IF(AND(G94&gt;='Assumptions'!$B$20,G94&lt;='Assumptions'!$B$21,ABS(H94)&lt;='Assumptions'!$B$22,ABS(I94)&lt;='Assumptions'!$B$23,ABS(J94)&lt;='Assumptions'!$B$24,ABS(K94)&lt;='Assumptions'!$B$25,L94&lt;='Assumptions'!$B$26,M94&lt;='Assumptions'!$B$27,N94&lt;='Assumptions'!$B$28,O94="YES",P94="YES",Q94=24,R94=96,S94=8,T94=2),"PASS","VALID-ADVERSE"))</x:f>
        <x:v>OPEN</x:v>
      </x:c>
    </x:row>
    <x:row r="95">
      <x:c r="A95" s="11" t="str">
        <x:v>ITR-088</x:v>
      </x:c>
      <x:c r="B95" s="11" t="str">
        <x:v>IART-15</x:v>
      </x:c>
      <x:c r="C95" s="11" t="str">
        <x:v>IA-3</x:v>
      </x:c>
      <x:c r="D95" s="11" t="str">
        <x:v>BL-A</x:v>
      </x:c>
      <x:c r="E95" s="11" t="str">
        <x:v>C-3</x:v>
      </x:c>
      <x:c r="F95" s="11" t="str">
        <x:v>IT-4 service denied</x:v>
      </x:c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1" t="str">
        <x:f>IF(OR(COUNT(G95:N95)&lt;8,COUNTA(O95:P95)&lt;2,COUNT(Q95:T95)&lt;4),"OPEN",IF(AND(G95&gt;='Assumptions'!$B$20,G95&lt;='Assumptions'!$B$21,ABS(H95)&lt;='Assumptions'!$B$22,ABS(I95)&lt;='Assumptions'!$B$23,ABS(J95)&lt;='Assumptions'!$B$24,ABS(K95)&lt;='Assumptions'!$B$25,L95&lt;='Assumptions'!$B$26,M95&lt;='Assumptions'!$B$27,N95&lt;='Assumptions'!$B$28,O95="YES",P95="YES",Q95=24,R95=96,S95=8,T95=2),"PASS","VALID-ADVERSE"))</x:f>
        <x:v>OPEN</x:v>
      </x:c>
    </x:row>
    <x:row r="96">
      <x:c r="A96" s="11" t="str">
        <x:v>ITR-089</x:v>
      </x:c>
      <x:c r="B96" s="11" t="str">
        <x:v>IART-15</x:v>
      </x:c>
      <x:c r="C96" s="11" t="str">
        <x:v>IA-3</x:v>
      </x:c>
      <x:c r="D96" s="11" t="str">
        <x:v>BL-A</x:v>
      </x:c>
      <x:c r="E96" s="11" t="str">
        <x:v>C-3</x:v>
      </x:c>
      <x:c r="F96" s="11" t="str">
        <x:v>IT-5 network/time loss</x:v>
      </x:c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1" t="str">
        <x:f>IF(OR(COUNT(G96:N96)&lt;8,COUNTA(O96:P96)&lt;2,COUNT(Q96:T96)&lt;4),"OPEN",IF(AND(G96&gt;='Assumptions'!$B$20,G96&lt;='Assumptions'!$B$21,ABS(H96)&lt;='Assumptions'!$B$22,ABS(I96)&lt;='Assumptions'!$B$23,ABS(J96)&lt;='Assumptions'!$B$24,ABS(K96)&lt;='Assumptions'!$B$25,L96&lt;='Assumptions'!$B$26,M96&lt;='Assumptions'!$B$27,N96&lt;='Assumptions'!$B$28,O96="YES",P96="YES",Q96=24,R96=96,S96=8,T96=2),"PASS","VALID-ADVERSE"))</x:f>
        <x:v>OPEN</x:v>
      </x:c>
    </x:row>
    <x:row r="97">
      <x:c r="A97" s="11" t="str">
        <x:v>ITR-090</x:v>
      </x:c>
      <x:c r="B97" s="11" t="str">
        <x:v>IART-15</x:v>
      </x:c>
      <x:c r="C97" s="11" t="str">
        <x:v>IA-3</x:v>
      </x:c>
      <x:c r="D97" s="11" t="str">
        <x:v>BL-A</x:v>
      </x:c>
      <x:c r="E97" s="11" t="str">
        <x:v>C-3</x:v>
      </x:c>
      <x:c r="F97" s="11" t="str">
        <x:v>IT-6 interrupt/remove</x:v>
      </x:c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1" t="str">
        <x:f>IF(OR(COUNT(G97:N97)&lt;8,COUNTA(O97:P97)&lt;2,COUNT(Q97:T97)&lt;4),"OPEN",IF(AND(G97&gt;='Assumptions'!$B$20,G97&lt;='Assumptions'!$B$21,ABS(H97)&lt;='Assumptions'!$B$22,ABS(I97)&lt;='Assumptions'!$B$23,ABS(J97)&lt;='Assumptions'!$B$24,ABS(K97)&lt;='Assumptions'!$B$25,L97&lt;='Assumptions'!$B$26,M97&lt;='Assumptions'!$B$27,N97&lt;='Assumptions'!$B$28,O97="YES",P97="YES",Q97=24,R97=96,S97=8,T97=2),"PASS","VALID-ADVERSE"))</x:f>
        <x:v>OPEN</x:v>
      </x:c>
    </x:row>
    <x:row r="98">
      <x:c r="A98" s="11" t="str">
        <x:v>ITR-091</x:v>
      </x:c>
      <x:c r="B98" s="11" t="str">
        <x:v>IART-16</x:v>
      </x:c>
      <x:c r="C98" s="11" t="str">
        <x:v>IA-3</x:v>
      </x:c>
      <x:c r="D98" s="11" t="str">
        <x:v>BL-B</x:v>
      </x:c>
      <x:c r="E98" s="11" t="str">
        <x:v>C-1</x:v>
      </x:c>
      <x:c r="F98" s="11" t="str">
        <x:v>IT-1 nominal</x:v>
      </x:c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1" t="str">
        <x:f>IF(OR(COUNT(G98:N98)&lt;8,COUNTA(O98:P98)&lt;2,COUNT(Q98:T98)&lt;4),"OPEN",IF(AND(G98&gt;='Assumptions'!$B$20,G98&lt;='Assumptions'!$B$21,ABS(H98)&lt;='Assumptions'!$B$22,ABS(I98)&lt;='Assumptions'!$B$23,ABS(J98)&lt;='Assumptions'!$B$24,ABS(K98)&lt;='Assumptions'!$B$25,L98&lt;='Assumptions'!$B$26,M98&lt;='Assumptions'!$B$27,N98&lt;='Assumptions'!$B$28,O98="YES",P98="YES",Q98=24,R98=96,S98=8,T98=2),"PASS","VALID-ADVERSE"))</x:f>
        <x:v>OPEN</x:v>
      </x:c>
    </x:row>
    <x:row r="99">
      <x:c r="A99" s="11" t="str">
        <x:v>ITR-092</x:v>
      </x:c>
      <x:c r="B99" s="11" t="str">
        <x:v>IART-16</x:v>
      </x:c>
      <x:c r="C99" s="11" t="str">
        <x:v>IA-3</x:v>
      </x:c>
      <x:c r="D99" s="11" t="str">
        <x:v>BL-B</x:v>
      </x:c>
      <x:c r="E99" s="11" t="str">
        <x:v>C-1</x:v>
      </x:c>
      <x:c r="F99" s="11" t="str">
        <x:v>IT-2 geometry edge</x:v>
      </x:c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1" t="str">
        <x:f>IF(OR(COUNT(G99:N99)&lt;8,COUNTA(O99:P99)&lt;2,COUNT(Q99:T99)&lt;4),"OPEN",IF(AND(G99&gt;='Assumptions'!$B$20,G99&lt;='Assumptions'!$B$21,ABS(H99)&lt;='Assumptions'!$B$22,ABS(I99)&lt;='Assumptions'!$B$23,ABS(J99)&lt;='Assumptions'!$B$24,ABS(K99)&lt;='Assumptions'!$B$25,L99&lt;='Assumptions'!$B$26,M99&lt;='Assumptions'!$B$27,N99&lt;='Assumptions'!$B$28,O99="YES",P99="YES",Q99=24,R99=96,S99=8,T99=2),"PASS","VALID-ADVERSE"))</x:f>
        <x:v>OPEN</x:v>
      </x:c>
    </x:row>
    <x:row r="100">
      <x:c r="A100" s="11" t="str">
        <x:v>ITR-093</x:v>
      </x:c>
      <x:c r="B100" s="11" t="str">
        <x:v>IART-16</x:v>
      </x:c>
      <x:c r="C100" s="11" t="str">
        <x:v>IA-3</x:v>
      </x:c>
      <x:c r="D100" s="11" t="str">
        <x:v>BL-B</x:v>
      </x:c>
      <x:c r="E100" s="11" t="str">
        <x:v>C-1</x:v>
      </x:c>
      <x:c r="F100" s="11" t="str">
        <x:v>IT-3 atmosphere boundary</x:v>
      </x:c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1" t="str">
        <x:f>IF(OR(COUNT(G100:N100)&lt;8,COUNTA(O100:P100)&lt;2,COUNT(Q100:T100)&lt;4),"OPEN",IF(AND(G100&gt;='Assumptions'!$B$20,G100&lt;='Assumptions'!$B$21,ABS(H100)&lt;='Assumptions'!$B$22,ABS(I100)&lt;='Assumptions'!$B$23,ABS(J100)&lt;='Assumptions'!$B$24,ABS(K100)&lt;='Assumptions'!$B$25,L100&lt;='Assumptions'!$B$26,M100&lt;='Assumptions'!$B$27,N100&lt;='Assumptions'!$B$28,O100="YES",P100="YES",Q100=24,R100=96,S100=8,T100=2),"PASS","VALID-ADVERSE"))</x:f>
        <x:v>OPEN</x:v>
      </x:c>
    </x:row>
    <x:row r="101">
      <x:c r="A101" s="11" t="str">
        <x:v>ITR-094</x:v>
      </x:c>
      <x:c r="B101" s="11" t="str">
        <x:v>IART-16</x:v>
      </x:c>
      <x:c r="C101" s="11" t="str">
        <x:v>IA-3</x:v>
      </x:c>
      <x:c r="D101" s="11" t="str">
        <x:v>BL-B</x:v>
      </x:c>
      <x:c r="E101" s="11" t="str">
        <x:v>C-1</x:v>
      </x:c>
      <x:c r="F101" s="11" t="str">
        <x:v>IT-4 service denied</x:v>
      </x:c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1" t="str">
        <x:f>IF(OR(COUNT(G101:N101)&lt;8,COUNTA(O101:P101)&lt;2,COUNT(Q101:T101)&lt;4),"OPEN",IF(AND(G101&gt;='Assumptions'!$B$20,G101&lt;='Assumptions'!$B$21,ABS(H101)&lt;='Assumptions'!$B$22,ABS(I101)&lt;='Assumptions'!$B$23,ABS(J101)&lt;='Assumptions'!$B$24,ABS(K101)&lt;='Assumptions'!$B$25,L101&lt;='Assumptions'!$B$26,M101&lt;='Assumptions'!$B$27,N101&lt;='Assumptions'!$B$28,O101="YES",P101="YES",Q101=24,R101=96,S101=8,T101=2),"PASS","VALID-ADVERSE"))</x:f>
        <x:v>OPEN</x:v>
      </x:c>
    </x:row>
    <x:row r="102">
      <x:c r="A102" s="11" t="str">
        <x:v>ITR-095</x:v>
      </x:c>
      <x:c r="B102" s="11" t="str">
        <x:v>IART-16</x:v>
      </x:c>
      <x:c r="C102" s="11" t="str">
        <x:v>IA-3</x:v>
      </x:c>
      <x:c r="D102" s="11" t="str">
        <x:v>BL-B</x:v>
      </x:c>
      <x:c r="E102" s="11" t="str">
        <x:v>C-1</x:v>
      </x:c>
      <x:c r="F102" s="11" t="str">
        <x:v>IT-5 network/time loss</x:v>
      </x:c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1" t="str">
        <x:f>IF(OR(COUNT(G102:N102)&lt;8,COUNTA(O102:P102)&lt;2,COUNT(Q102:T102)&lt;4),"OPEN",IF(AND(G102&gt;='Assumptions'!$B$20,G102&lt;='Assumptions'!$B$21,ABS(H102)&lt;='Assumptions'!$B$22,ABS(I102)&lt;='Assumptions'!$B$23,ABS(J102)&lt;='Assumptions'!$B$24,ABS(K102)&lt;='Assumptions'!$B$25,L102&lt;='Assumptions'!$B$26,M102&lt;='Assumptions'!$B$27,N102&lt;='Assumptions'!$B$28,O102="YES",P102="YES",Q102=24,R102=96,S102=8,T102=2),"PASS","VALID-ADVERSE"))</x:f>
        <x:v>OPEN</x:v>
      </x:c>
    </x:row>
    <x:row r="103">
      <x:c r="A103" s="11" t="str">
        <x:v>ITR-096</x:v>
      </x:c>
      <x:c r="B103" s="11" t="str">
        <x:v>IART-16</x:v>
      </x:c>
      <x:c r="C103" s="11" t="str">
        <x:v>IA-3</x:v>
      </x:c>
      <x:c r="D103" s="11" t="str">
        <x:v>BL-B</x:v>
      </x:c>
      <x:c r="E103" s="11" t="str">
        <x:v>C-1</x:v>
      </x:c>
      <x:c r="F103" s="11" t="str">
        <x:v>IT-6 interrupt/remove</x:v>
      </x:c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1" t="str">
        <x:f>IF(OR(COUNT(G103:N103)&lt;8,COUNTA(O103:P103)&lt;2,COUNT(Q103:T103)&lt;4),"OPEN",IF(AND(G103&gt;='Assumptions'!$B$20,G103&lt;='Assumptions'!$B$21,ABS(H103)&lt;='Assumptions'!$B$22,ABS(I103)&lt;='Assumptions'!$B$23,ABS(J103)&lt;='Assumptions'!$B$24,ABS(K103)&lt;='Assumptions'!$B$25,L103&lt;='Assumptions'!$B$26,M103&lt;='Assumptions'!$B$27,N103&lt;='Assumptions'!$B$28,O103="YES",P103="YES",Q103=24,R103=96,S103=8,T103=2),"PASS","VALID-ADVERSE"))</x:f>
        <x:v>OPEN</x:v>
      </x:c>
    </x:row>
    <x:row r="104">
      <x:c r="A104" s="11" t="str">
        <x:v>ITR-097</x:v>
      </x:c>
      <x:c r="B104" s="11" t="str">
        <x:v>IART-17</x:v>
      </x:c>
      <x:c r="C104" s="11" t="str">
        <x:v>IA-3</x:v>
      </x:c>
      <x:c r="D104" s="11" t="str">
        <x:v>BL-B</x:v>
      </x:c>
      <x:c r="E104" s="11" t="str">
        <x:v>C-2</x:v>
      </x:c>
      <x:c r="F104" s="11" t="str">
        <x:v>IT-1 nominal</x:v>
      </x:c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1" t="str">
        <x:f>IF(OR(COUNT(G104:N104)&lt;8,COUNTA(O104:P104)&lt;2,COUNT(Q104:T104)&lt;4),"OPEN",IF(AND(G104&gt;='Assumptions'!$B$20,G104&lt;='Assumptions'!$B$21,ABS(H104)&lt;='Assumptions'!$B$22,ABS(I104)&lt;='Assumptions'!$B$23,ABS(J104)&lt;='Assumptions'!$B$24,ABS(K104)&lt;='Assumptions'!$B$25,L104&lt;='Assumptions'!$B$26,M104&lt;='Assumptions'!$B$27,N104&lt;='Assumptions'!$B$28,O104="YES",P104="YES",Q104=24,R104=96,S104=8,T104=2),"PASS","VALID-ADVERSE"))</x:f>
        <x:v>OPEN</x:v>
      </x:c>
    </x:row>
    <x:row r="105">
      <x:c r="A105" s="11" t="str">
        <x:v>ITR-098</x:v>
      </x:c>
      <x:c r="B105" s="11" t="str">
        <x:v>IART-17</x:v>
      </x:c>
      <x:c r="C105" s="11" t="str">
        <x:v>IA-3</x:v>
      </x:c>
      <x:c r="D105" s="11" t="str">
        <x:v>BL-B</x:v>
      </x:c>
      <x:c r="E105" s="11" t="str">
        <x:v>C-2</x:v>
      </x:c>
      <x:c r="F105" s="11" t="str">
        <x:v>IT-2 geometry edge</x:v>
      </x:c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1" t="str">
        <x:f>IF(OR(COUNT(G105:N105)&lt;8,COUNTA(O105:P105)&lt;2,COUNT(Q105:T105)&lt;4),"OPEN",IF(AND(G105&gt;='Assumptions'!$B$20,G105&lt;='Assumptions'!$B$21,ABS(H105)&lt;='Assumptions'!$B$22,ABS(I105)&lt;='Assumptions'!$B$23,ABS(J105)&lt;='Assumptions'!$B$24,ABS(K105)&lt;='Assumptions'!$B$25,L105&lt;='Assumptions'!$B$26,M105&lt;='Assumptions'!$B$27,N105&lt;='Assumptions'!$B$28,O105="YES",P105="YES",Q105=24,R105=96,S105=8,T105=2),"PASS","VALID-ADVERSE"))</x:f>
        <x:v>OPEN</x:v>
      </x:c>
    </x:row>
    <x:row r="106">
      <x:c r="A106" s="11" t="str">
        <x:v>ITR-099</x:v>
      </x:c>
      <x:c r="B106" s="11" t="str">
        <x:v>IART-17</x:v>
      </x:c>
      <x:c r="C106" s="11" t="str">
        <x:v>IA-3</x:v>
      </x:c>
      <x:c r="D106" s="11" t="str">
        <x:v>BL-B</x:v>
      </x:c>
      <x:c r="E106" s="11" t="str">
        <x:v>C-2</x:v>
      </x:c>
      <x:c r="F106" s="11" t="str">
        <x:v>IT-3 atmosphere boundary</x:v>
      </x:c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1" t="str">
        <x:f>IF(OR(COUNT(G106:N106)&lt;8,COUNTA(O106:P106)&lt;2,COUNT(Q106:T106)&lt;4),"OPEN",IF(AND(G106&gt;='Assumptions'!$B$20,G106&lt;='Assumptions'!$B$21,ABS(H106)&lt;='Assumptions'!$B$22,ABS(I106)&lt;='Assumptions'!$B$23,ABS(J106)&lt;='Assumptions'!$B$24,ABS(K106)&lt;='Assumptions'!$B$25,L106&lt;='Assumptions'!$B$26,M106&lt;='Assumptions'!$B$27,N106&lt;='Assumptions'!$B$28,O106="YES",P106="YES",Q106=24,R106=96,S106=8,T106=2),"PASS","VALID-ADVERSE"))</x:f>
        <x:v>OPEN</x:v>
      </x:c>
    </x:row>
    <x:row r="107">
      <x:c r="A107" s="11" t="str">
        <x:v>ITR-100</x:v>
      </x:c>
      <x:c r="B107" s="11" t="str">
        <x:v>IART-17</x:v>
      </x:c>
      <x:c r="C107" s="11" t="str">
        <x:v>IA-3</x:v>
      </x:c>
      <x:c r="D107" s="11" t="str">
        <x:v>BL-B</x:v>
      </x:c>
      <x:c r="E107" s="11" t="str">
        <x:v>C-2</x:v>
      </x:c>
      <x:c r="F107" s="11" t="str">
        <x:v>IT-4 service denied</x:v>
      </x:c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1" t="str">
        <x:f>IF(OR(COUNT(G107:N107)&lt;8,COUNTA(O107:P107)&lt;2,COUNT(Q107:T107)&lt;4),"OPEN",IF(AND(G107&gt;='Assumptions'!$B$20,G107&lt;='Assumptions'!$B$21,ABS(H107)&lt;='Assumptions'!$B$22,ABS(I107)&lt;='Assumptions'!$B$23,ABS(J107)&lt;='Assumptions'!$B$24,ABS(K107)&lt;='Assumptions'!$B$25,L107&lt;='Assumptions'!$B$26,M107&lt;='Assumptions'!$B$27,N107&lt;='Assumptions'!$B$28,O107="YES",P107="YES",Q107=24,R107=96,S107=8,T107=2),"PASS","VALID-ADVERSE"))</x:f>
        <x:v>OPEN</x:v>
      </x:c>
    </x:row>
    <x:row r="108">
      <x:c r="A108" s="11" t="str">
        <x:v>ITR-101</x:v>
      </x:c>
      <x:c r="B108" s="11" t="str">
        <x:v>IART-17</x:v>
      </x:c>
      <x:c r="C108" s="11" t="str">
        <x:v>IA-3</x:v>
      </x:c>
      <x:c r="D108" s="11" t="str">
        <x:v>BL-B</x:v>
      </x:c>
      <x:c r="E108" s="11" t="str">
        <x:v>C-2</x:v>
      </x:c>
      <x:c r="F108" s="11" t="str">
        <x:v>IT-5 network/time loss</x:v>
      </x:c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1" t="str">
        <x:f>IF(OR(COUNT(G108:N108)&lt;8,COUNTA(O108:P108)&lt;2,COUNT(Q108:T108)&lt;4),"OPEN",IF(AND(G108&gt;='Assumptions'!$B$20,G108&lt;='Assumptions'!$B$21,ABS(H108)&lt;='Assumptions'!$B$22,ABS(I108)&lt;='Assumptions'!$B$23,ABS(J108)&lt;='Assumptions'!$B$24,ABS(K108)&lt;='Assumptions'!$B$25,L108&lt;='Assumptions'!$B$26,M108&lt;='Assumptions'!$B$27,N108&lt;='Assumptions'!$B$28,O108="YES",P108="YES",Q108=24,R108=96,S108=8,T108=2),"PASS","VALID-ADVERSE"))</x:f>
        <x:v>OPEN</x:v>
      </x:c>
    </x:row>
    <x:row r="109">
      <x:c r="A109" s="11" t="str">
        <x:v>ITR-102</x:v>
      </x:c>
      <x:c r="B109" s="11" t="str">
        <x:v>IART-17</x:v>
      </x:c>
      <x:c r="C109" s="11" t="str">
        <x:v>IA-3</x:v>
      </x:c>
      <x:c r="D109" s="11" t="str">
        <x:v>BL-B</x:v>
      </x:c>
      <x:c r="E109" s="11" t="str">
        <x:v>C-2</x:v>
      </x:c>
      <x:c r="F109" s="11" t="str">
        <x:v>IT-6 interrupt/remove</x:v>
      </x:c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1" t="str">
        <x:f>IF(OR(COUNT(G109:N109)&lt;8,COUNTA(O109:P109)&lt;2,COUNT(Q109:T109)&lt;4),"OPEN",IF(AND(G109&gt;='Assumptions'!$B$20,G109&lt;='Assumptions'!$B$21,ABS(H109)&lt;='Assumptions'!$B$22,ABS(I109)&lt;='Assumptions'!$B$23,ABS(J109)&lt;='Assumptions'!$B$24,ABS(K109)&lt;='Assumptions'!$B$25,L109&lt;='Assumptions'!$B$26,M109&lt;='Assumptions'!$B$27,N109&lt;='Assumptions'!$B$28,O109="YES",P109="YES",Q109=24,R109=96,S109=8,T109=2),"PASS","VALID-ADVERSE"))</x:f>
        <x:v>OPEN</x:v>
      </x:c>
    </x:row>
    <x:row r="110">
      <x:c r="A110" s="11" t="str">
        <x:v>ITR-103</x:v>
      </x:c>
      <x:c r="B110" s="11" t="str">
        <x:v>IART-18</x:v>
      </x:c>
      <x:c r="C110" s="11" t="str">
        <x:v>IA-3</x:v>
      </x:c>
      <x:c r="D110" s="11" t="str">
        <x:v>BL-B</x:v>
      </x:c>
      <x:c r="E110" s="11" t="str">
        <x:v>C-3</x:v>
      </x:c>
      <x:c r="F110" s="11" t="str">
        <x:v>IT-1 nominal</x:v>
      </x:c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1" t="str">
        <x:f>IF(OR(COUNT(G110:N110)&lt;8,COUNTA(O110:P110)&lt;2,COUNT(Q110:T110)&lt;4),"OPEN",IF(AND(G110&gt;='Assumptions'!$B$20,G110&lt;='Assumptions'!$B$21,ABS(H110)&lt;='Assumptions'!$B$22,ABS(I110)&lt;='Assumptions'!$B$23,ABS(J110)&lt;='Assumptions'!$B$24,ABS(K110)&lt;='Assumptions'!$B$25,L110&lt;='Assumptions'!$B$26,M110&lt;='Assumptions'!$B$27,N110&lt;='Assumptions'!$B$28,O110="YES",P110="YES",Q110=24,R110=96,S110=8,T110=2),"PASS","VALID-ADVERSE"))</x:f>
        <x:v>OPEN</x:v>
      </x:c>
    </x:row>
    <x:row r="111">
      <x:c r="A111" s="11" t="str">
        <x:v>ITR-104</x:v>
      </x:c>
      <x:c r="B111" s="11" t="str">
        <x:v>IART-18</x:v>
      </x:c>
      <x:c r="C111" s="11" t="str">
        <x:v>IA-3</x:v>
      </x:c>
      <x:c r="D111" s="11" t="str">
        <x:v>BL-B</x:v>
      </x:c>
      <x:c r="E111" s="11" t="str">
        <x:v>C-3</x:v>
      </x:c>
      <x:c r="F111" s="11" t="str">
        <x:v>IT-2 geometry edge</x:v>
      </x:c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1" t="str">
        <x:f>IF(OR(COUNT(G111:N111)&lt;8,COUNTA(O111:P111)&lt;2,COUNT(Q111:T111)&lt;4),"OPEN",IF(AND(G111&gt;='Assumptions'!$B$20,G111&lt;='Assumptions'!$B$21,ABS(H111)&lt;='Assumptions'!$B$22,ABS(I111)&lt;='Assumptions'!$B$23,ABS(J111)&lt;='Assumptions'!$B$24,ABS(K111)&lt;='Assumptions'!$B$25,L111&lt;='Assumptions'!$B$26,M111&lt;='Assumptions'!$B$27,N111&lt;='Assumptions'!$B$28,O111="YES",P111="YES",Q111=24,R111=96,S111=8,T111=2),"PASS","VALID-ADVERSE"))</x:f>
        <x:v>OPEN</x:v>
      </x:c>
    </x:row>
    <x:row r="112">
      <x:c r="A112" s="11" t="str">
        <x:v>ITR-105</x:v>
      </x:c>
      <x:c r="B112" s="11" t="str">
        <x:v>IART-18</x:v>
      </x:c>
      <x:c r="C112" s="11" t="str">
        <x:v>IA-3</x:v>
      </x:c>
      <x:c r="D112" s="11" t="str">
        <x:v>BL-B</x:v>
      </x:c>
      <x:c r="E112" s="11" t="str">
        <x:v>C-3</x:v>
      </x:c>
      <x:c r="F112" s="11" t="str">
        <x:v>IT-3 atmosphere boundary</x:v>
      </x:c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1" t="str">
        <x:f>IF(OR(COUNT(G112:N112)&lt;8,COUNTA(O112:P112)&lt;2,COUNT(Q112:T112)&lt;4),"OPEN",IF(AND(G112&gt;='Assumptions'!$B$20,G112&lt;='Assumptions'!$B$21,ABS(H112)&lt;='Assumptions'!$B$22,ABS(I112)&lt;='Assumptions'!$B$23,ABS(J112)&lt;='Assumptions'!$B$24,ABS(K112)&lt;='Assumptions'!$B$25,L112&lt;='Assumptions'!$B$26,M112&lt;='Assumptions'!$B$27,N112&lt;='Assumptions'!$B$28,O112="YES",P112="YES",Q112=24,R112=96,S112=8,T112=2),"PASS","VALID-ADVERSE"))</x:f>
        <x:v>OPEN</x:v>
      </x:c>
    </x:row>
    <x:row r="113">
      <x:c r="A113" s="11" t="str">
        <x:v>ITR-106</x:v>
      </x:c>
      <x:c r="B113" s="11" t="str">
        <x:v>IART-18</x:v>
      </x:c>
      <x:c r="C113" s="11" t="str">
        <x:v>IA-3</x:v>
      </x:c>
      <x:c r="D113" s="11" t="str">
        <x:v>BL-B</x:v>
      </x:c>
      <x:c r="E113" s="11" t="str">
        <x:v>C-3</x:v>
      </x:c>
      <x:c r="F113" s="11" t="str">
        <x:v>IT-4 service denied</x:v>
      </x:c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1" t="str">
        <x:f>IF(OR(COUNT(G113:N113)&lt;8,COUNTA(O113:P113)&lt;2,COUNT(Q113:T113)&lt;4),"OPEN",IF(AND(G113&gt;='Assumptions'!$B$20,G113&lt;='Assumptions'!$B$21,ABS(H113)&lt;='Assumptions'!$B$22,ABS(I113)&lt;='Assumptions'!$B$23,ABS(J113)&lt;='Assumptions'!$B$24,ABS(K113)&lt;='Assumptions'!$B$25,L113&lt;='Assumptions'!$B$26,M113&lt;='Assumptions'!$B$27,N113&lt;='Assumptions'!$B$28,O113="YES",P113="YES",Q113=24,R113=96,S113=8,T113=2),"PASS","VALID-ADVERSE"))</x:f>
        <x:v>OPEN</x:v>
      </x:c>
    </x:row>
    <x:row r="114">
      <x:c r="A114" s="11" t="str">
        <x:v>ITR-107</x:v>
      </x:c>
      <x:c r="B114" s="11" t="str">
        <x:v>IART-18</x:v>
      </x:c>
      <x:c r="C114" s="11" t="str">
        <x:v>IA-3</x:v>
      </x:c>
      <x:c r="D114" s="11" t="str">
        <x:v>BL-B</x:v>
      </x:c>
      <x:c r="E114" s="11" t="str">
        <x:v>C-3</x:v>
      </x:c>
      <x:c r="F114" s="11" t="str">
        <x:v>IT-5 network/time loss</x:v>
      </x:c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1" t="str">
        <x:f>IF(OR(COUNT(G114:N114)&lt;8,COUNTA(O114:P114)&lt;2,COUNT(Q114:T114)&lt;4),"OPEN",IF(AND(G114&gt;='Assumptions'!$B$20,G114&lt;='Assumptions'!$B$21,ABS(H114)&lt;='Assumptions'!$B$22,ABS(I114)&lt;='Assumptions'!$B$23,ABS(J114)&lt;='Assumptions'!$B$24,ABS(K114)&lt;='Assumptions'!$B$25,L114&lt;='Assumptions'!$B$26,M114&lt;='Assumptions'!$B$27,N114&lt;='Assumptions'!$B$28,O114="YES",P114="YES",Q114=24,R114=96,S114=8,T114=2),"PASS","VALID-ADVERSE"))</x:f>
        <x:v>OPEN</x:v>
      </x:c>
    </x:row>
    <x:row r="115">
      <x:c r="A115" s="11" t="str">
        <x:v>ITR-108</x:v>
      </x:c>
      <x:c r="B115" s="11" t="str">
        <x:v>IART-18</x:v>
      </x:c>
      <x:c r="C115" s="11" t="str">
        <x:v>IA-3</x:v>
      </x:c>
      <x:c r="D115" s="11" t="str">
        <x:v>BL-B</x:v>
      </x:c>
      <x:c r="E115" s="11" t="str">
        <x:v>C-3</x:v>
      </x:c>
      <x:c r="F115" s="11" t="str">
        <x:v>IT-6 interrupt/remove</x:v>
      </x:c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1" t="str">
        <x:f>IF(OR(COUNT(G115:N115)&lt;8,COUNTA(O115:P115)&lt;2,COUNT(Q115:T115)&lt;4),"OPEN",IF(AND(G115&gt;='Assumptions'!$B$20,G115&lt;='Assumptions'!$B$21,ABS(H115)&lt;='Assumptions'!$B$22,ABS(I115)&lt;='Assumptions'!$B$23,ABS(J115)&lt;='Assumptions'!$B$24,ABS(K115)&lt;='Assumptions'!$B$25,L115&lt;='Assumptions'!$B$26,M115&lt;='Assumptions'!$B$27,N115&lt;='Assumptions'!$B$28,O115="YES",P115="YES",Q115=24,R115=96,S115=8,T115=2),"PASS","VALID-ADVERSE"))</x:f>
        <x:v>OPEN</x:v>
      </x:c>
    </x:row>
  </x:sheetData>
  <x:mergeCells>
    <x:mergeCell ref="A2:U2"/>
  </x:mergeCells>
  <x:conditionalFormatting sqref="U8:U115">
    <x:cfRule type="containsText" dxfId="8" priority="1" operator="containsText" text="DENY"/>
    <x:cfRule type="containsText" dxfId="9" priority="2" operator="containsText" text="ADVERSE"/>
    <x:cfRule type="containsText" dxfId="10" priority="3" operator="containsText" text="FAIL"/>
    <x:cfRule type="containsText" dxfId="11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9a70db9f053546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1" hidden="0" customWidth="1"/>
    <x:col min="4" max="4" width="13" hidden="0" customWidth="1"/>
    <x:col min="5" max="5" width="11" hidden="0" customWidth="1"/>
    <x:col min="6" max="6" width="20" hidden="0" customWidth="1"/>
    <x:col min="7" max="7" width="20" hidden="0" customWidth="1"/>
    <x:col min="8" max="8" width="21" hidden="0" customWidth="1"/>
    <x:col min="9" max="9" width="14" hidden="0" customWidth="1"/>
  </x:cols>
  <x:sheetData>
    <x:row r="2" ht="26" customHeight="1">
      <x:c r="A2" s="18" t="str">
        <x:v>Candidate trial decisions</x:v>
      </x:c>
      <x:c r="B2" s="18" t="str">
        <x:v>Candidate trial decisions</x:v>
      </x:c>
      <x:c r="C2" s="18" t="str">
        <x:v>Candidate trial decisions</x:v>
      </x:c>
      <x:c r="D2" s="18" t="str">
        <x:v>Candidate trial decisions</x:v>
      </x:c>
      <x:c r="E2" s="18" t="str">
        <x:v>Candidate trial decisions</x:v>
      </x:c>
      <x:c r="F2" s="18" t="str">
        <x:v>Candidate trial decisions</x:v>
      </x:c>
      <x:c r="G2" s="18" t="str">
        <x:v>Candidate trial decisions</x:v>
      </x:c>
      <x:c r="H2" s="18" t="str">
        <x:v>Candidate trial decisions</x:v>
      </x:c>
      <x:c r="I2" s="18" t="str">
        <x:v>Candidate trial decisions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  <x:row r="5">
      <x:c r="A5" s="9" t="str">
        <x:v>Candidate</x:v>
      </x:c>
      <x:c r="B5" s="9" t="str">
        <x:v>Required trials</x:v>
      </x:c>
      <x:c r="C5" s="9" t="str">
        <x:v>Pass</x:v>
      </x:c>
      <x:c r="D5" s="9" t="str">
        <x:v>Adverse</x:v>
      </x:c>
      <x:c r="E5" s="9" t="str">
        <x:v>Open</x:v>
      </x:c>
      <x:c r="F5" s="9" t="str">
        <x:v>Article acceptance</x:v>
      </x:c>
      <x:c r="G5" s="9" t="str">
        <x:v>Independent review</x:v>
      </x:c>
      <x:c r="H5" s="9" t="str">
        <x:v>Hard-screen decision</x:v>
      </x:c>
      <x:c r="I5" s="9" t="str">
        <x:v>State</x:v>
      </x:c>
    </x:row>
    <x:row r="6">
      <x:c r="A6" s="11" t="str">
        <x:v>IA-1</x:v>
      </x:c>
      <x:c r="B6" s="11" t="n">
        <x:v>36</x:v>
      </x:c>
      <x:c r="C6" s="11" t="n">
        <x:f>COUNTIFS('Trial Matrix'!$C$8:$C$115,A6,'Trial Matrix'!$U$8:$U$115,"PASS")</x:f>
        <x:v>0</x:v>
      </x:c>
      <x:c r="D6" s="11" t="n">
        <x:f>COUNTIFS('Trial Matrix'!$C$8:$C$115,A6,'Trial Matrix'!$U$8:$U$115,"VALID-ADVERSE")</x:f>
        <x:v>0</x:v>
      </x:c>
      <x:c r="E6" s="11" t="n">
        <x:f>B6-C6-D6</x:f>
        <x:v>36</x:v>
      </x:c>
      <x:c r="F6" s="13"/>
      <x:c r="G6" s="13"/>
      <x:c r="H6" s="11" t="str">
        <x:f>IF(D6&gt;0,"DENY",IF(AND(C6=B6,F6="ACCEPTED",G6="ACCEPTED"),"PASS","OPEN"))</x:f>
        <x:v>OPEN</x:v>
      </x:c>
      <x:c r="I6" s="11" t="str">
        <x:f>H6</x:f>
        <x:v>OPEN</x:v>
      </x:c>
    </x:row>
    <x:row r="7">
      <x:c r="A7" s="11" t="str">
        <x:v>IA-2</x:v>
      </x:c>
      <x:c r="B7" s="11" t="n">
        <x:v>36</x:v>
      </x:c>
      <x:c r="C7" s="11" t="n">
        <x:f>COUNTIFS('Trial Matrix'!$C$8:$C$115,A7,'Trial Matrix'!$U$8:$U$115,"PASS")</x:f>
        <x:v>0</x:v>
      </x:c>
      <x:c r="D7" s="11" t="n">
        <x:f>COUNTIFS('Trial Matrix'!$C$8:$C$115,A7,'Trial Matrix'!$U$8:$U$115,"VALID-ADVERSE")</x:f>
        <x:v>0</x:v>
      </x:c>
      <x:c r="E7" s="11" t="n">
        <x:f>B7-C7-D7</x:f>
        <x:v>36</x:v>
      </x:c>
      <x:c r="F7" s="13"/>
      <x:c r="G7" s="13"/>
      <x:c r="H7" s="11" t="str">
        <x:f>IF(D7&gt;0,"DENY",IF(AND(C7=B7,F7="ACCEPTED",G7="ACCEPTED"),"PASS","OPEN"))</x:f>
        <x:v>OPEN</x:v>
      </x:c>
      <x:c r="I7" s="11" t="str">
        <x:f>H7</x:f>
        <x:v>OPEN</x:v>
      </x:c>
    </x:row>
    <x:row r="8">
      <x:c r="A8" s="11" t="str">
        <x:v>IA-3</x:v>
      </x:c>
      <x:c r="B8" s="11" t="n">
        <x:v>36</x:v>
      </x:c>
      <x:c r="C8" s="11" t="n">
        <x:f>COUNTIFS('Trial Matrix'!$C$8:$C$115,A8,'Trial Matrix'!$U$8:$U$115,"PASS")</x:f>
        <x:v>0</x:v>
      </x:c>
      <x:c r="D8" s="11" t="n">
        <x:f>COUNTIFS('Trial Matrix'!$C$8:$C$115,A8,'Trial Matrix'!$U$8:$U$115,"VALID-ADVERSE")</x:f>
        <x:v>0</x:v>
      </x:c>
      <x:c r="E8" s="11" t="n">
        <x:f>B8-C8-D8</x:f>
        <x:v>36</x:v>
      </x:c>
      <x:c r="F8" s="13"/>
      <x:c r="G8" s="13"/>
      <x:c r="H8" s="11" t="str">
        <x:f>IF(D8&gt;0,"DENY",IF(AND(C8=B8,F8="ACCEPTED",G8="ACCEPTED"),"PASS","OPEN"))</x:f>
        <x:v>OPEN</x:v>
      </x:c>
      <x:c r="I8" s="11" t="str">
        <x:f>H8</x:f>
        <x:v>OPEN</x:v>
      </x:c>
    </x:row>
  </x:sheetData>
  <x:mergeCells>
    <x:mergeCell ref="A2:I2"/>
  </x:mergeCells>
  <x:conditionalFormatting sqref="H6:I8">
    <x:cfRule type="containsText" dxfId="12" priority="1" operator="containsText" text="DENY"/>
    <x:cfRule type="containsText" dxfId="13" priority="2" operator="containsText" text="ADVERSE"/>
    <x:cfRule type="containsText" dxfId="14" priority="3" operator="containsText" text="FAIL"/>
    <x:cfRule type="containsText" dxfId="15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b0ca2e25b65540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</x:cols>
  <x:sheetData>
    <x:row r="2" ht="26" customHeight="1">
      <x:c r="A2" s="18" t="str">
        <x:v>Conjunctive selection record</x:v>
      </x:c>
      <x:c r="B2" s="18" t="str">
        <x:v>Conjunctive selection record</x:v>
      </x:c>
      <x:c r="C2" s="18" t="str">
        <x:v>Conjunctive selection record</x:v>
      </x:c>
      <x:c r="D2" s="18" t="str">
        <x:v>Conjunctive selection record</x:v>
      </x:c>
      <x:c r="E2" s="18" t="str">
        <x:v>Conjunctive selection record</x:v>
      </x:c>
      <x:c r="F2" s="18" t="str">
        <x:v>Conjunctive selection record</x:v>
      </x:c>
      <x:c r="G2" s="18" t="str">
        <x:v>Conjunctive selection record</x:v>
      </x:c>
      <x:c r="H2" s="18" t="str">
        <x:v>Conjunctive selection record</x:v>
      </x:c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9" t="str">
        <x:v>Metric</x:v>
      </x:c>
      <x:c r="B5" s="9" t="str">
        <x:v>Value</x:v>
      </x:c>
      <x:c r="C5" s="20"/>
      <x:c r="D5" s="20"/>
      <x:c r="E5" s="20"/>
      <x:c r="F5" s="20"/>
      <x:c r="G5" s="20"/>
      <x:c r="H5" s="20"/>
    </x:row>
    <x:row r="6">
      <x:c r="A6" s="11" t="str">
        <x:v>Hard-screen passes</x:v>
      </x:c>
      <x:c r="B6" s="11" t="n">
        <x:f>COUNTIFS('Trial Decisions'!H6:H8,"PASS")</x:f>
        <x:v>0</x:v>
      </x:c>
      <x:c r="C6" s="20"/>
      <x:c r="D6" s="20"/>
      <x:c r="E6" s="20"/>
      <x:c r="F6" s="20"/>
      <x:c r="G6" s="20"/>
      <x:c r="H6" s="20"/>
    </x:row>
    <x:row r="7">
      <x:c r="A7" s="11" t="str">
        <x:v>Selectable rank-one candidates</x:v>
      </x:c>
      <x:c r="B7" s="11" t="n">
        <x:f>COUNTIFS(Architectures!H6:H8,"SELECTABLE")</x:f>
        <x:v>0</x:v>
      </x:c>
      <x:c r="C7" s="20"/>
      <x:c r="D7" s="20"/>
      <x:c r="E7" s="20"/>
      <x:c r="F7" s="20"/>
      <x:c r="G7" s="20"/>
      <x:c r="H7" s="20"/>
    </x:row>
    <x:row r="8">
      <x:c r="A8" s="11" t="str">
        <x:v>Selected candidate</x:v>
      </x:c>
      <x:c r="B8" s="13"/>
      <x:c r="C8" s="20"/>
      <x:c r="D8" s="20"/>
      <x:c r="E8" s="20"/>
      <x:c r="F8" s="20"/>
      <x:c r="G8" s="20"/>
      <x:c r="H8" s="20"/>
    </x:row>
    <x:row r="9">
      <x:c r="A9" s="11" t="str">
        <x:v>Board acceptance</x:v>
      </x:c>
      <x:c r="B9" s="13"/>
      <x:c r="C9" s="20"/>
      <x:c r="D9" s="20"/>
      <x:c r="E9" s="20"/>
      <x:c r="F9" s="20"/>
      <x:c r="G9" s="20"/>
      <x:c r="H9" s="20"/>
    </x:row>
    <x:row r="10">
      <x:c r="A10" s="11" t="str">
        <x:v>Selection state</x:v>
      </x:c>
      <x:c r="B10" s="11" t="str">
        <x:f>IF(OR(B8="",B9=""),"OPEN",IF(AND(B7=1,B9="ACCEPTED",COUNTIFS('Trial Decisions'!A6:A8,B8,'Trial Decisions'!H6:H8,"PASS")=1),"SELECTED","DENY"))</x:f>
        <x:v>OPEN</x:v>
      </x:c>
      <x:c r="C10" s="20"/>
      <x:c r="D10" s="20"/>
      <x:c r="E10" s="20"/>
      <x:c r="F10" s="20"/>
      <x:c r="G10" s="20"/>
      <x:c r="H10" s="20"/>
    </x:row>
    <x:row r="11">
      <x:c r="A11" s="11" t="str">
        <x:v>Maximum authority</x:v>
      </x:c>
      <x:c r="B11" s="11" t="str">
        <x:v>architecture identity only</x:v>
      </x:c>
      <x:c r="C11" s="20"/>
      <x:c r="D11" s="20"/>
      <x:c r="E11" s="20"/>
      <x:c r="F11" s="20"/>
      <x:c r="G11" s="20"/>
      <x:c r="H11" s="20"/>
    </x:row>
  </x:sheetData>
  <x:mergeCells>
    <x:mergeCell ref="A2:H2"/>
  </x:mergeCells>
  <x:conditionalFormatting sqref="B10:B10">
    <x:cfRule type="containsText" dxfId="16" priority="1" operator="containsText" text="DENY"/>
    <x:cfRule type="containsText" dxfId="17" priority="2" operator="containsText" text="ADVERSE"/>
    <x:cfRule type="containsText" dxfId="18" priority="3" operator="containsText" text="FAIL"/>
    <x:cfRule type="containsText" dxfId="19" priority="4" operator="containsText" text="OPE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2" hidden="0" customWidth="1"/>
    <x:col min="4" max="4" width="16" hidden="0" customWidth="1"/>
    <x:col min="5" max="5" width="15" hidden="0" customWidth="1"/>
    <x:col min="6" max="6" width="16" hidden="0" customWidth="1"/>
    <x:col min="7" max="7" width="15" hidden="0" customWidth="1"/>
    <x:col min="8" max="8" width="20" hidden="0" customWidth="1"/>
    <x:col min="9" max="9" width="15" hidden="0" customWidth="1"/>
  </x:cols>
  <x:sheetData>
    <x:row r="2" ht="26" customHeight="1">
      <x:c r="A2" s="18" t="str">
        <x:v>Selected-architecture ignition assembly bank</x:v>
      </x:c>
      <x:c r="B2" s="18" t="str">
        <x:v>Selected-architecture ignition assembly bank</x:v>
      </x:c>
      <x:c r="C2" s="18" t="str">
        <x:v>Selected-architecture ignition assembly bank</x:v>
      </x:c>
      <x:c r="D2" s="18" t="str">
        <x:v>Selected-architecture ignition assembly bank</x:v>
      </x:c>
      <x:c r="E2" s="18" t="str">
        <x:v>Selected-architecture ignition assembly bank</x:v>
      </x:c>
      <x:c r="F2" s="18" t="str">
        <x:v>Selected-architecture ignition assembly bank</x:v>
      </x:c>
      <x:c r="G2" s="18" t="str">
        <x:v>Selected-architecture ignition assembly bank</x:v>
      </x:c>
      <x:c r="H2" s="18" t="str">
        <x:v>Selected-architecture ignition assembly bank</x:v>
      </x:c>
      <x:c r="I2" s="18" t="str">
        <x:v>Selected-architecture ignition assembly bank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  <x:row r="5">
      <x:c r="A5" s="9" t="str">
        <x:v>Assembly</x:v>
      </x:c>
      <x:c r="B5" s="9" t="str">
        <x:v>Lineage</x:v>
      </x:c>
      <x:c r="C5" s="9" t="str">
        <x:v>Role</x:v>
      </x:c>
      <x:c r="D5" s="9" t="str">
        <x:v>Assigned cell</x:v>
      </x:c>
      <x:c r="E5" s="9" t="str">
        <x:v>Geometry</x:v>
      </x:c>
      <x:c r="F5" s="9" t="str">
        <x:v>Energy path</x:v>
      </x:c>
      <x:c r="G5" s="9" t="str">
        <x:v>Isolation</x:v>
      </x:c>
      <x:c r="H5" s="9" t="str">
        <x:v>Evidence identity</x:v>
      </x:c>
      <x:c r="I5" s="9" t="str">
        <x:v>State</x:v>
      </x:c>
    </x:row>
    <x:row r="6">
      <x:c r="A6" s="11" t="str">
        <x:v>IGN-01</x:v>
      </x:c>
      <x:c r="B6" s="11" t="str">
        <x:v>BL-A</x:v>
      </x:c>
      <x:c r="C6" s="11" t="str">
        <x:v>ACTIVE</x:v>
      </x:c>
      <x:c r="D6" s="11" t="str">
        <x:v>CELL-01</x:v>
      </x:c>
      <x:c r="E6" s="13"/>
      <x:c r="F6" s="13"/>
      <x:c r="G6" s="13"/>
      <x:c r="H6" s="13"/>
      <x:c r="I6" s="11" t="str">
        <x:f>IF(COUNTA(E6:H6)&lt;4,"OPEN",IF(AND(E6="PASS",F6="PASS",G6="PASS",H6="ACCEPTED"),"ACCEPTED","DENY"))</x:f>
        <x:v>OPEN</x:v>
      </x:c>
    </x:row>
    <x:row r="7">
      <x:c r="A7" s="11" t="str">
        <x:v>IGN-02</x:v>
      </x:c>
      <x:c r="B7" s="11" t="str">
        <x:v>BL-B</x:v>
      </x:c>
      <x:c r="C7" s="11" t="str">
        <x:v>ACTIVE</x:v>
      </x:c>
      <x:c r="D7" s="11" t="str">
        <x:v>CELL-02</x:v>
      </x:c>
      <x:c r="E7" s="13"/>
      <x:c r="F7" s="13"/>
      <x:c r="G7" s="13"/>
      <x:c r="H7" s="13"/>
      <x:c r="I7" s="11" t="str">
        <x:f>IF(COUNTA(E7:H7)&lt;4,"OPEN",IF(AND(E7="PASS",F7="PASS",G7="PASS",H7="ACCEPTED"),"ACCEPTED","DENY"))</x:f>
        <x:v>OPEN</x:v>
      </x:c>
    </x:row>
    <x:row r="8">
      <x:c r="A8" s="11" t="str">
        <x:v>IGN-03</x:v>
      </x:c>
      <x:c r="B8" s="11" t="str">
        <x:v>BL-A</x:v>
      </x:c>
      <x:c r="C8" s="11" t="str">
        <x:v>ACTIVE</x:v>
      </x:c>
      <x:c r="D8" s="11" t="str">
        <x:v>CELL-03</x:v>
      </x:c>
      <x:c r="E8" s="13"/>
      <x:c r="F8" s="13"/>
      <x:c r="G8" s="13"/>
      <x:c r="H8" s="13"/>
      <x:c r="I8" s="11" t="str">
        <x:f>IF(COUNTA(E8:H8)&lt;4,"OPEN",IF(AND(E8="PASS",F8="PASS",G8="PASS",H8="ACCEPTED"),"ACCEPTED","DENY"))</x:f>
        <x:v>OPEN</x:v>
      </x:c>
    </x:row>
    <x:row r="9">
      <x:c r="A9" s="11" t="str">
        <x:v>IGN-04</x:v>
      </x:c>
      <x:c r="B9" s="11" t="str">
        <x:v>BL-B</x:v>
      </x:c>
      <x:c r="C9" s="11" t="str">
        <x:v>ACTIVE</x:v>
      </x:c>
      <x:c r="D9" s="11" t="str">
        <x:v>CELL-04</x:v>
      </x:c>
      <x:c r="E9" s="13"/>
      <x:c r="F9" s="13"/>
      <x:c r="G9" s="13"/>
      <x:c r="H9" s="13"/>
      <x:c r="I9" s="11" t="str">
        <x:f>IF(COUNTA(E9:H9)&lt;4,"OPEN",IF(AND(E9="PASS",F9="PASS",G9="PASS",H9="ACCEPTED"),"ACCEPTED","DENY"))</x:f>
        <x:v>OPEN</x:v>
      </x:c>
    </x:row>
    <x:row r="10">
      <x:c r="A10" s="11" t="str">
        <x:v>IGN-05</x:v>
      </x:c>
      <x:c r="B10" s="11" t="str">
        <x:v>BL-A</x:v>
      </x:c>
      <x:c r="C10" s="11" t="str">
        <x:v>ACTIVE</x:v>
      </x:c>
      <x:c r="D10" s="11" t="str">
        <x:v>CELL-05</x:v>
      </x:c>
      <x:c r="E10" s="13"/>
      <x:c r="F10" s="13"/>
      <x:c r="G10" s="13"/>
      <x:c r="H10" s="13"/>
      <x:c r="I10" s="11" t="str">
        <x:f>IF(COUNTA(E10:H10)&lt;4,"OPEN",IF(AND(E10="PASS",F10="PASS",G10="PASS",H10="ACCEPTED"),"ACCEPTED","DENY"))</x:f>
        <x:v>OPEN</x:v>
      </x:c>
    </x:row>
    <x:row r="11">
      <x:c r="A11" s="11" t="str">
        <x:v>IGN-06</x:v>
      </x:c>
      <x:c r="B11" s="11" t="str">
        <x:v>BL-B</x:v>
      </x:c>
      <x:c r="C11" s="11" t="str">
        <x:v>ACTIVE</x:v>
      </x:c>
      <x:c r="D11" s="11" t="str">
        <x:v>CELL-06</x:v>
      </x:c>
      <x:c r="E11" s="13"/>
      <x:c r="F11" s="13"/>
      <x:c r="G11" s="13"/>
      <x:c r="H11" s="13"/>
      <x:c r="I11" s="11" t="str">
        <x:f>IF(COUNTA(E11:H11)&lt;4,"OPEN",IF(AND(E11="PASS",F11="PASS",G11="PASS",H11="ACCEPTED"),"ACCEPTED","DENY"))</x:f>
        <x:v>OPEN</x:v>
      </x:c>
    </x:row>
    <x:row r="12">
      <x:c r="A12" s="11" t="str">
        <x:v>IGN-07</x:v>
      </x:c>
      <x:c r="B12" s="11" t="str">
        <x:v>BL-A</x:v>
      </x:c>
      <x:c r="C12" s="11" t="str">
        <x:v>ACTIVE</x:v>
      </x:c>
      <x:c r="D12" s="11" t="str">
        <x:v>CELL-07</x:v>
      </x:c>
      <x:c r="E12" s="13"/>
      <x:c r="F12" s="13"/>
      <x:c r="G12" s="13"/>
      <x:c r="H12" s="13"/>
      <x:c r="I12" s="11" t="str">
        <x:f>IF(COUNTA(E12:H12)&lt;4,"OPEN",IF(AND(E12="PASS",F12="PASS",G12="PASS",H12="ACCEPTED"),"ACCEPTED","DENY"))</x:f>
        <x:v>OPEN</x:v>
      </x:c>
    </x:row>
    <x:row r="13">
      <x:c r="A13" s="11" t="str">
        <x:v>IGN-08</x:v>
      </x:c>
      <x:c r="B13" s="11" t="str">
        <x:v>BL-B</x:v>
      </x:c>
      <x:c r="C13" s="11" t="str">
        <x:v>ACTIVE</x:v>
      </x:c>
      <x:c r="D13" s="11" t="str">
        <x:v>CELL-08</x:v>
      </x:c>
      <x:c r="E13" s="13"/>
      <x:c r="F13" s="13"/>
      <x:c r="G13" s="13"/>
      <x:c r="H13" s="13"/>
      <x:c r="I13" s="11" t="str">
        <x:f>IF(COUNTA(E13:H13)&lt;4,"OPEN",IF(AND(E13="PASS",F13="PASS",G13="PASS",H13="ACCEPTED"),"ACCEPTED","DENY"))</x:f>
        <x:v>OPEN</x:v>
      </x:c>
    </x:row>
    <x:row r="14">
      <x:c r="A14" s="11" t="str">
        <x:v>IGN-09</x:v>
      </x:c>
      <x:c r="B14" s="11" t="str">
        <x:v>BL-A</x:v>
      </x:c>
      <x:c r="C14" s="11" t="str">
        <x:v>ACTIVE</x:v>
      </x:c>
      <x:c r="D14" s="11" t="str">
        <x:v>CELL-09</x:v>
      </x:c>
      <x:c r="E14" s="13"/>
      <x:c r="F14" s="13"/>
      <x:c r="G14" s="13"/>
      <x:c r="H14" s="13"/>
      <x:c r="I14" s="11" t="str">
        <x:f>IF(COUNTA(E14:H14)&lt;4,"OPEN",IF(AND(E14="PASS",F14="PASS",G14="PASS",H14="ACCEPTED"),"ACCEPTED","DENY"))</x:f>
        <x:v>OPEN</x:v>
      </x:c>
    </x:row>
    <x:row r="15">
      <x:c r="A15" s="11" t="str">
        <x:v>IGN-10</x:v>
      </x:c>
      <x:c r="B15" s="11" t="str">
        <x:v>BL-B</x:v>
      </x:c>
      <x:c r="C15" s="11" t="str">
        <x:v>ACTIVE</x:v>
      </x:c>
      <x:c r="D15" s="11" t="str">
        <x:v>CELL-10</x:v>
      </x:c>
      <x:c r="E15" s="13"/>
      <x:c r="F15" s="13"/>
      <x:c r="G15" s="13"/>
      <x:c r="H15" s="13"/>
      <x:c r="I15" s="11" t="str">
        <x:f>IF(COUNTA(E15:H15)&lt;4,"OPEN",IF(AND(E15="PASS",F15="PASS",G15="PASS",H15="ACCEPTED"),"ACCEPTED","DENY"))</x:f>
        <x:v>OPEN</x:v>
      </x:c>
    </x:row>
    <x:row r="16">
      <x:c r="A16" s="11" t="str">
        <x:v>IGN-11</x:v>
      </x:c>
      <x:c r="B16" s="11" t="str">
        <x:v>BL-A</x:v>
      </x:c>
      <x:c r="C16" s="11" t="str">
        <x:v>ACTIVE</x:v>
      </x:c>
      <x:c r="D16" s="11" t="str">
        <x:v>CELL-11</x:v>
      </x:c>
      <x:c r="E16" s="13"/>
      <x:c r="F16" s="13"/>
      <x:c r="G16" s="13"/>
      <x:c r="H16" s="13"/>
      <x:c r="I16" s="11" t="str">
        <x:f>IF(COUNTA(E16:H16)&lt;4,"OPEN",IF(AND(E16="PASS",F16="PASS",G16="PASS",H16="ACCEPTED"),"ACCEPTED","DENY"))</x:f>
        <x:v>OPEN</x:v>
      </x:c>
    </x:row>
    <x:row r="17">
      <x:c r="A17" s="11" t="str">
        <x:v>IGN-12</x:v>
      </x:c>
      <x:c r="B17" s="11" t="str">
        <x:v>BL-B</x:v>
      </x:c>
      <x:c r="C17" s="11" t="str">
        <x:v>ACTIVE</x:v>
      </x:c>
      <x:c r="D17" s="11" t="str">
        <x:v>CELL-12</x:v>
      </x:c>
      <x:c r="E17" s="13"/>
      <x:c r="F17" s="13"/>
      <x:c r="G17" s="13"/>
      <x:c r="H17" s="13"/>
      <x:c r="I17" s="11" t="str">
        <x:f>IF(COUNTA(E17:H17)&lt;4,"OPEN",IF(AND(E17="PASS",F17="PASS",G17="PASS",H17="ACCEPTED"),"ACCEPTED","DENY"))</x:f>
        <x:v>OPEN</x:v>
      </x:c>
    </x:row>
    <x:row r="18">
      <x:c r="A18" s="11" t="str">
        <x:v>IGN-13</x:v>
      </x:c>
      <x:c r="B18" s="11" t="str">
        <x:v>BL-A</x:v>
      </x:c>
      <x:c r="C18" s="11" t="str">
        <x:v>OPERATIONAL SPARE</x:v>
      </x:c>
      <x:c r="D18" s="11"/>
      <x:c r="E18" s="13"/>
      <x:c r="F18" s="13"/>
      <x:c r="G18" s="13"/>
      <x:c r="H18" s="13"/>
      <x:c r="I18" s="11" t="str">
        <x:f>IF(COUNTA(E18:H18)&lt;4,"OPEN",IF(AND(E18="PASS",F18="PASS",G18="PASS",H18="ACCEPTED"),"ACCEPTED","DENY"))</x:f>
        <x:v>OPEN</x:v>
      </x:c>
    </x:row>
    <x:row r="19">
      <x:c r="A19" s="11" t="str">
        <x:v>IGN-14</x:v>
      </x:c>
      <x:c r="B19" s="11" t="str">
        <x:v>BL-B</x:v>
      </x:c>
      <x:c r="C19" s="11" t="str">
        <x:v>OPERATIONAL SPARE</x:v>
      </x:c>
      <x:c r="D19" s="11"/>
      <x:c r="E19" s="13"/>
      <x:c r="F19" s="13"/>
      <x:c r="G19" s="13"/>
      <x:c r="H19" s="13"/>
      <x:c r="I19" s="11" t="str">
        <x:f>IF(COUNTA(E19:H19)&lt;4,"OPEN",IF(AND(E19="PASS",F19="PASS",G19="PASS",H19="ACCEPTED"),"ACCEPTED","DENY"))</x:f>
        <x:v>OPEN</x:v>
      </x:c>
    </x:row>
    <x:row r="20">
      <x:c r="A20" s="11" t="str">
        <x:v>IGN-15</x:v>
      </x:c>
      <x:c r="B20" s="11" t="str">
        <x:v>BL-A</x:v>
      </x:c>
      <x:c r="C20" s="11" t="str">
        <x:v>OPERATIONAL SPARE</x:v>
      </x:c>
      <x:c r="D20" s="11"/>
      <x:c r="E20" s="13"/>
      <x:c r="F20" s="13"/>
      <x:c r="G20" s="13"/>
      <x:c r="H20" s="13"/>
      <x:c r="I20" s="11" t="str">
        <x:f>IF(COUNTA(E20:H20)&lt;4,"OPEN",IF(AND(E20="PASS",F20="PASS",G20="PASS",H20="ACCEPTED"),"ACCEPTED","DENY"))</x:f>
        <x:v>OPEN</x:v>
      </x:c>
    </x:row>
    <x:row r="21">
      <x:c r="A21" s="11" t="str">
        <x:v>IGN-16</x:v>
      </x:c>
      <x:c r="B21" s="11" t="str">
        <x:v>BL-B</x:v>
      </x:c>
      <x:c r="C21" s="11" t="str">
        <x:v>OPERATIONAL SPARE</x:v>
      </x:c>
      <x:c r="D21" s="11"/>
      <x:c r="E21" s="13"/>
      <x:c r="F21" s="13"/>
      <x:c r="G21" s="13"/>
      <x:c r="H21" s="13"/>
      <x:c r="I21" s="11" t="str">
        <x:f>IF(COUNTA(E21:H21)&lt;4,"OPEN",IF(AND(E21="PASS",F21="PASS",G21="PASS",H21="ACCEPTED"),"ACCEPTED","DENY"))</x:f>
        <x:v>OPEN</x:v>
      </x:c>
    </x:row>
    <x:row r="22">
      <x:c r="A22" s="11" t="str">
        <x:v>IGN-17</x:v>
      </x:c>
      <x:c r="B22" s="11" t="str">
        <x:v>BL-A</x:v>
      </x:c>
      <x:c r="C22" s="11" t="str">
        <x:v>FORENSIC</x:v>
      </x:c>
      <x:c r="D22" s="11"/>
      <x:c r="E22" s="13"/>
      <x:c r="F22" s="13"/>
      <x:c r="G22" s="13"/>
      <x:c r="H22" s="13"/>
      <x:c r="I22" s="11" t="str">
        <x:f>IF(COUNTA(E22:H22)&lt;4,"OPEN",IF(AND(E22="PASS",F22="PASS",G22="PASS",H22="ACCEPTED"),"ACCEPTED","DENY"))</x:f>
        <x:v>OPEN</x:v>
      </x:c>
    </x:row>
    <x:row r="23">
      <x:c r="A23" s="11" t="str">
        <x:v>IGN-18</x:v>
      </x:c>
      <x:c r="B23" s="11" t="str">
        <x:v>BL-B</x:v>
      </x:c>
      <x:c r="C23" s="11" t="str">
        <x:v>FORENSIC</x:v>
      </x:c>
      <x:c r="D23" s="11"/>
      <x:c r="E23" s="13"/>
      <x:c r="F23" s="13"/>
      <x:c r="G23" s="13"/>
      <x:c r="H23" s="13"/>
      <x:c r="I23" s="11" t="str">
        <x:f>IF(COUNTA(E23:H23)&lt;4,"OPEN",IF(AND(E23="PASS",F23="PASS",G23="PASS",H23="ACCEPTED"),"ACCEPTED","DENY"))</x:f>
        <x:v>OPEN</x:v>
      </x:c>
    </x:row>
  </x:sheetData>
  <x:mergeCells>
    <x:mergeCell ref="A2:I2"/>
  </x:mergeCells>
  <x:conditionalFormatting sqref="I6:I23">
    <x:cfRule type="containsText" dxfId="20" priority="1" operator="containsText" text="DENY"/>
    <x:cfRule type="containsText" dxfId="21" priority="2" operator="containsText" text="ADVERSE"/>
    <x:cfRule type="containsText" dxfId="22" priority="3" operator="containsText" text="FAIL"/>
    <x:cfRule type="containsText" dxfId="2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6c66bb69400d41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1" hidden="0" customWidth="1"/>
    <x:col min="4" max="4" width="14" hidden="0" customWidth="1"/>
    <x:col min="5" max="5" width="18" hidden="0" customWidth="1"/>
    <x:col min="6" max="6" width="15" hidden="0" customWidth="1"/>
    <x:col min="7" max="7" width="16" hidden="0" customWidth="1"/>
    <x:col min="8" max="8" width="14" hidden="0" customWidth="1"/>
    <x:col min="9" max="9" width="14" hidden="0" customWidth="1"/>
  </x:cols>
  <x:sheetData>
    <x:row r="2" ht="26" customHeight="1">
      <x:c r="A2" s="18" t="str">
        <x:v>Twelve exact ER-01 cells</x:v>
      </x:c>
      <x:c r="B2" s="18" t="str">
        <x:v>Twelve exact ER-01 cells</x:v>
      </x:c>
      <x:c r="C2" s="18" t="str">
        <x:v>Twelve exact ER-01 cells</x:v>
      </x:c>
      <x:c r="D2" s="18" t="str">
        <x:v>Twelve exact ER-01 cells</x:v>
      </x:c>
      <x:c r="E2" s="18" t="str">
        <x:v>Twelve exact ER-01 cells</x:v>
      </x:c>
      <x:c r="F2" s="18" t="str">
        <x:v>Twelve exact ER-01 cells</x:v>
      </x:c>
      <x:c r="G2" s="18" t="str">
        <x:v>Twelve exact ER-01 cells</x:v>
      </x:c>
      <x:c r="H2" s="18" t="str">
        <x:v>Twelve exact ER-01 cells</x:v>
      </x:c>
      <x:c r="I2" s="18" t="str">
        <x:v>Twelve exact ER-01 cells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  <x:row r="5">
      <x:c r="A5" s="9" t="str">
        <x:v>Cell</x:v>
      </x:c>
      <x:c r="B5" s="9" t="str">
        <x:v>Rig</x:v>
      </x:c>
      <x:c r="C5" s="9" t="str">
        <x:v>Campus</x:v>
      </x:c>
      <x:c r="D5" s="9" t="str">
        <x:v>Truth root</x:v>
      </x:c>
      <x:c r="E5" s="9" t="str">
        <x:v>Builder lineage</x:v>
      </x:c>
      <x:c r="F5" s="9" t="str">
        <x:v>Assembly</x:v>
      </x:c>
      <x:c r="G5" s="9" t="str">
        <x:v>Primary event</x:v>
      </x:c>
      <x:c r="H5" s="9" t="str">
        <x:v>Credit count</x:v>
      </x:c>
      <x:c r="I5" s="9" t="str">
        <x:v>State</x:v>
      </x:c>
    </x:row>
    <x:row r="6">
      <x:c r="A6" s="11" t="str">
        <x:v>CELL-01</x:v>
      </x:c>
      <x:c r="B6" s="11" t="str">
        <x:v>S0</x:v>
      </x:c>
      <x:c r="C6" s="11" t="str">
        <x:v>C-1</x:v>
      </x:c>
      <x:c r="D6" s="11" t="str">
        <x:v>TR-A</x:v>
      </x:c>
      <x:c r="E6" s="11" t="str">
        <x:v>BL-A</x:v>
      </x:c>
      <x:c r="F6" s="11" t="str">
        <x:v>IGN-01</x:v>
      </x:c>
      <x:c r="G6" s="11" t="str">
        <x:v>EV-01</x:v>
      </x:c>
      <x:c r="H6" s="11" t="n">
        <x:f>COUNTIFS('Event Register'!$D$8:$D$23,A6,'Event Register'!$R$8:$R$23,"CREDIT")</x:f>
        <x:v>0</x:v>
      </x:c>
      <x:c r="I6" s="11" t="str">
        <x:f>IF(H6=0,"OPEN",IF(H6=1,"CREDIT","DENY"))</x:f>
        <x:v>OPEN</x:v>
      </x:c>
    </x:row>
    <x:row r="7">
      <x:c r="A7" s="11" t="str">
        <x:v>CELL-02</x:v>
      </x:c>
      <x:c r="B7" s="11" t="str">
        <x:v>S0</x:v>
      </x:c>
      <x:c r="C7" s="11" t="str">
        <x:v>C-1</x:v>
      </x:c>
      <x:c r="D7" s="11" t="str">
        <x:v>TR-B</x:v>
      </x:c>
      <x:c r="E7" s="11" t="str">
        <x:v>BL-B</x:v>
      </x:c>
      <x:c r="F7" s="11" t="str">
        <x:v>IGN-02</x:v>
      </x:c>
      <x:c r="G7" s="11" t="str">
        <x:v>EV-02</x:v>
      </x:c>
      <x:c r="H7" s="11" t="n">
        <x:f>COUNTIFS('Event Register'!$D$8:$D$23,A7,'Event Register'!$R$8:$R$23,"CREDIT")</x:f>
        <x:v>0</x:v>
      </x:c>
      <x:c r="I7" s="11" t="str">
        <x:f>IF(H7=0,"OPEN",IF(H7=1,"CREDIT","DENY"))</x:f>
        <x:v>OPEN</x:v>
      </x:c>
    </x:row>
    <x:row r="8">
      <x:c r="A8" s="11" t="str">
        <x:v>CELL-03</x:v>
      </x:c>
      <x:c r="B8" s="11" t="str">
        <x:v>S1</x:v>
      </x:c>
      <x:c r="C8" s="11" t="str">
        <x:v>C-1</x:v>
      </x:c>
      <x:c r="D8" s="11" t="str">
        <x:v>TR-A</x:v>
      </x:c>
      <x:c r="E8" s="11" t="str">
        <x:v>BL-B</x:v>
      </x:c>
      <x:c r="F8" s="11" t="str">
        <x:v>IGN-03</x:v>
      </x:c>
      <x:c r="G8" s="11" t="str">
        <x:v>EV-03</x:v>
      </x:c>
      <x:c r="H8" s="11" t="n">
        <x:f>COUNTIFS('Event Register'!$D$8:$D$23,A8,'Event Register'!$R$8:$R$23,"CREDIT")</x:f>
        <x:v>0</x:v>
      </x:c>
      <x:c r="I8" s="11" t="str">
        <x:f>IF(H8=0,"OPEN",IF(H8=1,"CREDIT","DENY"))</x:f>
        <x:v>OPEN</x:v>
      </x:c>
    </x:row>
    <x:row r="9">
      <x:c r="A9" s="11" t="str">
        <x:v>CELL-04</x:v>
      </x:c>
      <x:c r="B9" s="11" t="str">
        <x:v>S1</x:v>
      </x:c>
      <x:c r="C9" s="11" t="str">
        <x:v>C-1</x:v>
      </x:c>
      <x:c r="D9" s="11" t="str">
        <x:v>TR-B</x:v>
      </x:c>
      <x:c r="E9" s="11" t="str">
        <x:v>BL-A</x:v>
      </x:c>
      <x:c r="F9" s="11" t="str">
        <x:v>IGN-04</x:v>
      </x:c>
      <x:c r="G9" s="11" t="str">
        <x:v>EV-04</x:v>
      </x:c>
      <x:c r="H9" s="11" t="n">
        <x:f>COUNTIFS('Event Register'!$D$8:$D$23,A9,'Event Register'!$R$8:$R$23,"CREDIT")</x:f>
        <x:v>0</x:v>
      </x:c>
      <x:c r="I9" s="11" t="str">
        <x:f>IF(H9=0,"OPEN",IF(H9=1,"CREDIT","DENY"))</x:f>
        <x:v>OPEN</x:v>
      </x:c>
    </x:row>
    <x:row r="10">
      <x:c r="A10" s="11" t="str">
        <x:v>CELL-05</x:v>
      </x:c>
      <x:c r="B10" s="11" t="str">
        <x:v>S2</x:v>
      </x:c>
      <x:c r="C10" s="11" t="str">
        <x:v>C-2</x:v>
      </x:c>
      <x:c r="D10" s="11" t="str">
        <x:v>TR-A</x:v>
      </x:c>
      <x:c r="E10" s="11" t="str">
        <x:v>BL-A</x:v>
      </x:c>
      <x:c r="F10" s="11" t="str">
        <x:v>IGN-05</x:v>
      </x:c>
      <x:c r="G10" s="11" t="str">
        <x:v>EV-05</x:v>
      </x:c>
      <x:c r="H10" s="11" t="n">
        <x:f>COUNTIFS('Event Register'!$D$8:$D$23,A10,'Event Register'!$R$8:$R$23,"CREDIT")</x:f>
        <x:v>0</x:v>
      </x:c>
      <x:c r="I10" s="11" t="str">
        <x:f>IF(H10=0,"OPEN",IF(H10=1,"CREDIT","DENY"))</x:f>
        <x:v>OPEN</x:v>
      </x:c>
    </x:row>
    <x:row r="11">
      <x:c r="A11" s="11" t="str">
        <x:v>CELL-06</x:v>
      </x:c>
      <x:c r="B11" s="11" t="str">
        <x:v>S2</x:v>
      </x:c>
      <x:c r="C11" s="11" t="str">
        <x:v>C-2</x:v>
      </x:c>
      <x:c r="D11" s="11" t="str">
        <x:v>TR-B</x:v>
      </x:c>
      <x:c r="E11" s="11" t="str">
        <x:v>BL-B</x:v>
      </x:c>
      <x:c r="F11" s="11" t="str">
        <x:v>IGN-06</x:v>
      </x:c>
      <x:c r="G11" s="11" t="str">
        <x:v>EV-06</x:v>
      </x:c>
      <x:c r="H11" s="11" t="n">
        <x:f>COUNTIFS('Event Register'!$D$8:$D$23,A11,'Event Register'!$R$8:$R$23,"CREDIT")</x:f>
        <x:v>0</x:v>
      </x:c>
      <x:c r="I11" s="11" t="str">
        <x:f>IF(H11=0,"OPEN",IF(H11=1,"CREDIT","DENY"))</x:f>
        <x:v>OPEN</x:v>
      </x:c>
    </x:row>
    <x:row r="12">
      <x:c r="A12" s="11" t="str">
        <x:v>CELL-07</x:v>
      </x:c>
      <x:c r="B12" s="11" t="str">
        <x:v>S3</x:v>
      </x:c>
      <x:c r="C12" s="11" t="str">
        <x:v>C-2</x:v>
      </x:c>
      <x:c r="D12" s="11" t="str">
        <x:v>TR-A</x:v>
      </x:c>
      <x:c r="E12" s="11" t="str">
        <x:v>BL-B</x:v>
      </x:c>
      <x:c r="F12" s="11" t="str">
        <x:v>IGN-07</x:v>
      </x:c>
      <x:c r="G12" s="11" t="str">
        <x:v>EV-07</x:v>
      </x:c>
      <x:c r="H12" s="11" t="n">
        <x:f>COUNTIFS('Event Register'!$D$8:$D$23,A12,'Event Register'!$R$8:$R$23,"CREDIT")</x:f>
        <x:v>0</x:v>
      </x:c>
      <x:c r="I12" s="11" t="str">
        <x:f>IF(H12=0,"OPEN",IF(H12=1,"CREDIT","DENY"))</x:f>
        <x:v>OPEN</x:v>
      </x:c>
    </x:row>
    <x:row r="13">
      <x:c r="A13" s="11" t="str">
        <x:v>CELL-08</x:v>
      </x:c>
      <x:c r="B13" s="11" t="str">
        <x:v>S3</x:v>
      </x:c>
      <x:c r="C13" s="11" t="str">
        <x:v>C-2</x:v>
      </x:c>
      <x:c r="D13" s="11" t="str">
        <x:v>TR-B</x:v>
      </x:c>
      <x:c r="E13" s="11" t="str">
        <x:v>BL-A</x:v>
      </x:c>
      <x:c r="F13" s="11" t="str">
        <x:v>IGN-08</x:v>
      </x:c>
      <x:c r="G13" s="11" t="str">
        <x:v>EV-08</x:v>
      </x:c>
      <x:c r="H13" s="11" t="n">
        <x:f>COUNTIFS('Event Register'!$D$8:$D$23,A13,'Event Register'!$R$8:$R$23,"CREDIT")</x:f>
        <x:v>0</x:v>
      </x:c>
      <x:c r="I13" s="11" t="str">
        <x:f>IF(H13=0,"OPEN",IF(H13=1,"CREDIT","DENY"))</x:f>
        <x:v>OPEN</x:v>
      </x:c>
    </x:row>
    <x:row r="14">
      <x:c r="A14" s="11" t="str">
        <x:v>CELL-09</x:v>
      </x:c>
      <x:c r="B14" s="11" t="str">
        <x:v>S4</x:v>
      </x:c>
      <x:c r="C14" s="11" t="str">
        <x:v>C-3</x:v>
      </x:c>
      <x:c r="D14" s="11" t="str">
        <x:v>TR-A</x:v>
      </x:c>
      <x:c r="E14" s="11" t="str">
        <x:v>BL-A</x:v>
      </x:c>
      <x:c r="F14" s="11" t="str">
        <x:v>IGN-09</x:v>
      </x:c>
      <x:c r="G14" s="11" t="str">
        <x:v>EV-09</x:v>
      </x:c>
      <x:c r="H14" s="11" t="n">
        <x:f>COUNTIFS('Event Register'!$D$8:$D$23,A14,'Event Register'!$R$8:$R$23,"CREDIT")</x:f>
        <x:v>0</x:v>
      </x:c>
      <x:c r="I14" s="11" t="str">
        <x:f>IF(H14=0,"OPEN",IF(H14=1,"CREDIT","DENY"))</x:f>
        <x:v>OPEN</x:v>
      </x:c>
    </x:row>
    <x:row r="15">
      <x:c r="A15" s="11" t="str">
        <x:v>CELL-10</x:v>
      </x:c>
      <x:c r="B15" s="11" t="str">
        <x:v>S4</x:v>
      </x:c>
      <x:c r="C15" s="11" t="str">
        <x:v>C-3</x:v>
      </x:c>
      <x:c r="D15" s="11" t="str">
        <x:v>TR-B</x:v>
      </x:c>
      <x:c r="E15" s="11" t="str">
        <x:v>BL-B</x:v>
      </x:c>
      <x:c r="F15" s="11" t="str">
        <x:v>IGN-10</x:v>
      </x:c>
      <x:c r="G15" s="11" t="str">
        <x:v>EV-10</x:v>
      </x:c>
      <x:c r="H15" s="11" t="n">
        <x:f>COUNTIFS('Event Register'!$D$8:$D$23,A15,'Event Register'!$R$8:$R$23,"CREDIT")</x:f>
        <x:v>0</x:v>
      </x:c>
      <x:c r="I15" s="11" t="str">
        <x:f>IF(H15=0,"OPEN",IF(H15=1,"CREDIT","DENY"))</x:f>
        <x:v>OPEN</x:v>
      </x:c>
    </x:row>
    <x:row r="16">
      <x:c r="A16" s="11" t="str">
        <x:v>CELL-11</x:v>
      </x:c>
      <x:c r="B16" s="11" t="str">
        <x:v>S5</x:v>
      </x:c>
      <x:c r="C16" s="11" t="str">
        <x:v>C-3</x:v>
      </x:c>
      <x:c r="D16" s="11" t="str">
        <x:v>TR-A</x:v>
      </x:c>
      <x:c r="E16" s="11" t="str">
        <x:v>BL-B</x:v>
      </x:c>
      <x:c r="F16" s="11" t="str">
        <x:v>IGN-11</x:v>
      </x:c>
      <x:c r="G16" s="11" t="str">
        <x:v>EV-11</x:v>
      </x:c>
      <x:c r="H16" s="11" t="n">
        <x:f>COUNTIFS('Event Register'!$D$8:$D$23,A16,'Event Register'!$R$8:$R$23,"CREDIT")</x:f>
        <x:v>0</x:v>
      </x:c>
      <x:c r="I16" s="11" t="str">
        <x:f>IF(H16=0,"OPEN",IF(H16=1,"CREDIT","DENY"))</x:f>
        <x:v>OPEN</x:v>
      </x:c>
    </x:row>
    <x:row r="17">
      <x:c r="A17" s="11" t="str">
        <x:v>CELL-12</x:v>
      </x:c>
      <x:c r="B17" s="11" t="str">
        <x:v>S5</x:v>
      </x:c>
      <x:c r="C17" s="11" t="str">
        <x:v>C-3</x:v>
      </x:c>
      <x:c r="D17" s="11" t="str">
        <x:v>TR-B</x:v>
      </x:c>
      <x:c r="E17" s="11" t="str">
        <x:v>BL-A</x:v>
      </x:c>
      <x:c r="F17" s="11" t="str">
        <x:v>IGN-12</x:v>
      </x:c>
      <x:c r="G17" s="11" t="str">
        <x:v>EV-12</x:v>
      </x:c>
      <x:c r="H17" s="11" t="n">
        <x:f>COUNTIFS('Event Register'!$D$8:$D$23,A17,'Event Register'!$R$8:$R$23,"CREDIT")</x:f>
        <x:v>0</x:v>
      </x:c>
      <x:c r="I17" s="11" t="str">
        <x:f>IF(H17=0,"OPEN",IF(H17=1,"CREDIT","DENY"))</x:f>
        <x:v>OPEN</x:v>
      </x:c>
    </x:row>
  </x:sheetData>
  <x:mergeCells>
    <x:mergeCell ref="A2:I2"/>
  </x:mergeCells>
  <x:conditionalFormatting sqref="I6:I17">
    <x:cfRule type="containsText" dxfId="24" priority="1" operator="containsText" text="DENY"/>
    <x:cfRule type="containsText" dxfId="25" priority="2" operator="containsText" text="ADVERSE"/>
    <x:cfRule type="containsText" dxfId="26" priority="3" operator="containsText" text="FAIL"/>
    <x:cfRule type="containsText" dxfId="27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137cd5089ec74ce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5" hidden="0" customWidth="1"/>
    <x:col min="9" max="9" width="17" hidden="0" customWidth="1"/>
    <x:col min="10" max="10" width="19" hidden="0" customWidth="1"/>
    <x:col min="11" max="11" width="19" hidden="0" customWidth="1"/>
    <x:col min="12" max="12" width="19" hidden="0" customWidth="1"/>
    <x:col min="13" max="13" width="24" hidden="0" customWidth="1"/>
    <x:col min="14" max="14" width="21" hidden="0" customWidth="1"/>
    <x:col min="15" max="15" width="15" hidden="0" customWidth="1"/>
    <x:col min="16" max="16" width="16" hidden="0" customWidth="1"/>
    <x:col min="17" max="17" width="15" hidden="0" customWidth="1"/>
    <x:col min="18" max="18" width="20" hidden="0" customWidth="1"/>
  </x:cols>
  <x:sheetData>
    <x:row r="2" ht="26" customHeight="1">
      <x:c r="A2" s="18" t="str">
        <x:v>Sixteen ER-01 event positions</x:v>
      </x:c>
      <x:c r="B2" s="18" t="str">
        <x:v>Sixteen ER-01 event positions</x:v>
      </x:c>
      <x:c r="C2" s="18" t="str">
        <x:v>Sixteen ER-01 event positions</x:v>
      </x:c>
      <x:c r="D2" s="18" t="str">
        <x:v>Sixteen ER-01 event positions</x:v>
      </x:c>
      <x:c r="E2" s="18" t="str">
        <x:v>Sixteen ER-01 event positions</x:v>
      </x:c>
      <x:c r="F2" s="18" t="str">
        <x:v>Sixteen ER-01 event positions</x:v>
      </x:c>
      <x:c r="G2" s="18" t="str">
        <x:v>Sixteen ER-01 event positions</x:v>
      </x:c>
      <x:c r="H2" s="18" t="str">
        <x:v>Sixteen ER-01 event positions</x:v>
      </x:c>
      <x:c r="I2" s="18" t="str">
        <x:v>Sixteen ER-01 event positions</x:v>
      </x:c>
      <x:c r="J2" s="18" t="str">
        <x:v>Sixteen ER-01 event positions</x:v>
      </x:c>
      <x:c r="K2" s="18" t="str">
        <x:v>Sixteen ER-01 event positions</x:v>
      </x:c>
      <x:c r="L2" s="18" t="str">
        <x:v>Sixteen ER-01 event positions</x:v>
      </x:c>
      <x:c r="M2" s="18" t="str">
        <x:v>Sixteen ER-01 event positions</x:v>
      </x:c>
      <x:c r="N2" s="18" t="str">
        <x:v>Sixteen ER-01 event positions</x:v>
      </x:c>
      <x:c r="O2" s="18" t="str">
        <x:v>Sixteen ER-01 event positions</x:v>
      </x:c>
      <x:c r="P2" s="18" t="str">
        <x:v>Sixteen ER-01 event positions</x:v>
      </x:c>
      <x:c r="Q2" s="18" t="str">
        <x:v>Sixteen ER-01 event positions</x:v>
      </x:c>
      <x:c r="R2" s="18" t="str">
        <x:v>Sixteen ER-01 event positions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</x:row>
    <x:row r="5">
      <x:c r="A5" s="21" t="str">
        <x:v>Source and water zero must be entered numerically. Reserve cell and assembly remain blank until independent invalidity activates the token.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</x:row>
    <x:row r="7">
      <x:c r="A7" s="9" t="str">
        <x:v>Event</x:v>
      </x:c>
      <x:c r="B7" s="9" t="str">
        <x:v>Role</x:v>
      </x:c>
      <x:c r="C7" s="9" t="str">
        <x:v>Truth-root family</x:v>
      </x:c>
      <x:c r="D7" s="9" t="str">
        <x:v>Exact cell</x:v>
      </x:c>
      <x:c r="E7" s="9" t="str">
        <x:v>Assembly</x:v>
      </x:c>
      <x:c r="F7" s="9" t="str">
        <x:v>Source kg</x:v>
      </x:c>
      <x:c r="G7" s="9" t="str">
        <x:v>Water m³</x:v>
      </x:c>
      <x:c r="H7" s="9" t="str">
        <x:v>Energy ratio</x:v>
      </x:c>
      <x:c r="I7" s="9" t="str">
        <x:v>Onset error ms</x:v>
      </x:c>
      <x:c r="J7" s="9" t="str">
        <x:v>Duration error ms</x:v>
      </x:c>
      <x:c r="K7" s="9" t="str">
        <x:v>Location error mm</x:v>
      </x:c>
      <x:c r="L7" s="9" t="str">
        <x:v>Pre-command clear</x:v>
      </x:c>
      <x:c r="M7" s="9" t="str">
        <x:v>Uncommanded discharge</x:v>
      </x:c>
      <x:c r="N7" s="9" t="str">
        <x:v>Opportunity complete</x:v>
      </x:c>
      <x:c r="O7" s="9" t="str">
        <x:v>Gates state</x:v>
      </x:c>
      <x:c r="P7" s="9" t="str">
        <x:v>Evidence state</x:v>
      </x:c>
      <x:c r="Q7" s="9" t="str">
        <x:v>Return state</x:v>
      </x:c>
      <x:c r="R7" s="9" t="str">
        <x:v>Disposition</x:v>
      </x:c>
    </x:row>
    <x:row r="8">
      <x:c r="A8" s="11" t="str">
        <x:v>EV-01</x:v>
      </x:c>
      <x:c r="B8" s="11" t="str">
        <x:v>PRIMARY</x:v>
      </x:c>
      <x:c r="C8" s="11" t="str">
        <x:v>TR-A</x:v>
      </x:c>
      <x:c r="D8" s="11" t="str">
        <x:v>CELL-01</x:v>
      </x:c>
      <x:c r="E8" s="11" t="str">
        <x:v>IGN-01</x:v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1" t="str">
        <x:f>'Event Gates'!D6</x:f>
        <x:v>OPEN</x:v>
      </x:c>
      <x:c r="P8" s="11" t="str">
        <x:f>'Evidence Objects'!J6</x:f>
        <x:v>OPEN</x:v>
      </x:c>
      <x:c r="Q8" s="11" t="str">
        <x:f>'Return'!L6</x:f>
        <x:v>OPEN</x:v>
      </x:c>
      <x:c r="R8" s="11" t="str">
        <x:f>IF(COUNTA(F8:Q8)&lt;12,"OPEN",IF(AND(F8=0,G8=0,H8&gt;='Assumptions'!$B$20,H8&lt;='Assumptions'!$B$21,ABS(I8)&lt;='Assumptions'!$B$22,ABS(J8)&lt;='Assumptions'!$B$23,ABS(K8)&lt;='Assumptions'!$B$24,L8="YES",M8="YES",N8="YES",O8="COMPLETE",P8="COMPLETE",Q8="ACCEPTED"),"CREDIT","VALID-ADVERSE"))</x:f>
        <x:v>OPEN</x:v>
      </x:c>
    </x:row>
    <x:row r="9">
      <x:c r="A9" s="11" t="str">
        <x:v>EV-02</x:v>
      </x:c>
      <x:c r="B9" s="11" t="str">
        <x:v>PRIMARY</x:v>
      </x:c>
      <x:c r="C9" s="11" t="str">
        <x:v>TR-B</x:v>
      </x:c>
      <x:c r="D9" s="11" t="str">
        <x:v>CELL-02</x:v>
      </x:c>
      <x:c r="E9" s="11" t="str">
        <x:v>IGN-02</x:v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1" t="str">
        <x:f>'Event Gates'!D7</x:f>
        <x:v>OPEN</x:v>
      </x:c>
      <x:c r="P9" s="11" t="str">
        <x:f>'Evidence Objects'!J7</x:f>
        <x:v>OPEN</x:v>
      </x:c>
      <x:c r="Q9" s="11" t="str">
        <x:f>'Return'!L7</x:f>
        <x:v>OPEN</x:v>
      </x:c>
      <x:c r="R9" s="11" t="str">
        <x:f>IF(COUNTA(F9:Q9)&lt;12,"OPEN",IF(AND(F9=0,G9=0,H9&gt;='Assumptions'!$B$20,H9&lt;='Assumptions'!$B$21,ABS(I9)&lt;='Assumptions'!$B$22,ABS(J9)&lt;='Assumptions'!$B$23,ABS(K9)&lt;='Assumptions'!$B$24,L9="YES",M9="YES",N9="YES",O9="COMPLETE",P9="COMPLETE",Q9="ACCEPTED"),"CREDIT","VALID-ADVERSE"))</x:f>
        <x:v>OPEN</x:v>
      </x:c>
    </x:row>
    <x:row r="10">
      <x:c r="A10" s="11" t="str">
        <x:v>EV-03</x:v>
      </x:c>
      <x:c r="B10" s="11" t="str">
        <x:v>PRIMARY</x:v>
      </x:c>
      <x:c r="C10" s="11" t="str">
        <x:v>TR-A</x:v>
      </x:c>
      <x:c r="D10" s="11" t="str">
        <x:v>CELL-03</x:v>
      </x:c>
      <x:c r="E10" s="11" t="str">
        <x:v>IGN-03</x:v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1" t="str">
        <x:f>'Event Gates'!D8</x:f>
        <x:v>OPEN</x:v>
      </x:c>
      <x:c r="P10" s="11" t="str">
        <x:f>'Evidence Objects'!J8</x:f>
        <x:v>OPEN</x:v>
      </x:c>
      <x:c r="Q10" s="11" t="str">
        <x:f>'Return'!L8</x:f>
        <x:v>OPEN</x:v>
      </x:c>
      <x:c r="R10" s="11" t="str">
        <x:f>IF(COUNTA(F10:Q10)&lt;12,"OPEN",IF(AND(F10=0,G10=0,H10&gt;='Assumptions'!$B$20,H10&lt;='Assumptions'!$B$21,ABS(I10)&lt;='Assumptions'!$B$22,ABS(J10)&lt;='Assumptions'!$B$23,ABS(K10)&lt;='Assumptions'!$B$24,L10="YES",M10="YES",N10="YES",O10="COMPLETE",P10="COMPLETE",Q10="ACCEPTED"),"CREDIT","VALID-ADVERSE"))</x:f>
        <x:v>OPEN</x:v>
      </x:c>
    </x:row>
    <x:row r="11">
      <x:c r="A11" s="11" t="str">
        <x:v>EV-04</x:v>
      </x:c>
      <x:c r="B11" s="11" t="str">
        <x:v>PRIMARY</x:v>
      </x:c>
      <x:c r="C11" s="11" t="str">
        <x:v>TR-B</x:v>
      </x:c>
      <x:c r="D11" s="11" t="str">
        <x:v>CELL-04</x:v>
      </x:c>
      <x:c r="E11" s="11" t="str">
        <x:v>IGN-04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1" t="str">
        <x:f>'Event Gates'!D9</x:f>
        <x:v>OPEN</x:v>
      </x:c>
      <x:c r="P11" s="11" t="str">
        <x:f>'Evidence Objects'!J9</x:f>
        <x:v>OPEN</x:v>
      </x:c>
      <x:c r="Q11" s="11" t="str">
        <x:f>'Return'!L9</x:f>
        <x:v>OPEN</x:v>
      </x:c>
      <x:c r="R11" s="11" t="str">
        <x:f>IF(COUNTA(F11:Q11)&lt;12,"OPEN",IF(AND(F11=0,G11=0,H11&gt;='Assumptions'!$B$20,H11&lt;='Assumptions'!$B$21,ABS(I11)&lt;='Assumptions'!$B$22,ABS(J11)&lt;='Assumptions'!$B$23,ABS(K11)&lt;='Assumptions'!$B$24,L11="YES",M11="YES",N11="YES",O11="COMPLETE",P11="COMPLETE",Q11="ACCEPTED"),"CREDIT","VALID-ADVERSE"))</x:f>
        <x:v>OPEN</x:v>
      </x:c>
    </x:row>
    <x:row r="12">
      <x:c r="A12" s="11" t="str">
        <x:v>EV-05</x:v>
      </x:c>
      <x:c r="B12" s="11" t="str">
        <x:v>PRIMARY</x:v>
      </x:c>
      <x:c r="C12" s="11" t="str">
        <x:v>TR-A</x:v>
      </x:c>
      <x:c r="D12" s="11" t="str">
        <x:v>CELL-05</x:v>
      </x:c>
      <x:c r="E12" s="11" t="str">
        <x:v>IGN-05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1" t="str">
        <x:f>'Event Gates'!D10</x:f>
        <x:v>OPEN</x:v>
      </x:c>
      <x:c r="P12" s="11" t="str">
        <x:f>'Evidence Objects'!J10</x:f>
        <x:v>OPEN</x:v>
      </x:c>
      <x:c r="Q12" s="11" t="str">
        <x:f>'Return'!L10</x:f>
        <x:v>OPEN</x:v>
      </x:c>
      <x:c r="R12" s="11" t="str">
        <x:f>IF(COUNTA(F12:Q12)&lt;12,"OPEN",IF(AND(F12=0,G12=0,H12&gt;='Assumptions'!$B$20,H12&lt;='Assumptions'!$B$21,ABS(I12)&lt;='Assumptions'!$B$22,ABS(J12)&lt;='Assumptions'!$B$23,ABS(K12)&lt;='Assumptions'!$B$24,L12="YES",M12="YES",N12="YES",O12="COMPLETE",P12="COMPLETE",Q12="ACCEPTED"),"CREDIT","VALID-ADVERSE"))</x:f>
        <x:v>OPEN</x:v>
      </x:c>
    </x:row>
    <x:row r="13">
      <x:c r="A13" s="11" t="str">
        <x:v>EV-06</x:v>
      </x:c>
      <x:c r="B13" s="11" t="str">
        <x:v>PRIMARY</x:v>
      </x:c>
      <x:c r="C13" s="11" t="str">
        <x:v>TR-B</x:v>
      </x:c>
      <x:c r="D13" s="11" t="str">
        <x:v>CELL-06</x:v>
      </x:c>
      <x:c r="E13" s="11" t="str">
        <x:v>IGN-06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1" t="str">
        <x:f>'Event Gates'!D11</x:f>
        <x:v>OPEN</x:v>
      </x:c>
      <x:c r="P13" s="11" t="str">
        <x:f>'Evidence Objects'!J11</x:f>
        <x:v>OPEN</x:v>
      </x:c>
      <x:c r="Q13" s="11" t="str">
        <x:f>'Return'!L11</x:f>
        <x:v>OPEN</x:v>
      </x:c>
      <x:c r="R13" s="11" t="str">
        <x:f>IF(COUNTA(F13:Q13)&lt;12,"OPEN",IF(AND(F13=0,G13=0,H13&gt;='Assumptions'!$B$20,H13&lt;='Assumptions'!$B$21,ABS(I13)&lt;='Assumptions'!$B$22,ABS(J13)&lt;='Assumptions'!$B$23,ABS(K13)&lt;='Assumptions'!$B$24,L13="YES",M13="YES",N13="YES",O13="COMPLETE",P13="COMPLETE",Q13="ACCEPTED"),"CREDIT","VALID-ADVERSE"))</x:f>
        <x:v>OPEN</x:v>
      </x:c>
    </x:row>
    <x:row r="14">
      <x:c r="A14" s="11" t="str">
        <x:v>EV-07</x:v>
      </x:c>
      <x:c r="B14" s="11" t="str">
        <x:v>PRIMARY</x:v>
      </x:c>
      <x:c r="C14" s="11" t="str">
        <x:v>TR-A</x:v>
      </x:c>
      <x:c r="D14" s="11" t="str">
        <x:v>CELL-07</x:v>
      </x:c>
      <x:c r="E14" s="11" t="str">
        <x:v>IGN-07</x:v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1" t="str">
        <x:f>'Event Gates'!D12</x:f>
        <x:v>OPEN</x:v>
      </x:c>
      <x:c r="P14" s="11" t="str">
        <x:f>'Evidence Objects'!J12</x:f>
        <x:v>OPEN</x:v>
      </x:c>
      <x:c r="Q14" s="11" t="str">
        <x:f>'Return'!L12</x:f>
        <x:v>OPEN</x:v>
      </x:c>
      <x:c r="R14" s="11" t="str">
        <x:f>IF(COUNTA(F14:Q14)&lt;12,"OPEN",IF(AND(F14=0,G14=0,H14&gt;='Assumptions'!$B$20,H14&lt;='Assumptions'!$B$21,ABS(I14)&lt;='Assumptions'!$B$22,ABS(J14)&lt;='Assumptions'!$B$23,ABS(K14)&lt;='Assumptions'!$B$24,L14="YES",M14="YES",N14="YES",O14="COMPLETE",P14="COMPLETE",Q14="ACCEPTED"),"CREDIT","VALID-ADVERSE"))</x:f>
        <x:v>OPEN</x:v>
      </x:c>
    </x:row>
    <x:row r="15">
      <x:c r="A15" s="11" t="str">
        <x:v>EV-08</x:v>
      </x:c>
      <x:c r="B15" s="11" t="str">
        <x:v>PRIMARY</x:v>
      </x:c>
      <x:c r="C15" s="11" t="str">
        <x:v>TR-B</x:v>
      </x:c>
      <x:c r="D15" s="11" t="str">
        <x:v>CELL-08</x:v>
      </x:c>
      <x:c r="E15" s="11" t="str">
        <x:v>IGN-08</x:v>
      </x:c>
      <x:c r="F15" s="13"/>
      <x:c r="G15" s="13"/>
      <x:c r="H15" s="13"/>
      <x:c r="I15" s="13"/>
      <x:c r="J15" s="13"/>
      <x:c r="K15" s="13"/>
      <x:c r="L15" s="13"/>
      <x:c r="M15" s="13"/>
      <x:c r="N15" s="13"/>
      <x:c r="O15" s="11" t="str">
        <x:f>'Event Gates'!D13</x:f>
        <x:v>OPEN</x:v>
      </x:c>
      <x:c r="P15" s="11" t="str">
        <x:f>'Evidence Objects'!J13</x:f>
        <x:v>OPEN</x:v>
      </x:c>
      <x:c r="Q15" s="11" t="str">
        <x:f>'Return'!L13</x:f>
        <x:v>OPEN</x:v>
      </x:c>
      <x:c r="R15" s="11" t="str">
        <x:f>IF(COUNTA(F15:Q15)&lt;12,"OPEN",IF(AND(F15=0,G15=0,H15&gt;='Assumptions'!$B$20,H15&lt;='Assumptions'!$B$21,ABS(I15)&lt;='Assumptions'!$B$22,ABS(J15)&lt;='Assumptions'!$B$23,ABS(K15)&lt;='Assumptions'!$B$24,L15="YES",M15="YES",N15="YES",O15="COMPLETE",P15="COMPLETE",Q15="ACCEPTED"),"CREDIT","VALID-ADVERSE"))</x:f>
        <x:v>OPEN</x:v>
      </x:c>
    </x:row>
    <x:row r="16">
      <x:c r="A16" s="11" t="str">
        <x:v>EV-09</x:v>
      </x:c>
      <x:c r="B16" s="11" t="str">
        <x:v>PRIMARY</x:v>
      </x:c>
      <x:c r="C16" s="11" t="str">
        <x:v>TR-A</x:v>
      </x:c>
      <x:c r="D16" s="11" t="str">
        <x:v>CELL-09</x:v>
      </x:c>
      <x:c r="E16" s="11" t="str">
        <x:v>IGN-09</x:v>
      </x:c>
      <x:c r="F16" s="13"/>
      <x:c r="G16" s="13"/>
      <x:c r="H16" s="13"/>
      <x:c r="I16" s="13"/>
      <x:c r="J16" s="13"/>
      <x:c r="K16" s="13"/>
      <x:c r="L16" s="13"/>
      <x:c r="M16" s="13"/>
      <x:c r="N16" s="13"/>
      <x:c r="O16" s="11" t="str">
        <x:f>'Event Gates'!D14</x:f>
        <x:v>OPEN</x:v>
      </x:c>
      <x:c r="P16" s="11" t="str">
        <x:f>'Evidence Objects'!J14</x:f>
        <x:v>OPEN</x:v>
      </x:c>
      <x:c r="Q16" s="11" t="str">
        <x:f>'Return'!L14</x:f>
        <x:v>OPEN</x:v>
      </x:c>
      <x:c r="R16" s="11" t="str">
        <x:f>IF(COUNTA(F16:Q16)&lt;12,"OPEN",IF(AND(F16=0,G16=0,H16&gt;='Assumptions'!$B$20,H16&lt;='Assumptions'!$B$21,ABS(I16)&lt;='Assumptions'!$B$22,ABS(J16)&lt;='Assumptions'!$B$23,ABS(K16)&lt;='Assumptions'!$B$24,L16="YES",M16="YES",N16="YES",O16="COMPLETE",P16="COMPLETE",Q16="ACCEPTED"),"CREDIT","VALID-ADVERSE"))</x:f>
        <x:v>OPEN</x:v>
      </x:c>
    </x:row>
    <x:row r="17">
      <x:c r="A17" s="11" t="str">
        <x:v>EV-10</x:v>
      </x:c>
      <x:c r="B17" s="11" t="str">
        <x:v>PRIMARY</x:v>
      </x:c>
      <x:c r="C17" s="11" t="str">
        <x:v>TR-B</x:v>
      </x:c>
      <x:c r="D17" s="11" t="str">
        <x:v>CELL-10</x:v>
      </x:c>
      <x:c r="E17" s="11" t="str">
        <x:v>IGN-10</x:v>
      </x:c>
      <x:c r="F17" s="13"/>
      <x:c r="G17" s="13"/>
      <x:c r="H17" s="13"/>
      <x:c r="I17" s="13"/>
      <x:c r="J17" s="13"/>
      <x:c r="K17" s="13"/>
      <x:c r="L17" s="13"/>
      <x:c r="M17" s="13"/>
      <x:c r="N17" s="13"/>
      <x:c r="O17" s="11" t="str">
        <x:f>'Event Gates'!D15</x:f>
        <x:v>OPEN</x:v>
      </x:c>
      <x:c r="P17" s="11" t="str">
        <x:f>'Evidence Objects'!J15</x:f>
        <x:v>OPEN</x:v>
      </x:c>
      <x:c r="Q17" s="11" t="str">
        <x:f>'Return'!L15</x:f>
        <x:v>OPEN</x:v>
      </x:c>
      <x:c r="R17" s="11" t="str">
        <x:f>IF(COUNTA(F17:Q17)&lt;12,"OPEN",IF(AND(F17=0,G17=0,H17&gt;='Assumptions'!$B$20,H17&lt;='Assumptions'!$B$21,ABS(I17)&lt;='Assumptions'!$B$22,ABS(J17)&lt;='Assumptions'!$B$23,ABS(K17)&lt;='Assumptions'!$B$24,L17="YES",M17="YES",N17="YES",O17="COMPLETE",P17="COMPLETE",Q17="ACCEPTED"),"CREDIT","VALID-ADVERSE"))</x:f>
        <x:v>OPEN</x:v>
      </x:c>
    </x:row>
    <x:row r="18">
      <x:c r="A18" s="11" t="str">
        <x:v>EV-11</x:v>
      </x:c>
      <x:c r="B18" s="11" t="str">
        <x:v>PRIMARY</x:v>
      </x:c>
      <x:c r="C18" s="11" t="str">
        <x:v>TR-A</x:v>
      </x:c>
      <x:c r="D18" s="11" t="str">
        <x:v>CELL-11</x:v>
      </x:c>
      <x:c r="E18" s="11" t="str">
        <x:v>IGN-11</x:v>
      </x:c>
      <x:c r="F18" s="13"/>
      <x:c r="G18" s="13"/>
      <x:c r="H18" s="13"/>
      <x:c r="I18" s="13"/>
      <x:c r="J18" s="13"/>
      <x:c r="K18" s="13"/>
      <x:c r="L18" s="13"/>
      <x:c r="M18" s="13"/>
      <x:c r="N18" s="13"/>
      <x:c r="O18" s="11" t="str">
        <x:f>'Event Gates'!D16</x:f>
        <x:v>OPEN</x:v>
      </x:c>
      <x:c r="P18" s="11" t="str">
        <x:f>'Evidence Objects'!J16</x:f>
        <x:v>OPEN</x:v>
      </x:c>
      <x:c r="Q18" s="11" t="str">
        <x:f>'Return'!L16</x:f>
        <x:v>OPEN</x:v>
      </x:c>
      <x:c r="R18" s="11" t="str">
        <x:f>IF(COUNTA(F18:Q18)&lt;12,"OPEN",IF(AND(F18=0,G18=0,H18&gt;='Assumptions'!$B$20,H18&lt;='Assumptions'!$B$21,ABS(I18)&lt;='Assumptions'!$B$22,ABS(J18)&lt;='Assumptions'!$B$23,ABS(K18)&lt;='Assumptions'!$B$24,L18="YES",M18="YES",N18="YES",O18="COMPLETE",P18="COMPLETE",Q18="ACCEPTED"),"CREDIT","VALID-ADVERSE"))</x:f>
        <x:v>OPEN</x:v>
      </x:c>
    </x:row>
    <x:row r="19">
      <x:c r="A19" s="11" t="str">
        <x:v>EV-12</x:v>
      </x:c>
      <x:c r="B19" s="11" t="str">
        <x:v>PRIMARY</x:v>
      </x:c>
      <x:c r="C19" s="11" t="str">
        <x:v>TR-B</x:v>
      </x:c>
      <x:c r="D19" s="11" t="str">
        <x:v>CELL-12</x:v>
      </x:c>
      <x:c r="E19" s="11" t="str">
        <x:v>IGN-12</x:v>
      </x:c>
      <x:c r="F19" s="13"/>
      <x:c r="G19" s="13"/>
      <x:c r="H19" s="13"/>
      <x:c r="I19" s="13"/>
      <x:c r="J19" s="13"/>
      <x:c r="K19" s="13"/>
      <x:c r="L19" s="13"/>
      <x:c r="M19" s="13"/>
      <x:c r="N19" s="13"/>
      <x:c r="O19" s="11" t="str">
        <x:f>'Event Gates'!D17</x:f>
        <x:v>OPEN</x:v>
      </x:c>
      <x:c r="P19" s="11" t="str">
        <x:f>'Evidence Objects'!J17</x:f>
        <x:v>OPEN</x:v>
      </x:c>
      <x:c r="Q19" s="11" t="str">
        <x:f>'Return'!L17</x:f>
        <x:v>OPEN</x:v>
      </x:c>
      <x:c r="R19" s="11" t="str">
        <x:f>IF(COUNTA(F19:Q19)&lt;12,"OPEN",IF(AND(F19=0,G19=0,H19&gt;='Assumptions'!$B$20,H19&lt;='Assumptions'!$B$21,ABS(I19)&lt;='Assumptions'!$B$22,ABS(J19)&lt;='Assumptions'!$B$23,ABS(K19)&lt;='Assumptions'!$B$24,L19="YES",M19="YES",N19="YES",O19="COMPLETE",P19="COMPLETE",Q19="ACCEPTED"),"CREDIT","VALID-ADVERSE"))</x:f>
        <x:v>OPEN</x:v>
      </x:c>
    </x:row>
    <x:row r="20">
      <x:c r="A20" s="11" t="str">
        <x:v>EV-13</x:v>
      </x:c>
      <x:c r="B20" s="11" t="str">
        <x:v>RESERVE</x:v>
      </x:c>
      <x:c r="C20" s="11" t="str">
        <x:v>TR-A</x:v>
      </x:c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1" t="str">
        <x:f>'Event Gates'!D18</x:f>
        <x:v>OPEN</x:v>
      </x:c>
      <x:c r="P20" s="11" t="str">
        <x:f>'Evidence Objects'!J18</x:f>
        <x:v>OPEN</x:v>
      </x:c>
      <x:c r="Q20" s="11" t="str">
        <x:f>'Return'!L18</x:f>
        <x:v>OPEN</x:v>
      </x:c>
      <x:c r="R20" s="11" t="str">
        <x:f>IF(COUNTA(F20:Q20)&lt;12,"OPEN",IF(AND(F20=0,G20=0,H20&gt;='Assumptions'!$B$20,H20&lt;='Assumptions'!$B$21,ABS(I20)&lt;='Assumptions'!$B$22,ABS(J20)&lt;='Assumptions'!$B$23,ABS(K20)&lt;='Assumptions'!$B$24,L20="YES",M20="YES",N20="YES",O20="COMPLETE",P20="COMPLETE",Q20="ACCEPTED"),"CREDIT","VALID-ADVERSE"))</x:f>
        <x:v>OPEN</x:v>
      </x:c>
    </x:row>
    <x:row r="21">
      <x:c r="A21" s="11" t="str">
        <x:v>EV-14</x:v>
      </x:c>
      <x:c r="B21" s="11" t="str">
        <x:v>RESERVE</x:v>
      </x:c>
      <x:c r="C21" s="11" t="str">
        <x:v>TR-B</x:v>
      </x:c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1" t="str">
        <x:f>'Event Gates'!D19</x:f>
        <x:v>OPEN</x:v>
      </x:c>
      <x:c r="P21" s="11" t="str">
        <x:f>'Evidence Objects'!J19</x:f>
        <x:v>OPEN</x:v>
      </x:c>
      <x:c r="Q21" s="11" t="str">
        <x:f>'Return'!L19</x:f>
        <x:v>OPEN</x:v>
      </x:c>
      <x:c r="R21" s="11" t="str">
        <x:f>IF(COUNTA(F21:Q21)&lt;12,"OPEN",IF(AND(F21=0,G21=0,H21&gt;='Assumptions'!$B$20,H21&lt;='Assumptions'!$B$21,ABS(I21)&lt;='Assumptions'!$B$22,ABS(J21)&lt;='Assumptions'!$B$23,ABS(K21)&lt;='Assumptions'!$B$24,L21="YES",M21="YES",N21="YES",O21="COMPLETE",P21="COMPLETE",Q21="ACCEPTED"),"CREDIT","VALID-ADVERSE"))</x:f>
        <x:v>OPEN</x:v>
      </x:c>
    </x:row>
    <x:row r="22">
      <x:c r="A22" s="11" t="str">
        <x:v>EV-15</x:v>
      </x:c>
      <x:c r="B22" s="11" t="str">
        <x:v>RESERVE</x:v>
      </x:c>
      <x:c r="C22" s="11" t="str">
        <x:v>TR-A</x:v>
      </x:c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1" t="str">
        <x:f>'Event Gates'!D20</x:f>
        <x:v>OPEN</x:v>
      </x:c>
      <x:c r="P22" s="11" t="str">
        <x:f>'Evidence Objects'!J20</x:f>
        <x:v>OPEN</x:v>
      </x:c>
      <x:c r="Q22" s="11" t="str">
        <x:f>'Return'!L20</x:f>
        <x:v>OPEN</x:v>
      </x:c>
      <x:c r="R22" s="11" t="str">
        <x:f>IF(COUNTA(F22:Q22)&lt;12,"OPEN",IF(AND(F22=0,G22=0,H22&gt;='Assumptions'!$B$20,H22&lt;='Assumptions'!$B$21,ABS(I22)&lt;='Assumptions'!$B$22,ABS(J22)&lt;='Assumptions'!$B$23,ABS(K22)&lt;='Assumptions'!$B$24,L22="YES",M22="YES",N22="YES",O22="COMPLETE",P22="COMPLETE",Q22="ACCEPTED"),"CREDIT","VALID-ADVERSE"))</x:f>
        <x:v>OPEN</x:v>
      </x:c>
    </x:row>
    <x:row r="23">
      <x:c r="A23" s="11" t="str">
        <x:v>EV-16</x:v>
      </x:c>
      <x:c r="B23" s="11" t="str">
        <x:v>RESERVE</x:v>
      </x:c>
      <x:c r="C23" s="11" t="str">
        <x:v>TR-B</x:v>
      </x:c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1" t="str">
        <x:f>'Event Gates'!D21</x:f>
        <x:v>OPEN</x:v>
      </x:c>
      <x:c r="P23" s="11" t="str">
        <x:f>'Evidence Objects'!J21</x:f>
        <x:v>OPEN</x:v>
      </x:c>
      <x:c r="Q23" s="11" t="str">
        <x:f>'Return'!L21</x:f>
        <x:v>OPEN</x:v>
      </x:c>
      <x:c r="R23" s="11" t="str">
        <x:f>IF(COUNTA(F23:Q23)&lt;12,"OPEN",IF(AND(F23=0,G23=0,H23&gt;='Assumptions'!$B$20,H23&lt;='Assumptions'!$B$21,ABS(I23)&lt;='Assumptions'!$B$22,ABS(J23)&lt;='Assumptions'!$B$23,ABS(K23)&lt;='Assumptions'!$B$24,L23="YES",M23="YES",N23="YES",O23="COMPLETE",P23="COMPLETE",Q23="ACCEPTED"),"CREDIT","VALID-ADVERSE"))</x:f>
        <x:v>OPEN</x:v>
      </x:c>
    </x:row>
  </x:sheetData>
  <x:mergeCells>
    <x:mergeCell ref="A2:R2"/>
  </x:mergeCells>
  <x:conditionalFormatting sqref="R8:R23">
    <x:cfRule type="containsText" dxfId="28" priority="1" operator="containsText" text="DENY"/>
    <x:cfRule type="containsText" dxfId="29" priority="2" operator="containsText" text="ADVERSE"/>
    <x:cfRule type="containsText" dxfId="30" priority="3" operator="containsText" text="FAIL"/>
    <x:cfRule type="containsText" dxfId="31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23423ed70a3c455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5" hidden="0" customWidth="1"/>
  </x:cols>
  <x:sheetData>
    <x:row r="2" ht="26" customHeight="1">
      <x:c r="A2" s="18" t="str">
        <x:v>Per-event gate closure</x:v>
      </x:c>
      <x:c r="B2" s="18" t="str">
        <x:v>Per-event gate closure</x:v>
      </x:c>
      <x:c r="C2" s="18" t="str">
        <x:v>Per-event gate closure</x:v>
      </x:c>
      <x:c r="D2" s="18" t="str">
        <x:v>Per-event gate closure</x:v>
      </x:c>
    </x:row>
    <x:row r="3">
      <x:c r="A3" s="19"/>
      <x:c r="B3" s="19"/>
      <x:c r="C3" s="19"/>
      <x:c r="D3" s="19"/>
    </x:row>
    <x:row r="4">
      <x:c r="A4" s="20"/>
      <x:c r="B4" s="20"/>
      <x:c r="C4" s="20"/>
      <x:c r="D4" s="20"/>
    </x:row>
    <x:row r="5">
      <x:c r="A5" s="9" t="str">
        <x:v>Event</x:v>
      </x:c>
      <x:c r="B5" s="9" t="str">
        <x:v>Required gates</x:v>
      </x:c>
      <x:c r="C5" s="9" t="str">
        <x:v>Closed gates</x:v>
      </x:c>
      <x:c r="D5" s="9" t="str">
        <x:v>State</x:v>
      </x:c>
    </x:row>
    <x:row r="6">
      <x:c r="A6" s="11" t="str">
        <x:v>EV-01</x:v>
      </x:c>
      <x:c r="B6" s="11" t="n">
        <x:v>36</x:v>
      </x:c>
      <x:c r="C6" s="13"/>
      <x:c r="D6" s="11" t="str">
        <x:f>IF(COUNT(C6)=0,"OPEN",IF(C6=B6,"COMPLETE","DENY"))</x:f>
        <x:v>OPEN</x:v>
      </x:c>
    </x:row>
    <x:row r="7">
      <x:c r="A7" s="11" t="str">
        <x:v>EV-02</x:v>
      </x:c>
      <x:c r="B7" s="11" t="n">
        <x:v>36</x:v>
      </x:c>
      <x:c r="C7" s="13"/>
      <x:c r="D7" s="11" t="str">
        <x:f>IF(COUNT(C7)=0,"OPEN",IF(C7=B7,"COMPLETE","DENY"))</x:f>
        <x:v>OPEN</x:v>
      </x:c>
    </x:row>
    <x:row r="8">
      <x:c r="A8" s="11" t="str">
        <x:v>EV-03</x:v>
      </x:c>
      <x:c r="B8" s="11" t="n">
        <x:v>36</x:v>
      </x:c>
      <x:c r="C8" s="13"/>
      <x:c r="D8" s="11" t="str">
        <x:f>IF(COUNT(C8)=0,"OPEN",IF(C8=B8,"COMPLETE","DENY"))</x:f>
        <x:v>OPEN</x:v>
      </x:c>
    </x:row>
    <x:row r="9">
      <x:c r="A9" s="11" t="str">
        <x:v>EV-04</x:v>
      </x:c>
      <x:c r="B9" s="11" t="n">
        <x:v>36</x:v>
      </x:c>
      <x:c r="C9" s="13"/>
      <x:c r="D9" s="11" t="str">
        <x:f>IF(COUNT(C9)=0,"OPEN",IF(C9=B9,"COMPLETE","DENY"))</x:f>
        <x:v>OPEN</x:v>
      </x:c>
    </x:row>
    <x:row r="10">
      <x:c r="A10" s="11" t="str">
        <x:v>EV-05</x:v>
      </x:c>
      <x:c r="B10" s="11" t="n">
        <x:v>36</x:v>
      </x:c>
      <x:c r="C10" s="13"/>
      <x:c r="D10" s="11" t="str">
        <x:f>IF(COUNT(C10)=0,"OPEN",IF(C10=B10,"COMPLETE","DENY"))</x:f>
        <x:v>OPEN</x:v>
      </x:c>
    </x:row>
    <x:row r="11">
      <x:c r="A11" s="11" t="str">
        <x:v>EV-06</x:v>
      </x:c>
      <x:c r="B11" s="11" t="n">
        <x:v>36</x:v>
      </x:c>
      <x:c r="C11" s="13"/>
      <x:c r="D11" s="11" t="str">
        <x:f>IF(COUNT(C11)=0,"OPEN",IF(C11=B11,"COMPLETE","DENY"))</x:f>
        <x:v>OPEN</x:v>
      </x:c>
    </x:row>
    <x:row r="12">
      <x:c r="A12" s="11" t="str">
        <x:v>EV-07</x:v>
      </x:c>
      <x:c r="B12" s="11" t="n">
        <x:v>36</x:v>
      </x:c>
      <x:c r="C12" s="13"/>
      <x:c r="D12" s="11" t="str">
        <x:f>IF(COUNT(C12)=0,"OPEN",IF(C12=B12,"COMPLETE","DENY"))</x:f>
        <x:v>OPEN</x:v>
      </x:c>
    </x:row>
    <x:row r="13">
      <x:c r="A13" s="11" t="str">
        <x:v>EV-08</x:v>
      </x:c>
      <x:c r="B13" s="11" t="n">
        <x:v>36</x:v>
      </x:c>
      <x:c r="C13" s="13"/>
      <x:c r="D13" s="11" t="str">
        <x:f>IF(COUNT(C13)=0,"OPEN",IF(C13=B13,"COMPLETE","DENY"))</x:f>
        <x:v>OPEN</x:v>
      </x:c>
    </x:row>
    <x:row r="14">
      <x:c r="A14" s="11" t="str">
        <x:v>EV-09</x:v>
      </x:c>
      <x:c r="B14" s="11" t="n">
        <x:v>36</x:v>
      </x:c>
      <x:c r="C14" s="13"/>
      <x:c r="D14" s="11" t="str">
        <x:f>IF(COUNT(C14)=0,"OPEN",IF(C14=B14,"COMPLETE","DENY"))</x:f>
        <x:v>OPEN</x:v>
      </x:c>
    </x:row>
    <x:row r="15">
      <x:c r="A15" s="11" t="str">
        <x:v>EV-10</x:v>
      </x:c>
      <x:c r="B15" s="11" t="n">
        <x:v>36</x:v>
      </x:c>
      <x:c r="C15" s="13"/>
      <x:c r="D15" s="11" t="str">
        <x:f>IF(COUNT(C15)=0,"OPEN",IF(C15=B15,"COMPLETE","DENY"))</x:f>
        <x:v>OPEN</x:v>
      </x:c>
    </x:row>
    <x:row r="16">
      <x:c r="A16" s="11" t="str">
        <x:v>EV-11</x:v>
      </x:c>
      <x:c r="B16" s="11" t="n">
        <x:v>36</x:v>
      </x:c>
      <x:c r="C16" s="13"/>
      <x:c r="D16" s="11" t="str">
        <x:f>IF(COUNT(C16)=0,"OPEN",IF(C16=B16,"COMPLETE","DENY"))</x:f>
        <x:v>OPEN</x:v>
      </x:c>
    </x:row>
    <x:row r="17">
      <x:c r="A17" s="11" t="str">
        <x:v>EV-12</x:v>
      </x:c>
      <x:c r="B17" s="11" t="n">
        <x:v>36</x:v>
      </x:c>
      <x:c r="C17" s="13"/>
      <x:c r="D17" s="11" t="str">
        <x:f>IF(COUNT(C17)=0,"OPEN",IF(C17=B17,"COMPLETE","DENY"))</x:f>
        <x:v>OPEN</x:v>
      </x:c>
    </x:row>
    <x:row r="18">
      <x:c r="A18" s="11" t="str">
        <x:v>EV-13</x:v>
      </x:c>
      <x:c r="B18" s="11" t="n">
        <x:v>36</x:v>
      </x:c>
      <x:c r="C18" s="13"/>
      <x:c r="D18" s="11" t="str">
        <x:f>IF(COUNT(C18)=0,"OPEN",IF(C18=B18,"COMPLETE","DENY"))</x:f>
        <x:v>OPEN</x:v>
      </x:c>
    </x:row>
    <x:row r="19">
      <x:c r="A19" s="11" t="str">
        <x:v>EV-14</x:v>
      </x:c>
      <x:c r="B19" s="11" t="n">
        <x:v>36</x:v>
      </x:c>
      <x:c r="C19" s="13"/>
      <x:c r="D19" s="11" t="str">
        <x:f>IF(COUNT(C19)=0,"OPEN",IF(C19=B19,"COMPLETE","DENY"))</x:f>
        <x:v>OPEN</x:v>
      </x:c>
    </x:row>
    <x:row r="20">
      <x:c r="A20" s="11" t="str">
        <x:v>EV-15</x:v>
      </x:c>
      <x:c r="B20" s="11" t="n">
        <x:v>36</x:v>
      </x:c>
      <x:c r="C20" s="13"/>
      <x:c r="D20" s="11" t="str">
        <x:f>IF(COUNT(C20)=0,"OPEN",IF(C20=B20,"COMPLETE","DENY"))</x:f>
        <x:v>OPEN</x:v>
      </x:c>
    </x:row>
    <x:row r="21">
      <x:c r="A21" s="11" t="str">
        <x:v>EV-16</x:v>
      </x:c>
      <x:c r="B21" s="11" t="n">
        <x:v>36</x:v>
      </x:c>
      <x:c r="C21" s="13"/>
      <x:c r="D21" s="11" t="str">
        <x:f>IF(COUNT(C21)=0,"OPEN",IF(C21=B21,"COMPLETE","DENY"))</x:f>
        <x:v>OPEN</x:v>
      </x:c>
    </x:row>
  </x:sheetData>
  <x:mergeCells>
    <x:mergeCell ref="A2:D2"/>
  </x:mergeCells>
  <x:conditionalFormatting sqref="D6:D21">
    <x:cfRule type="containsText" dxfId="32" priority="1" operator="containsText" text="DENY"/>
    <x:cfRule type="containsText" dxfId="33" priority="2" operator="containsText" text="ADVERSE"/>
    <x:cfRule type="containsText" dxfId="34" priority="3" operator="containsText" text="FAIL"/>
    <x:cfRule type="containsText" dxfId="35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66bd166042f749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7" hidden="0" customWidth="1"/>
    <x:col min="4" max="4" width="20" hidden="0" customWidth="1"/>
    <x:col min="5" max="5" width="19" hidden="0" customWidth="1"/>
    <x:col min="6" max="6" width="23" hidden="0" customWidth="1"/>
    <x:col min="7" max="7" width="22" hidden="0" customWidth="1"/>
    <x:col min="8" max="8" width="24" hidden="0" customWidth="1"/>
    <x:col min="9" max="9" width="23" hidden="0" customWidth="1"/>
    <x:col min="10" max="10" width="15" hidden="0" customWidth="1"/>
  </x:cols>
  <x:sheetData>
    <x:row r="2" ht="26" customHeight="1">
      <x:c r="A2" s="18" t="str">
        <x:v>Per-event evidence-object closure</x:v>
      </x:c>
      <x:c r="B2" s="18" t="str">
        <x:v>Per-event evidence-object closure</x:v>
      </x:c>
      <x:c r="C2" s="18" t="str">
        <x:v>Per-event evidence-object closure</x:v>
      </x:c>
      <x:c r="D2" s="18" t="str">
        <x:v>Per-event evidence-object closure</x:v>
      </x:c>
      <x:c r="E2" s="18" t="str">
        <x:v>Per-event evidence-object closure</x:v>
      </x:c>
      <x:c r="F2" s="18" t="str">
        <x:v>Per-event evidence-object closure</x:v>
      </x:c>
      <x:c r="G2" s="18" t="str">
        <x:v>Per-event evidence-object closure</x:v>
      </x:c>
      <x:c r="H2" s="18" t="str">
        <x:v>Per-event evidence-object closure</x:v>
      </x:c>
      <x:c r="I2" s="18" t="str">
        <x:v>Per-event evidence-object closure</x:v>
      </x:c>
      <x:c r="J2" s="18" t="str">
        <x:v>Per-event evidence-object closure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</x:row>
    <x:row r="5">
      <x:c r="A5" s="9" t="str">
        <x:v>Event</x:v>
      </x:c>
      <x:c r="B5" s="9" t="str">
        <x:v>Required records</x:v>
      </x:c>
      <x:c r="C5" s="9" t="str">
        <x:v>Bound records</x:v>
      </x:c>
      <x:c r="D5" s="9" t="str">
        <x:v>Channels required</x:v>
      </x:c>
      <x:c r="E5" s="9" t="str">
        <x:v>Channels accepted</x:v>
      </x:c>
      <x:c r="F5" s="9" t="str">
        <x:v>Safeing paths required</x:v>
      </x:c>
      <x:c r="G5" s="9" t="str">
        <x:v>Safeing paths accepted</x:v>
      </x:c>
      <x:c r="H5" s="9" t="str">
        <x:v>Replay decisions required</x:v>
      </x:c>
      <x:c r="I5" s="9" t="str">
        <x:v>Replay decisions accepted</x:v>
      </x:c>
      <x:c r="J5" s="9" t="str">
        <x:v>State</x:v>
      </x:c>
    </x:row>
    <x:row r="6">
      <x:c r="A6" s="11" t="str">
        <x:v>EV-01</x:v>
      </x:c>
      <x:c r="B6" s="11" t="n">
        <x:v>144</x:v>
      </x:c>
      <x:c r="C6" s="13"/>
      <x:c r="D6" s="11" t="n">
        <x:v>160</x:v>
      </x:c>
      <x:c r="E6" s="13"/>
      <x:c r="F6" s="11" t="n">
        <x:v>12</x:v>
      </x:c>
      <x:c r="G6" s="13"/>
      <x:c r="H6" s="11" t="n">
        <x:v>12</x:v>
      </x:c>
      <x:c r="I6" s="13"/>
      <x:c r="J6" s="11" t="str">
        <x:f>IF(COUNT(C6,E6,G6,I6)&lt;4,"OPEN",IF(AND(C6=B6,E6=D6,G6=F6,I6=H6),"COMPLETE","DENY"))</x:f>
        <x:v>OPEN</x:v>
      </x:c>
    </x:row>
    <x:row r="7">
      <x:c r="A7" s="11" t="str">
        <x:v>EV-02</x:v>
      </x:c>
      <x:c r="B7" s="11" t="n">
        <x:v>144</x:v>
      </x:c>
      <x:c r="C7" s="13"/>
      <x:c r="D7" s="11" t="n">
        <x:v>160</x:v>
      </x:c>
      <x:c r="E7" s="13"/>
      <x:c r="F7" s="11" t="n">
        <x:v>12</x:v>
      </x:c>
      <x:c r="G7" s="13"/>
      <x:c r="H7" s="11" t="n">
        <x:v>12</x:v>
      </x:c>
      <x:c r="I7" s="13"/>
      <x:c r="J7" s="11" t="str">
        <x:f>IF(COUNT(C7,E7,G7,I7)&lt;4,"OPEN",IF(AND(C7=B7,E7=D7,G7=F7,I7=H7),"COMPLETE","DENY"))</x:f>
        <x:v>OPEN</x:v>
      </x:c>
    </x:row>
    <x:row r="8">
      <x:c r="A8" s="11" t="str">
        <x:v>EV-03</x:v>
      </x:c>
      <x:c r="B8" s="11" t="n">
        <x:v>144</x:v>
      </x:c>
      <x:c r="C8" s="13"/>
      <x:c r="D8" s="11" t="n">
        <x:v>160</x:v>
      </x:c>
      <x:c r="E8" s="13"/>
      <x:c r="F8" s="11" t="n">
        <x:v>12</x:v>
      </x:c>
      <x:c r="G8" s="13"/>
      <x:c r="H8" s="11" t="n">
        <x:v>12</x:v>
      </x:c>
      <x:c r="I8" s="13"/>
      <x:c r="J8" s="11" t="str">
        <x:f>IF(COUNT(C8,E8,G8,I8)&lt;4,"OPEN",IF(AND(C8=B8,E8=D8,G8=F8,I8=H8),"COMPLETE","DENY"))</x:f>
        <x:v>OPEN</x:v>
      </x:c>
    </x:row>
    <x:row r="9">
      <x:c r="A9" s="11" t="str">
        <x:v>EV-04</x:v>
      </x:c>
      <x:c r="B9" s="11" t="n">
        <x:v>144</x:v>
      </x:c>
      <x:c r="C9" s="13"/>
      <x:c r="D9" s="11" t="n">
        <x:v>160</x:v>
      </x:c>
      <x:c r="E9" s="13"/>
      <x:c r="F9" s="11" t="n">
        <x:v>12</x:v>
      </x:c>
      <x:c r="G9" s="13"/>
      <x:c r="H9" s="11" t="n">
        <x:v>12</x:v>
      </x:c>
      <x:c r="I9" s="13"/>
      <x:c r="J9" s="11" t="str">
        <x:f>IF(COUNT(C9,E9,G9,I9)&lt;4,"OPEN",IF(AND(C9=B9,E9=D9,G9=F9,I9=H9),"COMPLETE","DENY"))</x:f>
        <x:v>OPEN</x:v>
      </x:c>
    </x:row>
    <x:row r="10">
      <x:c r="A10" s="11" t="str">
        <x:v>EV-05</x:v>
      </x:c>
      <x:c r="B10" s="11" t="n">
        <x:v>144</x:v>
      </x:c>
      <x:c r="C10" s="13"/>
      <x:c r="D10" s="11" t="n">
        <x:v>160</x:v>
      </x:c>
      <x:c r="E10" s="13"/>
      <x:c r="F10" s="11" t="n">
        <x:v>12</x:v>
      </x:c>
      <x:c r="G10" s="13"/>
      <x:c r="H10" s="11" t="n">
        <x:v>12</x:v>
      </x:c>
      <x:c r="I10" s="13"/>
      <x:c r="J10" s="11" t="str">
        <x:f>IF(COUNT(C10,E10,G10,I10)&lt;4,"OPEN",IF(AND(C10=B10,E10=D10,G10=F10,I10=H10),"COMPLETE","DENY"))</x:f>
        <x:v>OPEN</x:v>
      </x:c>
    </x:row>
    <x:row r="11">
      <x:c r="A11" s="11" t="str">
        <x:v>EV-06</x:v>
      </x:c>
      <x:c r="B11" s="11" t="n">
        <x:v>144</x:v>
      </x:c>
      <x:c r="C11" s="13"/>
      <x:c r="D11" s="11" t="n">
        <x:v>160</x:v>
      </x:c>
      <x:c r="E11" s="13"/>
      <x:c r="F11" s="11" t="n">
        <x:v>12</x:v>
      </x:c>
      <x:c r="G11" s="13"/>
      <x:c r="H11" s="11" t="n">
        <x:v>12</x:v>
      </x:c>
      <x:c r="I11" s="13"/>
      <x:c r="J11" s="11" t="str">
        <x:f>IF(COUNT(C11,E11,G11,I11)&lt;4,"OPEN",IF(AND(C11=B11,E11=D11,G11=F11,I11=H11),"COMPLETE","DENY"))</x:f>
        <x:v>OPEN</x:v>
      </x:c>
    </x:row>
    <x:row r="12">
      <x:c r="A12" s="11" t="str">
        <x:v>EV-07</x:v>
      </x:c>
      <x:c r="B12" s="11" t="n">
        <x:v>144</x:v>
      </x:c>
      <x:c r="C12" s="13"/>
      <x:c r="D12" s="11" t="n">
        <x:v>160</x:v>
      </x:c>
      <x:c r="E12" s="13"/>
      <x:c r="F12" s="11" t="n">
        <x:v>12</x:v>
      </x:c>
      <x:c r="G12" s="13"/>
      <x:c r="H12" s="11" t="n">
        <x:v>12</x:v>
      </x:c>
      <x:c r="I12" s="13"/>
      <x:c r="J12" s="11" t="str">
        <x:f>IF(COUNT(C12,E12,G12,I12)&lt;4,"OPEN",IF(AND(C12=B12,E12=D12,G12=F12,I12=H12),"COMPLETE","DENY"))</x:f>
        <x:v>OPEN</x:v>
      </x:c>
    </x:row>
    <x:row r="13">
      <x:c r="A13" s="11" t="str">
        <x:v>EV-08</x:v>
      </x:c>
      <x:c r="B13" s="11" t="n">
        <x:v>144</x:v>
      </x:c>
      <x:c r="C13" s="13"/>
      <x:c r="D13" s="11" t="n">
        <x:v>160</x:v>
      </x:c>
      <x:c r="E13" s="13"/>
      <x:c r="F13" s="11" t="n">
        <x:v>12</x:v>
      </x:c>
      <x:c r="G13" s="13"/>
      <x:c r="H13" s="11" t="n">
        <x:v>12</x:v>
      </x:c>
      <x:c r="I13" s="13"/>
      <x:c r="J13" s="11" t="str">
        <x:f>IF(COUNT(C13,E13,G13,I13)&lt;4,"OPEN",IF(AND(C13=B13,E13=D13,G13=F13,I13=H13),"COMPLETE","DENY"))</x:f>
        <x:v>OPEN</x:v>
      </x:c>
    </x:row>
    <x:row r="14">
      <x:c r="A14" s="11" t="str">
        <x:v>EV-09</x:v>
      </x:c>
      <x:c r="B14" s="11" t="n">
        <x:v>144</x:v>
      </x:c>
      <x:c r="C14" s="13"/>
      <x:c r="D14" s="11" t="n">
        <x:v>160</x:v>
      </x:c>
      <x:c r="E14" s="13"/>
      <x:c r="F14" s="11" t="n">
        <x:v>12</x:v>
      </x:c>
      <x:c r="G14" s="13"/>
      <x:c r="H14" s="11" t="n">
        <x:v>12</x:v>
      </x:c>
      <x:c r="I14" s="13"/>
      <x:c r="J14" s="11" t="str">
        <x:f>IF(COUNT(C14,E14,G14,I14)&lt;4,"OPEN",IF(AND(C14=B14,E14=D14,G14=F14,I14=H14),"COMPLETE","DENY"))</x:f>
        <x:v>OPEN</x:v>
      </x:c>
    </x:row>
    <x:row r="15">
      <x:c r="A15" s="11" t="str">
        <x:v>EV-10</x:v>
      </x:c>
      <x:c r="B15" s="11" t="n">
        <x:v>144</x:v>
      </x:c>
      <x:c r="C15" s="13"/>
      <x:c r="D15" s="11" t="n">
        <x:v>160</x:v>
      </x:c>
      <x:c r="E15" s="13"/>
      <x:c r="F15" s="11" t="n">
        <x:v>12</x:v>
      </x:c>
      <x:c r="G15" s="13"/>
      <x:c r="H15" s="11" t="n">
        <x:v>12</x:v>
      </x:c>
      <x:c r="I15" s="13"/>
      <x:c r="J15" s="11" t="str">
        <x:f>IF(COUNT(C15,E15,G15,I15)&lt;4,"OPEN",IF(AND(C15=B15,E15=D15,G15=F15,I15=H15),"COMPLETE","DENY"))</x:f>
        <x:v>OPEN</x:v>
      </x:c>
    </x:row>
    <x:row r="16">
      <x:c r="A16" s="11" t="str">
        <x:v>EV-11</x:v>
      </x:c>
      <x:c r="B16" s="11" t="n">
        <x:v>144</x:v>
      </x:c>
      <x:c r="C16" s="13"/>
      <x:c r="D16" s="11" t="n">
        <x:v>160</x:v>
      </x:c>
      <x:c r="E16" s="13"/>
      <x:c r="F16" s="11" t="n">
        <x:v>12</x:v>
      </x:c>
      <x:c r="G16" s="13"/>
      <x:c r="H16" s="11" t="n">
        <x:v>12</x:v>
      </x:c>
      <x:c r="I16" s="13"/>
      <x:c r="J16" s="11" t="str">
        <x:f>IF(COUNT(C16,E16,G16,I16)&lt;4,"OPEN",IF(AND(C16=B16,E16=D16,G16=F16,I16=H16),"COMPLETE","DENY"))</x:f>
        <x:v>OPEN</x:v>
      </x:c>
    </x:row>
    <x:row r="17">
      <x:c r="A17" s="11" t="str">
        <x:v>EV-12</x:v>
      </x:c>
      <x:c r="B17" s="11" t="n">
        <x:v>144</x:v>
      </x:c>
      <x:c r="C17" s="13"/>
      <x:c r="D17" s="11" t="n">
        <x:v>160</x:v>
      </x:c>
      <x:c r="E17" s="13"/>
      <x:c r="F17" s="11" t="n">
        <x:v>12</x:v>
      </x:c>
      <x:c r="G17" s="13"/>
      <x:c r="H17" s="11" t="n">
        <x:v>12</x:v>
      </x:c>
      <x:c r="I17" s="13"/>
      <x:c r="J17" s="11" t="str">
        <x:f>IF(COUNT(C17,E17,G17,I17)&lt;4,"OPEN",IF(AND(C17=B17,E17=D17,G17=F17,I17=H17),"COMPLETE","DENY"))</x:f>
        <x:v>OPEN</x:v>
      </x:c>
    </x:row>
    <x:row r="18">
      <x:c r="A18" s="11" t="str">
        <x:v>EV-13</x:v>
      </x:c>
      <x:c r="B18" s="11" t="n">
        <x:v>144</x:v>
      </x:c>
      <x:c r="C18" s="13"/>
      <x:c r="D18" s="11" t="n">
        <x:v>160</x:v>
      </x:c>
      <x:c r="E18" s="13"/>
      <x:c r="F18" s="11" t="n">
        <x:v>12</x:v>
      </x:c>
      <x:c r="G18" s="13"/>
      <x:c r="H18" s="11" t="n">
        <x:v>12</x:v>
      </x:c>
      <x:c r="I18" s="13"/>
      <x:c r="J18" s="11" t="str">
        <x:f>IF(COUNT(C18,E18,G18,I18)&lt;4,"OPEN",IF(AND(C18=B18,E18=D18,G18=F18,I18=H18),"COMPLETE","DENY"))</x:f>
        <x:v>OPEN</x:v>
      </x:c>
    </x:row>
    <x:row r="19">
      <x:c r="A19" s="11" t="str">
        <x:v>EV-14</x:v>
      </x:c>
      <x:c r="B19" s="11" t="n">
        <x:v>144</x:v>
      </x:c>
      <x:c r="C19" s="13"/>
      <x:c r="D19" s="11" t="n">
        <x:v>160</x:v>
      </x:c>
      <x:c r="E19" s="13"/>
      <x:c r="F19" s="11" t="n">
        <x:v>12</x:v>
      </x:c>
      <x:c r="G19" s="13"/>
      <x:c r="H19" s="11" t="n">
        <x:v>12</x:v>
      </x:c>
      <x:c r="I19" s="13"/>
      <x:c r="J19" s="11" t="str">
        <x:f>IF(COUNT(C19,E19,G19,I19)&lt;4,"OPEN",IF(AND(C19=B19,E19=D19,G19=F19,I19=H19),"COMPLETE","DENY"))</x:f>
        <x:v>OPEN</x:v>
      </x:c>
    </x:row>
    <x:row r="20">
      <x:c r="A20" s="11" t="str">
        <x:v>EV-15</x:v>
      </x:c>
      <x:c r="B20" s="11" t="n">
        <x:v>144</x:v>
      </x:c>
      <x:c r="C20" s="13"/>
      <x:c r="D20" s="11" t="n">
        <x:v>160</x:v>
      </x:c>
      <x:c r="E20" s="13"/>
      <x:c r="F20" s="11" t="n">
        <x:v>12</x:v>
      </x:c>
      <x:c r="G20" s="13"/>
      <x:c r="H20" s="11" t="n">
        <x:v>12</x:v>
      </x:c>
      <x:c r="I20" s="13"/>
      <x:c r="J20" s="11" t="str">
        <x:f>IF(COUNT(C20,E20,G20,I20)&lt;4,"OPEN",IF(AND(C20=B20,E20=D20,G20=F20,I20=H20),"COMPLETE","DENY"))</x:f>
        <x:v>OPEN</x:v>
      </x:c>
    </x:row>
    <x:row r="21">
      <x:c r="A21" s="11" t="str">
        <x:v>EV-16</x:v>
      </x:c>
      <x:c r="B21" s="11" t="n">
        <x:v>144</x:v>
      </x:c>
      <x:c r="C21" s="13"/>
      <x:c r="D21" s="11" t="n">
        <x:v>160</x:v>
      </x:c>
      <x:c r="E21" s="13"/>
      <x:c r="F21" s="11" t="n">
        <x:v>12</x:v>
      </x:c>
      <x:c r="G21" s="13"/>
      <x:c r="H21" s="11" t="n">
        <x:v>12</x:v>
      </x:c>
      <x:c r="I21" s="13"/>
      <x:c r="J21" s="11" t="str">
        <x:f>IF(COUNT(C21,E21,G21,I21)&lt;4,"OPEN",IF(AND(C21=B21,E21=D21,G21=F21,I21=H21),"COMPLETE","DENY"))</x:f>
        <x:v>OPEN</x:v>
      </x:c>
    </x:row>
  </x:sheetData>
  <x:mergeCells>
    <x:mergeCell ref="A2:J2"/>
  </x:mergeCells>
  <x:conditionalFormatting sqref="J6:J21">
    <x:cfRule type="containsText" dxfId="36" priority="1" operator="containsText" text="DENY"/>
    <x:cfRule type="containsText" dxfId="37" priority="2" operator="containsText" text="ADVERSE"/>
    <x:cfRule type="containsText" dxfId="38" priority="3" operator="containsText" text="FAIL"/>
    <x:cfRule type="containsText" dxfId="39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174ee3eb330742c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6" hidden="0" customWidth="1"/>
    <x:col min="5" max="5" width="18" hidden="0" customWidth="1"/>
    <x:col min="6" max="6" width="14" hidden="0" customWidth="1"/>
  </x:cols>
  <x:sheetData>
    <x:row r="2" ht="26" customHeight="1">
      <x:c r="A2" s="18" t="str">
        <x:v>One hundred sixty reference channels</x:v>
      </x:c>
      <x:c r="B2" s="18" t="str">
        <x:v>One hundred sixty reference channels</x:v>
      </x:c>
      <x:c r="C2" s="18" t="str">
        <x:v>One hundred sixty reference channels</x:v>
      </x:c>
      <x:c r="D2" s="18" t="str">
        <x:v>One hundred sixty reference channels</x:v>
      </x:c>
      <x:c r="E2" s="18" t="str">
        <x:v>One hundred sixty reference channels</x:v>
      </x:c>
      <x:c r="F2" s="18" t="str">
        <x:v>One hundred sixty reference channels</x:v>
      </x:c>
    </x:row>
    <x:row r="3">
      <x:c r="A3" s="19"/>
      <x:c r="B3" s="19"/>
      <x:c r="C3" s="19"/>
      <x:c r="D3" s="19"/>
      <x:c r="E3" s="19"/>
      <x:c r="F3" s="19"/>
    </x:row>
    <x:row r="4">
      <x:c r="A4" s="20"/>
      <x:c r="B4" s="20"/>
      <x:c r="C4" s="20"/>
      <x:c r="D4" s="20"/>
      <x:c r="E4" s="20"/>
      <x:c r="F4" s="20"/>
    </x:row>
    <x:row r="5">
      <x:c r="A5" s="9" t="str">
        <x:v>Channel</x:v>
      </x:c>
      <x:c r="B5" s="9" t="str">
        <x:v>Domain</x:v>
      </x:c>
      <x:c r="C5" s="9" t="str">
        <x:v>Root</x:v>
      </x:c>
      <x:c r="D5" s="9" t="str">
        <x:v>Rate class</x:v>
      </x:c>
      <x:c r="E5" s="9" t="str">
        <x:v>Calibration</x:v>
      </x:c>
      <x:c r="F5" s="9" t="str">
        <x:v>State</x:v>
      </x:c>
    </x:row>
    <x:row r="6">
      <x:c r="A6" s="11" t="str">
        <x:v>CH-001</x:v>
      </x:c>
      <x:c r="B6" s="11" t="str">
        <x:v>source energy</x:v>
      </x:c>
      <x:c r="C6" s="11" t="str">
        <x:v>TR-A</x:v>
      </x:c>
      <x:c r="D6" s="11" t="str">
        <x:v>STANDARD</x:v>
      </x:c>
      <x:c r="E6" s="13"/>
      <x:c r="F6" s="11" t="str">
        <x:f>IF(E6="","OPEN",IF(E6="ACCEPTED","CURRENT","DENY"))</x:f>
        <x:v>OPEN</x:v>
      </x:c>
    </x:row>
    <x:row r="7">
      <x:c r="A7" s="11" t="str">
        <x:v>CH-002</x:v>
      </x:c>
      <x:c r="B7" s="11" t="str">
        <x:v>source energy</x:v>
      </x:c>
      <x:c r="C7" s="11" t="str">
        <x:v>TR-B</x:v>
      </x:c>
      <x:c r="D7" s="11" t="str">
        <x:v>STANDARD</x:v>
      </x:c>
      <x:c r="E7" s="13"/>
      <x:c r="F7" s="11" t="str">
        <x:f>IF(E7="","OPEN",IF(E7="ACCEPTED","CURRENT","DENY"))</x:f>
        <x:v>OPEN</x:v>
      </x:c>
    </x:row>
    <x:row r="8">
      <x:c r="A8" s="11" t="str">
        <x:v>CH-003</x:v>
      </x:c>
      <x:c r="B8" s="11" t="str">
        <x:v>source energy</x:v>
      </x:c>
      <x:c r="C8" s="11" t="str">
        <x:v>TR-A</x:v>
      </x:c>
      <x:c r="D8" s="11" t="str">
        <x:v>STANDARD</x:v>
      </x:c>
      <x:c r="E8" s="13"/>
      <x:c r="F8" s="11" t="str">
        <x:f>IF(E8="","OPEN",IF(E8="ACCEPTED","CURRENT","DENY"))</x:f>
        <x:v>OPEN</x:v>
      </x:c>
    </x:row>
    <x:row r="9">
      <x:c r="A9" s="11" t="str">
        <x:v>CH-004</x:v>
      </x:c>
      <x:c r="B9" s="11" t="str">
        <x:v>source energy</x:v>
      </x:c>
      <x:c r="C9" s="11" t="str">
        <x:v>TR-B</x:v>
      </x:c>
      <x:c r="D9" s="11" t="str">
        <x:v>STANDARD</x:v>
      </x:c>
      <x:c r="E9" s="13"/>
      <x:c r="F9" s="11" t="str">
        <x:f>IF(E9="","OPEN",IF(E9="ACCEPTED","CURRENT","DENY"))</x:f>
        <x:v>OPEN</x:v>
      </x:c>
    </x:row>
    <x:row r="10">
      <x:c r="A10" s="11" t="str">
        <x:v>CH-005</x:v>
      </x:c>
      <x:c r="B10" s="11" t="str">
        <x:v>source energy</x:v>
      </x:c>
      <x:c r="C10" s="11" t="str">
        <x:v>TR-A</x:v>
      </x:c>
      <x:c r="D10" s="11" t="str">
        <x:v>STANDARD</x:v>
      </x:c>
      <x:c r="E10" s="13"/>
      <x:c r="F10" s="11" t="str">
        <x:f>IF(E10="","OPEN",IF(E10="ACCEPTED","CURRENT","DENY"))</x:f>
        <x:v>OPEN</x:v>
      </x:c>
    </x:row>
    <x:row r="11">
      <x:c r="A11" s="11" t="str">
        <x:v>CH-006</x:v>
      </x:c>
      <x:c r="B11" s="11" t="str">
        <x:v>source energy</x:v>
      </x:c>
      <x:c r="C11" s="11" t="str">
        <x:v>TR-B</x:v>
      </x:c>
      <x:c r="D11" s="11" t="str">
        <x:v>STANDARD</x:v>
      </x:c>
      <x:c r="E11" s="13"/>
      <x:c r="F11" s="11" t="str">
        <x:f>IF(E11="","OPEN",IF(E11="ACCEPTED","CURRENT","DENY"))</x:f>
        <x:v>OPEN</x:v>
      </x:c>
    </x:row>
    <x:row r="12">
      <x:c r="A12" s="11" t="str">
        <x:v>CH-007</x:v>
      </x:c>
      <x:c r="B12" s="11" t="str">
        <x:v>source energy</x:v>
      </x:c>
      <x:c r="C12" s="11" t="str">
        <x:v>TR-A</x:v>
      </x:c>
      <x:c r="D12" s="11" t="str">
        <x:v>STANDARD</x:v>
      </x:c>
      <x:c r="E12" s="13"/>
      <x:c r="F12" s="11" t="str">
        <x:f>IF(E12="","OPEN",IF(E12="ACCEPTED","CURRENT","DENY"))</x:f>
        <x:v>OPEN</x:v>
      </x:c>
    </x:row>
    <x:row r="13">
      <x:c r="A13" s="11" t="str">
        <x:v>CH-008</x:v>
      </x:c>
      <x:c r="B13" s="11" t="str">
        <x:v>source energy</x:v>
      </x:c>
      <x:c r="C13" s="11" t="str">
        <x:v>TR-B</x:v>
      </x:c>
      <x:c r="D13" s="11" t="str">
        <x:v>STANDARD</x:v>
      </x:c>
      <x:c r="E13" s="13"/>
      <x:c r="F13" s="11" t="str">
        <x:f>IF(E13="","OPEN",IF(E13="ACCEPTED","CURRENT","DENY"))</x:f>
        <x:v>OPEN</x:v>
      </x:c>
    </x:row>
    <x:row r="14">
      <x:c r="A14" s="11" t="str">
        <x:v>CH-009</x:v>
      </x:c>
      <x:c r="B14" s="11" t="str">
        <x:v>source energy</x:v>
      </x:c>
      <x:c r="C14" s="11" t="str">
        <x:v>TR-A</x:v>
      </x:c>
      <x:c r="D14" s="11" t="str">
        <x:v>STANDARD</x:v>
      </x:c>
      <x:c r="E14" s="13"/>
      <x:c r="F14" s="11" t="str">
        <x:f>IF(E14="","OPEN",IF(E14="ACCEPTED","CURRENT","DENY"))</x:f>
        <x:v>OPEN</x:v>
      </x:c>
    </x:row>
    <x:row r="15">
      <x:c r="A15" s="11" t="str">
        <x:v>CH-010</x:v>
      </x:c>
      <x:c r="B15" s="11" t="str">
        <x:v>source energy</x:v>
      </x:c>
      <x:c r="C15" s="11" t="str">
        <x:v>TR-B</x:v>
      </x:c>
      <x:c r="D15" s="11" t="str">
        <x:v>STANDARD</x:v>
      </x:c>
      <x:c r="E15" s="13"/>
      <x:c r="F15" s="11" t="str">
        <x:f>IF(E15="","OPEN",IF(E15="ACCEPTED","CURRENT","DENY"))</x:f>
        <x:v>OPEN</x:v>
      </x:c>
    </x:row>
    <x:row r="16">
      <x:c r="A16" s="11" t="str">
        <x:v>CH-011</x:v>
      </x:c>
      <x:c r="B16" s="11" t="str">
        <x:v>source energy</x:v>
      </x:c>
      <x:c r="C16" s="11" t="str">
        <x:v>TR-A</x:v>
      </x:c>
      <x:c r="D16" s="11" t="str">
        <x:v>STANDARD</x:v>
      </x:c>
      <x:c r="E16" s="13"/>
      <x:c r="F16" s="11" t="str">
        <x:f>IF(E16="","OPEN",IF(E16="ACCEPTED","CURRENT","DENY"))</x:f>
        <x:v>OPEN</x:v>
      </x:c>
    </x:row>
    <x:row r="17">
      <x:c r="A17" s="11" t="str">
        <x:v>CH-012</x:v>
      </x:c>
      <x:c r="B17" s="11" t="str">
        <x:v>source energy</x:v>
      </x:c>
      <x:c r="C17" s="11" t="str">
        <x:v>TR-B</x:v>
      </x:c>
      <x:c r="D17" s="11" t="str">
        <x:v>STANDARD</x:v>
      </x:c>
      <x:c r="E17" s="13"/>
      <x:c r="F17" s="11" t="str">
        <x:f>IF(E17="","OPEN",IF(E17="ACCEPTED","CURRENT","DENY"))</x:f>
        <x:v>OPEN</x:v>
      </x:c>
    </x:row>
    <x:row r="18">
      <x:c r="A18" s="11" t="str">
        <x:v>CH-013</x:v>
      </x:c>
      <x:c r="B18" s="11" t="str">
        <x:v>source energy</x:v>
      </x:c>
      <x:c r="C18" s="11" t="str">
        <x:v>TR-A</x:v>
      </x:c>
      <x:c r="D18" s="11" t="str">
        <x:v>STANDARD</x:v>
      </x:c>
      <x:c r="E18" s="13"/>
      <x:c r="F18" s="11" t="str">
        <x:f>IF(E18="","OPEN",IF(E18="ACCEPTED","CURRENT","DENY"))</x:f>
        <x:v>OPEN</x:v>
      </x:c>
    </x:row>
    <x:row r="19">
      <x:c r="A19" s="11" t="str">
        <x:v>CH-014</x:v>
      </x:c>
      <x:c r="B19" s="11" t="str">
        <x:v>source energy</x:v>
      </x:c>
      <x:c r="C19" s="11" t="str">
        <x:v>TR-B</x:v>
      </x:c>
      <x:c r="D19" s="11" t="str">
        <x:v>STANDARD</x:v>
      </x:c>
      <x:c r="E19" s="13"/>
      <x:c r="F19" s="11" t="str">
        <x:f>IF(E19="","OPEN",IF(E19="ACCEPTED","CURRENT","DENY"))</x:f>
        <x:v>OPEN</x:v>
      </x:c>
    </x:row>
    <x:row r="20">
      <x:c r="A20" s="11" t="str">
        <x:v>CH-015</x:v>
      </x:c>
      <x:c r="B20" s="11" t="str">
        <x:v>source energy</x:v>
      </x:c>
      <x:c r="C20" s="11" t="str">
        <x:v>TR-A</x:v>
      </x:c>
      <x:c r="D20" s="11" t="str">
        <x:v>STANDARD</x:v>
      </x:c>
      <x:c r="E20" s="13"/>
      <x:c r="F20" s="11" t="str">
        <x:f>IF(E20="","OPEN",IF(E20="ACCEPTED","CURRENT","DENY"))</x:f>
        <x:v>OPEN</x:v>
      </x:c>
    </x:row>
    <x:row r="21">
      <x:c r="A21" s="11" t="str">
        <x:v>CH-016</x:v>
      </x:c>
      <x:c r="B21" s="11" t="str">
        <x:v>source energy</x:v>
      </x:c>
      <x:c r="C21" s="11" t="str">
        <x:v>TR-B</x:v>
      </x:c>
      <x:c r="D21" s="11" t="str">
        <x:v>STANDARD</x:v>
      </x:c>
      <x:c r="E21" s="13"/>
      <x:c r="F21" s="11" t="str">
        <x:f>IF(E21="","OPEN",IF(E21="ACCEPTED","CURRENT","DENY"))</x:f>
        <x:v>OPEN</x:v>
      </x:c>
    </x:row>
    <x:row r="22">
      <x:c r="A22" s="11" t="str">
        <x:v>CH-017</x:v>
      </x:c>
      <x:c r="B22" s="11" t="str">
        <x:v>source energy</x:v>
      </x:c>
      <x:c r="C22" s="11" t="str">
        <x:v>TR-A</x:v>
      </x:c>
      <x:c r="D22" s="11" t="str">
        <x:v>STANDARD</x:v>
      </x:c>
      <x:c r="E22" s="13"/>
      <x:c r="F22" s="11" t="str">
        <x:f>IF(E22="","OPEN",IF(E22="ACCEPTED","CURRENT","DENY"))</x:f>
        <x:v>OPEN</x:v>
      </x:c>
    </x:row>
    <x:row r="23">
      <x:c r="A23" s="11" t="str">
        <x:v>CH-018</x:v>
      </x:c>
      <x:c r="B23" s="11" t="str">
        <x:v>source energy</x:v>
      </x:c>
      <x:c r="C23" s="11" t="str">
        <x:v>TR-B</x:v>
      </x:c>
      <x:c r="D23" s="11" t="str">
        <x:v>STANDARD</x:v>
      </x:c>
      <x:c r="E23" s="13"/>
      <x:c r="F23" s="11" t="str">
        <x:f>IF(E23="","OPEN",IF(E23="ACCEPTED","CURRENT","DENY"))</x:f>
        <x:v>OPEN</x:v>
      </x:c>
    </x:row>
    <x:row r="24">
      <x:c r="A24" s="11" t="str">
        <x:v>CH-019</x:v>
      </x:c>
      <x:c r="B24" s="11" t="str">
        <x:v>source energy</x:v>
      </x:c>
      <x:c r="C24" s="11" t="str">
        <x:v>TR-A</x:v>
      </x:c>
      <x:c r="D24" s="11" t="str">
        <x:v>STANDARD</x:v>
      </x:c>
      <x:c r="E24" s="13"/>
      <x:c r="F24" s="11" t="str">
        <x:f>IF(E24="","OPEN",IF(E24="ACCEPTED","CURRENT","DENY"))</x:f>
        <x:v>OPEN</x:v>
      </x:c>
    </x:row>
    <x:row r="25">
      <x:c r="A25" s="11" t="str">
        <x:v>CH-020</x:v>
      </x:c>
      <x:c r="B25" s="11" t="str">
        <x:v>source energy</x:v>
      </x:c>
      <x:c r="C25" s="11" t="str">
        <x:v>TR-B</x:v>
      </x:c>
      <x:c r="D25" s="11" t="str">
        <x:v>STANDARD</x:v>
      </x:c>
      <x:c r="E25" s="13"/>
      <x:c r="F25" s="11" t="str">
        <x:f>IF(E25="","OPEN",IF(E25="ACCEPTED","CURRENT","DENY"))</x:f>
        <x:v>OPEN</x:v>
      </x:c>
    </x:row>
    <x:row r="26">
      <x:c r="A26" s="11" t="str">
        <x:v>CH-021</x:v>
      </x:c>
      <x:c r="B26" s="11" t="str">
        <x:v>source energy</x:v>
      </x:c>
      <x:c r="C26" s="11" t="str">
        <x:v>TR-A</x:v>
      </x:c>
      <x:c r="D26" s="11" t="str">
        <x:v>STANDARD</x:v>
      </x:c>
      <x:c r="E26" s="13"/>
      <x:c r="F26" s="11" t="str">
        <x:f>IF(E26="","OPEN",IF(E26="ACCEPTED","CURRENT","DENY"))</x:f>
        <x:v>OPEN</x:v>
      </x:c>
    </x:row>
    <x:row r="27">
      <x:c r="A27" s="11" t="str">
        <x:v>CH-022</x:v>
      </x:c>
      <x:c r="B27" s="11" t="str">
        <x:v>source energy</x:v>
      </x:c>
      <x:c r="C27" s="11" t="str">
        <x:v>TR-B</x:v>
      </x:c>
      <x:c r="D27" s="11" t="str">
        <x:v>STANDARD</x:v>
      </x:c>
      <x:c r="E27" s="13"/>
      <x:c r="F27" s="11" t="str">
        <x:f>IF(E27="","OPEN",IF(E27="ACCEPTED","CURRENT","DENY"))</x:f>
        <x:v>OPEN</x:v>
      </x:c>
    </x:row>
    <x:row r="28">
      <x:c r="A28" s="11" t="str">
        <x:v>CH-023</x:v>
      </x:c>
      <x:c r="B28" s="11" t="str">
        <x:v>source energy</x:v>
      </x:c>
      <x:c r="C28" s="11" t="str">
        <x:v>TR-A</x:v>
      </x:c>
      <x:c r="D28" s="11" t="str">
        <x:v>STANDARD</x:v>
      </x:c>
      <x:c r="E28" s="13"/>
      <x:c r="F28" s="11" t="str">
        <x:f>IF(E28="","OPEN",IF(E28="ACCEPTED","CURRENT","DENY"))</x:f>
        <x:v>OPEN</x:v>
      </x:c>
    </x:row>
    <x:row r="29">
      <x:c r="A29" s="11" t="str">
        <x:v>CH-024</x:v>
      </x:c>
      <x:c r="B29" s="11" t="str">
        <x:v>source energy</x:v>
      </x:c>
      <x:c r="C29" s="11" t="str">
        <x:v>TR-B</x:v>
      </x:c>
      <x:c r="D29" s="11" t="str">
        <x:v>STANDARD</x:v>
      </x:c>
      <x:c r="E29" s="13"/>
      <x:c r="F29" s="11" t="str">
        <x:f>IF(E29="","OPEN",IF(E29="ACCEPTED","CURRENT","DENY"))</x:f>
        <x:v>OPEN</x:v>
      </x:c>
    </x:row>
    <x:row r="30">
      <x:c r="A30" s="11" t="str">
        <x:v>CH-025</x:v>
      </x:c>
      <x:c r="B30" s="11" t="str">
        <x:v>source energy</x:v>
      </x:c>
      <x:c r="C30" s="11" t="str">
        <x:v>TR-A</x:v>
      </x:c>
      <x:c r="D30" s="11" t="str">
        <x:v>STANDARD</x:v>
      </x:c>
      <x:c r="E30" s="13"/>
      <x:c r="F30" s="11" t="str">
        <x:f>IF(E30="","OPEN",IF(E30="ACCEPTED","CURRENT","DENY"))</x:f>
        <x:v>OPEN</x:v>
      </x:c>
    </x:row>
    <x:row r="31">
      <x:c r="A31" s="11" t="str">
        <x:v>CH-026</x:v>
      </x:c>
      <x:c r="B31" s="11" t="str">
        <x:v>source energy</x:v>
      </x:c>
      <x:c r="C31" s="11" t="str">
        <x:v>TR-B</x:v>
      </x:c>
      <x:c r="D31" s="11" t="str">
        <x:v>STANDARD</x:v>
      </x:c>
      <x:c r="E31" s="13"/>
      <x:c r="F31" s="11" t="str">
        <x:f>IF(E31="","OPEN",IF(E31="ACCEPTED","CURRENT","DENY"))</x:f>
        <x:v>OPEN</x:v>
      </x:c>
    </x:row>
    <x:row r="32">
      <x:c r="A32" s="11" t="str">
        <x:v>CH-027</x:v>
      </x:c>
      <x:c r="B32" s="11" t="str">
        <x:v>source energy</x:v>
      </x:c>
      <x:c r="C32" s="11" t="str">
        <x:v>TR-A</x:v>
      </x:c>
      <x:c r="D32" s="11" t="str">
        <x:v>STANDARD</x:v>
      </x:c>
      <x:c r="E32" s="13"/>
      <x:c r="F32" s="11" t="str">
        <x:f>IF(E32="","OPEN",IF(E32="ACCEPTED","CURRENT","DENY"))</x:f>
        <x:v>OPEN</x:v>
      </x:c>
    </x:row>
    <x:row r="33">
      <x:c r="A33" s="11" t="str">
        <x:v>CH-028</x:v>
      </x:c>
      <x:c r="B33" s="11" t="str">
        <x:v>source energy</x:v>
      </x:c>
      <x:c r="C33" s="11" t="str">
        <x:v>TR-B</x:v>
      </x:c>
      <x:c r="D33" s="11" t="str">
        <x:v>STANDARD</x:v>
      </x:c>
      <x:c r="E33" s="13"/>
      <x:c r="F33" s="11" t="str">
        <x:f>IF(E33="","OPEN",IF(E33="ACCEPTED","CURRENT","DENY"))</x:f>
        <x:v>OPEN</x:v>
      </x:c>
    </x:row>
    <x:row r="34">
      <x:c r="A34" s="11" t="str">
        <x:v>CH-029</x:v>
      </x:c>
      <x:c r="B34" s="11" t="str">
        <x:v>source energy</x:v>
      </x:c>
      <x:c r="C34" s="11" t="str">
        <x:v>TR-A</x:v>
      </x:c>
      <x:c r="D34" s="11" t="str">
        <x:v>STANDARD</x:v>
      </x:c>
      <x:c r="E34" s="13"/>
      <x:c r="F34" s="11" t="str">
        <x:f>IF(E34="","OPEN",IF(E34="ACCEPTED","CURRENT","DENY"))</x:f>
        <x:v>OPEN</x:v>
      </x:c>
    </x:row>
    <x:row r="35">
      <x:c r="A35" s="11" t="str">
        <x:v>CH-030</x:v>
      </x:c>
      <x:c r="B35" s="11" t="str">
        <x:v>source energy</x:v>
      </x:c>
      <x:c r="C35" s="11" t="str">
        <x:v>TR-B</x:v>
      </x:c>
      <x:c r="D35" s="11" t="str">
        <x:v>STANDARD</x:v>
      </x:c>
      <x:c r="E35" s="13"/>
      <x:c r="F35" s="11" t="str">
        <x:f>IF(E35="","OPEN",IF(E35="ACCEPTED","CURRENT","DENY"))</x:f>
        <x:v>OPEN</x:v>
      </x:c>
    </x:row>
    <x:row r="36">
      <x:c r="A36" s="11" t="str">
        <x:v>CH-031</x:v>
      </x:c>
      <x:c r="B36" s="11" t="str">
        <x:v>source energy</x:v>
      </x:c>
      <x:c r="C36" s="11" t="str">
        <x:v>TR-A</x:v>
      </x:c>
      <x:c r="D36" s="11" t="str">
        <x:v>STANDARD</x:v>
      </x:c>
      <x:c r="E36" s="13"/>
      <x:c r="F36" s="11" t="str">
        <x:f>IF(E36="","OPEN",IF(E36="ACCEPTED","CURRENT","DENY"))</x:f>
        <x:v>OPEN</x:v>
      </x:c>
    </x:row>
    <x:row r="37">
      <x:c r="A37" s="11" t="str">
        <x:v>CH-032</x:v>
      </x:c>
      <x:c r="B37" s="11" t="str">
        <x:v>source energy</x:v>
      </x:c>
      <x:c r="C37" s="11" t="str">
        <x:v>TR-B</x:v>
      </x:c>
      <x:c r="D37" s="11" t="str">
        <x:v>STANDARD</x:v>
      </x:c>
      <x:c r="E37" s="13"/>
      <x:c r="F37" s="11" t="str">
        <x:f>IF(E37="","OPEN",IF(E37="ACCEPTED","CURRENT","DENY"))</x:f>
        <x:v>OPEN</x:v>
      </x:c>
    </x:row>
    <x:row r="38">
      <x:c r="A38" s="11" t="str">
        <x:v>CH-033</x:v>
      </x:c>
      <x:c r="B38" s="11" t="str">
        <x:v>delivered energy</x:v>
      </x:c>
      <x:c r="C38" s="11" t="str">
        <x:v>TR-A</x:v>
      </x:c>
      <x:c r="D38" s="11" t="str">
        <x:v>STANDARD</x:v>
      </x:c>
      <x:c r="E38" s="13"/>
      <x:c r="F38" s="11" t="str">
        <x:f>IF(E38="","OPEN",IF(E38="ACCEPTED","CURRENT","DENY"))</x:f>
        <x:v>OPEN</x:v>
      </x:c>
    </x:row>
    <x:row r="39">
      <x:c r="A39" s="11" t="str">
        <x:v>CH-034</x:v>
      </x:c>
      <x:c r="B39" s="11" t="str">
        <x:v>delivered energy</x:v>
      </x:c>
      <x:c r="C39" s="11" t="str">
        <x:v>TR-B</x:v>
      </x:c>
      <x:c r="D39" s="11" t="str">
        <x:v>STANDARD</x:v>
      </x:c>
      <x:c r="E39" s="13"/>
      <x:c r="F39" s="11" t="str">
        <x:f>IF(E39="","OPEN",IF(E39="ACCEPTED","CURRENT","DENY"))</x:f>
        <x:v>OPEN</x:v>
      </x:c>
    </x:row>
    <x:row r="40">
      <x:c r="A40" s="11" t="str">
        <x:v>CH-035</x:v>
      </x:c>
      <x:c r="B40" s="11" t="str">
        <x:v>delivered energy</x:v>
      </x:c>
      <x:c r="C40" s="11" t="str">
        <x:v>TR-A</x:v>
      </x:c>
      <x:c r="D40" s="11" t="str">
        <x:v>STANDARD</x:v>
      </x:c>
      <x:c r="E40" s="13"/>
      <x:c r="F40" s="11" t="str">
        <x:f>IF(E40="","OPEN",IF(E40="ACCEPTED","CURRENT","DENY"))</x:f>
        <x:v>OPEN</x:v>
      </x:c>
    </x:row>
    <x:row r="41">
      <x:c r="A41" s="11" t="str">
        <x:v>CH-036</x:v>
      </x:c>
      <x:c r="B41" s="11" t="str">
        <x:v>delivered energy</x:v>
      </x:c>
      <x:c r="C41" s="11" t="str">
        <x:v>TR-B</x:v>
      </x:c>
      <x:c r="D41" s="11" t="str">
        <x:v>STANDARD</x:v>
      </x:c>
      <x:c r="E41" s="13"/>
      <x:c r="F41" s="11" t="str">
        <x:f>IF(E41="","OPEN",IF(E41="ACCEPTED","CURRENT","DENY"))</x:f>
        <x:v>OPEN</x:v>
      </x:c>
    </x:row>
    <x:row r="42">
      <x:c r="A42" s="11" t="str">
        <x:v>CH-037</x:v>
      </x:c>
      <x:c r="B42" s="11" t="str">
        <x:v>delivered energy</x:v>
      </x:c>
      <x:c r="C42" s="11" t="str">
        <x:v>TR-A</x:v>
      </x:c>
      <x:c r="D42" s="11" t="str">
        <x:v>STANDARD</x:v>
      </x:c>
      <x:c r="E42" s="13"/>
      <x:c r="F42" s="11" t="str">
        <x:f>IF(E42="","OPEN",IF(E42="ACCEPTED","CURRENT","DENY"))</x:f>
        <x:v>OPEN</x:v>
      </x:c>
    </x:row>
    <x:row r="43">
      <x:c r="A43" s="11" t="str">
        <x:v>CH-038</x:v>
      </x:c>
      <x:c r="B43" s="11" t="str">
        <x:v>delivered energy</x:v>
      </x:c>
      <x:c r="C43" s="11" t="str">
        <x:v>TR-B</x:v>
      </x:c>
      <x:c r="D43" s="11" t="str">
        <x:v>STANDARD</x:v>
      </x:c>
      <x:c r="E43" s="13"/>
      <x:c r="F43" s="11" t="str">
        <x:f>IF(E43="","OPEN",IF(E43="ACCEPTED","CURRENT","DENY"))</x:f>
        <x:v>OPEN</x:v>
      </x:c>
    </x:row>
    <x:row r="44">
      <x:c r="A44" s="11" t="str">
        <x:v>CH-039</x:v>
      </x:c>
      <x:c r="B44" s="11" t="str">
        <x:v>delivered energy</x:v>
      </x:c>
      <x:c r="C44" s="11" t="str">
        <x:v>TR-A</x:v>
      </x:c>
      <x:c r="D44" s="11" t="str">
        <x:v>STANDARD</x:v>
      </x:c>
      <x:c r="E44" s="13"/>
      <x:c r="F44" s="11" t="str">
        <x:f>IF(E44="","OPEN",IF(E44="ACCEPTED","CURRENT","DENY"))</x:f>
        <x:v>OPEN</x:v>
      </x:c>
    </x:row>
    <x:row r="45">
      <x:c r="A45" s="11" t="str">
        <x:v>CH-040</x:v>
      </x:c>
      <x:c r="B45" s="11" t="str">
        <x:v>delivered energy</x:v>
      </x:c>
      <x:c r="C45" s="11" t="str">
        <x:v>TR-B</x:v>
      </x:c>
      <x:c r="D45" s="11" t="str">
        <x:v>STANDARD</x:v>
      </x:c>
      <x:c r="E45" s="13"/>
      <x:c r="F45" s="11" t="str">
        <x:f>IF(E45="","OPEN",IF(E45="ACCEPTED","CURRENT","DENY"))</x:f>
        <x:v>OPEN</x:v>
      </x:c>
    </x:row>
    <x:row r="46">
      <x:c r="A46" s="11" t="str">
        <x:v>CH-041</x:v>
      </x:c>
      <x:c r="B46" s="11" t="str">
        <x:v>delivered energy</x:v>
      </x:c>
      <x:c r="C46" s="11" t="str">
        <x:v>TR-A</x:v>
      </x:c>
      <x:c r="D46" s="11" t="str">
        <x:v>STANDARD</x:v>
      </x:c>
      <x:c r="E46" s="13"/>
      <x:c r="F46" s="11" t="str">
        <x:f>IF(E46="","OPEN",IF(E46="ACCEPTED","CURRENT","DENY"))</x:f>
        <x:v>OPEN</x:v>
      </x:c>
    </x:row>
    <x:row r="47">
      <x:c r="A47" s="11" t="str">
        <x:v>CH-042</x:v>
      </x:c>
      <x:c r="B47" s="11" t="str">
        <x:v>delivered energy</x:v>
      </x:c>
      <x:c r="C47" s="11" t="str">
        <x:v>TR-B</x:v>
      </x:c>
      <x:c r="D47" s="11" t="str">
        <x:v>STANDARD</x:v>
      </x:c>
      <x:c r="E47" s="13"/>
      <x:c r="F47" s="11" t="str">
        <x:f>IF(E47="","OPEN",IF(E47="ACCEPTED","CURRENT","DENY"))</x:f>
        <x:v>OPEN</x:v>
      </x:c>
    </x:row>
    <x:row r="48">
      <x:c r="A48" s="11" t="str">
        <x:v>CH-043</x:v>
      </x:c>
      <x:c r="B48" s="11" t="str">
        <x:v>delivered energy</x:v>
      </x:c>
      <x:c r="C48" s="11" t="str">
        <x:v>TR-A</x:v>
      </x:c>
      <x:c r="D48" s="11" t="str">
        <x:v>STANDARD</x:v>
      </x:c>
      <x:c r="E48" s="13"/>
      <x:c r="F48" s="11" t="str">
        <x:f>IF(E48="","OPEN",IF(E48="ACCEPTED","CURRENT","DENY"))</x:f>
        <x:v>OPEN</x:v>
      </x:c>
    </x:row>
    <x:row r="49">
      <x:c r="A49" s="11" t="str">
        <x:v>CH-044</x:v>
      </x:c>
      <x:c r="B49" s="11" t="str">
        <x:v>delivered energy</x:v>
      </x:c>
      <x:c r="C49" s="11" t="str">
        <x:v>TR-B</x:v>
      </x:c>
      <x:c r="D49" s="11" t="str">
        <x:v>STANDARD</x:v>
      </x:c>
      <x:c r="E49" s="13"/>
      <x:c r="F49" s="11" t="str">
        <x:f>IF(E49="","OPEN",IF(E49="ACCEPTED","CURRENT","DENY"))</x:f>
        <x:v>OPEN</x:v>
      </x:c>
    </x:row>
    <x:row r="50">
      <x:c r="A50" s="11" t="str">
        <x:v>CH-045</x:v>
      </x:c>
      <x:c r="B50" s="11" t="str">
        <x:v>delivered energy</x:v>
      </x:c>
      <x:c r="C50" s="11" t="str">
        <x:v>TR-A</x:v>
      </x:c>
      <x:c r="D50" s="11" t="str">
        <x:v>STANDARD</x:v>
      </x:c>
      <x:c r="E50" s="13"/>
      <x:c r="F50" s="11" t="str">
        <x:f>IF(E50="","OPEN",IF(E50="ACCEPTED","CURRENT","DENY"))</x:f>
        <x:v>OPEN</x:v>
      </x:c>
    </x:row>
    <x:row r="51">
      <x:c r="A51" s="11" t="str">
        <x:v>CH-046</x:v>
      </x:c>
      <x:c r="B51" s="11" t="str">
        <x:v>delivered energy</x:v>
      </x:c>
      <x:c r="C51" s="11" t="str">
        <x:v>TR-B</x:v>
      </x:c>
      <x:c r="D51" s="11" t="str">
        <x:v>STANDARD</x:v>
      </x:c>
      <x:c r="E51" s="13"/>
      <x:c r="F51" s="11" t="str">
        <x:f>IF(E51="","OPEN",IF(E51="ACCEPTED","CURRENT","DENY"))</x:f>
        <x:v>OPEN</x:v>
      </x:c>
    </x:row>
    <x:row r="52">
      <x:c r="A52" s="11" t="str">
        <x:v>CH-047</x:v>
      </x:c>
      <x:c r="B52" s="11" t="str">
        <x:v>delivered energy</x:v>
      </x:c>
      <x:c r="C52" s="11" t="str">
        <x:v>TR-A</x:v>
      </x:c>
      <x:c r="D52" s="11" t="str">
        <x:v>STANDARD</x:v>
      </x:c>
      <x:c r="E52" s="13"/>
      <x:c r="F52" s="11" t="str">
        <x:f>IF(E52="","OPEN",IF(E52="ACCEPTED","CURRENT","DENY"))</x:f>
        <x:v>OPEN</x:v>
      </x:c>
    </x:row>
    <x:row r="53">
      <x:c r="A53" s="11" t="str">
        <x:v>CH-048</x:v>
      </x:c>
      <x:c r="B53" s="11" t="str">
        <x:v>delivered energy</x:v>
      </x:c>
      <x:c r="C53" s="11" t="str">
        <x:v>TR-B</x:v>
      </x:c>
      <x:c r="D53" s="11" t="str">
        <x:v>STANDARD</x:v>
      </x:c>
      <x:c r="E53" s="13"/>
      <x:c r="F53" s="11" t="str">
        <x:f>IF(E53="","OPEN",IF(E53="ACCEPTED","CURRENT","DENY"))</x:f>
        <x:v>OPEN</x:v>
      </x:c>
    </x:row>
    <x:row r="54">
      <x:c r="A54" s="11" t="str">
        <x:v>CH-049</x:v>
      </x:c>
      <x:c r="B54" s="11" t="str">
        <x:v>delivered energy</x:v>
      </x:c>
      <x:c r="C54" s="11" t="str">
        <x:v>TR-A</x:v>
      </x:c>
      <x:c r="D54" s="11" t="str">
        <x:v>STANDARD</x:v>
      </x:c>
      <x:c r="E54" s="13"/>
      <x:c r="F54" s="11" t="str">
        <x:f>IF(E54="","OPEN",IF(E54="ACCEPTED","CURRENT","DENY"))</x:f>
        <x:v>OPEN</x:v>
      </x:c>
    </x:row>
    <x:row r="55">
      <x:c r="A55" s="11" t="str">
        <x:v>CH-050</x:v>
      </x:c>
      <x:c r="B55" s="11" t="str">
        <x:v>delivered energy</x:v>
      </x:c>
      <x:c r="C55" s="11" t="str">
        <x:v>TR-B</x:v>
      </x:c>
      <x:c r="D55" s="11" t="str">
        <x:v>STANDARD</x:v>
      </x:c>
      <x:c r="E55" s="13"/>
      <x:c r="F55" s="11" t="str">
        <x:f>IF(E55="","OPEN",IF(E55="ACCEPTED","CURRENT","DENY"))</x:f>
        <x:v>OPEN</x:v>
      </x:c>
    </x:row>
    <x:row r="56">
      <x:c r="A56" s="11" t="str">
        <x:v>CH-051</x:v>
      </x:c>
      <x:c r="B56" s="11" t="str">
        <x:v>delivered energy</x:v>
      </x:c>
      <x:c r="C56" s="11" t="str">
        <x:v>TR-A</x:v>
      </x:c>
      <x:c r="D56" s="11" t="str">
        <x:v>STANDARD</x:v>
      </x:c>
      <x:c r="E56" s="13"/>
      <x:c r="F56" s="11" t="str">
        <x:f>IF(E56="","OPEN",IF(E56="ACCEPTED","CURRENT","DENY"))</x:f>
        <x:v>OPEN</x:v>
      </x:c>
    </x:row>
    <x:row r="57">
      <x:c r="A57" s="11" t="str">
        <x:v>CH-052</x:v>
      </x:c>
      <x:c r="B57" s="11" t="str">
        <x:v>delivered energy</x:v>
      </x:c>
      <x:c r="C57" s="11" t="str">
        <x:v>TR-B</x:v>
      </x:c>
      <x:c r="D57" s="11" t="str">
        <x:v>STANDARD</x:v>
      </x:c>
      <x:c r="E57" s="13"/>
      <x:c r="F57" s="11" t="str">
        <x:f>IF(E57="","OPEN",IF(E57="ACCEPTED","CURRENT","DENY"))</x:f>
        <x:v>OPEN</x:v>
      </x:c>
    </x:row>
    <x:row r="58">
      <x:c r="A58" s="11" t="str">
        <x:v>CH-053</x:v>
      </x:c>
      <x:c r="B58" s="11" t="str">
        <x:v>delivered energy</x:v>
      </x:c>
      <x:c r="C58" s="11" t="str">
        <x:v>TR-A</x:v>
      </x:c>
      <x:c r="D58" s="11" t="str">
        <x:v>STANDARD</x:v>
      </x:c>
      <x:c r="E58" s="13"/>
      <x:c r="F58" s="11" t="str">
        <x:f>IF(E58="","OPEN",IF(E58="ACCEPTED","CURRENT","DENY"))</x:f>
        <x:v>OPEN</x:v>
      </x:c>
    </x:row>
    <x:row r="59">
      <x:c r="A59" s="11" t="str">
        <x:v>CH-054</x:v>
      </x:c>
      <x:c r="B59" s="11" t="str">
        <x:v>delivered energy</x:v>
      </x:c>
      <x:c r="C59" s="11" t="str">
        <x:v>TR-B</x:v>
      </x:c>
      <x:c r="D59" s="11" t="str">
        <x:v>STANDARD</x:v>
      </x:c>
      <x:c r="E59" s="13"/>
      <x:c r="F59" s="11" t="str">
        <x:f>IF(E59="","OPEN",IF(E59="ACCEPTED","CURRENT","DENY"))</x:f>
        <x:v>OPEN</x:v>
      </x:c>
    </x:row>
    <x:row r="60">
      <x:c r="A60" s="11" t="str">
        <x:v>CH-055</x:v>
      </x:c>
      <x:c r="B60" s="11" t="str">
        <x:v>delivered energy</x:v>
      </x:c>
      <x:c r="C60" s="11" t="str">
        <x:v>TR-A</x:v>
      </x:c>
      <x:c r="D60" s="11" t="str">
        <x:v>STANDARD</x:v>
      </x:c>
      <x:c r="E60" s="13"/>
      <x:c r="F60" s="11" t="str">
        <x:f>IF(E60="","OPEN",IF(E60="ACCEPTED","CURRENT","DENY"))</x:f>
        <x:v>OPEN</x:v>
      </x:c>
    </x:row>
    <x:row r="61">
      <x:c r="A61" s="11" t="str">
        <x:v>CH-056</x:v>
      </x:c>
      <x:c r="B61" s="11" t="str">
        <x:v>delivered energy</x:v>
      </x:c>
      <x:c r="C61" s="11" t="str">
        <x:v>TR-B</x:v>
      </x:c>
      <x:c r="D61" s="11" t="str">
        <x:v>STANDARD</x:v>
      </x:c>
      <x:c r="E61" s="13"/>
      <x:c r="F61" s="11" t="str">
        <x:f>IF(E61="","OPEN",IF(E61="ACCEPTED","CURRENT","DENY"))</x:f>
        <x:v>OPEN</x:v>
      </x:c>
    </x:row>
    <x:row r="62">
      <x:c r="A62" s="11" t="str">
        <x:v>CH-057</x:v>
      </x:c>
      <x:c r="B62" s="11" t="str">
        <x:v>optical and spectral</x:v>
      </x:c>
      <x:c r="C62" s="11" t="str">
        <x:v>TR-A</x:v>
      </x:c>
      <x:c r="D62" s="11" t="str">
        <x:v>HIGH</x:v>
      </x:c>
      <x:c r="E62" s="13"/>
      <x:c r="F62" s="11" t="str">
        <x:f>IF(E62="","OPEN",IF(E62="ACCEPTED","CURRENT","DENY"))</x:f>
        <x:v>OPEN</x:v>
      </x:c>
    </x:row>
    <x:row r="63">
      <x:c r="A63" s="11" t="str">
        <x:v>CH-058</x:v>
      </x:c>
      <x:c r="B63" s="11" t="str">
        <x:v>optical and spectral</x:v>
      </x:c>
      <x:c r="C63" s="11" t="str">
        <x:v>TR-B</x:v>
      </x:c>
      <x:c r="D63" s="11" t="str">
        <x:v>HIGH</x:v>
      </x:c>
      <x:c r="E63" s="13"/>
      <x:c r="F63" s="11" t="str">
        <x:f>IF(E63="","OPEN",IF(E63="ACCEPTED","CURRENT","DENY"))</x:f>
        <x:v>OPEN</x:v>
      </x:c>
    </x:row>
    <x:row r="64">
      <x:c r="A64" s="11" t="str">
        <x:v>CH-059</x:v>
      </x:c>
      <x:c r="B64" s="11" t="str">
        <x:v>optical and spectral</x:v>
      </x:c>
      <x:c r="C64" s="11" t="str">
        <x:v>TR-A</x:v>
      </x:c>
      <x:c r="D64" s="11" t="str">
        <x:v>HIGH</x:v>
      </x:c>
      <x:c r="E64" s="13"/>
      <x:c r="F64" s="11" t="str">
        <x:f>IF(E64="","OPEN",IF(E64="ACCEPTED","CURRENT","DENY"))</x:f>
        <x:v>OPEN</x:v>
      </x:c>
    </x:row>
    <x:row r="65">
      <x:c r="A65" s="11" t="str">
        <x:v>CH-060</x:v>
      </x:c>
      <x:c r="B65" s="11" t="str">
        <x:v>optical and spectral</x:v>
      </x:c>
      <x:c r="C65" s="11" t="str">
        <x:v>TR-B</x:v>
      </x:c>
      <x:c r="D65" s="11" t="str">
        <x:v>HIGH</x:v>
      </x:c>
      <x:c r="E65" s="13"/>
      <x:c r="F65" s="11" t="str">
        <x:f>IF(E65="","OPEN",IF(E65="ACCEPTED","CURRENT","DENY"))</x:f>
        <x:v>OPEN</x:v>
      </x:c>
    </x:row>
    <x:row r="66">
      <x:c r="A66" s="11" t="str">
        <x:v>CH-061</x:v>
      </x:c>
      <x:c r="B66" s="11" t="str">
        <x:v>optical and spectral</x:v>
      </x:c>
      <x:c r="C66" s="11" t="str">
        <x:v>TR-A</x:v>
      </x:c>
      <x:c r="D66" s="11" t="str">
        <x:v>HIGH</x:v>
      </x:c>
      <x:c r="E66" s="13"/>
      <x:c r="F66" s="11" t="str">
        <x:f>IF(E66="","OPEN",IF(E66="ACCEPTED","CURRENT","DENY"))</x:f>
        <x:v>OPEN</x:v>
      </x:c>
    </x:row>
    <x:row r="67">
      <x:c r="A67" s="11" t="str">
        <x:v>CH-062</x:v>
      </x:c>
      <x:c r="B67" s="11" t="str">
        <x:v>optical and spectral</x:v>
      </x:c>
      <x:c r="C67" s="11" t="str">
        <x:v>TR-B</x:v>
      </x:c>
      <x:c r="D67" s="11" t="str">
        <x:v>HIGH</x:v>
      </x:c>
      <x:c r="E67" s="13"/>
      <x:c r="F67" s="11" t="str">
        <x:f>IF(E67="","OPEN",IF(E67="ACCEPTED","CURRENT","DENY"))</x:f>
        <x:v>OPEN</x:v>
      </x:c>
    </x:row>
    <x:row r="68">
      <x:c r="A68" s="11" t="str">
        <x:v>CH-063</x:v>
      </x:c>
      <x:c r="B68" s="11" t="str">
        <x:v>optical and spectral</x:v>
      </x:c>
      <x:c r="C68" s="11" t="str">
        <x:v>TR-A</x:v>
      </x:c>
      <x:c r="D68" s="11" t="str">
        <x:v>HIGH</x:v>
      </x:c>
      <x:c r="E68" s="13"/>
      <x:c r="F68" s="11" t="str">
        <x:f>IF(E68="","OPEN",IF(E68="ACCEPTED","CURRENT","DENY"))</x:f>
        <x:v>OPEN</x:v>
      </x:c>
    </x:row>
    <x:row r="69">
      <x:c r="A69" s="11" t="str">
        <x:v>CH-064</x:v>
      </x:c>
      <x:c r="B69" s="11" t="str">
        <x:v>optical and spectral</x:v>
      </x:c>
      <x:c r="C69" s="11" t="str">
        <x:v>TR-B</x:v>
      </x:c>
      <x:c r="D69" s="11" t="str">
        <x:v>HIGH</x:v>
      </x:c>
      <x:c r="E69" s="13"/>
      <x:c r="F69" s="11" t="str">
        <x:f>IF(E69="","OPEN",IF(E69="ACCEPTED","CURRENT","DENY"))</x:f>
        <x:v>OPEN</x:v>
      </x:c>
    </x:row>
    <x:row r="70">
      <x:c r="A70" s="11" t="str">
        <x:v>CH-065</x:v>
      </x:c>
      <x:c r="B70" s="11" t="str">
        <x:v>optical and spectral</x:v>
      </x:c>
      <x:c r="C70" s="11" t="str">
        <x:v>TR-A</x:v>
      </x:c>
      <x:c r="D70" s="11" t="str">
        <x:v>HIGH</x:v>
      </x:c>
      <x:c r="E70" s="13"/>
      <x:c r="F70" s="11" t="str">
        <x:f>IF(E70="","OPEN",IF(E70="ACCEPTED","CURRENT","DENY"))</x:f>
        <x:v>OPEN</x:v>
      </x:c>
    </x:row>
    <x:row r="71">
      <x:c r="A71" s="11" t="str">
        <x:v>CH-066</x:v>
      </x:c>
      <x:c r="B71" s="11" t="str">
        <x:v>optical and spectral</x:v>
      </x:c>
      <x:c r="C71" s="11" t="str">
        <x:v>TR-B</x:v>
      </x:c>
      <x:c r="D71" s="11" t="str">
        <x:v>HIGH</x:v>
      </x:c>
      <x:c r="E71" s="13"/>
      <x:c r="F71" s="11" t="str">
        <x:f>IF(E71="","OPEN",IF(E71="ACCEPTED","CURRENT","DENY"))</x:f>
        <x:v>OPEN</x:v>
      </x:c>
    </x:row>
    <x:row r="72">
      <x:c r="A72" s="11" t="str">
        <x:v>CH-067</x:v>
      </x:c>
      <x:c r="B72" s="11" t="str">
        <x:v>optical and spectral</x:v>
      </x:c>
      <x:c r="C72" s="11" t="str">
        <x:v>TR-A</x:v>
      </x:c>
      <x:c r="D72" s="11" t="str">
        <x:v>HIGH</x:v>
      </x:c>
      <x:c r="E72" s="13"/>
      <x:c r="F72" s="11" t="str">
        <x:f>IF(E72="","OPEN",IF(E72="ACCEPTED","CURRENT","DENY"))</x:f>
        <x:v>OPEN</x:v>
      </x:c>
    </x:row>
    <x:row r="73">
      <x:c r="A73" s="11" t="str">
        <x:v>CH-068</x:v>
      </x:c>
      <x:c r="B73" s="11" t="str">
        <x:v>optical and spectral</x:v>
      </x:c>
      <x:c r="C73" s="11" t="str">
        <x:v>TR-B</x:v>
      </x:c>
      <x:c r="D73" s="11" t="str">
        <x:v>HIGH</x:v>
      </x:c>
      <x:c r="E73" s="13"/>
      <x:c r="F73" s="11" t="str">
        <x:f>IF(E73="","OPEN",IF(E73="ACCEPTED","CURRENT","DENY"))</x:f>
        <x:v>OPEN</x:v>
      </x:c>
    </x:row>
    <x:row r="74">
      <x:c r="A74" s="11" t="str">
        <x:v>CH-069</x:v>
      </x:c>
      <x:c r="B74" s="11" t="str">
        <x:v>optical and spectral</x:v>
      </x:c>
      <x:c r="C74" s="11" t="str">
        <x:v>TR-A</x:v>
      </x:c>
      <x:c r="D74" s="11" t="str">
        <x:v>HIGH</x:v>
      </x:c>
      <x:c r="E74" s="13"/>
      <x:c r="F74" s="11" t="str">
        <x:f>IF(E74="","OPEN",IF(E74="ACCEPTED","CURRENT","DENY"))</x:f>
        <x:v>OPEN</x:v>
      </x:c>
    </x:row>
    <x:row r="75">
      <x:c r="A75" s="11" t="str">
        <x:v>CH-070</x:v>
      </x:c>
      <x:c r="B75" s="11" t="str">
        <x:v>optical and spectral</x:v>
      </x:c>
      <x:c r="C75" s="11" t="str">
        <x:v>TR-B</x:v>
      </x:c>
      <x:c r="D75" s="11" t="str">
        <x:v>HIGH</x:v>
      </x:c>
      <x:c r="E75" s="13"/>
      <x:c r="F75" s="11" t="str">
        <x:f>IF(E75="","OPEN",IF(E75="ACCEPTED","CURRENT","DENY"))</x:f>
        <x:v>OPEN</x:v>
      </x:c>
    </x:row>
    <x:row r="76">
      <x:c r="A76" s="11" t="str">
        <x:v>CH-071</x:v>
      </x:c>
      <x:c r="B76" s="11" t="str">
        <x:v>optical and spectral</x:v>
      </x:c>
      <x:c r="C76" s="11" t="str">
        <x:v>TR-A</x:v>
      </x:c>
      <x:c r="D76" s="11" t="str">
        <x:v>HIGH</x:v>
      </x:c>
      <x:c r="E76" s="13"/>
      <x:c r="F76" s="11" t="str">
        <x:f>IF(E76="","OPEN",IF(E76="ACCEPTED","CURRENT","DENY"))</x:f>
        <x:v>OPEN</x:v>
      </x:c>
    </x:row>
    <x:row r="77">
      <x:c r="A77" s="11" t="str">
        <x:v>CH-072</x:v>
      </x:c>
      <x:c r="B77" s="11" t="str">
        <x:v>optical and spectral</x:v>
      </x:c>
      <x:c r="C77" s="11" t="str">
        <x:v>TR-B</x:v>
      </x:c>
      <x:c r="D77" s="11" t="str">
        <x:v>HIGH</x:v>
      </x:c>
      <x:c r="E77" s="13"/>
      <x:c r="F77" s="11" t="str">
        <x:f>IF(E77="","OPEN",IF(E77="ACCEPTED","CURRENT","DENY"))</x:f>
        <x:v>OPEN</x:v>
      </x:c>
    </x:row>
    <x:row r="78">
      <x:c r="A78" s="11" t="str">
        <x:v>CH-073</x:v>
      </x:c>
      <x:c r="B78" s="11" t="str">
        <x:v>optical and spectral</x:v>
      </x:c>
      <x:c r="C78" s="11" t="str">
        <x:v>TR-A</x:v>
      </x:c>
      <x:c r="D78" s="11" t="str">
        <x:v>HIGH</x:v>
      </x:c>
      <x:c r="E78" s="13"/>
      <x:c r="F78" s="11" t="str">
        <x:f>IF(E78="","OPEN",IF(E78="ACCEPTED","CURRENT","DENY"))</x:f>
        <x:v>OPEN</x:v>
      </x:c>
    </x:row>
    <x:row r="79">
      <x:c r="A79" s="11" t="str">
        <x:v>CH-074</x:v>
      </x:c>
      <x:c r="B79" s="11" t="str">
        <x:v>optical and spectral</x:v>
      </x:c>
      <x:c r="C79" s="11" t="str">
        <x:v>TR-B</x:v>
      </x:c>
      <x:c r="D79" s="11" t="str">
        <x:v>HIGH</x:v>
      </x:c>
      <x:c r="E79" s="13"/>
      <x:c r="F79" s="11" t="str">
        <x:f>IF(E79="","OPEN",IF(E79="ACCEPTED","CURRENT","DENY"))</x:f>
        <x:v>OPEN</x:v>
      </x:c>
    </x:row>
    <x:row r="80">
      <x:c r="A80" s="11" t="str">
        <x:v>CH-075</x:v>
      </x:c>
      <x:c r="B80" s="11" t="str">
        <x:v>optical and spectral</x:v>
      </x:c>
      <x:c r="C80" s="11" t="str">
        <x:v>TR-A</x:v>
      </x:c>
      <x:c r="D80" s="11" t="str">
        <x:v>HIGH</x:v>
      </x:c>
      <x:c r="E80" s="13"/>
      <x:c r="F80" s="11" t="str">
        <x:f>IF(E80="","OPEN",IF(E80="ACCEPTED","CURRENT","DENY"))</x:f>
        <x:v>OPEN</x:v>
      </x:c>
    </x:row>
    <x:row r="81">
      <x:c r="A81" s="11" t="str">
        <x:v>CH-076</x:v>
      </x:c>
      <x:c r="B81" s="11" t="str">
        <x:v>optical and spectral</x:v>
      </x:c>
      <x:c r="C81" s="11" t="str">
        <x:v>TR-B</x:v>
      </x:c>
      <x:c r="D81" s="11" t="str">
        <x:v>HIGH</x:v>
      </x:c>
      <x:c r="E81" s="13"/>
      <x:c r="F81" s="11" t="str">
        <x:f>IF(E81="","OPEN",IF(E81="ACCEPTED","CURRENT","DENY"))</x:f>
        <x:v>OPEN</x:v>
      </x:c>
    </x:row>
    <x:row r="82">
      <x:c r="A82" s="11" t="str">
        <x:v>CH-077</x:v>
      </x:c>
      <x:c r="B82" s="11" t="str">
        <x:v>optical and spectral</x:v>
      </x:c>
      <x:c r="C82" s="11" t="str">
        <x:v>TR-A</x:v>
      </x:c>
      <x:c r="D82" s="11" t="str">
        <x:v>HIGH</x:v>
      </x:c>
      <x:c r="E82" s="13"/>
      <x:c r="F82" s="11" t="str">
        <x:f>IF(E82="","OPEN",IF(E82="ACCEPTED","CURRENT","DENY"))</x:f>
        <x:v>OPEN</x:v>
      </x:c>
    </x:row>
    <x:row r="83">
      <x:c r="A83" s="11" t="str">
        <x:v>CH-078</x:v>
      </x:c>
      <x:c r="B83" s="11" t="str">
        <x:v>optical and spectral</x:v>
      </x:c>
      <x:c r="C83" s="11" t="str">
        <x:v>TR-B</x:v>
      </x:c>
      <x:c r="D83" s="11" t="str">
        <x:v>HIGH</x:v>
      </x:c>
      <x:c r="E83" s="13"/>
      <x:c r="F83" s="11" t="str">
        <x:f>IF(E83="","OPEN",IF(E83="ACCEPTED","CURRENT","DENY"))</x:f>
        <x:v>OPEN</x:v>
      </x:c>
    </x:row>
    <x:row r="84">
      <x:c r="A84" s="11" t="str">
        <x:v>CH-079</x:v>
      </x:c>
      <x:c r="B84" s="11" t="str">
        <x:v>optical and spectral</x:v>
      </x:c>
      <x:c r="C84" s="11" t="str">
        <x:v>TR-A</x:v>
      </x:c>
      <x:c r="D84" s="11" t="str">
        <x:v>HIGH</x:v>
      </x:c>
      <x:c r="E84" s="13"/>
      <x:c r="F84" s="11" t="str">
        <x:f>IF(E84="","OPEN",IF(E84="ACCEPTED","CURRENT","DENY"))</x:f>
        <x:v>OPEN</x:v>
      </x:c>
    </x:row>
    <x:row r="85">
      <x:c r="A85" s="11" t="str">
        <x:v>CH-080</x:v>
      </x:c>
      <x:c r="B85" s="11" t="str">
        <x:v>optical and spectral</x:v>
      </x:c>
      <x:c r="C85" s="11" t="str">
        <x:v>TR-B</x:v>
      </x:c>
      <x:c r="D85" s="11" t="str">
        <x:v>HIGH</x:v>
      </x:c>
      <x:c r="E85" s="13"/>
      <x:c r="F85" s="11" t="str">
        <x:f>IF(E85="","OPEN",IF(E85="ACCEPTED","CURRENT","DENY"))</x:f>
        <x:v>OPEN</x:v>
      </x:c>
    </x:row>
    <x:row r="86">
      <x:c r="A86" s="11" t="str">
        <x:v>CH-081</x:v>
      </x:c>
      <x:c r="B86" s="11" t="str">
        <x:v>geometry and pose</x:v>
      </x:c>
      <x:c r="C86" s="11" t="str">
        <x:v>TR-A</x:v>
      </x:c>
      <x:c r="D86" s="11" t="str">
        <x:v>STANDARD</x:v>
      </x:c>
      <x:c r="E86" s="13"/>
      <x:c r="F86" s="11" t="str">
        <x:f>IF(E86="","OPEN",IF(E86="ACCEPTED","CURRENT","DENY"))</x:f>
        <x:v>OPEN</x:v>
      </x:c>
    </x:row>
    <x:row r="87">
      <x:c r="A87" s="11" t="str">
        <x:v>CH-082</x:v>
      </x:c>
      <x:c r="B87" s="11" t="str">
        <x:v>geometry and pose</x:v>
      </x:c>
      <x:c r="C87" s="11" t="str">
        <x:v>TR-B</x:v>
      </x:c>
      <x:c r="D87" s="11" t="str">
        <x:v>STANDARD</x:v>
      </x:c>
      <x:c r="E87" s="13"/>
      <x:c r="F87" s="11" t="str">
        <x:f>IF(E87="","OPEN",IF(E87="ACCEPTED","CURRENT","DENY"))</x:f>
        <x:v>OPEN</x:v>
      </x:c>
    </x:row>
    <x:row r="88">
      <x:c r="A88" s="11" t="str">
        <x:v>CH-083</x:v>
      </x:c>
      <x:c r="B88" s="11" t="str">
        <x:v>geometry and pose</x:v>
      </x:c>
      <x:c r="C88" s="11" t="str">
        <x:v>TR-A</x:v>
      </x:c>
      <x:c r="D88" s="11" t="str">
        <x:v>STANDARD</x:v>
      </x:c>
      <x:c r="E88" s="13"/>
      <x:c r="F88" s="11" t="str">
        <x:f>IF(E88="","OPEN",IF(E88="ACCEPTED","CURRENT","DENY"))</x:f>
        <x:v>OPEN</x:v>
      </x:c>
    </x:row>
    <x:row r="89">
      <x:c r="A89" s="11" t="str">
        <x:v>CH-084</x:v>
      </x:c>
      <x:c r="B89" s="11" t="str">
        <x:v>geometry and pose</x:v>
      </x:c>
      <x:c r="C89" s="11" t="str">
        <x:v>TR-B</x:v>
      </x:c>
      <x:c r="D89" s="11" t="str">
        <x:v>STANDARD</x:v>
      </x:c>
      <x:c r="E89" s="13"/>
      <x:c r="F89" s="11" t="str">
        <x:f>IF(E89="","OPEN",IF(E89="ACCEPTED","CURRENT","DENY"))</x:f>
        <x:v>OPEN</x:v>
      </x:c>
    </x:row>
    <x:row r="90">
      <x:c r="A90" s="11" t="str">
        <x:v>CH-085</x:v>
      </x:c>
      <x:c r="B90" s="11" t="str">
        <x:v>geometry and pose</x:v>
      </x:c>
      <x:c r="C90" s="11" t="str">
        <x:v>TR-A</x:v>
      </x:c>
      <x:c r="D90" s="11" t="str">
        <x:v>STANDARD</x:v>
      </x:c>
      <x:c r="E90" s="13"/>
      <x:c r="F90" s="11" t="str">
        <x:f>IF(E90="","OPEN",IF(E90="ACCEPTED","CURRENT","DENY"))</x:f>
        <x:v>OPEN</x:v>
      </x:c>
    </x:row>
    <x:row r="91">
      <x:c r="A91" s="11" t="str">
        <x:v>CH-086</x:v>
      </x:c>
      <x:c r="B91" s="11" t="str">
        <x:v>geometry and pose</x:v>
      </x:c>
      <x:c r="C91" s="11" t="str">
        <x:v>TR-B</x:v>
      </x:c>
      <x:c r="D91" s="11" t="str">
        <x:v>STANDARD</x:v>
      </x:c>
      <x:c r="E91" s="13"/>
      <x:c r="F91" s="11" t="str">
        <x:f>IF(E91="","OPEN",IF(E91="ACCEPTED","CURRENT","DENY"))</x:f>
        <x:v>OPEN</x:v>
      </x:c>
    </x:row>
    <x:row r="92">
      <x:c r="A92" s="11" t="str">
        <x:v>CH-087</x:v>
      </x:c>
      <x:c r="B92" s="11" t="str">
        <x:v>geometry and pose</x:v>
      </x:c>
      <x:c r="C92" s="11" t="str">
        <x:v>TR-A</x:v>
      </x:c>
      <x:c r="D92" s="11" t="str">
        <x:v>STANDARD</x:v>
      </x:c>
      <x:c r="E92" s="13"/>
      <x:c r="F92" s="11" t="str">
        <x:f>IF(E92="","OPEN",IF(E92="ACCEPTED","CURRENT","DENY"))</x:f>
        <x:v>OPEN</x:v>
      </x:c>
    </x:row>
    <x:row r="93">
      <x:c r="A93" s="11" t="str">
        <x:v>CH-088</x:v>
      </x:c>
      <x:c r="B93" s="11" t="str">
        <x:v>geometry and pose</x:v>
      </x:c>
      <x:c r="C93" s="11" t="str">
        <x:v>TR-B</x:v>
      </x:c>
      <x:c r="D93" s="11" t="str">
        <x:v>STANDARD</x:v>
      </x:c>
      <x:c r="E93" s="13"/>
      <x:c r="F93" s="11" t="str">
        <x:f>IF(E93="","OPEN",IF(E93="ACCEPTED","CURRENT","DENY"))</x:f>
        <x:v>OPEN</x:v>
      </x:c>
    </x:row>
    <x:row r="94">
      <x:c r="A94" s="11" t="str">
        <x:v>CH-089</x:v>
      </x:c>
      <x:c r="B94" s="11" t="str">
        <x:v>geometry and pose</x:v>
      </x:c>
      <x:c r="C94" s="11" t="str">
        <x:v>TR-A</x:v>
      </x:c>
      <x:c r="D94" s="11" t="str">
        <x:v>STANDARD</x:v>
      </x:c>
      <x:c r="E94" s="13"/>
      <x:c r="F94" s="11" t="str">
        <x:f>IF(E94="","OPEN",IF(E94="ACCEPTED","CURRENT","DENY"))</x:f>
        <x:v>OPEN</x:v>
      </x:c>
    </x:row>
    <x:row r="95">
      <x:c r="A95" s="11" t="str">
        <x:v>CH-090</x:v>
      </x:c>
      <x:c r="B95" s="11" t="str">
        <x:v>geometry and pose</x:v>
      </x:c>
      <x:c r="C95" s="11" t="str">
        <x:v>TR-B</x:v>
      </x:c>
      <x:c r="D95" s="11" t="str">
        <x:v>STANDARD</x:v>
      </x:c>
      <x:c r="E95" s="13"/>
      <x:c r="F95" s="11" t="str">
        <x:f>IF(E95="","OPEN",IF(E95="ACCEPTED","CURRENT","DENY"))</x:f>
        <x:v>OPEN</x:v>
      </x:c>
    </x:row>
    <x:row r="96">
      <x:c r="A96" s="11" t="str">
        <x:v>CH-091</x:v>
      </x:c>
      <x:c r="B96" s="11" t="str">
        <x:v>geometry and pose</x:v>
      </x:c>
      <x:c r="C96" s="11" t="str">
        <x:v>TR-A</x:v>
      </x:c>
      <x:c r="D96" s="11" t="str">
        <x:v>STANDARD</x:v>
      </x:c>
      <x:c r="E96" s="13"/>
      <x:c r="F96" s="11" t="str">
        <x:f>IF(E96="","OPEN",IF(E96="ACCEPTED","CURRENT","DENY"))</x:f>
        <x:v>OPEN</x:v>
      </x:c>
    </x:row>
    <x:row r="97">
      <x:c r="A97" s="11" t="str">
        <x:v>CH-092</x:v>
      </x:c>
      <x:c r="B97" s="11" t="str">
        <x:v>geometry and pose</x:v>
      </x:c>
      <x:c r="C97" s="11" t="str">
        <x:v>TR-B</x:v>
      </x:c>
      <x:c r="D97" s="11" t="str">
        <x:v>STANDARD</x:v>
      </x:c>
      <x:c r="E97" s="13"/>
      <x:c r="F97" s="11" t="str">
        <x:f>IF(E97="","OPEN",IF(E97="ACCEPTED","CURRENT","DENY"))</x:f>
        <x:v>OPEN</x:v>
      </x:c>
    </x:row>
    <x:row r="98">
      <x:c r="A98" s="11" t="str">
        <x:v>CH-093</x:v>
      </x:c>
      <x:c r="B98" s="11" t="str">
        <x:v>geometry and pose</x:v>
      </x:c>
      <x:c r="C98" s="11" t="str">
        <x:v>TR-A</x:v>
      </x:c>
      <x:c r="D98" s="11" t="str">
        <x:v>STANDARD</x:v>
      </x:c>
      <x:c r="E98" s="13"/>
      <x:c r="F98" s="11" t="str">
        <x:f>IF(E98="","OPEN",IF(E98="ACCEPTED","CURRENT","DENY"))</x:f>
        <x:v>OPEN</x:v>
      </x:c>
    </x:row>
    <x:row r="99">
      <x:c r="A99" s="11" t="str">
        <x:v>CH-094</x:v>
      </x:c>
      <x:c r="B99" s="11" t="str">
        <x:v>geometry and pose</x:v>
      </x:c>
      <x:c r="C99" s="11" t="str">
        <x:v>TR-B</x:v>
      </x:c>
      <x:c r="D99" s="11" t="str">
        <x:v>STANDARD</x:v>
      </x:c>
      <x:c r="E99" s="13"/>
      <x:c r="F99" s="11" t="str">
        <x:f>IF(E99="","OPEN",IF(E99="ACCEPTED","CURRENT","DENY"))</x:f>
        <x:v>OPEN</x:v>
      </x:c>
    </x:row>
    <x:row r="100">
      <x:c r="A100" s="11" t="str">
        <x:v>CH-095</x:v>
      </x:c>
      <x:c r="B100" s="11" t="str">
        <x:v>geometry and pose</x:v>
      </x:c>
      <x:c r="C100" s="11" t="str">
        <x:v>TR-A</x:v>
      </x:c>
      <x:c r="D100" s="11" t="str">
        <x:v>STANDARD</x:v>
      </x:c>
      <x:c r="E100" s="13"/>
      <x:c r="F100" s="11" t="str">
        <x:f>IF(E100="","OPEN",IF(E100="ACCEPTED","CURRENT","DENY"))</x:f>
        <x:v>OPEN</x:v>
      </x:c>
    </x:row>
    <x:row r="101">
      <x:c r="A101" s="11" t="str">
        <x:v>CH-096</x:v>
      </x:c>
      <x:c r="B101" s="11" t="str">
        <x:v>geometry and pose</x:v>
      </x:c>
      <x:c r="C101" s="11" t="str">
        <x:v>TR-B</x:v>
      </x:c>
      <x:c r="D101" s="11" t="str">
        <x:v>STANDARD</x:v>
      </x:c>
      <x:c r="E101" s="13"/>
      <x:c r="F101" s="11" t="str">
        <x:f>IF(E101="","OPEN",IF(E101="ACCEPTED","CURRENT","DENY"))</x:f>
        <x:v>OPEN</x:v>
      </x:c>
    </x:row>
    <x:row r="102">
      <x:c r="A102" s="11" t="str">
        <x:v>CH-097</x:v>
      </x:c>
      <x:c r="B102" s="11" t="str">
        <x:v>atmosphere and flow</x:v>
      </x:c>
      <x:c r="C102" s="11" t="str">
        <x:v>TR-A</x:v>
      </x:c>
      <x:c r="D102" s="11" t="str">
        <x:v>STANDARD</x:v>
      </x:c>
      <x:c r="E102" s="13"/>
      <x:c r="F102" s="11" t="str">
        <x:f>IF(E102="","OPEN",IF(E102="ACCEPTED","CURRENT","DENY"))</x:f>
        <x:v>OPEN</x:v>
      </x:c>
    </x:row>
    <x:row r="103">
      <x:c r="A103" s="11" t="str">
        <x:v>CH-098</x:v>
      </x:c>
      <x:c r="B103" s="11" t="str">
        <x:v>atmosphere and flow</x:v>
      </x:c>
      <x:c r="C103" s="11" t="str">
        <x:v>TR-B</x:v>
      </x:c>
      <x:c r="D103" s="11" t="str">
        <x:v>STANDARD</x:v>
      </x:c>
      <x:c r="E103" s="13"/>
      <x:c r="F103" s="11" t="str">
        <x:f>IF(E103="","OPEN",IF(E103="ACCEPTED","CURRENT","DENY"))</x:f>
        <x:v>OPEN</x:v>
      </x:c>
    </x:row>
    <x:row r="104">
      <x:c r="A104" s="11" t="str">
        <x:v>CH-099</x:v>
      </x:c>
      <x:c r="B104" s="11" t="str">
        <x:v>atmosphere and flow</x:v>
      </x:c>
      <x:c r="C104" s="11" t="str">
        <x:v>TR-A</x:v>
      </x:c>
      <x:c r="D104" s="11" t="str">
        <x:v>STANDARD</x:v>
      </x:c>
      <x:c r="E104" s="13"/>
      <x:c r="F104" s="11" t="str">
        <x:f>IF(E104="","OPEN",IF(E104="ACCEPTED","CURRENT","DENY"))</x:f>
        <x:v>OPEN</x:v>
      </x:c>
    </x:row>
    <x:row r="105">
      <x:c r="A105" s="11" t="str">
        <x:v>CH-100</x:v>
      </x:c>
      <x:c r="B105" s="11" t="str">
        <x:v>atmosphere and flow</x:v>
      </x:c>
      <x:c r="C105" s="11" t="str">
        <x:v>TR-B</x:v>
      </x:c>
      <x:c r="D105" s="11" t="str">
        <x:v>STANDARD</x:v>
      </x:c>
      <x:c r="E105" s="13"/>
      <x:c r="F105" s="11" t="str">
        <x:f>IF(E105="","OPEN",IF(E105="ACCEPTED","CURRENT","DENY"))</x:f>
        <x:v>OPEN</x:v>
      </x:c>
    </x:row>
    <x:row r="106">
      <x:c r="A106" s="11" t="str">
        <x:v>CH-101</x:v>
      </x:c>
      <x:c r="B106" s="11" t="str">
        <x:v>atmosphere and flow</x:v>
      </x:c>
      <x:c r="C106" s="11" t="str">
        <x:v>TR-A</x:v>
      </x:c>
      <x:c r="D106" s="11" t="str">
        <x:v>STANDARD</x:v>
      </x:c>
      <x:c r="E106" s="13"/>
      <x:c r="F106" s="11" t="str">
        <x:f>IF(E106="","OPEN",IF(E106="ACCEPTED","CURRENT","DENY"))</x:f>
        <x:v>OPEN</x:v>
      </x:c>
    </x:row>
    <x:row r="107">
      <x:c r="A107" s="11" t="str">
        <x:v>CH-102</x:v>
      </x:c>
      <x:c r="B107" s="11" t="str">
        <x:v>atmosphere and flow</x:v>
      </x:c>
      <x:c r="C107" s="11" t="str">
        <x:v>TR-B</x:v>
      </x:c>
      <x:c r="D107" s="11" t="str">
        <x:v>STANDARD</x:v>
      </x:c>
      <x:c r="E107" s="13"/>
      <x:c r="F107" s="11" t="str">
        <x:f>IF(E107="","OPEN",IF(E107="ACCEPTED","CURRENT","DENY"))</x:f>
        <x:v>OPEN</x:v>
      </x:c>
    </x:row>
    <x:row r="108">
      <x:c r="A108" s="11" t="str">
        <x:v>CH-103</x:v>
      </x:c>
      <x:c r="B108" s="11" t="str">
        <x:v>atmosphere and flow</x:v>
      </x:c>
      <x:c r="C108" s="11" t="str">
        <x:v>TR-A</x:v>
      </x:c>
      <x:c r="D108" s="11" t="str">
        <x:v>STANDARD</x:v>
      </x:c>
      <x:c r="E108" s="13"/>
      <x:c r="F108" s="11" t="str">
        <x:f>IF(E108="","OPEN",IF(E108="ACCEPTED","CURRENT","DENY"))</x:f>
        <x:v>OPEN</x:v>
      </x:c>
    </x:row>
    <x:row r="109">
      <x:c r="A109" s="11" t="str">
        <x:v>CH-104</x:v>
      </x:c>
      <x:c r="B109" s="11" t="str">
        <x:v>atmosphere and flow</x:v>
      </x:c>
      <x:c r="C109" s="11" t="str">
        <x:v>TR-B</x:v>
      </x:c>
      <x:c r="D109" s="11" t="str">
        <x:v>STANDARD</x:v>
      </x:c>
      <x:c r="E109" s="13"/>
      <x:c r="F109" s="11" t="str">
        <x:f>IF(E109="","OPEN",IF(E109="ACCEPTED","CURRENT","DENY"))</x:f>
        <x:v>OPEN</x:v>
      </x:c>
    </x:row>
    <x:row r="110">
      <x:c r="A110" s="11" t="str">
        <x:v>CH-105</x:v>
      </x:c>
      <x:c r="B110" s="11" t="str">
        <x:v>atmosphere and flow</x:v>
      </x:c>
      <x:c r="C110" s="11" t="str">
        <x:v>TR-A</x:v>
      </x:c>
      <x:c r="D110" s="11" t="str">
        <x:v>STANDARD</x:v>
      </x:c>
      <x:c r="E110" s="13"/>
      <x:c r="F110" s="11" t="str">
        <x:f>IF(E110="","OPEN",IF(E110="ACCEPTED","CURRENT","DENY"))</x:f>
        <x:v>OPEN</x:v>
      </x:c>
    </x:row>
    <x:row r="111">
      <x:c r="A111" s="11" t="str">
        <x:v>CH-106</x:v>
      </x:c>
      <x:c r="B111" s="11" t="str">
        <x:v>atmosphere and flow</x:v>
      </x:c>
      <x:c r="C111" s="11" t="str">
        <x:v>TR-B</x:v>
      </x:c>
      <x:c r="D111" s="11" t="str">
        <x:v>STANDARD</x:v>
      </x:c>
      <x:c r="E111" s="13"/>
      <x:c r="F111" s="11" t="str">
        <x:f>IF(E111="","OPEN",IF(E111="ACCEPTED","CURRENT","DENY"))</x:f>
        <x:v>OPEN</x:v>
      </x:c>
    </x:row>
    <x:row r="112">
      <x:c r="A112" s="11" t="str">
        <x:v>CH-107</x:v>
      </x:c>
      <x:c r="B112" s="11" t="str">
        <x:v>atmosphere and flow</x:v>
      </x:c>
      <x:c r="C112" s="11" t="str">
        <x:v>TR-A</x:v>
      </x:c>
      <x:c r="D112" s="11" t="str">
        <x:v>STANDARD</x:v>
      </x:c>
      <x:c r="E112" s="13"/>
      <x:c r="F112" s="11" t="str">
        <x:f>IF(E112="","OPEN",IF(E112="ACCEPTED","CURRENT","DENY"))</x:f>
        <x:v>OPEN</x:v>
      </x:c>
    </x:row>
    <x:row r="113">
      <x:c r="A113" s="11" t="str">
        <x:v>CH-108</x:v>
      </x:c>
      <x:c r="B113" s="11" t="str">
        <x:v>atmosphere and flow</x:v>
      </x:c>
      <x:c r="C113" s="11" t="str">
        <x:v>TR-B</x:v>
      </x:c>
      <x:c r="D113" s="11" t="str">
        <x:v>STANDARD</x:v>
      </x:c>
      <x:c r="E113" s="13"/>
      <x:c r="F113" s="11" t="str">
        <x:f>IF(E113="","OPEN",IF(E113="ACCEPTED","CURRENT","DENY"))</x:f>
        <x:v>OPEN</x:v>
      </x:c>
    </x:row>
    <x:row r="114">
      <x:c r="A114" s="11" t="str">
        <x:v>CH-109</x:v>
      </x:c>
      <x:c r="B114" s="11" t="str">
        <x:v>atmosphere and flow</x:v>
      </x:c>
      <x:c r="C114" s="11" t="str">
        <x:v>TR-A</x:v>
      </x:c>
      <x:c r="D114" s="11" t="str">
        <x:v>STANDARD</x:v>
      </x:c>
      <x:c r="E114" s="13"/>
      <x:c r="F114" s="11" t="str">
        <x:f>IF(E114="","OPEN",IF(E114="ACCEPTED","CURRENT","DENY"))</x:f>
        <x:v>OPEN</x:v>
      </x:c>
    </x:row>
    <x:row r="115">
      <x:c r="A115" s="11" t="str">
        <x:v>CH-110</x:v>
      </x:c>
      <x:c r="B115" s="11" t="str">
        <x:v>atmosphere and flow</x:v>
      </x:c>
      <x:c r="C115" s="11" t="str">
        <x:v>TR-B</x:v>
      </x:c>
      <x:c r="D115" s="11" t="str">
        <x:v>STANDARD</x:v>
      </x:c>
      <x:c r="E115" s="13"/>
      <x:c r="F115" s="11" t="str">
        <x:f>IF(E115="","OPEN",IF(E115="ACCEPTED","CURRENT","DENY"))</x:f>
        <x:v>OPEN</x:v>
      </x:c>
    </x:row>
    <x:row r="116">
      <x:c r="A116" s="11" t="str">
        <x:v>CH-111</x:v>
      </x:c>
      <x:c r="B116" s="11" t="str">
        <x:v>atmosphere and flow</x:v>
      </x:c>
      <x:c r="C116" s="11" t="str">
        <x:v>TR-A</x:v>
      </x:c>
      <x:c r="D116" s="11" t="str">
        <x:v>STANDARD</x:v>
      </x:c>
      <x:c r="E116" s="13"/>
      <x:c r="F116" s="11" t="str">
        <x:f>IF(E116="","OPEN",IF(E116="ACCEPTED","CURRENT","DENY"))</x:f>
        <x:v>OPEN</x:v>
      </x:c>
    </x:row>
    <x:row r="117">
      <x:c r="A117" s="11" t="str">
        <x:v>CH-112</x:v>
      </x:c>
      <x:c r="B117" s="11" t="str">
        <x:v>atmosphere and flow</x:v>
      </x:c>
      <x:c r="C117" s="11" t="str">
        <x:v>TR-B</x:v>
      </x:c>
      <x:c r="D117" s="11" t="str">
        <x:v>STANDARD</x:v>
      </x:c>
      <x:c r="E117" s="13"/>
      <x:c r="F117" s="11" t="str">
        <x:f>IF(E117="","OPEN",IF(E117="ACCEPTED","CURRENT","DENY"))</x:f>
        <x:v>OPEN</x:v>
      </x:c>
    </x:row>
    <x:row r="118">
      <x:c r="A118" s="11" t="str">
        <x:v>CH-113</x:v>
      </x:c>
      <x:c r="B118" s="11" t="str">
        <x:v>causal time</x:v>
      </x:c>
      <x:c r="C118" s="11" t="str">
        <x:v>TR-A</x:v>
      </x:c>
      <x:c r="D118" s="11" t="str">
        <x:v>STANDARD</x:v>
      </x:c>
      <x:c r="E118" s="13"/>
      <x:c r="F118" s="11" t="str">
        <x:f>IF(E118="","OPEN",IF(E118="ACCEPTED","CURRENT","DENY"))</x:f>
        <x:v>OPEN</x:v>
      </x:c>
    </x:row>
    <x:row r="119">
      <x:c r="A119" s="11" t="str">
        <x:v>CH-114</x:v>
      </x:c>
      <x:c r="B119" s="11" t="str">
        <x:v>causal time</x:v>
      </x:c>
      <x:c r="C119" s="11" t="str">
        <x:v>TR-B</x:v>
      </x:c>
      <x:c r="D119" s="11" t="str">
        <x:v>STANDARD</x:v>
      </x:c>
      <x:c r="E119" s="13"/>
      <x:c r="F119" s="11" t="str">
        <x:f>IF(E119="","OPEN",IF(E119="ACCEPTED","CURRENT","DENY"))</x:f>
        <x:v>OPEN</x:v>
      </x:c>
    </x:row>
    <x:row r="120">
      <x:c r="A120" s="11" t="str">
        <x:v>CH-115</x:v>
      </x:c>
      <x:c r="B120" s="11" t="str">
        <x:v>causal time</x:v>
      </x:c>
      <x:c r="C120" s="11" t="str">
        <x:v>TR-A</x:v>
      </x:c>
      <x:c r="D120" s="11" t="str">
        <x:v>STANDARD</x:v>
      </x:c>
      <x:c r="E120" s="13"/>
      <x:c r="F120" s="11" t="str">
        <x:f>IF(E120="","OPEN",IF(E120="ACCEPTED","CURRENT","DENY"))</x:f>
        <x:v>OPEN</x:v>
      </x:c>
    </x:row>
    <x:row r="121">
      <x:c r="A121" s="11" t="str">
        <x:v>CH-116</x:v>
      </x:c>
      <x:c r="B121" s="11" t="str">
        <x:v>causal time</x:v>
      </x:c>
      <x:c r="C121" s="11" t="str">
        <x:v>TR-B</x:v>
      </x:c>
      <x:c r="D121" s="11" t="str">
        <x:v>STANDARD</x:v>
      </x:c>
      <x:c r="E121" s="13"/>
      <x:c r="F121" s="11" t="str">
        <x:f>IF(E121="","OPEN",IF(E121="ACCEPTED","CURRENT","DENY"))</x:f>
        <x:v>OPEN</x:v>
      </x:c>
    </x:row>
    <x:row r="122">
      <x:c r="A122" s="11" t="str">
        <x:v>CH-117</x:v>
      </x:c>
      <x:c r="B122" s="11" t="str">
        <x:v>causal time</x:v>
      </x:c>
      <x:c r="C122" s="11" t="str">
        <x:v>TR-A</x:v>
      </x:c>
      <x:c r="D122" s="11" t="str">
        <x:v>STANDARD</x:v>
      </x:c>
      <x:c r="E122" s="13"/>
      <x:c r="F122" s="11" t="str">
        <x:f>IF(E122="","OPEN",IF(E122="ACCEPTED","CURRENT","DENY"))</x:f>
        <x:v>OPEN</x:v>
      </x:c>
    </x:row>
    <x:row r="123">
      <x:c r="A123" s="11" t="str">
        <x:v>CH-118</x:v>
      </x:c>
      <x:c r="B123" s="11" t="str">
        <x:v>causal time</x:v>
      </x:c>
      <x:c r="C123" s="11" t="str">
        <x:v>TR-B</x:v>
      </x:c>
      <x:c r="D123" s="11" t="str">
        <x:v>STANDARD</x:v>
      </x:c>
      <x:c r="E123" s="13"/>
      <x:c r="F123" s="11" t="str">
        <x:f>IF(E123="","OPEN",IF(E123="ACCEPTED","CURRENT","DENY"))</x:f>
        <x:v>OPEN</x:v>
      </x:c>
    </x:row>
    <x:row r="124">
      <x:c r="A124" s="11" t="str">
        <x:v>CH-119</x:v>
      </x:c>
      <x:c r="B124" s="11" t="str">
        <x:v>causal time</x:v>
      </x:c>
      <x:c r="C124" s="11" t="str">
        <x:v>TR-A</x:v>
      </x:c>
      <x:c r="D124" s="11" t="str">
        <x:v>STANDARD</x:v>
      </x:c>
      <x:c r="E124" s="13"/>
      <x:c r="F124" s="11" t="str">
        <x:f>IF(E124="","OPEN",IF(E124="ACCEPTED","CURRENT","DENY"))</x:f>
        <x:v>OPEN</x:v>
      </x:c>
    </x:row>
    <x:row r="125">
      <x:c r="A125" s="11" t="str">
        <x:v>CH-120</x:v>
      </x:c>
      <x:c r="B125" s="11" t="str">
        <x:v>causal time</x:v>
      </x:c>
      <x:c r="C125" s="11" t="str">
        <x:v>TR-B</x:v>
      </x:c>
      <x:c r="D125" s="11" t="str">
        <x:v>STANDARD</x:v>
      </x:c>
      <x:c r="E125" s="13"/>
      <x:c r="F125" s="11" t="str">
        <x:f>IF(E125="","OPEN",IF(E125="ACCEPTED","CURRENT","DENY"))</x:f>
        <x:v>OPEN</x:v>
      </x:c>
    </x:row>
    <x:row r="126">
      <x:c r="A126" s="11" t="str">
        <x:v>CH-121</x:v>
      </x:c>
      <x:c r="B126" s="11" t="str">
        <x:v>causal time</x:v>
      </x:c>
      <x:c r="C126" s="11" t="str">
        <x:v>TR-A</x:v>
      </x:c>
      <x:c r="D126" s="11" t="str">
        <x:v>STANDARD</x:v>
      </x:c>
      <x:c r="E126" s="13"/>
      <x:c r="F126" s="11" t="str">
        <x:f>IF(E126="","OPEN",IF(E126="ACCEPTED","CURRENT","DENY"))</x:f>
        <x:v>OPEN</x:v>
      </x:c>
    </x:row>
    <x:row r="127">
      <x:c r="A127" s="11" t="str">
        <x:v>CH-122</x:v>
      </x:c>
      <x:c r="B127" s="11" t="str">
        <x:v>causal time</x:v>
      </x:c>
      <x:c r="C127" s="11" t="str">
        <x:v>TR-B</x:v>
      </x:c>
      <x:c r="D127" s="11" t="str">
        <x:v>STANDARD</x:v>
      </x:c>
      <x:c r="E127" s="13"/>
      <x:c r="F127" s="11" t="str">
        <x:f>IF(E127="","OPEN",IF(E127="ACCEPTED","CURRENT","DENY"))</x:f>
        <x:v>OPEN</x:v>
      </x:c>
    </x:row>
    <x:row r="128">
      <x:c r="A128" s="11" t="str">
        <x:v>CH-123</x:v>
      </x:c>
      <x:c r="B128" s="11" t="str">
        <x:v>causal time</x:v>
      </x:c>
      <x:c r="C128" s="11" t="str">
        <x:v>TR-A</x:v>
      </x:c>
      <x:c r="D128" s="11" t="str">
        <x:v>STANDARD</x:v>
      </x:c>
      <x:c r="E128" s="13"/>
      <x:c r="F128" s="11" t="str">
        <x:f>IF(E128="","OPEN",IF(E128="ACCEPTED","CURRENT","DENY"))</x:f>
        <x:v>OPEN</x:v>
      </x:c>
    </x:row>
    <x:row r="129">
      <x:c r="A129" s="11" t="str">
        <x:v>CH-124</x:v>
      </x:c>
      <x:c r="B129" s="11" t="str">
        <x:v>causal time</x:v>
      </x:c>
      <x:c r="C129" s="11" t="str">
        <x:v>TR-B</x:v>
      </x:c>
      <x:c r="D129" s="11" t="str">
        <x:v>STANDARD</x:v>
      </x:c>
      <x:c r="E129" s="13"/>
      <x:c r="F129" s="11" t="str">
        <x:f>IF(E129="","OPEN",IF(E129="ACCEPTED","CURRENT","DENY"))</x:f>
        <x:v>OPEN</x:v>
      </x:c>
    </x:row>
    <x:row r="130">
      <x:c r="A130" s="11" t="str">
        <x:v>CH-125</x:v>
      </x:c>
      <x:c r="B130" s="11" t="str">
        <x:v>causal time</x:v>
      </x:c>
      <x:c r="C130" s="11" t="str">
        <x:v>TR-A</x:v>
      </x:c>
      <x:c r="D130" s="11" t="str">
        <x:v>STANDARD</x:v>
      </x:c>
      <x:c r="E130" s="13"/>
      <x:c r="F130" s="11" t="str">
        <x:f>IF(E130="","OPEN",IF(E130="ACCEPTED","CURRENT","DENY"))</x:f>
        <x:v>OPEN</x:v>
      </x:c>
    </x:row>
    <x:row r="131">
      <x:c r="A131" s="11" t="str">
        <x:v>CH-126</x:v>
      </x:c>
      <x:c r="B131" s="11" t="str">
        <x:v>causal time</x:v>
      </x:c>
      <x:c r="C131" s="11" t="str">
        <x:v>TR-B</x:v>
      </x:c>
      <x:c r="D131" s="11" t="str">
        <x:v>STANDARD</x:v>
      </x:c>
      <x:c r="E131" s="13"/>
      <x:c r="F131" s="11" t="str">
        <x:f>IF(E131="","OPEN",IF(E131="ACCEPTED","CURRENT","DENY"))</x:f>
        <x:v>OPEN</x:v>
      </x:c>
    </x:row>
    <x:row r="132">
      <x:c r="A132" s="11" t="str">
        <x:v>CH-127</x:v>
      </x:c>
      <x:c r="B132" s="11" t="str">
        <x:v>causal time</x:v>
      </x:c>
      <x:c r="C132" s="11" t="str">
        <x:v>TR-A</x:v>
      </x:c>
      <x:c r="D132" s="11" t="str">
        <x:v>STANDARD</x:v>
      </x:c>
      <x:c r="E132" s="13"/>
      <x:c r="F132" s="11" t="str">
        <x:f>IF(E132="","OPEN",IF(E132="ACCEPTED","CURRENT","DENY"))</x:f>
        <x:v>OPEN</x:v>
      </x:c>
    </x:row>
    <x:row r="133">
      <x:c r="A133" s="11" t="str">
        <x:v>CH-128</x:v>
      </x:c>
      <x:c r="B133" s="11" t="str">
        <x:v>causal time</x:v>
      </x:c>
      <x:c r="C133" s="11" t="str">
        <x:v>TR-B</x:v>
      </x:c>
      <x:c r="D133" s="11" t="str">
        <x:v>STANDARD</x:v>
      </x:c>
      <x:c r="E133" s="13"/>
      <x:c r="F133" s="11" t="str">
        <x:f>IF(E133="","OPEN",IF(E133="ACCEPTED","CURRENT","DENY"))</x:f>
        <x:v>OPEN</x:v>
      </x:c>
    </x:row>
    <x:row r="134">
      <x:c r="A134" s="11" t="str">
        <x:v>CH-129</x:v>
      </x:c>
      <x:c r="B134" s="11" t="str">
        <x:v>safeing state</x:v>
      </x:c>
      <x:c r="C134" s="11" t="str">
        <x:v>TR-A</x:v>
      </x:c>
      <x:c r="D134" s="11" t="str">
        <x:v>STANDARD</x:v>
      </x:c>
      <x:c r="E134" s="13"/>
      <x:c r="F134" s="11" t="str">
        <x:f>IF(E134="","OPEN",IF(E134="ACCEPTED","CURRENT","DENY"))</x:f>
        <x:v>OPEN</x:v>
      </x:c>
    </x:row>
    <x:row r="135">
      <x:c r="A135" s="11" t="str">
        <x:v>CH-130</x:v>
      </x:c>
      <x:c r="B135" s="11" t="str">
        <x:v>safeing state</x:v>
      </x:c>
      <x:c r="C135" s="11" t="str">
        <x:v>TR-B</x:v>
      </x:c>
      <x:c r="D135" s="11" t="str">
        <x:v>STANDARD</x:v>
      </x:c>
      <x:c r="E135" s="13"/>
      <x:c r="F135" s="11" t="str">
        <x:f>IF(E135="","OPEN",IF(E135="ACCEPTED","CURRENT","DENY"))</x:f>
        <x:v>OPEN</x:v>
      </x:c>
    </x:row>
    <x:row r="136">
      <x:c r="A136" s="11" t="str">
        <x:v>CH-131</x:v>
      </x:c>
      <x:c r="B136" s="11" t="str">
        <x:v>safeing state</x:v>
      </x:c>
      <x:c r="C136" s="11" t="str">
        <x:v>TR-A</x:v>
      </x:c>
      <x:c r="D136" s="11" t="str">
        <x:v>STANDARD</x:v>
      </x:c>
      <x:c r="E136" s="13"/>
      <x:c r="F136" s="11" t="str">
        <x:f>IF(E136="","OPEN",IF(E136="ACCEPTED","CURRENT","DENY"))</x:f>
        <x:v>OPEN</x:v>
      </x:c>
    </x:row>
    <x:row r="137">
      <x:c r="A137" s="11" t="str">
        <x:v>CH-132</x:v>
      </x:c>
      <x:c r="B137" s="11" t="str">
        <x:v>safeing state</x:v>
      </x:c>
      <x:c r="C137" s="11" t="str">
        <x:v>TR-B</x:v>
      </x:c>
      <x:c r="D137" s="11" t="str">
        <x:v>STANDARD</x:v>
      </x:c>
      <x:c r="E137" s="13"/>
      <x:c r="F137" s="11" t="str">
        <x:f>IF(E137="","OPEN",IF(E137="ACCEPTED","CURRENT","DENY"))</x:f>
        <x:v>OPEN</x:v>
      </x:c>
    </x:row>
    <x:row r="138">
      <x:c r="A138" s="11" t="str">
        <x:v>CH-133</x:v>
      </x:c>
      <x:c r="B138" s="11" t="str">
        <x:v>safeing state</x:v>
      </x:c>
      <x:c r="C138" s="11" t="str">
        <x:v>TR-A</x:v>
      </x:c>
      <x:c r="D138" s="11" t="str">
        <x:v>STANDARD</x:v>
      </x:c>
      <x:c r="E138" s="13"/>
      <x:c r="F138" s="11" t="str">
        <x:f>IF(E138="","OPEN",IF(E138="ACCEPTED","CURRENT","DENY"))</x:f>
        <x:v>OPEN</x:v>
      </x:c>
    </x:row>
    <x:row r="139">
      <x:c r="A139" s="11" t="str">
        <x:v>CH-134</x:v>
      </x:c>
      <x:c r="B139" s="11" t="str">
        <x:v>safeing state</x:v>
      </x:c>
      <x:c r="C139" s="11" t="str">
        <x:v>TR-B</x:v>
      </x:c>
      <x:c r="D139" s="11" t="str">
        <x:v>STANDARD</x:v>
      </x:c>
      <x:c r="E139" s="13"/>
      <x:c r="F139" s="11" t="str">
        <x:f>IF(E139="","OPEN",IF(E139="ACCEPTED","CURRENT","DENY"))</x:f>
        <x:v>OPEN</x:v>
      </x:c>
    </x:row>
    <x:row r="140">
      <x:c r="A140" s="11" t="str">
        <x:v>CH-135</x:v>
      </x:c>
      <x:c r="B140" s="11" t="str">
        <x:v>safeing state</x:v>
      </x:c>
      <x:c r="C140" s="11" t="str">
        <x:v>TR-A</x:v>
      </x:c>
      <x:c r="D140" s="11" t="str">
        <x:v>STANDARD</x:v>
      </x:c>
      <x:c r="E140" s="13"/>
      <x:c r="F140" s="11" t="str">
        <x:f>IF(E140="","OPEN",IF(E140="ACCEPTED","CURRENT","DENY"))</x:f>
        <x:v>OPEN</x:v>
      </x:c>
    </x:row>
    <x:row r="141">
      <x:c r="A141" s="11" t="str">
        <x:v>CH-136</x:v>
      </x:c>
      <x:c r="B141" s="11" t="str">
        <x:v>safeing state</x:v>
      </x:c>
      <x:c r="C141" s="11" t="str">
        <x:v>TR-B</x:v>
      </x:c>
      <x:c r="D141" s="11" t="str">
        <x:v>STANDARD</x:v>
      </x:c>
      <x:c r="E141" s="13"/>
      <x:c r="F141" s="11" t="str">
        <x:f>IF(E141="","OPEN",IF(E141="ACCEPTED","CURRENT","DENY"))</x:f>
        <x:v>OPEN</x:v>
      </x:c>
    </x:row>
    <x:row r="142">
      <x:c r="A142" s="11" t="str">
        <x:v>CH-137</x:v>
      </x:c>
      <x:c r="B142" s="11" t="str">
        <x:v>safeing state</x:v>
      </x:c>
      <x:c r="C142" s="11" t="str">
        <x:v>TR-A</x:v>
      </x:c>
      <x:c r="D142" s="11" t="str">
        <x:v>STANDARD</x:v>
      </x:c>
      <x:c r="E142" s="13"/>
      <x:c r="F142" s="11" t="str">
        <x:f>IF(E142="","OPEN",IF(E142="ACCEPTED","CURRENT","DENY"))</x:f>
        <x:v>OPEN</x:v>
      </x:c>
    </x:row>
    <x:row r="143">
      <x:c r="A143" s="11" t="str">
        <x:v>CH-138</x:v>
      </x:c>
      <x:c r="B143" s="11" t="str">
        <x:v>safeing state</x:v>
      </x:c>
      <x:c r="C143" s="11" t="str">
        <x:v>TR-B</x:v>
      </x:c>
      <x:c r="D143" s="11" t="str">
        <x:v>STANDARD</x:v>
      </x:c>
      <x:c r="E143" s="13"/>
      <x:c r="F143" s="11" t="str">
        <x:f>IF(E143="","OPEN",IF(E143="ACCEPTED","CURRENT","DENY"))</x:f>
        <x:v>OPEN</x:v>
      </x:c>
    </x:row>
    <x:row r="144">
      <x:c r="A144" s="11" t="str">
        <x:v>CH-139</x:v>
      </x:c>
      <x:c r="B144" s="11" t="str">
        <x:v>safeing state</x:v>
      </x:c>
      <x:c r="C144" s="11" t="str">
        <x:v>TR-A</x:v>
      </x:c>
      <x:c r="D144" s="11" t="str">
        <x:v>STANDARD</x:v>
      </x:c>
      <x:c r="E144" s="13"/>
      <x:c r="F144" s="11" t="str">
        <x:f>IF(E144="","OPEN",IF(E144="ACCEPTED","CURRENT","DENY"))</x:f>
        <x:v>OPEN</x:v>
      </x:c>
    </x:row>
    <x:row r="145">
      <x:c r="A145" s="11" t="str">
        <x:v>CH-140</x:v>
      </x:c>
      <x:c r="B145" s="11" t="str">
        <x:v>safeing state</x:v>
      </x:c>
      <x:c r="C145" s="11" t="str">
        <x:v>TR-B</x:v>
      </x:c>
      <x:c r="D145" s="11" t="str">
        <x:v>STANDARD</x:v>
      </x:c>
      <x:c r="E145" s="13"/>
      <x:c r="F145" s="11" t="str">
        <x:f>IF(E145="","OPEN",IF(E145="ACCEPTED","CURRENT","DENY"))</x:f>
        <x:v>OPEN</x:v>
      </x:c>
    </x:row>
    <x:row r="146">
      <x:c r="A146" s="11" t="str">
        <x:v>CH-141</x:v>
      </x:c>
      <x:c r="B146" s="11" t="str">
        <x:v>safeing state</x:v>
      </x:c>
      <x:c r="C146" s="11" t="str">
        <x:v>TR-A</x:v>
      </x:c>
      <x:c r="D146" s="11" t="str">
        <x:v>STANDARD</x:v>
      </x:c>
      <x:c r="E146" s="13"/>
      <x:c r="F146" s="11" t="str">
        <x:f>IF(E146="","OPEN",IF(E146="ACCEPTED","CURRENT","DENY"))</x:f>
        <x:v>OPEN</x:v>
      </x:c>
    </x:row>
    <x:row r="147">
      <x:c r="A147" s="11" t="str">
        <x:v>CH-142</x:v>
      </x:c>
      <x:c r="B147" s="11" t="str">
        <x:v>safeing state</x:v>
      </x:c>
      <x:c r="C147" s="11" t="str">
        <x:v>TR-B</x:v>
      </x:c>
      <x:c r="D147" s="11" t="str">
        <x:v>STANDARD</x:v>
      </x:c>
      <x:c r="E147" s="13"/>
      <x:c r="F147" s="11" t="str">
        <x:f>IF(E147="","OPEN",IF(E147="ACCEPTED","CURRENT","DENY"))</x:f>
        <x:v>OPEN</x:v>
      </x:c>
    </x:row>
    <x:row r="148">
      <x:c r="A148" s="11" t="str">
        <x:v>CH-143</x:v>
      </x:c>
      <x:c r="B148" s="11" t="str">
        <x:v>safeing state</x:v>
      </x:c>
      <x:c r="C148" s="11" t="str">
        <x:v>TR-A</x:v>
      </x:c>
      <x:c r="D148" s="11" t="str">
        <x:v>STANDARD</x:v>
      </x:c>
      <x:c r="E148" s="13"/>
      <x:c r="F148" s="11" t="str">
        <x:f>IF(E148="","OPEN",IF(E148="ACCEPTED","CURRENT","DENY"))</x:f>
        <x:v>OPEN</x:v>
      </x:c>
    </x:row>
    <x:row r="149">
      <x:c r="A149" s="11" t="str">
        <x:v>CH-144</x:v>
      </x:c>
      <x:c r="B149" s="11" t="str">
        <x:v>safeing state</x:v>
      </x:c>
      <x:c r="C149" s="11" t="str">
        <x:v>TR-B</x:v>
      </x:c>
      <x:c r="D149" s="11" t="str">
        <x:v>STANDARD</x:v>
      </x:c>
      <x:c r="E149" s="13"/>
      <x:c r="F149" s="11" t="str">
        <x:f>IF(E149="","OPEN",IF(E149="ACCEPTED","CURRENT","DENY"))</x:f>
        <x:v>OPEN</x:v>
      </x:c>
    </x:row>
    <x:row r="150">
      <x:c r="A150" s="11" t="str">
        <x:v>CH-145</x:v>
      </x:c>
      <x:c r="B150" s="11" t="str">
        <x:v>environment and neighbor</x:v>
      </x:c>
      <x:c r="C150" s="11" t="str">
        <x:v>TR-A</x:v>
      </x:c>
      <x:c r="D150" s="11" t="str">
        <x:v>STANDARD</x:v>
      </x:c>
      <x:c r="E150" s="13"/>
      <x:c r="F150" s="11" t="str">
        <x:f>IF(E150="","OPEN",IF(E150="ACCEPTED","CURRENT","DENY"))</x:f>
        <x:v>OPEN</x:v>
      </x:c>
    </x:row>
    <x:row r="151">
      <x:c r="A151" s="11" t="str">
        <x:v>CH-146</x:v>
      </x:c>
      <x:c r="B151" s="11" t="str">
        <x:v>environment and neighbor</x:v>
      </x:c>
      <x:c r="C151" s="11" t="str">
        <x:v>TR-B</x:v>
      </x:c>
      <x:c r="D151" s="11" t="str">
        <x:v>STANDARD</x:v>
      </x:c>
      <x:c r="E151" s="13"/>
      <x:c r="F151" s="11" t="str">
        <x:f>IF(E151="","OPEN",IF(E151="ACCEPTED","CURRENT","DENY"))</x:f>
        <x:v>OPEN</x:v>
      </x:c>
    </x:row>
    <x:row r="152">
      <x:c r="A152" s="11" t="str">
        <x:v>CH-147</x:v>
      </x:c>
      <x:c r="B152" s="11" t="str">
        <x:v>environment and neighbor</x:v>
      </x:c>
      <x:c r="C152" s="11" t="str">
        <x:v>TR-A</x:v>
      </x:c>
      <x:c r="D152" s="11" t="str">
        <x:v>STANDARD</x:v>
      </x:c>
      <x:c r="E152" s="13"/>
      <x:c r="F152" s="11" t="str">
        <x:f>IF(E152="","OPEN",IF(E152="ACCEPTED","CURRENT","DENY"))</x:f>
        <x:v>OPEN</x:v>
      </x:c>
    </x:row>
    <x:row r="153">
      <x:c r="A153" s="11" t="str">
        <x:v>CH-148</x:v>
      </x:c>
      <x:c r="B153" s="11" t="str">
        <x:v>environment and neighbor</x:v>
      </x:c>
      <x:c r="C153" s="11" t="str">
        <x:v>TR-B</x:v>
      </x:c>
      <x:c r="D153" s="11" t="str">
        <x:v>STANDARD</x:v>
      </x:c>
      <x:c r="E153" s="13"/>
      <x:c r="F153" s="11" t="str">
        <x:f>IF(E153="","OPEN",IF(E153="ACCEPTED","CURRENT","DENY"))</x:f>
        <x:v>OPEN</x:v>
      </x:c>
    </x:row>
    <x:row r="154">
      <x:c r="A154" s="11" t="str">
        <x:v>CH-149</x:v>
      </x:c>
      <x:c r="B154" s="11" t="str">
        <x:v>environment and neighbor</x:v>
      </x:c>
      <x:c r="C154" s="11" t="str">
        <x:v>TR-A</x:v>
      </x:c>
      <x:c r="D154" s="11" t="str">
        <x:v>STANDARD</x:v>
      </x:c>
      <x:c r="E154" s="13"/>
      <x:c r="F154" s="11" t="str">
        <x:f>IF(E154="","OPEN",IF(E154="ACCEPTED","CURRENT","DENY"))</x:f>
        <x:v>OPEN</x:v>
      </x:c>
    </x:row>
    <x:row r="155">
      <x:c r="A155" s="11" t="str">
        <x:v>CH-150</x:v>
      </x:c>
      <x:c r="B155" s="11" t="str">
        <x:v>environment and neighbor</x:v>
      </x:c>
      <x:c r="C155" s="11" t="str">
        <x:v>TR-B</x:v>
      </x:c>
      <x:c r="D155" s="11" t="str">
        <x:v>STANDARD</x:v>
      </x:c>
      <x:c r="E155" s="13"/>
      <x:c r="F155" s="11" t="str">
        <x:f>IF(E155="","OPEN",IF(E155="ACCEPTED","CURRENT","DENY"))</x:f>
        <x:v>OPEN</x:v>
      </x:c>
    </x:row>
    <x:row r="156">
      <x:c r="A156" s="11" t="str">
        <x:v>CH-151</x:v>
      </x:c>
      <x:c r="B156" s="11" t="str">
        <x:v>environment and neighbor</x:v>
      </x:c>
      <x:c r="C156" s="11" t="str">
        <x:v>TR-A</x:v>
      </x:c>
      <x:c r="D156" s="11" t="str">
        <x:v>STANDARD</x:v>
      </x:c>
      <x:c r="E156" s="13"/>
      <x:c r="F156" s="11" t="str">
        <x:f>IF(E156="","OPEN",IF(E156="ACCEPTED","CURRENT","DENY"))</x:f>
        <x:v>OPEN</x:v>
      </x:c>
    </x:row>
    <x:row r="157">
      <x:c r="A157" s="11" t="str">
        <x:v>CH-152</x:v>
      </x:c>
      <x:c r="B157" s="11" t="str">
        <x:v>environment and neighbor</x:v>
      </x:c>
      <x:c r="C157" s="11" t="str">
        <x:v>TR-B</x:v>
      </x:c>
      <x:c r="D157" s="11" t="str">
        <x:v>STANDARD</x:v>
      </x:c>
      <x:c r="E157" s="13"/>
      <x:c r="F157" s="11" t="str">
        <x:f>IF(E157="","OPEN",IF(E157="ACCEPTED","CURRENT","DENY"))</x:f>
        <x:v>OPEN</x:v>
      </x:c>
    </x:row>
    <x:row r="158">
      <x:c r="A158" s="11" t="str">
        <x:v>CH-153</x:v>
      </x:c>
      <x:c r="B158" s="11" t="str">
        <x:v>environment and neighbor</x:v>
      </x:c>
      <x:c r="C158" s="11" t="str">
        <x:v>TR-A</x:v>
      </x:c>
      <x:c r="D158" s="11" t="str">
        <x:v>STANDARD</x:v>
      </x:c>
      <x:c r="E158" s="13"/>
      <x:c r="F158" s="11" t="str">
        <x:f>IF(E158="","OPEN",IF(E158="ACCEPTED","CURRENT","DENY"))</x:f>
        <x:v>OPEN</x:v>
      </x:c>
    </x:row>
    <x:row r="159">
      <x:c r="A159" s="11" t="str">
        <x:v>CH-154</x:v>
      </x:c>
      <x:c r="B159" s="11" t="str">
        <x:v>environment and neighbor</x:v>
      </x:c>
      <x:c r="C159" s="11" t="str">
        <x:v>TR-B</x:v>
      </x:c>
      <x:c r="D159" s="11" t="str">
        <x:v>STANDARD</x:v>
      </x:c>
      <x:c r="E159" s="13"/>
      <x:c r="F159" s="11" t="str">
        <x:f>IF(E159="","OPEN",IF(E159="ACCEPTED","CURRENT","DENY"))</x:f>
        <x:v>OPEN</x:v>
      </x:c>
    </x:row>
    <x:row r="160">
      <x:c r="A160" s="11" t="str">
        <x:v>CH-155</x:v>
      </x:c>
      <x:c r="B160" s="11" t="str">
        <x:v>environment and neighbor</x:v>
      </x:c>
      <x:c r="C160" s="11" t="str">
        <x:v>TR-A</x:v>
      </x:c>
      <x:c r="D160" s="11" t="str">
        <x:v>STANDARD</x:v>
      </x:c>
      <x:c r="E160" s="13"/>
      <x:c r="F160" s="11" t="str">
        <x:f>IF(E160="","OPEN",IF(E160="ACCEPTED","CURRENT","DENY"))</x:f>
        <x:v>OPEN</x:v>
      </x:c>
    </x:row>
    <x:row r="161">
      <x:c r="A161" s="11" t="str">
        <x:v>CH-156</x:v>
      </x:c>
      <x:c r="B161" s="11" t="str">
        <x:v>environment and neighbor</x:v>
      </x:c>
      <x:c r="C161" s="11" t="str">
        <x:v>TR-B</x:v>
      </x:c>
      <x:c r="D161" s="11" t="str">
        <x:v>STANDARD</x:v>
      </x:c>
      <x:c r="E161" s="13"/>
      <x:c r="F161" s="11" t="str">
        <x:f>IF(E161="","OPEN",IF(E161="ACCEPTED","CURRENT","DENY"))</x:f>
        <x:v>OPEN</x:v>
      </x:c>
    </x:row>
    <x:row r="162">
      <x:c r="A162" s="11" t="str">
        <x:v>CH-157</x:v>
      </x:c>
      <x:c r="B162" s="11" t="str">
        <x:v>environment and neighbor</x:v>
      </x:c>
      <x:c r="C162" s="11" t="str">
        <x:v>TR-A</x:v>
      </x:c>
      <x:c r="D162" s="11" t="str">
        <x:v>STANDARD</x:v>
      </x:c>
      <x:c r="E162" s="13"/>
      <x:c r="F162" s="11" t="str">
        <x:f>IF(E162="","OPEN",IF(E162="ACCEPTED","CURRENT","DENY"))</x:f>
        <x:v>OPEN</x:v>
      </x:c>
    </x:row>
    <x:row r="163">
      <x:c r="A163" s="11" t="str">
        <x:v>CH-158</x:v>
      </x:c>
      <x:c r="B163" s="11" t="str">
        <x:v>environment and neighbor</x:v>
      </x:c>
      <x:c r="C163" s="11" t="str">
        <x:v>TR-B</x:v>
      </x:c>
      <x:c r="D163" s="11" t="str">
        <x:v>STANDARD</x:v>
      </x:c>
      <x:c r="E163" s="13"/>
      <x:c r="F163" s="11" t="str">
        <x:f>IF(E163="","OPEN",IF(E163="ACCEPTED","CURRENT","DENY"))</x:f>
        <x:v>OPEN</x:v>
      </x:c>
    </x:row>
    <x:row r="164">
      <x:c r="A164" s="11" t="str">
        <x:v>CH-159</x:v>
      </x:c>
      <x:c r="B164" s="11" t="str">
        <x:v>environment and neighbor</x:v>
      </x:c>
      <x:c r="C164" s="11" t="str">
        <x:v>TR-A</x:v>
      </x:c>
      <x:c r="D164" s="11" t="str">
        <x:v>STANDARD</x:v>
      </x:c>
      <x:c r="E164" s="13"/>
      <x:c r="F164" s="11" t="str">
        <x:f>IF(E164="","OPEN",IF(E164="ACCEPTED","CURRENT","DENY"))</x:f>
        <x:v>OPEN</x:v>
      </x:c>
    </x:row>
    <x:row r="165">
      <x:c r="A165" s="11" t="str">
        <x:v>CH-160</x:v>
      </x:c>
      <x:c r="B165" s="11" t="str">
        <x:v>environment and neighbor</x:v>
      </x:c>
      <x:c r="C165" s="11" t="str">
        <x:v>TR-B</x:v>
      </x:c>
      <x:c r="D165" s="11" t="str">
        <x:v>STANDARD</x:v>
      </x:c>
      <x:c r="E165" s="13"/>
      <x:c r="F165" s="11" t="str">
        <x:f>IF(E165="","OPEN",IF(E165="ACCEPTED","CURRENT","DENY"))</x:f>
        <x:v>OPEN</x:v>
      </x:c>
    </x:row>
  </x:sheetData>
  <x:mergeCells>
    <x:mergeCell ref="A2:F2"/>
  </x:mergeCells>
  <x:conditionalFormatting sqref="F6:F165">
    <x:cfRule type="containsText" dxfId="40" priority="1" operator="containsText" text="DENY"/>
    <x:cfRule type="containsText" dxfId="41" priority="2" operator="containsText" text="ADVERSE"/>
    <x:cfRule type="containsText" dxfId="42" priority="3" operator="containsText" text="FAIL"/>
    <x:cfRule type="containsText" dxfId="4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1919996b8e44fc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21" hidden="0" customWidth="1"/>
    <x:col min="5" max="5" width="19" hidden="0" customWidth="1"/>
    <x:col min="6" max="6" width="15" hidden="0" customWidth="1"/>
  </x:cols>
  <x:sheetData>
    <x:row r="2" ht="26" customHeight="1">
      <x:c r="A2" s="18" t="str">
        <x:v>Twelve physical safeing paths</x:v>
      </x:c>
      <x:c r="B2" s="18" t="str">
        <x:v>Twelve physical safeing paths</x:v>
      </x:c>
      <x:c r="C2" s="18" t="str">
        <x:v>Twelve physical safeing paths</x:v>
      </x:c>
      <x:c r="D2" s="18" t="str">
        <x:v>Twelve physical safeing paths</x:v>
      </x:c>
      <x:c r="E2" s="18" t="str">
        <x:v>Twelve physical safeing paths</x:v>
      </x:c>
      <x:c r="F2" s="18" t="str">
        <x:v>Twelve physical safeing paths</x:v>
      </x:c>
    </x:row>
    <x:row r="3">
      <x:c r="A3" s="19"/>
      <x:c r="B3" s="19"/>
      <x:c r="C3" s="19"/>
      <x:c r="D3" s="19"/>
      <x:c r="E3" s="19"/>
      <x:c r="F3" s="19"/>
    </x:row>
    <x:row r="4">
      <x:c r="A4" s="20"/>
      <x:c r="B4" s="20"/>
      <x:c r="C4" s="20"/>
      <x:c r="D4" s="20"/>
      <x:c r="E4" s="20"/>
      <x:c r="F4" s="20"/>
    </x:row>
    <x:row r="5">
      <x:c r="A5" s="9" t="str">
        <x:v>Path</x:v>
      </x:c>
      <x:c r="B5" s="9" t="str">
        <x:v>Function</x:v>
      </x:c>
      <x:c r="C5" s="9" t="str">
        <x:v>Independent energy</x:v>
      </x:c>
      <x:c r="D5" s="9" t="str">
        <x:v>Final-state witness</x:v>
      </x:c>
      <x:c r="E5" s="9" t="str">
        <x:v>Drill acceptance</x:v>
      </x:c>
      <x:c r="F5" s="9" t="str">
        <x:v>State</x:v>
      </x:c>
    </x:row>
    <x:row r="6">
      <x:c r="A6" s="11" t="str">
        <x:v>SP-01</x:v>
      </x:c>
      <x:c r="B6" s="11" t="str">
        <x:v>energy-source isolation</x:v>
      </x:c>
      <x:c r="C6" s="13"/>
      <x:c r="D6" s="13"/>
      <x:c r="E6" s="13"/>
      <x:c r="F6" s="11" t="str">
        <x:f>IF(COUNTA(C6:E6)&lt;3,"OPEN",IF(AND(C6="YES",D6="YES",E6="ACCEPTED"),"ACCEPTED","DENY"))</x:f>
        <x:v>OPEN</x:v>
      </x:c>
    </x:row>
    <x:row r="7">
      <x:c r="A7" s="11" t="str">
        <x:v>SP-02</x:v>
      </x:c>
      <x:c r="B7" s="11" t="str">
        <x:v>local inhibit</x:v>
      </x:c>
      <x:c r="C7" s="13"/>
      <x:c r="D7" s="13"/>
      <x:c r="E7" s="13"/>
      <x:c r="F7" s="11" t="str">
        <x:f>IF(COUNTA(C7:E7)&lt;3,"OPEN",IF(AND(C7="YES",D7="YES",E7="ACCEPTED"),"ACCEPTED","DENY"))</x:f>
        <x:v>OPEN</x:v>
      </x:c>
    </x:row>
    <x:row r="8">
      <x:c r="A8" s="11" t="str">
        <x:v>SP-03</x:v>
      </x:c>
      <x:c r="B8" s="11" t="str">
        <x:v>independent trip</x:v>
      </x:c>
      <x:c r="C8" s="13"/>
      <x:c r="D8" s="13"/>
      <x:c r="E8" s="13"/>
      <x:c r="F8" s="11" t="str">
        <x:f>IF(COUNTA(C8:E8)&lt;3,"OPEN",IF(AND(C8="YES",D8="YES",E8="ACCEPTED"),"ACCEPTED","DENY"))</x:f>
        <x:v>OPEN</x:v>
      </x:c>
    </x:row>
    <x:row r="9">
      <x:c r="A9" s="11" t="str">
        <x:v>SP-04</x:v>
      </x:c>
      <x:c r="B9" s="11" t="str">
        <x:v>passive disconnect</x:v>
      </x:c>
      <x:c r="C9" s="13"/>
      <x:c r="D9" s="13"/>
      <x:c r="E9" s="13"/>
      <x:c r="F9" s="11" t="str">
        <x:f>IF(COUNTA(C9:E9)&lt;3,"OPEN",IF(AND(C9="YES",D9="YES",E9="ACCEPTED"),"ACCEPTED","DENY"))</x:f>
        <x:v>OPEN</x:v>
      </x:c>
    </x:row>
    <x:row r="10">
      <x:c r="A10" s="11" t="str">
        <x:v>SP-05</x:v>
      </x:c>
      <x:c r="B10" s="11" t="str">
        <x:v>discharge prevention</x:v>
      </x:c>
      <x:c r="C10" s="13"/>
      <x:c r="D10" s="13"/>
      <x:c r="E10" s="13"/>
      <x:c r="F10" s="11" t="str">
        <x:f>IF(COUNTA(C10:E10)&lt;3,"OPEN",IF(AND(C10="YES",D10="YES",E10="ACCEPTED"),"ACCEPTED","DENY"))</x:f>
        <x:v>OPEN</x:v>
      </x:c>
    </x:row>
    <x:row r="11">
      <x:c r="A11" s="11" t="str">
        <x:v>SP-06</x:v>
      </x:c>
      <x:c r="B11" s="11" t="str">
        <x:v>residual-energy drain</x:v>
      </x:c>
      <x:c r="C11" s="13"/>
      <x:c r="D11" s="13"/>
      <x:c r="E11" s="13"/>
      <x:c r="F11" s="11" t="str">
        <x:f>IF(COUNTA(C11:E11)&lt;3,"OPEN",IF(AND(C11="YES",D11="YES",E11="ACCEPTED"),"ACCEPTED","DENY"))</x:f>
        <x:v>OPEN</x:v>
      </x:c>
    </x:row>
    <x:row r="12">
      <x:c r="A12" s="11" t="str">
        <x:v>SP-07</x:v>
      </x:c>
      <x:c r="B12" s="11" t="str">
        <x:v>geometry withdrawal</x:v>
      </x:c>
      <x:c r="C12" s="13"/>
      <x:c r="D12" s="13"/>
      <x:c r="E12" s="13"/>
      <x:c r="F12" s="11" t="str">
        <x:f>IF(COUNTA(C12:E12)&lt;3,"OPEN",IF(AND(C12="YES",D12="YES",E12="ACCEPTED"),"ACCEPTED","DENY"))</x:f>
        <x:v>OPEN</x:v>
      </x:c>
    </x:row>
    <x:row r="13">
      <x:c r="A13" s="11" t="str">
        <x:v>SP-08</x:v>
      </x:c>
      <x:c r="B13" s="11" t="str">
        <x:v>hot-state isolation</x:v>
      </x:c>
      <x:c r="C13" s="13"/>
      <x:c r="D13" s="13"/>
      <x:c r="E13" s="13"/>
      <x:c r="F13" s="11" t="str">
        <x:f>IF(COUNTA(C13:E13)&lt;3,"OPEN",IF(AND(C13="YES",D13="YES",E13="ACCEPTED"),"ACCEPTED","DENY"))</x:f>
        <x:v>OPEN</x:v>
      </x:c>
    </x:row>
    <x:row r="14">
      <x:c r="A14" s="11" t="str">
        <x:v>SP-09</x:v>
      </x:c>
      <x:c r="B14" s="11" t="str">
        <x:v>atmosphere alarm</x:v>
      </x:c>
      <x:c r="C14" s="13"/>
      <x:c r="D14" s="13"/>
      <x:c r="E14" s="13"/>
      <x:c r="F14" s="11" t="str">
        <x:f>IF(COUNTA(C14:E14)&lt;3,"OPEN",IF(AND(C14="YES",D14="YES",E14="ACCEPTED"),"ACCEPTED","DENY"))</x:f>
        <x:v>OPEN</x:v>
      </x:c>
    </x:row>
    <x:row r="15">
      <x:c r="A15" s="11" t="str">
        <x:v>SP-10</x:v>
      </x:c>
      <x:c r="B15" s="11" t="str">
        <x:v>evidence latch</x:v>
      </x:c>
      <x:c r="C15" s="13"/>
      <x:c r="D15" s="13"/>
      <x:c r="E15" s="13"/>
      <x:c r="F15" s="11" t="str">
        <x:f>IF(COUNTA(C15:E15)&lt;3,"OPEN",IF(AND(C15="YES",D15="YES",E15="ACCEPTED"),"ACCEPTED","DENY"))</x:f>
        <x:v>OPEN</x:v>
      </x:c>
    </x:row>
    <x:row r="16">
      <x:c r="A16" s="11" t="str">
        <x:v>SP-11</x:v>
      </x:c>
      <x:c r="B16" s="11" t="str">
        <x:v>remote stop</x:v>
      </x:c>
      <x:c r="C16" s="13"/>
      <x:c r="D16" s="13"/>
      <x:c r="E16" s="13"/>
      <x:c r="F16" s="11" t="str">
        <x:f>IF(COUNTA(C16:E16)&lt;3,"OPEN",IF(AND(C16="YES",D16="YES",E16="ACCEPTED"),"ACCEPTED","DENY"))</x:f>
        <x:v>OPEN</x:v>
      </x:c>
    </x:row>
    <x:row r="17">
      <x:c r="A17" s="11" t="str">
        <x:v>SP-12</x:v>
      </x:c>
      <x:c r="B17" s="11" t="str">
        <x:v>manual protected stop</x:v>
      </x:c>
      <x:c r="C17" s="13"/>
      <x:c r="D17" s="13"/>
      <x:c r="E17" s="13"/>
      <x:c r="F17" s="11" t="str">
        <x:f>IF(COUNTA(C17:E17)&lt;3,"OPEN",IF(AND(C17="YES",D17="YES",E17="ACCEPTED"),"ACCEPTED","DENY"))</x:f>
        <x:v>OPEN</x:v>
      </x:c>
    </x:row>
  </x:sheetData>
  <x:mergeCells>
    <x:mergeCell ref="A2:F2"/>
  </x:mergeCells>
  <x:conditionalFormatting sqref="F6:F17">
    <x:cfRule type="containsText" dxfId="44" priority="1" operator="containsText" text="DENY"/>
    <x:cfRule type="containsText" dxfId="45" priority="2" operator="containsText" text="ADVERSE"/>
    <x:cfRule type="containsText" dxfId="46" priority="3" operator="containsText" text="FAIL"/>
    <x:cfRule type="containsText" dxfId="47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4ef50de9184749f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21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6" hidden="0" customWidth="1"/>
    <x:col min="10" max="10" width="19" hidden="0" customWidth="1"/>
    <x:col min="11" max="11" width="16" hidden="0" customWidth="1"/>
    <x:col min="12" max="12" width="15" hidden="0" customWidth="1"/>
  </x:cols>
  <x:sheetData>
    <x:row r="2" ht="26" customHeight="1">
      <x:c r="A2" s="18" t="str">
        <x:v>Sixteen dry-return cycles</x:v>
      </x:c>
      <x:c r="B2" s="18" t="str">
        <x:v>Sixteen dry-return cycles</x:v>
      </x:c>
      <x:c r="C2" s="18" t="str">
        <x:v>Sixteen dry-return cycles</x:v>
      </x:c>
      <x:c r="D2" s="18" t="str">
        <x:v>Sixteen dry-return cycles</x:v>
      </x:c>
      <x:c r="E2" s="18" t="str">
        <x:v>Sixteen dry-return cycles</x:v>
      </x:c>
      <x:c r="F2" s="18" t="str">
        <x:v>Sixteen dry-return cycles</x:v>
      </x:c>
      <x:c r="G2" s="18" t="str">
        <x:v>Sixteen dry-return cycles</x:v>
      </x:c>
      <x:c r="H2" s="18" t="str">
        <x:v>Sixteen dry-return cycles</x:v>
      </x:c>
      <x:c r="I2" s="18" t="str">
        <x:v>Sixteen dry-return cycles</x:v>
      </x:c>
      <x:c r="J2" s="18" t="str">
        <x:v>Sixteen dry-return cycles</x:v>
      </x:c>
      <x:c r="K2" s="18" t="str">
        <x:v>Sixteen dry-return cycles</x:v>
      </x:c>
      <x:c r="L2" s="18" t="str">
        <x:v>Sixteen dry-return cycles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  <x:row r="5">
      <x:c r="A5" s="9" t="str">
        <x:v>Event</x:v>
      </x:c>
      <x:c r="B5" s="9" t="str">
        <x:v>Assembly</x:v>
      </x:c>
      <x:c r="C5" s="9" t="str">
        <x:v>Elapsed h</x:v>
      </x:c>
      <x:c r="D5" s="9" t="str">
        <x:v>One-hour temperature</x:v>
      </x:c>
      <x:c r="E5" s="9" t="str">
        <x:v>24 h electrical</x:v>
      </x:c>
      <x:c r="F5" s="9" t="str">
        <x:v>24 h geometry</x:v>
      </x:c>
      <x:c r="G5" s="9" t="str">
        <x:v>Three-day drift</x:v>
      </x:c>
      <x:c r="H5" s="9" t="str">
        <x:v>Evidence replay</x:v>
      </x:c>
      <x:c r="I5" s="9" t="str">
        <x:v>Safeing replay</x:v>
      </x:c>
      <x:c r="J5" s="9" t="str">
        <x:v>Day-seven baseline</x:v>
      </x:c>
      <x:c r="K5" s="9" t="str">
        <x:v>Authority</x:v>
      </x:c>
      <x:c r="L5" s="9" t="str">
        <x:v>State</x:v>
      </x:c>
    </x:row>
    <x:row r="6">
      <x:c r="A6" s="11" t="str">
        <x:v>EV-01</x:v>
      </x:c>
      <x:c r="B6" s="11" t="str">
        <x:v>IGN-01</x:v>
      </x:c>
      <x:c r="C6" s="13"/>
      <x:c r="D6" s="13"/>
      <x:c r="E6" s="13"/>
      <x:c r="F6" s="13"/>
      <x:c r="G6" s="13"/>
      <x:c r="H6" s="13"/>
      <x:c r="I6" s="13"/>
      <x:c r="J6" s="13"/>
      <x:c r="K6" s="13"/>
      <x:c r="L6" s="11" t="str">
        <x:f>IF(OR(COUNT(C6)&lt;1,COUNTA(D6:K6)&lt;8),"OPEN",IF(AND(C6&gt;='Assumptions'!$B$30,D6="PASS",E6="PASS",F6="PASS",G6="PASS",H6="PASS",I6="PASS",J6="PASS",K6="ACCEPTED"),"ACCEPTED","DENY"))</x:f>
        <x:v>OPEN</x:v>
      </x:c>
    </x:row>
    <x:row r="7">
      <x:c r="A7" s="11" t="str">
        <x:v>EV-02</x:v>
      </x:c>
      <x:c r="B7" s="11" t="str">
        <x:v>IGN-02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1" t="str">
        <x:f>IF(OR(COUNT(C7)&lt;1,COUNTA(D7:K7)&lt;8),"OPEN",IF(AND(C7&gt;='Assumptions'!$B$30,D7="PASS",E7="PASS",F7="PASS",G7="PASS",H7="PASS",I7="PASS",J7="PASS",K7="ACCEPTED"),"ACCEPTED","DENY"))</x:f>
        <x:v>OPEN</x:v>
      </x:c>
    </x:row>
    <x:row r="8">
      <x:c r="A8" s="11" t="str">
        <x:v>EV-03</x:v>
      </x:c>
      <x:c r="B8" s="11" t="str">
        <x:v>IGN-03</x:v>
      </x:c>
      <x:c r="C8" s="13"/>
      <x:c r="D8" s="13"/>
      <x:c r="E8" s="13"/>
      <x:c r="F8" s="13"/>
      <x:c r="G8" s="13"/>
      <x:c r="H8" s="13"/>
      <x:c r="I8" s="13"/>
      <x:c r="J8" s="13"/>
      <x:c r="K8" s="13"/>
      <x:c r="L8" s="11" t="str">
        <x:f>IF(OR(COUNT(C8)&lt;1,COUNTA(D8:K8)&lt;8),"OPEN",IF(AND(C8&gt;='Assumptions'!$B$30,D8="PASS",E8="PASS",F8="PASS",G8="PASS",H8="PASS",I8="PASS",J8="PASS",K8="ACCEPTED"),"ACCEPTED","DENY"))</x:f>
        <x:v>OPEN</x:v>
      </x:c>
    </x:row>
    <x:row r="9">
      <x:c r="A9" s="11" t="str">
        <x:v>EV-04</x:v>
      </x:c>
      <x:c r="B9" s="11" t="str">
        <x:v>IGN-04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1" t="str">
        <x:f>IF(OR(COUNT(C9)&lt;1,COUNTA(D9:K9)&lt;8),"OPEN",IF(AND(C9&gt;='Assumptions'!$B$30,D9="PASS",E9="PASS",F9="PASS",G9="PASS",H9="PASS",I9="PASS",J9="PASS",K9="ACCEPTED"),"ACCEPTED","DENY"))</x:f>
        <x:v>OPEN</x:v>
      </x:c>
    </x:row>
    <x:row r="10">
      <x:c r="A10" s="11" t="str">
        <x:v>EV-05</x:v>
      </x:c>
      <x:c r="B10" s="11" t="str">
        <x:v>IGN-05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1" t="str">
        <x:f>IF(OR(COUNT(C10)&lt;1,COUNTA(D10:K10)&lt;8),"OPEN",IF(AND(C10&gt;='Assumptions'!$B$30,D10="PASS",E10="PASS",F10="PASS",G10="PASS",H10="PASS",I10="PASS",J10="PASS",K10="ACCEPTED"),"ACCEPTED","DENY"))</x:f>
        <x:v>OPEN</x:v>
      </x:c>
    </x:row>
    <x:row r="11">
      <x:c r="A11" s="11" t="str">
        <x:v>EV-06</x:v>
      </x:c>
      <x:c r="B11" s="11" t="str">
        <x:v>IGN-06</x:v>
      </x:c>
      <x:c r="C11" s="13"/>
      <x:c r="D11" s="13"/>
      <x:c r="E11" s="13"/>
      <x:c r="F11" s="13"/>
      <x:c r="G11" s="13"/>
      <x:c r="H11" s="13"/>
      <x:c r="I11" s="13"/>
      <x:c r="J11" s="13"/>
      <x:c r="K11" s="13"/>
      <x:c r="L11" s="11" t="str">
        <x:f>IF(OR(COUNT(C11)&lt;1,COUNTA(D11:K11)&lt;8),"OPEN",IF(AND(C11&gt;='Assumptions'!$B$30,D11="PASS",E11="PASS",F11="PASS",G11="PASS",H11="PASS",I11="PASS",J11="PASS",K11="ACCEPTED"),"ACCEPTED","DENY"))</x:f>
        <x:v>OPEN</x:v>
      </x:c>
    </x:row>
    <x:row r="12">
      <x:c r="A12" s="11" t="str">
        <x:v>EV-07</x:v>
      </x:c>
      <x:c r="B12" s="11" t="str">
        <x:v>IGN-07</x:v>
      </x:c>
      <x:c r="C12" s="13"/>
      <x:c r="D12" s="13"/>
      <x:c r="E12" s="13"/>
      <x:c r="F12" s="13"/>
      <x:c r="G12" s="13"/>
      <x:c r="H12" s="13"/>
      <x:c r="I12" s="13"/>
      <x:c r="J12" s="13"/>
      <x:c r="K12" s="13"/>
      <x:c r="L12" s="11" t="str">
        <x:f>IF(OR(COUNT(C12)&lt;1,COUNTA(D12:K12)&lt;8),"OPEN",IF(AND(C12&gt;='Assumptions'!$B$30,D12="PASS",E12="PASS",F12="PASS",G12="PASS",H12="PASS",I12="PASS",J12="PASS",K12="ACCEPTED"),"ACCEPTED","DENY"))</x:f>
        <x:v>OPEN</x:v>
      </x:c>
    </x:row>
    <x:row r="13">
      <x:c r="A13" s="11" t="str">
        <x:v>EV-08</x:v>
      </x:c>
      <x:c r="B13" s="11" t="str">
        <x:v>IGN-08</x:v>
      </x:c>
      <x:c r="C13" s="13"/>
      <x:c r="D13" s="13"/>
      <x:c r="E13" s="13"/>
      <x:c r="F13" s="13"/>
      <x:c r="G13" s="13"/>
      <x:c r="H13" s="13"/>
      <x:c r="I13" s="13"/>
      <x:c r="J13" s="13"/>
      <x:c r="K13" s="13"/>
      <x:c r="L13" s="11" t="str">
        <x:f>IF(OR(COUNT(C13)&lt;1,COUNTA(D13:K13)&lt;8),"OPEN",IF(AND(C13&gt;='Assumptions'!$B$30,D13="PASS",E13="PASS",F13="PASS",G13="PASS",H13="PASS",I13="PASS",J13="PASS",K13="ACCEPTED"),"ACCEPTED","DENY"))</x:f>
        <x:v>OPEN</x:v>
      </x:c>
    </x:row>
    <x:row r="14">
      <x:c r="A14" s="11" t="str">
        <x:v>EV-09</x:v>
      </x:c>
      <x:c r="B14" s="11" t="str">
        <x:v>IGN-09</x:v>
      </x:c>
      <x:c r="C14" s="13"/>
      <x:c r="D14" s="13"/>
      <x:c r="E14" s="13"/>
      <x:c r="F14" s="13"/>
      <x:c r="G14" s="13"/>
      <x:c r="H14" s="13"/>
      <x:c r="I14" s="13"/>
      <x:c r="J14" s="13"/>
      <x:c r="K14" s="13"/>
      <x:c r="L14" s="11" t="str">
        <x:f>IF(OR(COUNT(C14)&lt;1,COUNTA(D14:K14)&lt;8),"OPEN",IF(AND(C14&gt;='Assumptions'!$B$30,D14="PASS",E14="PASS",F14="PASS",G14="PASS",H14="PASS",I14="PASS",J14="PASS",K14="ACCEPTED"),"ACCEPTED","DENY"))</x:f>
        <x:v>OPEN</x:v>
      </x:c>
    </x:row>
    <x:row r="15">
      <x:c r="A15" s="11" t="str">
        <x:v>EV-10</x:v>
      </x:c>
      <x:c r="B15" s="11" t="str">
        <x:v>IGN-10</x:v>
      </x:c>
      <x:c r="C15" s="13"/>
      <x:c r="D15" s="13"/>
      <x:c r="E15" s="13"/>
      <x:c r="F15" s="13"/>
      <x:c r="G15" s="13"/>
      <x:c r="H15" s="13"/>
      <x:c r="I15" s="13"/>
      <x:c r="J15" s="13"/>
      <x:c r="K15" s="13"/>
      <x:c r="L15" s="11" t="str">
        <x:f>IF(OR(COUNT(C15)&lt;1,COUNTA(D15:K15)&lt;8),"OPEN",IF(AND(C15&gt;='Assumptions'!$B$30,D15="PASS",E15="PASS",F15="PASS",G15="PASS",H15="PASS",I15="PASS",J15="PASS",K15="ACCEPTED"),"ACCEPTED","DENY"))</x:f>
        <x:v>OPEN</x:v>
      </x:c>
    </x:row>
    <x:row r="16">
      <x:c r="A16" s="11" t="str">
        <x:v>EV-11</x:v>
      </x:c>
      <x:c r="B16" s="11" t="str">
        <x:v>IGN-11</x:v>
      </x:c>
      <x:c r="C16" s="13"/>
      <x:c r="D16" s="13"/>
      <x:c r="E16" s="13"/>
      <x:c r="F16" s="13"/>
      <x:c r="G16" s="13"/>
      <x:c r="H16" s="13"/>
      <x:c r="I16" s="13"/>
      <x:c r="J16" s="13"/>
      <x:c r="K16" s="13"/>
      <x:c r="L16" s="11" t="str">
        <x:f>IF(OR(COUNT(C16)&lt;1,COUNTA(D16:K16)&lt;8),"OPEN",IF(AND(C16&gt;='Assumptions'!$B$30,D16="PASS",E16="PASS",F16="PASS",G16="PASS",H16="PASS",I16="PASS",J16="PASS",K16="ACCEPTED"),"ACCEPTED","DENY"))</x:f>
        <x:v>OPEN</x:v>
      </x:c>
    </x:row>
    <x:row r="17">
      <x:c r="A17" s="11" t="str">
        <x:v>EV-12</x:v>
      </x:c>
      <x:c r="B17" s="11" t="str">
        <x:v>IGN-12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1" t="str">
        <x:f>IF(OR(COUNT(C17)&lt;1,COUNTA(D17:K17)&lt;8),"OPEN",IF(AND(C17&gt;='Assumptions'!$B$30,D17="PASS",E17="PASS",F17="PASS",G17="PASS",H17="PASS",I17="PASS",J17="PASS",K17="ACCEPTED"),"ACCEPTED","DENY"))</x:f>
        <x:v>OPEN</x:v>
      </x:c>
    </x:row>
    <x:row r="18">
      <x:c r="A18" s="11" t="str">
        <x:v>EV-13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1" t="str">
        <x:f>IF(OR(COUNT(C18)&lt;1,COUNTA(D18:K18)&lt;8),"OPEN",IF(AND(C18&gt;='Assumptions'!$B$30,D18="PASS",E18="PASS",F18="PASS",G18="PASS",H18="PASS",I18="PASS",J18="PASS",K18="ACCEPTED"),"ACCEPTED","DENY"))</x:f>
        <x:v>OPEN</x:v>
      </x:c>
    </x:row>
    <x:row r="19">
      <x:c r="A19" s="11" t="str">
        <x:v>EV-14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1" t="str">
        <x:f>IF(OR(COUNT(C19)&lt;1,COUNTA(D19:K19)&lt;8),"OPEN",IF(AND(C19&gt;='Assumptions'!$B$30,D19="PASS",E19="PASS",F19="PASS",G19="PASS",H19="PASS",I19="PASS",J19="PASS",K19="ACCEPTED"),"ACCEPTED","DENY"))</x:f>
        <x:v>OPEN</x:v>
      </x:c>
    </x:row>
    <x:row r="20">
      <x:c r="A20" s="11" t="str">
        <x:v>EV-15</x:v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1" t="str">
        <x:f>IF(OR(COUNT(C20)&lt;1,COUNTA(D20:K20)&lt;8),"OPEN",IF(AND(C20&gt;='Assumptions'!$B$30,D20="PASS",E20="PASS",F20="PASS",G20="PASS",H20="PASS",I20="PASS",J20="PASS",K20="ACCEPTED"),"ACCEPTED","DENY"))</x:f>
        <x:v>OPEN</x:v>
      </x:c>
    </x:row>
    <x:row r="21">
      <x:c r="A21" s="11" t="str">
        <x:v>EV-16</x:v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1" t="str">
        <x:f>IF(OR(COUNT(C21)&lt;1,COUNTA(D21:K21)&lt;8),"OPEN",IF(AND(C21&gt;='Assumptions'!$B$30,D21="PASS",E21="PASS",F21="PASS",G21="PASS",H21="PASS",I21="PASS",J21="PASS",K21="ACCEPTED"),"ACCEPTED","DENY"))</x:f>
        <x:v>OPEN</x:v>
      </x:c>
    </x:row>
  </x:sheetData>
  <x:mergeCells>
    <x:mergeCell ref="A2:L2"/>
  </x:mergeCells>
  <x:conditionalFormatting sqref="L6:L21">
    <x:cfRule type="containsText" dxfId="48" priority="1" operator="containsText" text="DENY"/>
    <x:cfRule type="containsText" dxfId="49" priority="2" operator="containsText" text="ADVERSE"/>
    <x:cfRule type="containsText" dxfId="50" priority="3" operator="containsText" text="FAIL"/>
    <x:cfRule type="containsText" dxfId="51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2c919e65dc7e475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9" hidden="0" customWidth="1"/>
  </x:cols>
  <x:sheetData>
    <x:row r="2" ht="26" customHeight="1">
      <x:c r="A2" s="18" t="str">
        <x:v>Primary and reserve planning calendar</x:v>
      </x:c>
      <x:c r="B2" s="18" t="str">
        <x:v>Primary and reserve planning calendar</x:v>
      </x:c>
      <x:c r="C2" s="18" t="str">
        <x:v>Primary and reserve planning calendar</x:v>
      </x:c>
      <x:c r="D2" s="18" t="str">
        <x:v>Primary and reserve planning calendar</x:v>
      </x:c>
      <x:c r="E2" s="18" t="str">
        <x:v>Primary and reserve planning calendar</x:v>
      </x:c>
    </x:row>
    <x:row r="3">
      <x:c r="A3" s="19"/>
      <x:c r="B3" s="19"/>
      <x:c r="C3" s="19"/>
      <x:c r="D3" s="19"/>
      <x:c r="E3" s="19"/>
    </x:row>
    <x:row r="4">
      <x:c r="A4" s="20"/>
      <x:c r="B4" s="20"/>
      <x:c r="C4" s="20"/>
      <x:c r="D4" s="20"/>
      <x:c r="E4" s="20"/>
    </x:row>
    <x:row r="5">
      <x:c r="A5" s="9" t="str">
        <x:v>Segment</x:v>
      </x:c>
      <x:c r="B5" s="9" t="str">
        <x:v>Primary weeks</x:v>
      </x:c>
      <x:c r="C5" s="9" t="str">
        <x:v>Maximum weeks</x:v>
      </x:c>
      <x:c r="D5" s="20"/>
      <x:c r="E5" s="20"/>
    </x:row>
    <x:row r="6">
      <x:c r="A6" s="11" t="str">
        <x:v>Architecture campaign</x:v>
      </x:c>
      <x:c r="B6" s="11" t="n">
        <x:v>12</x:v>
      </x:c>
      <x:c r="C6" s="11" t="n">
        <x:v>12</x:v>
      </x:c>
      <x:c r="D6" s="20"/>
      <x:c r="E6" s="20"/>
    </x:row>
    <x:row r="7">
      <x:c r="A7" s="11" t="str">
        <x:v>Selection review</x:v>
      </x:c>
      <x:c r="B7" s="11" t="n">
        <x:v>4</x:v>
      </x:c>
      <x:c r="C7" s="11" t="n">
        <x:v>4</x:v>
      </x:c>
      <x:c r="D7" s="20"/>
      <x:c r="E7" s="20"/>
    </x:row>
    <x:row r="8">
      <x:c r="A8" s="11" t="str">
        <x:v>Selected bank build</x:v>
      </x:c>
      <x:c r="B8" s="11" t="n">
        <x:v>12</x:v>
      </x:c>
      <x:c r="C8" s="11" t="n">
        <x:v>12</x:v>
      </x:c>
      <x:c r="D8" s="20"/>
      <x:c r="E8" s="20"/>
    </x:row>
    <x:row r="9">
      <x:c r="A9" s="11" t="str">
        <x:v>Class issue</x:v>
      </x:c>
      <x:c r="B9" s="11" t="n">
        <x:v>6</x:v>
      </x:c>
      <x:c r="C9" s="11" t="n">
        <x:v>8</x:v>
      </x:c>
      <x:c r="D9" s="20"/>
      <x:c r="E9" s="20"/>
    </x:row>
    <x:row r="10">
      <x:c r="A10" s="11" t="str">
        <x:v>Return and review</x:v>
      </x:c>
      <x:c r="B10" s="11" t="n">
        <x:v>3</x:v>
      </x:c>
      <x:c r="C10" s="11" t="n">
        <x:v>3</x:v>
      </x:c>
      <x:c r="D10" s="20"/>
      <x:c r="E10" s="20"/>
    </x:row>
    <x:row r="11">
      <x:c r="A11" s="11" t="str">
        <x:v>Total</x:v>
      </x:c>
      <x:c r="B11" s="11" t="n">
        <x:f>SUM(B6:B10)</x:f>
        <x:v>37</x:v>
      </x:c>
      <x:c r="C11" s="11" t="n">
        <x:f>SUM(C6:C10)</x:f>
        <x:v>39</x:v>
      </x:c>
      <x:c r="D11" s="20"/>
      <x:c r="E11" s="20"/>
    </x:row>
    <x:row r="12">
      <x:c r="A12" s="11"/>
      <x:c r="B12" s="11"/>
      <x:c r="C12" s="11"/>
      <x:c r="D12" s="20"/>
      <x:c r="E12" s="20"/>
    </x:row>
    <x:row r="13">
      <x:c r="A13" s="11" t="str">
        <x:v>Stage months</x:v>
      </x:c>
      <x:c r="B13" s="11" t="n">
        <x:v>15</x:v>
      </x:c>
      <x:c r="C13" s="11"/>
      <x:c r="D13" s="20"/>
      <x:c r="E13" s="20"/>
    </x:row>
    <x:row r="14">
      <x:c r="A14" s="11" t="str">
        <x:v>Stage weeks at 365/12/7</x:v>
      </x:c>
      <x:c r="B14" s="11" t="n">
        <x:f>B13*365/12/7</x:f>
        <x:v>65.17857142857143</x:v>
      </x:c>
      <x:c r="C14" s="11"/>
      <x:c r="D14" s="20"/>
      <x:c r="E14" s="20"/>
    </x:row>
    <x:row r="15">
      <x:c r="A15" s="11" t="str">
        <x:v>Maximum schedule margin weeks</x:v>
      </x:c>
      <x:c r="B15" s="11" t="n">
        <x:f>B14-C11</x:f>
        <x:v>26.17857142857143</x:v>
      </x:c>
      <x:c r="C15" s="11"/>
      <x:c r="D15" s="20"/>
      <x:c r="E15" s="20"/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303fd1d32d34460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</x:cols>
  <x:sheetData>
    <x:row r="2" ht="26" customHeight="1">
      <x:c r="A2" s="18" t="str">
        <x:v>Evidence capacity</x:v>
      </x:c>
      <x:c r="B2" s="18" t="str">
        <x:v>Evidence capacity</x:v>
      </x:c>
      <x:c r="C2" s="18" t="str">
        <x:v>Evidence capacity</x:v>
      </x:c>
      <x:c r="D2" s="18" t="str">
        <x:v>Evidence capacity</x:v>
      </x:c>
    </x:row>
    <x:row r="3">
      <x:c r="A3" s="19"/>
      <x:c r="B3" s="19"/>
      <x:c r="C3" s="19"/>
      <x:c r="D3" s="19"/>
    </x:row>
    <x:row r="4">
      <x:c r="A4" s="20"/>
      <x:c r="B4" s="20"/>
      <x:c r="C4" s="20"/>
      <x:c r="D4" s="20"/>
    </x:row>
    <x:row r="5">
      <x:c r="A5" s="9" t="str">
        <x:v>Metric</x:v>
      </x:c>
      <x:c r="B5" s="9" t="str">
        <x:v>Value</x:v>
      </x:c>
      <x:c r="C5" s="20"/>
      <x:c r="D5" s="20"/>
    </x:row>
    <x:row r="6">
      <x:c r="A6" s="11" t="str">
        <x:v>Architecture trials</x:v>
      </x:c>
      <x:c r="B6" s="11" t="n">
        <x:v>108</x:v>
      </x:c>
      <x:c r="C6" s="20"/>
      <x:c r="D6" s="20"/>
    </x:row>
    <x:row r="7">
      <x:c r="A7" s="11" t="str">
        <x:v>GB per architecture trial</x:v>
      </x:c>
      <x:c r="B7" s="11" t="n">
        <x:v>120</x:v>
      </x:c>
      <x:c r="C7" s="20"/>
      <x:c r="D7" s="20"/>
    </x:row>
    <x:row r="8">
      <x:c r="A8" s="11" t="str">
        <x:v>Architecture evidence GB</x:v>
      </x:c>
      <x:c r="B8" s="11" t="n">
        <x:f>B6*B7</x:f>
        <x:v>12960</x:v>
      </x:c>
      <x:c r="C8" s="20"/>
      <x:c r="D8" s="20"/>
    </x:row>
    <x:row r="9">
      <x:c r="A9" s="11" t="str">
        <x:v>Maximum class events</x:v>
      </x:c>
      <x:c r="B9" s="11" t="n">
        <x:v>16</x:v>
      </x:c>
      <x:c r="C9" s="20"/>
      <x:c r="D9" s="20"/>
    </x:row>
    <x:row r="10">
      <x:c r="A10" s="11" t="str">
        <x:v>GB per class event</x:v>
      </x:c>
      <x:c r="B10" s="11" t="n">
        <x:v>640</x:v>
      </x:c>
      <x:c r="C10" s="20"/>
      <x:c r="D10" s="20"/>
    </x:row>
    <x:row r="11">
      <x:c r="A11" s="11" t="str">
        <x:v>Maximum class evidence GB</x:v>
      </x:c>
      <x:c r="B11" s="11" t="n">
        <x:f>B9*B10</x:f>
        <x:v>10240</x:v>
      </x:c>
      <x:c r="C11" s="20"/>
      <x:c r="D11" s="20"/>
    </x:row>
    <x:row r="12">
      <x:c r="A12" s="11" t="str">
        <x:v>Total evidence GB</x:v>
      </x:c>
      <x:c r="B12" s="11" t="n">
        <x:f>B8+B11</x:f>
        <x:v>23200</x:v>
      </x:c>
      <x:c r="C12" s="20"/>
      <x:c r="D12" s="20"/>
    </x:row>
    <x:row r="13">
      <x:c r="A13" s="11" t="str">
        <x:v>Provisioned GB</x:v>
      </x:c>
      <x:c r="B13" s="11" t="n">
        <x:v>30000</x:v>
      </x:c>
      <x:c r="C13" s="20"/>
      <x:c r="D13" s="20"/>
    </x:row>
    <x:row r="14">
      <x:c r="A14" s="11"/>
      <x:c r="B14" s="11"/>
      <x:c r="C14" s="20"/>
      <x:c r="D14" s="20"/>
    </x:row>
    <x:row r="15">
      <x:c r="A15" s="11" t="str">
        <x:v>Margin GB</x:v>
      </x:c>
      <x:c r="B15" s="11" t="n">
        <x:f>B13-B12</x:f>
        <x:v>6800</x:v>
      </x:c>
      <x:c r="C15" s="20"/>
      <x:c r="D15" s="20"/>
    </x:row>
    <x:row r="16">
      <x:c r="A16" s="11" t="str">
        <x:v>Capacity state</x:v>
      </x:c>
      <x:c r="B16" s="11" t="str">
        <x:f>IF(B15&gt;=0,"CLOSES","DENY")</x:f>
        <x:v>CLOSES</x:v>
      </x:c>
      <x:c r="C16" s="20"/>
      <x:c r="D16" s="20"/>
    </x:row>
  </x:sheetData>
  <x:mergeCells>
    <x:mergeCell ref="A2:D2"/>
  </x:mergeCells>
  <x:conditionalFormatting sqref="B16:B16">
    <x:cfRule type="containsText" dxfId="52" priority="1" operator="containsText" text="DENY"/>
    <x:cfRule type="containsText" dxfId="53" priority="2" operator="containsText" text="ADVERSE"/>
    <x:cfRule type="containsText" dxfId="54" priority="3" operator="containsText" text="FAIL"/>
    <x:cfRule type="containsText" dxfId="55" priority="4" operator="containsText" text="OPEN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36" hidden="0" customWidth="1"/>
  </x:cols>
  <x:sheetData>
    <x:row r="2" ht="26" customHeight="1">
      <x:c r="A2" s="18" t="str">
        <x:v>RBH-1 assigned public formation</x:v>
      </x:c>
      <x:c r="B2" s="18" t="str">
        <x:v>RBH-1 assigned public formation</x:v>
      </x:c>
      <x:c r="C2" s="18" t="str">
        <x:v>RBH-1 assigned public formation</x:v>
      </x:c>
      <x:c r="D2" s="18" t="str">
        <x:v>RBH-1 assigned public formation</x:v>
      </x:c>
    </x:row>
    <x:row r="3">
      <x:c r="A3" s="19"/>
      <x:c r="B3" s="19"/>
      <x:c r="C3" s="19"/>
      <x:c r="D3" s="19"/>
    </x:row>
    <x:row r="4">
      <x:c r="A4" s="20"/>
      <x:c r="B4" s="20"/>
      <x:c r="C4" s="20"/>
      <x:c r="D4" s="20"/>
    </x:row>
    <x:row r="5">
      <x:c r="A5" s="9" t="str">
        <x:v>Function</x:v>
      </x:c>
      <x:c r="B5" s="9" t="str">
        <x:v>Positions</x:v>
      </x:c>
      <x:c r="C5" s="9" t="str">
        <x:v>Owned capacity</x:v>
      </x:c>
      <x:c r="D5" s="20"/>
    </x:row>
    <x:row r="6">
      <x:c r="A6" s="11" t="str">
        <x:v>candidate benches and range operations</x:v>
      </x:c>
      <x:c r="B6" s="11" t="n">
        <x:v>72</x:v>
      </x:c>
      <x:c r="C6" s="11" t="str">
        <x:v>six public benches</x:v>
      </x:c>
      <x:c r="D6" s="20"/>
    </x:row>
    <x:row r="7">
      <x:c r="A7" s="11" t="str">
        <x:v>ignition architecture and interfaces</x:v>
      </x:c>
      <x:c r="B7" s="11" t="n">
        <x:v>54</x:v>
      </x:c>
      <x:c r="C7" s="11" t="str">
        <x:v>three candidates and selected bank</x:v>
      </x:c>
      <x:c r="D7" s="20"/>
    </x:row>
    <x:row r="8">
      <x:c r="A8" s="11" t="str">
        <x:v>energy, geometry, atmosphere and time</x:v>
      </x:c>
      <x:c r="B8" s="11" t="n">
        <x:v>42</x:v>
      </x:c>
      <x:c r="C8" s="11" t="str">
        <x:v>two truth roots</x:v>
      </x:c>
      <x:c r="D8" s="20"/>
    </x:row>
    <x:row r="9">
      <x:c r="A9" s="11" t="str">
        <x:v>isolation, safeing and return</x:v>
      </x:c>
      <x:c r="B9" s="11" t="n">
        <x:v>36</x:v>
      </x:c>
      <x:c r="C9" s="11" t="str">
        <x:v>twelve paths and dry cycles</x:v>
      </x:c>
      <x:c r="D9" s="20"/>
    </x:row>
    <x:row r="10">
      <x:c r="A10" s="11" t="str">
        <x:v>evidence and outside-campus replay</x:v>
      </x:c>
      <x:c r="B10" s="11" t="n">
        <x:v>24</x:v>
      </x:c>
      <x:c r="C10" s="11" t="str">
        <x:v>two originals and replay</x:v>
      </x:c>
      <x:c r="D10" s="20"/>
    </x:row>
    <x:row r="11">
      <x:c r="A11" s="11" t="str">
        <x:v>environment, plates and forensic custody</x:v>
      </x:c>
      <x:c r="B11" s="11" t="n">
        <x:v>12</x:v>
      </x:c>
      <x:c r="C11" s="11" t="str">
        <x:v>physical reference state</x:v>
      </x:c>
      <x:c r="D11" s="20"/>
    </x:row>
    <x:row r="12">
      <x:c r="A12" s="11" t="str">
        <x:v>safety, validity, selection and program</x:v>
      </x:c>
      <x:c r="B12" s="11" t="n">
        <x:v>20</x:v>
      </x:c>
      <x:c r="C12" s="11" t="str">
        <x:v>separated authorities</x:v>
      </x:c>
      <x:c r="D12" s="20"/>
    </x:row>
    <x:row r="13">
      <x:c r="A13" s="11"/>
      <x:c r="B13" s="11"/>
      <x:c r="C13" s="11"/>
      <x:c r="D13" s="20"/>
    </x:row>
    <x:row r="14">
      <x:c r="A14" s="11" t="str">
        <x:v>Assigned positions</x:v>
      </x:c>
      <x:c r="B14" s="11" t="n">
        <x:f>SUM(B6:B12)</x:f>
        <x:v>260</x:v>
      </x:c>
      <x:c r="C14" s="11"/>
      <x:c r="D14" s="20"/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7d4d19928d6647b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42" hidden="0" customWidth="1"/>
  </x:cols>
  <x:sheetData>
    <x:row r="2" ht="26" customHeight="1">
      <x:c r="A2" s="18" t="str">
        <x:v>Dry-reference technology allocation</x:v>
      </x:c>
      <x:c r="B2" s="18" t="str">
        <x:v>Dry-reference technology allocation</x:v>
      </x:c>
      <x:c r="C2" s="18" t="str">
        <x:v>Dry-reference technology allocation</x:v>
      </x:c>
      <x:c r="D2" s="18" t="str">
        <x:v>Dry-reference technology allocation</x:v>
      </x:c>
    </x:row>
    <x:row r="3">
      <x:c r="A3" s="19"/>
      <x:c r="B3" s="19"/>
      <x:c r="C3" s="19"/>
      <x:c r="D3" s="19"/>
    </x:row>
    <x:row r="4">
      <x:c r="A4" s="20"/>
      <x:c r="B4" s="20"/>
      <x:c r="C4" s="20"/>
      <x:c r="D4" s="20"/>
    </x:row>
    <x:row r="5">
      <x:c r="A5" s="9" t="str">
        <x:v>Program</x:v>
      </x:c>
      <x:c r="B5" s="9" t="str">
        <x:v>USD M</x:v>
      </x:c>
      <x:c r="C5" s="9" t="str">
        <x:v>Required advance</x:v>
      </x:c>
      <x:c r="D5" s="20"/>
    </x:row>
    <x:row r="6">
      <x:c r="A6" s="11" t="str">
        <x:v>public reference plate and calorimetry</x:v>
      </x:c>
      <x:c r="B6" s="11" t="n">
        <x:v>20</x:v>
      </x:c>
      <x:c r="C6" s="11" t="str">
        <x:v>delivered-energy truth</x:v>
      </x:c>
      <x:c r="D6" s="20"/>
    </x:row>
    <x:row r="7">
      <x:c r="A7" s="11" t="str">
        <x:v>spatial interaction reconstruction</x:v>
      </x:c>
      <x:c r="B7" s="11" t="n">
        <x:v>15</x:v>
      </x:c>
      <x:c r="C7" s="11" t="str">
        <x:v>location and footprint</x:v>
      </x:c>
      <x:c r="D7" s="20"/>
    </x:row>
    <x:row r="8">
      <x:c r="A8" s="11" t="str">
        <x:v>fault-safe energy delivery</x:v>
      </x:c>
      <x:c r="B8" s="11" t="n">
        <x:v>15</x:v>
      </x:c>
      <x:c r="C8" s="11" t="str">
        <x:v>uncommanded-discharge prevention</x:v>
      </x:c>
      <x:c r="D8" s="20"/>
    </x:row>
    <x:row r="9">
      <x:c r="A9" s="11" t="str">
        <x:v>local causal time</x:v>
      </x:c>
      <x:c r="B9" s="11" t="n">
        <x:v>10</x:v>
      </x:c>
      <x:c r="C9" s="11" t="str">
        <x:v>onset, duration and abort order</x:v>
      </x:c>
      <x:c r="D9" s="20"/>
    </x:row>
    <x:row r="10">
      <x:c r="A10" s="11" t="str">
        <x:v>rapid safe removal</x:v>
      </x:c>
      <x:c r="B10" s="11" t="n">
        <x:v>10</x:v>
      </x:c>
      <x:c r="C10" s="11" t="str">
        <x:v>isolation and residual state</x:v>
      </x:c>
      <x:c r="D10" s="20"/>
    </x:row>
    <x:row r="11">
      <x:c r="A11" s="11" t="str">
        <x:v>atmosphere and flow reference</x:v>
      </x:c>
      <x:c r="B11" s="11" t="n">
        <x:v>9</x:v>
      </x:c>
      <x:c r="C11" s="11" t="str">
        <x:v>bounded local condition</x:v>
      </x:c>
      <x:c r="D11" s="20"/>
    </x:row>
    <x:row r="12">
      <x:c r="A12" s="11" t="str">
        <x:v>outside-campus replay</x:v>
      </x:c>
      <x:c r="B12" s="11" t="n">
        <x:v>8</x:v>
      </x:c>
      <x:c r="C12" s="11" t="str">
        <x:v>service-independent reconstruction</x:v>
      </x:c>
      <x:c r="D12" s="20"/>
    </x:row>
    <x:row r="13">
      <x:c r="A13" s="11" t="str">
        <x:v>forensic residual-heat analysis</x:v>
      </x:c>
      <x:c r="B13" s="11" t="n">
        <x:v>8</x:v>
      </x:c>
      <x:c r="C13" s="11" t="str">
        <x:v>latent-state custody</x:v>
      </x:c>
      <x:c r="D13" s="20"/>
    </x:row>
    <x:row r="14">
      <x:c r="A14" s="11"/>
      <x:c r="B14" s="11"/>
      <x:c r="C14" s="11"/>
      <x:c r="D14" s="20"/>
    </x:row>
    <x:row r="15">
      <x:c r="A15" s="11" t="str">
        <x:v>Total</x:v>
      </x:c>
      <x:c r="B15" s="11" t="n">
        <x:f>SUM(B6:B13)</x:f>
        <x:v>95</x:v>
      </x:c>
      <x:c r="C15" s="11"/>
      <x:c r="D15" s="20"/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5e5231f36b144a7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4" hidden="0" customWidth="1"/>
    <x:col min="4" max="4" width="39" hidden="0" customWidth="1"/>
    <x:col min="5" max="5" width="16" hidden="0" customWidth="1"/>
  </x:cols>
  <x:sheetData>
    <x:row r="2" ht="26" customHeight="1">
      <x:c r="A2" s="18" t="str">
        <x:v>RBH-1 allocation inside RAS-3R</x:v>
      </x:c>
      <x:c r="B2" s="18" t="str">
        <x:v>RBH-1 allocation inside RAS-3R</x:v>
      </x:c>
      <x:c r="C2" s="18" t="str">
        <x:v>RBH-1 allocation inside RAS-3R</x:v>
      </x:c>
      <x:c r="D2" s="18" t="str">
        <x:v>RBH-1 allocation inside RAS-3R</x:v>
      </x:c>
      <x:c r="E2" s="18" t="str">
        <x:v>RBH-1 allocation inside RAS-3R</x:v>
      </x:c>
      <x:c r="F2" s="18" t="str">
        <x:v>RBH-1 allocation inside RAS-3R</x:v>
      </x:c>
      <x:c r="G2" s="18" t="str">
        <x:v>RBH-1 allocation inside RAS-3R</x:v>
      </x:c>
      <x:c r="H2" s="18" t="str">
        <x:v>RBH-1 allocation inside RAS-3R</x:v>
      </x:c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9" t="str">
        <x:v>Metric</x:v>
      </x:c>
      <x:c r="B5" s="9" t="str">
        <x:v>Value</x:v>
      </x:c>
      <x:c r="C5" s="20"/>
      <x:c r="D5" s="9" t="str">
        <x:v>Capital object</x:v>
      </x:c>
      <x:c r="E5" s="9" t="str">
        <x:v>USD M</x:v>
      </x:c>
      <x:c r="F5" s="20"/>
      <x:c r="G5" s="20"/>
      <x:c r="H5" s="20"/>
    </x:row>
    <x:row r="6">
      <x:c r="A6" s="11" t="str">
        <x:v>RAS-3R capital increment USD M</x:v>
      </x:c>
      <x:c r="B6" s="15" t="n">
        <x:f>Assumptions!B46</x:f>
        <x:v>1100</x:v>
      </x:c>
      <x:c r="C6" s="11"/>
      <x:c r="D6" s="11" t="str">
        <x:v>Candidate articles and benches</x:v>
      </x:c>
      <x:c r="E6" s="15" t="n">
        <x:v>42</x:v>
      </x:c>
      <x:c r="F6" s="20"/>
      <x:c r="G6" s="20"/>
      <x:c r="H6" s="20"/>
    </x:row>
    <x:row r="7">
      <x:c r="A7" s="11" t="str">
        <x:v>RBH capital allocation USD M</x:v>
      </x:c>
      <x:c r="B7" s="15" t="n">
        <x:f>Assumptions!B42</x:f>
        <x:v>180</x:v>
      </x:c>
      <x:c r="C7" s="11"/>
      <x:c r="D7" s="11" t="str">
        <x:v>Selected assemblies</x:v>
      </x:c>
      <x:c r="E7" s="15" t="n">
        <x:v>36</x:v>
      </x:c>
      <x:c r="F7" s="20"/>
      <x:c r="G7" s="20"/>
      <x:c r="H7" s="20"/>
    </x:row>
    <x:row r="8">
      <x:c r="A8" s="11" t="str">
        <x:v>Capital remaining USD M</x:v>
      </x:c>
      <x:c r="B8" s="15" t="n">
        <x:f>B6-B7</x:f>
        <x:v>920</x:v>
      </x:c>
      <x:c r="C8" s="11"/>
      <x:c r="D8" s="11" t="str">
        <x:v>Energy metrology</x:v>
      </x:c>
      <x:c r="E8" s="15" t="n">
        <x:v>22</x:v>
      </x:c>
      <x:c r="F8" s="20"/>
      <x:c r="G8" s="20"/>
      <x:c r="H8" s="20"/>
    </x:row>
    <x:row r="9">
      <x:c r="A9" s="11" t="str">
        <x:v>RAS-3R annual increment USD M</x:v>
      </x:c>
      <x:c r="B9" s="15" t="n">
        <x:f>Assumptions!B47</x:f>
        <x:v>67</x:v>
      </x:c>
      <x:c r="C9" s="11"/>
      <x:c r="D9" s="11" t="str">
        <x:v>Optical, spatial and atmosphere</x:v>
      </x:c>
      <x:c r="E9" s="15" t="n">
        <x:v>18</x:v>
      </x:c>
      <x:c r="F9" s="20"/>
      <x:c r="G9" s="20"/>
      <x:c r="H9" s="20"/>
    </x:row>
    <x:row r="10">
      <x:c r="A10" s="11" t="str">
        <x:v>RBH annual support USD M</x:v>
      </x:c>
      <x:c r="B10" s="15" t="n">
        <x:f>Assumptions!B43</x:f>
        <x:v>42</x:v>
      </x:c>
      <x:c r="C10" s="11"/>
      <x:c r="D10" s="11" t="str">
        <x:v>Safeing and interruption fixtures</x:v>
      </x:c>
      <x:c r="E10" s="15" t="n">
        <x:v>14</x:v>
      </x:c>
      <x:c r="F10" s="20"/>
      <x:c r="G10" s="20"/>
      <x:c r="H10" s="20"/>
    </x:row>
    <x:row r="11">
      <x:c r="A11" s="11" t="str">
        <x:v>Annual increment remaining USD M</x:v>
      </x:c>
      <x:c r="B11" s="15" t="n">
        <x:f>B9-B10</x:f>
        <x:v>25</x:v>
      </x:c>
      <x:c r="C11" s="11"/>
      <x:c r="D11" s="11" t="str">
        <x:v>Evidence and replay</x:v>
      </x:c>
      <x:c r="E11" s="15" t="n">
        <x:v>14</x:v>
      </x:c>
      <x:c r="F11" s="20"/>
      <x:c r="G11" s="20"/>
      <x:c r="H11" s="20"/>
    </x:row>
    <x:row r="12">
      <x:c r="A12" s="11" t="str">
        <x:v>RAS-3R technology increment USD M</x:v>
      </x:c>
      <x:c r="B12" s="15" t="n">
        <x:f>Assumptions!B48</x:f>
        <x:v>235</x:v>
      </x:c>
      <x:c r="C12" s="11"/>
      <x:c r="D12" s="11" t="str">
        <x:v>Plates, robotics and archive</x:v>
      </x:c>
      <x:c r="E12" s="15" t="n">
        <x:v>10</x:v>
      </x:c>
      <x:c r="F12" s="20"/>
      <x:c r="G12" s="20"/>
      <x:c r="H12" s="20"/>
    </x:row>
    <x:row r="13">
      <x:c r="A13" s="11" t="str">
        <x:v>RBH technology allocation USD M</x:v>
      </x:c>
      <x:c r="B13" s="15" t="n">
        <x:f>Assumptions!B44</x:f>
        <x:v>95</x:v>
      </x:c>
      <x:c r="C13" s="11"/>
      <x:c r="D13" s="11" t="str">
        <x:v>Campus isolation and control</x:v>
      </x:c>
      <x:c r="E13" s="15" t="n">
        <x:v>8</x:v>
      </x:c>
      <x:c r="F13" s="20"/>
      <x:c r="G13" s="20"/>
      <x:c r="H13" s="20"/>
    </x:row>
    <x:row r="14">
      <x:c r="A14" s="11" t="str">
        <x:v>Technology remaining USD M</x:v>
      </x:c>
      <x:c r="B14" s="15" t="n">
        <x:f>B12-B13</x:f>
        <x:v>140</x:v>
      </x:c>
      <x:c r="C14" s="11"/>
      <x:c r="D14" s="11" t="str">
        <x:v>Review and training facilities</x:v>
      </x:c>
      <x:c r="E14" s="15" t="n">
        <x:v>4</x:v>
      </x:c>
      <x:c r="F14" s="20"/>
      <x:c r="G14" s="20"/>
      <x:c r="H14" s="20"/>
    </x:row>
    <x:row r="15">
      <x:c r="A15" s="11" t="str">
        <x:v>Stage months</x:v>
      </x:c>
      <x:c r="B15" s="15" t="n">
        <x:f>Assumptions!B41</x:f>
        <x:v>15</x:v>
      </x:c>
      <x:c r="C15" s="11"/>
      <x:c r="D15" s="11" t="str">
        <x:v>Controlled contingency</x:v>
      </x:c>
      <x:c r="E15" s="15" t="n">
        <x:v>12</x:v>
      </x:c>
      <x:c r="F15" s="20"/>
      <x:c r="G15" s="20"/>
      <x:c r="H15" s="20"/>
    </x:row>
    <x:row r="16">
      <x:c r="A16" s="11" t="str">
        <x:v>Support over stage USD M</x:v>
      </x:c>
      <x:c r="B16" s="15" t="n">
        <x:f>B10*B15/12</x:f>
        <x:v>52.5</x:v>
      </x:c>
      <x:c r="C16" s="11"/>
      <x:c r="D16" s="11" t="str">
        <x:v>Total</x:v>
      </x:c>
      <x:c r="E16" s="15" t="n">
        <x:f>SUM(E6:E15)</x:f>
        <x:v>180</x:v>
      </x:c>
      <x:c r="F16" s="20"/>
      <x:c r="G16" s="20"/>
      <x:c r="H16" s="20"/>
    </x:row>
    <x:row r="17">
      <x:c r="A17" s="11" t="str">
        <x:v>Stage exposure USD M</x:v>
      </x:c>
      <x:c r="B17" s="15" t="n">
        <x:f>B7+B16</x:f>
        <x:v>232.5</x:v>
      </x:c>
      <x:c r="C17" s="11"/>
      <x:c r="D17" s="11"/>
      <x:c r="E17" s="11"/>
      <x:c r="F17" s="20"/>
      <x:c r="G17" s="20"/>
      <x:c r="H17" s="20"/>
    </x:row>
  </x:sheetData>
  <x:mergeCells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  <x:col min="8" max="8" width="12" hidden="0" customWidth="1"/>
  </x:cols>
  <x:sheetData>
    <x:row r="2" ht="26" customHeight="1">
      <x:c r="A2" s="18" t="str">
        <x:v>One hundred twenty executable boundaries</x:v>
      </x:c>
      <x:c r="B2" s="18" t="str">
        <x:v>One hundred twenty executable boundaries</x:v>
      </x:c>
      <x:c r="C2" s="18" t="str">
        <x:v>One hundred twenty executable boundaries</x:v>
      </x:c>
      <x:c r="D2" s="18" t="str">
        <x:v>One hundred twenty executable boundaries</x:v>
      </x:c>
      <x:c r="E2" s="18" t="str">
        <x:v>One hundred twenty executable boundaries</x:v>
      </x:c>
      <x:c r="F2" s="18" t="str">
        <x:v>One hundred twenty executable boundaries</x:v>
      </x:c>
      <x:c r="G2" s="18" t="str">
        <x:v>One hundred twenty executable boundaries</x:v>
      </x:c>
      <x:c r="H2" s="18" t="str">
        <x:v>One hundred twenty executable boundaries</x:v>
      </x:c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9" t="str">
        <x:v>Case</x:v>
      </x:c>
      <x:c r="B5" s="9" t="str">
        <x:v>Category</x:v>
      </x:c>
      <x:c r="C5" s="9" t="str">
        <x:v>Input</x:v>
      </x:c>
      <x:c r="D5" s="9" t="str">
        <x:v>Lower</x:v>
      </x:c>
      <x:c r="E5" s="9" t="str">
        <x:v>Upper</x:v>
      </x:c>
      <x:c r="F5" s="9" t="str">
        <x:v>Expected</x:v>
      </x:c>
      <x:c r="G5" s="9" t="str">
        <x:v>Calculated</x:v>
      </x:c>
      <x:c r="H5" s="9" t="str">
        <x:v>Audit</x:v>
      </x:c>
    </x:row>
    <x:row r="6">
      <x:c r="A6" s="11" t="str">
        <x:v>BC-001</x:v>
      </x:c>
      <x:c r="B6" s="11" t="str">
        <x:v>energy ratio</x:v>
      </x:c>
      <x:c r="C6" s="11" t="n">
        <x:v>0.95</x:v>
      </x:c>
      <x:c r="D6" s="11" t="n">
        <x:v>0.95</x:v>
      </x:c>
      <x:c r="E6" s="11" t="n">
        <x:v>1.05</x:v>
      </x:c>
      <x:c r="F6" s="11" t="str">
        <x:v>ADMIT</x:v>
      </x:c>
      <x:c r="G6" s="11" t="str">
        <x:f>IF(COUNT(C6)=0,"MISSING",IF(AND(C6&gt;=D6,C6&lt;=E6),"ADMIT","DENY"))</x:f>
        <x:v>ADMIT</x:v>
      </x:c>
      <x:c r="H6" s="11" t="str">
        <x:f>IF(F6=G6,"PASS","FAIL")</x:f>
        <x:v>PASS</x:v>
      </x:c>
    </x:row>
    <x:row r="7">
      <x:c r="A7" s="11" t="str">
        <x:v>BC-002</x:v>
      </x:c>
      <x:c r="B7" s="11" t="str">
        <x:v>energy ratio</x:v>
      </x:c>
      <x:c r="C7" s="11" t="n">
        <x:v>1.05</x:v>
      </x:c>
      <x:c r="D7" s="11" t="n">
        <x:v>0.95</x:v>
      </x:c>
      <x:c r="E7" s="11" t="n">
        <x:v>1.05</x:v>
      </x:c>
      <x:c r="F7" s="11" t="str">
        <x:v>ADMIT</x:v>
      </x:c>
      <x:c r="G7" s="11" t="str">
        <x:f>IF(COUNT(C7)=0,"MISSING",IF(AND(C7&gt;=D7,C7&lt;=E7),"ADMIT","DENY"))</x:f>
        <x:v>ADMIT</x:v>
      </x:c>
      <x:c r="H7" s="11" t="str">
        <x:f>IF(F7=G7,"PASS","FAIL")</x:f>
        <x:v>PASS</x:v>
      </x:c>
    </x:row>
    <x:row r="8">
      <x:c r="A8" s="11" t="str">
        <x:v>BC-003</x:v>
      </x:c>
      <x:c r="B8" s="11" t="str">
        <x:v>energy ratio</x:v>
      </x:c>
      <x:c r="C8" s="11" t="n">
        <x:v>1</x:v>
      </x:c>
      <x:c r="D8" s="11" t="n">
        <x:v>0.95</x:v>
      </x:c>
      <x:c r="E8" s="11" t="n">
        <x:v>1.05</x:v>
      </x:c>
      <x:c r="F8" s="11" t="str">
        <x:v>ADMIT</x:v>
      </x:c>
      <x:c r="G8" s="11" t="str">
        <x:f>IF(COUNT(C8)=0,"MISSING",IF(AND(C8&gt;=D8,C8&lt;=E8),"ADMIT","DENY"))</x:f>
        <x:v>ADMIT</x:v>
      </x:c>
      <x:c r="H8" s="11" t="str">
        <x:f>IF(F8=G8,"PASS","FAIL")</x:f>
        <x:v>PASS</x:v>
      </x:c>
    </x:row>
    <x:row r="9">
      <x:c r="A9" s="11" t="str">
        <x:v>BC-004</x:v>
      </x:c>
      <x:c r="B9" s="11" t="str">
        <x:v>energy ratio</x:v>
      </x:c>
      <x:c r="C9" s="11" t="n">
        <x:v>0.9395</x:v>
      </x:c>
      <x:c r="D9" s="11" t="n">
        <x:v>0.95</x:v>
      </x:c>
      <x:c r="E9" s="11" t="n">
        <x:v>1.05</x:v>
      </x:c>
      <x:c r="F9" s="11" t="str">
        <x:v>DENY</x:v>
      </x:c>
      <x:c r="G9" s="11" t="str">
        <x:f>IF(COUNT(C9)=0,"MISSING",IF(AND(C9&gt;=D9,C9&lt;=E9),"ADMIT","DENY"))</x:f>
        <x:v>DENY</x:v>
      </x:c>
      <x:c r="H9" s="11" t="str">
        <x:f>IF(F9=G9,"PASS","FAIL")</x:f>
        <x:v>PASS</x:v>
      </x:c>
    </x:row>
    <x:row r="10">
      <x:c r="A10" s="11" t="str">
        <x:v>BC-005</x:v>
      </x:c>
      <x:c r="B10" s="11" t="str">
        <x:v>energy ratio</x:v>
      </x:c>
      <x:c r="C10" s="11" t="n">
        <x:v>1.0605</x:v>
      </x:c>
      <x:c r="D10" s="11" t="n">
        <x:v>0.95</x:v>
      </x:c>
      <x:c r="E10" s="11" t="n">
        <x:v>1.05</x:v>
      </x:c>
      <x:c r="F10" s="11" t="str">
        <x:v>DENY</x:v>
      </x:c>
      <x:c r="G10" s="11" t="str">
        <x:f>IF(COUNT(C10)=0,"MISSING",IF(AND(C10&gt;=D10,C10&lt;=E10),"ADMIT","DENY"))</x:f>
        <x:v>DENY</x:v>
      </x:c>
      <x:c r="H10" s="11" t="str">
        <x:f>IF(F10=G10,"PASS","FAIL")</x:f>
        <x:v>PASS</x:v>
      </x:c>
    </x:row>
    <x:row r="11">
      <x:c r="A11" s="11" t="str">
        <x:v>BC-006</x:v>
      </x:c>
      <x:c r="B11" s="11" t="str">
        <x:v>energy ratio</x:v>
      </x:c>
      <x:c r="C11" s="11"/>
      <x:c r="D11" s="11" t="n">
        <x:v>0.95</x:v>
      </x:c>
      <x:c r="E11" s="11" t="n">
        <x:v>1.05</x:v>
      </x:c>
      <x:c r="F11" s="11" t="str">
        <x:v>MISSING</x:v>
      </x:c>
      <x:c r="G11" s="11" t="str">
        <x:f>IF(COUNT(C11)=0,"MISSING",IF(AND(C11&gt;=D11,C11&lt;=E11),"ADMIT","DENY"))</x:f>
        <x:v>MISSING</x:v>
      </x:c>
      <x:c r="H11" s="11" t="str">
        <x:f>IF(F11=G11,"PASS","FAIL")</x:f>
        <x:v>PASS</x:v>
      </x:c>
    </x:row>
    <x:row r="12">
      <x:c r="A12" s="11" t="str">
        <x:v>BC-007</x:v>
      </x:c>
      <x:c r="B12" s="11" t="str">
        <x:v>energy ratio</x:v>
      </x:c>
      <x:c r="C12" s="11" t="n">
        <x:v>0</x:v>
      </x:c>
      <x:c r="D12" s="11" t="n">
        <x:v>0.95</x:v>
      </x:c>
      <x:c r="E12" s="11" t="n">
        <x:v>1.05</x:v>
      </x:c>
      <x:c r="F12" s="11" t="str">
        <x:v>DENY</x:v>
      </x:c>
      <x:c r="G12" s="11" t="str">
        <x:f>IF(COUNT(C12)=0,"MISSING",IF(AND(C12&gt;=D12,C12&lt;=E12),"ADMIT","DENY"))</x:f>
        <x:v>DENY</x:v>
      </x:c>
      <x:c r="H12" s="11" t="str">
        <x:f>IF(F12=G12,"PASS","FAIL")</x:f>
        <x:v>PASS</x:v>
      </x:c>
    </x:row>
    <x:row r="13">
      <x:c r="A13" s="11" t="str">
        <x:v>BC-008</x:v>
      </x:c>
      <x:c r="B13" s="11" t="str">
        <x:v>energy ratio</x:v>
      </x:c>
      <x:c r="C13" s="11" t="n">
        <x:v>0.9604999999999999</x:v>
      </x:c>
      <x:c r="D13" s="11" t="n">
        <x:v>0.95</x:v>
      </x:c>
      <x:c r="E13" s="11" t="n">
        <x:v>1.05</x:v>
      </x:c>
      <x:c r="F13" s="11" t="str">
        <x:v>ADMIT</x:v>
      </x:c>
      <x:c r="G13" s="11" t="str">
        <x:f>IF(COUNT(C13)=0,"MISSING",IF(AND(C13&gt;=D13,C13&lt;=E13),"ADMIT","DENY"))</x:f>
        <x:v>ADMIT</x:v>
      </x:c>
      <x:c r="H13" s="11" t="str">
        <x:f>IF(F13=G13,"PASS","FAIL")</x:f>
        <x:v>PASS</x:v>
      </x:c>
    </x:row>
    <x:row r="14">
      <x:c r="A14" s="11" t="str">
        <x:v>BC-009</x:v>
      </x:c>
      <x:c r="B14" s="11" t="str">
        <x:v>energy ratio</x:v>
      </x:c>
      <x:c r="C14" s="11" t="n">
        <x:v>1.0395</x:v>
      </x:c>
      <x:c r="D14" s="11" t="n">
        <x:v>0.95</x:v>
      </x:c>
      <x:c r="E14" s="11" t="n">
        <x:v>1.05</x:v>
      </x:c>
      <x:c r="F14" s="11" t="str">
        <x:v>ADMIT</x:v>
      </x:c>
      <x:c r="G14" s="11" t="str">
        <x:f>IF(COUNT(C14)=0,"MISSING",IF(AND(C14&gt;=D14,C14&lt;=E14),"ADMIT","DENY"))</x:f>
        <x:v>ADMIT</x:v>
      </x:c>
      <x:c r="H14" s="11" t="str">
        <x:f>IF(F14=G14,"PASS","FAIL")</x:f>
        <x:v>PASS</x:v>
      </x:c>
    </x:row>
    <x:row r="15">
      <x:c r="A15" s="11" t="str">
        <x:v>BC-010</x:v>
      </x:c>
      <x:c r="B15" s="11" t="str">
        <x:v>energy ratio</x:v>
      </x:c>
      <x:c r="C15" s="11" t="n">
        <x:v>1.04895</x:v>
      </x:c>
      <x:c r="D15" s="11" t="n">
        <x:v>0.95</x:v>
      </x:c>
      <x:c r="E15" s="11" t="n">
        <x:v>1.05</x:v>
      </x:c>
      <x:c r="F15" s="11" t="str">
        <x:v>ADMIT</x:v>
      </x:c>
      <x:c r="G15" s="11" t="str">
        <x:f>IF(COUNT(C15)=0,"MISSING",IF(AND(C15&gt;=D15,C15&lt;=E15),"ADMIT","DENY"))</x:f>
        <x:v>ADMIT</x:v>
      </x:c>
      <x:c r="H15" s="11" t="str">
        <x:f>IF(F15=G15,"PASS","FAIL")</x:f>
        <x:v>PASS</x:v>
      </x:c>
    </x:row>
    <x:row r="16">
      <x:c r="A16" s="11" t="str">
        <x:v>BC-011</x:v>
      </x:c>
      <x:c r="B16" s="11" t="str">
        <x:v>onset error ms</x:v>
      </x:c>
      <x:c r="C16" s="11" t="n">
        <x:v>-10</x:v>
      </x:c>
      <x:c r="D16" s="11" t="n">
        <x:v>-10</x:v>
      </x:c>
      <x:c r="E16" s="11" t="n">
        <x:v>10</x:v>
      </x:c>
      <x:c r="F16" s="11" t="str">
        <x:v>ADMIT</x:v>
      </x:c>
      <x:c r="G16" s="11" t="str">
        <x:f>IF(COUNT(C16)=0,"MISSING",IF(AND(C16&gt;=D16,C16&lt;=E16),"ADMIT","DENY"))</x:f>
        <x:v>ADMIT</x:v>
      </x:c>
      <x:c r="H16" s="11" t="str">
        <x:f>IF(F16=G16,"PASS","FAIL")</x:f>
        <x:v>PASS</x:v>
      </x:c>
    </x:row>
    <x:row r="17">
      <x:c r="A17" s="11" t="str">
        <x:v>BC-012</x:v>
      </x:c>
      <x:c r="B17" s="11" t="str">
        <x:v>onset error ms</x:v>
      </x:c>
      <x:c r="C17" s="11" t="n">
        <x:v>10</x:v>
      </x:c>
      <x:c r="D17" s="11" t="n">
        <x:v>-10</x:v>
      </x:c>
      <x:c r="E17" s="11" t="n">
        <x:v>10</x:v>
      </x:c>
      <x:c r="F17" s="11" t="str">
        <x:v>ADMIT</x:v>
      </x:c>
      <x:c r="G17" s="11" t="str">
        <x:f>IF(COUNT(C17)=0,"MISSING",IF(AND(C17&gt;=D17,C17&lt;=E17),"ADMIT","DENY"))</x:f>
        <x:v>ADMIT</x:v>
      </x:c>
      <x:c r="H17" s="11" t="str">
        <x:f>IF(F17=G17,"PASS","FAIL")</x:f>
        <x:v>PASS</x:v>
      </x:c>
    </x:row>
    <x:row r="18">
      <x:c r="A18" s="11" t="str">
        <x:v>BC-013</x:v>
      </x:c>
      <x:c r="B18" s="11" t="str">
        <x:v>onset error ms</x:v>
      </x:c>
      <x:c r="C18" s="11" t="n">
        <x:v>0</x:v>
      </x:c>
      <x:c r="D18" s="11" t="n">
        <x:v>-10</x:v>
      </x:c>
      <x:c r="E18" s="11" t="n">
        <x:v>10</x:v>
      </x:c>
      <x:c r="F18" s="11" t="str">
        <x:v>ADMIT</x:v>
      </x:c>
      <x:c r="G18" s="11" t="str">
        <x:f>IF(COUNT(C18)=0,"MISSING",IF(AND(C18&gt;=D18,C18&lt;=E18),"ADMIT","DENY"))</x:f>
        <x:v>ADMIT</x:v>
      </x:c>
      <x:c r="H18" s="11" t="str">
        <x:f>IF(F18=G18,"PASS","FAIL")</x:f>
        <x:v>PASS</x:v>
      </x:c>
    </x:row>
    <x:row r="19">
      <x:c r="A19" s="11" t="str">
        <x:v>BC-014</x:v>
      </x:c>
      <x:c r="B19" s="11" t="str">
        <x:v>onset error ms</x:v>
      </x:c>
      <x:c r="C19" s="11" t="n">
        <x:v>-10.1</x:v>
      </x:c>
      <x:c r="D19" s="11" t="n">
        <x:v>-10</x:v>
      </x:c>
      <x:c r="E19" s="11" t="n">
        <x:v>10</x:v>
      </x:c>
      <x:c r="F19" s="11" t="str">
        <x:v>DENY</x:v>
      </x:c>
      <x:c r="G19" s="11" t="str">
        <x:f>IF(COUNT(C19)=0,"MISSING",IF(AND(C19&gt;=D19,C19&lt;=E19),"ADMIT","DENY"))</x:f>
        <x:v>DENY</x:v>
      </x:c>
      <x:c r="H19" s="11" t="str">
        <x:f>IF(F19=G19,"PASS","FAIL")</x:f>
        <x:v>PASS</x:v>
      </x:c>
    </x:row>
    <x:row r="20">
      <x:c r="A20" s="11" t="str">
        <x:v>BC-015</x:v>
      </x:c>
      <x:c r="B20" s="11" t="str">
        <x:v>onset error ms</x:v>
      </x:c>
      <x:c r="C20" s="11" t="n">
        <x:v>10.1</x:v>
      </x:c>
      <x:c r="D20" s="11" t="n">
        <x:v>-10</x:v>
      </x:c>
      <x:c r="E20" s="11" t="n">
        <x:v>10</x:v>
      </x:c>
      <x:c r="F20" s="11" t="str">
        <x:v>DENY</x:v>
      </x:c>
      <x:c r="G20" s="11" t="str">
        <x:f>IF(COUNT(C20)=0,"MISSING",IF(AND(C20&gt;=D20,C20&lt;=E20),"ADMIT","DENY"))</x:f>
        <x:v>DENY</x:v>
      </x:c>
      <x:c r="H20" s="11" t="str">
        <x:f>IF(F20=G20,"PASS","FAIL")</x:f>
        <x:v>PASS</x:v>
      </x:c>
    </x:row>
    <x:row r="21">
      <x:c r="A21" s="11" t="str">
        <x:v>BC-016</x:v>
      </x:c>
      <x:c r="B21" s="11" t="str">
        <x:v>onset error ms</x:v>
      </x:c>
      <x:c r="C21" s="11"/>
      <x:c r="D21" s="11" t="n">
        <x:v>-10</x:v>
      </x:c>
      <x:c r="E21" s="11" t="n">
        <x:v>10</x:v>
      </x:c>
      <x:c r="F21" s="11" t="str">
        <x:v>MISSING</x:v>
      </x:c>
      <x:c r="G21" s="11" t="str">
        <x:f>IF(COUNT(C21)=0,"MISSING",IF(AND(C21&gt;=D21,C21&lt;=E21),"ADMIT","DENY"))</x:f>
        <x:v>MISSING</x:v>
      </x:c>
      <x:c r="H21" s="11" t="str">
        <x:f>IF(F21=G21,"PASS","FAIL")</x:f>
        <x:v>PASS</x:v>
      </x:c>
    </x:row>
    <x:row r="22">
      <x:c r="A22" s="11" t="str">
        <x:v>BC-017</x:v>
      </x:c>
      <x:c r="B22" s="11" t="str">
        <x:v>onset error ms</x:v>
      </x:c>
      <x:c r="C22" s="11" t="n">
        <x:v>0</x:v>
      </x:c>
      <x:c r="D22" s="11" t="n">
        <x:v>-10</x:v>
      </x:c>
      <x:c r="E22" s="11" t="n">
        <x:v>10</x:v>
      </x:c>
      <x:c r="F22" s="11" t="str">
        <x:v>ADMIT</x:v>
      </x:c>
      <x:c r="G22" s="11" t="str">
        <x:f>IF(COUNT(C22)=0,"MISSING",IF(AND(C22&gt;=D22,C22&lt;=E22),"ADMIT","DENY"))</x:f>
        <x:v>ADMIT</x:v>
      </x:c>
      <x:c r="H22" s="11" t="str">
        <x:f>IF(F22=G22,"PASS","FAIL")</x:f>
        <x:v>PASS</x:v>
      </x:c>
    </x:row>
    <x:row r="23">
      <x:c r="A23" s="11" t="str">
        <x:v>BC-018</x:v>
      </x:c>
      <x:c r="B23" s="11" t="str">
        <x:v>onset error ms</x:v>
      </x:c>
      <x:c r="C23" s="11" t="n">
        <x:v>-9.9</x:v>
      </x:c>
      <x:c r="D23" s="11" t="n">
        <x:v>-10</x:v>
      </x:c>
      <x:c r="E23" s="11" t="n">
        <x:v>10</x:v>
      </x:c>
      <x:c r="F23" s="11" t="str">
        <x:v>ADMIT</x:v>
      </x:c>
      <x:c r="G23" s="11" t="str">
        <x:f>IF(COUNT(C23)=0,"MISSING",IF(AND(C23&gt;=D23,C23&lt;=E23),"ADMIT","DENY"))</x:f>
        <x:v>ADMIT</x:v>
      </x:c>
      <x:c r="H23" s="11" t="str">
        <x:f>IF(F23=G23,"PASS","FAIL")</x:f>
        <x:v>PASS</x:v>
      </x:c>
    </x:row>
    <x:row r="24">
      <x:c r="A24" s="11" t="str">
        <x:v>BC-019</x:v>
      </x:c>
      <x:c r="B24" s="11" t="str">
        <x:v>onset error ms</x:v>
      </x:c>
      <x:c r="C24" s="11" t="n">
        <x:v>9.9</x:v>
      </x:c>
      <x:c r="D24" s="11" t="n">
        <x:v>-10</x:v>
      </x:c>
      <x:c r="E24" s="11" t="n">
        <x:v>10</x:v>
      </x:c>
      <x:c r="F24" s="11" t="str">
        <x:v>ADMIT</x:v>
      </x:c>
      <x:c r="G24" s="11" t="str">
        <x:f>IF(COUNT(C24)=0,"MISSING",IF(AND(C24&gt;=D24,C24&lt;=E24),"ADMIT","DENY"))</x:f>
        <x:v>ADMIT</x:v>
      </x:c>
      <x:c r="H24" s="11" t="str">
        <x:f>IF(F24=G24,"PASS","FAIL")</x:f>
        <x:v>PASS</x:v>
      </x:c>
    </x:row>
    <x:row r="25">
      <x:c r="A25" s="11" t="str">
        <x:v>BC-020</x:v>
      </x:c>
      <x:c r="B25" s="11" t="str">
        <x:v>onset error ms</x:v>
      </x:c>
      <x:c r="C25" s="11" t="n">
        <x:v>9.99</x:v>
      </x:c>
      <x:c r="D25" s="11" t="n">
        <x:v>-10</x:v>
      </x:c>
      <x:c r="E25" s="11" t="n">
        <x:v>10</x:v>
      </x:c>
      <x:c r="F25" s="11" t="str">
        <x:v>ADMIT</x:v>
      </x:c>
      <x:c r="G25" s="11" t="str">
        <x:f>IF(COUNT(C25)=0,"MISSING",IF(AND(C25&gt;=D25,C25&lt;=E25),"ADMIT","DENY"))</x:f>
        <x:v>ADMIT</x:v>
      </x:c>
      <x:c r="H25" s="11" t="str">
        <x:f>IF(F25=G25,"PASS","FAIL")</x:f>
        <x:v>PASS</x:v>
      </x:c>
    </x:row>
    <x:row r="26">
      <x:c r="A26" s="11" t="str">
        <x:v>BC-021</x:v>
      </x:c>
      <x:c r="B26" s="11" t="str">
        <x:v>duration error ms</x:v>
      </x:c>
      <x:c r="C26" s="11" t="n">
        <x:v>-50</x:v>
      </x:c>
      <x:c r="D26" s="11" t="n">
        <x:v>-50</x:v>
      </x:c>
      <x:c r="E26" s="11" t="n">
        <x:v>50</x:v>
      </x:c>
      <x:c r="F26" s="11" t="str">
        <x:v>ADMIT</x:v>
      </x:c>
      <x:c r="G26" s="11" t="str">
        <x:f>IF(COUNT(C26)=0,"MISSING",IF(AND(C26&gt;=D26,C26&lt;=E26),"ADMIT","DENY"))</x:f>
        <x:v>ADMIT</x:v>
      </x:c>
      <x:c r="H26" s="11" t="str">
        <x:f>IF(F26=G26,"PASS","FAIL")</x:f>
        <x:v>PASS</x:v>
      </x:c>
    </x:row>
    <x:row r="27">
      <x:c r="A27" s="11" t="str">
        <x:v>BC-022</x:v>
      </x:c>
      <x:c r="B27" s="11" t="str">
        <x:v>duration error ms</x:v>
      </x:c>
      <x:c r="C27" s="11" t="n">
        <x:v>50</x:v>
      </x:c>
      <x:c r="D27" s="11" t="n">
        <x:v>-50</x:v>
      </x:c>
      <x:c r="E27" s="11" t="n">
        <x:v>50</x:v>
      </x:c>
      <x:c r="F27" s="11" t="str">
        <x:v>ADMIT</x:v>
      </x:c>
      <x:c r="G27" s="11" t="str">
        <x:f>IF(COUNT(C27)=0,"MISSING",IF(AND(C27&gt;=D27,C27&lt;=E27),"ADMIT","DENY"))</x:f>
        <x:v>ADMIT</x:v>
      </x:c>
      <x:c r="H27" s="11" t="str">
        <x:f>IF(F27=G27,"PASS","FAIL")</x:f>
        <x:v>PASS</x:v>
      </x:c>
    </x:row>
    <x:row r="28">
      <x:c r="A28" s="11" t="str">
        <x:v>BC-023</x:v>
      </x:c>
      <x:c r="B28" s="11" t="str">
        <x:v>duration error ms</x:v>
      </x:c>
      <x:c r="C28" s="11" t="n">
        <x:v>0</x:v>
      </x:c>
      <x:c r="D28" s="11" t="n">
        <x:v>-50</x:v>
      </x:c>
      <x:c r="E28" s="11" t="n">
        <x:v>50</x:v>
      </x:c>
      <x:c r="F28" s="11" t="str">
        <x:v>ADMIT</x:v>
      </x:c>
      <x:c r="G28" s="11" t="str">
        <x:f>IF(COUNT(C28)=0,"MISSING",IF(AND(C28&gt;=D28,C28&lt;=E28),"ADMIT","DENY"))</x:f>
        <x:v>ADMIT</x:v>
      </x:c>
      <x:c r="H28" s="11" t="str">
        <x:f>IF(F28=G28,"PASS","FAIL")</x:f>
        <x:v>PASS</x:v>
      </x:c>
    </x:row>
    <x:row r="29">
      <x:c r="A29" s="11" t="str">
        <x:v>BC-024</x:v>
      </x:c>
      <x:c r="B29" s="11" t="str">
        <x:v>duration error ms</x:v>
      </x:c>
      <x:c r="C29" s="11" t="n">
        <x:v>-50.5</x:v>
      </x:c>
      <x:c r="D29" s="11" t="n">
        <x:v>-50</x:v>
      </x:c>
      <x:c r="E29" s="11" t="n">
        <x:v>50</x:v>
      </x:c>
      <x:c r="F29" s="11" t="str">
        <x:v>DENY</x:v>
      </x:c>
      <x:c r="G29" s="11" t="str">
        <x:f>IF(COUNT(C29)=0,"MISSING",IF(AND(C29&gt;=D29,C29&lt;=E29),"ADMIT","DENY"))</x:f>
        <x:v>DENY</x:v>
      </x:c>
      <x:c r="H29" s="11" t="str">
        <x:f>IF(F29=G29,"PASS","FAIL")</x:f>
        <x:v>PASS</x:v>
      </x:c>
    </x:row>
    <x:row r="30">
      <x:c r="A30" s="11" t="str">
        <x:v>BC-025</x:v>
      </x:c>
      <x:c r="B30" s="11" t="str">
        <x:v>duration error ms</x:v>
      </x:c>
      <x:c r="C30" s="11" t="n">
        <x:v>50.5</x:v>
      </x:c>
      <x:c r="D30" s="11" t="n">
        <x:v>-50</x:v>
      </x:c>
      <x:c r="E30" s="11" t="n">
        <x:v>50</x:v>
      </x:c>
      <x:c r="F30" s="11" t="str">
        <x:v>DENY</x:v>
      </x:c>
      <x:c r="G30" s="11" t="str">
        <x:f>IF(COUNT(C30)=0,"MISSING",IF(AND(C30&gt;=D30,C30&lt;=E30),"ADMIT","DENY"))</x:f>
        <x:v>DENY</x:v>
      </x:c>
      <x:c r="H30" s="11" t="str">
        <x:f>IF(F30=G30,"PASS","FAIL")</x:f>
        <x:v>PASS</x:v>
      </x:c>
    </x:row>
    <x:row r="31">
      <x:c r="A31" s="11" t="str">
        <x:v>BC-026</x:v>
      </x:c>
      <x:c r="B31" s="11" t="str">
        <x:v>duration error ms</x:v>
      </x:c>
      <x:c r="C31" s="11"/>
      <x:c r="D31" s="11" t="n">
        <x:v>-50</x:v>
      </x:c>
      <x:c r="E31" s="11" t="n">
        <x:v>50</x:v>
      </x:c>
      <x:c r="F31" s="11" t="str">
        <x:v>MISSING</x:v>
      </x:c>
      <x:c r="G31" s="11" t="str">
        <x:f>IF(COUNT(C31)=0,"MISSING",IF(AND(C31&gt;=D31,C31&lt;=E31),"ADMIT","DENY"))</x:f>
        <x:v>MISSING</x:v>
      </x:c>
      <x:c r="H31" s="11" t="str">
        <x:f>IF(F31=G31,"PASS","FAIL")</x:f>
        <x:v>PASS</x:v>
      </x:c>
    </x:row>
    <x:row r="32">
      <x:c r="A32" s="11" t="str">
        <x:v>BC-027</x:v>
      </x:c>
      <x:c r="B32" s="11" t="str">
        <x:v>duration error ms</x:v>
      </x:c>
      <x:c r="C32" s="11" t="n">
        <x:v>0</x:v>
      </x:c>
      <x:c r="D32" s="11" t="n">
        <x:v>-50</x:v>
      </x:c>
      <x:c r="E32" s="11" t="n">
        <x:v>50</x:v>
      </x:c>
      <x:c r="F32" s="11" t="str">
        <x:v>ADMIT</x:v>
      </x:c>
      <x:c r="G32" s="11" t="str">
        <x:f>IF(COUNT(C32)=0,"MISSING",IF(AND(C32&gt;=D32,C32&lt;=E32),"ADMIT","DENY"))</x:f>
        <x:v>ADMIT</x:v>
      </x:c>
      <x:c r="H32" s="11" t="str">
        <x:f>IF(F32=G32,"PASS","FAIL")</x:f>
        <x:v>PASS</x:v>
      </x:c>
    </x:row>
    <x:row r="33">
      <x:c r="A33" s="11" t="str">
        <x:v>BC-028</x:v>
      </x:c>
      <x:c r="B33" s="11" t="str">
        <x:v>duration error ms</x:v>
      </x:c>
      <x:c r="C33" s="11" t="n">
        <x:v>-49.5</x:v>
      </x:c>
      <x:c r="D33" s="11" t="n">
        <x:v>-50</x:v>
      </x:c>
      <x:c r="E33" s="11" t="n">
        <x:v>50</x:v>
      </x:c>
      <x:c r="F33" s="11" t="str">
        <x:v>ADMIT</x:v>
      </x:c>
      <x:c r="G33" s="11" t="str">
        <x:f>IF(COUNT(C33)=0,"MISSING",IF(AND(C33&gt;=D33,C33&lt;=E33),"ADMIT","DENY"))</x:f>
        <x:v>ADMIT</x:v>
      </x:c>
      <x:c r="H33" s="11" t="str">
        <x:f>IF(F33=G33,"PASS","FAIL")</x:f>
        <x:v>PASS</x:v>
      </x:c>
    </x:row>
    <x:row r="34">
      <x:c r="A34" s="11" t="str">
        <x:v>BC-029</x:v>
      </x:c>
      <x:c r="B34" s="11" t="str">
        <x:v>duration error ms</x:v>
      </x:c>
      <x:c r="C34" s="11" t="n">
        <x:v>49.5</x:v>
      </x:c>
      <x:c r="D34" s="11" t="n">
        <x:v>-50</x:v>
      </x:c>
      <x:c r="E34" s="11" t="n">
        <x:v>50</x:v>
      </x:c>
      <x:c r="F34" s="11" t="str">
        <x:v>ADMIT</x:v>
      </x:c>
      <x:c r="G34" s="11" t="str">
        <x:f>IF(COUNT(C34)=0,"MISSING",IF(AND(C34&gt;=D34,C34&lt;=E34),"ADMIT","DENY"))</x:f>
        <x:v>ADMIT</x:v>
      </x:c>
      <x:c r="H34" s="11" t="str">
        <x:f>IF(F34=G34,"PASS","FAIL")</x:f>
        <x:v>PASS</x:v>
      </x:c>
    </x:row>
    <x:row r="35">
      <x:c r="A35" s="11" t="str">
        <x:v>BC-030</x:v>
      </x:c>
      <x:c r="B35" s="11" t="str">
        <x:v>duration error ms</x:v>
      </x:c>
      <x:c r="C35" s="11" t="n">
        <x:v>49.95</x:v>
      </x:c>
      <x:c r="D35" s="11" t="n">
        <x:v>-50</x:v>
      </x:c>
      <x:c r="E35" s="11" t="n">
        <x:v>50</x:v>
      </x:c>
      <x:c r="F35" s="11" t="str">
        <x:v>ADMIT</x:v>
      </x:c>
      <x:c r="G35" s="11" t="str">
        <x:f>IF(COUNT(C35)=0,"MISSING",IF(AND(C35&gt;=D35,C35&lt;=E35),"ADMIT","DENY"))</x:f>
        <x:v>ADMIT</x:v>
      </x:c>
      <x:c r="H35" s="11" t="str">
        <x:f>IF(F35=G35,"PASS","FAIL")</x:f>
        <x:v>PASS</x:v>
      </x:c>
    </x:row>
    <x:row r="36">
      <x:c r="A36" s="11" t="str">
        <x:v>BC-031</x:v>
      </x:c>
      <x:c r="B36" s="11" t="str">
        <x:v>location error mm</x:v>
      </x:c>
      <x:c r="C36" s="11" t="n">
        <x:v>-5</x:v>
      </x:c>
      <x:c r="D36" s="11" t="n">
        <x:v>-5</x:v>
      </x:c>
      <x:c r="E36" s="11" t="n">
        <x:v>5</x:v>
      </x:c>
      <x:c r="F36" s="11" t="str">
        <x:v>ADMIT</x:v>
      </x:c>
      <x:c r="G36" s="11" t="str">
        <x:f>IF(COUNT(C36)=0,"MISSING",IF(AND(C36&gt;=D36,C36&lt;=E36),"ADMIT","DENY"))</x:f>
        <x:v>ADMIT</x:v>
      </x:c>
      <x:c r="H36" s="11" t="str">
        <x:f>IF(F36=G36,"PASS","FAIL")</x:f>
        <x:v>PASS</x:v>
      </x:c>
    </x:row>
    <x:row r="37">
      <x:c r="A37" s="11" t="str">
        <x:v>BC-032</x:v>
      </x:c>
      <x:c r="B37" s="11" t="str">
        <x:v>location error mm</x:v>
      </x:c>
      <x:c r="C37" s="11" t="n">
        <x:v>5</x:v>
      </x:c>
      <x:c r="D37" s="11" t="n">
        <x:v>-5</x:v>
      </x:c>
      <x:c r="E37" s="11" t="n">
        <x:v>5</x:v>
      </x:c>
      <x:c r="F37" s="11" t="str">
        <x:v>ADMIT</x:v>
      </x:c>
      <x:c r="G37" s="11" t="str">
        <x:f>IF(COUNT(C37)=0,"MISSING",IF(AND(C37&gt;=D37,C37&lt;=E37),"ADMIT","DENY"))</x:f>
        <x:v>ADMIT</x:v>
      </x:c>
      <x:c r="H37" s="11" t="str">
        <x:f>IF(F37=G37,"PASS","FAIL")</x:f>
        <x:v>PASS</x:v>
      </x:c>
    </x:row>
    <x:row r="38">
      <x:c r="A38" s="11" t="str">
        <x:v>BC-033</x:v>
      </x:c>
      <x:c r="B38" s="11" t="str">
        <x:v>location error mm</x:v>
      </x:c>
      <x:c r="C38" s="11" t="n">
        <x:v>0</x:v>
      </x:c>
      <x:c r="D38" s="11" t="n">
        <x:v>-5</x:v>
      </x:c>
      <x:c r="E38" s="11" t="n">
        <x:v>5</x:v>
      </x:c>
      <x:c r="F38" s="11" t="str">
        <x:v>ADMIT</x:v>
      </x:c>
      <x:c r="G38" s="11" t="str">
        <x:f>IF(COUNT(C38)=0,"MISSING",IF(AND(C38&gt;=D38,C38&lt;=E38),"ADMIT","DENY"))</x:f>
        <x:v>ADMIT</x:v>
      </x:c>
      <x:c r="H38" s="11" t="str">
        <x:f>IF(F38=G38,"PASS","FAIL")</x:f>
        <x:v>PASS</x:v>
      </x:c>
    </x:row>
    <x:row r="39">
      <x:c r="A39" s="11" t="str">
        <x:v>BC-034</x:v>
      </x:c>
      <x:c r="B39" s="11" t="str">
        <x:v>location error mm</x:v>
      </x:c>
      <x:c r="C39" s="11" t="n">
        <x:v>-5.05</x:v>
      </x:c>
      <x:c r="D39" s="11" t="n">
        <x:v>-5</x:v>
      </x:c>
      <x:c r="E39" s="11" t="n">
        <x:v>5</x:v>
      </x:c>
      <x:c r="F39" s="11" t="str">
        <x:v>DENY</x:v>
      </x:c>
      <x:c r="G39" s="11" t="str">
        <x:f>IF(COUNT(C39)=0,"MISSING",IF(AND(C39&gt;=D39,C39&lt;=E39),"ADMIT","DENY"))</x:f>
        <x:v>DENY</x:v>
      </x:c>
      <x:c r="H39" s="11" t="str">
        <x:f>IF(F39=G39,"PASS","FAIL")</x:f>
        <x:v>PASS</x:v>
      </x:c>
    </x:row>
    <x:row r="40">
      <x:c r="A40" s="11" t="str">
        <x:v>BC-035</x:v>
      </x:c>
      <x:c r="B40" s="11" t="str">
        <x:v>location error mm</x:v>
      </x:c>
      <x:c r="C40" s="11" t="n">
        <x:v>5.05</x:v>
      </x:c>
      <x:c r="D40" s="11" t="n">
        <x:v>-5</x:v>
      </x:c>
      <x:c r="E40" s="11" t="n">
        <x:v>5</x:v>
      </x:c>
      <x:c r="F40" s="11" t="str">
        <x:v>DENY</x:v>
      </x:c>
      <x:c r="G40" s="11" t="str">
        <x:f>IF(COUNT(C40)=0,"MISSING",IF(AND(C40&gt;=D40,C40&lt;=E40),"ADMIT","DENY"))</x:f>
        <x:v>DENY</x:v>
      </x:c>
      <x:c r="H40" s="11" t="str">
        <x:f>IF(F40=G40,"PASS","FAIL")</x:f>
        <x:v>PASS</x:v>
      </x:c>
    </x:row>
    <x:row r="41">
      <x:c r="A41" s="11" t="str">
        <x:v>BC-036</x:v>
      </x:c>
      <x:c r="B41" s="11" t="str">
        <x:v>location error mm</x:v>
      </x:c>
      <x:c r="C41" s="11"/>
      <x:c r="D41" s="11" t="n">
        <x:v>-5</x:v>
      </x:c>
      <x:c r="E41" s="11" t="n">
        <x:v>5</x:v>
      </x:c>
      <x:c r="F41" s="11" t="str">
        <x:v>MISSING</x:v>
      </x:c>
      <x:c r="G41" s="11" t="str">
        <x:f>IF(COUNT(C41)=0,"MISSING",IF(AND(C41&gt;=D41,C41&lt;=E41),"ADMIT","DENY"))</x:f>
        <x:v>MISSING</x:v>
      </x:c>
      <x:c r="H41" s="11" t="str">
        <x:f>IF(F41=G41,"PASS","FAIL")</x:f>
        <x:v>PASS</x:v>
      </x:c>
    </x:row>
    <x:row r="42">
      <x:c r="A42" s="11" t="str">
        <x:v>BC-037</x:v>
      </x:c>
      <x:c r="B42" s="11" t="str">
        <x:v>location error mm</x:v>
      </x:c>
      <x:c r="C42" s="11" t="n">
        <x:v>0</x:v>
      </x:c>
      <x:c r="D42" s="11" t="n">
        <x:v>-5</x:v>
      </x:c>
      <x:c r="E42" s="11" t="n">
        <x:v>5</x:v>
      </x:c>
      <x:c r="F42" s="11" t="str">
        <x:v>ADMIT</x:v>
      </x:c>
      <x:c r="G42" s="11" t="str">
        <x:f>IF(COUNT(C42)=0,"MISSING",IF(AND(C42&gt;=D42,C42&lt;=E42),"ADMIT","DENY"))</x:f>
        <x:v>ADMIT</x:v>
      </x:c>
      <x:c r="H42" s="11" t="str">
        <x:f>IF(F42=G42,"PASS","FAIL")</x:f>
        <x:v>PASS</x:v>
      </x:c>
    </x:row>
    <x:row r="43">
      <x:c r="A43" s="11" t="str">
        <x:v>BC-038</x:v>
      </x:c>
      <x:c r="B43" s="11" t="str">
        <x:v>location error mm</x:v>
      </x:c>
      <x:c r="C43" s="11" t="n">
        <x:v>-4.95</x:v>
      </x:c>
      <x:c r="D43" s="11" t="n">
        <x:v>-5</x:v>
      </x:c>
      <x:c r="E43" s="11" t="n">
        <x:v>5</x:v>
      </x:c>
      <x:c r="F43" s="11" t="str">
        <x:v>ADMIT</x:v>
      </x:c>
      <x:c r="G43" s="11" t="str">
        <x:f>IF(COUNT(C43)=0,"MISSING",IF(AND(C43&gt;=D43,C43&lt;=E43),"ADMIT","DENY"))</x:f>
        <x:v>ADMIT</x:v>
      </x:c>
      <x:c r="H43" s="11" t="str">
        <x:f>IF(F43=G43,"PASS","FAIL")</x:f>
        <x:v>PASS</x:v>
      </x:c>
    </x:row>
    <x:row r="44">
      <x:c r="A44" s="11" t="str">
        <x:v>BC-039</x:v>
      </x:c>
      <x:c r="B44" s="11" t="str">
        <x:v>location error mm</x:v>
      </x:c>
      <x:c r="C44" s="11" t="n">
        <x:v>4.95</x:v>
      </x:c>
      <x:c r="D44" s="11" t="n">
        <x:v>-5</x:v>
      </x:c>
      <x:c r="E44" s="11" t="n">
        <x:v>5</x:v>
      </x:c>
      <x:c r="F44" s="11" t="str">
        <x:v>ADMIT</x:v>
      </x:c>
      <x:c r="G44" s="11" t="str">
        <x:f>IF(COUNT(C44)=0,"MISSING",IF(AND(C44&gt;=D44,C44&lt;=E44),"ADMIT","DENY"))</x:f>
        <x:v>ADMIT</x:v>
      </x:c>
      <x:c r="H44" s="11" t="str">
        <x:f>IF(F44=G44,"PASS","FAIL")</x:f>
        <x:v>PASS</x:v>
      </x:c>
    </x:row>
    <x:row r="45">
      <x:c r="A45" s="11" t="str">
        <x:v>BC-040</x:v>
      </x:c>
      <x:c r="B45" s="11" t="str">
        <x:v>location error mm</x:v>
      </x:c>
      <x:c r="C45" s="11" t="n">
        <x:v>4.995</x:v>
      </x:c>
      <x:c r="D45" s="11" t="n">
        <x:v>-5</x:v>
      </x:c>
      <x:c r="E45" s="11" t="n">
        <x:v>5</x:v>
      </x:c>
      <x:c r="F45" s="11" t="str">
        <x:v>ADMIT</x:v>
      </x:c>
      <x:c r="G45" s="11" t="str">
        <x:f>IF(COUNT(C45)=0,"MISSING",IF(AND(C45&gt;=D45,C45&lt;=E45),"ADMIT","DENY"))</x:f>
        <x:v>ADMIT</x:v>
      </x:c>
      <x:c r="H45" s="11" t="str">
        <x:f>IF(F45=G45,"PASS","FAIL")</x:f>
        <x:v>PASS</x:v>
      </x:c>
    </x:row>
    <x:row r="46">
      <x:c r="A46" s="11" t="str">
        <x:v>BC-041</x:v>
      </x:c>
      <x:c r="B46" s="11" t="str">
        <x:v>repeat error mm</x:v>
      </x:c>
      <x:c r="C46" s="11" t="n">
        <x:v>-2</x:v>
      </x:c>
      <x:c r="D46" s="11" t="n">
        <x:v>-2</x:v>
      </x:c>
      <x:c r="E46" s="11" t="n">
        <x:v>2</x:v>
      </x:c>
      <x:c r="F46" s="11" t="str">
        <x:v>ADMIT</x:v>
      </x:c>
      <x:c r="G46" s="11" t="str">
        <x:f>IF(COUNT(C46)=0,"MISSING",IF(AND(C46&gt;=D46,C46&lt;=E46),"ADMIT","DENY"))</x:f>
        <x:v>ADMIT</x:v>
      </x:c>
      <x:c r="H46" s="11" t="str">
        <x:f>IF(F46=G46,"PASS","FAIL")</x:f>
        <x:v>PASS</x:v>
      </x:c>
    </x:row>
    <x:row r="47">
      <x:c r="A47" s="11" t="str">
        <x:v>BC-042</x:v>
      </x:c>
      <x:c r="B47" s="11" t="str">
        <x:v>repeat error mm</x:v>
      </x:c>
      <x:c r="C47" s="11" t="n">
        <x:v>2</x:v>
      </x:c>
      <x:c r="D47" s="11" t="n">
        <x:v>-2</x:v>
      </x:c>
      <x:c r="E47" s="11" t="n">
        <x:v>2</x:v>
      </x:c>
      <x:c r="F47" s="11" t="str">
        <x:v>ADMIT</x:v>
      </x:c>
      <x:c r="G47" s="11" t="str">
        <x:f>IF(COUNT(C47)=0,"MISSING",IF(AND(C47&gt;=D47,C47&lt;=E47),"ADMIT","DENY"))</x:f>
        <x:v>ADMIT</x:v>
      </x:c>
      <x:c r="H47" s="11" t="str">
        <x:f>IF(F47=G47,"PASS","FAIL")</x:f>
        <x:v>PASS</x:v>
      </x:c>
    </x:row>
    <x:row r="48">
      <x:c r="A48" s="11" t="str">
        <x:v>BC-043</x:v>
      </x:c>
      <x:c r="B48" s="11" t="str">
        <x:v>repeat error mm</x:v>
      </x:c>
      <x:c r="C48" s="11" t="n">
        <x:v>0</x:v>
      </x:c>
      <x:c r="D48" s="11" t="n">
        <x:v>-2</x:v>
      </x:c>
      <x:c r="E48" s="11" t="n">
        <x:v>2</x:v>
      </x:c>
      <x:c r="F48" s="11" t="str">
        <x:v>ADMIT</x:v>
      </x:c>
      <x:c r="G48" s="11" t="str">
        <x:f>IF(COUNT(C48)=0,"MISSING",IF(AND(C48&gt;=D48,C48&lt;=E48),"ADMIT","DENY"))</x:f>
        <x:v>ADMIT</x:v>
      </x:c>
      <x:c r="H48" s="11" t="str">
        <x:f>IF(F48=G48,"PASS","FAIL")</x:f>
        <x:v>PASS</x:v>
      </x:c>
    </x:row>
    <x:row r="49">
      <x:c r="A49" s="11" t="str">
        <x:v>BC-044</x:v>
      </x:c>
      <x:c r="B49" s="11" t="str">
        <x:v>repeat error mm</x:v>
      </x:c>
      <x:c r="C49" s="11" t="n">
        <x:v>-2.02</x:v>
      </x:c>
      <x:c r="D49" s="11" t="n">
        <x:v>-2</x:v>
      </x:c>
      <x:c r="E49" s="11" t="n">
        <x:v>2</x:v>
      </x:c>
      <x:c r="F49" s="11" t="str">
        <x:v>DENY</x:v>
      </x:c>
      <x:c r="G49" s="11" t="str">
        <x:f>IF(COUNT(C49)=0,"MISSING",IF(AND(C49&gt;=D49,C49&lt;=E49),"ADMIT","DENY"))</x:f>
        <x:v>DENY</x:v>
      </x:c>
      <x:c r="H49" s="11" t="str">
        <x:f>IF(F49=G49,"PASS","FAIL")</x:f>
        <x:v>PASS</x:v>
      </x:c>
    </x:row>
    <x:row r="50">
      <x:c r="A50" s="11" t="str">
        <x:v>BC-045</x:v>
      </x:c>
      <x:c r="B50" s="11" t="str">
        <x:v>repeat error mm</x:v>
      </x:c>
      <x:c r="C50" s="11" t="n">
        <x:v>2.02</x:v>
      </x:c>
      <x:c r="D50" s="11" t="n">
        <x:v>-2</x:v>
      </x:c>
      <x:c r="E50" s="11" t="n">
        <x:v>2</x:v>
      </x:c>
      <x:c r="F50" s="11" t="str">
        <x:v>DENY</x:v>
      </x:c>
      <x:c r="G50" s="11" t="str">
        <x:f>IF(COUNT(C50)=0,"MISSING",IF(AND(C50&gt;=D50,C50&lt;=E50),"ADMIT","DENY"))</x:f>
        <x:v>DENY</x:v>
      </x:c>
      <x:c r="H50" s="11" t="str">
        <x:f>IF(F50=G50,"PASS","FAIL")</x:f>
        <x:v>PASS</x:v>
      </x:c>
    </x:row>
    <x:row r="51">
      <x:c r="A51" s="11" t="str">
        <x:v>BC-046</x:v>
      </x:c>
      <x:c r="B51" s="11" t="str">
        <x:v>repeat error mm</x:v>
      </x:c>
      <x:c r="C51" s="11"/>
      <x:c r="D51" s="11" t="n">
        <x:v>-2</x:v>
      </x:c>
      <x:c r="E51" s="11" t="n">
        <x:v>2</x:v>
      </x:c>
      <x:c r="F51" s="11" t="str">
        <x:v>MISSING</x:v>
      </x:c>
      <x:c r="G51" s="11" t="str">
        <x:f>IF(COUNT(C51)=0,"MISSING",IF(AND(C51&gt;=D51,C51&lt;=E51),"ADMIT","DENY"))</x:f>
        <x:v>MISSING</x:v>
      </x:c>
      <x:c r="H51" s="11" t="str">
        <x:f>IF(F51=G51,"PASS","FAIL")</x:f>
        <x:v>PASS</x:v>
      </x:c>
    </x:row>
    <x:row r="52">
      <x:c r="A52" s="11" t="str">
        <x:v>BC-047</x:v>
      </x:c>
      <x:c r="B52" s="11" t="str">
        <x:v>repeat error mm</x:v>
      </x:c>
      <x:c r="C52" s="11" t="n">
        <x:v>0</x:v>
      </x:c>
      <x:c r="D52" s="11" t="n">
        <x:v>-2</x:v>
      </x:c>
      <x:c r="E52" s="11" t="n">
        <x:v>2</x:v>
      </x:c>
      <x:c r="F52" s="11" t="str">
        <x:v>ADMIT</x:v>
      </x:c>
      <x:c r="G52" s="11" t="str">
        <x:f>IF(COUNT(C52)=0,"MISSING",IF(AND(C52&gt;=D52,C52&lt;=E52),"ADMIT","DENY"))</x:f>
        <x:v>ADMIT</x:v>
      </x:c>
      <x:c r="H52" s="11" t="str">
        <x:f>IF(F52=G52,"PASS","FAIL")</x:f>
        <x:v>PASS</x:v>
      </x:c>
    </x:row>
    <x:row r="53">
      <x:c r="A53" s="11" t="str">
        <x:v>BC-048</x:v>
      </x:c>
      <x:c r="B53" s="11" t="str">
        <x:v>repeat error mm</x:v>
      </x:c>
      <x:c r="C53" s="11" t="n">
        <x:v>-1.98</x:v>
      </x:c>
      <x:c r="D53" s="11" t="n">
        <x:v>-2</x:v>
      </x:c>
      <x:c r="E53" s="11" t="n">
        <x:v>2</x:v>
      </x:c>
      <x:c r="F53" s="11" t="str">
        <x:v>ADMIT</x:v>
      </x:c>
      <x:c r="G53" s="11" t="str">
        <x:f>IF(COUNT(C53)=0,"MISSING",IF(AND(C53&gt;=D53,C53&lt;=E53),"ADMIT","DENY"))</x:f>
        <x:v>ADMIT</x:v>
      </x:c>
      <x:c r="H53" s="11" t="str">
        <x:f>IF(F53=G53,"PASS","FAIL")</x:f>
        <x:v>PASS</x:v>
      </x:c>
    </x:row>
    <x:row r="54">
      <x:c r="A54" s="11" t="str">
        <x:v>BC-049</x:v>
      </x:c>
      <x:c r="B54" s="11" t="str">
        <x:v>repeat error mm</x:v>
      </x:c>
      <x:c r="C54" s="11" t="n">
        <x:v>1.98</x:v>
      </x:c>
      <x:c r="D54" s="11" t="n">
        <x:v>-2</x:v>
      </x:c>
      <x:c r="E54" s="11" t="n">
        <x:v>2</x:v>
      </x:c>
      <x:c r="F54" s="11" t="str">
        <x:v>ADMIT</x:v>
      </x:c>
      <x:c r="G54" s="11" t="str">
        <x:f>IF(COUNT(C54)=0,"MISSING",IF(AND(C54&gt;=D54,C54&lt;=E54),"ADMIT","DENY"))</x:f>
        <x:v>ADMIT</x:v>
      </x:c>
      <x:c r="H54" s="11" t="str">
        <x:f>IF(F54=G54,"PASS","FAIL")</x:f>
        <x:v>PASS</x:v>
      </x:c>
    </x:row>
    <x:row r="55">
      <x:c r="A55" s="11" t="str">
        <x:v>BC-050</x:v>
      </x:c>
      <x:c r="B55" s="11" t="str">
        <x:v>repeat error mm</x:v>
      </x:c>
      <x:c r="C55" s="11" t="n">
        <x:v>1.998</x:v>
      </x:c>
      <x:c r="D55" s="11" t="n">
        <x:v>-2</x:v>
      </x:c>
      <x:c r="E55" s="11" t="n">
        <x:v>2</x:v>
      </x:c>
      <x:c r="F55" s="11" t="str">
        <x:v>ADMIT</x:v>
      </x:c>
      <x:c r="G55" s="11" t="str">
        <x:f>IF(COUNT(C55)=0,"MISSING",IF(AND(C55&gt;=D55,C55&lt;=E55),"ADMIT","DENY"))</x:f>
        <x:v>ADMIT</x:v>
      </x:c>
      <x:c r="H55" s="11" t="str">
        <x:f>IF(F55=G55,"PASS","FAIL")</x:f>
        <x:v>PASS</x:v>
      </x:c>
    </x:row>
    <x:row r="56">
      <x:c r="A56" s="11" t="str">
        <x:v>BC-051</x:v>
      </x:c>
      <x:c r="B56" s="11" t="str">
        <x:v>abort cessation ms</x:v>
      </x:c>
      <x:c r="C56" s="11" t="n">
        <x:v>0</x:v>
      </x:c>
      <x:c r="D56" s="11" t="n">
        <x:v>0</x:v>
      </x:c>
      <x:c r="E56" s="11" t="n">
        <x:v>100</x:v>
      </x:c>
      <x:c r="F56" s="11" t="str">
        <x:v>ADMIT</x:v>
      </x:c>
      <x:c r="G56" s="11" t="str">
        <x:f>IF(COUNT(C56)=0,"MISSING",IF(AND(C56&gt;=D56,C56&lt;=E56),"ADMIT","DENY"))</x:f>
        <x:v>ADMIT</x:v>
      </x:c>
      <x:c r="H56" s="11" t="str">
        <x:f>IF(F56=G56,"PASS","FAIL")</x:f>
        <x:v>PASS</x:v>
      </x:c>
    </x:row>
    <x:row r="57">
      <x:c r="A57" s="11" t="str">
        <x:v>BC-052</x:v>
      </x:c>
      <x:c r="B57" s="11" t="str">
        <x:v>abort cessation ms</x:v>
      </x:c>
      <x:c r="C57" s="11" t="n">
        <x:v>100</x:v>
      </x:c>
      <x:c r="D57" s="11" t="n">
        <x:v>0</x:v>
      </x:c>
      <x:c r="E57" s="11" t="n">
        <x:v>100</x:v>
      </x:c>
      <x:c r="F57" s="11" t="str">
        <x:v>ADMIT</x:v>
      </x:c>
      <x:c r="G57" s="11" t="str">
        <x:f>IF(COUNT(C57)=0,"MISSING",IF(AND(C57&gt;=D57,C57&lt;=E57),"ADMIT","DENY"))</x:f>
        <x:v>ADMIT</x:v>
      </x:c>
      <x:c r="H57" s="11" t="str">
        <x:f>IF(F57=G57,"PASS","FAIL")</x:f>
        <x:v>PASS</x:v>
      </x:c>
    </x:row>
    <x:row r="58">
      <x:c r="A58" s="11" t="str">
        <x:v>BC-053</x:v>
      </x:c>
      <x:c r="B58" s="11" t="str">
        <x:v>abort cessation ms</x:v>
      </x:c>
      <x:c r="C58" s="11" t="n">
        <x:v>50</x:v>
      </x:c>
      <x:c r="D58" s="11" t="n">
        <x:v>0</x:v>
      </x:c>
      <x:c r="E58" s="11" t="n">
        <x:v>100</x:v>
      </x:c>
      <x:c r="F58" s="11" t="str">
        <x:v>ADMIT</x:v>
      </x:c>
      <x:c r="G58" s="11" t="str">
        <x:f>IF(COUNT(C58)=0,"MISSING",IF(AND(C58&gt;=D58,C58&lt;=E58),"ADMIT","DENY"))</x:f>
        <x:v>ADMIT</x:v>
      </x:c>
      <x:c r="H58" s="11" t="str">
        <x:f>IF(F58=G58,"PASS","FAIL")</x:f>
        <x:v>PASS</x:v>
      </x:c>
    </x:row>
    <x:row r="59">
      <x:c r="A59" s="11" t="str">
        <x:v>BC-054</x:v>
      </x:c>
      <x:c r="B59" s="11" t="str">
        <x:v>abort cessation ms</x:v>
      </x:c>
      <x:c r="C59" s="11" t="n">
        <x:v>-1</x:v>
      </x:c>
      <x:c r="D59" s="11" t="n">
        <x:v>0</x:v>
      </x:c>
      <x:c r="E59" s="11" t="n">
        <x:v>100</x:v>
      </x:c>
      <x:c r="F59" s="11" t="str">
        <x:v>DENY</x:v>
      </x:c>
      <x:c r="G59" s="11" t="str">
        <x:f>IF(COUNT(C59)=0,"MISSING",IF(AND(C59&gt;=D59,C59&lt;=E59),"ADMIT","DENY"))</x:f>
        <x:v>DENY</x:v>
      </x:c>
      <x:c r="H59" s="11" t="str">
        <x:f>IF(F59=G59,"PASS","FAIL")</x:f>
        <x:v>PASS</x:v>
      </x:c>
    </x:row>
    <x:row r="60">
      <x:c r="A60" s="11" t="str">
        <x:v>BC-055</x:v>
      </x:c>
      <x:c r="B60" s="11" t="str">
        <x:v>abort cessation ms</x:v>
      </x:c>
      <x:c r="C60" s="11" t="n">
        <x:v>101</x:v>
      </x:c>
      <x:c r="D60" s="11" t="n">
        <x:v>0</x:v>
      </x:c>
      <x:c r="E60" s="11" t="n">
        <x:v>100</x:v>
      </x:c>
      <x:c r="F60" s="11" t="str">
        <x:v>DENY</x:v>
      </x:c>
      <x:c r="G60" s="11" t="str">
        <x:f>IF(COUNT(C60)=0,"MISSING",IF(AND(C60&gt;=D60,C60&lt;=E60),"ADMIT","DENY"))</x:f>
        <x:v>DENY</x:v>
      </x:c>
      <x:c r="H60" s="11" t="str">
        <x:f>IF(F60=G60,"PASS","FAIL")</x:f>
        <x:v>PASS</x:v>
      </x:c>
    </x:row>
    <x:row r="61">
      <x:c r="A61" s="11" t="str">
        <x:v>BC-056</x:v>
      </x:c>
      <x:c r="B61" s="11" t="str">
        <x:v>abort cessation ms</x:v>
      </x:c>
      <x:c r="C61" s="11"/>
      <x:c r="D61" s="11" t="n">
        <x:v>0</x:v>
      </x:c>
      <x:c r="E61" s="11" t="n">
        <x:v>100</x:v>
      </x:c>
      <x:c r="F61" s="11" t="str">
        <x:v>MISSING</x:v>
      </x:c>
      <x:c r="G61" s="11" t="str">
        <x:f>IF(COUNT(C61)=0,"MISSING",IF(AND(C61&gt;=D61,C61&lt;=E61),"ADMIT","DENY"))</x:f>
        <x:v>MISSING</x:v>
      </x:c>
      <x:c r="H61" s="11" t="str">
        <x:f>IF(F61=G61,"PASS","FAIL")</x:f>
        <x:v>PASS</x:v>
      </x:c>
    </x:row>
    <x:row r="62">
      <x:c r="A62" s="11" t="str">
        <x:v>BC-057</x:v>
      </x:c>
      <x:c r="B62" s="11" t="str">
        <x:v>abort cessation ms</x:v>
      </x:c>
      <x:c r="C62" s="11" t="n">
        <x:v>0</x:v>
      </x:c>
      <x:c r="D62" s="11" t="n">
        <x:v>0</x:v>
      </x:c>
      <x:c r="E62" s="11" t="n">
        <x:v>100</x:v>
      </x:c>
      <x:c r="F62" s="11" t="str">
        <x:v>ADMIT</x:v>
      </x:c>
      <x:c r="G62" s="11" t="str">
        <x:f>IF(COUNT(C62)=0,"MISSING",IF(AND(C62&gt;=D62,C62&lt;=E62),"ADMIT","DENY"))</x:f>
        <x:v>ADMIT</x:v>
      </x:c>
      <x:c r="H62" s="11" t="str">
        <x:f>IF(F62=G62,"PASS","FAIL")</x:f>
        <x:v>PASS</x:v>
      </x:c>
    </x:row>
    <x:row r="63">
      <x:c r="A63" s="11" t="str">
        <x:v>BC-058</x:v>
      </x:c>
      <x:c r="B63" s="11" t="str">
        <x:v>abort cessation ms</x:v>
      </x:c>
      <x:c r="C63" s="11" t="n">
        <x:v>1</x:v>
      </x:c>
      <x:c r="D63" s="11" t="n">
        <x:v>0</x:v>
      </x:c>
      <x:c r="E63" s="11" t="n">
        <x:v>100</x:v>
      </x:c>
      <x:c r="F63" s="11" t="str">
        <x:v>ADMIT</x:v>
      </x:c>
      <x:c r="G63" s="11" t="str">
        <x:f>IF(COUNT(C63)=0,"MISSING",IF(AND(C63&gt;=D63,C63&lt;=E63),"ADMIT","DENY"))</x:f>
        <x:v>ADMIT</x:v>
      </x:c>
      <x:c r="H63" s="11" t="str">
        <x:f>IF(F63=G63,"PASS","FAIL")</x:f>
        <x:v>PASS</x:v>
      </x:c>
    </x:row>
    <x:row r="64">
      <x:c r="A64" s="11" t="str">
        <x:v>BC-059</x:v>
      </x:c>
      <x:c r="B64" s="11" t="str">
        <x:v>abort cessation ms</x:v>
      </x:c>
      <x:c r="C64" s="11" t="n">
        <x:v>99</x:v>
      </x:c>
      <x:c r="D64" s="11" t="n">
        <x:v>0</x:v>
      </x:c>
      <x:c r="E64" s="11" t="n">
        <x:v>100</x:v>
      </x:c>
      <x:c r="F64" s="11" t="str">
        <x:v>ADMIT</x:v>
      </x:c>
      <x:c r="G64" s="11" t="str">
        <x:f>IF(COUNT(C64)=0,"MISSING",IF(AND(C64&gt;=D64,C64&lt;=E64),"ADMIT","DENY"))</x:f>
        <x:v>ADMIT</x:v>
      </x:c>
      <x:c r="H64" s="11" t="str">
        <x:f>IF(F64=G64,"PASS","FAIL")</x:f>
        <x:v>PASS</x:v>
      </x:c>
    </x:row>
    <x:row r="65">
      <x:c r="A65" s="11" t="str">
        <x:v>BC-060</x:v>
      </x:c>
      <x:c r="B65" s="11" t="str">
        <x:v>abort cessation ms</x:v>
      </x:c>
      <x:c r="C65" s="11" t="n">
        <x:v>99.9</x:v>
      </x:c>
      <x:c r="D65" s="11" t="n">
        <x:v>0</x:v>
      </x:c>
      <x:c r="E65" s="11" t="n">
        <x:v>100</x:v>
      </x:c>
      <x:c r="F65" s="11" t="str">
        <x:v>ADMIT</x:v>
      </x:c>
      <x:c r="G65" s="11" t="str">
        <x:f>IF(COUNT(C65)=0,"MISSING",IF(AND(C65&gt;=D65,C65&lt;=E65),"ADMIT","DENY"))</x:f>
        <x:v>ADMIT</x:v>
      </x:c>
      <x:c r="H65" s="11" t="str">
        <x:f>IF(F65=G65,"PASS","FAIL")</x:f>
        <x:v>PASS</x:v>
      </x:c>
    </x:row>
    <x:row r="66">
      <x:c r="A66" s="11" t="str">
        <x:v>BC-061</x:v>
      </x:c>
      <x:c r="B66" s="11" t="str">
        <x:v>temperature 60 s C</x:v>
      </x:c>
      <x:c r="C66" s="11" t="n">
        <x:v>0</x:v>
      </x:c>
      <x:c r="D66" s="11" t="n">
        <x:v>0</x:v>
      </x:c>
      <x:c r="E66" s="11" t="n">
        <x:v>80</x:v>
      </x:c>
      <x:c r="F66" s="11" t="str">
        <x:v>ADMIT</x:v>
      </x:c>
      <x:c r="G66" s="11" t="str">
        <x:f>IF(COUNT(C66)=0,"MISSING",IF(AND(C66&gt;=D66,C66&lt;=E66),"ADMIT","DENY"))</x:f>
        <x:v>ADMIT</x:v>
      </x:c>
      <x:c r="H66" s="11" t="str">
        <x:f>IF(F66=G66,"PASS","FAIL")</x:f>
        <x:v>PASS</x:v>
      </x:c>
    </x:row>
    <x:row r="67">
      <x:c r="A67" s="11" t="str">
        <x:v>BC-062</x:v>
      </x:c>
      <x:c r="B67" s="11" t="str">
        <x:v>temperature 60 s C</x:v>
      </x:c>
      <x:c r="C67" s="11" t="n">
        <x:v>80</x:v>
      </x:c>
      <x:c r="D67" s="11" t="n">
        <x:v>0</x:v>
      </x:c>
      <x:c r="E67" s="11" t="n">
        <x:v>80</x:v>
      </x:c>
      <x:c r="F67" s="11" t="str">
        <x:v>ADMIT</x:v>
      </x:c>
      <x:c r="G67" s="11" t="str">
        <x:f>IF(COUNT(C67)=0,"MISSING",IF(AND(C67&gt;=D67,C67&lt;=E67),"ADMIT","DENY"))</x:f>
        <x:v>ADMIT</x:v>
      </x:c>
      <x:c r="H67" s="11" t="str">
        <x:f>IF(F67=G67,"PASS","FAIL")</x:f>
        <x:v>PASS</x:v>
      </x:c>
    </x:row>
    <x:row r="68">
      <x:c r="A68" s="11" t="str">
        <x:v>BC-063</x:v>
      </x:c>
      <x:c r="B68" s="11" t="str">
        <x:v>temperature 60 s C</x:v>
      </x:c>
      <x:c r="C68" s="11" t="n">
        <x:v>40</x:v>
      </x:c>
      <x:c r="D68" s="11" t="n">
        <x:v>0</x:v>
      </x:c>
      <x:c r="E68" s="11" t="n">
        <x:v>80</x:v>
      </x:c>
      <x:c r="F68" s="11" t="str">
        <x:v>ADMIT</x:v>
      </x:c>
      <x:c r="G68" s="11" t="str">
        <x:f>IF(COUNT(C68)=0,"MISSING",IF(AND(C68&gt;=D68,C68&lt;=E68),"ADMIT","DENY"))</x:f>
        <x:v>ADMIT</x:v>
      </x:c>
      <x:c r="H68" s="11" t="str">
        <x:f>IF(F68=G68,"PASS","FAIL")</x:f>
        <x:v>PASS</x:v>
      </x:c>
    </x:row>
    <x:row r="69">
      <x:c r="A69" s="11" t="str">
        <x:v>BC-064</x:v>
      </x:c>
      <x:c r="B69" s="11" t="str">
        <x:v>temperature 60 s C</x:v>
      </x:c>
      <x:c r="C69" s="11" t="n">
        <x:v>-0.8</x:v>
      </x:c>
      <x:c r="D69" s="11" t="n">
        <x:v>0</x:v>
      </x:c>
      <x:c r="E69" s="11" t="n">
        <x:v>80</x:v>
      </x:c>
      <x:c r="F69" s="11" t="str">
        <x:v>DENY</x:v>
      </x:c>
      <x:c r="G69" s="11" t="str">
        <x:f>IF(COUNT(C69)=0,"MISSING",IF(AND(C69&gt;=D69,C69&lt;=E69),"ADMIT","DENY"))</x:f>
        <x:v>DENY</x:v>
      </x:c>
      <x:c r="H69" s="11" t="str">
        <x:f>IF(F69=G69,"PASS","FAIL")</x:f>
        <x:v>PASS</x:v>
      </x:c>
    </x:row>
    <x:row r="70">
      <x:c r="A70" s="11" t="str">
        <x:v>BC-065</x:v>
      </x:c>
      <x:c r="B70" s="11" t="str">
        <x:v>temperature 60 s C</x:v>
      </x:c>
      <x:c r="C70" s="11" t="n">
        <x:v>80.8</x:v>
      </x:c>
      <x:c r="D70" s="11" t="n">
        <x:v>0</x:v>
      </x:c>
      <x:c r="E70" s="11" t="n">
        <x:v>80</x:v>
      </x:c>
      <x:c r="F70" s="11" t="str">
        <x:v>DENY</x:v>
      </x:c>
      <x:c r="G70" s="11" t="str">
        <x:f>IF(COUNT(C70)=0,"MISSING",IF(AND(C70&gt;=D70,C70&lt;=E70),"ADMIT","DENY"))</x:f>
        <x:v>DENY</x:v>
      </x:c>
      <x:c r="H70" s="11" t="str">
        <x:f>IF(F70=G70,"PASS","FAIL")</x:f>
        <x:v>PASS</x:v>
      </x:c>
    </x:row>
    <x:row r="71">
      <x:c r="A71" s="11" t="str">
        <x:v>BC-066</x:v>
      </x:c>
      <x:c r="B71" s="11" t="str">
        <x:v>temperature 60 s C</x:v>
      </x:c>
      <x:c r="C71" s="11"/>
      <x:c r="D71" s="11" t="n">
        <x:v>0</x:v>
      </x:c>
      <x:c r="E71" s="11" t="n">
        <x:v>80</x:v>
      </x:c>
      <x:c r="F71" s="11" t="str">
        <x:v>MISSING</x:v>
      </x:c>
      <x:c r="G71" s="11" t="str">
        <x:f>IF(COUNT(C71)=0,"MISSING",IF(AND(C71&gt;=D71,C71&lt;=E71),"ADMIT","DENY"))</x:f>
        <x:v>MISSING</x:v>
      </x:c>
      <x:c r="H71" s="11" t="str">
        <x:f>IF(F71=G71,"PASS","FAIL")</x:f>
        <x:v>PASS</x:v>
      </x:c>
    </x:row>
    <x:row r="72">
      <x:c r="A72" s="11" t="str">
        <x:v>BC-067</x:v>
      </x:c>
      <x:c r="B72" s="11" t="str">
        <x:v>temperature 60 s C</x:v>
      </x:c>
      <x:c r="C72" s="11" t="n">
        <x:v>0</x:v>
      </x:c>
      <x:c r="D72" s="11" t="n">
        <x:v>0</x:v>
      </x:c>
      <x:c r="E72" s="11" t="n">
        <x:v>80</x:v>
      </x:c>
      <x:c r="F72" s="11" t="str">
        <x:v>ADMIT</x:v>
      </x:c>
      <x:c r="G72" s="11" t="str">
        <x:f>IF(COUNT(C72)=0,"MISSING",IF(AND(C72&gt;=D72,C72&lt;=E72),"ADMIT","DENY"))</x:f>
        <x:v>ADMIT</x:v>
      </x:c>
      <x:c r="H72" s="11" t="str">
        <x:f>IF(F72=G72,"PASS","FAIL")</x:f>
        <x:v>PASS</x:v>
      </x:c>
    </x:row>
    <x:row r="73">
      <x:c r="A73" s="11" t="str">
        <x:v>BC-068</x:v>
      </x:c>
      <x:c r="B73" s="11" t="str">
        <x:v>temperature 60 s C</x:v>
      </x:c>
      <x:c r="C73" s="11" t="n">
        <x:v>0.8</x:v>
      </x:c>
      <x:c r="D73" s="11" t="n">
        <x:v>0</x:v>
      </x:c>
      <x:c r="E73" s="11" t="n">
        <x:v>80</x:v>
      </x:c>
      <x:c r="F73" s="11" t="str">
        <x:v>ADMIT</x:v>
      </x:c>
      <x:c r="G73" s="11" t="str">
        <x:f>IF(COUNT(C73)=0,"MISSING",IF(AND(C73&gt;=D73,C73&lt;=E73),"ADMIT","DENY"))</x:f>
        <x:v>ADMIT</x:v>
      </x:c>
      <x:c r="H73" s="11" t="str">
        <x:f>IF(F73=G73,"PASS","FAIL")</x:f>
        <x:v>PASS</x:v>
      </x:c>
    </x:row>
    <x:row r="74">
      <x:c r="A74" s="11" t="str">
        <x:v>BC-069</x:v>
      </x:c>
      <x:c r="B74" s="11" t="str">
        <x:v>temperature 60 s C</x:v>
      </x:c>
      <x:c r="C74" s="11" t="n">
        <x:v>79.2</x:v>
      </x:c>
      <x:c r="D74" s="11" t="n">
        <x:v>0</x:v>
      </x:c>
      <x:c r="E74" s="11" t="n">
        <x:v>80</x:v>
      </x:c>
      <x:c r="F74" s="11" t="str">
        <x:v>ADMIT</x:v>
      </x:c>
      <x:c r="G74" s="11" t="str">
        <x:f>IF(COUNT(C74)=0,"MISSING",IF(AND(C74&gt;=D74,C74&lt;=E74),"ADMIT","DENY"))</x:f>
        <x:v>ADMIT</x:v>
      </x:c>
      <x:c r="H74" s="11" t="str">
        <x:f>IF(F74=G74,"PASS","FAIL")</x:f>
        <x:v>PASS</x:v>
      </x:c>
    </x:row>
    <x:row r="75">
      <x:c r="A75" s="11" t="str">
        <x:v>BC-070</x:v>
      </x:c>
      <x:c r="B75" s="11" t="str">
        <x:v>temperature 60 s C</x:v>
      </x:c>
      <x:c r="C75" s="11" t="n">
        <x:v>79.92</x:v>
      </x:c>
      <x:c r="D75" s="11" t="n">
        <x:v>0</x:v>
      </x:c>
      <x:c r="E75" s="11" t="n">
        <x:v>80</x:v>
      </x:c>
      <x:c r="F75" s="11" t="str">
        <x:v>ADMIT</x:v>
      </x:c>
      <x:c r="G75" s="11" t="str">
        <x:f>IF(COUNT(C75)=0,"MISSING",IF(AND(C75&gt;=D75,C75&lt;=E75),"ADMIT","DENY"))</x:f>
        <x:v>ADMIT</x:v>
      </x:c>
      <x:c r="H75" s="11" t="str">
        <x:f>IF(F75=G75,"PASS","FAIL")</x:f>
        <x:v>PASS</x:v>
      </x:c>
    </x:row>
    <x:row r="76">
      <x:c r="A76" s="11" t="str">
        <x:v>BC-071</x:v>
      </x:c>
      <x:c r="B76" s="11" t="str">
        <x:v>temperature 10 min C</x:v>
      </x:c>
      <x:c r="C76" s="11" t="n">
        <x:v>0</x:v>
      </x:c>
      <x:c r="D76" s="11" t="n">
        <x:v>0</x:v>
      </x:c>
      <x:c r="E76" s="11" t="n">
        <x:v>45</x:v>
      </x:c>
      <x:c r="F76" s="11" t="str">
        <x:v>ADMIT</x:v>
      </x:c>
      <x:c r="G76" s="11" t="str">
        <x:f>IF(COUNT(C76)=0,"MISSING",IF(AND(C76&gt;=D76,C76&lt;=E76),"ADMIT","DENY"))</x:f>
        <x:v>ADMIT</x:v>
      </x:c>
      <x:c r="H76" s="11" t="str">
        <x:f>IF(F76=G76,"PASS","FAIL")</x:f>
        <x:v>PASS</x:v>
      </x:c>
    </x:row>
    <x:row r="77">
      <x:c r="A77" s="11" t="str">
        <x:v>BC-072</x:v>
      </x:c>
      <x:c r="B77" s="11" t="str">
        <x:v>temperature 10 min C</x:v>
      </x:c>
      <x:c r="C77" s="11" t="n">
        <x:v>45</x:v>
      </x:c>
      <x:c r="D77" s="11" t="n">
        <x:v>0</x:v>
      </x:c>
      <x:c r="E77" s="11" t="n">
        <x:v>45</x:v>
      </x:c>
      <x:c r="F77" s="11" t="str">
        <x:v>ADMIT</x:v>
      </x:c>
      <x:c r="G77" s="11" t="str">
        <x:f>IF(COUNT(C77)=0,"MISSING",IF(AND(C77&gt;=D77,C77&lt;=E77),"ADMIT","DENY"))</x:f>
        <x:v>ADMIT</x:v>
      </x:c>
      <x:c r="H77" s="11" t="str">
        <x:f>IF(F77=G77,"PASS","FAIL")</x:f>
        <x:v>PASS</x:v>
      </x:c>
    </x:row>
    <x:row r="78">
      <x:c r="A78" s="11" t="str">
        <x:v>BC-073</x:v>
      </x:c>
      <x:c r="B78" s="11" t="str">
        <x:v>temperature 10 min C</x:v>
      </x:c>
      <x:c r="C78" s="11" t="n">
        <x:v>22.5</x:v>
      </x:c>
      <x:c r="D78" s="11" t="n">
        <x:v>0</x:v>
      </x:c>
      <x:c r="E78" s="11" t="n">
        <x:v>45</x:v>
      </x:c>
      <x:c r="F78" s="11" t="str">
        <x:v>ADMIT</x:v>
      </x:c>
      <x:c r="G78" s="11" t="str">
        <x:f>IF(COUNT(C78)=0,"MISSING",IF(AND(C78&gt;=D78,C78&lt;=E78),"ADMIT","DENY"))</x:f>
        <x:v>ADMIT</x:v>
      </x:c>
      <x:c r="H78" s="11" t="str">
        <x:f>IF(F78=G78,"PASS","FAIL")</x:f>
        <x:v>PASS</x:v>
      </x:c>
    </x:row>
    <x:row r="79">
      <x:c r="A79" s="11" t="str">
        <x:v>BC-074</x:v>
      </x:c>
      <x:c r="B79" s="11" t="str">
        <x:v>temperature 10 min C</x:v>
      </x:c>
      <x:c r="C79" s="11" t="n">
        <x:v>-0.45</x:v>
      </x:c>
      <x:c r="D79" s="11" t="n">
        <x:v>0</x:v>
      </x:c>
      <x:c r="E79" s="11" t="n">
        <x:v>45</x:v>
      </x:c>
      <x:c r="F79" s="11" t="str">
        <x:v>DENY</x:v>
      </x:c>
      <x:c r="G79" s="11" t="str">
        <x:f>IF(COUNT(C79)=0,"MISSING",IF(AND(C79&gt;=D79,C79&lt;=E79),"ADMIT","DENY"))</x:f>
        <x:v>DENY</x:v>
      </x:c>
      <x:c r="H79" s="11" t="str">
        <x:f>IF(F79=G79,"PASS","FAIL")</x:f>
        <x:v>PASS</x:v>
      </x:c>
    </x:row>
    <x:row r="80">
      <x:c r="A80" s="11" t="str">
        <x:v>BC-075</x:v>
      </x:c>
      <x:c r="B80" s="11" t="str">
        <x:v>temperature 10 min C</x:v>
      </x:c>
      <x:c r="C80" s="11" t="n">
        <x:v>45.45</x:v>
      </x:c>
      <x:c r="D80" s="11" t="n">
        <x:v>0</x:v>
      </x:c>
      <x:c r="E80" s="11" t="n">
        <x:v>45</x:v>
      </x:c>
      <x:c r="F80" s="11" t="str">
        <x:v>DENY</x:v>
      </x:c>
      <x:c r="G80" s="11" t="str">
        <x:f>IF(COUNT(C80)=0,"MISSING",IF(AND(C80&gt;=D80,C80&lt;=E80),"ADMIT","DENY"))</x:f>
        <x:v>DENY</x:v>
      </x:c>
      <x:c r="H80" s="11" t="str">
        <x:f>IF(F80=G80,"PASS","FAIL")</x:f>
        <x:v>PASS</x:v>
      </x:c>
    </x:row>
    <x:row r="81">
      <x:c r="A81" s="11" t="str">
        <x:v>BC-076</x:v>
      </x:c>
      <x:c r="B81" s="11" t="str">
        <x:v>temperature 10 min C</x:v>
      </x:c>
      <x:c r="C81" s="11"/>
      <x:c r="D81" s="11" t="n">
        <x:v>0</x:v>
      </x:c>
      <x:c r="E81" s="11" t="n">
        <x:v>45</x:v>
      </x:c>
      <x:c r="F81" s="11" t="str">
        <x:v>MISSING</x:v>
      </x:c>
      <x:c r="G81" s="11" t="str">
        <x:f>IF(COUNT(C81)=0,"MISSING",IF(AND(C81&gt;=D81,C81&lt;=E81),"ADMIT","DENY"))</x:f>
        <x:v>MISSING</x:v>
      </x:c>
      <x:c r="H81" s="11" t="str">
        <x:f>IF(F81=G81,"PASS","FAIL")</x:f>
        <x:v>PASS</x:v>
      </x:c>
    </x:row>
    <x:row r="82">
      <x:c r="A82" s="11" t="str">
        <x:v>BC-077</x:v>
      </x:c>
      <x:c r="B82" s="11" t="str">
        <x:v>temperature 10 min C</x:v>
      </x:c>
      <x:c r="C82" s="11" t="n">
        <x:v>0</x:v>
      </x:c>
      <x:c r="D82" s="11" t="n">
        <x:v>0</x:v>
      </x:c>
      <x:c r="E82" s="11" t="n">
        <x:v>45</x:v>
      </x:c>
      <x:c r="F82" s="11" t="str">
        <x:v>ADMIT</x:v>
      </x:c>
      <x:c r="G82" s="11" t="str">
        <x:f>IF(COUNT(C82)=0,"MISSING",IF(AND(C82&gt;=D82,C82&lt;=E82),"ADMIT","DENY"))</x:f>
        <x:v>ADMIT</x:v>
      </x:c>
      <x:c r="H82" s="11" t="str">
        <x:f>IF(F82=G82,"PASS","FAIL")</x:f>
        <x:v>PASS</x:v>
      </x:c>
    </x:row>
    <x:row r="83">
      <x:c r="A83" s="11" t="str">
        <x:v>BC-078</x:v>
      </x:c>
      <x:c r="B83" s="11" t="str">
        <x:v>temperature 10 min C</x:v>
      </x:c>
      <x:c r="C83" s="11" t="n">
        <x:v>0.45</x:v>
      </x:c>
      <x:c r="D83" s="11" t="n">
        <x:v>0</x:v>
      </x:c>
      <x:c r="E83" s="11" t="n">
        <x:v>45</x:v>
      </x:c>
      <x:c r="F83" s="11" t="str">
        <x:v>ADMIT</x:v>
      </x:c>
      <x:c r="G83" s="11" t="str">
        <x:f>IF(COUNT(C83)=0,"MISSING",IF(AND(C83&gt;=D83,C83&lt;=E83),"ADMIT","DENY"))</x:f>
        <x:v>ADMIT</x:v>
      </x:c>
      <x:c r="H83" s="11" t="str">
        <x:f>IF(F83=G83,"PASS","FAIL")</x:f>
        <x:v>PASS</x:v>
      </x:c>
    </x:row>
    <x:row r="84">
      <x:c r="A84" s="11" t="str">
        <x:v>BC-079</x:v>
      </x:c>
      <x:c r="B84" s="11" t="str">
        <x:v>temperature 10 min C</x:v>
      </x:c>
      <x:c r="C84" s="11" t="n">
        <x:v>44.55</x:v>
      </x:c>
      <x:c r="D84" s="11" t="n">
        <x:v>0</x:v>
      </x:c>
      <x:c r="E84" s="11" t="n">
        <x:v>45</x:v>
      </x:c>
      <x:c r="F84" s="11" t="str">
        <x:v>ADMIT</x:v>
      </x:c>
      <x:c r="G84" s="11" t="str">
        <x:f>IF(COUNT(C84)=0,"MISSING",IF(AND(C84&gt;=D84,C84&lt;=E84),"ADMIT","DENY"))</x:f>
        <x:v>ADMIT</x:v>
      </x:c>
      <x:c r="H84" s="11" t="str">
        <x:f>IF(F84=G84,"PASS","FAIL")</x:f>
        <x:v>PASS</x:v>
      </x:c>
    </x:row>
    <x:row r="85">
      <x:c r="A85" s="11" t="str">
        <x:v>BC-080</x:v>
      </x:c>
      <x:c r="B85" s="11" t="str">
        <x:v>temperature 10 min C</x:v>
      </x:c>
      <x:c r="C85" s="11" t="n">
        <x:v>44.955</x:v>
      </x:c>
      <x:c r="D85" s="11" t="n">
        <x:v>0</x:v>
      </x:c>
      <x:c r="E85" s="11" t="n">
        <x:v>45</x:v>
      </x:c>
      <x:c r="F85" s="11" t="str">
        <x:v>ADMIT</x:v>
      </x:c>
      <x:c r="G85" s="11" t="str">
        <x:f>IF(COUNT(C85)=0,"MISSING",IF(AND(C85&gt;=D85,C85&lt;=E85),"ADMIT","DENY"))</x:f>
        <x:v>ADMIT</x:v>
      </x:c>
      <x:c r="H85" s="11" t="str">
        <x:f>IF(F85=G85,"PASS","FAIL")</x:f>
        <x:v>PASS</x:v>
      </x:c>
    </x:row>
    <x:row r="86">
      <x:c r="A86" s="11" t="str">
        <x:v>BC-081</x:v>
      </x:c>
      <x:c r="B86" s="11" t="str">
        <x:v>dry return h</x:v>
      </x:c>
      <x:c r="C86" s="11" t="n">
        <x:v>168</x:v>
      </x:c>
      <x:c r="D86" s="11" t="n">
        <x:v>168</x:v>
      </x:c>
      <x:c r="E86" s="11" t="n">
        <x:v>10000</x:v>
      </x:c>
      <x:c r="F86" s="11" t="str">
        <x:v>ADMIT</x:v>
      </x:c>
      <x:c r="G86" s="11" t="str">
        <x:f>IF(COUNT(C86)=0,"MISSING",IF(AND(C86&gt;=D86,C86&lt;=E86),"ADMIT","DENY"))</x:f>
        <x:v>ADMIT</x:v>
      </x:c>
      <x:c r="H86" s="11" t="str">
        <x:f>IF(F86=G86,"PASS","FAIL")</x:f>
        <x:v>PASS</x:v>
      </x:c>
    </x:row>
    <x:row r="87">
      <x:c r="A87" s="11" t="str">
        <x:v>BC-082</x:v>
      </x:c>
      <x:c r="B87" s="11" t="str">
        <x:v>dry return h</x:v>
      </x:c>
      <x:c r="C87" s="11" t="n">
        <x:v>10000</x:v>
      </x:c>
      <x:c r="D87" s="11" t="n">
        <x:v>168</x:v>
      </x:c>
      <x:c r="E87" s="11" t="n">
        <x:v>10000</x:v>
      </x:c>
      <x:c r="F87" s="11" t="str">
        <x:v>ADMIT</x:v>
      </x:c>
      <x:c r="G87" s="11" t="str">
        <x:f>IF(COUNT(C87)=0,"MISSING",IF(AND(C87&gt;=D87,C87&lt;=E87),"ADMIT","DENY"))</x:f>
        <x:v>ADMIT</x:v>
      </x:c>
      <x:c r="H87" s="11" t="str">
        <x:f>IF(F87=G87,"PASS","FAIL")</x:f>
        <x:v>PASS</x:v>
      </x:c>
    </x:row>
    <x:row r="88">
      <x:c r="A88" s="11" t="str">
        <x:v>BC-083</x:v>
      </x:c>
      <x:c r="B88" s="11" t="str">
        <x:v>dry return h</x:v>
      </x:c>
      <x:c r="C88" s="11" t="n">
        <x:v>5084</x:v>
      </x:c>
      <x:c r="D88" s="11" t="n">
        <x:v>168</x:v>
      </x:c>
      <x:c r="E88" s="11" t="n">
        <x:v>10000</x:v>
      </x:c>
      <x:c r="F88" s="11" t="str">
        <x:v>ADMIT</x:v>
      </x:c>
      <x:c r="G88" s="11" t="str">
        <x:f>IF(COUNT(C88)=0,"MISSING",IF(AND(C88&gt;=D88,C88&lt;=E88),"ADMIT","DENY"))</x:f>
        <x:v>ADMIT</x:v>
      </x:c>
      <x:c r="H88" s="11" t="str">
        <x:f>IF(F88=G88,"PASS","FAIL")</x:f>
        <x:v>PASS</x:v>
      </x:c>
    </x:row>
    <x:row r="89">
      <x:c r="A89" s="11" t="str">
        <x:v>BC-084</x:v>
      </x:c>
      <x:c r="B89" s="11" t="str">
        <x:v>dry return h</x:v>
      </x:c>
      <x:c r="C89" s="11" t="n">
        <x:v>68</x:v>
      </x:c>
      <x:c r="D89" s="11" t="n">
        <x:v>168</x:v>
      </x:c>
      <x:c r="E89" s="11" t="n">
        <x:v>10000</x:v>
      </x:c>
      <x:c r="F89" s="11" t="str">
        <x:v>DENY</x:v>
      </x:c>
      <x:c r="G89" s="11" t="str">
        <x:f>IF(COUNT(C89)=0,"MISSING",IF(AND(C89&gt;=D89,C89&lt;=E89),"ADMIT","DENY"))</x:f>
        <x:v>DENY</x:v>
      </x:c>
      <x:c r="H89" s="11" t="str">
        <x:f>IF(F89=G89,"PASS","FAIL")</x:f>
        <x:v>PASS</x:v>
      </x:c>
    </x:row>
    <x:row r="90">
      <x:c r="A90" s="11" t="str">
        <x:v>BC-085</x:v>
      </x:c>
      <x:c r="B90" s="11" t="str">
        <x:v>dry return h</x:v>
      </x:c>
      <x:c r="C90" s="11" t="n">
        <x:v>10100</x:v>
      </x:c>
      <x:c r="D90" s="11" t="n">
        <x:v>168</x:v>
      </x:c>
      <x:c r="E90" s="11" t="n">
        <x:v>10000</x:v>
      </x:c>
      <x:c r="F90" s="11" t="str">
        <x:v>DENY</x:v>
      </x:c>
      <x:c r="G90" s="11" t="str">
        <x:f>IF(COUNT(C90)=0,"MISSING",IF(AND(C90&gt;=D90,C90&lt;=E90),"ADMIT","DENY"))</x:f>
        <x:v>DENY</x:v>
      </x:c>
      <x:c r="H90" s="11" t="str">
        <x:f>IF(F90=G90,"PASS","FAIL")</x:f>
        <x:v>PASS</x:v>
      </x:c>
    </x:row>
    <x:row r="91">
      <x:c r="A91" s="11" t="str">
        <x:v>BC-086</x:v>
      </x:c>
      <x:c r="B91" s="11" t="str">
        <x:v>dry return h</x:v>
      </x:c>
      <x:c r="C91" s="11"/>
      <x:c r="D91" s="11" t="n">
        <x:v>168</x:v>
      </x:c>
      <x:c r="E91" s="11" t="n">
        <x:v>10000</x:v>
      </x:c>
      <x:c r="F91" s="11" t="str">
        <x:v>MISSING</x:v>
      </x:c>
      <x:c r="G91" s="11" t="str">
        <x:f>IF(COUNT(C91)=0,"MISSING",IF(AND(C91&gt;=D91,C91&lt;=E91),"ADMIT","DENY"))</x:f>
        <x:v>MISSING</x:v>
      </x:c>
      <x:c r="H91" s="11" t="str">
        <x:f>IF(F91=G91,"PASS","FAIL")</x:f>
        <x:v>PASS</x:v>
      </x:c>
    </x:row>
    <x:row r="92">
      <x:c r="A92" s="11" t="str">
        <x:v>BC-087</x:v>
      </x:c>
      <x:c r="B92" s="11" t="str">
        <x:v>dry return h</x:v>
      </x:c>
      <x:c r="C92" s="11" t="n">
        <x:v>0</x:v>
      </x:c>
      <x:c r="D92" s="11" t="n">
        <x:v>168</x:v>
      </x:c>
      <x:c r="E92" s="11" t="n">
        <x:v>10000</x:v>
      </x:c>
      <x:c r="F92" s="11" t="str">
        <x:v>DENY</x:v>
      </x:c>
      <x:c r="G92" s="11" t="str">
        <x:f>IF(COUNT(C92)=0,"MISSING",IF(AND(C92&gt;=D92,C92&lt;=E92),"ADMIT","DENY"))</x:f>
        <x:v>DENY</x:v>
      </x:c>
      <x:c r="H92" s="11" t="str">
        <x:f>IF(F92=G92,"PASS","FAIL")</x:f>
        <x:v>PASS</x:v>
      </x:c>
    </x:row>
    <x:row r="93">
      <x:c r="A93" s="11" t="str">
        <x:v>BC-088</x:v>
      </x:c>
      <x:c r="B93" s="11" t="str">
        <x:v>dry return h</x:v>
      </x:c>
      <x:c r="C93" s="11" t="n">
        <x:v>268</x:v>
      </x:c>
      <x:c r="D93" s="11" t="n">
        <x:v>168</x:v>
      </x:c>
      <x:c r="E93" s="11" t="n">
        <x:v>10000</x:v>
      </x:c>
      <x:c r="F93" s="11" t="str">
        <x:v>ADMIT</x:v>
      </x:c>
      <x:c r="G93" s="11" t="str">
        <x:f>IF(COUNT(C93)=0,"MISSING",IF(AND(C93&gt;=D93,C93&lt;=E93),"ADMIT","DENY"))</x:f>
        <x:v>ADMIT</x:v>
      </x:c>
      <x:c r="H93" s="11" t="str">
        <x:f>IF(F93=G93,"PASS","FAIL")</x:f>
        <x:v>PASS</x:v>
      </x:c>
    </x:row>
    <x:row r="94">
      <x:c r="A94" s="11" t="str">
        <x:v>BC-089</x:v>
      </x:c>
      <x:c r="B94" s="11" t="str">
        <x:v>dry return h</x:v>
      </x:c>
      <x:c r="C94" s="11" t="n">
        <x:v>9900</x:v>
      </x:c>
      <x:c r="D94" s="11" t="n">
        <x:v>168</x:v>
      </x:c>
      <x:c r="E94" s="11" t="n">
        <x:v>10000</x:v>
      </x:c>
      <x:c r="F94" s="11" t="str">
        <x:v>ADMIT</x:v>
      </x:c>
      <x:c r="G94" s="11" t="str">
        <x:f>IF(COUNT(C94)=0,"MISSING",IF(AND(C94&gt;=D94,C94&lt;=E94),"ADMIT","DENY"))</x:f>
        <x:v>ADMIT</x:v>
      </x:c>
      <x:c r="H94" s="11" t="str">
        <x:f>IF(F94=G94,"PASS","FAIL")</x:f>
        <x:v>PASS</x:v>
      </x:c>
    </x:row>
    <x:row r="95">
      <x:c r="A95" s="11" t="str">
        <x:v>BC-090</x:v>
      </x:c>
      <x:c r="B95" s="11" t="str">
        <x:v>dry return h</x:v>
      </x:c>
      <x:c r="C95" s="11" t="n">
        <x:v>9990</x:v>
      </x:c>
      <x:c r="D95" s="11" t="n">
        <x:v>168</x:v>
      </x:c>
      <x:c r="E95" s="11" t="n">
        <x:v>10000</x:v>
      </x:c>
      <x:c r="F95" s="11" t="str">
        <x:v>ADMIT</x:v>
      </x:c>
      <x:c r="G95" s="11" t="str">
        <x:f>IF(COUNT(C95)=0,"MISSING",IF(AND(C95&gt;=D95,C95&lt;=E95),"ADMIT","DENY"))</x:f>
        <x:v>ADMIT</x:v>
      </x:c>
      <x:c r="H95" s="11" t="str">
        <x:f>IF(F95=G95,"PASS","FAIL")</x:f>
        <x:v>PASS</x:v>
      </x:c>
    </x:row>
    <x:row r="96">
      <x:c r="A96" s="11" t="str">
        <x:v>BC-091</x:v>
      </x:c>
      <x:c r="B96" s="11" t="str">
        <x:v>class events</x:v>
      </x:c>
      <x:c r="C96" s="11" t="n">
        <x:v>12</x:v>
      </x:c>
      <x:c r="D96" s="11" t="n">
        <x:v>12</x:v>
      </x:c>
      <x:c r="E96" s="11" t="n">
        <x:v>16</x:v>
      </x:c>
      <x:c r="F96" s="11" t="str">
        <x:v>ADMIT</x:v>
      </x:c>
      <x:c r="G96" s="11" t="str">
        <x:f>IF(COUNT(C96)=0,"MISSING",IF(AND(C96&gt;=D96,C96&lt;=E96),"ADMIT","DENY"))</x:f>
        <x:v>ADMIT</x:v>
      </x:c>
      <x:c r="H96" s="11" t="str">
        <x:f>IF(F96=G96,"PASS","FAIL")</x:f>
        <x:v>PASS</x:v>
      </x:c>
    </x:row>
    <x:row r="97">
      <x:c r="A97" s="11" t="str">
        <x:v>BC-092</x:v>
      </x:c>
      <x:c r="B97" s="11" t="str">
        <x:v>class events</x:v>
      </x:c>
      <x:c r="C97" s="11" t="n">
        <x:v>16</x:v>
      </x:c>
      <x:c r="D97" s="11" t="n">
        <x:v>12</x:v>
      </x:c>
      <x:c r="E97" s="11" t="n">
        <x:v>16</x:v>
      </x:c>
      <x:c r="F97" s="11" t="str">
        <x:v>ADMIT</x:v>
      </x:c>
      <x:c r="G97" s="11" t="str">
        <x:f>IF(COUNT(C97)=0,"MISSING",IF(AND(C97&gt;=D97,C97&lt;=E97),"ADMIT","DENY"))</x:f>
        <x:v>ADMIT</x:v>
      </x:c>
      <x:c r="H97" s="11" t="str">
        <x:f>IF(F97=G97,"PASS","FAIL")</x:f>
        <x:v>PASS</x:v>
      </x:c>
    </x:row>
    <x:row r="98">
      <x:c r="A98" s="11" t="str">
        <x:v>BC-093</x:v>
      </x:c>
      <x:c r="B98" s="11" t="str">
        <x:v>class events</x:v>
      </x:c>
      <x:c r="C98" s="11" t="n">
        <x:v>14</x:v>
      </x:c>
      <x:c r="D98" s="11" t="n">
        <x:v>12</x:v>
      </x:c>
      <x:c r="E98" s="11" t="n">
        <x:v>16</x:v>
      </x:c>
      <x:c r="F98" s="11" t="str">
        <x:v>ADMIT</x:v>
      </x:c>
      <x:c r="G98" s="11" t="str">
        <x:f>IF(COUNT(C98)=0,"MISSING",IF(AND(C98&gt;=D98,C98&lt;=E98),"ADMIT","DENY"))</x:f>
        <x:v>ADMIT</x:v>
      </x:c>
      <x:c r="H98" s="11" t="str">
        <x:f>IF(F98=G98,"PASS","FAIL")</x:f>
        <x:v>PASS</x:v>
      </x:c>
    </x:row>
    <x:row r="99">
      <x:c r="A99" s="11" t="str">
        <x:v>BC-094</x:v>
      </x:c>
      <x:c r="B99" s="11" t="str">
        <x:v>class events</x:v>
      </x:c>
      <x:c r="C99" s="11" t="n">
        <x:v>11.84</x:v>
      </x:c>
      <x:c r="D99" s="11" t="n">
        <x:v>12</x:v>
      </x:c>
      <x:c r="E99" s="11" t="n">
        <x:v>16</x:v>
      </x:c>
      <x:c r="F99" s="11" t="str">
        <x:v>DENY</x:v>
      </x:c>
      <x:c r="G99" s="11" t="str">
        <x:f>IF(COUNT(C99)=0,"MISSING",IF(AND(C99&gt;=D99,C99&lt;=E99),"ADMIT","DENY"))</x:f>
        <x:v>DENY</x:v>
      </x:c>
      <x:c r="H99" s="11" t="str">
        <x:f>IF(F99=G99,"PASS","FAIL")</x:f>
        <x:v>PASS</x:v>
      </x:c>
    </x:row>
    <x:row r="100">
      <x:c r="A100" s="11" t="str">
        <x:v>BC-095</x:v>
      </x:c>
      <x:c r="B100" s="11" t="str">
        <x:v>class events</x:v>
      </x:c>
      <x:c r="C100" s="11" t="n">
        <x:v>16.16</x:v>
      </x:c>
      <x:c r="D100" s="11" t="n">
        <x:v>12</x:v>
      </x:c>
      <x:c r="E100" s="11" t="n">
        <x:v>16</x:v>
      </x:c>
      <x:c r="F100" s="11" t="str">
        <x:v>DENY</x:v>
      </x:c>
      <x:c r="G100" s="11" t="str">
        <x:f>IF(COUNT(C100)=0,"MISSING",IF(AND(C100&gt;=D100,C100&lt;=E100),"ADMIT","DENY"))</x:f>
        <x:v>DENY</x:v>
      </x:c>
      <x:c r="H100" s="11" t="str">
        <x:f>IF(F100=G100,"PASS","FAIL")</x:f>
        <x:v>PASS</x:v>
      </x:c>
    </x:row>
    <x:row r="101">
      <x:c r="A101" s="11" t="str">
        <x:v>BC-096</x:v>
      </x:c>
      <x:c r="B101" s="11" t="str">
        <x:v>class events</x:v>
      </x:c>
      <x:c r="C101" s="11"/>
      <x:c r="D101" s="11" t="n">
        <x:v>12</x:v>
      </x:c>
      <x:c r="E101" s="11" t="n">
        <x:v>16</x:v>
      </x:c>
      <x:c r="F101" s="11" t="str">
        <x:v>MISSING</x:v>
      </x:c>
      <x:c r="G101" s="11" t="str">
        <x:f>IF(COUNT(C101)=0,"MISSING",IF(AND(C101&gt;=D101,C101&lt;=E101),"ADMIT","DENY"))</x:f>
        <x:v>MISSING</x:v>
      </x:c>
      <x:c r="H101" s="11" t="str">
        <x:f>IF(F101=G101,"PASS","FAIL")</x:f>
        <x:v>PASS</x:v>
      </x:c>
    </x:row>
    <x:row r="102">
      <x:c r="A102" s="11" t="str">
        <x:v>BC-097</x:v>
      </x:c>
      <x:c r="B102" s="11" t="str">
        <x:v>class events</x:v>
      </x:c>
      <x:c r="C102" s="11" t="n">
        <x:v>0</x:v>
      </x:c>
      <x:c r="D102" s="11" t="n">
        <x:v>12</x:v>
      </x:c>
      <x:c r="E102" s="11" t="n">
        <x:v>16</x:v>
      </x:c>
      <x:c r="F102" s="11" t="str">
        <x:v>DENY</x:v>
      </x:c>
      <x:c r="G102" s="11" t="str">
        <x:f>IF(COUNT(C102)=0,"MISSING",IF(AND(C102&gt;=D102,C102&lt;=E102),"ADMIT","DENY"))</x:f>
        <x:v>DENY</x:v>
      </x:c>
      <x:c r="H102" s="11" t="str">
        <x:f>IF(F102=G102,"PASS","FAIL")</x:f>
        <x:v>PASS</x:v>
      </x:c>
    </x:row>
    <x:row r="103">
      <x:c r="A103" s="11" t="str">
        <x:v>BC-098</x:v>
      </x:c>
      <x:c r="B103" s="11" t="str">
        <x:v>class events</x:v>
      </x:c>
      <x:c r="C103" s="11" t="n">
        <x:v>12.16</x:v>
      </x:c>
      <x:c r="D103" s="11" t="n">
        <x:v>12</x:v>
      </x:c>
      <x:c r="E103" s="11" t="n">
        <x:v>16</x:v>
      </x:c>
      <x:c r="F103" s="11" t="str">
        <x:v>ADMIT</x:v>
      </x:c>
      <x:c r="G103" s="11" t="str">
        <x:f>IF(COUNT(C103)=0,"MISSING",IF(AND(C103&gt;=D103,C103&lt;=E103),"ADMIT","DENY"))</x:f>
        <x:v>ADMIT</x:v>
      </x:c>
      <x:c r="H103" s="11" t="str">
        <x:f>IF(F103=G103,"PASS","FAIL")</x:f>
        <x:v>PASS</x:v>
      </x:c>
    </x:row>
    <x:row r="104">
      <x:c r="A104" s="11" t="str">
        <x:v>BC-099</x:v>
      </x:c>
      <x:c r="B104" s="11" t="str">
        <x:v>class events</x:v>
      </x:c>
      <x:c r="C104" s="11" t="n">
        <x:v>15.84</x:v>
      </x:c>
      <x:c r="D104" s="11" t="n">
        <x:v>12</x:v>
      </x:c>
      <x:c r="E104" s="11" t="n">
        <x:v>16</x:v>
      </x:c>
      <x:c r="F104" s="11" t="str">
        <x:v>ADMIT</x:v>
      </x:c>
      <x:c r="G104" s="11" t="str">
        <x:f>IF(COUNT(C104)=0,"MISSING",IF(AND(C104&gt;=D104,C104&lt;=E104),"ADMIT","DENY"))</x:f>
        <x:v>ADMIT</x:v>
      </x:c>
      <x:c r="H104" s="11" t="str">
        <x:f>IF(F104=G104,"PASS","FAIL")</x:f>
        <x:v>PASS</x:v>
      </x:c>
    </x:row>
    <x:row r="105">
      <x:c r="A105" s="11" t="str">
        <x:v>BC-100</x:v>
      </x:c>
      <x:c r="B105" s="11" t="str">
        <x:v>class events</x:v>
      </x:c>
      <x:c r="C105" s="11" t="n">
        <x:v>15.984</x:v>
      </x:c>
      <x:c r="D105" s="11" t="n">
        <x:v>12</x:v>
      </x:c>
      <x:c r="E105" s="11" t="n">
        <x:v>16</x:v>
      </x:c>
      <x:c r="F105" s="11" t="str">
        <x:v>ADMIT</x:v>
      </x:c>
      <x:c r="G105" s="11" t="str">
        <x:f>IF(COUNT(C105)=0,"MISSING",IF(AND(C105&gt;=D105,C105&lt;=E105),"ADMIT","DENY"))</x:f>
        <x:v>ADMIT</x:v>
      </x:c>
      <x:c r="H105" s="11" t="str">
        <x:f>IF(F105=G105,"PASS","FAIL")</x:f>
        <x:v>PASS</x:v>
      </x:c>
    </x:row>
    <x:row r="106">
      <x:c r="A106" s="11" t="str">
        <x:v>BC-101</x:v>
      </x:c>
      <x:c r="B106" s="11" t="str">
        <x:v>evidence GB</x:v>
      </x:c>
      <x:c r="C106" s="11" t="n">
        <x:v>23200</x:v>
      </x:c>
      <x:c r="D106" s="11" t="n">
        <x:v>23200</x:v>
      </x:c>
      <x:c r="E106" s="11" t="n">
        <x:v>30000</x:v>
      </x:c>
      <x:c r="F106" s="11" t="str">
        <x:v>ADMIT</x:v>
      </x:c>
      <x:c r="G106" s="11" t="str">
        <x:f>IF(COUNT(C106)=0,"MISSING",IF(AND(C106&gt;=D106,C106&lt;=E106),"ADMIT","DENY"))</x:f>
        <x:v>ADMIT</x:v>
      </x:c>
      <x:c r="H106" s="11" t="str">
        <x:f>IF(F106=G106,"PASS","FAIL")</x:f>
        <x:v>PASS</x:v>
      </x:c>
    </x:row>
    <x:row r="107">
      <x:c r="A107" s="11" t="str">
        <x:v>BC-102</x:v>
      </x:c>
      <x:c r="B107" s="11" t="str">
        <x:v>evidence GB</x:v>
      </x:c>
      <x:c r="C107" s="11" t="n">
        <x:v>30000</x:v>
      </x:c>
      <x:c r="D107" s="11" t="n">
        <x:v>23200</x:v>
      </x:c>
      <x:c r="E107" s="11" t="n">
        <x:v>30000</x:v>
      </x:c>
      <x:c r="F107" s="11" t="str">
        <x:v>ADMIT</x:v>
      </x:c>
      <x:c r="G107" s="11" t="str">
        <x:f>IF(COUNT(C107)=0,"MISSING",IF(AND(C107&gt;=D107,C107&lt;=E107),"ADMIT","DENY"))</x:f>
        <x:v>ADMIT</x:v>
      </x:c>
      <x:c r="H107" s="11" t="str">
        <x:f>IF(F107=G107,"PASS","FAIL")</x:f>
        <x:v>PASS</x:v>
      </x:c>
    </x:row>
    <x:row r="108">
      <x:c r="A108" s="11" t="str">
        <x:v>BC-103</x:v>
      </x:c>
      <x:c r="B108" s="11" t="str">
        <x:v>evidence GB</x:v>
      </x:c>
      <x:c r="C108" s="11" t="n">
        <x:v>26600</x:v>
      </x:c>
      <x:c r="D108" s="11" t="n">
        <x:v>23200</x:v>
      </x:c>
      <x:c r="E108" s="11" t="n">
        <x:v>30000</x:v>
      </x:c>
      <x:c r="F108" s="11" t="str">
        <x:v>ADMIT</x:v>
      </x:c>
      <x:c r="G108" s="11" t="str">
        <x:f>IF(COUNT(C108)=0,"MISSING",IF(AND(C108&gt;=D108,C108&lt;=E108),"ADMIT","DENY"))</x:f>
        <x:v>ADMIT</x:v>
      </x:c>
      <x:c r="H108" s="11" t="str">
        <x:f>IF(F108=G108,"PASS","FAIL")</x:f>
        <x:v>PASS</x:v>
      </x:c>
    </x:row>
    <x:row r="109">
      <x:c r="A109" s="11" t="str">
        <x:v>BC-104</x:v>
      </x:c>
      <x:c r="B109" s="11" t="str">
        <x:v>evidence GB</x:v>
      </x:c>
      <x:c r="C109" s="11" t="n">
        <x:v>22900</x:v>
      </x:c>
      <x:c r="D109" s="11" t="n">
        <x:v>23200</x:v>
      </x:c>
      <x:c r="E109" s="11" t="n">
        <x:v>30000</x:v>
      </x:c>
      <x:c r="F109" s="11" t="str">
        <x:v>DENY</x:v>
      </x:c>
      <x:c r="G109" s="11" t="str">
        <x:f>IF(COUNT(C109)=0,"MISSING",IF(AND(C109&gt;=D109,C109&lt;=E109),"ADMIT","DENY"))</x:f>
        <x:v>DENY</x:v>
      </x:c>
      <x:c r="H109" s="11" t="str">
        <x:f>IF(F109=G109,"PASS","FAIL")</x:f>
        <x:v>PASS</x:v>
      </x:c>
    </x:row>
    <x:row r="110">
      <x:c r="A110" s="11" t="str">
        <x:v>BC-105</x:v>
      </x:c>
      <x:c r="B110" s="11" t="str">
        <x:v>evidence GB</x:v>
      </x:c>
      <x:c r="C110" s="11" t="n">
        <x:v>30300</x:v>
      </x:c>
      <x:c r="D110" s="11" t="n">
        <x:v>23200</x:v>
      </x:c>
      <x:c r="E110" s="11" t="n">
        <x:v>30000</x:v>
      </x:c>
      <x:c r="F110" s="11" t="str">
        <x:v>DENY</x:v>
      </x:c>
      <x:c r="G110" s="11" t="str">
        <x:f>IF(COUNT(C110)=0,"MISSING",IF(AND(C110&gt;=D110,C110&lt;=E110),"ADMIT","DENY"))</x:f>
        <x:v>DENY</x:v>
      </x:c>
      <x:c r="H110" s="11" t="str">
        <x:f>IF(F110=G110,"PASS","FAIL")</x:f>
        <x:v>PASS</x:v>
      </x:c>
    </x:row>
    <x:row r="111">
      <x:c r="A111" s="11" t="str">
        <x:v>BC-106</x:v>
      </x:c>
      <x:c r="B111" s="11" t="str">
        <x:v>evidence GB</x:v>
      </x:c>
      <x:c r="C111" s="11"/>
      <x:c r="D111" s="11" t="n">
        <x:v>23200</x:v>
      </x:c>
      <x:c r="E111" s="11" t="n">
        <x:v>30000</x:v>
      </x:c>
      <x:c r="F111" s="11" t="str">
        <x:v>MISSING</x:v>
      </x:c>
      <x:c r="G111" s="11" t="str">
        <x:f>IF(COUNT(C111)=0,"MISSING",IF(AND(C111&gt;=D111,C111&lt;=E111),"ADMIT","DENY"))</x:f>
        <x:v>MISSING</x:v>
      </x:c>
      <x:c r="H111" s="11" t="str">
        <x:f>IF(F111=G111,"PASS","FAIL")</x:f>
        <x:v>PASS</x:v>
      </x:c>
    </x:row>
    <x:row r="112">
      <x:c r="A112" s="11" t="str">
        <x:v>BC-107</x:v>
      </x:c>
      <x:c r="B112" s="11" t="str">
        <x:v>evidence GB</x:v>
      </x:c>
      <x:c r="C112" s="11" t="n">
        <x:v>0</x:v>
      </x:c>
      <x:c r="D112" s="11" t="n">
        <x:v>23200</x:v>
      </x:c>
      <x:c r="E112" s="11" t="n">
        <x:v>30000</x:v>
      </x:c>
      <x:c r="F112" s="11" t="str">
        <x:v>DENY</x:v>
      </x:c>
      <x:c r="G112" s="11" t="str">
        <x:f>IF(COUNT(C112)=0,"MISSING",IF(AND(C112&gt;=D112,C112&lt;=E112),"ADMIT","DENY"))</x:f>
        <x:v>DENY</x:v>
      </x:c>
      <x:c r="H112" s="11" t="str">
        <x:f>IF(F112=G112,"PASS","FAIL")</x:f>
        <x:v>PASS</x:v>
      </x:c>
    </x:row>
    <x:row r="113">
      <x:c r="A113" s="11" t="str">
        <x:v>BC-108</x:v>
      </x:c>
      <x:c r="B113" s="11" t="str">
        <x:v>evidence GB</x:v>
      </x:c>
      <x:c r="C113" s="11" t="n">
        <x:v>23500</x:v>
      </x:c>
      <x:c r="D113" s="11" t="n">
        <x:v>23200</x:v>
      </x:c>
      <x:c r="E113" s="11" t="n">
        <x:v>30000</x:v>
      </x:c>
      <x:c r="F113" s="11" t="str">
        <x:v>ADMIT</x:v>
      </x:c>
      <x:c r="G113" s="11" t="str">
        <x:f>IF(COUNT(C113)=0,"MISSING",IF(AND(C113&gt;=D113,C113&lt;=E113),"ADMIT","DENY"))</x:f>
        <x:v>ADMIT</x:v>
      </x:c>
      <x:c r="H113" s="11" t="str">
        <x:f>IF(F113=G113,"PASS","FAIL")</x:f>
        <x:v>PASS</x:v>
      </x:c>
    </x:row>
    <x:row r="114">
      <x:c r="A114" s="11" t="str">
        <x:v>BC-109</x:v>
      </x:c>
      <x:c r="B114" s="11" t="str">
        <x:v>evidence GB</x:v>
      </x:c>
      <x:c r="C114" s="11" t="n">
        <x:v>29700</x:v>
      </x:c>
      <x:c r="D114" s="11" t="n">
        <x:v>23200</x:v>
      </x:c>
      <x:c r="E114" s="11" t="n">
        <x:v>30000</x:v>
      </x:c>
      <x:c r="F114" s="11" t="str">
        <x:v>ADMIT</x:v>
      </x:c>
      <x:c r="G114" s="11" t="str">
        <x:f>IF(COUNT(C114)=0,"MISSING",IF(AND(C114&gt;=D114,C114&lt;=E114),"ADMIT","DENY"))</x:f>
        <x:v>ADMIT</x:v>
      </x:c>
      <x:c r="H114" s="11" t="str">
        <x:f>IF(F114=G114,"PASS","FAIL")</x:f>
        <x:v>PASS</x:v>
      </x:c>
    </x:row>
    <x:row r="115">
      <x:c r="A115" s="11" t="str">
        <x:v>BC-110</x:v>
      </x:c>
      <x:c r="B115" s="11" t="str">
        <x:v>evidence GB</x:v>
      </x:c>
      <x:c r="C115" s="11" t="n">
        <x:v>29970</x:v>
      </x:c>
      <x:c r="D115" s="11" t="n">
        <x:v>23200</x:v>
      </x:c>
      <x:c r="E115" s="11" t="n">
        <x:v>30000</x:v>
      </x:c>
      <x:c r="F115" s="11" t="str">
        <x:v>ADMIT</x:v>
      </x:c>
      <x:c r="G115" s="11" t="str">
        <x:f>IF(COUNT(C115)=0,"MISSING",IF(AND(C115&gt;=D115,C115&lt;=E115),"ADMIT","DENY"))</x:f>
        <x:v>ADMIT</x:v>
      </x:c>
      <x:c r="H115" s="11" t="str">
        <x:f>IF(F115=G115,"PASS","FAIL")</x:f>
        <x:v>PASS</x:v>
      </x:c>
    </x:row>
    <x:row r="116">
      <x:c r="A116" s="11" t="str">
        <x:v>BC-111</x:v>
      </x:c>
      <x:c r="B116" s="11" t="str">
        <x:v>stage exposure USD M</x:v>
      </x:c>
      <x:c r="C116" s="11" t="n">
        <x:v>232.5</x:v>
      </x:c>
      <x:c r="D116" s="11" t="n">
        <x:v>232.5</x:v>
      </x:c>
      <x:c r="E116" s="11" t="n">
        <x:v>232.5</x:v>
      </x:c>
      <x:c r="F116" s="11" t="str">
        <x:v>ADMIT</x:v>
      </x:c>
      <x:c r="G116" s="11" t="str">
        <x:f>IF(COUNT(C116)=0,"MISSING",IF(AND(C116&gt;=D116,C116&lt;=E116),"ADMIT","DENY"))</x:f>
        <x:v>ADMIT</x:v>
      </x:c>
      <x:c r="H116" s="11" t="str">
        <x:f>IF(F116=G116,"PASS","FAIL")</x:f>
        <x:v>PASS</x:v>
      </x:c>
    </x:row>
    <x:row r="117">
      <x:c r="A117" s="11" t="str">
        <x:v>BC-112</x:v>
      </x:c>
      <x:c r="B117" s="11" t="str">
        <x:v>stage exposure USD M</x:v>
      </x:c>
      <x:c r="C117" s="11" t="n">
        <x:v>232.5</x:v>
      </x:c>
      <x:c r="D117" s="11" t="n">
        <x:v>232.5</x:v>
      </x:c>
      <x:c r="E117" s="11" t="n">
        <x:v>232.5</x:v>
      </x:c>
      <x:c r="F117" s="11" t="str">
        <x:v>ADMIT</x:v>
      </x:c>
      <x:c r="G117" s="11" t="str">
        <x:f>IF(COUNT(C117)=0,"MISSING",IF(AND(C117&gt;=D117,C117&lt;=E117),"ADMIT","DENY"))</x:f>
        <x:v>ADMIT</x:v>
      </x:c>
      <x:c r="H117" s="11" t="str">
        <x:f>IF(F117=G117,"PASS","FAIL")</x:f>
        <x:v>PASS</x:v>
      </x:c>
    </x:row>
    <x:row r="118">
      <x:c r="A118" s="11" t="str">
        <x:v>BC-113</x:v>
      </x:c>
      <x:c r="B118" s="11" t="str">
        <x:v>stage exposure USD M</x:v>
      </x:c>
      <x:c r="C118" s="11" t="n">
        <x:v>232.5</x:v>
      </x:c>
      <x:c r="D118" s="11" t="n">
        <x:v>232.5</x:v>
      </x:c>
      <x:c r="E118" s="11" t="n">
        <x:v>232.5</x:v>
      </x:c>
      <x:c r="F118" s="11" t="str">
        <x:v>ADMIT</x:v>
      </x:c>
      <x:c r="G118" s="11" t="str">
        <x:f>IF(COUNT(C118)=0,"MISSING",IF(AND(C118&gt;=D118,C118&lt;=E118),"ADMIT","DENY"))</x:f>
        <x:v>ADMIT</x:v>
      </x:c>
      <x:c r="H118" s="11" t="str">
        <x:f>IF(F118=G118,"PASS","FAIL")</x:f>
        <x:v>PASS</x:v>
      </x:c>
    </x:row>
    <x:row r="119">
      <x:c r="A119" s="11" t="str">
        <x:v>BC-114</x:v>
      </x:c>
      <x:c r="B119" s="11" t="str">
        <x:v>stage exposure USD M</x:v>
      </x:c>
      <x:c r="C119" s="11" t="n">
        <x:v>230.175</x:v>
      </x:c>
      <x:c r="D119" s="11" t="n">
        <x:v>232.5</x:v>
      </x:c>
      <x:c r="E119" s="11" t="n">
        <x:v>232.5</x:v>
      </x:c>
      <x:c r="F119" s="11" t="str">
        <x:v>DENY</x:v>
      </x:c>
      <x:c r="G119" s="11" t="str">
        <x:f>IF(COUNT(C119)=0,"MISSING",IF(AND(C119&gt;=D119,C119&lt;=E119),"ADMIT","DENY"))</x:f>
        <x:v>DENY</x:v>
      </x:c>
      <x:c r="H119" s="11" t="str">
        <x:f>IF(F119=G119,"PASS","FAIL")</x:f>
        <x:v>PASS</x:v>
      </x:c>
    </x:row>
    <x:row r="120">
      <x:c r="A120" s="11" t="str">
        <x:v>BC-115</x:v>
      </x:c>
      <x:c r="B120" s="11" t="str">
        <x:v>stage exposure USD M</x:v>
      </x:c>
      <x:c r="C120" s="11" t="n">
        <x:v>234.825</x:v>
      </x:c>
      <x:c r="D120" s="11" t="n">
        <x:v>232.5</x:v>
      </x:c>
      <x:c r="E120" s="11" t="n">
        <x:v>232.5</x:v>
      </x:c>
      <x:c r="F120" s="11" t="str">
        <x:v>DENY</x:v>
      </x:c>
      <x:c r="G120" s="11" t="str">
        <x:f>IF(COUNT(C120)=0,"MISSING",IF(AND(C120&gt;=D120,C120&lt;=E120),"ADMIT","DENY"))</x:f>
        <x:v>DENY</x:v>
      </x:c>
      <x:c r="H120" s="11" t="str">
        <x:f>IF(F120=G120,"PASS","FAIL")</x:f>
        <x:v>PASS</x:v>
      </x:c>
    </x:row>
    <x:row r="121">
      <x:c r="A121" s="11" t="str">
        <x:v>BC-116</x:v>
      </x:c>
      <x:c r="B121" s="11" t="str">
        <x:v>stage exposure USD M</x:v>
      </x:c>
      <x:c r="C121" s="11"/>
      <x:c r="D121" s="11" t="n">
        <x:v>232.5</x:v>
      </x:c>
      <x:c r="E121" s="11" t="n">
        <x:v>232.5</x:v>
      </x:c>
      <x:c r="F121" s="11" t="str">
        <x:v>MISSING</x:v>
      </x:c>
      <x:c r="G121" s="11" t="str">
        <x:f>IF(COUNT(C121)=0,"MISSING",IF(AND(C121&gt;=D121,C121&lt;=E121),"ADMIT","DENY"))</x:f>
        <x:v>MISSING</x:v>
      </x:c>
      <x:c r="H121" s="11" t="str">
        <x:f>IF(F121=G121,"PASS","FAIL")</x:f>
        <x:v>PASS</x:v>
      </x:c>
    </x:row>
    <x:row r="122">
      <x:c r="A122" s="11" t="str">
        <x:v>BC-117</x:v>
      </x:c>
      <x:c r="B122" s="11" t="str">
        <x:v>stage exposure USD M</x:v>
      </x:c>
      <x:c r="C122" s="11" t="n">
        <x:v>0</x:v>
      </x:c>
      <x:c r="D122" s="11" t="n">
        <x:v>232.5</x:v>
      </x:c>
      <x:c r="E122" s="11" t="n">
        <x:v>232.5</x:v>
      </x:c>
      <x:c r="F122" s="11" t="str">
        <x:v>DENY</x:v>
      </x:c>
      <x:c r="G122" s="11" t="str">
        <x:f>IF(COUNT(C122)=0,"MISSING",IF(AND(C122&gt;=D122,C122&lt;=E122),"ADMIT","DENY"))</x:f>
        <x:v>DENY</x:v>
      </x:c>
      <x:c r="H122" s="11" t="str">
        <x:f>IF(F122=G122,"PASS","FAIL")</x:f>
        <x:v>PASS</x:v>
      </x:c>
    </x:row>
    <x:row r="123">
      <x:c r="A123" s="11" t="str">
        <x:v>BC-118</x:v>
      </x:c>
      <x:c r="B123" s="11" t="str">
        <x:v>stage exposure USD M</x:v>
      </x:c>
      <x:c r="C123" s="11" t="n">
        <x:v>234.825</x:v>
      </x:c>
      <x:c r="D123" s="11" t="n">
        <x:v>232.5</x:v>
      </x:c>
      <x:c r="E123" s="11" t="n">
        <x:v>232.5</x:v>
      </x:c>
      <x:c r="F123" s="11" t="str">
        <x:v>DENY</x:v>
      </x:c>
      <x:c r="G123" s="11" t="str">
        <x:f>IF(COUNT(C123)=0,"MISSING",IF(AND(C123&gt;=D123,C123&lt;=E123),"ADMIT","DENY"))</x:f>
        <x:v>DENY</x:v>
      </x:c>
      <x:c r="H123" s="11" t="str">
        <x:f>IF(F123=G123,"PASS","FAIL")</x:f>
        <x:v>PASS</x:v>
      </x:c>
    </x:row>
    <x:row r="124">
      <x:c r="A124" s="11" t="str">
        <x:v>BC-119</x:v>
      </x:c>
      <x:c r="B124" s="11" t="str">
        <x:v>stage exposure USD M</x:v>
      </x:c>
      <x:c r="C124" s="11" t="n">
        <x:v>230.175</x:v>
      </x:c>
      <x:c r="D124" s="11" t="n">
        <x:v>232.5</x:v>
      </x:c>
      <x:c r="E124" s="11" t="n">
        <x:v>232.5</x:v>
      </x:c>
      <x:c r="F124" s="11" t="str">
        <x:v>DENY</x:v>
      </x:c>
      <x:c r="G124" s="11" t="str">
        <x:f>IF(COUNT(C124)=0,"MISSING",IF(AND(C124&gt;=D124,C124&lt;=E124),"ADMIT","DENY"))</x:f>
        <x:v>DENY</x:v>
      </x:c>
      <x:c r="H124" s="11" t="str">
        <x:f>IF(F124=G124,"PASS","FAIL")</x:f>
        <x:v>PASS</x:v>
      </x:c>
    </x:row>
    <x:row r="125">
      <x:c r="A125" s="11" t="str">
        <x:v>BC-120</x:v>
      </x:c>
      <x:c r="B125" s="11" t="str">
        <x:v>stage exposure USD M</x:v>
      </x:c>
      <x:c r="C125" s="11" t="n">
        <x:v>232.2675</x:v>
      </x:c>
      <x:c r="D125" s="11" t="n">
        <x:v>232.5</x:v>
      </x:c>
      <x:c r="E125" s="11" t="n">
        <x:v>232.5</x:v>
      </x:c>
      <x:c r="F125" s="11" t="str">
        <x:v>DENY</x:v>
      </x:c>
      <x:c r="G125" s="11" t="str">
        <x:f>IF(COUNT(C125)=0,"MISSING",IF(AND(C125&gt;=D125,C125&lt;=E125),"ADMIT","DENY"))</x:f>
        <x:v>DENY</x:v>
      </x:c>
      <x:c r="H125" s="11" t="str">
        <x:f>IF(F125=G125,"PASS","FAIL")</x:f>
        <x:v>PASS</x:v>
      </x:c>
    </x:row>
  </x:sheetData>
  <x:mergeCells>
    <x:mergeCell ref="A2:H2"/>
  </x:mergeCells>
  <x:conditionalFormatting sqref="H6:H125">
    <x:cfRule type="containsText" dxfId="56" priority="1" operator="containsText" text="DENY"/>
    <x:cfRule type="containsText" dxfId="57" priority="2" operator="containsText" text="ADVERSE"/>
    <x:cfRule type="containsText" dxfId="58" priority="3" operator="containsText" text="FAIL"/>
    <x:cfRule type="containsText" dxfId="59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85d46ba593ee48ff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0" hidden="0" customWidth="1"/>
    <x:col min="5" max="5" width="20" hidden="0" customWidth="1"/>
    <x:col min="6" max="6" width="12" hidden="0" customWidth="1"/>
  </x:cols>
  <x:sheetData>
    <x:row r="2" ht="26" customHeight="1">
      <x:c r="A2" s="18" t="str">
        <x:v>Two hundred forty planning audits</x:v>
      </x:c>
      <x:c r="B2" s="18" t="str">
        <x:v>Two hundred forty planning audits</x:v>
      </x:c>
      <x:c r="C2" s="18" t="str">
        <x:v>Two hundred forty planning audits</x:v>
      </x:c>
      <x:c r="D2" s="18" t="str">
        <x:v>Two hundred forty planning audits</x:v>
      </x:c>
      <x:c r="E2" s="18" t="str">
        <x:v>Two hundred forty planning audits</x:v>
      </x:c>
      <x:c r="F2" s="18" t="str">
        <x:v>Two hundred forty planning audits</x:v>
      </x:c>
    </x:row>
    <x:row r="3">
      <x:c r="A3" s="19"/>
      <x:c r="B3" s="19"/>
      <x:c r="C3" s="19"/>
      <x:c r="D3" s="19"/>
      <x:c r="E3" s="19"/>
      <x:c r="F3" s="19"/>
    </x:row>
    <x:row r="4">
      <x:c r="A4" s="20"/>
      <x:c r="B4" s="20"/>
      <x:c r="C4" s="20"/>
      <x:c r="D4" s="20"/>
      <x:c r="E4" s="20"/>
      <x:c r="F4" s="20"/>
    </x:row>
    <x:row r="5">
      <x:c r="A5" s="9" t="str">
        <x:v>Audit</x:v>
      </x:c>
      <x:c r="B5" s="9" t="str">
        <x:v>Family</x:v>
      </x:c>
      <x:c r="C5" s="9" t="str">
        <x:v>Assertion</x:v>
      </x:c>
      <x:c r="D5" s="9" t="str">
        <x:v>Expected</x:v>
      </x:c>
      <x:c r="E5" s="9" t="str">
        <x:v>Observed</x:v>
      </x:c>
      <x:c r="F5" s="9" t="str">
        <x:v>State</x:v>
      </x:c>
    </x:row>
    <x:row r="6">
      <x:c r="A6" s="11" t="str">
        <x:v>AU-001</x:v>
      </x:c>
      <x:c r="B6" s="11" t="str">
        <x:v>boundary</x:v>
      </x:c>
      <x:c r="C6" s="11" t="str">
        <x:v>Cases row 6</x:v>
      </x:c>
      <x:c r="D6" s="11" t="str">
        <x:v>PASS</x:v>
      </x:c>
      <x:c r="E6" s="11" t="str">
        <x:f>'Cases'!H6</x:f>
        <x:v>PASS</x:v>
      </x:c>
      <x:c r="F6" s="11" t="str">
        <x:f>IF(D6=E6,"PASS","FAIL")</x:f>
        <x:v>PASS</x:v>
      </x:c>
    </x:row>
    <x:row r="7">
      <x:c r="A7" s="11" t="str">
        <x:v>AU-002</x:v>
      </x:c>
      <x:c r="B7" s="11" t="str">
        <x:v>boundary</x:v>
      </x:c>
      <x:c r="C7" s="11" t="str">
        <x:v>Cases row 7</x:v>
      </x:c>
      <x:c r="D7" s="11" t="str">
        <x:v>PASS</x:v>
      </x:c>
      <x:c r="E7" s="11" t="str">
        <x:f>'Cases'!H7</x:f>
        <x:v>PASS</x:v>
      </x:c>
      <x:c r="F7" s="11" t="str">
        <x:f>IF(D7=E7,"PASS","FAIL")</x:f>
        <x:v>PASS</x:v>
      </x:c>
    </x:row>
    <x:row r="8">
      <x:c r="A8" s="11" t="str">
        <x:v>AU-003</x:v>
      </x:c>
      <x:c r="B8" s="11" t="str">
        <x:v>boundary</x:v>
      </x:c>
      <x:c r="C8" s="11" t="str">
        <x:v>Cases row 8</x:v>
      </x:c>
      <x:c r="D8" s="11" t="str">
        <x:v>PASS</x:v>
      </x:c>
      <x:c r="E8" s="11" t="str">
        <x:f>'Cases'!H8</x:f>
        <x:v>PASS</x:v>
      </x:c>
      <x:c r="F8" s="11" t="str">
        <x:f>IF(D8=E8,"PASS","FAIL")</x:f>
        <x:v>PASS</x:v>
      </x:c>
    </x:row>
    <x:row r="9">
      <x:c r="A9" s="11" t="str">
        <x:v>AU-004</x:v>
      </x:c>
      <x:c r="B9" s="11" t="str">
        <x:v>boundary</x:v>
      </x:c>
      <x:c r="C9" s="11" t="str">
        <x:v>Cases row 9</x:v>
      </x:c>
      <x:c r="D9" s="11" t="str">
        <x:v>PASS</x:v>
      </x:c>
      <x:c r="E9" s="11" t="str">
        <x:f>'Cases'!H9</x:f>
        <x:v>PASS</x:v>
      </x:c>
      <x:c r="F9" s="11" t="str">
        <x:f>IF(D9=E9,"PASS","FAIL")</x:f>
        <x:v>PASS</x:v>
      </x:c>
    </x:row>
    <x:row r="10">
      <x:c r="A10" s="11" t="str">
        <x:v>AU-005</x:v>
      </x:c>
      <x:c r="B10" s="11" t="str">
        <x:v>boundary</x:v>
      </x:c>
      <x:c r="C10" s="11" t="str">
        <x:v>Cases row 10</x:v>
      </x:c>
      <x:c r="D10" s="11" t="str">
        <x:v>PASS</x:v>
      </x:c>
      <x:c r="E10" s="11" t="str">
        <x:f>'Cases'!H10</x:f>
        <x:v>PASS</x:v>
      </x:c>
      <x:c r="F10" s="11" t="str">
        <x:f>IF(D10=E10,"PASS","FAIL")</x:f>
        <x:v>PASS</x:v>
      </x:c>
    </x:row>
    <x:row r="11">
      <x:c r="A11" s="11" t="str">
        <x:v>AU-006</x:v>
      </x:c>
      <x:c r="B11" s="11" t="str">
        <x:v>boundary</x:v>
      </x:c>
      <x:c r="C11" s="11" t="str">
        <x:v>Cases row 11</x:v>
      </x:c>
      <x:c r="D11" s="11" t="str">
        <x:v>PASS</x:v>
      </x:c>
      <x:c r="E11" s="11" t="str">
        <x:f>'Cases'!H11</x:f>
        <x:v>PASS</x:v>
      </x:c>
      <x:c r="F11" s="11" t="str">
        <x:f>IF(D11=E11,"PASS","FAIL")</x:f>
        <x:v>PASS</x:v>
      </x:c>
    </x:row>
    <x:row r="12">
      <x:c r="A12" s="11" t="str">
        <x:v>AU-007</x:v>
      </x:c>
      <x:c r="B12" s="11" t="str">
        <x:v>boundary</x:v>
      </x:c>
      <x:c r="C12" s="11" t="str">
        <x:v>Cases row 12</x:v>
      </x:c>
      <x:c r="D12" s="11" t="str">
        <x:v>PASS</x:v>
      </x:c>
      <x:c r="E12" s="11" t="str">
        <x:f>'Cases'!H12</x:f>
        <x:v>PASS</x:v>
      </x:c>
      <x:c r="F12" s="11" t="str">
        <x:f>IF(D12=E12,"PASS","FAIL")</x:f>
        <x:v>PASS</x:v>
      </x:c>
    </x:row>
    <x:row r="13">
      <x:c r="A13" s="11" t="str">
        <x:v>AU-008</x:v>
      </x:c>
      <x:c r="B13" s="11" t="str">
        <x:v>boundary</x:v>
      </x:c>
      <x:c r="C13" s="11" t="str">
        <x:v>Cases row 13</x:v>
      </x:c>
      <x:c r="D13" s="11" t="str">
        <x:v>PASS</x:v>
      </x:c>
      <x:c r="E13" s="11" t="str">
        <x:f>'Cases'!H13</x:f>
        <x:v>PASS</x:v>
      </x:c>
      <x:c r="F13" s="11" t="str">
        <x:f>IF(D13=E13,"PASS","FAIL")</x:f>
        <x:v>PASS</x:v>
      </x:c>
    </x:row>
    <x:row r="14">
      <x:c r="A14" s="11" t="str">
        <x:v>AU-009</x:v>
      </x:c>
      <x:c r="B14" s="11" t="str">
        <x:v>boundary</x:v>
      </x:c>
      <x:c r="C14" s="11" t="str">
        <x:v>Cases row 14</x:v>
      </x:c>
      <x:c r="D14" s="11" t="str">
        <x:v>PASS</x:v>
      </x:c>
      <x:c r="E14" s="11" t="str">
        <x:f>'Cases'!H14</x:f>
        <x:v>PASS</x:v>
      </x:c>
      <x:c r="F14" s="11" t="str">
        <x:f>IF(D14=E14,"PASS","FAIL")</x:f>
        <x:v>PASS</x:v>
      </x:c>
    </x:row>
    <x:row r="15">
      <x:c r="A15" s="11" t="str">
        <x:v>AU-010</x:v>
      </x:c>
      <x:c r="B15" s="11" t="str">
        <x:v>boundary</x:v>
      </x:c>
      <x:c r="C15" s="11" t="str">
        <x:v>Cases row 15</x:v>
      </x:c>
      <x:c r="D15" s="11" t="str">
        <x:v>PASS</x:v>
      </x:c>
      <x:c r="E15" s="11" t="str">
        <x:f>'Cases'!H15</x:f>
        <x:v>PASS</x:v>
      </x:c>
      <x:c r="F15" s="11" t="str">
        <x:f>IF(D15=E15,"PASS","FAIL")</x:f>
        <x:v>PASS</x:v>
      </x:c>
    </x:row>
    <x:row r="16">
      <x:c r="A16" s="11" t="str">
        <x:v>AU-011</x:v>
      </x:c>
      <x:c r="B16" s="11" t="str">
        <x:v>boundary</x:v>
      </x:c>
      <x:c r="C16" s="11" t="str">
        <x:v>Cases row 16</x:v>
      </x:c>
      <x:c r="D16" s="11" t="str">
        <x:v>PASS</x:v>
      </x:c>
      <x:c r="E16" s="11" t="str">
        <x:f>'Cases'!H16</x:f>
        <x:v>PASS</x:v>
      </x:c>
      <x:c r="F16" s="11" t="str">
        <x:f>IF(D16=E16,"PASS","FAIL")</x:f>
        <x:v>PASS</x:v>
      </x:c>
    </x:row>
    <x:row r="17">
      <x:c r="A17" s="11" t="str">
        <x:v>AU-012</x:v>
      </x:c>
      <x:c r="B17" s="11" t="str">
        <x:v>boundary</x:v>
      </x:c>
      <x:c r="C17" s="11" t="str">
        <x:v>Cases row 17</x:v>
      </x:c>
      <x:c r="D17" s="11" t="str">
        <x:v>PASS</x:v>
      </x:c>
      <x:c r="E17" s="11" t="str">
        <x:f>'Cases'!H17</x:f>
        <x:v>PASS</x:v>
      </x:c>
      <x:c r="F17" s="11" t="str">
        <x:f>IF(D17=E17,"PASS","FAIL")</x:f>
        <x:v>PASS</x:v>
      </x:c>
    </x:row>
    <x:row r="18">
      <x:c r="A18" s="11" t="str">
        <x:v>AU-013</x:v>
      </x:c>
      <x:c r="B18" s="11" t="str">
        <x:v>boundary</x:v>
      </x:c>
      <x:c r="C18" s="11" t="str">
        <x:v>Cases row 18</x:v>
      </x:c>
      <x:c r="D18" s="11" t="str">
        <x:v>PASS</x:v>
      </x:c>
      <x:c r="E18" s="11" t="str">
        <x:f>'Cases'!H18</x:f>
        <x:v>PASS</x:v>
      </x:c>
      <x:c r="F18" s="11" t="str">
        <x:f>IF(D18=E18,"PASS","FAIL")</x:f>
        <x:v>PASS</x:v>
      </x:c>
    </x:row>
    <x:row r="19">
      <x:c r="A19" s="11" t="str">
        <x:v>AU-014</x:v>
      </x:c>
      <x:c r="B19" s="11" t="str">
        <x:v>boundary</x:v>
      </x:c>
      <x:c r="C19" s="11" t="str">
        <x:v>Cases row 19</x:v>
      </x:c>
      <x:c r="D19" s="11" t="str">
        <x:v>PASS</x:v>
      </x:c>
      <x:c r="E19" s="11" t="str">
        <x:f>'Cases'!H19</x:f>
        <x:v>PASS</x:v>
      </x:c>
      <x:c r="F19" s="11" t="str">
        <x:f>IF(D19=E19,"PASS","FAIL")</x:f>
        <x:v>PASS</x:v>
      </x:c>
    </x:row>
    <x:row r="20">
      <x:c r="A20" s="11" t="str">
        <x:v>AU-015</x:v>
      </x:c>
      <x:c r="B20" s="11" t="str">
        <x:v>boundary</x:v>
      </x:c>
      <x:c r="C20" s="11" t="str">
        <x:v>Cases row 20</x:v>
      </x:c>
      <x:c r="D20" s="11" t="str">
        <x:v>PASS</x:v>
      </x:c>
      <x:c r="E20" s="11" t="str">
        <x:f>'Cases'!H20</x:f>
        <x:v>PASS</x:v>
      </x:c>
      <x:c r="F20" s="11" t="str">
        <x:f>IF(D20=E20,"PASS","FAIL")</x:f>
        <x:v>PASS</x:v>
      </x:c>
    </x:row>
    <x:row r="21">
      <x:c r="A21" s="11" t="str">
        <x:v>AU-016</x:v>
      </x:c>
      <x:c r="B21" s="11" t="str">
        <x:v>boundary</x:v>
      </x:c>
      <x:c r="C21" s="11" t="str">
        <x:v>Cases row 21</x:v>
      </x:c>
      <x:c r="D21" s="11" t="str">
        <x:v>PASS</x:v>
      </x:c>
      <x:c r="E21" s="11" t="str">
        <x:f>'Cases'!H21</x:f>
        <x:v>PASS</x:v>
      </x:c>
      <x:c r="F21" s="11" t="str">
        <x:f>IF(D21=E21,"PASS","FAIL")</x:f>
        <x:v>PASS</x:v>
      </x:c>
    </x:row>
    <x:row r="22">
      <x:c r="A22" s="11" t="str">
        <x:v>AU-017</x:v>
      </x:c>
      <x:c r="B22" s="11" t="str">
        <x:v>boundary</x:v>
      </x:c>
      <x:c r="C22" s="11" t="str">
        <x:v>Cases row 22</x:v>
      </x:c>
      <x:c r="D22" s="11" t="str">
        <x:v>PASS</x:v>
      </x:c>
      <x:c r="E22" s="11" t="str">
        <x:f>'Cases'!H22</x:f>
        <x:v>PASS</x:v>
      </x:c>
      <x:c r="F22" s="11" t="str">
        <x:f>IF(D22=E22,"PASS","FAIL")</x:f>
        <x:v>PASS</x:v>
      </x:c>
    </x:row>
    <x:row r="23">
      <x:c r="A23" s="11" t="str">
        <x:v>AU-018</x:v>
      </x:c>
      <x:c r="B23" s="11" t="str">
        <x:v>boundary</x:v>
      </x:c>
      <x:c r="C23" s="11" t="str">
        <x:v>Cases row 23</x:v>
      </x:c>
      <x:c r="D23" s="11" t="str">
        <x:v>PASS</x:v>
      </x:c>
      <x:c r="E23" s="11" t="str">
        <x:f>'Cases'!H23</x:f>
        <x:v>PASS</x:v>
      </x:c>
      <x:c r="F23" s="11" t="str">
        <x:f>IF(D23=E23,"PASS","FAIL")</x:f>
        <x:v>PASS</x:v>
      </x:c>
    </x:row>
    <x:row r="24">
      <x:c r="A24" s="11" t="str">
        <x:v>AU-019</x:v>
      </x:c>
      <x:c r="B24" s="11" t="str">
        <x:v>boundary</x:v>
      </x:c>
      <x:c r="C24" s="11" t="str">
        <x:v>Cases row 24</x:v>
      </x:c>
      <x:c r="D24" s="11" t="str">
        <x:v>PASS</x:v>
      </x:c>
      <x:c r="E24" s="11" t="str">
        <x:f>'Cases'!H24</x:f>
        <x:v>PASS</x:v>
      </x:c>
      <x:c r="F24" s="11" t="str">
        <x:f>IF(D24=E24,"PASS","FAIL")</x:f>
        <x:v>PASS</x:v>
      </x:c>
    </x:row>
    <x:row r="25">
      <x:c r="A25" s="11" t="str">
        <x:v>AU-020</x:v>
      </x:c>
      <x:c r="B25" s="11" t="str">
        <x:v>boundary</x:v>
      </x:c>
      <x:c r="C25" s="11" t="str">
        <x:v>Cases row 25</x:v>
      </x:c>
      <x:c r="D25" s="11" t="str">
        <x:v>PASS</x:v>
      </x:c>
      <x:c r="E25" s="11" t="str">
        <x:f>'Cases'!H25</x:f>
        <x:v>PASS</x:v>
      </x:c>
      <x:c r="F25" s="11" t="str">
        <x:f>IF(D25=E25,"PASS","FAIL")</x:f>
        <x:v>PASS</x:v>
      </x:c>
    </x:row>
    <x:row r="26">
      <x:c r="A26" s="11" t="str">
        <x:v>AU-021</x:v>
      </x:c>
      <x:c r="B26" s="11" t="str">
        <x:v>boundary</x:v>
      </x:c>
      <x:c r="C26" s="11" t="str">
        <x:v>Cases row 26</x:v>
      </x:c>
      <x:c r="D26" s="11" t="str">
        <x:v>PASS</x:v>
      </x:c>
      <x:c r="E26" s="11" t="str">
        <x:f>'Cases'!H26</x:f>
        <x:v>PASS</x:v>
      </x:c>
      <x:c r="F26" s="11" t="str">
        <x:f>IF(D26=E26,"PASS","FAIL")</x:f>
        <x:v>PASS</x:v>
      </x:c>
    </x:row>
    <x:row r="27">
      <x:c r="A27" s="11" t="str">
        <x:v>AU-022</x:v>
      </x:c>
      <x:c r="B27" s="11" t="str">
        <x:v>boundary</x:v>
      </x:c>
      <x:c r="C27" s="11" t="str">
        <x:v>Cases row 27</x:v>
      </x:c>
      <x:c r="D27" s="11" t="str">
        <x:v>PASS</x:v>
      </x:c>
      <x:c r="E27" s="11" t="str">
        <x:f>'Cases'!H27</x:f>
        <x:v>PASS</x:v>
      </x:c>
      <x:c r="F27" s="11" t="str">
        <x:f>IF(D27=E27,"PASS","FAIL")</x:f>
        <x:v>PASS</x:v>
      </x:c>
    </x:row>
    <x:row r="28">
      <x:c r="A28" s="11" t="str">
        <x:v>AU-023</x:v>
      </x:c>
      <x:c r="B28" s="11" t="str">
        <x:v>boundary</x:v>
      </x:c>
      <x:c r="C28" s="11" t="str">
        <x:v>Cases row 28</x:v>
      </x:c>
      <x:c r="D28" s="11" t="str">
        <x:v>PASS</x:v>
      </x:c>
      <x:c r="E28" s="11" t="str">
        <x:f>'Cases'!H28</x:f>
        <x:v>PASS</x:v>
      </x:c>
      <x:c r="F28" s="11" t="str">
        <x:f>IF(D28=E28,"PASS","FAIL")</x:f>
        <x:v>PASS</x:v>
      </x:c>
    </x:row>
    <x:row r="29">
      <x:c r="A29" s="11" t="str">
        <x:v>AU-024</x:v>
      </x:c>
      <x:c r="B29" s="11" t="str">
        <x:v>boundary</x:v>
      </x:c>
      <x:c r="C29" s="11" t="str">
        <x:v>Cases row 29</x:v>
      </x:c>
      <x:c r="D29" s="11" t="str">
        <x:v>PASS</x:v>
      </x:c>
      <x:c r="E29" s="11" t="str">
        <x:f>'Cases'!H29</x:f>
        <x:v>PASS</x:v>
      </x:c>
      <x:c r="F29" s="11" t="str">
        <x:f>IF(D29=E29,"PASS","FAIL")</x:f>
        <x:v>PASS</x:v>
      </x:c>
    </x:row>
    <x:row r="30">
      <x:c r="A30" s="11" t="str">
        <x:v>AU-025</x:v>
      </x:c>
      <x:c r="B30" s="11" t="str">
        <x:v>boundary</x:v>
      </x:c>
      <x:c r="C30" s="11" t="str">
        <x:v>Cases row 30</x:v>
      </x:c>
      <x:c r="D30" s="11" t="str">
        <x:v>PASS</x:v>
      </x:c>
      <x:c r="E30" s="11" t="str">
        <x:f>'Cases'!H30</x:f>
        <x:v>PASS</x:v>
      </x:c>
      <x:c r="F30" s="11" t="str">
        <x:f>IF(D30=E30,"PASS","FAIL")</x:f>
        <x:v>PASS</x:v>
      </x:c>
    </x:row>
    <x:row r="31">
      <x:c r="A31" s="11" t="str">
        <x:v>AU-026</x:v>
      </x:c>
      <x:c r="B31" s="11" t="str">
        <x:v>boundary</x:v>
      </x:c>
      <x:c r="C31" s="11" t="str">
        <x:v>Cases row 31</x:v>
      </x:c>
      <x:c r="D31" s="11" t="str">
        <x:v>PASS</x:v>
      </x:c>
      <x:c r="E31" s="11" t="str">
        <x:f>'Cases'!H31</x:f>
        <x:v>PASS</x:v>
      </x:c>
      <x:c r="F31" s="11" t="str">
        <x:f>IF(D31=E31,"PASS","FAIL")</x:f>
        <x:v>PASS</x:v>
      </x:c>
    </x:row>
    <x:row r="32">
      <x:c r="A32" s="11" t="str">
        <x:v>AU-027</x:v>
      </x:c>
      <x:c r="B32" s="11" t="str">
        <x:v>boundary</x:v>
      </x:c>
      <x:c r="C32" s="11" t="str">
        <x:v>Cases row 32</x:v>
      </x:c>
      <x:c r="D32" s="11" t="str">
        <x:v>PASS</x:v>
      </x:c>
      <x:c r="E32" s="11" t="str">
        <x:f>'Cases'!H32</x:f>
        <x:v>PASS</x:v>
      </x:c>
      <x:c r="F32" s="11" t="str">
        <x:f>IF(D32=E32,"PASS","FAIL")</x:f>
        <x:v>PASS</x:v>
      </x:c>
    </x:row>
    <x:row r="33">
      <x:c r="A33" s="11" t="str">
        <x:v>AU-028</x:v>
      </x:c>
      <x:c r="B33" s="11" t="str">
        <x:v>boundary</x:v>
      </x:c>
      <x:c r="C33" s="11" t="str">
        <x:v>Cases row 33</x:v>
      </x:c>
      <x:c r="D33" s="11" t="str">
        <x:v>PASS</x:v>
      </x:c>
      <x:c r="E33" s="11" t="str">
        <x:f>'Cases'!H33</x:f>
        <x:v>PASS</x:v>
      </x:c>
      <x:c r="F33" s="11" t="str">
        <x:f>IF(D33=E33,"PASS","FAIL")</x:f>
        <x:v>PASS</x:v>
      </x:c>
    </x:row>
    <x:row r="34">
      <x:c r="A34" s="11" t="str">
        <x:v>AU-029</x:v>
      </x:c>
      <x:c r="B34" s="11" t="str">
        <x:v>boundary</x:v>
      </x:c>
      <x:c r="C34" s="11" t="str">
        <x:v>Cases row 34</x:v>
      </x:c>
      <x:c r="D34" s="11" t="str">
        <x:v>PASS</x:v>
      </x:c>
      <x:c r="E34" s="11" t="str">
        <x:f>'Cases'!H34</x:f>
        <x:v>PASS</x:v>
      </x:c>
      <x:c r="F34" s="11" t="str">
        <x:f>IF(D34=E34,"PASS","FAIL")</x:f>
        <x:v>PASS</x:v>
      </x:c>
    </x:row>
    <x:row r="35">
      <x:c r="A35" s="11" t="str">
        <x:v>AU-030</x:v>
      </x:c>
      <x:c r="B35" s="11" t="str">
        <x:v>boundary</x:v>
      </x:c>
      <x:c r="C35" s="11" t="str">
        <x:v>Cases row 35</x:v>
      </x:c>
      <x:c r="D35" s="11" t="str">
        <x:v>PASS</x:v>
      </x:c>
      <x:c r="E35" s="11" t="str">
        <x:f>'Cases'!H35</x:f>
        <x:v>PASS</x:v>
      </x:c>
      <x:c r="F35" s="11" t="str">
        <x:f>IF(D35=E35,"PASS","FAIL")</x:f>
        <x:v>PASS</x:v>
      </x:c>
    </x:row>
    <x:row r="36">
      <x:c r="A36" s="11" t="str">
        <x:v>AU-031</x:v>
      </x:c>
      <x:c r="B36" s="11" t="str">
        <x:v>boundary</x:v>
      </x:c>
      <x:c r="C36" s="11" t="str">
        <x:v>Cases row 36</x:v>
      </x:c>
      <x:c r="D36" s="11" t="str">
        <x:v>PASS</x:v>
      </x:c>
      <x:c r="E36" s="11" t="str">
        <x:f>'Cases'!H36</x:f>
        <x:v>PASS</x:v>
      </x:c>
      <x:c r="F36" s="11" t="str">
        <x:f>IF(D36=E36,"PASS","FAIL")</x:f>
        <x:v>PASS</x:v>
      </x:c>
    </x:row>
    <x:row r="37">
      <x:c r="A37" s="11" t="str">
        <x:v>AU-032</x:v>
      </x:c>
      <x:c r="B37" s="11" t="str">
        <x:v>boundary</x:v>
      </x:c>
      <x:c r="C37" s="11" t="str">
        <x:v>Cases row 37</x:v>
      </x:c>
      <x:c r="D37" s="11" t="str">
        <x:v>PASS</x:v>
      </x:c>
      <x:c r="E37" s="11" t="str">
        <x:f>'Cases'!H37</x:f>
        <x:v>PASS</x:v>
      </x:c>
      <x:c r="F37" s="11" t="str">
        <x:f>IF(D37=E37,"PASS","FAIL")</x:f>
        <x:v>PASS</x:v>
      </x:c>
    </x:row>
    <x:row r="38">
      <x:c r="A38" s="11" t="str">
        <x:v>AU-033</x:v>
      </x:c>
      <x:c r="B38" s="11" t="str">
        <x:v>boundary</x:v>
      </x:c>
      <x:c r="C38" s="11" t="str">
        <x:v>Cases row 38</x:v>
      </x:c>
      <x:c r="D38" s="11" t="str">
        <x:v>PASS</x:v>
      </x:c>
      <x:c r="E38" s="11" t="str">
        <x:f>'Cases'!H38</x:f>
        <x:v>PASS</x:v>
      </x:c>
      <x:c r="F38" s="11" t="str">
        <x:f>IF(D38=E38,"PASS","FAIL")</x:f>
        <x:v>PASS</x:v>
      </x:c>
    </x:row>
    <x:row r="39">
      <x:c r="A39" s="11" t="str">
        <x:v>AU-034</x:v>
      </x:c>
      <x:c r="B39" s="11" t="str">
        <x:v>boundary</x:v>
      </x:c>
      <x:c r="C39" s="11" t="str">
        <x:v>Cases row 39</x:v>
      </x:c>
      <x:c r="D39" s="11" t="str">
        <x:v>PASS</x:v>
      </x:c>
      <x:c r="E39" s="11" t="str">
        <x:f>'Cases'!H39</x:f>
        <x:v>PASS</x:v>
      </x:c>
      <x:c r="F39" s="11" t="str">
        <x:f>IF(D39=E39,"PASS","FAIL")</x:f>
        <x:v>PASS</x:v>
      </x:c>
    </x:row>
    <x:row r="40">
      <x:c r="A40" s="11" t="str">
        <x:v>AU-035</x:v>
      </x:c>
      <x:c r="B40" s="11" t="str">
        <x:v>boundary</x:v>
      </x:c>
      <x:c r="C40" s="11" t="str">
        <x:v>Cases row 40</x:v>
      </x:c>
      <x:c r="D40" s="11" t="str">
        <x:v>PASS</x:v>
      </x:c>
      <x:c r="E40" s="11" t="str">
        <x:f>'Cases'!H40</x:f>
        <x:v>PASS</x:v>
      </x:c>
      <x:c r="F40" s="11" t="str">
        <x:f>IF(D40=E40,"PASS","FAIL")</x:f>
        <x:v>PASS</x:v>
      </x:c>
    </x:row>
    <x:row r="41">
      <x:c r="A41" s="11" t="str">
        <x:v>AU-036</x:v>
      </x:c>
      <x:c r="B41" s="11" t="str">
        <x:v>boundary</x:v>
      </x:c>
      <x:c r="C41" s="11" t="str">
        <x:v>Cases row 41</x:v>
      </x:c>
      <x:c r="D41" s="11" t="str">
        <x:v>PASS</x:v>
      </x:c>
      <x:c r="E41" s="11" t="str">
        <x:f>'Cases'!H41</x:f>
        <x:v>PASS</x:v>
      </x:c>
      <x:c r="F41" s="11" t="str">
        <x:f>IF(D41=E41,"PASS","FAIL")</x:f>
        <x:v>PASS</x:v>
      </x:c>
    </x:row>
    <x:row r="42">
      <x:c r="A42" s="11" t="str">
        <x:v>AU-037</x:v>
      </x:c>
      <x:c r="B42" s="11" t="str">
        <x:v>boundary</x:v>
      </x:c>
      <x:c r="C42" s="11" t="str">
        <x:v>Cases row 42</x:v>
      </x:c>
      <x:c r="D42" s="11" t="str">
        <x:v>PASS</x:v>
      </x:c>
      <x:c r="E42" s="11" t="str">
        <x:f>'Cases'!H42</x:f>
        <x:v>PASS</x:v>
      </x:c>
      <x:c r="F42" s="11" t="str">
        <x:f>IF(D42=E42,"PASS","FAIL")</x:f>
        <x:v>PASS</x:v>
      </x:c>
    </x:row>
    <x:row r="43">
      <x:c r="A43" s="11" t="str">
        <x:v>AU-038</x:v>
      </x:c>
      <x:c r="B43" s="11" t="str">
        <x:v>boundary</x:v>
      </x:c>
      <x:c r="C43" s="11" t="str">
        <x:v>Cases row 43</x:v>
      </x:c>
      <x:c r="D43" s="11" t="str">
        <x:v>PASS</x:v>
      </x:c>
      <x:c r="E43" s="11" t="str">
        <x:f>'Cases'!H43</x:f>
        <x:v>PASS</x:v>
      </x:c>
      <x:c r="F43" s="11" t="str">
        <x:f>IF(D43=E43,"PASS","FAIL")</x:f>
        <x:v>PASS</x:v>
      </x:c>
    </x:row>
    <x:row r="44">
      <x:c r="A44" s="11" t="str">
        <x:v>AU-039</x:v>
      </x:c>
      <x:c r="B44" s="11" t="str">
        <x:v>boundary</x:v>
      </x:c>
      <x:c r="C44" s="11" t="str">
        <x:v>Cases row 44</x:v>
      </x:c>
      <x:c r="D44" s="11" t="str">
        <x:v>PASS</x:v>
      </x:c>
      <x:c r="E44" s="11" t="str">
        <x:f>'Cases'!H44</x:f>
        <x:v>PASS</x:v>
      </x:c>
      <x:c r="F44" s="11" t="str">
        <x:f>IF(D44=E44,"PASS","FAIL")</x:f>
        <x:v>PASS</x:v>
      </x:c>
    </x:row>
    <x:row r="45">
      <x:c r="A45" s="11" t="str">
        <x:v>AU-040</x:v>
      </x:c>
      <x:c r="B45" s="11" t="str">
        <x:v>boundary</x:v>
      </x:c>
      <x:c r="C45" s="11" t="str">
        <x:v>Cases row 45</x:v>
      </x:c>
      <x:c r="D45" s="11" t="str">
        <x:v>PASS</x:v>
      </x:c>
      <x:c r="E45" s="11" t="str">
        <x:f>'Cases'!H45</x:f>
        <x:v>PASS</x:v>
      </x:c>
      <x:c r="F45" s="11" t="str">
        <x:f>IF(D45=E45,"PASS","FAIL")</x:f>
        <x:v>PASS</x:v>
      </x:c>
    </x:row>
    <x:row r="46">
      <x:c r="A46" s="11" t="str">
        <x:v>AU-041</x:v>
      </x:c>
      <x:c r="B46" s="11" t="str">
        <x:v>boundary</x:v>
      </x:c>
      <x:c r="C46" s="11" t="str">
        <x:v>Cases row 46</x:v>
      </x:c>
      <x:c r="D46" s="11" t="str">
        <x:v>PASS</x:v>
      </x:c>
      <x:c r="E46" s="11" t="str">
        <x:f>'Cases'!H46</x:f>
        <x:v>PASS</x:v>
      </x:c>
      <x:c r="F46" s="11" t="str">
        <x:f>IF(D46=E46,"PASS","FAIL")</x:f>
        <x:v>PASS</x:v>
      </x:c>
    </x:row>
    <x:row r="47">
      <x:c r="A47" s="11" t="str">
        <x:v>AU-042</x:v>
      </x:c>
      <x:c r="B47" s="11" t="str">
        <x:v>boundary</x:v>
      </x:c>
      <x:c r="C47" s="11" t="str">
        <x:v>Cases row 47</x:v>
      </x:c>
      <x:c r="D47" s="11" t="str">
        <x:v>PASS</x:v>
      </x:c>
      <x:c r="E47" s="11" t="str">
        <x:f>'Cases'!H47</x:f>
        <x:v>PASS</x:v>
      </x:c>
      <x:c r="F47" s="11" t="str">
        <x:f>IF(D47=E47,"PASS","FAIL")</x:f>
        <x:v>PASS</x:v>
      </x:c>
    </x:row>
    <x:row r="48">
      <x:c r="A48" s="11" t="str">
        <x:v>AU-043</x:v>
      </x:c>
      <x:c r="B48" s="11" t="str">
        <x:v>boundary</x:v>
      </x:c>
      <x:c r="C48" s="11" t="str">
        <x:v>Cases row 48</x:v>
      </x:c>
      <x:c r="D48" s="11" t="str">
        <x:v>PASS</x:v>
      </x:c>
      <x:c r="E48" s="11" t="str">
        <x:f>'Cases'!H48</x:f>
        <x:v>PASS</x:v>
      </x:c>
      <x:c r="F48" s="11" t="str">
        <x:f>IF(D48=E48,"PASS","FAIL")</x:f>
        <x:v>PASS</x:v>
      </x:c>
    </x:row>
    <x:row r="49">
      <x:c r="A49" s="11" t="str">
        <x:v>AU-044</x:v>
      </x:c>
      <x:c r="B49" s="11" t="str">
        <x:v>boundary</x:v>
      </x:c>
      <x:c r="C49" s="11" t="str">
        <x:v>Cases row 49</x:v>
      </x:c>
      <x:c r="D49" s="11" t="str">
        <x:v>PASS</x:v>
      </x:c>
      <x:c r="E49" s="11" t="str">
        <x:f>'Cases'!H49</x:f>
        <x:v>PASS</x:v>
      </x:c>
      <x:c r="F49" s="11" t="str">
        <x:f>IF(D49=E49,"PASS","FAIL")</x:f>
        <x:v>PASS</x:v>
      </x:c>
    </x:row>
    <x:row r="50">
      <x:c r="A50" s="11" t="str">
        <x:v>AU-045</x:v>
      </x:c>
      <x:c r="B50" s="11" t="str">
        <x:v>boundary</x:v>
      </x:c>
      <x:c r="C50" s="11" t="str">
        <x:v>Cases row 50</x:v>
      </x:c>
      <x:c r="D50" s="11" t="str">
        <x:v>PASS</x:v>
      </x:c>
      <x:c r="E50" s="11" t="str">
        <x:f>'Cases'!H50</x:f>
        <x:v>PASS</x:v>
      </x:c>
      <x:c r="F50" s="11" t="str">
        <x:f>IF(D50=E50,"PASS","FAIL")</x:f>
        <x:v>PASS</x:v>
      </x:c>
    </x:row>
    <x:row r="51">
      <x:c r="A51" s="11" t="str">
        <x:v>AU-046</x:v>
      </x:c>
      <x:c r="B51" s="11" t="str">
        <x:v>boundary</x:v>
      </x:c>
      <x:c r="C51" s="11" t="str">
        <x:v>Cases row 51</x:v>
      </x:c>
      <x:c r="D51" s="11" t="str">
        <x:v>PASS</x:v>
      </x:c>
      <x:c r="E51" s="11" t="str">
        <x:f>'Cases'!H51</x:f>
        <x:v>PASS</x:v>
      </x:c>
      <x:c r="F51" s="11" t="str">
        <x:f>IF(D51=E51,"PASS","FAIL")</x:f>
        <x:v>PASS</x:v>
      </x:c>
    </x:row>
    <x:row r="52">
      <x:c r="A52" s="11" t="str">
        <x:v>AU-047</x:v>
      </x:c>
      <x:c r="B52" s="11" t="str">
        <x:v>boundary</x:v>
      </x:c>
      <x:c r="C52" s="11" t="str">
        <x:v>Cases row 52</x:v>
      </x:c>
      <x:c r="D52" s="11" t="str">
        <x:v>PASS</x:v>
      </x:c>
      <x:c r="E52" s="11" t="str">
        <x:f>'Cases'!H52</x:f>
        <x:v>PASS</x:v>
      </x:c>
      <x:c r="F52" s="11" t="str">
        <x:f>IF(D52=E52,"PASS","FAIL")</x:f>
        <x:v>PASS</x:v>
      </x:c>
    </x:row>
    <x:row r="53">
      <x:c r="A53" s="11" t="str">
        <x:v>AU-048</x:v>
      </x:c>
      <x:c r="B53" s="11" t="str">
        <x:v>boundary</x:v>
      </x:c>
      <x:c r="C53" s="11" t="str">
        <x:v>Cases row 53</x:v>
      </x:c>
      <x:c r="D53" s="11" t="str">
        <x:v>PASS</x:v>
      </x:c>
      <x:c r="E53" s="11" t="str">
        <x:f>'Cases'!H53</x:f>
        <x:v>PASS</x:v>
      </x:c>
      <x:c r="F53" s="11" t="str">
        <x:f>IF(D53=E53,"PASS","FAIL")</x:f>
        <x:v>PASS</x:v>
      </x:c>
    </x:row>
    <x:row r="54">
      <x:c r="A54" s="11" t="str">
        <x:v>AU-049</x:v>
      </x:c>
      <x:c r="B54" s="11" t="str">
        <x:v>boundary</x:v>
      </x:c>
      <x:c r="C54" s="11" t="str">
        <x:v>Cases row 54</x:v>
      </x:c>
      <x:c r="D54" s="11" t="str">
        <x:v>PASS</x:v>
      </x:c>
      <x:c r="E54" s="11" t="str">
        <x:f>'Cases'!H54</x:f>
        <x:v>PASS</x:v>
      </x:c>
      <x:c r="F54" s="11" t="str">
        <x:f>IF(D54=E54,"PASS","FAIL")</x:f>
        <x:v>PASS</x:v>
      </x:c>
    </x:row>
    <x:row r="55">
      <x:c r="A55" s="11" t="str">
        <x:v>AU-050</x:v>
      </x:c>
      <x:c r="B55" s="11" t="str">
        <x:v>boundary</x:v>
      </x:c>
      <x:c r="C55" s="11" t="str">
        <x:v>Cases row 55</x:v>
      </x:c>
      <x:c r="D55" s="11" t="str">
        <x:v>PASS</x:v>
      </x:c>
      <x:c r="E55" s="11" t="str">
        <x:f>'Cases'!H55</x:f>
        <x:v>PASS</x:v>
      </x:c>
      <x:c r="F55" s="11" t="str">
        <x:f>IF(D55=E55,"PASS","FAIL")</x:f>
        <x:v>PASS</x:v>
      </x:c>
    </x:row>
    <x:row r="56">
      <x:c r="A56" s="11" t="str">
        <x:v>AU-051</x:v>
      </x:c>
      <x:c r="B56" s="11" t="str">
        <x:v>boundary</x:v>
      </x:c>
      <x:c r="C56" s="11" t="str">
        <x:v>Cases row 56</x:v>
      </x:c>
      <x:c r="D56" s="11" t="str">
        <x:v>PASS</x:v>
      </x:c>
      <x:c r="E56" s="11" t="str">
        <x:f>'Cases'!H56</x:f>
        <x:v>PASS</x:v>
      </x:c>
      <x:c r="F56" s="11" t="str">
        <x:f>IF(D56=E56,"PASS","FAIL")</x:f>
        <x:v>PASS</x:v>
      </x:c>
    </x:row>
    <x:row r="57">
      <x:c r="A57" s="11" t="str">
        <x:v>AU-052</x:v>
      </x:c>
      <x:c r="B57" s="11" t="str">
        <x:v>boundary</x:v>
      </x:c>
      <x:c r="C57" s="11" t="str">
        <x:v>Cases row 57</x:v>
      </x:c>
      <x:c r="D57" s="11" t="str">
        <x:v>PASS</x:v>
      </x:c>
      <x:c r="E57" s="11" t="str">
        <x:f>'Cases'!H57</x:f>
        <x:v>PASS</x:v>
      </x:c>
      <x:c r="F57" s="11" t="str">
        <x:f>IF(D57=E57,"PASS","FAIL")</x:f>
        <x:v>PASS</x:v>
      </x:c>
    </x:row>
    <x:row r="58">
      <x:c r="A58" s="11" t="str">
        <x:v>AU-053</x:v>
      </x:c>
      <x:c r="B58" s="11" t="str">
        <x:v>boundary</x:v>
      </x:c>
      <x:c r="C58" s="11" t="str">
        <x:v>Cases row 58</x:v>
      </x:c>
      <x:c r="D58" s="11" t="str">
        <x:v>PASS</x:v>
      </x:c>
      <x:c r="E58" s="11" t="str">
        <x:f>'Cases'!H58</x:f>
        <x:v>PASS</x:v>
      </x:c>
      <x:c r="F58" s="11" t="str">
        <x:f>IF(D58=E58,"PASS","FAIL")</x:f>
        <x:v>PASS</x:v>
      </x:c>
    </x:row>
    <x:row r="59">
      <x:c r="A59" s="11" t="str">
        <x:v>AU-054</x:v>
      </x:c>
      <x:c r="B59" s="11" t="str">
        <x:v>boundary</x:v>
      </x:c>
      <x:c r="C59" s="11" t="str">
        <x:v>Cases row 59</x:v>
      </x:c>
      <x:c r="D59" s="11" t="str">
        <x:v>PASS</x:v>
      </x:c>
      <x:c r="E59" s="11" t="str">
        <x:f>'Cases'!H59</x:f>
        <x:v>PASS</x:v>
      </x:c>
      <x:c r="F59" s="11" t="str">
        <x:f>IF(D59=E59,"PASS","FAIL")</x:f>
        <x:v>PASS</x:v>
      </x:c>
    </x:row>
    <x:row r="60">
      <x:c r="A60" s="11" t="str">
        <x:v>AU-055</x:v>
      </x:c>
      <x:c r="B60" s="11" t="str">
        <x:v>boundary</x:v>
      </x:c>
      <x:c r="C60" s="11" t="str">
        <x:v>Cases row 60</x:v>
      </x:c>
      <x:c r="D60" s="11" t="str">
        <x:v>PASS</x:v>
      </x:c>
      <x:c r="E60" s="11" t="str">
        <x:f>'Cases'!H60</x:f>
        <x:v>PASS</x:v>
      </x:c>
      <x:c r="F60" s="11" t="str">
        <x:f>IF(D60=E60,"PASS","FAIL")</x:f>
        <x:v>PASS</x:v>
      </x:c>
    </x:row>
    <x:row r="61">
      <x:c r="A61" s="11" t="str">
        <x:v>AU-056</x:v>
      </x:c>
      <x:c r="B61" s="11" t="str">
        <x:v>boundary</x:v>
      </x:c>
      <x:c r="C61" s="11" t="str">
        <x:v>Cases row 61</x:v>
      </x:c>
      <x:c r="D61" s="11" t="str">
        <x:v>PASS</x:v>
      </x:c>
      <x:c r="E61" s="11" t="str">
        <x:f>'Cases'!H61</x:f>
        <x:v>PASS</x:v>
      </x:c>
      <x:c r="F61" s="11" t="str">
        <x:f>IF(D61=E61,"PASS","FAIL")</x:f>
        <x:v>PASS</x:v>
      </x:c>
    </x:row>
    <x:row r="62">
      <x:c r="A62" s="11" t="str">
        <x:v>AU-057</x:v>
      </x:c>
      <x:c r="B62" s="11" t="str">
        <x:v>boundary</x:v>
      </x:c>
      <x:c r="C62" s="11" t="str">
        <x:v>Cases row 62</x:v>
      </x:c>
      <x:c r="D62" s="11" t="str">
        <x:v>PASS</x:v>
      </x:c>
      <x:c r="E62" s="11" t="str">
        <x:f>'Cases'!H62</x:f>
        <x:v>PASS</x:v>
      </x:c>
      <x:c r="F62" s="11" t="str">
        <x:f>IF(D62=E62,"PASS","FAIL")</x:f>
        <x:v>PASS</x:v>
      </x:c>
    </x:row>
    <x:row r="63">
      <x:c r="A63" s="11" t="str">
        <x:v>AU-058</x:v>
      </x:c>
      <x:c r="B63" s="11" t="str">
        <x:v>boundary</x:v>
      </x:c>
      <x:c r="C63" s="11" t="str">
        <x:v>Cases row 63</x:v>
      </x:c>
      <x:c r="D63" s="11" t="str">
        <x:v>PASS</x:v>
      </x:c>
      <x:c r="E63" s="11" t="str">
        <x:f>'Cases'!H63</x:f>
        <x:v>PASS</x:v>
      </x:c>
      <x:c r="F63" s="11" t="str">
        <x:f>IF(D63=E63,"PASS","FAIL")</x:f>
        <x:v>PASS</x:v>
      </x:c>
    </x:row>
    <x:row r="64">
      <x:c r="A64" s="11" t="str">
        <x:v>AU-059</x:v>
      </x:c>
      <x:c r="B64" s="11" t="str">
        <x:v>boundary</x:v>
      </x:c>
      <x:c r="C64" s="11" t="str">
        <x:v>Cases row 64</x:v>
      </x:c>
      <x:c r="D64" s="11" t="str">
        <x:v>PASS</x:v>
      </x:c>
      <x:c r="E64" s="11" t="str">
        <x:f>'Cases'!H64</x:f>
        <x:v>PASS</x:v>
      </x:c>
      <x:c r="F64" s="11" t="str">
        <x:f>IF(D64=E64,"PASS","FAIL")</x:f>
        <x:v>PASS</x:v>
      </x:c>
    </x:row>
    <x:row r="65">
      <x:c r="A65" s="11" t="str">
        <x:v>AU-060</x:v>
      </x:c>
      <x:c r="B65" s="11" t="str">
        <x:v>boundary</x:v>
      </x:c>
      <x:c r="C65" s="11" t="str">
        <x:v>Cases row 65</x:v>
      </x:c>
      <x:c r="D65" s="11" t="str">
        <x:v>PASS</x:v>
      </x:c>
      <x:c r="E65" s="11" t="str">
        <x:f>'Cases'!H65</x:f>
        <x:v>PASS</x:v>
      </x:c>
      <x:c r="F65" s="11" t="str">
        <x:f>IF(D65=E65,"PASS","FAIL")</x:f>
        <x:v>PASS</x:v>
      </x:c>
    </x:row>
    <x:row r="66">
      <x:c r="A66" s="11" t="str">
        <x:v>AU-061</x:v>
      </x:c>
      <x:c r="B66" s="11" t="str">
        <x:v>boundary</x:v>
      </x:c>
      <x:c r="C66" s="11" t="str">
        <x:v>Cases row 66</x:v>
      </x:c>
      <x:c r="D66" s="11" t="str">
        <x:v>PASS</x:v>
      </x:c>
      <x:c r="E66" s="11" t="str">
        <x:f>'Cases'!H66</x:f>
        <x:v>PASS</x:v>
      </x:c>
      <x:c r="F66" s="11" t="str">
        <x:f>IF(D66=E66,"PASS","FAIL")</x:f>
        <x:v>PASS</x:v>
      </x:c>
    </x:row>
    <x:row r="67">
      <x:c r="A67" s="11" t="str">
        <x:v>AU-062</x:v>
      </x:c>
      <x:c r="B67" s="11" t="str">
        <x:v>boundary</x:v>
      </x:c>
      <x:c r="C67" s="11" t="str">
        <x:v>Cases row 67</x:v>
      </x:c>
      <x:c r="D67" s="11" t="str">
        <x:v>PASS</x:v>
      </x:c>
      <x:c r="E67" s="11" t="str">
        <x:f>'Cases'!H67</x:f>
        <x:v>PASS</x:v>
      </x:c>
      <x:c r="F67" s="11" t="str">
        <x:f>IF(D67=E67,"PASS","FAIL")</x:f>
        <x:v>PASS</x:v>
      </x:c>
    </x:row>
    <x:row r="68">
      <x:c r="A68" s="11" t="str">
        <x:v>AU-063</x:v>
      </x:c>
      <x:c r="B68" s="11" t="str">
        <x:v>boundary</x:v>
      </x:c>
      <x:c r="C68" s="11" t="str">
        <x:v>Cases row 68</x:v>
      </x:c>
      <x:c r="D68" s="11" t="str">
        <x:v>PASS</x:v>
      </x:c>
      <x:c r="E68" s="11" t="str">
        <x:f>'Cases'!H68</x:f>
        <x:v>PASS</x:v>
      </x:c>
      <x:c r="F68" s="11" t="str">
        <x:f>IF(D68=E68,"PASS","FAIL")</x:f>
        <x:v>PASS</x:v>
      </x:c>
    </x:row>
    <x:row r="69">
      <x:c r="A69" s="11" t="str">
        <x:v>AU-064</x:v>
      </x:c>
      <x:c r="B69" s="11" t="str">
        <x:v>boundary</x:v>
      </x:c>
      <x:c r="C69" s="11" t="str">
        <x:v>Cases row 69</x:v>
      </x:c>
      <x:c r="D69" s="11" t="str">
        <x:v>PASS</x:v>
      </x:c>
      <x:c r="E69" s="11" t="str">
        <x:f>'Cases'!H69</x:f>
        <x:v>PASS</x:v>
      </x:c>
      <x:c r="F69" s="11" t="str">
        <x:f>IF(D69=E69,"PASS","FAIL")</x:f>
        <x:v>PASS</x:v>
      </x:c>
    </x:row>
    <x:row r="70">
      <x:c r="A70" s="11" t="str">
        <x:v>AU-065</x:v>
      </x:c>
      <x:c r="B70" s="11" t="str">
        <x:v>boundary</x:v>
      </x:c>
      <x:c r="C70" s="11" t="str">
        <x:v>Cases row 70</x:v>
      </x:c>
      <x:c r="D70" s="11" t="str">
        <x:v>PASS</x:v>
      </x:c>
      <x:c r="E70" s="11" t="str">
        <x:f>'Cases'!H70</x:f>
        <x:v>PASS</x:v>
      </x:c>
      <x:c r="F70" s="11" t="str">
        <x:f>IF(D70=E70,"PASS","FAIL")</x:f>
        <x:v>PASS</x:v>
      </x:c>
    </x:row>
    <x:row r="71">
      <x:c r="A71" s="11" t="str">
        <x:v>AU-066</x:v>
      </x:c>
      <x:c r="B71" s="11" t="str">
        <x:v>boundary</x:v>
      </x:c>
      <x:c r="C71" s="11" t="str">
        <x:v>Cases row 71</x:v>
      </x:c>
      <x:c r="D71" s="11" t="str">
        <x:v>PASS</x:v>
      </x:c>
      <x:c r="E71" s="11" t="str">
        <x:f>'Cases'!H71</x:f>
        <x:v>PASS</x:v>
      </x:c>
      <x:c r="F71" s="11" t="str">
        <x:f>IF(D71=E71,"PASS","FAIL")</x:f>
        <x:v>PASS</x:v>
      </x:c>
    </x:row>
    <x:row r="72">
      <x:c r="A72" s="11" t="str">
        <x:v>AU-067</x:v>
      </x:c>
      <x:c r="B72" s="11" t="str">
        <x:v>boundary</x:v>
      </x:c>
      <x:c r="C72" s="11" t="str">
        <x:v>Cases row 72</x:v>
      </x:c>
      <x:c r="D72" s="11" t="str">
        <x:v>PASS</x:v>
      </x:c>
      <x:c r="E72" s="11" t="str">
        <x:f>'Cases'!H72</x:f>
        <x:v>PASS</x:v>
      </x:c>
      <x:c r="F72" s="11" t="str">
        <x:f>IF(D72=E72,"PASS","FAIL")</x:f>
        <x:v>PASS</x:v>
      </x:c>
    </x:row>
    <x:row r="73">
      <x:c r="A73" s="11" t="str">
        <x:v>AU-068</x:v>
      </x:c>
      <x:c r="B73" s="11" t="str">
        <x:v>boundary</x:v>
      </x:c>
      <x:c r="C73" s="11" t="str">
        <x:v>Cases row 73</x:v>
      </x:c>
      <x:c r="D73" s="11" t="str">
        <x:v>PASS</x:v>
      </x:c>
      <x:c r="E73" s="11" t="str">
        <x:f>'Cases'!H73</x:f>
        <x:v>PASS</x:v>
      </x:c>
      <x:c r="F73" s="11" t="str">
        <x:f>IF(D73=E73,"PASS","FAIL")</x:f>
        <x:v>PASS</x:v>
      </x:c>
    </x:row>
    <x:row r="74">
      <x:c r="A74" s="11" t="str">
        <x:v>AU-069</x:v>
      </x:c>
      <x:c r="B74" s="11" t="str">
        <x:v>boundary</x:v>
      </x:c>
      <x:c r="C74" s="11" t="str">
        <x:v>Cases row 74</x:v>
      </x:c>
      <x:c r="D74" s="11" t="str">
        <x:v>PASS</x:v>
      </x:c>
      <x:c r="E74" s="11" t="str">
        <x:f>'Cases'!H74</x:f>
        <x:v>PASS</x:v>
      </x:c>
      <x:c r="F74" s="11" t="str">
        <x:f>IF(D74=E74,"PASS","FAIL")</x:f>
        <x:v>PASS</x:v>
      </x:c>
    </x:row>
    <x:row r="75">
      <x:c r="A75" s="11" t="str">
        <x:v>AU-070</x:v>
      </x:c>
      <x:c r="B75" s="11" t="str">
        <x:v>boundary</x:v>
      </x:c>
      <x:c r="C75" s="11" t="str">
        <x:v>Cases row 75</x:v>
      </x:c>
      <x:c r="D75" s="11" t="str">
        <x:v>PASS</x:v>
      </x:c>
      <x:c r="E75" s="11" t="str">
        <x:f>'Cases'!H75</x:f>
        <x:v>PASS</x:v>
      </x:c>
      <x:c r="F75" s="11" t="str">
        <x:f>IF(D75=E75,"PASS","FAIL")</x:f>
        <x:v>PASS</x:v>
      </x:c>
    </x:row>
    <x:row r="76">
      <x:c r="A76" s="11" t="str">
        <x:v>AU-071</x:v>
      </x:c>
      <x:c r="B76" s="11" t="str">
        <x:v>boundary</x:v>
      </x:c>
      <x:c r="C76" s="11" t="str">
        <x:v>Cases row 76</x:v>
      </x:c>
      <x:c r="D76" s="11" t="str">
        <x:v>PASS</x:v>
      </x:c>
      <x:c r="E76" s="11" t="str">
        <x:f>'Cases'!H76</x:f>
        <x:v>PASS</x:v>
      </x:c>
      <x:c r="F76" s="11" t="str">
        <x:f>IF(D76=E76,"PASS","FAIL")</x:f>
        <x:v>PASS</x:v>
      </x:c>
    </x:row>
    <x:row r="77">
      <x:c r="A77" s="11" t="str">
        <x:v>AU-072</x:v>
      </x:c>
      <x:c r="B77" s="11" t="str">
        <x:v>boundary</x:v>
      </x:c>
      <x:c r="C77" s="11" t="str">
        <x:v>Cases row 77</x:v>
      </x:c>
      <x:c r="D77" s="11" t="str">
        <x:v>PASS</x:v>
      </x:c>
      <x:c r="E77" s="11" t="str">
        <x:f>'Cases'!H77</x:f>
        <x:v>PASS</x:v>
      </x:c>
      <x:c r="F77" s="11" t="str">
        <x:f>IF(D77=E77,"PASS","FAIL")</x:f>
        <x:v>PASS</x:v>
      </x:c>
    </x:row>
    <x:row r="78">
      <x:c r="A78" s="11" t="str">
        <x:v>AU-073</x:v>
      </x:c>
      <x:c r="B78" s="11" t="str">
        <x:v>boundary</x:v>
      </x:c>
      <x:c r="C78" s="11" t="str">
        <x:v>Cases row 78</x:v>
      </x:c>
      <x:c r="D78" s="11" t="str">
        <x:v>PASS</x:v>
      </x:c>
      <x:c r="E78" s="11" t="str">
        <x:f>'Cases'!H78</x:f>
        <x:v>PASS</x:v>
      </x:c>
      <x:c r="F78" s="11" t="str">
        <x:f>IF(D78=E78,"PASS","FAIL")</x:f>
        <x:v>PASS</x:v>
      </x:c>
    </x:row>
    <x:row r="79">
      <x:c r="A79" s="11" t="str">
        <x:v>AU-074</x:v>
      </x:c>
      <x:c r="B79" s="11" t="str">
        <x:v>boundary</x:v>
      </x:c>
      <x:c r="C79" s="11" t="str">
        <x:v>Cases row 79</x:v>
      </x:c>
      <x:c r="D79" s="11" t="str">
        <x:v>PASS</x:v>
      </x:c>
      <x:c r="E79" s="11" t="str">
        <x:f>'Cases'!H79</x:f>
        <x:v>PASS</x:v>
      </x:c>
      <x:c r="F79" s="11" t="str">
        <x:f>IF(D79=E79,"PASS","FAIL")</x:f>
        <x:v>PASS</x:v>
      </x:c>
    </x:row>
    <x:row r="80">
      <x:c r="A80" s="11" t="str">
        <x:v>AU-075</x:v>
      </x:c>
      <x:c r="B80" s="11" t="str">
        <x:v>boundary</x:v>
      </x:c>
      <x:c r="C80" s="11" t="str">
        <x:v>Cases row 80</x:v>
      </x:c>
      <x:c r="D80" s="11" t="str">
        <x:v>PASS</x:v>
      </x:c>
      <x:c r="E80" s="11" t="str">
        <x:f>'Cases'!H80</x:f>
        <x:v>PASS</x:v>
      </x:c>
      <x:c r="F80" s="11" t="str">
        <x:f>IF(D80=E80,"PASS","FAIL")</x:f>
        <x:v>PASS</x:v>
      </x:c>
    </x:row>
    <x:row r="81">
      <x:c r="A81" s="11" t="str">
        <x:v>AU-076</x:v>
      </x:c>
      <x:c r="B81" s="11" t="str">
        <x:v>boundary</x:v>
      </x:c>
      <x:c r="C81" s="11" t="str">
        <x:v>Cases row 81</x:v>
      </x:c>
      <x:c r="D81" s="11" t="str">
        <x:v>PASS</x:v>
      </x:c>
      <x:c r="E81" s="11" t="str">
        <x:f>'Cases'!H81</x:f>
        <x:v>PASS</x:v>
      </x:c>
      <x:c r="F81" s="11" t="str">
        <x:f>IF(D81=E81,"PASS","FAIL")</x:f>
        <x:v>PASS</x:v>
      </x:c>
    </x:row>
    <x:row r="82">
      <x:c r="A82" s="11" t="str">
        <x:v>AU-077</x:v>
      </x:c>
      <x:c r="B82" s="11" t="str">
        <x:v>boundary</x:v>
      </x:c>
      <x:c r="C82" s="11" t="str">
        <x:v>Cases row 82</x:v>
      </x:c>
      <x:c r="D82" s="11" t="str">
        <x:v>PASS</x:v>
      </x:c>
      <x:c r="E82" s="11" t="str">
        <x:f>'Cases'!H82</x:f>
        <x:v>PASS</x:v>
      </x:c>
      <x:c r="F82" s="11" t="str">
        <x:f>IF(D82=E82,"PASS","FAIL")</x:f>
        <x:v>PASS</x:v>
      </x:c>
    </x:row>
    <x:row r="83">
      <x:c r="A83" s="11" t="str">
        <x:v>AU-078</x:v>
      </x:c>
      <x:c r="B83" s="11" t="str">
        <x:v>boundary</x:v>
      </x:c>
      <x:c r="C83" s="11" t="str">
        <x:v>Cases row 83</x:v>
      </x:c>
      <x:c r="D83" s="11" t="str">
        <x:v>PASS</x:v>
      </x:c>
      <x:c r="E83" s="11" t="str">
        <x:f>'Cases'!H83</x:f>
        <x:v>PASS</x:v>
      </x:c>
      <x:c r="F83" s="11" t="str">
        <x:f>IF(D83=E83,"PASS","FAIL")</x:f>
        <x:v>PASS</x:v>
      </x:c>
    </x:row>
    <x:row r="84">
      <x:c r="A84" s="11" t="str">
        <x:v>AU-079</x:v>
      </x:c>
      <x:c r="B84" s="11" t="str">
        <x:v>boundary</x:v>
      </x:c>
      <x:c r="C84" s="11" t="str">
        <x:v>Cases row 84</x:v>
      </x:c>
      <x:c r="D84" s="11" t="str">
        <x:v>PASS</x:v>
      </x:c>
      <x:c r="E84" s="11" t="str">
        <x:f>'Cases'!H84</x:f>
        <x:v>PASS</x:v>
      </x:c>
      <x:c r="F84" s="11" t="str">
        <x:f>IF(D84=E84,"PASS","FAIL")</x:f>
        <x:v>PASS</x:v>
      </x:c>
    </x:row>
    <x:row r="85">
      <x:c r="A85" s="11" t="str">
        <x:v>AU-080</x:v>
      </x:c>
      <x:c r="B85" s="11" t="str">
        <x:v>boundary</x:v>
      </x:c>
      <x:c r="C85" s="11" t="str">
        <x:v>Cases row 85</x:v>
      </x:c>
      <x:c r="D85" s="11" t="str">
        <x:v>PASS</x:v>
      </x:c>
      <x:c r="E85" s="11" t="str">
        <x:f>'Cases'!H85</x:f>
        <x:v>PASS</x:v>
      </x:c>
      <x:c r="F85" s="11" t="str">
        <x:f>IF(D85=E85,"PASS","FAIL")</x:f>
        <x:v>PASS</x:v>
      </x:c>
    </x:row>
    <x:row r="86">
      <x:c r="A86" s="11" t="str">
        <x:v>AU-081</x:v>
      </x:c>
      <x:c r="B86" s="11" t="str">
        <x:v>boundary</x:v>
      </x:c>
      <x:c r="C86" s="11" t="str">
        <x:v>Cases row 86</x:v>
      </x:c>
      <x:c r="D86" s="11" t="str">
        <x:v>PASS</x:v>
      </x:c>
      <x:c r="E86" s="11" t="str">
        <x:f>'Cases'!H86</x:f>
        <x:v>PASS</x:v>
      </x:c>
      <x:c r="F86" s="11" t="str">
        <x:f>IF(D86=E86,"PASS","FAIL")</x:f>
        <x:v>PASS</x:v>
      </x:c>
    </x:row>
    <x:row r="87">
      <x:c r="A87" s="11" t="str">
        <x:v>AU-082</x:v>
      </x:c>
      <x:c r="B87" s="11" t="str">
        <x:v>boundary</x:v>
      </x:c>
      <x:c r="C87" s="11" t="str">
        <x:v>Cases row 87</x:v>
      </x:c>
      <x:c r="D87" s="11" t="str">
        <x:v>PASS</x:v>
      </x:c>
      <x:c r="E87" s="11" t="str">
        <x:f>'Cases'!H87</x:f>
        <x:v>PASS</x:v>
      </x:c>
      <x:c r="F87" s="11" t="str">
        <x:f>IF(D87=E87,"PASS","FAIL")</x:f>
        <x:v>PASS</x:v>
      </x:c>
    </x:row>
    <x:row r="88">
      <x:c r="A88" s="11" t="str">
        <x:v>AU-083</x:v>
      </x:c>
      <x:c r="B88" s="11" t="str">
        <x:v>boundary</x:v>
      </x:c>
      <x:c r="C88" s="11" t="str">
        <x:v>Cases row 88</x:v>
      </x:c>
      <x:c r="D88" s="11" t="str">
        <x:v>PASS</x:v>
      </x:c>
      <x:c r="E88" s="11" t="str">
        <x:f>'Cases'!H88</x:f>
        <x:v>PASS</x:v>
      </x:c>
      <x:c r="F88" s="11" t="str">
        <x:f>IF(D88=E88,"PASS","FAIL")</x:f>
        <x:v>PASS</x:v>
      </x:c>
    </x:row>
    <x:row r="89">
      <x:c r="A89" s="11" t="str">
        <x:v>AU-084</x:v>
      </x:c>
      <x:c r="B89" s="11" t="str">
        <x:v>boundary</x:v>
      </x:c>
      <x:c r="C89" s="11" t="str">
        <x:v>Cases row 89</x:v>
      </x:c>
      <x:c r="D89" s="11" t="str">
        <x:v>PASS</x:v>
      </x:c>
      <x:c r="E89" s="11" t="str">
        <x:f>'Cases'!H89</x:f>
        <x:v>PASS</x:v>
      </x:c>
      <x:c r="F89" s="11" t="str">
        <x:f>IF(D89=E89,"PASS","FAIL")</x:f>
        <x:v>PASS</x:v>
      </x:c>
    </x:row>
    <x:row r="90">
      <x:c r="A90" s="11" t="str">
        <x:v>AU-085</x:v>
      </x:c>
      <x:c r="B90" s="11" t="str">
        <x:v>boundary</x:v>
      </x:c>
      <x:c r="C90" s="11" t="str">
        <x:v>Cases row 90</x:v>
      </x:c>
      <x:c r="D90" s="11" t="str">
        <x:v>PASS</x:v>
      </x:c>
      <x:c r="E90" s="11" t="str">
        <x:f>'Cases'!H90</x:f>
        <x:v>PASS</x:v>
      </x:c>
      <x:c r="F90" s="11" t="str">
        <x:f>IF(D90=E90,"PASS","FAIL")</x:f>
        <x:v>PASS</x:v>
      </x:c>
    </x:row>
    <x:row r="91">
      <x:c r="A91" s="11" t="str">
        <x:v>AU-086</x:v>
      </x:c>
      <x:c r="B91" s="11" t="str">
        <x:v>boundary</x:v>
      </x:c>
      <x:c r="C91" s="11" t="str">
        <x:v>Cases row 91</x:v>
      </x:c>
      <x:c r="D91" s="11" t="str">
        <x:v>PASS</x:v>
      </x:c>
      <x:c r="E91" s="11" t="str">
        <x:f>'Cases'!H91</x:f>
        <x:v>PASS</x:v>
      </x:c>
      <x:c r="F91" s="11" t="str">
        <x:f>IF(D91=E91,"PASS","FAIL")</x:f>
        <x:v>PASS</x:v>
      </x:c>
    </x:row>
    <x:row r="92">
      <x:c r="A92" s="11" t="str">
        <x:v>AU-087</x:v>
      </x:c>
      <x:c r="B92" s="11" t="str">
        <x:v>boundary</x:v>
      </x:c>
      <x:c r="C92" s="11" t="str">
        <x:v>Cases row 92</x:v>
      </x:c>
      <x:c r="D92" s="11" t="str">
        <x:v>PASS</x:v>
      </x:c>
      <x:c r="E92" s="11" t="str">
        <x:f>'Cases'!H92</x:f>
        <x:v>PASS</x:v>
      </x:c>
      <x:c r="F92" s="11" t="str">
        <x:f>IF(D92=E92,"PASS","FAIL")</x:f>
        <x:v>PASS</x:v>
      </x:c>
    </x:row>
    <x:row r="93">
      <x:c r="A93" s="11" t="str">
        <x:v>AU-088</x:v>
      </x:c>
      <x:c r="B93" s="11" t="str">
        <x:v>boundary</x:v>
      </x:c>
      <x:c r="C93" s="11" t="str">
        <x:v>Cases row 93</x:v>
      </x:c>
      <x:c r="D93" s="11" t="str">
        <x:v>PASS</x:v>
      </x:c>
      <x:c r="E93" s="11" t="str">
        <x:f>'Cases'!H93</x:f>
        <x:v>PASS</x:v>
      </x:c>
      <x:c r="F93" s="11" t="str">
        <x:f>IF(D93=E93,"PASS","FAIL")</x:f>
        <x:v>PASS</x:v>
      </x:c>
    </x:row>
    <x:row r="94">
      <x:c r="A94" s="11" t="str">
        <x:v>AU-089</x:v>
      </x:c>
      <x:c r="B94" s="11" t="str">
        <x:v>boundary</x:v>
      </x:c>
      <x:c r="C94" s="11" t="str">
        <x:v>Cases row 94</x:v>
      </x:c>
      <x:c r="D94" s="11" t="str">
        <x:v>PASS</x:v>
      </x:c>
      <x:c r="E94" s="11" t="str">
        <x:f>'Cases'!H94</x:f>
        <x:v>PASS</x:v>
      </x:c>
      <x:c r="F94" s="11" t="str">
        <x:f>IF(D94=E94,"PASS","FAIL")</x:f>
        <x:v>PASS</x:v>
      </x:c>
    </x:row>
    <x:row r="95">
      <x:c r="A95" s="11" t="str">
        <x:v>AU-090</x:v>
      </x:c>
      <x:c r="B95" s="11" t="str">
        <x:v>boundary</x:v>
      </x:c>
      <x:c r="C95" s="11" t="str">
        <x:v>Cases row 95</x:v>
      </x:c>
      <x:c r="D95" s="11" t="str">
        <x:v>PASS</x:v>
      </x:c>
      <x:c r="E95" s="11" t="str">
        <x:f>'Cases'!H95</x:f>
        <x:v>PASS</x:v>
      </x:c>
      <x:c r="F95" s="11" t="str">
        <x:f>IF(D95=E95,"PASS","FAIL")</x:f>
        <x:v>PASS</x:v>
      </x:c>
    </x:row>
    <x:row r="96">
      <x:c r="A96" s="11" t="str">
        <x:v>AU-091</x:v>
      </x:c>
      <x:c r="B96" s="11" t="str">
        <x:v>boundary</x:v>
      </x:c>
      <x:c r="C96" s="11" t="str">
        <x:v>Cases row 96</x:v>
      </x:c>
      <x:c r="D96" s="11" t="str">
        <x:v>PASS</x:v>
      </x:c>
      <x:c r="E96" s="11" t="str">
        <x:f>'Cases'!H96</x:f>
        <x:v>PASS</x:v>
      </x:c>
      <x:c r="F96" s="11" t="str">
        <x:f>IF(D96=E96,"PASS","FAIL")</x:f>
        <x:v>PASS</x:v>
      </x:c>
    </x:row>
    <x:row r="97">
      <x:c r="A97" s="11" t="str">
        <x:v>AU-092</x:v>
      </x:c>
      <x:c r="B97" s="11" t="str">
        <x:v>boundary</x:v>
      </x:c>
      <x:c r="C97" s="11" t="str">
        <x:v>Cases row 97</x:v>
      </x:c>
      <x:c r="D97" s="11" t="str">
        <x:v>PASS</x:v>
      </x:c>
      <x:c r="E97" s="11" t="str">
        <x:f>'Cases'!H97</x:f>
        <x:v>PASS</x:v>
      </x:c>
      <x:c r="F97" s="11" t="str">
        <x:f>IF(D97=E97,"PASS","FAIL")</x:f>
        <x:v>PASS</x:v>
      </x:c>
    </x:row>
    <x:row r="98">
      <x:c r="A98" s="11" t="str">
        <x:v>AU-093</x:v>
      </x:c>
      <x:c r="B98" s="11" t="str">
        <x:v>boundary</x:v>
      </x:c>
      <x:c r="C98" s="11" t="str">
        <x:v>Cases row 98</x:v>
      </x:c>
      <x:c r="D98" s="11" t="str">
        <x:v>PASS</x:v>
      </x:c>
      <x:c r="E98" s="11" t="str">
        <x:f>'Cases'!H98</x:f>
        <x:v>PASS</x:v>
      </x:c>
      <x:c r="F98" s="11" t="str">
        <x:f>IF(D98=E98,"PASS","FAIL")</x:f>
        <x:v>PASS</x:v>
      </x:c>
    </x:row>
    <x:row r="99">
      <x:c r="A99" s="11" t="str">
        <x:v>AU-094</x:v>
      </x:c>
      <x:c r="B99" s="11" t="str">
        <x:v>boundary</x:v>
      </x:c>
      <x:c r="C99" s="11" t="str">
        <x:v>Cases row 99</x:v>
      </x:c>
      <x:c r="D99" s="11" t="str">
        <x:v>PASS</x:v>
      </x:c>
      <x:c r="E99" s="11" t="str">
        <x:f>'Cases'!H99</x:f>
        <x:v>PASS</x:v>
      </x:c>
      <x:c r="F99" s="11" t="str">
        <x:f>IF(D99=E99,"PASS","FAIL")</x:f>
        <x:v>PASS</x:v>
      </x:c>
    </x:row>
    <x:row r="100">
      <x:c r="A100" s="11" t="str">
        <x:v>AU-095</x:v>
      </x:c>
      <x:c r="B100" s="11" t="str">
        <x:v>boundary</x:v>
      </x:c>
      <x:c r="C100" s="11" t="str">
        <x:v>Cases row 100</x:v>
      </x:c>
      <x:c r="D100" s="11" t="str">
        <x:v>PASS</x:v>
      </x:c>
      <x:c r="E100" s="11" t="str">
        <x:f>'Cases'!H100</x:f>
        <x:v>PASS</x:v>
      </x:c>
      <x:c r="F100" s="11" t="str">
        <x:f>IF(D100=E100,"PASS","FAIL")</x:f>
        <x:v>PASS</x:v>
      </x:c>
    </x:row>
    <x:row r="101">
      <x:c r="A101" s="11" t="str">
        <x:v>AU-096</x:v>
      </x:c>
      <x:c r="B101" s="11" t="str">
        <x:v>boundary</x:v>
      </x:c>
      <x:c r="C101" s="11" t="str">
        <x:v>Cases row 101</x:v>
      </x:c>
      <x:c r="D101" s="11" t="str">
        <x:v>PASS</x:v>
      </x:c>
      <x:c r="E101" s="11" t="str">
        <x:f>'Cases'!H101</x:f>
        <x:v>PASS</x:v>
      </x:c>
      <x:c r="F101" s="11" t="str">
        <x:f>IF(D101=E101,"PASS","FAIL")</x:f>
        <x:v>PASS</x:v>
      </x:c>
    </x:row>
    <x:row r="102">
      <x:c r="A102" s="11" t="str">
        <x:v>AU-097</x:v>
      </x:c>
      <x:c r="B102" s="11" t="str">
        <x:v>boundary</x:v>
      </x:c>
      <x:c r="C102" s="11" t="str">
        <x:v>Cases row 102</x:v>
      </x:c>
      <x:c r="D102" s="11" t="str">
        <x:v>PASS</x:v>
      </x:c>
      <x:c r="E102" s="11" t="str">
        <x:f>'Cases'!H102</x:f>
        <x:v>PASS</x:v>
      </x:c>
      <x:c r="F102" s="11" t="str">
        <x:f>IF(D102=E102,"PASS","FAIL")</x:f>
        <x:v>PASS</x:v>
      </x:c>
    </x:row>
    <x:row r="103">
      <x:c r="A103" s="11" t="str">
        <x:v>AU-098</x:v>
      </x:c>
      <x:c r="B103" s="11" t="str">
        <x:v>boundary</x:v>
      </x:c>
      <x:c r="C103" s="11" t="str">
        <x:v>Cases row 103</x:v>
      </x:c>
      <x:c r="D103" s="11" t="str">
        <x:v>PASS</x:v>
      </x:c>
      <x:c r="E103" s="11" t="str">
        <x:f>'Cases'!H103</x:f>
        <x:v>PASS</x:v>
      </x:c>
      <x:c r="F103" s="11" t="str">
        <x:f>IF(D103=E103,"PASS","FAIL")</x:f>
        <x:v>PASS</x:v>
      </x:c>
    </x:row>
    <x:row r="104">
      <x:c r="A104" s="11" t="str">
        <x:v>AU-099</x:v>
      </x:c>
      <x:c r="B104" s="11" t="str">
        <x:v>boundary</x:v>
      </x:c>
      <x:c r="C104" s="11" t="str">
        <x:v>Cases row 104</x:v>
      </x:c>
      <x:c r="D104" s="11" t="str">
        <x:v>PASS</x:v>
      </x:c>
      <x:c r="E104" s="11" t="str">
        <x:f>'Cases'!H104</x:f>
        <x:v>PASS</x:v>
      </x:c>
      <x:c r="F104" s="11" t="str">
        <x:f>IF(D104=E104,"PASS","FAIL")</x:f>
        <x:v>PASS</x:v>
      </x:c>
    </x:row>
    <x:row r="105">
      <x:c r="A105" s="11" t="str">
        <x:v>AU-100</x:v>
      </x:c>
      <x:c r="B105" s="11" t="str">
        <x:v>boundary</x:v>
      </x:c>
      <x:c r="C105" s="11" t="str">
        <x:v>Cases row 105</x:v>
      </x:c>
      <x:c r="D105" s="11" t="str">
        <x:v>PASS</x:v>
      </x:c>
      <x:c r="E105" s="11" t="str">
        <x:f>'Cases'!H105</x:f>
        <x:v>PASS</x:v>
      </x:c>
      <x:c r="F105" s="11" t="str">
        <x:f>IF(D105=E105,"PASS","FAIL")</x:f>
        <x:v>PASS</x:v>
      </x:c>
    </x:row>
    <x:row r="106">
      <x:c r="A106" s="11" t="str">
        <x:v>AU-101</x:v>
      </x:c>
      <x:c r="B106" s="11" t="str">
        <x:v>boundary</x:v>
      </x:c>
      <x:c r="C106" s="11" t="str">
        <x:v>Cases row 106</x:v>
      </x:c>
      <x:c r="D106" s="11" t="str">
        <x:v>PASS</x:v>
      </x:c>
      <x:c r="E106" s="11" t="str">
        <x:f>'Cases'!H106</x:f>
        <x:v>PASS</x:v>
      </x:c>
      <x:c r="F106" s="11" t="str">
        <x:f>IF(D106=E106,"PASS","FAIL")</x:f>
        <x:v>PASS</x:v>
      </x:c>
    </x:row>
    <x:row r="107">
      <x:c r="A107" s="11" t="str">
        <x:v>AU-102</x:v>
      </x:c>
      <x:c r="B107" s="11" t="str">
        <x:v>boundary</x:v>
      </x:c>
      <x:c r="C107" s="11" t="str">
        <x:v>Cases row 107</x:v>
      </x:c>
      <x:c r="D107" s="11" t="str">
        <x:v>PASS</x:v>
      </x:c>
      <x:c r="E107" s="11" t="str">
        <x:f>'Cases'!H107</x:f>
        <x:v>PASS</x:v>
      </x:c>
      <x:c r="F107" s="11" t="str">
        <x:f>IF(D107=E107,"PASS","FAIL")</x:f>
        <x:v>PASS</x:v>
      </x:c>
    </x:row>
    <x:row r="108">
      <x:c r="A108" s="11" t="str">
        <x:v>AU-103</x:v>
      </x:c>
      <x:c r="B108" s="11" t="str">
        <x:v>boundary</x:v>
      </x:c>
      <x:c r="C108" s="11" t="str">
        <x:v>Cases row 108</x:v>
      </x:c>
      <x:c r="D108" s="11" t="str">
        <x:v>PASS</x:v>
      </x:c>
      <x:c r="E108" s="11" t="str">
        <x:f>'Cases'!H108</x:f>
        <x:v>PASS</x:v>
      </x:c>
      <x:c r="F108" s="11" t="str">
        <x:f>IF(D108=E108,"PASS","FAIL")</x:f>
        <x:v>PASS</x:v>
      </x:c>
    </x:row>
    <x:row r="109">
      <x:c r="A109" s="11" t="str">
        <x:v>AU-104</x:v>
      </x:c>
      <x:c r="B109" s="11" t="str">
        <x:v>boundary</x:v>
      </x:c>
      <x:c r="C109" s="11" t="str">
        <x:v>Cases row 109</x:v>
      </x:c>
      <x:c r="D109" s="11" t="str">
        <x:v>PASS</x:v>
      </x:c>
      <x:c r="E109" s="11" t="str">
        <x:f>'Cases'!H109</x:f>
        <x:v>PASS</x:v>
      </x:c>
      <x:c r="F109" s="11" t="str">
        <x:f>IF(D109=E109,"PASS","FAIL")</x:f>
        <x:v>PASS</x:v>
      </x:c>
    </x:row>
    <x:row r="110">
      <x:c r="A110" s="11" t="str">
        <x:v>AU-105</x:v>
      </x:c>
      <x:c r="B110" s="11" t="str">
        <x:v>boundary</x:v>
      </x:c>
      <x:c r="C110" s="11" t="str">
        <x:v>Cases row 110</x:v>
      </x:c>
      <x:c r="D110" s="11" t="str">
        <x:v>PASS</x:v>
      </x:c>
      <x:c r="E110" s="11" t="str">
        <x:f>'Cases'!H110</x:f>
        <x:v>PASS</x:v>
      </x:c>
      <x:c r="F110" s="11" t="str">
        <x:f>IF(D110=E110,"PASS","FAIL")</x:f>
        <x:v>PASS</x:v>
      </x:c>
    </x:row>
    <x:row r="111">
      <x:c r="A111" s="11" t="str">
        <x:v>AU-106</x:v>
      </x:c>
      <x:c r="B111" s="11" t="str">
        <x:v>boundary</x:v>
      </x:c>
      <x:c r="C111" s="11" t="str">
        <x:v>Cases row 111</x:v>
      </x:c>
      <x:c r="D111" s="11" t="str">
        <x:v>PASS</x:v>
      </x:c>
      <x:c r="E111" s="11" t="str">
        <x:f>'Cases'!H111</x:f>
        <x:v>PASS</x:v>
      </x:c>
      <x:c r="F111" s="11" t="str">
        <x:f>IF(D111=E111,"PASS","FAIL")</x:f>
        <x:v>PASS</x:v>
      </x:c>
    </x:row>
    <x:row r="112">
      <x:c r="A112" s="11" t="str">
        <x:v>AU-107</x:v>
      </x:c>
      <x:c r="B112" s="11" t="str">
        <x:v>boundary</x:v>
      </x:c>
      <x:c r="C112" s="11" t="str">
        <x:v>Cases row 112</x:v>
      </x:c>
      <x:c r="D112" s="11" t="str">
        <x:v>PASS</x:v>
      </x:c>
      <x:c r="E112" s="11" t="str">
        <x:f>'Cases'!H112</x:f>
        <x:v>PASS</x:v>
      </x:c>
      <x:c r="F112" s="11" t="str">
        <x:f>IF(D112=E112,"PASS","FAIL")</x:f>
        <x:v>PASS</x:v>
      </x:c>
    </x:row>
    <x:row r="113">
      <x:c r="A113" s="11" t="str">
        <x:v>AU-108</x:v>
      </x:c>
      <x:c r="B113" s="11" t="str">
        <x:v>boundary</x:v>
      </x:c>
      <x:c r="C113" s="11" t="str">
        <x:v>Cases row 113</x:v>
      </x:c>
      <x:c r="D113" s="11" t="str">
        <x:v>PASS</x:v>
      </x:c>
      <x:c r="E113" s="11" t="str">
        <x:f>'Cases'!H113</x:f>
        <x:v>PASS</x:v>
      </x:c>
      <x:c r="F113" s="11" t="str">
        <x:f>IF(D113=E113,"PASS","FAIL")</x:f>
        <x:v>PASS</x:v>
      </x:c>
    </x:row>
    <x:row r="114">
      <x:c r="A114" s="11" t="str">
        <x:v>AU-109</x:v>
      </x:c>
      <x:c r="B114" s="11" t="str">
        <x:v>boundary</x:v>
      </x:c>
      <x:c r="C114" s="11" t="str">
        <x:v>Cases row 114</x:v>
      </x:c>
      <x:c r="D114" s="11" t="str">
        <x:v>PASS</x:v>
      </x:c>
      <x:c r="E114" s="11" t="str">
        <x:f>'Cases'!H114</x:f>
        <x:v>PASS</x:v>
      </x:c>
      <x:c r="F114" s="11" t="str">
        <x:f>IF(D114=E114,"PASS","FAIL")</x:f>
        <x:v>PASS</x:v>
      </x:c>
    </x:row>
    <x:row r="115">
      <x:c r="A115" s="11" t="str">
        <x:v>AU-110</x:v>
      </x:c>
      <x:c r="B115" s="11" t="str">
        <x:v>boundary</x:v>
      </x:c>
      <x:c r="C115" s="11" t="str">
        <x:v>Cases row 115</x:v>
      </x:c>
      <x:c r="D115" s="11" t="str">
        <x:v>PASS</x:v>
      </x:c>
      <x:c r="E115" s="11" t="str">
        <x:f>'Cases'!H115</x:f>
        <x:v>PASS</x:v>
      </x:c>
      <x:c r="F115" s="11" t="str">
        <x:f>IF(D115=E115,"PASS","FAIL")</x:f>
        <x:v>PASS</x:v>
      </x:c>
    </x:row>
    <x:row r="116">
      <x:c r="A116" s="11" t="str">
        <x:v>AU-111</x:v>
      </x:c>
      <x:c r="B116" s="11" t="str">
        <x:v>boundary</x:v>
      </x:c>
      <x:c r="C116" s="11" t="str">
        <x:v>Cases row 116</x:v>
      </x:c>
      <x:c r="D116" s="11" t="str">
        <x:v>PASS</x:v>
      </x:c>
      <x:c r="E116" s="11" t="str">
        <x:f>'Cases'!H116</x:f>
        <x:v>PASS</x:v>
      </x:c>
      <x:c r="F116" s="11" t="str">
        <x:f>IF(D116=E116,"PASS","FAIL")</x:f>
        <x:v>PASS</x:v>
      </x:c>
    </x:row>
    <x:row r="117">
      <x:c r="A117" s="11" t="str">
        <x:v>AU-112</x:v>
      </x:c>
      <x:c r="B117" s="11" t="str">
        <x:v>boundary</x:v>
      </x:c>
      <x:c r="C117" s="11" t="str">
        <x:v>Cases row 117</x:v>
      </x:c>
      <x:c r="D117" s="11" t="str">
        <x:v>PASS</x:v>
      </x:c>
      <x:c r="E117" s="11" t="str">
        <x:f>'Cases'!H117</x:f>
        <x:v>PASS</x:v>
      </x:c>
      <x:c r="F117" s="11" t="str">
        <x:f>IF(D117=E117,"PASS","FAIL")</x:f>
        <x:v>PASS</x:v>
      </x:c>
    </x:row>
    <x:row r="118">
      <x:c r="A118" s="11" t="str">
        <x:v>AU-113</x:v>
      </x:c>
      <x:c r="B118" s="11" t="str">
        <x:v>boundary</x:v>
      </x:c>
      <x:c r="C118" s="11" t="str">
        <x:v>Cases row 118</x:v>
      </x:c>
      <x:c r="D118" s="11" t="str">
        <x:v>PASS</x:v>
      </x:c>
      <x:c r="E118" s="11" t="str">
        <x:f>'Cases'!H118</x:f>
        <x:v>PASS</x:v>
      </x:c>
      <x:c r="F118" s="11" t="str">
        <x:f>IF(D118=E118,"PASS","FAIL")</x:f>
        <x:v>PASS</x:v>
      </x:c>
    </x:row>
    <x:row r="119">
      <x:c r="A119" s="11" t="str">
        <x:v>AU-114</x:v>
      </x:c>
      <x:c r="B119" s="11" t="str">
        <x:v>boundary</x:v>
      </x:c>
      <x:c r="C119" s="11" t="str">
        <x:v>Cases row 119</x:v>
      </x:c>
      <x:c r="D119" s="11" t="str">
        <x:v>PASS</x:v>
      </x:c>
      <x:c r="E119" s="11" t="str">
        <x:f>'Cases'!H119</x:f>
        <x:v>PASS</x:v>
      </x:c>
      <x:c r="F119" s="11" t="str">
        <x:f>IF(D119=E119,"PASS","FAIL")</x:f>
        <x:v>PASS</x:v>
      </x:c>
    </x:row>
    <x:row r="120">
      <x:c r="A120" s="11" t="str">
        <x:v>AU-115</x:v>
      </x:c>
      <x:c r="B120" s="11" t="str">
        <x:v>boundary</x:v>
      </x:c>
      <x:c r="C120" s="11" t="str">
        <x:v>Cases row 120</x:v>
      </x:c>
      <x:c r="D120" s="11" t="str">
        <x:v>PASS</x:v>
      </x:c>
      <x:c r="E120" s="11" t="str">
        <x:f>'Cases'!H120</x:f>
        <x:v>PASS</x:v>
      </x:c>
      <x:c r="F120" s="11" t="str">
        <x:f>IF(D120=E120,"PASS","FAIL")</x:f>
        <x:v>PASS</x:v>
      </x:c>
    </x:row>
    <x:row r="121">
      <x:c r="A121" s="11" t="str">
        <x:v>AU-116</x:v>
      </x:c>
      <x:c r="B121" s="11" t="str">
        <x:v>boundary</x:v>
      </x:c>
      <x:c r="C121" s="11" t="str">
        <x:v>Cases row 121</x:v>
      </x:c>
      <x:c r="D121" s="11" t="str">
        <x:v>PASS</x:v>
      </x:c>
      <x:c r="E121" s="11" t="str">
        <x:f>'Cases'!H121</x:f>
        <x:v>PASS</x:v>
      </x:c>
      <x:c r="F121" s="11" t="str">
        <x:f>IF(D121=E121,"PASS","FAIL")</x:f>
        <x:v>PASS</x:v>
      </x:c>
    </x:row>
    <x:row r="122">
      <x:c r="A122" s="11" t="str">
        <x:v>AU-117</x:v>
      </x:c>
      <x:c r="B122" s="11" t="str">
        <x:v>boundary</x:v>
      </x:c>
      <x:c r="C122" s="11" t="str">
        <x:v>Cases row 122</x:v>
      </x:c>
      <x:c r="D122" s="11" t="str">
        <x:v>PASS</x:v>
      </x:c>
      <x:c r="E122" s="11" t="str">
        <x:f>'Cases'!H122</x:f>
        <x:v>PASS</x:v>
      </x:c>
      <x:c r="F122" s="11" t="str">
        <x:f>IF(D122=E122,"PASS","FAIL")</x:f>
        <x:v>PASS</x:v>
      </x:c>
    </x:row>
    <x:row r="123">
      <x:c r="A123" s="11" t="str">
        <x:v>AU-118</x:v>
      </x:c>
      <x:c r="B123" s="11" t="str">
        <x:v>boundary</x:v>
      </x:c>
      <x:c r="C123" s="11" t="str">
        <x:v>Cases row 123</x:v>
      </x:c>
      <x:c r="D123" s="11" t="str">
        <x:v>PASS</x:v>
      </x:c>
      <x:c r="E123" s="11" t="str">
        <x:f>'Cases'!H123</x:f>
        <x:v>PASS</x:v>
      </x:c>
      <x:c r="F123" s="11" t="str">
        <x:f>IF(D123=E123,"PASS","FAIL")</x:f>
        <x:v>PASS</x:v>
      </x:c>
    </x:row>
    <x:row r="124">
      <x:c r="A124" s="11" t="str">
        <x:v>AU-119</x:v>
      </x:c>
      <x:c r="B124" s="11" t="str">
        <x:v>boundary</x:v>
      </x:c>
      <x:c r="C124" s="11" t="str">
        <x:v>Cases row 124</x:v>
      </x:c>
      <x:c r="D124" s="11" t="str">
        <x:v>PASS</x:v>
      </x:c>
      <x:c r="E124" s="11" t="str">
        <x:f>'Cases'!H124</x:f>
        <x:v>PASS</x:v>
      </x:c>
      <x:c r="F124" s="11" t="str">
        <x:f>IF(D124=E124,"PASS","FAIL")</x:f>
        <x:v>PASS</x:v>
      </x:c>
    </x:row>
    <x:row r="125">
      <x:c r="A125" s="11" t="str">
        <x:v>AU-120</x:v>
      </x:c>
      <x:c r="B125" s="11" t="str">
        <x:v>boundary</x:v>
      </x:c>
      <x:c r="C125" s="11" t="str">
        <x:v>Cases row 125</x:v>
      </x:c>
      <x:c r="D125" s="11" t="str">
        <x:v>PASS</x:v>
      </x:c>
      <x:c r="E125" s="11" t="str">
        <x:f>'Cases'!H125</x:f>
        <x:v>PASS</x:v>
      </x:c>
      <x:c r="F125" s="11" t="str">
        <x:f>IF(D125=E125,"PASS","FAIL")</x:f>
        <x:v>PASS</x:v>
      </x:c>
    </x:row>
    <x:row r="126">
      <x:c r="A126" s="11" t="str">
        <x:v>AU-121</x:v>
      </x:c>
      <x:c r="B126" s="11" t="str">
        <x:v>reconciliation</x:v>
      </x:c>
      <x:c r="C126" s="11" t="str">
        <x:v>candidate articles</x:v>
      </x:c>
      <x:c r="D126" s="11" t="n">
        <x:v>18</x:v>
      </x:c>
      <x:c r="E126" s="11" t="n">
        <x:f>ROWS('Article Bank'!A6:A23)</x:f>
        <x:v>18</x:v>
      </x:c>
      <x:c r="F126" s="11" t="str">
        <x:f>IF(ABS(D126-E126)&lt;0.000001,"PASS","FAIL")</x:f>
        <x:v>PASS</x:v>
      </x:c>
    </x:row>
    <x:row r="127">
      <x:c r="A127" s="11" t="str">
        <x:v>AU-122</x:v>
      </x:c>
      <x:c r="B127" s="11" t="str">
        <x:v>reconciliation</x:v>
      </x:c>
      <x:c r="C127" s="11" t="str">
        <x:v>architecture trials</x:v>
      </x:c>
      <x:c r="D127" s="11" t="n">
        <x:v>108</x:v>
      </x:c>
      <x:c r="E127" s="11" t="n">
        <x:f>ROWS('Trial Matrix'!A8:A115)</x:f>
        <x:v>108</x:v>
      </x:c>
      <x:c r="F127" s="11" t="str">
        <x:f>IF(ABS(D127-E127)&lt;0.000001,"PASS","FAIL")</x:f>
        <x:v>PASS</x:v>
      </x:c>
    </x:row>
    <x:row r="128">
      <x:c r="A128" s="11" t="str">
        <x:v>AU-123</x:v>
      </x:c>
      <x:c r="B128" s="11" t="str">
        <x:v>reconciliation</x:v>
      </x:c>
      <x:c r="C128" s="11" t="str">
        <x:v>selected assemblies</x:v>
      </x:c>
      <x:c r="D128" s="11" t="n">
        <x:v>18</x:v>
      </x:c>
      <x:c r="E128" s="11" t="n">
        <x:f>ROWS('Assembly Bank'!A6:A23)</x:f>
        <x:v>18</x:v>
      </x:c>
      <x:c r="F128" s="11" t="str">
        <x:f>IF(ABS(D128-E128)&lt;0.000001,"PASS","FAIL")</x:f>
        <x:v>PASS</x:v>
      </x:c>
    </x:row>
    <x:row r="129">
      <x:c r="A129" s="11" t="str">
        <x:v>AU-124</x:v>
      </x:c>
      <x:c r="B129" s="11" t="str">
        <x:v>reconciliation</x:v>
      </x:c>
      <x:c r="C129" s="11" t="str">
        <x:v>exact cells</x:v>
      </x:c>
      <x:c r="D129" s="11" t="n">
        <x:v>12</x:v>
      </x:c>
      <x:c r="E129" s="11" t="n">
        <x:f>ROWS('Cell Map'!A6:A17)</x:f>
        <x:v>12</x:v>
      </x:c>
      <x:c r="F129" s="11" t="str">
        <x:f>IF(ABS(D129-E129)&lt;0.000001,"PASS","FAIL")</x:f>
        <x:v>PASS</x:v>
      </x:c>
    </x:row>
    <x:row r="130">
      <x:c r="A130" s="11" t="str">
        <x:v>AU-125</x:v>
      </x:c>
      <x:c r="B130" s="11" t="str">
        <x:v>reconciliation</x:v>
      </x:c>
      <x:c r="C130" s="11" t="str">
        <x:v>event positions</x:v>
      </x:c>
      <x:c r="D130" s="11" t="n">
        <x:v>16</x:v>
      </x:c>
      <x:c r="E130" s="11" t="n">
        <x:f>ROWS('Event Register'!A8:A23)</x:f>
        <x:v>16</x:v>
      </x:c>
      <x:c r="F130" s="11" t="str">
        <x:f>IF(ABS(D130-E130)&lt;0.000001,"PASS","FAIL")</x:f>
        <x:v>PASS</x:v>
      </x:c>
    </x:row>
    <x:row r="131">
      <x:c r="A131" s="11" t="str">
        <x:v>AU-126</x:v>
      </x:c>
      <x:c r="B131" s="11" t="str">
        <x:v>reconciliation</x:v>
      </x:c>
      <x:c r="C131" s="11" t="str">
        <x:v>measurement channels</x:v>
      </x:c>
      <x:c r="D131" s="11" t="n">
        <x:v>160</x:v>
      </x:c>
      <x:c r="E131" s="11" t="n">
        <x:f>ROWS(Measurements!A6:A165)</x:f>
        <x:v>160</x:v>
      </x:c>
      <x:c r="F131" s="11" t="str">
        <x:f>IF(ABS(D131-E131)&lt;0.000001,"PASS","FAIL")</x:f>
        <x:v>PASS</x:v>
      </x:c>
    </x:row>
    <x:row r="132">
      <x:c r="A132" s="11" t="str">
        <x:v>AU-127</x:v>
      </x:c>
      <x:c r="B132" s="11" t="str">
        <x:v>reconciliation</x:v>
      </x:c>
      <x:c r="C132" s="11" t="str">
        <x:v>safeing paths</x:v>
      </x:c>
      <x:c r="D132" s="11" t="n">
        <x:v>12</x:v>
      </x:c>
      <x:c r="E132" s="11" t="n">
        <x:f>ROWS(Safeing!A6:A17)</x:f>
        <x:v>12</x:v>
      </x:c>
      <x:c r="F132" s="11" t="str">
        <x:f>IF(ABS(D132-E132)&lt;0.000001,"PASS","FAIL")</x:f>
        <x:v>PASS</x:v>
      </x:c>
    </x:row>
    <x:row r="133">
      <x:c r="A133" s="11" t="str">
        <x:v>AU-128</x:v>
      </x:c>
      <x:c r="B133" s="11" t="str">
        <x:v>reconciliation</x:v>
      </x:c>
      <x:c r="C133" s="11" t="str">
        <x:v>primary weeks</x:v>
      </x:c>
      <x:c r="D133" s="11" t="n">
        <x:v>37</x:v>
      </x:c>
      <x:c r="E133" s="11" t="n">
        <x:f>Schedule!B11</x:f>
        <x:v>37</x:v>
      </x:c>
      <x:c r="F133" s="11" t="str">
        <x:f>IF(ABS(D133-E133)&lt;0.000001,"PASS","FAIL")</x:f>
        <x:v>PASS</x:v>
      </x:c>
    </x:row>
    <x:row r="134">
      <x:c r="A134" s="11" t="str">
        <x:v>AU-129</x:v>
      </x:c>
      <x:c r="B134" s="11" t="str">
        <x:v>reconciliation</x:v>
      </x:c>
      <x:c r="C134" s="11" t="str">
        <x:v>maximum weeks</x:v>
      </x:c>
      <x:c r="D134" s="11" t="n">
        <x:v>39</x:v>
      </x:c>
      <x:c r="E134" s="11" t="n">
        <x:f>Schedule!C11</x:f>
        <x:v>39</x:v>
      </x:c>
      <x:c r="F134" s="11" t="str">
        <x:f>IF(ABS(D134-E134)&lt;0.000001,"PASS","FAIL")</x:f>
        <x:v>PASS</x:v>
      </x:c>
    </x:row>
    <x:row r="135">
      <x:c r="A135" s="11" t="str">
        <x:v>AU-130</x:v>
      </x:c>
      <x:c r="B135" s="11" t="str">
        <x:v>reconciliation</x:v>
      </x:c>
      <x:c r="C135" s="11" t="str">
        <x:v>evidence total</x:v>
      </x:c>
      <x:c r="D135" s="11" t="n">
        <x:v>23200</x:v>
      </x:c>
      <x:c r="E135" s="11" t="n">
        <x:f>Evidence!B12</x:f>
        <x:v>23200</x:v>
      </x:c>
      <x:c r="F135" s="11" t="str">
        <x:f>IF(ABS(D135-E135)&lt;0.000001,"PASS","FAIL")</x:f>
        <x:v>PASS</x:v>
      </x:c>
    </x:row>
    <x:row r="136">
      <x:c r="A136" s="11" t="str">
        <x:v>AU-131</x:v>
      </x:c>
      <x:c r="B136" s="11" t="str">
        <x:v>reconciliation</x:v>
      </x:c>
      <x:c r="C136" s="11" t="str">
        <x:v>workforce</x:v>
      </x:c>
      <x:c r="D136" s="11" t="n">
        <x:v>260</x:v>
      </x:c>
      <x:c r="E136" s="11" t="n">
        <x:f>Workforce!B14</x:f>
        <x:v>260</x:v>
      </x:c>
      <x:c r="F136" s="11" t="str">
        <x:f>IF(ABS(D136-E136)&lt;0.000001,"PASS","FAIL")</x:f>
        <x:v>PASS</x:v>
      </x:c>
    </x:row>
    <x:row r="137">
      <x:c r="A137" s="11" t="str">
        <x:v>AU-132</x:v>
      </x:c>
      <x:c r="B137" s="11" t="str">
        <x:v>reconciliation</x:v>
      </x:c>
      <x:c r="C137" s="11" t="str">
        <x:v>technology</x:v>
      </x:c>
      <x:c r="D137" s="11" t="n">
        <x:v>95</x:v>
      </x:c>
      <x:c r="E137" s="11" t="n">
        <x:f>Technology!B15</x:f>
        <x:v>95</x:v>
      </x:c>
      <x:c r="F137" s="11" t="str">
        <x:f>IF(ABS(D137-E137)&lt;0.000001,"PASS","FAIL")</x:f>
        <x:v>PASS</x:v>
      </x:c>
    </x:row>
    <x:row r="138">
      <x:c r="A138" s="11" t="str">
        <x:v>AU-133</x:v>
      </x:c>
      <x:c r="B138" s="11" t="str">
        <x:v>reconciliation</x:v>
      </x:c>
      <x:c r="C138" s="11" t="str">
        <x:v>capital</x:v>
      </x:c>
      <x:c r="D138" s="11" t="n">
        <x:v>180</x:v>
      </x:c>
      <x:c r="E138" s="11" t="n">
        <x:f>Finance!B7</x:f>
        <x:v>180</x:v>
      </x:c>
      <x:c r="F138" s="11" t="str">
        <x:f>IF(ABS(D138-E138)&lt;0.000001,"PASS","FAIL")</x:f>
        <x:v>PASS</x:v>
      </x:c>
    </x:row>
    <x:row r="139">
      <x:c r="A139" s="11" t="str">
        <x:v>AU-134</x:v>
      </x:c>
      <x:c r="B139" s="11" t="str">
        <x:v>reconciliation</x:v>
      </x:c>
      <x:c r="C139" s="11" t="str">
        <x:v>stage exposure</x:v>
      </x:c>
      <x:c r="D139" s="11" t="n">
        <x:v>232.5</x:v>
      </x:c>
      <x:c r="E139" s="11" t="n">
        <x:f>Finance!B17</x:f>
        <x:v>232.5</x:v>
      </x:c>
      <x:c r="F139" s="11" t="str">
        <x:f>IF(ABS(D139-E139)&lt;0.000001,"PASS","FAIL")</x:f>
        <x:v>PASS</x:v>
      </x:c>
    </x:row>
    <x:row r="140">
      <x:c r="A140" s="11" t="str">
        <x:v>AU-135</x:v>
      </x:c>
      <x:c r="B140" s="11" t="str">
        <x:v>reconciliation</x:v>
      </x:c>
      <x:c r="C140" s="11" t="str">
        <x:v>capital remaining</x:v>
      </x:c>
      <x:c r="D140" s="11" t="n">
        <x:v>920</x:v>
      </x:c>
      <x:c r="E140" s="11" t="n">
        <x:f>Finance!B8</x:f>
        <x:v>920</x:v>
      </x:c>
      <x:c r="F140" s="11" t="str">
        <x:f>IF(ABS(D140-E140)&lt;0.000001,"PASS","FAIL")</x:f>
        <x:v>PASS</x:v>
      </x:c>
    </x:row>
    <x:row r="141">
      <x:c r="A141" s="11" t="str">
        <x:v>AU-136</x:v>
      </x:c>
      <x:c r="B141" s="11" t="str">
        <x:v>reconciliation</x:v>
      </x:c>
      <x:c r="C141" s="11" t="str">
        <x:v>candidate articles</x:v>
      </x:c>
      <x:c r="D141" s="11" t="n">
        <x:v>18</x:v>
      </x:c>
      <x:c r="E141" s="11" t="n">
        <x:f>ROWS('Article Bank'!A6:A23)</x:f>
        <x:v>18</x:v>
      </x:c>
      <x:c r="F141" s="11" t="str">
        <x:f>IF(ABS(D141-E141)&lt;0.000001,"PASS","FAIL")</x:f>
        <x:v>PASS</x:v>
      </x:c>
    </x:row>
    <x:row r="142">
      <x:c r="A142" s="11" t="str">
        <x:v>AU-137</x:v>
      </x:c>
      <x:c r="B142" s="11" t="str">
        <x:v>reconciliation</x:v>
      </x:c>
      <x:c r="C142" s="11" t="str">
        <x:v>architecture trials</x:v>
      </x:c>
      <x:c r="D142" s="11" t="n">
        <x:v>108</x:v>
      </x:c>
      <x:c r="E142" s="11" t="n">
        <x:f>ROWS('Trial Matrix'!A8:A115)</x:f>
        <x:v>108</x:v>
      </x:c>
      <x:c r="F142" s="11" t="str">
        <x:f>IF(ABS(D142-E142)&lt;0.000001,"PASS","FAIL")</x:f>
        <x:v>PASS</x:v>
      </x:c>
    </x:row>
    <x:row r="143">
      <x:c r="A143" s="11" t="str">
        <x:v>AU-138</x:v>
      </x:c>
      <x:c r="B143" s="11" t="str">
        <x:v>reconciliation</x:v>
      </x:c>
      <x:c r="C143" s="11" t="str">
        <x:v>selected assemblies</x:v>
      </x:c>
      <x:c r="D143" s="11" t="n">
        <x:v>18</x:v>
      </x:c>
      <x:c r="E143" s="11" t="n">
        <x:f>ROWS('Assembly Bank'!A6:A23)</x:f>
        <x:v>18</x:v>
      </x:c>
      <x:c r="F143" s="11" t="str">
        <x:f>IF(ABS(D143-E143)&lt;0.000001,"PASS","FAIL")</x:f>
        <x:v>PASS</x:v>
      </x:c>
    </x:row>
    <x:row r="144">
      <x:c r="A144" s="11" t="str">
        <x:v>AU-139</x:v>
      </x:c>
      <x:c r="B144" s="11" t="str">
        <x:v>reconciliation</x:v>
      </x:c>
      <x:c r="C144" s="11" t="str">
        <x:v>exact cells</x:v>
      </x:c>
      <x:c r="D144" s="11" t="n">
        <x:v>12</x:v>
      </x:c>
      <x:c r="E144" s="11" t="n">
        <x:f>ROWS('Cell Map'!A6:A17)</x:f>
        <x:v>12</x:v>
      </x:c>
      <x:c r="F144" s="11" t="str">
        <x:f>IF(ABS(D144-E144)&lt;0.000001,"PASS","FAIL")</x:f>
        <x:v>PASS</x:v>
      </x:c>
    </x:row>
    <x:row r="145">
      <x:c r="A145" s="11" t="str">
        <x:v>AU-140</x:v>
      </x:c>
      <x:c r="B145" s="11" t="str">
        <x:v>reconciliation</x:v>
      </x:c>
      <x:c r="C145" s="11" t="str">
        <x:v>event positions</x:v>
      </x:c>
      <x:c r="D145" s="11" t="n">
        <x:v>16</x:v>
      </x:c>
      <x:c r="E145" s="11" t="n">
        <x:f>ROWS('Event Register'!A8:A23)</x:f>
        <x:v>16</x:v>
      </x:c>
      <x:c r="F145" s="11" t="str">
        <x:f>IF(ABS(D145-E145)&lt;0.000001,"PASS","FAIL")</x:f>
        <x:v>PASS</x:v>
      </x:c>
    </x:row>
    <x:row r="146">
      <x:c r="A146" s="11" t="str">
        <x:v>AU-141</x:v>
      </x:c>
      <x:c r="B146" s="11" t="str">
        <x:v>reconciliation</x:v>
      </x:c>
      <x:c r="C146" s="11" t="str">
        <x:v>measurement channels</x:v>
      </x:c>
      <x:c r="D146" s="11" t="n">
        <x:v>160</x:v>
      </x:c>
      <x:c r="E146" s="11" t="n">
        <x:f>ROWS(Measurements!A6:A165)</x:f>
        <x:v>160</x:v>
      </x:c>
      <x:c r="F146" s="11" t="str">
        <x:f>IF(ABS(D146-E146)&lt;0.000001,"PASS","FAIL")</x:f>
        <x:v>PASS</x:v>
      </x:c>
    </x:row>
    <x:row r="147">
      <x:c r="A147" s="11" t="str">
        <x:v>AU-142</x:v>
      </x:c>
      <x:c r="B147" s="11" t="str">
        <x:v>reconciliation</x:v>
      </x:c>
      <x:c r="C147" s="11" t="str">
        <x:v>safeing paths</x:v>
      </x:c>
      <x:c r="D147" s="11" t="n">
        <x:v>12</x:v>
      </x:c>
      <x:c r="E147" s="11" t="n">
        <x:f>ROWS(Safeing!A6:A17)</x:f>
        <x:v>12</x:v>
      </x:c>
      <x:c r="F147" s="11" t="str">
        <x:f>IF(ABS(D147-E147)&lt;0.000001,"PASS","FAIL")</x:f>
        <x:v>PASS</x:v>
      </x:c>
    </x:row>
    <x:row r="148">
      <x:c r="A148" s="11" t="str">
        <x:v>AU-143</x:v>
      </x:c>
      <x:c r="B148" s="11" t="str">
        <x:v>reconciliation</x:v>
      </x:c>
      <x:c r="C148" s="11" t="str">
        <x:v>primary weeks</x:v>
      </x:c>
      <x:c r="D148" s="11" t="n">
        <x:v>37</x:v>
      </x:c>
      <x:c r="E148" s="11" t="n">
        <x:f>Schedule!B11</x:f>
        <x:v>37</x:v>
      </x:c>
      <x:c r="F148" s="11" t="str">
        <x:f>IF(ABS(D148-E148)&lt;0.000001,"PASS","FAIL")</x:f>
        <x:v>PASS</x:v>
      </x:c>
    </x:row>
    <x:row r="149">
      <x:c r="A149" s="11" t="str">
        <x:v>AU-144</x:v>
      </x:c>
      <x:c r="B149" s="11" t="str">
        <x:v>reconciliation</x:v>
      </x:c>
      <x:c r="C149" s="11" t="str">
        <x:v>maximum weeks</x:v>
      </x:c>
      <x:c r="D149" s="11" t="n">
        <x:v>39</x:v>
      </x:c>
      <x:c r="E149" s="11" t="n">
        <x:f>Schedule!C11</x:f>
        <x:v>39</x:v>
      </x:c>
      <x:c r="F149" s="11" t="str">
        <x:f>IF(ABS(D149-E149)&lt;0.000001,"PASS","FAIL")</x:f>
        <x:v>PASS</x:v>
      </x:c>
    </x:row>
    <x:row r="150">
      <x:c r="A150" s="11" t="str">
        <x:v>AU-145</x:v>
      </x:c>
      <x:c r="B150" s="11" t="str">
        <x:v>reconciliation</x:v>
      </x:c>
      <x:c r="C150" s="11" t="str">
        <x:v>evidence total</x:v>
      </x:c>
      <x:c r="D150" s="11" t="n">
        <x:v>23200</x:v>
      </x:c>
      <x:c r="E150" s="11" t="n">
        <x:f>Evidence!B12</x:f>
        <x:v>23200</x:v>
      </x:c>
      <x:c r="F150" s="11" t="str">
        <x:f>IF(ABS(D150-E150)&lt;0.000001,"PASS","FAIL")</x:f>
        <x:v>PASS</x:v>
      </x:c>
    </x:row>
    <x:row r="151">
      <x:c r="A151" s="11" t="str">
        <x:v>AU-146</x:v>
      </x:c>
      <x:c r="B151" s="11" t="str">
        <x:v>reconciliation</x:v>
      </x:c>
      <x:c r="C151" s="11" t="str">
        <x:v>workforce</x:v>
      </x:c>
      <x:c r="D151" s="11" t="n">
        <x:v>260</x:v>
      </x:c>
      <x:c r="E151" s="11" t="n">
        <x:f>Workforce!B14</x:f>
        <x:v>260</x:v>
      </x:c>
      <x:c r="F151" s="11" t="str">
        <x:f>IF(ABS(D151-E151)&lt;0.000001,"PASS","FAIL")</x:f>
        <x:v>PASS</x:v>
      </x:c>
    </x:row>
    <x:row r="152">
      <x:c r="A152" s="11" t="str">
        <x:v>AU-147</x:v>
      </x:c>
      <x:c r="B152" s="11" t="str">
        <x:v>reconciliation</x:v>
      </x:c>
      <x:c r="C152" s="11" t="str">
        <x:v>technology</x:v>
      </x:c>
      <x:c r="D152" s="11" t="n">
        <x:v>95</x:v>
      </x:c>
      <x:c r="E152" s="11" t="n">
        <x:f>Technology!B15</x:f>
        <x:v>95</x:v>
      </x:c>
      <x:c r="F152" s="11" t="str">
        <x:f>IF(ABS(D152-E152)&lt;0.000001,"PASS","FAIL")</x:f>
        <x:v>PASS</x:v>
      </x:c>
    </x:row>
    <x:row r="153">
      <x:c r="A153" s="11" t="str">
        <x:v>AU-148</x:v>
      </x:c>
      <x:c r="B153" s="11" t="str">
        <x:v>reconciliation</x:v>
      </x:c>
      <x:c r="C153" s="11" t="str">
        <x:v>capital</x:v>
      </x:c>
      <x:c r="D153" s="11" t="n">
        <x:v>180</x:v>
      </x:c>
      <x:c r="E153" s="11" t="n">
        <x:f>Finance!B7</x:f>
        <x:v>180</x:v>
      </x:c>
      <x:c r="F153" s="11" t="str">
        <x:f>IF(ABS(D153-E153)&lt;0.000001,"PASS","FAIL")</x:f>
        <x:v>PASS</x:v>
      </x:c>
    </x:row>
    <x:row r="154">
      <x:c r="A154" s="11" t="str">
        <x:v>AU-149</x:v>
      </x:c>
      <x:c r="B154" s="11" t="str">
        <x:v>reconciliation</x:v>
      </x:c>
      <x:c r="C154" s="11" t="str">
        <x:v>stage exposure</x:v>
      </x:c>
      <x:c r="D154" s="11" t="n">
        <x:v>232.5</x:v>
      </x:c>
      <x:c r="E154" s="11" t="n">
        <x:f>Finance!B17</x:f>
        <x:v>232.5</x:v>
      </x:c>
      <x:c r="F154" s="11" t="str">
        <x:f>IF(ABS(D154-E154)&lt;0.000001,"PASS","FAIL")</x:f>
        <x:v>PASS</x:v>
      </x:c>
    </x:row>
    <x:row r="155">
      <x:c r="A155" s="11" t="str">
        <x:v>AU-150</x:v>
      </x:c>
      <x:c r="B155" s="11" t="str">
        <x:v>reconciliation</x:v>
      </x:c>
      <x:c r="C155" s="11" t="str">
        <x:v>capital remaining</x:v>
      </x:c>
      <x:c r="D155" s="11" t="n">
        <x:v>920</x:v>
      </x:c>
      <x:c r="E155" s="11" t="n">
        <x:f>Finance!B8</x:f>
        <x:v>920</x:v>
      </x:c>
      <x:c r="F155" s="11" t="str">
        <x:f>IF(ABS(D155-E155)&lt;0.000001,"PASS","FAIL")</x:f>
        <x:v>PASS</x:v>
      </x:c>
    </x:row>
    <x:row r="156">
      <x:c r="A156" s="11" t="str">
        <x:v>AU-151</x:v>
      </x:c>
      <x:c r="B156" s="11" t="str">
        <x:v>reconciliation</x:v>
      </x:c>
      <x:c r="C156" s="11" t="str">
        <x:v>candidate articles</x:v>
      </x:c>
      <x:c r="D156" s="11" t="n">
        <x:v>18</x:v>
      </x:c>
      <x:c r="E156" s="11" t="n">
        <x:f>ROWS('Article Bank'!A6:A23)</x:f>
        <x:v>18</x:v>
      </x:c>
      <x:c r="F156" s="11" t="str">
        <x:f>IF(ABS(D156-E156)&lt;0.000001,"PASS","FAIL")</x:f>
        <x:v>PASS</x:v>
      </x:c>
    </x:row>
    <x:row r="157">
      <x:c r="A157" s="11" t="str">
        <x:v>AU-152</x:v>
      </x:c>
      <x:c r="B157" s="11" t="str">
        <x:v>reconciliation</x:v>
      </x:c>
      <x:c r="C157" s="11" t="str">
        <x:v>architecture trials</x:v>
      </x:c>
      <x:c r="D157" s="11" t="n">
        <x:v>108</x:v>
      </x:c>
      <x:c r="E157" s="11" t="n">
        <x:f>ROWS('Trial Matrix'!A8:A115)</x:f>
        <x:v>108</x:v>
      </x:c>
      <x:c r="F157" s="11" t="str">
        <x:f>IF(ABS(D157-E157)&lt;0.000001,"PASS","FAIL")</x:f>
        <x:v>PASS</x:v>
      </x:c>
    </x:row>
    <x:row r="158">
      <x:c r="A158" s="11" t="str">
        <x:v>AU-153</x:v>
      </x:c>
      <x:c r="B158" s="11" t="str">
        <x:v>reconciliation</x:v>
      </x:c>
      <x:c r="C158" s="11" t="str">
        <x:v>selected assemblies</x:v>
      </x:c>
      <x:c r="D158" s="11" t="n">
        <x:v>18</x:v>
      </x:c>
      <x:c r="E158" s="11" t="n">
        <x:f>ROWS('Assembly Bank'!A6:A23)</x:f>
        <x:v>18</x:v>
      </x:c>
      <x:c r="F158" s="11" t="str">
        <x:f>IF(ABS(D158-E158)&lt;0.000001,"PASS","FAIL")</x:f>
        <x:v>PASS</x:v>
      </x:c>
    </x:row>
    <x:row r="159">
      <x:c r="A159" s="11" t="str">
        <x:v>AU-154</x:v>
      </x:c>
      <x:c r="B159" s="11" t="str">
        <x:v>reconciliation</x:v>
      </x:c>
      <x:c r="C159" s="11" t="str">
        <x:v>exact cells</x:v>
      </x:c>
      <x:c r="D159" s="11" t="n">
        <x:v>12</x:v>
      </x:c>
      <x:c r="E159" s="11" t="n">
        <x:f>ROWS('Cell Map'!A6:A17)</x:f>
        <x:v>12</x:v>
      </x:c>
      <x:c r="F159" s="11" t="str">
        <x:f>IF(ABS(D159-E159)&lt;0.000001,"PASS","FAIL")</x:f>
        <x:v>PASS</x:v>
      </x:c>
    </x:row>
    <x:row r="160">
      <x:c r="A160" s="11" t="str">
        <x:v>AU-155</x:v>
      </x:c>
      <x:c r="B160" s="11" t="str">
        <x:v>reconciliation</x:v>
      </x:c>
      <x:c r="C160" s="11" t="str">
        <x:v>event positions</x:v>
      </x:c>
      <x:c r="D160" s="11" t="n">
        <x:v>16</x:v>
      </x:c>
      <x:c r="E160" s="11" t="n">
        <x:f>ROWS('Event Register'!A8:A23)</x:f>
        <x:v>16</x:v>
      </x:c>
      <x:c r="F160" s="11" t="str">
        <x:f>IF(ABS(D160-E160)&lt;0.000001,"PASS","FAIL")</x:f>
        <x:v>PASS</x:v>
      </x:c>
    </x:row>
    <x:row r="161">
      <x:c r="A161" s="11" t="str">
        <x:v>AU-156</x:v>
      </x:c>
      <x:c r="B161" s="11" t="str">
        <x:v>reconciliation</x:v>
      </x:c>
      <x:c r="C161" s="11" t="str">
        <x:v>measurement channels</x:v>
      </x:c>
      <x:c r="D161" s="11" t="n">
        <x:v>160</x:v>
      </x:c>
      <x:c r="E161" s="11" t="n">
        <x:f>ROWS(Measurements!A6:A165)</x:f>
        <x:v>160</x:v>
      </x:c>
      <x:c r="F161" s="11" t="str">
        <x:f>IF(ABS(D161-E161)&lt;0.000001,"PASS","FAIL")</x:f>
        <x:v>PASS</x:v>
      </x:c>
    </x:row>
    <x:row r="162">
      <x:c r="A162" s="11" t="str">
        <x:v>AU-157</x:v>
      </x:c>
      <x:c r="B162" s="11" t="str">
        <x:v>reconciliation</x:v>
      </x:c>
      <x:c r="C162" s="11" t="str">
        <x:v>safeing paths</x:v>
      </x:c>
      <x:c r="D162" s="11" t="n">
        <x:v>12</x:v>
      </x:c>
      <x:c r="E162" s="11" t="n">
        <x:f>ROWS(Safeing!A6:A17)</x:f>
        <x:v>12</x:v>
      </x:c>
      <x:c r="F162" s="11" t="str">
        <x:f>IF(ABS(D162-E162)&lt;0.000001,"PASS","FAIL")</x:f>
        <x:v>PASS</x:v>
      </x:c>
    </x:row>
    <x:row r="163">
      <x:c r="A163" s="11" t="str">
        <x:v>AU-158</x:v>
      </x:c>
      <x:c r="B163" s="11" t="str">
        <x:v>reconciliation</x:v>
      </x:c>
      <x:c r="C163" s="11" t="str">
        <x:v>primary weeks</x:v>
      </x:c>
      <x:c r="D163" s="11" t="n">
        <x:v>37</x:v>
      </x:c>
      <x:c r="E163" s="11" t="n">
        <x:f>Schedule!B11</x:f>
        <x:v>37</x:v>
      </x:c>
      <x:c r="F163" s="11" t="str">
        <x:f>IF(ABS(D163-E163)&lt;0.000001,"PASS","FAIL")</x:f>
        <x:v>PASS</x:v>
      </x:c>
    </x:row>
    <x:row r="164">
      <x:c r="A164" s="11" t="str">
        <x:v>AU-159</x:v>
      </x:c>
      <x:c r="B164" s="11" t="str">
        <x:v>reconciliation</x:v>
      </x:c>
      <x:c r="C164" s="11" t="str">
        <x:v>maximum weeks</x:v>
      </x:c>
      <x:c r="D164" s="11" t="n">
        <x:v>39</x:v>
      </x:c>
      <x:c r="E164" s="11" t="n">
        <x:f>Schedule!C11</x:f>
        <x:v>39</x:v>
      </x:c>
      <x:c r="F164" s="11" t="str">
        <x:f>IF(ABS(D164-E164)&lt;0.000001,"PASS","FAIL")</x:f>
        <x:v>PASS</x:v>
      </x:c>
    </x:row>
    <x:row r="165">
      <x:c r="A165" s="11" t="str">
        <x:v>AU-160</x:v>
      </x:c>
      <x:c r="B165" s="11" t="str">
        <x:v>reconciliation</x:v>
      </x:c>
      <x:c r="C165" s="11" t="str">
        <x:v>evidence total</x:v>
      </x:c>
      <x:c r="D165" s="11" t="n">
        <x:v>23200</x:v>
      </x:c>
      <x:c r="E165" s="11" t="n">
        <x:f>Evidence!B12</x:f>
        <x:v>23200</x:v>
      </x:c>
      <x:c r="F165" s="11" t="str">
        <x:f>IF(ABS(D165-E165)&lt;0.000001,"PASS","FAIL")</x:f>
        <x:v>PASS</x:v>
      </x:c>
    </x:row>
    <x:row r="166">
      <x:c r="A166" s="11" t="str">
        <x:v>AU-161</x:v>
      </x:c>
      <x:c r="B166" s="11" t="str">
        <x:v>reconciliation</x:v>
      </x:c>
      <x:c r="C166" s="11" t="str">
        <x:v>workforce</x:v>
      </x:c>
      <x:c r="D166" s="11" t="n">
        <x:v>260</x:v>
      </x:c>
      <x:c r="E166" s="11" t="n">
        <x:f>Workforce!B14</x:f>
        <x:v>260</x:v>
      </x:c>
      <x:c r="F166" s="11" t="str">
        <x:f>IF(ABS(D166-E166)&lt;0.000001,"PASS","FAIL")</x:f>
        <x:v>PASS</x:v>
      </x:c>
    </x:row>
    <x:row r="167">
      <x:c r="A167" s="11" t="str">
        <x:v>AU-162</x:v>
      </x:c>
      <x:c r="B167" s="11" t="str">
        <x:v>reconciliation</x:v>
      </x:c>
      <x:c r="C167" s="11" t="str">
        <x:v>technology</x:v>
      </x:c>
      <x:c r="D167" s="11" t="n">
        <x:v>95</x:v>
      </x:c>
      <x:c r="E167" s="11" t="n">
        <x:f>Technology!B15</x:f>
        <x:v>95</x:v>
      </x:c>
      <x:c r="F167" s="11" t="str">
        <x:f>IF(ABS(D167-E167)&lt;0.000001,"PASS","FAIL")</x:f>
        <x:v>PASS</x:v>
      </x:c>
    </x:row>
    <x:row r="168">
      <x:c r="A168" s="11" t="str">
        <x:v>AU-163</x:v>
      </x:c>
      <x:c r="B168" s="11" t="str">
        <x:v>reconciliation</x:v>
      </x:c>
      <x:c r="C168" s="11" t="str">
        <x:v>capital</x:v>
      </x:c>
      <x:c r="D168" s="11" t="n">
        <x:v>180</x:v>
      </x:c>
      <x:c r="E168" s="11" t="n">
        <x:f>Finance!B7</x:f>
        <x:v>180</x:v>
      </x:c>
      <x:c r="F168" s="11" t="str">
        <x:f>IF(ABS(D168-E168)&lt;0.000001,"PASS","FAIL")</x:f>
        <x:v>PASS</x:v>
      </x:c>
    </x:row>
    <x:row r="169">
      <x:c r="A169" s="11" t="str">
        <x:v>AU-164</x:v>
      </x:c>
      <x:c r="B169" s="11" t="str">
        <x:v>reconciliation</x:v>
      </x:c>
      <x:c r="C169" s="11" t="str">
        <x:v>stage exposure</x:v>
      </x:c>
      <x:c r="D169" s="11" t="n">
        <x:v>232.5</x:v>
      </x:c>
      <x:c r="E169" s="11" t="n">
        <x:f>Finance!B17</x:f>
        <x:v>232.5</x:v>
      </x:c>
      <x:c r="F169" s="11" t="str">
        <x:f>IF(ABS(D169-E169)&lt;0.000001,"PASS","FAIL")</x:f>
        <x:v>PASS</x:v>
      </x:c>
    </x:row>
    <x:row r="170">
      <x:c r="A170" s="11" t="str">
        <x:v>AU-165</x:v>
      </x:c>
      <x:c r="B170" s="11" t="str">
        <x:v>reconciliation</x:v>
      </x:c>
      <x:c r="C170" s="11" t="str">
        <x:v>capital remaining</x:v>
      </x:c>
      <x:c r="D170" s="11" t="n">
        <x:v>920</x:v>
      </x:c>
      <x:c r="E170" s="11" t="n">
        <x:f>Finance!B8</x:f>
        <x:v>920</x:v>
      </x:c>
      <x:c r="F170" s="11" t="str">
        <x:f>IF(ABS(D170-E170)&lt;0.000001,"PASS","FAIL")</x:f>
        <x:v>PASS</x:v>
      </x:c>
    </x:row>
    <x:row r="171">
      <x:c r="A171" s="11" t="str">
        <x:v>AU-166</x:v>
      </x:c>
      <x:c r="B171" s="11" t="str">
        <x:v>reconciliation</x:v>
      </x:c>
      <x:c r="C171" s="11" t="str">
        <x:v>candidate articles</x:v>
      </x:c>
      <x:c r="D171" s="11" t="n">
        <x:v>18</x:v>
      </x:c>
      <x:c r="E171" s="11" t="n">
        <x:f>ROWS('Article Bank'!A6:A23)</x:f>
        <x:v>18</x:v>
      </x:c>
      <x:c r="F171" s="11" t="str">
        <x:f>IF(ABS(D171-E171)&lt;0.000001,"PASS","FAIL")</x:f>
        <x:v>PASS</x:v>
      </x:c>
    </x:row>
    <x:row r="172">
      <x:c r="A172" s="11" t="str">
        <x:v>AU-167</x:v>
      </x:c>
      <x:c r="B172" s="11" t="str">
        <x:v>reconciliation</x:v>
      </x:c>
      <x:c r="C172" s="11" t="str">
        <x:v>architecture trials</x:v>
      </x:c>
      <x:c r="D172" s="11" t="n">
        <x:v>108</x:v>
      </x:c>
      <x:c r="E172" s="11" t="n">
        <x:f>ROWS('Trial Matrix'!A8:A115)</x:f>
        <x:v>108</x:v>
      </x:c>
      <x:c r="F172" s="11" t="str">
        <x:f>IF(ABS(D172-E172)&lt;0.000001,"PASS","FAIL")</x:f>
        <x:v>PASS</x:v>
      </x:c>
    </x:row>
    <x:row r="173">
      <x:c r="A173" s="11" t="str">
        <x:v>AU-168</x:v>
      </x:c>
      <x:c r="B173" s="11" t="str">
        <x:v>reconciliation</x:v>
      </x:c>
      <x:c r="C173" s="11" t="str">
        <x:v>selected assemblies</x:v>
      </x:c>
      <x:c r="D173" s="11" t="n">
        <x:v>18</x:v>
      </x:c>
      <x:c r="E173" s="11" t="n">
        <x:f>ROWS('Assembly Bank'!A6:A23)</x:f>
        <x:v>18</x:v>
      </x:c>
      <x:c r="F173" s="11" t="str">
        <x:f>IF(ABS(D173-E173)&lt;0.000001,"PASS","FAIL")</x:f>
        <x:v>PASS</x:v>
      </x:c>
    </x:row>
    <x:row r="174">
      <x:c r="A174" s="11" t="str">
        <x:v>AU-169</x:v>
      </x:c>
      <x:c r="B174" s="11" t="str">
        <x:v>reconciliation</x:v>
      </x:c>
      <x:c r="C174" s="11" t="str">
        <x:v>exact cells</x:v>
      </x:c>
      <x:c r="D174" s="11" t="n">
        <x:v>12</x:v>
      </x:c>
      <x:c r="E174" s="11" t="n">
        <x:f>ROWS('Cell Map'!A6:A17)</x:f>
        <x:v>12</x:v>
      </x:c>
      <x:c r="F174" s="11" t="str">
        <x:f>IF(ABS(D174-E174)&lt;0.000001,"PASS","FAIL")</x:f>
        <x:v>PASS</x:v>
      </x:c>
    </x:row>
    <x:row r="175">
      <x:c r="A175" s="11" t="str">
        <x:v>AU-170</x:v>
      </x:c>
      <x:c r="B175" s="11" t="str">
        <x:v>reconciliation</x:v>
      </x:c>
      <x:c r="C175" s="11" t="str">
        <x:v>event positions</x:v>
      </x:c>
      <x:c r="D175" s="11" t="n">
        <x:v>16</x:v>
      </x:c>
      <x:c r="E175" s="11" t="n">
        <x:f>ROWS('Event Register'!A8:A23)</x:f>
        <x:v>16</x:v>
      </x:c>
      <x:c r="F175" s="11" t="str">
        <x:f>IF(ABS(D175-E175)&lt;0.000001,"PASS","FAIL")</x:f>
        <x:v>PASS</x:v>
      </x:c>
    </x:row>
    <x:row r="176">
      <x:c r="A176" s="11" t="str">
        <x:v>AU-171</x:v>
      </x:c>
      <x:c r="B176" s="11" t="str">
        <x:v>reconciliation</x:v>
      </x:c>
      <x:c r="C176" s="11" t="str">
        <x:v>measurement channels</x:v>
      </x:c>
      <x:c r="D176" s="11" t="n">
        <x:v>160</x:v>
      </x:c>
      <x:c r="E176" s="11" t="n">
        <x:f>ROWS(Measurements!A6:A165)</x:f>
        <x:v>160</x:v>
      </x:c>
      <x:c r="F176" s="11" t="str">
        <x:f>IF(ABS(D176-E176)&lt;0.000001,"PASS","FAIL")</x:f>
        <x:v>PASS</x:v>
      </x:c>
    </x:row>
    <x:row r="177">
      <x:c r="A177" s="11" t="str">
        <x:v>AU-172</x:v>
      </x:c>
      <x:c r="B177" s="11" t="str">
        <x:v>reconciliation</x:v>
      </x:c>
      <x:c r="C177" s="11" t="str">
        <x:v>safeing paths</x:v>
      </x:c>
      <x:c r="D177" s="11" t="n">
        <x:v>12</x:v>
      </x:c>
      <x:c r="E177" s="11" t="n">
        <x:f>ROWS(Safeing!A6:A17)</x:f>
        <x:v>12</x:v>
      </x:c>
      <x:c r="F177" s="11" t="str">
        <x:f>IF(ABS(D177-E177)&lt;0.000001,"PASS","FAIL")</x:f>
        <x:v>PASS</x:v>
      </x:c>
    </x:row>
    <x:row r="178">
      <x:c r="A178" s="11" t="str">
        <x:v>AU-173</x:v>
      </x:c>
      <x:c r="B178" s="11" t="str">
        <x:v>reconciliation</x:v>
      </x:c>
      <x:c r="C178" s="11" t="str">
        <x:v>primary weeks</x:v>
      </x:c>
      <x:c r="D178" s="11" t="n">
        <x:v>37</x:v>
      </x:c>
      <x:c r="E178" s="11" t="n">
        <x:f>Schedule!B11</x:f>
        <x:v>37</x:v>
      </x:c>
      <x:c r="F178" s="11" t="str">
        <x:f>IF(ABS(D178-E178)&lt;0.000001,"PASS","FAIL")</x:f>
        <x:v>PASS</x:v>
      </x:c>
    </x:row>
    <x:row r="179">
      <x:c r="A179" s="11" t="str">
        <x:v>AU-174</x:v>
      </x:c>
      <x:c r="B179" s="11" t="str">
        <x:v>reconciliation</x:v>
      </x:c>
      <x:c r="C179" s="11" t="str">
        <x:v>maximum weeks</x:v>
      </x:c>
      <x:c r="D179" s="11" t="n">
        <x:v>39</x:v>
      </x:c>
      <x:c r="E179" s="11" t="n">
        <x:f>Schedule!C11</x:f>
        <x:v>39</x:v>
      </x:c>
      <x:c r="F179" s="11" t="str">
        <x:f>IF(ABS(D179-E179)&lt;0.000001,"PASS","FAIL")</x:f>
        <x:v>PASS</x:v>
      </x:c>
    </x:row>
    <x:row r="180">
      <x:c r="A180" s="11" t="str">
        <x:v>AU-175</x:v>
      </x:c>
      <x:c r="B180" s="11" t="str">
        <x:v>reconciliation</x:v>
      </x:c>
      <x:c r="C180" s="11" t="str">
        <x:v>evidence total</x:v>
      </x:c>
      <x:c r="D180" s="11" t="n">
        <x:v>23200</x:v>
      </x:c>
      <x:c r="E180" s="11" t="n">
        <x:f>Evidence!B12</x:f>
        <x:v>23200</x:v>
      </x:c>
      <x:c r="F180" s="11" t="str">
        <x:f>IF(ABS(D180-E180)&lt;0.000001,"PASS","FAIL")</x:f>
        <x:v>PASS</x:v>
      </x:c>
    </x:row>
    <x:row r="181">
      <x:c r="A181" s="11" t="str">
        <x:v>AU-176</x:v>
      </x:c>
      <x:c r="B181" s="11" t="str">
        <x:v>reconciliation</x:v>
      </x:c>
      <x:c r="C181" s="11" t="str">
        <x:v>workforce</x:v>
      </x:c>
      <x:c r="D181" s="11" t="n">
        <x:v>260</x:v>
      </x:c>
      <x:c r="E181" s="11" t="n">
        <x:f>Workforce!B14</x:f>
        <x:v>260</x:v>
      </x:c>
      <x:c r="F181" s="11" t="str">
        <x:f>IF(ABS(D181-E181)&lt;0.000001,"PASS","FAIL")</x:f>
        <x:v>PASS</x:v>
      </x:c>
    </x:row>
    <x:row r="182">
      <x:c r="A182" s="11" t="str">
        <x:v>AU-177</x:v>
      </x:c>
      <x:c r="B182" s="11" t="str">
        <x:v>reconciliation</x:v>
      </x:c>
      <x:c r="C182" s="11" t="str">
        <x:v>technology</x:v>
      </x:c>
      <x:c r="D182" s="11" t="n">
        <x:v>95</x:v>
      </x:c>
      <x:c r="E182" s="11" t="n">
        <x:f>Technology!B15</x:f>
        <x:v>95</x:v>
      </x:c>
      <x:c r="F182" s="11" t="str">
        <x:f>IF(ABS(D182-E182)&lt;0.000001,"PASS","FAIL")</x:f>
        <x:v>PASS</x:v>
      </x:c>
    </x:row>
    <x:row r="183">
      <x:c r="A183" s="11" t="str">
        <x:v>AU-178</x:v>
      </x:c>
      <x:c r="B183" s="11" t="str">
        <x:v>reconciliation</x:v>
      </x:c>
      <x:c r="C183" s="11" t="str">
        <x:v>capital</x:v>
      </x:c>
      <x:c r="D183" s="11" t="n">
        <x:v>180</x:v>
      </x:c>
      <x:c r="E183" s="11" t="n">
        <x:f>Finance!B7</x:f>
        <x:v>180</x:v>
      </x:c>
      <x:c r="F183" s="11" t="str">
        <x:f>IF(ABS(D183-E183)&lt;0.000001,"PASS","FAIL")</x:f>
        <x:v>PASS</x:v>
      </x:c>
    </x:row>
    <x:row r="184">
      <x:c r="A184" s="11" t="str">
        <x:v>AU-179</x:v>
      </x:c>
      <x:c r="B184" s="11" t="str">
        <x:v>reconciliation</x:v>
      </x:c>
      <x:c r="C184" s="11" t="str">
        <x:v>stage exposure</x:v>
      </x:c>
      <x:c r="D184" s="11" t="n">
        <x:v>232.5</x:v>
      </x:c>
      <x:c r="E184" s="11" t="n">
        <x:f>Finance!B17</x:f>
        <x:v>232.5</x:v>
      </x:c>
      <x:c r="F184" s="11" t="str">
        <x:f>IF(ABS(D184-E184)&lt;0.000001,"PASS","FAIL")</x:f>
        <x:v>PASS</x:v>
      </x:c>
    </x:row>
    <x:row r="185">
      <x:c r="A185" s="11" t="str">
        <x:v>AU-180</x:v>
      </x:c>
      <x:c r="B185" s="11" t="str">
        <x:v>reconciliation</x:v>
      </x:c>
      <x:c r="C185" s="11" t="str">
        <x:v>capital remaining</x:v>
      </x:c>
      <x:c r="D185" s="11" t="n">
        <x:v>920</x:v>
      </x:c>
      <x:c r="E185" s="11" t="n">
        <x:f>Finance!B8</x:f>
        <x:v>920</x:v>
      </x:c>
      <x:c r="F185" s="11" t="str">
        <x:f>IF(ABS(D185-E185)&lt;0.000001,"PASS","FAIL")</x:f>
        <x:v>PASS</x:v>
      </x:c>
    </x:row>
    <x:row r="186">
      <x:c r="A186" s="11" t="str">
        <x:v>AU-181</x:v>
      </x:c>
      <x:c r="B186" s="11" t="str">
        <x:v>initial state</x:v>
      </x:c>
      <x:c r="C186" s="11" t="str">
        <x:v>first trial</x:v>
      </x:c>
      <x:c r="D186" s="11" t="str">
        <x:v>OPEN</x:v>
      </x:c>
      <x:c r="E186" s="11" t="str">
        <x:f>'Trial Matrix'!U8</x:f>
        <x:v>OPEN</x:v>
      </x:c>
      <x:c r="F186" s="11" t="str">
        <x:f>IF(D186=E186,"PASS","FAIL")</x:f>
        <x:v>PASS</x:v>
      </x:c>
    </x:row>
    <x:row r="187">
      <x:c r="A187" s="11" t="str">
        <x:v>AU-182</x:v>
      </x:c>
      <x:c r="B187" s="11" t="str">
        <x:v>initial state</x:v>
      </x:c>
      <x:c r="C187" s="11" t="str">
        <x:v>first candidate</x:v>
      </x:c>
      <x:c r="D187" s="11" t="str">
        <x:v>OPEN</x:v>
      </x:c>
      <x:c r="E187" s="11" t="str">
        <x:f>'Trial Decisions'!H6</x:f>
        <x:v>OPEN</x:v>
      </x:c>
      <x:c r="F187" s="11" t="str">
        <x:f>IF(D187=E187,"PASS","FAIL")</x:f>
        <x:v>PASS</x:v>
      </x:c>
    </x:row>
    <x:row r="188">
      <x:c r="A188" s="11" t="str">
        <x:v>AU-183</x:v>
      </x:c>
      <x:c r="B188" s="11" t="str">
        <x:v>initial state</x:v>
      </x:c>
      <x:c r="C188" s="11" t="str">
        <x:v>selection</x:v>
      </x:c>
      <x:c r="D188" s="11" t="str">
        <x:v>OPEN</x:v>
      </x:c>
      <x:c r="E188" s="11" t="str">
        <x:f>Selection!B10</x:f>
        <x:v>OPEN</x:v>
      </x:c>
      <x:c r="F188" s="11" t="str">
        <x:f>IF(D188=E188,"PASS","FAIL")</x:f>
        <x:v>PASS</x:v>
      </x:c>
    </x:row>
    <x:row r="189">
      <x:c r="A189" s="11" t="str">
        <x:v>AU-184</x:v>
      </x:c>
      <x:c r="B189" s="11" t="str">
        <x:v>initial state</x:v>
      </x:c>
      <x:c r="C189" s="11" t="str">
        <x:v>first assembly</x:v>
      </x:c>
      <x:c r="D189" s="11" t="str">
        <x:v>OPEN</x:v>
      </x:c>
      <x:c r="E189" s="11" t="str">
        <x:f>'Assembly Bank'!I6</x:f>
        <x:v>OPEN</x:v>
      </x:c>
      <x:c r="F189" s="11" t="str">
        <x:f>IF(D189=E189,"PASS","FAIL")</x:f>
        <x:v>PASS</x:v>
      </x:c>
    </x:row>
    <x:row r="190">
      <x:c r="A190" s="11" t="str">
        <x:v>AU-185</x:v>
      </x:c>
      <x:c r="B190" s="11" t="str">
        <x:v>initial state</x:v>
      </x:c>
      <x:c r="C190" s="11" t="str">
        <x:v>first cell</x:v>
      </x:c>
      <x:c r="D190" s="11" t="str">
        <x:v>OPEN</x:v>
      </x:c>
      <x:c r="E190" s="11" t="str">
        <x:f>'Cell Map'!I6</x:f>
        <x:v>OPEN</x:v>
      </x:c>
      <x:c r="F190" s="11" t="str">
        <x:f>IF(D190=E190,"PASS","FAIL")</x:f>
        <x:v>PASS</x:v>
      </x:c>
    </x:row>
    <x:row r="191">
      <x:c r="A191" s="11" t="str">
        <x:v>AU-186</x:v>
      </x:c>
      <x:c r="B191" s="11" t="str">
        <x:v>initial state</x:v>
      </x:c>
      <x:c r="C191" s="11" t="str">
        <x:v>first event</x:v>
      </x:c>
      <x:c r="D191" s="11" t="str">
        <x:v>OPEN</x:v>
      </x:c>
      <x:c r="E191" s="11" t="str">
        <x:f>'Event Register'!R8</x:f>
        <x:v>OPEN</x:v>
      </x:c>
      <x:c r="F191" s="11" t="str">
        <x:f>IF(D191=E191,"PASS","FAIL")</x:f>
        <x:v>PASS</x:v>
      </x:c>
    </x:row>
    <x:row r="192">
      <x:c r="A192" s="11" t="str">
        <x:v>AU-187</x:v>
      </x:c>
      <x:c r="B192" s="11" t="str">
        <x:v>initial state</x:v>
      </x:c>
      <x:c r="C192" s="11" t="str">
        <x:v>first return</x:v>
      </x:c>
      <x:c r="D192" s="11" t="str">
        <x:v>OPEN</x:v>
      </x:c>
      <x:c r="E192" s="11" t="str">
        <x:f>Return!L6</x:f>
        <x:v>OPEN</x:v>
      </x:c>
      <x:c r="F192" s="11" t="str">
        <x:f>IF(D192=E192,"PASS","FAIL")</x:f>
        <x:v>PASS</x:v>
      </x:c>
    </x:row>
    <x:row r="193">
      <x:c r="A193" s="11" t="str">
        <x:v>AU-188</x:v>
      </x:c>
      <x:c r="B193" s="11" t="str">
        <x:v>initial state</x:v>
      </x:c>
      <x:c r="C193" s="11" t="str">
        <x:v>class authority</x:v>
      </x:c>
      <x:c r="D193" s="11" t="str">
        <x:v>OPEN</x:v>
      </x:c>
      <x:c r="E193" s="11" t="str">
        <x:f>Executive!B17</x:f>
        <x:v>OPEN</x:v>
      </x:c>
      <x:c r="F193" s="11" t="str">
        <x:f>IF(D193=E193,"PASS","FAIL")</x:f>
        <x:v>PASS</x:v>
      </x:c>
    </x:row>
    <x:row r="194">
      <x:c r="A194" s="11" t="str">
        <x:v>AU-189</x:v>
      </x:c>
      <x:c r="B194" s="11" t="str">
        <x:v>initial state</x:v>
      </x:c>
      <x:c r="C194" s="11" t="str">
        <x:v>water authority</x:v>
      </x:c>
      <x:c r="D194" s="11" t="str">
        <x:v>BLOCKED</x:v>
      </x:c>
      <x:c r="E194" s="11" t="str">
        <x:f>Executive!E16</x:f>
        <x:v>BLOCKED</x:v>
      </x:c>
      <x:c r="F194" s="11" t="str">
        <x:f>IF(D194=E194,"PASS","FAIL")</x:f>
        <x:v>PASS</x:v>
      </x:c>
    </x:row>
    <x:row r="195">
      <x:c r="A195" s="11" t="str">
        <x:v>AU-190</x:v>
      </x:c>
      <x:c r="B195" s="11" t="str">
        <x:v>initial state</x:v>
      </x:c>
      <x:c r="C195" s="11" t="str">
        <x:v>source authority</x:v>
      </x:c>
      <x:c r="D195" s="11" t="str">
        <x:v>BLOCKED</x:v>
      </x:c>
      <x:c r="E195" s="11" t="str">
        <x:f>Executive!E17</x:f>
        <x:v>BLOCKED</x:v>
      </x:c>
      <x:c r="F195" s="11" t="str">
        <x:f>IF(D195=E195,"PASS","FAIL")</x:f>
        <x:v>PASS</x:v>
      </x:c>
    </x:row>
    <x:row r="196">
      <x:c r="A196" s="11" t="str">
        <x:v>AU-191</x:v>
      </x:c>
      <x:c r="B196" s="11" t="str">
        <x:v>initial state</x:v>
      </x:c>
      <x:c r="C196" s="11" t="str">
        <x:v>first trial</x:v>
      </x:c>
      <x:c r="D196" s="11" t="str">
        <x:v>OPEN</x:v>
      </x:c>
      <x:c r="E196" s="11" t="str">
        <x:f>'Trial Matrix'!U8</x:f>
        <x:v>OPEN</x:v>
      </x:c>
      <x:c r="F196" s="11" t="str">
        <x:f>IF(D196=E196,"PASS","FAIL")</x:f>
        <x:v>PASS</x:v>
      </x:c>
    </x:row>
    <x:row r="197">
      <x:c r="A197" s="11" t="str">
        <x:v>AU-192</x:v>
      </x:c>
      <x:c r="B197" s="11" t="str">
        <x:v>initial state</x:v>
      </x:c>
      <x:c r="C197" s="11" t="str">
        <x:v>first candidate</x:v>
      </x:c>
      <x:c r="D197" s="11" t="str">
        <x:v>OPEN</x:v>
      </x:c>
      <x:c r="E197" s="11" t="str">
        <x:f>'Trial Decisions'!H6</x:f>
        <x:v>OPEN</x:v>
      </x:c>
      <x:c r="F197" s="11" t="str">
        <x:f>IF(D197=E197,"PASS","FAIL")</x:f>
        <x:v>PASS</x:v>
      </x:c>
    </x:row>
    <x:row r="198">
      <x:c r="A198" s="11" t="str">
        <x:v>AU-193</x:v>
      </x:c>
      <x:c r="B198" s="11" t="str">
        <x:v>initial state</x:v>
      </x:c>
      <x:c r="C198" s="11" t="str">
        <x:v>selection</x:v>
      </x:c>
      <x:c r="D198" s="11" t="str">
        <x:v>OPEN</x:v>
      </x:c>
      <x:c r="E198" s="11" t="str">
        <x:f>Selection!B10</x:f>
        <x:v>OPEN</x:v>
      </x:c>
      <x:c r="F198" s="11" t="str">
        <x:f>IF(D198=E198,"PASS","FAIL")</x:f>
        <x:v>PASS</x:v>
      </x:c>
    </x:row>
    <x:row r="199">
      <x:c r="A199" s="11" t="str">
        <x:v>AU-194</x:v>
      </x:c>
      <x:c r="B199" s="11" t="str">
        <x:v>initial state</x:v>
      </x:c>
      <x:c r="C199" s="11" t="str">
        <x:v>first assembly</x:v>
      </x:c>
      <x:c r="D199" s="11" t="str">
        <x:v>OPEN</x:v>
      </x:c>
      <x:c r="E199" s="11" t="str">
        <x:f>'Assembly Bank'!I6</x:f>
        <x:v>OPEN</x:v>
      </x:c>
      <x:c r="F199" s="11" t="str">
        <x:f>IF(D199=E199,"PASS","FAIL")</x:f>
        <x:v>PASS</x:v>
      </x:c>
    </x:row>
    <x:row r="200">
      <x:c r="A200" s="11" t="str">
        <x:v>AU-195</x:v>
      </x:c>
      <x:c r="B200" s="11" t="str">
        <x:v>initial state</x:v>
      </x:c>
      <x:c r="C200" s="11" t="str">
        <x:v>first cell</x:v>
      </x:c>
      <x:c r="D200" s="11" t="str">
        <x:v>OPEN</x:v>
      </x:c>
      <x:c r="E200" s="11" t="str">
        <x:f>'Cell Map'!I6</x:f>
        <x:v>OPEN</x:v>
      </x:c>
      <x:c r="F200" s="11" t="str">
        <x:f>IF(D200=E200,"PASS","FAIL")</x:f>
        <x:v>PASS</x:v>
      </x:c>
    </x:row>
    <x:row r="201">
      <x:c r="A201" s="11" t="str">
        <x:v>AU-196</x:v>
      </x:c>
      <x:c r="B201" s="11" t="str">
        <x:v>initial state</x:v>
      </x:c>
      <x:c r="C201" s="11" t="str">
        <x:v>first event</x:v>
      </x:c>
      <x:c r="D201" s="11" t="str">
        <x:v>OPEN</x:v>
      </x:c>
      <x:c r="E201" s="11" t="str">
        <x:f>'Event Register'!R8</x:f>
        <x:v>OPEN</x:v>
      </x:c>
      <x:c r="F201" s="11" t="str">
        <x:f>IF(D201=E201,"PASS","FAIL")</x:f>
        <x:v>PASS</x:v>
      </x:c>
    </x:row>
    <x:row r="202">
      <x:c r="A202" s="11" t="str">
        <x:v>AU-197</x:v>
      </x:c>
      <x:c r="B202" s="11" t="str">
        <x:v>initial state</x:v>
      </x:c>
      <x:c r="C202" s="11" t="str">
        <x:v>first return</x:v>
      </x:c>
      <x:c r="D202" s="11" t="str">
        <x:v>OPEN</x:v>
      </x:c>
      <x:c r="E202" s="11" t="str">
        <x:f>Return!L6</x:f>
        <x:v>OPEN</x:v>
      </x:c>
      <x:c r="F202" s="11" t="str">
        <x:f>IF(D202=E202,"PASS","FAIL")</x:f>
        <x:v>PASS</x:v>
      </x:c>
    </x:row>
    <x:row r="203">
      <x:c r="A203" s="11" t="str">
        <x:v>AU-198</x:v>
      </x:c>
      <x:c r="B203" s="11" t="str">
        <x:v>initial state</x:v>
      </x:c>
      <x:c r="C203" s="11" t="str">
        <x:v>class authority</x:v>
      </x:c>
      <x:c r="D203" s="11" t="str">
        <x:v>OPEN</x:v>
      </x:c>
      <x:c r="E203" s="11" t="str">
        <x:f>Executive!B17</x:f>
        <x:v>OPEN</x:v>
      </x:c>
      <x:c r="F203" s="11" t="str">
        <x:f>IF(D203=E203,"PASS","FAIL")</x:f>
        <x:v>PASS</x:v>
      </x:c>
    </x:row>
    <x:row r="204">
      <x:c r="A204" s="11" t="str">
        <x:v>AU-199</x:v>
      </x:c>
      <x:c r="B204" s="11" t="str">
        <x:v>initial state</x:v>
      </x:c>
      <x:c r="C204" s="11" t="str">
        <x:v>water authority</x:v>
      </x:c>
      <x:c r="D204" s="11" t="str">
        <x:v>BLOCKED</x:v>
      </x:c>
      <x:c r="E204" s="11" t="str">
        <x:f>Executive!E16</x:f>
        <x:v>BLOCKED</x:v>
      </x:c>
      <x:c r="F204" s="11" t="str">
        <x:f>IF(D204=E204,"PASS","FAIL")</x:f>
        <x:v>PASS</x:v>
      </x:c>
    </x:row>
    <x:row r="205">
      <x:c r="A205" s="11" t="str">
        <x:v>AU-200</x:v>
      </x:c>
      <x:c r="B205" s="11" t="str">
        <x:v>initial state</x:v>
      </x:c>
      <x:c r="C205" s="11" t="str">
        <x:v>source authority</x:v>
      </x:c>
      <x:c r="D205" s="11" t="str">
        <x:v>BLOCKED</x:v>
      </x:c>
      <x:c r="E205" s="11" t="str">
        <x:f>Executive!E17</x:f>
        <x:v>BLOCKED</x:v>
      </x:c>
      <x:c r="F205" s="11" t="str">
        <x:f>IF(D205=E205,"PASS","FAIL")</x:f>
        <x:v>PASS</x:v>
      </x:c>
    </x:row>
    <x:row r="206">
      <x:c r="A206" s="11" t="str">
        <x:v>AU-201</x:v>
      </x:c>
      <x:c r="B206" s="11" t="str">
        <x:v>initial state</x:v>
      </x:c>
      <x:c r="C206" s="11" t="str">
        <x:v>first trial</x:v>
      </x:c>
      <x:c r="D206" s="11" t="str">
        <x:v>OPEN</x:v>
      </x:c>
      <x:c r="E206" s="11" t="str">
        <x:f>'Trial Matrix'!U8</x:f>
        <x:v>OPEN</x:v>
      </x:c>
      <x:c r="F206" s="11" t="str">
        <x:f>IF(D206=E206,"PASS","FAIL")</x:f>
        <x:v>PASS</x:v>
      </x:c>
    </x:row>
    <x:row r="207">
      <x:c r="A207" s="11" t="str">
        <x:v>AU-202</x:v>
      </x:c>
      <x:c r="B207" s="11" t="str">
        <x:v>initial state</x:v>
      </x:c>
      <x:c r="C207" s="11" t="str">
        <x:v>first candidate</x:v>
      </x:c>
      <x:c r="D207" s="11" t="str">
        <x:v>OPEN</x:v>
      </x:c>
      <x:c r="E207" s="11" t="str">
        <x:f>'Trial Decisions'!H6</x:f>
        <x:v>OPEN</x:v>
      </x:c>
      <x:c r="F207" s="11" t="str">
        <x:f>IF(D207=E207,"PASS","FAIL")</x:f>
        <x:v>PASS</x:v>
      </x:c>
    </x:row>
    <x:row r="208">
      <x:c r="A208" s="11" t="str">
        <x:v>AU-203</x:v>
      </x:c>
      <x:c r="B208" s="11" t="str">
        <x:v>initial state</x:v>
      </x:c>
      <x:c r="C208" s="11" t="str">
        <x:v>selection</x:v>
      </x:c>
      <x:c r="D208" s="11" t="str">
        <x:v>OPEN</x:v>
      </x:c>
      <x:c r="E208" s="11" t="str">
        <x:f>Selection!B10</x:f>
        <x:v>OPEN</x:v>
      </x:c>
      <x:c r="F208" s="11" t="str">
        <x:f>IF(D208=E208,"PASS","FAIL")</x:f>
        <x:v>PASS</x:v>
      </x:c>
    </x:row>
    <x:row r="209">
      <x:c r="A209" s="11" t="str">
        <x:v>AU-204</x:v>
      </x:c>
      <x:c r="B209" s="11" t="str">
        <x:v>initial state</x:v>
      </x:c>
      <x:c r="C209" s="11" t="str">
        <x:v>first assembly</x:v>
      </x:c>
      <x:c r="D209" s="11" t="str">
        <x:v>OPEN</x:v>
      </x:c>
      <x:c r="E209" s="11" t="str">
        <x:f>'Assembly Bank'!I6</x:f>
        <x:v>OPEN</x:v>
      </x:c>
      <x:c r="F209" s="11" t="str">
        <x:f>IF(D209=E209,"PASS","FAIL")</x:f>
        <x:v>PASS</x:v>
      </x:c>
    </x:row>
    <x:row r="210">
      <x:c r="A210" s="11" t="str">
        <x:v>AU-205</x:v>
      </x:c>
      <x:c r="B210" s="11" t="str">
        <x:v>initial state</x:v>
      </x:c>
      <x:c r="C210" s="11" t="str">
        <x:v>first cell</x:v>
      </x:c>
      <x:c r="D210" s="11" t="str">
        <x:v>OPEN</x:v>
      </x:c>
      <x:c r="E210" s="11" t="str">
        <x:f>'Cell Map'!I6</x:f>
        <x:v>OPEN</x:v>
      </x:c>
      <x:c r="F210" s="11" t="str">
        <x:f>IF(D210=E210,"PASS","FAIL")</x:f>
        <x:v>PASS</x:v>
      </x:c>
    </x:row>
    <x:row r="211">
      <x:c r="A211" s="11" t="str">
        <x:v>AU-206</x:v>
      </x:c>
      <x:c r="B211" s="11" t="str">
        <x:v>initial state</x:v>
      </x:c>
      <x:c r="C211" s="11" t="str">
        <x:v>first event</x:v>
      </x:c>
      <x:c r="D211" s="11" t="str">
        <x:v>OPEN</x:v>
      </x:c>
      <x:c r="E211" s="11" t="str">
        <x:f>'Event Register'!R8</x:f>
        <x:v>OPEN</x:v>
      </x:c>
      <x:c r="F211" s="11" t="str">
        <x:f>IF(D211=E211,"PASS","FAIL")</x:f>
        <x:v>PASS</x:v>
      </x:c>
    </x:row>
    <x:row r="212">
      <x:c r="A212" s="11" t="str">
        <x:v>AU-207</x:v>
      </x:c>
      <x:c r="B212" s="11" t="str">
        <x:v>initial state</x:v>
      </x:c>
      <x:c r="C212" s="11" t="str">
        <x:v>first return</x:v>
      </x:c>
      <x:c r="D212" s="11" t="str">
        <x:v>OPEN</x:v>
      </x:c>
      <x:c r="E212" s="11" t="str">
        <x:f>Return!L6</x:f>
        <x:v>OPEN</x:v>
      </x:c>
      <x:c r="F212" s="11" t="str">
        <x:f>IF(D212=E212,"PASS","FAIL")</x:f>
        <x:v>PASS</x:v>
      </x:c>
    </x:row>
    <x:row r="213">
      <x:c r="A213" s="11" t="str">
        <x:v>AU-208</x:v>
      </x:c>
      <x:c r="B213" s="11" t="str">
        <x:v>initial state</x:v>
      </x:c>
      <x:c r="C213" s="11" t="str">
        <x:v>class authority</x:v>
      </x:c>
      <x:c r="D213" s="11" t="str">
        <x:v>OPEN</x:v>
      </x:c>
      <x:c r="E213" s="11" t="str">
        <x:f>Executive!B17</x:f>
        <x:v>OPEN</x:v>
      </x:c>
      <x:c r="F213" s="11" t="str">
        <x:f>IF(D213=E213,"PASS","FAIL")</x:f>
        <x:v>PASS</x:v>
      </x:c>
    </x:row>
    <x:row r="214">
      <x:c r="A214" s="11" t="str">
        <x:v>AU-209</x:v>
      </x:c>
      <x:c r="B214" s="11" t="str">
        <x:v>initial state</x:v>
      </x:c>
      <x:c r="C214" s="11" t="str">
        <x:v>water authority</x:v>
      </x:c>
      <x:c r="D214" s="11" t="str">
        <x:v>BLOCKED</x:v>
      </x:c>
      <x:c r="E214" s="11" t="str">
        <x:f>Executive!E16</x:f>
        <x:v>BLOCKED</x:v>
      </x:c>
      <x:c r="F214" s="11" t="str">
        <x:f>IF(D214=E214,"PASS","FAIL")</x:f>
        <x:v>PASS</x:v>
      </x:c>
    </x:row>
    <x:row r="215">
      <x:c r="A215" s="11" t="str">
        <x:v>AU-210</x:v>
      </x:c>
      <x:c r="B215" s="11" t="str">
        <x:v>initial state</x:v>
      </x:c>
      <x:c r="C215" s="11" t="str">
        <x:v>source authority</x:v>
      </x:c>
      <x:c r="D215" s="11" t="str">
        <x:v>BLOCKED</x:v>
      </x:c>
      <x:c r="E215" s="11" t="str">
        <x:f>Executive!E17</x:f>
        <x:v>BLOCKED</x:v>
      </x:c>
      <x:c r="F215" s="11" t="str">
        <x:f>IF(D215=E215,"PASS","FAIL")</x:f>
        <x:v>PASS</x:v>
      </x:c>
    </x:row>
    <x:row r="216">
      <x:c r="A216" s="11" t="str">
        <x:v>AU-211</x:v>
      </x:c>
      <x:c r="B216" s="11" t="str">
        <x:v>initial state</x:v>
      </x:c>
      <x:c r="C216" s="11" t="str">
        <x:v>first trial</x:v>
      </x:c>
      <x:c r="D216" s="11" t="str">
        <x:v>OPEN</x:v>
      </x:c>
      <x:c r="E216" s="11" t="str">
        <x:f>'Trial Matrix'!U8</x:f>
        <x:v>OPEN</x:v>
      </x:c>
      <x:c r="F216" s="11" t="str">
        <x:f>IF(D216=E216,"PASS","FAIL")</x:f>
        <x:v>PASS</x:v>
      </x:c>
    </x:row>
    <x:row r="217">
      <x:c r="A217" s="11" t="str">
        <x:v>AU-212</x:v>
      </x:c>
      <x:c r="B217" s="11" t="str">
        <x:v>initial state</x:v>
      </x:c>
      <x:c r="C217" s="11" t="str">
        <x:v>first candidate</x:v>
      </x:c>
      <x:c r="D217" s="11" t="str">
        <x:v>OPEN</x:v>
      </x:c>
      <x:c r="E217" s="11" t="str">
        <x:f>'Trial Decisions'!H6</x:f>
        <x:v>OPEN</x:v>
      </x:c>
      <x:c r="F217" s="11" t="str">
        <x:f>IF(D217=E217,"PASS","FAIL")</x:f>
        <x:v>PASS</x:v>
      </x:c>
    </x:row>
    <x:row r="218">
      <x:c r="A218" s="11" t="str">
        <x:v>AU-213</x:v>
      </x:c>
      <x:c r="B218" s="11" t="str">
        <x:v>initial state</x:v>
      </x:c>
      <x:c r="C218" s="11" t="str">
        <x:v>selection</x:v>
      </x:c>
      <x:c r="D218" s="11" t="str">
        <x:v>OPEN</x:v>
      </x:c>
      <x:c r="E218" s="11" t="str">
        <x:f>Selection!B10</x:f>
        <x:v>OPEN</x:v>
      </x:c>
      <x:c r="F218" s="11" t="str">
        <x:f>IF(D218=E218,"PASS","FAIL")</x:f>
        <x:v>PASS</x:v>
      </x:c>
    </x:row>
    <x:row r="219">
      <x:c r="A219" s="11" t="str">
        <x:v>AU-214</x:v>
      </x:c>
      <x:c r="B219" s="11" t="str">
        <x:v>initial state</x:v>
      </x:c>
      <x:c r="C219" s="11" t="str">
        <x:v>first assembly</x:v>
      </x:c>
      <x:c r="D219" s="11" t="str">
        <x:v>OPEN</x:v>
      </x:c>
      <x:c r="E219" s="11" t="str">
        <x:f>'Assembly Bank'!I6</x:f>
        <x:v>OPEN</x:v>
      </x:c>
      <x:c r="F219" s="11" t="str">
        <x:f>IF(D219=E219,"PASS","FAIL")</x:f>
        <x:v>PASS</x:v>
      </x:c>
    </x:row>
    <x:row r="220">
      <x:c r="A220" s="11" t="str">
        <x:v>AU-215</x:v>
      </x:c>
      <x:c r="B220" s="11" t="str">
        <x:v>initial state</x:v>
      </x:c>
      <x:c r="C220" s="11" t="str">
        <x:v>first cell</x:v>
      </x:c>
      <x:c r="D220" s="11" t="str">
        <x:v>OPEN</x:v>
      </x:c>
      <x:c r="E220" s="11" t="str">
        <x:f>'Cell Map'!I6</x:f>
        <x:v>OPEN</x:v>
      </x:c>
      <x:c r="F220" s="11" t="str">
        <x:f>IF(D220=E220,"PASS","FAIL")</x:f>
        <x:v>PASS</x:v>
      </x:c>
    </x:row>
    <x:row r="221">
      <x:c r="A221" s="11" t="str">
        <x:v>AU-216</x:v>
      </x:c>
      <x:c r="B221" s="11" t="str">
        <x:v>initial state</x:v>
      </x:c>
      <x:c r="C221" s="11" t="str">
        <x:v>first event</x:v>
      </x:c>
      <x:c r="D221" s="11" t="str">
        <x:v>OPEN</x:v>
      </x:c>
      <x:c r="E221" s="11" t="str">
        <x:f>'Event Register'!R8</x:f>
        <x:v>OPEN</x:v>
      </x:c>
      <x:c r="F221" s="11" t="str">
        <x:f>IF(D221=E221,"PASS","FAIL")</x:f>
        <x:v>PASS</x:v>
      </x:c>
    </x:row>
    <x:row r="222">
      <x:c r="A222" s="11" t="str">
        <x:v>AU-217</x:v>
      </x:c>
      <x:c r="B222" s="11" t="str">
        <x:v>initial state</x:v>
      </x:c>
      <x:c r="C222" s="11" t="str">
        <x:v>first return</x:v>
      </x:c>
      <x:c r="D222" s="11" t="str">
        <x:v>OPEN</x:v>
      </x:c>
      <x:c r="E222" s="11" t="str">
        <x:f>Return!L6</x:f>
        <x:v>OPEN</x:v>
      </x:c>
      <x:c r="F222" s="11" t="str">
        <x:f>IF(D222=E222,"PASS","FAIL")</x:f>
        <x:v>PASS</x:v>
      </x:c>
    </x:row>
    <x:row r="223">
      <x:c r="A223" s="11" t="str">
        <x:v>AU-218</x:v>
      </x:c>
      <x:c r="B223" s="11" t="str">
        <x:v>initial state</x:v>
      </x:c>
      <x:c r="C223" s="11" t="str">
        <x:v>class authority</x:v>
      </x:c>
      <x:c r="D223" s="11" t="str">
        <x:v>OPEN</x:v>
      </x:c>
      <x:c r="E223" s="11" t="str">
        <x:f>Executive!B17</x:f>
        <x:v>OPEN</x:v>
      </x:c>
      <x:c r="F223" s="11" t="str">
        <x:f>IF(D223=E223,"PASS","FAIL")</x:f>
        <x:v>PASS</x:v>
      </x:c>
    </x:row>
    <x:row r="224">
      <x:c r="A224" s="11" t="str">
        <x:v>AU-219</x:v>
      </x:c>
      <x:c r="B224" s="11" t="str">
        <x:v>initial state</x:v>
      </x:c>
      <x:c r="C224" s="11" t="str">
        <x:v>water authority</x:v>
      </x:c>
      <x:c r="D224" s="11" t="str">
        <x:v>BLOCKED</x:v>
      </x:c>
      <x:c r="E224" s="11" t="str">
        <x:f>Executive!E16</x:f>
        <x:v>BLOCKED</x:v>
      </x:c>
      <x:c r="F224" s="11" t="str">
        <x:f>IF(D224=E224,"PASS","FAIL")</x:f>
        <x:v>PASS</x:v>
      </x:c>
    </x:row>
    <x:row r="225">
      <x:c r="A225" s="11" t="str">
        <x:v>AU-220</x:v>
      </x:c>
      <x:c r="B225" s="11" t="str">
        <x:v>initial state</x:v>
      </x:c>
      <x:c r="C225" s="11" t="str">
        <x:v>source authority</x:v>
      </x:c>
      <x:c r="D225" s="11" t="str">
        <x:v>BLOCKED</x:v>
      </x:c>
      <x:c r="E225" s="11" t="str">
        <x:f>Executive!E17</x:f>
        <x:v>BLOCKED</x:v>
      </x:c>
      <x:c r="F225" s="11" t="str">
        <x:f>IF(D225=E225,"PASS","FAIL")</x:f>
        <x:v>PASS</x:v>
      </x:c>
    </x:row>
    <x:row r="226">
      <x:c r="A226" s="11" t="str">
        <x:v>AU-221</x:v>
      </x:c>
      <x:c r="B226" s="11" t="str">
        <x:v>initial state</x:v>
      </x:c>
      <x:c r="C226" s="11" t="str">
        <x:v>first trial</x:v>
      </x:c>
      <x:c r="D226" s="11" t="str">
        <x:v>OPEN</x:v>
      </x:c>
      <x:c r="E226" s="11" t="str">
        <x:f>'Trial Matrix'!U8</x:f>
        <x:v>OPEN</x:v>
      </x:c>
      <x:c r="F226" s="11" t="str">
        <x:f>IF(D226=E226,"PASS","FAIL")</x:f>
        <x:v>PASS</x:v>
      </x:c>
    </x:row>
    <x:row r="227">
      <x:c r="A227" s="11" t="str">
        <x:v>AU-222</x:v>
      </x:c>
      <x:c r="B227" s="11" t="str">
        <x:v>initial state</x:v>
      </x:c>
      <x:c r="C227" s="11" t="str">
        <x:v>first candidate</x:v>
      </x:c>
      <x:c r="D227" s="11" t="str">
        <x:v>OPEN</x:v>
      </x:c>
      <x:c r="E227" s="11" t="str">
        <x:f>'Trial Decisions'!H6</x:f>
        <x:v>OPEN</x:v>
      </x:c>
      <x:c r="F227" s="11" t="str">
        <x:f>IF(D227=E227,"PASS","FAIL")</x:f>
        <x:v>PASS</x:v>
      </x:c>
    </x:row>
    <x:row r="228">
      <x:c r="A228" s="11" t="str">
        <x:v>AU-223</x:v>
      </x:c>
      <x:c r="B228" s="11" t="str">
        <x:v>initial state</x:v>
      </x:c>
      <x:c r="C228" s="11" t="str">
        <x:v>selection</x:v>
      </x:c>
      <x:c r="D228" s="11" t="str">
        <x:v>OPEN</x:v>
      </x:c>
      <x:c r="E228" s="11" t="str">
        <x:f>Selection!B10</x:f>
        <x:v>OPEN</x:v>
      </x:c>
      <x:c r="F228" s="11" t="str">
        <x:f>IF(D228=E228,"PASS","FAIL")</x:f>
        <x:v>PASS</x:v>
      </x:c>
    </x:row>
    <x:row r="229">
      <x:c r="A229" s="11" t="str">
        <x:v>AU-224</x:v>
      </x:c>
      <x:c r="B229" s="11" t="str">
        <x:v>initial state</x:v>
      </x:c>
      <x:c r="C229" s="11" t="str">
        <x:v>first assembly</x:v>
      </x:c>
      <x:c r="D229" s="11" t="str">
        <x:v>OPEN</x:v>
      </x:c>
      <x:c r="E229" s="11" t="str">
        <x:f>'Assembly Bank'!I6</x:f>
        <x:v>OPEN</x:v>
      </x:c>
      <x:c r="F229" s="11" t="str">
        <x:f>IF(D229=E229,"PASS","FAIL")</x:f>
        <x:v>PASS</x:v>
      </x:c>
    </x:row>
    <x:row r="230">
      <x:c r="A230" s="11" t="str">
        <x:v>AU-225</x:v>
      </x:c>
      <x:c r="B230" s="11" t="str">
        <x:v>initial state</x:v>
      </x:c>
      <x:c r="C230" s="11" t="str">
        <x:v>first cell</x:v>
      </x:c>
      <x:c r="D230" s="11" t="str">
        <x:v>OPEN</x:v>
      </x:c>
      <x:c r="E230" s="11" t="str">
        <x:f>'Cell Map'!I6</x:f>
        <x:v>OPEN</x:v>
      </x:c>
      <x:c r="F230" s="11" t="str">
        <x:f>IF(D230=E230,"PASS","FAIL")</x:f>
        <x:v>PASS</x:v>
      </x:c>
    </x:row>
    <x:row r="231">
      <x:c r="A231" s="11" t="str">
        <x:v>AU-226</x:v>
      </x:c>
      <x:c r="B231" s="11" t="str">
        <x:v>initial state</x:v>
      </x:c>
      <x:c r="C231" s="11" t="str">
        <x:v>first event</x:v>
      </x:c>
      <x:c r="D231" s="11" t="str">
        <x:v>OPEN</x:v>
      </x:c>
      <x:c r="E231" s="11" t="str">
        <x:f>'Event Register'!R8</x:f>
        <x:v>OPEN</x:v>
      </x:c>
      <x:c r="F231" s="11" t="str">
        <x:f>IF(D231=E231,"PASS","FAIL")</x:f>
        <x:v>PASS</x:v>
      </x:c>
    </x:row>
    <x:row r="232">
      <x:c r="A232" s="11" t="str">
        <x:v>AU-227</x:v>
      </x:c>
      <x:c r="B232" s="11" t="str">
        <x:v>initial state</x:v>
      </x:c>
      <x:c r="C232" s="11" t="str">
        <x:v>first return</x:v>
      </x:c>
      <x:c r="D232" s="11" t="str">
        <x:v>OPEN</x:v>
      </x:c>
      <x:c r="E232" s="11" t="str">
        <x:f>Return!L6</x:f>
        <x:v>OPEN</x:v>
      </x:c>
      <x:c r="F232" s="11" t="str">
        <x:f>IF(D232=E232,"PASS","FAIL")</x:f>
        <x:v>PASS</x:v>
      </x:c>
    </x:row>
    <x:row r="233">
      <x:c r="A233" s="11" t="str">
        <x:v>AU-228</x:v>
      </x:c>
      <x:c r="B233" s="11" t="str">
        <x:v>initial state</x:v>
      </x:c>
      <x:c r="C233" s="11" t="str">
        <x:v>class authority</x:v>
      </x:c>
      <x:c r="D233" s="11" t="str">
        <x:v>OPEN</x:v>
      </x:c>
      <x:c r="E233" s="11" t="str">
        <x:f>Executive!B17</x:f>
        <x:v>OPEN</x:v>
      </x:c>
      <x:c r="F233" s="11" t="str">
        <x:f>IF(D233=E233,"PASS","FAIL")</x:f>
        <x:v>PASS</x:v>
      </x:c>
    </x:row>
    <x:row r="234">
      <x:c r="A234" s="11" t="str">
        <x:v>AU-229</x:v>
      </x:c>
      <x:c r="B234" s="11" t="str">
        <x:v>initial state</x:v>
      </x:c>
      <x:c r="C234" s="11" t="str">
        <x:v>water authority</x:v>
      </x:c>
      <x:c r="D234" s="11" t="str">
        <x:v>BLOCKED</x:v>
      </x:c>
      <x:c r="E234" s="11" t="str">
        <x:f>Executive!E16</x:f>
        <x:v>BLOCKED</x:v>
      </x:c>
      <x:c r="F234" s="11" t="str">
        <x:f>IF(D234=E234,"PASS","FAIL")</x:f>
        <x:v>PASS</x:v>
      </x:c>
    </x:row>
    <x:row r="235">
      <x:c r="A235" s="11" t="str">
        <x:v>AU-230</x:v>
      </x:c>
      <x:c r="B235" s="11" t="str">
        <x:v>initial state</x:v>
      </x:c>
      <x:c r="C235" s="11" t="str">
        <x:v>source authority</x:v>
      </x:c>
      <x:c r="D235" s="11" t="str">
        <x:v>BLOCKED</x:v>
      </x:c>
      <x:c r="E235" s="11" t="str">
        <x:f>Executive!E17</x:f>
        <x:v>BLOCKED</x:v>
      </x:c>
      <x:c r="F235" s="11" t="str">
        <x:f>IF(D235=E235,"PASS","FAIL")</x:f>
        <x:v>PASS</x:v>
      </x:c>
    </x:row>
    <x:row r="236">
      <x:c r="A236" s="11" t="str">
        <x:v>AU-231</x:v>
      </x:c>
      <x:c r="B236" s="11" t="str">
        <x:v>initial state</x:v>
      </x:c>
      <x:c r="C236" s="11" t="str">
        <x:v>first trial</x:v>
      </x:c>
      <x:c r="D236" s="11" t="str">
        <x:v>OPEN</x:v>
      </x:c>
      <x:c r="E236" s="11" t="str">
        <x:f>'Trial Matrix'!U8</x:f>
        <x:v>OPEN</x:v>
      </x:c>
      <x:c r="F236" s="11" t="str">
        <x:f>IF(D236=E236,"PASS","FAIL")</x:f>
        <x:v>PASS</x:v>
      </x:c>
    </x:row>
    <x:row r="237">
      <x:c r="A237" s="11" t="str">
        <x:v>AU-232</x:v>
      </x:c>
      <x:c r="B237" s="11" t="str">
        <x:v>initial state</x:v>
      </x:c>
      <x:c r="C237" s="11" t="str">
        <x:v>first candidate</x:v>
      </x:c>
      <x:c r="D237" s="11" t="str">
        <x:v>OPEN</x:v>
      </x:c>
      <x:c r="E237" s="11" t="str">
        <x:f>'Trial Decisions'!H6</x:f>
        <x:v>OPEN</x:v>
      </x:c>
      <x:c r="F237" s="11" t="str">
        <x:f>IF(D237=E237,"PASS","FAIL")</x:f>
        <x:v>PASS</x:v>
      </x:c>
    </x:row>
    <x:row r="238">
      <x:c r="A238" s="11" t="str">
        <x:v>AU-233</x:v>
      </x:c>
      <x:c r="B238" s="11" t="str">
        <x:v>initial state</x:v>
      </x:c>
      <x:c r="C238" s="11" t="str">
        <x:v>selection</x:v>
      </x:c>
      <x:c r="D238" s="11" t="str">
        <x:v>OPEN</x:v>
      </x:c>
      <x:c r="E238" s="11" t="str">
        <x:f>Selection!B10</x:f>
        <x:v>OPEN</x:v>
      </x:c>
      <x:c r="F238" s="11" t="str">
        <x:f>IF(D238=E238,"PASS","FAIL")</x:f>
        <x:v>PASS</x:v>
      </x:c>
    </x:row>
    <x:row r="239">
      <x:c r="A239" s="11" t="str">
        <x:v>AU-234</x:v>
      </x:c>
      <x:c r="B239" s="11" t="str">
        <x:v>initial state</x:v>
      </x:c>
      <x:c r="C239" s="11" t="str">
        <x:v>first assembly</x:v>
      </x:c>
      <x:c r="D239" s="11" t="str">
        <x:v>OPEN</x:v>
      </x:c>
      <x:c r="E239" s="11" t="str">
        <x:f>'Assembly Bank'!I6</x:f>
        <x:v>OPEN</x:v>
      </x:c>
      <x:c r="F239" s="11" t="str">
        <x:f>IF(D239=E239,"PASS","FAIL")</x:f>
        <x:v>PASS</x:v>
      </x:c>
    </x:row>
    <x:row r="240">
      <x:c r="A240" s="11" t="str">
        <x:v>AU-235</x:v>
      </x:c>
      <x:c r="B240" s="11" t="str">
        <x:v>initial state</x:v>
      </x:c>
      <x:c r="C240" s="11" t="str">
        <x:v>first cell</x:v>
      </x:c>
      <x:c r="D240" s="11" t="str">
        <x:v>OPEN</x:v>
      </x:c>
      <x:c r="E240" s="11" t="str">
        <x:f>'Cell Map'!I6</x:f>
        <x:v>OPEN</x:v>
      </x:c>
      <x:c r="F240" s="11" t="str">
        <x:f>IF(D240=E240,"PASS","FAIL")</x:f>
        <x:v>PASS</x:v>
      </x:c>
    </x:row>
    <x:row r="241">
      <x:c r="A241" s="11" t="str">
        <x:v>AU-236</x:v>
      </x:c>
      <x:c r="B241" s="11" t="str">
        <x:v>initial state</x:v>
      </x:c>
      <x:c r="C241" s="11" t="str">
        <x:v>first event</x:v>
      </x:c>
      <x:c r="D241" s="11" t="str">
        <x:v>OPEN</x:v>
      </x:c>
      <x:c r="E241" s="11" t="str">
        <x:f>'Event Register'!R8</x:f>
        <x:v>OPEN</x:v>
      </x:c>
      <x:c r="F241" s="11" t="str">
        <x:f>IF(D241=E241,"PASS","FAIL")</x:f>
        <x:v>PASS</x:v>
      </x:c>
    </x:row>
    <x:row r="242">
      <x:c r="A242" s="11" t="str">
        <x:v>AU-237</x:v>
      </x:c>
      <x:c r="B242" s="11" t="str">
        <x:v>initial state</x:v>
      </x:c>
      <x:c r="C242" s="11" t="str">
        <x:v>first return</x:v>
      </x:c>
      <x:c r="D242" s="11" t="str">
        <x:v>OPEN</x:v>
      </x:c>
      <x:c r="E242" s="11" t="str">
        <x:f>Return!L6</x:f>
        <x:v>OPEN</x:v>
      </x:c>
      <x:c r="F242" s="11" t="str">
        <x:f>IF(D242=E242,"PASS","FAIL")</x:f>
        <x:v>PASS</x:v>
      </x:c>
    </x:row>
    <x:row r="243">
      <x:c r="A243" s="11" t="str">
        <x:v>AU-238</x:v>
      </x:c>
      <x:c r="B243" s="11" t="str">
        <x:v>initial state</x:v>
      </x:c>
      <x:c r="C243" s="11" t="str">
        <x:v>class authority</x:v>
      </x:c>
      <x:c r="D243" s="11" t="str">
        <x:v>OPEN</x:v>
      </x:c>
      <x:c r="E243" s="11" t="str">
        <x:f>Executive!B17</x:f>
        <x:v>OPEN</x:v>
      </x:c>
      <x:c r="F243" s="11" t="str">
        <x:f>IF(D243=E243,"PASS","FAIL")</x:f>
        <x:v>PASS</x:v>
      </x:c>
    </x:row>
    <x:row r="244">
      <x:c r="A244" s="11" t="str">
        <x:v>AU-239</x:v>
      </x:c>
      <x:c r="B244" s="11" t="str">
        <x:v>initial state</x:v>
      </x:c>
      <x:c r="C244" s="11" t="str">
        <x:v>water authority</x:v>
      </x:c>
      <x:c r="D244" s="11" t="str">
        <x:v>BLOCKED</x:v>
      </x:c>
      <x:c r="E244" s="11" t="str">
        <x:f>Executive!E16</x:f>
        <x:v>BLOCKED</x:v>
      </x:c>
      <x:c r="F244" s="11" t="str">
        <x:f>IF(D244=E244,"PASS","FAIL")</x:f>
        <x:v>PASS</x:v>
      </x:c>
    </x:row>
    <x:row r="245">
      <x:c r="A245" s="11" t="str">
        <x:v>AU-240</x:v>
      </x:c>
      <x:c r="B245" s="11" t="str">
        <x:v>initial state</x:v>
      </x:c>
      <x:c r="C245" s="11" t="str">
        <x:v>source authority</x:v>
      </x:c>
      <x:c r="D245" s="11" t="str">
        <x:v>BLOCKED</x:v>
      </x:c>
      <x:c r="E245" s="11" t="str">
        <x:f>Executive!E17</x:f>
        <x:v>BLOCKED</x:v>
      </x:c>
      <x:c r="F245" s="11" t="str">
        <x:f>IF(D245=E245,"PASS","FAIL")</x:f>
        <x:v>PASS</x:v>
      </x:c>
    </x:row>
  </x:sheetData>
  <x:mergeCells>
    <x:mergeCell ref="A2:F2"/>
  </x:mergeCells>
  <x:conditionalFormatting sqref="F6:F245">
    <x:cfRule type="containsText" dxfId="60" priority="1" operator="containsText" text="DENY"/>
    <x:cfRule type="containsText" dxfId="61" priority="2" operator="containsText" text="ADVERSE"/>
    <x:cfRule type="containsText" dxfId="62" priority="3" operator="containsText" text="FAIL"/>
    <x:cfRule type="containsText" dxfId="6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178b13ba6b5d4adc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29" hidden="0" customWidth="1"/>
    <x:col min="4" max="4" width="16" hidden="0" customWidth="1"/>
    <x:col min="5" max="5" width="16" hidden="0" customWidth="1"/>
  </x:cols>
  <x:sheetData>
    <x:row r="2" ht="26" customHeight="1">
      <x:c r="A2" s="18" t="str">
        <x:v>Internal evidence chain</x:v>
      </x:c>
      <x:c r="B2" s="18" t="str">
        <x:v>Internal evidence chain</x:v>
      </x:c>
      <x:c r="C2" s="18" t="str">
        <x:v>Internal evidence chain</x:v>
      </x:c>
      <x:c r="D2" s="18" t="str">
        <x:v>Internal evidence chain</x:v>
      </x:c>
      <x:c r="E2" s="18" t="str">
        <x:v>Internal evidence chain</x:v>
      </x:c>
    </x:row>
    <x:row r="3">
      <x:c r="A3" s="19"/>
      <x:c r="B3" s="19"/>
      <x:c r="C3" s="19"/>
      <x:c r="D3" s="19"/>
      <x:c r="E3" s="19"/>
    </x:row>
    <x:row r="4">
      <x:c r="A4" s="20"/>
      <x:c r="B4" s="20"/>
      <x:c r="C4" s="20"/>
      <x:c r="D4" s="20"/>
      <x:c r="E4" s="20"/>
    </x:row>
    <x:row r="5">
      <x:c r="A5" s="9" t="str">
        <x:v>ID</x:v>
      </x:c>
      <x:c r="B5" s="9" t="str">
        <x:v>Document</x:v>
      </x:c>
      <x:c r="C5" s="9" t="str">
        <x:v>Role</x:v>
      </x:c>
      <x:c r="D5" s="9" t="str">
        <x:v>Access</x:v>
      </x:c>
      <x:c r="E5" s="9" t="str">
        <x:v>External site</x:v>
      </x:c>
    </x:row>
    <x:row r="6">
      <x:c r="A6" s="11" t="n">
        <x:v>1</x:v>
      </x:c>
      <x:c r="B6" s="11" t="str">
        <x:v>RBG-1 AM-06 entry-ladder reset</x:v>
      </x:c>
      <x:c r="C6" s="11" t="str">
        <x:v>parent ladder</x:v>
      </x:c>
      <x:c r="D6" s="11" t="str">
        <x:v>repository</x:v>
      </x:c>
      <x:c r="E6" s="11" t="str">
        <x:v>none</x:v>
      </x:c>
    </x:row>
    <x:row r="7">
      <x:c r="A7" s="11" t="n">
        <x:v>2</x:v>
      </x:c>
      <x:c r="B7" s="11" t="str">
        <x:v>RBF-1 QE-04 class transfer</x:v>
      </x:c>
      <x:c r="C7" s="11" t="str">
        <x:v>unignited prior</x:v>
      </x:c>
      <x:c r="D7" s="11" t="str">
        <x:v>repository</x:v>
      </x:c>
      <x:c r="E7" s="11" t="str">
        <x:v>none</x:v>
      </x:c>
    </x:row>
    <x:row r="8">
      <x:c r="A8" s="11" t="n">
        <x:v>3</x:v>
      </x:c>
      <x:c r="B8" s="11" t="str">
        <x:v>RFE-1 rig execution constitution</x:v>
      </x:c>
      <x:c r="C8" s="11" t="str">
        <x:v>clock and intervention</x:v>
      </x:c>
      <x:c r="D8" s="11" t="str">
        <x:v>repository</x:v>
      </x:c>
      <x:c r="E8" s="11" t="str">
        <x:v>none</x:v>
      </x:c>
    </x:row>
    <x:row r="9">
      <x:c r="A9" s="11" t="n">
        <x:v>4</x:v>
      </x:c>
      <x:c r="B9" s="11" t="str">
        <x:v>RAM-1 method-card constitution</x:v>
      </x:c>
      <x:c r="C9" s="11" t="str">
        <x:v>method and evidence</x:v>
      </x:c>
      <x:c r="D9" s="11" t="str">
        <x:v>repository</x:v>
      </x:c>
      <x:c r="E9" s="11" t="str">
        <x:v>none</x:v>
      </x:c>
    </x:row>
    <x:row r="10">
      <x:c r="A10" s="11" t="n">
        <x:v>5</x:v>
      </x:c>
      <x:c r="B10" s="11" t="str">
        <x:v>RAS-1 coupled-ancestry safety case</x:v>
      </x:c>
      <x:c r="C10" s="11" t="str">
        <x:v>water and thermal prior</x:v>
      </x:c>
      <x:c r="D10" s="11" t="str">
        <x:v>repository</x:v>
      </x:c>
      <x:c r="E10" s="11" t="str">
        <x:v>none</x:v>
      </x:c>
    </x:row>
    <x:row r="11">
      <x:c r="A11" s="11" t="n">
        <x:v>6</x:v>
      </x:c>
      <x:c r="B11" s="11" t="str">
        <x:v>RBB-1 QE-02 source-transfer class</x:v>
      </x:c>
      <x:c r="C11" s="11" t="str">
        <x:v>flame-state prior</x:v>
      </x:c>
      <x:c r="D11" s="11" t="str">
        <x:v>repository</x:v>
      </x:c>
      <x:c r="E11" s="11" t="str">
        <x:v>none</x:v>
      </x:c>
    </x:row>
    <x:row r="12">
      <x:c r="A12" s="11" t="n">
        <x:v>7</x:v>
      </x:c>
      <x:c r="B12" s="11" t="str">
        <x:v>RBA-1 first QE-02 source event</x:v>
      </x:c>
      <x:c r="C12" s="11" t="str">
        <x:v>low-source prior</x:v>
      </x:c>
      <x:c r="D12" s="11" t="str">
        <x:v>repository</x:v>
      </x:c>
      <x:c r="E12" s="11" t="str">
        <x:v>none</x:v>
      </x:c>
    </x:row>
    <x:row r="13">
      <x:c r="A13" s="11" t="n">
        <x:v>8</x:v>
      </x:c>
      <x:c r="B13" s="11" t="str">
        <x:v>RAY-1 first null event</x:v>
      </x:c>
      <x:c r="C13" s="11" t="str">
        <x:v>numeric-zero prior</x:v>
      </x:c>
      <x:c r="D13" s="11" t="str">
        <x:v>repository</x:v>
      </x:c>
      <x:c r="E13" s="11" t="str">
        <x:v>none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d2fff08039af4894"/>
  </x:tableParts>
</x:worksheet>
</file>