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1c5924ab0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f59e1daac84beb"/>
    <x:sheet xmlns:r="http://schemas.openxmlformats.org/officeDocument/2006/relationships" name="Controls" sheetId="2" r:id="Rf946e527c5a34f7e"/>
    <x:sheet xmlns:r="http://schemas.openxmlformats.org/officeDocument/2006/relationships" name="Force Revision" sheetId="3" r:id="Rf4129672ef5a4f78"/>
    <x:sheet xmlns:r="http://schemas.openxmlformats.org/officeDocument/2006/relationships" name="Campaign Events" sheetId="4" r:id="R9ef6831002dc4522"/>
    <x:sheet xmlns:r="http://schemas.openxmlformats.org/officeDocument/2006/relationships" name="Rotational Reserve" sheetId="5" r:id="R3f22e3d6b38d46fe"/>
    <x:sheet xmlns:r="http://schemas.openxmlformats.org/officeDocument/2006/relationships" name="Shipsets" sheetId="6" r:id="R7cd1df432fc44646"/>
    <x:sheet xmlns:r="http://schemas.openxmlformats.org/officeDocument/2006/relationships" name="Service Registry" sheetId="7" r:id="R16f10adec6384948"/>
    <x:sheet xmlns:r="http://schemas.openxmlformats.org/officeDocument/2006/relationships" name="Workforce" sheetId="8" r:id="R0dbdb1433de24b81"/>
    <x:sheet xmlns:r="http://schemas.openxmlformats.org/officeDocument/2006/relationships" name="Campus Protection" sheetId="9" r:id="R3b39b3db8cab47fb"/>
    <x:sheet xmlns:r="http://schemas.openxmlformats.org/officeDocument/2006/relationships" name="Fault Campaign" sheetId="10" r:id="R35757114d4ae4c68"/>
    <x:sheet xmlns:r="http://schemas.openxmlformats.org/officeDocument/2006/relationships" name="Critical Path" sheetId="11" r:id="R781660fa706d4d0b"/>
    <x:sheet xmlns:r="http://schemas.openxmlformats.org/officeDocument/2006/relationships" name="Evidence States" sheetId="12" r:id="Rf20079d2f6b94d94"/>
    <x:sheet xmlns:r="http://schemas.openxmlformats.org/officeDocument/2006/relationships" name="Capital" sheetId="13" r:id="R987899457fe34c67"/>
    <x:sheet xmlns:r="http://schemas.openxmlformats.org/officeDocument/2006/relationships" name="Annual Support" sheetId="14" r:id="R6d6d351fd5b64c2a"/>
    <x:sheet xmlns:r="http://schemas.openxmlformats.org/officeDocument/2006/relationships" name="Campaign Cost" sheetId="15" r:id="R0aff67df7b2f4693"/>
    <x:sheet xmlns:r="http://schemas.openxmlformats.org/officeDocument/2006/relationships" name="Release Gates" sheetId="16" r:id="Rbe82c254508748c2"/>
    <x:sheet xmlns:r="http://schemas.openxmlformats.org/officeDocument/2006/relationships" name="Audit" sheetId="17" r:id="R33399eecc0cc4be0"/>
    <x:sheet xmlns:r="http://schemas.openxmlformats.org/officeDocument/2006/relationships" name="ReadMe" sheetId="18" r:id="Ref77f16e16f2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"/>
    <x:numFmt numFmtId="202" formatCode="0"/>
    <x:numFmt numFmtId="203" formatCode="0.000000"/>
  </x:numFmts>
  <x:fonts count="9">
    <x:font>
      <x:sz val="11"/>
      <x:name val="Carlito"/>
    </x:font>
    <x:font>
      <x:b/>
      <x:sz val="15"/>
      <x:color rgb="FF17324D"/>
      <x:name val="Arial"/>
    </x:font>
    <x:font>
      <x:i/>
      <x:sz val="10"/>
      <x:color rgb="FF5D6B78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0070C0"/>
      <x:name val="Arial"/>
    </x:font>
    <x:font>
      <x:b/>
      <x:sz val="10"/>
      <x:color rgb="FF273444"/>
      <x:name val="Arial"/>
    </x:font>
    <x:font>
      <x:b/>
      <x:sz val="10"/>
      <x:color rgb="FF17324D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</x:fills>
  <x:borders count="6">
    <x:border/>
    <x:border>
      <x:bottom style="thin">
        <x:color rgb="FF17324D"/>
      </x:bottom>
    </x:border>
    <x:border>
      <x:bottom style="thin">
        <x:color rgb="FFC8D3DD"/>
      </x:bottom>
    </x:border>
    <x:border>
      <x:left style="thin">
        <x:color rgb="FFC8D3DD"/>
      </x:left>
      <x:top style="thin">
        <x:color rgb="FFC8D3DD"/>
      </x:top>
      <x:bottom style="thin">
        <x:color rgb="FFC8D3DD"/>
      </x:bottom>
    </x:border>
    <x:border>
      <x:top style="thin">
        <x:color rgb="FFC8D3DD"/>
      </x:top>
      <x:bottom style="thin">
        <x:color rgb="FFC8D3DD"/>
      </x:bottom>
    </x:border>
    <x:border>
      <x:right style="thin">
        <x:color rgb="FFC8D3DD"/>
      </x:right>
      <x:top style="thin">
        <x:color rgb="FFC8D3DD"/>
      </x:top>
      <x:bottom style="thin">
        <x:color rgb="FFC8D3DD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1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/>
  </x:cellXfs>
  <x:cellStyles count="1">
    <x:cellStyle name="Normal" xfId="0"/>
  </x:cellStyles>
  <x:dxfs count="450"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81e86162547a9" /><Relationship Type="http://schemas.openxmlformats.org/officeDocument/2006/relationships/theme" Target="/xl/theme/theme1.xml" Id="Ra7957f0a90754598" /><Relationship Type="http://schemas.openxmlformats.org/officeDocument/2006/relationships/sharedStrings" Target="/xl/sharedStrings.xml" Id="R494182948f1c4004" /><Relationship Type="http://schemas.openxmlformats.org/officeDocument/2006/relationships/worksheet" Target="/xl/worksheets/sheet1.xml" Id="R40f59e1daac84beb" /><Relationship Type="http://schemas.openxmlformats.org/officeDocument/2006/relationships/worksheet" Target="/xl/worksheets/sheet2.xml" Id="Rf946e527c5a34f7e" /><Relationship Type="http://schemas.openxmlformats.org/officeDocument/2006/relationships/worksheet" Target="/xl/worksheets/sheet3.xml" Id="Rf4129672ef5a4f78" /><Relationship Type="http://schemas.openxmlformats.org/officeDocument/2006/relationships/worksheet" Target="/xl/worksheets/sheet4.xml" Id="R9ef6831002dc4522" /><Relationship Type="http://schemas.openxmlformats.org/officeDocument/2006/relationships/worksheet" Target="/xl/worksheets/sheet5.xml" Id="R3f22e3d6b38d46fe" /><Relationship Type="http://schemas.openxmlformats.org/officeDocument/2006/relationships/worksheet" Target="/xl/worksheets/sheet6.xml" Id="R7cd1df432fc44646" /><Relationship Type="http://schemas.openxmlformats.org/officeDocument/2006/relationships/worksheet" Target="/xl/worksheets/sheet7.xml" Id="R16f10adec6384948" /><Relationship Type="http://schemas.openxmlformats.org/officeDocument/2006/relationships/worksheet" Target="/xl/worksheets/sheet8.xml" Id="R0dbdb1433de24b81" /><Relationship Type="http://schemas.openxmlformats.org/officeDocument/2006/relationships/worksheet" Target="/xl/worksheets/sheet9.xml" Id="R3b39b3db8cab47fb" /><Relationship Type="http://schemas.openxmlformats.org/officeDocument/2006/relationships/worksheet" Target="/xl/worksheets/sheet10.xml" Id="R35757114d4ae4c68" /><Relationship Type="http://schemas.openxmlformats.org/officeDocument/2006/relationships/worksheet" Target="/xl/worksheets/sheet11.xml" Id="R781660fa706d4d0b" /><Relationship Type="http://schemas.openxmlformats.org/officeDocument/2006/relationships/worksheet" Target="/xl/worksheets/sheet12.xml" Id="Rf20079d2f6b94d94" /><Relationship Type="http://schemas.openxmlformats.org/officeDocument/2006/relationships/worksheet" Target="/xl/worksheets/sheet13.xml" Id="R987899457fe34c67" /><Relationship Type="http://schemas.openxmlformats.org/officeDocument/2006/relationships/worksheet" Target="/xl/worksheets/sheet14.xml" Id="R6d6d351fd5b64c2a" /><Relationship Type="http://schemas.openxmlformats.org/officeDocument/2006/relationships/worksheet" Target="/xl/worksheets/sheet15.xml" Id="R0aff67df7b2f4693" /><Relationship Type="http://schemas.openxmlformats.org/officeDocument/2006/relationships/worksheet" Target="/xl/worksheets/sheet16.xml" Id="Rbe82c254508748c2" /><Relationship Type="http://schemas.openxmlformats.org/officeDocument/2006/relationships/worksheet" Target="/xl/worksheets/sheet17.xml" Id="R33399eecc0cc4be0" /><Relationship Type="http://schemas.openxmlformats.org/officeDocument/2006/relationships/worksheet" Target="/xl/worksheets/sheet18.xml" Id="Ref77f16e16f24f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34" hidden="0" customWidth="1"/>
    <x:col min="3" max="3" width="35" hidden="0" customWidth="1"/>
    <x:col min="4" max="4" width="18" hidden="0" customWidth="1"/>
    <x:col min="5" max="5" width="18" hidden="0" customWidth="1"/>
    <x:col min="6" max="6" width="29" hidden="0" customWidth="1"/>
    <x:col min="7" max="7" width="26" hidden="0" customWidth="1"/>
    <x:col min="8" max="8" width="19" hidden="0" customWidth="1"/>
    <x:col min="9" max="9" width="18" hidden="0" customWidth="1"/>
    <x:col min="10" max="10" width="18" hidden="0" customWidth="1"/>
  </x:cols>
  <x:sheetData>
    <x:row r="2">
      <x:c r="B2" s="1" t="str">
        <x:v>F36 cold reconstruction and rotational readiness</x:v>
      </x:c>
      <x:c r="C2" s="36"/>
      <x:c r="D2" s="36"/>
      <x:c r="E2" s="36"/>
      <x:c r="F2" s="36"/>
      <x:c r="G2" s="36"/>
      <x:c r="H2" s="36"/>
      <x:c r="I2" s="36"/>
      <x:c r="J2" s="36"/>
    </x:row>
    <x:row r="3">
      <x:c r="B3" s="2" t="str">
        <x:v>CRS-2 is the first planning architecture that can run a full exercise and retain an independent compound-loss alert path.</x:v>
      </x:c>
      <x:c r="C3" s="36"/>
      <x:c r="D3" s="36"/>
      <x:c r="E3" s="36"/>
      <x:c r="F3" s="36"/>
      <x:c r="G3" s="36"/>
      <x:c r="H3" s="36"/>
      <x:c r="I3" s="36"/>
      <x:c r="J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</x:row>
    <x:row r="6">
      <x:c r="B6" s="25" t="str">
        <x:v>Revised force judgment</x:v>
      </x:c>
      <x:c r="C6" s="26" t="str">
        <x:v>Revised force judgment</x:v>
      </x:c>
      <x:c r="D6" s="26" t="str">
        <x:v>Revised force judgment</x:v>
      </x:c>
      <x:c r="E6" s="26" t="str">
        <x:v>Revised force judgment</x:v>
      </x:c>
      <x:c r="F6" s="25" t="str">
        <x:v>Present authority</x:v>
      </x:c>
      <x:c r="G6" s="26" t="str">
        <x:v>Present authority</x:v>
      </x:c>
      <x:c r="H6" s="26" t="str">
        <x:v>Present authority</x:v>
      </x:c>
      <x:c r="I6" s="26" t="str">
        <x:v>Present authority</x:v>
      </x:c>
      <x:c r="J6" s="27" t="str">
        <x:v>Present authority</x:v>
      </x:c>
    </x:row>
    <x:row r="7">
      <x:c r="B7" s="36" t="str">
        <x:v>Mature planning reference</x:v>
      </x:c>
      <x:c r="C7" s="36" t="str">
        <x:v>rotational force</x:v>
      </x:c>
      <x:c r="D7" s="36" t="str">
        <x:v>CRS-2</x:v>
      </x:c>
      <x:c r="E7" s="36" t="str">
        <x:v>state</x:v>
      </x:c>
      <x:c r="F7" s="36" t="str">
        <x:v>Planning architecture</x:v>
      </x:c>
      <x:c r="G7" s="36" t="str">
        <x:v>reserve structure</x:v>
      </x:c>
      <x:c r="H7" s="36" t="str">
        <x:f>'Release Gates'!D57</x:f>
        <x:v>AUTHORIZED</x:v>
      </x:c>
      <x:c r="I7" s="36"/>
      <x:c r="J7" s="36"/>
    </x:row>
    <x:row r="8">
      <x:c r="B8" s="36" t="str">
        <x:v>One-shot predecessor</x:v>
      </x:c>
      <x:c r="C8" s="36" t="str">
        <x:v>Pass 107</x:v>
      </x:c>
      <x:c r="D8" s="36" t="str">
        <x:v>CRS-1</x:v>
      </x:c>
      <x:c r="E8" s="36" t="str">
        <x:v>state</x:v>
      </x:c>
      <x:c r="F8" s="36" t="str">
        <x:v>Campaign package</x:v>
      </x:c>
      <x:c r="G8" s="36" t="str">
        <x:v>registries and gates</x:v>
      </x:c>
      <x:c r="H8" s="36" t="str">
        <x:f>'Release Gates'!D58</x:f>
        <x:v>AUTHORIZED</x:v>
      </x:c>
      <x:c r="I8" s="36"/>
      <x:c r="J8" s="36"/>
    </x:row>
    <x:row r="9">
      <x:c r="B9" s="36" t="str">
        <x:v>Complete shipsets</x:v>
      </x:c>
      <x:c r="C9" s="36" t="str">
        <x:v>three per root</x:v>
      </x:c>
      <x:c r="D9" s="38" t="n">
        <x:f>'Force Revision'!D7</x:f>
        <x:v>6</x:v>
      </x:c>
      <x:c r="E9" s="36" t="str">
        <x:v>shipsets</x:v>
      </x:c>
      <x:c r="F9" s="36" t="str">
        <x:v>Program authority</x:v>
      </x:c>
      <x:c r="G9" s="36" t="str">
        <x:v>capital and support</x:v>
      </x:c>
      <x:c r="H9" s="36" t="str">
        <x:f>'Release Gates'!D59</x:f>
        <x:v>HOLD</x:v>
      </x:c>
      <x:c r="I9" s="36"/>
      <x:c r="J9" s="36"/>
    </x:row>
    <x:row r="10">
      <x:c r="B10" s="36" t="str">
        <x:v>Separated arsenals</x:v>
      </x:c>
      <x:c r="C10" s="36" t="str">
        <x:v>one per shipset</x:v>
      </x:c>
      <x:c r="D10" s="38" t="n">
        <x:f>'Force Revision'!D8</x:f>
        <x:v>6</x:v>
      </x:c>
      <x:c r="E10" s="36" t="str">
        <x:v>arsenals</x:v>
      </x:c>
      <x:c r="F10" s="36" t="str">
        <x:v>Physical force</x:v>
      </x:c>
      <x:c r="G10" s="36" t="str">
        <x:v>assets and rosters</x:v>
      </x:c>
      <x:c r="H10" s="36" t="str">
        <x:f>'Release Gates'!D60</x:f>
        <x:v>HOLD</x:v>
      </x:c>
      <x:c r="I10" s="36"/>
      <x:c r="J10" s="36"/>
    </x:row>
    <x:row r="11">
      <x:c r="B11" s="36" t="str">
        <x:v>Public regeneration force</x:v>
      </x:c>
      <x:c r="C11" s="36" t="str">
        <x:v>two line groups plus authority</x:v>
      </x:c>
      <x:c r="D11" s="38" t="n">
        <x:f>'Controls'!$D$20</x:f>
        <x:v>720</x:v>
      </x:c>
      <x:c r="E11" s="36" t="str">
        <x:v>people</x:v>
      </x:c>
      <x:c r="F11" s="36" t="str">
        <x:v>Campaign execution</x:v>
      </x:c>
      <x:c r="G11" s="36" t="str">
        <x:v>six event packets</x:v>
      </x:c>
      <x:c r="H11" s="36" t="str">
        <x:f>'Release Gates'!D61</x:f>
        <x:v>HOLD</x:v>
      </x:c>
      <x:c r="I11" s="36"/>
      <x:c r="J11" s="36"/>
    </x:row>
    <x:row r="12">
      <x:c r="B12" s="36" t="str">
        <x:v>Retained affiliates</x:v>
      </x:c>
      <x:c r="C12" s="36" t="str">
        <x:v>two unique pools</x:v>
      </x:c>
      <x:c r="D12" s="38" t="n">
        <x:f>'Controls'!$D$23</x:f>
        <x:v>2800</x:v>
      </x:c>
      <x:c r="E12" s="36" t="str">
        <x:v>people</x:v>
      </x:c>
      <x:c r="F12" s="36" t="str">
        <x:v>Production and rendering</x:v>
      </x:c>
      <x:c r="G12" s="36" t="str">
        <x:v>parent F36 chain</x:v>
      </x:c>
      <x:c r="H12" s="36" t="str">
        <x:f>'Release Gates'!D62</x:f>
        <x:v>BLOCKED</x:v>
      </x:c>
      <x:c r="I12" s="36"/>
      <x:c r="J12" s="36"/>
    </x:row>
    <x:row r="13">
      <x:c r="B13" s="36" t="str">
        <x:v>Qualification events</x:v>
      </x:c>
      <x:c r="C13" s="36" t="str">
        <x:v>full cold reconstructions</x:v>
      </x:c>
      <x:c r="D13" s="38" t="n">
        <x:f>'Controls'!$D$11</x:f>
        <x:v>6</x:v>
      </x:c>
      <x:c r="E13" s="36" t="str">
        <x:v>events</x:v>
      </x:c>
      <x:c r="F13" s="36"/>
      <x:c r="G13" s="36"/>
      <x:c r="H13" s="36"/>
      <x:c r="I13" s="36"/>
      <x:c r="J13" s="36"/>
    </x:row>
    <x:row r="14">
      <x:c r="B14" s="36" t="str">
        <x:v>Campaign duration</x:v>
      </x:c>
      <x:c r="C14" s="36" t="str">
        <x:v>includes final reset</x:v>
      </x:c>
      <x:c r="D14" s="38" t="n">
        <x:f>'Controls'!$D$10</x:f>
        <x:v>78</x:v>
      </x:c>
      <x:c r="E14" s="36" t="str">
        <x:v>months</x:v>
      </x:c>
      <x:c r="F14" s="36"/>
      <x:c r="G14" s="36"/>
      <x:c r="H14" s="36"/>
      <x:c r="I14" s="36"/>
      <x:c r="J14" s="36"/>
    </x:row>
    <x:row r="15">
      <x:c r="B15" s="36" t="str">
        <x:v>Worst planned admission</x:v>
      </x:c>
      <x:c r="C15" s="36" t="str">
        <x:v>combined challenge</x:v>
      </x:c>
      <x:c r="D15" s="38" t="n">
        <x:f>MAX('Campaign Events'!M7:M12)</x:f>
        <x:v>179</x:v>
      </x:c>
      <x:c r="E15" s="36" t="str">
        <x:v>days</x:v>
      </x:c>
      <x:c r="F15" s="36"/>
      <x:c r="G15" s="36"/>
      <x:c r="H15" s="36"/>
      <x:c r="I15" s="36"/>
      <x:c r="J15" s="36"/>
    </x:row>
    <x:row r="16">
      <x:c r="B16" s="36" t="str">
        <x:v>Minimum alert shipsets</x:v>
      </x:c>
      <x:c r="C16" s="36" t="str">
        <x:v>seventy-two-case screen</x:v>
      </x:c>
      <x:c r="D16" s="38" t="n">
        <x:f>MIN('Rotational Reserve'!F7:F78)</x:f>
        <x:v>1</x:v>
      </x:c>
      <x:c r="E16" s="36" t="str">
        <x:v>shipset</x:v>
      </x:c>
      <x:c r="F16" s="36"/>
      <x:c r="G16" s="36"/>
      <x:c r="H16" s="36"/>
      <x:c r="I16" s="36"/>
      <x:c r="J16" s="36"/>
    </x:row>
    <x:row r="17">
      <x:c r="B17" s="36" t="str">
        <x:v>Gross standing capital</x:v>
      </x:c>
      <x:c r="C17" s="36" t="str">
        <x:v>constant planning dollars</x:v>
      </x:c>
      <x:c r="D17" s="38" t="n">
        <x:f>Capital!C17</x:f>
        <x:v>13.9</x:v>
      </x:c>
      <x:c r="E17" s="36" t="str">
        <x:v>USD B</x:v>
      </x:c>
      <x:c r="F17" s="36"/>
      <x:c r="G17" s="36"/>
      <x:c r="H17" s="36"/>
      <x:c r="I17" s="36"/>
      <x:c r="J17" s="36"/>
    </x:row>
    <x:row r="18">
      <x:c r="B18" s="36" t="str">
        <x:v>Annual support</x:v>
      </x:c>
      <x:c r="C18" s="36" t="str">
        <x:v>constant planning dollars</x:v>
      </x:c>
      <x:c r="D18" s="38" t="n">
        <x:f>'Annual Support'!C19</x:f>
        <x:v>1.086</x:v>
      </x:c>
      <x:c r="E18" s="36" t="str">
        <x:v>USD B/year</x:v>
      </x:c>
      <x:c r="F18" s="36"/>
      <x:c r="G18" s="36"/>
      <x:c r="H18" s="36"/>
      <x:c r="I18" s="36"/>
      <x:c r="J18" s="36"/>
    </x:row>
    <x:row r="19">
      <x:c r="B19" s="36" t="str">
        <x:v>Twenty-five-year incremental boundary</x:v>
      </x:c>
      <x:c r="C19" s="36" t="str">
        <x:v>capital plus support</x:v>
      </x:c>
      <x:c r="D19" s="38" t="n">
        <x:f>Capital!D26</x:f>
        <x:v>40.95</x:v>
      </x:c>
      <x:c r="E19" s="36" t="str">
        <x:v>USD B</x:v>
      </x:c>
      <x:c r="F19" s="36"/>
      <x:c r="G19" s="36"/>
      <x:c r="H19" s="36"/>
      <x:c r="I19" s="36"/>
      <x:c r="J19" s="36"/>
    </x:row>
    <x:row r="20">
      <x:c r="B20" s="36"/>
      <x:c r="C20" s="36"/>
      <x:c r="D20" s="36"/>
      <x:c r="E20" s="36"/>
      <x:c r="F20" s="36"/>
      <x:c r="G20" s="36"/>
      <x:c r="H20" s="36"/>
      <x:c r="I20" s="36"/>
      <x:c r="J20" s="36"/>
    </x:row>
    <x:row r="21">
      <x:c r="B21" s="36"/>
      <x:c r="C21" s="36"/>
      <x:c r="D21" s="36"/>
      <x:c r="E21" s="36"/>
      <x:c r="F21" s="36"/>
      <x:c r="G21" s="36"/>
      <x:c r="H21" s="36"/>
      <x:c r="I21" s="36"/>
      <x:c r="J21" s="36"/>
    </x:row>
    <x:row r="22">
      <x:c r="B22" s="36"/>
      <x:c r="C22" s="36"/>
      <x:c r="D22" s="36"/>
      <x:c r="E22" s="36"/>
      <x:c r="F22" s="36"/>
      <x:c r="G22" s="36"/>
      <x:c r="H22" s="36"/>
      <x:c r="I22" s="36"/>
      <x:c r="J22" s="36"/>
    </x:row>
    <x:row r="23">
      <x:c r="B23" s="25" t="str">
        <x:v>Decisive judgments</x:v>
      </x:c>
      <x:c r="C23" s="26" t="str">
        <x:v>Decisive judgments</x:v>
      </x:c>
      <x:c r="D23" s="26" t="str">
        <x:v>Decisive judgments</x:v>
      </x:c>
      <x:c r="E23" s="26" t="str">
        <x:v>Decisive judgments</x:v>
      </x:c>
      <x:c r="F23" s="26" t="str">
        <x:v>Decisive judgments</x:v>
      </x:c>
      <x:c r="G23" s="26" t="str">
        <x:v>Decisive judgments</x:v>
      </x:c>
      <x:c r="H23" s="26" t="str">
        <x:v>Decisive judgments</x:v>
      </x:c>
      <x:c r="I23" s="26" t="str">
        <x:v>Decisive judgments</x:v>
      </x:c>
      <x:c r="J23" s="27" t="str">
        <x:v>Decisive judgments</x:v>
      </x:c>
    </x:row>
    <x:row r="24" ht="40" customHeight="1">
      <x:c r="B24" s="35" t="str">
        <x:v>Readiness</x:v>
      </x:c>
      <x:c r="C24" s="39" t="str">
        <x:v>A force must remain independently alert while it produces readiness evidence.</x:v>
      </x:c>
      <x:c r="D24" s="39"/>
      <x:c r="E24" s="39"/>
      <x:c r="F24" s="39"/>
      <x:c r="G24" s="39"/>
      <x:c r="H24" s="39"/>
      <x:c r="I24" s="39"/>
      <x:c r="J24" s="39"/>
    </x:row>
    <x:row r="25" ht="40" customHeight="1">
      <x:c r="B25" s="35" t="str">
        <x:v>Inventory</x:v>
      </x:c>
      <x:c r="C25" s="39" t="str">
        <x:v>Six shipsets are the integer minimum under root loss, arsenal loss and one exercise commitment.</x:v>
      </x:c>
      <x:c r="D25" s="39"/>
      <x:c r="E25" s="39"/>
      <x:c r="F25" s="39"/>
      <x:c r="G25" s="39"/>
      <x:c r="H25" s="39"/>
      <x:c r="I25" s="39"/>
      <x:c r="J25" s="39"/>
    </x:row>
    <x:row r="26" ht="40" customHeight="1">
      <x:c r="B26" s="35" t="str">
        <x:v>People</x:v>
      </x:c>
      <x:c r="C26" s="39" t="str">
        <x:v>Two line groups, two affiliate pools and two independent commissioning teams form exercise and alert rotations.</x:v>
      </x:c>
      <x:c r="D26" s="39"/>
      <x:c r="E26" s="39"/>
      <x:c r="F26" s="39"/>
      <x:c r="G26" s="39"/>
      <x:c r="H26" s="39"/>
      <x:c r="I26" s="39"/>
      <x:c r="J26" s="39"/>
    </x:row>
    <x:row r="27" ht="40" customHeight="1">
      <x:c r="B27" s="35" t="str">
        <x:v>Campaign</x:v>
      </x:c>
      <x:c r="C27" s="39" t="str">
        <x:v>Six balanced events cover every receiver, both roots, every arsenal and both line groups over seventy-eight months.</x:v>
      </x:c>
      <x:c r="D27" s="39"/>
      <x:c r="E27" s="39"/>
      <x:c r="F27" s="39"/>
      <x:c r="G27" s="39"/>
      <x:c r="H27" s="39"/>
      <x:c r="I27" s="39"/>
      <x:c r="J27" s="39"/>
    </x:row>
    <x:row r="28" ht="40" customHeight="1">
      <x:c r="B28" s="35" t="str">
        <x:v>Challenge</x:v>
      </x:c>
      <x:c r="C28" s="39" t="str">
        <x:v>Twenty-four sealed faults and twelve clean controls test mechanisms without claiming production reliability.</x:v>
      </x:c>
      <x:c r="D28" s="39"/>
      <x:c r="E28" s="39"/>
      <x:c r="F28" s="39"/>
      <x:c r="G28" s="39"/>
      <x:c r="H28" s="39"/>
      <x:c r="I28" s="39"/>
      <x:c r="J28" s="39"/>
    </x:row>
    <x:row r="29" ht="40" customHeight="1">
      <x:c r="B29" s="35" t="str">
        <x:v>Schedule</x:v>
      </x:c>
      <x:c r="C29" s="39" t="str">
        <x:v>The baseline closes at day 162; the sharp combined challenge closes at day 179.</x:v>
      </x:c>
      <x:c r="D29" s="39"/>
      <x:c r="E29" s="39"/>
      <x:c r="F29" s="39"/>
      <x:c r="G29" s="39"/>
      <x:c r="H29" s="39"/>
      <x:c r="I29" s="39"/>
      <x:c r="J29" s="39"/>
    </x:row>
    <x:row r="30" ht="40" customHeight="1">
      <x:c r="B30" s="35" t="str">
        <x:v>Finance</x:v>
      </x:c>
      <x:c r="C30" s="39" t="str">
        <x:v>Rotational readiness raises the twenty-five-year incremental boundary from USD 25.400B to USD 40.950B.</x:v>
      </x:c>
      <x:c r="D30" s="39"/>
      <x:c r="E30" s="39"/>
      <x:c r="F30" s="39"/>
      <x:c r="G30" s="39"/>
      <x:c r="H30" s="39"/>
      <x:c r="I30" s="39"/>
      <x:c r="J30" s="39"/>
    </x:row>
    <x:row r="31" ht="40" customHeight="1">
      <x:c r="B31" s="35" t="str">
        <x:v>Authority</x:v>
      </x:c>
      <x:c r="C31" s="39" t="str">
        <x:v>All assets, rosters, physical events, production and rendering remain held.</x:v>
      </x:c>
      <x:c r="D31" s="39"/>
      <x:c r="E31" s="39"/>
      <x:c r="F31" s="39"/>
      <x:c r="G31" s="39"/>
      <x:c r="H31" s="39"/>
      <x:c r="I31" s="39"/>
      <x:c r="J31" s="39"/>
    </x:row>
  </x:sheetData>
  <x:mergeCells>
    <x:mergeCell ref="B2:J2"/>
    <x:mergeCell ref="B3:J3"/>
    <x:mergeCell ref="B6:J6"/>
    <x:mergeCell ref="F6:J6"/>
    <x:mergeCell ref="B23:J23"/>
    <x:mergeCell ref="C24:J24"/>
    <x:mergeCell ref="C25:J25"/>
    <x:mergeCell ref="C26:J26"/>
    <x:mergeCell ref="C27:J27"/>
    <x:mergeCell ref="C28:J28"/>
    <x:mergeCell ref="C29:J29"/>
    <x:mergeCell ref="C30:J30"/>
    <x:mergeCell ref="C31:J31"/>
  </x:mergeCells>
  <x:conditionalFormatting sqref="H7:H12">
    <x:cfRule type="containsText" dxfId="420" priority="1" operator="containsText" text="PASS"/>
    <x:cfRule type="containsText" dxfId="421" priority="2" operator="containsText" text="SELECT"/>
    <x:cfRule type="containsText" dxfId="422" priority="3" operator="containsText" text="AUTHORIZED"/>
    <x:cfRule type="containsText" dxfId="423" priority="4" operator="containsText" text="ADMITTED"/>
    <x:cfRule type="containsText" dxfId="424" priority="5" operator="containsText" text="READY"/>
    <x:cfRule type="containsText" dxfId="425" priority="6" operator="containsText" text="HOLD"/>
    <x:cfRule type="containsText" dxfId="426" priority="7" operator="containsText" text="OPEN"/>
    <x:cfRule type="containsText" dxfId="427" priority="8" operator="containsText" text="SAFE_STOP"/>
    <x:cfRule type="containsText" dxfId="428" priority="9" operator="containsText" text="BLOCKED"/>
    <x:cfRule type="containsText" dxfId="429" priority="10" operator="containsText" text="PLANNING"/>
    <x:cfRule type="containsText" dxfId="430" priority="11" operator="containsText" text="FAIL"/>
    <x:cfRule type="containsText" dxfId="431" priority="12" operator="containsText" text="REJECT"/>
    <x:cfRule type="containsText" dxfId="432" priority="13" operator="containsText" text="LATE"/>
    <x:cfRule type="containsText" dxfId="433" priority="14" operator="containsText" text="INCOMPLETE"/>
    <x:cfRule type="containsText" dxfId="434" priority="15" operator="containsText" text="INDETERMINA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47" hidden="0" customWidth="1"/>
    <x:col min="4" max="4" width="22" hidden="0" customWidth="1"/>
    <x:col min="5" max="5" width="20" hidden="0" customWidth="1"/>
    <x:col min="6" max="6" width="18" hidden="0" customWidth="1"/>
    <x:col min="7" max="7" width="33" hidden="0" customWidth="1"/>
  </x:cols>
  <x:sheetData>
    <x:row r="2">
      <x:c r="B2" s="1" t="str">
        <x:v>Cold-reconstruction campaign controls</x:v>
      </x:c>
      <x:c r="C2" s="36"/>
      <x:c r="D2" s="36"/>
      <x:c r="E2" s="36"/>
      <x:c r="F2" s="36"/>
      <x:c r="G2" s="36"/>
    </x:row>
    <x:row r="3">
      <x:c r="B3" s="2" t="str">
        <x:v>Blue values are inherited constraints or explicit planning assumptions. All physical observations remain zero.</x:v>
      </x:c>
      <x:c r="C3" s="36"/>
      <x:c r="D3" s="36"/>
      <x:c r="E3" s="36"/>
      <x:c r="F3" s="36"/>
      <x:c r="G3" s="36"/>
    </x:row>
    <x:row r="4">
      <x:c r="B4" s="37"/>
      <x:c r="C4" s="37"/>
      <x:c r="D4" s="37"/>
      <x:c r="E4" s="37"/>
      <x:c r="F4" s="37"/>
      <x:c r="G4" s="37"/>
    </x:row>
    <x:row r="5">
      <x:c r="B5" s="36"/>
      <x:c r="C5" s="36"/>
      <x:c r="D5" s="36"/>
      <x:c r="E5" s="36"/>
      <x:c r="F5" s="36"/>
      <x:c r="G5" s="36"/>
    </x:row>
    <x:row r="6">
      <x:c r="B6" s="7" t="str">
        <x:v>ID</x:v>
      </x:c>
      <x:c r="C6" s="7" t="str">
        <x:v>Control</x:v>
      </x:c>
      <x:c r="D6" s="7" t="str">
        <x:v>Value</x:v>
      </x:c>
      <x:c r="E6" s="7" t="str">
        <x:v>Unit</x:v>
      </x:c>
      <x:c r="F6" s="7" t="str">
        <x:v>State</x:v>
      </x:c>
      <x:c r="G6" s="7" t="str">
        <x:v>Authority</x:v>
      </x:c>
    </x:row>
    <x:row r="7">
      <x:c r="B7" s="9" t="str">
        <x:v>C01</x:v>
      </x:c>
      <x:c r="C7" s="9" t="str">
        <x:v>Complete-campus admission deadline</x:v>
      </x:c>
      <x:c r="D7" s="11" t="n">
        <x:v>180</x:v>
      </x:c>
      <x:c r="E7" s="9" t="str">
        <x:v>days</x:v>
      </x:c>
      <x:c r="F7" s="9" t="str">
        <x:v>FROZEN</x:v>
      </x:c>
      <x:c r="G7" s="9" t="str">
        <x:v>Pass 107</x:v>
      </x:c>
    </x:row>
    <x:row r="8">
      <x:c r="B8" s="9" t="str">
        <x:v>C02</x:v>
      </x:c>
      <x:c r="C8" s="9" t="str">
        <x:v>Core architecture target</x:v>
      </x:c>
      <x:c r="D8" s="11" t="n">
        <x:v>162</x:v>
      </x:c>
      <x:c r="E8" s="9" t="str">
        <x:v>days</x:v>
      </x:c>
      <x:c r="F8" s="9" t="str">
        <x:v>FROZEN</x:v>
      </x:c>
      <x:c r="G8" s="9" t="str">
        <x:v>Pass 107</x:v>
      </x:c>
    </x:row>
    <x:row r="9">
      <x:c r="B9" s="9" t="str">
        <x:v>C03</x:v>
      </x:c>
      <x:c r="C9" s="9" t="str">
        <x:v>Shipset reset deadline</x:v>
      </x:c>
      <x:c r="D9" s="11" t="n">
        <x:v>180</x:v>
      </x:c>
      <x:c r="E9" s="9" t="str">
        <x:v>days</x:v>
      </x:c>
      <x:c r="F9" s="9" t="str">
        <x:v>DESIGN</x:v>
      </x:c>
      <x:c r="G9" s="9" t="str">
        <x:v>this pass</x:v>
      </x:c>
    </x:row>
    <x:row r="10">
      <x:c r="B10" s="9" t="str">
        <x:v>C04</x:v>
      </x:c>
      <x:c r="C10" s="9" t="str">
        <x:v>Qualification campaign duration</x:v>
      </x:c>
      <x:c r="D10" s="11" t="n">
        <x:v>78</x:v>
      </x:c>
      <x:c r="E10" s="9" t="str">
        <x:v>months</x:v>
      </x:c>
      <x:c r="F10" s="9" t="str">
        <x:v>DESIGN</x:v>
      </x:c>
      <x:c r="G10" s="9" t="str">
        <x:v>six event and reset cycles</x:v>
      </x:c>
    </x:row>
    <x:row r="11">
      <x:c r="B11" s="9" t="str">
        <x:v>C05</x:v>
      </x:c>
      <x:c r="C11" s="9" t="str">
        <x:v>Full reconstruction events</x:v>
      </x:c>
      <x:c r="D11" s="11" t="n">
        <x:v>6</x:v>
      </x:c>
      <x:c r="E11" s="9" t="str">
        <x:v>events</x:v>
      </x:c>
      <x:c r="F11" s="9" t="str">
        <x:v>DESIGN</x:v>
      </x:c>
      <x:c r="G11" s="9" t="str">
        <x:v>CRC-6</x:v>
      </x:c>
    </x:row>
    <x:row r="12">
      <x:c r="B12" s="9" t="str">
        <x:v>C06</x:v>
      </x:c>
      <x:c r="C12" s="9" t="str">
        <x:v>Unlike industrial roots</x:v>
      </x:c>
      <x:c r="D12" s="11" t="n">
        <x:v>2</x:v>
      </x:c>
      <x:c r="E12" s="9" t="str">
        <x:v>roots</x:v>
      </x:c>
      <x:c r="F12" s="9" t="str">
        <x:v>FROZEN</x:v>
      </x:c>
      <x:c r="G12" s="9" t="str">
        <x:v>Pass 107</x:v>
      </x:c>
    </x:row>
    <x:row r="13">
      <x:c r="B13" s="9" t="str">
        <x:v>C07</x:v>
      </x:c>
      <x:c r="C13" s="9" t="str">
        <x:v>Complete root-coherent shipsets</x:v>
      </x:c>
      <x:c r="D13" s="11" t="n">
        <x:v>6</x:v>
      </x:c>
      <x:c r="E13" s="9" t="str">
        <x:v>shipsets</x:v>
      </x:c>
      <x:c r="F13" s="9" t="str">
        <x:v>REVISED</x:v>
      </x:c>
      <x:c r="G13" s="9" t="str">
        <x:v>rotational reserve</x:v>
      </x:c>
    </x:row>
    <x:row r="14">
      <x:c r="B14" s="9" t="str">
        <x:v>C08</x:v>
      </x:c>
      <x:c r="C14" s="9" t="str">
        <x:v>Separated shipset arsenals</x:v>
      </x:c>
      <x:c r="D14" s="11" t="n">
        <x:v>6</x:v>
      </x:c>
      <x:c r="E14" s="9" t="str">
        <x:v>arsenals</x:v>
      </x:c>
      <x:c r="F14" s="9" t="str">
        <x:v>REVISED</x:v>
      </x:c>
      <x:c r="G14" s="9" t="str">
        <x:v>one shipset each</x:v>
      </x:c>
    </x:row>
    <x:row r="15">
      <x:c r="B15" s="9" t="str">
        <x:v>C09</x:v>
      </x:c>
      <x:c r="C15" s="9" t="str">
        <x:v>Dark receiver identities</x:v>
      </x:c>
      <x:c r="D15" s="11" t="n">
        <x:v>6</x:v>
      </x:c>
      <x:c r="E15" s="9" t="str">
        <x:v>sites</x:v>
      </x:c>
      <x:c r="F15" s="9" t="str">
        <x:v>FROZEN</x:v>
      </x:c>
      <x:c r="G15" s="9" t="str">
        <x:v>Pass 107</x:v>
      </x:c>
    </x:row>
    <x:row r="16">
      <x:c r="B16" s="9" t="str">
        <x:v>C10</x:v>
      </x:c>
      <x:c r="C16" s="9" t="str">
        <x:v>Public line groups</x:v>
      </x:c>
      <x:c r="D16" s="11" t="n">
        <x:v>2</x:v>
      </x:c>
      <x:c r="E16" s="9" t="str">
        <x:v>groups</x:v>
      </x:c>
      <x:c r="F16" s="9" t="str">
        <x:v>REVISED</x:v>
      </x:c>
      <x:c r="G16" s="9" t="str">
        <x:v>exercise and alert</x:v>
      </x:c>
    </x:row>
    <x:row r="17">
      <x:c r="B17" s="9" t="str">
        <x:v>C11</x:v>
      </x:c>
      <x:c r="C17" s="9" t="str">
        <x:v>Billets per line group</x:v>
      </x:c>
      <x:c r="D17" s="11" t="n">
        <x:v>300</x:v>
      </x:c>
      <x:c r="E17" s="9" t="str">
        <x:v>people</x:v>
      </x:c>
      <x:c r="F17" s="9" t="str">
        <x:v>FROZEN</x:v>
      </x:c>
      <x:c r="G17" s="9" t="str">
        <x:v>Pass 107 line structure</x:v>
      </x:c>
    </x:row>
    <x:row r="18">
      <x:c r="B18" s="9" t="str">
        <x:v>C12</x:v>
      </x:c>
      <x:c r="C18" s="9" t="str">
        <x:v>Independent commissioning teams</x:v>
      </x:c>
      <x:c r="D18" s="11" t="n">
        <x:v>2</x:v>
      </x:c>
      <x:c r="E18" s="9" t="str">
        <x:v>teams</x:v>
      </x:c>
      <x:c r="F18" s="9" t="str">
        <x:v>REVISED</x:v>
      </x:c>
      <x:c r="G18" s="9" t="str">
        <x:v>exercise and alert</x:v>
      </x:c>
    </x:row>
    <x:row r="19">
      <x:c r="B19" s="9" t="str">
        <x:v>C13</x:v>
      </x:c>
      <x:c r="C19" s="9" t="str">
        <x:v>Billets per commissioning team</x:v>
      </x:c>
      <x:c r="D19" s="11" t="n">
        <x:v>60</x:v>
      </x:c>
      <x:c r="E19" s="9" t="str">
        <x:v>people</x:v>
      </x:c>
      <x:c r="F19" s="9" t="str">
        <x:v>DESIGN</x:v>
      </x:c>
      <x:c r="G19" s="9" t="str">
        <x:v>independent authority</x:v>
      </x:c>
    </x:row>
    <x:row r="20">
      <x:c r="B20" s="9" t="str">
        <x:v>C14</x:v>
      </x:c>
      <x:c r="C20" s="9" t="str">
        <x:v>Total public regeneration force</x:v>
      </x:c>
      <x:c r="D20" s="11" t="n">
        <x:v>720</x:v>
      </x:c>
      <x:c r="E20" s="9" t="str">
        <x:v>people</x:v>
      </x:c>
      <x:c r="F20" s="9" t="str">
        <x:v>DERIVED</x:v>
      </x:c>
      <x:c r="G20" s="9" t="str">
        <x:v>two line groups and authority</x:v>
      </x:c>
    </x:row>
    <x:row r="21">
      <x:c r="B21" s="9" t="str">
        <x:v>C15</x:v>
      </x:c>
      <x:c r="C21" s="9" t="str">
        <x:v>Retained industrial affiliate pools</x:v>
      </x:c>
      <x:c r="D21" s="11" t="n">
        <x:v>2</x:v>
      </x:c>
      <x:c r="E21" s="9" t="str">
        <x:v>pools</x:v>
      </x:c>
      <x:c r="F21" s="9" t="str">
        <x:v>REVISED</x:v>
      </x:c>
      <x:c r="G21" s="9" t="str">
        <x:v>exercise and alert</x:v>
      </x:c>
    </x:row>
    <x:row r="22">
      <x:c r="B22" s="9" t="str">
        <x:v>C16</x:v>
      </x:c>
      <x:c r="C22" s="9" t="str">
        <x:v>Affiliates per pool</x:v>
      </x:c>
      <x:c r="D22" s="11" t="n">
        <x:v>1400</x:v>
      </x:c>
      <x:c r="E22" s="9" t="str">
        <x:v>people</x:v>
      </x:c>
      <x:c r="F22" s="9" t="str">
        <x:v>FROZEN</x:v>
      </x:c>
      <x:c r="G22" s="9" t="str">
        <x:v>Pass 107 mission pool</x:v>
      </x:c>
    </x:row>
    <x:row r="23">
      <x:c r="B23" s="9" t="str">
        <x:v>C17</x:v>
      </x:c>
      <x:c r="C23" s="9" t="str">
        <x:v>Total retained affiliates</x:v>
      </x:c>
      <x:c r="D23" s="11" t="n">
        <x:v>2800</x:v>
      </x:c>
      <x:c r="E23" s="9" t="str">
        <x:v>people</x:v>
      </x:c>
      <x:c r="F23" s="9" t="str">
        <x:v>DERIVED</x:v>
      </x:c>
      <x:c r="G23" s="9" t="str">
        <x:v>two unique pools</x:v>
      </x:c>
    </x:row>
    <x:row r="24">
      <x:c r="B24" s="9" t="str">
        <x:v>C18</x:v>
      </x:c>
      <x:c r="C24" s="9" t="str">
        <x:v>Surviving-campus public personnel</x:v>
      </x:c>
      <x:c r="D24" s="11" t="n">
        <x:v>820</x:v>
      </x:c>
      <x:c r="E24" s="9" t="str">
        <x:v>people</x:v>
      </x:c>
      <x:c r="F24" s="9" t="str">
        <x:v>FROZEN</x:v>
      </x:c>
      <x:c r="G24" s="9" t="str">
        <x:v>Pass 105</x:v>
      </x:c>
    </x:row>
    <x:row r="25">
      <x:c r="B25" s="9" t="str">
        <x:v>C19</x:v>
      </x:c>
      <x:c r="C25" s="9" t="str">
        <x:v>Surviving closure bays</x:v>
      </x:c>
      <x:c r="D25" s="11" t="n">
        <x:v>4</x:v>
      </x:c>
      <x:c r="E25" s="9" t="str">
        <x:v>bays</x:v>
      </x:c>
      <x:c r="F25" s="9" t="str">
        <x:v>FROZEN</x:v>
      </x:c>
      <x:c r="G25" s="9" t="str">
        <x:v>Pass 106</x:v>
      </x:c>
    </x:row>
    <x:row r="26">
      <x:c r="B26" s="9" t="str">
        <x:v>C20</x:v>
      </x:c>
      <x:c r="C26" s="9" t="str">
        <x:v>Surviving damage cells</x:v>
      </x:c>
      <x:c r="D26" s="11" t="n">
        <x:v>4</x:v>
      </x:c>
      <x:c r="E26" s="9" t="str">
        <x:v>cells</x:v>
      </x:c>
      <x:c r="F26" s="9" t="str">
        <x:v>FROZEN</x:v>
      </x:c>
      <x:c r="G26" s="9" t="str">
        <x:v>Pass 106</x:v>
      </x:c>
    </x:row>
    <x:row r="27">
      <x:c r="B27" s="9" t="str">
        <x:v>C21</x:v>
      </x:c>
      <x:c r="C27" s="9" t="str">
        <x:v>Closure planning utilization</x:v>
      </x:c>
      <x:c r="D27" s="13" t="n">
        <x:v>0.62</x:v>
      </x:c>
      <x:c r="E27" s="9" t="str">
        <x:v>share</x:v>
      </x:c>
      <x:c r="F27" s="9" t="str">
        <x:v>FROZEN</x:v>
      </x:c>
      <x:c r="G27" s="9" t="str">
        <x:v>Pass 106</x:v>
      </x:c>
    </x:row>
    <x:row r="28">
      <x:c r="B28" s="9" t="str">
        <x:v>C22</x:v>
      </x:c>
      <x:c r="C28" s="9" t="str">
        <x:v>Damage planning utilization</x:v>
      </x:c>
      <x:c r="D28" s="13" t="n">
        <x:v>0.64</x:v>
      </x:c>
      <x:c r="E28" s="9" t="str">
        <x:v>share</x:v>
      </x:c>
      <x:c r="F28" s="9" t="str">
        <x:v>FROZEN</x:v>
      </x:c>
      <x:c r="G28" s="9" t="str">
        <x:v>Pass 106</x:v>
      </x:c>
    </x:row>
    <x:row r="29">
      <x:c r="B29" s="9" t="str">
        <x:v>C23</x:v>
      </x:c>
      <x:c r="C29" s="9" t="str">
        <x:v>Utilization ceiling</x:v>
      </x:c>
      <x:c r="D29" s="13" t="n">
        <x:v>0.7</x:v>
      </x:c>
      <x:c r="E29" s="9" t="str">
        <x:v>share</x:v>
      </x:c>
      <x:c r="F29" s="9" t="str">
        <x:v>FROZEN</x:v>
      </x:c>
      <x:c r="G29" s="9" t="str">
        <x:v>Pass 104</x:v>
      </x:c>
    </x:row>
    <x:row r="30">
      <x:c r="B30" s="9" t="str">
        <x:v>C24</x:v>
      </x:c>
      <x:c r="C30" s="9" t="str">
        <x:v>Required injected faults</x:v>
      </x:c>
      <x:c r="D30" s="11" t="n">
        <x:v>24</x:v>
      </x:c>
      <x:c r="E30" s="9" t="str">
        <x:v>faults</x:v>
      </x:c>
      <x:c r="F30" s="9" t="str">
        <x:v>DESIGN</x:v>
      </x:c>
      <x:c r="G30" s="9" t="str">
        <x:v>four per event</x:v>
      </x:c>
    </x:row>
    <x:row r="31">
      <x:c r="B31" s="9" t="str">
        <x:v>C25</x:v>
      </x:c>
      <x:c r="C31" s="9" t="str">
        <x:v>Required clean controls</x:v>
      </x:c>
      <x:c r="D31" s="11" t="n">
        <x:v>12</x:v>
      </x:c>
      <x:c r="E31" s="9" t="str">
        <x:v>controls</x:v>
      </x:c>
      <x:c r="F31" s="9" t="str">
        <x:v>DESIGN</x:v>
      </x:c>
      <x:c r="G31" s="9" t="str">
        <x:v>two per event</x:v>
      </x:c>
    </x:row>
    <x:row r="32">
      <x:c r="B32" s="9" t="str">
        <x:v>C26</x:v>
      </x:c>
      <x:c r="C32" s="9" t="str">
        <x:v>Fault families</x:v>
      </x:c>
      <x:c r="D32" s="11" t="n">
        <x:v>8</x:v>
      </x:c>
      <x:c r="E32" s="9" t="str">
        <x:v>families</x:v>
      </x:c>
      <x:c r="F32" s="9" t="str">
        <x:v>DESIGN</x:v>
      </x:c>
      <x:c r="G32" s="9" t="str">
        <x:v>three appearances each</x:v>
      </x:c>
    </x:row>
    <x:row r="33">
      <x:c r="B33" s="9" t="str">
        <x:v>C27</x:v>
      </x:c>
      <x:c r="C33" s="9" t="str">
        <x:v>Gross standing capital</x:v>
      </x:c>
      <x:c r="D33" s="14" t="n">
        <x:v>13.9</x:v>
      </x:c>
      <x:c r="E33" s="9" t="str">
        <x:v>USD B</x:v>
      </x:c>
      <x:c r="F33" s="9" t="str">
        <x:v>REVISED</x:v>
      </x:c>
      <x:c r="G33" s="9" t="str">
        <x:v>CRS-2</x:v>
      </x:c>
    </x:row>
    <x:row r="34">
      <x:c r="B34" s="9" t="str">
        <x:v>C28</x:v>
      </x:c>
      <x:c r="C34" s="9" t="str">
        <x:v>Recognized inherited overlap</x:v>
      </x:c>
      <x:c r="D34" s="14" t="n">
        <x:v>0.1</x:v>
      </x:c>
      <x:c r="E34" s="9" t="str">
        <x:v>USD B</x:v>
      </x:c>
      <x:c r="F34" s="9" t="str">
        <x:v>FROZEN</x:v>
      </x:c>
      <x:c r="G34" s="9" t="str">
        <x:v>Pass 107</x:v>
      </x:c>
    </x:row>
    <x:row r="35">
      <x:c r="B35" s="9" t="str">
        <x:v>C29</x:v>
      </x:c>
      <x:c r="C35" s="9" t="str">
        <x:v>Incremental standing capital</x:v>
      </x:c>
      <x:c r="D35" s="14" t="n">
        <x:v>13.8</x:v>
      </x:c>
      <x:c r="E35" s="9" t="str">
        <x:v>USD B</x:v>
      </x:c>
      <x:c r="F35" s="9" t="str">
        <x:v>DERIVED</x:v>
      </x:c>
      <x:c r="G35" s="9" t="str">
        <x:v>gross less overlap</x:v>
      </x:c>
    </x:row>
    <x:row r="36">
      <x:c r="B36" s="9" t="str">
        <x:v>C30</x:v>
      </x:c>
      <x:c r="C36" s="9" t="str">
        <x:v>Annual readiness support</x:v>
      </x:c>
      <x:c r="D36" s="14" t="n">
        <x:v>1.086</x:v>
      </x:c>
      <x:c r="E36" s="9" t="str">
        <x:v>USD B/year</x:v>
      </x:c>
      <x:c r="F36" s="9" t="str">
        <x:v>REVISED</x:v>
      </x:c>
      <x:c r="G36" s="9" t="str">
        <x:v>CRS-2</x:v>
      </x:c>
    </x:row>
    <x:row r="37">
      <x:c r="B37" s="9" t="str">
        <x:v>C31</x:v>
      </x:c>
      <x:c r="C37" s="9" t="str">
        <x:v>Program horizon</x:v>
      </x:c>
      <x:c r="D37" s="14" t="n">
        <x:v>25</x:v>
      </x:c>
      <x:c r="E37" s="9" t="str">
        <x:v>years</x:v>
      </x:c>
      <x:c r="F37" s="9" t="str">
        <x:v>FROZEN</x:v>
      </x:c>
      <x:c r="G37" s="9" t="str">
        <x:v>comparison horizon</x:v>
      </x:c>
    </x:row>
    <x:row r="38">
      <x:c r="B38" s="9" t="str">
        <x:v>C32</x:v>
      </x:c>
      <x:c r="C38" s="9" t="str">
        <x:v>Twenty-five-year incremental boundary</x:v>
      </x:c>
      <x:c r="D38" s="14" t="n">
        <x:v>40.95</x:v>
      </x:c>
      <x:c r="E38" s="9" t="str">
        <x:v>USD B</x:v>
      </x:c>
      <x:c r="F38" s="9" t="str">
        <x:v>DERIVED</x:v>
      </x:c>
      <x:c r="G38" s="9" t="str">
        <x:v>capital plus support</x:v>
      </x:c>
    </x:row>
    <x:row r="39">
      <x:c r="B39" s="9" t="str">
        <x:v>C33</x:v>
      </x:c>
      <x:c r="C39" s="9" t="str">
        <x:v>Twenty-five-year gross boundary</x:v>
      </x:c>
      <x:c r="D39" s="14" t="n">
        <x:v>41.05</x:v>
      </x:c>
      <x:c r="E39" s="9" t="str">
        <x:v>USD B</x:v>
      </x:c>
      <x:c r="F39" s="9" t="str">
        <x:v>DERIVED</x:v>
      </x:c>
      <x:c r="G39" s="9" t="str">
        <x:v>capital plus support</x:v>
      </x:c>
    </x:row>
    <x:row r="40">
      <x:c r="B40" s="9" t="str">
        <x:v>C34</x:v>
      </x:c>
      <x:c r="C40" s="9" t="str">
        <x:v>Event planning draw</x:v>
      </x:c>
      <x:c r="D40" s="14" t="n">
        <x:v>0.275</x:v>
      </x:c>
      <x:c r="E40" s="9" t="str">
        <x:v>USD B/event</x:v>
      </x:c>
      <x:c r="F40" s="9" t="str">
        <x:v>DESIGN</x:v>
      </x:c>
      <x:c r="G40" s="9" t="str">
        <x:v>campaign cost</x:v>
      </x:c>
    </x:row>
    <x:row r="41">
      <x:c r="B41" s="9" t="str">
        <x:v>C35</x:v>
      </x:c>
      <x:c r="C41" s="9" t="str">
        <x:v>Six-event campaign draw</x:v>
      </x:c>
      <x:c r="D41" s="14" t="n">
        <x:v>1.65</x:v>
      </x:c>
      <x:c r="E41" s="9" t="str">
        <x:v>USD B</x:v>
      </x:c>
      <x:c r="F41" s="9" t="str">
        <x:v>DERIVED</x:v>
      </x:c>
      <x:c r="G41" s="9" t="str">
        <x:v>cross-classified support</x:v>
      </x:c>
    </x:row>
    <x:row r="42">
      <x:c r="B42" s="9" t="str">
        <x:v>C36</x:v>
      </x:c>
      <x:c r="C42" s="9" t="str">
        <x:v>Six-year support boundary</x:v>
      </x:c>
      <x:c r="D42" s="14" t="n">
        <x:v>6.516</x:v>
      </x:c>
      <x:c r="E42" s="9" t="str">
        <x:v>USD B</x:v>
      </x:c>
      <x:c r="F42" s="9" t="str">
        <x:v>DERIVED</x:v>
      </x:c>
      <x:c r="G42" s="9" t="str">
        <x:v>annual support times six</x:v>
      </x:c>
    </x:row>
    <x:row r="43">
      <x:c r="B43" s="9" t="str">
        <x:v>C37</x:v>
      </x:c>
      <x:c r="C43" s="9" t="str">
        <x:v>Capital authority granted</x:v>
      </x:c>
      <x:c r="D43" s="11" t="n">
        <x:v>0</x:v>
      </x:c>
      <x:c r="E43" s="9" t="str">
        <x:v>binary</x:v>
      </x:c>
      <x:c r="F43" s="9" t="str">
        <x:v>OPEN</x:v>
      </x:c>
      <x:c r="G43" s="9" t="str">
        <x:v>not granted</x:v>
      </x:c>
    </x:row>
    <x:row r="44">
      <x:c r="B44" s="9" t="str">
        <x:v>C38</x:v>
      </x:c>
      <x:c r="C44" s="9" t="str">
        <x:v>Annual support authority granted</x:v>
      </x:c>
      <x:c r="D44" s="11" t="n">
        <x:v>0</x:v>
      </x:c>
      <x:c r="E44" s="9" t="str">
        <x:v>binary</x:v>
      </x:c>
      <x:c r="F44" s="9" t="str">
        <x:v>OPEN</x:v>
      </x:c>
      <x:c r="G44" s="9" t="str">
        <x:v>not granted</x:v>
      </x:c>
    </x:row>
    <x:row r="45">
      <x:c r="B45" s="9" t="str">
        <x:v>C39</x:v>
      </x:c>
      <x:c r="C45" s="9" t="str">
        <x:v>Six shipsets physically accepted</x:v>
      </x:c>
      <x:c r="D45" s="11" t="n">
        <x:v>0</x:v>
      </x:c>
      <x:c r="E45" s="9" t="str">
        <x:v>binary</x:v>
      </x:c>
      <x:c r="F45" s="9" t="str">
        <x:v>OPEN</x:v>
      </x:c>
      <x:c r="G45" s="9" t="str">
        <x:v>not built</x:v>
      </x:c>
    </x:row>
    <x:row r="46">
      <x:c r="B46" s="9" t="str">
        <x:v>C40</x:v>
      </x:c>
      <x:c r="C46" s="9" t="str">
        <x:v>Two industrial roots physically qualified</x:v>
      </x:c>
      <x:c r="D46" s="11" t="n">
        <x:v>0</x:v>
      </x:c>
      <x:c r="E46" s="9" t="str">
        <x:v>binary</x:v>
      </x:c>
      <x:c r="F46" s="9" t="str">
        <x:v>OPEN</x:v>
      </x:c>
      <x:c r="G46" s="9" t="str">
        <x:v>not qualified</x:v>
      </x:c>
    </x:row>
    <x:row r="47">
      <x:c r="B47" s="9" t="str">
        <x:v>C41</x:v>
      </x:c>
      <x:c r="C47" s="9" t="str">
        <x:v>Six arsenals physically accepted</x:v>
      </x:c>
      <x:c r="D47" s="11" t="n">
        <x:v>0</x:v>
      </x:c>
      <x:c r="E47" s="9" t="str">
        <x:v>binary</x:v>
      </x:c>
      <x:c r="F47" s="9" t="str">
        <x:v>OPEN</x:v>
      </x:c>
      <x:c r="G47" s="9" t="str">
        <x:v>not accepted</x:v>
      </x:c>
    </x:row>
    <x:row r="48">
      <x:c r="B48" s="9" t="str">
        <x:v>C42</x:v>
      </x:c>
      <x:c r="C48" s="9" t="str">
        <x:v>Six receiver sites physically current</x:v>
      </x:c>
      <x:c r="D48" s="11" t="n">
        <x:v>0</x:v>
      </x:c>
      <x:c r="E48" s="9" t="str">
        <x:v>binary</x:v>
      </x:c>
      <x:c r="F48" s="9" t="str">
        <x:v>OPEN</x:v>
      </x:c>
      <x:c r="G48" s="9" t="str">
        <x:v>not accepted</x:v>
      </x:c>
    </x:row>
    <x:row r="49">
      <x:c r="B49" s="9" t="str">
        <x:v>C43</x:v>
      </x:c>
      <x:c r="C49" s="9" t="str">
        <x:v>Public rosters constituted</x:v>
      </x:c>
      <x:c r="D49" s="11" t="n">
        <x:v>0</x:v>
      </x:c>
      <x:c r="E49" s="9" t="str">
        <x:v>binary</x:v>
      </x:c>
      <x:c r="F49" s="9" t="str">
        <x:v>OPEN</x:v>
      </x:c>
      <x:c r="G49" s="9" t="str">
        <x:v>not constituted</x:v>
      </x:c>
    </x:row>
    <x:row r="50">
      <x:c r="B50" s="9" t="str">
        <x:v>C44</x:v>
      </x:c>
      <x:c r="C50" s="9" t="str">
        <x:v>Affiliate rosters constituted</x:v>
      </x:c>
      <x:c r="D50" s="11" t="n">
        <x:v>0</x:v>
      </x:c>
      <x:c r="E50" s="9" t="str">
        <x:v>binary</x:v>
      </x:c>
      <x:c r="F50" s="9" t="str">
        <x:v>OPEN</x:v>
      </x:c>
      <x:c r="G50" s="9" t="str">
        <x:v>not constituted</x:v>
      </x:c>
    </x:row>
    <x:row r="51">
      <x:c r="B51" s="9" t="str">
        <x:v>C45</x:v>
      </x:c>
      <x:c r="C51" s="9" t="str">
        <x:v>Completed physical reconstruction events</x:v>
      </x:c>
      <x:c r="D51" s="11" t="n">
        <x:v>0</x:v>
      </x:c>
      <x:c r="E51" s="9" t="str">
        <x:v>events</x:v>
      </x:c>
      <x:c r="F51" s="9" t="str">
        <x:v>OPEN</x:v>
      </x:c>
      <x:c r="G51" s="9" t="str">
        <x:v>none executed</x:v>
      </x:c>
    </x:row>
    <x:row r="52">
      <x:c r="B52" s="9" t="str">
        <x:v>C46</x:v>
      </x:c>
      <x:c r="C52" s="9" t="str">
        <x:v>Completed shipset resets</x:v>
      </x:c>
      <x:c r="D52" s="11" t="n">
        <x:v>0</x:v>
      </x:c>
      <x:c r="E52" s="9" t="str">
        <x:v>resets</x:v>
      </x:c>
      <x:c r="F52" s="9" t="str">
        <x:v>OPEN</x:v>
      </x:c>
      <x:c r="G52" s="9" t="str">
        <x:v>none executed</x:v>
      </x:c>
    </x:row>
    <x:row r="53">
      <x:c r="B53" s="9" t="str">
        <x:v>C47</x:v>
      </x:c>
      <x:c r="C53" s="9" t="str">
        <x:v>Observed injected faults</x:v>
      </x:c>
      <x:c r="D53" s="11" t="n">
        <x:v>0</x:v>
      </x:c>
      <x:c r="E53" s="9" t="str">
        <x:v>faults</x:v>
      </x:c>
      <x:c r="F53" s="9" t="str">
        <x:v>OPEN</x:v>
      </x:c>
      <x:c r="G53" s="9" t="str">
        <x:v>none executed</x:v>
      </x:c>
    </x:row>
    <x:row r="54">
      <x:c r="B54" s="9" t="str">
        <x:v>C48</x:v>
      </x:c>
      <x:c r="C54" s="9" t="str">
        <x:v>Observed clean controls</x:v>
      </x:c>
      <x:c r="D54" s="11" t="n">
        <x:v>0</x:v>
      </x:c>
      <x:c r="E54" s="9" t="str">
        <x:v>controls</x:v>
      </x:c>
      <x:c r="F54" s="9" t="str">
        <x:v>OPEN</x:v>
      </x:c>
      <x:c r="G54" s="9" t="str">
        <x:v>none executed</x:v>
      </x:c>
    </x:row>
    <x:row r="55">
      <x:c r="B55" s="9" t="str">
        <x:v>C49</x:v>
      </x:c>
      <x:c r="C55" s="9" t="str">
        <x:v>Production and form authority</x:v>
      </x:c>
      <x:c r="D55" s="11" t="n">
        <x:v>0</x:v>
      </x:c>
      <x:c r="E55" s="9" t="str">
        <x:v>binary</x:v>
      </x:c>
      <x:c r="F55" s="9" t="str">
        <x:v>BLOCKED</x:v>
      </x:c>
      <x:c r="G55" s="9" t="str">
        <x:v>parent F36 chain</x:v>
      </x:c>
    </x:row>
    <x:row r="56">
      <x:c r="B56" s="10" t="str">
        <x:v>C50</x:v>
      </x:c>
      <x:c r="C56" s="10" t="str">
        <x:v>Exterior rendering authority</x:v>
      </x:c>
      <x:c r="D56" s="12" t="n">
        <x:v>0</x:v>
      </x:c>
      <x:c r="E56" s="10" t="str">
        <x:v>binary</x:v>
      </x:c>
      <x:c r="F56" s="10" t="str">
        <x:v>BLOCKED</x:v>
      </x:c>
      <x:c r="G56" s="10" t="str">
        <x:v>parent F36 chain</x:v>
      </x:c>
    </x:row>
  </x:sheetData>
  <x:mergeCells>
    <x:mergeCell ref="B2:G2"/>
    <x:mergeCell ref="B3:G3"/>
  </x:mergeCells>
  <x:conditionalFormatting sqref="F7:F56">
    <x:cfRule type="containsText" dxfId="0" priority="1" operator="containsText" text="PASS"/>
    <x:cfRule type="containsText" dxfId="1" priority="2" operator="containsText" text="SELECT"/>
    <x:cfRule type="containsText" dxfId="2" priority="3" operator="containsText" text="AUTHORIZED"/>
    <x:cfRule type="containsText" dxfId="3" priority="4" operator="containsText" text="ADMITTED"/>
    <x:cfRule type="containsText" dxfId="4" priority="5" operator="containsText" text="READY"/>
    <x:cfRule type="containsText" dxfId="5" priority="6" operator="containsText" text="HOLD"/>
    <x:cfRule type="containsText" dxfId="6" priority="7" operator="containsText" text="OPEN"/>
    <x:cfRule type="containsText" dxfId="7" priority="8" operator="containsText" text="SAFE_STOP"/>
    <x:cfRule type="containsText" dxfId="8" priority="9" operator="containsText" text="BLOCKED"/>
    <x:cfRule type="containsText" dxfId="9" priority="10" operator="containsText" text="PLANNING"/>
    <x:cfRule type="containsText" dxfId="10" priority="11" operator="containsText" text="FAIL"/>
    <x:cfRule type="containsText" dxfId="11" priority="12" operator="containsText" text="REJECT"/>
    <x:cfRule type="containsText" dxfId="12" priority="13" operator="containsText" text="LATE"/>
    <x:cfRule type="containsText" dxfId="13" priority="14" operator="containsText" text="INCOMPLETE"/>
    <x:cfRule type="containsText" dxfId="14" priority="15" operator="containsText" text="INDETERMINAT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9" hidden="0" customWidth="1"/>
    <x:col min="3" max="3" width="24" hidden="0" customWidth="1"/>
    <x:col min="4" max="4" width="16" hidden="0" customWidth="1"/>
    <x:col min="5" max="5" width="17" hidden="0" customWidth="1"/>
    <x:col min="6" max="6" width="18" hidden="0" customWidth="1"/>
    <x:col min="7" max="7" width="18" hidden="0" customWidth="1"/>
    <x:col min="8" max="8" width="52" hidden="0" customWidth="1"/>
    <x:col min="9" max="9" width="16" hidden="0" customWidth="1"/>
  </x:cols>
  <x:sheetData>
    <x:row r="2">
      <x:c r="B2" s="1" t="str">
        <x:v>From one-shot minimum to rotational readiness</x:v>
      </x:c>
      <x:c r="C2" s="36"/>
      <x:c r="D2" s="36"/>
      <x:c r="E2" s="36"/>
      <x:c r="F2" s="36"/>
      <x:c r="G2" s="36"/>
      <x:c r="H2" s="36"/>
      <x:c r="I2" s="36"/>
    </x:row>
    <x:row r="3">
      <x:c r="B3" s="2" t="str">
        <x:v>CRS-1 can execute one mission. CRS-2 preserves a separate alert path during exercise and reset.</x:v>
      </x:c>
      <x:c r="C3" s="36"/>
      <x:c r="D3" s="36"/>
      <x:c r="E3" s="36"/>
      <x:c r="F3" s="36"/>
      <x:c r="G3" s="36"/>
      <x:c r="H3" s="36"/>
      <x:c r="I3" s="36"/>
    </x:row>
    <x:row r="4">
      <x:c r="B4" s="37"/>
      <x:c r="C4" s="37"/>
      <x:c r="D4" s="37"/>
      <x:c r="E4" s="37"/>
      <x:c r="F4" s="37"/>
      <x:c r="G4" s="37"/>
      <x:c r="H4" s="37"/>
      <x:c r="I4" s="37"/>
    </x:row>
    <x:row r="5">
      <x:c r="B5" s="36"/>
      <x:c r="C5" s="36"/>
      <x:c r="D5" s="36"/>
      <x:c r="E5" s="36"/>
      <x:c r="F5" s="36"/>
      <x:c r="G5" s="36"/>
      <x:c r="H5" s="36"/>
      <x:c r="I5" s="36"/>
    </x:row>
    <x:row r="6">
      <x:c r="B6" s="7" t="str">
        <x:v>Measure</x:v>
      </x:c>
      <x:c r="C6" s="7" t="str">
        <x:v>CRS-1</x:v>
      </x:c>
      <x:c r="D6" s="7" t="str">
        <x:v>CRS-2</x:v>
      </x:c>
      <x:c r="E6" s="7" t="str">
        <x:v>Unit</x:v>
      </x:c>
      <x:c r="F6" s="7" t="str">
        <x:v>Absolute change</x:v>
      </x:c>
      <x:c r="G6" s="7" t="str">
        <x:v>Percent change</x:v>
      </x:c>
      <x:c r="H6" s="7" t="str">
        <x:v>Reason</x:v>
      </x:c>
      <x:c r="I6" s="7" t="str">
        <x:v>Planning gate</x:v>
      </x:c>
    </x:row>
    <x:row r="7">
      <x:c r="B7" s="9" t="str">
        <x:v>Complete shipsets</x:v>
      </x:c>
      <x:c r="C7" s="19" t="n">
        <x:v>4</x:v>
      </x:c>
      <x:c r="D7" s="19" t="n">
        <x:v>6</x:v>
      </x:c>
      <x:c r="E7" s="19" t="str">
        <x:v>shipsets</x:v>
      </x:c>
      <x:c r="F7" s="19" t="n">
        <x:f>D7-C7</x:f>
        <x:v>2</x:v>
      </x:c>
      <x:c r="G7" s="20" t="n">
        <x:f>IF(C7=0,"n.a.",F7/C7)</x:f>
        <x:v>0.5</x:v>
      </x:c>
      <x:c r="H7" s="9" t="str">
        <x:v>exercise commitment requires one additional shipset per root</x:v>
      </x:c>
      <x:c r="I7" s="9" t="str">
        <x:f>IF(AND(D7&gt;=0,H7&lt;&gt;""),"PASS","FAIL")</x:f>
        <x:v>PASS</x:v>
      </x:c>
    </x:row>
    <x:row r="8">
      <x:c r="B8" s="9" t="str">
        <x:v>Shipset arsenals</x:v>
      </x:c>
      <x:c r="C8" s="19" t="n">
        <x:v>4</x:v>
      </x:c>
      <x:c r="D8" s="19" t="n">
        <x:v>6</x:v>
      </x:c>
      <x:c r="E8" s="19" t="str">
        <x:v>arsenals</x:v>
      </x:c>
      <x:c r="F8" s="19" t="n">
        <x:f>D8-C8</x:f>
        <x:v>2</x:v>
      </x:c>
      <x:c r="G8" s="20" t="n">
        <x:f>IF(C8=0,"n.a.",F8/C8)</x:f>
        <x:v>0.5</x:v>
      </x:c>
      <x:c r="H8" s="9" t="str">
        <x:v>one independently loadable arsenal per shipset</x:v>
      </x:c>
      <x:c r="I8" s="9" t="str">
        <x:f>IF(AND(D8&gt;=0,H8&lt;&gt;""),"PASS","FAIL")</x:f>
        <x:v>PASS</x:v>
      </x:c>
    </x:row>
    <x:row r="9">
      <x:c r="B9" s="9" t="str">
        <x:v>Dark receiver sites</x:v>
      </x:c>
      <x:c r="C9" s="19" t="n">
        <x:v>6</x:v>
      </x:c>
      <x:c r="D9" s="19" t="n">
        <x:v>6</x:v>
      </x:c>
      <x:c r="E9" s="19" t="str">
        <x:v>sites</x:v>
      </x:c>
      <x:c r="F9" s="19" t="n">
        <x:f>D9-C9</x:f>
        <x:v>0</x:v>
      </x:c>
      <x:c r="G9" s="20" t="n">
        <x:f>IF(C9=0,"n.a.",F9/C9)</x:f>
        <x:v>0</x:v>
      </x:c>
      <x:c r="H9" s="9" t="str">
        <x:v>geographic option count unchanged</x:v>
      </x:c>
      <x:c r="I9" s="9" t="str">
        <x:f>IF(AND(D9&gt;=0,H9&lt;&gt;""),"PASS","FAIL")</x:f>
        <x:v>PASS</x:v>
      </x:c>
    </x:row>
    <x:row r="10">
      <x:c r="B10" s="9" t="str">
        <x:v>Public line groups</x:v>
      </x:c>
      <x:c r="C10" s="19" t="n">
        <x:v>1</x:v>
      </x:c>
      <x:c r="D10" s="19" t="n">
        <x:v>2</x:v>
      </x:c>
      <x:c r="E10" s="19" t="str">
        <x:v>groups</x:v>
      </x:c>
      <x:c r="F10" s="19" t="n">
        <x:f>D10-C10</x:f>
        <x:v>1</x:v>
      </x:c>
      <x:c r="G10" s="20" t="n">
        <x:f>IF(C10=0,"n.a.",F10/C10)</x:f>
        <x:v>1</x:v>
      </x:c>
      <x:c r="H10" s="9" t="str">
        <x:v>one exercises while one holds alert</x:v>
      </x:c>
      <x:c r="I10" s="9" t="str">
        <x:f>IF(AND(D10&gt;=0,H10&lt;&gt;""),"PASS","FAIL")</x:f>
        <x:v>PASS</x:v>
      </x:c>
    </x:row>
    <x:row r="11">
      <x:c r="B11" s="9" t="str">
        <x:v>Independent commissioning authority</x:v>
      </x:c>
      <x:c r="C11" s="19" t="n">
        <x:v>0</x:v>
      </x:c>
      <x:c r="D11" s="19" t="n">
        <x:v>120</x:v>
      </x:c>
      <x:c r="E11" s="19" t="str">
        <x:v>people</x:v>
      </x:c>
      <x:c r="F11" s="19" t="n">
        <x:f>D11-C11</x:f>
        <x:v>120</x:v>
      </x:c>
      <x:c r="G11" s="20" t="str">
        <x:f>IF(C11=0,"n.a.",F11/C11)</x:f>
        <x:v>n.a.</x:v>
      </x:c>
      <x:c r="H11" s="9" t="str">
        <x:v>two sixty-person teams outside line groups</x:v>
      </x:c>
      <x:c r="I11" s="9" t="str">
        <x:f>IF(AND(D11&gt;=0,H11&lt;&gt;""),"PASS","FAIL")</x:f>
        <x:v>PASS</x:v>
      </x:c>
    </x:row>
    <x:row r="12">
      <x:c r="B12" s="9" t="str">
        <x:v>Total public force</x:v>
      </x:c>
      <x:c r="C12" s="19" t="n">
        <x:v>300</x:v>
      </x:c>
      <x:c r="D12" s="19" t="n">
        <x:v>720</x:v>
      </x:c>
      <x:c r="E12" s="19" t="str">
        <x:v>people</x:v>
      </x:c>
      <x:c r="F12" s="19" t="n">
        <x:f>D12-C12</x:f>
        <x:v>420</x:v>
      </x:c>
      <x:c r="G12" s="20" t="n">
        <x:f>IF(C12=0,"n.a.",F12/C12)</x:f>
        <x:v>1.4</x:v>
      </x:c>
      <x:c r="H12" s="9" t="str">
        <x:v>two line groups plus independent authority</x:v>
      </x:c>
      <x:c r="I12" s="9" t="str">
        <x:f>IF(AND(D12&gt;=0,H12&lt;&gt;""),"PASS","FAIL")</x:f>
        <x:v>PASS</x:v>
      </x:c>
    </x:row>
    <x:row r="13">
      <x:c r="B13" s="9" t="str">
        <x:v>Retained industrial affiliates</x:v>
      </x:c>
      <x:c r="C13" s="19" t="n">
        <x:v>1400</x:v>
      </x:c>
      <x:c r="D13" s="19" t="n">
        <x:v>2800</x:v>
      </x:c>
      <x:c r="E13" s="19" t="str">
        <x:v>people</x:v>
      </x:c>
      <x:c r="F13" s="19" t="n">
        <x:f>D13-C13</x:f>
        <x:v>1400</x:v>
      </x:c>
      <x:c r="G13" s="20" t="n">
        <x:f>IF(C13=0,"n.a.",F13/C13)</x:f>
        <x:v>1</x:v>
      </x:c>
      <x:c r="H13" s="9" t="str">
        <x:v>unique exercise and alert pools</x:v>
      </x:c>
      <x:c r="I13" s="9" t="str">
        <x:f>IF(AND(D13&gt;=0,H13&lt;&gt;""),"PASS","FAIL")</x:f>
        <x:v>PASS</x:v>
      </x:c>
    </x:row>
    <x:row r="14">
      <x:c r="B14" s="9" t="str">
        <x:v>Gross standing capital</x:v>
      </x:c>
      <x:c r="C14" s="19" t="n">
        <x:v>10</x:v>
      </x:c>
      <x:c r="D14" s="19" t="n">
        <x:v>13.9</x:v>
      </x:c>
      <x:c r="E14" s="19" t="str">
        <x:v>USD B</x:v>
      </x:c>
      <x:c r="F14" s="19" t="n">
        <x:f>D14-C14</x:f>
        <x:v>3.9000000000000004</x:v>
      </x:c>
      <x:c r="G14" s="20" t="n">
        <x:f>IF(C14=0,"n.a.",F14/C14)</x:f>
        <x:v>0.39</x:v>
      </x:c>
      <x:c r="H14" s="9" t="str">
        <x:v>rotational material and formation capacity</x:v>
      </x:c>
      <x:c r="I14" s="9" t="str">
        <x:f>IF(AND(D14&gt;=0,H14&lt;&gt;""),"PASS","FAIL")</x:f>
        <x:v>PASS</x:v>
      </x:c>
    </x:row>
    <x:row r="15">
      <x:c r="B15" s="9" t="str">
        <x:v>Annual support</x:v>
      </x:c>
      <x:c r="C15" s="19" t="n">
        <x:v>0.62</x:v>
      </x:c>
      <x:c r="D15" s="19" t="n">
        <x:v>1.086</x:v>
      </x:c>
      <x:c r="E15" s="19" t="str">
        <x:v>USD B/year</x:v>
      </x:c>
      <x:c r="F15" s="19" t="n">
        <x:f>D15-C15</x:f>
        <x:v>0.4660000000000001</x:v>
      </x:c>
      <x:c r="G15" s="20" t="n">
        <x:f>IF(C15=0,"n.a.",F15/C15)</x:f>
        <x:v>0.7516129032258065</x:v>
      </x:c>
      <x:c r="H15" s="9" t="str">
        <x:v>two rotations and larger stored estate</x:v>
      </x:c>
      <x:c r="I15" s="9" t="str">
        <x:f>IF(AND(D15&gt;=0,H15&lt;&gt;""),"PASS","FAIL")</x:f>
        <x:v>PASS</x:v>
      </x:c>
    </x:row>
    <x:row r="16">
      <x:c r="B16" s="10" t="str">
        <x:v>Twenty-five-year incremental boundary</x:v>
      </x:c>
      <x:c r="C16" s="21" t="n">
        <x:v>25.4</x:v>
      </x:c>
      <x:c r="D16" s="21" t="n">
        <x:v>40.95</x:v>
      </x:c>
      <x:c r="E16" s="21" t="str">
        <x:v>USD B</x:v>
      </x:c>
      <x:c r="F16" s="21" t="n">
        <x:f>D16-C16</x:f>
        <x:v>15.550000000000004</x:v>
      </x:c>
      <x:c r="G16" s="22" t="n">
        <x:f>IF(C16=0,"n.a.",F16/C16)</x:f>
        <x:v>0.6122047244094491</x:v>
      </x:c>
      <x:c r="H16" s="10" t="str">
        <x:v>capital plus twenty-five years of support</x:v>
      </x:c>
      <x:c r="I16" s="10" t="str">
        <x:f>IF(AND(D16&gt;=0,H16&lt;&gt;""),"PASS","FAIL")</x:f>
        <x:v>PASS</x:v>
      </x:c>
    </x:row>
    <x:row r="17">
      <x:c r="B17" s="36"/>
      <x:c r="C17" s="36"/>
      <x:c r="D17" s="36"/>
      <x:c r="E17" s="36"/>
      <x:c r="F17" s="36"/>
      <x:c r="G17" s="36"/>
      <x:c r="H17" s="36"/>
      <x:c r="I17" s="36"/>
    </x:row>
    <x:row r="18">
      <x:c r="B18" s="36"/>
      <x:c r="C18" s="36"/>
      <x:c r="D18" s="36"/>
      <x:c r="E18" s="36"/>
      <x:c r="F18" s="36"/>
      <x:c r="G18" s="36"/>
      <x:c r="H18" s="36"/>
      <x:c r="I18" s="36"/>
    </x:row>
    <x:row r="19">
      <x:c r="B19" s="36"/>
      <x:c r="C19" s="36"/>
      <x:c r="D19" s="36"/>
      <x:c r="E19" s="36"/>
      <x:c r="F19" s="36"/>
      <x:c r="G19" s="36"/>
      <x:c r="H19" s="36"/>
      <x:c r="I19" s="36"/>
    </x:row>
    <x:row r="20">
      <x:c r="B20" s="25" t="str">
        <x:v>Authority result</x:v>
      </x:c>
      <x:c r="C20" s="26" t="str">
        <x:v>Authority result</x:v>
      </x:c>
      <x:c r="D20" s="26" t="str">
        <x:v>Authority result</x:v>
      </x:c>
      <x:c r="E20" s="26" t="str">
        <x:v>Authority result</x:v>
      </x:c>
      <x:c r="F20" s="26" t="str">
        <x:v>Authority result</x:v>
      </x:c>
      <x:c r="G20" s="26" t="str">
        <x:v>Authority result</x:v>
      </x:c>
      <x:c r="H20" s="26" t="str">
        <x:v>Authority result</x:v>
      </x:c>
      <x:c r="I20" s="27" t="str">
        <x:v>Authority result</x:v>
      </x:c>
    </x:row>
    <x:row r="21" ht="30" customHeight="1">
      <x:c r="B21" s="36" t="str">
        <x:v>CRS-1</x:v>
      </x:c>
      <x:c r="C21" s="39" t="str">
        <x:v>ONE_SHOT_MINIMUM</x:v>
      </x:c>
      <x:c r="D21" s="36" t="str">
        <x:v>Retained as the minimum physical architecture for one reconstruction mission.</x:v>
      </x:c>
      <x:c r="E21" s="36"/>
      <x:c r="F21" s="36"/>
      <x:c r="G21" s="36"/>
      <x:c r="H21" s="36"/>
      <x:c r="I21" s="36"/>
    </x:row>
    <x:row r="22" ht="30" customHeight="1">
      <x:c r="B22" s="36" t="str">
        <x:v>CRS-2</x:v>
      </x:c>
      <x:c r="C22" s="39" t="str">
        <x:v>ROTATIONAL_REFERENCE</x:v>
      </x:c>
      <x:c r="D22" s="36" t="str">
        <x:v>Selected planning reference for a force that must exercise and remain alert.</x:v>
      </x:c>
      <x:c r="E22" s="36"/>
      <x:c r="F22" s="36"/>
      <x:c r="G22" s="36"/>
      <x:c r="H22" s="36"/>
      <x:c r="I22" s="36"/>
    </x:row>
  </x:sheetData>
  <x:mergeCells>
    <x:mergeCell ref="B2:I2"/>
    <x:mergeCell ref="B3:I3"/>
    <x:mergeCell ref="B20:I20"/>
    <x:mergeCell ref="D21:I21"/>
    <x:mergeCell ref="D22:I22"/>
  </x:mergeCells>
  <x:conditionalFormatting sqref="I7:I16">
    <x:cfRule type="containsText" dxfId="15" priority="1" operator="containsText" text="PASS"/>
    <x:cfRule type="containsText" dxfId="16" priority="2" operator="containsText" text="SELECT"/>
    <x:cfRule type="containsText" dxfId="17" priority="3" operator="containsText" text="AUTHORIZED"/>
    <x:cfRule type="containsText" dxfId="18" priority="4" operator="containsText" text="ADMITTED"/>
    <x:cfRule type="containsText" dxfId="19" priority="5" operator="containsText" text="READY"/>
    <x:cfRule type="containsText" dxfId="20" priority="6" operator="containsText" text="HOLD"/>
    <x:cfRule type="containsText" dxfId="21" priority="7" operator="containsText" text="OPEN"/>
    <x:cfRule type="containsText" dxfId="22" priority="8" operator="containsText" text="SAFE_STOP"/>
    <x:cfRule type="containsText" dxfId="23" priority="9" operator="containsText" text="BLOCKED"/>
    <x:cfRule type="containsText" dxfId="24" priority="10" operator="containsText" text="PLANNING"/>
    <x:cfRule type="containsText" dxfId="25" priority="11" operator="containsText" text="FAIL"/>
    <x:cfRule type="containsText" dxfId="26" priority="12" operator="containsText" text="REJECT"/>
    <x:cfRule type="containsText" dxfId="27" priority="13" operator="containsText" text="LATE"/>
    <x:cfRule type="containsText" dxfId="28" priority="14" operator="containsText" text="INCOMPLETE"/>
    <x:cfRule type="containsText" dxfId="29" priority="15" operator="containsText" text="INDETERMINAT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3" hidden="0" customWidth="1"/>
    <x:col min="4" max="4" width="13" hidden="0" customWidth="1"/>
    <x:col min="5" max="5" width="15" hidden="0" customWidth="1"/>
    <x:col min="6" max="6" width="17" hidden="0" customWidth="1"/>
    <x:col min="7" max="7" width="18" hidden="0" customWidth="1"/>
    <x:col min="8" max="8" width="13" hidden="0" customWidth="1"/>
    <x:col min="9" max="9" width="13" hidden="0" customWidth="1"/>
    <x:col min="10" max="10" width="17" hidden="0" customWidth="1"/>
    <x:col min="11" max="11" width="15" hidden="0" customWidth="1"/>
    <x:col min="12" max="12" width="31" hidden="0" customWidth="1"/>
    <x:col min="13" max="13" width="16" hidden="0" customWidth="1"/>
    <x:col min="14" max="14" width="18" hidden="0" customWidth="1"/>
    <x:col min="15" max="15" width="17" hidden="0" customWidth="1"/>
    <x:col min="16" max="16" width="17" hidden="0" customWidth="1"/>
    <x:col min="17" max="17" width="12" hidden="0" customWidth="1"/>
    <x:col min="18" max="18" width="17" hidden="0" customWidth="1"/>
    <x:col min="19" max="19" width="16" hidden="0" customWidth="1"/>
    <x:col min="20" max="20" width="18" hidden="0" customWidth="1"/>
  </x:cols>
  <x:sheetData>
    <x:row r="2">
      <x:c r="B2" s="1" t="str">
        <x:v>CRC-6 event registry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</x:row>
    <x:row r="3">
      <x:c r="B3" s="2" t="str">
        <x:v>The live challenge authority may permute equivalent identities but cannot reduce registered coverage after observing performance.</x:v>
      </x:c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</x:row>
    <x:row r="6">
      <x:c r="B6" s="7" t="str">
        <x:v>Event</x:v>
      </x:c>
      <x:c r="C6" s="7" t="str">
        <x:v>Start month</x:v>
      </x:c>
      <x:c r="D6" s="7" t="str">
        <x:v>Lost campus</x:v>
      </x:c>
      <x:c r="E6" s="7" t="str">
        <x:v>Denied root</x:v>
      </x:c>
      <x:c r="F6" s="7" t="str">
        <x:v>Lost arsenal</x:v>
      </x:c>
      <x:c r="G6" s="7" t="str">
        <x:v>Selected shipset</x:v>
      </x:c>
      <x:c r="H6" s="7" t="str">
        <x:v>Receiver</x:v>
      </x:c>
      <x:c r="I6" s="7" t="str">
        <x:v>Line group</x:v>
      </x:c>
      <x:c r="J6" s="7" t="str">
        <x:v>Commission team</x:v>
      </x:c>
      <x:c r="K6" s="7" t="str">
        <x:v>Affiliate pool</x:v>
      </x:c>
      <x:c r="L6" s="7" t="str">
        <x:v>Secondary challenge</x:v>
      </x:c>
      <x:c r="M6" s="7" t="str">
        <x:v>Planning days</x:v>
      </x:c>
      <x:c r="N6" s="7" t="str">
        <x:v>Core reserve used</x:v>
      </x:c>
      <x:c r="O6" s="7" t="str">
        <x:v>Terminal margin</x:v>
      </x:c>
      <x:c r="P6" s="7" t="str">
        <x:v>Service records</x:v>
      </x:c>
      <x:c r="Q6" s="7" t="str">
        <x:v>Faults</x:v>
      </x:c>
      <x:c r="R6" s="7" t="str">
        <x:v>Clean controls</x:v>
      </x:c>
      <x:c r="S6" s="7" t="str">
        <x:v>Planning gate</x:v>
      </x:c>
      <x:c r="T6" s="7" t="str">
        <x:v>Physical terminal</x:v>
      </x:c>
    </x:row>
    <x:row r="7">
      <x:c r="B7" s="9" t="str">
        <x:v>CRC-E01</x:v>
      </x:c>
      <x:c r="C7" s="9" t="n">
        <x:v>0</x:v>
      </x:c>
      <x:c r="D7" s="9" t="str">
        <x:v>NRC-A</x:v>
      </x:c>
      <x:c r="E7" s="9" t="str">
        <x:v>ROOT_A</x:v>
      </x:c>
      <x:c r="F7" s="9" t="str">
        <x:v>ARSENAL_4</x:v>
      </x:c>
      <x:c r="G7" s="9" t="str">
        <x:v>B2</x:v>
      </x:c>
      <x:c r="H7" s="9" t="str">
        <x:v>DRS-01</x:v>
      </x:c>
      <x:c r="I7" s="9" t="str">
        <x:v>CRG-A</x:v>
      </x:c>
      <x:c r="J7" s="9" t="str">
        <x:v>ICCA-1</x:v>
      </x:c>
      <x:c r="K7" s="9" t="str">
        <x:v>AFP-A</x:v>
      </x:c>
      <x:c r="L7" s="9" t="str">
        <x:v>NONE</x:v>
      </x:c>
      <x:c r="M7" s="31" t="n">
        <x:v>162</x:v>
      </x:c>
      <x:c r="N7" s="31" t="n">
        <x:f>M7-'Controls'!$D$8</x:f>
        <x:v>0</x:v>
      </x:c>
      <x:c r="O7" s="31" t="n">
        <x:f>'Controls'!$D$7-M7</x:f>
        <x:v>18</x:v>
      </x:c>
      <x:c r="P7" s="9" t="n">
        <x:f>COUNTIFS('Service Registry'!$C$7:$C$60,B7)</x:f>
        <x:v>9</x:v>
      </x:c>
      <x:c r="Q7" s="9" t="n">
        <x:f>COUNTIFS('Fault Campaign'!$C$20:$C$43,B7)</x:f>
        <x:v>4</x:v>
      </x:c>
      <x:c r="R7" s="9" t="n">
        <x:v>2</x:v>
      </x:c>
      <x:c r="S7" s="9" t="str">
        <x:f>IF(AND(M7&lt;='Controls'!$D$7,P7=9,Q7=4,R7=2,COUNTIFS(Shipsets!$B$7:$B$12,G7,Shipsets!$C$7:$C$12,"&lt;&gt;"&amp;E7,Shipsets!$D$7:$D$12,"&lt;&gt;"&amp;F7)=1,H7&lt;&gt;"",I7&lt;&gt;"",J7&lt;&gt;"",K7&lt;&gt;""),"PASS","FAIL")</x:f>
        <x:v>PASS</x:v>
      </x:c>
      <x:c r="T7" s="9" t="str">
        <x:v>OPEN</x:v>
      </x:c>
    </x:row>
    <x:row r="8">
      <x:c r="B8" s="9" t="str">
        <x:v>CRC-E02</x:v>
      </x:c>
      <x:c r="C8" s="9" t="n">
        <x:v>13</x:v>
      </x:c>
      <x:c r="D8" s="9" t="str">
        <x:v>NRC-B</x:v>
      </x:c>
      <x:c r="E8" s="9" t="str">
        <x:v>ROOT_B</x:v>
      </x:c>
      <x:c r="F8" s="9" t="str">
        <x:v>ARSENAL_1</x:v>
      </x:c>
      <x:c r="G8" s="9" t="str">
        <x:v>A2</x:v>
      </x:c>
      <x:c r="H8" s="9" t="str">
        <x:v>DRS-02</x:v>
      </x:c>
      <x:c r="I8" s="9" t="str">
        <x:v>CRG-B</x:v>
      </x:c>
      <x:c r="J8" s="9" t="str">
        <x:v>ICCA-2</x:v>
      </x:c>
      <x:c r="K8" s="9" t="str">
        <x:v>AFP-B</x:v>
      </x:c>
      <x:c r="L8" s="9" t="str">
        <x:v>GRID_UNAVAILABLE</x:v>
      </x:c>
      <x:c r="M8" s="31" t="n">
        <x:v>168</x:v>
      </x:c>
      <x:c r="N8" s="31" t="n">
        <x:f>M8-'Controls'!$D$8</x:f>
        <x:v>6</x:v>
      </x:c>
      <x:c r="O8" s="31" t="n">
        <x:f>'Controls'!$D$7-M8</x:f>
        <x:v>12</x:v>
      </x:c>
      <x:c r="P8" s="9" t="n">
        <x:f>COUNTIFS('Service Registry'!$C$7:$C$60,B8)</x:f>
        <x:v>9</x:v>
      </x:c>
      <x:c r="Q8" s="9" t="n">
        <x:f>COUNTIFS('Fault Campaign'!$C$20:$C$43,B8)</x:f>
        <x:v>4</x:v>
      </x:c>
      <x:c r="R8" s="9" t="n">
        <x:v>2</x:v>
      </x:c>
      <x:c r="S8" s="9" t="str">
        <x:f>IF(AND(M8&lt;='Controls'!$D$7,P8=9,Q8=4,R8=2,COUNTIFS(Shipsets!$B$7:$B$12,G8,Shipsets!$C$7:$C$12,"&lt;&gt;"&amp;E8,Shipsets!$D$7:$D$12,"&lt;&gt;"&amp;F8)=1,H8&lt;&gt;"",I8&lt;&gt;"",J8&lt;&gt;"",K8&lt;&gt;""),"PASS","FAIL")</x:f>
        <x:v>PASS</x:v>
      </x:c>
      <x:c r="T8" s="9" t="str">
        <x:v>OPEN</x:v>
      </x:c>
    </x:row>
    <x:row r="9">
      <x:c r="B9" s="9" t="str">
        <x:v>CRC-E03</x:v>
      </x:c>
      <x:c r="C9" s="9" t="n">
        <x:v>26</x:v>
      </x:c>
      <x:c r="D9" s="9" t="str">
        <x:v>NRC-C</x:v>
      </x:c>
      <x:c r="E9" s="9" t="str">
        <x:v>ROOT_A</x:v>
      </x:c>
      <x:c r="F9" s="9" t="str">
        <x:v>ARSENAL_6</x:v>
      </x:c>
      <x:c r="G9" s="9" t="str">
        <x:v>B1</x:v>
      </x:c>
      <x:c r="H9" s="9" t="str">
        <x:v>DRS-03</x:v>
      </x:c>
      <x:c r="I9" s="9" t="str">
        <x:v>CRG-A</x:v>
      </x:c>
      <x:c r="J9" s="9" t="str">
        <x:v>ICCA-1</x:v>
      </x:c>
      <x:c r="K9" s="9" t="str">
        <x:v>AFP-A</x:v>
      </x:c>
      <x:c r="L9" s="9" t="str">
        <x:v>SOURCE_WATER_UNAVAILABLE</x:v>
      </x:c>
      <x:c r="M9" s="31" t="n">
        <x:v>171</x:v>
      </x:c>
      <x:c r="N9" s="31" t="n">
        <x:f>M9-'Controls'!$D$8</x:f>
        <x:v>9</x:v>
      </x:c>
      <x:c r="O9" s="31" t="n">
        <x:f>'Controls'!$D$7-M9</x:f>
        <x:v>9</x:v>
      </x:c>
      <x:c r="P9" s="9" t="n">
        <x:f>COUNTIFS('Service Registry'!$C$7:$C$60,B9)</x:f>
        <x:v>9</x:v>
      </x:c>
      <x:c r="Q9" s="9" t="n">
        <x:f>COUNTIFS('Fault Campaign'!$C$20:$C$43,B9)</x:f>
        <x:v>4</x:v>
      </x:c>
      <x:c r="R9" s="9" t="n">
        <x:v>2</x:v>
      </x:c>
      <x:c r="S9" s="9" t="str">
        <x:f>IF(AND(M9&lt;='Controls'!$D$7,P9=9,Q9=4,R9=2,COUNTIFS(Shipsets!$B$7:$B$12,G9,Shipsets!$C$7:$C$12,"&lt;&gt;"&amp;E9,Shipsets!$D$7:$D$12,"&lt;&gt;"&amp;F9)=1,H9&lt;&gt;"",I9&lt;&gt;"",J9&lt;&gt;"",K9&lt;&gt;""),"PASS","FAIL")</x:f>
        <x:v>PASS</x:v>
      </x:c>
      <x:c r="T9" s="9" t="str">
        <x:v>OPEN</x:v>
      </x:c>
    </x:row>
    <x:row r="10">
      <x:c r="B10" s="9" t="str">
        <x:v>CRC-E04</x:v>
      </x:c>
      <x:c r="C10" s="9" t="n">
        <x:v>39</x:v>
      </x:c>
      <x:c r="D10" s="9" t="str">
        <x:v>NRC-A</x:v>
      </x:c>
      <x:c r="E10" s="9" t="str">
        <x:v>ROOT_B</x:v>
      </x:c>
      <x:c r="F10" s="9" t="str">
        <x:v>ARSENAL_2</x:v>
      </x:c>
      <x:c r="G10" s="9" t="str">
        <x:v>A1</x:v>
      </x:c>
      <x:c r="H10" s="9" t="str">
        <x:v>DRS-04</x:v>
      </x:c>
      <x:c r="I10" s="9" t="str">
        <x:v>CRG-B</x:v>
      </x:c>
      <x:c r="J10" s="9" t="str">
        <x:v>ICCA-2</x:v>
      </x:c>
      <x:c r="K10" s="9" t="str">
        <x:v>AFP-B</x:v>
      </x:c>
      <x:c r="L10" s="9" t="str">
        <x:v>HEAVY_ROUTE_CUT</x:v>
      </x:c>
      <x:c r="M10" s="31" t="n">
        <x:v>174</x:v>
      </x:c>
      <x:c r="N10" s="31" t="n">
        <x:f>M10-'Controls'!$D$8</x:f>
        <x:v>12</x:v>
      </x:c>
      <x:c r="O10" s="31" t="n">
        <x:f>'Controls'!$D$7-M10</x:f>
        <x:v>6</x:v>
      </x:c>
      <x:c r="P10" s="9" t="n">
        <x:f>COUNTIFS('Service Registry'!$C$7:$C$60,B10)</x:f>
        <x:v>9</x:v>
      </x:c>
      <x:c r="Q10" s="9" t="n">
        <x:f>COUNTIFS('Fault Campaign'!$C$20:$C$43,B10)</x:f>
        <x:v>4</x:v>
      </x:c>
      <x:c r="R10" s="9" t="n">
        <x:v>2</x:v>
      </x:c>
      <x:c r="S10" s="9" t="str">
        <x:f>IF(AND(M10&lt;='Controls'!$D$7,P10=9,Q10=4,R10=2,COUNTIFS(Shipsets!$B$7:$B$12,G10,Shipsets!$C$7:$C$12,"&lt;&gt;"&amp;E10,Shipsets!$D$7:$D$12,"&lt;&gt;"&amp;F10)=1,H10&lt;&gt;"",I10&lt;&gt;"",J10&lt;&gt;"",K10&lt;&gt;""),"PASS","FAIL")</x:f>
        <x:v>PASS</x:v>
      </x:c>
      <x:c r="T10" s="9" t="str">
        <x:v>OPEN</x:v>
      </x:c>
    </x:row>
    <x:row r="11">
      <x:c r="B11" s="9" t="str">
        <x:v>CRC-E05</x:v>
      </x:c>
      <x:c r="C11" s="9" t="n">
        <x:v>52</x:v>
      </x:c>
      <x:c r="D11" s="9" t="str">
        <x:v>NRC-B</x:v>
      </x:c>
      <x:c r="E11" s="9" t="str">
        <x:v>ROOT_A</x:v>
      </x:c>
      <x:c r="F11" s="9" t="str">
        <x:v>ARSENAL_5</x:v>
      </x:c>
      <x:c r="G11" s="9" t="str">
        <x:v>B3</x:v>
      </x:c>
      <x:c r="H11" s="9" t="str">
        <x:v>DRS-05</x:v>
      </x:c>
      <x:c r="I11" s="9" t="str">
        <x:v>CRG-A</x:v>
      </x:c>
      <x:c r="J11" s="9" t="str">
        <x:v>ICCA-1</x:v>
      </x:c>
      <x:c r="K11" s="9" t="str">
        <x:v>AFP-A</x:v>
      </x:c>
      <x:c r="L11" s="9" t="str">
        <x:v>NETWORK_AND_SIGNING_LOSS</x:v>
      </x:c>
      <x:c r="M11" s="31" t="n">
        <x:v>167</x:v>
      </x:c>
      <x:c r="N11" s="31" t="n">
        <x:f>M11-'Controls'!$D$8</x:f>
        <x:v>5</x:v>
      </x:c>
      <x:c r="O11" s="31" t="n">
        <x:f>'Controls'!$D$7-M11</x:f>
        <x:v>13</x:v>
      </x:c>
      <x:c r="P11" s="9" t="n">
        <x:f>COUNTIFS('Service Registry'!$C$7:$C$60,B11)</x:f>
        <x:v>9</x:v>
      </x:c>
      <x:c r="Q11" s="9" t="n">
        <x:f>COUNTIFS('Fault Campaign'!$C$20:$C$43,B11)</x:f>
        <x:v>4</x:v>
      </x:c>
      <x:c r="R11" s="9" t="n">
        <x:v>2</x:v>
      </x:c>
      <x:c r="S11" s="9" t="str">
        <x:f>IF(AND(M11&lt;='Controls'!$D$7,P11=9,Q11=4,R11=2,COUNTIFS(Shipsets!$B$7:$B$12,G11,Shipsets!$C$7:$C$12,"&lt;&gt;"&amp;E11,Shipsets!$D$7:$D$12,"&lt;&gt;"&amp;F11)=1,H11&lt;&gt;"",I11&lt;&gt;"",J11&lt;&gt;"",K11&lt;&gt;""),"PASS","FAIL")</x:f>
        <x:v>PASS</x:v>
      </x:c>
      <x:c r="T11" s="9" t="str">
        <x:v>OPEN</x:v>
      </x:c>
    </x:row>
    <x:row r="12">
      <x:c r="B12" s="10" t="str">
        <x:v>CRC-E06</x:v>
      </x:c>
      <x:c r="C12" s="10" t="n">
        <x:v>65</x:v>
      </x:c>
      <x:c r="D12" s="10" t="str">
        <x:v>NRC-C</x:v>
      </x:c>
      <x:c r="E12" s="10" t="str">
        <x:v>ROOT_B</x:v>
      </x:c>
      <x:c r="F12" s="10" t="str">
        <x:v>ARSENAL_3</x:v>
      </x:c>
      <x:c r="G12" s="10" t="str">
        <x:v>A2</x:v>
      </x:c>
      <x:c r="H12" s="10" t="str">
        <x:v>DRS-06</x:v>
      </x:c>
      <x:c r="I12" s="10" t="str">
        <x:v>CRG-B</x:v>
      </x:c>
      <x:c r="J12" s="10" t="str">
        <x:v>ICCA-2</x:v>
      </x:c>
      <x:c r="K12" s="10" t="str">
        <x:v>AFP-B</x:v>
      </x:c>
      <x:c r="L12" s="10" t="str">
        <x:v>NON_MUSTER_AND_REFERENCE_LOSS</x:v>
      </x:c>
      <x:c r="M12" s="32" t="n">
        <x:v>179</x:v>
      </x:c>
      <x:c r="N12" s="32" t="n">
        <x:f>M12-'Controls'!$D$8</x:f>
        <x:v>17</x:v>
      </x:c>
      <x:c r="O12" s="32" t="n">
        <x:f>'Controls'!$D$7-M12</x:f>
        <x:v>1</x:v>
      </x:c>
      <x:c r="P12" s="10" t="n">
        <x:f>COUNTIFS('Service Registry'!$C$7:$C$60,B12)</x:f>
        <x:v>9</x:v>
      </x:c>
      <x:c r="Q12" s="10" t="n">
        <x:f>COUNTIFS('Fault Campaign'!$C$20:$C$43,B12)</x:f>
        <x:v>4</x:v>
      </x:c>
      <x:c r="R12" s="10" t="n">
        <x:v>2</x:v>
      </x:c>
      <x:c r="S12" s="10" t="str">
        <x:f>IF(AND(M12&lt;='Controls'!$D$7,P12=9,Q12=4,R12=2,COUNTIFS(Shipsets!$B$7:$B$12,G12,Shipsets!$C$7:$C$12,"&lt;&gt;"&amp;E12,Shipsets!$D$7:$D$12,"&lt;&gt;"&amp;F12)=1,H12&lt;&gt;"",I12&lt;&gt;"",J12&lt;&gt;"",K12&lt;&gt;""),"PASS","FAIL")</x:f>
        <x:v>PASS</x:v>
      </x:c>
      <x:c r="T12" s="10" t="str">
        <x:v>OPEN</x:v>
      </x:c>
    </x:row>
    <x:row r="13"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</x:row>
    <x:row r="14"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</x:row>
    <x:row r="15"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</x:row>
    <x:row r="16">
      <x:c r="B16" s="25" t="str">
        <x:v>Coverage controls</x:v>
      </x:c>
      <x:c r="C16" s="26" t="str">
        <x:v>Coverage controls</x:v>
      </x:c>
      <x:c r="D16" s="26" t="str">
        <x:v>Coverage controls</x:v>
      </x:c>
      <x:c r="E16" s="26" t="str">
        <x:v>Coverage controls</x:v>
      </x:c>
      <x:c r="F16" s="26" t="str">
        <x:v>Coverage controls</x:v>
      </x:c>
      <x:c r="G16" s="26" t="str">
        <x:v>Coverage controls</x:v>
      </x:c>
      <x:c r="H16" s="26" t="str">
        <x:v>Coverage controls</x:v>
      </x:c>
      <x:c r="I16" s="26" t="str">
        <x:v>Coverage controls</x:v>
      </x:c>
      <x:c r="J16" s="26" t="str">
        <x:v>Coverage controls</x:v>
      </x:c>
      <x:c r="K16" s="26" t="str">
        <x:v>Coverage controls</x:v>
      </x:c>
      <x:c r="L16" s="26" t="str">
        <x:v>Coverage controls</x:v>
      </x:c>
      <x:c r="M16" s="26" t="str">
        <x:v>Coverage controls</x:v>
      </x:c>
      <x:c r="N16" s="26" t="str">
        <x:v>Coverage controls</x:v>
      </x:c>
      <x:c r="O16" s="26" t="str">
        <x:v>Coverage controls</x:v>
      </x:c>
      <x:c r="P16" s="26" t="str">
        <x:v>Coverage controls</x:v>
      </x:c>
      <x:c r="Q16" s="26" t="str">
        <x:v>Coverage controls</x:v>
      </x:c>
      <x:c r="R16" s="26" t="str">
        <x:v>Coverage controls</x:v>
      </x:c>
      <x:c r="S16" s="26" t="str">
        <x:v>Coverage controls</x:v>
      </x:c>
      <x:c r="T16" s="27" t="str">
        <x:v>Coverage controls</x:v>
      </x:c>
    </x:row>
    <x:row r="17">
      <x:c r="B17" s="36" t="str">
        <x:v>Receiver identities</x:v>
      </x:c>
      <x:c r="C17" s="36" t="str">
        <x:v>DRS-01 through DRS-06</x:v>
      </x:c>
      <x:c r="D17" s="36" t="n">
        <x:v>6</x:v>
      </x:c>
      <x:c r="E17" s="36" t="n">
        <x:f>IF(AND(COUNTIF(H7:H12,"DRS-01")=1,COUNTIF(H7:H12,"DRS-02")=1,COUNTIF(H7:H12,"DRS-03")=1,COUNTIF(H7:H12,"DRS-04")=1,COUNTIF(H7:H12,"DRS-05")=1,COUNTIF(H7:H12,"DRS-06")=1),6,0)</x:f>
        <x:v>6</x:v>
      </x:c>
      <x:c r="F17" s="36" t="str">
        <x:f>IF(E17=D17,"PASS","FAIL")</x:f>
        <x:v>PASS</x:v>
      </x:c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</x:row>
    <x:row r="18">
      <x:c r="B18" s="36" t="str">
        <x:v>Denied Root A</x:v>
      </x:c>
      <x:c r="C18" s="36" t="str">
        <x:v>events</x:v>
      </x:c>
      <x:c r="D18" s="36" t="n">
        <x:v>3</x:v>
      </x:c>
      <x:c r="E18" s="36" t="n">
        <x:f>COUNTIFS(E7:E12,"ROOT_A")</x:f>
        <x:v>3</x:v>
      </x:c>
      <x:c r="F18" s="36" t="str">
        <x:f>IF(E18=D18,"PASS","FAIL")</x:f>
        <x:v>PASS</x:v>
      </x:c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</x:row>
    <x:row r="19">
      <x:c r="B19" s="36" t="str">
        <x:v>Denied Root B</x:v>
      </x:c>
      <x:c r="C19" s="36" t="str">
        <x:v>events</x:v>
      </x:c>
      <x:c r="D19" s="36" t="n">
        <x:v>3</x:v>
      </x:c>
      <x:c r="E19" s="36" t="n">
        <x:f>COUNTIFS(E7:E12,"ROOT_B")</x:f>
        <x:v>3</x:v>
      </x:c>
      <x:c r="F19" s="36" t="str">
        <x:f>IF(E19=D19,"PASS","FAIL")</x:f>
        <x:v>PASS</x:v>
      </x:c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</x:row>
    <x:row r="20">
      <x:c r="B20" s="36" t="str">
        <x:v>Lost arsenals</x:v>
      </x:c>
      <x:c r="C20" s="36" t="str">
        <x:v>unique</x:v>
      </x:c>
      <x:c r="D20" s="36" t="n">
        <x:v>6</x:v>
      </x:c>
      <x:c r="E20" s="36" t="n">
        <x:f>IF(AND(COUNTIF(F7:F12,"ARSENAL_1")=1,COUNTIF(F7:F12,"ARSENAL_2")=1,COUNTIF(F7:F12,"ARSENAL_3")=1,COUNTIF(F7:F12,"ARSENAL_4")=1,COUNTIF(F7:F12,"ARSENAL_5")=1,COUNTIF(F7:F12,"ARSENAL_6")=1),6,0)</x:f>
        <x:v>6</x:v>
      </x:c>
      <x:c r="F20" s="36" t="str">
        <x:f>IF(E20=D20,"PASS","FAIL")</x:f>
        <x:v>PASS</x:v>
      </x:c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</x:row>
    <x:row r="21">
      <x:c r="B21" s="36" t="str">
        <x:v>Lost NRC-A</x:v>
      </x:c>
      <x:c r="C21" s="36" t="str">
        <x:v>events</x:v>
      </x:c>
      <x:c r="D21" s="36" t="n">
        <x:v>2</x:v>
      </x:c>
      <x:c r="E21" s="36" t="n">
        <x:f>COUNTIFS(D7:D12,"NRC-A")</x:f>
        <x:v>2</x:v>
      </x:c>
      <x:c r="F21" s="36" t="str">
        <x:f>IF(E21=D21,"PASS","FAIL")</x:f>
        <x:v>PASS</x:v>
      </x:c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</x:row>
    <x:row r="22">
      <x:c r="B22" s="36" t="str">
        <x:v>Lost NRC-B</x:v>
      </x:c>
      <x:c r="C22" s="36" t="str">
        <x:v>events</x:v>
      </x:c>
      <x:c r="D22" s="36" t="n">
        <x:v>2</x:v>
      </x:c>
      <x:c r="E22" s="36" t="n">
        <x:f>COUNTIFS(D7:D12,"NRC-B")</x:f>
        <x:v>2</x:v>
      </x:c>
      <x:c r="F22" s="36" t="str">
        <x:f>IF(E22=D22,"PASS","FAIL")</x:f>
        <x:v>PASS</x:v>
      </x:c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</x:row>
    <x:row r="23">
      <x:c r="B23" s="36" t="str">
        <x:v>Lost NRC-C</x:v>
      </x:c>
      <x:c r="C23" s="36" t="str">
        <x:v>events</x:v>
      </x:c>
      <x:c r="D23" s="36" t="n">
        <x:v>2</x:v>
      </x:c>
      <x:c r="E23" s="36" t="n">
        <x:f>COUNTIFS(D7:D12,"NRC-C")</x:f>
        <x:v>2</x:v>
      </x:c>
      <x:c r="F23" s="36" t="str">
        <x:f>IF(E23=D23,"PASS","FAIL")</x:f>
        <x:v>PASS</x:v>
      </x:c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</x:row>
    <x:row r="24">
      <x:c r="B24" s="36" t="str">
        <x:v>CRG-A exercise events</x:v>
      </x:c>
      <x:c r="C24" s="36" t="str">
        <x:v>events</x:v>
      </x:c>
      <x:c r="D24" s="36" t="n">
        <x:v>3</x:v>
      </x:c>
      <x:c r="E24" s="36" t="n">
        <x:f>COUNTIFS(I7:I12,"CRG-A")</x:f>
        <x:v>3</x:v>
      </x:c>
      <x:c r="F24" s="36" t="str">
        <x:f>IF(E24=D24,"PASS","FAIL")</x:f>
        <x:v>PASS</x:v>
      </x:c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</x:row>
    <x:row r="25">
      <x:c r="B25" s="36" t="str">
        <x:v>CRG-B exercise events</x:v>
      </x:c>
      <x:c r="C25" s="36" t="str">
        <x:v>events</x:v>
      </x:c>
      <x:c r="D25" s="36" t="n">
        <x:v>3</x:v>
      </x:c>
      <x:c r="E25" s="36" t="n">
        <x:f>COUNTIFS(I7:I12,"CRG-B")</x:f>
        <x:v>3</x:v>
      </x:c>
      <x:c r="F25" s="36" t="str">
        <x:f>IF(E25=D25,"PASS","FAIL")</x:f>
        <x:v>PASS</x:v>
      </x:c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</x:row>
  </x:sheetData>
  <x:mergeCells>
    <x:mergeCell ref="B2:T2"/>
    <x:mergeCell ref="B3:T3"/>
    <x:mergeCell ref="B16:T16"/>
  </x:mergeCells>
  <x:conditionalFormatting sqref="S7:T12">
    <x:cfRule type="containsText" dxfId="90" priority="1" operator="containsText" text="PASS"/>
    <x:cfRule type="containsText" dxfId="91" priority="2" operator="containsText" text="SELECT"/>
    <x:cfRule type="containsText" dxfId="92" priority="3" operator="containsText" text="AUTHORIZED"/>
    <x:cfRule type="containsText" dxfId="93" priority="4" operator="containsText" text="ADMITTED"/>
    <x:cfRule type="containsText" dxfId="94" priority="5" operator="containsText" text="READY"/>
    <x:cfRule type="containsText" dxfId="95" priority="6" operator="containsText" text="HOLD"/>
    <x:cfRule type="containsText" dxfId="96" priority="7" operator="containsText" text="OPEN"/>
    <x:cfRule type="containsText" dxfId="97" priority="8" operator="containsText" text="SAFE_STOP"/>
    <x:cfRule type="containsText" dxfId="98" priority="9" operator="containsText" text="BLOCKED"/>
    <x:cfRule type="containsText" dxfId="99" priority="10" operator="containsText" text="PLANNING"/>
    <x:cfRule type="containsText" dxfId="100" priority="11" operator="containsText" text="FAIL"/>
    <x:cfRule type="containsText" dxfId="101" priority="12" operator="containsText" text="REJECT"/>
    <x:cfRule type="containsText" dxfId="102" priority="13" operator="containsText" text="LATE"/>
    <x:cfRule type="containsText" dxfId="103" priority="14" operator="containsText" text="INCOMPLETE"/>
    <x:cfRule type="containsText" dxfId="104" priority="15" operator="containsText" text="INDETERMINATE"/>
  </x:conditionalFormatting>
  <x:conditionalFormatting sqref="F17:F25">
    <x:cfRule type="containsText" dxfId="105" priority="16" operator="containsText" text="PASS"/>
    <x:cfRule type="containsText" dxfId="106" priority="17" operator="containsText" text="SELECT"/>
    <x:cfRule type="containsText" dxfId="107" priority="18" operator="containsText" text="AUTHORIZED"/>
    <x:cfRule type="containsText" dxfId="108" priority="19" operator="containsText" text="ADMITTED"/>
    <x:cfRule type="containsText" dxfId="109" priority="20" operator="containsText" text="READY"/>
    <x:cfRule type="containsText" dxfId="110" priority="21" operator="containsText" text="HOLD"/>
    <x:cfRule type="containsText" dxfId="111" priority="22" operator="containsText" text="OPEN"/>
    <x:cfRule type="containsText" dxfId="112" priority="23" operator="containsText" text="SAFE_STOP"/>
    <x:cfRule type="containsText" dxfId="113" priority="24" operator="containsText" text="BLOCKED"/>
    <x:cfRule type="containsText" dxfId="114" priority="25" operator="containsText" text="PLANNING"/>
    <x:cfRule type="containsText" dxfId="115" priority="26" operator="containsText" text="FAIL"/>
    <x:cfRule type="containsText" dxfId="116" priority="27" operator="containsText" text="REJECT"/>
    <x:cfRule type="containsText" dxfId="117" priority="28" operator="containsText" text="LATE"/>
    <x:cfRule type="containsText" dxfId="118" priority="29" operator="containsText" text="INCOMPLETE"/>
    <x:cfRule type="containsText" dxfId="119" priority="30" operator="containsText" text="INDETERMINA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7" hidden="0" customWidth="1"/>
    <x:col min="4" max="4" width="19" hidden="0" customWidth="1"/>
    <x:col min="5" max="5" width="19" hidden="0" customWidth="1"/>
    <x:col min="6" max="6" width="21" hidden="0" customWidth="1"/>
    <x:col min="7" max="7" width="16" hidden="0" customWidth="1"/>
    <x:col min="8" max="8" width="13" hidden="0" customWidth="1"/>
    <x:col min="9" max="9" width="15" hidden="0" customWidth="1"/>
    <x:col min="10" max="10" width="15" hidden="0" customWidth="1"/>
  </x:cols>
  <x:sheetData>
    <x:row r="2">
      <x:c r="B2" s="1" t="str">
        <x:v>Shipsets remaining during exercise and compound loss</x:v>
      </x:c>
      <x:c r="C2" s="36"/>
      <x:c r="D2" s="36"/>
      <x:c r="E2" s="36"/>
      <x:c r="F2" s="36"/>
      <x:c r="G2" s="36"/>
      <x:c r="H2" s="36"/>
      <x:c r="I2" s="36"/>
      <x:c r="J2" s="36"/>
    </x:row>
    <x:row r="3">
      <x:c r="B3" s="2" t="str">
        <x:v>The selected force must retain one complete uncommitted shipset after root denial, arsenal loss and one exercise commitment.</x:v>
      </x:c>
      <x:c r="C3" s="36"/>
      <x:c r="D3" s="36"/>
      <x:c r="E3" s="36"/>
      <x:c r="F3" s="36"/>
      <x:c r="G3" s="36"/>
      <x:c r="H3" s="36"/>
      <x:c r="I3" s="36"/>
      <x:c r="J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</x:row>
    <x:row r="6">
      <x:c r="B6" s="7" t="str">
        <x:v>Case</x:v>
      </x:c>
      <x:c r="C6" s="7" t="str">
        <x:v>Denied root</x:v>
      </x:c>
      <x:c r="D6" s="7" t="str">
        <x:v>Lost arsenal</x:v>
      </x:c>
      <x:c r="E6" s="7" t="str">
        <x:v>Exercise shipset</x:v>
      </x:c>
      <x:c r="F6" s="7" t="str">
        <x:v>Available shipsets</x:v>
      </x:c>
      <x:c r="G6" s="7" t="str">
        <x:v>Requirement</x:v>
      </x:c>
      <x:c r="H6" s="7" t="str">
        <x:v>Margin</x:v>
      </x:c>
      <x:c r="I6" s="7" t="str">
        <x:v>Gate</x:v>
      </x:c>
      <x:c r="J6" s="7" t="str">
        <x:v>Architecture</x:v>
      </x:c>
    </x:row>
    <x:row r="7">
      <x:c r="B7" s="9" t="str">
        <x:v>R2-001</x:v>
      </x:c>
      <x:c r="C7" s="9" t="str">
        <x:v>ROOT_A</x:v>
      </x:c>
      <x:c r="D7" s="9" t="str">
        <x:v>ARSENAL_1</x:v>
      </x:c>
      <x:c r="E7" s="9" t="str">
        <x:v>A1</x:v>
      </x:c>
      <x:c r="F7" s="9" t="n">
        <x:f>COUNTIFS(Shipsets!$C$7:$C$12,"&lt;&gt;"&amp;C7,Shipsets!$D$7:$D$12,"&lt;&gt;"&amp;D7,Shipsets!$B$7:$B$12,"&lt;&gt;"&amp;E7,Shipsets!$E$7:$E$12,1)</x:f>
        <x:v>3</x:v>
      </x:c>
      <x:c r="G7" s="9" t="n">
        <x:v>1</x:v>
      </x:c>
      <x:c r="H7" s="9" t="n">
        <x:f>F7-G7</x:f>
        <x:v>2</x:v>
      </x:c>
      <x:c r="I7" s="9" t="str">
        <x:f>IF(F7&gt;=G7,"PASS","FAIL")</x:f>
        <x:v>PASS</x:v>
      </x:c>
      <x:c r="J7" s="9" t="str">
        <x:v>CRS-2</x:v>
      </x:c>
    </x:row>
    <x:row r="8">
      <x:c r="B8" s="9" t="str">
        <x:v>R2-002</x:v>
      </x:c>
      <x:c r="C8" s="9" t="str">
        <x:v>ROOT_A</x:v>
      </x:c>
      <x:c r="D8" s="9" t="str">
        <x:v>ARSENAL_1</x:v>
      </x:c>
      <x:c r="E8" s="9" t="str">
        <x:v>A2</x:v>
      </x:c>
      <x:c r="F8" s="9" t="n">
        <x:f>COUNTIFS(Shipsets!$C$7:$C$12,"&lt;&gt;"&amp;C8,Shipsets!$D$7:$D$12,"&lt;&gt;"&amp;D8,Shipsets!$B$7:$B$12,"&lt;&gt;"&amp;E8,Shipsets!$E$7:$E$12,1)</x:f>
        <x:v>3</x:v>
      </x:c>
      <x:c r="G8" s="9" t="n">
        <x:v>1</x:v>
      </x:c>
      <x:c r="H8" s="9" t="n">
        <x:f>F8-G8</x:f>
        <x:v>2</x:v>
      </x:c>
      <x:c r="I8" s="9" t="str">
        <x:f>IF(F8&gt;=G8,"PASS","FAIL")</x:f>
        <x:v>PASS</x:v>
      </x:c>
      <x:c r="J8" s="9" t="str">
        <x:v>CRS-2</x:v>
      </x:c>
    </x:row>
    <x:row r="9">
      <x:c r="B9" s="9" t="str">
        <x:v>R2-003</x:v>
      </x:c>
      <x:c r="C9" s="9" t="str">
        <x:v>ROOT_A</x:v>
      </x:c>
      <x:c r="D9" s="9" t="str">
        <x:v>ARSENAL_1</x:v>
      </x:c>
      <x:c r="E9" s="9" t="str">
        <x:v>A3</x:v>
      </x:c>
      <x:c r="F9" s="9" t="n">
        <x:f>COUNTIFS(Shipsets!$C$7:$C$12,"&lt;&gt;"&amp;C9,Shipsets!$D$7:$D$12,"&lt;&gt;"&amp;D9,Shipsets!$B$7:$B$12,"&lt;&gt;"&amp;E9,Shipsets!$E$7:$E$12,1)</x:f>
        <x:v>3</x:v>
      </x:c>
      <x:c r="G9" s="9" t="n">
        <x:v>1</x:v>
      </x:c>
      <x:c r="H9" s="9" t="n">
        <x:f>F9-G9</x:f>
        <x:v>2</x:v>
      </x:c>
      <x:c r="I9" s="9" t="str">
        <x:f>IF(F9&gt;=G9,"PASS","FAIL")</x:f>
        <x:v>PASS</x:v>
      </x:c>
      <x:c r="J9" s="9" t="str">
        <x:v>CRS-2</x:v>
      </x:c>
    </x:row>
    <x:row r="10">
      <x:c r="B10" s="9" t="str">
        <x:v>R2-004</x:v>
      </x:c>
      <x:c r="C10" s="9" t="str">
        <x:v>ROOT_A</x:v>
      </x:c>
      <x:c r="D10" s="9" t="str">
        <x:v>ARSENAL_1</x:v>
      </x:c>
      <x:c r="E10" s="9" t="str">
        <x:v>B1</x:v>
      </x:c>
      <x:c r="F10" s="9" t="n">
        <x:f>COUNTIFS(Shipsets!$C$7:$C$12,"&lt;&gt;"&amp;C10,Shipsets!$D$7:$D$12,"&lt;&gt;"&amp;D10,Shipsets!$B$7:$B$12,"&lt;&gt;"&amp;E10,Shipsets!$E$7:$E$12,1)</x:f>
        <x:v>2</x:v>
      </x:c>
      <x:c r="G10" s="9" t="n">
        <x:v>1</x:v>
      </x:c>
      <x:c r="H10" s="9" t="n">
        <x:f>F10-G10</x:f>
        <x:v>1</x:v>
      </x:c>
      <x:c r="I10" s="9" t="str">
        <x:f>IF(F10&gt;=G10,"PASS","FAIL")</x:f>
        <x:v>PASS</x:v>
      </x:c>
      <x:c r="J10" s="9" t="str">
        <x:v>CRS-2</x:v>
      </x:c>
    </x:row>
    <x:row r="11">
      <x:c r="B11" s="9" t="str">
        <x:v>R2-005</x:v>
      </x:c>
      <x:c r="C11" s="9" t="str">
        <x:v>ROOT_A</x:v>
      </x:c>
      <x:c r="D11" s="9" t="str">
        <x:v>ARSENAL_1</x:v>
      </x:c>
      <x:c r="E11" s="9" t="str">
        <x:v>B2</x:v>
      </x:c>
      <x:c r="F11" s="9" t="n">
        <x:f>COUNTIFS(Shipsets!$C$7:$C$12,"&lt;&gt;"&amp;C11,Shipsets!$D$7:$D$12,"&lt;&gt;"&amp;D11,Shipsets!$B$7:$B$12,"&lt;&gt;"&amp;E11,Shipsets!$E$7:$E$12,1)</x:f>
        <x:v>2</x:v>
      </x:c>
      <x:c r="G11" s="9" t="n">
        <x:v>1</x:v>
      </x:c>
      <x:c r="H11" s="9" t="n">
        <x:f>F11-G11</x:f>
        <x:v>1</x:v>
      </x:c>
      <x:c r="I11" s="9" t="str">
        <x:f>IF(F11&gt;=G11,"PASS","FAIL")</x:f>
        <x:v>PASS</x:v>
      </x:c>
      <x:c r="J11" s="9" t="str">
        <x:v>CRS-2</x:v>
      </x:c>
    </x:row>
    <x:row r="12">
      <x:c r="B12" s="9" t="str">
        <x:v>R2-006</x:v>
      </x:c>
      <x:c r="C12" s="9" t="str">
        <x:v>ROOT_A</x:v>
      </x:c>
      <x:c r="D12" s="9" t="str">
        <x:v>ARSENAL_1</x:v>
      </x:c>
      <x:c r="E12" s="9" t="str">
        <x:v>B3</x:v>
      </x:c>
      <x:c r="F12" s="9" t="n">
        <x:f>COUNTIFS(Shipsets!$C$7:$C$12,"&lt;&gt;"&amp;C12,Shipsets!$D$7:$D$12,"&lt;&gt;"&amp;D12,Shipsets!$B$7:$B$12,"&lt;&gt;"&amp;E12,Shipsets!$E$7:$E$12,1)</x:f>
        <x:v>2</x:v>
      </x:c>
      <x:c r="G12" s="9" t="n">
        <x:v>1</x:v>
      </x:c>
      <x:c r="H12" s="9" t="n">
        <x:f>F12-G12</x:f>
        <x:v>1</x:v>
      </x:c>
      <x:c r="I12" s="9" t="str">
        <x:f>IF(F12&gt;=G12,"PASS","FAIL")</x:f>
        <x:v>PASS</x:v>
      </x:c>
      <x:c r="J12" s="9" t="str">
        <x:v>CRS-2</x:v>
      </x:c>
    </x:row>
    <x:row r="13">
      <x:c r="B13" s="9" t="str">
        <x:v>R2-007</x:v>
      </x:c>
      <x:c r="C13" s="9" t="str">
        <x:v>ROOT_A</x:v>
      </x:c>
      <x:c r="D13" s="9" t="str">
        <x:v>ARSENAL_2</x:v>
      </x:c>
      <x:c r="E13" s="9" t="str">
        <x:v>A1</x:v>
      </x:c>
      <x:c r="F13" s="9" t="n">
        <x:f>COUNTIFS(Shipsets!$C$7:$C$12,"&lt;&gt;"&amp;C13,Shipsets!$D$7:$D$12,"&lt;&gt;"&amp;D13,Shipsets!$B$7:$B$12,"&lt;&gt;"&amp;E13,Shipsets!$E$7:$E$12,1)</x:f>
        <x:v>3</x:v>
      </x:c>
      <x:c r="G13" s="9" t="n">
        <x:v>1</x:v>
      </x:c>
      <x:c r="H13" s="9" t="n">
        <x:f>F13-G13</x:f>
        <x:v>2</x:v>
      </x:c>
      <x:c r="I13" s="9" t="str">
        <x:f>IF(F13&gt;=G13,"PASS","FAIL")</x:f>
        <x:v>PASS</x:v>
      </x:c>
      <x:c r="J13" s="9" t="str">
        <x:v>CRS-2</x:v>
      </x:c>
    </x:row>
    <x:row r="14">
      <x:c r="B14" s="9" t="str">
        <x:v>R2-008</x:v>
      </x:c>
      <x:c r="C14" s="9" t="str">
        <x:v>ROOT_A</x:v>
      </x:c>
      <x:c r="D14" s="9" t="str">
        <x:v>ARSENAL_2</x:v>
      </x:c>
      <x:c r="E14" s="9" t="str">
        <x:v>A2</x:v>
      </x:c>
      <x:c r="F14" s="9" t="n">
        <x:f>COUNTIFS(Shipsets!$C$7:$C$12,"&lt;&gt;"&amp;C14,Shipsets!$D$7:$D$12,"&lt;&gt;"&amp;D14,Shipsets!$B$7:$B$12,"&lt;&gt;"&amp;E14,Shipsets!$E$7:$E$12,1)</x:f>
        <x:v>3</x:v>
      </x:c>
      <x:c r="G14" s="9" t="n">
        <x:v>1</x:v>
      </x:c>
      <x:c r="H14" s="9" t="n">
        <x:f>F14-G14</x:f>
        <x:v>2</x:v>
      </x:c>
      <x:c r="I14" s="9" t="str">
        <x:f>IF(F14&gt;=G14,"PASS","FAIL")</x:f>
        <x:v>PASS</x:v>
      </x:c>
      <x:c r="J14" s="9" t="str">
        <x:v>CRS-2</x:v>
      </x:c>
    </x:row>
    <x:row r="15">
      <x:c r="B15" s="9" t="str">
        <x:v>R2-009</x:v>
      </x:c>
      <x:c r="C15" s="9" t="str">
        <x:v>ROOT_A</x:v>
      </x:c>
      <x:c r="D15" s="9" t="str">
        <x:v>ARSENAL_2</x:v>
      </x:c>
      <x:c r="E15" s="9" t="str">
        <x:v>A3</x:v>
      </x:c>
      <x:c r="F15" s="9" t="n">
        <x:f>COUNTIFS(Shipsets!$C$7:$C$12,"&lt;&gt;"&amp;C15,Shipsets!$D$7:$D$12,"&lt;&gt;"&amp;D15,Shipsets!$B$7:$B$12,"&lt;&gt;"&amp;E15,Shipsets!$E$7:$E$12,1)</x:f>
        <x:v>3</x:v>
      </x:c>
      <x:c r="G15" s="9" t="n">
        <x:v>1</x:v>
      </x:c>
      <x:c r="H15" s="9" t="n">
        <x:f>F15-G15</x:f>
        <x:v>2</x:v>
      </x:c>
      <x:c r="I15" s="9" t="str">
        <x:f>IF(F15&gt;=G15,"PASS","FAIL")</x:f>
        <x:v>PASS</x:v>
      </x:c>
      <x:c r="J15" s="9" t="str">
        <x:v>CRS-2</x:v>
      </x:c>
    </x:row>
    <x:row r="16">
      <x:c r="B16" s="9" t="str">
        <x:v>R2-010</x:v>
      </x:c>
      <x:c r="C16" s="9" t="str">
        <x:v>ROOT_A</x:v>
      </x:c>
      <x:c r="D16" s="9" t="str">
        <x:v>ARSENAL_2</x:v>
      </x:c>
      <x:c r="E16" s="9" t="str">
        <x:v>B1</x:v>
      </x:c>
      <x:c r="F16" s="9" t="n">
        <x:f>COUNTIFS(Shipsets!$C$7:$C$12,"&lt;&gt;"&amp;C16,Shipsets!$D$7:$D$12,"&lt;&gt;"&amp;D16,Shipsets!$B$7:$B$12,"&lt;&gt;"&amp;E16,Shipsets!$E$7:$E$12,1)</x:f>
        <x:v>2</x:v>
      </x:c>
      <x:c r="G16" s="9" t="n">
        <x:v>1</x:v>
      </x:c>
      <x:c r="H16" s="9" t="n">
        <x:f>F16-G16</x:f>
        <x:v>1</x:v>
      </x:c>
      <x:c r="I16" s="9" t="str">
        <x:f>IF(F16&gt;=G16,"PASS","FAIL")</x:f>
        <x:v>PASS</x:v>
      </x:c>
      <x:c r="J16" s="9" t="str">
        <x:v>CRS-2</x:v>
      </x:c>
    </x:row>
    <x:row r="17">
      <x:c r="B17" s="9" t="str">
        <x:v>R2-011</x:v>
      </x:c>
      <x:c r="C17" s="9" t="str">
        <x:v>ROOT_A</x:v>
      </x:c>
      <x:c r="D17" s="9" t="str">
        <x:v>ARSENAL_2</x:v>
      </x:c>
      <x:c r="E17" s="9" t="str">
        <x:v>B2</x:v>
      </x:c>
      <x:c r="F17" s="9" t="n">
        <x:f>COUNTIFS(Shipsets!$C$7:$C$12,"&lt;&gt;"&amp;C17,Shipsets!$D$7:$D$12,"&lt;&gt;"&amp;D17,Shipsets!$B$7:$B$12,"&lt;&gt;"&amp;E17,Shipsets!$E$7:$E$12,1)</x:f>
        <x:v>2</x:v>
      </x:c>
      <x:c r="G17" s="9" t="n">
        <x:v>1</x:v>
      </x:c>
      <x:c r="H17" s="9" t="n">
        <x:f>F17-G17</x:f>
        <x:v>1</x:v>
      </x:c>
      <x:c r="I17" s="9" t="str">
        <x:f>IF(F17&gt;=G17,"PASS","FAIL")</x:f>
        <x:v>PASS</x:v>
      </x:c>
      <x:c r="J17" s="9" t="str">
        <x:v>CRS-2</x:v>
      </x:c>
    </x:row>
    <x:row r="18">
      <x:c r="B18" s="9" t="str">
        <x:v>R2-012</x:v>
      </x:c>
      <x:c r="C18" s="9" t="str">
        <x:v>ROOT_A</x:v>
      </x:c>
      <x:c r="D18" s="9" t="str">
        <x:v>ARSENAL_2</x:v>
      </x:c>
      <x:c r="E18" s="9" t="str">
        <x:v>B3</x:v>
      </x:c>
      <x:c r="F18" s="9" t="n">
        <x:f>COUNTIFS(Shipsets!$C$7:$C$12,"&lt;&gt;"&amp;C18,Shipsets!$D$7:$D$12,"&lt;&gt;"&amp;D18,Shipsets!$B$7:$B$12,"&lt;&gt;"&amp;E18,Shipsets!$E$7:$E$12,1)</x:f>
        <x:v>2</x:v>
      </x:c>
      <x:c r="G18" s="9" t="n">
        <x:v>1</x:v>
      </x:c>
      <x:c r="H18" s="9" t="n">
        <x:f>F18-G18</x:f>
        <x:v>1</x:v>
      </x:c>
      <x:c r="I18" s="9" t="str">
        <x:f>IF(F18&gt;=G18,"PASS","FAIL")</x:f>
        <x:v>PASS</x:v>
      </x:c>
      <x:c r="J18" s="9" t="str">
        <x:v>CRS-2</x:v>
      </x:c>
    </x:row>
    <x:row r="19">
      <x:c r="B19" s="9" t="str">
        <x:v>R2-013</x:v>
      </x:c>
      <x:c r="C19" s="9" t="str">
        <x:v>ROOT_A</x:v>
      </x:c>
      <x:c r="D19" s="9" t="str">
        <x:v>ARSENAL_3</x:v>
      </x:c>
      <x:c r="E19" s="9" t="str">
        <x:v>A1</x:v>
      </x:c>
      <x:c r="F19" s="9" t="n">
        <x:f>COUNTIFS(Shipsets!$C$7:$C$12,"&lt;&gt;"&amp;C19,Shipsets!$D$7:$D$12,"&lt;&gt;"&amp;D19,Shipsets!$B$7:$B$12,"&lt;&gt;"&amp;E19,Shipsets!$E$7:$E$12,1)</x:f>
        <x:v>3</x:v>
      </x:c>
      <x:c r="G19" s="9" t="n">
        <x:v>1</x:v>
      </x:c>
      <x:c r="H19" s="9" t="n">
        <x:f>F19-G19</x:f>
        <x:v>2</x:v>
      </x:c>
      <x:c r="I19" s="9" t="str">
        <x:f>IF(F19&gt;=G19,"PASS","FAIL")</x:f>
        <x:v>PASS</x:v>
      </x:c>
      <x:c r="J19" s="9" t="str">
        <x:v>CRS-2</x:v>
      </x:c>
    </x:row>
    <x:row r="20">
      <x:c r="B20" s="9" t="str">
        <x:v>R2-014</x:v>
      </x:c>
      <x:c r="C20" s="9" t="str">
        <x:v>ROOT_A</x:v>
      </x:c>
      <x:c r="D20" s="9" t="str">
        <x:v>ARSENAL_3</x:v>
      </x:c>
      <x:c r="E20" s="9" t="str">
        <x:v>A2</x:v>
      </x:c>
      <x:c r="F20" s="9" t="n">
        <x:f>COUNTIFS(Shipsets!$C$7:$C$12,"&lt;&gt;"&amp;C20,Shipsets!$D$7:$D$12,"&lt;&gt;"&amp;D20,Shipsets!$B$7:$B$12,"&lt;&gt;"&amp;E20,Shipsets!$E$7:$E$12,1)</x:f>
        <x:v>3</x:v>
      </x:c>
      <x:c r="G20" s="9" t="n">
        <x:v>1</x:v>
      </x:c>
      <x:c r="H20" s="9" t="n">
        <x:f>F20-G20</x:f>
        <x:v>2</x:v>
      </x:c>
      <x:c r="I20" s="9" t="str">
        <x:f>IF(F20&gt;=G20,"PASS","FAIL")</x:f>
        <x:v>PASS</x:v>
      </x:c>
      <x:c r="J20" s="9" t="str">
        <x:v>CRS-2</x:v>
      </x:c>
    </x:row>
    <x:row r="21">
      <x:c r="B21" s="9" t="str">
        <x:v>R2-015</x:v>
      </x:c>
      <x:c r="C21" s="9" t="str">
        <x:v>ROOT_A</x:v>
      </x:c>
      <x:c r="D21" s="9" t="str">
        <x:v>ARSENAL_3</x:v>
      </x:c>
      <x:c r="E21" s="9" t="str">
        <x:v>A3</x:v>
      </x:c>
      <x:c r="F21" s="9" t="n">
        <x:f>COUNTIFS(Shipsets!$C$7:$C$12,"&lt;&gt;"&amp;C21,Shipsets!$D$7:$D$12,"&lt;&gt;"&amp;D21,Shipsets!$B$7:$B$12,"&lt;&gt;"&amp;E21,Shipsets!$E$7:$E$12,1)</x:f>
        <x:v>3</x:v>
      </x:c>
      <x:c r="G21" s="9" t="n">
        <x:v>1</x:v>
      </x:c>
      <x:c r="H21" s="9" t="n">
        <x:f>F21-G21</x:f>
        <x:v>2</x:v>
      </x:c>
      <x:c r="I21" s="9" t="str">
        <x:f>IF(F21&gt;=G21,"PASS","FAIL")</x:f>
        <x:v>PASS</x:v>
      </x:c>
      <x:c r="J21" s="9" t="str">
        <x:v>CRS-2</x:v>
      </x:c>
    </x:row>
    <x:row r="22">
      <x:c r="B22" s="9" t="str">
        <x:v>R2-016</x:v>
      </x:c>
      <x:c r="C22" s="9" t="str">
        <x:v>ROOT_A</x:v>
      </x:c>
      <x:c r="D22" s="9" t="str">
        <x:v>ARSENAL_3</x:v>
      </x:c>
      <x:c r="E22" s="9" t="str">
        <x:v>B1</x:v>
      </x:c>
      <x:c r="F22" s="9" t="n">
        <x:f>COUNTIFS(Shipsets!$C$7:$C$12,"&lt;&gt;"&amp;C22,Shipsets!$D$7:$D$12,"&lt;&gt;"&amp;D22,Shipsets!$B$7:$B$12,"&lt;&gt;"&amp;E22,Shipsets!$E$7:$E$12,1)</x:f>
        <x:v>2</x:v>
      </x:c>
      <x:c r="G22" s="9" t="n">
        <x:v>1</x:v>
      </x:c>
      <x:c r="H22" s="9" t="n">
        <x:f>F22-G22</x:f>
        <x:v>1</x:v>
      </x:c>
      <x:c r="I22" s="9" t="str">
        <x:f>IF(F22&gt;=G22,"PASS","FAIL")</x:f>
        <x:v>PASS</x:v>
      </x:c>
      <x:c r="J22" s="9" t="str">
        <x:v>CRS-2</x:v>
      </x:c>
    </x:row>
    <x:row r="23">
      <x:c r="B23" s="9" t="str">
        <x:v>R2-017</x:v>
      </x:c>
      <x:c r="C23" s="9" t="str">
        <x:v>ROOT_A</x:v>
      </x:c>
      <x:c r="D23" s="9" t="str">
        <x:v>ARSENAL_3</x:v>
      </x:c>
      <x:c r="E23" s="9" t="str">
        <x:v>B2</x:v>
      </x:c>
      <x:c r="F23" s="9" t="n">
        <x:f>COUNTIFS(Shipsets!$C$7:$C$12,"&lt;&gt;"&amp;C23,Shipsets!$D$7:$D$12,"&lt;&gt;"&amp;D23,Shipsets!$B$7:$B$12,"&lt;&gt;"&amp;E23,Shipsets!$E$7:$E$12,1)</x:f>
        <x:v>2</x:v>
      </x:c>
      <x:c r="G23" s="9" t="n">
        <x:v>1</x:v>
      </x:c>
      <x:c r="H23" s="9" t="n">
        <x:f>F23-G23</x:f>
        <x:v>1</x:v>
      </x:c>
      <x:c r="I23" s="9" t="str">
        <x:f>IF(F23&gt;=G23,"PASS","FAIL")</x:f>
        <x:v>PASS</x:v>
      </x:c>
      <x:c r="J23" s="9" t="str">
        <x:v>CRS-2</x:v>
      </x:c>
    </x:row>
    <x:row r="24">
      <x:c r="B24" s="9" t="str">
        <x:v>R2-018</x:v>
      </x:c>
      <x:c r="C24" s="9" t="str">
        <x:v>ROOT_A</x:v>
      </x:c>
      <x:c r="D24" s="9" t="str">
        <x:v>ARSENAL_3</x:v>
      </x:c>
      <x:c r="E24" s="9" t="str">
        <x:v>B3</x:v>
      </x:c>
      <x:c r="F24" s="9" t="n">
        <x:f>COUNTIFS(Shipsets!$C$7:$C$12,"&lt;&gt;"&amp;C24,Shipsets!$D$7:$D$12,"&lt;&gt;"&amp;D24,Shipsets!$B$7:$B$12,"&lt;&gt;"&amp;E24,Shipsets!$E$7:$E$12,1)</x:f>
        <x:v>2</x:v>
      </x:c>
      <x:c r="G24" s="9" t="n">
        <x:v>1</x:v>
      </x:c>
      <x:c r="H24" s="9" t="n">
        <x:f>F24-G24</x:f>
        <x:v>1</x:v>
      </x:c>
      <x:c r="I24" s="9" t="str">
        <x:f>IF(F24&gt;=G24,"PASS","FAIL")</x:f>
        <x:v>PASS</x:v>
      </x:c>
      <x:c r="J24" s="9" t="str">
        <x:v>CRS-2</x:v>
      </x:c>
    </x:row>
    <x:row r="25">
      <x:c r="B25" s="9" t="str">
        <x:v>R2-019</x:v>
      </x:c>
      <x:c r="C25" s="9" t="str">
        <x:v>ROOT_A</x:v>
      </x:c>
      <x:c r="D25" s="9" t="str">
        <x:v>ARSENAL_4</x:v>
      </x:c>
      <x:c r="E25" s="9" t="str">
        <x:v>A1</x:v>
      </x:c>
      <x:c r="F25" s="9" t="n">
        <x:f>COUNTIFS(Shipsets!$C$7:$C$12,"&lt;&gt;"&amp;C25,Shipsets!$D$7:$D$12,"&lt;&gt;"&amp;D25,Shipsets!$B$7:$B$12,"&lt;&gt;"&amp;E25,Shipsets!$E$7:$E$12,1)</x:f>
        <x:v>2</x:v>
      </x:c>
      <x:c r="G25" s="9" t="n">
        <x:v>1</x:v>
      </x:c>
      <x:c r="H25" s="9" t="n">
        <x:f>F25-G25</x:f>
        <x:v>1</x:v>
      </x:c>
      <x:c r="I25" s="9" t="str">
        <x:f>IF(F25&gt;=G25,"PASS","FAIL")</x:f>
        <x:v>PASS</x:v>
      </x:c>
      <x:c r="J25" s="9" t="str">
        <x:v>CRS-2</x:v>
      </x:c>
    </x:row>
    <x:row r="26">
      <x:c r="B26" s="9" t="str">
        <x:v>R2-020</x:v>
      </x:c>
      <x:c r="C26" s="9" t="str">
        <x:v>ROOT_A</x:v>
      </x:c>
      <x:c r="D26" s="9" t="str">
        <x:v>ARSENAL_4</x:v>
      </x:c>
      <x:c r="E26" s="9" t="str">
        <x:v>A2</x:v>
      </x:c>
      <x:c r="F26" s="9" t="n">
        <x:f>COUNTIFS(Shipsets!$C$7:$C$12,"&lt;&gt;"&amp;C26,Shipsets!$D$7:$D$12,"&lt;&gt;"&amp;D26,Shipsets!$B$7:$B$12,"&lt;&gt;"&amp;E26,Shipsets!$E$7:$E$12,1)</x:f>
        <x:v>2</x:v>
      </x:c>
      <x:c r="G26" s="9" t="n">
        <x:v>1</x:v>
      </x:c>
      <x:c r="H26" s="9" t="n">
        <x:f>F26-G26</x:f>
        <x:v>1</x:v>
      </x:c>
      <x:c r="I26" s="9" t="str">
        <x:f>IF(F26&gt;=G26,"PASS","FAIL")</x:f>
        <x:v>PASS</x:v>
      </x:c>
      <x:c r="J26" s="9" t="str">
        <x:v>CRS-2</x:v>
      </x:c>
    </x:row>
    <x:row r="27">
      <x:c r="B27" s="9" t="str">
        <x:v>R2-021</x:v>
      </x:c>
      <x:c r="C27" s="9" t="str">
        <x:v>ROOT_A</x:v>
      </x:c>
      <x:c r="D27" s="9" t="str">
        <x:v>ARSENAL_4</x:v>
      </x:c>
      <x:c r="E27" s="9" t="str">
        <x:v>A3</x:v>
      </x:c>
      <x:c r="F27" s="9" t="n">
        <x:f>COUNTIFS(Shipsets!$C$7:$C$12,"&lt;&gt;"&amp;C27,Shipsets!$D$7:$D$12,"&lt;&gt;"&amp;D27,Shipsets!$B$7:$B$12,"&lt;&gt;"&amp;E27,Shipsets!$E$7:$E$12,1)</x:f>
        <x:v>2</x:v>
      </x:c>
      <x:c r="G27" s="9" t="n">
        <x:v>1</x:v>
      </x:c>
      <x:c r="H27" s="9" t="n">
        <x:f>F27-G27</x:f>
        <x:v>1</x:v>
      </x:c>
      <x:c r="I27" s="9" t="str">
        <x:f>IF(F27&gt;=G27,"PASS","FAIL")</x:f>
        <x:v>PASS</x:v>
      </x:c>
      <x:c r="J27" s="9" t="str">
        <x:v>CRS-2</x:v>
      </x:c>
    </x:row>
    <x:row r="28">
      <x:c r="B28" s="9" t="str">
        <x:v>R2-022</x:v>
      </x:c>
      <x:c r="C28" s="9" t="str">
        <x:v>ROOT_A</x:v>
      </x:c>
      <x:c r="D28" s="9" t="str">
        <x:v>ARSENAL_4</x:v>
      </x:c>
      <x:c r="E28" s="9" t="str">
        <x:v>B1</x:v>
      </x:c>
      <x:c r="F28" s="9" t="n">
        <x:f>COUNTIFS(Shipsets!$C$7:$C$12,"&lt;&gt;"&amp;C28,Shipsets!$D$7:$D$12,"&lt;&gt;"&amp;D28,Shipsets!$B$7:$B$12,"&lt;&gt;"&amp;E28,Shipsets!$E$7:$E$12,1)</x:f>
        <x:v>2</x:v>
      </x:c>
      <x:c r="G28" s="9" t="n">
        <x:v>1</x:v>
      </x:c>
      <x:c r="H28" s="9" t="n">
        <x:f>F28-G28</x:f>
        <x:v>1</x:v>
      </x:c>
      <x:c r="I28" s="9" t="str">
        <x:f>IF(F28&gt;=G28,"PASS","FAIL")</x:f>
        <x:v>PASS</x:v>
      </x:c>
      <x:c r="J28" s="9" t="str">
        <x:v>CRS-2</x:v>
      </x:c>
    </x:row>
    <x:row r="29">
      <x:c r="B29" s="9" t="str">
        <x:v>R2-023</x:v>
      </x:c>
      <x:c r="C29" s="9" t="str">
        <x:v>ROOT_A</x:v>
      </x:c>
      <x:c r="D29" s="9" t="str">
        <x:v>ARSENAL_4</x:v>
      </x:c>
      <x:c r="E29" s="9" t="str">
        <x:v>B2</x:v>
      </x:c>
      <x:c r="F29" s="9" t="n">
        <x:f>COUNTIFS(Shipsets!$C$7:$C$12,"&lt;&gt;"&amp;C29,Shipsets!$D$7:$D$12,"&lt;&gt;"&amp;D29,Shipsets!$B$7:$B$12,"&lt;&gt;"&amp;E29,Shipsets!$E$7:$E$12,1)</x:f>
        <x:v>1</x:v>
      </x:c>
      <x:c r="G29" s="9" t="n">
        <x:v>1</x:v>
      </x:c>
      <x:c r="H29" s="9" t="n">
        <x:f>F29-G29</x:f>
        <x:v>0</x:v>
      </x:c>
      <x:c r="I29" s="9" t="str">
        <x:f>IF(F29&gt;=G29,"PASS","FAIL")</x:f>
        <x:v>PASS</x:v>
      </x:c>
      <x:c r="J29" s="9" t="str">
        <x:v>CRS-2</x:v>
      </x:c>
    </x:row>
    <x:row r="30">
      <x:c r="B30" s="9" t="str">
        <x:v>R2-024</x:v>
      </x:c>
      <x:c r="C30" s="9" t="str">
        <x:v>ROOT_A</x:v>
      </x:c>
      <x:c r="D30" s="9" t="str">
        <x:v>ARSENAL_4</x:v>
      </x:c>
      <x:c r="E30" s="9" t="str">
        <x:v>B3</x:v>
      </x:c>
      <x:c r="F30" s="9" t="n">
        <x:f>COUNTIFS(Shipsets!$C$7:$C$12,"&lt;&gt;"&amp;C30,Shipsets!$D$7:$D$12,"&lt;&gt;"&amp;D30,Shipsets!$B$7:$B$12,"&lt;&gt;"&amp;E30,Shipsets!$E$7:$E$12,1)</x:f>
        <x:v>1</x:v>
      </x:c>
      <x:c r="G30" s="9" t="n">
        <x:v>1</x:v>
      </x:c>
      <x:c r="H30" s="9" t="n">
        <x:f>F30-G30</x:f>
        <x:v>0</x:v>
      </x:c>
      <x:c r="I30" s="9" t="str">
        <x:f>IF(F30&gt;=G30,"PASS","FAIL")</x:f>
        <x:v>PASS</x:v>
      </x:c>
      <x:c r="J30" s="9" t="str">
        <x:v>CRS-2</x:v>
      </x:c>
    </x:row>
    <x:row r="31">
      <x:c r="B31" s="9" t="str">
        <x:v>R2-025</x:v>
      </x:c>
      <x:c r="C31" s="9" t="str">
        <x:v>ROOT_A</x:v>
      </x:c>
      <x:c r="D31" s="9" t="str">
        <x:v>ARSENAL_5</x:v>
      </x:c>
      <x:c r="E31" s="9" t="str">
        <x:v>A1</x:v>
      </x:c>
      <x:c r="F31" s="9" t="n">
        <x:f>COUNTIFS(Shipsets!$C$7:$C$12,"&lt;&gt;"&amp;C31,Shipsets!$D$7:$D$12,"&lt;&gt;"&amp;D31,Shipsets!$B$7:$B$12,"&lt;&gt;"&amp;E31,Shipsets!$E$7:$E$12,1)</x:f>
        <x:v>2</x:v>
      </x:c>
      <x:c r="G31" s="9" t="n">
        <x:v>1</x:v>
      </x:c>
      <x:c r="H31" s="9" t="n">
        <x:f>F31-G31</x:f>
        <x:v>1</x:v>
      </x:c>
      <x:c r="I31" s="9" t="str">
        <x:f>IF(F31&gt;=G31,"PASS","FAIL")</x:f>
        <x:v>PASS</x:v>
      </x:c>
      <x:c r="J31" s="9" t="str">
        <x:v>CRS-2</x:v>
      </x:c>
    </x:row>
    <x:row r="32">
      <x:c r="B32" s="9" t="str">
        <x:v>R2-026</x:v>
      </x:c>
      <x:c r="C32" s="9" t="str">
        <x:v>ROOT_A</x:v>
      </x:c>
      <x:c r="D32" s="9" t="str">
        <x:v>ARSENAL_5</x:v>
      </x:c>
      <x:c r="E32" s="9" t="str">
        <x:v>A2</x:v>
      </x:c>
      <x:c r="F32" s="9" t="n">
        <x:f>COUNTIFS(Shipsets!$C$7:$C$12,"&lt;&gt;"&amp;C32,Shipsets!$D$7:$D$12,"&lt;&gt;"&amp;D32,Shipsets!$B$7:$B$12,"&lt;&gt;"&amp;E32,Shipsets!$E$7:$E$12,1)</x:f>
        <x:v>2</x:v>
      </x:c>
      <x:c r="G32" s="9" t="n">
        <x:v>1</x:v>
      </x:c>
      <x:c r="H32" s="9" t="n">
        <x:f>F32-G32</x:f>
        <x:v>1</x:v>
      </x:c>
      <x:c r="I32" s="9" t="str">
        <x:f>IF(F32&gt;=G32,"PASS","FAIL")</x:f>
        <x:v>PASS</x:v>
      </x:c>
      <x:c r="J32" s="9" t="str">
        <x:v>CRS-2</x:v>
      </x:c>
    </x:row>
    <x:row r="33">
      <x:c r="B33" s="9" t="str">
        <x:v>R2-027</x:v>
      </x:c>
      <x:c r="C33" s="9" t="str">
        <x:v>ROOT_A</x:v>
      </x:c>
      <x:c r="D33" s="9" t="str">
        <x:v>ARSENAL_5</x:v>
      </x:c>
      <x:c r="E33" s="9" t="str">
        <x:v>A3</x:v>
      </x:c>
      <x:c r="F33" s="9" t="n">
        <x:f>COUNTIFS(Shipsets!$C$7:$C$12,"&lt;&gt;"&amp;C33,Shipsets!$D$7:$D$12,"&lt;&gt;"&amp;D33,Shipsets!$B$7:$B$12,"&lt;&gt;"&amp;E33,Shipsets!$E$7:$E$12,1)</x:f>
        <x:v>2</x:v>
      </x:c>
      <x:c r="G33" s="9" t="n">
        <x:v>1</x:v>
      </x:c>
      <x:c r="H33" s="9" t="n">
        <x:f>F33-G33</x:f>
        <x:v>1</x:v>
      </x:c>
      <x:c r="I33" s="9" t="str">
        <x:f>IF(F33&gt;=G33,"PASS","FAIL")</x:f>
        <x:v>PASS</x:v>
      </x:c>
      <x:c r="J33" s="9" t="str">
        <x:v>CRS-2</x:v>
      </x:c>
    </x:row>
    <x:row r="34">
      <x:c r="B34" s="9" t="str">
        <x:v>R2-028</x:v>
      </x:c>
      <x:c r="C34" s="9" t="str">
        <x:v>ROOT_A</x:v>
      </x:c>
      <x:c r="D34" s="9" t="str">
        <x:v>ARSENAL_5</x:v>
      </x:c>
      <x:c r="E34" s="9" t="str">
        <x:v>B1</x:v>
      </x:c>
      <x:c r="F34" s="9" t="n">
        <x:f>COUNTIFS(Shipsets!$C$7:$C$12,"&lt;&gt;"&amp;C34,Shipsets!$D$7:$D$12,"&lt;&gt;"&amp;D34,Shipsets!$B$7:$B$12,"&lt;&gt;"&amp;E34,Shipsets!$E$7:$E$12,1)</x:f>
        <x:v>1</x:v>
      </x:c>
      <x:c r="G34" s="9" t="n">
        <x:v>1</x:v>
      </x:c>
      <x:c r="H34" s="9" t="n">
        <x:f>F34-G34</x:f>
        <x:v>0</x:v>
      </x:c>
      <x:c r="I34" s="9" t="str">
        <x:f>IF(F34&gt;=G34,"PASS","FAIL")</x:f>
        <x:v>PASS</x:v>
      </x:c>
      <x:c r="J34" s="9" t="str">
        <x:v>CRS-2</x:v>
      </x:c>
    </x:row>
    <x:row r="35">
      <x:c r="B35" s="9" t="str">
        <x:v>R2-029</x:v>
      </x:c>
      <x:c r="C35" s="9" t="str">
        <x:v>ROOT_A</x:v>
      </x:c>
      <x:c r="D35" s="9" t="str">
        <x:v>ARSENAL_5</x:v>
      </x:c>
      <x:c r="E35" s="9" t="str">
        <x:v>B2</x:v>
      </x:c>
      <x:c r="F35" s="9" t="n">
        <x:f>COUNTIFS(Shipsets!$C$7:$C$12,"&lt;&gt;"&amp;C35,Shipsets!$D$7:$D$12,"&lt;&gt;"&amp;D35,Shipsets!$B$7:$B$12,"&lt;&gt;"&amp;E35,Shipsets!$E$7:$E$12,1)</x:f>
        <x:v>2</x:v>
      </x:c>
      <x:c r="G35" s="9" t="n">
        <x:v>1</x:v>
      </x:c>
      <x:c r="H35" s="9" t="n">
        <x:f>F35-G35</x:f>
        <x:v>1</x:v>
      </x:c>
      <x:c r="I35" s="9" t="str">
        <x:f>IF(F35&gt;=G35,"PASS","FAIL")</x:f>
        <x:v>PASS</x:v>
      </x:c>
      <x:c r="J35" s="9" t="str">
        <x:v>CRS-2</x:v>
      </x:c>
    </x:row>
    <x:row r="36">
      <x:c r="B36" s="9" t="str">
        <x:v>R2-030</x:v>
      </x:c>
      <x:c r="C36" s="9" t="str">
        <x:v>ROOT_A</x:v>
      </x:c>
      <x:c r="D36" s="9" t="str">
        <x:v>ARSENAL_5</x:v>
      </x:c>
      <x:c r="E36" s="9" t="str">
        <x:v>B3</x:v>
      </x:c>
      <x:c r="F36" s="9" t="n">
        <x:f>COUNTIFS(Shipsets!$C$7:$C$12,"&lt;&gt;"&amp;C36,Shipsets!$D$7:$D$12,"&lt;&gt;"&amp;D36,Shipsets!$B$7:$B$12,"&lt;&gt;"&amp;E36,Shipsets!$E$7:$E$12,1)</x:f>
        <x:v>1</x:v>
      </x:c>
      <x:c r="G36" s="9" t="n">
        <x:v>1</x:v>
      </x:c>
      <x:c r="H36" s="9" t="n">
        <x:f>F36-G36</x:f>
        <x:v>0</x:v>
      </x:c>
      <x:c r="I36" s="9" t="str">
        <x:f>IF(F36&gt;=G36,"PASS","FAIL")</x:f>
        <x:v>PASS</x:v>
      </x:c>
      <x:c r="J36" s="9" t="str">
        <x:v>CRS-2</x:v>
      </x:c>
    </x:row>
    <x:row r="37">
      <x:c r="B37" s="9" t="str">
        <x:v>R2-031</x:v>
      </x:c>
      <x:c r="C37" s="9" t="str">
        <x:v>ROOT_A</x:v>
      </x:c>
      <x:c r="D37" s="9" t="str">
        <x:v>ARSENAL_6</x:v>
      </x:c>
      <x:c r="E37" s="9" t="str">
        <x:v>A1</x:v>
      </x:c>
      <x:c r="F37" s="9" t="n">
        <x:f>COUNTIFS(Shipsets!$C$7:$C$12,"&lt;&gt;"&amp;C37,Shipsets!$D$7:$D$12,"&lt;&gt;"&amp;D37,Shipsets!$B$7:$B$12,"&lt;&gt;"&amp;E37,Shipsets!$E$7:$E$12,1)</x:f>
        <x:v>2</x:v>
      </x:c>
      <x:c r="G37" s="9" t="n">
        <x:v>1</x:v>
      </x:c>
      <x:c r="H37" s="9" t="n">
        <x:f>F37-G37</x:f>
        <x:v>1</x:v>
      </x:c>
      <x:c r="I37" s="9" t="str">
        <x:f>IF(F37&gt;=G37,"PASS","FAIL")</x:f>
        <x:v>PASS</x:v>
      </x:c>
      <x:c r="J37" s="9" t="str">
        <x:v>CRS-2</x:v>
      </x:c>
    </x:row>
    <x:row r="38">
      <x:c r="B38" s="9" t="str">
        <x:v>R2-032</x:v>
      </x:c>
      <x:c r="C38" s="9" t="str">
        <x:v>ROOT_A</x:v>
      </x:c>
      <x:c r="D38" s="9" t="str">
        <x:v>ARSENAL_6</x:v>
      </x:c>
      <x:c r="E38" s="9" t="str">
        <x:v>A2</x:v>
      </x:c>
      <x:c r="F38" s="9" t="n">
        <x:f>COUNTIFS(Shipsets!$C$7:$C$12,"&lt;&gt;"&amp;C38,Shipsets!$D$7:$D$12,"&lt;&gt;"&amp;D38,Shipsets!$B$7:$B$12,"&lt;&gt;"&amp;E38,Shipsets!$E$7:$E$12,1)</x:f>
        <x:v>2</x:v>
      </x:c>
      <x:c r="G38" s="9" t="n">
        <x:v>1</x:v>
      </x:c>
      <x:c r="H38" s="9" t="n">
        <x:f>F38-G38</x:f>
        <x:v>1</x:v>
      </x:c>
      <x:c r="I38" s="9" t="str">
        <x:f>IF(F38&gt;=G38,"PASS","FAIL")</x:f>
        <x:v>PASS</x:v>
      </x:c>
      <x:c r="J38" s="9" t="str">
        <x:v>CRS-2</x:v>
      </x:c>
    </x:row>
    <x:row r="39">
      <x:c r="B39" s="9" t="str">
        <x:v>R2-033</x:v>
      </x:c>
      <x:c r="C39" s="9" t="str">
        <x:v>ROOT_A</x:v>
      </x:c>
      <x:c r="D39" s="9" t="str">
        <x:v>ARSENAL_6</x:v>
      </x:c>
      <x:c r="E39" s="9" t="str">
        <x:v>A3</x:v>
      </x:c>
      <x:c r="F39" s="9" t="n">
        <x:f>COUNTIFS(Shipsets!$C$7:$C$12,"&lt;&gt;"&amp;C39,Shipsets!$D$7:$D$12,"&lt;&gt;"&amp;D39,Shipsets!$B$7:$B$12,"&lt;&gt;"&amp;E39,Shipsets!$E$7:$E$12,1)</x:f>
        <x:v>2</x:v>
      </x:c>
      <x:c r="G39" s="9" t="n">
        <x:v>1</x:v>
      </x:c>
      <x:c r="H39" s="9" t="n">
        <x:f>F39-G39</x:f>
        <x:v>1</x:v>
      </x:c>
      <x:c r="I39" s="9" t="str">
        <x:f>IF(F39&gt;=G39,"PASS","FAIL")</x:f>
        <x:v>PASS</x:v>
      </x:c>
      <x:c r="J39" s="9" t="str">
        <x:v>CRS-2</x:v>
      </x:c>
    </x:row>
    <x:row r="40">
      <x:c r="B40" s="9" t="str">
        <x:v>R2-034</x:v>
      </x:c>
      <x:c r="C40" s="9" t="str">
        <x:v>ROOT_A</x:v>
      </x:c>
      <x:c r="D40" s="9" t="str">
        <x:v>ARSENAL_6</x:v>
      </x:c>
      <x:c r="E40" s="9" t="str">
        <x:v>B1</x:v>
      </x:c>
      <x:c r="F40" s="9" t="n">
        <x:f>COUNTIFS(Shipsets!$C$7:$C$12,"&lt;&gt;"&amp;C40,Shipsets!$D$7:$D$12,"&lt;&gt;"&amp;D40,Shipsets!$B$7:$B$12,"&lt;&gt;"&amp;E40,Shipsets!$E$7:$E$12,1)</x:f>
        <x:v>1</x:v>
      </x:c>
      <x:c r="G40" s="9" t="n">
        <x:v>1</x:v>
      </x:c>
      <x:c r="H40" s="9" t="n">
        <x:f>F40-G40</x:f>
        <x:v>0</x:v>
      </x:c>
      <x:c r="I40" s="9" t="str">
        <x:f>IF(F40&gt;=G40,"PASS","FAIL")</x:f>
        <x:v>PASS</x:v>
      </x:c>
      <x:c r="J40" s="9" t="str">
        <x:v>CRS-2</x:v>
      </x:c>
    </x:row>
    <x:row r="41">
      <x:c r="B41" s="9" t="str">
        <x:v>R2-035</x:v>
      </x:c>
      <x:c r="C41" s="9" t="str">
        <x:v>ROOT_A</x:v>
      </x:c>
      <x:c r="D41" s="9" t="str">
        <x:v>ARSENAL_6</x:v>
      </x:c>
      <x:c r="E41" s="9" t="str">
        <x:v>B2</x:v>
      </x:c>
      <x:c r="F41" s="9" t="n">
        <x:f>COUNTIFS(Shipsets!$C$7:$C$12,"&lt;&gt;"&amp;C41,Shipsets!$D$7:$D$12,"&lt;&gt;"&amp;D41,Shipsets!$B$7:$B$12,"&lt;&gt;"&amp;E41,Shipsets!$E$7:$E$12,1)</x:f>
        <x:v>1</x:v>
      </x:c>
      <x:c r="G41" s="9" t="n">
        <x:v>1</x:v>
      </x:c>
      <x:c r="H41" s="9" t="n">
        <x:f>F41-G41</x:f>
        <x:v>0</x:v>
      </x:c>
      <x:c r="I41" s="9" t="str">
        <x:f>IF(F41&gt;=G41,"PASS","FAIL")</x:f>
        <x:v>PASS</x:v>
      </x:c>
      <x:c r="J41" s="9" t="str">
        <x:v>CRS-2</x:v>
      </x:c>
    </x:row>
    <x:row r="42">
      <x:c r="B42" s="9" t="str">
        <x:v>R2-036</x:v>
      </x:c>
      <x:c r="C42" s="9" t="str">
        <x:v>ROOT_A</x:v>
      </x:c>
      <x:c r="D42" s="9" t="str">
        <x:v>ARSENAL_6</x:v>
      </x:c>
      <x:c r="E42" s="9" t="str">
        <x:v>B3</x:v>
      </x:c>
      <x:c r="F42" s="9" t="n">
        <x:f>COUNTIFS(Shipsets!$C$7:$C$12,"&lt;&gt;"&amp;C42,Shipsets!$D$7:$D$12,"&lt;&gt;"&amp;D42,Shipsets!$B$7:$B$12,"&lt;&gt;"&amp;E42,Shipsets!$E$7:$E$12,1)</x:f>
        <x:v>2</x:v>
      </x:c>
      <x:c r="G42" s="9" t="n">
        <x:v>1</x:v>
      </x:c>
      <x:c r="H42" s="9" t="n">
        <x:f>F42-G42</x:f>
        <x:v>1</x:v>
      </x:c>
      <x:c r="I42" s="9" t="str">
        <x:f>IF(F42&gt;=G42,"PASS","FAIL")</x:f>
        <x:v>PASS</x:v>
      </x:c>
      <x:c r="J42" s="9" t="str">
        <x:v>CRS-2</x:v>
      </x:c>
    </x:row>
    <x:row r="43">
      <x:c r="B43" s="9" t="str">
        <x:v>R2-037</x:v>
      </x:c>
      <x:c r="C43" s="9" t="str">
        <x:v>ROOT_B</x:v>
      </x:c>
      <x:c r="D43" s="9" t="str">
        <x:v>ARSENAL_1</x:v>
      </x:c>
      <x:c r="E43" s="9" t="str">
        <x:v>A1</x:v>
      </x:c>
      <x:c r="F43" s="9" t="n">
        <x:f>COUNTIFS(Shipsets!$C$7:$C$12,"&lt;&gt;"&amp;C43,Shipsets!$D$7:$D$12,"&lt;&gt;"&amp;D43,Shipsets!$B$7:$B$12,"&lt;&gt;"&amp;E43,Shipsets!$E$7:$E$12,1)</x:f>
        <x:v>2</x:v>
      </x:c>
      <x:c r="G43" s="9" t="n">
        <x:v>1</x:v>
      </x:c>
      <x:c r="H43" s="9" t="n">
        <x:f>F43-G43</x:f>
        <x:v>1</x:v>
      </x:c>
      <x:c r="I43" s="9" t="str">
        <x:f>IF(F43&gt;=G43,"PASS","FAIL")</x:f>
        <x:v>PASS</x:v>
      </x:c>
      <x:c r="J43" s="9" t="str">
        <x:v>CRS-2</x:v>
      </x:c>
    </x:row>
    <x:row r="44">
      <x:c r="B44" s="9" t="str">
        <x:v>R2-038</x:v>
      </x:c>
      <x:c r="C44" s="9" t="str">
        <x:v>ROOT_B</x:v>
      </x:c>
      <x:c r="D44" s="9" t="str">
        <x:v>ARSENAL_1</x:v>
      </x:c>
      <x:c r="E44" s="9" t="str">
        <x:v>A2</x:v>
      </x:c>
      <x:c r="F44" s="9" t="n">
        <x:f>COUNTIFS(Shipsets!$C$7:$C$12,"&lt;&gt;"&amp;C44,Shipsets!$D$7:$D$12,"&lt;&gt;"&amp;D44,Shipsets!$B$7:$B$12,"&lt;&gt;"&amp;E44,Shipsets!$E$7:$E$12,1)</x:f>
        <x:v>1</x:v>
      </x:c>
      <x:c r="G44" s="9" t="n">
        <x:v>1</x:v>
      </x:c>
      <x:c r="H44" s="9" t="n">
        <x:f>F44-G44</x:f>
        <x:v>0</x:v>
      </x:c>
      <x:c r="I44" s="9" t="str">
        <x:f>IF(F44&gt;=G44,"PASS","FAIL")</x:f>
        <x:v>PASS</x:v>
      </x:c>
      <x:c r="J44" s="9" t="str">
        <x:v>CRS-2</x:v>
      </x:c>
    </x:row>
    <x:row r="45">
      <x:c r="B45" s="9" t="str">
        <x:v>R2-039</x:v>
      </x:c>
      <x:c r="C45" s="9" t="str">
        <x:v>ROOT_B</x:v>
      </x:c>
      <x:c r="D45" s="9" t="str">
        <x:v>ARSENAL_1</x:v>
      </x:c>
      <x:c r="E45" s="9" t="str">
        <x:v>A3</x:v>
      </x:c>
      <x:c r="F45" s="9" t="n">
        <x:f>COUNTIFS(Shipsets!$C$7:$C$12,"&lt;&gt;"&amp;C45,Shipsets!$D$7:$D$12,"&lt;&gt;"&amp;D45,Shipsets!$B$7:$B$12,"&lt;&gt;"&amp;E45,Shipsets!$E$7:$E$12,1)</x:f>
        <x:v>1</x:v>
      </x:c>
      <x:c r="G45" s="9" t="n">
        <x:v>1</x:v>
      </x:c>
      <x:c r="H45" s="9" t="n">
        <x:f>F45-G45</x:f>
        <x:v>0</x:v>
      </x:c>
      <x:c r="I45" s="9" t="str">
        <x:f>IF(F45&gt;=G45,"PASS","FAIL")</x:f>
        <x:v>PASS</x:v>
      </x:c>
      <x:c r="J45" s="9" t="str">
        <x:v>CRS-2</x:v>
      </x:c>
    </x:row>
    <x:row r="46">
      <x:c r="B46" s="9" t="str">
        <x:v>R2-040</x:v>
      </x:c>
      <x:c r="C46" s="9" t="str">
        <x:v>ROOT_B</x:v>
      </x:c>
      <x:c r="D46" s="9" t="str">
        <x:v>ARSENAL_1</x:v>
      </x:c>
      <x:c r="E46" s="9" t="str">
        <x:v>B1</x:v>
      </x:c>
      <x:c r="F46" s="9" t="n">
        <x:f>COUNTIFS(Shipsets!$C$7:$C$12,"&lt;&gt;"&amp;C46,Shipsets!$D$7:$D$12,"&lt;&gt;"&amp;D46,Shipsets!$B$7:$B$12,"&lt;&gt;"&amp;E46,Shipsets!$E$7:$E$12,1)</x:f>
        <x:v>2</x:v>
      </x:c>
      <x:c r="G46" s="9" t="n">
        <x:v>1</x:v>
      </x:c>
      <x:c r="H46" s="9" t="n">
        <x:f>F46-G46</x:f>
        <x:v>1</x:v>
      </x:c>
      <x:c r="I46" s="9" t="str">
        <x:f>IF(F46&gt;=G46,"PASS","FAIL")</x:f>
        <x:v>PASS</x:v>
      </x:c>
      <x:c r="J46" s="9" t="str">
        <x:v>CRS-2</x:v>
      </x:c>
    </x:row>
    <x:row r="47">
      <x:c r="B47" s="9" t="str">
        <x:v>R2-041</x:v>
      </x:c>
      <x:c r="C47" s="9" t="str">
        <x:v>ROOT_B</x:v>
      </x:c>
      <x:c r="D47" s="9" t="str">
        <x:v>ARSENAL_1</x:v>
      </x:c>
      <x:c r="E47" s="9" t="str">
        <x:v>B2</x:v>
      </x:c>
      <x:c r="F47" s="9" t="n">
        <x:f>COUNTIFS(Shipsets!$C$7:$C$12,"&lt;&gt;"&amp;C47,Shipsets!$D$7:$D$12,"&lt;&gt;"&amp;D47,Shipsets!$B$7:$B$12,"&lt;&gt;"&amp;E47,Shipsets!$E$7:$E$12,1)</x:f>
        <x:v>2</x:v>
      </x:c>
      <x:c r="G47" s="9" t="n">
        <x:v>1</x:v>
      </x:c>
      <x:c r="H47" s="9" t="n">
        <x:f>F47-G47</x:f>
        <x:v>1</x:v>
      </x:c>
      <x:c r="I47" s="9" t="str">
        <x:f>IF(F47&gt;=G47,"PASS","FAIL")</x:f>
        <x:v>PASS</x:v>
      </x:c>
      <x:c r="J47" s="9" t="str">
        <x:v>CRS-2</x:v>
      </x:c>
    </x:row>
    <x:row r="48">
      <x:c r="B48" s="9" t="str">
        <x:v>R2-042</x:v>
      </x:c>
      <x:c r="C48" s="9" t="str">
        <x:v>ROOT_B</x:v>
      </x:c>
      <x:c r="D48" s="9" t="str">
        <x:v>ARSENAL_1</x:v>
      </x:c>
      <x:c r="E48" s="9" t="str">
        <x:v>B3</x:v>
      </x:c>
      <x:c r="F48" s="9" t="n">
        <x:f>COUNTIFS(Shipsets!$C$7:$C$12,"&lt;&gt;"&amp;C48,Shipsets!$D$7:$D$12,"&lt;&gt;"&amp;D48,Shipsets!$B$7:$B$12,"&lt;&gt;"&amp;E48,Shipsets!$E$7:$E$12,1)</x:f>
        <x:v>2</x:v>
      </x:c>
      <x:c r="G48" s="9" t="n">
        <x:v>1</x:v>
      </x:c>
      <x:c r="H48" s="9" t="n">
        <x:f>F48-G48</x:f>
        <x:v>1</x:v>
      </x:c>
      <x:c r="I48" s="9" t="str">
        <x:f>IF(F48&gt;=G48,"PASS","FAIL")</x:f>
        <x:v>PASS</x:v>
      </x:c>
      <x:c r="J48" s="9" t="str">
        <x:v>CRS-2</x:v>
      </x:c>
    </x:row>
    <x:row r="49">
      <x:c r="B49" s="9" t="str">
        <x:v>R2-043</x:v>
      </x:c>
      <x:c r="C49" s="9" t="str">
        <x:v>ROOT_B</x:v>
      </x:c>
      <x:c r="D49" s="9" t="str">
        <x:v>ARSENAL_2</x:v>
      </x:c>
      <x:c r="E49" s="9" t="str">
        <x:v>A1</x:v>
      </x:c>
      <x:c r="F49" s="9" t="n">
        <x:f>COUNTIFS(Shipsets!$C$7:$C$12,"&lt;&gt;"&amp;C49,Shipsets!$D$7:$D$12,"&lt;&gt;"&amp;D49,Shipsets!$B$7:$B$12,"&lt;&gt;"&amp;E49,Shipsets!$E$7:$E$12,1)</x:f>
        <x:v>1</x:v>
      </x:c>
      <x:c r="G49" s="9" t="n">
        <x:v>1</x:v>
      </x:c>
      <x:c r="H49" s="9" t="n">
        <x:f>F49-G49</x:f>
        <x:v>0</x:v>
      </x:c>
      <x:c r="I49" s="9" t="str">
        <x:f>IF(F49&gt;=G49,"PASS","FAIL")</x:f>
        <x:v>PASS</x:v>
      </x:c>
      <x:c r="J49" s="9" t="str">
        <x:v>CRS-2</x:v>
      </x:c>
    </x:row>
    <x:row r="50">
      <x:c r="B50" s="9" t="str">
        <x:v>R2-044</x:v>
      </x:c>
      <x:c r="C50" s="9" t="str">
        <x:v>ROOT_B</x:v>
      </x:c>
      <x:c r="D50" s="9" t="str">
        <x:v>ARSENAL_2</x:v>
      </x:c>
      <x:c r="E50" s="9" t="str">
        <x:v>A2</x:v>
      </x:c>
      <x:c r="F50" s="9" t="n">
        <x:f>COUNTIFS(Shipsets!$C$7:$C$12,"&lt;&gt;"&amp;C50,Shipsets!$D$7:$D$12,"&lt;&gt;"&amp;D50,Shipsets!$B$7:$B$12,"&lt;&gt;"&amp;E50,Shipsets!$E$7:$E$12,1)</x:f>
        <x:v>2</x:v>
      </x:c>
      <x:c r="G50" s="9" t="n">
        <x:v>1</x:v>
      </x:c>
      <x:c r="H50" s="9" t="n">
        <x:f>F50-G50</x:f>
        <x:v>1</x:v>
      </x:c>
      <x:c r="I50" s="9" t="str">
        <x:f>IF(F50&gt;=G50,"PASS","FAIL")</x:f>
        <x:v>PASS</x:v>
      </x:c>
      <x:c r="J50" s="9" t="str">
        <x:v>CRS-2</x:v>
      </x:c>
    </x:row>
    <x:row r="51">
      <x:c r="B51" s="9" t="str">
        <x:v>R2-045</x:v>
      </x:c>
      <x:c r="C51" s="9" t="str">
        <x:v>ROOT_B</x:v>
      </x:c>
      <x:c r="D51" s="9" t="str">
        <x:v>ARSENAL_2</x:v>
      </x:c>
      <x:c r="E51" s="9" t="str">
        <x:v>A3</x:v>
      </x:c>
      <x:c r="F51" s="9" t="n">
        <x:f>COUNTIFS(Shipsets!$C$7:$C$12,"&lt;&gt;"&amp;C51,Shipsets!$D$7:$D$12,"&lt;&gt;"&amp;D51,Shipsets!$B$7:$B$12,"&lt;&gt;"&amp;E51,Shipsets!$E$7:$E$12,1)</x:f>
        <x:v>1</x:v>
      </x:c>
      <x:c r="G51" s="9" t="n">
        <x:v>1</x:v>
      </x:c>
      <x:c r="H51" s="9" t="n">
        <x:f>F51-G51</x:f>
        <x:v>0</x:v>
      </x:c>
      <x:c r="I51" s="9" t="str">
        <x:f>IF(F51&gt;=G51,"PASS","FAIL")</x:f>
        <x:v>PASS</x:v>
      </x:c>
      <x:c r="J51" s="9" t="str">
        <x:v>CRS-2</x:v>
      </x:c>
    </x:row>
    <x:row r="52">
      <x:c r="B52" s="9" t="str">
        <x:v>R2-046</x:v>
      </x:c>
      <x:c r="C52" s="9" t="str">
        <x:v>ROOT_B</x:v>
      </x:c>
      <x:c r="D52" s="9" t="str">
        <x:v>ARSENAL_2</x:v>
      </x:c>
      <x:c r="E52" s="9" t="str">
        <x:v>B1</x:v>
      </x:c>
      <x:c r="F52" s="9" t="n">
        <x:f>COUNTIFS(Shipsets!$C$7:$C$12,"&lt;&gt;"&amp;C52,Shipsets!$D$7:$D$12,"&lt;&gt;"&amp;D52,Shipsets!$B$7:$B$12,"&lt;&gt;"&amp;E52,Shipsets!$E$7:$E$12,1)</x:f>
        <x:v>2</x:v>
      </x:c>
      <x:c r="G52" s="9" t="n">
        <x:v>1</x:v>
      </x:c>
      <x:c r="H52" s="9" t="n">
        <x:f>F52-G52</x:f>
        <x:v>1</x:v>
      </x:c>
      <x:c r="I52" s="9" t="str">
        <x:f>IF(F52&gt;=G52,"PASS","FAIL")</x:f>
        <x:v>PASS</x:v>
      </x:c>
      <x:c r="J52" s="9" t="str">
        <x:v>CRS-2</x:v>
      </x:c>
    </x:row>
    <x:row r="53">
      <x:c r="B53" s="9" t="str">
        <x:v>R2-047</x:v>
      </x:c>
      <x:c r="C53" s="9" t="str">
        <x:v>ROOT_B</x:v>
      </x:c>
      <x:c r="D53" s="9" t="str">
        <x:v>ARSENAL_2</x:v>
      </x:c>
      <x:c r="E53" s="9" t="str">
        <x:v>B2</x:v>
      </x:c>
      <x:c r="F53" s="9" t="n">
        <x:f>COUNTIFS(Shipsets!$C$7:$C$12,"&lt;&gt;"&amp;C53,Shipsets!$D$7:$D$12,"&lt;&gt;"&amp;D53,Shipsets!$B$7:$B$12,"&lt;&gt;"&amp;E53,Shipsets!$E$7:$E$12,1)</x:f>
        <x:v>2</x:v>
      </x:c>
      <x:c r="G53" s="9" t="n">
        <x:v>1</x:v>
      </x:c>
      <x:c r="H53" s="9" t="n">
        <x:f>F53-G53</x:f>
        <x:v>1</x:v>
      </x:c>
      <x:c r="I53" s="9" t="str">
        <x:f>IF(F53&gt;=G53,"PASS","FAIL")</x:f>
        <x:v>PASS</x:v>
      </x:c>
      <x:c r="J53" s="9" t="str">
        <x:v>CRS-2</x:v>
      </x:c>
    </x:row>
    <x:row r="54">
      <x:c r="B54" s="9" t="str">
        <x:v>R2-048</x:v>
      </x:c>
      <x:c r="C54" s="9" t="str">
        <x:v>ROOT_B</x:v>
      </x:c>
      <x:c r="D54" s="9" t="str">
        <x:v>ARSENAL_2</x:v>
      </x:c>
      <x:c r="E54" s="9" t="str">
        <x:v>B3</x:v>
      </x:c>
      <x:c r="F54" s="9" t="n">
        <x:f>COUNTIFS(Shipsets!$C$7:$C$12,"&lt;&gt;"&amp;C54,Shipsets!$D$7:$D$12,"&lt;&gt;"&amp;D54,Shipsets!$B$7:$B$12,"&lt;&gt;"&amp;E54,Shipsets!$E$7:$E$12,1)</x:f>
        <x:v>2</x:v>
      </x:c>
      <x:c r="G54" s="9" t="n">
        <x:v>1</x:v>
      </x:c>
      <x:c r="H54" s="9" t="n">
        <x:f>F54-G54</x:f>
        <x:v>1</x:v>
      </x:c>
      <x:c r="I54" s="9" t="str">
        <x:f>IF(F54&gt;=G54,"PASS","FAIL")</x:f>
        <x:v>PASS</x:v>
      </x:c>
      <x:c r="J54" s="9" t="str">
        <x:v>CRS-2</x:v>
      </x:c>
    </x:row>
    <x:row r="55">
      <x:c r="B55" s="9" t="str">
        <x:v>R2-049</x:v>
      </x:c>
      <x:c r="C55" s="9" t="str">
        <x:v>ROOT_B</x:v>
      </x:c>
      <x:c r="D55" s="9" t="str">
        <x:v>ARSENAL_3</x:v>
      </x:c>
      <x:c r="E55" s="9" t="str">
        <x:v>A1</x:v>
      </x:c>
      <x:c r="F55" s="9" t="n">
        <x:f>COUNTIFS(Shipsets!$C$7:$C$12,"&lt;&gt;"&amp;C55,Shipsets!$D$7:$D$12,"&lt;&gt;"&amp;D55,Shipsets!$B$7:$B$12,"&lt;&gt;"&amp;E55,Shipsets!$E$7:$E$12,1)</x:f>
        <x:v>1</x:v>
      </x:c>
      <x:c r="G55" s="9" t="n">
        <x:v>1</x:v>
      </x:c>
      <x:c r="H55" s="9" t="n">
        <x:f>F55-G55</x:f>
        <x:v>0</x:v>
      </x:c>
      <x:c r="I55" s="9" t="str">
        <x:f>IF(F55&gt;=G55,"PASS","FAIL")</x:f>
        <x:v>PASS</x:v>
      </x:c>
      <x:c r="J55" s="9" t="str">
        <x:v>CRS-2</x:v>
      </x:c>
    </x:row>
    <x:row r="56">
      <x:c r="B56" s="9" t="str">
        <x:v>R2-050</x:v>
      </x:c>
      <x:c r="C56" s="9" t="str">
        <x:v>ROOT_B</x:v>
      </x:c>
      <x:c r="D56" s="9" t="str">
        <x:v>ARSENAL_3</x:v>
      </x:c>
      <x:c r="E56" s="9" t="str">
        <x:v>A2</x:v>
      </x:c>
      <x:c r="F56" s="9" t="n">
        <x:f>COUNTIFS(Shipsets!$C$7:$C$12,"&lt;&gt;"&amp;C56,Shipsets!$D$7:$D$12,"&lt;&gt;"&amp;D56,Shipsets!$B$7:$B$12,"&lt;&gt;"&amp;E56,Shipsets!$E$7:$E$12,1)</x:f>
        <x:v>1</x:v>
      </x:c>
      <x:c r="G56" s="9" t="n">
        <x:v>1</x:v>
      </x:c>
      <x:c r="H56" s="9" t="n">
        <x:f>F56-G56</x:f>
        <x:v>0</x:v>
      </x:c>
      <x:c r="I56" s="9" t="str">
        <x:f>IF(F56&gt;=G56,"PASS","FAIL")</x:f>
        <x:v>PASS</x:v>
      </x:c>
      <x:c r="J56" s="9" t="str">
        <x:v>CRS-2</x:v>
      </x:c>
    </x:row>
    <x:row r="57">
      <x:c r="B57" s="9" t="str">
        <x:v>R2-051</x:v>
      </x:c>
      <x:c r="C57" s="9" t="str">
        <x:v>ROOT_B</x:v>
      </x:c>
      <x:c r="D57" s="9" t="str">
        <x:v>ARSENAL_3</x:v>
      </x:c>
      <x:c r="E57" s="9" t="str">
        <x:v>A3</x:v>
      </x:c>
      <x:c r="F57" s="9" t="n">
        <x:f>COUNTIFS(Shipsets!$C$7:$C$12,"&lt;&gt;"&amp;C57,Shipsets!$D$7:$D$12,"&lt;&gt;"&amp;D57,Shipsets!$B$7:$B$12,"&lt;&gt;"&amp;E57,Shipsets!$E$7:$E$12,1)</x:f>
        <x:v>2</x:v>
      </x:c>
      <x:c r="G57" s="9" t="n">
        <x:v>1</x:v>
      </x:c>
      <x:c r="H57" s="9" t="n">
        <x:f>F57-G57</x:f>
        <x:v>1</x:v>
      </x:c>
      <x:c r="I57" s="9" t="str">
        <x:f>IF(F57&gt;=G57,"PASS","FAIL")</x:f>
        <x:v>PASS</x:v>
      </x:c>
      <x:c r="J57" s="9" t="str">
        <x:v>CRS-2</x:v>
      </x:c>
    </x:row>
    <x:row r="58">
      <x:c r="B58" s="9" t="str">
        <x:v>R2-052</x:v>
      </x:c>
      <x:c r="C58" s="9" t="str">
        <x:v>ROOT_B</x:v>
      </x:c>
      <x:c r="D58" s="9" t="str">
        <x:v>ARSENAL_3</x:v>
      </x:c>
      <x:c r="E58" s="9" t="str">
        <x:v>B1</x:v>
      </x:c>
      <x:c r="F58" s="9" t="n">
        <x:f>COUNTIFS(Shipsets!$C$7:$C$12,"&lt;&gt;"&amp;C58,Shipsets!$D$7:$D$12,"&lt;&gt;"&amp;D58,Shipsets!$B$7:$B$12,"&lt;&gt;"&amp;E58,Shipsets!$E$7:$E$12,1)</x:f>
        <x:v>2</x:v>
      </x:c>
      <x:c r="G58" s="9" t="n">
        <x:v>1</x:v>
      </x:c>
      <x:c r="H58" s="9" t="n">
        <x:f>F58-G58</x:f>
        <x:v>1</x:v>
      </x:c>
      <x:c r="I58" s="9" t="str">
        <x:f>IF(F58&gt;=G58,"PASS","FAIL")</x:f>
        <x:v>PASS</x:v>
      </x:c>
      <x:c r="J58" s="9" t="str">
        <x:v>CRS-2</x:v>
      </x:c>
    </x:row>
    <x:row r="59">
      <x:c r="B59" s="9" t="str">
        <x:v>R2-053</x:v>
      </x:c>
      <x:c r="C59" s="9" t="str">
        <x:v>ROOT_B</x:v>
      </x:c>
      <x:c r="D59" s="9" t="str">
        <x:v>ARSENAL_3</x:v>
      </x:c>
      <x:c r="E59" s="9" t="str">
        <x:v>B2</x:v>
      </x:c>
      <x:c r="F59" s="9" t="n">
        <x:f>COUNTIFS(Shipsets!$C$7:$C$12,"&lt;&gt;"&amp;C59,Shipsets!$D$7:$D$12,"&lt;&gt;"&amp;D59,Shipsets!$B$7:$B$12,"&lt;&gt;"&amp;E59,Shipsets!$E$7:$E$12,1)</x:f>
        <x:v>2</x:v>
      </x:c>
      <x:c r="G59" s="9" t="n">
        <x:v>1</x:v>
      </x:c>
      <x:c r="H59" s="9" t="n">
        <x:f>F59-G59</x:f>
        <x:v>1</x:v>
      </x:c>
      <x:c r="I59" s="9" t="str">
        <x:f>IF(F59&gt;=G59,"PASS","FAIL")</x:f>
        <x:v>PASS</x:v>
      </x:c>
      <x:c r="J59" s="9" t="str">
        <x:v>CRS-2</x:v>
      </x:c>
    </x:row>
    <x:row r="60">
      <x:c r="B60" s="9" t="str">
        <x:v>R2-054</x:v>
      </x:c>
      <x:c r="C60" s="9" t="str">
        <x:v>ROOT_B</x:v>
      </x:c>
      <x:c r="D60" s="9" t="str">
        <x:v>ARSENAL_3</x:v>
      </x:c>
      <x:c r="E60" s="9" t="str">
        <x:v>B3</x:v>
      </x:c>
      <x:c r="F60" s="9" t="n">
        <x:f>COUNTIFS(Shipsets!$C$7:$C$12,"&lt;&gt;"&amp;C60,Shipsets!$D$7:$D$12,"&lt;&gt;"&amp;D60,Shipsets!$B$7:$B$12,"&lt;&gt;"&amp;E60,Shipsets!$E$7:$E$12,1)</x:f>
        <x:v>2</x:v>
      </x:c>
      <x:c r="G60" s="9" t="n">
        <x:v>1</x:v>
      </x:c>
      <x:c r="H60" s="9" t="n">
        <x:f>F60-G60</x:f>
        <x:v>1</x:v>
      </x:c>
      <x:c r="I60" s="9" t="str">
        <x:f>IF(F60&gt;=G60,"PASS","FAIL")</x:f>
        <x:v>PASS</x:v>
      </x:c>
      <x:c r="J60" s="9" t="str">
        <x:v>CRS-2</x:v>
      </x:c>
    </x:row>
    <x:row r="61">
      <x:c r="B61" s="9" t="str">
        <x:v>R2-055</x:v>
      </x:c>
      <x:c r="C61" s="9" t="str">
        <x:v>ROOT_B</x:v>
      </x:c>
      <x:c r="D61" s="9" t="str">
        <x:v>ARSENAL_4</x:v>
      </x:c>
      <x:c r="E61" s="9" t="str">
        <x:v>A1</x:v>
      </x:c>
      <x:c r="F61" s="9" t="n">
        <x:f>COUNTIFS(Shipsets!$C$7:$C$12,"&lt;&gt;"&amp;C61,Shipsets!$D$7:$D$12,"&lt;&gt;"&amp;D61,Shipsets!$B$7:$B$12,"&lt;&gt;"&amp;E61,Shipsets!$E$7:$E$12,1)</x:f>
        <x:v>2</x:v>
      </x:c>
      <x:c r="G61" s="9" t="n">
        <x:v>1</x:v>
      </x:c>
      <x:c r="H61" s="9" t="n">
        <x:f>F61-G61</x:f>
        <x:v>1</x:v>
      </x:c>
      <x:c r="I61" s="9" t="str">
        <x:f>IF(F61&gt;=G61,"PASS","FAIL")</x:f>
        <x:v>PASS</x:v>
      </x:c>
      <x:c r="J61" s="9" t="str">
        <x:v>CRS-2</x:v>
      </x:c>
    </x:row>
    <x:row r="62">
      <x:c r="B62" s="9" t="str">
        <x:v>R2-056</x:v>
      </x:c>
      <x:c r="C62" s="9" t="str">
        <x:v>ROOT_B</x:v>
      </x:c>
      <x:c r="D62" s="9" t="str">
        <x:v>ARSENAL_4</x:v>
      </x:c>
      <x:c r="E62" s="9" t="str">
        <x:v>A2</x:v>
      </x:c>
      <x:c r="F62" s="9" t="n">
        <x:f>COUNTIFS(Shipsets!$C$7:$C$12,"&lt;&gt;"&amp;C62,Shipsets!$D$7:$D$12,"&lt;&gt;"&amp;D62,Shipsets!$B$7:$B$12,"&lt;&gt;"&amp;E62,Shipsets!$E$7:$E$12,1)</x:f>
        <x:v>2</x:v>
      </x:c>
      <x:c r="G62" s="9" t="n">
        <x:v>1</x:v>
      </x:c>
      <x:c r="H62" s="9" t="n">
        <x:f>F62-G62</x:f>
        <x:v>1</x:v>
      </x:c>
      <x:c r="I62" s="9" t="str">
        <x:f>IF(F62&gt;=G62,"PASS","FAIL")</x:f>
        <x:v>PASS</x:v>
      </x:c>
      <x:c r="J62" s="9" t="str">
        <x:v>CRS-2</x:v>
      </x:c>
    </x:row>
    <x:row r="63">
      <x:c r="B63" s="9" t="str">
        <x:v>R2-057</x:v>
      </x:c>
      <x:c r="C63" s="9" t="str">
        <x:v>ROOT_B</x:v>
      </x:c>
      <x:c r="D63" s="9" t="str">
        <x:v>ARSENAL_4</x:v>
      </x:c>
      <x:c r="E63" s="9" t="str">
        <x:v>A3</x:v>
      </x:c>
      <x:c r="F63" s="9" t="n">
        <x:f>COUNTIFS(Shipsets!$C$7:$C$12,"&lt;&gt;"&amp;C63,Shipsets!$D$7:$D$12,"&lt;&gt;"&amp;D63,Shipsets!$B$7:$B$12,"&lt;&gt;"&amp;E63,Shipsets!$E$7:$E$12,1)</x:f>
        <x:v>2</x:v>
      </x:c>
      <x:c r="G63" s="9" t="n">
        <x:v>1</x:v>
      </x:c>
      <x:c r="H63" s="9" t="n">
        <x:f>F63-G63</x:f>
        <x:v>1</x:v>
      </x:c>
      <x:c r="I63" s="9" t="str">
        <x:f>IF(F63&gt;=G63,"PASS","FAIL")</x:f>
        <x:v>PASS</x:v>
      </x:c>
      <x:c r="J63" s="9" t="str">
        <x:v>CRS-2</x:v>
      </x:c>
    </x:row>
    <x:row r="64">
      <x:c r="B64" s="9" t="str">
        <x:v>R2-058</x:v>
      </x:c>
      <x:c r="C64" s="9" t="str">
        <x:v>ROOT_B</x:v>
      </x:c>
      <x:c r="D64" s="9" t="str">
        <x:v>ARSENAL_4</x:v>
      </x:c>
      <x:c r="E64" s="9" t="str">
        <x:v>B1</x:v>
      </x:c>
      <x:c r="F64" s="9" t="n">
        <x:f>COUNTIFS(Shipsets!$C$7:$C$12,"&lt;&gt;"&amp;C64,Shipsets!$D$7:$D$12,"&lt;&gt;"&amp;D64,Shipsets!$B$7:$B$12,"&lt;&gt;"&amp;E64,Shipsets!$E$7:$E$12,1)</x:f>
        <x:v>3</x:v>
      </x:c>
      <x:c r="G64" s="9" t="n">
        <x:v>1</x:v>
      </x:c>
      <x:c r="H64" s="9" t="n">
        <x:f>F64-G64</x:f>
        <x:v>2</x:v>
      </x:c>
      <x:c r="I64" s="9" t="str">
        <x:f>IF(F64&gt;=G64,"PASS","FAIL")</x:f>
        <x:v>PASS</x:v>
      </x:c>
      <x:c r="J64" s="9" t="str">
        <x:v>CRS-2</x:v>
      </x:c>
    </x:row>
    <x:row r="65">
      <x:c r="B65" s="9" t="str">
        <x:v>R2-059</x:v>
      </x:c>
      <x:c r="C65" s="9" t="str">
        <x:v>ROOT_B</x:v>
      </x:c>
      <x:c r="D65" s="9" t="str">
        <x:v>ARSENAL_4</x:v>
      </x:c>
      <x:c r="E65" s="9" t="str">
        <x:v>B2</x:v>
      </x:c>
      <x:c r="F65" s="9" t="n">
        <x:f>COUNTIFS(Shipsets!$C$7:$C$12,"&lt;&gt;"&amp;C65,Shipsets!$D$7:$D$12,"&lt;&gt;"&amp;D65,Shipsets!$B$7:$B$12,"&lt;&gt;"&amp;E65,Shipsets!$E$7:$E$12,1)</x:f>
        <x:v>3</x:v>
      </x:c>
      <x:c r="G65" s="9" t="n">
        <x:v>1</x:v>
      </x:c>
      <x:c r="H65" s="9" t="n">
        <x:f>F65-G65</x:f>
        <x:v>2</x:v>
      </x:c>
      <x:c r="I65" s="9" t="str">
        <x:f>IF(F65&gt;=G65,"PASS","FAIL")</x:f>
        <x:v>PASS</x:v>
      </x:c>
      <x:c r="J65" s="9" t="str">
        <x:v>CRS-2</x:v>
      </x:c>
    </x:row>
    <x:row r="66">
      <x:c r="B66" s="9" t="str">
        <x:v>R2-060</x:v>
      </x:c>
      <x:c r="C66" s="9" t="str">
        <x:v>ROOT_B</x:v>
      </x:c>
      <x:c r="D66" s="9" t="str">
        <x:v>ARSENAL_4</x:v>
      </x:c>
      <x:c r="E66" s="9" t="str">
        <x:v>B3</x:v>
      </x:c>
      <x:c r="F66" s="9" t="n">
        <x:f>COUNTIFS(Shipsets!$C$7:$C$12,"&lt;&gt;"&amp;C66,Shipsets!$D$7:$D$12,"&lt;&gt;"&amp;D66,Shipsets!$B$7:$B$12,"&lt;&gt;"&amp;E66,Shipsets!$E$7:$E$12,1)</x:f>
        <x:v>3</x:v>
      </x:c>
      <x:c r="G66" s="9" t="n">
        <x:v>1</x:v>
      </x:c>
      <x:c r="H66" s="9" t="n">
        <x:f>F66-G66</x:f>
        <x:v>2</x:v>
      </x:c>
      <x:c r="I66" s="9" t="str">
        <x:f>IF(F66&gt;=G66,"PASS","FAIL")</x:f>
        <x:v>PASS</x:v>
      </x:c>
      <x:c r="J66" s="9" t="str">
        <x:v>CRS-2</x:v>
      </x:c>
    </x:row>
    <x:row r="67">
      <x:c r="B67" s="9" t="str">
        <x:v>R2-061</x:v>
      </x:c>
      <x:c r="C67" s="9" t="str">
        <x:v>ROOT_B</x:v>
      </x:c>
      <x:c r="D67" s="9" t="str">
        <x:v>ARSENAL_5</x:v>
      </x:c>
      <x:c r="E67" s="9" t="str">
        <x:v>A1</x:v>
      </x:c>
      <x:c r="F67" s="9" t="n">
        <x:f>COUNTIFS(Shipsets!$C$7:$C$12,"&lt;&gt;"&amp;C67,Shipsets!$D$7:$D$12,"&lt;&gt;"&amp;D67,Shipsets!$B$7:$B$12,"&lt;&gt;"&amp;E67,Shipsets!$E$7:$E$12,1)</x:f>
        <x:v>2</x:v>
      </x:c>
      <x:c r="G67" s="9" t="n">
        <x:v>1</x:v>
      </x:c>
      <x:c r="H67" s="9" t="n">
        <x:f>F67-G67</x:f>
        <x:v>1</x:v>
      </x:c>
      <x:c r="I67" s="9" t="str">
        <x:f>IF(F67&gt;=G67,"PASS","FAIL")</x:f>
        <x:v>PASS</x:v>
      </x:c>
      <x:c r="J67" s="9" t="str">
        <x:v>CRS-2</x:v>
      </x:c>
    </x:row>
    <x:row r="68">
      <x:c r="B68" s="9" t="str">
        <x:v>R2-062</x:v>
      </x:c>
      <x:c r="C68" s="9" t="str">
        <x:v>ROOT_B</x:v>
      </x:c>
      <x:c r="D68" s="9" t="str">
        <x:v>ARSENAL_5</x:v>
      </x:c>
      <x:c r="E68" s="9" t="str">
        <x:v>A2</x:v>
      </x:c>
      <x:c r="F68" s="9" t="n">
        <x:f>COUNTIFS(Shipsets!$C$7:$C$12,"&lt;&gt;"&amp;C68,Shipsets!$D$7:$D$12,"&lt;&gt;"&amp;D68,Shipsets!$B$7:$B$12,"&lt;&gt;"&amp;E68,Shipsets!$E$7:$E$12,1)</x:f>
        <x:v>2</x:v>
      </x:c>
      <x:c r="G68" s="9" t="n">
        <x:v>1</x:v>
      </x:c>
      <x:c r="H68" s="9" t="n">
        <x:f>F68-G68</x:f>
        <x:v>1</x:v>
      </x:c>
      <x:c r="I68" s="9" t="str">
        <x:f>IF(F68&gt;=G68,"PASS","FAIL")</x:f>
        <x:v>PASS</x:v>
      </x:c>
      <x:c r="J68" s="9" t="str">
        <x:v>CRS-2</x:v>
      </x:c>
    </x:row>
    <x:row r="69">
      <x:c r="B69" s="9" t="str">
        <x:v>R2-063</x:v>
      </x:c>
      <x:c r="C69" s="9" t="str">
        <x:v>ROOT_B</x:v>
      </x:c>
      <x:c r="D69" s="9" t="str">
        <x:v>ARSENAL_5</x:v>
      </x:c>
      <x:c r="E69" s="9" t="str">
        <x:v>A3</x:v>
      </x:c>
      <x:c r="F69" s="9" t="n">
        <x:f>COUNTIFS(Shipsets!$C$7:$C$12,"&lt;&gt;"&amp;C69,Shipsets!$D$7:$D$12,"&lt;&gt;"&amp;D69,Shipsets!$B$7:$B$12,"&lt;&gt;"&amp;E69,Shipsets!$E$7:$E$12,1)</x:f>
        <x:v>2</x:v>
      </x:c>
      <x:c r="G69" s="9" t="n">
        <x:v>1</x:v>
      </x:c>
      <x:c r="H69" s="9" t="n">
        <x:f>F69-G69</x:f>
        <x:v>1</x:v>
      </x:c>
      <x:c r="I69" s="9" t="str">
        <x:f>IF(F69&gt;=G69,"PASS","FAIL")</x:f>
        <x:v>PASS</x:v>
      </x:c>
      <x:c r="J69" s="9" t="str">
        <x:v>CRS-2</x:v>
      </x:c>
    </x:row>
    <x:row r="70">
      <x:c r="B70" s="9" t="str">
        <x:v>R2-064</x:v>
      </x:c>
      <x:c r="C70" s="9" t="str">
        <x:v>ROOT_B</x:v>
      </x:c>
      <x:c r="D70" s="9" t="str">
        <x:v>ARSENAL_5</x:v>
      </x:c>
      <x:c r="E70" s="9" t="str">
        <x:v>B1</x:v>
      </x:c>
      <x:c r="F70" s="9" t="n">
        <x:f>COUNTIFS(Shipsets!$C$7:$C$12,"&lt;&gt;"&amp;C70,Shipsets!$D$7:$D$12,"&lt;&gt;"&amp;D70,Shipsets!$B$7:$B$12,"&lt;&gt;"&amp;E70,Shipsets!$E$7:$E$12,1)</x:f>
        <x:v>3</x:v>
      </x:c>
      <x:c r="G70" s="9" t="n">
        <x:v>1</x:v>
      </x:c>
      <x:c r="H70" s="9" t="n">
        <x:f>F70-G70</x:f>
        <x:v>2</x:v>
      </x:c>
      <x:c r="I70" s="9" t="str">
        <x:f>IF(F70&gt;=G70,"PASS","FAIL")</x:f>
        <x:v>PASS</x:v>
      </x:c>
      <x:c r="J70" s="9" t="str">
        <x:v>CRS-2</x:v>
      </x:c>
    </x:row>
    <x:row r="71">
      <x:c r="B71" s="9" t="str">
        <x:v>R2-065</x:v>
      </x:c>
      <x:c r="C71" s="9" t="str">
        <x:v>ROOT_B</x:v>
      </x:c>
      <x:c r="D71" s="9" t="str">
        <x:v>ARSENAL_5</x:v>
      </x:c>
      <x:c r="E71" s="9" t="str">
        <x:v>B2</x:v>
      </x:c>
      <x:c r="F71" s="9" t="n">
        <x:f>COUNTIFS(Shipsets!$C$7:$C$12,"&lt;&gt;"&amp;C71,Shipsets!$D$7:$D$12,"&lt;&gt;"&amp;D71,Shipsets!$B$7:$B$12,"&lt;&gt;"&amp;E71,Shipsets!$E$7:$E$12,1)</x:f>
        <x:v>3</x:v>
      </x:c>
      <x:c r="G71" s="9" t="n">
        <x:v>1</x:v>
      </x:c>
      <x:c r="H71" s="9" t="n">
        <x:f>F71-G71</x:f>
        <x:v>2</x:v>
      </x:c>
      <x:c r="I71" s="9" t="str">
        <x:f>IF(F71&gt;=G71,"PASS","FAIL")</x:f>
        <x:v>PASS</x:v>
      </x:c>
      <x:c r="J71" s="9" t="str">
        <x:v>CRS-2</x:v>
      </x:c>
    </x:row>
    <x:row r="72">
      <x:c r="B72" s="9" t="str">
        <x:v>R2-066</x:v>
      </x:c>
      <x:c r="C72" s="9" t="str">
        <x:v>ROOT_B</x:v>
      </x:c>
      <x:c r="D72" s="9" t="str">
        <x:v>ARSENAL_5</x:v>
      </x:c>
      <x:c r="E72" s="9" t="str">
        <x:v>B3</x:v>
      </x:c>
      <x:c r="F72" s="9" t="n">
        <x:f>COUNTIFS(Shipsets!$C$7:$C$12,"&lt;&gt;"&amp;C72,Shipsets!$D$7:$D$12,"&lt;&gt;"&amp;D72,Shipsets!$B$7:$B$12,"&lt;&gt;"&amp;E72,Shipsets!$E$7:$E$12,1)</x:f>
        <x:v>3</x:v>
      </x:c>
      <x:c r="G72" s="9" t="n">
        <x:v>1</x:v>
      </x:c>
      <x:c r="H72" s="9" t="n">
        <x:f>F72-G72</x:f>
        <x:v>2</x:v>
      </x:c>
      <x:c r="I72" s="9" t="str">
        <x:f>IF(F72&gt;=G72,"PASS","FAIL")</x:f>
        <x:v>PASS</x:v>
      </x:c>
      <x:c r="J72" s="9" t="str">
        <x:v>CRS-2</x:v>
      </x:c>
    </x:row>
    <x:row r="73">
      <x:c r="B73" s="9" t="str">
        <x:v>R2-067</x:v>
      </x:c>
      <x:c r="C73" s="9" t="str">
        <x:v>ROOT_B</x:v>
      </x:c>
      <x:c r="D73" s="9" t="str">
        <x:v>ARSENAL_6</x:v>
      </x:c>
      <x:c r="E73" s="9" t="str">
        <x:v>A1</x:v>
      </x:c>
      <x:c r="F73" s="9" t="n">
        <x:f>COUNTIFS(Shipsets!$C$7:$C$12,"&lt;&gt;"&amp;C73,Shipsets!$D$7:$D$12,"&lt;&gt;"&amp;D73,Shipsets!$B$7:$B$12,"&lt;&gt;"&amp;E73,Shipsets!$E$7:$E$12,1)</x:f>
        <x:v>2</x:v>
      </x:c>
      <x:c r="G73" s="9" t="n">
        <x:v>1</x:v>
      </x:c>
      <x:c r="H73" s="9" t="n">
        <x:f>F73-G73</x:f>
        <x:v>1</x:v>
      </x:c>
      <x:c r="I73" s="9" t="str">
        <x:f>IF(F73&gt;=G73,"PASS","FAIL")</x:f>
        <x:v>PASS</x:v>
      </x:c>
      <x:c r="J73" s="9" t="str">
        <x:v>CRS-2</x:v>
      </x:c>
    </x:row>
    <x:row r="74">
      <x:c r="B74" s="9" t="str">
        <x:v>R2-068</x:v>
      </x:c>
      <x:c r="C74" s="9" t="str">
        <x:v>ROOT_B</x:v>
      </x:c>
      <x:c r="D74" s="9" t="str">
        <x:v>ARSENAL_6</x:v>
      </x:c>
      <x:c r="E74" s="9" t="str">
        <x:v>A2</x:v>
      </x:c>
      <x:c r="F74" s="9" t="n">
        <x:f>COUNTIFS(Shipsets!$C$7:$C$12,"&lt;&gt;"&amp;C74,Shipsets!$D$7:$D$12,"&lt;&gt;"&amp;D74,Shipsets!$B$7:$B$12,"&lt;&gt;"&amp;E74,Shipsets!$E$7:$E$12,1)</x:f>
        <x:v>2</x:v>
      </x:c>
      <x:c r="G74" s="9" t="n">
        <x:v>1</x:v>
      </x:c>
      <x:c r="H74" s="9" t="n">
        <x:f>F74-G74</x:f>
        <x:v>1</x:v>
      </x:c>
      <x:c r="I74" s="9" t="str">
        <x:f>IF(F74&gt;=G74,"PASS","FAIL")</x:f>
        <x:v>PASS</x:v>
      </x:c>
      <x:c r="J74" s="9" t="str">
        <x:v>CRS-2</x:v>
      </x:c>
    </x:row>
    <x:row r="75">
      <x:c r="B75" s="9" t="str">
        <x:v>R2-069</x:v>
      </x:c>
      <x:c r="C75" s="9" t="str">
        <x:v>ROOT_B</x:v>
      </x:c>
      <x:c r="D75" s="9" t="str">
        <x:v>ARSENAL_6</x:v>
      </x:c>
      <x:c r="E75" s="9" t="str">
        <x:v>A3</x:v>
      </x:c>
      <x:c r="F75" s="9" t="n">
        <x:f>COUNTIFS(Shipsets!$C$7:$C$12,"&lt;&gt;"&amp;C75,Shipsets!$D$7:$D$12,"&lt;&gt;"&amp;D75,Shipsets!$B$7:$B$12,"&lt;&gt;"&amp;E75,Shipsets!$E$7:$E$12,1)</x:f>
        <x:v>2</x:v>
      </x:c>
      <x:c r="G75" s="9" t="n">
        <x:v>1</x:v>
      </x:c>
      <x:c r="H75" s="9" t="n">
        <x:f>F75-G75</x:f>
        <x:v>1</x:v>
      </x:c>
      <x:c r="I75" s="9" t="str">
        <x:f>IF(F75&gt;=G75,"PASS","FAIL")</x:f>
        <x:v>PASS</x:v>
      </x:c>
      <x:c r="J75" s="9" t="str">
        <x:v>CRS-2</x:v>
      </x:c>
    </x:row>
    <x:row r="76">
      <x:c r="B76" s="9" t="str">
        <x:v>R2-070</x:v>
      </x:c>
      <x:c r="C76" s="9" t="str">
        <x:v>ROOT_B</x:v>
      </x:c>
      <x:c r="D76" s="9" t="str">
        <x:v>ARSENAL_6</x:v>
      </x:c>
      <x:c r="E76" s="9" t="str">
        <x:v>B1</x:v>
      </x:c>
      <x:c r="F76" s="9" t="n">
        <x:f>COUNTIFS(Shipsets!$C$7:$C$12,"&lt;&gt;"&amp;C76,Shipsets!$D$7:$D$12,"&lt;&gt;"&amp;D76,Shipsets!$B$7:$B$12,"&lt;&gt;"&amp;E76,Shipsets!$E$7:$E$12,1)</x:f>
        <x:v>3</x:v>
      </x:c>
      <x:c r="G76" s="9" t="n">
        <x:v>1</x:v>
      </x:c>
      <x:c r="H76" s="9" t="n">
        <x:f>F76-G76</x:f>
        <x:v>2</x:v>
      </x:c>
      <x:c r="I76" s="9" t="str">
        <x:f>IF(F76&gt;=G76,"PASS","FAIL")</x:f>
        <x:v>PASS</x:v>
      </x:c>
      <x:c r="J76" s="9" t="str">
        <x:v>CRS-2</x:v>
      </x:c>
    </x:row>
    <x:row r="77">
      <x:c r="B77" s="9" t="str">
        <x:v>R2-071</x:v>
      </x:c>
      <x:c r="C77" s="9" t="str">
        <x:v>ROOT_B</x:v>
      </x:c>
      <x:c r="D77" s="9" t="str">
        <x:v>ARSENAL_6</x:v>
      </x:c>
      <x:c r="E77" s="9" t="str">
        <x:v>B2</x:v>
      </x:c>
      <x:c r="F77" s="9" t="n">
        <x:f>COUNTIFS(Shipsets!$C$7:$C$12,"&lt;&gt;"&amp;C77,Shipsets!$D$7:$D$12,"&lt;&gt;"&amp;D77,Shipsets!$B$7:$B$12,"&lt;&gt;"&amp;E77,Shipsets!$E$7:$E$12,1)</x:f>
        <x:v>3</x:v>
      </x:c>
      <x:c r="G77" s="9" t="n">
        <x:v>1</x:v>
      </x:c>
      <x:c r="H77" s="9" t="n">
        <x:f>F77-G77</x:f>
        <x:v>2</x:v>
      </x:c>
      <x:c r="I77" s="9" t="str">
        <x:f>IF(F77&gt;=G77,"PASS","FAIL")</x:f>
        <x:v>PASS</x:v>
      </x:c>
      <x:c r="J77" s="9" t="str">
        <x:v>CRS-2</x:v>
      </x:c>
    </x:row>
    <x:row r="78">
      <x:c r="B78" s="10" t="str">
        <x:v>R2-072</x:v>
      </x:c>
      <x:c r="C78" s="10" t="str">
        <x:v>ROOT_B</x:v>
      </x:c>
      <x:c r="D78" s="10" t="str">
        <x:v>ARSENAL_6</x:v>
      </x:c>
      <x:c r="E78" s="10" t="str">
        <x:v>B3</x:v>
      </x:c>
      <x:c r="F78" s="10" t="n">
        <x:f>COUNTIFS(Shipsets!$C$7:$C$12,"&lt;&gt;"&amp;C78,Shipsets!$D$7:$D$12,"&lt;&gt;"&amp;D78,Shipsets!$B$7:$B$12,"&lt;&gt;"&amp;E78,Shipsets!$E$7:$E$12,1)</x:f>
        <x:v>3</x:v>
      </x:c>
      <x:c r="G78" s="10" t="n">
        <x:v>1</x:v>
      </x:c>
      <x:c r="H78" s="10" t="n">
        <x:f>F78-G78</x:f>
        <x:v>2</x:v>
      </x:c>
      <x:c r="I78" s="10" t="str">
        <x:f>IF(F78&gt;=G78,"PASS","FAIL")</x:f>
        <x:v>PASS</x:v>
      </x:c>
      <x:c r="J78" s="10" t="str">
        <x:v>CRS-2</x:v>
      </x:c>
    </x:row>
    <x:row r="79">
      <x:c r="B79" s="36"/>
      <x:c r="C79" s="36"/>
      <x:c r="D79" s="36"/>
      <x:c r="E79" s="36"/>
      <x:c r="F79" s="36"/>
      <x:c r="G79" s="36"/>
      <x:c r="H79" s="36"/>
      <x:c r="I79" s="36"/>
      <x:c r="J79" s="36"/>
    </x:row>
    <x:row r="80">
      <x:c r="B80" s="36"/>
      <x:c r="C80" s="36"/>
      <x:c r="D80" s="36"/>
      <x:c r="E80" s="36"/>
      <x:c r="F80" s="36"/>
      <x:c r="G80" s="36"/>
      <x:c r="H80" s="36"/>
      <x:c r="I80" s="36"/>
      <x:c r="J80" s="36"/>
    </x:row>
    <x:row r="81">
      <x:c r="B81" s="36"/>
      <x:c r="C81" s="36"/>
      <x:c r="D81" s="36"/>
      <x:c r="E81" s="36"/>
      <x:c r="F81" s="36"/>
      <x:c r="G81" s="36"/>
      <x:c r="H81" s="36"/>
      <x:c r="I81" s="36"/>
      <x:c r="J81" s="36"/>
    </x:row>
    <x:row r="82">
      <x:c r="B82" s="25" t="str">
        <x:v>CRS-1 comparator</x:v>
      </x:c>
      <x:c r="C82" s="26" t="str">
        <x:v>CRS-1 comparator</x:v>
      </x:c>
      <x:c r="D82" s="26" t="str">
        <x:v>CRS-1 comparator</x:v>
      </x:c>
      <x:c r="E82" s="26" t="str">
        <x:v>CRS-1 comparator</x:v>
      </x:c>
      <x:c r="F82" s="26" t="str">
        <x:v>CRS-1 comparator</x:v>
      </x:c>
      <x:c r="G82" s="26" t="str">
        <x:v>CRS-1 comparator</x:v>
      </x:c>
      <x:c r="H82" s="26" t="str">
        <x:v>CRS-1 comparator</x:v>
      </x:c>
      <x:c r="I82" s="26" t="str">
        <x:v>CRS-1 comparator</x:v>
      </x:c>
      <x:c r="J82" s="27" t="str">
        <x:v>CRS-1 comparator</x:v>
      </x:c>
    </x:row>
    <x:row r="83">
      <x:c r="B83" s="7" t="str">
        <x:v>Case</x:v>
      </x:c>
      <x:c r="C83" s="7" t="str">
        <x:v>Denied root</x:v>
      </x:c>
      <x:c r="D83" s="7" t="str">
        <x:v>Lost arsenal</x:v>
      </x:c>
      <x:c r="E83" s="7" t="str">
        <x:v>Exercise shipset</x:v>
      </x:c>
      <x:c r="F83" s="7" t="str">
        <x:v>Available shipsets</x:v>
      </x:c>
      <x:c r="G83" s="7" t="str">
        <x:v>Requirement</x:v>
      </x:c>
      <x:c r="H83" s="7" t="str">
        <x:v>Margin</x:v>
      </x:c>
      <x:c r="I83" s="7" t="str">
        <x:v>Gate</x:v>
      </x:c>
      <x:c r="J83" s="7" t="str">
        <x:v>Architecture</x:v>
      </x:c>
    </x:row>
    <x:row r="84">
      <x:c r="B84" s="9" t="str">
        <x:v>R1-001</x:v>
      </x:c>
      <x:c r="C84" s="9" t="str">
        <x:v>ROOT_A</x:v>
      </x:c>
      <x:c r="D84" s="9" t="str">
        <x:v>C1-ARSENAL_1</x:v>
      </x:c>
      <x:c r="E84" s="9" t="str">
        <x:v>C1-A1</x:v>
      </x:c>
      <x:c r="F84" s="9" t="n">
        <x:f>COUNTIFS(Shipsets!$C$18:$C$21,"&lt;&gt;"&amp;C84,Shipsets!$D$18:$D$21,"&lt;&gt;"&amp;D84,Shipsets!$B$18:$B$21,"&lt;&gt;"&amp;E84,Shipsets!$E$18:$E$21,1)</x:f>
        <x:v>2</x:v>
      </x:c>
      <x:c r="G84" s="9" t="n">
        <x:v>1</x:v>
      </x:c>
      <x:c r="H84" s="9" t="n">
        <x:f>F84-G84</x:f>
        <x:v>1</x:v>
      </x:c>
      <x:c r="I84" s="9" t="str">
        <x:f>IF(F84&gt;=G84,"PASS","FAIL")</x:f>
        <x:v>PASS</x:v>
      </x:c>
      <x:c r="J84" s="9" t="str">
        <x:v>CRS-1</x:v>
      </x:c>
    </x:row>
    <x:row r="85">
      <x:c r="B85" s="9" t="str">
        <x:v>R1-002</x:v>
      </x:c>
      <x:c r="C85" s="9" t="str">
        <x:v>ROOT_A</x:v>
      </x:c>
      <x:c r="D85" s="9" t="str">
        <x:v>C1-ARSENAL_1</x:v>
      </x:c>
      <x:c r="E85" s="9" t="str">
        <x:v>C1-A2</x:v>
      </x:c>
      <x:c r="F85" s="9" t="n">
        <x:f>COUNTIFS(Shipsets!$C$18:$C$21,"&lt;&gt;"&amp;C85,Shipsets!$D$18:$D$21,"&lt;&gt;"&amp;D85,Shipsets!$B$18:$B$21,"&lt;&gt;"&amp;E85,Shipsets!$E$18:$E$21,1)</x:f>
        <x:v>2</x:v>
      </x:c>
      <x:c r="G85" s="9" t="n">
        <x:v>1</x:v>
      </x:c>
      <x:c r="H85" s="9" t="n">
        <x:f>F85-G85</x:f>
        <x:v>1</x:v>
      </x:c>
      <x:c r="I85" s="9" t="str">
        <x:f>IF(F85&gt;=G85,"PASS","FAIL")</x:f>
        <x:v>PASS</x:v>
      </x:c>
      <x:c r="J85" s="9" t="str">
        <x:v>CRS-1</x:v>
      </x:c>
    </x:row>
    <x:row r="86">
      <x:c r="B86" s="9" t="str">
        <x:v>R1-003</x:v>
      </x:c>
      <x:c r="C86" s="9" t="str">
        <x:v>ROOT_A</x:v>
      </x:c>
      <x:c r="D86" s="9" t="str">
        <x:v>C1-ARSENAL_1</x:v>
      </x:c>
      <x:c r="E86" s="9" t="str">
        <x:v>C1-B1</x:v>
      </x:c>
      <x:c r="F86" s="9" t="n">
        <x:f>COUNTIFS(Shipsets!$C$18:$C$21,"&lt;&gt;"&amp;C86,Shipsets!$D$18:$D$21,"&lt;&gt;"&amp;D86,Shipsets!$B$18:$B$21,"&lt;&gt;"&amp;E86,Shipsets!$E$18:$E$21,1)</x:f>
        <x:v>1</x:v>
      </x:c>
      <x:c r="G86" s="9" t="n">
        <x:v>1</x:v>
      </x:c>
      <x:c r="H86" s="9" t="n">
        <x:f>F86-G86</x:f>
        <x:v>0</x:v>
      </x:c>
      <x:c r="I86" s="9" t="str">
        <x:f>IF(F86&gt;=G86,"PASS","FAIL")</x:f>
        <x:v>PASS</x:v>
      </x:c>
      <x:c r="J86" s="9" t="str">
        <x:v>CRS-1</x:v>
      </x:c>
    </x:row>
    <x:row r="87">
      <x:c r="B87" s="9" t="str">
        <x:v>R1-004</x:v>
      </x:c>
      <x:c r="C87" s="9" t="str">
        <x:v>ROOT_A</x:v>
      </x:c>
      <x:c r="D87" s="9" t="str">
        <x:v>C1-ARSENAL_1</x:v>
      </x:c>
      <x:c r="E87" s="9" t="str">
        <x:v>C1-B2</x:v>
      </x:c>
      <x:c r="F87" s="9" t="n">
        <x:f>COUNTIFS(Shipsets!$C$18:$C$21,"&lt;&gt;"&amp;C87,Shipsets!$D$18:$D$21,"&lt;&gt;"&amp;D87,Shipsets!$B$18:$B$21,"&lt;&gt;"&amp;E87,Shipsets!$E$18:$E$21,1)</x:f>
        <x:v>1</x:v>
      </x:c>
      <x:c r="G87" s="9" t="n">
        <x:v>1</x:v>
      </x:c>
      <x:c r="H87" s="9" t="n">
        <x:f>F87-G87</x:f>
        <x:v>0</x:v>
      </x:c>
      <x:c r="I87" s="9" t="str">
        <x:f>IF(F87&gt;=G87,"PASS","FAIL")</x:f>
        <x:v>PASS</x:v>
      </x:c>
      <x:c r="J87" s="9" t="str">
        <x:v>CRS-1</x:v>
      </x:c>
    </x:row>
    <x:row r="88">
      <x:c r="B88" s="9" t="str">
        <x:v>R1-005</x:v>
      </x:c>
      <x:c r="C88" s="9" t="str">
        <x:v>ROOT_A</x:v>
      </x:c>
      <x:c r="D88" s="9" t="str">
        <x:v>C1-ARSENAL_2</x:v>
      </x:c>
      <x:c r="E88" s="9" t="str">
        <x:v>C1-A1</x:v>
      </x:c>
      <x:c r="F88" s="9" t="n">
        <x:f>COUNTIFS(Shipsets!$C$18:$C$21,"&lt;&gt;"&amp;C88,Shipsets!$D$18:$D$21,"&lt;&gt;"&amp;D88,Shipsets!$B$18:$B$21,"&lt;&gt;"&amp;E88,Shipsets!$E$18:$E$21,1)</x:f>
        <x:v>2</x:v>
      </x:c>
      <x:c r="G88" s="9" t="n">
        <x:v>1</x:v>
      </x:c>
      <x:c r="H88" s="9" t="n">
        <x:f>F88-G88</x:f>
        <x:v>1</x:v>
      </x:c>
      <x:c r="I88" s="9" t="str">
        <x:f>IF(F88&gt;=G88,"PASS","FAIL")</x:f>
        <x:v>PASS</x:v>
      </x:c>
      <x:c r="J88" s="9" t="str">
        <x:v>CRS-1</x:v>
      </x:c>
    </x:row>
    <x:row r="89">
      <x:c r="B89" s="9" t="str">
        <x:v>R1-006</x:v>
      </x:c>
      <x:c r="C89" s="9" t="str">
        <x:v>ROOT_A</x:v>
      </x:c>
      <x:c r="D89" s="9" t="str">
        <x:v>C1-ARSENAL_2</x:v>
      </x:c>
      <x:c r="E89" s="9" t="str">
        <x:v>C1-A2</x:v>
      </x:c>
      <x:c r="F89" s="9" t="n">
        <x:f>COUNTIFS(Shipsets!$C$18:$C$21,"&lt;&gt;"&amp;C89,Shipsets!$D$18:$D$21,"&lt;&gt;"&amp;D89,Shipsets!$B$18:$B$21,"&lt;&gt;"&amp;E89,Shipsets!$E$18:$E$21,1)</x:f>
        <x:v>2</x:v>
      </x:c>
      <x:c r="G89" s="9" t="n">
        <x:v>1</x:v>
      </x:c>
      <x:c r="H89" s="9" t="n">
        <x:f>F89-G89</x:f>
        <x:v>1</x:v>
      </x:c>
      <x:c r="I89" s="9" t="str">
        <x:f>IF(F89&gt;=G89,"PASS","FAIL")</x:f>
        <x:v>PASS</x:v>
      </x:c>
      <x:c r="J89" s="9" t="str">
        <x:v>CRS-1</x:v>
      </x:c>
    </x:row>
    <x:row r="90">
      <x:c r="B90" s="9" t="str">
        <x:v>R1-007</x:v>
      </x:c>
      <x:c r="C90" s="9" t="str">
        <x:v>ROOT_A</x:v>
      </x:c>
      <x:c r="D90" s="9" t="str">
        <x:v>C1-ARSENAL_2</x:v>
      </x:c>
      <x:c r="E90" s="9" t="str">
        <x:v>C1-B1</x:v>
      </x:c>
      <x:c r="F90" s="9" t="n">
        <x:f>COUNTIFS(Shipsets!$C$18:$C$21,"&lt;&gt;"&amp;C90,Shipsets!$D$18:$D$21,"&lt;&gt;"&amp;D90,Shipsets!$B$18:$B$21,"&lt;&gt;"&amp;E90,Shipsets!$E$18:$E$21,1)</x:f>
        <x:v>1</x:v>
      </x:c>
      <x:c r="G90" s="9" t="n">
        <x:v>1</x:v>
      </x:c>
      <x:c r="H90" s="9" t="n">
        <x:f>F90-G90</x:f>
        <x:v>0</x:v>
      </x:c>
      <x:c r="I90" s="9" t="str">
        <x:f>IF(F90&gt;=G90,"PASS","FAIL")</x:f>
        <x:v>PASS</x:v>
      </x:c>
      <x:c r="J90" s="9" t="str">
        <x:v>CRS-1</x:v>
      </x:c>
    </x:row>
    <x:row r="91">
      <x:c r="B91" s="9" t="str">
        <x:v>R1-008</x:v>
      </x:c>
      <x:c r="C91" s="9" t="str">
        <x:v>ROOT_A</x:v>
      </x:c>
      <x:c r="D91" s="9" t="str">
        <x:v>C1-ARSENAL_2</x:v>
      </x:c>
      <x:c r="E91" s="9" t="str">
        <x:v>C1-B2</x:v>
      </x:c>
      <x:c r="F91" s="9" t="n">
        <x:f>COUNTIFS(Shipsets!$C$18:$C$21,"&lt;&gt;"&amp;C91,Shipsets!$D$18:$D$21,"&lt;&gt;"&amp;D91,Shipsets!$B$18:$B$21,"&lt;&gt;"&amp;E91,Shipsets!$E$18:$E$21,1)</x:f>
        <x:v>1</x:v>
      </x:c>
      <x:c r="G91" s="9" t="n">
        <x:v>1</x:v>
      </x:c>
      <x:c r="H91" s="9" t="n">
        <x:f>F91-G91</x:f>
        <x:v>0</x:v>
      </x:c>
      <x:c r="I91" s="9" t="str">
        <x:f>IF(F91&gt;=G91,"PASS","FAIL")</x:f>
        <x:v>PASS</x:v>
      </x:c>
      <x:c r="J91" s="9" t="str">
        <x:v>CRS-1</x:v>
      </x:c>
    </x:row>
    <x:row r="92">
      <x:c r="B92" s="9" t="str">
        <x:v>R1-009</x:v>
      </x:c>
      <x:c r="C92" s="9" t="str">
        <x:v>ROOT_A</x:v>
      </x:c>
      <x:c r="D92" s="9" t="str">
        <x:v>C1-ARSENAL_3</x:v>
      </x:c>
      <x:c r="E92" s="9" t="str">
        <x:v>C1-A1</x:v>
      </x:c>
      <x:c r="F92" s="9" t="n">
        <x:f>COUNTIFS(Shipsets!$C$18:$C$21,"&lt;&gt;"&amp;C92,Shipsets!$D$18:$D$21,"&lt;&gt;"&amp;D92,Shipsets!$B$18:$B$21,"&lt;&gt;"&amp;E92,Shipsets!$E$18:$E$21,1)</x:f>
        <x:v>1</x:v>
      </x:c>
      <x:c r="G92" s="9" t="n">
        <x:v>1</x:v>
      </x:c>
      <x:c r="H92" s="9" t="n">
        <x:f>F92-G92</x:f>
        <x:v>0</x:v>
      </x:c>
      <x:c r="I92" s="9" t="str">
        <x:f>IF(F92&gt;=G92,"PASS","FAIL")</x:f>
        <x:v>PASS</x:v>
      </x:c>
      <x:c r="J92" s="9" t="str">
        <x:v>CRS-1</x:v>
      </x:c>
    </x:row>
    <x:row r="93">
      <x:c r="B93" s="9" t="str">
        <x:v>R1-010</x:v>
      </x:c>
      <x:c r="C93" s="9" t="str">
        <x:v>ROOT_A</x:v>
      </x:c>
      <x:c r="D93" s="9" t="str">
        <x:v>C1-ARSENAL_3</x:v>
      </x:c>
      <x:c r="E93" s="9" t="str">
        <x:v>C1-A2</x:v>
      </x:c>
      <x:c r="F93" s="9" t="n">
        <x:f>COUNTIFS(Shipsets!$C$18:$C$21,"&lt;&gt;"&amp;C93,Shipsets!$D$18:$D$21,"&lt;&gt;"&amp;D93,Shipsets!$B$18:$B$21,"&lt;&gt;"&amp;E93,Shipsets!$E$18:$E$21,1)</x:f>
        <x:v>1</x:v>
      </x:c>
      <x:c r="G93" s="9" t="n">
        <x:v>1</x:v>
      </x:c>
      <x:c r="H93" s="9" t="n">
        <x:f>F93-G93</x:f>
        <x:v>0</x:v>
      </x:c>
      <x:c r="I93" s="9" t="str">
        <x:f>IF(F93&gt;=G93,"PASS","FAIL")</x:f>
        <x:v>PASS</x:v>
      </x:c>
      <x:c r="J93" s="9" t="str">
        <x:v>CRS-1</x:v>
      </x:c>
    </x:row>
    <x:row r="94">
      <x:c r="B94" s="9" t="str">
        <x:v>R1-011</x:v>
      </x:c>
      <x:c r="C94" s="9" t="str">
        <x:v>ROOT_A</x:v>
      </x:c>
      <x:c r="D94" s="9" t="str">
        <x:v>C1-ARSENAL_3</x:v>
      </x:c>
      <x:c r="E94" s="9" t="str">
        <x:v>C1-B1</x:v>
      </x:c>
      <x:c r="F94" s="9" t="n">
        <x:f>COUNTIFS(Shipsets!$C$18:$C$21,"&lt;&gt;"&amp;C94,Shipsets!$D$18:$D$21,"&lt;&gt;"&amp;D94,Shipsets!$B$18:$B$21,"&lt;&gt;"&amp;E94,Shipsets!$E$18:$E$21,1)</x:f>
        <x:v>1</x:v>
      </x:c>
      <x:c r="G94" s="9" t="n">
        <x:v>1</x:v>
      </x:c>
      <x:c r="H94" s="9" t="n">
        <x:f>F94-G94</x:f>
        <x:v>0</x:v>
      </x:c>
      <x:c r="I94" s="9" t="str">
        <x:f>IF(F94&gt;=G94,"PASS","FAIL")</x:f>
        <x:v>PASS</x:v>
      </x:c>
      <x:c r="J94" s="9" t="str">
        <x:v>CRS-1</x:v>
      </x:c>
    </x:row>
    <x:row r="95">
      <x:c r="B95" s="9" t="str">
        <x:v>R1-012</x:v>
      </x:c>
      <x:c r="C95" s="9" t="str">
        <x:v>ROOT_A</x:v>
      </x:c>
      <x:c r="D95" s="9" t="str">
        <x:v>C1-ARSENAL_3</x:v>
      </x:c>
      <x:c r="E95" s="9" t="str">
        <x:v>C1-B2</x:v>
      </x:c>
      <x:c r="F95" s="9" t="n">
        <x:f>COUNTIFS(Shipsets!$C$18:$C$21,"&lt;&gt;"&amp;C95,Shipsets!$D$18:$D$21,"&lt;&gt;"&amp;D95,Shipsets!$B$18:$B$21,"&lt;&gt;"&amp;E95,Shipsets!$E$18:$E$21,1)</x:f>
        <x:v>0</x:v>
      </x:c>
      <x:c r="G95" s="9" t="n">
        <x:v>1</x:v>
      </x:c>
      <x:c r="H95" s="9" t="n">
        <x:f>F95-G95</x:f>
        <x:v>-1</x:v>
      </x:c>
      <x:c r="I95" s="9" t="str">
        <x:f>IF(F95&gt;=G95,"PASS","FAIL")</x:f>
        <x:v>FAIL</x:v>
      </x:c>
      <x:c r="J95" s="9" t="str">
        <x:v>CRS-1</x:v>
      </x:c>
    </x:row>
    <x:row r="96">
      <x:c r="B96" s="9" t="str">
        <x:v>R1-013</x:v>
      </x:c>
      <x:c r="C96" s="9" t="str">
        <x:v>ROOT_A</x:v>
      </x:c>
      <x:c r="D96" s="9" t="str">
        <x:v>C1-ARSENAL_4</x:v>
      </x:c>
      <x:c r="E96" s="9" t="str">
        <x:v>C1-A1</x:v>
      </x:c>
      <x:c r="F96" s="9" t="n">
        <x:f>COUNTIFS(Shipsets!$C$18:$C$21,"&lt;&gt;"&amp;C96,Shipsets!$D$18:$D$21,"&lt;&gt;"&amp;D96,Shipsets!$B$18:$B$21,"&lt;&gt;"&amp;E96,Shipsets!$E$18:$E$21,1)</x:f>
        <x:v>1</x:v>
      </x:c>
      <x:c r="G96" s="9" t="n">
        <x:v>1</x:v>
      </x:c>
      <x:c r="H96" s="9" t="n">
        <x:f>F96-G96</x:f>
        <x:v>0</x:v>
      </x:c>
      <x:c r="I96" s="9" t="str">
        <x:f>IF(F96&gt;=G96,"PASS","FAIL")</x:f>
        <x:v>PASS</x:v>
      </x:c>
      <x:c r="J96" s="9" t="str">
        <x:v>CRS-1</x:v>
      </x:c>
    </x:row>
    <x:row r="97">
      <x:c r="B97" s="9" t="str">
        <x:v>R1-014</x:v>
      </x:c>
      <x:c r="C97" s="9" t="str">
        <x:v>ROOT_A</x:v>
      </x:c>
      <x:c r="D97" s="9" t="str">
        <x:v>C1-ARSENAL_4</x:v>
      </x:c>
      <x:c r="E97" s="9" t="str">
        <x:v>C1-A2</x:v>
      </x:c>
      <x:c r="F97" s="9" t="n">
        <x:f>COUNTIFS(Shipsets!$C$18:$C$21,"&lt;&gt;"&amp;C97,Shipsets!$D$18:$D$21,"&lt;&gt;"&amp;D97,Shipsets!$B$18:$B$21,"&lt;&gt;"&amp;E97,Shipsets!$E$18:$E$21,1)</x:f>
        <x:v>1</x:v>
      </x:c>
      <x:c r="G97" s="9" t="n">
        <x:v>1</x:v>
      </x:c>
      <x:c r="H97" s="9" t="n">
        <x:f>F97-G97</x:f>
        <x:v>0</x:v>
      </x:c>
      <x:c r="I97" s="9" t="str">
        <x:f>IF(F97&gt;=G97,"PASS","FAIL")</x:f>
        <x:v>PASS</x:v>
      </x:c>
      <x:c r="J97" s="9" t="str">
        <x:v>CRS-1</x:v>
      </x:c>
    </x:row>
    <x:row r="98">
      <x:c r="B98" s="9" t="str">
        <x:v>R1-015</x:v>
      </x:c>
      <x:c r="C98" s="9" t="str">
        <x:v>ROOT_A</x:v>
      </x:c>
      <x:c r="D98" s="9" t="str">
        <x:v>C1-ARSENAL_4</x:v>
      </x:c>
      <x:c r="E98" s="9" t="str">
        <x:v>C1-B1</x:v>
      </x:c>
      <x:c r="F98" s="9" t="n">
        <x:f>COUNTIFS(Shipsets!$C$18:$C$21,"&lt;&gt;"&amp;C98,Shipsets!$D$18:$D$21,"&lt;&gt;"&amp;D98,Shipsets!$B$18:$B$21,"&lt;&gt;"&amp;E98,Shipsets!$E$18:$E$21,1)</x:f>
        <x:v>0</x:v>
      </x:c>
      <x:c r="G98" s="9" t="n">
        <x:v>1</x:v>
      </x:c>
      <x:c r="H98" s="9" t="n">
        <x:f>F98-G98</x:f>
        <x:v>-1</x:v>
      </x:c>
      <x:c r="I98" s="9" t="str">
        <x:f>IF(F98&gt;=G98,"PASS","FAIL")</x:f>
        <x:v>FAIL</x:v>
      </x:c>
      <x:c r="J98" s="9" t="str">
        <x:v>CRS-1</x:v>
      </x:c>
    </x:row>
    <x:row r="99">
      <x:c r="B99" s="9" t="str">
        <x:v>R1-016</x:v>
      </x:c>
      <x:c r="C99" s="9" t="str">
        <x:v>ROOT_A</x:v>
      </x:c>
      <x:c r="D99" s="9" t="str">
        <x:v>C1-ARSENAL_4</x:v>
      </x:c>
      <x:c r="E99" s="9" t="str">
        <x:v>C1-B2</x:v>
      </x:c>
      <x:c r="F99" s="9" t="n">
        <x:f>COUNTIFS(Shipsets!$C$18:$C$21,"&lt;&gt;"&amp;C99,Shipsets!$D$18:$D$21,"&lt;&gt;"&amp;D99,Shipsets!$B$18:$B$21,"&lt;&gt;"&amp;E99,Shipsets!$E$18:$E$21,1)</x:f>
        <x:v>1</x:v>
      </x:c>
      <x:c r="G99" s="9" t="n">
        <x:v>1</x:v>
      </x:c>
      <x:c r="H99" s="9" t="n">
        <x:f>F99-G99</x:f>
        <x:v>0</x:v>
      </x:c>
      <x:c r="I99" s="9" t="str">
        <x:f>IF(F99&gt;=G99,"PASS","FAIL")</x:f>
        <x:v>PASS</x:v>
      </x:c>
      <x:c r="J99" s="9" t="str">
        <x:v>CRS-1</x:v>
      </x:c>
    </x:row>
    <x:row r="100">
      <x:c r="B100" s="9" t="str">
        <x:v>R1-017</x:v>
      </x:c>
      <x:c r="C100" s="9" t="str">
        <x:v>ROOT_B</x:v>
      </x:c>
      <x:c r="D100" s="9" t="str">
        <x:v>C1-ARSENAL_1</x:v>
      </x:c>
      <x:c r="E100" s="9" t="str">
        <x:v>C1-A1</x:v>
      </x:c>
      <x:c r="F100" s="9" t="n">
        <x:f>COUNTIFS(Shipsets!$C$18:$C$21,"&lt;&gt;"&amp;C100,Shipsets!$D$18:$D$21,"&lt;&gt;"&amp;D100,Shipsets!$B$18:$B$21,"&lt;&gt;"&amp;E100,Shipsets!$E$18:$E$21,1)</x:f>
        <x:v>1</x:v>
      </x:c>
      <x:c r="G100" s="9" t="n">
        <x:v>1</x:v>
      </x:c>
      <x:c r="H100" s="9" t="n">
        <x:f>F100-G100</x:f>
        <x:v>0</x:v>
      </x:c>
      <x:c r="I100" s="9" t="str">
        <x:f>IF(F100&gt;=G100,"PASS","FAIL")</x:f>
        <x:v>PASS</x:v>
      </x:c>
      <x:c r="J100" s="9" t="str">
        <x:v>CRS-1</x:v>
      </x:c>
    </x:row>
    <x:row r="101">
      <x:c r="B101" s="9" t="str">
        <x:v>R1-018</x:v>
      </x:c>
      <x:c r="C101" s="9" t="str">
        <x:v>ROOT_B</x:v>
      </x:c>
      <x:c r="D101" s="9" t="str">
        <x:v>C1-ARSENAL_1</x:v>
      </x:c>
      <x:c r="E101" s="9" t="str">
        <x:v>C1-A2</x:v>
      </x:c>
      <x:c r="F101" s="9" t="n">
        <x:f>COUNTIFS(Shipsets!$C$18:$C$21,"&lt;&gt;"&amp;C101,Shipsets!$D$18:$D$21,"&lt;&gt;"&amp;D101,Shipsets!$B$18:$B$21,"&lt;&gt;"&amp;E101,Shipsets!$E$18:$E$21,1)</x:f>
        <x:v>0</x:v>
      </x:c>
      <x:c r="G101" s="9" t="n">
        <x:v>1</x:v>
      </x:c>
      <x:c r="H101" s="9" t="n">
        <x:f>F101-G101</x:f>
        <x:v>-1</x:v>
      </x:c>
      <x:c r="I101" s="9" t="str">
        <x:f>IF(F101&gt;=G101,"PASS","FAIL")</x:f>
        <x:v>FAIL</x:v>
      </x:c>
      <x:c r="J101" s="9" t="str">
        <x:v>CRS-1</x:v>
      </x:c>
    </x:row>
    <x:row r="102">
      <x:c r="B102" s="9" t="str">
        <x:v>R1-019</x:v>
      </x:c>
      <x:c r="C102" s="9" t="str">
        <x:v>ROOT_B</x:v>
      </x:c>
      <x:c r="D102" s="9" t="str">
        <x:v>C1-ARSENAL_1</x:v>
      </x:c>
      <x:c r="E102" s="9" t="str">
        <x:v>C1-B1</x:v>
      </x:c>
      <x:c r="F102" s="9" t="n">
        <x:f>COUNTIFS(Shipsets!$C$18:$C$21,"&lt;&gt;"&amp;C102,Shipsets!$D$18:$D$21,"&lt;&gt;"&amp;D102,Shipsets!$B$18:$B$21,"&lt;&gt;"&amp;E102,Shipsets!$E$18:$E$21,1)</x:f>
        <x:v>1</x:v>
      </x:c>
      <x:c r="G102" s="9" t="n">
        <x:v>1</x:v>
      </x:c>
      <x:c r="H102" s="9" t="n">
        <x:f>F102-G102</x:f>
        <x:v>0</x:v>
      </x:c>
      <x:c r="I102" s="9" t="str">
        <x:f>IF(F102&gt;=G102,"PASS","FAIL")</x:f>
        <x:v>PASS</x:v>
      </x:c>
      <x:c r="J102" s="9" t="str">
        <x:v>CRS-1</x:v>
      </x:c>
    </x:row>
    <x:row r="103">
      <x:c r="B103" s="9" t="str">
        <x:v>R1-020</x:v>
      </x:c>
      <x:c r="C103" s="9" t="str">
        <x:v>ROOT_B</x:v>
      </x:c>
      <x:c r="D103" s="9" t="str">
        <x:v>C1-ARSENAL_1</x:v>
      </x:c>
      <x:c r="E103" s="9" t="str">
        <x:v>C1-B2</x:v>
      </x:c>
      <x:c r="F103" s="9" t="n">
        <x:f>COUNTIFS(Shipsets!$C$18:$C$21,"&lt;&gt;"&amp;C103,Shipsets!$D$18:$D$21,"&lt;&gt;"&amp;D103,Shipsets!$B$18:$B$21,"&lt;&gt;"&amp;E103,Shipsets!$E$18:$E$21,1)</x:f>
        <x:v>1</x:v>
      </x:c>
      <x:c r="G103" s="9" t="n">
        <x:v>1</x:v>
      </x:c>
      <x:c r="H103" s="9" t="n">
        <x:f>F103-G103</x:f>
        <x:v>0</x:v>
      </x:c>
      <x:c r="I103" s="9" t="str">
        <x:f>IF(F103&gt;=G103,"PASS","FAIL")</x:f>
        <x:v>PASS</x:v>
      </x:c>
      <x:c r="J103" s="9" t="str">
        <x:v>CRS-1</x:v>
      </x:c>
    </x:row>
    <x:row r="104">
      <x:c r="B104" s="9" t="str">
        <x:v>R1-021</x:v>
      </x:c>
      <x:c r="C104" s="9" t="str">
        <x:v>ROOT_B</x:v>
      </x:c>
      <x:c r="D104" s="9" t="str">
        <x:v>C1-ARSENAL_2</x:v>
      </x:c>
      <x:c r="E104" s="9" t="str">
        <x:v>C1-A1</x:v>
      </x:c>
      <x:c r="F104" s="9" t="n">
        <x:f>COUNTIFS(Shipsets!$C$18:$C$21,"&lt;&gt;"&amp;C104,Shipsets!$D$18:$D$21,"&lt;&gt;"&amp;D104,Shipsets!$B$18:$B$21,"&lt;&gt;"&amp;E104,Shipsets!$E$18:$E$21,1)</x:f>
        <x:v>0</x:v>
      </x:c>
      <x:c r="G104" s="9" t="n">
        <x:v>1</x:v>
      </x:c>
      <x:c r="H104" s="9" t="n">
        <x:f>F104-G104</x:f>
        <x:v>-1</x:v>
      </x:c>
      <x:c r="I104" s="9" t="str">
        <x:f>IF(F104&gt;=G104,"PASS","FAIL")</x:f>
        <x:v>FAIL</x:v>
      </x:c>
      <x:c r="J104" s="9" t="str">
        <x:v>CRS-1</x:v>
      </x:c>
    </x:row>
    <x:row r="105">
      <x:c r="B105" s="9" t="str">
        <x:v>R1-022</x:v>
      </x:c>
      <x:c r="C105" s="9" t="str">
        <x:v>ROOT_B</x:v>
      </x:c>
      <x:c r="D105" s="9" t="str">
        <x:v>C1-ARSENAL_2</x:v>
      </x:c>
      <x:c r="E105" s="9" t="str">
        <x:v>C1-A2</x:v>
      </x:c>
      <x:c r="F105" s="9" t="n">
        <x:f>COUNTIFS(Shipsets!$C$18:$C$21,"&lt;&gt;"&amp;C105,Shipsets!$D$18:$D$21,"&lt;&gt;"&amp;D105,Shipsets!$B$18:$B$21,"&lt;&gt;"&amp;E105,Shipsets!$E$18:$E$21,1)</x:f>
        <x:v>1</x:v>
      </x:c>
      <x:c r="G105" s="9" t="n">
        <x:v>1</x:v>
      </x:c>
      <x:c r="H105" s="9" t="n">
        <x:f>F105-G105</x:f>
        <x:v>0</x:v>
      </x:c>
      <x:c r="I105" s="9" t="str">
        <x:f>IF(F105&gt;=G105,"PASS","FAIL")</x:f>
        <x:v>PASS</x:v>
      </x:c>
      <x:c r="J105" s="9" t="str">
        <x:v>CRS-1</x:v>
      </x:c>
    </x:row>
    <x:row r="106">
      <x:c r="B106" s="9" t="str">
        <x:v>R1-023</x:v>
      </x:c>
      <x:c r="C106" s="9" t="str">
        <x:v>ROOT_B</x:v>
      </x:c>
      <x:c r="D106" s="9" t="str">
        <x:v>C1-ARSENAL_2</x:v>
      </x:c>
      <x:c r="E106" s="9" t="str">
        <x:v>C1-B1</x:v>
      </x:c>
      <x:c r="F106" s="9" t="n">
        <x:f>COUNTIFS(Shipsets!$C$18:$C$21,"&lt;&gt;"&amp;C106,Shipsets!$D$18:$D$21,"&lt;&gt;"&amp;D106,Shipsets!$B$18:$B$21,"&lt;&gt;"&amp;E106,Shipsets!$E$18:$E$21,1)</x:f>
        <x:v>1</x:v>
      </x:c>
      <x:c r="G106" s="9" t="n">
        <x:v>1</x:v>
      </x:c>
      <x:c r="H106" s="9" t="n">
        <x:f>F106-G106</x:f>
        <x:v>0</x:v>
      </x:c>
      <x:c r="I106" s="9" t="str">
        <x:f>IF(F106&gt;=G106,"PASS","FAIL")</x:f>
        <x:v>PASS</x:v>
      </x:c>
      <x:c r="J106" s="9" t="str">
        <x:v>CRS-1</x:v>
      </x:c>
    </x:row>
    <x:row r="107">
      <x:c r="B107" s="9" t="str">
        <x:v>R1-024</x:v>
      </x:c>
      <x:c r="C107" s="9" t="str">
        <x:v>ROOT_B</x:v>
      </x:c>
      <x:c r="D107" s="9" t="str">
        <x:v>C1-ARSENAL_2</x:v>
      </x:c>
      <x:c r="E107" s="9" t="str">
        <x:v>C1-B2</x:v>
      </x:c>
      <x:c r="F107" s="9" t="n">
        <x:f>COUNTIFS(Shipsets!$C$18:$C$21,"&lt;&gt;"&amp;C107,Shipsets!$D$18:$D$21,"&lt;&gt;"&amp;D107,Shipsets!$B$18:$B$21,"&lt;&gt;"&amp;E107,Shipsets!$E$18:$E$21,1)</x:f>
        <x:v>1</x:v>
      </x:c>
      <x:c r="G107" s="9" t="n">
        <x:v>1</x:v>
      </x:c>
      <x:c r="H107" s="9" t="n">
        <x:f>F107-G107</x:f>
        <x:v>0</x:v>
      </x:c>
      <x:c r="I107" s="9" t="str">
        <x:f>IF(F107&gt;=G107,"PASS","FAIL")</x:f>
        <x:v>PASS</x:v>
      </x:c>
      <x:c r="J107" s="9" t="str">
        <x:v>CRS-1</x:v>
      </x:c>
    </x:row>
    <x:row r="108">
      <x:c r="B108" s="9" t="str">
        <x:v>R1-025</x:v>
      </x:c>
      <x:c r="C108" s="9" t="str">
        <x:v>ROOT_B</x:v>
      </x:c>
      <x:c r="D108" s="9" t="str">
        <x:v>C1-ARSENAL_3</x:v>
      </x:c>
      <x:c r="E108" s="9" t="str">
        <x:v>C1-A1</x:v>
      </x:c>
      <x:c r="F108" s="9" t="n">
        <x:f>COUNTIFS(Shipsets!$C$18:$C$21,"&lt;&gt;"&amp;C108,Shipsets!$D$18:$D$21,"&lt;&gt;"&amp;D108,Shipsets!$B$18:$B$21,"&lt;&gt;"&amp;E108,Shipsets!$E$18:$E$21,1)</x:f>
        <x:v>1</x:v>
      </x:c>
      <x:c r="G108" s="9" t="n">
        <x:v>1</x:v>
      </x:c>
      <x:c r="H108" s="9" t="n">
        <x:f>F108-G108</x:f>
        <x:v>0</x:v>
      </x:c>
      <x:c r="I108" s="9" t="str">
        <x:f>IF(F108&gt;=G108,"PASS","FAIL")</x:f>
        <x:v>PASS</x:v>
      </x:c>
      <x:c r="J108" s="9" t="str">
        <x:v>CRS-1</x:v>
      </x:c>
    </x:row>
    <x:row r="109">
      <x:c r="B109" s="9" t="str">
        <x:v>R1-026</x:v>
      </x:c>
      <x:c r="C109" s="9" t="str">
        <x:v>ROOT_B</x:v>
      </x:c>
      <x:c r="D109" s="9" t="str">
        <x:v>C1-ARSENAL_3</x:v>
      </x:c>
      <x:c r="E109" s="9" t="str">
        <x:v>C1-A2</x:v>
      </x:c>
      <x:c r="F109" s="9" t="n">
        <x:f>COUNTIFS(Shipsets!$C$18:$C$21,"&lt;&gt;"&amp;C109,Shipsets!$D$18:$D$21,"&lt;&gt;"&amp;D109,Shipsets!$B$18:$B$21,"&lt;&gt;"&amp;E109,Shipsets!$E$18:$E$21,1)</x:f>
        <x:v>1</x:v>
      </x:c>
      <x:c r="G109" s="9" t="n">
        <x:v>1</x:v>
      </x:c>
      <x:c r="H109" s="9" t="n">
        <x:f>F109-G109</x:f>
        <x:v>0</x:v>
      </x:c>
      <x:c r="I109" s="9" t="str">
        <x:f>IF(F109&gt;=G109,"PASS","FAIL")</x:f>
        <x:v>PASS</x:v>
      </x:c>
      <x:c r="J109" s="9" t="str">
        <x:v>CRS-1</x:v>
      </x:c>
    </x:row>
    <x:row r="110">
      <x:c r="B110" s="9" t="str">
        <x:v>R1-027</x:v>
      </x:c>
      <x:c r="C110" s="9" t="str">
        <x:v>ROOT_B</x:v>
      </x:c>
      <x:c r="D110" s="9" t="str">
        <x:v>C1-ARSENAL_3</x:v>
      </x:c>
      <x:c r="E110" s="9" t="str">
        <x:v>C1-B1</x:v>
      </x:c>
      <x:c r="F110" s="9" t="n">
        <x:f>COUNTIFS(Shipsets!$C$18:$C$21,"&lt;&gt;"&amp;C110,Shipsets!$D$18:$D$21,"&lt;&gt;"&amp;D110,Shipsets!$B$18:$B$21,"&lt;&gt;"&amp;E110,Shipsets!$E$18:$E$21,1)</x:f>
        <x:v>2</x:v>
      </x:c>
      <x:c r="G110" s="9" t="n">
        <x:v>1</x:v>
      </x:c>
      <x:c r="H110" s="9" t="n">
        <x:f>F110-G110</x:f>
        <x:v>1</x:v>
      </x:c>
      <x:c r="I110" s="9" t="str">
        <x:f>IF(F110&gt;=G110,"PASS","FAIL")</x:f>
        <x:v>PASS</x:v>
      </x:c>
      <x:c r="J110" s="9" t="str">
        <x:v>CRS-1</x:v>
      </x:c>
    </x:row>
    <x:row r="111">
      <x:c r="B111" s="9" t="str">
        <x:v>R1-028</x:v>
      </x:c>
      <x:c r="C111" s="9" t="str">
        <x:v>ROOT_B</x:v>
      </x:c>
      <x:c r="D111" s="9" t="str">
        <x:v>C1-ARSENAL_3</x:v>
      </x:c>
      <x:c r="E111" s="9" t="str">
        <x:v>C1-B2</x:v>
      </x:c>
      <x:c r="F111" s="9" t="n">
        <x:f>COUNTIFS(Shipsets!$C$18:$C$21,"&lt;&gt;"&amp;C111,Shipsets!$D$18:$D$21,"&lt;&gt;"&amp;D111,Shipsets!$B$18:$B$21,"&lt;&gt;"&amp;E111,Shipsets!$E$18:$E$21,1)</x:f>
        <x:v>2</x:v>
      </x:c>
      <x:c r="G111" s="9" t="n">
        <x:v>1</x:v>
      </x:c>
      <x:c r="H111" s="9" t="n">
        <x:f>F111-G111</x:f>
        <x:v>1</x:v>
      </x:c>
      <x:c r="I111" s="9" t="str">
        <x:f>IF(F111&gt;=G111,"PASS","FAIL")</x:f>
        <x:v>PASS</x:v>
      </x:c>
      <x:c r="J111" s="9" t="str">
        <x:v>CRS-1</x:v>
      </x:c>
    </x:row>
    <x:row r="112">
      <x:c r="B112" s="9" t="str">
        <x:v>R1-029</x:v>
      </x:c>
      <x:c r="C112" s="9" t="str">
        <x:v>ROOT_B</x:v>
      </x:c>
      <x:c r="D112" s="9" t="str">
        <x:v>C1-ARSENAL_4</x:v>
      </x:c>
      <x:c r="E112" s="9" t="str">
        <x:v>C1-A1</x:v>
      </x:c>
      <x:c r="F112" s="9" t="n">
        <x:f>COUNTIFS(Shipsets!$C$18:$C$21,"&lt;&gt;"&amp;C112,Shipsets!$D$18:$D$21,"&lt;&gt;"&amp;D112,Shipsets!$B$18:$B$21,"&lt;&gt;"&amp;E112,Shipsets!$E$18:$E$21,1)</x:f>
        <x:v>1</x:v>
      </x:c>
      <x:c r="G112" s="9" t="n">
        <x:v>1</x:v>
      </x:c>
      <x:c r="H112" s="9" t="n">
        <x:f>F112-G112</x:f>
        <x:v>0</x:v>
      </x:c>
      <x:c r="I112" s="9" t="str">
        <x:f>IF(F112&gt;=G112,"PASS","FAIL")</x:f>
        <x:v>PASS</x:v>
      </x:c>
      <x:c r="J112" s="9" t="str">
        <x:v>CRS-1</x:v>
      </x:c>
    </x:row>
    <x:row r="113">
      <x:c r="B113" s="9" t="str">
        <x:v>R1-030</x:v>
      </x:c>
      <x:c r="C113" s="9" t="str">
        <x:v>ROOT_B</x:v>
      </x:c>
      <x:c r="D113" s="9" t="str">
        <x:v>C1-ARSENAL_4</x:v>
      </x:c>
      <x:c r="E113" s="9" t="str">
        <x:v>C1-A2</x:v>
      </x:c>
      <x:c r="F113" s="9" t="n">
        <x:f>COUNTIFS(Shipsets!$C$18:$C$21,"&lt;&gt;"&amp;C113,Shipsets!$D$18:$D$21,"&lt;&gt;"&amp;D113,Shipsets!$B$18:$B$21,"&lt;&gt;"&amp;E113,Shipsets!$E$18:$E$21,1)</x:f>
        <x:v>1</x:v>
      </x:c>
      <x:c r="G113" s="9" t="n">
        <x:v>1</x:v>
      </x:c>
      <x:c r="H113" s="9" t="n">
        <x:f>F113-G113</x:f>
        <x:v>0</x:v>
      </x:c>
      <x:c r="I113" s="9" t="str">
        <x:f>IF(F113&gt;=G113,"PASS","FAIL")</x:f>
        <x:v>PASS</x:v>
      </x:c>
      <x:c r="J113" s="9" t="str">
        <x:v>CRS-1</x:v>
      </x:c>
    </x:row>
    <x:row r="114">
      <x:c r="B114" s="9" t="str">
        <x:v>R1-031</x:v>
      </x:c>
      <x:c r="C114" s="9" t="str">
        <x:v>ROOT_B</x:v>
      </x:c>
      <x:c r="D114" s="9" t="str">
        <x:v>C1-ARSENAL_4</x:v>
      </x:c>
      <x:c r="E114" s="9" t="str">
        <x:v>C1-B1</x:v>
      </x:c>
      <x:c r="F114" s="9" t="n">
        <x:f>COUNTIFS(Shipsets!$C$18:$C$21,"&lt;&gt;"&amp;C114,Shipsets!$D$18:$D$21,"&lt;&gt;"&amp;D114,Shipsets!$B$18:$B$21,"&lt;&gt;"&amp;E114,Shipsets!$E$18:$E$21,1)</x:f>
        <x:v>2</x:v>
      </x:c>
      <x:c r="G114" s="9" t="n">
        <x:v>1</x:v>
      </x:c>
      <x:c r="H114" s="9" t="n">
        <x:f>F114-G114</x:f>
        <x:v>1</x:v>
      </x:c>
      <x:c r="I114" s="9" t="str">
        <x:f>IF(F114&gt;=G114,"PASS","FAIL")</x:f>
        <x:v>PASS</x:v>
      </x:c>
      <x:c r="J114" s="9" t="str">
        <x:v>CRS-1</x:v>
      </x:c>
    </x:row>
    <x:row r="115">
      <x:c r="B115" s="10" t="str">
        <x:v>R1-032</x:v>
      </x:c>
      <x:c r="C115" s="10" t="str">
        <x:v>ROOT_B</x:v>
      </x:c>
      <x:c r="D115" s="10" t="str">
        <x:v>C1-ARSENAL_4</x:v>
      </x:c>
      <x:c r="E115" s="10" t="str">
        <x:v>C1-B2</x:v>
      </x:c>
      <x:c r="F115" s="10" t="n">
        <x:f>COUNTIFS(Shipsets!$C$18:$C$21,"&lt;&gt;"&amp;C115,Shipsets!$D$18:$D$21,"&lt;&gt;"&amp;D115,Shipsets!$B$18:$B$21,"&lt;&gt;"&amp;E115,Shipsets!$E$18:$E$21,1)</x:f>
        <x:v>2</x:v>
      </x:c>
      <x:c r="G115" s="10" t="n">
        <x:v>1</x:v>
      </x:c>
      <x:c r="H115" s="10" t="n">
        <x:f>F115-G115</x:f>
        <x:v>1</x:v>
      </x:c>
      <x:c r="I115" s="10" t="str">
        <x:f>IF(F115&gt;=G115,"PASS","FAIL")</x:f>
        <x:v>PASS</x:v>
      </x:c>
      <x:c r="J115" s="10" t="str">
        <x:v>CRS-1</x:v>
      </x:c>
    </x:row>
    <x:row r="116">
      <x:c r="B116" s="36"/>
      <x:c r="C116" s="36"/>
      <x:c r="D116" s="36"/>
      <x:c r="E116" s="36"/>
      <x:c r="F116" s="36"/>
      <x:c r="G116" s="36"/>
      <x:c r="H116" s="36"/>
      <x:c r="I116" s="36"/>
      <x:c r="J116" s="36"/>
    </x:row>
    <x:row r="117">
      <x:c r="B117" s="36"/>
      <x:c r="C117" s="36"/>
      <x:c r="D117" s="36"/>
      <x:c r="E117" s="36"/>
      <x:c r="F117" s="36"/>
      <x:c r="G117" s="36"/>
      <x:c r="H117" s="36"/>
      <x:c r="I117" s="36"/>
      <x:c r="J117" s="36"/>
    </x:row>
    <x:row r="118">
      <x:c r="B118" s="36"/>
      <x:c r="C118" s="36"/>
      <x:c r="D118" s="36"/>
      <x:c r="E118" s="36"/>
      <x:c r="F118" s="36"/>
      <x:c r="G118" s="36"/>
      <x:c r="H118" s="36"/>
      <x:c r="I118" s="36"/>
      <x:c r="J118" s="36"/>
    </x:row>
    <x:row r="119">
      <x:c r="B119" s="25" t="str">
        <x:v>Minimum result</x:v>
      </x:c>
      <x:c r="C119" s="26" t="str">
        <x:v>Minimum result</x:v>
      </x:c>
      <x:c r="D119" s="26" t="str">
        <x:v>Minimum result</x:v>
      </x:c>
      <x:c r="E119" s="26" t="str">
        <x:v>Minimum result</x:v>
      </x:c>
      <x:c r="F119" s="26" t="str">
        <x:v>Minimum result</x:v>
      </x:c>
      <x:c r="G119" s="26" t="str">
        <x:v>Minimum result</x:v>
      </x:c>
      <x:c r="H119" s="26" t="str">
        <x:v>Minimum result</x:v>
      </x:c>
      <x:c r="I119" s="26" t="str">
        <x:v>Minimum result</x:v>
      </x:c>
      <x:c r="J119" s="27" t="str">
        <x:v>Minimum result</x:v>
      </x:c>
    </x:row>
    <x:row r="120">
      <x:c r="B120" s="36" t="str">
        <x:v>CRS-2 minimum</x:v>
      </x:c>
      <x:c r="C120" s="36"/>
      <x:c r="D120" s="36" t="n">
        <x:f>MIN(F7:F78)</x:f>
        <x:v>1</x:v>
      </x:c>
      <x:c r="E120" s="36" t="str">
        <x:f>IF(D120&gt;=1,"PASS","FAIL")</x:f>
        <x:v>PASS</x:v>
      </x:c>
      <x:c r="F120" s="36"/>
      <x:c r="G120" s="36"/>
      <x:c r="H120" s="36"/>
      <x:c r="I120" s="36"/>
      <x:c r="J120" s="36"/>
    </x:row>
    <x:row r="121">
      <x:c r="B121" s="36" t="str">
        <x:v>CRS-1 minimum</x:v>
      </x:c>
      <x:c r="C121" s="36"/>
      <x:c r="D121" s="36" t="n">
        <x:f>MIN(F84:F115)</x:f>
        <x:v>0</x:v>
      </x:c>
      <x:c r="E121" s="36" t="str">
        <x:f>IF(D121=0,"EXPECTED FAIL","UNEXPECTED")</x:f>
        <x:v>EXPECTED FAIL</x:v>
      </x:c>
      <x:c r="F121" s="36"/>
      <x:c r="G121" s="36"/>
      <x:c r="H121" s="36"/>
      <x:c r="I121" s="36"/>
      <x:c r="J121" s="36"/>
    </x:row>
  </x:sheetData>
  <x:mergeCells>
    <x:mergeCell ref="B2:J2"/>
    <x:mergeCell ref="B3:J3"/>
    <x:mergeCell ref="B82:J82"/>
    <x:mergeCell ref="B119:J119"/>
  </x:mergeCells>
  <x:conditionalFormatting sqref="I7:I78">
    <x:cfRule type="containsText" dxfId="45" priority="1" operator="containsText" text="PASS"/>
    <x:cfRule type="containsText" dxfId="46" priority="2" operator="containsText" text="SELECT"/>
    <x:cfRule type="containsText" dxfId="47" priority="3" operator="containsText" text="AUTHORIZED"/>
    <x:cfRule type="containsText" dxfId="48" priority="4" operator="containsText" text="ADMITTED"/>
    <x:cfRule type="containsText" dxfId="49" priority="5" operator="containsText" text="READY"/>
    <x:cfRule type="containsText" dxfId="50" priority="6" operator="containsText" text="HOLD"/>
    <x:cfRule type="containsText" dxfId="51" priority="7" operator="containsText" text="OPEN"/>
    <x:cfRule type="containsText" dxfId="52" priority="8" operator="containsText" text="SAFE_STOP"/>
    <x:cfRule type="containsText" dxfId="53" priority="9" operator="containsText" text="BLOCKED"/>
    <x:cfRule type="containsText" dxfId="54" priority="10" operator="containsText" text="PLANNING"/>
    <x:cfRule type="containsText" dxfId="55" priority="11" operator="containsText" text="FAIL"/>
    <x:cfRule type="containsText" dxfId="56" priority="12" operator="containsText" text="REJECT"/>
    <x:cfRule type="containsText" dxfId="57" priority="13" operator="containsText" text="LATE"/>
    <x:cfRule type="containsText" dxfId="58" priority="14" operator="containsText" text="INCOMPLETE"/>
    <x:cfRule type="containsText" dxfId="59" priority="15" operator="containsText" text="INDETERMINATE"/>
  </x:conditionalFormatting>
  <x:conditionalFormatting sqref="I84:I115">
    <x:cfRule type="containsText" dxfId="60" priority="16" operator="containsText" text="PASS"/>
    <x:cfRule type="containsText" dxfId="61" priority="17" operator="containsText" text="SELECT"/>
    <x:cfRule type="containsText" dxfId="62" priority="18" operator="containsText" text="AUTHORIZED"/>
    <x:cfRule type="containsText" dxfId="63" priority="19" operator="containsText" text="ADMITTED"/>
    <x:cfRule type="containsText" dxfId="64" priority="20" operator="containsText" text="READY"/>
    <x:cfRule type="containsText" dxfId="65" priority="21" operator="containsText" text="HOLD"/>
    <x:cfRule type="containsText" dxfId="66" priority="22" operator="containsText" text="OPEN"/>
    <x:cfRule type="containsText" dxfId="67" priority="23" operator="containsText" text="SAFE_STOP"/>
    <x:cfRule type="containsText" dxfId="68" priority="24" operator="containsText" text="BLOCKED"/>
    <x:cfRule type="containsText" dxfId="69" priority="25" operator="containsText" text="PLANNING"/>
    <x:cfRule type="containsText" dxfId="70" priority="26" operator="containsText" text="FAIL"/>
    <x:cfRule type="containsText" dxfId="71" priority="27" operator="containsText" text="REJECT"/>
    <x:cfRule type="containsText" dxfId="72" priority="28" operator="containsText" text="LATE"/>
    <x:cfRule type="containsText" dxfId="73" priority="29" operator="containsText" text="INCOMPLETE"/>
    <x:cfRule type="containsText" dxfId="74" priority="30" operator="containsText" text="INDETERMINATE"/>
  </x:conditionalFormatting>
  <x:conditionalFormatting sqref="E120:E121">
    <x:cfRule type="containsText" dxfId="75" priority="31" operator="containsText" text="PASS"/>
    <x:cfRule type="containsText" dxfId="76" priority="32" operator="containsText" text="SELECT"/>
    <x:cfRule type="containsText" dxfId="77" priority="33" operator="containsText" text="AUTHORIZED"/>
    <x:cfRule type="containsText" dxfId="78" priority="34" operator="containsText" text="ADMITTED"/>
    <x:cfRule type="containsText" dxfId="79" priority="35" operator="containsText" text="READY"/>
    <x:cfRule type="containsText" dxfId="80" priority="36" operator="containsText" text="HOLD"/>
    <x:cfRule type="containsText" dxfId="81" priority="37" operator="containsText" text="OPEN"/>
    <x:cfRule type="containsText" dxfId="82" priority="38" operator="containsText" text="SAFE_STOP"/>
    <x:cfRule type="containsText" dxfId="83" priority="39" operator="containsText" text="BLOCKED"/>
    <x:cfRule type="containsText" dxfId="84" priority="40" operator="containsText" text="PLANNING"/>
    <x:cfRule type="containsText" dxfId="85" priority="41" operator="containsText" text="FAIL"/>
    <x:cfRule type="containsText" dxfId="86" priority="42" operator="containsText" text="REJECT"/>
    <x:cfRule type="containsText" dxfId="87" priority="43" operator="containsText" text="LATE"/>
    <x:cfRule type="containsText" dxfId="88" priority="44" operator="containsText" text="INCOMPLETE"/>
    <x:cfRule type="containsText" dxfId="89" priority="45" operator="containsText" text="INDETERMINATE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5" hidden="0" customWidth="1"/>
    <x:col min="3" max="3" width="19" hidden="0" customWidth="1"/>
    <x:col min="4" max="4" width="24" hidden="0" customWidth="1"/>
    <x:col min="5" max="5" width="24" hidden="0" customWidth="1"/>
    <x:col min="6" max="6" width="18" hidden="0" customWidth="1"/>
    <x:col min="7" max="7" width="18" hidden="0" customWidth="1"/>
    <x:col min="8" max="8" width="25" hidden="0" customWidth="1"/>
  </x:cols>
  <x:sheetData>
    <x:row r="2">
      <x:c r="B2" s="1" t="str">
        <x:v>Root-coherent shipset inventory</x:v>
      </x:c>
      <x:c r="C2" s="36"/>
      <x:c r="D2" s="36"/>
      <x:c r="E2" s="36"/>
      <x:c r="F2" s="36"/>
      <x:c r="G2" s="36"/>
      <x:c r="H2" s="36"/>
    </x:row>
    <x:row r="3">
      <x:c r="B3" s="2" t="str">
        <x:v>One complete shipset occupies one independently loadable arsenal. Values define the planning inventory, not physical acceptance.</x:v>
      </x:c>
      <x:c r="C3" s="36"/>
      <x:c r="D3" s="36"/>
      <x:c r="E3" s="36"/>
      <x:c r="F3" s="36"/>
      <x:c r="G3" s="36"/>
      <x:c r="H3" s="36"/>
    </x:row>
    <x:row r="4">
      <x:c r="B4" s="37"/>
      <x:c r="C4" s="37"/>
      <x:c r="D4" s="37"/>
      <x:c r="E4" s="37"/>
      <x:c r="F4" s="37"/>
      <x:c r="G4" s="37"/>
      <x:c r="H4" s="37"/>
    </x:row>
    <x:row r="5">
      <x:c r="B5" s="36"/>
      <x:c r="C5" s="36"/>
      <x:c r="D5" s="36"/>
      <x:c r="E5" s="36"/>
      <x:c r="F5" s="36"/>
      <x:c r="G5" s="36"/>
      <x:c r="H5" s="36"/>
    </x:row>
    <x:row r="6">
      <x:c r="B6" s="7" t="str">
        <x:v>Shipset</x:v>
      </x:c>
      <x:c r="C6" s="7" t="str">
        <x:v>Root</x:v>
      </x:c>
      <x:c r="D6" s="7" t="str">
        <x:v>Home arsenal</x:v>
      </x:c>
      <x:c r="E6" s="7" t="str">
        <x:v>Campus completeness</x:v>
      </x:c>
      <x:c r="F6" s="7" t="str">
        <x:v>Planning state</x:v>
      </x:c>
      <x:c r="G6" s="36"/>
      <x:c r="H6" s="36"/>
    </x:row>
    <x:row r="7">
      <x:c r="B7" s="9" t="str">
        <x:v>A1</x:v>
      </x:c>
      <x:c r="C7" s="9" t="str">
        <x:v>ROOT_A</x:v>
      </x:c>
      <x:c r="D7" s="9" t="str">
        <x:v>ARSENAL_1</x:v>
      </x:c>
      <x:c r="E7" s="9" t="n">
        <x:v>1</x:v>
      </x:c>
      <x:c r="F7" s="9" t="str">
        <x:v>READY</x:v>
      </x:c>
      <x:c r="G7" s="36"/>
      <x:c r="H7" s="36"/>
    </x:row>
    <x:row r="8">
      <x:c r="B8" s="9" t="str">
        <x:v>A2</x:v>
      </x:c>
      <x:c r="C8" s="9" t="str">
        <x:v>ROOT_A</x:v>
      </x:c>
      <x:c r="D8" s="9" t="str">
        <x:v>ARSENAL_2</x:v>
      </x:c>
      <x:c r="E8" s="9" t="n">
        <x:v>1</x:v>
      </x:c>
      <x:c r="F8" s="9" t="str">
        <x:v>READY</x:v>
      </x:c>
      <x:c r="G8" s="36"/>
      <x:c r="H8" s="36"/>
    </x:row>
    <x:row r="9">
      <x:c r="B9" s="9" t="str">
        <x:v>A3</x:v>
      </x:c>
      <x:c r="C9" s="9" t="str">
        <x:v>ROOT_A</x:v>
      </x:c>
      <x:c r="D9" s="9" t="str">
        <x:v>ARSENAL_3</x:v>
      </x:c>
      <x:c r="E9" s="9" t="n">
        <x:v>1</x:v>
      </x:c>
      <x:c r="F9" s="9" t="str">
        <x:v>READY</x:v>
      </x:c>
      <x:c r="G9" s="36"/>
      <x:c r="H9" s="36"/>
    </x:row>
    <x:row r="10">
      <x:c r="B10" s="9" t="str">
        <x:v>B1</x:v>
      </x:c>
      <x:c r="C10" s="9" t="str">
        <x:v>ROOT_B</x:v>
      </x:c>
      <x:c r="D10" s="9" t="str">
        <x:v>ARSENAL_4</x:v>
      </x:c>
      <x:c r="E10" s="9" t="n">
        <x:v>1</x:v>
      </x:c>
      <x:c r="F10" s="9" t="str">
        <x:v>READY</x:v>
      </x:c>
      <x:c r="G10" s="36"/>
      <x:c r="H10" s="36"/>
    </x:row>
    <x:row r="11">
      <x:c r="B11" s="9" t="str">
        <x:v>B2</x:v>
      </x:c>
      <x:c r="C11" s="9" t="str">
        <x:v>ROOT_B</x:v>
      </x:c>
      <x:c r="D11" s="9" t="str">
        <x:v>ARSENAL_5</x:v>
      </x:c>
      <x:c r="E11" s="9" t="n">
        <x:v>1</x:v>
      </x:c>
      <x:c r="F11" s="9" t="str">
        <x:v>READY</x:v>
      </x:c>
      <x:c r="G11" s="36"/>
      <x:c r="H11" s="36"/>
    </x:row>
    <x:row r="12">
      <x:c r="B12" s="10" t="str">
        <x:v>B3</x:v>
      </x:c>
      <x:c r="C12" s="10" t="str">
        <x:v>ROOT_B</x:v>
      </x:c>
      <x:c r="D12" s="10" t="str">
        <x:v>ARSENAL_6</x:v>
      </x:c>
      <x:c r="E12" s="10" t="n">
        <x:v>1</x:v>
      </x:c>
      <x:c r="F12" s="10" t="str">
        <x:v>READY</x:v>
      </x:c>
      <x:c r="G12" s="36"/>
      <x:c r="H12" s="36"/>
    </x:row>
    <x:row r="13">
      <x:c r="B13" s="36"/>
      <x:c r="C13" s="36"/>
      <x:c r="D13" s="36"/>
      <x:c r="E13" s="36"/>
      <x:c r="F13" s="36"/>
      <x:c r="G13" s="36"/>
      <x:c r="H13" s="36"/>
    </x:row>
    <x:row r="14">
      <x:c r="B14" s="36"/>
      <x:c r="C14" s="36"/>
      <x:c r="D14" s="36"/>
      <x:c r="E14" s="36"/>
      <x:c r="F14" s="36"/>
      <x:c r="G14" s="36"/>
      <x:c r="H14" s="36"/>
    </x:row>
    <x:row r="15">
      <x:c r="B15" s="36"/>
      <x:c r="C15" s="36"/>
      <x:c r="D15" s="36"/>
      <x:c r="E15" s="36"/>
      <x:c r="F15" s="36"/>
      <x:c r="G15" s="36"/>
      <x:c r="H15" s="36"/>
    </x:row>
    <x:row r="16">
      <x:c r="B16" s="25" t="str">
        <x:v>CRS-1 comparator inventory</x:v>
      </x:c>
      <x:c r="C16" s="26" t="str">
        <x:v>CRS-1 comparator inventory</x:v>
      </x:c>
      <x:c r="D16" s="26" t="str">
        <x:v>CRS-1 comparator inventory</x:v>
      </x:c>
      <x:c r="E16" s="26" t="str">
        <x:v>CRS-1 comparator inventory</x:v>
      </x:c>
      <x:c r="F16" s="26" t="str">
        <x:v>CRS-1 comparator inventory</x:v>
      </x:c>
      <x:c r="G16" s="26" t="str">
        <x:v>CRS-1 comparator inventory</x:v>
      </x:c>
      <x:c r="H16" s="27" t="str">
        <x:v>CRS-1 comparator inventory</x:v>
      </x:c>
    </x:row>
    <x:row r="17">
      <x:c r="B17" s="7" t="str">
        <x:v>Shipset</x:v>
      </x:c>
      <x:c r="C17" s="7" t="str">
        <x:v>Root</x:v>
      </x:c>
      <x:c r="D17" s="7" t="str">
        <x:v>Home arsenal</x:v>
      </x:c>
      <x:c r="E17" s="7" t="str">
        <x:v>Campus completeness</x:v>
      </x:c>
      <x:c r="F17" s="36"/>
      <x:c r="G17" s="36"/>
      <x:c r="H17" s="36"/>
    </x:row>
    <x:row r="18">
      <x:c r="B18" s="9" t="str">
        <x:v>C1-A1</x:v>
      </x:c>
      <x:c r="C18" s="9" t="str">
        <x:v>ROOT_A</x:v>
      </x:c>
      <x:c r="D18" s="9" t="str">
        <x:v>C1-ARSENAL_1</x:v>
      </x:c>
      <x:c r="E18" s="9" t="n">
        <x:v>1</x:v>
      </x:c>
      <x:c r="F18" s="36"/>
      <x:c r="G18" s="36"/>
      <x:c r="H18" s="36"/>
    </x:row>
    <x:row r="19">
      <x:c r="B19" s="9" t="str">
        <x:v>C1-A2</x:v>
      </x:c>
      <x:c r="C19" s="9" t="str">
        <x:v>ROOT_A</x:v>
      </x:c>
      <x:c r="D19" s="9" t="str">
        <x:v>C1-ARSENAL_2</x:v>
      </x:c>
      <x:c r="E19" s="9" t="n">
        <x:v>1</x:v>
      </x:c>
      <x:c r="F19" s="36"/>
      <x:c r="G19" s="36"/>
      <x:c r="H19" s="36"/>
    </x:row>
    <x:row r="20">
      <x:c r="B20" s="9" t="str">
        <x:v>C1-B1</x:v>
      </x:c>
      <x:c r="C20" s="9" t="str">
        <x:v>ROOT_B</x:v>
      </x:c>
      <x:c r="D20" s="9" t="str">
        <x:v>C1-ARSENAL_3</x:v>
      </x:c>
      <x:c r="E20" s="9" t="n">
        <x:v>1</x:v>
      </x:c>
      <x:c r="F20" s="36"/>
      <x:c r="G20" s="36"/>
      <x:c r="H20" s="36"/>
    </x:row>
    <x:row r="21">
      <x:c r="B21" s="10" t="str">
        <x:v>C1-B2</x:v>
      </x:c>
      <x:c r="C21" s="10" t="str">
        <x:v>ROOT_B</x:v>
      </x:c>
      <x:c r="D21" s="10" t="str">
        <x:v>C1-ARSENAL_4</x:v>
      </x:c>
      <x:c r="E21" s="10" t="n">
        <x:v>1</x:v>
      </x:c>
      <x:c r="F21" s="36"/>
      <x:c r="G21" s="36"/>
      <x:c r="H21" s="36"/>
    </x:row>
    <x:row r="22">
      <x:c r="B22" s="36"/>
      <x:c r="C22" s="36"/>
      <x:c r="D22" s="36"/>
      <x:c r="E22" s="36"/>
      <x:c r="F22" s="36"/>
      <x:c r="G22" s="36"/>
      <x:c r="H22" s="36"/>
    </x:row>
    <x:row r="23">
      <x:c r="B23" s="36"/>
      <x:c r="C23" s="36"/>
      <x:c r="D23" s="36"/>
      <x:c r="E23" s="36"/>
      <x:c r="F23" s="36"/>
      <x:c r="G23" s="36"/>
      <x:c r="H23" s="36"/>
    </x:row>
    <x:row r="24">
      <x:c r="B24" s="36"/>
      <x:c r="C24" s="36"/>
      <x:c r="D24" s="36"/>
      <x:c r="E24" s="36"/>
      <x:c r="F24" s="36"/>
      <x:c r="G24" s="36"/>
      <x:c r="H24" s="36"/>
    </x:row>
    <x:row r="25">
      <x:c r="B25" s="25" t="str">
        <x:v>Physical status</x:v>
      </x:c>
      <x:c r="C25" s="26" t="str">
        <x:v>Physical status</x:v>
      </x:c>
      <x:c r="D25" s="26" t="str">
        <x:v>Physical status</x:v>
      </x:c>
      <x:c r="E25" s="26" t="str">
        <x:v>Physical status</x:v>
      </x:c>
      <x:c r="F25" s="26" t="str">
        <x:v>Physical status</x:v>
      </x:c>
      <x:c r="G25" s="26" t="str">
        <x:v>Physical status</x:v>
      </x:c>
      <x:c r="H25" s="27" t="str">
        <x:v>Physical status</x:v>
      </x:c>
    </x:row>
    <x:row r="26" ht="34" customHeight="1">
      <x:c r="B26" s="36" t="str">
        <x:v>Accepted shipsets</x:v>
      </x:c>
      <x:c r="C26" s="36" t="n">
        <x:v>0</x:v>
      </x:c>
      <x:c r="D26" s="39" t="str">
        <x:v>No physical shipset exists in this package.</x:v>
      </x:c>
      <x:c r="E26" s="39"/>
      <x:c r="F26" s="39"/>
      <x:c r="G26" s="39"/>
      <x:c r="H26" s="39"/>
    </x:row>
    <x:row r="27" ht="34" customHeight="1">
      <x:c r="B27" s="36" t="str">
        <x:v>Accepted roots</x:v>
      </x:c>
      <x:c r="C27" s="36" t="n">
        <x:v>0</x:v>
      </x:c>
      <x:c r="D27" s="39" t="str">
        <x:v>Root definitions have not been executed by independent builders.</x:v>
      </x:c>
      <x:c r="E27" s="39"/>
      <x:c r="F27" s="39"/>
      <x:c r="G27" s="39"/>
      <x:c r="H27" s="39"/>
    </x:row>
    <x:row r="28" ht="34" customHeight="1">
      <x:c r="B28" s="36" t="str">
        <x:v>Accepted arsenals</x:v>
      </x:c>
      <x:c r="C28" s="36" t="n">
        <x:v>0</x:v>
      </x:c>
      <x:c r="D28" s="39" t="str">
        <x:v>Arsenal identities are planning allocations, not locations.</x:v>
      </x:c>
      <x:c r="E28" s="39"/>
      <x:c r="F28" s="39"/>
      <x:c r="G28" s="39"/>
      <x:c r="H28" s="39"/>
    </x:row>
    <x:row r="29" ht="34" customHeight="1">
      <x:c r="B29" s="36" t="str">
        <x:v>Permitted fractional shipset credit</x:v>
      </x:c>
      <x:c r="C29" s="36" t="n">
        <x:v>0</x:v>
      </x:c>
      <x:c r="D29" s="39" t="str">
        <x:v>Every campus service remains integer until physical cellular proof exists.</x:v>
      </x:c>
      <x:c r="E29" s="39"/>
      <x:c r="F29" s="39"/>
      <x:c r="G29" s="39"/>
      <x:c r="H29" s="39"/>
    </x:row>
  </x:sheetData>
  <x:mergeCells>
    <x:mergeCell ref="B2:H2"/>
    <x:mergeCell ref="B3:H3"/>
    <x:mergeCell ref="B16:H16"/>
    <x:mergeCell ref="B25:H25"/>
    <x:mergeCell ref="D26:H26"/>
    <x:mergeCell ref="D27:H27"/>
    <x:mergeCell ref="D28:H28"/>
    <x:mergeCell ref="D29:H29"/>
  </x:mergeCells>
  <x:conditionalFormatting sqref="F7:F12">
    <x:cfRule type="containsText" dxfId="30" priority="1" operator="containsText" text="PASS"/>
    <x:cfRule type="containsText" dxfId="31" priority="2" operator="containsText" text="SELECT"/>
    <x:cfRule type="containsText" dxfId="32" priority="3" operator="containsText" text="AUTHORIZED"/>
    <x:cfRule type="containsText" dxfId="33" priority="4" operator="containsText" text="ADMITTED"/>
    <x:cfRule type="containsText" dxfId="34" priority="5" operator="containsText" text="READY"/>
    <x:cfRule type="containsText" dxfId="35" priority="6" operator="containsText" text="HOLD"/>
    <x:cfRule type="containsText" dxfId="36" priority="7" operator="containsText" text="OPEN"/>
    <x:cfRule type="containsText" dxfId="37" priority="8" operator="containsText" text="SAFE_STOP"/>
    <x:cfRule type="containsText" dxfId="38" priority="9" operator="containsText" text="BLOCKED"/>
    <x:cfRule type="containsText" dxfId="39" priority="10" operator="containsText" text="PLANNING"/>
    <x:cfRule type="containsText" dxfId="40" priority="11" operator="containsText" text="FAIL"/>
    <x:cfRule type="containsText" dxfId="41" priority="12" operator="containsText" text="REJECT"/>
    <x:cfRule type="containsText" dxfId="42" priority="13" operator="containsText" text="LATE"/>
    <x:cfRule type="containsText" dxfId="43" priority="14" operator="containsText" text="INCOMPLETE"/>
    <x:cfRule type="containsText" dxfId="44" priority="15" operator="containsText" text="INDETERMINATE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2" hidden="0" customWidth="1"/>
    <x:col min="5" max="5" width="15" hidden="0" customWidth="1"/>
    <x:col min="6" max="6" width="17" hidden="0" customWidth="1"/>
    <x:col min="7" max="7" width="22" hidden="0" customWidth="1"/>
    <x:col min="8" max="8" width="13" hidden="0" customWidth="1"/>
    <x:col min="9" max="9" width="18" hidden="0" customWidth="1"/>
    <x:col min="10" max="10" width="21" hidden="0" customWidth="1"/>
    <x:col min="11" max="11" width="17" hidden="0" customWidth="1"/>
    <x:col min="12" max="12" width="18" hidden="0" customWidth="1"/>
    <x:col min="13" max="13" width="17" hidden="0" customWidth="1"/>
  </x:cols>
  <x:sheetData>
    <x:row r="2">
      <x:c r="B2" s="1" t="str">
        <x:v>Immutable service-package registry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</x:row>
    <x:row r="3">
      <x:c r="B3" s="2" t="str">
        <x:v>Each row is one required service package for one event. Physical receipt, acceptance and reset remain unobserved.</x:v>
      </x:c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</x:row>
    <x:row r="6">
      <x:c r="B6" s="7" t="str">
        <x:v>Token</x:v>
      </x:c>
      <x:c r="C6" s="7" t="str">
        <x:v>Event</x:v>
      </x:c>
      <x:c r="D6" s="7" t="str">
        <x:v>Shipset</x:v>
      </x:c>
      <x:c r="E6" s="7" t="str">
        <x:v>Root</x:v>
      </x:c>
      <x:c r="F6" s="7" t="str">
        <x:v>Home arsenal</x:v>
      </x:c>
      <x:c r="G6" s="7" t="str">
        <x:v>Service</x:v>
      </x:c>
      <x:c r="H6" s="7" t="str">
        <x:v>Required</x:v>
      </x:c>
      <x:c r="I6" s="7" t="str">
        <x:v>Physical receipt</x:v>
      </x:c>
      <x:c r="J6" s="7" t="str">
        <x:v>Physical acceptance</x:v>
      </x:c>
      <x:c r="K6" s="7" t="str">
        <x:v>Physical reset</x:v>
      </x:c>
      <x:c r="L6" s="7" t="str">
        <x:v>Planning identity</x:v>
      </x:c>
      <x:c r="M6" s="7" t="str">
        <x:v>Terminal state</x:v>
      </x:c>
    </x:row>
    <x:row r="7">
      <x:c r="B7" s="9" t="str">
        <x:v>CRC-E01-01</x:v>
      </x:c>
      <x:c r="C7" s="9" t="str">
        <x:v>CRC-E01</x:v>
      </x:c>
      <x:c r="D7" s="9" t="str">
        <x:v>B2</x:v>
      </x:c>
      <x:c r="E7" s="9" t="str">
        <x:v>ROOT_B</x:v>
      </x:c>
      <x:c r="F7" s="9" t="str">
        <x:v>ARSENAL_5</x:v>
      </x:c>
      <x:c r="G7" s="9" t="str">
        <x:v>CLOSURE_BAYS</x:v>
      </x:c>
      <x:c r="H7" s="9" t="n">
        <x:v>1</x:v>
      </x:c>
      <x:c r="I7" s="9" t="n">
        <x:v>0</x:v>
      </x:c>
      <x:c r="J7" s="9" t="n">
        <x:v>0</x:v>
      </x:c>
      <x:c r="K7" s="9" t="n">
        <x:v>0</x:v>
      </x:c>
      <x:c r="L7" s="9" t="n">
        <x:v>1</x:v>
      </x:c>
      <x:c r="M7" s="9" t="str">
        <x:v>HOLD</x:v>
      </x:c>
    </x:row>
    <x:row r="8">
      <x:c r="B8" s="9" t="str">
        <x:v>CRC-E01-02</x:v>
      </x:c>
      <x:c r="C8" s="9" t="str">
        <x:v>CRC-E01</x:v>
      </x:c>
      <x:c r="D8" s="9" t="str">
        <x:v>B2</x:v>
      </x:c>
      <x:c r="E8" s="9" t="str">
        <x:v>ROOT_B</x:v>
      </x:c>
      <x:c r="F8" s="9" t="str">
        <x:v>ARSENAL_5</x:v>
      </x:c>
      <x:c r="G8" s="9" t="str">
        <x:v>DAMAGE_CELLS</x:v>
      </x:c>
      <x:c r="H8" s="9" t="n">
        <x:v>1</x:v>
      </x:c>
      <x:c r="I8" s="9" t="n">
        <x:v>0</x:v>
      </x:c>
      <x:c r="J8" s="9" t="n">
        <x:v>0</x:v>
      </x:c>
      <x:c r="K8" s="9" t="n">
        <x:v>0</x:v>
      </x:c>
      <x:c r="L8" s="9" t="n">
        <x:v>1</x:v>
      </x:c>
      <x:c r="M8" s="9" t="str">
        <x:v>HOLD</x:v>
      </x:c>
    </x:row>
    <x:row r="9">
      <x:c r="B9" s="9" t="str">
        <x:v>CRC-E01-03</x:v>
      </x:c>
      <x:c r="C9" s="9" t="str">
        <x:v>CRC-E01</x:v>
      </x:c>
      <x:c r="D9" s="9" t="str">
        <x:v>B2</x:v>
      </x:c>
      <x:c r="E9" s="9" t="str">
        <x:v>ROOT_B</x:v>
      </x:c>
      <x:c r="F9" s="9" t="str">
        <x:v>ARSENAL_5</x:v>
      </x:c>
      <x:c r="G9" s="9" t="str">
        <x:v>UTILITY_ISLAND</x:v>
      </x:c>
      <x:c r="H9" s="9" t="n">
        <x:v>1</x:v>
      </x:c>
      <x:c r="I9" s="9" t="n">
        <x:v>0</x:v>
      </x:c>
      <x:c r="J9" s="9" t="n">
        <x:v>0</x:v>
      </x:c>
      <x:c r="K9" s="9" t="n">
        <x:v>0</x:v>
      </x:c>
      <x:c r="L9" s="9" t="n">
        <x:v>1</x:v>
      </x:c>
      <x:c r="M9" s="9" t="str">
        <x:v>HOLD</x:v>
      </x:c>
    </x:row>
    <x:row r="10">
      <x:c r="B10" s="9" t="str">
        <x:v>CRC-E01-04</x:v>
      </x:c>
      <x:c r="C10" s="9" t="str">
        <x:v>CRC-E01</x:v>
      </x:c>
      <x:c r="D10" s="9" t="str">
        <x:v>B2</x:v>
      </x:c>
      <x:c r="E10" s="9" t="str">
        <x:v>ROOT_B</x:v>
      </x:c>
      <x:c r="F10" s="9" t="str">
        <x:v>ARSENAL_5</x:v>
      </x:c>
      <x:c r="G10" s="9" t="str">
        <x:v>SANITARY_LABS</x:v>
      </x:c>
      <x:c r="H10" s="9" t="n">
        <x:v>1</x:v>
      </x:c>
      <x:c r="I10" s="9" t="n">
        <x:v>0</x:v>
      </x:c>
      <x:c r="J10" s="9" t="n">
        <x:v>0</x:v>
      </x:c>
      <x:c r="K10" s="9" t="n">
        <x:v>0</x:v>
      </x:c>
      <x:c r="L10" s="9" t="n">
        <x:v>1</x:v>
      </x:c>
      <x:c r="M10" s="9" t="str">
        <x:v>HOLD</x:v>
      </x:c>
    </x:row>
    <x:row r="11">
      <x:c r="B11" s="9" t="str">
        <x:v>CRC-E01-05</x:v>
      </x:c>
      <x:c r="C11" s="9" t="str">
        <x:v>CRC-E01</x:v>
      </x:c>
      <x:c r="D11" s="9" t="str">
        <x:v>B2</x:v>
      </x:c>
      <x:c r="E11" s="9" t="str">
        <x:v>ROOT_B</x:v>
      </x:c>
      <x:c r="F11" s="9" t="str">
        <x:v>ARSENAL_5</x:v>
      </x:c>
      <x:c r="G11" s="9" t="str">
        <x:v>FORENSIC_LINE</x:v>
      </x:c>
      <x:c r="H11" s="9" t="n">
        <x:v>1</x:v>
      </x:c>
      <x:c r="I11" s="9" t="n">
        <x:v>0</x:v>
      </x:c>
      <x:c r="J11" s="9" t="n">
        <x:v>0</x:v>
      </x:c>
      <x:c r="K11" s="9" t="n">
        <x:v>0</x:v>
      </x:c>
      <x:c r="L11" s="9" t="n">
        <x:v>1</x:v>
      </x:c>
      <x:c r="M11" s="9" t="str">
        <x:v>HOLD</x:v>
      </x:c>
    </x:row>
    <x:row r="12">
      <x:c r="B12" s="9" t="str">
        <x:v>CRC-E01-06</x:v>
      </x:c>
      <x:c r="C12" s="9" t="str">
        <x:v>CRC-E01</x:v>
      </x:c>
      <x:c r="D12" s="9" t="str">
        <x:v>B2</x:v>
      </x:c>
      <x:c r="E12" s="9" t="str">
        <x:v>ROOT_B</x:v>
      </x:c>
      <x:c r="F12" s="9" t="str">
        <x:v>ARSENAL_5</x:v>
      </x:c>
      <x:c r="G12" s="9" t="str">
        <x:v>METROLOGY</x:v>
      </x:c>
      <x:c r="H12" s="9" t="n">
        <x:v>1</x:v>
      </x:c>
      <x:c r="I12" s="9" t="n">
        <x:v>0</x:v>
      </x:c>
      <x:c r="J12" s="9" t="n">
        <x:v>0</x:v>
      </x:c>
      <x:c r="K12" s="9" t="n">
        <x:v>0</x:v>
      </x:c>
      <x:c r="L12" s="9" t="n">
        <x:v>1</x:v>
      </x:c>
      <x:c r="M12" s="9" t="str">
        <x:v>HOLD</x:v>
      </x:c>
    </x:row>
    <x:row r="13">
      <x:c r="B13" s="9" t="str">
        <x:v>CRC-E01-07</x:v>
      </x:c>
      <x:c r="C13" s="9" t="str">
        <x:v>CRC-E01</x:v>
      </x:c>
      <x:c r="D13" s="9" t="str">
        <x:v>B2</x:v>
      </x:c>
      <x:c r="E13" s="9" t="str">
        <x:v>ROOT_B</x:v>
      </x:c>
      <x:c r="F13" s="9" t="str">
        <x:v>ARSENAL_5</x:v>
      </x:c>
      <x:c r="G13" s="9" t="str">
        <x:v>EVIDENCE_REPLAY</x:v>
      </x:c>
      <x:c r="H13" s="9" t="n">
        <x:v>1</x:v>
      </x:c>
      <x:c r="I13" s="9" t="n">
        <x:v>0</x:v>
      </x:c>
      <x:c r="J13" s="9" t="n">
        <x:v>0</x:v>
      </x:c>
      <x:c r="K13" s="9" t="n">
        <x:v>0</x:v>
      </x:c>
      <x:c r="L13" s="9" t="n">
        <x:v>1</x:v>
      </x:c>
      <x:c r="M13" s="9" t="str">
        <x:v>HOLD</x:v>
      </x:c>
    </x:row>
    <x:row r="14">
      <x:c r="B14" s="9" t="str">
        <x:v>CRC-E01-08</x:v>
      </x:c>
      <x:c r="C14" s="9" t="str">
        <x:v>CRC-E01</x:v>
      </x:c>
      <x:c r="D14" s="9" t="str">
        <x:v>B2</x:v>
      </x:c>
      <x:c r="E14" s="9" t="str">
        <x:v>ROOT_B</x:v>
      </x:c>
      <x:c r="F14" s="9" t="str">
        <x:v>ARSENAL_5</x:v>
      </x:c>
      <x:c r="G14" s="9" t="str">
        <x:v>BLIND_SHOP</x:v>
      </x:c>
      <x:c r="H14" s="9" t="n">
        <x:v>1</x:v>
      </x:c>
      <x:c r="I14" s="9" t="n">
        <x:v>0</x:v>
      </x:c>
      <x:c r="J14" s="9" t="n">
        <x:v>0</x:v>
      </x:c>
      <x:c r="K14" s="9" t="n">
        <x:v>0</x:v>
      </x:c>
      <x:c r="L14" s="9" t="n">
        <x:v>1</x:v>
      </x:c>
      <x:c r="M14" s="9" t="str">
        <x:v>HOLD</x:v>
      </x:c>
    </x:row>
    <x:row r="15">
      <x:c r="B15" s="9" t="str">
        <x:v>CRC-E01-09</x:v>
      </x:c>
      <x:c r="C15" s="9" t="str">
        <x:v>CRC-E01</x:v>
      </x:c>
      <x:c r="D15" s="9" t="str">
        <x:v>B2</x:v>
      </x:c>
      <x:c r="E15" s="9" t="str">
        <x:v>ROOT_B</x:v>
      </x:c>
      <x:c r="F15" s="9" t="str">
        <x:v>ARSENAL_5</x:v>
      </x:c>
      <x:c r="G15" s="9" t="str">
        <x:v>SITE_CUSTODY</x:v>
      </x:c>
      <x:c r="H15" s="9" t="n">
        <x:v>1</x:v>
      </x:c>
      <x:c r="I15" s="9" t="n">
        <x:v>0</x:v>
      </x:c>
      <x:c r="J15" s="9" t="n">
        <x:v>0</x:v>
      </x:c>
      <x:c r="K15" s="9" t="n">
        <x:v>0</x:v>
      </x:c>
      <x:c r="L15" s="9" t="n">
        <x:v>1</x:v>
      </x:c>
      <x:c r="M15" s="9" t="str">
        <x:v>HOLD</x:v>
      </x:c>
    </x:row>
    <x:row r="16">
      <x:c r="B16" s="9" t="str">
        <x:v>CRC-E02-01</x:v>
      </x:c>
      <x:c r="C16" s="9" t="str">
        <x:v>CRC-E02</x:v>
      </x:c>
      <x:c r="D16" s="9" t="str">
        <x:v>A2</x:v>
      </x:c>
      <x:c r="E16" s="9" t="str">
        <x:v>ROOT_A</x:v>
      </x:c>
      <x:c r="F16" s="9" t="str">
        <x:v>ARSENAL_2</x:v>
      </x:c>
      <x:c r="G16" s="9" t="str">
        <x:v>CLOSURE_BAYS</x:v>
      </x:c>
      <x:c r="H16" s="9" t="n">
        <x:v>1</x:v>
      </x:c>
      <x:c r="I16" s="9" t="n">
        <x:v>0</x:v>
      </x:c>
      <x:c r="J16" s="9" t="n">
        <x:v>0</x:v>
      </x:c>
      <x:c r="K16" s="9" t="n">
        <x:v>0</x:v>
      </x:c>
      <x:c r="L16" s="9" t="n">
        <x:v>1</x:v>
      </x:c>
      <x:c r="M16" s="9" t="str">
        <x:v>HOLD</x:v>
      </x:c>
    </x:row>
    <x:row r="17">
      <x:c r="B17" s="9" t="str">
        <x:v>CRC-E02-02</x:v>
      </x:c>
      <x:c r="C17" s="9" t="str">
        <x:v>CRC-E02</x:v>
      </x:c>
      <x:c r="D17" s="9" t="str">
        <x:v>A2</x:v>
      </x:c>
      <x:c r="E17" s="9" t="str">
        <x:v>ROOT_A</x:v>
      </x:c>
      <x:c r="F17" s="9" t="str">
        <x:v>ARSENAL_2</x:v>
      </x:c>
      <x:c r="G17" s="9" t="str">
        <x:v>DAMAGE_CELLS</x:v>
      </x:c>
      <x:c r="H17" s="9" t="n">
        <x:v>1</x:v>
      </x:c>
      <x:c r="I17" s="9" t="n">
        <x:v>0</x:v>
      </x:c>
      <x:c r="J17" s="9" t="n">
        <x:v>0</x:v>
      </x:c>
      <x:c r="K17" s="9" t="n">
        <x:v>0</x:v>
      </x:c>
      <x:c r="L17" s="9" t="n">
        <x:v>1</x:v>
      </x:c>
      <x:c r="M17" s="9" t="str">
        <x:v>HOLD</x:v>
      </x:c>
    </x:row>
    <x:row r="18">
      <x:c r="B18" s="9" t="str">
        <x:v>CRC-E02-03</x:v>
      </x:c>
      <x:c r="C18" s="9" t="str">
        <x:v>CRC-E02</x:v>
      </x:c>
      <x:c r="D18" s="9" t="str">
        <x:v>A2</x:v>
      </x:c>
      <x:c r="E18" s="9" t="str">
        <x:v>ROOT_A</x:v>
      </x:c>
      <x:c r="F18" s="9" t="str">
        <x:v>ARSENAL_2</x:v>
      </x:c>
      <x:c r="G18" s="9" t="str">
        <x:v>UTILITY_ISLAND</x:v>
      </x:c>
      <x:c r="H18" s="9" t="n">
        <x:v>1</x:v>
      </x:c>
      <x:c r="I18" s="9" t="n">
        <x:v>0</x:v>
      </x:c>
      <x:c r="J18" s="9" t="n">
        <x:v>0</x:v>
      </x:c>
      <x:c r="K18" s="9" t="n">
        <x:v>0</x:v>
      </x:c>
      <x:c r="L18" s="9" t="n">
        <x:v>1</x:v>
      </x:c>
      <x:c r="M18" s="9" t="str">
        <x:v>HOLD</x:v>
      </x:c>
    </x:row>
    <x:row r="19">
      <x:c r="B19" s="9" t="str">
        <x:v>CRC-E02-04</x:v>
      </x:c>
      <x:c r="C19" s="9" t="str">
        <x:v>CRC-E02</x:v>
      </x:c>
      <x:c r="D19" s="9" t="str">
        <x:v>A2</x:v>
      </x:c>
      <x:c r="E19" s="9" t="str">
        <x:v>ROOT_A</x:v>
      </x:c>
      <x:c r="F19" s="9" t="str">
        <x:v>ARSENAL_2</x:v>
      </x:c>
      <x:c r="G19" s="9" t="str">
        <x:v>SANITARY_LABS</x:v>
      </x:c>
      <x:c r="H19" s="9" t="n">
        <x:v>1</x:v>
      </x:c>
      <x:c r="I19" s="9" t="n">
        <x:v>0</x:v>
      </x:c>
      <x:c r="J19" s="9" t="n">
        <x:v>0</x:v>
      </x:c>
      <x:c r="K19" s="9" t="n">
        <x:v>0</x:v>
      </x:c>
      <x:c r="L19" s="9" t="n">
        <x:v>1</x:v>
      </x:c>
      <x:c r="M19" s="9" t="str">
        <x:v>HOLD</x:v>
      </x:c>
    </x:row>
    <x:row r="20">
      <x:c r="B20" s="9" t="str">
        <x:v>CRC-E02-05</x:v>
      </x:c>
      <x:c r="C20" s="9" t="str">
        <x:v>CRC-E02</x:v>
      </x:c>
      <x:c r="D20" s="9" t="str">
        <x:v>A2</x:v>
      </x:c>
      <x:c r="E20" s="9" t="str">
        <x:v>ROOT_A</x:v>
      </x:c>
      <x:c r="F20" s="9" t="str">
        <x:v>ARSENAL_2</x:v>
      </x:c>
      <x:c r="G20" s="9" t="str">
        <x:v>FORENSIC_LINE</x:v>
      </x:c>
      <x:c r="H20" s="9" t="n">
        <x:v>1</x:v>
      </x:c>
      <x:c r="I20" s="9" t="n">
        <x:v>0</x:v>
      </x:c>
      <x:c r="J20" s="9" t="n">
        <x:v>0</x:v>
      </x:c>
      <x:c r="K20" s="9" t="n">
        <x:v>0</x:v>
      </x:c>
      <x:c r="L20" s="9" t="n">
        <x:v>1</x:v>
      </x:c>
      <x:c r="M20" s="9" t="str">
        <x:v>HOLD</x:v>
      </x:c>
    </x:row>
    <x:row r="21">
      <x:c r="B21" s="9" t="str">
        <x:v>CRC-E02-06</x:v>
      </x:c>
      <x:c r="C21" s="9" t="str">
        <x:v>CRC-E02</x:v>
      </x:c>
      <x:c r="D21" s="9" t="str">
        <x:v>A2</x:v>
      </x:c>
      <x:c r="E21" s="9" t="str">
        <x:v>ROOT_A</x:v>
      </x:c>
      <x:c r="F21" s="9" t="str">
        <x:v>ARSENAL_2</x:v>
      </x:c>
      <x:c r="G21" s="9" t="str">
        <x:v>METROLOGY</x:v>
      </x:c>
      <x:c r="H21" s="9" t="n">
        <x:v>1</x:v>
      </x:c>
      <x:c r="I21" s="9" t="n">
        <x:v>0</x:v>
      </x:c>
      <x:c r="J21" s="9" t="n">
        <x:v>0</x:v>
      </x:c>
      <x:c r="K21" s="9" t="n">
        <x:v>0</x:v>
      </x:c>
      <x:c r="L21" s="9" t="n">
        <x:v>1</x:v>
      </x:c>
      <x:c r="M21" s="9" t="str">
        <x:v>HOLD</x:v>
      </x:c>
    </x:row>
    <x:row r="22">
      <x:c r="B22" s="9" t="str">
        <x:v>CRC-E02-07</x:v>
      </x:c>
      <x:c r="C22" s="9" t="str">
        <x:v>CRC-E02</x:v>
      </x:c>
      <x:c r="D22" s="9" t="str">
        <x:v>A2</x:v>
      </x:c>
      <x:c r="E22" s="9" t="str">
        <x:v>ROOT_A</x:v>
      </x:c>
      <x:c r="F22" s="9" t="str">
        <x:v>ARSENAL_2</x:v>
      </x:c>
      <x:c r="G22" s="9" t="str">
        <x:v>EVIDENCE_REPLAY</x:v>
      </x:c>
      <x:c r="H22" s="9" t="n">
        <x:v>1</x:v>
      </x:c>
      <x:c r="I22" s="9" t="n">
        <x:v>0</x:v>
      </x:c>
      <x:c r="J22" s="9" t="n">
        <x:v>0</x:v>
      </x:c>
      <x:c r="K22" s="9" t="n">
        <x:v>0</x:v>
      </x:c>
      <x:c r="L22" s="9" t="n">
        <x:v>1</x:v>
      </x:c>
      <x:c r="M22" s="9" t="str">
        <x:v>HOLD</x:v>
      </x:c>
    </x:row>
    <x:row r="23">
      <x:c r="B23" s="9" t="str">
        <x:v>CRC-E02-08</x:v>
      </x:c>
      <x:c r="C23" s="9" t="str">
        <x:v>CRC-E02</x:v>
      </x:c>
      <x:c r="D23" s="9" t="str">
        <x:v>A2</x:v>
      </x:c>
      <x:c r="E23" s="9" t="str">
        <x:v>ROOT_A</x:v>
      </x:c>
      <x:c r="F23" s="9" t="str">
        <x:v>ARSENAL_2</x:v>
      </x:c>
      <x:c r="G23" s="9" t="str">
        <x:v>BLIND_SHOP</x:v>
      </x:c>
      <x:c r="H23" s="9" t="n">
        <x:v>1</x:v>
      </x:c>
      <x:c r="I23" s="9" t="n">
        <x:v>0</x:v>
      </x:c>
      <x:c r="J23" s="9" t="n">
        <x:v>0</x:v>
      </x:c>
      <x:c r="K23" s="9" t="n">
        <x:v>0</x:v>
      </x:c>
      <x:c r="L23" s="9" t="n">
        <x:v>1</x:v>
      </x:c>
      <x:c r="M23" s="9" t="str">
        <x:v>HOLD</x:v>
      </x:c>
    </x:row>
    <x:row r="24">
      <x:c r="B24" s="9" t="str">
        <x:v>CRC-E02-09</x:v>
      </x:c>
      <x:c r="C24" s="9" t="str">
        <x:v>CRC-E02</x:v>
      </x:c>
      <x:c r="D24" s="9" t="str">
        <x:v>A2</x:v>
      </x:c>
      <x:c r="E24" s="9" t="str">
        <x:v>ROOT_A</x:v>
      </x:c>
      <x:c r="F24" s="9" t="str">
        <x:v>ARSENAL_2</x:v>
      </x:c>
      <x:c r="G24" s="9" t="str">
        <x:v>SITE_CUSTODY</x:v>
      </x:c>
      <x:c r="H24" s="9" t="n">
        <x:v>1</x:v>
      </x:c>
      <x:c r="I24" s="9" t="n">
        <x:v>0</x:v>
      </x:c>
      <x:c r="J24" s="9" t="n">
        <x:v>0</x:v>
      </x:c>
      <x:c r="K24" s="9" t="n">
        <x:v>0</x:v>
      </x:c>
      <x:c r="L24" s="9" t="n">
        <x:v>1</x:v>
      </x:c>
      <x:c r="M24" s="9" t="str">
        <x:v>HOLD</x:v>
      </x:c>
    </x:row>
    <x:row r="25">
      <x:c r="B25" s="9" t="str">
        <x:v>CRC-E03-01</x:v>
      </x:c>
      <x:c r="C25" s="9" t="str">
        <x:v>CRC-E03</x:v>
      </x:c>
      <x:c r="D25" s="9" t="str">
        <x:v>B1</x:v>
      </x:c>
      <x:c r="E25" s="9" t="str">
        <x:v>ROOT_B</x:v>
      </x:c>
      <x:c r="F25" s="9" t="str">
        <x:v>ARSENAL_4</x:v>
      </x:c>
      <x:c r="G25" s="9" t="str">
        <x:v>CLOSURE_BAYS</x:v>
      </x:c>
      <x:c r="H25" s="9" t="n">
        <x:v>1</x:v>
      </x:c>
      <x:c r="I25" s="9" t="n">
        <x:v>0</x:v>
      </x:c>
      <x:c r="J25" s="9" t="n">
        <x:v>0</x:v>
      </x:c>
      <x:c r="K25" s="9" t="n">
        <x:v>0</x:v>
      </x:c>
      <x:c r="L25" s="9" t="n">
        <x:v>1</x:v>
      </x:c>
      <x:c r="M25" s="9" t="str">
        <x:v>HOLD</x:v>
      </x:c>
    </x:row>
    <x:row r="26">
      <x:c r="B26" s="9" t="str">
        <x:v>CRC-E03-02</x:v>
      </x:c>
      <x:c r="C26" s="9" t="str">
        <x:v>CRC-E03</x:v>
      </x:c>
      <x:c r="D26" s="9" t="str">
        <x:v>B1</x:v>
      </x:c>
      <x:c r="E26" s="9" t="str">
        <x:v>ROOT_B</x:v>
      </x:c>
      <x:c r="F26" s="9" t="str">
        <x:v>ARSENAL_4</x:v>
      </x:c>
      <x:c r="G26" s="9" t="str">
        <x:v>DAMAGE_CELLS</x:v>
      </x:c>
      <x:c r="H26" s="9" t="n">
        <x:v>1</x:v>
      </x:c>
      <x:c r="I26" s="9" t="n">
        <x:v>0</x:v>
      </x:c>
      <x:c r="J26" s="9" t="n">
        <x:v>0</x:v>
      </x:c>
      <x:c r="K26" s="9" t="n">
        <x:v>0</x:v>
      </x:c>
      <x:c r="L26" s="9" t="n">
        <x:v>1</x:v>
      </x:c>
      <x:c r="M26" s="9" t="str">
        <x:v>HOLD</x:v>
      </x:c>
    </x:row>
    <x:row r="27">
      <x:c r="B27" s="9" t="str">
        <x:v>CRC-E03-03</x:v>
      </x:c>
      <x:c r="C27" s="9" t="str">
        <x:v>CRC-E03</x:v>
      </x:c>
      <x:c r="D27" s="9" t="str">
        <x:v>B1</x:v>
      </x:c>
      <x:c r="E27" s="9" t="str">
        <x:v>ROOT_B</x:v>
      </x:c>
      <x:c r="F27" s="9" t="str">
        <x:v>ARSENAL_4</x:v>
      </x:c>
      <x:c r="G27" s="9" t="str">
        <x:v>UTILITY_ISLAND</x:v>
      </x:c>
      <x:c r="H27" s="9" t="n">
        <x:v>1</x:v>
      </x:c>
      <x:c r="I27" s="9" t="n">
        <x:v>0</x:v>
      </x:c>
      <x:c r="J27" s="9" t="n">
        <x:v>0</x:v>
      </x:c>
      <x:c r="K27" s="9" t="n">
        <x:v>0</x:v>
      </x:c>
      <x:c r="L27" s="9" t="n">
        <x:v>1</x:v>
      </x:c>
      <x:c r="M27" s="9" t="str">
        <x:v>HOLD</x:v>
      </x:c>
    </x:row>
    <x:row r="28">
      <x:c r="B28" s="9" t="str">
        <x:v>CRC-E03-04</x:v>
      </x:c>
      <x:c r="C28" s="9" t="str">
        <x:v>CRC-E03</x:v>
      </x:c>
      <x:c r="D28" s="9" t="str">
        <x:v>B1</x:v>
      </x:c>
      <x:c r="E28" s="9" t="str">
        <x:v>ROOT_B</x:v>
      </x:c>
      <x:c r="F28" s="9" t="str">
        <x:v>ARSENAL_4</x:v>
      </x:c>
      <x:c r="G28" s="9" t="str">
        <x:v>SANITARY_LABS</x:v>
      </x:c>
      <x:c r="H28" s="9" t="n">
        <x:v>1</x:v>
      </x:c>
      <x:c r="I28" s="9" t="n">
        <x:v>0</x:v>
      </x:c>
      <x:c r="J28" s="9" t="n">
        <x:v>0</x:v>
      </x:c>
      <x:c r="K28" s="9" t="n">
        <x:v>0</x:v>
      </x:c>
      <x:c r="L28" s="9" t="n">
        <x:v>1</x:v>
      </x:c>
      <x:c r="M28" s="9" t="str">
        <x:v>HOLD</x:v>
      </x:c>
    </x:row>
    <x:row r="29">
      <x:c r="B29" s="9" t="str">
        <x:v>CRC-E03-05</x:v>
      </x:c>
      <x:c r="C29" s="9" t="str">
        <x:v>CRC-E03</x:v>
      </x:c>
      <x:c r="D29" s="9" t="str">
        <x:v>B1</x:v>
      </x:c>
      <x:c r="E29" s="9" t="str">
        <x:v>ROOT_B</x:v>
      </x:c>
      <x:c r="F29" s="9" t="str">
        <x:v>ARSENAL_4</x:v>
      </x:c>
      <x:c r="G29" s="9" t="str">
        <x:v>FORENSIC_LINE</x:v>
      </x:c>
      <x:c r="H29" s="9" t="n">
        <x:v>1</x:v>
      </x:c>
      <x:c r="I29" s="9" t="n">
        <x:v>0</x:v>
      </x:c>
      <x:c r="J29" s="9" t="n">
        <x:v>0</x:v>
      </x:c>
      <x:c r="K29" s="9" t="n">
        <x:v>0</x:v>
      </x:c>
      <x:c r="L29" s="9" t="n">
        <x:v>1</x:v>
      </x:c>
      <x:c r="M29" s="9" t="str">
        <x:v>HOLD</x:v>
      </x:c>
    </x:row>
    <x:row r="30">
      <x:c r="B30" s="9" t="str">
        <x:v>CRC-E03-06</x:v>
      </x:c>
      <x:c r="C30" s="9" t="str">
        <x:v>CRC-E03</x:v>
      </x:c>
      <x:c r="D30" s="9" t="str">
        <x:v>B1</x:v>
      </x:c>
      <x:c r="E30" s="9" t="str">
        <x:v>ROOT_B</x:v>
      </x:c>
      <x:c r="F30" s="9" t="str">
        <x:v>ARSENAL_4</x:v>
      </x:c>
      <x:c r="G30" s="9" t="str">
        <x:v>METROLOGY</x:v>
      </x:c>
      <x:c r="H30" s="9" t="n">
        <x:v>1</x:v>
      </x:c>
      <x:c r="I30" s="9" t="n">
        <x:v>0</x:v>
      </x:c>
      <x:c r="J30" s="9" t="n">
        <x:v>0</x:v>
      </x:c>
      <x:c r="K30" s="9" t="n">
        <x:v>0</x:v>
      </x:c>
      <x:c r="L30" s="9" t="n">
        <x:v>1</x:v>
      </x:c>
      <x:c r="M30" s="9" t="str">
        <x:v>HOLD</x:v>
      </x:c>
    </x:row>
    <x:row r="31">
      <x:c r="B31" s="9" t="str">
        <x:v>CRC-E03-07</x:v>
      </x:c>
      <x:c r="C31" s="9" t="str">
        <x:v>CRC-E03</x:v>
      </x:c>
      <x:c r="D31" s="9" t="str">
        <x:v>B1</x:v>
      </x:c>
      <x:c r="E31" s="9" t="str">
        <x:v>ROOT_B</x:v>
      </x:c>
      <x:c r="F31" s="9" t="str">
        <x:v>ARSENAL_4</x:v>
      </x:c>
      <x:c r="G31" s="9" t="str">
        <x:v>EVIDENCE_REPLAY</x:v>
      </x:c>
      <x:c r="H31" s="9" t="n">
        <x:v>1</x:v>
      </x:c>
      <x:c r="I31" s="9" t="n">
        <x:v>0</x:v>
      </x:c>
      <x:c r="J31" s="9" t="n">
        <x:v>0</x:v>
      </x:c>
      <x:c r="K31" s="9" t="n">
        <x:v>0</x:v>
      </x:c>
      <x:c r="L31" s="9" t="n">
        <x:v>1</x:v>
      </x:c>
      <x:c r="M31" s="9" t="str">
        <x:v>HOLD</x:v>
      </x:c>
    </x:row>
    <x:row r="32">
      <x:c r="B32" s="9" t="str">
        <x:v>CRC-E03-08</x:v>
      </x:c>
      <x:c r="C32" s="9" t="str">
        <x:v>CRC-E03</x:v>
      </x:c>
      <x:c r="D32" s="9" t="str">
        <x:v>B1</x:v>
      </x:c>
      <x:c r="E32" s="9" t="str">
        <x:v>ROOT_B</x:v>
      </x:c>
      <x:c r="F32" s="9" t="str">
        <x:v>ARSENAL_4</x:v>
      </x:c>
      <x:c r="G32" s="9" t="str">
        <x:v>BLIND_SHOP</x:v>
      </x:c>
      <x:c r="H32" s="9" t="n">
        <x:v>1</x:v>
      </x:c>
      <x:c r="I32" s="9" t="n">
        <x:v>0</x:v>
      </x:c>
      <x:c r="J32" s="9" t="n">
        <x:v>0</x:v>
      </x:c>
      <x:c r="K32" s="9" t="n">
        <x:v>0</x:v>
      </x:c>
      <x:c r="L32" s="9" t="n">
        <x:v>1</x:v>
      </x:c>
      <x:c r="M32" s="9" t="str">
        <x:v>HOLD</x:v>
      </x:c>
    </x:row>
    <x:row r="33">
      <x:c r="B33" s="9" t="str">
        <x:v>CRC-E03-09</x:v>
      </x:c>
      <x:c r="C33" s="9" t="str">
        <x:v>CRC-E03</x:v>
      </x:c>
      <x:c r="D33" s="9" t="str">
        <x:v>B1</x:v>
      </x:c>
      <x:c r="E33" s="9" t="str">
        <x:v>ROOT_B</x:v>
      </x:c>
      <x:c r="F33" s="9" t="str">
        <x:v>ARSENAL_4</x:v>
      </x:c>
      <x:c r="G33" s="9" t="str">
        <x:v>SITE_CUSTODY</x:v>
      </x:c>
      <x:c r="H33" s="9" t="n">
        <x:v>1</x:v>
      </x:c>
      <x:c r="I33" s="9" t="n">
        <x:v>0</x:v>
      </x:c>
      <x:c r="J33" s="9" t="n">
        <x:v>0</x:v>
      </x:c>
      <x:c r="K33" s="9" t="n">
        <x:v>0</x:v>
      </x:c>
      <x:c r="L33" s="9" t="n">
        <x:v>1</x:v>
      </x:c>
      <x:c r="M33" s="9" t="str">
        <x:v>HOLD</x:v>
      </x:c>
    </x:row>
    <x:row r="34">
      <x:c r="B34" s="9" t="str">
        <x:v>CRC-E04-01</x:v>
      </x:c>
      <x:c r="C34" s="9" t="str">
        <x:v>CRC-E04</x:v>
      </x:c>
      <x:c r="D34" s="9" t="str">
        <x:v>A1</x:v>
      </x:c>
      <x:c r="E34" s="9" t="str">
        <x:v>ROOT_A</x:v>
      </x:c>
      <x:c r="F34" s="9" t="str">
        <x:v>ARSENAL_1</x:v>
      </x:c>
      <x:c r="G34" s="9" t="str">
        <x:v>CLOSURE_BAYS</x:v>
      </x:c>
      <x:c r="H34" s="9" t="n">
        <x:v>1</x:v>
      </x:c>
      <x:c r="I34" s="9" t="n">
        <x:v>0</x:v>
      </x:c>
      <x:c r="J34" s="9" t="n">
        <x:v>0</x:v>
      </x:c>
      <x:c r="K34" s="9" t="n">
        <x:v>0</x:v>
      </x:c>
      <x:c r="L34" s="9" t="n">
        <x:v>1</x:v>
      </x:c>
      <x:c r="M34" s="9" t="str">
        <x:v>HOLD</x:v>
      </x:c>
    </x:row>
    <x:row r="35">
      <x:c r="B35" s="9" t="str">
        <x:v>CRC-E04-02</x:v>
      </x:c>
      <x:c r="C35" s="9" t="str">
        <x:v>CRC-E04</x:v>
      </x:c>
      <x:c r="D35" s="9" t="str">
        <x:v>A1</x:v>
      </x:c>
      <x:c r="E35" s="9" t="str">
        <x:v>ROOT_A</x:v>
      </x:c>
      <x:c r="F35" s="9" t="str">
        <x:v>ARSENAL_1</x:v>
      </x:c>
      <x:c r="G35" s="9" t="str">
        <x:v>DAMAGE_CELLS</x:v>
      </x:c>
      <x:c r="H35" s="9" t="n">
        <x:v>1</x:v>
      </x:c>
      <x:c r="I35" s="9" t="n">
        <x:v>0</x:v>
      </x:c>
      <x:c r="J35" s="9" t="n">
        <x:v>0</x:v>
      </x:c>
      <x:c r="K35" s="9" t="n">
        <x:v>0</x:v>
      </x:c>
      <x:c r="L35" s="9" t="n">
        <x:v>1</x:v>
      </x:c>
      <x:c r="M35" s="9" t="str">
        <x:v>HOLD</x:v>
      </x:c>
    </x:row>
    <x:row r="36">
      <x:c r="B36" s="9" t="str">
        <x:v>CRC-E04-03</x:v>
      </x:c>
      <x:c r="C36" s="9" t="str">
        <x:v>CRC-E04</x:v>
      </x:c>
      <x:c r="D36" s="9" t="str">
        <x:v>A1</x:v>
      </x:c>
      <x:c r="E36" s="9" t="str">
        <x:v>ROOT_A</x:v>
      </x:c>
      <x:c r="F36" s="9" t="str">
        <x:v>ARSENAL_1</x:v>
      </x:c>
      <x:c r="G36" s="9" t="str">
        <x:v>UTILITY_ISLAND</x:v>
      </x:c>
      <x:c r="H36" s="9" t="n">
        <x:v>1</x:v>
      </x:c>
      <x:c r="I36" s="9" t="n">
        <x:v>0</x:v>
      </x:c>
      <x:c r="J36" s="9" t="n">
        <x:v>0</x:v>
      </x:c>
      <x:c r="K36" s="9" t="n">
        <x:v>0</x:v>
      </x:c>
      <x:c r="L36" s="9" t="n">
        <x:v>1</x:v>
      </x:c>
      <x:c r="M36" s="9" t="str">
        <x:v>HOLD</x:v>
      </x:c>
    </x:row>
    <x:row r="37">
      <x:c r="B37" s="9" t="str">
        <x:v>CRC-E04-04</x:v>
      </x:c>
      <x:c r="C37" s="9" t="str">
        <x:v>CRC-E04</x:v>
      </x:c>
      <x:c r="D37" s="9" t="str">
        <x:v>A1</x:v>
      </x:c>
      <x:c r="E37" s="9" t="str">
        <x:v>ROOT_A</x:v>
      </x:c>
      <x:c r="F37" s="9" t="str">
        <x:v>ARSENAL_1</x:v>
      </x:c>
      <x:c r="G37" s="9" t="str">
        <x:v>SANITARY_LABS</x:v>
      </x:c>
      <x:c r="H37" s="9" t="n">
        <x:v>1</x:v>
      </x:c>
      <x:c r="I37" s="9" t="n">
        <x:v>0</x:v>
      </x:c>
      <x:c r="J37" s="9" t="n">
        <x:v>0</x:v>
      </x:c>
      <x:c r="K37" s="9" t="n">
        <x:v>0</x:v>
      </x:c>
      <x:c r="L37" s="9" t="n">
        <x:v>1</x:v>
      </x:c>
      <x:c r="M37" s="9" t="str">
        <x:v>HOLD</x:v>
      </x:c>
    </x:row>
    <x:row r="38">
      <x:c r="B38" s="9" t="str">
        <x:v>CRC-E04-05</x:v>
      </x:c>
      <x:c r="C38" s="9" t="str">
        <x:v>CRC-E04</x:v>
      </x:c>
      <x:c r="D38" s="9" t="str">
        <x:v>A1</x:v>
      </x:c>
      <x:c r="E38" s="9" t="str">
        <x:v>ROOT_A</x:v>
      </x:c>
      <x:c r="F38" s="9" t="str">
        <x:v>ARSENAL_1</x:v>
      </x:c>
      <x:c r="G38" s="9" t="str">
        <x:v>FORENSIC_LINE</x:v>
      </x:c>
      <x:c r="H38" s="9" t="n">
        <x:v>1</x:v>
      </x:c>
      <x:c r="I38" s="9" t="n">
        <x:v>0</x:v>
      </x:c>
      <x:c r="J38" s="9" t="n">
        <x:v>0</x:v>
      </x:c>
      <x:c r="K38" s="9" t="n">
        <x:v>0</x:v>
      </x:c>
      <x:c r="L38" s="9" t="n">
        <x:v>1</x:v>
      </x:c>
      <x:c r="M38" s="9" t="str">
        <x:v>HOLD</x:v>
      </x:c>
    </x:row>
    <x:row r="39">
      <x:c r="B39" s="9" t="str">
        <x:v>CRC-E04-06</x:v>
      </x:c>
      <x:c r="C39" s="9" t="str">
        <x:v>CRC-E04</x:v>
      </x:c>
      <x:c r="D39" s="9" t="str">
        <x:v>A1</x:v>
      </x:c>
      <x:c r="E39" s="9" t="str">
        <x:v>ROOT_A</x:v>
      </x:c>
      <x:c r="F39" s="9" t="str">
        <x:v>ARSENAL_1</x:v>
      </x:c>
      <x:c r="G39" s="9" t="str">
        <x:v>METROLOGY</x:v>
      </x:c>
      <x:c r="H39" s="9" t="n">
        <x:v>1</x:v>
      </x:c>
      <x:c r="I39" s="9" t="n">
        <x:v>0</x:v>
      </x:c>
      <x:c r="J39" s="9" t="n">
        <x:v>0</x:v>
      </x:c>
      <x:c r="K39" s="9" t="n">
        <x:v>0</x:v>
      </x:c>
      <x:c r="L39" s="9" t="n">
        <x:v>1</x:v>
      </x:c>
      <x:c r="M39" s="9" t="str">
        <x:v>HOLD</x:v>
      </x:c>
    </x:row>
    <x:row r="40">
      <x:c r="B40" s="9" t="str">
        <x:v>CRC-E04-07</x:v>
      </x:c>
      <x:c r="C40" s="9" t="str">
        <x:v>CRC-E04</x:v>
      </x:c>
      <x:c r="D40" s="9" t="str">
        <x:v>A1</x:v>
      </x:c>
      <x:c r="E40" s="9" t="str">
        <x:v>ROOT_A</x:v>
      </x:c>
      <x:c r="F40" s="9" t="str">
        <x:v>ARSENAL_1</x:v>
      </x:c>
      <x:c r="G40" s="9" t="str">
        <x:v>EVIDENCE_REPLAY</x:v>
      </x:c>
      <x:c r="H40" s="9" t="n">
        <x:v>1</x:v>
      </x:c>
      <x:c r="I40" s="9" t="n">
        <x:v>0</x:v>
      </x:c>
      <x:c r="J40" s="9" t="n">
        <x:v>0</x:v>
      </x:c>
      <x:c r="K40" s="9" t="n">
        <x:v>0</x:v>
      </x:c>
      <x:c r="L40" s="9" t="n">
        <x:v>1</x:v>
      </x:c>
      <x:c r="M40" s="9" t="str">
        <x:v>HOLD</x:v>
      </x:c>
    </x:row>
    <x:row r="41">
      <x:c r="B41" s="9" t="str">
        <x:v>CRC-E04-08</x:v>
      </x:c>
      <x:c r="C41" s="9" t="str">
        <x:v>CRC-E04</x:v>
      </x:c>
      <x:c r="D41" s="9" t="str">
        <x:v>A1</x:v>
      </x:c>
      <x:c r="E41" s="9" t="str">
        <x:v>ROOT_A</x:v>
      </x:c>
      <x:c r="F41" s="9" t="str">
        <x:v>ARSENAL_1</x:v>
      </x:c>
      <x:c r="G41" s="9" t="str">
        <x:v>BLIND_SHOP</x:v>
      </x:c>
      <x:c r="H41" s="9" t="n">
        <x:v>1</x:v>
      </x:c>
      <x:c r="I41" s="9" t="n">
        <x:v>0</x:v>
      </x:c>
      <x:c r="J41" s="9" t="n">
        <x:v>0</x:v>
      </x:c>
      <x:c r="K41" s="9" t="n">
        <x:v>0</x:v>
      </x:c>
      <x:c r="L41" s="9" t="n">
        <x:v>1</x:v>
      </x:c>
      <x:c r="M41" s="9" t="str">
        <x:v>HOLD</x:v>
      </x:c>
    </x:row>
    <x:row r="42">
      <x:c r="B42" s="9" t="str">
        <x:v>CRC-E04-09</x:v>
      </x:c>
      <x:c r="C42" s="9" t="str">
        <x:v>CRC-E04</x:v>
      </x:c>
      <x:c r="D42" s="9" t="str">
        <x:v>A1</x:v>
      </x:c>
      <x:c r="E42" s="9" t="str">
        <x:v>ROOT_A</x:v>
      </x:c>
      <x:c r="F42" s="9" t="str">
        <x:v>ARSENAL_1</x:v>
      </x:c>
      <x:c r="G42" s="9" t="str">
        <x:v>SITE_CUSTODY</x:v>
      </x:c>
      <x:c r="H42" s="9" t="n">
        <x:v>1</x:v>
      </x:c>
      <x:c r="I42" s="9" t="n">
        <x:v>0</x:v>
      </x:c>
      <x:c r="J42" s="9" t="n">
        <x:v>0</x:v>
      </x:c>
      <x:c r="K42" s="9" t="n">
        <x:v>0</x:v>
      </x:c>
      <x:c r="L42" s="9" t="n">
        <x:v>1</x:v>
      </x:c>
      <x:c r="M42" s="9" t="str">
        <x:v>HOLD</x:v>
      </x:c>
    </x:row>
    <x:row r="43">
      <x:c r="B43" s="9" t="str">
        <x:v>CRC-E05-01</x:v>
      </x:c>
      <x:c r="C43" s="9" t="str">
        <x:v>CRC-E05</x:v>
      </x:c>
      <x:c r="D43" s="9" t="str">
        <x:v>B3</x:v>
      </x:c>
      <x:c r="E43" s="9" t="str">
        <x:v>ROOT_B</x:v>
      </x:c>
      <x:c r="F43" s="9" t="str">
        <x:v>ARSENAL_6</x:v>
      </x:c>
      <x:c r="G43" s="9" t="str">
        <x:v>CLOSURE_BAYS</x:v>
      </x:c>
      <x:c r="H43" s="9" t="n">
        <x:v>1</x:v>
      </x:c>
      <x:c r="I43" s="9" t="n">
        <x:v>0</x:v>
      </x:c>
      <x:c r="J43" s="9" t="n">
        <x:v>0</x:v>
      </x:c>
      <x:c r="K43" s="9" t="n">
        <x:v>0</x:v>
      </x:c>
      <x:c r="L43" s="9" t="n">
        <x:v>1</x:v>
      </x:c>
      <x:c r="M43" s="9" t="str">
        <x:v>HOLD</x:v>
      </x:c>
    </x:row>
    <x:row r="44">
      <x:c r="B44" s="9" t="str">
        <x:v>CRC-E05-02</x:v>
      </x:c>
      <x:c r="C44" s="9" t="str">
        <x:v>CRC-E05</x:v>
      </x:c>
      <x:c r="D44" s="9" t="str">
        <x:v>B3</x:v>
      </x:c>
      <x:c r="E44" s="9" t="str">
        <x:v>ROOT_B</x:v>
      </x:c>
      <x:c r="F44" s="9" t="str">
        <x:v>ARSENAL_6</x:v>
      </x:c>
      <x:c r="G44" s="9" t="str">
        <x:v>DAMAGE_CELLS</x:v>
      </x:c>
      <x:c r="H44" s="9" t="n">
        <x:v>1</x:v>
      </x:c>
      <x:c r="I44" s="9" t="n">
        <x:v>0</x:v>
      </x:c>
      <x:c r="J44" s="9" t="n">
        <x:v>0</x:v>
      </x:c>
      <x:c r="K44" s="9" t="n">
        <x:v>0</x:v>
      </x:c>
      <x:c r="L44" s="9" t="n">
        <x:v>1</x:v>
      </x:c>
      <x:c r="M44" s="9" t="str">
        <x:v>HOLD</x:v>
      </x:c>
    </x:row>
    <x:row r="45">
      <x:c r="B45" s="9" t="str">
        <x:v>CRC-E05-03</x:v>
      </x:c>
      <x:c r="C45" s="9" t="str">
        <x:v>CRC-E05</x:v>
      </x:c>
      <x:c r="D45" s="9" t="str">
        <x:v>B3</x:v>
      </x:c>
      <x:c r="E45" s="9" t="str">
        <x:v>ROOT_B</x:v>
      </x:c>
      <x:c r="F45" s="9" t="str">
        <x:v>ARSENAL_6</x:v>
      </x:c>
      <x:c r="G45" s="9" t="str">
        <x:v>UTILITY_ISLAND</x:v>
      </x:c>
      <x:c r="H45" s="9" t="n">
        <x:v>1</x:v>
      </x:c>
      <x:c r="I45" s="9" t="n">
        <x:v>0</x:v>
      </x:c>
      <x:c r="J45" s="9" t="n">
        <x:v>0</x:v>
      </x:c>
      <x:c r="K45" s="9" t="n">
        <x:v>0</x:v>
      </x:c>
      <x:c r="L45" s="9" t="n">
        <x:v>1</x:v>
      </x:c>
      <x:c r="M45" s="9" t="str">
        <x:v>HOLD</x:v>
      </x:c>
    </x:row>
    <x:row r="46">
      <x:c r="B46" s="9" t="str">
        <x:v>CRC-E05-04</x:v>
      </x:c>
      <x:c r="C46" s="9" t="str">
        <x:v>CRC-E05</x:v>
      </x:c>
      <x:c r="D46" s="9" t="str">
        <x:v>B3</x:v>
      </x:c>
      <x:c r="E46" s="9" t="str">
        <x:v>ROOT_B</x:v>
      </x:c>
      <x:c r="F46" s="9" t="str">
        <x:v>ARSENAL_6</x:v>
      </x:c>
      <x:c r="G46" s="9" t="str">
        <x:v>SANITARY_LABS</x:v>
      </x:c>
      <x:c r="H46" s="9" t="n">
        <x:v>1</x:v>
      </x:c>
      <x:c r="I46" s="9" t="n">
        <x:v>0</x:v>
      </x:c>
      <x:c r="J46" s="9" t="n">
        <x:v>0</x:v>
      </x:c>
      <x:c r="K46" s="9" t="n">
        <x:v>0</x:v>
      </x:c>
      <x:c r="L46" s="9" t="n">
        <x:v>1</x:v>
      </x:c>
      <x:c r="M46" s="9" t="str">
        <x:v>HOLD</x:v>
      </x:c>
    </x:row>
    <x:row r="47">
      <x:c r="B47" s="9" t="str">
        <x:v>CRC-E05-05</x:v>
      </x:c>
      <x:c r="C47" s="9" t="str">
        <x:v>CRC-E05</x:v>
      </x:c>
      <x:c r="D47" s="9" t="str">
        <x:v>B3</x:v>
      </x:c>
      <x:c r="E47" s="9" t="str">
        <x:v>ROOT_B</x:v>
      </x:c>
      <x:c r="F47" s="9" t="str">
        <x:v>ARSENAL_6</x:v>
      </x:c>
      <x:c r="G47" s="9" t="str">
        <x:v>FORENSIC_LINE</x:v>
      </x:c>
      <x:c r="H47" s="9" t="n">
        <x:v>1</x:v>
      </x:c>
      <x:c r="I47" s="9" t="n">
        <x:v>0</x:v>
      </x:c>
      <x:c r="J47" s="9" t="n">
        <x:v>0</x:v>
      </x:c>
      <x:c r="K47" s="9" t="n">
        <x:v>0</x:v>
      </x:c>
      <x:c r="L47" s="9" t="n">
        <x:v>1</x:v>
      </x:c>
      <x:c r="M47" s="9" t="str">
        <x:v>HOLD</x:v>
      </x:c>
    </x:row>
    <x:row r="48">
      <x:c r="B48" s="9" t="str">
        <x:v>CRC-E05-06</x:v>
      </x:c>
      <x:c r="C48" s="9" t="str">
        <x:v>CRC-E05</x:v>
      </x:c>
      <x:c r="D48" s="9" t="str">
        <x:v>B3</x:v>
      </x:c>
      <x:c r="E48" s="9" t="str">
        <x:v>ROOT_B</x:v>
      </x:c>
      <x:c r="F48" s="9" t="str">
        <x:v>ARSENAL_6</x:v>
      </x:c>
      <x:c r="G48" s="9" t="str">
        <x:v>METROLOGY</x:v>
      </x:c>
      <x:c r="H48" s="9" t="n">
        <x:v>1</x:v>
      </x:c>
      <x:c r="I48" s="9" t="n">
        <x:v>0</x:v>
      </x:c>
      <x:c r="J48" s="9" t="n">
        <x:v>0</x:v>
      </x:c>
      <x:c r="K48" s="9" t="n">
        <x:v>0</x:v>
      </x:c>
      <x:c r="L48" s="9" t="n">
        <x:v>1</x:v>
      </x:c>
      <x:c r="M48" s="9" t="str">
        <x:v>HOLD</x:v>
      </x:c>
    </x:row>
    <x:row r="49">
      <x:c r="B49" s="9" t="str">
        <x:v>CRC-E05-07</x:v>
      </x:c>
      <x:c r="C49" s="9" t="str">
        <x:v>CRC-E05</x:v>
      </x:c>
      <x:c r="D49" s="9" t="str">
        <x:v>B3</x:v>
      </x:c>
      <x:c r="E49" s="9" t="str">
        <x:v>ROOT_B</x:v>
      </x:c>
      <x:c r="F49" s="9" t="str">
        <x:v>ARSENAL_6</x:v>
      </x:c>
      <x:c r="G49" s="9" t="str">
        <x:v>EVIDENCE_REPLAY</x:v>
      </x:c>
      <x:c r="H49" s="9" t="n">
        <x:v>1</x:v>
      </x:c>
      <x:c r="I49" s="9" t="n">
        <x:v>0</x:v>
      </x:c>
      <x:c r="J49" s="9" t="n">
        <x:v>0</x:v>
      </x:c>
      <x:c r="K49" s="9" t="n">
        <x:v>0</x:v>
      </x:c>
      <x:c r="L49" s="9" t="n">
        <x:v>1</x:v>
      </x:c>
      <x:c r="M49" s="9" t="str">
        <x:v>HOLD</x:v>
      </x:c>
    </x:row>
    <x:row r="50">
      <x:c r="B50" s="9" t="str">
        <x:v>CRC-E05-08</x:v>
      </x:c>
      <x:c r="C50" s="9" t="str">
        <x:v>CRC-E05</x:v>
      </x:c>
      <x:c r="D50" s="9" t="str">
        <x:v>B3</x:v>
      </x:c>
      <x:c r="E50" s="9" t="str">
        <x:v>ROOT_B</x:v>
      </x:c>
      <x:c r="F50" s="9" t="str">
        <x:v>ARSENAL_6</x:v>
      </x:c>
      <x:c r="G50" s="9" t="str">
        <x:v>BLIND_SHOP</x:v>
      </x:c>
      <x:c r="H50" s="9" t="n">
        <x:v>1</x:v>
      </x:c>
      <x:c r="I50" s="9" t="n">
        <x:v>0</x:v>
      </x:c>
      <x:c r="J50" s="9" t="n">
        <x:v>0</x:v>
      </x:c>
      <x:c r="K50" s="9" t="n">
        <x:v>0</x:v>
      </x:c>
      <x:c r="L50" s="9" t="n">
        <x:v>1</x:v>
      </x:c>
      <x:c r="M50" s="9" t="str">
        <x:v>HOLD</x:v>
      </x:c>
    </x:row>
    <x:row r="51">
      <x:c r="B51" s="9" t="str">
        <x:v>CRC-E05-09</x:v>
      </x:c>
      <x:c r="C51" s="9" t="str">
        <x:v>CRC-E05</x:v>
      </x:c>
      <x:c r="D51" s="9" t="str">
        <x:v>B3</x:v>
      </x:c>
      <x:c r="E51" s="9" t="str">
        <x:v>ROOT_B</x:v>
      </x:c>
      <x:c r="F51" s="9" t="str">
        <x:v>ARSENAL_6</x:v>
      </x:c>
      <x:c r="G51" s="9" t="str">
        <x:v>SITE_CUSTODY</x:v>
      </x:c>
      <x:c r="H51" s="9" t="n">
        <x:v>1</x:v>
      </x:c>
      <x:c r="I51" s="9" t="n">
        <x:v>0</x:v>
      </x:c>
      <x:c r="J51" s="9" t="n">
        <x:v>0</x:v>
      </x:c>
      <x:c r="K51" s="9" t="n">
        <x:v>0</x:v>
      </x:c>
      <x:c r="L51" s="9" t="n">
        <x:v>1</x:v>
      </x:c>
      <x:c r="M51" s="9" t="str">
        <x:v>HOLD</x:v>
      </x:c>
    </x:row>
    <x:row r="52">
      <x:c r="B52" s="9" t="str">
        <x:v>CRC-E06-01</x:v>
      </x:c>
      <x:c r="C52" s="9" t="str">
        <x:v>CRC-E06</x:v>
      </x:c>
      <x:c r="D52" s="9" t="str">
        <x:v>A2</x:v>
      </x:c>
      <x:c r="E52" s="9" t="str">
        <x:v>ROOT_A</x:v>
      </x:c>
      <x:c r="F52" s="9" t="str">
        <x:v>ARSENAL_2</x:v>
      </x:c>
      <x:c r="G52" s="9" t="str">
        <x:v>CLOSURE_BAYS</x:v>
      </x:c>
      <x:c r="H52" s="9" t="n">
        <x:v>1</x:v>
      </x:c>
      <x:c r="I52" s="9" t="n">
        <x:v>0</x:v>
      </x:c>
      <x:c r="J52" s="9" t="n">
        <x:v>0</x:v>
      </x:c>
      <x:c r="K52" s="9" t="n">
        <x:v>0</x:v>
      </x:c>
      <x:c r="L52" s="9" t="n">
        <x:v>1</x:v>
      </x:c>
      <x:c r="M52" s="9" t="str">
        <x:v>HOLD</x:v>
      </x:c>
    </x:row>
    <x:row r="53">
      <x:c r="B53" s="9" t="str">
        <x:v>CRC-E06-02</x:v>
      </x:c>
      <x:c r="C53" s="9" t="str">
        <x:v>CRC-E06</x:v>
      </x:c>
      <x:c r="D53" s="9" t="str">
        <x:v>A2</x:v>
      </x:c>
      <x:c r="E53" s="9" t="str">
        <x:v>ROOT_A</x:v>
      </x:c>
      <x:c r="F53" s="9" t="str">
        <x:v>ARSENAL_2</x:v>
      </x:c>
      <x:c r="G53" s="9" t="str">
        <x:v>DAMAGE_CELLS</x:v>
      </x:c>
      <x:c r="H53" s="9" t="n">
        <x:v>1</x:v>
      </x:c>
      <x:c r="I53" s="9" t="n">
        <x:v>0</x:v>
      </x:c>
      <x:c r="J53" s="9" t="n">
        <x:v>0</x:v>
      </x:c>
      <x:c r="K53" s="9" t="n">
        <x:v>0</x:v>
      </x:c>
      <x:c r="L53" s="9" t="n">
        <x:v>1</x:v>
      </x:c>
      <x:c r="M53" s="9" t="str">
        <x:v>HOLD</x:v>
      </x:c>
    </x:row>
    <x:row r="54">
      <x:c r="B54" s="9" t="str">
        <x:v>CRC-E06-03</x:v>
      </x:c>
      <x:c r="C54" s="9" t="str">
        <x:v>CRC-E06</x:v>
      </x:c>
      <x:c r="D54" s="9" t="str">
        <x:v>A2</x:v>
      </x:c>
      <x:c r="E54" s="9" t="str">
        <x:v>ROOT_A</x:v>
      </x:c>
      <x:c r="F54" s="9" t="str">
        <x:v>ARSENAL_2</x:v>
      </x:c>
      <x:c r="G54" s="9" t="str">
        <x:v>UTILITY_ISLAND</x:v>
      </x:c>
      <x:c r="H54" s="9" t="n">
        <x:v>1</x:v>
      </x:c>
      <x:c r="I54" s="9" t="n">
        <x:v>0</x:v>
      </x:c>
      <x:c r="J54" s="9" t="n">
        <x:v>0</x:v>
      </x:c>
      <x:c r="K54" s="9" t="n">
        <x:v>0</x:v>
      </x:c>
      <x:c r="L54" s="9" t="n">
        <x:v>1</x:v>
      </x:c>
      <x:c r="M54" s="9" t="str">
        <x:v>HOLD</x:v>
      </x:c>
    </x:row>
    <x:row r="55">
      <x:c r="B55" s="9" t="str">
        <x:v>CRC-E06-04</x:v>
      </x:c>
      <x:c r="C55" s="9" t="str">
        <x:v>CRC-E06</x:v>
      </x:c>
      <x:c r="D55" s="9" t="str">
        <x:v>A2</x:v>
      </x:c>
      <x:c r="E55" s="9" t="str">
        <x:v>ROOT_A</x:v>
      </x:c>
      <x:c r="F55" s="9" t="str">
        <x:v>ARSENAL_2</x:v>
      </x:c>
      <x:c r="G55" s="9" t="str">
        <x:v>SANITARY_LABS</x:v>
      </x:c>
      <x:c r="H55" s="9" t="n">
        <x:v>1</x:v>
      </x:c>
      <x:c r="I55" s="9" t="n">
        <x:v>0</x:v>
      </x:c>
      <x:c r="J55" s="9" t="n">
        <x:v>0</x:v>
      </x:c>
      <x:c r="K55" s="9" t="n">
        <x:v>0</x:v>
      </x:c>
      <x:c r="L55" s="9" t="n">
        <x:v>1</x:v>
      </x:c>
      <x:c r="M55" s="9" t="str">
        <x:v>HOLD</x:v>
      </x:c>
    </x:row>
    <x:row r="56">
      <x:c r="B56" s="9" t="str">
        <x:v>CRC-E06-05</x:v>
      </x:c>
      <x:c r="C56" s="9" t="str">
        <x:v>CRC-E06</x:v>
      </x:c>
      <x:c r="D56" s="9" t="str">
        <x:v>A2</x:v>
      </x:c>
      <x:c r="E56" s="9" t="str">
        <x:v>ROOT_A</x:v>
      </x:c>
      <x:c r="F56" s="9" t="str">
        <x:v>ARSENAL_2</x:v>
      </x:c>
      <x:c r="G56" s="9" t="str">
        <x:v>FORENSIC_LINE</x:v>
      </x:c>
      <x:c r="H56" s="9" t="n">
        <x:v>1</x:v>
      </x:c>
      <x:c r="I56" s="9" t="n">
        <x:v>0</x:v>
      </x:c>
      <x:c r="J56" s="9" t="n">
        <x:v>0</x:v>
      </x:c>
      <x:c r="K56" s="9" t="n">
        <x:v>0</x:v>
      </x:c>
      <x:c r="L56" s="9" t="n">
        <x:v>1</x:v>
      </x:c>
      <x:c r="M56" s="9" t="str">
        <x:v>HOLD</x:v>
      </x:c>
    </x:row>
    <x:row r="57">
      <x:c r="B57" s="9" t="str">
        <x:v>CRC-E06-06</x:v>
      </x:c>
      <x:c r="C57" s="9" t="str">
        <x:v>CRC-E06</x:v>
      </x:c>
      <x:c r="D57" s="9" t="str">
        <x:v>A2</x:v>
      </x:c>
      <x:c r="E57" s="9" t="str">
        <x:v>ROOT_A</x:v>
      </x:c>
      <x:c r="F57" s="9" t="str">
        <x:v>ARSENAL_2</x:v>
      </x:c>
      <x:c r="G57" s="9" t="str">
        <x:v>METROLOGY</x:v>
      </x:c>
      <x:c r="H57" s="9" t="n">
        <x:v>1</x:v>
      </x:c>
      <x:c r="I57" s="9" t="n">
        <x:v>0</x:v>
      </x:c>
      <x:c r="J57" s="9" t="n">
        <x:v>0</x:v>
      </x:c>
      <x:c r="K57" s="9" t="n">
        <x:v>0</x:v>
      </x:c>
      <x:c r="L57" s="9" t="n">
        <x:v>1</x:v>
      </x:c>
      <x:c r="M57" s="9" t="str">
        <x:v>HOLD</x:v>
      </x:c>
    </x:row>
    <x:row r="58">
      <x:c r="B58" s="9" t="str">
        <x:v>CRC-E06-07</x:v>
      </x:c>
      <x:c r="C58" s="9" t="str">
        <x:v>CRC-E06</x:v>
      </x:c>
      <x:c r="D58" s="9" t="str">
        <x:v>A2</x:v>
      </x:c>
      <x:c r="E58" s="9" t="str">
        <x:v>ROOT_A</x:v>
      </x:c>
      <x:c r="F58" s="9" t="str">
        <x:v>ARSENAL_2</x:v>
      </x:c>
      <x:c r="G58" s="9" t="str">
        <x:v>EVIDENCE_REPLAY</x:v>
      </x:c>
      <x:c r="H58" s="9" t="n">
        <x:v>1</x:v>
      </x:c>
      <x:c r="I58" s="9" t="n">
        <x:v>0</x:v>
      </x:c>
      <x:c r="J58" s="9" t="n">
        <x:v>0</x:v>
      </x:c>
      <x:c r="K58" s="9" t="n">
        <x:v>0</x:v>
      </x:c>
      <x:c r="L58" s="9" t="n">
        <x:v>1</x:v>
      </x:c>
      <x:c r="M58" s="9" t="str">
        <x:v>HOLD</x:v>
      </x:c>
    </x:row>
    <x:row r="59">
      <x:c r="B59" s="9" t="str">
        <x:v>CRC-E06-08</x:v>
      </x:c>
      <x:c r="C59" s="9" t="str">
        <x:v>CRC-E06</x:v>
      </x:c>
      <x:c r="D59" s="9" t="str">
        <x:v>A2</x:v>
      </x:c>
      <x:c r="E59" s="9" t="str">
        <x:v>ROOT_A</x:v>
      </x:c>
      <x:c r="F59" s="9" t="str">
        <x:v>ARSENAL_2</x:v>
      </x:c>
      <x:c r="G59" s="9" t="str">
        <x:v>BLIND_SHOP</x:v>
      </x:c>
      <x:c r="H59" s="9" t="n">
        <x:v>1</x:v>
      </x:c>
      <x:c r="I59" s="9" t="n">
        <x:v>0</x:v>
      </x:c>
      <x:c r="J59" s="9" t="n">
        <x:v>0</x:v>
      </x:c>
      <x:c r="K59" s="9" t="n">
        <x:v>0</x:v>
      </x:c>
      <x:c r="L59" s="9" t="n">
        <x:v>1</x:v>
      </x:c>
      <x:c r="M59" s="9" t="str">
        <x:v>HOLD</x:v>
      </x:c>
    </x:row>
    <x:row r="60">
      <x:c r="B60" s="10" t="str">
        <x:v>CRC-E06-09</x:v>
      </x:c>
      <x:c r="C60" s="10" t="str">
        <x:v>CRC-E06</x:v>
      </x:c>
      <x:c r="D60" s="10" t="str">
        <x:v>A2</x:v>
      </x:c>
      <x:c r="E60" s="10" t="str">
        <x:v>ROOT_A</x:v>
      </x:c>
      <x:c r="F60" s="10" t="str">
        <x:v>ARSENAL_2</x:v>
      </x:c>
      <x:c r="G60" s="10" t="str">
        <x:v>SITE_CUSTODY</x:v>
      </x:c>
      <x:c r="H60" s="10" t="n">
        <x:v>1</x:v>
      </x:c>
      <x:c r="I60" s="10" t="n">
        <x:v>0</x:v>
      </x:c>
      <x:c r="J60" s="10" t="n">
        <x:v>0</x:v>
      </x:c>
      <x:c r="K60" s="10" t="n">
        <x:v>0</x:v>
      </x:c>
      <x:c r="L60" s="10" t="n">
        <x:v>1</x:v>
      </x:c>
      <x:c r="M60" s="10" t="str">
        <x:v>HOLD</x:v>
      </x:c>
    </x:row>
  </x:sheetData>
  <x:mergeCells>
    <x:mergeCell ref="B2:M2"/>
    <x:mergeCell ref="B3:M3"/>
  </x:mergeCells>
  <x:conditionalFormatting sqref="M7:M60">
    <x:cfRule type="containsText" dxfId="120" priority="1" operator="containsText" text="PASS"/>
    <x:cfRule type="containsText" dxfId="121" priority="2" operator="containsText" text="SELECT"/>
    <x:cfRule type="containsText" dxfId="122" priority="3" operator="containsText" text="AUTHORIZED"/>
    <x:cfRule type="containsText" dxfId="123" priority="4" operator="containsText" text="ADMITTED"/>
    <x:cfRule type="containsText" dxfId="124" priority="5" operator="containsText" text="READY"/>
    <x:cfRule type="containsText" dxfId="125" priority="6" operator="containsText" text="HOLD"/>
    <x:cfRule type="containsText" dxfId="126" priority="7" operator="containsText" text="OPEN"/>
    <x:cfRule type="containsText" dxfId="127" priority="8" operator="containsText" text="SAFE_STOP"/>
    <x:cfRule type="containsText" dxfId="128" priority="9" operator="containsText" text="BLOCKED"/>
    <x:cfRule type="containsText" dxfId="129" priority="10" operator="containsText" text="PLANNING"/>
    <x:cfRule type="containsText" dxfId="130" priority="11" operator="containsText" text="FAIL"/>
    <x:cfRule type="containsText" dxfId="131" priority="12" operator="containsText" text="REJECT"/>
    <x:cfRule type="containsText" dxfId="132" priority="13" operator="containsText" text="LATE"/>
    <x:cfRule type="containsText" dxfId="133" priority="14" operator="containsText" text="INCOMPLETE"/>
    <x:cfRule type="containsText" dxfId="134" priority="15" operator="containsText" text="INDETERMINAT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9" hidden="0" customWidth="1"/>
    <x:col min="4" max="4" width="18" hidden="0" customWidth="1"/>
    <x:col min="5" max="5" width="22" hidden="0" customWidth="1"/>
    <x:col min="6" max="6" width="21" hidden="0" customWidth="1"/>
    <x:col min="7" max="7" width="21" hidden="0" customWidth="1"/>
    <x:col min="8" max="8" width="19" hidden="0" customWidth="1"/>
    <x:col min="9" max="9" width="18" hidden="0" customWidth="1"/>
    <x:col min="10" max="10" width="17" hidden="0" customWidth="1"/>
    <x:col min="11" max="11" width="22" hidden="0" customWidth="1"/>
    <x:col min="12" max="12" width="25" hidden="0" customWidth="1"/>
    <x:col min="13" max="13" width="18" hidden="0" customWidth="1"/>
    <x:col min="14" max="14" width="18" hidden="0" customWidth="1"/>
  </x:cols>
  <x:sheetData>
    <x:row r="2">
      <x:c r="B2" s="1" t="str">
        <x:v>Exercise and alert workforce rotation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</x:row>
    <x:row r="3">
      <x:c r="B3" s="2" t="str">
        <x:v>Unique line, commissioning and affiliate formations protect real readiness while one rotation exercises.</x:v>
      </x:c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</x:row>
    <x:row r="6">
      <x:c r="B6" s="7" t="str">
        <x:v>Formation</x:v>
      </x:c>
      <x:c r="C6" s="7" t="str">
        <x:v>Type</x:v>
      </x:c>
      <x:c r="D6" s="7" t="str">
        <x:v>Quantity</x:v>
      </x:c>
      <x:c r="E6" s="7" t="str">
        <x:v>People per unit</x:v>
      </x:c>
      <x:c r="F6" s="7" t="str">
        <x:v>Total people</x:v>
      </x:c>
      <x:c r="G6" s="36"/>
      <x:c r="H6" s="36"/>
      <x:c r="I6" s="36"/>
      <x:c r="J6" s="36"/>
      <x:c r="K6" s="36"/>
      <x:c r="L6" s="36"/>
      <x:c r="M6" s="36"/>
      <x:c r="N6" s="36"/>
    </x:row>
    <x:row r="7">
      <x:c r="B7" s="9" t="str">
        <x:v>CRG-A</x:v>
      </x:c>
      <x:c r="C7" s="9" t="str">
        <x:v>LINE_GROUP</x:v>
      </x:c>
      <x:c r="D7" s="9" t="n">
        <x:v>1</x:v>
      </x:c>
      <x:c r="E7" s="9" t="n">
        <x:v>300</x:v>
      </x:c>
      <x:c r="F7" s="9" t="n">
        <x:f>D7*E7</x:f>
        <x:v>300</x:v>
      </x:c>
      <x:c r="G7" s="36"/>
      <x:c r="H7" s="36"/>
      <x:c r="I7" s="36"/>
      <x:c r="J7" s="36"/>
      <x:c r="K7" s="36"/>
      <x:c r="L7" s="36"/>
      <x:c r="M7" s="36"/>
      <x:c r="N7" s="36"/>
    </x:row>
    <x:row r="8">
      <x:c r="B8" s="9" t="str">
        <x:v>CRG-B</x:v>
      </x:c>
      <x:c r="C8" s="9" t="str">
        <x:v>LINE_GROUP</x:v>
      </x:c>
      <x:c r="D8" s="9" t="n">
        <x:v>1</x:v>
      </x:c>
      <x:c r="E8" s="9" t="n">
        <x:v>300</x:v>
      </x:c>
      <x:c r="F8" s="9" t="n">
        <x:f>D8*E8</x:f>
        <x:v>300</x:v>
      </x:c>
      <x:c r="G8" s="36"/>
      <x:c r="H8" s="36"/>
      <x:c r="I8" s="36"/>
      <x:c r="J8" s="36"/>
      <x:c r="K8" s="36"/>
      <x:c r="L8" s="36"/>
      <x:c r="M8" s="36"/>
      <x:c r="N8" s="36"/>
    </x:row>
    <x:row r="9">
      <x:c r="B9" s="9" t="str">
        <x:v>ICCA-1</x:v>
      </x:c>
      <x:c r="C9" s="9" t="str">
        <x:v>COMMISSION_TEAM</x:v>
      </x:c>
      <x:c r="D9" s="9" t="n">
        <x:v>1</x:v>
      </x:c>
      <x:c r="E9" s="9" t="n">
        <x:v>60</x:v>
      </x:c>
      <x:c r="F9" s="9" t="n">
        <x:f>D9*E9</x:f>
        <x:v>60</x:v>
      </x:c>
      <x:c r="G9" s="36"/>
      <x:c r="H9" s="36"/>
      <x:c r="I9" s="36"/>
      <x:c r="J9" s="36"/>
      <x:c r="K9" s="36"/>
      <x:c r="L9" s="36"/>
      <x:c r="M9" s="36"/>
      <x:c r="N9" s="36"/>
    </x:row>
    <x:row r="10">
      <x:c r="B10" s="9" t="str">
        <x:v>ICCA-2</x:v>
      </x:c>
      <x:c r="C10" s="9" t="str">
        <x:v>COMMISSION_TEAM</x:v>
      </x:c>
      <x:c r="D10" s="9" t="n">
        <x:v>1</x:v>
      </x:c>
      <x:c r="E10" s="9" t="n">
        <x:v>60</x:v>
      </x:c>
      <x:c r="F10" s="9" t="n">
        <x:f>D10*E10</x:f>
        <x:v>60</x:v>
      </x:c>
      <x:c r="G10" s="36"/>
      <x:c r="H10" s="36"/>
      <x:c r="I10" s="36"/>
      <x:c r="J10" s="36"/>
      <x:c r="K10" s="36"/>
      <x:c r="L10" s="36"/>
      <x:c r="M10" s="36"/>
      <x:c r="N10" s="36"/>
    </x:row>
    <x:row r="11">
      <x:c r="B11" s="9" t="str">
        <x:v>AFP-A</x:v>
      </x:c>
      <x:c r="C11" s="9" t="str">
        <x:v>AFFILIATE_POOL</x:v>
      </x:c>
      <x:c r="D11" s="9" t="n">
        <x:v>1</x:v>
      </x:c>
      <x:c r="E11" s="9" t="n">
        <x:v>1400</x:v>
      </x:c>
      <x:c r="F11" s="9" t="n">
        <x:f>D11*E11</x:f>
        <x:v>1400</x:v>
      </x:c>
      <x:c r="G11" s="36"/>
      <x:c r="H11" s="36"/>
      <x:c r="I11" s="36"/>
      <x:c r="J11" s="36"/>
      <x:c r="K11" s="36"/>
      <x:c r="L11" s="36"/>
      <x:c r="M11" s="36"/>
      <x:c r="N11" s="36"/>
    </x:row>
    <x:row r="12">
      <x:c r="B12" s="10" t="str">
        <x:v>AFP-B</x:v>
      </x:c>
      <x:c r="C12" s="10" t="str">
        <x:v>AFFILIATE_POOL</x:v>
      </x:c>
      <x:c r="D12" s="10" t="n">
        <x:v>1</x:v>
      </x:c>
      <x:c r="E12" s="10" t="n">
        <x:v>1400</x:v>
      </x:c>
      <x:c r="F12" s="10" t="n">
        <x:f>D12*E12</x:f>
        <x:v>1400</x:v>
      </x:c>
      <x:c r="G12" s="36"/>
      <x:c r="H12" s="36"/>
      <x:c r="I12" s="36"/>
      <x:c r="J12" s="36"/>
      <x:c r="K12" s="36"/>
      <x:c r="L12" s="36"/>
      <x:c r="M12" s="36"/>
      <x:c r="N12" s="36"/>
    </x:row>
    <x:row r="13"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</x:row>
    <x:row r="14"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</x:row>
    <x:row r="15"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</x:row>
    <x:row r="16">
      <x:c r="B16" s="25" t="str">
        <x:v>Per-event rotation</x:v>
      </x:c>
      <x:c r="C16" s="26" t="str">
        <x:v>Per-event rotation</x:v>
      </x:c>
      <x:c r="D16" s="26" t="str">
        <x:v>Per-event rotation</x:v>
      </x:c>
      <x:c r="E16" s="26" t="str">
        <x:v>Per-event rotation</x:v>
      </x:c>
      <x:c r="F16" s="26" t="str">
        <x:v>Per-event rotation</x:v>
      </x:c>
      <x:c r="G16" s="26" t="str">
        <x:v>Per-event rotation</x:v>
      </x:c>
      <x:c r="H16" s="26" t="str">
        <x:v>Per-event rotation</x:v>
      </x:c>
      <x:c r="I16" s="26" t="str">
        <x:v>Per-event rotation</x:v>
      </x:c>
      <x:c r="J16" s="26" t="str">
        <x:v>Per-event rotation</x:v>
      </x:c>
      <x:c r="K16" s="26" t="str">
        <x:v>Per-event rotation</x:v>
      </x:c>
      <x:c r="L16" s="26" t="str">
        <x:v>Per-event rotation</x:v>
      </x:c>
      <x:c r="M16" s="26" t="str">
        <x:v>Per-event rotation</x:v>
      </x:c>
      <x:c r="N16" s="27" t="str">
        <x:v>Per-event rotation</x:v>
      </x:c>
    </x:row>
    <x:row r="17">
      <x:c r="B17" s="7" t="str">
        <x:v>Event</x:v>
      </x:c>
      <x:c r="C17" s="7" t="str">
        <x:v>Exercise line</x:v>
      </x:c>
      <x:c r="D17" s="7" t="str">
        <x:v>Alert line</x:v>
      </x:c>
      <x:c r="E17" s="7" t="str">
        <x:v>Exercise commission</x:v>
      </x:c>
      <x:c r="F17" s="7" t="str">
        <x:v>Alert commission</x:v>
      </x:c>
      <x:c r="G17" s="7" t="str">
        <x:v>Exercise affiliates</x:v>
      </x:c>
      <x:c r="H17" s="7" t="str">
        <x:v>Alert affiliates</x:v>
      </x:c>
      <x:c r="I17" s="7" t="str">
        <x:v>Exercise public</x:v>
      </x:c>
      <x:c r="J17" s="7" t="str">
        <x:v>Alert public</x:v>
      </x:c>
      <x:c r="K17" s="7" t="str">
        <x:v>Alert affiliates count</x:v>
      </x:c>
      <x:c r="L17" s="7" t="str">
        <x:v>Operating-campus borrowed</x:v>
      </x:c>
      <x:c r="M17" s="7" t="str">
        <x:v>Planning gate</x:v>
      </x:c>
      <x:c r="N17" s="7" t="str">
        <x:v>Physical roster</x:v>
      </x:c>
    </x:row>
    <x:row r="18">
      <x:c r="B18" s="9" t="str">
        <x:v>CRC-E01</x:v>
      </x:c>
      <x:c r="C18" s="9" t="str">
        <x:v>CRG-A</x:v>
      </x:c>
      <x:c r="D18" s="9" t="str">
        <x:v>CRG-B</x:v>
      </x:c>
      <x:c r="E18" s="9" t="str">
        <x:v>ICCA-1</x:v>
      </x:c>
      <x:c r="F18" s="9" t="str">
        <x:v>ICCA-2</x:v>
      </x:c>
      <x:c r="G18" s="9" t="str">
        <x:v>AFP-A</x:v>
      </x:c>
      <x:c r="H18" s="9" t="str">
        <x:v>AFP-B</x:v>
      </x:c>
      <x:c r="I18" s="9" t="n">
        <x:v>360</x:v>
      </x:c>
      <x:c r="J18" s="9" t="n">
        <x:v>360</x:v>
      </x:c>
      <x:c r="K18" s="9" t="n">
        <x:v>1400</x:v>
      </x:c>
      <x:c r="L18" s="9" t="n">
        <x:v>0</x:v>
      </x:c>
      <x:c r="M18" s="9" t="str">
        <x:f>IF(AND(C18&lt;&gt;D18,E18&lt;&gt;F18,G18&lt;&gt;H18,I18=360,J18=360,K18=1400,L18=0),"PASS","FAIL")</x:f>
        <x:v>PASS</x:v>
      </x:c>
      <x:c r="N18" s="9" t="str">
        <x:v>OPEN</x:v>
      </x:c>
    </x:row>
    <x:row r="19">
      <x:c r="B19" s="9" t="str">
        <x:v>CRC-E02</x:v>
      </x:c>
      <x:c r="C19" s="9" t="str">
        <x:v>CRG-B</x:v>
      </x:c>
      <x:c r="D19" s="9" t="str">
        <x:v>CRG-A</x:v>
      </x:c>
      <x:c r="E19" s="9" t="str">
        <x:v>ICCA-2</x:v>
      </x:c>
      <x:c r="F19" s="9" t="str">
        <x:v>ICCA-1</x:v>
      </x:c>
      <x:c r="G19" s="9" t="str">
        <x:v>AFP-B</x:v>
      </x:c>
      <x:c r="H19" s="9" t="str">
        <x:v>AFP-A</x:v>
      </x:c>
      <x:c r="I19" s="9" t="n">
        <x:v>360</x:v>
      </x:c>
      <x:c r="J19" s="9" t="n">
        <x:v>360</x:v>
      </x:c>
      <x:c r="K19" s="9" t="n">
        <x:v>1400</x:v>
      </x:c>
      <x:c r="L19" s="9" t="n">
        <x:v>0</x:v>
      </x:c>
      <x:c r="M19" s="9" t="str">
        <x:f>IF(AND(C19&lt;&gt;D19,E19&lt;&gt;F19,G19&lt;&gt;H19,I19=360,J19=360,K19=1400,L19=0),"PASS","FAIL")</x:f>
        <x:v>PASS</x:v>
      </x:c>
      <x:c r="N19" s="9" t="str">
        <x:v>OPEN</x:v>
      </x:c>
    </x:row>
    <x:row r="20">
      <x:c r="B20" s="9" t="str">
        <x:v>CRC-E03</x:v>
      </x:c>
      <x:c r="C20" s="9" t="str">
        <x:v>CRG-A</x:v>
      </x:c>
      <x:c r="D20" s="9" t="str">
        <x:v>CRG-B</x:v>
      </x:c>
      <x:c r="E20" s="9" t="str">
        <x:v>ICCA-1</x:v>
      </x:c>
      <x:c r="F20" s="9" t="str">
        <x:v>ICCA-2</x:v>
      </x:c>
      <x:c r="G20" s="9" t="str">
        <x:v>AFP-A</x:v>
      </x:c>
      <x:c r="H20" s="9" t="str">
        <x:v>AFP-B</x:v>
      </x:c>
      <x:c r="I20" s="9" t="n">
        <x:v>360</x:v>
      </x:c>
      <x:c r="J20" s="9" t="n">
        <x:v>360</x:v>
      </x:c>
      <x:c r="K20" s="9" t="n">
        <x:v>1400</x:v>
      </x:c>
      <x:c r="L20" s="9" t="n">
        <x:v>0</x:v>
      </x:c>
      <x:c r="M20" s="9" t="str">
        <x:f>IF(AND(C20&lt;&gt;D20,E20&lt;&gt;F20,G20&lt;&gt;H20,I20=360,J20=360,K20=1400,L20=0),"PASS","FAIL")</x:f>
        <x:v>PASS</x:v>
      </x:c>
      <x:c r="N20" s="9" t="str">
        <x:v>OPEN</x:v>
      </x:c>
    </x:row>
    <x:row r="21">
      <x:c r="B21" s="9" t="str">
        <x:v>CRC-E04</x:v>
      </x:c>
      <x:c r="C21" s="9" t="str">
        <x:v>CRG-B</x:v>
      </x:c>
      <x:c r="D21" s="9" t="str">
        <x:v>CRG-A</x:v>
      </x:c>
      <x:c r="E21" s="9" t="str">
        <x:v>ICCA-2</x:v>
      </x:c>
      <x:c r="F21" s="9" t="str">
        <x:v>ICCA-1</x:v>
      </x:c>
      <x:c r="G21" s="9" t="str">
        <x:v>AFP-B</x:v>
      </x:c>
      <x:c r="H21" s="9" t="str">
        <x:v>AFP-A</x:v>
      </x:c>
      <x:c r="I21" s="9" t="n">
        <x:v>360</x:v>
      </x:c>
      <x:c r="J21" s="9" t="n">
        <x:v>360</x:v>
      </x:c>
      <x:c r="K21" s="9" t="n">
        <x:v>1400</x:v>
      </x:c>
      <x:c r="L21" s="9" t="n">
        <x:v>0</x:v>
      </x:c>
      <x:c r="M21" s="9" t="str">
        <x:f>IF(AND(C21&lt;&gt;D21,E21&lt;&gt;F21,G21&lt;&gt;H21,I21=360,J21=360,K21=1400,L21=0),"PASS","FAIL")</x:f>
        <x:v>PASS</x:v>
      </x:c>
      <x:c r="N21" s="9" t="str">
        <x:v>OPEN</x:v>
      </x:c>
    </x:row>
    <x:row r="22">
      <x:c r="B22" s="9" t="str">
        <x:v>CRC-E05</x:v>
      </x:c>
      <x:c r="C22" s="9" t="str">
        <x:v>CRG-A</x:v>
      </x:c>
      <x:c r="D22" s="9" t="str">
        <x:v>CRG-B</x:v>
      </x:c>
      <x:c r="E22" s="9" t="str">
        <x:v>ICCA-1</x:v>
      </x:c>
      <x:c r="F22" s="9" t="str">
        <x:v>ICCA-2</x:v>
      </x:c>
      <x:c r="G22" s="9" t="str">
        <x:v>AFP-A</x:v>
      </x:c>
      <x:c r="H22" s="9" t="str">
        <x:v>AFP-B</x:v>
      </x:c>
      <x:c r="I22" s="9" t="n">
        <x:v>360</x:v>
      </x:c>
      <x:c r="J22" s="9" t="n">
        <x:v>360</x:v>
      </x:c>
      <x:c r="K22" s="9" t="n">
        <x:v>1400</x:v>
      </x:c>
      <x:c r="L22" s="9" t="n">
        <x:v>0</x:v>
      </x:c>
      <x:c r="M22" s="9" t="str">
        <x:f>IF(AND(C22&lt;&gt;D22,E22&lt;&gt;F22,G22&lt;&gt;H22,I22=360,J22=360,K22=1400,L22=0),"PASS","FAIL")</x:f>
        <x:v>PASS</x:v>
      </x:c>
      <x:c r="N22" s="9" t="str">
        <x:v>OPEN</x:v>
      </x:c>
    </x:row>
    <x:row r="23">
      <x:c r="B23" s="10" t="str">
        <x:v>CRC-E06</x:v>
      </x:c>
      <x:c r="C23" s="10" t="str">
        <x:v>CRG-B</x:v>
      </x:c>
      <x:c r="D23" s="10" t="str">
        <x:v>CRG-A</x:v>
      </x:c>
      <x:c r="E23" s="10" t="str">
        <x:v>ICCA-2</x:v>
      </x:c>
      <x:c r="F23" s="10" t="str">
        <x:v>ICCA-1</x:v>
      </x:c>
      <x:c r="G23" s="10" t="str">
        <x:v>AFP-B</x:v>
      </x:c>
      <x:c r="H23" s="10" t="str">
        <x:v>AFP-A</x:v>
      </x:c>
      <x:c r="I23" s="10" t="n">
        <x:v>360</x:v>
      </x:c>
      <x:c r="J23" s="10" t="n">
        <x:v>360</x:v>
      </x:c>
      <x:c r="K23" s="10" t="n">
        <x:v>1400</x:v>
      </x:c>
      <x:c r="L23" s="10" t="n">
        <x:v>0</x:v>
      </x:c>
      <x:c r="M23" s="10" t="str">
        <x:f>IF(AND(C23&lt;&gt;D23,E23&lt;&gt;F23,G23&lt;&gt;H23,I23=360,J23=360,K23=1400,L23=0),"PASS","FAIL")</x:f>
        <x:v>PASS</x:v>
      </x:c>
      <x:c r="N23" s="10" t="str">
        <x:v>OPEN</x:v>
      </x:c>
    </x:row>
    <x:row r="24"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</x:row>
    <x:row r="25"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</x:row>
    <x:row r="26"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</x:row>
    <x:row r="27">
      <x:c r="B27" s="25" t="str">
        <x:v>Force totals</x:v>
      </x:c>
      <x:c r="C27" s="26" t="str">
        <x:v>Force totals</x:v>
      </x:c>
      <x:c r="D27" s="26" t="str">
        <x:v>Force totals</x:v>
      </x:c>
      <x:c r="E27" s="26" t="str">
        <x:v>Force totals</x:v>
      </x:c>
      <x:c r="F27" s="26" t="str">
        <x:v>Force totals</x:v>
      </x:c>
      <x:c r="G27" s="26" t="str">
        <x:v>Force totals</x:v>
      </x:c>
      <x:c r="H27" s="26" t="str">
        <x:v>Force totals</x:v>
      </x:c>
      <x:c r="I27" s="26" t="str">
        <x:v>Force totals</x:v>
      </x:c>
      <x:c r="J27" s="26" t="str">
        <x:v>Force totals</x:v>
      </x:c>
      <x:c r="K27" s="26" t="str">
        <x:v>Force totals</x:v>
      </x:c>
      <x:c r="L27" s="26" t="str">
        <x:v>Force totals</x:v>
      </x:c>
      <x:c r="M27" s="26" t="str">
        <x:v>Force totals</x:v>
      </x:c>
      <x:c r="N27" s="27" t="str">
        <x:v>Force totals</x:v>
      </x:c>
    </x:row>
    <x:row r="28">
      <x:c r="B28" s="36" t="str">
        <x:v>Public line billets</x:v>
      </x:c>
      <x:c r="C28" s="36"/>
      <x:c r="D28" s="36" t="n">
        <x:f>SUMIFS(F7:F12,C7:C12,"LINE_GROUP")</x:f>
        <x:v>600</x:v>
      </x:c>
      <x:c r="E28" s="36" t="str">
        <x:f>IF(D28='Controls'!$D$16*'Controls'!$D$17,"PASS","FAIL")</x:f>
        <x:v>PASS</x:v>
      </x:c>
      <x:c r="F28" s="36"/>
      <x:c r="G28" s="36"/>
      <x:c r="H28" s="36"/>
      <x:c r="I28" s="36"/>
      <x:c r="J28" s="36"/>
      <x:c r="K28" s="36"/>
      <x:c r="L28" s="36"/>
      <x:c r="M28" s="36"/>
      <x:c r="N28" s="36"/>
    </x:row>
    <x:row r="29">
      <x:c r="B29" s="36" t="str">
        <x:v>Independent commissioning billets</x:v>
      </x:c>
      <x:c r="C29" s="36"/>
      <x:c r="D29" s="36" t="n">
        <x:f>SUMIFS(F7:F12,C7:C12,"COMMISSION_TEAM")</x:f>
        <x:v>120</x:v>
      </x:c>
      <x:c r="E29" s="36" t="str">
        <x:f>IF(D29='Controls'!$D$18*'Controls'!$D$19,"PASS","FAIL")</x:f>
        <x:v>PASS</x:v>
      </x:c>
      <x:c r="F29" s="36"/>
      <x:c r="G29" s="36"/>
      <x:c r="H29" s="36"/>
      <x:c r="I29" s="36"/>
      <x:c r="J29" s="36"/>
      <x:c r="K29" s="36"/>
      <x:c r="L29" s="36"/>
      <x:c r="M29" s="36"/>
      <x:c r="N29" s="36"/>
    </x:row>
    <x:row r="30">
      <x:c r="B30" s="36" t="str">
        <x:v>Total public people</x:v>
      </x:c>
      <x:c r="C30" s="36"/>
      <x:c r="D30" s="36" t="n">
        <x:f>D28+D29</x:f>
        <x:v>720</x:v>
      </x:c>
      <x:c r="E30" s="36" t="str">
        <x:f>IF(D30='Controls'!$D$20,"PASS","FAIL")</x:f>
        <x:v>PASS</x:v>
      </x:c>
      <x:c r="F30" s="36"/>
      <x:c r="G30" s="36"/>
      <x:c r="H30" s="36"/>
      <x:c r="I30" s="36"/>
      <x:c r="J30" s="36"/>
      <x:c r="K30" s="36"/>
      <x:c r="L30" s="36"/>
      <x:c r="M30" s="36"/>
      <x:c r="N30" s="36"/>
    </x:row>
    <x:row r="31">
      <x:c r="B31" s="36" t="str">
        <x:v>Total affiliates</x:v>
      </x:c>
      <x:c r="C31" s="36"/>
      <x:c r="D31" s="36" t="n">
        <x:f>SUMIFS(F7:F12,C7:C12,"AFFILIATE_POOL")</x:f>
        <x:v>2800</x:v>
      </x:c>
      <x:c r="E31" s="36" t="str">
        <x:f>IF(D31='Controls'!$D$23,"PASS","FAIL")</x:f>
        <x:v>PASS</x:v>
      </x:c>
      <x:c r="F31" s="36"/>
      <x:c r="G31" s="36"/>
      <x:c r="H31" s="36"/>
      <x:c r="I31" s="36"/>
      <x:c r="J31" s="36"/>
      <x:c r="K31" s="36"/>
      <x:c r="L31" s="36"/>
      <x:c r="M31" s="36"/>
      <x:c r="N31" s="36"/>
    </x:row>
  </x:sheetData>
  <x:mergeCells>
    <x:mergeCell ref="B2:N2"/>
    <x:mergeCell ref="B3:N3"/>
    <x:mergeCell ref="B16:N16"/>
    <x:mergeCell ref="B27:N27"/>
  </x:mergeCells>
  <x:conditionalFormatting sqref="M18:N23">
    <x:cfRule type="containsText" dxfId="135" priority="1" operator="containsText" text="PASS"/>
    <x:cfRule type="containsText" dxfId="136" priority="2" operator="containsText" text="SELECT"/>
    <x:cfRule type="containsText" dxfId="137" priority="3" operator="containsText" text="AUTHORIZED"/>
    <x:cfRule type="containsText" dxfId="138" priority="4" operator="containsText" text="ADMITTED"/>
    <x:cfRule type="containsText" dxfId="139" priority="5" operator="containsText" text="READY"/>
    <x:cfRule type="containsText" dxfId="140" priority="6" operator="containsText" text="HOLD"/>
    <x:cfRule type="containsText" dxfId="141" priority="7" operator="containsText" text="OPEN"/>
    <x:cfRule type="containsText" dxfId="142" priority="8" operator="containsText" text="SAFE_STOP"/>
    <x:cfRule type="containsText" dxfId="143" priority="9" operator="containsText" text="BLOCKED"/>
    <x:cfRule type="containsText" dxfId="144" priority="10" operator="containsText" text="PLANNING"/>
    <x:cfRule type="containsText" dxfId="145" priority="11" operator="containsText" text="FAIL"/>
    <x:cfRule type="containsText" dxfId="146" priority="12" operator="containsText" text="REJECT"/>
    <x:cfRule type="containsText" dxfId="147" priority="13" operator="containsText" text="LATE"/>
    <x:cfRule type="containsText" dxfId="148" priority="14" operator="containsText" text="INCOMPLETE"/>
    <x:cfRule type="containsText" dxfId="149" priority="15" operator="containsText" text="INDETERMINATE"/>
  </x:conditionalFormatting>
  <x:conditionalFormatting sqref="E28:E31">
    <x:cfRule type="containsText" dxfId="150" priority="16" operator="containsText" text="PASS"/>
    <x:cfRule type="containsText" dxfId="151" priority="17" operator="containsText" text="SELECT"/>
    <x:cfRule type="containsText" dxfId="152" priority="18" operator="containsText" text="AUTHORIZED"/>
    <x:cfRule type="containsText" dxfId="153" priority="19" operator="containsText" text="ADMITTED"/>
    <x:cfRule type="containsText" dxfId="154" priority="20" operator="containsText" text="READY"/>
    <x:cfRule type="containsText" dxfId="155" priority="21" operator="containsText" text="HOLD"/>
    <x:cfRule type="containsText" dxfId="156" priority="22" operator="containsText" text="OPEN"/>
    <x:cfRule type="containsText" dxfId="157" priority="23" operator="containsText" text="SAFE_STOP"/>
    <x:cfRule type="containsText" dxfId="158" priority="24" operator="containsText" text="BLOCKED"/>
    <x:cfRule type="containsText" dxfId="159" priority="25" operator="containsText" text="PLANNING"/>
    <x:cfRule type="containsText" dxfId="160" priority="26" operator="containsText" text="FAIL"/>
    <x:cfRule type="containsText" dxfId="161" priority="27" operator="containsText" text="REJECT"/>
    <x:cfRule type="containsText" dxfId="162" priority="28" operator="containsText" text="LATE"/>
    <x:cfRule type="containsText" dxfId="163" priority="29" operator="containsText" text="INCOMPLETE"/>
    <x:cfRule type="containsText" dxfId="164" priority="30" operator="containsText" text="INDETERMINATE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21" hidden="0" customWidth="1"/>
    <x:col min="4" max="4" width="24" hidden="0" customWidth="1"/>
    <x:col min="5" max="5" width="19" hidden="0" customWidth="1"/>
    <x:col min="6" max="6" width="15" hidden="0" customWidth="1"/>
    <x:col min="7" max="7" width="15" hidden="0" customWidth="1"/>
    <x:col min="8" max="8" width="20" hidden="0" customWidth="1"/>
    <x:col min="9" max="9" width="19" hidden="0" customWidth="1"/>
    <x:col min="10" max="10" width="21" hidden="0" customWidth="1"/>
    <x:col min="11" max="11" width="16" hidden="0" customWidth="1"/>
    <x:col min="12" max="12" width="18" hidden="0" customWidth="1"/>
    <x:col min="13" max="13" width="20" hidden="0" customWidth="1"/>
    <x:col min="14" max="14" width="16" hidden="0" customWidth="1"/>
  </x:cols>
  <x:sheetData>
    <x:row r="2">
      <x:c r="B2" s="1" t="str">
        <x:v>Surviving-campus and alert-force protection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</x:row>
    <x:row r="3">
      <x:c r="B3" s="2" t="str">
        <x:v>The exercise receives zero labor, stations, references, utilities or reserve credit from the two active campuses.</x:v>
      </x:c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</x:row>
    <x:row r="6">
      <x:c r="B6" s="7" t="str">
        <x:v>Event</x:v>
      </x:c>
      <x:c r="C6" s="7" t="str">
        <x:v>Simulated lost campus</x:v>
      </x:c>
      <x:c r="D6" s="7" t="str">
        <x:v>Surviving campuses</x:v>
      </x:c>
      <x:c r="E6" s="7" t="str">
        <x:v>Public personnel</x:v>
      </x:c>
      <x:c r="F6" s="7" t="str">
        <x:v>Closure bays</x:v>
      </x:c>
      <x:c r="G6" s="7" t="str">
        <x:v>Damage cells</x:v>
      </x:c>
      <x:c r="H6" s="7" t="str">
        <x:v>Closure utilization</x:v>
      </x:c>
      <x:c r="I6" s="7" t="str">
        <x:v>Damage utilization</x:v>
      </x:c>
      <x:c r="J6" s="7" t="str">
        <x:v>Borrowed resources</x:v>
      </x:c>
      <x:c r="K6" s="7" t="str">
        <x:v>Alert public</x:v>
      </x:c>
      <x:c r="L6" s="7" t="str">
        <x:v>Alert affiliates</x:v>
      </x:c>
      <x:c r="M6" s="7" t="str">
        <x:v>Available shipsets</x:v>
      </x:c>
      <x:c r="N6" s="7" t="str">
        <x:v>Planning gate</x:v>
      </x:c>
    </x:row>
    <x:row r="7">
      <x:c r="B7" s="9" t="str">
        <x:v>CRC-E01</x:v>
      </x:c>
      <x:c r="C7" s="9" t="str">
        <x:v>NRC-A</x:v>
      </x:c>
      <x:c r="D7" s="9" t="str">
        <x:v>NRC-B + NRC-C</x:v>
      </x:c>
      <x:c r="E7" s="9" t="n">
        <x:v>820</x:v>
      </x:c>
      <x:c r="F7" s="9" t="n">
        <x:v>4</x:v>
      </x:c>
      <x:c r="G7" s="9" t="n">
        <x:v>4</x:v>
      </x:c>
      <x:c r="H7" s="20" t="n">
        <x:v>0.62</x:v>
      </x:c>
      <x:c r="I7" s="20" t="n">
        <x:v>0.64</x:v>
      </x:c>
      <x:c r="J7" s="9" t="n">
        <x:v>0</x:v>
      </x:c>
      <x:c r="K7" s="9" t="n">
        <x:v>360</x:v>
      </x:c>
      <x:c r="L7" s="9" t="n">
        <x:v>1400</x:v>
      </x:c>
      <x:c r="M7" s="9" t="n">
        <x:f>COUNTIFS(Shipsets!$C$7:$C$12,"&lt;&gt;"&amp;'Campaign Events'!E7,Shipsets!$D$7:$D$12,"&lt;&gt;"&amp;'Campaign Events'!F7,Shipsets!$B$7:$B$12,"&lt;&gt;"&amp;'Campaign Events'!G7,Shipsets!$E$7:$E$12,1)</x:f>
        <x:v>1</x:v>
      </x:c>
      <x:c r="N7" s="9" t="str">
        <x:f>IF(AND(E7='Controls'!$D$24,F7='Controls'!$D$25,G7='Controls'!$D$26,H7&lt;='Controls'!$D$29,I7&lt;='Controls'!$D$29,J7=0,K7=360,L7=1400,M7&gt;=1),"PASS","FAIL")</x:f>
        <x:v>PASS</x:v>
      </x:c>
    </x:row>
    <x:row r="8">
      <x:c r="B8" s="9" t="str">
        <x:v>CRC-E02</x:v>
      </x:c>
      <x:c r="C8" s="9" t="str">
        <x:v>NRC-B</x:v>
      </x:c>
      <x:c r="D8" s="9" t="str">
        <x:v>NRC-A + NRC-C</x:v>
      </x:c>
      <x:c r="E8" s="9" t="n">
        <x:v>820</x:v>
      </x:c>
      <x:c r="F8" s="9" t="n">
        <x:v>4</x:v>
      </x:c>
      <x:c r="G8" s="9" t="n">
        <x:v>4</x:v>
      </x:c>
      <x:c r="H8" s="20" t="n">
        <x:v>0.62</x:v>
      </x:c>
      <x:c r="I8" s="20" t="n">
        <x:v>0.64</x:v>
      </x:c>
      <x:c r="J8" s="9" t="n">
        <x:v>0</x:v>
      </x:c>
      <x:c r="K8" s="9" t="n">
        <x:v>360</x:v>
      </x:c>
      <x:c r="L8" s="9" t="n">
        <x:v>1400</x:v>
      </x:c>
      <x:c r="M8" s="9" t="n">
        <x:f>COUNTIFS(Shipsets!$C$7:$C$12,"&lt;&gt;"&amp;'Campaign Events'!E8,Shipsets!$D$7:$D$12,"&lt;&gt;"&amp;'Campaign Events'!F8,Shipsets!$B$7:$B$12,"&lt;&gt;"&amp;'Campaign Events'!G8,Shipsets!$E$7:$E$12,1)</x:f>
        <x:v>1</x:v>
      </x:c>
      <x:c r="N8" s="9" t="str">
        <x:f>IF(AND(E8='Controls'!$D$24,F8='Controls'!$D$25,G8='Controls'!$D$26,H8&lt;='Controls'!$D$29,I8&lt;='Controls'!$D$29,J8=0,K8=360,L8=1400,M8&gt;=1),"PASS","FAIL")</x:f>
        <x:v>PASS</x:v>
      </x:c>
    </x:row>
    <x:row r="9">
      <x:c r="B9" s="9" t="str">
        <x:v>CRC-E03</x:v>
      </x:c>
      <x:c r="C9" s="9" t="str">
        <x:v>NRC-C</x:v>
      </x:c>
      <x:c r="D9" s="9" t="str">
        <x:v>NRC-A + NRC-B</x:v>
      </x:c>
      <x:c r="E9" s="9" t="n">
        <x:v>820</x:v>
      </x:c>
      <x:c r="F9" s="9" t="n">
        <x:v>4</x:v>
      </x:c>
      <x:c r="G9" s="9" t="n">
        <x:v>4</x:v>
      </x:c>
      <x:c r="H9" s="20" t="n">
        <x:v>0.62</x:v>
      </x:c>
      <x:c r="I9" s="20" t="n">
        <x:v>0.64</x:v>
      </x:c>
      <x:c r="J9" s="9" t="n">
        <x:v>0</x:v>
      </x:c>
      <x:c r="K9" s="9" t="n">
        <x:v>360</x:v>
      </x:c>
      <x:c r="L9" s="9" t="n">
        <x:v>1400</x:v>
      </x:c>
      <x:c r="M9" s="9" t="n">
        <x:f>COUNTIFS(Shipsets!$C$7:$C$12,"&lt;&gt;"&amp;'Campaign Events'!E9,Shipsets!$D$7:$D$12,"&lt;&gt;"&amp;'Campaign Events'!F9,Shipsets!$B$7:$B$12,"&lt;&gt;"&amp;'Campaign Events'!G9,Shipsets!$E$7:$E$12,1)</x:f>
        <x:v>1</x:v>
      </x:c>
      <x:c r="N9" s="9" t="str">
        <x:f>IF(AND(E9='Controls'!$D$24,F9='Controls'!$D$25,G9='Controls'!$D$26,H9&lt;='Controls'!$D$29,I9&lt;='Controls'!$D$29,J9=0,K9=360,L9=1400,M9&gt;=1),"PASS","FAIL")</x:f>
        <x:v>PASS</x:v>
      </x:c>
    </x:row>
    <x:row r="10">
      <x:c r="B10" s="9" t="str">
        <x:v>CRC-E04</x:v>
      </x:c>
      <x:c r="C10" s="9" t="str">
        <x:v>NRC-A</x:v>
      </x:c>
      <x:c r="D10" s="9" t="str">
        <x:v>NRC-B + NRC-C</x:v>
      </x:c>
      <x:c r="E10" s="9" t="n">
        <x:v>820</x:v>
      </x:c>
      <x:c r="F10" s="9" t="n">
        <x:v>4</x:v>
      </x:c>
      <x:c r="G10" s="9" t="n">
        <x:v>4</x:v>
      </x:c>
      <x:c r="H10" s="20" t="n">
        <x:v>0.62</x:v>
      </x:c>
      <x:c r="I10" s="20" t="n">
        <x:v>0.64</x:v>
      </x:c>
      <x:c r="J10" s="9" t="n">
        <x:v>0</x:v>
      </x:c>
      <x:c r="K10" s="9" t="n">
        <x:v>360</x:v>
      </x:c>
      <x:c r="L10" s="9" t="n">
        <x:v>1400</x:v>
      </x:c>
      <x:c r="M10" s="9" t="n">
        <x:f>COUNTIFS(Shipsets!$C$7:$C$12,"&lt;&gt;"&amp;'Campaign Events'!E10,Shipsets!$D$7:$D$12,"&lt;&gt;"&amp;'Campaign Events'!F10,Shipsets!$B$7:$B$12,"&lt;&gt;"&amp;'Campaign Events'!G10,Shipsets!$E$7:$E$12,1)</x:f>
        <x:v>1</x:v>
      </x:c>
      <x:c r="N10" s="9" t="str">
        <x:f>IF(AND(E10='Controls'!$D$24,F10='Controls'!$D$25,G10='Controls'!$D$26,H10&lt;='Controls'!$D$29,I10&lt;='Controls'!$D$29,J10=0,K10=360,L10=1400,M10&gt;=1),"PASS","FAIL")</x:f>
        <x:v>PASS</x:v>
      </x:c>
    </x:row>
    <x:row r="11">
      <x:c r="B11" s="9" t="str">
        <x:v>CRC-E05</x:v>
      </x:c>
      <x:c r="C11" s="9" t="str">
        <x:v>NRC-B</x:v>
      </x:c>
      <x:c r="D11" s="9" t="str">
        <x:v>NRC-A + NRC-C</x:v>
      </x:c>
      <x:c r="E11" s="9" t="n">
        <x:v>820</x:v>
      </x:c>
      <x:c r="F11" s="9" t="n">
        <x:v>4</x:v>
      </x:c>
      <x:c r="G11" s="9" t="n">
        <x:v>4</x:v>
      </x:c>
      <x:c r="H11" s="20" t="n">
        <x:v>0.62</x:v>
      </x:c>
      <x:c r="I11" s="20" t="n">
        <x:v>0.64</x:v>
      </x:c>
      <x:c r="J11" s="9" t="n">
        <x:v>0</x:v>
      </x:c>
      <x:c r="K11" s="9" t="n">
        <x:v>360</x:v>
      </x:c>
      <x:c r="L11" s="9" t="n">
        <x:v>1400</x:v>
      </x:c>
      <x:c r="M11" s="9" t="n">
        <x:f>COUNTIFS(Shipsets!$C$7:$C$12,"&lt;&gt;"&amp;'Campaign Events'!E11,Shipsets!$D$7:$D$12,"&lt;&gt;"&amp;'Campaign Events'!F11,Shipsets!$B$7:$B$12,"&lt;&gt;"&amp;'Campaign Events'!G11,Shipsets!$E$7:$E$12,1)</x:f>
        <x:v>1</x:v>
      </x:c>
      <x:c r="N11" s="9" t="str">
        <x:f>IF(AND(E11='Controls'!$D$24,F11='Controls'!$D$25,G11='Controls'!$D$26,H11&lt;='Controls'!$D$29,I11&lt;='Controls'!$D$29,J11=0,K11=360,L11=1400,M11&gt;=1),"PASS","FAIL")</x:f>
        <x:v>PASS</x:v>
      </x:c>
    </x:row>
    <x:row r="12">
      <x:c r="B12" s="10" t="str">
        <x:v>CRC-E06</x:v>
      </x:c>
      <x:c r="C12" s="10" t="str">
        <x:v>NRC-C</x:v>
      </x:c>
      <x:c r="D12" s="10" t="str">
        <x:v>NRC-A + NRC-B</x:v>
      </x:c>
      <x:c r="E12" s="10" t="n">
        <x:v>820</x:v>
      </x:c>
      <x:c r="F12" s="10" t="n">
        <x:v>4</x:v>
      </x:c>
      <x:c r="G12" s="10" t="n">
        <x:v>4</x:v>
      </x:c>
      <x:c r="H12" s="22" t="n">
        <x:v>0.62</x:v>
      </x:c>
      <x:c r="I12" s="22" t="n">
        <x:v>0.64</x:v>
      </x:c>
      <x:c r="J12" s="10" t="n">
        <x:v>0</x:v>
      </x:c>
      <x:c r="K12" s="10" t="n">
        <x:v>360</x:v>
      </x:c>
      <x:c r="L12" s="10" t="n">
        <x:v>1400</x:v>
      </x:c>
      <x:c r="M12" s="10" t="n">
        <x:f>COUNTIFS(Shipsets!$C$7:$C$12,"&lt;&gt;"&amp;'Campaign Events'!E12,Shipsets!$D$7:$D$12,"&lt;&gt;"&amp;'Campaign Events'!F12,Shipsets!$B$7:$B$12,"&lt;&gt;"&amp;'Campaign Events'!G12,Shipsets!$E$7:$E$12,1)</x:f>
        <x:v>1</x:v>
      </x:c>
      <x:c r="N12" s="10" t="str">
        <x:f>IF(AND(E12='Controls'!$D$24,F12='Controls'!$D$25,G12='Controls'!$D$26,H12&lt;='Controls'!$D$29,I12&lt;='Controls'!$D$29,J12=0,K12=360,L12=1400,M12&gt;=1),"PASS","FAIL")</x:f>
        <x:v>PASS</x:v>
      </x:c>
    </x:row>
  </x:sheetData>
  <x:mergeCells>
    <x:mergeCell ref="B2:N2"/>
    <x:mergeCell ref="B3:N3"/>
  </x:mergeCells>
  <x:conditionalFormatting sqref="N7:N12">
    <x:cfRule type="containsText" dxfId="165" priority="1" operator="containsText" text="PASS"/>
    <x:cfRule type="containsText" dxfId="166" priority="2" operator="containsText" text="SELECT"/>
    <x:cfRule type="containsText" dxfId="167" priority="3" operator="containsText" text="AUTHORIZED"/>
    <x:cfRule type="containsText" dxfId="168" priority="4" operator="containsText" text="ADMITTED"/>
    <x:cfRule type="containsText" dxfId="169" priority="5" operator="containsText" text="READY"/>
    <x:cfRule type="containsText" dxfId="170" priority="6" operator="containsText" text="HOLD"/>
    <x:cfRule type="containsText" dxfId="171" priority="7" operator="containsText" text="OPEN"/>
    <x:cfRule type="containsText" dxfId="172" priority="8" operator="containsText" text="SAFE_STOP"/>
    <x:cfRule type="containsText" dxfId="173" priority="9" operator="containsText" text="BLOCKED"/>
    <x:cfRule type="containsText" dxfId="174" priority="10" operator="containsText" text="PLANNING"/>
    <x:cfRule type="containsText" dxfId="175" priority="11" operator="containsText" text="FAIL"/>
    <x:cfRule type="containsText" dxfId="176" priority="12" operator="containsText" text="REJECT"/>
    <x:cfRule type="containsText" dxfId="177" priority="13" operator="containsText" text="LATE"/>
    <x:cfRule type="containsText" dxfId="178" priority="14" operator="containsText" text="INCOMPLETE"/>
    <x:cfRule type="containsText" dxfId="179" priority="15" operator="containsText" text="INDETERMINATE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40" hidden="0" customWidth="1"/>
    <x:col min="4" max="4" width="43" hidden="0" customWidth="1"/>
    <x:col min="5" max="5" width="15" hidden="0" customWidth="1"/>
    <x:col min="6" max="6" width="15" hidden="0" customWidth="1"/>
    <x:col min="7" max="7" width="17" hidden="0" customWidth="1"/>
    <x:col min="8" max="8" width="16" hidden="0" customWidth="1"/>
    <x:col min="9" max="9" width="17" hidden="0" customWidth="1"/>
    <x:col min="10" max="10" width="16" hidden="0" customWidth="1"/>
    <x:col min="11" max="11" width="16" hidden="0" customWidth="1"/>
  </x:cols>
  <x:sheetData>
    <x:row r="2">
      <x:c r="B2" s="1" t="str">
        <x:v>Sealed fault and clean-control campaign</x:v>
      </x:c>
      <x:c r="C2" s="36"/>
      <x:c r="D2" s="36"/>
      <x:c r="E2" s="36"/>
      <x:c r="F2" s="36"/>
      <x:c r="G2" s="36"/>
      <x:c r="H2" s="36"/>
      <x:c r="I2" s="36"/>
      <x:c r="J2" s="36"/>
      <x:c r="K2" s="36"/>
    </x:row>
    <x:row r="3">
      <x:c r="B3" s="2" t="str">
        <x:v>Twenty-four faults demonstrate mechanism coverage only. Physical insertions, detections and classifications remain zero.</x:v>
      </x:c>
      <x:c r="C3" s="36"/>
      <x:c r="D3" s="36"/>
      <x:c r="E3" s="36"/>
      <x:c r="F3" s="36"/>
      <x:c r="G3" s="36"/>
      <x:c r="H3" s="36"/>
      <x:c r="I3" s="36"/>
      <x:c r="J3" s="36"/>
      <x:c r="K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  <x:c r="K5" s="36"/>
    </x:row>
    <x:row r="6">
      <x:c r="B6" s="7" t="str">
        <x:v>Fault</x:v>
      </x:c>
      <x:c r="C6" s="7" t="str">
        <x:v>Challenge</x:v>
      </x:c>
      <x:c r="D6" s="7" t="str">
        <x:v>Required detection</x:v>
      </x:c>
      <x:c r="E6" s="7" t="str">
        <x:v>Assignments</x:v>
      </x:c>
      <x:c r="F6" s="7" t="str">
        <x:v>Requirement</x:v>
      </x:c>
      <x:c r="G6" s="7" t="str">
        <x:v>Coverage gate</x:v>
      </x:c>
      <x:c r="H6" s="36"/>
      <x:c r="I6" s="36"/>
      <x:c r="J6" s="36"/>
      <x:c r="K6" s="36"/>
    </x:row>
    <x:row r="7">
      <x:c r="B7" s="9" t="str">
        <x:v>F01</x:v>
      </x:c>
      <x:c r="C7" s="9" t="str">
        <x:v>Root or lot identity substitution</x:v>
      </x:c>
      <x:c r="D7" s="9" t="str">
        <x:v>custody and ancestry rejection</x:v>
      </x:c>
      <x:c r="E7" s="9" t="n">
        <x:f>COUNTIFS($D$20:$D$43,B7)</x:f>
        <x:v>3</x:v>
      </x:c>
      <x:c r="F7" s="9" t="n">
        <x:v>3</x:v>
      </x:c>
      <x:c r="G7" s="9" t="str">
        <x:f>IF(E7=F7,"PASS","FAIL")</x:f>
        <x:v>PASS</x:v>
      </x:c>
      <x:c r="H7" s="36"/>
      <x:c r="I7" s="36"/>
      <x:c r="J7" s="36"/>
      <x:c r="K7" s="36"/>
    </x:row>
    <x:row r="8">
      <x:c r="B8" s="9" t="str">
        <x:v>F02</x:v>
      </x:c>
      <x:c r="C8" s="9" t="str">
        <x:v>Wrong executable configuration</x:v>
      </x:c>
      <x:c r="D8" s="9" t="str">
        <x:v>configuration-baseline rejection</x:v>
      </x:c>
      <x:c r="E8" s="9" t="n">
        <x:f>COUNTIFS($D$20:$D$43,B8)</x:f>
        <x:v>3</x:v>
      </x:c>
      <x:c r="F8" s="9" t="n">
        <x:v>3</x:v>
      </x:c>
      <x:c r="G8" s="9" t="str">
        <x:f>IF(E8=F8,"PASS","FAIL")</x:f>
        <x:v>PASS</x:v>
      </x:c>
      <x:c r="H8" s="36"/>
      <x:c r="I8" s="36"/>
      <x:c r="J8" s="36"/>
      <x:c r="K8" s="36"/>
    </x:row>
    <x:row r="9">
      <x:c r="B9" s="9" t="str">
        <x:v>F03</x:v>
      </x:c>
      <x:c r="C9" s="9" t="str">
        <x:v>Anchor or geometry datum offset</x:v>
      </x:c>
      <x:c r="D9" s="9" t="str">
        <x:v>independent survey rejection</x:v>
      </x:c>
      <x:c r="E9" s="9" t="n">
        <x:f>COUNTIFS($D$20:$D$43,B9)</x:f>
        <x:v>3</x:v>
      </x:c>
      <x:c r="F9" s="9" t="n">
        <x:v>3</x:v>
      </x:c>
      <x:c r="G9" s="9" t="str">
        <x:f>IF(E9=F9,"PASS","FAIL")</x:f>
        <x:v>PASS</x:v>
      </x:c>
      <x:c r="H9" s="36"/>
      <x:c r="I9" s="36"/>
      <x:c r="J9" s="36"/>
      <x:c r="K9" s="36"/>
    </x:row>
    <x:row r="10">
      <x:c r="B10" s="9" t="str">
        <x:v>F04</x:v>
      </x:c>
      <x:c r="C10" s="9" t="str">
        <x:v>Hydraulic measurement bias</x:v>
      </x:c>
      <x:c r="D10" s="9" t="str">
        <x:v>reference-bracket rejection</x:v>
      </x:c>
      <x:c r="E10" s="9" t="n">
        <x:f>COUNTIFS($D$20:$D$43,B10)</x:f>
        <x:v>3</x:v>
      </x:c>
      <x:c r="F10" s="9" t="n">
        <x:v>3</x:v>
      </x:c>
      <x:c r="G10" s="9" t="str">
        <x:f>IF(E10=F10,"PASS","FAIL")</x:f>
        <x:v>PASS</x:v>
      </x:c>
      <x:c r="H10" s="36"/>
      <x:c r="I10" s="36"/>
      <x:c r="J10" s="36"/>
      <x:c r="K10" s="36"/>
    </x:row>
    <x:row r="11">
      <x:c r="B11" s="9" t="str">
        <x:v>F05</x:v>
      </x:c>
      <x:c r="C11" s="9" t="str">
        <x:v>Time-source skew</x:v>
      </x:c>
      <x:c r="D11" s="9" t="str">
        <x:v>cross-clock discrepancy and quarantine</x:v>
      </x:c>
      <x:c r="E11" s="9" t="n">
        <x:f>COUNTIFS($D$20:$D$43,B11)</x:f>
        <x:v>3</x:v>
      </x:c>
      <x:c r="F11" s="9" t="n">
        <x:v>3</x:v>
      </x:c>
      <x:c r="G11" s="9" t="str">
        <x:f>IF(E11=F11,"PASS","FAIL")</x:f>
        <x:v>PASS</x:v>
      </x:c>
      <x:c r="H11" s="36"/>
      <x:c r="I11" s="36"/>
      <x:c r="J11" s="36"/>
      <x:c r="K11" s="36"/>
    </x:row>
    <x:row r="12">
      <x:c r="B12" s="9" t="str">
        <x:v>F06</x:v>
      </x:c>
      <x:c r="C12" s="9" t="str">
        <x:v>Sealed containment or leak defect</x:v>
      </x:c>
      <x:c r="D12" s="9" t="str">
        <x:v>physical integrity rejection</x:v>
      </x:c>
      <x:c r="E12" s="9" t="n">
        <x:f>COUNTIFS($D$20:$D$43,B12)</x:f>
        <x:v>3</x:v>
      </x:c>
      <x:c r="F12" s="9" t="n">
        <x:v>3</x:v>
      </x:c>
      <x:c r="G12" s="9" t="str">
        <x:f>IF(E12=F12,"PASS","FAIL")</x:f>
        <x:v>PASS</x:v>
      </x:c>
      <x:c r="H12" s="36"/>
      <x:c r="I12" s="36"/>
      <x:c r="J12" s="36"/>
      <x:c r="K12" s="36"/>
    </x:row>
    <x:row r="13">
      <x:c r="B13" s="9" t="str">
        <x:v>F07</x:v>
      </x:c>
      <x:c r="C13" s="9" t="str">
        <x:v>Missing or corrupt evidence original</x:v>
      </x:c>
      <x:c r="D13" s="9" t="str">
        <x:v>two-original and replay rejection</x:v>
      </x:c>
      <x:c r="E13" s="9" t="n">
        <x:f>COUNTIFS($D$20:$D$43,B13)</x:f>
        <x:v>3</x:v>
      </x:c>
      <x:c r="F13" s="9" t="n">
        <x:v>3</x:v>
      </x:c>
      <x:c r="G13" s="9" t="str">
        <x:f>IF(E13=F13,"PASS","FAIL")</x:f>
        <x:v>PASS</x:v>
      </x:c>
      <x:c r="H13" s="36"/>
      <x:c r="I13" s="36"/>
      <x:c r="J13" s="36"/>
      <x:c r="K13" s="36"/>
    </x:row>
    <x:row r="14">
      <x:c r="B14" s="10" t="str">
        <x:v>F08</x:v>
      </x:c>
      <x:c r="C14" s="10" t="str">
        <x:v>Blind-truth manifest mismatch</x:v>
      </x:c>
      <x:c r="D14" s="10" t="str">
        <x:v>truth-custody rejection</x:v>
      </x:c>
      <x:c r="E14" s="10" t="n">
        <x:f>COUNTIFS($D$20:$D$43,B14)</x:f>
        <x:v>3</x:v>
      </x:c>
      <x:c r="F14" s="10" t="n">
        <x:v>3</x:v>
      </x:c>
      <x:c r="G14" s="10" t="str">
        <x:f>IF(E14=F14,"PASS","FAIL")</x:f>
        <x:v>PASS</x:v>
      </x:c>
      <x:c r="H14" s="36"/>
      <x:c r="I14" s="36"/>
      <x:c r="J14" s="36"/>
      <x:c r="K14" s="36"/>
    </x:row>
    <x:row r="15"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</x:row>
    <x:row r="16"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</x:row>
    <x:row r="17"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</x:row>
    <x:row r="18">
      <x:c r="B18" s="25" t="str">
        <x:v>Fault assignments</x:v>
      </x:c>
      <x:c r="C18" s="26" t="str">
        <x:v>Fault assignments</x:v>
      </x:c>
      <x:c r="D18" s="26" t="str">
        <x:v>Fault assignments</x:v>
      </x:c>
      <x:c r="E18" s="26" t="str">
        <x:v>Fault assignments</x:v>
      </x:c>
      <x:c r="F18" s="26" t="str">
        <x:v>Fault assignments</x:v>
      </x:c>
      <x:c r="G18" s="26" t="str">
        <x:v>Fault assignments</x:v>
      </x:c>
      <x:c r="H18" s="26" t="str">
        <x:v>Fault assignments</x:v>
      </x:c>
      <x:c r="I18" s="26" t="str">
        <x:v>Fault assignments</x:v>
      </x:c>
      <x:c r="J18" s="26" t="str">
        <x:v>Fault assignments</x:v>
      </x:c>
      <x:c r="K18" s="27" t="str">
        <x:v>Fault assignments</x:v>
      </x:c>
    </x:row>
    <x:row r="19">
      <x:c r="B19" s="7" t="str">
        <x:v>Token</x:v>
      </x:c>
      <x:c r="C19" s="7" t="str">
        <x:v>Event</x:v>
      </x:c>
      <x:c r="D19" s="7" t="str">
        <x:v>Fault</x:v>
      </x:c>
      <x:c r="E19" s="7" t="str">
        <x:v>Disclosure</x:v>
      </x:c>
      <x:c r="F19" s="7" t="str">
        <x:v>Required</x:v>
      </x:c>
      <x:c r="G19" s="7" t="str">
        <x:v>Physical insertion</x:v>
      </x:c>
      <x:c r="H19" s="7" t="str">
        <x:v>Detected</x:v>
      </x:c>
      <x:c r="I19" s="7" t="str">
        <x:v>Correct class</x:v>
      </x:c>
      <x:c r="J19" s="7" t="str">
        <x:v>Terminal</x:v>
      </x:c>
      <x:c r="K19" s="7" t="str">
        <x:v>Planning gate</x:v>
      </x:c>
    </x:row>
    <x:row r="20">
      <x:c r="B20" s="9" t="str">
        <x:v>FI-001</x:v>
      </x:c>
      <x:c r="C20" s="9" t="str">
        <x:v>CRC-E01</x:v>
      </x:c>
      <x:c r="D20" s="9" t="str">
        <x:v>F01</x:v>
      </x:c>
      <x:c r="E20" s="9" t="str">
        <x:v>SEALED</x:v>
      </x:c>
      <x:c r="F20" s="9" t="n">
        <x:v>1</x:v>
      </x:c>
      <x:c r="G20" s="9" t="n">
        <x:v>0</x:v>
      </x:c>
      <x:c r="H20" s="9" t="n">
        <x:v>0</x:v>
      </x:c>
      <x:c r="I20" s="9" t="n">
        <x:v>0</x:v>
      </x:c>
      <x:c r="J20" s="9" t="str">
        <x:v>HOLD</x:v>
      </x:c>
      <x:c r="K20" s="9" t="str">
        <x:f>IF(AND(B20&lt;&gt;"",C20&lt;&gt;"",D20&lt;&gt;"",E20="SEALED",F20=1),"PASS","FAIL")</x:f>
        <x:v>PASS</x:v>
      </x:c>
    </x:row>
    <x:row r="21">
      <x:c r="B21" s="9" t="str">
        <x:v>FI-002</x:v>
      </x:c>
      <x:c r="C21" s="9" t="str">
        <x:v>CRC-E01</x:v>
      </x:c>
      <x:c r="D21" s="9" t="str">
        <x:v>F02</x:v>
      </x:c>
      <x:c r="E21" s="9" t="str">
        <x:v>SEALED</x:v>
      </x:c>
      <x:c r="F21" s="9" t="n">
        <x:v>1</x:v>
      </x:c>
      <x:c r="G21" s="9" t="n">
        <x:v>0</x:v>
      </x:c>
      <x:c r="H21" s="9" t="n">
        <x:v>0</x:v>
      </x:c>
      <x:c r="I21" s="9" t="n">
        <x:v>0</x:v>
      </x:c>
      <x:c r="J21" s="9" t="str">
        <x:v>HOLD</x:v>
      </x:c>
      <x:c r="K21" s="9" t="str">
        <x:f>IF(AND(B21&lt;&gt;"",C21&lt;&gt;"",D21&lt;&gt;"",E21="SEALED",F21=1),"PASS","FAIL")</x:f>
        <x:v>PASS</x:v>
      </x:c>
    </x:row>
    <x:row r="22">
      <x:c r="B22" s="9" t="str">
        <x:v>FI-003</x:v>
      </x:c>
      <x:c r="C22" s="9" t="str">
        <x:v>CRC-E01</x:v>
      </x:c>
      <x:c r="D22" s="9" t="str">
        <x:v>F03</x:v>
      </x:c>
      <x:c r="E22" s="9" t="str">
        <x:v>SEALED</x:v>
      </x:c>
      <x:c r="F22" s="9" t="n">
        <x:v>1</x:v>
      </x:c>
      <x:c r="G22" s="9" t="n">
        <x:v>0</x:v>
      </x:c>
      <x:c r="H22" s="9" t="n">
        <x:v>0</x:v>
      </x:c>
      <x:c r="I22" s="9" t="n">
        <x:v>0</x:v>
      </x:c>
      <x:c r="J22" s="9" t="str">
        <x:v>HOLD</x:v>
      </x:c>
      <x:c r="K22" s="9" t="str">
        <x:f>IF(AND(B22&lt;&gt;"",C22&lt;&gt;"",D22&lt;&gt;"",E22="SEALED",F22=1),"PASS","FAIL")</x:f>
        <x:v>PASS</x:v>
      </x:c>
    </x:row>
    <x:row r="23">
      <x:c r="B23" s="9" t="str">
        <x:v>FI-004</x:v>
      </x:c>
      <x:c r="C23" s="9" t="str">
        <x:v>CRC-E01</x:v>
      </x:c>
      <x:c r="D23" s="9" t="str">
        <x:v>F04</x:v>
      </x:c>
      <x:c r="E23" s="9" t="str">
        <x:v>SEALED</x:v>
      </x:c>
      <x:c r="F23" s="9" t="n">
        <x:v>1</x:v>
      </x:c>
      <x:c r="G23" s="9" t="n">
        <x:v>0</x:v>
      </x:c>
      <x:c r="H23" s="9" t="n">
        <x:v>0</x:v>
      </x:c>
      <x:c r="I23" s="9" t="n">
        <x:v>0</x:v>
      </x:c>
      <x:c r="J23" s="9" t="str">
        <x:v>HOLD</x:v>
      </x:c>
      <x:c r="K23" s="9" t="str">
        <x:f>IF(AND(B23&lt;&gt;"",C23&lt;&gt;"",D23&lt;&gt;"",E23="SEALED",F23=1),"PASS","FAIL")</x:f>
        <x:v>PASS</x:v>
      </x:c>
    </x:row>
    <x:row r="24">
      <x:c r="B24" s="9" t="str">
        <x:v>FI-005</x:v>
      </x:c>
      <x:c r="C24" s="9" t="str">
        <x:v>CRC-E02</x:v>
      </x:c>
      <x:c r="D24" s="9" t="str">
        <x:v>F05</x:v>
      </x:c>
      <x:c r="E24" s="9" t="str">
        <x:v>SEALED</x:v>
      </x:c>
      <x:c r="F24" s="9" t="n">
        <x:v>1</x:v>
      </x:c>
      <x:c r="G24" s="9" t="n">
        <x:v>0</x:v>
      </x:c>
      <x:c r="H24" s="9" t="n">
        <x:v>0</x:v>
      </x:c>
      <x:c r="I24" s="9" t="n">
        <x:v>0</x:v>
      </x:c>
      <x:c r="J24" s="9" t="str">
        <x:v>HOLD</x:v>
      </x:c>
      <x:c r="K24" s="9" t="str">
        <x:f>IF(AND(B24&lt;&gt;"",C24&lt;&gt;"",D24&lt;&gt;"",E24="SEALED",F24=1),"PASS","FAIL")</x:f>
        <x:v>PASS</x:v>
      </x:c>
    </x:row>
    <x:row r="25">
      <x:c r="B25" s="9" t="str">
        <x:v>FI-006</x:v>
      </x:c>
      <x:c r="C25" s="9" t="str">
        <x:v>CRC-E02</x:v>
      </x:c>
      <x:c r="D25" s="9" t="str">
        <x:v>F06</x:v>
      </x:c>
      <x:c r="E25" s="9" t="str">
        <x:v>SEALED</x:v>
      </x:c>
      <x:c r="F25" s="9" t="n">
        <x:v>1</x:v>
      </x:c>
      <x:c r="G25" s="9" t="n">
        <x:v>0</x:v>
      </x:c>
      <x:c r="H25" s="9" t="n">
        <x:v>0</x:v>
      </x:c>
      <x:c r="I25" s="9" t="n">
        <x:v>0</x:v>
      </x:c>
      <x:c r="J25" s="9" t="str">
        <x:v>HOLD</x:v>
      </x:c>
      <x:c r="K25" s="9" t="str">
        <x:f>IF(AND(B25&lt;&gt;"",C25&lt;&gt;"",D25&lt;&gt;"",E25="SEALED",F25=1),"PASS","FAIL")</x:f>
        <x:v>PASS</x:v>
      </x:c>
    </x:row>
    <x:row r="26">
      <x:c r="B26" s="9" t="str">
        <x:v>FI-007</x:v>
      </x:c>
      <x:c r="C26" s="9" t="str">
        <x:v>CRC-E02</x:v>
      </x:c>
      <x:c r="D26" s="9" t="str">
        <x:v>F07</x:v>
      </x:c>
      <x:c r="E26" s="9" t="str">
        <x:v>SEALED</x:v>
      </x:c>
      <x:c r="F26" s="9" t="n">
        <x:v>1</x:v>
      </x:c>
      <x:c r="G26" s="9" t="n">
        <x:v>0</x:v>
      </x:c>
      <x:c r="H26" s="9" t="n">
        <x:v>0</x:v>
      </x:c>
      <x:c r="I26" s="9" t="n">
        <x:v>0</x:v>
      </x:c>
      <x:c r="J26" s="9" t="str">
        <x:v>HOLD</x:v>
      </x:c>
      <x:c r="K26" s="9" t="str">
        <x:f>IF(AND(B26&lt;&gt;"",C26&lt;&gt;"",D26&lt;&gt;"",E26="SEALED",F26=1),"PASS","FAIL")</x:f>
        <x:v>PASS</x:v>
      </x:c>
    </x:row>
    <x:row r="27">
      <x:c r="B27" s="9" t="str">
        <x:v>FI-008</x:v>
      </x:c>
      <x:c r="C27" s="9" t="str">
        <x:v>CRC-E02</x:v>
      </x:c>
      <x:c r="D27" s="9" t="str">
        <x:v>F08</x:v>
      </x:c>
      <x:c r="E27" s="9" t="str">
        <x:v>SEALED</x:v>
      </x:c>
      <x:c r="F27" s="9" t="n">
        <x:v>1</x:v>
      </x:c>
      <x:c r="G27" s="9" t="n">
        <x:v>0</x:v>
      </x:c>
      <x:c r="H27" s="9" t="n">
        <x:v>0</x:v>
      </x:c>
      <x:c r="I27" s="9" t="n">
        <x:v>0</x:v>
      </x:c>
      <x:c r="J27" s="9" t="str">
        <x:v>HOLD</x:v>
      </x:c>
      <x:c r="K27" s="9" t="str">
        <x:f>IF(AND(B27&lt;&gt;"",C27&lt;&gt;"",D27&lt;&gt;"",E27="SEALED",F27=1),"PASS","FAIL")</x:f>
        <x:v>PASS</x:v>
      </x:c>
    </x:row>
    <x:row r="28">
      <x:c r="B28" s="9" t="str">
        <x:v>FI-009</x:v>
      </x:c>
      <x:c r="C28" s="9" t="str">
        <x:v>CRC-E03</x:v>
      </x:c>
      <x:c r="D28" s="9" t="str">
        <x:v>F01</x:v>
      </x:c>
      <x:c r="E28" s="9" t="str">
        <x:v>SEALED</x:v>
      </x:c>
      <x:c r="F28" s="9" t="n">
        <x:v>1</x:v>
      </x:c>
      <x:c r="G28" s="9" t="n">
        <x:v>0</x:v>
      </x:c>
      <x:c r="H28" s="9" t="n">
        <x:v>0</x:v>
      </x:c>
      <x:c r="I28" s="9" t="n">
        <x:v>0</x:v>
      </x:c>
      <x:c r="J28" s="9" t="str">
        <x:v>HOLD</x:v>
      </x:c>
      <x:c r="K28" s="9" t="str">
        <x:f>IF(AND(B28&lt;&gt;"",C28&lt;&gt;"",D28&lt;&gt;"",E28="SEALED",F28=1),"PASS","FAIL")</x:f>
        <x:v>PASS</x:v>
      </x:c>
    </x:row>
    <x:row r="29">
      <x:c r="B29" s="9" t="str">
        <x:v>FI-010</x:v>
      </x:c>
      <x:c r="C29" s="9" t="str">
        <x:v>CRC-E03</x:v>
      </x:c>
      <x:c r="D29" s="9" t="str">
        <x:v>F03</x:v>
      </x:c>
      <x:c r="E29" s="9" t="str">
        <x:v>SEALED</x:v>
      </x:c>
      <x:c r="F29" s="9" t="n">
        <x:v>1</x:v>
      </x:c>
      <x:c r="G29" s="9" t="n">
        <x:v>0</x:v>
      </x:c>
      <x:c r="H29" s="9" t="n">
        <x:v>0</x:v>
      </x:c>
      <x:c r="I29" s="9" t="n">
        <x:v>0</x:v>
      </x:c>
      <x:c r="J29" s="9" t="str">
        <x:v>HOLD</x:v>
      </x:c>
      <x:c r="K29" s="9" t="str">
        <x:f>IF(AND(B29&lt;&gt;"",C29&lt;&gt;"",D29&lt;&gt;"",E29="SEALED",F29=1),"PASS","FAIL")</x:f>
        <x:v>PASS</x:v>
      </x:c>
    </x:row>
    <x:row r="30">
      <x:c r="B30" s="9" t="str">
        <x:v>FI-011</x:v>
      </x:c>
      <x:c r="C30" s="9" t="str">
        <x:v>CRC-E03</x:v>
      </x:c>
      <x:c r="D30" s="9" t="str">
        <x:v>F05</x:v>
      </x:c>
      <x:c r="E30" s="9" t="str">
        <x:v>SEALED</x:v>
      </x:c>
      <x:c r="F30" s="9" t="n">
        <x:v>1</x:v>
      </x:c>
      <x:c r="G30" s="9" t="n">
        <x:v>0</x:v>
      </x:c>
      <x:c r="H30" s="9" t="n">
        <x:v>0</x:v>
      </x:c>
      <x:c r="I30" s="9" t="n">
        <x:v>0</x:v>
      </x:c>
      <x:c r="J30" s="9" t="str">
        <x:v>HOLD</x:v>
      </x:c>
      <x:c r="K30" s="9" t="str">
        <x:f>IF(AND(B30&lt;&gt;"",C30&lt;&gt;"",D30&lt;&gt;"",E30="SEALED",F30=1),"PASS","FAIL")</x:f>
        <x:v>PASS</x:v>
      </x:c>
    </x:row>
    <x:row r="31">
      <x:c r="B31" s="9" t="str">
        <x:v>FI-012</x:v>
      </x:c>
      <x:c r="C31" s="9" t="str">
        <x:v>CRC-E03</x:v>
      </x:c>
      <x:c r="D31" s="9" t="str">
        <x:v>F07</x:v>
      </x:c>
      <x:c r="E31" s="9" t="str">
        <x:v>SEALED</x:v>
      </x:c>
      <x:c r="F31" s="9" t="n">
        <x:v>1</x:v>
      </x:c>
      <x:c r="G31" s="9" t="n">
        <x:v>0</x:v>
      </x:c>
      <x:c r="H31" s="9" t="n">
        <x:v>0</x:v>
      </x:c>
      <x:c r="I31" s="9" t="n">
        <x:v>0</x:v>
      </x:c>
      <x:c r="J31" s="9" t="str">
        <x:v>HOLD</x:v>
      </x:c>
      <x:c r="K31" s="9" t="str">
        <x:f>IF(AND(B31&lt;&gt;"",C31&lt;&gt;"",D31&lt;&gt;"",E31="SEALED",F31=1),"PASS","FAIL")</x:f>
        <x:v>PASS</x:v>
      </x:c>
    </x:row>
    <x:row r="32">
      <x:c r="B32" s="9" t="str">
        <x:v>FI-013</x:v>
      </x:c>
      <x:c r="C32" s="9" t="str">
        <x:v>CRC-E04</x:v>
      </x:c>
      <x:c r="D32" s="9" t="str">
        <x:v>F02</x:v>
      </x:c>
      <x:c r="E32" s="9" t="str">
        <x:v>SEALED</x:v>
      </x:c>
      <x:c r="F32" s="9" t="n">
        <x:v>1</x:v>
      </x:c>
      <x:c r="G32" s="9" t="n">
        <x:v>0</x:v>
      </x:c>
      <x:c r="H32" s="9" t="n">
        <x:v>0</x:v>
      </x:c>
      <x:c r="I32" s="9" t="n">
        <x:v>0</x:v>
      </x:c>
      <x:c r="J32" s="9" t="str">
        <x:v>HOLD</x:v>
      </x:c>
      <x:c r="K32" s="9" t="str">
        <x:f>IF(AND(B32&lt;&gt;"",C32&lt;&gt;"",D32&lt;&gt;"",E32="SEALED",F32=1),"PASS","FAIL")</x:f>
        <x:v>PASS</x:v>
      </x:c>
    </x:row>
    <x:row r="33">
      <x:c r="B33" s="9" t="str">
        <x:v>FI-014</x:v>
      </x:c>
      <x:c r="C33" s="9" t="str">
        <x:v>CRC-E04</x:v>
      </x:c>
      <x:c r="D33" s="9" t="str">
        <x:v>F04</x:v>
      </x:c>
      <x:c r="E33" s="9" t="str">
        <x:v>SEALED</x:v>
      </x:c>
      <x:c r="F33" s="9" t="n">
        <x:v>1</x:v>
      </x:c>
      <x:c r="G33" s="9" t="n">
        <x:v>0</x:v>
      </x:c>
      <x:c r="H33" s="9" t="n">
        <x:v>0</x:v>
      </x:c>
      <x:c r="I33" s="9" t="n">
        <x:v>0</x:v>
      </x:c>
      <x:c r="J33" s="9" t="str">
        <x:v>HOLD</x:v>
      </x:c>
      <x:c r="K33" s="9" t="str">
        <x:f>IF(AND(B33&lt;&gt;"",C33&lt;&gt;"",D33&lt;&gt;"",E33="SEALED",F33=1),"PASS","FAIL")</x:f>
        <x:v>PASS</x:v>
      </x:c>
    </x:row>
    <x:row r="34">
      <x:c r="B34" s="9" t="str">
        <x:v>FI-015</x:v>
      </x:c>
      <x:c r="C34" s="9" t="str">
        <x:v>CRC-E04</x:v>
      </x:c>
      <x:c r="D34" s="9" t="str">
        <x:v>F06</x:v>
      </x:c>
      <x:c r="E34" s="9" t="str">
        <x:v>SEALED</x:v>
      </x:c>
      <x:c r="F34" s="9" t="n">
        <x:v>1</x:v>
      </x:c>
      <x:c r="G34" s="9" t="n">
        <x:v>0</x:v>
      </x:c>
      <x:c r="H34" s="9" t="n">
        <x:v>0</x:v>
      </x:c>
      <x:c r="I34" s="9" t="n">
        <x:v>0</x:v>
      </x:c>
      <x:c r="J34" s="9" t="str">
        <x:v>HOLD</x:v>
      </x:c>
      <x:c r="K34" s="9" t="str">
        <x:f>IF(AND(B34&lt;&gt;"",C34&lt;&gt;"",D34&lt;&gt;"",E34="SEALED",F34=1),"PASS","FAIL")</x:f>
        <x:v>PASS</x:v>
      </x:c>
    </x:row>
    <x:row r="35">
      <x:c r="B35" s="9" t="str">
        <x:v>FI-016</x:v>
      </x:c>
      <x:c r="C35" s="9" t="str">
        <x:v>CRC-E04</x:v>
      </x:c>
      <x:c r="D35" s="9" t="str">
        <x:v>F08</x:v>
      </x:c>
      <x:c r="E35" s="9" t="str">
        <x:v>SEALED</x:v>
      </x:c>
      <x:c r="F35" s="9" t="n">
        <x:v>1</x:v>
      </x:c>
      <x:c r="G35" s="9" t="n">
        <x:v>0</x:v>
      </x:c>
      <x:c r="H35" s="9" t="n">
        <x:v>0</x:v>
      </x:c>
      <x:c r="I35" s="9" t="n">
        <x:v>0</x:v>
      </x:c>
      <x:c r="J35" s="9" t="str">
        <x:v>HOLD</x:v>
      </x:c>
      <x:c r="K35" s="9" t="str">
        <x:f>IF(AND(B35&lt;&gt;"",C35&lt;&gt;"",D35&lt;&gt;"",E35="SEALED",F35=1),"PASS","FAIL")</x:f>
        <x:v>PASS</x:v>
      </x:c>
    </x:row>
    <x:row r="36">
      <x:c r="B36" s="9" t="str">
        <x:v>FI-017</x:v>
      </x:c>
      <x:c r="C36" s="9" t="str">
        <x:v>CRC-E05</x:v>
      </x:c>
      <x:c r="D36" s="9" t="str">
        <x:v>F01</x:v>
      </x:c>
      <x:c r="E36" s="9" t="str">
        <x:v>SEALED</x:v>
      </x:c>
      <x:c r="F36" s="9" t="n">
        <x:v>1</x:v>
      </x:c>
      <x:c r="G36" s="9" t="n">
        <x:v>0</x:v>
      </x:c>
      <x:c r="H36" s="9" t="n">
        <x:v>0</x:v>
      </x:c>
      <x:c r="I36" s="9" t="n">
        <x:v>0</x:v>
      </x:c>
      <x:c r="J36" s="9" t="str">
        <x:v>HOLD</x:v>
      </x:c>
      <x:c r="K36" s="9" t="str">
        <x:f>IF(AND(B36&lt;&gt;"",C36&lt;&gt;"",D36&lt;&gt;"",E36="SEALED",F36=1),"PASS","FAIL")</x:f>
        <x:v>PASS</x:v>
      </x:c>
    </x:row>
    <x:row r="37">
      <x:c r="B37" s="9" t="str">
        <x:v>FI-018</x:v>
      </x:c>
      <x:c r="C37" s="9" t="str">
        <x:v>CRC-E05</x:v>
      </x:c>
      <x:c r="D37" s="9" t="str">
        <x:v>F04</x:v>
      </x:c>
      <x:c r="E37" s="9" t="str">
        <x:v>SEALED</x:v>
      </x:c>
      <x:c r="F37" s="9" t="n">
        <x:v>1</x:v>
      </x:c>
      <x:c r="G37" s="9" t="n">
        <x:v>0</x:v>
      </x:c>
      <x:c r="H37" s="9" t="n">
        <x:v>0</x:v>
      </x:c>
      <x:c r="I37" s="9" t="n">
        <x:v>0</x:v>
      </x:c>
      <x:c r="J37" s="9" t="str">
        <x:v>HOLD</x:v>
      </x:c>
      <x:c r="K37" s="9" t="str">
        <x:f>IF(AND(B37&lt;&gt;"",C37&lt;&gt;"",D37&lt;&gt;"",E37="SEALED",F37=1),"PASS","FAIL")</x:f>
        <x:v>PASS</x:v>
      </x:c>
    </x:row>
    <x:row r="38">
      <x:c r="B38" s="9" t="str">
        <x:v>FI-019</x:v>
      </x:c>
      <x:c r="C38" s="9" t="str">
        <x:v>CRC-E05</x:v>
      </x:c>
      <x:c r="D38" s="9" t="str">
        <x:v>F06</x:v>
      </x:c>
      <x:c r="E38" s="9" t="str">
        <x:v>SEALED</x:v>
      </x:c>
      <x:c r="F38" s="9" t="n">
        <x:v>1</x:v>
      </x:c>
      <x:c r="G38" s="9" t="n">
        <x:v>0</x:v>
      </x:c>
      <x:c r="H38" s="9" t="n">
        <x:v>0</x:v>
      </x:c>
      <x:c r="I38" s="9" t="n">
        <x:v>0</x:v>
      </x:c>
      <x:c r="J38" s="9" t="str">
        <x:v>HOLD</x:v>
      </x:c>
      <x:c r="K38" s="9" t="str">
        <x:f>IF(AND(B38&lt;&gt;"",C38&lt;&gt;"",D38&lt;&gt;"",E38="SEALED",F38=1),"PASS","FAIL")</x:f>
        <x:v>PASS</x:v>
      </x:c>
    </x:row>
    <x:row r="39">
      <x:c r="B39" s="9" t="str">
        <x:v>FI-020</x:v>
      </x:c>
      <x:c r="C39" s="9" t="str">
        <x:v>CRC-E05</x:v>
      </x:c>
      <x:c r="D39" s="9" t="str">
        <x:v>F07</x:v>
      </x:c>
      <x:c r="E39" s="9" t="str">
        <x:v>SEALED</x:v>
      </x:c>
      <x:c r="F39" s="9" t="n">
        <x:v>1</x:v>
      </x:c>
      <x:c r="G39" s="9" t="n">
        <x:v>0</x:v>
      </x:c>
      <x:c r="H39" s="9" t="n">
        <x:v>0</x:v>
      </x:c>
      <x:c r="I39" s="9" t="n">
        <x:v>0</x:v>
      </x:c>
      <x:c r="J39" s="9" t="str">
        <x:v>HOLD</x:v>
      </x:c>
      <x:c r="K39" s="9" t="str">
        <x:f>IF(AND(B39&lt;&gt;"",C39&lt;&gt;"",D39&lt;&gt;"",E39="SEALED",F39=1),"PASS","FAIL")</x:f>
        <x:v>PASS</x:v>
      </x:c>
    </x:row>
    <x:row r="40">
      <x:c r="B40" s="9" t="str">
        <x:v>FI-021</x:v>
      </x:c>
      <x:c r="C40" s="9" t="str">
        <x:v>CRC-E06</x:v>
      </x:c>
      <x:c r="D40" s="9" t="str">
        <x:v>F02</x:v>
      </x:c>
      <x:c r="E40" s="9" t="str">
        <x:v>SEALED</x:v>
      </x:c>
      <x:c r="F40" s="9" t="n">
        <x:v>1</x:v>
      </x:c>
      <x:c r="G40" s="9" t="n">
        <x:v>0</x:v>
      </x:c>
      <x:c r="H40" s="9" t="n">
        <x:v>0</x:v>
      </x:c>
      <x:c r="I40" s="9" t="n">
        <x:v>0</x:v>
      </x:c>
      <x:c r="J40" s="9" t="str">
        <x:v>HOLD</x:v>
      </x:c>
      <x:c r="K40" s="9" t="str">
        <x:f>IF(AND(B40&lt;&gt;"",C40&lt;&gt;"",D40&lt;&gt;"",E40="SEALED",F40=1),"PASS","FAIL")</x:f>
        <x:v>PASS</x:v>
      </x:c>
    </x:row>
    <x:row r="41">
      <x:c r="B41" s="9" t="str">
        <x:v>FI-022</x:v>
      </x:c>
      <x:c r="C41" s="9" t="str">
        <x:v>CRC-E06</x:v>
      </x:c>
      <x:c r="D41" s="9" t="str">
        <x:v>F03</x:v>
      </x:c>
      <x:c r="E41" s="9" t="str">
        <x:v>SEALED</x:v>
      </x:c>
      <x:c r="F41" s="9" t="n">
        <x:v>1</x:v>
      </x:c>
      <x:c r="G41" s="9" t="n">
        <x:v>0</x:v>
      </x:c>
      <x:c r="H41" s="9" t="n">
        <x:v>0</x:v>
      </x:c>
      <x:c r="I41" s="9" t="n">
        <x:v>0</x:v>
      </x:c>
      <x:c r="J41" s="9" t="str">
        <x:v>HOLD</x:v>
      </x:c>
      <x:c r="K41" s="9" t="str">
        <x:f>IF(AND(B41&lt;&gt;"",C41&lt;&gt;"",D41&lt;&gt;"",E41="SEALED",F41=1),"PASS","FAIL")</x:f>
        <x:v>PASS</x:v>
      </x:c>
    </x:row>
    <x:row r="42">
      <x:c r="B42" s="9" t="str">
        <x:v>FI-023</x:v>
      </x:c>
      <x:c r="C42" s="9" t="str">
        <x:v>CRC-E06</x:v>
      </x:c>
      <x:c r="D42" s="9" t="str">
        <x:v>F05</x:v>
      </x:c>
      <x:c r="E42" s="9" t="str">
        <x:v>SEALED</x:v>
      </x:c>
      <x:c r="F42" s="9" t="n">
        <x:v>1</x:v>
      </x:c>
      <x:c r="G42" s="9" t="n">
        <x:v>0</x:v>
      </x:c>
      <x:c r="H42" s="9" t="n">
        <x:v>0</x:v>
      </x:c>
      <x:c r="I42" s="9" t="n">
        <x:v>0</x:v>
      </x:c>
      <x:c r="J42" s="9" t="str">
        <x:v>HOLD</x:v>
      </x:c>
      <x:c r="K42" s="9" t="str">
        <x:f>IF(AND(B42&lt;&gt;"",C42&lt;&gt;"",D42&lt;&gt;"",E42="SEALED",F42=1),"PASS","FAIL")</x:f>
        <x:v>PASS</x:v>
      </x:c>
    </x:row>
    <x:row r="43">
      <x:c r="B43" s="10" t="str">
        <x:v>FI-024</x:v>
      </x:c>
      <x:c r="C43" s="10" t="str">
        <x:v>CRC-E06</x:v>
      </x:c>
      <x:c r="D43" s="10" t="str">
        <x:v>F08</x:v>
      </x:c>
      <x:c r="E43" s="10" t="str">
        <x:v>SEALED</x:v>
      </x:c>
      <x:c r="F43" s="10" t="n">
        <x:v>1</x:v>
      </x:c>
      <x:c r="G43" s="10" t="n">
        <x:v>0</x:v>
      </x:c>
      <x:c r="H43" s="10" t="n">
        <x:v>0</x:v>
      </x:c>
      <x:c r="I43" s="10" t="n">
        <x:v>0</x:v>
      </x:c>
      <x:c r="J43" s="10" t="str">
        <x:v>HOLD</x:v>
      </x:c>
      <x:c r="K43" s="10" t="str">
        <x:f>IF(AND(B43&lt;&gt;"",C43&lt;&gt;"",D43&lt;&gt;"",E43="SEALED",F43=1),"PASS","FAIL")</x:f>
        <x:v>PASS</x:v>
      </x:c>
    </x:row>
    <x:row r="44"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</x:row>
    <x:row r="45"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</x:row>
    <x:row r="46"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</x:row>
    <x:row r="47">
      <x:c r="B47" s="25" t="str">
        <x:v>Clean controls</x:v>
      </x:c>
      <x:c r="C47" s="26" t="str">
        <x:v>Clean controls</x:v>
      </x:c>
      <x:c r="D47" s="26" t="str">
        <x:v>Clean controls</x:v>
      </x:c>
      <x:c r="E47" s="26" t="str">
        <x:v>Clean controls</x:v>
      </x:c>
      <x:c r="F47" s="26" t="str">
        <x:v>Clean controls</x:v>
      </x:c>
      <x:c r="G47" s="26" t="str">
        <x:v>Clean controls</x:v>
      </x:c>
      <x:c r="H47" s="26" t="str">
        <x:v>Clean controls</x:v>
      </x:c>
      <x:c r="I47" s="26" t="str">
        <x:v>Clean controls</x:v>
      </x:c>
      <x:c r="J47" s="26" t="str">
        <x:v>Clean controls</x:v>
      </x:c>
      <x:c r="K47" s="27" t="str">
        <x:v>Clean controls</x:v>
      </x:c>
    </x:row>
    <x:row r="48">
      <x:c r="B48" s="7" t="str">
        <x:v>Token</x:v>
      </x:c>
      <x:c r="C48" s="7" t="str">
        <x:v>Event</x:v>
      </x:c>
      <x:c r="D48" s="7" t="str">
        <x:v>Required</x:v>
      </x:c>
      <x:c r="E48" s="7" t="str">
        <x:v>Physical disposition</x:v>
      </x:c>
      <x:c r="F48" s="7" t="str">
        <x:v>Terminal</x:v>
      </x:c>
      <x:c r="G48" s="7" t="str">
        <x:v>Planning gate</x:v>
      </x:c>
      <x:c r="H48" s="36"/>
      <x:c r="I48" s="36"/>
      <x:c r="J48" s="36"/>
      <x:c r="K48" s="36"/>
    </x:row>
    <x:row r="49">
      <x:c r="B49" s="9" t="str">
        <x:v>CC-001</x:v>
      </x:c>
      <x:c r="C49" s="9" t="str">
        <x:v>CRC-E01</x:v>
      </x:c>
      <x:c r="D49" s="9" t="n">
        <x:v>1</x:v>
      </x:c>
      <x:c r="E49" s="9" t="n">
        <x:v>0</x:v>
      </x:c>
      <x:c r="F49" s="9" t="str">
        <x:v>HOLD</x:v>
      </x:c>
      <x:c r="G49" s="9" t="str">
        <x:f>IF(AND(B49&lt;&gt;"",C49&lt;&gt;"",D49=1),"PASS","FAIL")</x:f>
        <x:v>PASS</x:v>
      </x:c>
      <x:c r="H49" s="36"/>
      <x:c r="I49" s="36"/>
      <x:c r="J49" s="36"/>
      <x:c r="K49" s="36"/>
    </x:row>
    <x:row r="50">
      <x:c r="B50" s="9" t="str">
        <x:v>CC-002</x:v>
      </x:c>
      <x:c r="C50" s="9" t="str">
        <x:v>CRC-E01</x:v>
      </x:c>
      <x:c r="D50" s="9" t="n">
        <x:v>1</x:v>
      </x:c>
      <x:c r="E50" s="9" t="n">
        <x:v>0</x:v>
      </x:c>
      <x:c r="F50" s="9" t="str">
        <x:v>HOLD</x:v>
      </x:c>
      <x:c r="G50" s="9" t="str">
        <x:f>IF(AND(B50&lt;&gt;"",C50&lt;&gt;"",D50=1),"PASS","FAIL")</x:f>
        <x:v>PASS</x:v>
      </x:c>
      <x:c r="H50" s="36"/>
      <x:c r="I50" s="36"/>
      <x:c r="J50" s="36"/>
      <x:c r="K50" s="36"/>
    </x:row>
    <x:row r="51">
      <x:c r="B51" s="9" t="str">
        <x:v>CC-003</x:v>
      </x:c>
      <x:c r="C51" s="9" t="str">
        <x:v>CRC-E02</x:v>
      </x:c>
      <x:c r="D51" s="9" t="n">
        <x:v>1</x:v>
      </x:c>
      <x:c r="E51" s="9" t="n">
        <x:v>0</x:v>
      </x:c>
      <x:c r="F51" s="9" t="str">
        <x:v>HOLD</x:v>
      </x:c>
      <x:c r="G51" s="9" t="str">
        <x:f>IF(AND(B51&lt;&gt;"",C51&lt;&gt;"",D51=1),"PASS","FAIL")</x:f>
        <x:v>PASS</x:v>
      </x:c>
      <x:c r="H51" s="36"/>
      <x:c r="I51" s="36"/>
      <x:c r="J51" s="36"/>
      <x:c r="K51" s="36"/>
    </x:row>
    <x:row r="52">
      <x:c r="B52" s="9" t="str">
        <x:v>CC-004</x:v>
      </x:c>
      <x:c r="C52" s="9" t="str">
        <x:v>CRC-E02</x:v>
      </x:c>
      <x:c r="D52" s="9" t="n">
        <x:v>1</x:v>
      </x:c>
      <x:c r="E52" s="9" t="n">
        <x:v>0</x:v>
      </x:c>
      <x:c r="F52" s="9" t="str">
        <x:v>HOLD</x:v>
      </x:c>
      <x:c r="G52" s="9" t="str">
        <x:f>IF(AND(B52&lt;&gt;"",C52&lt;&gt;"",D52=1),"PASS","FAIL")</x:f>
        <x:v>PASS</x:v>
      </x:c>
      <x:c r="H52" s="36"/>
      <x:c r="I52" s="36"/>
      <x:c r="J52" s="36"/>
      <x:c r="K52" s="36"/>
    </x:row>
    <x:row r="53">
      <x:c r="B53" s="9" t="str">
        <x:v>CC-005</x:v>
      </x:c>
      <x:c r="C53" s="9" t="str">
        <x:v>CRC-E03</x:v>
      </x:c>
      <x:c r="D53" s="9" t="n">
        <x:v>1</x:v>
      </x:c>
      <x:c r="E53" s="9" t="n">
        <x:v>0</x:v>
      </x:c>
      <x:c r="F53" s="9" t="str">
        <x:v>HOLD</x:v>
      </x:c>
      <x:c r="G53" s="9" t="str">
        <x:f>IF(AND(B53&lt;&gt;"",C53&lt;&gt;"",D53=1),"PASS","FAIL")</x:f>
        <x:v>PASS</x:v>
      </x:c>
      <x:c r="H53" s="36"/>
      <x:c r="I53" s="36"/>
      <x:c r="J53" s="36"/>
      <x:c r="K53" s="36"/>
    </x:row>
    <x:row r="54">
      <x:c r="B54" s="9" t="str">
        <x:v>CC-006</x:v>
      </x:c>
      <x:c r="C54" s="9" t="str">
        <x:v>CRC-E03</x:v>
      </x:c>
      <x:c r="D54" s="9" t="n">
        <x:v>1</x:v>
      </x:c>
      <x:c r="E54" s="9" t="n">
        <x:v>0</x:v>
      </x:c>
      <x:c r="F54" s="9" t="str">
        <x:v>HOLD</x:v>
      </x:c>
      <x:c r="G54" s="9" t="str">
        <x:f>IF(AND(B54&lt;&gt;"",C54&lt;&gt;"",D54=1),"PASS","FAIL")</x:f>
        <x:v>PASS</x:v>
      </x:c>
      <x:c r="H54" s="36"/>
      <x:c r="I54" s="36"/>
      <x:c r="J54" s="36"/>
      <x:c r="K54" s="36"/>
    </x:row>
    <x:row r="55">
      <x:c r="B55" s="9" t="str">
        <x:v>CC-007</x:v>
      </x:c>
      <x:c r="C55" s="9" t="str">
        <x:v>CRC-E04</x:v>
      </x:c>
      <x:c r="D55" s="9" t="n">
        <x:v>1</x:v>
      </x:c>
      <x:c r="E55" s="9" t="n">
        <x:v>0</x:v>
      </x:c>
      <x:c r="F55" s="9" t="str">
        <x:v>HOLD</x:v>
      </x:c>
      <x:c r="G55" s="9" t="str">
        <x:f>IF(AND(B55&lt;&gt;"",C55&lt;&gt;"",D55=1),"PASS","FAIL")</x:f>
        <x:v>PASS</x:v>
      </x:c>
      <x:c r="H55" s="36"/>
      <x:c r="I55" s="36"/>
      <x:c r="J55" s="36"/>
      <x:c r="K55" s="36"/>
    </x:row>
    <x:row r="56">
      <x:c r="B56" s="9" t="str">
        <x:v>CC-008</x:v>
      </x:c>
      <x:c r="C56" s="9" t="str">
        <x:v>CRC-E04</x:v>
      </x:c>
      <x:c r="D56" s="9" t="n">
        <x:v>1</x:v>
      </x:c>
      <x:c r="E56" s="9" t="n">
        <x:v>0</x:v>
      </x:c>
      <x:c r="F56" s="9" t="str">
        <x:v>HOLD</x:v>
      </x:c>
      <x:c r="G56" s="9" t="str">
        <x:f>IF(AND(B56&lt;&gt;"",C56&lt;&gt;"",D56=1),"PASS","FAIL")</x:f>
        <x:v>PASS</x:v>
      </x:c>
      <x:c r="H56" s="36"/>
      <x:c r="I56" s="36"/>
      <x:c r="J56" s="36"/>
      <x:c r="K56" s="36"/>
    </x:row>
    <x:row r="57">
      <x:c r="B57" s="9" t="str">
        <x:v>CC-009</x:v>
      </x:c>
      <x:c r="C57" s="9" t="str">
        <x:v>CRC-E05</x:v>
      </x:c>
      <x:c r="D57" s="9" t="n">
        <x:v>1</x:v>
      </x:c>
      <x:c r="E57" s="9" t="n">
        <x:v>0</x:v>
      </x:c>
      <x:c r="F57" s="9" t="str">
        <x:v>HOLD</x:v>
      </x:c>
      <x:c r="G57" s="9" t="str">
        <x:f>IF(AND(B57&lt;&gt;"",C57&lt;&gt;"",D57=1),"PASS","FAIL")</x:f>
        <x:v>PASS</x:v>
      </x:c>
      <x:c r="H57" s="36"/>
      <x:c r="I57" s="36"/>
      <x:c r="J57" s="36"/>
      <x:c r="K57" s="36"/>
    </x:row>
    <x:row r="58">
      <x:c r="B58" s="9" t="str">
        <x:v>CC-010</x:v>
      </x:c>
      <x:c r="C58" s="9" t="str">
        <x:v>CRC-E05</x:v>
      </x:c>
      <x:c r="D58" s="9" t="n">
        <x:v>1</x:v>
      </x:c>
      <x:c r="E58" s="9" t="n">
        <x:v>0</x:v>
      </x:c>
      <x:c r="F58" s="9" t="str">
        <x:v>HOLD</x:v>
      </x:c>
      <x:c r="G58" s="9" t="str">
        <x:f>IF(AND(B58&lt;&gt;"",C58&lt;&gt;"",D58=1),"PASS","FAIL")</x:f>
        <x:v>PASS</x:v>
      </x:c>
      <x:c r="H58" s="36"/>
      <x:c r="I58" s="36"/>
      <x:c r="J58" s="36"/>
      <x:c r="K58" s="36"/>
    </x:row>
    <x:row r="59">
      <x:c r="B59" s="9" t="str">
        <x:v>CC-011</x:v>
      </x:c>
      <x:c r="C59" s="9" t="str">
        <x:v>CRC-E06</x:v>
      </x:c>
      <x:c r="D59" s="9" t="n">
        <x:v>1</x:v>
      </x:c>
      <x:c r="E59" s="9" t="n">
        <x:v>0</x:v>
      </x:c>
      <x:c r="F59" s="9" t="str">
        <x:v>HOLD</x:v>
      </x:c>
      <x:c r="G59" s="9" t="str">
        <x:f>IF(AND(B59&lt;&gt;"",C59&lt;&gt;"",D59=1),"PASS","FAIL")</x:f>
        <x:v>PASS</x:v>
      </x:c>
      <x:c r="H59" s="36"/>
      <x:c r="I59" s="36"/>
      <x:c r="J59" s="36"/>
      <x:c r="K59" s="36"/>
    </x:row>
    <x:row r="60">
      <x:c r="B60" s="10" t="str">
        <x:v>CC-012</x:v>
      </x:c>
      <x:c r="C60" s="10" t="str">
        <x:v>CRC-E06</x:v>
      </x:c>
      <x:c r="D60" s="10" t="n">
        <x:v>1</x:v>
      </x:c>
      <x:c r="E60" s="10" t="n">
        <x:v>0</x:v>
      </x:c>
      <x:c r="F60" s="10" t="str">
        <x:v>HOLD</x:v>
      </x:c>
      <x:c r="G60" s="10" t="str">
        <x:f>IF(AND(B60&lt;&gt;"",C60&lt;&gt;"",D60=1),"PASS","FAIL")</x:f>
        <x:v>PASS</x:v>
      </x:c>
      <x:c r="H60" s="36"/>
      <x:c r="I60" s="36"/>
      <x:c r="J60" s="36"/>
      <x:c r="K60" s="36"/>
    </x:row>
    <x:row r="61"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</x:row>
    <x:row r="62"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</x:row>
    <x:row r="63"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</x:row>
    <x:row r="64">
      <x:c r="B64" s="25" t="str">
        <x:v>Statistical ceiling</x:v>
      </x:c>
      <x:c r="C64" s="26" t="str">
        <x:v>Statistical ceiling</x:v>
      </x:c>
      <x:c r="D64" s="26" t="str">
        <x:v>Statistical ceiling</x:v>
      </x:c>
      <x:c r="E64" s="26" t="str">
        <x:v>Statistical ceiling</x:v>
      </x:c>
      <x:c r="F64" s="26" t="str">
        <x:v>Statistical ceiling</x:v>
      </x:c>
      <x:c r="G64" s="26" t="str">
        <x:v>Statistical ceiling</x:v>
      </x:c>
      <x:c r="H64" s="26" t="str">
        <x:v>Statistical ceiling</x:v>
      </x:c>
      <x:c r="I64" s="26" t="str">
        <x:v>Statistical ceiling</x:v>
      </x:c>
      <x:c r="J64" s="26" t="str">
        <x:v>Statistical ceiling</x:v>
      </x:c>
      <x:c r="K64" s="27" t="str">
        <x:v>Statistical ceiling</x:v>
      </x:c>
    </x:row>
    <x:row r="65">
      <x:c r="B65" s="36" t="str">
        <x:v>Fault trials</x:v>
      </x:c>
      <x:c r="C65" s="36"/>
      <x:c r="D65" s="36" t="n">
        <x:f>COUNTA(B20:B43)</x:f>
        <x:v>24</x:v>
      </x:c>
      <x:c r="E65" s="36" t="str">
        <x:v>Mechanism-coverage screen; repeated fault families are not independent fleet evidence.</x:v>
      </x:c>
      <x:c r="F65" s="36"/>
      <x:c r="G65" s="36"/>
      <x:c r="H65" s="36"/>
      <x:c r="I65" s="36"/>
      <x:c r="J65" s="36"/>
      <x:c r="K65" s="36"/>
    </x:row>
    <x:row r="66">
      <x:c r="B66" s="36" t="str">
        <x:v>Assumed misses</x:v>
      </x:c>
      <x:c r="C66" s="36" t="n">
        <x:v>0</x:v>
      </x:c>
      <x:c r="D66" s="36"/>
      <x:c r="E66" s="36"/>
      <x:c r="F66" s="36"/>
      <x:c r="G66" s="36"/>
      <x:c r="H66" s="36"/>
      <x:c r="I66" s="36"/>
      <x:c r="J66" s="36"/>
      <x:c r="K66" s="36"/>
    </x:row>
    <x:row r="67">
      <x:c r="B67" s="36" t="str">
        <x:v>One-sided alpha</x:v>
      </x:c>
      <x:c r="C67" s="36" t="n">
        <x:v>0.05</x:v>
      </x:c>
      <x:c r="D67" s="40"/>
      <x:c r="E67" s="36"/>
      <x:c r="F67" s="36"/>
      <x:c r="G67" s="36"/>
      <x:c r="H67" s="36"/>
      <x:c r="I67" s="36"/>
      <x:c r="J67" s="36"/>
      <x:c r="K67" s="36"/>
    </x:row>
    <x:row r="68">
      <x:c r="B68" s="36" t="str">
        <x:v>Zero-miss lower bound</x:v>
      </x:c>
      <x:c r="C68" s="36"/>
      <x:c r="D68" s="40" t="n">
        <x:f>C67^(1/D65)</x:f>
        <x:v>0.8826538438450512</x:v>
      </x:c>
      <x:c r="E68" s="36"/>
      <x:c r="F68" s="36"/>
      <x:c r="G68" s="36"/>
      <x:c r="H68" s="36"/>
      <x:c r="I68" s="36"/>
      <x:c r="J68" s="36"/>
      <x:c r="K68" s="36"/>
    </x:row>
  </x:sheetData>
  <x:mergeCells>
    <x:mergeCell ref="B2:K2"/>
    <x:mergeCell ref="B3:K3"/>
    <x:mergeCell ref="B18:K18"/>
    <x:mergeCell ref="B47:K47"/>
    <x:mergeCell ref="B64:K64"/>
    <x:mergeCell ref="E65:K65"/>
  </x:mergeCells>
  <x:conditionalFormatting sqref="G7:G14">
    <x:cfRule type="containsText" dxfId="180" priority="1" operator="containsText" text="PASS"/>
    <x:cfRule type="containsText" dxfId="181" priority="2" operator="containsText" text="SELECT"/>
    <x:cfRule type="containsText" dxfId="182" priority="3" operator="containsText" text="AUTHORIZED"/>
    <x:cfRule type="containsText" dxfId="183" priority="4" operator="containsText" text="ADMITTED"/>
    <x:cfRule type="containsText" dxfId="184" priority="5" operator="containsText" text="READY"/>
    <x:cfRule type="containsText" dxfId="185" priority="6" operator="containsText" text="HOLD"/>
    <x:cfRule type="containsText" dxfId="186" priority="7" operator="containsText" text="OPEN"/>
    <x:cfRule type="containsText" dxfId="187" priority="8" operator="containsText" text="SAFE_STOP"/>
    <x:cfRule type="containsText" dxfId="188" priority="9" operator="containsText" text="BLOCKED"/>
    <x:cfRule type="containsText" dxfId="189" priority="10" operator="containsText" text="PLANNING"/>
    <x:cfRule type="containsText" dxfId="190" priority="11" operator="containsText" text="FAIL"/>
    <x:cfRule type="containsText" dxfId="191" priority="12" operator="containsText" text="REJECT"/>
    <x:cfRule type="containsText" dxfId="192" priority="13" operator="containsText" text="LATE"/>
    <x:cfRule type="containsText" dxfId="193" priority="14" operator="containsText" text="INCOMPLETE"/>
    <x:cfRule type="containsText" dxfId="194" priority="15" operator="containsText" text="INDETERMINATE"/>
  </x:conditionalFormatting>
  <x:conditionalFormatting sqref="J20:K43">
    <x:cfRule type="containsText" dxfId="195" priority="16" operator="containsText" text="PASS"/>
    <x:cfRule type="containsText" dxfId="196" priority="17" operator="containsText" text="SELECT"/>
    <x:cfRule type="containsText" dxfId="197" priority="18" operator="containsText" text="AUTHORIZED"/>
    <x:cfRule type="containsText" dxfId="198" priority="19" operator="containsText" text="ADMITTED"/>
    <x:cfRule type="containsText" dxfId="199" priority="20" operator="containsText" text="READY"/>
    <x:cfRule type="containsText" dxfId="200" priority="21" operator="containsText" text="HOLD"/>
    <x:cfRule type="containsText" dxfId="201" priority="22" operator="containsText" text="OPEN"/>
    <x:cfRule type="containsText" dxfId="202" priority="23" operator="containsText" text="SAFE_STOP"/>
    <x:cfRule type="containsText" dxfId="203" priority="24" operator="containsText" text="BLOCKED"/>
    <x:cfRule type="containsText" dxfId="204" priority="25" operator="containsText" text="PLANNING"/>
    <x:cfRule type="containsText" dxfId="205" priority="26" operator="containsText" text="FAIL"/>
    <x:cfRule type="containsText" dxfId="206" priority="27" operator="containsText" text="REJECT"/>
    <x:cfRule type="containsText" dxfId="207" priority="28" operator="containsText" text="LATE"/>
    <x:cfRule type="containsText" dxfId="208" priority="29" operator="containsText" text="INCOMPLETE"/>
    <x:cfRule type="containsText" dxfId="209" priority="30" operator="containsText" text="INDETERMINATE"/>
  </x:conditionalFormatting>
  <x:conditionalFormatting sqref="F49:G60">
    <x:cfRule type="containsText" dxfId="210" priority="31" operator="containsText" text="PASS"/>
    <x:cfRule type="containsText" dxfId="211" priority="32" operator="containsText" text="SELECT"/>
    <x:cfRule type="containsText" dxfId="212" priority="33" operator="containsText" text="AUTHORIZED"/>
    <x:cfRule type="containsText" dxfId="213" priority="34" operator="containsText" text="ADMITTED"/>
    <x:cfRule type="containsText" dxfId="214" priority="35" operator="containsText" text="READY"/>
    <x:cfRule type="containsText" dxfId="215" priority="36" operator="containsText" text="HOLD"/>
    <x:cfRule type="containsText" dxfId="216" priority="37" operator="containsText" text="OPEN"/>
    <x:cfRule type="containsText" dxfId="217" priority="38" operator="containsText" text="SAFE_STOP"/>
    <x:cfRule type="containsText" dxfId="218" priority="39" operator="containsText" text="BLOCKED"/>
    <x:cfRule type="containsText" dxfId="219" priority="40" operator="containsText" text="PLANNING"/>
    <x:cfRule type="containsText" dxfId="220" priority="41" operator="containsText" text="FAIL"/>
    <x:cfRule type="containsText" dxfId="221" priority="42" operator="containsText" text="REJECT"/>
    <x:cfRule type="containsText" dxfId="222" priority="43" operator="containsText" text="LATE"/>
    <x:cfRule type="containsText" dxfId="223" priority="44" operator="containsText" text="INCOMPLETE"/>
    <x:cfRule type="containsText" dxfId="224" priority="45" operator="containsText" text="INDETERMINATE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54" hidden="0" customWidth="1"/>
    <x:col min="4" max="4" width="13" hidden="0" customWidth="1"/>
    <x:col min="5" max="5" width="14" hidden="0" customWidth="1"/>
    <x:col min="6" max="6" width="13" hidden="0" customWidth="1"/>
    <x:col min="7" max="7" width="43" hidden="0" customWidth="1"/>
    <x:col min="8" max="8" width="14" hidden="0" customWidth="1"/>
    <x:col min="9" max="9" width="13" hidden="0" customWidth="1"/>
    <x:col min="10" max="10" width="16" hidden="0" customWidth="1"/>
    <x:col min="11" max="11" width="18" hidden="0" customWidth="1"/>
  </x:cols>
  <x:sheetData>
    <x:row r="2">
      <x:c r="B2" s="1" t="str">
        <x:v>CRC-E06 challenged critical path</x:v>
      </x:c>
      <x:c r="C2" s="36"/>
      <x:c r="D2" s="36"/>
      <x:c r="E2" s="36"/>
      <x:c r="F2" s="36"/>
      <x:c r="G2" s="36"/>
      <x:c r="H2" s="36"/>
      <x:c r="I2" s="36"/>
      <x:c r="J2" s="36"/>
      <x:c r="K2" s="36"/>
    </x:row>
    <x:row r="3">
      <x:c r="B3" s="2" t="str">
        <x:v>The combined non-muster and reference loss consumes seventeen of eighteen reserve days.</x:v>
      </x:c>
      <x:c r="C3" s="36"/>
      <x:c r="D3" s="36"/>
      <x:c r="E3" s="36"/>
      <x:c r="F3" s="36"/>
      <x:c r="G3" s="36"/>
      <x:c r="H3" s="36"/>
      <x:c r="I3" s="36"/>
      <x:c r="J3" s="36"/>
      <x:c r="K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  <x:c r="K5" s="36"/>
    </x:row>
    <x:row r="6">
      <x:c r="B6" s="7" t="str">
        <x:v>Package</x:v>
      </x:c>
      <x:c r="C6" s="7" t="str">
        <x:v>Work</x:v>
      </x:c>
      <x:c r="D6" s="7" t="str">
        <x:v>Start</x:v>
      </x:c>
      <x:c r="E6" s="7" t="str">
        <x:v>Duration</x:v>
      </x:c>
      <x:c r="F6" s="7" t="str">
        <x:v>Finish</x:v>
      </x:c>
      <x:c r="G6" s="7" t="str">
        <x:v>Terminal artifact</x:v>
      </x:c>
      <x:c r="H6" s="7" t="str">
        <x:v>Deadline</x:v>
      </x:c>
      <x:c r="I6" s="7" t="str">
        <x:v>Margin</x:v>
      </x:c>
      <x:c r="J6" s="7" t="str">
        <x:v>Planning gate</x:v>
      </x:c>
      <x:c r="K6" s="7" t="str">
        <x:v>Physical evidence</x:v>
      </x:c>
    </x:row>
    <x:row r="7">
      <x:c r="B7" s="9" t="str">
        <x:v>P01</x:v>
      </x:c>
      <x:c r="C7" s="9" t="str">
        <x:v>Loss, reveal and receiver selection</x:v>
      </x:c>
      <x:c r="D7" s="9" t="n">
        <x:v>0</x:v>
      </x:c>
      <x:c r="E7" s="9" t="n">
        <x:v>6</x:v>
      </x:c>
      <x:c r="F7" s="9" t="n">
        <x:f>D7+E7</x:f>
        <x:v>6</x:v>
      </x:c>
      <x:c r="G7" s="9" t="str">
        <x:v>signed event branch</x:v>
      </x:c>
      <x:c r="H7" s="9" t="n">
        <x:f>'Controls'!$D$7</x:f>
        <x:v>180</x:v>
      </x:c>
      <x:c r="I7" s="9" t="n">
        <x:f>H7-F7</x:f>
        <x:v>174</x:v>
      </x:c>
      <x:c r="J7" s="9" t="str">
        <x:f>IF(AND(D7&gt;=0,E7&gt;0,F7&lt;=H7),"PASS","FAIL")</x:f>
        <x:v>PASS</x:v>
      </x:c>
      <x:c r="K7" s="9" t="str">
        <x:v>OPEN</x:v>
      </x:c>
    </x:row>
    <x:row r="8">
      <x:c r="B8" s="9" t="str">
        <x:v>P02</x:v>
      </x:c>
      <x:c r="C8" s="9" t="str">
        <x:v>Roster substitution, root isolation and shipset release</x:v>
      </x:c>
      <x:c r="D8" s="9" t="n">
        <x:v>0</x:v>
      </x:c>
      <x:c r="E8" s="9" t="n">
        <x:v>19</x:v>
      </x:c>
      <x:c r="F8" s="9" t="n">
        <x:f>D8+E8</x:f>
        <x:v>19</x:v>
      </x:c>
      <x:c r="G8" s="9" t="str">
        <x:v>independent people and item ledger</x:v>
      </x:c>
      <x:c r="H8" s="9" t="n">
        <x:f>'Controls'!$D$7</x:f>
        <x:v>180</x:v>
      </x:c>
      <x:c r="I8" s="9" t="n">
        <x:f>H8-F8</x:f>
        <x:v>161</x:v>
      </x:c>
      <x:c r="J8" s="9" t="str">
        <x:f>IF(AND(D8&gt;=0,E8&gt;0,F8&lt;=H8),"PASS","FAIL")</x:f>
        <x:v>PASS</x:v>
      </x:c>
      <x:c r="K8" s="9" t="str">
        <x:v>OPEN</x:v>
      </x:c>
    </x:row>
    <x:row r="9">
      <x:c r="B9" s="9" t="str">
        <x:v>P03</x:v>
      </x:c>
      <x:c r="C9" s="9" t="str">
        <x:v>Receiver and custody activation</x:v>
      </x:c>
      <x:c r="D9" s="9" t="n">
        <x:v>4</x:v>
      </x:c>
      <x:c r="E9" s="9" t="n">
        <x:v>20</x:v>
      </x:c>
      <x:c r="F9" s="9" t="n">
        <x:f>D9+E9</x:f>
        <x:v>24</x:v>
      </x:c>
      <x:c r="G9" s="9" t="str">
        <x:v>site release</x:v>
      </x:c>
      <x:c r="H9" s="9" t="n">
        <x:f>'Controls'!$D$7</x:f>
        <x:v>180</x:v>
      </x:c>
      <x:c r="I9" s="9" t="n">
        <x:f>H9-F9</x:f>
        <x:v>156</x:v>
      </x:c>
      <x:c r="J9" s="9" t="str">
        <x:f>IF(AND(D9&gt;=0,E9&gt;0,F9&lt;=H9),"PASS","FAIL")</x:f>
        <x:v>PASS</x:v>
      </x:c>
      <x:c r="K9" s="9" t="str">
        <x:v>OPEN</x:v>
      </x:c>
    </x:row>
    <x:row r="10">
      <x:c r="B10" s="9" t="str">
        <x:v>P04</x:v>
      </x:c>
      <x:c r="C10" s="9" t="str">
        <x:v>Civil and utility-corridor reactivation</x:v>
      </x:c>
      <x:c r="D10" s="9" t="n">
        <x:v>8</x:v>
      </x:c>
      <x:c r="E10" s="9" t="n">
        <x:v>34</x:v>
      </x:c>
      <x:c r="F10" s="9" t="n">
        <x:f>D10+E10</x:f>
        <x:v>42</x:v>
      </x:c>
      <x:c r="G10" s="9" t="str">
        <x:v>surveyed pads and corridors</x:v>
      </x:c>
      <x:c r="H10" s="9" t="n">
        <x:f>'Controls'!$D$7</x:f>
        <x:v>180</x:v>
      </x:c>
      <x:c r="I10" s="9" t="n">
        <x:f>H10-F10</x:f>
        <x:v>138</x:v>
      </x:c>
      <x:c r="J10" s="9" t="str">
        <x:f>IF(AND(D10&gt;=0,E10&gt;0,F10&lt;=H10),"PASS","FAIL")</x:f>
        <x:v>PASS</x:v>
      </x:c>
      <x:c r="K10" s="9" t="str">
        <x:v>OPEN</x:v>
      </x:c>
    </x:row>
    <x:row r="11">
      <x:c r="B11" s="9" t="str">
        <x:v>P05</x:v>
      </x:c>
      <x:c r="C11" s="9" t="str">
        <x:v>Transport and identity receipt</x:v>
      </x:c>
      <x:c r="D11" s="9" t="n">
        <x:v>19</x:v>
      </x:c>
      <x:c r="E11" s="9" t="n">
        <x:v>40</x:v>
      </x:c>
      <x:c r="F11" s="9" t="n">
        <x:f>D11+E11</x:f>
        <x:v>59</x:v>
      </x:c>
      <x:c r="G11" s="9" t="str">
        <x:v>reconciled module custody</x:v>
      </x:c>
      <x:c r="H11" s="9" t="n">
        <x:f>'Controls'!$D$7</x:f>
        <x:v>180</x:v>
      </x:c>
      <x:c r="I11" s="9" t="n">
        <x:f>H11-F11</x:f>
        <x:v>121</x:v>
      </x:c>
      <x:c r="J11" s="9" t="str">
        <x:f>IF(AND(D11&gt;=0,E11&gt;0,F11&lt;=H11),"PASS","FAIL")</x:f>
        <x:v>PASS</x:v>
      </x:c>
      <x:c r="K11" s="9" t="str">
        <x:v>OPEN</x:v>
      </x:c>
    </x:row>
    <x:row r="12">
      <x:c r="B12" s="9" t="str">
        <x:v>P06</x:v>
      </x:c>
      <x:c r="C12" s="9" t="str">
        <x:v>Island power and communications nucleus</x:v>
      </x:c>
      <x:c r="D12" s="9" t="n">
        <x:v>45</x:v>
      </x:c>
      <x:c r="E12" s="9" t="n">
        <x:v>34</x:v>
      </x:c>
      <x:c r="F12" s="9" t="n">
        <x:f>D12+E12</x:f>
        <x:v>79</x:v>
      </x:c>
      <x:c r="G12" s="9" t="str">
        <x:v>black start</x:v>
      </x:c>
      <x:c r="H12" s="9" t="n">
        <x:f>'Controls'!$D$7</x:f>
        <x:v>180</x:v>
      </x:c>
      <x:c r="I12" s="9" t="n">
        <x:f>H12-F12</x:f>
        <x:v>101</x:v>
      </x:c>
      <x:c r="J12" s="9" t="str">
        <x:f>IF(AND(D12&gt;=0,E12&gt;0,F12&lt;=H12),"PASS","FAIL")</x:f>
        <x:v>PASS</x:v>
      </x:c>
      <x:c r="K12" s="9" t="str">
        <x:v>OPEN</x:v>
      </x:c>
    </x:row>
    <x:row r="13">
      <x:c r="B13" s="9" t="str">
        <x:v>P07</x:v>
      </x:c>
      <x:c r="C13" s="9" t="str">
        <x:v>Hydraulic, thermal, source, receiver and waste</x:v>
      </x:c>
      <x:c r="D13" s="9" t="n">
        <x:v>51</x:v>
      </x:c>
      <x:c r="E13" s="9" t="n">
        <x:v>44</x:v>
      </x:c>
      <x:c r="F13" s="9" t="n">
        <x:f>D13+E13</x:f>
        <x:v>95</x:v>
      </x:c>
      <x:c r="G13" s="9" t="str">
        <x:v>safe wet utility loop</x:v>
      </x:c>
      <x:c r="H13" s="9" t="n">
        <x:f>'Controls'!$D$7</x:f>
        <x:v>180</x:v>
      </x:c>
      <x:c r="I13" s="9" t="n">
        <x:f>H13-F13</x:f>
        <x:v>85</x:v>
      </x:c>
      <x:c r="J13" s="9" t="str">
        <x:f>IF(AND(D13&gt;=0,E13&gt;0,F13&lt;=H13),"PASS","FAIL")</x:f>
        <x:v>PASS</x:v>
      </x:c>
      <x:c r="K13" s="9" t="str">
        <x:v>OPEN</x:v>
      </x:c>
    </x:row>
    <x:row r="14">
      <x:c r="B14" s="9" t="str">
        <x:v>P08</x:v>
      </x:c>
      <x:c r="C14" s="9" t="str">
        <x:v>Replacement references, evidence, blind and forensic chains</x:v>
      </x:c>
      <x:c r="D14" s="9" t="n">
        <x:v>59</x:v>
      </x:c>
      <x:c r="E14" s="9" t="n">
        <x:v>60</x:v>
      </x:c>
      <x:c r="F14" s="9" t="n">
        <x:f>D14+E14</x:f>
        <x:v>119</x:v>
      </x:c>
      <x:c r="G14" s="9" t="str">
        <x:v>independent reference estate</x:v>
      </x:c>
      <x:c r="H14" s="9" t="n">
        <x:f>'Controls'!$D$7</x:f>
        <x:v>180</x:v>
      </x:c>
      <x:c r="I14" s="9" t="n">
        <x:f>H14-F14</x:f>
        <x:v>61</x:v>
      </x:c>
      <x:c r="J14" s="9" t="str">
        <x:f>IF(AND(D14&gt;=0,E14&gt;0,F14&lt;=H14),"PASS","FAIL")</x:f>
        <x:v>PASS</x:v>
      </x:c>
      <x:c r="K14" s="9" t="str">
        <x:v>OPEN</x:v>
      </x:c>
    </x:row>
    <x:row r="15">
      <x:c r="B15" s="9" t="str">
        <x:v>P09</x:v>
      </x:c>
      <x:c r="C15" s="9" t="str">
        <x:v>Station and laboratory assembly</x:v>
      </x:c>
      <x:c r="D15" s="9" t="n">
        <x:v>65</x:v>
      </x:c>
      <x:c r="E15" s="9" t="n">
        <x:v>58</x:v>
      </x:c>
      <x:c r="F15" s="9" t="n">
        <x:f>D15+E15</x:f>
        <x:v>123</x:v>
      </x:c>
      <x:c r="G15" s="9" t="str">
        <x:v>mechanically complete services</x:v>
      </x:c>
      <x:c r="H15" s="9" t="n">
        <x:f>'Controls'!$D$7</x:f>
        <x:v>180</x:v>
      </x:c>
      <x:c r="I15" s="9" t="n">
        <x:f>H15-F15</x:f>
        <x:v>57</x:v>
      </x:c>
      <x:c r="J15" s="9" t="str">
        <x:f>IF(AND(D15&gt;=0,E15&gt;0,F15&lt;=H15),"PASS","FAIL")</x:f>
        <x:v>PASS</x:v>
      </x:c>
      <x:c r="K15" s="9" t="str">
        <x:v>OPEN</x:v>
      </x:c>
    </x:row>
    <x:row r="16">
      <x:c r="B16" s="9" t="str">
        <x:v>P10</x:v>
      </x:c>
      <x:c r="C16" s="9" t="str">
        <x:v>Dry integration and configuration reconciliation</x:v>
      </x:c>
      <x:c r="D16" s="9" t="n">
        <x:v>123</x:v>
      </x:c>
      <x:c r="E16" s="9" t="n">
        <x:v>18</x:v>
      </x:c>
      <x:c r="F16" s="9" t="n">
        <x:f>D16+E16</x:f>
        <x:v>141</x:v>
      </x:c>
      <x:c r="G16" s="9" t="str">
        <x:v>signed configuration baseline</x:v>
      </x:c>
      <x:c r="H16" s="9" t="n">
        <x:f>'Controls'!$D$7</x:f>
        <x:v>180</x:v>
      </x:c>
      <x:c r="I16" s="9" t="n">
        <x:f>H16-F16</x:f>
        <x:v>39</x:v>
      </x:c>
      <x:c r="J16" s="9" t="str">
        <x:f>IF(AND(D16&gt;=0,E16&gt;0,F16&lt;=H16),"PASS","FAIL")</x:f>
        <x:v>PASS</x:v>
      </x:c>
      <x:c r="K16" s="9" t="str">
        <x:v>OPEN</x:v>
      </x:c>
    </x:row>
    <x:row r="17">
      <x:c r="B17" s="9" t="str">
        <x:v>P11</x:v>
      </x:c>
      <x:c r="C17" s="9" t="str">
        <x:v>Wet-reference, containment and black-start trials</x:v>
      </x:c>
      <x:c r="D17" s="9" t="n">
        <x:v>141</x:v>
      </x:c>
      <x:c r="E17" s="9" t="n">
        <x:v>16</x:v>
      </x:c>
      <x:c r="F17" s="9" t="n">
        <x:f>D17+E17</x:f>
        <x:v>157</x:v>
      </x:c>
      <x:c r="G17" s="9" t="str">
        <x:v>common-service packets</x:v>
      </x:c>
      <x:c r="H17" s="9" t="n">
        <x:f>'Controls'!$D$7</x:f>
        <x:v>180</x:v>
      </x:c>
      <x:c r="I17" s="9" t="n">
        <x:f>H17-F17</x:f>
        <x:v>23</x:v>
      </x:c>
      <x:c r="J17" s="9" t="str">
        <x:f>IF(AND(D17&gt;=0,E17&gt;0,F17&lt;=H17),"PASS","FAIL")</x:f>
        <x:v>PASS</x:v>
      </x:c>
      <x:c r="K17" s="9" t="str">
        <x:v>OPEN</x:v>
      </x:c>
    </x:row>
    <x:row r="18">
      <x:c r="B18" s="9" t="str">
        <x:v>P12</x:v>
      </x:c>
      <x:c r="C18" s="9" t="str">
        <x:v>Known-truth brackets and failure insertion</x:v>
      </x:c>
      <x:c r="D18" s="9" t="n">
        <x:v>157</x:v>
      </x:c>
      <x:c r="E18" s="9" t="n">
        <x:v>12</x:v>
      </x:c>
      <x:c r="F18" s="9" t="n">
        <x:f>D18+E18</x:f>
        <x:v>169</x:v>
      </x:c>
      <x:c r="G18" s="9" t="str">
        <x:v>service packets</x:v>
      </x:c>
      <x:c r="H18" s="9" t="n">
        <x:f>'Controls'!$D$7</x:f>
        <x:v>180</x:v>
      </x:c>
      <x:c r="I18" s="9" t="n">
        <x:f>H18-F18</x:f>
        <x:v>11</x:v>
      </x:c>
      <x:c r="J18" s="9" t="str">
        <x:f>IF(AND(D18&gt;=0,E18&gt;0,F18&lt;=H18),"PASS","FAIL")</x:f>
        <x:v>PASS</x:v>
      </x:c>
      <x:c r="K18" s="9" t="str">
        <x:v>OPEN</x:v>
      </x:c>
    </x:row>
    <x:row r="19">
      <x:c r="B19" s="10" t="str">
        <x:v>P13</x:v>
      </x:c>
      <x:c r="C19" s="10" t="str">
        <x:v>Independent replay, cause challenge and admission</x:v>
      </x:c>
      <x:c r="D19" s="10" t="n">
        <x:v>169</x:v>
      </x:c>
      <x:c r="E19" s="10" t="n">
        <x:v>10</x:v>
      </x:c>
      <x:c r="F19" s="10" t="n">
        <x:f>D19+E19</x:f>
        <x:v>179</x:v>
      </x:c>
      <x:c r="G19" s="10" t="str">
        <x:v>campus admission packet</x:v>
      </x:c>
      <x:c r="H19" s="10" t="n">
        <x:f>'Controls'!$D$7</x:f>
        <x:v>180</x:v>
      </x:c>
      <x:c r="I19" s="10" t="n">
        <x:f>H19-F19</x:f>
        <x:v>1</x:v>
      </x:c>
      <x:c r="J19" s="10" t="str">
        <x:f>IF(AND(D19&gt;=0,E19&gt;0,F19&lt;=H19),"PASS","FAIL")</x:f>
        <x:v>PASS</x:v>
      </x:c>
      <x:c r="K19" s="10" t="str">
        <x:v>OPEN</x:v>
      </x:c>
    </x:row>
    <x:row r="20"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</x:row>
    <x:row r="21"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</x:row>
    <x:row r="22"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</x:row>
    <x:row r="23">
      <x:c r="B23" s="25" t="str">
        <x:v>Terminal result</x:v>
      </x:c>
      <x:c r="C23" s="26" t="str">
        <x:v>Terminal result</x:v>
      </x:c>
      <x:c r="D23" s="26" t="str">
        <x:v>Terminal result</x:v>
      </x:c>
      <x:c r="E23" s="26" t="str">
        <x:v>Terminal result</x:v>
      </x:c>
      <x:c r="F23" s="26" t="str">
        <x:v>Terminal result</x:v>
      </x:c>
      <x:c r="G23" s="26" t="str">
        <x:v>Terminal result</x:v>
      </x:c>
      <x:c r="H23" s="26" t="str">
        <x:v>Terminal result</x:v>
      </x:c>
      <x:c r="I23" s="26" t="str">
        <x:v>Terminal result</x:v>
      </x:c>
      <x:c r="J23" s="26" t="str">
        <x:v>Terminal result</x:v>
      </x:c>
      <x:c r="K23" s="27" t="str">
        <x:v>Terminal result</x:v>
      </x:c>
    </x:row>
    <x:row r="24">
      <x:c r="B24" s="36" t="str">
        <x:v>Latest finish</x:v>
      </x:c>
      <x:c r="C24" s="36"/>
      <x:c r="D24" s="36" t="n">
        <x:f>MAX(F7:F19)</x:f>
        <x:v>179</x:v>
      </x:c>
      <x:c r="E24" s="36"/>
      <x:c r="F24" s="36"/>
      <x:c r="G24" s="36"/>
      <x:c r="H24" s="36"/>
      <x:c r="I24" s="36"/>
      <x:c r="J24" s="36"/>
      <x:c r="K24" s="36"/>
    </x:row>
    <x:row r="25">
      <x:c r="B25" s="36" t="str">
        <x:v>Admission deadline</x:v>
      </x:c>
      <x:c r="C25" s="36"/>
      <x:c r="D25" s="36" t="n">
        <x:f>'Controls'!$D$7</x:f>
        <x:v>180</x:v>
      </x:c>
      <x:c r="E25" s="36"/>
      <x:c r="F25" s="36"/>
      <x:c r="G25" s="36"/>
      <x:c r="H25" s="36"/>
      <x:c r="I25" s="36"/>
      <x:c r="J25" s="36"/>
      <x:c r="K25" s="36"/>
    </x:row>
    <x:row r="26">
      <x:c r="B26" s="36" t="str">
        <x:v>Core target</x:v>
      </x:c>
      <x:c r="C26" s="36"/>
      <x:c r="D26" s="36" t="n">
        <x:f>'Controls'!$D$8</x:f>
        <x:v>162</x:v>
      </x:c>
      <x:c r="E26" s="36"/>
      <x:c r="F26" s="36"/>
      <x:c r="G26" s="36"/>
      <x:c r="H26" s="36"/>
      <x:c r="I26" s="36"/>
      <x:c r="J26" s="36"/>
      <x:c r="K26" s="36"/>
    </x:row>
    <x:row r="27">
      <x:c r="B27" s="36" t="str">
        <x:v>Reserve used</x:v>
      </x:c>
      <x:c r="C27" s="36"/>
      <x:c r="D27" s="36" t="n">
        <x:f>D24-D26</x:f>
        <x:v>17</x:v>
      </x:c>
      <x:c r="E27" s="36"/>
      <x:c r="F27" s="36"/>
      <x:c r="G27" s="36"/>
      <x:c r="H27" s="36"/>
      <x:c r="I27" s="36"/>
      <x:c r="J27" s="36"/>
      <x:c r="K27" s="36"/>
    </x:row>
    <x:row r="28">
      <x:c r="B28" s="36" t="str">
        <x:v>Terminal margin</x:v>
      </x:c>
      <x:c r="C28" s="36"/>
      <x:c r="D28" s="36" t="n">
        <x:f>D25-D24</x:f>
        <x:v>1</x:v>
      </x:c>
      <x:c r="E28" s="36"/>
      <x:c r="F28" s="36"/>
      <x:c r="G28" s="36"/>
      <x:c r="H28" s="36"/>
      <x:c r="I28" s="36"/>
      <x:c r="J28" s="36"/>
      <x:c r="K28" s="36"/>
    </x:row>
    <x:row r="29">
      <x:c r="B29" s="36" t="str">
        <x:v>Planning state</x:v>
      </x:c>
      <x:c r="C29" s="36"/>
      <x:c r="D29" s="36" t="str">
        <x:f>IF(AND(D24&lt;=D25,D27&lt;=D25-D26),"PASS","FAIL")</x:f>
        <x:v>PASS</x:v>
      </x:c>
      <x:c r="E29" s="36"/>
      <x:c r="F29" s="36"/>
      <x:c r="G29" s="36"/>
      <x:c r="H29" s="36"/>
      <x:c r="I29" s="36"/>
      <x:c r="J29" s="36"/>
      <x:c r="K29" s="36"/>
    </x:row>
  </x:sheetData>
  <x:mergeCells>
    <x:mergeCell ref="B2:K2"/>
    <x:mergeCell ref="B3:K3"/>
    <x:mergeCell ref="B23:K23"/>
  </x:mergeCells>
  <x:conditionalFormatting sqref="J7:K19">
    <x:cfRule type="containsText" dxfId="225" priority="1" operator="containsText" text="PASS"/>
    <x:cfRule type="containsText" dxfId="226" priority="2" operator="containsText" text="SELECT"/>
    <x:cfRule type="containsText" dxfId="227" priority="3" operator="containsText" text="AUTHORIZED"/>
    <x:cfRule type="containsText" dxfId="228" priority="4" operator="containsText" text="ADMITTED"/>
    <x:cfRule type="containsText" dxfId="229" priority="5" operator="containsText" text="READY"/>
    <x:cfRule type="containsText" dxfId="230" priority="6" operator="containsText" text="HOLD"/>
    <x:cfRule type="containsText" dxfId="231" priority="7" operator="containsText" text="OPEN"/>
    <x:cfRule type="containsText" dxfId="232" priority="8" operator="containsText" text="SAFE_STOP"/>
    <x:cfRule type="containsText" dxfId="233" priority="9" operator="containsText" text="BLOCKED"/>
    <x:cfRule type="containsText" dxfId="234" priority="10" operator="containsText" text="PLANNING"/>
    <x:cfRule type="containsText" dxfId="235" priority="11" operator="containsText" text="FAIL"/>
    <x:cfRule type="containsText" dxfId="236" priority="12" operator="containsText" text="REJECT"/>
    <x:cfRule type="containsText" dxfId="237" priority="13" operator="containsText" text="LATE"/>
    <x:cfRule type="containsText" dxfId="238" priority="14" operator="containsText" text="INCOMPLETE"/>
    <x:cfRule type="containsText" dxfId="239" priority="15" operator="containsText" text="INDETERMINATE"/>
  </x:conditionalFormatting>
  <x:conditionalFormatting sqref="D29:D29">
    <x:cfRule type="containsText" dxfId="240" priority="16" operator="containsText" text="PASS"/>
    <x:cfRule type="containsText" dxfId="241" priority="17" operator="containsText" text="SELECT"/>
    <x:cfRule type="containsText" dxfId="242" priority="18" operator="containsText" text="AUTHORIZED"/>
    <x:cfRule type="containsText" dxfId="243" priority="19" operator="containsText" text="ADMITTED"/>
    <x:cfRule type="containsText" dxfId="244" priority="20" operator="containsText" text="READY"/>
    <x:cfRule type="containsText" dxfId="245" priority="21" operator="containsText" text="HOLD"/>
    <x:cfRule type="containsText" dxfId="246" priority="22" operator="containsText" text="OPEN"/>
    <x:cfRule type="containsText" dxfId="247" priority="23" operator="containsText" text="SAFE_STOP"/>
    <x:cfRule type="containsText" dxfId="248" priority="24" operator="containsText" text="BLOCKED"/>
    <x:cfRule type="containsText" dxfId="249" priority="25" operator="containsText" text="PLANNING"/>
    <x:cfRule type="containsText" dxfId="250" priority="26" operator="containsText" text="FAIL"/>
    <x:cfRule type="containsText" dxfId="251" priority="27" operator="containsText" text="REJECT"/>
    <x:cfRule type="containsText" dxfId="252" priority="28" operator="containsText" text="LATE"/>
    <x:cfRule type="containsText" dxfId="253" priority="29" operator="containsText" text="INCOMPLETE"/>
    <x:cfRule type="containsText" dxfId="254" priority="30" operator="containsText" text="INDETERMINATE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8" hidden="0" customWidth="1"/>
    <x:col min="3" max="3" width="52" hidden="0" customWidth="1"/>
    <x:col min="4" max="4" width="16" hidden="0" customWidth="1"/>
    <x:col min="5" max="5" width="26" hidden="0" customWidth="1"/>
    <x:col min="6" max="6" width="18" hidden="0" customWidth="1"/>
    <x:col min="7" max="7" width="17" hidden="0" customWidth="1"/>
    <x:col min="8" max="8" width="16" hidden="0" customWidth="1"/>
    <x:col min="9" max="9" width="16" hidden="0" customWidth="1"/>
    <x:col min="10" max="10" width="18" hidden="0" customWidth="1"/>
  </x:cols>
  <x:sheetData>
    <x:row r="2">
      <x:c r="B2" s="1" t="str">
        <x:v>Event and campaign terminal states</x:v>
      </x:c>
      <x:c r="C2" s="36"/>
      <x:c r="D2" s="36"/>
      <x:c r="E2" s="36"/>
      <x:c r="F2" s="36"/>
      <x:c r="G2" s="36"/>
      <x:c r="H2" s="36"/>
      <x:c r="I2" s="36"/>
      <x:c r="J2" s="36"/>
    </x:row>
    <x:row r="3">
      <x:c r="B3" s="2" t="str">
        <x:v>A physically complete assembly is not a campus until evidence, alert protection and reset close.</x:v>
      </x:c>
      <x:c r="C3" s="36"/>
      <x:c r="D3" s="36"/>
      <x:c r="E3" s="36"/>
      <x:c r="F3" s="36"/>
      <x:c r="G3" s="36"/>
      <x:c r="H3" s="36"/>
      <x:c r="I3" s="36"/>
      <x:c r="J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</x:row>
    <x:row r="6">
      <x:c r="B6" s="7" t="str">
        <x:v>State</x:v>
      </x:c>
      <x:c r="C6" s="7" t="str">
        <x:v>Meaning</x:v>
      </x:c>
      <x:c r="D6" s="7" t="str">
        <x:v>Mission pass</x:v>
      </x:c>
      <x:c r="E6" s="7" t="str">
        <x:v>Campaign action</x:v>
      </x:c>
      <x:c r="F6" s="7" t="str">
        <x:v>Planning defined</x:v>
      </x:c>
      <x:c r="G6" s="36"/>
      <x:c r="H6" s="36"/>
      <x:c r="I6" s="36"/>
      <x:c r="J6" s="36"/>
    </x:row>
    <x:row r="7">
      <x:c r="B7" s="9" t="str">
        <x:v>ADMITTED_BY_180</x:v>
      </x:c>
      <x:c r="C7" s="9" t="str">
        <x:v>complete campus independently admitted by deadline</x:v>
      </x:c>
      <x:c r="D7" s="9" t="n">
        <x:v>1</x:v>
      </x:c>
      <x:c r="E7" s="9" t="str">
        <x:v>continue after reset</x:v>
      </x:c>
      <x:c r="F7" s="9" t="n">
        <x:v>1</x:v>
      </x:c>
      <x:c r="G7" s="36"/>
      <x:c r="H7" s="36"/>
      <x:c r="I7" s="36"/>
      <x:c r="J7" s="36"/>
    </x:row>
    <x:row r="8">
      <x:c r="B8" s="9" t="str">
        <x:v>LATE_ADMISSION</x:v>
      </x:c>
      <x:c r="C8" s="9" t="str">
        <x:v>complete campus admitted after day 180</x:v>
      </x:c>
      <x:c r="D8" s="9" t="n">
        <x:v>0</x:v>
      </x:c>
      <x:c r="E8" s="9" t="str">
        <x:v>architecture failure</x:v>
      </x:c>
      <x:c r="F8" s="9" t="n">
        <x:v>1</x:v>
      </x:c>
      <x:c r="G8" s="36"/>
      <x:c r="H8" s="36"/>
      <x:c r="I8" s="36"/>
      <x:c r="J8" s="36"/>
    </x:row>
    <x:row r="9">
      <x:c r="B9" s="9" t="str">
        <x:v>INCOMPLETE_SERVICE</x:v>
      </x:c>
      <x:c r="C9" s="9" t="str">
        <x:v>one or more required services remain open</x:v>
      </x:c>
      <x:c r="D9" s="9" t="n">
        <x:v>0</x:v>
      </x:c>
      <x:c r="E9" s="9" t="str">
        <x:v>architecture failure</x:v>
      </x:c>
      <x:c r="F9" s="9" t="n">
        <x:v>1</x:v>
      </x:c>
      <x:c r="G9" s="36"/>
      <x:c r="H9" s="36"/>
      <x:c r="I9" s="36"/>
      <x:c r="J9" s="36"/>
    </x:row>
    <x:row r="10">
      <x:c r="B10" s="9" t="str">
        <x:v>EVIDENCE_INDETERMINATE</x:v>
      </x:c>
      <x:c r="C10" s="9" t="str">
        <x:v>physical work cannot replay to a decision</x:v>
      </x:c>
      <x:c r="D10" s="9" t="n">
        <x:v>0</x:v>
      </x:c>
      <x:c r="E10" s="9" t="str">
        <x:v>evidence failure</x:v>
      </x:c>
      <x:c r="F10" s="9" t="n">
        <x:v>1</x:v>
      </x:c>
      <x:c r="G10" s="36"/>
      <x:c r="H10" s="36"/>
      <x:c r="I10" s="36"/>
      <x:c r="J10" s="36"/>
    </x:row>
    <x:row r="11">
      <x:c r="B11" s="9" t="str">
        <x:v>SAFETY_STOP</x:v>
      </x:c>
      <x:c r="C11" s="9" t="str">
        <x:v>safety authority terminates exposure</x:v>
      </x:c>
      <x:c r="D11" s="9" t="n">
        <x:v>0</x:v>
      </x:c>
      <x:c r="E11" s="9" t="str">
        <x:v>eligibility review</x:v>
      </x:c>
      <x:c r="F11" s="9" t="n">
        <x:v>1</x:v>
      </x:c>
      <x:c r="G11" s="36"/>
      <x:c r="H11" s="36"/>
      <x:c r="I11" s="36"/>
      <x:c r="J11" s="36"/>
    </x:row>
    <x:row r="12">
      <x:c r="B12" s="10" t="str">
        <x:v>REAL_MISSION_CONVERSION</x:v>
      </x:c>
      <x:c r="C12" s="10" t="str">
        <x:v>public emergency supersedes exercise</x:v>
      </x:c>
      <x:c r="D12" s="10" t="n">
        <x:v>0</x:v>
      </x:c>
      <x:c r="E12" s="10" t="str">
        <x:v>coverage incomplete</x:v>
      </x:c>
      <x:c r="F12" s="10" t="n">
        <x:v>1</x:v>
      </x:c>
      <x:c r="G12" s="36"/>
      <x:c r="H12" s="36"/>
      <x:c r="I12" s="36"/>
      <x:c r="J12" s="36"/>
    </x:row>
    <x:row r="13">
      <x:c r="B13" s="36"/>
      <x:c r="C13" s="36"/>
      <x:c r="D13" s="36"/>
      <x:c r="E13" s="36"/>
      <x:c r="F13" s="36"/>
      <x:c r="G13" s="36"/>
      <x:c r="H13" s="36"/>
      <x:c r="I13" s="36"/>
      <x:c r="J13" s="36"/>
    </x:row>
    <x:row r="14">
      <x:c r="B14" s="36"/>
      <x:c r="C14" s="36"/>
      <x:c r="D14" s="36"/>
      <x:c r="E14" s="36"/>
      <x:c r="F14" s="36"/>
      <x:c r="G14" s="36"/>
      <x:c r="H14" s="36"/>
      <x:c r="I14" s="36"/>
      <x:c r="J14" s="36"/>
    </x:row>
    <x:row r="15">
      <x:c r="B15" s="36"/>
      <x:c r="C15" s="36"/>
      <x:c r="D15" s="36"/>
      <x:c r="E15" s="36"/>
      <x:c r="F15" s="36"/>
      <x:c r="G15" s="36"/>
      <x:c r="H15" s="36"/>
      <x:c r="I15" s="36"/>
      <x:c r="J15" s="36"/>
    </x:row>
    <x:row r="16">
      <x:c r="B16" s="25" t="str">
        <x:v>Required event packets</x:v>
      </x:c>
      <x:c r="C16" s="26" t="str">
        <x:v>Required event packets</x:v>
      </x:c>
      <x:c r="D16" s="26" t="str">
        <x:v>Required event packets</x:v>
      </x:c>
      <x:c r="E16" s="26" t="str">
        <x:v>Required event packets</x:v>
      </x:c>
      <x:c r="F16" s="26" t="str">
        <x:v>Required event packets</x:v>
      </x:c>
      <x:c r="G16" s="26" t="str">
        <x:v>Required event packets</x:v>
      </x:c>
      <x:c r="H16" s="26" t="str">
        <x:v>Required event packets</x:v>
      </x:c>
      <x:c r="I16" s="26" t="str">
        <x:v>Required event packets</x:v>
      </x:c>
      <x:c r="J16" s="27" t="str">
        <x:v>Required event packets</x:v>
      </x:c>
    </x:row>
    <x:row r="17">
      <x:c r="B17" s="7" t="str">
        <x:v>Event</x:v>
      </x:c>
      <x:c r="C17" s="7" t="str">
        <x:v>Service records</x:v>
      </x:c>
      <x:c r="D17" s="7" t="str">
        <x:v>Fault records</x:v>
      </x:c>
      <x:c r="E17" s="7" t="str">
        <x:v>Clean controls</x:v>
      </x:c>
      <x:c r="F17" s="7" t="str">
        <x:v>No-borrow packet</x:v>
      </x:c>
      <x:c r="G17" s="7" t="str">
        <x:v>Alert packet</x:v>
      </x:c>
      <x:c r="H17" s="7" t="str">
        <x:v>Admission packet</x:v>
      </x:c>
      <x:c r="I17" s="7" t="str">
        <x:v>Reset packet</x:v>
      </x:c>
      <x:c r="J17" s="7" t="str">
        <x:v>Terminal state</x:v>
      </x:c>
    </x:row>
    <x:row r="18">
      <x:c r="B18" s="9" t="str">
        <x:v>CRC-E01</x:v>
      </x:c>
      <x:c r="C18" s="9" t="n">
        <x:v>9</x:v>
      </x:c>
      <x:c r="D18" s="9" t="n">
        <x:v>4</x:v>
      </x:c>
      <x:c r="E18" s="9" t="n">
        <x:v>2</x:v>
      </x:c>
      <x:c r="F18" s="9" t="n">
        <x:v>1</x:v>
      </x:c>
      <x:c r="G18" s="9" t="n">
        <x:v>1</x:v>
      </x:c>
      <x:c r="H18" s="9" t="n">
        <x:v>0</x:v>
      </x:c>
      <x:c r="I18" s="9" t="n">
        <x:v>0</x:v>
      </x:c>
      <x:c r="J18" s="9" t="str">
        <x:v>OPEN</x:v>
      </x:c>
    </x:row>
    <x:row r="19">
      <x:c r="B19" s="9" t="str">
        <x:v>CRC-E02</x:v>
      </x:c>
      <x:c r="C19" s="9" t="n">
        <x:v>9</x:v>
      </x:c>
      <x:c r="D19" s="9" t="n">
        <x:v>4</x:v>
      </x:c>
      <x:c r="E19" s="9" t="n">
        <x:v>2</x:v>
      </x:c>
      <x:c r="F19" s="9" t="n">
        <x:v>1</x:v>
      </x:c>
      <x:c r="G19" s="9" t="n">
        <x:v>1</x:v>
      </x:c>
      <x:c r="H19" s="9" t="n">
        <x:v>0</x:v>
      </x:c>
      <x:c r="I19" s="9" t="n">
        <x:v>0</x:v>
      </x:c>
      <x:c r="J19" s="9" t="str">
        <x:v>OPEN</x:v>
      </x:c>
    </x:row>
    <x:row r="20">
      <x:c r="B20" s="9" t="str">
        <x:v>CRC-E03</x:v>
      </x:c>
      <x:c r="C20" s="9" t="n">
        <x:v>9</x:v>
      </x:c>
      <x:c r="D20" s="9" t="n">
        <x:v>4</x:v>
      </x:c>
      <x:c r="E20" s="9" t="n">
        <x:v>2</x:v>
      </x:c>
      <x:c r="F20" s="9" t="n">
        <x:v>1</x:v>
      </x:c>
      <x:c r="G20" s="9" t="n">
        <x:v>1</x:v>
      </x:c>
      <x:c r="H20" s="9" t="n">
        <x:v>0</x:v>
      </x:c>
      <x:c r="I20" s="9" t="n">
        <x:v>0</x:v>
      </x:c>
      <x:c r="J20" s="9" t="str">
        <x:v>OPEN</x:v>
      </x:c>
    </x:row>
    <x:row r="21">
      <x:c r="B21" s="9" t="str">
        <x:v>CRC-E04</x:v>
      </x:c>
      <x:c r="C21" s="9" t="n">
        <x:v>9</x:v>
      </x:c>
      <x:c r="D21" s="9" t="n">
        <x:v>4</x:v>
      </x:c>
      <x:c r="E21" s="9" t="n">
        <x:v>2</x:v>
      </x:c>
      <x:c r="F21" s="9" t="n">
        <x:v>1</x:v>
      </x:c>
      <x:c r="G21" s="9" t="n">
        <x:v>1</x:v>
      </x:c>
      <x:c r="H21" s="9" t="n">
        <x:v>0</x:v>
      </x:c>
      <x:c r="I21" s="9" t="n">
        <x:v>0</x:v>
      </x:c>
      <x:c r="J21" s="9" t="str">
        <x:v>OPEN</x:v>
      </x:c>
    </x:row>
    <x:row r="22">
      <x:c r="B22" s="9" t="str">
        <x:v>CRC-E05</x:v>
      </x:c>
      <x:c r="C22" s="9" t="n">
        <x:v>9</x:v>
      </x:c>
      <x:c r="D22" s="9" t="n">
        <x:v>4</x:v>
      </x:c>
      <x:c r="E22" s="9" t="n">
        <x:v>2</x:v>
      </x:c>
      <x:c r="F22" s="9" t="n">
        <x:v>1</x:v>
      </x:c>
      <x:c r="G22" s="9" t="n">
        <x:v>1</x:v>
      </x:c>
      <x:c r="H22" s="9" t="n">
        <x:v>0</x:v>
      </x:c>
      <x:c r="I22" s="9" t="n">
        <x:v>0</x:v>
      </x:c>
      <x:c r="J22" s="9" t="str">
        <x:v>OPEN</x:v>
      </x:c>
    </x:row>
    <x:row r="23">
      <x:c r="B23" s="10" t="str">
        <x:v>CRC-E06</x:v>
      </x:c>
      <x:c r="C23" s="10" t="n">
        <x:v>9</x:v>
      </x:c>
      <x:c r="D23" s="10" t="n">
        <x:v>4</x:v>
      </x:c>
      <x:c r="E23" s="10" t="n">
        <x:v>2</x:v>
      </x:c>
      <x:c r="F23" s="10" t="n">
        <x:v>1</x:v>
      </x:c>
      <x:c r="G23" s="10" t="n">
        <x:v>1</x:v>
      </x:c>
      <x:c r="H23" s="10" t="n">
        <x:v>0</x:v>
      </x:c>
      <x:c r="I23" s="10" t="n">
        <x:v>0</x:v>
      </x:c>
      <x:c r="J23" s="10" t="str">
        <x:v>OPEN</x:v>
      </x:c>
    </x:row>
    <x:row r="24">
      <x:c r="B24" s="36"/>
      <x:c r="C24" s="36"/>
      <x:c r="D24" s="36"/>
      <x:c r="E24" s="36"/>
      <x:c r="F24" s="36"/>
      <x:c r="G24" s="36"/>
      <x:c r="H24" s="36"/>
      <x:c r="I24" s="36"/>
      <x:c r="J24" s="36"/>
    </x:row>
    <x:row r="25">
      <x:c r="B25" s="36"/>
      <x:c r="C25" s="36"/>
      <x:c r="D25" s="36"/>
      <x:c r="E25" s="36"/>
      <x:c r="F25" s="36"/>
      <x:c r="G25" s="36"/>
      <x:c r="H25" s="36"/>
      <x:c r="I25" s="36"/>
      <x:c r="J25" s="36"/>
    </x:row>
    <x:row r="26">
      <x:c r="B26" s="36"/>
      <x:c r="C26" s="36"/>
      <x:c r="D26" s="36"/>
      <x:c r="E26" s="36"/>
      <x:c r="F26" s="36"/>
      <x:c r="G26" s="36"/>
      <x:c r="H26" s="36"/>
      <x:c r="I26" s="36"/>
      <x:c r="J26" s="36"/>
    </x:row>
    <x:row r="27">
      <x:c r="B27" s="25" t="str">
        <x:v>Campaign terminal law</x:v>
      </x:c>
      <x:c r="C27" s="26" t="str">
        <x:v>Campaign terminal law</x:v>
      </x:c>
      <x:c r="D27" s="26" t="str">
        <x:v>Campaign terminal law</x:v>
      </x:c>
      <x:c r="E27" s="26" t="str">
        <x:v>Campaign terminal law</x:v>
      </x:c>
      <x:c r="F27" s="26" t="str">
        <x:v>Campaign terminal law</x:v>
      </x:c>
      <x:c r="G27" s="26" t="str">
        <x:v>Campaign terminal law</x:v>
      </x:c>
      <x:c r="H27" s="26" t="str">
        <x:v>Campaign terminal law</x:v>
      </x:c>
      <x:c r="I27" s="26" t="str">
        <x:v>Campaign terminal law</x:v>
      </x:c>
      <x:c r="J27" s="27" t="str">
        <x:v>Campaign terminal law</x:v>
      </x:c>
    </x:row>
    <x:row r="28">
      <x:c r="B28" s="36" t="str">
        <x:v>Terminal event packets required</x:v>
      </x:c>
      <x:c r="C28" s="36" t="n">
        <x:v>6</x:v>
      </x:c>
      <x:c r="D28" s="36"/>
      <x:c r="E28" s="36"/>
      <x:c r="F28" s="36"/>
      <x:c r="G28" s="36"/>
      <x:c r="H28" s="36"/>
      <x:c r="I28" s="36"/>
      <x:c r="J28" s="36"/>
    </x:row>
    <x:row r="29">
      <x:c r="B29" s="36" t="str">
        <x:v>Reset packets required</x:v>
      </x:c>
      <x:c r="C29" s="36" t="n">
        <x:v>6</x:v>
      </x:c>
      <x:c r="D29" s="36"/>
      <x:c r="E29" s="36"/>
      <x:c r="F29" s="36"/>
      <x:c r="G29" s="36"/>
      <x:c r="H29" s="36"/>
      <x:c r="I29" s="36"/>
      <x:c r="J29" s="36"/>
    </x:row>
    <x:row r="30">
      <x:c r="B30" s="36" t="str">
        <x:v>Partial campus credit permitted</x:v>
      </x:c>
      <x:c r="C30" s="36" t="n">
        <x:v>0</x:v>
      </x:c>
      <x:c r="D30" s="36"/>
      <x:c r="E30" s="36"/>
      <x:c r="F30" s="36"/>
      <x:c r="G30" s="36"/>
      <x:c r="H30" s="36"/>
      <x:c r="I30" s="36"/>
      <x:c r="J30" s="36"/>
    </x:row>
    <x:row r="31">
      <x:c r="B31" s="36" t="str">
        <x:v>Fault reliability claim permitted</x:v>
      </x:c>
      <x:c r="C31" s="36" t="n">
        <x:v>0</x:v>
      </x:c>
      <x:c r="D31" s="36"/>
      <x:c r="E31" s="36"/>
      <x:c r="F31" s="36"/>
      <x:c r="G31" s="36"/>
      <x:c r="H31" s="36"/>
      <x:c r="I31" s="36"/>
      <x:c r="J31" s="36"/>
    </x:row>
    <x:row r="32">
      <x:c r="B32" s="36" t="str">
        <x:v>Physical campaign state</x:v>
      </x:c>
      <x:c r="C32" s="36" t="str">
        <x:v>HOLD</x:v>
      </x:c>
      <x:c r="D32" s="36"/>
      <x:c r="E32" s="36"/>
      <x:c r="F32" s="36"/>
      <x:c r="G32" s="36"/>
      <x:c r="H32" s="36"/>
      <x:c r="I32" s="36"/>
      <x:c r="J32" s="36"/>
    </x:row>
  </x:sheetData>
  <x:mergeCells>
    <x:mergeCell ref="B2:J2"/>
    <x:mergeCell ref="B3:J3"/>
    <x:mergeCell ref="B16:J16"/>
    <x:mergeCell ref="B27:J27"/>
  </x:mergeCells>
  <x:conditionalFormatting sqref="J18:J23">
    <x:cfRule type="containsText" dxfId="255" priority="1" operator="containsText" text="PASS"/>
    <x:cfRule type="containsText" dxfId="256" priority="2" operator="containsText" text="SELECT"/>
    <x:cfRule type="containsText" dxfId="257" priority="3" operator="containsText" text="AUTHORIZED"/>
    <x:cfRule type="containsText" dxfId="258" priority="4" operator="containsText" text="ADMITTED"/>
    <x:cfRule type="containsText" dxfId="259" priority="5" operator="containsText" text="READY"/>
    <x:cfRule type="containsText" dxfId="260" priority="6" operator="containsText" text="HOLD"/>
    <x:cfRule type="containsText" dxfId="261" priority="7" operator="containsText" text="OPEN"/>
    <x:cfRule type="containsText" dxfId="262" priority="8" operator="containsText" text="SAFE_STOP"/>
    <x:cfRule type="containsText" dxfId="263" priority="9" operator="containsText" text="BLOCKED"/>
    <x:cfRule type="containsText" dxfId="264" priority="10" operator="containsText" text="PLANNING"/>
    <x:cfRule type="containsText" dxfId="265" priority="11" operator="containsText" text="FAIL"/>
    <x:cfRule type="containsText" dxfId="266" priority="12" operator="containsText" text="REJECT"/>
    <x:cfRule type="containsText" dxfId="267" priority="13" operator="containsText" text="LATE"/>
    <x:cfRule type="containsText" dxfId="268" priority="14" operator="containsText" text="INCOMPLETE"/>
    <x:cfRule type="containsText" dxfId="269" priority="15" operator="containsText" text="INDETERMINATE"/>
  </x:conditionalFormatting>
  <x:conditionalFormatting sqref="C32:C32">
    <x:cfRule type="containsText" dxfId="270" priority="16" operator="containsText" text="PASS"/>
    <x:cfRule type="containsText" dxfId="271" priority="17" operator="containsText" text="SELECT"/>
    <x:cfRule type="containsText" dxfId="272" priority="18" operator="containsText" text="AUTHORIZED"/>
    <x:cfRule type="containsText" dxfId="273" priority="19" operator="containsText" text="ADMITTED"/>
    <x:cfRule type="containsText" dxfId="274" priority="20" operator="containsText" text="READY"/>
    <x:cfRule type="containsText" dxfId="275" priority="21" operator="containsText" text="HOLD"/>
    <x:cfRule type="containsText" dxfId="276" priority="22" operator="containsText" text="OPEN"/>
    <x:cfRule type="containsText" dxfId="277" priority="23" operator="containsText" text="SAFE_STOP"/>
    <x:cfRule type="containsText" dxfId="278" priority="24" operator="containsText" text="BLOCKED"/>
    <x:cfRule type="containsText" dxfId="279" priority="25" operator="containsText" text="PLANNING"/>
    <x:cfRule type="containsText" dxfId="280" priority="26" operator="containsText" text="FAIL"/>
    <x:cfRule type="containsText" dxfId="281" priority="27" operator="containsText" text="REJECT"/>
    <x:cfRule type="containsText" dxfId="282" priority="28" operator="containsText" text="LATE"/>
    <x:cfRule type="containsText" dxfId="283" priority="29" operator="containsText" text="INCOMPLETE"/>
    <x:cfRule type="containsText" dxfId="284" priority="30" operator="containsText" text="INDETERMINATE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62" hidden="0" customWidth="1"/>
    <x:col min="3" max="3" width="16" hidden="0" customWidth="1"/>
    <x:col min="4" max="4" width="15" hidden="0" customWidth="1"/>
    <x:col min="5" max="5" width="19" hidden="0" customWidth="1"/>
    <x:col min="6" max="6" width="18" hidden="0" customWidth="1"/>
    <x:col min="7" max="7" width="29" hidden="0" customWidth="1"/>
  </x:cols>
  <x:sheetData>
    <x:row r="2">
      <x:c r="B2" s="1" t="str">
        <x:v>CRS-2 standing capital</x:v>
      </x:c>
      <x:c r="C2" s="36"/>
      <x:c r="D2" s="36"/>
      <x:c r="E2" s="36"/>
      <x:c r="F2" s="36"/>
      <x:c r="G2" s="36"/>
    </x:row>
    <x:row r="3">
      <x:c r="B3" s="2" t="str">
        <x:v>Constant planning dollars. The revision buys rotational readiness rather than a different campus mission.</x:v>
      </x:c>
      <x:c r="C3" s="36"/>
      <x:c r="D3" s="36"/>
      <x:c r="E3" s="36"/>
      <x:c r="F3" s="36"/>
      <x:c r="G3" s="36"/>
    </x:row>
    <x:row r="4">
      <x:c r="B4" s="37"/>
      <x:c r="C4" s="37"/>
      <x:c r="D4" s="37"/>
      <x:c r="E4" s="37"/>
      <x:c r="F4" s="37"/>
      <x:c r="G4" s="37"/>
    </x:row>
    <x:row r="5">
      <x:c r="B5" s="36"/>
      <x:c r="C5" s="36"/>
      <x:c r="D5" s="36"/>
      <x:c r="E5" s="36"/>
      <x:c r="F5" s="36"/>
      <x:c r="G5" s="36"/>
    </x:row>
    <x:row r="6">
      <x:c r="B6" s="7" t="str">
        <x:v>Capital line</x:v>
      </x:c>
      <x:c r="C6" s="7" t="str">
        <x:v>USD B</x:v>
      </x:c>
      <x:c r="D6" s="7" t="str">
        <x:v>Share</x:v>
      </x:c>
      <x:c r="E6" s="7" t="str">
        <x:v>Reconciliation</x:v>
      </x:c>
      <x:c r="F6" s="7" t="str">
        <x:v>Physical authority</x:v>
      </x:c>
      <x:c r="G6" s="36"/>
    </x:row>
    <x:row r="7">
      <x:c r="B7" s="9" t="str">
        <x:v>Six complete root-coherent campus shipsets</x:v>
      </x:c>
      <x:c r="C7" s="19" t="n">
        <x:v>8.04</x:v>
      </x:c>
      <x:c r="D7" s="20" t="n">
        <x:f>C7/$C$17</x:f>
        <x:v>0.5784172661870502</x:v>
      </x:c>
      <x:c r="E7" s="9" t="str">
        <x:f>IF(C7&gt;=0,"PASS","FAIL")</x:f>
        <x:v>PASS</x:v>
      </x:c>
      <x:c r="F7" s="9" t="str">
        <x:v>OPEN</x:v>
      </x:c>
      <x:c r="G7" s="36"/>
    </x:row>
    <x:row r="8">
      <x:c r="B8" s="9" t="str">
        <x:v>Unlike roots, tooling, qualification and public technical-data rights</x:v>
      </x:c>
      <x:c r="C8" s="19" t="n">
        <x:v>0.9</x:v>
      </x:c>
      <x:c r="D8" s="20" t="n">
        <x:f>C8/$C$17</x:f>
        <x:v>0.06474820143884892</x:v>
      </x:c>
      <x:c r="E8" s="9" t="str">
        <x:f>IF(C8&gt;=0,"PASS","FAIL")</x:f>
        <x:v>PASS</x:v>
      </x:c>
      <x:c r="F8" s="9" t="str">
        <x:v>OPEN</x:v>
      </x:c>
      <x:c r="G8" s="36"/>
    </x:row>
    <x:row r="9">
      <x:c r="B9" s="9" t="str">
        <x:v>Six dark receiver sites</x:v>
      </x:c>
      <x:c r="C9" s="19" t="n">
        <x:v>0.48</x:v>
      </x:c>
      <x:c r="D9" s="20" t="n">
        <x:f>C9/$C$17</x:f>
        <x:v>0.034532374100719423</x:v>
      </x:c>
      <x:c r="E9" s="9" t="str">
        <x:f>IF(C9&gt;=0,"PASS","FAIL")</x:f>
        <x:v>PASS</x:v>
      </x:c>
      <x:c r="F9" s="9" t="str">
        <x:v>OPEN</x:v>
      </x:c>
      <x:c r="G9" s="36"/>
    </x:row>
    <x:row r="10">
      <x:c r="B10" s="9" t="str">
        <x:v>Six separated module arsenals</x:v>
      </x:c>
      <x:c r="C10" s="19" t="n">
        <x:v>0.72</x:v>
      </x:c>
      <x:c r="D10" s="20" t="n">
        <x:f>C10/$C$17</x:f>
        <x:v>0.051798561151079135</x:v>
      </x:c>
      <x:c r="E10" s="9" t="str">
        <x:f>IF(C10&gt;=0,"PASS","FAIL")</x:f>
        <x:v>PASS</x:v>
      </x:c>
      <x:c r="F10" s="9" t="str">
        <x:v>OPEN</x:v>
      </x:c>
      <x:c r="G10" s="36"/>
    </x:row>
    <x:row r="11">
      <x:c r="B11" s="9" t="str">
        <x:v>Two mobile heavy assembly and transport formations</x:v>
      </x:c>
      <x:c r="C11" s="19" t="n">
        <x:v>1.1</x:v>
      </x:c>
      <x:c r="D11" s="20" t="n">
        <x:f>C11/$C$17</x:f>
        <x:v>0.07913669064748202</x:v>
      </x:c>
      <x:c r="E11" s="9" t="str">
        <x:f>IF(C11&gt;=0,"PASS","FAIL")</x:f>
        <x:v>PASS</x:v>
      </x:c>
      <x:c r="F11" s="9" t="str">
        <x:v>OPEN</x:v>
      </x:c>
      <x:c r="G11" s="36"/>
    </x:row>
    <x:row r="12">
      <x:c r="B12" s="9" t="str">
        <x:v>Two-team independent commissioning and reference estate</x:v>
      </x:c>
      <x:c r="C12" s="19" t="n">
        <x:v>0.55</x:v>
      </x:c>
      <x:c r="D12" s="20" t="n">
        <x:f>C12/$C$17</x:f>
        <x:v>0.03956834532374101</x:v>
      </x:c>
      <x:c r="E12" s="9" t="str">
        <x:f>IF(C12&gt;=0,"PASS","FAIL")</x:f>
        <x:v>PASS</x:v>
      </x:c>
      <x:c r="F12" s="9" t="str">
        <x:v>OPEN</x:v>
      </x:c>
      <x:c r="G12" s="36"/>
    </x:row>
    <x:row r="13">
      <x:c r="B13" s="9" t="str">
        <x:v>Full-scale regeneration exercise range</x:v>
      </x:c>
      <x:c r="C13" s="19" t="n">
        <x:v>0.45</x:v>
      </x:c>
      <x:c r="D13" s="20" t="n">
        <x:f>C13/$C$17</x:f>
        <x:v>0.03237410071942446</x:v>
      </x:c>
      <x:c r="E13" s="9" t="str">
        <x:f>IF(C13&gt;=0,"PASS","FAIL")</x:f>
        <x:v>PASS</x:v>
      </x:c>
      <x:c r="F13" s="9" t="str">
        <x:v>OPEN</x:v>
      </x:c>
      <x:c r="G13" s="36"/>
    </x:row>
    <x:row r="14">
      <x:c r="B14" s="9" t="str">
        <x:v>Environmental, waste and decontamination reserve</x:v>
      </x:c>
      <x:c r="C14" s="19" t="n">
        <x:v>0.3</x:v>
      </x:c>
      <x:c r="D14" s="20" t="n">
        <x:f>C14/$C$17</x:f>
        <x:v>0.021582733812949638</x:v>
      </x:c>
      <x:c r="E14" s="9" t="str">
        <x:f>IF(C14&gt;=0,"PASS","FAIL")</x:f>
        <x:v>PASS</x:v>
      </x:c>
      <x:c r="F14" s="9" t="str">
        <x:v>OPEN</x:v>
      </x:c>
      <x:c r="G14" s="36"/>
    </x:row>
    <x:row r="15">
      <x:c r="B15" s="9" t="str">
        <x:v>Offline data, keys and configuration estate</x:v>
      </x:c>
      <x:c r="C15" s="19" t="n">
        <x:v>0.26</x:v>
      </x:c>
      <x:c r="D15" s="20" t="n">
        <x:f>C15/$C$17</x:f>
        <x:v>0.01870503597122302</x:v>
      </x:c>
      <x:c r="E15" s="9" t="str">
        <x:f>IF(C15&gt;=0,"PASS","FAIL")</x:f>
        <x:v>PASS</x:v>
      </x:c>
      <x:c r="F15" s="9" t="str">
        <x:v>OPEN</x:v>
      </x:c>
      <x:c r="G15" s="36"/>
    </x:row>
    <x:row r="16">
      <x:c r="B16" s="9" t="str">
        <x:v>Capital contingency</x:v>
      </x:c>
      <x:c r="C16" s="19" t="n">
        <x:v>1.1</x:v>
      </x:c>
      <x:c r="D16" s="20" t="n">
        <x:f>C16/$C$17</x:f>
        <x:v>0.07913669064748202</x:v>
      </x:c>
      <x:c r="E16" s="9" t="str">
        <x:f>IF(C16&gt;=0,"PASS","FAIL")</x:f>
        <x:v>PASS</x:v>
      </x:c>
      <x:c r="F16" s="9" t="str">
        <x:v>OPEN</x:v>
      </x:c>
      <x:c r="G16" s="36"/>
    </x:row>
    <x:row r="17">
      <x:c r="B17" s="10" t="str">
        <x:v>Gross standing capital</x:v>
      </x:c>
      <x:c r="C17" s="21" t="n">
        <x:f>SUM(C7:C16)</x:f>
        <x:v>13.9</x:v>
      </x:c>
      <x:c r="D17" s="22" t="n">
        <x:f>SUM(D7:D16)</x:f>
        <x:v>0.9999999999999998</x:v>
      </x:c>
      <x:c r="E17" s="10" t="str">
        <x:f>IF(ABS(C17-'Controls'!$D$33)&lt;0.000001,"PASS","FAIL")</x:f>
        <x:v>PASS</x:v>
      </x:c>
      <x:c r="F17" s="10" t="str">
        <x:v>OPEN</x:v>
      </x:c>
      <x:c r="G17" s="36"/>
    </x:row>
    <x:row r="18">
      <x:c r="B18" s="36"/>
      <x:c r="C18" s="36"/>
      <x:c r="D18" s="36"/>
      <x:c r="E18" s="36"/>
      <x:c r="F18" s="36"/>
      <x:c r="G18" s="36"/>
    </x:row>
    <x:row r="19">
      <x:c r="B19" s="36"/>
      <x:c r="C19" s="36"/>
      <x:c r="D19" s="36"/>
      <x:c r="E19" s="36"/>
      <x:c r="F19" s="36"/>
      <x:c r="G19" s="36"/>
    </x:row>
    <x:row r="20">
      <x:c r="B20" s="36"/>
      <x:c r="C20" s="36"/>
      <x:c r="D20" s="36"/>
      <x:c r="E20" s="36"/>
      <x:c r="F20" s="36"/>
      <x:c r="G20" s="36"/>
    </x:row>
    <x:row r="21">
      <x:c r="B21" s="25" t="str">
        <x:v>Twenty-five-year boundary</x:v>
      </x:c>
      <x:c r="C21" s="26" t="str">
        <x:v>Twenty-five-year boundary</x:v>
      </x:c>
      <x:c r="D21" s="26" t="str">
        <x:v>Twenty-five-year boundary</x:v>
      </x:c>
      <x:c r="E21" s="26" t="str">
        <x:v>Twenty-five-year boundary</x:v>
      </x:c>
      <x:c r="F21" s="26" t="str">
        <x:v>Twenty-five-year boundary</x:v>
      </x:c>
      <x:c r="G21" s="27" t="str">
        <x:v>Twenty-five-year boundary</x:v>
      </x:c>
    </x:row>
    <x:row r="22">
      <x:c r="B22" s="36" t="str">
        <x:v>Gross standing capital</x:v>
      </x:c>
      <x:c r="C22" s="36"/>
      <x:c r="D22" s="38" t="n">
        <x:f>C17</x:f>
        <x:v>13.9</x:v>
      </x:c>
      <x:c r="E22" s="36" t="str">
        <x:v>USD B</x:v>
      </x:c>
      <x:c r="F22" s="38" t="n">
        <x:f>D22/1.34</x:f>
        <x:v>10.373134328358208</x:v>
      </x:c>
      <x:c r="G22" s="36" t="str">
        <x:v>times installed campus value</x:v>
      </x:c>
    </x:row>
    <x:row r="23">
      <x:c r="B23" s="36" t="str">
        <x:v>Recognized inherited overlap</x:v>
      </x:c>
      <x:c r="C23" s="36"/>
      <x:c r="D23" s="38" t="n">
        <x:f>'Controls'!$D$34</x:f>
        <x:v>0.1</x:v>
      </x:c>
      <x:c r="E23" s="36" t="str">
        <x:v>USD B</x:v>
      </x:c>
      <x:c r="F23" s="36"/>
      <x:c r="G23" s="36"/>
    </x:row>
    <x:row r="24">
      <x:c r="B24" s="36" t="str">
        <x:v>Incremental capital</x:v>
      </x:c>
      <x:c r="C24" s="36"/>
      <x:c r="D24" s="38" t="n">
        <x:f>D22-D23</x:f>
        <x:v>13.8</x:v>
      </x:c>
      <x:c r="E24" s="36" t="str">
        <x:v>USD B</x:v>
      </x:c>
      <x:c r="F24" s="36" t="str">
        <x:f>IF(ABS(D24-'Controls'!$D$35)&lt;0.000001,"PASS","FAIL")</x:f>
        <x:v>PASS</x:v>
      </x:c>
      <x:c r="G24" s="36"/>
    </x:row>
    <x:row r="25">
      <x:c r="B25" s="36" t="str">
        <x:v>Twenty-five-year support</x:v>
      </x:c>
      <x:c r="C25" s="36"/>
      <x:c r="D25" s="38" t="n">
        <x:f>'Controls'!$D$36*'Controls'!$D$37</x:f>
        <x:v>27.150000000000002</x:v>
      </x:c>
      <x:c r="E25" s="36" t="str">
        <x:v>USD B</x:v>
      </x:c>
      <x:c r="F25" s="36"/>
      <x:c r="G25" s="36"/>
    </x:row>
    <x:row r="26">
      <x:c r="B26" s="36" t="str">
        <x:v>Incremental boundary</x:v>
      </x:c>
      <x:c r="C26" s="36"/>
      <x:c r="D26" s="38" t="n">
        <x:f>D24+D25</x:f>
        <x:v>40.95</x:v>
      </x:c>
      <x:c r="E26" s="36" t="str">
        <x:v>USD B</x:v>
      </x:c>
      <x:c r="F26" s="36" t="str">
        <x:f>IF(ABS(D26-'Controls'!$D$38)&lt;0.000001,"PASS","FAIL")</x:f>
        <x:v>PASS</x:v>
      </x:c>
      <x:c r="G26" s="36"/>
    </x:row>
    <x:row r="27">
      <x:c r="B27" s="36" t="str">
        <x:v>Gross boundary</x:v>
      </x:c>
      <x:c r="C27" s="36"/>
      <x:c r="D27" s="38" t="n">
        <x:f>D22+D25</x:f>
        <x:v>41.050000000000004</x:v>
      </x:c>
      <x:c r="E27" s="36" t="str">
        <x:v>USD B</x:v>
      </x:c>
      <x:c r="F27" s="36" t="str">
        <x:f>IF(ABS(D27-'Controls'!$D$39)&lt;0.000001,"PASS","FAIL")</x:f>
        <x:v>PASS</x:v>
      </x:c>
      <x:c r="G27" s="36"/>
    </x:row>
  </x:sheetData>
  <x:mergeCells>
    <x:mergeCell ref="B2:G2"/>
    <x:mergeCell ref="B3:G3"/>
    <x:mergeCell ref="B21:G21"/>
  </x:mergeCells>
  <x:conditionalFormatting sqref="E7:F17">
    <x:cfRule type="containsText" dxfId="285" priority="1" operator="containsText" text="PASS"/>
    <x:cfRule type="containsText" dxfId="286" priority="2" operator="containsText" text="SELECT"/>
    <x:cfRule type="containsText" dxfId="287" priority="3" operator="containsText" text="AUTHORIZED"/>
    <x:cfRule type="containsText" dxfId="288" priority="4" operator="containsText" text="ADMITTED"/>
    <x:cfRule type="containsText" dxfId="289" priority="5" operator="containsText" text="READY"/>
    <x:cfRule type="containsText" dxfId="290" priority="6" operator="containsText" text="HOLD"/>
    <x:cfRule type="containsText" dxfId="291" priority="7" operator="containsText" text="OPEN"/>
    <x:cfRule type="containsText" dxfId="292" priority="8" operator="containsText" text="SAFE_STOP"/>
    <x:cfRule type="containsText" dxfId="293" priority="9" operator="containsText" text="BLOCKED"/>
    <x:cfRule type="containsText" dxfId="294" priority="10" operator="containsText" text="PLANNING"/>
    <x:cfRule type="containsText" dxfId="295" priority="11" operator="containsText" text="FAIL"/>
    <x:cfRule type="containsText" dxfId="296" priority="12" operator="containsText" text="REJECT"/>
    <x:cfRule type="containsText" dxfId="297" priority="13" operator="containsText" text="LATE"/>
    <x:cfRule type="containsText" dxfId="298" priority="14" operator="containsText" text="INCOMPLETE"/>
    <x:cfRule type="containsText" dxfId="299" priority="15" operator="containsText" text="INDETERMINATE"/>
  </x:conditionalFormatting>
  <x:conditionalFormatting sqref="F24:F27">
    <x:cfRule type="containsText" dxfId="300" priority="16" operator="containsText" text="PASS"/>
    <x:cfRule type="containsText" dxfId="301" priority="17" operator="containsText" text="SELECT"/>
    <x:cfRule type="containsText" dxfId="302" priority="18" operator="containsText" text="AUTHORIZED"/>
    <x:cfRule type="containsText" dxfId="303" priority="19" operator="containsText" text="ADMITTED"/>
    <x:cfRule type="containsText" dxfId="304" priority="20" operator="containsText" text="READY"/>
    <x:cfRule type="containsText" dxfId="305" priority="21" operator="containsText" text="HOLD"/>
    <x:cfRule type="containsText" dxfId="306" priority="22" operator="containsText" text="OPEN"/>
    <x:cfRule type="containsText" dxfId="307" priority="23" operator="containsText" text="SAFE_STOP"/>
    <x:cfRule type="containsText" dxfId="308" priority="24" operator="containsText" text="BLOCKED"/>
    <x:cfRule type="containsText" dxfId="309" priority="25" operator="containsText" text="PLANNING"/>
    <x:cfRule type="containsText" dxfId="310" priority="26" operator="containsText" text="FAIL"/>
    <x:cfRule type="containsText" dxfId="311" priority="27" operator="containsText" text="REJECT"/>
    <x:cfRule type="containsText" dxfId="312" priority="28" operator="containsText" text="LATE"/>
    <x:cfRule type="containsText" dxfId="313" priority="29" operator="containsText" text="INCOMPLETE"/>
    <x:cfRule type="containsText" dxfId="314" priority="30" operator="containsText" text="INDETERMINATE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60" hidden="0" customWidth="1"/>
    <x:col min="3" max="3" width="19" hidden="0" customWidth="1"/>
    <x:col min="4" max="4" width="15" hidden="0" customWidth="1"/>
    <x:col min="5" max="5" width="18" hidden="0" customWidth="1"/>
    <x:col min="6" max="6" width="19" hidden="0" customWidth="1"/>
  </x:cols>
  <x:sheetData>
    <x:row r="2">
      <x:c r="B2" s="1" t="str">
        <x:v>CRS-2 annual readiness support</x:v>
      </x:c>
      <x:c r="C2" s="36"/>
      <x:c r="D2" s="36"/>
      <x:c r="E2" s="36"/>
      <x:c r="F2" s="36"/>
      <x:c r="G2" s="36"/>
    </x:row>
    <x:row r="3">
      <x:c r="B3" s="2" t="str">
        <x:v>Exercise and alert rotations are separately staffed and preserved.</x:v>
      </x:c>
      <x:c r="C3" s="36"/>
      <x:c r="D3" s="36"/>
      <x:c r="E3" s="36"/>
      <x:c r="F3" s="36"/>
      <x:c r="G3" s="36"/>
    </x:row>
    <x:row r="4">
      <x:c r="B4" s="37"/>
      <x:c r="C4" s="37"/>
      <x:c r="D4" s="37"/>
      <x:c r="E4" s="37"/>
      <x:c r="F4" s="37"/>
      <x:c r="G4" s="37"/>
    </x:row>
    <x:row r="5">
      <x:c r="B5" s="36"/>
      <x:c r="C5" s="36"/>
      <x:c r="D5" s="36"/>
      <x:c r="E5" s="36"/>
      <x:c r="F5" s="36"/>
      <x:c r="G5" s="36"/>
    </x:row>
    <x:row r="6">
      <x:c r="B6" s="7" t="str">
        <x:v>Support line</x:v>
      </x:c>
      <x:c r="C6" s="7" t="str">
        <x:v>USD B/year</x:v>
      </x:c>
      <x:c r="D6" s="7" t="str">
        <x:v>Share</x:v>
      </x:c>
      <x:c r="E6" s="7" t="str">
        <x:v>Reconciliation</x:v>
      </x:c>
      <x:c r="F6" s="7" t="str">
        <x:v>Physical authority</x:v>
      </x:c>
      <x:c r="G6" s="36"/>
    </x:row>
    <x:row r="7">
      <x:c r="B7" s="9" t="str">
        <x:v>720 public regeneration and commissioning billets</x:v>
      </x:c>
      <x:c r="C7" s="19" t="n">
        <x:v>0.216</x:v>
      </x:c>
      <x:c r="D7" s="20" t="n">
        <x:f>C7/$C$19</x:f>
        <x:v>0.19889502762430938</x:v>
      </x:c>
      <x:c r="E7" s="9" t="str">
        <x:f>IF(C7&gt;=0,"PASS","FAIL")</x:f>
        <x:v>PASS</x:v>
      </x:c>
      <x:c r="F7" s="9" t="str">
        <x:v>OPEN</x:v>
      </x:c>
      <x:c r="G7" s="36"/>
    </x:row>
    <x:row r="8">
      <x:c r="B8" s="9" t="str">
        <x:v>2,800 retained industrial affiliates</x:v>
      </x:c>
      <x:c r="C8" s="19" t="n">
        <x:v>0.224</x:v>
      </x:c>
      <x:c r="D8" s="20" t="n">
        <x:f>C8/$C$19</x:f>
        <x:v>0.20626151012891344</x:v>
      </x:c>
      <x:c r="E8" s="9" t="str">
        <x:f>IF(C8&gt;=0,"PASS","FAIL")</x:f>
        <x:v>PASS</x:v>
      </x:c>
      <x:c r="F8" s="9" t="str">
        <x:v>OPEN</x:v>
      </x:c>
      <x:c r="G8" s="36"/>
    </x:row>
    <x:row r="9">
      <x:c r="B9" s="9" t="str">
        <x:v>Six-shipset preservation, rotation and recertification</x:v>
      </x:c>
      <x:c r="C9" s="19" t="n">
        <x:v>0.195</x:v>
      </x:c>
      <x:c r="D9" s="20" t="n">
        <x:f>C9/$C$19</x:f>
        <x:v>0.17955801104972374</x:v>
      </x:c>
      <x:c r="E9" s="9" t="str">
        <x:f>IF(C9&gt;=0,"PASS","FAIL")</x:f>
        <x:v>PASS</x:v>
      </x:c>
      <x:c r="F9" s="9" t="str">
        <x:v>OPEN</x:v>
      </x:c>
      <x:c r="G9" s="36"/>
    </x:row>
    <x:row r="10">
      <x:c r="B10" s="9" t="str">
        <x:v>Six receiver-site options</x:v>
      </x:c>
      <x:c r="C10" s="19" t="n">
        <x:v>0.036</x:v>
      </x:c>
      <x:c r="D10" s="20" t="n">
        <x:f>C10/$C$19</x:f>
        <x:v>0.03314917127071823</x:v>
      </x:c>
      <x:c r="E10" s="9" t="str">
        <x:f>IF(C10&gt;=0,"PASS","FAIL")</x:f>
        <x:v>PASS</x:v>
      </x:c>
      <x:c r="F10" s="9" t="str">
        <x:v>OPEN</x:v>
      </x:c>
      <x:c r="G10" s="36"/>
    </x:row>
    <x:row r="11">
      <x:c r="B11" s="9" t="str">
        <x:v>Six arsenal operations</x:v>
      </x:c>
      <x:c r="C11" s="19" t="n">
        <x:v>0.036</x:v>
      </x:c>
      <x:c r="D11" s="20" t="n">
        <x:f>C11/$C$19</x:f>
        <x:v>0.03314917127071823</x:v>
      </x:c>
      <x:c r="E11" s="9" t="str">
        <x:f>IF(C11&gt;=0,"PASS","FAIL")</x:f>
        <x:v>PASS</x:v>
      </x:c>
      <x:c r="F11" s="9" t="str">
        <x:v>OPEN</x:v>
      </x:c>
      <x:c r="G11" s="36"/>
    </x:row>
    <x:row r="12">
      <x:c r="B12" s="9" t="str">
        <x:v>Unlike-root tooling and line qualification</x:v>
      </x:c>
      <x:c r="C12" s="19" t="n">
        <x:v>0.06</x:v>
      </x:c>
      <x:c r="D12" s="20" t="n">
        <x:f>C12/$C$19</x:f>
        <x:v>0.05524861878453038</x:v>
      </x:c>
      <x:c r="E12" s="9" t="str">
        <x:f>IF(C12&gt;=0,"PASS","FAIL")</x:f>
        <x:v>PASS</x:v>
      </x:c>
      <x:c r="F12" s="9" t="str">
        <x:v>OPEN</x:v>
      </x:c>
      <x:c r="G12" s="36"/>
    </x:row>
    <x:row r="13">
      <x:c r="B13" s="9" t="str">
        <x:v>Annual partial-chain exercises</x:v>
      </x:c>
      <x:c r="C13" s="19" t="n">
        <x:v>0.072</x:v>
      </x:c>
      <x:c r="D13" s="20" t="n">
        <x:f>C13/$C$19</x:f>
        <x:v>0.06629834254143646</x:v>
      </x:c>
      <x:c r="E13" s="9" t="str">
        <x:f>IF(C13&gt;=0,"PASS","FAIL")</x:f>
        <x:v>PASS</x:v>
      </x:c>
      <x:c r="F13" s="9" t="str">
        <x:v>OPEN</x:v>
      </x:c>
      <x:c r="G13" s="36"/>
    </x:row>
    <x:row r="14">
      <x:c r="B14" s="9" t="str">
        <x:v>Full cold-reconstruction exercise provision</x:v>
      </x:c>
      <x:c r="C14" s="19" t="n">
        <x:v>0.12</x:v>
      </x:c>
      <x:c r="D14" s="20" t="n">
        <x:f>C14/$C$19</x:f>
        <x:v>0.11049723756906076</x:v>
      </x:c>
      <x:c r="E14" s="9" t="str">
        <x:f>IF(C14&gt;=0,"PASS","FAIL")</x:f>
        <x:v>PASS</x:v>
      </x:c>
      <x:c r="F14" s="9" t="str">
        <x:v>OPEN</x:v>
      </x:c>
      <x:c r="G14" s="36"/>
    </x:row>
    <x:row r="15">
      <x:c r="B15" s="9" t="str">
        <x:v>Transport and alternate-route rehearsal</x:v>
      </x:c>
      <x:c r="C15" s="19" t="n">
        <x:v>0.045</x:v>
      </x:c>
      <x:c r="D15" s="20" t="n">
        <x:f>C15/$C$19</x:f>
        <x:v>0.04143646408839779</x:v>
      </x:c>
      <x:c r="E15" s="9" t="str">
        <x:f>IF(C15&gt;=0,"PASS","FAIL")</x:f>
        <x:v>PASS</x:v>
      </x:c>
      <x:c r="F15" s="9" t="str">
        <x:v>OPEN</x:v>
      </x:c>
      <x:c r="G15" s="36"/>
    </x:row>
    <x:row r="16">
      <x:c r="B16" s="9" t="str">
        <x:v>Evidence, data and key renewal</x:v>
      </x:c>
      <x:c r="C16" s="19" t="n">
        <x:v>0.022</x:v>
      </x:c>
      <x:c r="D16" s="20" t="n">
        <x:f>C16/$C$19</x:f>
        <x:v>0.02025782688766114</x:v>
      </x:c>
      <x:c r="E16" s="9" t="str">
        <x:f>IF(C16&gt;=0,"PASS","FAIL")</x:f>
        <x:v>PASS</x:v>
      </x:c>
      <x:c r="F16" s="9" t="str">
        <x:v>OPEN</x:v>
      </x:c>
      <x:c r="G16" s="36"/>
    </x:row>
    <x:row r="17">
      <x:c r="B17" s="9" t="str">
        <x:v>Environmental, waste and community compacts</x:v>
      </x:c>
      <x:c r="C17" s="19" t="n">
        <x:v>0.02</x:v>
      </x:c>
      <x:c r="D17" s="20" t="n">
        <x:f>C17/$C$19</x:f>
        <x:v>0.018416206261510127</x:v>
      </x:c>
      <x:c r="E17" s="9" t="str">
        <x:f>IF(C17&gt;=0,"PASS","FAIL")</x:f>
        <x:v>PASS</x:v>
      </x:c>
      <x:c r="F17" s="9" t="str">
        <x:v>OPEN</x:v>
      </x:c>
      <x:c r="G17" s="36"/>
    </x:row>
    <x:row r="18">
      <x:c r="B18" s="9" t="str">
        <x:v>Real-activation surge reserve</x:v>
      </x:c>
      <x:c r="C18" s="19" t="n">
        <x:v>0.04</x:v>
      </x:c>
      <x:c r="D18" s="20" t="n">
        <x:f>C18/$C$19</x:f>
        <x:v>0.036832412523020254</x:v>
      </x:c>
      <x:c r="E18" s="9" t="str">
        <x:f>IF(C18&gt;=0,"PASS","FAIL")</x:f>
        <x:v>PASS</x:v>
      </x:c>
      <x:c r="F18" s="9" t="str">
        <x:v>OPEN</x:v>
      </x:c>
      <x:c r="G18" s="36"/>
    </x:row>
    <x:row r="19">
      <x:c r="B19" s="10" t="str">
        <x:v>Total annual support</x:v>
      </x:c>
      <x:c r="C19" s="21" t="n">
        <x:f>SUM(C7:C18)</x:f>
        <x:v>1.086</x:v>
      </x:c>
      <x:c r="D19" s="22" t="n">
        <x:f>SUM(D7:D18)</x:f>
        <x:v>0.9999999999999998</x:v>
      </x:c>
      <x:c r="E19" s="10" t="str">
        <x:f>IF(ABS(C19-'Controls'!$D$36)&lt;0.000001,"PASS","FAIL")</x:f>
        <x:v>PASS</x:v>
      </x:c>
      <x:c r="F19" s="10" t="str">
        <x:v>OPEN</x:v>
      </x:c>
      <x:c r="G19" s="36"/>
    </x:row>
  </x:sheetData>
  <x:mergeCells>
    <x:mergeCell ref="B2:G2"/>
    <x:mergeCell ref="B3:G3"/>
  </x:mergeCells>
  <x:conditionalFormatting sqref="E7:F19">
    <x:cfRule type="containsText" dxfId="315" priority="1" operator="containsText" text="PASS"/>
    <x:cfRule type="containsText" dxfId="316" priority="2" operator="containsText" text="SELECT"/>
    <x:cfRule type="containsText" dxfId="317" priority="3" operator="containsText" text="AUTHORIZED"/>
    <x:cfRule type="containsText" dxfId="318" priority="4" operator="containsText" text="ADMITTED"/>
    <x:cfRule type="containsText" dxfId="319" priority="5" operator="containsText" text="READY"/>
    <x:cfRule type="containsText" dxfId="320" priority="6" operator="containsText" text="HOLD"/>
    <x:cfRule type="containsText" dxfId="321" priority="7" operator="containsText" text="OPEN"/>
    <x:cfRule type="containsText" dxfId="322" priority="8" operator="containsText" text="SAFE_STOP"/>
    <x:cfRule type="containsText" dxfId="323" priority="9" operator="containsText" text="BLOCKED"/>
    <x:cfRule type="containsText" dxfId="324" priority="10" operator="containsText" text="PLANNING"/>
    <x:cfRule type="containsText" dxfId="325" priority="11" operator="containsText" text="FAIL"/>
    <x:cfRule type="containsText" dxfId="326" priority="12" operator="containsText" text="REJECT"/>
    <x:cfRule type="containsText" dxfId="327" priority="13" operator="containsText" text="LATE"/>
    <x:cfRule type="containsText" dxfId="328" priority="14" operator="containsText" text="INCOMPLETE"/>
    <x:cfRule type="containsText" dxfId="329" priority="15" operator="containsText" text="INDETERMINATE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51" hidden="0" customWidth="1"/>
    <x:col min="3" max="3" width="20" hidden="0" customWidth="1"/>
    <x:col min="4" max="4" width="18" hidden="0" customWidth="1"/>
    <x:col min="5" max="5" width="18" hidden="0" customWidth="1"/>
    <x:col min="6" max="6" width="17" hidden="0" customWidth="1"/>
    <x:col min="7" max="7" width="18" hidden="0" customWidth="1"/>
    <x:col min="8" max="8" width="18" hidden="0" customWidth="1"/>
  </x:cols>
  <x:sheetData>
    <x:row r="2">
      <x:c r="B2" s="1" t="str">
        <x:v>CRC-6 qualification campaign cost</x:v>
      </x:c>
      <x:c r="C2" s="36"/>
      <x:c r="D2" s="36"/>
      <x:c r="E2" s="36"/>
      <x:c r="F2" s="36"/>
      <x:c r="G2" s="36"/>
      <x:c r="H2" s="36"/>
    </x:row>
    <x:row r="3">
      <x:c r="B3" s="2" t="str">
        <x:v>The campaign draw is cross-classified inside the first six years of annual support.</x:v>
      </x:c>
      <x:c r="C3" s="36"/>
      <x:c r="D3" s="36"/>
      <x:c r="E3" s="36"/>
      <x:c r="F3" s="36"/>
      <x:c r="G3" s="36"/>
      <x:c r="H3" s="36"/>
    </x:row>
    <x:row r="4">
      <x:c r="B4" s="37"/>
      <x:c r="C4" s="37"/>
      <x:c r="D4" s="37"/>
      <x:c r="E4" s="37"/>
      <x:c r="F4" s="37"/>
      <x:c r="G4" s="37"/>
      <x:c r="H4" s="37"/>
    </x:row>
    <x:row r="5">
      <x:c r="B5" s="36"/>
      <x:c r="C5" s="36"/>
      <x:c r="D5" s="36"/>
      <x:c r="E5" s="36"/>
      <x:c r="F5" s="36"/>
      <x:c r="G5" s="36"/>
      <x:c r="H5" s="36"/>
    </x:row>
    <x:row r="6">
      <x:c r="B6" s="7" t="str">
        <x:v>Event-cost line</x:v>
      </x:c>
      <x:c r="C6" s="7" t="str">
        <x:v>USD B/event</x:v>
      </x:c>
      <x:c r="D6" s="7" t="str">
        <x:v>Share</x:v>
      </x:c>
      <x:c r="E6" s="7" t="str">
        <x:v>Six events</x:v>
      </x:c>
      <x:c r="F6" s="7" t="str">
        <x:v>Reconciliation</x:v>
      </x:c>
      <x:c r="G6" s="36"/>
      <x:c r="H6" s="36"/>
    </x:row>
    <x:row r="7">
      <x:c r="B7" s="9" t="str">
        <x:v>Line-group and affiliate mobilization</x:v>
      </x:c>
      <x:c r="C7" s="19" t="n">
        <x:v>0.05</x:v>
      </x:c>
      <x:c r="D7" s="20" t="n">
        <x:f>C7/$C$14</x:f>
        <x:v>0.18181818181818182</x:v>
      </x:c>
      <x:c r="E7" s="19" t="n">
        <x:f>C7*'Controls'!$D$11</x:f>
        <x:v>0.30000000000000004</x:v>
      </x:c>
      <x:c r="F7" s="9" t="str">
        <x:f>IF(C7&gt;=0,"PASS","FAIL")</x:f>
        <x:v>PASS</x:v>
      </x:c>
      <x:c r="G7" s="36"/>
      <x:c r="H7" s="36"/>
    </x:row>
    <x:row r="8">
      <x:c r="B8" s="9" t="str">
        <x:v>Receiver activation and deactivation</x:v>
      </x:c>
      <x:c r="C8" s="19" t="n">
        <x:v>0.04</x:v>
      </x:c>
      <x:c r="D8" s="20" t="n">
        <x:f>C8/$C$14</x:f>
        <x:v>0.14545454545454545</x:v>
      </x:c>
      <x:c r="E8" s="19" t="n">
        <x:f>C8*'Controls'!$D$11</x:f>
        <x:v>0.24</x:v>
      </x:c>
      <x:c r="F8" s="9" t="str">
        <x:f>IF(C8&gt;=0,"PASS","FAIL")</x:f>
        <x:v>PASS</x:v>
      </x:c>
      <x:c r="G8" s="36"/>
      <x:c r="H8" s="36"/>
    </x:row>
    <x:row r="9">
      <x:c r="B9" s="9" t="str">
        <x:v>Transport, lifting and route work</x:v>
      </x:c>
      <x:c r="C9" s="19" t="n">
        <x:v>0.045</x:v>
      </x:c>
      <x:c r="D9" s="20" t="n">
        <x:f>C9/$C$14</x:f>
        <x:v>0.1636363636363636</x:v>
      </x:c>
      <x:c r="E9" s="19" t="n">
        <x:f>C9*'Controls'!$D$11</x:f>
        <x:v>0.27</x:v>
      </x:c>
      <x:c r="F9" s="9" t="str">
        <x:f>IF(C9&gt;=0,"PASS","FAIL")</x:f>
        <x:v>PASS</x:v>
      </x:c>
      <x:c r="G9" s="36"/>
      <x:c r="H9" s="36"/>
    </x:row>
    <x:row r="10">
      <x:c r="B10" s="9" t="str">
        <x:v>Utility, laboratory and test consumables</x:v>
      </x:c>
      <x:c r="C10" s="19" t="n">
        <x:v>0.035</x:v>
      </x:c>
      <x:c r="D10" s="20" t="n">
        <x:f>C10/$C$14</x:f>
        <x:v>0.1272727272727273</x:v>
      </x:c>
      <x:c r="E10" s="19" t="n">
        <x:f>C10*'Controls'!$D$11</x:f>
        <x:v>0.21000000000000002</x:v>
      </x:c>
      <x:c r="F10" s="9" t="str">
        <x:f>IF(C10&gt;=0,"PASS","FAIL")</x:f>
        <x:v>PASS</x:v>
      </x:c>
      <x:c r="G10" s="36"/>
      <x:c r="H10" s="36"/>
    </x:row>
    <x:row r="11">
      <x:c r="B11" s="9" t="str">
        <x:v>Known-truth articles and evidence media</x:v>
      </x:c>
      <x:c r="C11" s="19" t="n">
        <x:v>0.025</x:v>
      </x:c>
      <x:c r="D11" s="20" t="n">
        <x:f>C11/$C$14</x:f>
        <x:v>0.09090909090909091</x:v>
      </x:c>
      <x:c r="E11" s="19" t="n">
        <x:f>C11*'Controls'!$D$11</x:f>
        <x:v>0.15000000000000002</x:v>
      </x:c>
      <x:c r="F11" s="9" t="str">
        <x:f>IF(C11&gt;=0,"PASS","FAIL")</x:f>
        <x:v>PASS</x:v>
      </x:c>
      <x:c r="G11" s="36"/>
      <x:c r="H11" s="36"/>
    </x:row>
    <x:row r="12">
      <x:c r="B12" s="9" t="str">
        <x:v>Demobilization, repair and shipset reset</x:v>
      </x:c>
      <x:c r="C12" s="19" t="n">
        <x:v>0.055</x:v>
      </x:c>
      <x:c r="D12" s="20" t="n">
        <x:f>C12/$C$14</x:f>
        <x:v>0.19999999999999998</x:v>
      </x:c>
      <x:c r="E12" s="19" t="n">
        <x:f>C12*'Controls'!$D$11</x:f>
        <x:v>0.33</x:v>
      </x:c>
      <x:c r="F12" s="9" t="str">
        <x:f>IF(C12&gt;=0,"PASS","FAIL")</x:f>
        <x:v>PASS</x:v>
      </x:c>
      <x:c r="G12" s="36"/>
      <x:c r="H12" s="36"/>
    </x:row>
    <x:row r="13">
      <x:c r="B13" s="9" t="str">
        <x:v>Independent challenge, replay and review</x:v>
      </x:c>
      <x:c r="C13" s="19" t="n">
        <x:v>0.025</x:v>
      </x:c>
      <x:c r="D13" s="20" t="n">
        <x:f>C13/$C$14</x:f>
        <x:v>0.09090909090909091</x:v>
      </x:c>
      <x:c r="E13" s="19" t="n">
        <x:f>C13*'Controls'!$D$11</x:f>
        <x:v>0.15000000000000002</x:v>
      </x:c>
      <x:c r="F13" s="9" t="str">
        <x:f>IF(C13&gt;=0,"PASS","FAIL")</x:f>
        <x:v>PASS</x:v>
      </x:c>
      <x:c r="G13" s="36"/>
      <x:c r="H13" s="36"/>
    </x:row>
    <x:row r="14">
      <x:c r="B14" s="10" t="str">
        <x:v>Event total</x:v>
      </x:c>
      <x:c r="C14" s="21" t="n">
        <x:f>SUM(C7:C13)</x:f>
        <x:v>0.275</x:v>
      </x:c>
      <x:c r="D14" s="22" t="n">
        <x:f>SUM(D7:D13)</x:f>
        <x:v>1</x:v>
      </x:c>
      <x:c r="E14" s="21" t="n">
        <x:f>SUM(E7:E13)</x:f>
        <x:v>1.65</x:v>
      </x:c>
      <x:c r="F14" s="10" t="str">
        <x:f>IF(AND(ABS(C14-'Controls'!$D$40)&lt;0.000001,ABS(E14-'Controls'!$D$41)&lt;0.000001),"PASS","FAIL")</x:f>
        <x:v>PASS</x:v>
      </x:c>
      <x:c r="G14" s="36"/>
      <x:c r="H14" s="36"/>
    </x:row>
    <x:row r="15">
      <x:c r="B15" s="36"/>
      <x:c r="C15" s="36"/>
      <x:c r="D15" s="36"/>
      <x:c r="E15" s="36"/>
      <x:c r="F15" s="36"/>
      <x:c r="G15" s="36"/>
      <x:c r="H15" s="36"/>
    </x:row>
    <x:row r="16">
      <x:c r="B16" s="36"/>
      <x:c r="C16" s="36"/>
      <x:c r="D16" s="36"/>
      <x:c r="E16" s="36"/>
      <x:c r="F16" s="36"/>
      <x:c r="G16" s="36"/>
      <x:c r="H16" s="36"/>
    </x:row>
    <x:row r="17">
      <x:c r="B17" s="36"/>
      <x:c r="C17" s="36"/>
      <x:c r="D17" s="36"/>
      <x:c r="E17" s="36"/>
      <x:c r="F17" s="36"/>
      <x:c r="G17" s="36"/>
      <x:c r="H17" s="36"/>
    </x:row>
    <x:row r="18">
      <x:c r="B18" s="25" t="str">
        <x:v>Support cross-classification</x:v>
      </x:c>
      <x:c r="C18" s="26" t="str">
        <x:v>Support cross-classification</x:v>
      </x:c>
      <x:c r="D18" s="26" t="str">
        <x:v>Support cross-classification</x:v>
      </x:c>
      <x:c r="E18" s="26" t="str">
        <x:v>Support cross-classification</x:v>
      </x:c>
      <x:c r="F18" s="26" t="str">
        <x:v>Support cross-classification</x:v>
      </x:c>
      <x:c r="G18" s="26" t="str">
        <x:v>Support cross-classification</x:v>
      </x:c>
      <x:c r="H18" s="27" t="str">
        <x:v>Support cross-classification</x:v>
      </x:c>
    </x:row>
    <x:row r="19">
      <x:c r="B19" s="36" t="str">
        <x:v>Six-year support boundary</x:v>
      </x:c>
      <x:c r="C19" s="36"/>
      <x:c r="D19" s="38" t="n">
        <x:f>'Controls'!$D$36*6</x:f>
        <x:v>6.516</x:v>
      </x:c>
      <x:c r="E19" s="36" t="str">
        <x:v>USD B</x:v>
      </x:c>
      <x:c r="F19" s="36" t="str">
        <x:f>IF(ABS(D19-'Controls'!$D$42)&lt;0.000001,"PASS","FAIL")</x:f>
        <x:v>PASS</x:v>
      </x:c>
      <x:c r="G19" s="36"/>
      <x:c r="H19" s="36"/>
    </x:row>
    <x:row r="20">
      <x:c r="B20" s="36" t="str">
        <x:v>Six-event campaign draw</x:v>
      </x:c>
      <x:c r="C20" s="36"/>
      <x:c r="D20" s="38" t="n">
        <x:f>E14</x:f>
        <x:v>1.65</x:v>
      </x:c>
      <x:c r="E20" s="36" t="str">
        <x:v>USD B</x:v>
      </x:c>
      <x:c r="F20" s="36" t="str">
        <x:f>IF(D20&lt;=D19,"PASS","FAIL")</x:f>
        <x:v>PASS</x:v>
      </x:c>
      <x:c r="G20" s="36"/>
      <x:c r="H20" s="36"/>
    </x:row>
    <x:row r="21">
      <x:c r="B21" s="36" t="str">
        <x:v>Share of six-year support</x:v>
      </x:c>
      <x:c r="C21" s="36"/>
      <x:c r="D21" s="40" t="n">
        <x:f>D20/D19</x:f>
        <x:v>0.25322283609576424</x:v>
      </x:c>
      <x:c r="E21" s="36" t="str">
        <x:v>share</x:v>
      </x:c>
      <x:c r="F21" s="36"/>
      <x:c r="G21" s="36"/>
      <x:c r="H21" s="36"/>
    </x:row>
    <x:row r="22">
      <x:c r="B22" s="36" t="str">
        <x:v>Additional campaign authority</x:v>
      </x:c>
      <x:c r="C22" s="36"/>
      <x:c r="D22" s="36" t="n">
        <x:f>0</x:f>
        <x:v>0</x:v>
      </x:c>
      <x:c r="E22" s="36" t="str">
        <x:v>USD B</x:v>
      </x:c>
      <x:c r="F22" s="36" t="str">
        <x:f>IF(D22=0,"PASS","FAIL")</x:f>
        <x:v>PASS</x:v>
      </x:c>
      <x:c r="G22" s="36"/>
      <x:c r="H22" s="36"/>
    </x:row>
  </x:sheetData>
  <x:mergeCells>
    <x:mergeCell ref="B2:H2"/>
    <x:mergeCell ref="B3:H3"/>
    <x:mergeCell ref="B18:H18"/>
  </x:mergeCells>
  <x:conditionalFormatting sqref="F7:F14">
    <x:cfRule type="containsText" dxfId="330" priority="1" operator="containsText" text="PASS"/>
    <x:cfRule type="containsText" dxfId="331" priority="2" operator="containsText" text="SELECT"/>
    <x:cfRule type="containsText" dxfId="332" priority="3" operator="containsText" text="AUTHORIZED"/>
    <x:cfRule type="containsText" dxfId="333" priority="4" operator="containsText" text="ADMITTED"/>
    <x:cfRule type="containsText" dxfId="334" priority="5" operator="containsText" text="READY"/>
    <x:cfRule type="containsText" dxfId="335" priority="6" operator="containsText" text="HOLD"/>
    <x:cfRule type="containsText" dxfId="336" priority="7" operator="containsText" text="OPEN"/>
    <x:cfRule type="containsText" dxfId="337" priority="8" operator="containsText" text="SAFE_STOP"/>
    <x:cfRule type="containsText" dxfId="338" priority="9" operator="containsText" text="BLOCKED"/>
    <x:cfRule type="containsText" dxfId="339" priority="10" operator="containsText" text="PLANNING"/>
    <x:cfRule type="containsText" dxfId="340" priority="11" operator="containsText" text="FAIL"/>
    <x:cfRule type="containsText" dxfId="341" priority="12" operator="containsText" text="REJECT"/>
    <x:cfRule type="containsText" dxfId="342" priority="13" operator="containsText" text="LATE"/>
    <x:cfRule type="containsText" dxfId="343" priority="14" operator="containsText" text="INCOMPLETE"/>
    <x:cfRule type="containsText" dxfId="344" priority="15" operator="containsText" text="INDETERMINATE"/>
  </x:conditionalFormatting>
  <x:conditionalFormatting sqref="F19:F22">
    <x:cfRule type="containsText" dxfId="345" priority="16" operator="containsText" text="PASS"/>
    <x:cfRule type="containsText" dxfId="346" priority="17" operator="containsText" text="SELECT"/>
    <x:cfRule type="containsText" dxfId="347" priority="18" operator="containsText" text="AUTHORIZED"/>
    <x:cfRule type="containsText" dxfId="348" priority="19" operator="containsText" text="ADMITTED"/>
    <x:cfRule type="containsText" dxfId="349" priority="20" operator="containsText" text="READY"/>
    <x:cfRule type="containsText" dxfId="350" priority="21" operator="containsText" text="HOLD"/>
    <x:cfRule type="containsText" dxfId="351" priority="22" operator="containsText" text="OPEN"/>
    <x:cfRule type="containsText" dxfId="352" priority="23" operator="containsText" text="SAFE_STOP"/>
    <x:cfRule type="containsText" dxfId="353" priority="24" operator="containsText" text="BLOCKED"/>
    <x:cfRule type="containsText" dxfId="354" priority="25" operator="containsText" text="PLANNING"/>
    <x:cfRule type="containsText" dxfId="355" priority="26" operator="containsText" text="FAIL"/>
    <x:cfRule type="containsText" dxfId="356" priority="27" operator="containsText" text="REJECT"/>
    <x:cfRule type="containsText" dxfId="357" priority="28" operator="containsText" text="LATE"/>
    <x:cfRule type="containsText" dxfId="358" priority="29" operator="containsText" text="INCOMPLETE"/>
    <x:cfRule type="containsText" dxfId="359" priority="30" operator="containsText" text="INDETERMINATE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48" hidden="0" customWidth="1"/>
    <x:col min="4" max="4" width="17" hidden="0" customWidth="1"/>
    <x:col min="5" max="5" width="13" hidden="0" customWidth="1"/>
    <x:col min="6" max="6" width="13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</x:cols>
  <x:sheetData>
    <x:row r="2">
      <x:c r="B2" s="1" t="str">
        <x:v>Rotational-readiness and campaign release ladder</x:v>
      </x:c>
      <x:c r="C2" s="36"/>
      <x:c r="D2" s="36"/>
      <x:c r="E2" s="36"/>
      <x:c r="F2" s="36"/>
      <x:c r="G2" s="36"/>
      <x:c r="H2" s="36"/>
      <x:c r="I2" s="36"/>
      <x:c r="J2" s="36"/>
    </x:row>
    <x:row r="3">
      <x:c r="B3" s="2" t="str">
        <x:v>Planning can release a campaign package. It cannot create assets, observations, production or rendering authority.</x:v>
      </x:c>
      <x:c r="C3" s="36"/>
      <x:c r="D3" s="36"/>
      <x:c r="E3" s="36"/>
      <x:c r="F3" s="36"/>
      <x:c r="G3" s="36"/>
      <x:c r="H3" s="36"/>
      <x:c r="I3" s="36"/>
      <x:c r="J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</x:row>
    <x:row r="6">
      <x:c r="B6" s="7" t="str">
        <x:v>Gate</x:v>
      </x:c>
      <x:c r="C6" s="7" t="str">
        <x:v>Decision</x:v>
      </x:c>
      <x:c r="D6" s="7" t="str">
        <x:v>Class</x:v>
      </x:c>
      <x:c r="E6" s="7" t="str">
        <x:v>Required</x:v>
      </x:c>
      <x:c r="F6" s="7" t="str">
        <x:v>Observed</x:v>
      </x:c>
      <x:c r="G6" s="7" t="str">
        <x:v>Gate state</x:v>
      </x:c>
      <x:c r="H6" s="7" t="str">
        <x:v>Consequence</x:v>
      </x:c>
      <x:c r="I6" s="7" t="str">
        <x:v>Production/form</x:v>
      </x:c>
      <x:c r="J6" s="7" t="str">
        <x:v>Rendering</x:v>
      </x:c>
    </x:row>
    <x:row r="7">
      <x:c r="B7" s="9" t="str">
        <x:v>G01</x:v>
      </x:c>
      <x:c r="C7" s="9" t="str">
        <x:v>CRS-1 retained only as one-shot minimum</x:v>
      </x:c>
      <x:c r="D7" s="9" t="str">
        <x:v>PLANNING</x:v>
      </x:c>
      <x:c r="E7" s="9" t="n">
        <x:v>1</x:v>
      </x:c>
      <x:c r="F7" s="9" t="n">
        <x:f>IF('Force Revision'!C21="ONE_SHOT_MINIMUM",1,0)</x:f>
        <x:v>1</x:v>
      </x:c>
      <x:c r="G7" s="9" t="str">
        <x:f>IF(F7=1,"PLANNING PASS","FAIL")</x:f>
        <x:v>PLANNING PASS</x:v>
      </x:c>
      <x:c r="H7" s="9" t="str">
        <x:v>campaign evidence</x:v>
      </x:c>
      <x:c r="I7" s="9" t="str">
        <x:v>BLOCKED</x:v>
      </x:c>
      <x:c r="J7" s="9" t="str">
        <x:v>BLOCKED</x:v>
      </x:c>
    </x:row>
    <x:row r="8">
      <x:c r="B8" s="9" t="str">
        <x:v>G02</x:v>
      </x:c>
      <x:c r="C8" s="9" t="str">
        <x:v>CRS-2 force revision reconciles</x:v>
      </x:c>
      <x:c r="D8" s="9" t="str">
        <x:v>PLANNING</x:v>
      </x:c>
      <x:c r="E8" s="9" t="n">
        <x:v>1</x:v>
      </x:c>
      <x:c r="F8" s="9" t="n">
        <x:f>IF(COUNTIF('Force Revision'!I7:I16,"PASS")=10,1,0)</x:f>
        <x:v>1</x:v>
      </x:c>
      <x:c r="G8" s="9" t="str">
        <x:f>IF(F8=1,"PLANNING PASS","FAIL")</x:f>
        <x:v>PLANNING PASS</x:v>
      </x:c>
      <x:c r="H8" s="9" t="str">
        <x:v>campaign evidence</x:v>
      </x:c>
      <x:c r="I8" s="9" t="str">
        <x:v>BLOCKED</x:v>
      </x:c>
      <x:c r="J8" s="9" t="str">
        <x:v>BLOCKED</x:v>
      </x:c>
    </x:row>
    <x:row r="9">
      <x:c r="B9" s="9" t="str">
        <x:v>G03</x:v>
      </x:c>
      <x:c r="C9" s="9" t="str">
        <x:v>six complete shipsets specified</x:v>
      </x:c>
      <x:c r="D9" s="9" t="str">
        <x:v>PLANNING</x:v>
      </x:c>
      <x:c r="E9" s="9" t="n">
        <x:v>1</x:v>
      </x:c>
      <x:c r="F9" s="9" t="n">
        <x:f>IF(COUNTA(Shipsets!B7:B12)='Controls'!$D$13,1,0)</x:f>
        <x:v>1</x:v>
      </x:c>
      <x:c r="G9" s="9" t="str">
        <x:f>IF(F9=1,"PLANNING PASS","FAIL")</x:f>
        <x:v>PLANNING PASS</x:v>
      </x:c>
      <x:c r="H9" s="9" t="str">
        <x:v>campaign evidence</x:v>
      </x:c>
      <x:c r="I9" s="9" t="str">
        <x:v>BLOCKED</x:v>
      </x:c>
      <x:c r="J9" s="9" t="str">
        <x:v>BLOCKED</x:v>
      </x:c>
    </x:row>
    <x:row r="10">
      <x:c r="B10" s="9" t="str">
        <x:v>G04</x:v>
      </x:c>
      <x:c r="C10" s="9" t="str">
        <x:v>two roots and six arsenals specified</x:v>
      </x:c>
      <x:c r="D10" s="9" t="str">
        <x:v>PLANNING</x:v>
      </x:c>
      <x:c r="E10" s="9" t="n">
        <x:v>1</x:v>
      </x:c>
      <x:c r="F10" s="9" t="n">
        <x:f>IF(AND(COUNTIFS(Shipsets!C7:C12,"ROOT_A")=3,COUNTIFS(Shipsets!C7:C12,"ROOT_B")=3,COUNTA(Shipsets!D7:D12)=6),1,0)</x:f>
        <x:v>1</x:v>
      </x:c>
      <x:c r="G10" s="9" t="str">
        <x:f>IF(F10=1,"PLANNING PASS","FAIL")</x:f>
        <x:v>PLANNING PASS</x:v>
      </x:c>
      <x:c r="H10" s="9" t="str">
        <x:v>campaign evidence</x:v>
      </x:c>
      <x:c r="I10" s="9" t="str">
        <x:v>BLOCKED</x:v>
      </x:c>
      <x:c r="J10" s="9" t="str">
        <x:v>BLOCKED</x:v>
      </x:c>
    </x:row>
    <x:row r="11">
      <x:c r="B11" s="9" t="str">
        <x:v>G05</x:v>
      </x:c>
      <x:c r="C11" s="9" t="str">
        <x:v>all seventy-two CRS-2 reserve cases pass</x:v>
      </x:c>
      <x:c r="D11" s="9" t="str">
        <x:v>PLANNING</x:v>
      </x:c>
      <x:c r="E11" s="9" t="n">
        <x:v>1</x:v>
      </x:c>
      <x:c r="F11" s="9" t="n">
        <x:f>IF(COUNTIF('Rotational Reserve'!I7:I78,"PASS")=72,1,0)</x:f>
        <x:v>1</x:v>
      </x:c>
      <x:c r="G11" s="9" t="str">
        <x:f>IF(F11=1,"PLANNING PASS","FAIL")</x:f>
        <x:v>PLANNING PASS</x:v>
      </x:c>
      <x:c r="H11" s="9" t="str">
        <x:v>campaign evidence</x:v>
      </x:c>
      <x:c r="I11" s="9" t="str">
        <x:v>BLOCKED</x:v>
      </x:c>
      <x:c r="J11" s="9" t="str">
        <x:v>BLOCKED</x:v>
      </x:c>
    </x:row>
    <x:row r="12">
      <x:c r="B12" s="9" t="str">
        <x:v>G06</x:v>
      </x:c>
      <x:c r="C12" s="9" t="str">
        <x:v>CRS-1 comparator reaches zero reserve</x:v>
      </x:c>
      <x:c r="D12" s="9" t="str">
        <x:v>PLANNING</x:v>
      </x:c>
      <x:c r="E12" s="9" t="n">
        <x:v>1</x:v>
      </x:c>
      <x:c r="F12" s="9" t="n">
        <x:f>IF(MIN('Rotational Reserve'!F84:F115)=0,1,0)</x:f>
        <x:v>1</x:v>
      </x:c>
      <x:c r="G12" s="9" t="str">
        <x:f>IF(F12=1,"PLANNING PASS","FAIL")</x:f>
        <x:v>PLANNING PASS</x:v>
      </x:c>
      <x:c r="H12" s="9" t="str">
        <x:v>campaign evidence</x:v>
      </x:c>
      <x:c r="I12" s="9" t="str">
        <x:v>BLOCKED</x:v>
      </x:c>
      <x:c r="J12" s="9" t="str">
        <x:v>BLOCKED</x:v>
      </x:c>
    </x:row>
    <x:row r="13">
      <x:c r="B13" s="9" t="str">
        <x:v>G07</x:v>
      </x:c>
      <x:c r="C13" s="9" t="str">
        <x:v>six-event registry complete</x:v>
      </x:c>
      <x:c r="D13" s="9" t="str">
        <x:v>PLANNING</x:v>
      </x:c>
      <x:c r="E13" s="9" t="n">
        <x:v>1</x:v>
      </x:c>
      <x:c r="F13" s="9" t="n">
        <x:f>IF(AND(COUNTA('Campaign Events'!B7:B12)='Controls'!$D$11,COUNTIF('Campaign Events'!S7:S12,"PASS")='Controls'!$D$11),1,0)</x:f>
        <x:v>1</x:v>
      </x:c>
      <x:c r="G13" s="9" t="str">
        <x:f>IF(F13=1,"PLANNING PASS","FAIL")</x:f>
        <x:v>PLANNING PASS</x:v>
      </x:c>
      <x:c r="H13" s="9" t="str">
        <x:v>campaign evidence</x:v>
      </x:c>
      <x:c r="I13" s="9" t="str">
        <x:v>BLOCKED</x:v>
      </x:c>
      <x:c r="J13" s="9" t="str">
        <x:v>BLOCKED</x:v>
      </x:c>
    </x:row>
    <x:row r="14">
      <x:c r="B14" s="9" t="str">
        <x:v>G08</x:v>
      </x:c>
      <x:c r="C14" s="9" t="str">
        <x:v>every receiver identity appears once</x:v>
      </x:c>
      <x:c r="D14" s="9" t="str">
        <x:v>PLANNING</x:v>
      </x:c>
      <x:c r="E14" s="9" t="n">
        <x:v>1</x:v>
      </x:c>
      <x:c r="F14" s="9" t="n">
        <x:f>IF('Campaign Events'!F17="PASS",1,0)</x:f>
        <x:v>1</x:v>
      </x:c>
      <x:c r="G14" s="9" t="str">
        <x:f>IF(F14=1,"PLANNING PASS","FAIL")</x:f>
        <x:v>PLANNING PASS</x:v>
      </x:c>
      <x:c r="H14" s="9" t="str">
        <x:v>campaign evidence</x:v>
      </x:c>
      <x:c r="I14" s="9" t="str">
        <x:v>BLOCKED</x:v>
      </x:c>
      <x:c r="J14" s="9" t="str">
        <x:v>BLOCKED</x:v>
      </x:c>
    </x:row>
    <x:row r="15">
      <x:c r="B15" s="9" t="str">
        <x:v>G09</x:v>
      </x:c>
      <x:c r="C15" s="9" t="str">
        <x:v>each root is denied three times</x:v>
      </x:c>
      <x:c r="D15" s="9" t="str">
        <x:v>PLANNING</x:v>
      </x:c>
      <x:c r="E15" s="9" t="n">
        <x:v>1</x:v>
      </x:c>
      <x:c r="F15" s="9" t="n">
        <x:f>IF(AND('Campaign Events'!F18="PASS",'Campaign Events'!F19="PASS"),1,0)</x:f>
        <x:v>1</x:v>
      </x:c>
      <x:c r="G15" s="9" t="str">
        <x:f>IF(F15=1,"PLANNING PASS","FAIL")</x:f>
        <x:v>PLANNING PASS</x:v>
      </x:c>
      <x:c r="H15" s="9" t="str">
        <x:v>campaign evidence</x:v>
      </x:c>
      <x:c r="I15" s="9" t="str">
        <x:v>BLOCKED</x:v>
      </x:c>
      <x:c r="J15" s="9" t="str">
        <x:v>BLOCKED</x:v>
      </x:c>
    </x:row>
    <x:row r="16">
      <x:c r="B16" s="9" t="str">
        <x:v>G10</x:v>
      </x:c>
      <x:c r="C16" s="9" t="str">
        <x:v>all six arsenals are exercised</x:v>
      </x:c>
      <x:c r="D16" s="9" t="str">
        <x:v>PLANNING</x:v>
      </x:c>
      <x:c r="E16" s="9" t="n">
        <x:v>1</x:v>
      </x:c>
      <x:c r="F16" s="9" t="n">
        <x:f>IF('Campaign Events'!F20="PASS",1,0)</x:f>
        <x:v>1</x:v>
      </x:c>
      <x:c r="G16" s="9" t="str">
        <x:f>IF(F16=1,"PLANNING PASS","FAIL")</x:f>
        <x:v>PLANNING PASS</x:v>
      </x:c>
      <x:c r="H16" s="9" t="str">
        <x:v>campaign evidence</x:v>
      </x:c>
      <x:c r="I16" s="9" t="str">
        <x:v>BLOCKED</x:v>
      </x:c>
      <x:c r="J16" s="9" t="str">
        <x:v>BLOCKED</x:v>
      </x:c>
    </x:row>
    <x:row r="17">
      <x:c r="B17" s="9" t="str">
        <x:v>G11</x:v>
      </x:c>
      <x:c r="C17" s="9" t="str">
        <x:v>each active campus is lost twice</x:v>
      </x:c>
      <x:c r="D17" s="9" t="str">
        <x:v>PLANNING</x:v>
      </x:c>
      <x:c r="E17" s="9" t="n">
        <x:v>1</x:v>
      </x:c>
      <x:c r="F17" s="9" t="n">
        <x:f>IF(COUNTIF('Campaign Events'!F21:F23,"PASS")=3,1,0)</x:f>
        <x:v>1</x:v>
      </x:c>
      <x:c r="G17" s="9" t="str">
        <x:f>IF(F17=1,"PLANNING PASS","FAIL")</x:f>
        <x:v>PLANNING PASS</x:v>
      </x:c>
      <x:c r="H17" s="9" t="str">
        <x:v>campaign evidence</x:v>
      </x:c>
      <x:c r="I17" s="9" t="str">
        <x:v>BLOCKED</x:v>
      </x:c>
      <x:c r="J17" s="9" t="str">
        <x:v>BLOCKED</x:v>
      </x:c>
    </x:row>
    <x:row r="18">
      <x:c r="B18" s="9" t="str">
        <x:v>G12</x:v>
      </x:c>
      <x:c r="C18" s="9" t="str">
        <x:v>each line group executes three events</x:v>
      </x:c>
      <x:c r="D18" s="9" t="str">
        <x:v>PLANNING</x:v>
      </x:c>
      <x:c r="E18" s="9" t="n">
        <x:v>1</x:v>
      </x:c>
      <x:c r="F18" s="9" t="n">
        <x:f>IF(COUNTIF('Campaign Events'!F24:F25,"PASS")=2,1,0)</x:f>
        <x:v>1</x:v>
      </x:c>
      <x:c r="G18" s="9" t="str">
        <x:f>IF(F18=1,"PLANNING PASS","FAIL")</x:f>
        <x:v>PLANNING PASS</x:v>
      </x:c>
      <x:c r="H18" s="9" t="str">
        <x:v>campaign evidence</x:v>
      </x:c>
      <x:c r="I18" s="9" t="str">
        <x:v>BLOCKED</x:v>
      </x:c>
      <x:c r="J18" s="9" t="str">
        <x:v>BLOCKED</x:v>
      </x:c>
    </x:row>
    <x:row r="19">
      <x:c r="B19" s="9" t="str">
        <x:v>G13</x:v>
      </x:c>
      <x:c r="C19" s="9" t="str">
        <x:v>all event plans close by day 180</x:v>
      </x:c>
      <x:c r="D19" s="9" t="str">
        <x:v>PLANNING</x:v>
      </x:c>
      <x:c r="E19" s="9" t="n">
        <x:v>1</x:v>
      </x:c>
      <x:c r="F19" s="9" t="n">
        <x:f>IF(MAX('Campaign Events'!M7:M12)&lt;='Controls'!$D$7,1,0)</x:f>
        <x:v>1</x:v>
      </x:c>
      <x:c r="G19" s="9" t="str">
        <x:f>IF(F19=1,"PLANNING PASS","FAIL")</x:f>
        <x:v>PLANNING PASS</x:v>
      </x:c>
      <x:c r="H19" s="9" t="str">
        <x:v>campaign evidence</x:v>
      </x:c>
      <x:c r="I19" s="9" t="str">
        <x:v>BLOCKED</x:v>
      </x:c>
      <x:c r="J19" s="9" t="str">
        <x:v>BLOCKED</x:v>
      </x:c>
    </x:row>
    <x:row r="20">
      <x:c r="B20" s="9" t="str">
        <x:v>G14</x:v>
      </x:c>
      <x:c r="C20" s="9" t="str">
        <x:v>core event closes at day 162</x:v>
      </x:c>
      <x:c r="D20" s="9" t="str">
        <x:v>PLANNING</x:v>
      </x:c>
      <x:c r="E20" s="9" t="n">
        <x:v>1</x:v>
      </x:c>
      <x:c r="F20" s="9" t="n">
        <x:f>IF('Campaign Events'!M7='Controls'!$D$8,1,0)</x:f>
        <x:v>1</x:v>
      </x:c>
      <x:c r="G20" s="9" t="str">
        <x:f>IF(F20=1,"PLANNING PASS","FAIL")</x:f>
        <x:v>PLANNING PASS</x:v>
      </x:c>
      <x:c r="H20" s="9" t="str">
        <x:v>campaign evidence</x:v>
      </x:c>
      <x:c r="I20" s="9" t="str">
        <x:v>BLOCKED</x:v>
      </x:c>
      <x:c r="J20" s="9" t="str">
        <x:v>BLOCKED</x:v>
      </x:c>
    </x:row>
    <x:row r="21">
      <x:c r="B21" s="9" t="str">
        <x:v>G15</x:v>
      </x:c>
      <x:c r="C21" s="9" t="str">
        <x:v>challenged event closes at day 179</x:v>
      </x:c>
      <x:c r="D21" s="9" t="str">
        <x:v>PLANNING</x:v>
      </x:c>
      <x:c r="E21" s="9" t="n">
        <x:v>1</x:v>
      </x:c>
      <x:c r="F21" s="9" t="n">
        <x:f>IF('Campaign Events'!M12=179,1,0)</x:f>
        <x:v>1</x:v>
      </x:c>
      <x:c r="G21" s="9" t="str">
        <x:f>IF(F21=1,"PLANNING PASS","FAIL")</x:f>
        <x:v>PLANNING PASS</x:v>
      </x:c>
      <x:c r="H21" s="9" t="str">
        <x:v>campaign evidence</x:v>
      </x:c>
      <x:c r="I21" s="9" t="str">
        <x:v>BLOCKED</x:v>
      </x:c>
      <x:c r="J21" s="9" t="str">
        <x:v>BLOCKED</x:v>
      </x:c>
    </x:row>
    <x:row r="22">
      <x:c r="B22" s="9" t="str">
        <x:v>G16</x:v>
      </x:c>
      <x:c r="C22" s="9" t="str">
        <x:v>fifty-four service-package records complete</x:v>
      </x:c>
      <x:c r="D22" s="9" t="str">
        <x:v>PLANNING</x:v>
      </x:c>
      <x:c r="E22" s="9" t="n">
        <x:v>1</x:v>
      </x:c>
      <x:c r="F22" s="9" t="n">
        <x:f>IF(COUNTA('Service Registry'!B7:B60)=54,1,0)</x:f>
        <x:v>1</x:v>
      </x:c>
      <x:c r="G22" s="9" t="str">
        <x:f>IF(F22=1,"PLANNING PASS","FAIL")</x:f>
        <x:v>PLANNING PASS</x:v>
      </x:c>
      <x:c r="H22" s="9" t="str">
        <x:v>campaign evidence</x:v>
      </x:c>
      <x:c r="I22" s="9" t="str">
        <x:v>BLOCKED</x:v>
      </x:c>
      <x:c r="J22" s="9" t="str">
        <x:v>BLOCKED</x:v>
      </x:c>
    </x:row>
    <x:row r="23">
      <x:c r="B23" s="9" t="str">
        <x:v>G17</x:v>
      </x:c>
      <x:c r="C23" s="9" t="str">
        <x:v>nine service packages attach to every event</x:v>
      </x:c>
      <x:c r="D23" s="9" t="str">
        <x:v>PLANNING</x:v>
      </x:c>
      <x:c r="E23" s="9" t="n">
        <x:v>1</x:v>
      </x:c>
      <x:c r="F23" s="9" t="n">
        <x:f>IF(COUNTIF('Campaign Events'!P7:P12,9)=6,1,0)</x:f>
        <x:v>1</x:v>
      </x:c>
      <x:c r="G23" s="9" t="str">
        <x:f>IF(F23=1,"PLANNING PASS","FAIL")</x:f>
        <x:v>PLANNING PASS</x:v>
      </x:c>
      <x:c r="H23" s="9" t="str">
        <x:v>campaign evidence</x:v>
      </x:c>
      <x:c r="I23" s="9" t="str">
        <x:v>BLOCKED</x:v>
      </x:c>
      <x:c r="J23" s="9" t="str">
        <x:v>BLOCKED</x:v>
      </x:c>
    </x:row>
    <x:row r="24">
      <x:c r="B24" s="9" t="str">
        <x:v>G18</x:v>
      </x:c>
      <x:c r="C24" s="9" t="str">
        <x:v>exercise and alert workforce remain unique</x:v>
      </x:c>
      <x:c r="D24" s="9" t="str">
        <x:v>PLANNING</x:v>
      </x:c>
      <x:c r="E24" s="9" t="n">
        <x:v>1</x:v>
      </x:c>
      <x:c r="F24" s="9" t="n">
        <x:f>IF(COUNTIF(Workforce!M18:M23,"PASS")=6,1,0)</x:f>
        <x:v>1</x:v>
      </x:c>
      <x:c r="G24" s="9" t="str">
        <x:f>IF(F24=1,"PLANNING PASS","FAIL")</x:f>
        <x:v>PLANNING PASS</x:v>
      </x:c>
      <x:c r="H24" s="9" t="str">
        <x:v>campaign evidence</x:v>
      </x:c>
      <x:c r="I24" s="9" t="str">
        <x:v>BLOCKED</x:v>
      </x:c>
      <x:c r="J24" s="9" t="str">
        <x:v>BLOCKED</x:v>
      </x:c>
    </x:row>
    <x:row r="25">
      <x:c r="B25" s="9" t="str">
        <x:v>G19</x:v>
      </x:c>
      <x:c r="C25" s="9" t="str">
        <x:v>public and affiliate totals reconcile</x:v>
      </x:c>
      <x:c r="D25" s="9" t="str">
        <x:v>PLANNING</x:v>
      </x:c>
      <x:c r="E25" s="9" t="n">
        <x:v>1</x:v>
      </x:c>
      <x:c r="F25" s="9" t="n">
        <x:f>IF(AND(Workforce!D30='Controls'!$D$20,Workforce!D31='Controls'!$D$23),1,0)</x:f>
        <x:v>1</x:v>
      </x:c>
      <x:c r="G25" s="9" t="str">
        <x:f>IF(F25=1,"PLANNING PASS","FAIL")</x:f>
        <x:v>PLANNING PASS</x:v>
      </x:c>
      <x:c r="H25" s="9" t="str">
        <x:v>campaign evidence</x:v>
      </x:c>
      <x:c r="I25" s="9" t="str">
        <x:v>BLOCKED</x:v>
      </x:c>
      <x:c r="J25" s="9" t="str">
        <x:v>BLOCKED</x:v>
      </x:c>
    </x:row>
    <x:row r="26">
      <x:c r="B26" s="9" t="str">
        <x:v>G20</x:v>
      </x:c>
      <x:c r="C26" s="9" t="str">
        <x:v>surviving campuses retain force and capacity</x:v>
      </x:c>
      <x:c r="D26" s="9" t="str">
        <x:v>PLANNING</x:v>
      </x:c>
      <x:c r="E26" s="9" t="n">
        <x:v>1</x:v>
      </x:c>
      <x:c r="F26" s="9" t="n">
        <x:f>IF(COUNTIF('Campus Protection'!N7:N12,"PASS")=6,1,0)</x:f>
        <x:v>1</x:v>
      </x:c>
      <x:c r="G26" s="9" t="str">
        <x:f>IF(F26=1,"PLANNING PASS","FAIL")</x:f>
        <x:v>PLANNING PASS</x:v>
      </x:c>
      <x:c r="H26" s="9" t="str">
        <x:v>campaign evidence</x:v>
      </x:c>
      <x:c r="I26" s="9" t="str">
        <x:v>BLOCKED</x:v>
      </x:c>
      <x:c r="J26" s="9" t="str">
        <x:v>BLOCKED</x:v>
      </x:c>
    </x:row>
    <x:row r="27">
      <x:c r="B27" s="9" t="str">
        <x:v>G21</x:v>
      </x:c>
      <x:c r="C27" s="9" t="str">
        <x:v>alert shipset floor holds in every event</x:v>
      </x:c>
      <x:c r="D27" s="9" t="str">
        <x:v>PLANNING</x:v>
      </x:c>
      <x:c r="E27" s="9" t="n">
        <x:v>1</x:v>
      </x:c>
      <x:c r="F27" s="9" t="n">
        <x:f>IF(MIN('Campus Protection'!M7:M12)&gt;=1,1,0)</x:f>
        <x:v>1</x:v>
      </x:c>
      <x:c r="G27" s="9" t="str">
        <x:f>IF(F27=1,"PLANNING PASS","FAIL")</x:f>
        <x:v>PLANNING PASS</x:v>
      </x:c>
      <x:c r="H27" s="9" t="str">
        <x:v>campaign evidence</x:v>
      </x:c>
      <x:c r="I27" s="9" t="str">
        <x:v>BLOCKED</x:v>
      </x:c>
      <x:c r="J27" s="9" t="str">
        <x:v>BLOCKED</x:v>
      </x:c>
    </x:row>
    <x:row r="28">
      <x:c r="B28" s="9" t="str">
        <x:v>G22</x:v>
      </x:c>
      <x:c r="C28" s="9" t="str">
        <x:v>twenty-four fault assignments complete</x:v>
      </x:c>
      <x:c r="D28" s="9" t="str">
        <x:v>PLANNING</x:v>
      </x:c>
      <x:c r="E28" s="9" t="n">
        <x:v>1</x:v>
      </x:c>
      <x:c r="F28" s="9" t="n">
        <x:f>IF(AND(COUNTA('Fault Campaign'!B20:B43)='Controls'!$D$30,COUNTIF('Fault Campaign'!K20:K43,"PASS")='Controls'!$D$30),1,0)</x:f>
        <x:v>1</x:v>
      </x:c>
      <x:c r="G28" s="9" t="str">
        <x:f>IF(F28=1,"PLANNING PASS","FAIL")</x:f>
        <x:v>PLANNING PASS</x:v>
      </x:c>
      <x:c r="H28" s="9" t="str">
        <x:v>campaign evidence</x:v>
      </x:c>
      <x:c r="I28" s="9" t="str">
        <x:v>BLOCKED</x:v>
      </x:c>
      <x:c r="J28" s="9" t="str">
        <x:v>BLOCKED</x:v>
      </x:c>
    </x:row>
    <x:row r="29">
      <x:c r="B29" s="9" t="str">
        <x:v>G23</x:v>
      </x:c>
      <x:c r="C29" s="9" t="str">
        <x:v>each fault family appears three times</x:v>
      </x:c>
      <x:c r="D29" s="9" t="str">
        <x:v>PLANNING</x:v>
      </x:c>
      <x:c r="E29" s="9" t="n">
        <x:v>1</x:v>
      </x:c>
      <x:c r="F29" s="9" t="n">
        <x:f>IF(COUNTIF('Fault Campaign'!G7:G14,"PASS")='Controls'!$D$32,1,0)</x:f>
        <x:v>1</x:v>
      </x:c>
      <x:c r="G29" s="9" t="str">
        <x:f>IF(F29=1,"PLANNING PASS","FAIL")</x:f>
        <x:v>PLANNING PASS</x:v>
      </x:c>
      <x:c r="H29" s="9" t="str">
        <x:v>campaign evidence</x:v>
      </x:c>
      <x:c r="I29" s="9" t="str">
        <x:v>BLOCKED</x:v>
      </x:c>
      <x:c r="J29" s="9" t="str">
        <x:v>BLOCKED</x:v>
      </x:c>
    </x:row>
    <x:row r="30">
      <x:c r="B30" s="9" t="str">
        <x:v>G24</x:v>
      </x:c>
      <x:c r="C30" s="9" t="str">
        <x:v>twelve clean controls complete</x:v>
      </x:c>
      <x:c r="D30" s="9" t="str">
        <x:v>PLANNING</x:v>
      </x:c>
      <x:c r="E30" s="9" t="n">
        <x:v>1</x:v>
      </x:c>
      <x:c r="F30" s="9" t="n">
        <x:f>IF(COUNTA('Fault Campaign'!B49:B60)='Controls'!$D$31,1,0)</x:f>
        <x:v>1</x:v>
      </x:c>
      <x:c r="G30" s="9" t="str">
        <x:f>IF(F30=1,"PLANNING PASS","FAIL")</x:f>
        <x:v>PLANNING PASS</x:v>
      </x:c>
      <x:c r="H30" s="9" t="str">
        <x:v>campaign evidence</x:v>
      </x:c>
      <x:c r="I30" s="9" t="str">
        <x:v>BLOCKED</x:v>
      </x:c>
      <x:c r="J30" s="9" t="str">
        <x:v>BLOCKED</x:v>
      </x:c>
    </x:row>
    <x:row r="31">
      <x:c r="B31" s="9" t="str">
        <x:v>G25</x:v>
      </x:c>
      <x:c r="C31" s="9" t="str">
        <x:v>CRC-E06 critical path closes by day 179</x:v>
      </x:c>
      <x:c r="D31" s="9" t="str">
        <x:v>PLANNING</x:v>
      </x:c>
      <x:c r="E31" s="9" t="n">
        <x:v>1</x:v>
      </x:c>
      <x:c r="F31" s="9" t="n">
        <x:f>IF('Critical Path'!D24=179,1,0)</x:f>
        <x:v>1</x:v>
      </x:c>
      <x:c r="G31" s="9" t="str">
        <x:f>IF(F31=1,"PLANNING PASS","FAIL")</x:f>
        <x:v>PLANNING PASS</x:v>
      </x:c>
      <x:c r="H31" s="9" t="str">
        <x:v>campaign evidence</x:v>
      </x:c>
      <x:c r="I31" s="9" t="str">
        <x:v>BLOCKED</x:v>
      </x:c>
      <x:c r="J31" s="9" t="str">
        <x:v>BLOCKED</x:v>
      </x:c>
    </x:row>
    <x:row r="32">
      <x:c r="B32" s="9" t="str">
        <x:v>G26</x:v>
      </x:c>
      <x:c r="C32" s="9" t="str">
        <x:v>terminal event and reset states defined</x:v>
      </x:c>
      <x:c r="D32" s="9" t="str">
        <x:v>PLANNING</x:v>
      </x:c>
      <x:c r="E32" s="9" t="n">
        <x:v>1</x:v>
      </x:c>
      <x:c r="F32" s="9" t="n">
        <x:f>IF(AND(COUNTA('Evidence States'!B7:B12)=6,'Evidence States'!C28=6,'Evidence States'!C29=6),1,0)</x:f>
        <x:v>1</x:v>
      </x:c>
      <x:c r="G32" s="9" t="str">
        <x:f>IF(F32=1,"PLANNING PASS","FAIL")</x:f>
        <x:v>PLANNING PASS</x:v>
      </x:c>
      <x:c r="H32" s="9" t="str">
        <x:v>campaign evidence</x:v>
      </x:c>
      <x:c r="I32" s="9" t="str">
        <x:v>BLOCKED</x:v>
      </x:c>
      <x:c r="J32" s="9" t="str">
        <x:v>BLOCKED</x:v>
      </x:c>
    </x:row>
    <x:row r="33">
      <x:c r="B33" s="9" t="str">
        <x:v>G27</x:v>
      </x:c>
      <x:c r="C33" s="9" t="str">
        <x:v>USD 13.900B capital reconciles</x:v>
      </x:c>
      <x:c r="D33" s="9" t="str">
        <x:v>PLANNING</x:v>
      </x:c>
      <x:c r="E33" s="9" t="n">
        <x:v>1</x:v>
      </x:c>
      <x:c r="F33" s="9" t="n">
        <x:f>IF(ABS(Capital!C17-'Controls'!$D$33)&lt;0.000001,1,0)</x:f>
        <x:v>1</x:v>
      </x:c>
      <x:c r="G33" s="9" t="str">
        <x:f>IF(F33=1,"PLANNING PASS","FAIL")</x:f>
        <x:v>PLANNING PASS</x:v>
      </x:c>
      <x:c r="H33" s="9" t="str">
        <x:v>campaign evidence</x:v>
      </x:c>
      <x:c r="I33" s="9" t="str">
        <x:v>BLOCKED</x:v>
      </x:c>
      <x:c r="J33" s="9" t="str">
        <x:v>BLOCKED</x:v>
      </x:c>
    </x:row>
    <x:row r="34">
      <x:c r="B34" s="9" t="str">
        <x:v>G28</x:v>
      </x:c>
      <x:c r="C34" s="9" t="str">
        <x:v>USD 1.086B annual support reconciles</x:v>
      </x:c>
      <x:c r="D34" s="9" t="str">
        <x:v>PLANNING</x:v>
      </x:c>
      <x:c r="E34" s="9" t="n">
        <x:v>1</x:v>
      </x:c>
      <x:c r="F34" s="9" t="n">
        <x:f>IF(ABS('Annual Support'!C19-'Controls'!$D$36)&lt;0.000001,1,0)</x:f>
        <x:v>1</x:v>
      </x:c>
      <x:c r="G34" s="9" t="str">
        <x:f>IF(F34=1,"PLANNING PASS","FAIL")</x:f>
        <x:v>PLANNING PASS</x:v>
      </x:c>
      <x:c r="H34" s="9" t="str">
        <x:v>campaign evidence</x:v>
      </x:c>
      <x:c r="I34" s="9" t="str">
        <x:v>BLOCKED</x:v>
      </x:c>
      <x:c r="J34" s="9" t="str">
        <x:v>BLOCKED</x:v>
      </x:c>
    </x:row>
    <x:row r="35">
      <x:c r="B35" s="9" t="str">
        <x:v>G29</x:v>
      </x:c>
      <x:c r="C35" s="9" t="str">
        <x:v>USD 1.650B campaign draw remains inside six-year support</x:v>
      </x:c>
      <x:c r="D35" s="9" t="str">
        <x:v>PLANNING</x:v>
      </x:c>
      <x:c r="E35" s="9" t="n">
        <x:v>1</x:v>
      </x:c>
      <x:c r="F35" s="9" t="n">
        <x:f>IF(AND(ABS('Campaign Cost'!E14-'Controls'!$D$41)&lt;0.000001,'Campaign Cost'!D20&lt;='Campaign Cost'!D19),1,0)</x:f>
        <x:v>1</x:v>
      </x:c>
      <x:c r="G35" s="9" t="str">
        <x:f>IF(F35=1,"PLANNING PASS","FAIL")</x:f>
        <x:v>PLANNING PASS</x:v>
      </x:c>
      <x:c r="H35" s="9" t="str">
        <x:v>campaign evidence</x:v>
      </x:c>
      <x:c r="I35" s="9" t="str">
        <x:v>BLOCKED</x:v>
      </x:c>
      <x:c r="J35" s="9" t="str">
        <x:v>BLOCKED</x:v>
      </x:c>
    </x:row>
    <x:row r="36">
      <x:c r="B36" s="9" t="str">
        <x:v>G30</x:v>
      </x:c>
      <x:c r="C36" s="9" t="str">
        <x:v>USD 40.950B incremental boundary reconciles</x:v>
      </x:c>
      <x:c r="D36" s="9" t="str">
        <x:v>PLANNING</x:v>
      </x:c>
      <x:c r="E36" s="9" t="n">
        <x:v>1</x:v>
      </x:c>
      <x:c r="F36" s="9" t="n">
        <x:f>IF(ABS(Capital!D26-'Controls'!$D$38)&lt;0.000001,1,0)</x:f>
        <x:v>1</x:v>
      </x:c>
      <x:c r="G36" s="9" t="str">
        <x:f>IF(F36=1,"PLANNING PASS","FAIL")</x:f>
        <x:v>PLANNING PASS</x:v>
      </x:c>
      <x:c r="H36" s="9" t="str">
        <x:v>campaign evidence</x:v>
      </x:c>
      <x:c r="I36" s="9" t="str">
        <x:v>BLOCKED</x:v>
      </x:c>
      <x:c r="J36" s="9" t="str">
        <x:v>BLOCKED</x:v>
      </x:c>
    </x:row>
    <x:row r="37">
      <x:c r="B37" s="9" t="str">
        <x:v>G31</x:v>
      </x:c>
      <x:c r="C37" s="9" t="str">
        <x:v>physical observations remain zero</x:v>
      </x:c>
      <x:c r="D37" s="9" t="str">
        <x:v>PLANNING</x:v>
      </x:c>
      <x:c r="E37" s="9" t="n">
        <x:v>1</x:v>
      </x:c>
      <x:c r="F37" s="9" t="n">
        <x:f>IF(AND('Controls'!$D$51=0,'Controls'!$D$52=0,'Controls'!$D$53=0,'Controls'!$D$54=0),1,0)</x:f>
        <x:v>1</x:v>
      </x:c>
      <x:c r="G37" s="9" t="str">
        <x:f>IF(F37=1,"PLANNING PASS","FAIL")</x:f>
        <x:v>PLANNING PASS</x:v>
      </x:c>
      <x:c r="H37" s="9" t="str">
        <x:v>campaign evidence</x:v>
      </x:c>
      <x:c r="I37" s="9" t="str">
        <x:v>BLOCKED</x:v>
      </x:c>
      <x:c r="J37" s="9" t="str">
        <x:v>BLOCKED</x:v>
      </x:c>
    </x:row>
    <x:row r="38">
      <x:c r="B38" s="9" t="str">
        <x:v>G32</x:v>
      </x:c>
      <x:c r="C38" s="9" t="str">
        <x:v>production and rendering remain blocked</x:v>
      </x:c>
      <x:c r="D38" s="9" t="str">
        <x:v>PLANNING</x:v>
      </x:c>
      <x:c r="E38" s="9" t="n">
        <x:v>1</x:v>
      </x:c>
      <x:c r="F38" s="9" t="n">
        <x:f>IF(AND('Controls'!$D$55=0,'Controls'!$D$56=0),1,0)</x:f>
        <x:v>1</x:v>
      </x:c>
      <x:c r="G38" s="9" t="str">
        <x:f>IF(F38=1,"PLANNING PASS","FAIL")</x:f>
        <x:v>PLANNING PASS</x:v>
      </x:c>
      <x:c r="H38" s="9" t="str">
        <x:v>campaign evidence</x:v>
      </x:c>
      <x:c r="I38" s="9" t="str">
        <x:v>BLOCKED</x:v>
      </x:c>
      <x:c r="J38" s="9" t="str">
        <x:v>BLOCKED</x:v>
      </x:c>
    </x:row>
    <x:row r="39">
      <x:c r="B39" s="9" t="str">
        <x:v>G33</x:v>
      </x:c>
      <x:c r="C39" s="9" t="str">
        <x:v>capital authority enacted</x:v>
      </x:c>
      <x:c r="D39" s="9" t="str">
        <x:v>PHYSICAL</x:v>
      </x:c>
      <x:c r="E39" s="9" t="n">
        <x:v>1</x:v>
      </x:c>
      <x:c r="F39" s="9" t="n">
        <x:f>'Controls'!$D$43</x:f>
        <x:v>0</x:v>
      </x:c>
      <x:c r="G39" s="9" t="str">
        <x:f>IF(F39=D39,"PASS",IF(OR(B39="G45",B39="G46"),"BLOCKED","OPEN"))</x:f>
        <x:v>OPEN</x:v>
      </x:c>
      <x:c r="H39" s="9" t="str">
        <x:v>physical predecessor</x:v>
      </x:c>
      <x:c r="I39" s="9" t="str">
        <x:v>BLOCKED</x:v>
      </x:c>
      <x:c r="J39" s="9" t="str">
        <x:v>BLOCKED</x:v>
      </x:c>
    </x:row>
    <x:row r="40">
      <x:c r="B40" s="9" t="str">
        <x:v>G34</x:v>
      </x:c>
      <x:c r="C40" s="9" t="str">
        <x:v>annual support authority enacted</x:v>
      </x:c>
      <x:c r="D40" s="9" t="str">
        <x:v>PHYSICAL</x:v>
      </x:c>
      <x:c r="E40" s="9" t="n">
        <x:v>1</x:v>
      </x:c>
      <x:c r="F40" s="9" t="n">
        <x:f>'Controls'!$D$44</x:f>
        <x:v>0</x:v>
      </x:c>
      <x:c r="G40" s="9" t="str">
        <x:f>IF(F40=D40,"PASS",IF(OR(B40="G45",B40="G46"),"BLOCKED","OPEN"))</x:f>
        <x:v>OPEN</x:v>
      </x:c>
      <x:c r="H40" s="9" t="str">
        <x:v>physical predecessor</x:v>
      </x:c>
      <x:c r="I40" s="9" t="str">
        <x:v>BLOCKED</x:v>
      </x:c>
      <x:c r="J40" s="9" t="str">
        <x:v>BLOCKED</x:v>
      </x:c>
    </x:row>
    <x:row r="41">
      <x:c r="B41" s="9" t="str">
        <x:v>G35</x:v>
      </x:c>
      <x:c r="C41" s="9" t="str">
        <x:v>six shipsets physically accepted</x:v>
      </x:c>
      <x:c r="D41" s="9" t="str">
        <x:v>PHYSICAL</x:v>
      </x:c>
      <x:c r="E41" s="9" t="n">
        <x:v>1</x:v>
      </x:c>
      <x:c r="F41" s="9" t="n">
        <x:f>'Controls'!$D$45</x:f>
        <x:v>0</x:v>
      </x:c>
      <x:c r="G41" s="9" t="str">
        <x:f>IF(F41=D41,"PASS",IF(OR(B41="G45",B41="G46"),"BLOCKED","OPEN"))</x:f>
        <x:v>OPEN</x:v>
      </x:c>
      <x:c r="H41" s="9" t="str">
        <x:v>physical predecessor</x:v>
      </x:c>
      <x:c r="I41" s="9" t="str">
        <x:v>BLOCKED</x:v>
      </x:c>
      <x:c r="J41" s="9" t="str">
        <x:v>BLOCKED</x:v>
      </x:c>
    </x:row>
    <x:row r="42">
      <x:c r="B42" s="9" t="str">
        <x:v>G36</x:v>
      </x:c>
      <x:c r="C42" s="9" t="str">
        <x:v>two roots physically qualified</x:v>
      </x:c>
      <x:c r="D42" s="9" t="str">
        <x:v>PHYSICAL</x:v>
      </x:c>
      <x:c r="E42" s="9" t="n">
        <x:v>1</x:v>
      </x:c>
      <x:c r="F42" s="9" t="n">
        <x:f>'Controls'!$D$46</x:f>
        <x:v>0</x:v>
      </x:c>
      <x:c r="G42" s="9" t="str">
        <x:f>IF(F42=D42,"PASS",IF(OR(B42="G45",B42="G46"),"BLOCKED","OPEN"))</x:f>
        <x:v>OPEN</x:v>
      </x:c>
      <x:c r="H42" s="9" t="str">
        <x:v>physical predecessor</x:v>
      </x:c>
      <x:c r="I42" s="9" t="str">
        <x:v>BLOCKED</x:v>
      </x:c>
      <x:c r="J42" s="9" t="str">
        <x:v>BLOCKED</x:v>
      </x:c>
    </x:row>
    <x:row r="43">
      <x:c r="B43" s="9" t="str">
        <x:v>G37</x:v>
      </x:c>
      <x:c r="C43" s="9" t="str">
        <x:v>six arsenals physically accepted</x:v>
      </x:c>
      <x:c r="D43" s="9" t="str">
        <x:v>PHYSICAL</x:v>
      </x:c>
      <x:c r="E43" s="9" t="n">
        <x:v>1</x:v>
      </x:c>
      <x:c r="F43" s="9" t="n">
        <x:f>'Controls'!$D$47</x:f>
        <x:v>0</x:v>
      </x:c>
      <x:c r="G43" s="9" t="str">
        <x:f>IF(F43=D43,"PASS",IF(OR(B43="G45",B43="G46"),"BLOCKED","OPEN"))</x:f>
        <x:v>OPEN</x:v>
      </x:c>
      <x:c r="H43" s="9" t="str">
        <x:v>physical predecessor</x:v>
      </x:c>
      <x:c r="I43" s="9" t="str">
        <x:v>BLOCKED</x:v>
      </x:c>
      <x:c r="J43" s="9" t="str">
        <x:v>BLOCKED</x:v>
      </x:c>
    </x:row>
    <x:row r="44">
      <x:c r="B44" s="9" t="str">
        <x:v>G38</x:v>
      </x:c>
      <x:c r="C44" s="9" t="str">
        <x:v>six receiver sites current</x:v>
      </x:c>
      <x:c r="D44" s="9" t="str">
        <x:v>PHYSICAL</x:v>
      </x:c>
      <x:c r="E44" s="9" t="n">
        <x:v>1</x:v>
      </x:c>
      <x:c r="F44" s="9" t="n">
        <x:f>'Controls'!$D$48</x:f>
        <x:v>0</x:v>
      </x:c>
      <x:c r="G44" s="9" t="str">
        <x:f>IF(F44=D44,"PASS",IF(OR(B44="G45",B44="G46"),"BLOCKED","OPEN"))</x:f>
        <x:v>OPEN</x:v>
      </x:c>
      <x:c r="H44" s="9" t="str">
        <x:v>physical predecessor</x:v>
      </x:c>
      <x:c r="I44" s="9" t="str">
        <x:v>BLOCKED</x:v>
      </x:c>
      <x:c r="J44" s="9" t="str">
        <x:v>BLOCKED</x:v>
      </x:c>
    </x:row>
    <x:row r="45">
      <x:c r="B45" s="9" t="str">
        <x:v>G39</x:v>
      </x:c>
      <x:c r="C45" s="9" t="str">
        <x:v>public rosters constituted</x:v>
      </x:c>
      <x:c r="D45" s="9" t="str">
        <x:v>PHYSICAL</x:v>
      </x:c>
      <x:c r="E45" s="9" t="n">
        <x:v>1</x:v>
      </x:c>
      <x:c r="F45" s="9" t="n">
        <x:f>'Controls'!$D$49</x:f>
        <x:v>0</x:v>
      </x:c>
      <x:c r="G45" s="9" t="str">
        <x:f>IF(F45=D45,"PASS",IF(OR(B45="G45",B45="G46"),"BLOCKED","OPEN"))</x:f>
        <x:v>OPEN</x:v>
      </x:c>
      <x:c r="H45" s="9" t="str">
        <x:v>physical predecessor</x:v>
      </x:c>
      <x:c r="I45" s="9" t="str">
        <x:v>BLOCKED</x:v>
      </x:c>
      <x:c r="J45" s="9" t="str">
        <x:v>BLOCKED</x:v>
      </x:c>
    </x:row>
    <x:row r="46">
      <x:c r="B46" s="9" t="str">
        <x:v>G40</x:v>
      </x:c>
      <x:c r="C46" s="9" t="str">
        <x:v>affiliate rosters constituted</x:v>
      </x:c>
      <x:c r="D46" s="9" t="str">
        <x:v>PHYSICAL</x:v>
      </x:c>
      <x:c r="E46" s="9" t="n">
        <x:v>1</x:v>
      </x:c>
      <x:c r="F46" s="9" t="n">
        <x:f>'Controls'!$D$50</x:f>
        <x:v>0</x:v>
      </x:c>
      <x:c r="G46" s="9" t="str">
        <x:f>IF(F46=D46,"PASS",IF(OR(B46="G45",B46="G46"),"BLOCKED","OPEN"))</x:f>
        <x:v>OPEN</x:v>
      </x:c>
      <x:c r="H46" s="9" t="str">
        <x:v>physical predecessor</x:v>
      </x:c>
      <x:c r="I46" s="9" t="str">
        <x:v>BLOCKED</x:v>
      </x:c>
      <x:c r="J46" s="9" t="str">
        <x:v>BLOCKED</x:v>
      </x:c>
    </x:row>
    <x:row r="47">
      <x:c r="B47" s="9" t="str">
        <x:v>G41</x:v>
      </x:c>
      <x:c r="C47" s="9" t="str">
        <x:v>six reconstruction events complete</x:v>
      </x:c>
      <x:c r="D47" s="9" t="str">
        <x:v>PHYSICAL</x:v>
      </x:c>
      <x:c r="E47" s="9" t="n">
        <x:v>1</x:v>
      </x:c>
      <x:c r="F47" s="9" t="n">
        <x:f>'Controls'!$D$51</x:f>
        <x:v>0</x:v>
      </x:c>
      <x:c r="G47" s="9" t="str">
        <x:f>IF(F47=D47,"PASS",IF(OR(B47="G45",B47="G46"),"BLOCKED","OPEN"))</x:f>
        <x:v>OPEN</x:v>
      </x:c>
      <x:c r="H47" s="9" t="str">
        <x:v>physical predecessor</x:v>
      </x:c>
      <x:c r="I47" s="9" t="str">
        <x:v>BLOCKED</x:v>
      </x:c>
      <x:c r="J47" s="9" t="str">
        <x:v>BLOCKED</x:v>
      </x:c>
    </x:row>
    <x:row r="48">
      <x:c r="B48" s="9" t="str">
        <x:v>G42</x:v>
      </x:c>
      <x:c r="C48" s="9" t="str">
        <x:v>six shipset resets complete</x:v>
      </x:c>
      <x:c r="D48" s="9" t="str">
        <x:v>PHYSICAL</x:v>
      </x:c>
      <x:c r="E48" s="9" t="n">
        <x:v>1</x:v>
      </x:c>
      <x:c r="F48" s="9" t="n">
        <x:f>'Controls'!$D$52</x:f>
        <x:v>0</x:v>
      </x:c>
      <x:c r="G48" s="9" t="str">
        <x:f>IF(F48=D48,"PASS",IF(OR(B48="G45",B48="G46"),"BLOCKED","OPEN"))</x:f>
        <x:v>OPEN</x:v>
      </x:c>
      <x:c r="H48" s="9" t="str">
        <x:v>physical predecessor</x:v>
      </x:c>
      <x:c r="I48" s="9" t="str">
        <x:v>BLOCKED</x:v>
      </x:c>
      <x:c r="J48" s="9" t="str">
        <x:v>BLOCKED</x:v>
      </x:c>
    </x:row>
    <x:row r="49">
      <x:c r="B49" s="9" t="str">
        <x:v>G43</x:v>
      </x:c>
      <x:c r="C49" s="9" t="str">
        <x:v>twenty-four faults observed</x:v>
      </x:c>
      <x:c r="D49" s="9" t="str">
        <x:v>PHYSICAL</x:v>
      </x:c>
      <x:c r="E49" s="9" t="n">
        <x:v>1</x:v>
      </x:c>
      <x:c r="F49" s="9" t="n">
        <x:f>'Controls'!$D$53</x:f>
        <x:v>0</x:v>
      </x:c>
      <x:c r="G49" s="9" t="str">
        <x:f>IF(F49=D49,"PASS",IF(OR(B49="G45",B49="G46"),"BLOCKED","OPEN"))</x:f>
        <x:v>OPEN</x:v>
      </x:c>
      <x:c r="H49" s="9" t="str">
        <x:v>physical predecessor</x:v>
      </x:c>
      <x:c r="I49" s="9" t="str">
        <x:v>BLOCKED</x:v>
      </x:c>
      <x:c r="J49" s="9" t="str">
        <x:v>BLOCKED</x:v>
      </x:c>
    </x:row>
    <x:row r="50">
      <x:c r="B50" s="9" t="str">
        <x:v>G44</x:v>
      </x:c>
      <x:c r="C50" s="9" t="str">
        <x:v>twelve clean controls observed</x:v>
      </x:c>
      <x:c r="D50" s="9" t="str">
        <x:v>PHYSICAL</x:v>
      </x:c>
      <x:c r="E50" s="9" t="n">
        <x:v>1</x:v>
      </x:c>
      <x:c r="F50" s="9" t="n">
        <x:f>'Controls'!$D$54</x:f>
        <x:v>0</x:v>
      </x:c>
      <x:c r="G50" s="9" t="str">
        <x:f>IF(F50=D50,"PASS",IF(OR(B50="G45",B50="G46"),"BLOCKED","OPEN"))</x:f>
        <x:v>OPEN</x:v>
      </x:c>
      <x:c r="H50" s="9" t="str">
        <x:v>physical predecessor</x:v>
      </x:c>
      <x:c r="I50" s="9" t="str">
        <x:v>BLOCKED</x:v>
      </x:c>
      <x:c r="J50" s="9" t="str">
        <x:v>BLOCKED</x:v>
      </x:c>
    </x:row>
    <x:row r="51">
      <x:c r="B51" s="9" t="str">
        <x:v>G45</x:v>
      </x:c>
      <x:c r="C51" s="9" t="str">
        <x:v>production and form authority</x:v>
      </x:c>
      <x:c r="D51" s="9" t="str">
        <x:v>PHYSICAL</x:v>
      </x:c>
      <x:c r="E51" s="9" t="n">
        <x:v>1</x:v>
      </x:c>
      <x:c r="F51" s="9" t="n">
        <x:f>'Controls'!$D$55</x:f>
        <x:v>0</x:v>
      </x:c>
      <x:c r="G51" s="9" t="str">
        <x:f>IF(F51=D51,"PASS",IF(OR(B51="G45",B51="G46"),"BLOCKED","OPEN"))</x:f>
        <x:v>BLOCKED</x:v>
      </x:c>
      <x:c r="H51" s="9" t="str">
        <x:v>physical predecessor</x:v>
      </x:c>
      <x:c r="I51" s="9" t="str">
        <x:v>BLOCKED</x:v>
      </x:c>
      <x:c r="J51" s="9" t="str">
        <x:v>BLOCKED</x:v>
      </x:c>
    </x:row>
    <x:row r="52">
      <x:c r="B52" s="10" t="str">
        <x:v>G46</x:v>
      </x:c>
      <x:c r="C52" s="10" t="str">
        <x:v>exterior rendering authority</x:v>
      </x:c>
      <x:c r="D52" s="10" t="str">
        <x:v>PHYSICAL</x:v>
      </x:c>
      <x:c r="E52" s="10" t="n">
        <x:v>1</x:v>
      </x:c>
      <x:c r="F52" s="10" t="n">
        <x:f>'Controls'!$D$56</x:f>
        <x:v>0</x:v>
      </x:c>
      <x:c r="G52" s="10" t="str">
        <x:f>IF(F52=D52,"PASS",IF(OR(B52="G45",B52="G46"),"BLOCKED","OPEN"))</x:f>
        <x:v>BLOCKED</x:v>
      </x:c>
      <x:c r="H52" s="10" t="str">
        <x:v>physical predecessor</x:v>
      </x:c>
      <x:c r="I52" s="10" t="str">
        <x:v>BLOCKED</x:v>
      </x:c>
      <x:c r="J52" s="10" t="str">
        <x:v>BLOCKED</x:v>
      </x:c>
    </x:row>
    <x:row r="53">
      <x:c r="B53" s="36"/>
      <x:c r="C53" s="36"/>
      <x:c r="D53" s="36"/>
      <x:c r="E53" s="36"/>
      <x:c r="F53" s="36"/>
      <x:c r="G53" s="36"/>
      <x:c r="H53" s="36"/>
      <x:c r="I53" s="36"/>
      <x:c r="J53" s="36"/>
    </x:row>
    <x:row r="54">
      <x:c r="B54" s="36"/>
      <x:c r="C54" s="36"/>
      <x:c r="D54" s="36"/>
      <x:c r="E54" s="36"/>
      <x:c r="F54" s="36"/>
      <x:c r="G54" s="36"/>
      <x:c r="H54" s="36"/>
      <x:c r="I54" s="36"/>
      <x:c r="J54" s="36"/>
    </x:row>
    <x:row r="55">
      <x:c r="B55" s="36"/>
      <x:c r="C55" s="36"/>
      <x:c r="D55" s="36"/>
      <x:c r="E55" s="36"/>
      <x:c r="F55" s="36"/>
      <x:c r="G55" s="36"/>
      <x:c r="H55" s="36"/>
      <x:c r="I55" s="36"/>
      <x:c r="J55" s="36"/>
    </x:row>
    <x:row r="56">
      <x:c r="B56" s="25" t="str">
        <x:v>Present authority states</x:v>
      </x:c>
      <x:c r="C56" s="26" t="str">
        <x:v>Present authority states</x:v>
      </x:c>
      <x:c r="D56" s="26" t="str">
        <x:v>Present authority states</x:v>
      </x:c>
      <x:c r="E56" s="26" t="str">
        <x:v>Present authority states</x:v>
      </x:c>
      <x:c r="F56" s="26" t="str">
        <x:v>Present authority states</x:v>
      </x:c>
      <x:c r="G56" s="26" t="str">
        <x:v>Present authority states</x:v>
      </x:c>
      <x:c r="H56" s="26" t="str">
        <x:v>Present authority states</x:v>
      </x:c>
      <x:c r="I56" s="26" t="str">
        <x:v>Present authority states</x:v>
      </x:c>
      <x:c r="J56" s="27" t="str">
        <x:v>Present authority states</x:v>
      </x:c>
    </x:row>
    <x:row r="57">
      <x:c r="B57" s="36" t="str">
        <x:v>Planning architecture</x:v>
      </x:c>
      <x:c r="C57" s="36" t="str">
        <x:v>G01-G06</x:v>
      </x:c>
      <x:c r="D57" s="36" t="str">
        <x:f>IF(COUNTIF(G7:G12,"PLANNING PASS")=6,"AUTHORIZED","HOLD")</x:f>
        <x:v>AUTHORIZED</x:v>
      </x:c>
      <x:c r="E57" s="36"/>
      <x:c r="F57" s="36"/>
      <x:c r="G57" s="36"/>
      <x:c r="H57" s="36"/>
      <x:c r="I57" s="36"/>
      <x:c r="J57" s="36"/>
    </x:row>
    <x:row r="58">
      <x:c r="B58" s="36" t="str">
        <x:v>Campaign package</x:v>
      </x:c>
      <x:c r="C58" s="36" t="str">
        <x:v>G07-G32</x:v>
      </x:c>
      <x:c r="D58" s="36" t="str">
        <x:f>IF(COUNTIF(G13:G38,"PLANNING PASS")=26,"AUTHORIZED","HOLD")</x:f>
        <x:v>AUTHORIZED</x:v>
      </x:c>
      <x:c r="E58" s="36"/>
      <x:c r="F58" s="36"/>
      <x:c r="G58" s="36"/>
      <x:c r="H58" s="36"/>
      <x:c r="I58" s="36"/>
      <x:c r="J58" s="36"/>
    </x:row>
    <x:row r="59">
      <x:c r="B59" s="36" t="str">
        <x:v>Program authority</x:v>
      </x:c>
      <x:c r="C59" s="36" t="str">
        <x:v>G33-G34</x:v>
      </x:c>
      <x:c r="D59" s="36" t="str">
        <x:f>IF(AND(G39="PASS",G40="PASS"),"AUTHORIZED","HOLD")</x:f>
        <x:v>HOLD</x:v>
      </x:c>
      <x:c r="E59" s="36"/>
      <x:c r="F59" s="36"/>
      <x:c r="G59" s="36"/>
      <x:c r="H59" s="36"/>
      <x:c r="I59" s="36"/>
      <x:c r="J59" s="36"/>
    </x:row>
    <x:row r="60">
      <x:c r="B60" s="36" t="str">
        <x:v>Physical force</x:v>
      </x:c>
      <x:c r="C60" s="36" t="str">
        <x:v>G35-G40</x:v>
      </x:c>
      <x:c r="D60" s="36" t="str">
        <x:f>IF(COUNTIF(G41:G46,"PASS")=6,"CONSTITUTED","HOLD")</x:f>
        <x:v>HOLD</x:v>
      </x:c>
      <x:c r="E60" s="36"/>
      <x:c r="F60" s="36"/>
      <x:c r="G60" s="36"/>
      <x:c r="H60" s="36"/>
      <x:c r="I60" s="36"/>
      <x:c r="J60" s="36"/>
    </x:row>
    <x:row r="61">
      <x:c r="B61" s="36" t="str">
        <x:v>Campaign execution</x:v>
      </x:c>
      <x:c r="C61" s="36" t="str">
        <x:v>G41-G44</x:v>
      </x:c>
      <x:c r="D61" s="36" t="str">
        <x:f>IF(AND(D60="CONSTITUTED",COUNTIF(G47:G50,"PASS")=4),"ADMITTED","HOLD")</x:f>
        <x:v>HOLD</x:v>
      </x:c>
      <x:c r="E61" s="36"/>
      <x:c r="F61" s="36"/>
      <x:c r="G61" s="36"/>
      <x:c r="H61" s="36"/>
      <x:c r="I61" s="36"/>
      <x:c r="J61" s="36"/>
    </x:row>
    <x:row r="62">
      <x:c r="B62" s="36" t="str">
        <x:v>Production and rendering</x:v>
      </x:c>
      <x:c r="C62" s="36" t="str">
        <x:v>G45-G46</x:v>
      </x:c>
      <x:c r="D62" s="36" t="str">
        <x:f>IF(AND(D61="ADMITTED",G51="PASS",G52="PASS"),"AUTHORIZED","BLOCKED")</x:f>
        <x:v>BLOCKED</x:v>
      </x:c>
      <x:c r="E62" s="36"/>
      <x:c r="F62" s="36"/>
      <x:c r="G62" s="36"/>
      <x:c r="H62" s="36"/>
      <x:c r="I62" s="36"/>
      <x:c r="J62" s="36"/>
    </x:row>
  </x:sheetData>
  <x:mergeCells>
    <x:mergeCell ref="B2:J2"/>
    <x:mergeCell ref="B3:J3"/>
    <x:mergeCell ref="B56:J56"/>
  </x:mergeCells>
  <x:conditionalFormatting sqref="G7:G52">
    <x:cfRule type="containsText" dxfId="360" priority="1" operator="containsText" text="PASS"/>
    <x:cfRule type="containsText" dxfId="361" priority="2" operator="containsText" text="SELECT"/>
    <x:cfRule type="containsText" dxfId="362" priority="3" operator="containsText" text="AUTHORIZED"/>
    <x:cfRule type="containsText" dxfId="363" priority="4" operator="containsText" text="ADMITTED"/>
    <x:cfRule type="containsText" dxfId="364" priority="5" operator="containsText" text="READY"/>
    <x:cfRule type="containsText" dxfId="365" priority="6" operator="containsText" text="HOLD"/>
    <x:cfRule type="containsText" dxfId="366" priority="7" operator="containsText" text="OPEN"/>
    <x:cfRule type="containsText" dxfId="367" priority="8" operator="containsText" text="SAFE_STOP"/>
    <x:cfRule type="containsText" dxfId="368" priority="9" operator="containsText" text="BLOCKED"/>
    <x:cfRule type="containsText" dxfId="369" priority="10" operator="containsText" text="PLANNING"/>
    <x:cfRule type="containsText" dxfId="370" priority="11" operator="containsText" text="FAIL"/>
    <x:cfRule type="containsText" dxfId="371" priority="12" operator="containsText" text="REJECT"/>
    <x:cfRule type="containsText" dxfId="372" priority="13" operator="containsText" text="LATE"/>
    <x:cfRule type="containsText" dxfId="373" priority="14" operator="containsText" text="INCOMPLETE"/>
    <x:cfRule type="containsText" dxfId="374" priority="15" operator="containsText" text="INDETERMINATE"/>
  </x:conditionalFormatting>
  <x:conditionalFormatting sqref="I7:J52">
    <x:cfRule type="containsText" dxfId="375" priority="16" operator="containsText" text="PASS"/>
    <x:cfRule type="containsText" dxfId="376" priority="17" operator="containsText" text="SELECT"/>
    <x:cfRule type="containsText" dxfId="377" priority="18" operator="containsText" text="AUTHORIZED"/>
    <x:cfRule type="containsText" dxfId="378" priority="19" operator="containsText" text="ADMITTED"/>
    <x:cfRule type="containsText" dxfId="379" priority="20" operator="containsText" text="READY"/>
    <x:cfRule type="containsText" dxfId="380" priority="21" operator="containsText" text="HOLD"/>
    <x:cfRule type="containsText" dxfId="381" priority="22" operator="containsText" text="OPEN"/>
    <x:cfRule type="containsText" dxfId="382" priority="23" operator="containsText" text="SAFE_STOP"/>
    <x:cfRule type="containsText" dxfId="383" priority="24" operator="containsText" text="BLOCKED"/>
    <x:cfRule type="containsText" dxfId="384" priority="25" operator="containsText" text="PLANNING"/>
    <x:cfRule type="containsText" dxfId="385" priority="26" operator="containsText" text="FAIL"/>
    <x:cfRule type="containsText" dxfId="386" priority="27" operator="containsText" text="REJECT"/>
    <x:cfRule type="containsText" dxfId="387" priority="28" operator="containsText" text="LATE"/>
    <x:cfRule type="containsText" dxfId="388" priority="29" operator="containsText" text="INCOMPLETE"/>
    <x:cfRule type="containsText" dxfId="389" priority="30" operator="containsText" text="INDETERMINATE"/>
  </x:conditionalFormatting>
  <x:conditionalFormatting sqref="D57:D62">
    <x:cfRule type="containsText" dxfId="390" priority="31" operator="containsText" text="PASS"/>
    <x:cfRule type="containsText" dxfId="391" priority="32" operator="containsText" text="SELECT"/>
    <x:cfRule type="containsText" dxfId="392" priority="33" operator="containsText" text="AUTHORIZED"/>
    <x:cfRule type="containsText" dxfId="393" priority="34" operator="containsText" text="ADMITTED"/>
    <x:cfRule type="containsText" dxfId="394" priority="35" operator="containsText" text="READY"/>
    <x:cfRule type="containsText" dxfId="395" priority="36" operator="containsText" text="HOLD"/>
    <x:cfRule type="containsText" dxfId="396" priority="37" operator="containsText" text="OPEN"/>
    <x:cfRule type="containsText" dxfId="397" priority="38" operator="containsText" text="SAFE_STOP"/>
    <x:cfRule type="containsText" dxfId="398" priority="39" operator="containsText" text="BLOCKED"/>
    <x:cfRule type="containsText" dxfId="399" priority="40" operator="containsText" text="PLANNING"/>
    <x:cfRule type="containsText" dxfId="400" priority="41" operator="containsText" text="FAIL"/>
    <x:cfRule type="containsText" dxfId="401" priority="42" operator="containsText" text="REJECT"/>
    <x:cfRule type="containsText" dxfId="402" priority="43" operator="containsText" text="LATE"/>
    <x:cfRule type="containsText" dxfId="403" priority="44" operator="containsText" text="INCOMPLETE"/>
    <x:cfRule type="containsText" dxfId="404" priority="45" operator="containsText" text="INDETERMINATE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38" hidden="0" customWidth="1"/>
  </x:cols>
  <x:sheetData>
    <x:row r="2">
      <x:c r="B2" s="1" t="str">
        <x:v>Independent terminal audit</x:v>
      </x:c>
      <x:c r="C2" s="36"/>
      <x:c r="D2" s="36"/>
      <x:c r="E2" s="36"/>
      <x:c r="F2" s="36"/>
      <x:c r="G2" s="36"/>
      <x:c r="H2" s="36"/>
    </x:row>
    <x:row r="3">
      <x:c r="B3" s="2" t="str">
        <x:v>This sheet observes the workbook and feeds no force, campaign, schedule, financial or release calculation.</x:v>
      </x:c>
      <x:c r="C3" s="36"/>
      <x:c r="D3" s="36"/>
      <x:c r="E3" s="36"/>
      <x:c r="F3" s="36"/>
      <x:c r="G3" s="36"/>
      <x:c r="H3" s="36"/>
    </x:row>
    <x:row r="4">
      <x:c r="B4" s="37"/>
      <x:c r="C4" s="37"/>
      <x:c r="D4" s="37"/>
      <x:c r="E4" s="37"/>
      <x:c r="F4" s="37"/>
      <x:c r="G4" s="37"/>
      <x:c r="H4" s="37"/>
    </x:row>
    <x:row r="5">
      <x:c r="B5" s="36"/>
      <x:c r="C5" s="36"/>
      <x:c r="D5" s="36"/>
      <x:c r="E5" s="36"/>
      <x:c r="F5" s="36"/>
      <x:c r="G5" s="36"/>
      <x:c r="H5" s="36"/>
    </x:row>
    <x:row r="6">
      <x:c r="B6" s="7" t="str">
        <x:v>Check</x:v>
      </x:c>
      <x:c r="C6" s="7" t="str">
        <x:v>Control</x:v>
      </x:c>
      <x:c r="D6" s="7" t="str">
        <x:v>Actual</x:v>
      </x:c>
      <x:c r="E6" s="7" t="str">
        <x:v>Expected</x:v>
      </x:c>
      <x:c r="F6" s="7" t="str">
        <x:v>Difference</x:v>
      </x:c>
      <x:c r="G6" s="7" t="str">
        <x:v>Result</x:v>
      </x:c>
      <x:c r="H6" s="7" t="str">
        <x:v>Notes</x:v>
      </x:c>
    </x:row>
    <x:row r="7">
      <x:c r="B7" s="9" t="str">
        <x:v>AU01</x:v>
      </x:c>
      <x:c r="C7" s="9" t="str">
        <x:v>Control count</x:v>
      </x:c>
      <x:c r="D7" s="33" t="n">
        <x:f>COUNTA(Controls!B7:B56)</x:f>
        <x:v>50</x:v>
      </x:c>
      <x:c r="E7" s="33" t="n">
        <x:v>50</x:v>
      </x:c>
      <x:c r="F7" s="33" t="n">
        <x:f>D7-E7</x:f>
        <x:v>0</x:v>
      </x:c>
      <x:c r="G7" s="9" t="str">
        <x:f>IF(ABS(F7)&lt;0.000001,"PASS","FAIL")</x:f>
        <x:v>PASS</x:v>
      </x:c>
      <x:c r="H7" s="9" t="str"/>
    </x:row>
    <x:row r="8">
      <x:c r="B8" s="9" t="str">
        <x:v>AU02</x:v>
      </x:c>
      <x:c r="C8" s="9" t="str">
        <x:v>Force revision lines</x:v>
      </x:c>
      <x:c r="D8" s="33" t="n">
        <x:f>COUNTA('Force Revision'!B7:B16)</x:f>
        <x:v>10</x:v>
      </x:c>
      <x:c r="E8" s="33" t="n">
        <x:v>10</x:v>
      </x:c>
      <x:c r="F8" s="33" t="n">
        <x:f>D8-E8</x:f>
        <x:v>0</x:v>
      </x:c>
      <x:c r="G8" s="9" t="str">
        <x:f>IF(ABS(F8)&lt;0.000001,"PASS","FAIL")</x:f>
        <x:v>PASS</x:v>
      </x:c>
      <x:c r="H8" s="9" t="str"/>
    </x:row>
    <x:row r="9">
      <x:c r="B9" s="9" t="str">
        <x:v>AU03</x:v>
      </x:c>
      <x:c r="C9" s="9" t="str">
        <x:v>CRS-1 shipsets</x:v>
      </x:c>
      <x:c r="D9" s="33" t="n">
        <x:f>'Force Revision'!C7</x:f>
        <x:v>4</x:v>
      </x:c>
      <x:c r="E9" s="33" t="n">
        <x:v>4</x:v>
      </x:c>
      <x:c r="F9" s="33" t="n">
        <x:f>D9-E9</x:f>
        <x:v>0</x:v>
      </x:c>
      <x:c r="G9" s="9" t="str">
        <x:f>IF(ABS(F9)&lt;0.000001,"PASS","FAIL")</x:f>
        <x:v>PASS</x:v>
      </x:c>
      <x:c r="H9" s="9" t="str"/>
    </x:row>
    <x:row r="10">
      <x:c r="B10" s="9" t="str">
        <x:v>AU04</x:v>
      </x:c>
      <x:c r="C10" s="9" t="str">
        <x:v>CRS-2 shipsets</x:v>
      </x:c>
      <x:c r="D10" s="33" t="n">
        <x:f>'Force Revision'!D7</x:f>
        <x:v>6</x:v>
      </x:c>
      <x:c r="E10" s="33" t="n">
        <x:v>6</x:v>
      </x:c>
      <x:c r="F10" s="33" t="n">
        <x:f>D10-E10</x:f>
        <x:v>0</x:v>
      </x:c>
      <x:c r="G10" s="9" t="str">
        <x:f>IF(ABS(F10)&lt;0.000001,"PASS","FAIL")</x:f>
        <x:v>PASS</x:v>
      </x:c>
      <x:c r="H10" s="9" t="str"/>
    </x:row>
    <x:row r="11">
      <x:c r="B11" s="9" t="str">
        <x:v>AU05</x:v>
      </x:c>
      <x:c r="C11" s="9" t="str">
        <x:v>CRS-2 public force</x:v>
      </x:c>
      <x:c r="D11" s="33" t="n">
        <x:f>'Force Revision'!D12</x:f>
        <x:v>720</x:v>
      </x:c>
      <x:c r="E11" s="33" t="n">
        <x:v>720</x:v>
      </x:c>
      <x:c r="F11" s="33" t="n">
        <x:f>D11-E11</x:f>
        <x:v>0</x:v>
      </x:c>
      <x:c r="G11" s="9" t="str">
        <x:f>IF(ABS(F11)&lt;0.000001,"PASS","FAIL")</x:f>
        <x:v>PASS</x:v>
      </x:c>
      <x:c r="H11" s="9" t="str"/>
    </x:row>
    <x:row r="12">
      <x:c r="B12" s="9" t="str">
        <x:v>AU06</x:v>
      </x:c>
      <x:c r="C12" s="9" t="str">
        <x:v>CRS-2 affiliates</x:v>
      </x:c>
      <x:c r="D12" s="33" t="n">
        <x:f>'Force Revision'!D13</x:f>
        <x:v>2800</x:v>
      </x:c>
      <x:c r="E12" s="33" t="n">
        <x:v>2800</x:v>
      </x:c>
      <x:c r="F12" s="33" t="n">
        <x:f>D12-E12</x:f>
        <x:v>0</x:v>
      </x:c>
      <x:c r="G12" s="9" t="str">
        <x:f>IF(ABS(F12)&lt;0.000001,"PASS","FAIL")</x:f>
        <x:v>PASS</x:v>
      </x:c>
      <x:c r="H12" s="9" t="str"/>
    </x:row>
    <x:row r="13">
      <x:c r="B13" s="9" t="str">
        <x:v>AU07</x:v>
      </x:c>
      <x:c r="C13" s="9" t="str">
        <x:v>CRS-2 capital</x:v>
      </x:c>
      <x:c r="D13" s="33" t="n">
        <x:f>'Force Revision'!D14</x:f>
        <x:v>13.9</x:v>
      </x:c>
      <x:c r="E13" s="33" t="n">
        <x:v>13.9</x:v>
      </x:c>
      <x:c r="F13" s="33" t="n">
        <x:f>D13-E13</x:f>
        <x:v>0</x:v>
      </x:c>
      <x:c r="G13" s="9" t="str">
        <x:f>IF(ABS(F13)&lt;0.000001,"PASS","FAIL")</x:f>
        <x:v>PASS</x:v>
      </x:c>
      <x:c r="H13" s="9" t="str"/>
    </x:row>
    <x:row r="14">
      <x:c r="B14" s="9" t="str">
        <x:v>AU08</x:v>
      </x:c>
      <x:c r="C14" s="9" t="str">
        <x:v>CRS-2 annual support</x:v>
      </x:c>
      <x:c r="D14" s="33" t="n">
        <x:f>'Force Revision'!D15</x:f>
        <x:v>1.086</x:v>
      </x:c>
      <x:c r="E14" s="33" t="n">
        <x:v>1.086</x:v>
      </x:c>
      <x:c r="F14" s="33" t="n">
        <x:f>D14-E14</x:f>
        <x:v>0</x:v>
      </x:c>
      <x:c r="G14" s="9" t="str">
        <x:f>IF(ABS(F14)&lt;0.000001,"PASS","FAIL")</x:f>
        <x:v>PASS</x:v>
      </x:c>
      <x:c r="H14" s="9" t="str"/>
    </x:row>
    <x:row r="15">
      <x:c r="B15" s="9" t="str">
        <x:v>AU09</x:v>
      </x:c>
      <x:c r="C15" s="9" t="str">
        <x:v>CRS-2 twenty-five-year boundary</x:v>
      </x:c>
      <x:c r="D15" s="33" t="n">
        <x:f>'Force Revision'!D16</x:f>
        <x:v>40.95</x:v>
      </x:c>
      <x:c r="E15" s="33" t="n">
        <x:v>40.95</x:v>
      </x:c>
      <x:c r="F15" s="33" t="n">
        <x:f>D15-E15</x:f>
        <x:v>0</x:v>
      </x:c>
      <x:c r="G15" s="9" t="str">
        <x:f>IF(ABS(F15)&lt;0.000001,"PASS","FAIL")</x:f>
        <x:v>PASS</x:v>
      </x:c>
      <x:c r="H15" s="9" t="str"/>
    </x:row>
    <x:row r="16">
      <x:c r="B16" s="9" t="str">
        <x:v>AU10</x:v>
      </x:c>
      <x:c r="C16" s="9" t="str">
        <x:v>Selected shipset count</x:v>
      </x:c>
      <x:c r="D16" s="33" t="n">
        <x:f>COUNTA(Shipsets!B7:B12)</x:f>
        <x:v>6</x:v>
      </x:c>
      <x:c r="E16" s="33" t="n">
        <x:v>6</x:v>
      </x:c>
      <x:c r="F16" s="33" t="n">
        <x:f>D16-E16</x:f>
        <x:v>0</x:v>
      </x:c>
      <x:c r="G16" s="9" t="str">
        <x:f>IF(ABS(F16)&lt;0.000001,"PASS","FAIL")</x:f>
        <x:v>PASS</x:v>
      </x:c>
      <x:c r="H16" s="9" t="str"/>
    </x:row>
    <x:row r="17">
      <x:c r="B17" s="9" t="str">
        <x:v>AU11</x:v>
      </x:c>
      <x:c r="C17" s="9" t="str">
        <x:v>Root A shipsets</x:v>
      </x:c>
      <x:c r="D17" s="33" t="n">
        <x:f>COUNTIFS(Shipsets!C7:C12,"ROOT_A")</x:f>
        <x:v>3</x:v>
      </x:c>
      <x:c r="E17" s="33" t="n">
        <x:v>3</x:v>
      </x:c>
      <x:c r="F17" s="33" t="n">
        <x:f>D17-E17</x:f>
        <x:v>0</x:v>
      </x:c>
      <x:c r="G17" s="9" t="str">
        <x:f>IF(ABS(F17)&lt;0.000001,"PASS","FAIL")</x:f>
        <x:v>PASS</x:v>
      </x:c>
      <x:c r="H17" s="9" t="str"/>
    </x:row>
    <x:row r="18">
      <x:c r="B18" s="9" t="str">
        <x:v>AU12</x:v>
      </x:c>
      <x:c r="C18" s="9" t="str">
        <x:v>Root B shipsets</x:v>
      </x:c>
      <x:c r="D18" s="33" t="n">
        <x:f>COUNTIFS(Shipsets!C7:C12,"ROOT_B")</x:f>
        <x:v>3</x:v>
      </x:c>
      <x:c r="E18" s="33" t="n">
        <x:v>3</x:v>
      </x:c>
      <x:c r="F18" s="33" t="n">
        <x:f>D18-E18</x:f>
        <x:v>0</x:v>
      </x:c>
      <x:c r="G18" s="9" t="str">
        <x:f>IF(ABS(F18)&lt;0.000001,"PASS","FAIL")</x:f>
        <x:v>PASS</x:v>
      </x:c>
      <x:c r="H18" s="9" t="str"/>
    </x:row>
    <x:row r="19">
      <x:c r="B19" s="9" t="str">
        <x:v>AU13</x:v>
      </x:c>
      <x:c r="C19" s="9" t="str">
        <x:v>Selected arsenal count</x:v>
      </x:c>
      <x:c r="D19" s="33" t="n">
        <x:f>COUNTA(Shipsets!D7:D12)</x:f>
        <x:v>6</x:v>
      </x:c>
      <x:c r="E19" s="33" t="n">
        <x:v>6</x:v>
      </x:c>
      <x:c r="F19" s="33" t="n">
        <x:f>D19-E19</x:f>
        <x:v>0</x:v>
      </x:c>
      <x:c r="G19" s="9" t="str">
        <x:f>IF(ABS(F19)&lt;0.000001,"PASS","FAIL")</x:f>
        <x:v>PASS</x:v>
      </x:c>
      <x:c r="H19" s="9" t="str"/>
    </x:row>
    <x:row r="20">
      <x:c r="B20" s="9" t="str">
        <x:v>AU14</x:v>
      </x:c>
      <x:c r="C20" s="9" t="str">
        <x:v>CRS-1 comparator shipsets</x:v>
      </x:c>
      <x:c r="D20" s="33" t="n">
        <x:f>COUNTA(Shipsets!B18:B21)</x:f>
        <x:v>4</x:v>
      </x:c>
      <x:c r="E20" s="33" t="n">
        <x:v>4</x:v>
      </x:c>
      <x:c r="F20" s="33" t="n">
        <x:f>D20-E20</x:f>
        <x:v>0</x:v>
      </x:c>
      <x:c r="G20" s="9" t="str">
        <x:f>IF(ABS(F20)&lt;0.000001,"PASS","FAIL")</x:f>
        <x:v>PASS</x:v>
      </x:c>
      <x:c r="H20" s="9" t="str"/>
    </x:row>
    <x:row r="21">
      <x:c r="B21" s="9" t="str">
        <x:v>AU15</x:v>
      </x:c>
      <x:c r="C21" s="9" t="str">
        <x:v>CRS-2 reserve cases</x:v>
      </x:c>
      <x:c r="D21" s="33" t="n">
        <x:f>COUNTA('Rotational Reserve'!B7:B78)</x:f>
        <x:v>72</x:v>
      </x:c>
      <x:c r="E21" s="33" t="n">
        <x:v>72</x:v>
      </x:c>
      <x:c r="F21" s="33" t="n">
        <x:f>D21-E21</x:f>
        <x:v>0</x:v>
      </x:c>
      <x:c r="G21" s="9" t="str">
        <x:f>IF(ABS(F21)&lt;0.000001,"PASS","FAIL")</x:f>
        <x:v>PASS</x:v>
      </x:c>
      <x:c r="H21" s="9" t="str"/>
    </x:row>
    <x:row r="22">
      <x:c r="B22" s="9" t="str">
        <x:v>AU16</x:v>
      </x:c>
      <x:c r="C22" s="9" t="str">
        <x:v>CRS-2 reserve passes</x:v>
      </x:c>
      <x:c r="D22" s="33" t="n">
        <x:f>COUNTIF('Rotational Reserve'!I7:I78,"PASS")</x:f>
        <x:v>72</x:v>
      </x:c>
      <x:c r="E22" s="33" t="n">
        <x:v>72</x:v>
      </x:c>
      <x:c r="F22" s="33" t="n">
        <x:f>D22-E22</x:f>
        <x:v>0</x:v>
      </x:c>
      <x:c r="G22" s="9" t="str">
        <x:f>IF(ABS(F22)&lt;0.000001,"PASS","FAIL")</x:f>
        <x:v>PASS</x:v>
      </x:c>
      <x:c r="H22" s="9" t="str"/>
    </x:row>
    <x:row r="23">
      <x:c r="B23" s="9" t="str">
        <x:v>AU17</x:v>
      </x:c>
      <x:c r="C23" s="9" t="str">
        <x:v>CRS-2 minimum shipsets</x:v>
      </x:c>
      <x:c r="D23" s="33" t="n">
        <x:f>MIN('Rotational Reserve'!F7:F78)</x:f>
        <x:v>1</x:v>
      </x:c>
      <x:c r="E23" s="33" t="n">
        <x:v>1</x:v>
      </x:c>
      <x:c r="F23" s="33" t="n">
        <x:f>D23-E23</x:f>
        <x:v>0</x:v>
      </x:c>
      <x:c r="G23" s="9" t="str">
        <x:f>IF(ABS(F23)&lt;0.000001,"PASS","FAIL")</x:f>
        <x:v>PASS</x:v>
      </x:c>
      <x:c r="H23" s="9" t="str"/>
    </x:row>
    <x:row r="24">
      <x:c r="B24" s="9" t="str">
        <x:v>AU18</x:v>
      </x:c>
      <x:c r="C24" s="9" t="str">
        <x:v>CRS-1 reserve cases</x:v>
      </x:c>
      <x:c r="D24" s="33" t="n">
        <x:f>COUNTA('Rotational Reserve'!B84:B115)</x:f>
        <x:v>32</x:v>
      </x:c>
      <x:c r="E24" s="33" t="n">
        <x:v>32</x:v>
      </x:c>
      <x:c r="F24" s="33" t="n">
        <x:f>D24-E24</x:f>
        <x:v>0</x:v>
      </x:c>
      <x:c r="G24" s="9" t="str">
        <x:f>IF(ABS(F24)&lt;0.000001,"PASS","FAIL")</x:f>
        <x:v>PASS</x:v>
      </x:c>
      <x:c r="H24" s="9" t="str"/>
    </x:row>
    <x:row r="25">
      <x:c r="B25" s="9" t="str">
        <x:v>AU19</x:v>
      </x:c>
      <x:c r="C25" s="9" t="str">
        <x:v>CRS-1 minimum shipsets</x:v>
      </x:c>
      <x:c r="D25" s="33" t="n">
        <x:f>MIN('Rotational Reserve'!F84:F115)</x:f>
        <x:v>0</x:v>
      </x:c>
      <x:c r="E25" s="33" t="n">
        <x:v>0</x:v>
      </x:c>
      <x:c r="F25" s="33" t="n">
        <x:f>D25-E25</x:f>
        <x:v>0</x:v>
      </x:c>
      <x:c r="G25" s="9" t="str">
        <x:f>IF(ABS(F25)&lt;0.000001,"PASS","FAIL")</x:f>
        <x:v>PASS</x:v>
      </x:c>
      <x:c r="H25" s="9" t="str"/>
    </x:row>
    <x:row r="26">
      <x:c r="B26" s="9" t="str">
        <x:v>AU20</x:v>
      </x:c>
      <x:c r="C26" s="9" t="str">
        <x:v>Campaign events</x:v>
      </x:c>
      <x:c r="D26" s="33" t="n">
        <x:f>COUNTA('Campaign Events'!B7:B12)</x:f>
        <x:v>6</x:v>
      </x:c>
      <x:c r="E26" s="33" t="n">
        <x:v>6</x:v>
      </x:c>
      <x:c r="F26" s="33" t="n">
        <x:f>D26-E26</x:f>
        <x:v>0</x:v>
      </x:c>
      <x:c r="G26" s="9" t="str">
        <x:f>IF(ABS(F26)&lt;0.000001,"PASS","FAIL")</x:f>
        <x:v>PASS</x:v>
      </x:c>
      <x:c r="H26" s="9" t="str"/>
    </x:row>
    <x:row r="27">
      <x:c r="B27" s="9" t="str">
        <x:v>AU21</x:v>
      </x:c>
      <x:c r="C27" s="9" t="str">
        <x:v>Receiver coverage</x:v>
      </x:c>
      <x:c r="D27" s="33" t="n">
        <x:f>COUNTA('Campaign Events'!H7:H12)</x:f>
        <x:v>6</x:v>
      </x:c>
      <x:c r="E27" s="33" t="n">
        <x:v>6</x:v>
      </x:c>
      <x:c r="F27" s="33" t="n">
        <x:f>D27-E27</x:f>
        <x:v>0</x:v>
      </x:c>
      <x:c r="G27" s="9" t="str">
        <x:f>IF(ABS(F27)&lt;0.000001,"PASS","FAIL")</x:f>
        <x:v>PASS</x:v>
      </x:c>
      <x:c r="H27" s="9" t="str"/>
    </x:row>
    <x:row r="28">
      <x:c r="B28" s="9" t="str">
        <x:v>AU22</x:v>
      </x:c>
      <x:c r="C28" s="9" t="str">
        <x:v>Root A denials</x:v>
      </x:c>
      <x:c r="D28" s="33" t="n">
        <x:f>COUNTIFS('Campaign Events'!E7:E12,"ROOT_A")</x:f>
        <x:v>3</x:v>
      </x:c>
      <x:c r="E28" s="33" t="n">
        <x:v>3</x:v>
      </x:c>
      <x:c r="F28" s="33" t="n">
        <x:f>D28-E28</x:f>
        <x:v>0</x:v>
      </x:c>
      <x:c r="G28" s="9" t="str">
        <x:f>IF(ABS(F28)&lt;0.000001,"PASS","FAIL")</x:f>
        <x:v>PASS</x:v>
      </x:c>
      <x:c r="H28" s="9" t="str"/>
    </x:row>
    <x:row r="29">
      <x:c r="B29" s="9" t="str">
        <x:v>AU23</x:v>
      </x:c>
      <x:c r="C29" s="9" t="str">
        <x:v>Root B denials</x:v>
      </x:c>
      <x:c r="D29" s="33" t="n">
        <x:f>COUNTIFS('Campaign Events'!E7:E12,"ROOT_B")</x:f>
        <x:v>3</x:v>
      </x:c>
      <x:c r="E29" s="33" t="n">
        <x:v>3</x:v>
      </x:c>
      <x:c r="F29" s="33" t="n">
        <x:f>D29-E29</x:f>
        <x:v>0</x:v>
      </x:c>
      <x:c r="G29" s="9" t="str">
        <x:f>IF(ABS(F29)&lt;0.000001,"PASS","FAIL")</x:f>
        <x:v>PASS</x:v>
      </x:c>
      <x:c r="H29" s="9" t="str"/>
    </x:row>
    <x:row r="30">
      <x:c r="B30" s="9" t="str">
        <x:v>AU24</x:v>
      </x:c>
      <x:c r="C30" s="9" t="str">
        <x:v>Lost arsenal coverage</x:v>
      </x:c>
      <x:c r="D30" s="33" t="n">
        <x:f>COUNTA('Campaign Events'!F7:F12)</x:f>
        <x:v>6</x:v>
      </x:c>
      <x:c r="E30" s="33" t="n">
        <x:v>6</x:v>
      </x:c>
      <x:c r="F30" s="33" t="n">
        <x:f>D30-E30</x:f>
        <x:v>0</x:v>
      </x:c>
      <x:c r="G30" s="9" t="str">
        <x:f>IF(ABS(F30)&lt;0.000001,"PASS","FAIL")</x:f>
        <x:v>PASS</x:v>
      </x:c>
      <x:c r="H30" s="9" t="str"/>
    </x:row>
    <x:row r="31">
      <x:c r="B31" s="9" t="str">
        <x:v>AU25</x:v>
      </x:c>
      <x:c r="C31" s="9" t="str">
        <x:v>NRC-A loss count</x:v>
      </x:c>
      <x:c r="D31" s="33" t="n">
        <x:f>COUNTIFS('Campaign Events'!D7:D12,"NRC-A")</x:f>
        <x:v>2</x:v>
      </x:c>
      <x:c r="E31" s="33" t="n">
        <x:v>2</x:v>
      </x:c>
      <x:c r="F31" s="33" t="n">
        <x:f>D31-E31</x:f>
        <x:v>0</x:v>
      </x:c>
      <x:c r="G31" s="9" t="str">
        <x:f>IF(ABS(F31)&lt;0.000001,"PASS","FAIL")</x:f>
        <x:v>PASS</x:v>
      </x:c>
      <x:c r="H31" s="9" t="str"/>
    </x:row>
    <x:row r="32">
      <x:c r="B32" s="9" t="str">
        <x:v>AU26</x:v>
      </x:c>
      <x:c r="C32" s="9" t="str">
        <x:v>NRC-B loss count</x:v>
      </x:c>
      <x:c r="D32" s="33" t="n">
        <x:f>COUNTIFS('Campaign Events'!D7:D12,"NRC-B")</x:f>
        <x:v>2</x:v>
      </x:c>
      <x:c r="E32" s="33" t="n">
        <x:v>2</x:v>
      </x:c>
      <x:c r="F32" s="33" t="n">
        <x:f>D32-E32</x:f>
        <x:v>0</x:v>
      </x:c>
      <x:c r="G32" s="9" t="str">
        <x:f>IF(ABS(F32)&lt;0.000001,"PASS","FAIL")</x:f>
        <x:v>PASS</x:v>
      </x:c>
      <x:c r="H32" s="9" t="str"/>
    </x:row>
    <x:row r="33">
      <x:c r="B33" s="9" t="str">
        <x:v>AU27</x:v>
      </x:c>
      <x:c r="C33" s="9" t="str">
        <x:v>NRC-C loss count</x:v>
      </x:c>
      <x:c r="D33" s="33" t="n">
        <x:f>COUNTIFS('Campaign Events'!D7:D12,"NRC-C")</x:f>
        <x:v>2</x:v>
      </x:c>
      <x:c r="E33" s="33" t="n">
        <x:v>2</x:v>
      </x:c>
      <x:c r="F33" s="33" t="n">
        <x:f>D33-E33</x:f>
        <x:v>0</x:v>
      </x:c>
      <x:c r="G33" s="9" t="str">
        <x:f>IF(ABS(F33)&lt;0.000001,"PASS","FAIL")</x:f>
        <x:v>PASS</x:v>
      </x:c>
      <x:c r="H33" s="9" t="str"/>
    </x:row>
    <x:row r="34">
      <x:c r="B34" s="9" t="str">
        <x:v>AU28</x:v>
      </x:c>
      <x:c r="C34" s="9" t="str">
        <x:v>CRG-A events</x:v>
      </x:c>
      <x:c r="D34" s="33" t="n">
        <x:f>COUNTIFS('Campaign Events'!I7:I12,"CRG-A")</x:f>
        <x:v>3</x:v>
      </x:c>
      <x:c r="E34" s="33" t="n">
        <x:v>3</x:v>
      </x:c>
      <x:c r="F34" s="33" t="n">
        <x:f>D34-E34</x:f>
        <x:v>0</x:v>
      </x:c>
      <x:c r="G34" s="9" t="str">
        <x:f>IF(ABS(F34)&lt;0.000001,"PASS","FAIL")</x:f>
        <x:v>PASS</x:v>
      </x:c>
      <x:c r="H34" s="9" t="str"/>
    </x:row>
    <x:row r="35">
      <x:c r="B35" s="9" t="str">
        <x:v>AU29</x:v>
      </x:c>
      <x:c r="C35" s="9" t="str">
        <x:v>CRG-B events</x:v>
      </x:c>
      <x:c r="D35" s="33" t="n">
        <x:f>COUNTIFS('Campaign Events'!I7:I12,"CRG-B")</x:f>
        <x:v>3</x:v>
      </x:c>
      <x:c r="E35" s="33" t="n">
        <x:v>3</x:v>
      </x:c>
      <x:c r="F35" s="33" t="n">
        <x:f>D35-E35</x:f>
        <x:v>0</x:v>
      </x:c>
      <x:c r="G35" s="9" t="str">
        <x:f>IF(ABS(F35)&lt;0.000001,"PASS","FAIL")</x:f>
        <x:v>PASS</x:v>
      </x:c>
      <x:c r="H35" s="9" t="str"/>
    </x:row>
    <x:row r="36">
      <x:c r="B36" s="9" t="str">
        <x:v>AU30</x:v>
      </x:c>
      <x:c r="C36" s="9" t="str">
        <x:v>Event planning gates</x:v>
      </x:c>
      <x:c r="D36" s="33" t="n">
        <x:f>COUNTIF('Campaign Events'!S7:S12,"PASS")</x:f>
        <x:v>6</x:v>
      </x:c>
      <x:c r="E36" s="33" t="n">
        <x:v>6</x:v>
      </x:c>
      <x:c r="F36" s="33" t="n">
        <x:f>D36-E36</x:f>
        <x:v>0</x:v>
      </x:c>
      <x:c r="G36" s="9" t="str">
        <x:f>IF(ABS(F36)&lt;0.000001,"PASS","FAIL")</x:f>
        <x:v>PASS</x:v>
      </x:c>
      <x:c r="H36" s="9" t="str"/>
    </x:row>
    <x:row r="37">
      <x:c r="B37" s="9" t="str">
        <x:v>AU31</x:v>
      </x:c>
      <x:c r="C37" s="9" t="str">
        <x:v>Core event finish</x:v>
      </x:c>
      <x:c r="D37" s="33" t="n">
        <x:f>'Campaign Events'!M7</x:f>
        <x:v>162</x:v>
      </x:c>
      <x:c r="E37" s="33" t="n">
        <x:v>162</x:v>
      </x:c>
      <x:c r="F37" s="33" t="n">
        <x:f>D37-E37</x:f>
        <x:v>0</x:v>
      </x:c>
      <x:c r="G37" s="9" t="str">
        <x:f>IF(ABS(F37)&lt;0.000001,"PASS","FAIL")</x:f>
        <x:v>PASS</x:v>
      </x:c>
      <x:c r="H37" s="9" t="str"/>
    </x:row>
    <x:row r="38">
      <x:c r="B38" s="9" t="str">
        <x:v>AU32</x:v>
      </x:c>
      <x:c r="C38" s="9" t="str">
        <x:v>Worst event finish</x:v>
      </x:c>
      <x:c r="D38" s="33" t="n">
        <x:f>MAX('Campaign Events'!M7:M12)</x:f>
        <x:v>179</x:v>
      </x:c>
      <x:c r="E38" s="33" t="n">
        <x:v>179</x:v>
      </x:c>
      <x:c r="F38" s="33" t="n">
        <x:f>D38-E38</x:f>
        <x:v>0</x:v>
      </x:c>
      <x:c r="G38" s="9" t="str">
        <x:f>IF(ABS(F38)&lt;0.000001,"PASS","FAIL")</x:f>
        <x:v>PASS</x:v>
      </x:c>
      <x:c r="H38" s="9" t="str"/>
    </x:row>
    <x:row r="39">
      <x:c r="B39" s="9" t="str">
        <x:v>AU33</x:v>
      </x:c>
      <x:c r="C39" s="9" t="str">
        <x:v>Minimum terminal margin</x:v>
      </x:c>
      <x:c r="D39" s="33" t="n">
        <x:f>MIN('Campaign Events'!O7:O12)</x:f>
        <x:v>1</x:v>
      </x:c>
      <x:c r="E39" s="33" t="n">
        <x:v>1</x:v>
      </x:c>
      <x:c r="F39" s="33" t="n">
        <x:f>D39-E39</x:f>
        <x:v>0</x:v>
      </x:c>
      <x:c r="G39" s="9" t="str">
        <x:f>IF(ABS(F39)&lt;0.000001,"PASS","FAIL")</x:f>
        <x:v>PASS</x:v>
      </x:c>
      <x:c r="H39" s="9" t="str"/>
    </x:row>
    <x:row r="40">
      <x:c r="B40" s="9" t="str">
        <x:v>AU34</x:v>
      </x:c>
      <x:c r="C40" s="9" t="str">
        <x:v>Service registry records</x:v>
      </x:c>
      <x:c r="D40" s="33" t="n">
        <x:f>COUNTA('Service Registry'!B7:B60)</x:f>
        <x:v>54</x:v>
      </x:c>
      <x:c r="E40" s="33" t="n">
        <x:v>54</x:v>
      </x:c>
      <x:c r="F40" s="33" t="n">
        <x:f>D40-E40</x:f>
        <x:v>0</x:v>
      </x:c>
      <x:c r="G40" s="9" t="str">
        <x:f>IF(ABS(F40)&lt;0.000001,"PASS","FAIL")</x:f>
        <x:v>PASS</x:v>
      </x:c>
      <x:c r="H40" s="9" t="str"/>
    </x:row>
    <x:row r="41">
      <x:c r="B41" s="9" t="str">
        <x:v>AU35</x:v>
      </x:c>
      <x:c r="C41" s="9" t="str">
        <x:v>Required service packages</x:v>
      </x:c>
      <x:c r="D41" s="33" t="n">
        <x:f>SUM('Service Registry'!H7:H60)</x:f>
        <x:v>54</x:v>
      </x:c>
      <x:c r="E41" s="33" t="n">
        <x:v>54</x:v>
      </x:c>
      <x:c r="F41" s="33" t="n">
        <x:f>D41-E41</x:f>
        <x:v>0</x:v>
      </x:c>
      <x:c r="G41" s="9" t="str">
        <x:f>IF(ABS(F41)&lt;0.000001,"PASS","FAIL")</x:f>
        <x:v>PASS</x:v>
      </x:c>
      <x:c r="H41" s="9" t="str"/>
    </x:row>
    <x:row r="42">
      <x:c r="B42" s="9" t="str">
        <x:v>AU36</x:v>
      </x:c>
      <x:c r="C42" s="9" t="str">
        <x:v>Physical service receipts</x:v>
      </x:c>
      <x:c r="D42" s="33" t="n">
        <x:f>SUM('Service Registry'!I7:I60)</x:f>
        <x:v>0</x:v>
      </x:c>
      <x:c r="E42" s="33" t="n">
        <x:v>0</x:v>
      </x:c>
      <x:c r="F42" s="33" t="n">
        <x:f>D42-E42</x:f>
        <x:v>0</x:v>
      </x:c>
      <x:c r="G42" s="9" t="str">
        <x:f>IF(ABS(F42)&lt;0.000001,"PASS","FAIL")</x:f>
        <x:v>PASS</x:v>
      </x:c>
      <x:c r="H42" s="9" t="str"/>
    </x:row>
    <x:row r="43">
      <x:c r="B43" s="9" t="str">
        <x:v>AU37</x:v>
      </x:c>
      <x:c r="C43" s="9" t="str">
        <x:v>Physical service acceptances</x:v>
      </x:c>
      <x:c r="D43" s="33" t="n">
        <x:f>SUM('Service Registry'!J7:J60)</x:f>
        <x:v>0</x:v>
      </x:c>
      <x:c r="E43" s="33" t="n">
        <x:v>0</x:v>
      </x:c>
      <x:c r="F43" s="33" t="n">
        <x:f>D43-E43</x:f>
        <x:v>0</x:v>
      </x:c>
      <x:c r="G43" s="9" t="str">
        <x:f>IF(ABS(F43)&lt;0.000001,"PASS","FAIL")</x:f>
        <x:v>PASS</x:v>
      </x:c>
      <x:c r="H43" s="9" t="str"/>
    </x:row>
    <x:row r="44">
      <x:c r="B44" s="9" t="str">
        <x:v>AU38</x:v>
      </x:c>
      <x:c r="C44" s="9" t="str">
        <x:v>Physical service resets</x:v>
      </x:c>
      <x:c r="D44" s="33" t="n">
        <x:f>SUM('Service Registry'!K7:K60)</x:f>
        <x:v>0</x:v>
      </x:c>
      <x:c r="E44" s="33" t="n">
        <x:v>0</x:v>
      </x:c>
      <x:c r="F44" s="33" t="n">
        <x:f>D44-E44</x:f>
        <x:v>0</x:v>
      </x:c>
      <x:c r="G44" s="9" t="str">
        <x:f>IF(ABS(F44)&lt;0.000001,"PASS","FAIL")</x:f>
        <x:v>PASS</x:v>
      </x:c>
      <x:c r="H44" s="9" t="str"/>
    </x:row>
    <x:row r="45">
      <x:c r="B45" s="9" t="str">
        <x:v>AU39</x:v>
      </x:c>
      <x:c r="C45" s="9" t="str">
        <x:v>Public line billets</x:v>
      </x:c>
      <x:c r="D45" s="33" t="n">
        <x:f>Workforce!D28</x:f>
        <x:v>600</x:v>
      </x:c>
      <x:c r="E45" s="33" t="n">
        <x:v>600</x:v>
      </x:c>
      <x:c r="F45" s="33" t="n">
        <x:f>D45-E45</x:f>
        <x:v>0</x:v>
      </x:c>
      <x:c r="G45" s="9" t="str">
        <x:f>IF(ABS(F45)&lt;0.000001,"PASS","FAIL")</x:f>
        <x:v>PASS</x:v>
      </x:c>
      <x:c r="H45" s="9" t="str"/>
    </x:row>
    <x:row r="46">
      <x:c r="B46" s="9" t="str">
        <x:v>AU40</x:v>
      </x:c>
      <x:c r="C46" s="9" t="str">
        <x:v>Independent commissioning billets</x:v>
      </x:c>
      <x:c r="D46" s="33" t="n">
        <x:f>Workforce!D29</x:f>
        <x:v>120</x:v>
      </x:c>
      <x:c r="E46" s="33" t="n">
        <x:v>120</x:v>
      </x:c>
      <x:c r="F46" s="33" t="n">
        <x:f>D46-E46</x:f>
        <x:v>0</x:v>
      </x:c>
      <x:c r="G46" s="9" t="str">
        <x:f>IF(ABS(F46)&lt;0.000001,"PASS","FAIL")</x:f>
        <x:v>PASS</x:v>
      </x:c>
      <x:c r="H46" s="9" t="str"/>
    </x:row>
    <x:row r="47">
      <x:c r="B47" s="9" t="str">
        <x:v>AU41</x:v>
      </x:c>
      <x:c r="C47" s="9" t="str">
        <x:v>Total public force</x:v>
      </x:c>
      <x:c r="D47" s="33" t="n">
        <x:f>Workforce!D30</x:f>
        <x:v>720</x:v>
      </x:c>
      <x:c r="E47" s="33" t="n">
        <x:v>720</x:v>
      </x:c>
      <x:c r="F47" s="33" t="n">
        <x:f>D47-E47</x:f>
        <x:v>0</x:v>
      </x:c>
      <x:c r="G47" s="9" t="str">
        <x:f>IF(ABS(F47)&lt;0.000001,"PASS","FAIL")</x:f>
        <x:v>PASS</x:v>
      </x:c>
      <x:c r="H47" s="9" t="str"/>
    </x:row>
    <x:row r="48">
      <x:c r="B48" s="9" t="str">
        <x:v>AU42</x:v>
      </x:c>
      <x:c r="C48" s="9" t="str">
        <x:v>Total affiliates</x:v>
      </x:c>
      <x:c r="D48" s="33" t="n">
        <x:f>Workforce!D31</x:f>
        <x:v>2800</x:v>
      </x:c>
      <x:c r="E48" s="33" t="n">
        <x:v>2800</x:v>
      </x:c>
      <x:c r="F48" s="33" t="n">
        <x:f>D48-E48</x:f>
        <x:v>0</x:v>
      </x:c>
      <x:c r="G48" s="9" t="str">
        <x:f>IF(ABS(F48)&lt;0.000001,"PASS","FAIL")</x:f>
        <x:v>PASS</x:v>
      </x:c>
      <x:c r="H48" s="9" t="str"/>
    </x:row>
    <x:row r="49">
      <x:c r="B49" s="9" t="str">
        <x:v>AU43</x:v>
      </x:c>
      <x:c r="C49" s="9" t="str">
        <x:v>Workforce rotation gates</x:v>
      </x:c>
      <x:c r="D49" s="33" t="n">
        <x:f>COUNTIF(Workforce!M18:M23,"PASS")</x:f>
        <x:v>6</x:v>
      </x:c>
      <x:c r="E49" s="33" t="n">
        <x:v>6</x:v>
      </x:c>
      <x:c r="F49" s="33" t="n">
        <x:f>D49-E49</x:f>
        <x:v>0</x:v>
      </x:c>
      <x:c r="G49" s="9" t="str">
        <x:f>IF(ABS(F49)&lt;0.000001,"PASS","FAIL")</x:f>
        <x:v>PASS</x:v>
      </x:c>
      <x:c r="H49" s="9" t="str"/>
    </x:row>
    <x:row r="50">
      <x:c r="B50" s="9" t="str">
        <x:v>AU44</x:v>
      </x:c>
      <x:c r="C50" s="9" t="str">
        <x:v>Physical workforce rosters</x:v>
      </x:c>
      <x:c r="D50" s="33" t="n">
        <x:f>COUNTIF(Workforce!N18:N23,"PASS")</x:f>
        <x:v>0</x:v>
      </x:c>
      <x:c r="E50" s="33" t="n">
        <x:v>0</x:v>
      </x:c>
      <x:c r="F50" s="33" t="n">
        <x:f>D50-E50</x:f>
        <x:v>0</x:v>
      </x:c>
      <x:c r="G50" s="9" t="str">
        <x:f>IF(ABS(F50)&lt;0.000001,"PASS","FAIL")</x:f>
        <x:v>PASS</x:v>
      </x:c>
      <x:c r="H50" s="9" t="str"/>
    </x:row>
    <x:row r="51">
      <x:c r="B51" s="9" t="str">
        <x:v>AU45</x:v>
      </x:c>
      <x:c r="C51" s="9" t="str">
        <x:v>Campus protection events</x:v>
      </x:c>
      <x:c r="D51" s="33" t="n">
        <x:f>COUNTA('Campus Protection'!B7:B12)</x:f>
        <x:v>6</x:v>
      </x:c>
      <x:c r="E51" s="33" t="n">
        <x:v>6</x:v>
      </x:c>
      <x:c r="F51" s="33" t="n">
        <x:f>D51-E51</x:f>
        <x:v>0</x:v>
      </x:c>
      <x:c r="G51" s="9" t="str">
        <x:f>IF(ABS(F51)&lt;0.000001,"PASS","FAIL")</x:f>
        <x:v>PASS</x:v>
      </x:c>
      <x:c r="H51" s="9" t="str"/>
    </x:row>
    <x:row r="52">
      <x:c r="B52" s="9" t="str">
        <x:v>AU46</x:v>
      </x:c>
      <x:c r="C52" s="9" t="str">
        <x:v>Campus protection gates</x:v>
      </x:c>
      <x:c r="D52" s="33" t="n">
        <x:f>COUNTIF('Campus Protection'!N7:N12,"PASS")</x:f>
        <x:v>6</x:v>
      </x:c>
      <x:c r="E52" s="33" t="n">
        <x:v>6</x:v>
      </x:c>
      <x:c r="F52" s="33" t="n">
        <x:f>D52-E52</x:f>
        <x:v>0</x:v>
      </x:c>
      <x:c r="G52" s="9" t="str">
        <x:f>IF(ABS(F52)&lt;0.000001,"PASS","FAIL")</x:f>
        <x:v>PASS</x:v>
      </x:c>
      <x:c r="H52" s="9" t="str"/>
    </x:row>
    <x:row r="53">
      <x:c r="B53" s="9" t="str">
        <x:v>AU47</x:v>
      </x:c>
      <x:c r="C53" s="9" t="str">
        <x:v>Surviving-campus borrowed resources</x:v>
      </x:c>
      <x:c r="D53" s="33" t="n">
        <x:f>SUM('Campus Protection'!J7:J12)</x:f>
        <x:v>0</x:v>
      </x:c>
      <x:c r="E53" s="33" t="n">
        <x:v>0</x:v>
      </x:c>
      <x:c r="F53" s="33" t="n">
        <x:f>D53-E53</x:f>
        <x:v>0</x:v>
      </x:c>
      <x:c r="G53" s="9" t="str">
        <x:f>IF(ABS(F53)&lt;0.000001,"PASS","FAIL")</x:f>
        <x:v>PASS</x:v>
      </x:c>
      <x:c r="H53" s="9" t="str"/>
    </x:row>
    <x:row r="54">
      <x:c r="B54" s="9" t="str">
        <x:v>AU48</x:v>
      </x:c>
      <x:c r="C54" s="9" t="str">
        <x:v>Minimum event alert shipsets</x:v>
      </x:c>
      <x:c r="D54" s="33" t="n">
        <x:f>MIN('Campus Protection'!M7:M12)</x:f>
        <x:v>1</x:v>
      </x:c>
      <x:c r="E54" s="33" t="n">
        <x:v>1</x:v>
      </x:c>
      <x:c r="F54" s="33" t="n">
        <x:f>D54-E54</x:f>
        <x:v>0</x:v>
      </x:c>
      <x:c r="G54" s="9" t="str">
        <x:f>IF(ABS(F54)&lt;0.000001,"PASS","FAIL")</x:f>
        <x:v>PASS</x:v>
      </x:c>
      <x:c r="H54" s="9" t="str"/>
    </x:row>
    <x:row r="55">
      <x:c r="B55" s="9" t="str">
        <x:v>AU49</x:v>
      </x:c>
      <x:c r="C55" s="9" t="str">
        <x:v>Maximum closure utilization</x:v>
      </x:c>
      <x:c r="D55" s="33" t="n">
        <x:f>MAX('Campus Protection'!H7:H12)</x:f>
        <x:v>0.62</x:v>
      </x:c>
      <x:c r="E55" s="33" t="n">
        <x:v>0.62</x:v>
      </x:c>
      <x:c r="F55" s="33" t="n">
        <x:f>D55-E55</x:f>
        <x:v>0</x:v>
      </x:c>
      <x:c r="G55" s="9" t="str">
        <x:f>IF(ABS(F55)&lt;0.000001,"PASS","FAIL")</x:f>
        <x:v>PASS</x:v>
      </x:c>
      <x:c r="H55" s="9" t="str"/>
    </x:row>
    <x:row r="56">
      <x:c r="B56" s="9" t="str">
        <x:v>AU50</x:v>
      </x:c>
      <x:c r="C56" s="9" t="str">
        <x:v>Maximum damage utilization</x:v>
      </x:c>
      <x:c r="D56" s="33" t="n">
        <x:f>MAX('Campus Protection'!I7:I12)</x:f>
        <x:v>0.64</x:v>
      </x:c>
      <x:c r="E56" s="33" t="n">
        <x:v>0.64</x:v>
      </x:c>
      <x:c r="F56" s="33" t="n">
        <x:f>D56-E56</x:f>
        <x:v>0</x:v>
      </x:c>
      <x:c r="G56" s="9" t="str">
        <x:f>IF(ABS(F56)&lt;0.000001,"PASS","FAIL")</x:f>
        <x:v>PASS</x:v>
      </x:c>
      <x:c r="H56" s="9" t="str"/>
    </x:row>
    <x:row r="57">
      <x:c r="B57" s="9" t="str">
        <x:v>AU51</x:v>
      </x:c>
      <x:c r="C57" s="9" t="str">
        <x:v>Fault families</x:v>
      </x:c>
      <x:c r="D57" s="33" t="n">
        <x:f>COUNTA('Fault Campaign'!B7:B14)</x:f>
        <x:v>8</x:v>
      </x:c>
      <x:c r="E57" s="33" t="n">
        <x:v>8</x:v>
      </x:c>
      <x:c r="F57" s="33" t="n">
        <x:f>D57-E57</x:f>
        <x:v>0</x:v>
      </x:c>
      <x:c r="G57" s="9" t="str">
        <x:f>IF(ABS(F57)&lt;0.000001,"PASS","FAIL")</x:f>
        <x:v>PASS</x:v>
      </x:c>
      <x:c r="H57" s="9" t="str"/>
    </x:row>
    <x:row r="58">
      <x:c r="B58" s="9" t="str">
        <x:v>AU52</x:v>
      </x:c>
      <x:c r="C58" s="9" t="str">
        <x:v>Fault assignments</x:v>
      </x:c>
      <x:c r="D58" s="33" t="n">
        <x:f>COUNTA('Fault Campaign'!B20:B43)</x:f>
        <x:v>24</x:v>
      </x:c>
      <x:c r="E58" s="33" t="n">
        <x:v>24</x:v>
      </x:c>
      <x:c r="F58" s="33" t="n">
        <x:f>D58-E58</x:f>
        <x:v>0</x:v>
      </x:c>
      <x:c r="G58" s="9" t="str">
        <x:f>IF(ABS(F58)&lt;0.000001,"PASS","FAIL")</x:f>
        <x:v>PASS</x:v>
      </x:c>
      <x:c r="H58" s="9" t="str"/>
    </x:row>
    <x:row r="59">
      <x:c r="B59" s="9" t="str">
        <x:v>AU53</x:v>
      </x:c>
      <x:c r="C59" s="9" t="str">
        <x:v>Fault coverage gates</x:v>
      </x:c>
      <x:c r="D59" s="33" t="n">
        <x:f>COUNTIF('Fault Campaign'!G7:G14,"PASS")</x:f>
        <x:v>8</x:v>
      </x:c>
      <x:c r="E59" s="33" t="n">
        <x:v>8</x:v>
      </x:c>
      <x:c r="F59" s="33" t="n">
        <x:f>D59-E59</x:f>
        <x:v>0</x:v>
      </x:c>
      <x:c r="G59" s="9" t="str">
        <x:f>IF(ABS(F59)&lt;0.000001,"PASS","FAIL")</x:f>
        <x:v>PASS</x:v>
      </x:c>
      <x:c r="H59" s="9" t="str"/>
    </x:row>
    <x:row r="60">
      <x:c r="B60" s="9" t="str">
        <x:v>AU54</x:v>
      </x:c>
      <x:c r="C60" s="9" t="str">
        <x:v>Fault planning gates</x:v>
      </x:c>
      <x:c r="D60" s="33" t="n">
        <x:f>COUNTIF('Fault Campaign'!K20:K43,"PASS")</x:f>
        <x:v>24</x:v>
      </x:c>
      <x:c r="E60" s="33" t="n">
        <x:v>24</x:v>
      </x:c>
      <x:c r="F60" s="33" t="n">
        <x:f>D60-E60</x:f>
        <x:v>0</x:v>
      </x:c>
      <x:c r="G60" s="9" t="str">
        <x:f>IF(ABS(F60)&lt;0.000001,"PASS","FAIL")</x:f>
        <x:v>PASS</x:v>
      </x:c>
      <x:c r="H60" s="9" t="str"/>
    </x:row>
    <x:row r="61">
      <x:c r="B61" s="9" t="str">
        <x:v>AU55</x:v>
      </x:c>
      <x:c r="C61" s="9" t="str">
        <x:v>Clean controls</x:v>
      </x:c>
      <x:c r="D61" s="33" t="n">
        <x:f>COUNTA('Fault Campaign'!B49:B60)</x:f>
        <x:v>12</x:v>
      </x:c>
      <x:c r="E61" s="33" t="n">
        <x:v>12</x:v>
      </x:c>
      <x:c r="F61" s="33" t="n">
        <x:f>D61-E61</x:f>
        <x:v>0</x:v>
      </x:c>
      <x:c r="G61" s="9" t="str">
        <x:f>IF(ABS(F61)&lt;0.000001,"PASS","FAIL")</x:f>
        <x:v>PASS</x:v>
      </x:c>
      <x:c r="H61" s="9" t="str"/>
    </x:row>
    <x:row r="62">
      <x:c r="B62" s="9" t="str">
        <x:v>AU56</x:v>
      </x:c>
      <x:c r="C62" s="9" t="str">
        <x:v>Clean-control planning gates</x:v>
      </x:c>
      <x:c r="D62" s="33" t="n">
        <x:f>COUNTIF('Fault Campaign'!G49:G60,"PASS")</x:f>
        <x:v>12</x:v>
      </x:c>
      <x:c r="E62" s="33" t="n">
        <x:v>12</x:v>
      </x:c>
      <x:c r="F62" s="33" t="n">
        <x:f>D62-E62</x:f>
        <x:v>0</x:v>
      </x:c>
      <x:c r="G62" s="9" t="str">
        <x:f>IF(ABS(F62)&lt;0.000001,"PASS","FAIL")</x:f>
        <x:v>PASS</x:v>
      </x:c>
      <x:c r="H62" s="9" t="str"/>
    </x:row>
    <x:row r="63">
      <x:c r="B63" s="9" t="str">
        <x:v>AU57</x:v>
      </x:c>
      <x:c r="C63" s="9" t="str">
        <x:v>Fault lower bound</x:v>
      </x:c>
      <x:c r="D63" s="33" t="n">
        <x:f>'Fault Campaign'!D68</x:f>
        <x:v>0.8826538438450512</x:v>
      </x:c>
      <x:c r="E63" s="33" t="n">
        <x:v>0.882653</x:v>
      </x:c>
      <x:c r="F63" s="33" t="n">
        <x:f>D63-E63</x:f>
        <x:v>8.438450511683016e-7</x:v>
      </x:c>
      <x:c r="G63" s="9" t="str">
        <x:f>IF(ABS(F63)&lt;0.000001,"PASS","FAIL")</x:f>
        <x:v>PASS</x:v>
      </x:c>
      <x:c r="H63" s="9" t="str"/>
    </x:row>
    <x:row r="64">
      <x:c r="B64" s="9" t="str">
        <x:v>AU58</x:v>
      </x:c>
      <x:c r="C64" s="9" t="str">
        <x:v>Critical packages</x:v>
      </x:c>
      <x:c r="D64" s="33" t="n">
        <x:f>COUNTA('Critical Path'!B7:B19)</x:f>
        <x:v>13</x:v>
      </x:c>
      <x:c r="E64" s="33" t="n">
        <x:v>13</x:v>
      </x:c>
      <x:c r="F64" s="33" t="n">
        <x:f>D64-E64</x:f>
        <x:v>0</x:v>
      </x:c>
      <x:c r="G64" s="9" t="str">
        <x:f>IF(ABS(F64)&lt;0.000001,"PASS","FAIL")</x:f>
        <x:v>PASS</x:v>
      </x:c>
      <x:c r="H64" s="9" t="str"/>
    </x:row>
    <x:row r="65">
      <x:c r="B65" s="9" t="str">
        <x:v>AU59</x:v>
      </x:c>
      <x:c r="C65" s="9" t="str">
        <x:v>Critical planning gates</x:v>
      </x:c>
      <x:c r="D65" s="33" t="n">
        <x:f>COUNTIF('Critical Path'!J7:J19,"PASS")</x:f>
        <x:v>13</x:v>
      </x:c>
      <x:c r="E65" s="33" t="n">
        <x:v>13</x:v>
      </x:c>
      <x:c r="F65" s="33" t="n">
        <x:f>D65-E65</x:f>
        <x:v>0</x:v>
      </x:c>
      <x:c r="G65" s="9" t="str">
        <x:f>IF(ABS(F65)&lt;0.000001,"PASS","FAIL")</x:f>
        <x:v>PASS</x:v>
      </x:c>
      <x:c r="H65" s="9" t="str"/>
    </x:row>
    <x:row r="66">
      <x:c r="B66" s="9" t="str">
        <x:v>AU60</x:v>
      </x:c>
      <x:c r="C66" s="9" t="str">
        <x:v>Critical finish</x:v>
      </x:c>
      <x:c r="D66" s="33" t="n">
        <x:f>'Critical Path'!D24</x:f>
        <x:v>179</x:v>
      </x:c>
      <x:c r="E66" s="33" t="n">
        <x:v>179</x:v>
      </x:c>
      <x:c r="F66" s="33" t="n">
        <x:f>D66-E66</x:f>
        <x:v>0</x:v>
      </x:c>
      <x:c r="G66" s="9" t="str">
        <x:f>IF(ABS(F66)&lt;0.000001,"PASS","FAIL")</x:f>
        <x:v>PASS</x:v>
      </x:c>
      <x:c r="H66" s="9" t="str"/>
    </x:row>
    <x:row r="67">
      <x:c r="B67" s="9" t="str">
        <x:v>AU61</x:v>
      </x:c>
      <x:c r="C67" s="9" t="str">
        <x:v>Critical reserve used</x:v>
      </x:c>
      <x:c r="D67" s="33" t="n">
        <x:f>'Critical Path'!D27</x:f>
        <x:v>17</x:v>
      </x:c>
      <x:c r="E67" s="33" t="n">
        <x:v>17</x:v>
      </x:c>
      <x:c r="F67" s="33" t="n">
        <x:f>D67-E67</x:f>
        <x:v>0</x:v>
      </x:c>
      <x:c r="G67" s="9" t="str">
        <x:f>IF(ABS(F67)&lt;0.000001,"PASS","FAIL")</x:f>
        <x:v>PASS</x:v>
      </x:c>
      <x:c r="H67" s="9" t="str"/>
    </x:row>
    <x:row r="68">
      <x:c r="B68" s="9" t="str">
        <x:v>AU62</x:v>
      </x:c>
      <x:c r="C68" s="9" t="str">
        <x:v>Critical terminal margin</x:v>
      </x:c>
      <x:c r="D68" s="33" t="n">
        <x:f>'Critical Path'!D28</x:f>
        <x:v>1</x:v>
      </x:c>
      <x:c r="E68" s="33" t="n">
        <x:v>1</x:v>
      </x:c>
      <x:c r="F68" s="33" t="n">
        <x:f>D68-E68</x:f>
        <x:v>0</x:v>
      </x:c>
      <x:c r="G68" s="9" t="str">
        <x:f>IF(ABS(F68)&lt;0.000001,"PASS","FAIL")</x:f>
        <x:v>PASS</x:v>
      </x:c>
      <x:c r="H68" s="9" t="str"/>
    </x:row>
    <x:row r="69">
      <x:c r="B69" s="9" t="str">
        <x:v>AU63</x:v>
      </x:c>
      <x:c r="C69" s="9" t="str">
        <x:v>Terminal states defined</x:v>
      </x:c>
      <x:c r="D69" s="33" t="n">
        <x:f>COUNTA('Evidence States'!B7:B12)</x:f>
        <x:v>6</x:v>
      </x:c>
      <x:c r="E69" s="33" t="n">
        <x:v>6</x:v>
      </x:c>
      <x:c r="F69" s="33" t="n">
        <x:f>D69-E69</x:f>
        <x:v>0</x:v>
      </x:c>
      <x:c r="G69" s="9" t="str">
        <x:f>IF(ABS(F69)&lt;0.000001,"PASS","FAIL")</x:f>
        <x:v>PASS</x:v>
      </x:c>
      <x:c r="H69" s="9" t="str"/>
    </x:row>
    <x:row r="70">
      <x:c r="B70" s="9" t="str">
        <x:v>AU64</x:v>
      </x:c>
      <x:c r="C70" s="9" t="str">
        <x:v>Physical event admissions</x:v>
      </x:c>
      <x:c r="D70" s="33" t="n">
        <x:f>SUM('Evidence States'!H18:H23)</x:f>
        <x:v>0</x:v>
      </x:c>
      <x:c r="E70" s="33" t="n">
        <x:v>0</x:v>
      </x:c>
      <x:c r="F70" s="33" t="n">
        <x:f>D70-E70</x:f>
        <x:v>0</x:v>
      </x:c>
      <x:c r="G70" s="9" t="str">
        <x:f>IF(ABS(F70)&lt;0.000001,"PASS","FAIL")</x:f>
        <x:v>PASS</x:v>
      </x:c>
      <x:c r="H70" s="9" t="str"/>
    </x:row>
    <x:row r="71">
      <x:c r="B71" s="9" t="str">
        <x:v>AU65</x:v>
      </x:c>
      <x:c r="C71" s="9" t="str">
        <x:v>Physical reset packets</x:v>
      </x:c>
      <x:c r="D71" s="33" t="n">
        <x:f>SUM('Evidence States'!I18:I23)</x:f>
        <x:v>0</x:v>
      </x:c>
      <x:c r="E71" s="33" t="n">
        <x:v>0</x:v>
      </x:c>
      <x:c r="F71" s="33" t="n">
        <x:f>D71-E71</x:f>
        <x:v>0</x:v>
      </x:c>
      <x:c r="G71" s="9" t="str">
        <x:f>IF(ABS(F71)&lt;0.000001,"PASS","FAIL")</x:f>
        <x:v>PASS</x:v>
      </x:c>
      <x:c r="H71" s="9" t="str"/>
    </x:row>
    <x:row r="72">
      <x:c r="B72" s="9" t="str">
        <x:v>AU66</x:v>
      </x:c>
      <x:c r="C72" s="9" t="str">
        <x:v>Capital lines</x:v>
      </x:c>
      <x:c r="D72" s="33" t="n">
        <x:f>COUNTA(Capital!B7:B16)</x:f>
        <x:v>10</x:v>
      </x:c>
      <x:c r="E72" s="33" t="n">
        <x:v>10</x:v>
      </x:c>
      <x:c r="F72" s="33" t="n">
        <x:f>D72-E72</x:f>
        <x:v>0</x:v>
      </x:c>
      <x:c r="G72" s="9" t="str">
        <x:f>IF(ABS(F72)&lt;0.000001,"PASS","FAIL")</x:f>
        <x:v>PASS</x:v>
      </x:c>
      <x:c r="H72" s="9" t="str"/>
    </x:row>
    <x:row r="73">
      <x:c r="B73" s="9" t="str">
        <x:v>AU67</x:v>
      </x:c>
      <x:c r="C73" s="9" t="str">
        <x:v>Gross standing capital</x:v>
      </x:c>
      <x:c r="D73" s="33" t="n">
        <x:f>Capital!C17</x:f>
        <x:v>13.9</x:v>
      </x:c>
      <x:c r="E73" s="33" t="n">
        <x:v>13.9</x:v>
      </x:c>
      <x:c r="F73" s="33" t="n">
        <x:f>D73-E73</x:f>
        <x:v>0</x:v>
      </x:c>
      <x:c r="G73" s="9" t="str">
        <x:f>IF(ABS(F73)&lt;0.000001,"PASS","FAIL")</x:f>
        <x:v>PASS</x:v>
      </x:c>
      <x:c r="H73" s="9" t="str"/>
    </x:row>
    <x:row r="74">
      <x:c r="B74" s="9" t="str">
        <x:v>AU68</x:v>
      </x:c>
      <x:c r="C74" s="9" t="str">
        <x:v>Incremental capital</x:v>
      </x:c>
      <x:c r="D74" s="33" t="n">
        <x:f>Capital!D24</x:f>
        <x:v>13.8</x:v>
      </x:c>
      <x:c r="E74" s="33" t="n">
        <x:v>13.8</x:v>
      </x:c>
      <x:c r="F74" s="33" t="n">
        <x:f>D74-E74</x:f>
        <x:v>0</x:v>
      </x:c>
      <x:c r="G74" s="9" t="str">
        <x:f>IF(ABS(F74)&lt;0.000001,"PASS","FAIL")</x:f>
        <x:v>PASS</x:v>
      </x:c>
      <x:c r="H74" s="9" t="str"/>
    </x:row>
    <x:row r="75">
      <x:c r="B75" s="9" t="str">
        <x:v>AU69</x:v>
      </x:c>
      <x:c r="C75" s="9" t="str">
        <x:v>Twenty-five-year support</x:v>
      </x:c>
      <x:c r="D75" s="33" t="n">
        <x:f>Capital!D25</x:f>
        <x:v>27.150000000000002</x:v>
      </x:c>
      <x:c r="E75" s="33" t="n">
        <x:v>27.15</x:v>
      </x:c>
      <x:c r="F75" s="33" t="n">
        <x:f>D75-E75</x:f>
        <x:v>3.552713678800501e-15</x:v>
      </x:c>
      <x:c r="G75" s="9" t="str">
        <x:f>IF(ABS(F75)&lt;0.000001,"PASS","FAIL")</x:f>
        <x:v>PASS</x:v>
      </x:c>
      <x:c r="H75" s="9" t="str"/>
    </x:row>
    <x:row r="76">
      <x:c r="B76" s="9" t="str">
        <x:v>AU70</x:v>
      </x:c>
      <x:c r="C76" s="9" t="str">
        <x:v>Twenty-five-year incremental boundary</x:v>
      </x:c>
      <x:c r="D76" s="33" t="n">
        <x:f>Capital!D26</x:f>
        <x:v>40.95</x:v>
      </x:c>
      <x:c r="E76" s="33" t="n">
        <x:v>40.95</x:v>
      </x:c>
      <x:c r="F76" s="33" t="n">
        <x:f>D76-E76</x:f>
        <x:v>0</x:v>
      </x:c>
      <x:c r="G76" s="9" t="str">
        <x:f>IF(ABS(F76)&lt;0.000001,"PASS","FAIL")</x:f>
        <x:v>PASS</x:v>
      </x:c>
      <x:c r="H76" s="9" t="str"/>
    </x:row>
    <x:row r="77">
      <x:c r="B77" s="9" t="str">
        <x:v>AU71</x:v>
      </x:c>
      <x:c r="C77" s="9" t="str">
        <x:v>Twenty-five-year gross boundary</x:v>
      </x:c>
      <x:c r="D77" s="33" t="n">
        <x:f>Capital!D27</x:f>
        <x:v>41.050000000000004</x:v>
      </x:c>
      <x:c r="E77" s="33" t="n">
        <x:v>41.05</x:v>
      </x:c>
      <x:c r="F77" s="33" t="n">
        <x:f>D77-E77</x:f>
        <x:v>7.105427357601002e-15</x:v>
      </x:c>
      <x:c r="G77" s="9" t="str">
        <x:f>IF(ABS(F77)&lt;0.000001,"PASS","FAIL")</x:f>
        <x:v>PASS</x:v>
      </x:c>
      <x:c r="H77" s="9" t="str"/>
    </x:row>
    <x:row r="78">
      <x:c r="B78" s="9" t="str">
        <x:v>AU72</x:v>
      </x:c>
      <x:c r="C78" s="9" t="str">
        <x:v>Annual support lines</x:v>
      </x:c>
      <x:c r="D78" s="33" t="n">
        <x:f>COUNTA('Annual Support'!B7:B18)</x:f>
        <x:v>12</x:v>
      </x:c>
      <x:c r="E78" s="33" t="n">
        <x:v>12</x:v>
      </x:c>
      <x:c r="F78" s="33" t="n">
        <x:f>D78-E78</x:f>
        <x:v>0</x:v>
      </x:c>
      <x:c r="G78" s="9" t="str">
        <x:f>IF(ABS(F78)&lt;0.000001,"PASS","FAIL")</x:f>
        <x:v>PASS</x:v>
      </x:c>
      <x:c r="H78" s="9" t="str"/>
    </x:row>
    <x:row r="79">
      <x:c r="B79" s="9" t="str">
        <x:v>AU73</x:v>
      </x:c>
      <x:c r="C79" s="9" t="str">
        <x:v>Annual support total</x:v>
      </x:c>
      <x:c r="D79" s="33" t="n">
        <x:f>'Annual Support'!C19</x:f>
        <x:v>1.086</x:v>
      </x:c>
      <x:c r="E79" s="33" t="n">
        <x:v>1.086</x:v>
      </x:c>
      <x:c r="F79" s="33" t="n">
        <x:f>D79-E79</x:f>
        <x:v>0</x:v>
      </x:c>
      <x:c r="G79" s="9" t="str">
        <x:f>IF(ABS(F79)&lt;0.000001,"PASS","FAIL")</x:f>
        <x:v>PASS</x:v>
      </x:c>
      <x:c r="H79" s="9" t="str"/>
    </x:row>
    <x:row r="80">
      <x:c r="B80" s="9" t="str">
        <x:v>AU74</x:v>
      </x:c>
      <x:c r="C80" s="9" t="str">
        <x:v>Event-cost lines</x:v>
      </x:c>
      <x:c r="D80" s="33" t="n">
        <x:f>COUNTA('Campaign Cost'!B7:B13)</x:f>
        <x:v>7</x:v>
      </x:c>
      <x:c r="E80" s="33" t="n">
        <x:v>7</x:v>
      </x:c>
      <x:c r="F80" s="33" t="n">
        <x:f>D80-E80</x:f>
        <x:v>0</x:v>
      </x:c>
      <x:c r="G80" s="9" t="str">
        <x:f>IF(ABS(F80)&lt;0.000001,"PASS","FAIL")</x:f>
        <x:v>PASS</x:v>
      </x:c>
      <x:c r="H80" s="9" t="str"/>
    </x:row>
    <x:row r="81">
      <x:c r="B81" s="9" t="str">
        <x:v>AU75</x:v>
      </x:c>
      <x:c r="C81" s="9" t="str">
        <x:v>Event planning draw</x:v>
      </x:c>
      <x:c r="D81" s="33" t="n">
        <x:f>'Campaign Cost'!C14</x:f>
        <x:v>0.275</x:v>
      </x:c>
      <x:c r="E81" s="33" t="n">
        <x:v>0.275</x:v>
      </x:c>
      <x:c r="F81" s="33" t="n">
        <x:f>D81-E81</x:f>
        <x:v>0</x:v>
      </x:c>
      <x:c r="G81" s="9" t="str">
        <x:f>IF(ABS(F81)&lt;0.000001,"PASS","FAIL")</x:f>
        <x:v>PASS</x:v>
      </x:c>
      <x:c r="H81" s="9" t="str"/>
    </x:row>
    <x:row r="82">
      <x:c r="B82" s="9" t="str">
        <x:v>AU76</x:v>
      </x:c>
      <x:c r="C82" s="9" t="str">
        <x:v>Six-event campaign draw</x:v>
      </x:c>
      <x:c r="D82" s="33" t="n">
        <x:f>'Campaign Cost'!E14</x:f>
        <x:v>1.65</x:v>
      </x:c>
      <x:c r="E82" s="33" t="n">
        <x:v>1.65</x:v>
      </x:c>
      <x:c r="F82" s="33" t="n">
        <x:f>D82-E82</x:f>
        <x:v>0</x:v>
      </x:c>
      <x:c r="G82" s="9" t="str">
        <x:f>IF(ABS(F82)&lt;0.000001,"PASS","FAIL")</x:f>
        <x:v>PASS</x:v>
      </x:c>
      <x:c r="H82" s="9" t="str"/>
    </x:row>
    <x:row r="83">
      <x:c r="B83" s="9" t="str">
        <x:v>AU77</x:v>
      </x:c>
      <x:c r="C83" s="9" t="str">
        <x:v>Six-year support boundary</x:v>
      </x:c>
      <x:c r="D83" s="33" t="n">
        <x:f>'Campaign Cost'!D19</x:f>
        <x:v>6.516</x:v>
      </x:c>
      <x:c r="E83" s="33" t="n">
        <x:v>6.516</x:v>
      </x:c>
      <x:c r="F83" s="33" t="n">
        <x:f>D83-E83</x:f>
        <x:v>0</x:v>
      </x:c>
      <x:c r="G83" s="9" t="str">
        <x:f>IF(ABS(F83)&lt;0.000001,"PASS","FAIL")</x:f>
        <x:v>PASS</x:v>
      </x:c>
      <x:c r="H83" s="9" t="str"/>
    </x:row>
    <x:row r="84">
      <x:c r="B84" s="9" t="str">
        <x:v>AU78</x:v>
      </x:c>
      <x:c r="C84" s="9" t="str">
        <x:v>Additional campaign authority</x:v>
      </x:c>
      <x:c r="D84" s="33" t="n">
        <x:f>'Campaign Cost'!D22</x:f>
        <x:v>0</x:v>
      </x:c>
      <x:c r="E84" s="33" t="n">
        <x:v>0</x:v>
      </x:c>
      <x:c r="F84" s="33" t="n">
        <x:f>D84-E84</x:f>
        <x:v>0</x:v>
      </x:c>
      <x:c r="G84" s="9" t="str">
        <x:f>IF(ABS(F84)&lt;0.000001,"PASS","FAIL")</x:f>
        <x:v>PASS</x:v>
      </x:c>
      <x:c r="H84" s="9" t="str"/>
    </x:row>
    <x:row r="85">
      <x:c r="B85" s="9" t="str">
        <x:v>AU79</x:v>
      </x:c>
      <x:c r="C85" s="9" t="str">
        <x:v>Planning release gates</x:v>
      </x:c>
      <x:c r="D85" s="33" t="n">
        <x:f>COUNTIF('Release Gates'!G7:G38,"PLANNING PASS")</x:f>
        <x:v>32</x:v>
      </x:c>
      <x:c r="E85" s="33" t="n">
        <x:v>32</x:v>
      </x:c>
      <x:c r="F85" s="33" t="n">
        <x:f>D85-E85</x:f>
        <x:v>0</x:v>
      </x:c>
      <x:c r="G85" s="9" t="str">
        <x:f>IF(ABS(F85)&lt;0.000001,"PASS","FAIL")</x:f>
        <x:v>PASS</x:v>
      </x:c>
      <x:c r="H85" s="9" t="str"/>
    </x:row>
    <x:row r="86">
      <x:c r="B86" s="9" t="str">
        <x:v>AU80</x:v>
      </x:c>
      <x:c r="C86" s="9" t="str">
        <x:v>Physical release gates</x:v>
      </x:c>
      <x:c r="D86" s="33" t="n">
        <x:f>COUNTIF('Release Gates'!G39:G52,"PASS")</x:f>
        <x:v>0</x:v>
      </x:c>
      <x:c r="E86" s="33" t="n">
        <x:v>0</x:v>
      </x:c>
      <x:c r="F86" s="33" t="n">
        <x:f>D86-E86</x:f>
        <x:v>0</x:v>
      </x:c>
      <x:c r="G86" s="9" t="str">
        <x:f>IF(ABS(F86)&lt;0.000001,"PASS","FAIL")</x:f>
        <x:v>PASS</x:v>
      </x:c>
      <x:c r="H86" s="9" t="str"/>
    </x:row>
    <x:row r="87">
      <x:c r="B87" s="9" t="str">
        <x:v>AU81</x:v>
      </x:c>
      <x:c r="C87" s="9" t="str">
        <x:v>Planning architecture authorized</x:v>
      </x:c>
      <x:c r="D87" s="33" t="n">
        <x:f>IF('Release Gates'!D57="AUTHORIZED",1,0)</x:f>
        <x:v>1</x:v>
      </x:c>
      <x:c r="E87" s="33" t="n">
        <x:v>1</x:v>
      </x:c>
      <x:c r="F87" s="33" t="n">
        <x:f>D87-E87</x:f>
        <x:v>0</x:v>
      </x:c>
      <x:c r="G87" s="9" t="str">
        <x:f>IF(ABS(F87)&lt;0.000001,"PASS","FAIL")</x:f>
        <x:v>PASS</x:v>
      </x:c>
      <x:c r="H87" s="9" t="str"/>
    </x:row>
    <x:row r="88">
      <x:c r="B88" s="9" t="str">
        <x:v>AU82</x:v>
      </x:c>
      <x:c r="C88" s="9" t="str">
        <x:v>Campaign package authorized</x:v>
      </x:c>
      <x:c r="D88" s="33" t="n">
        <x:f>IF('Release Gates'!D58="AUTHORIZED",1,0)</x:f>
        <x:v>1</x:v>
      </x:c>
      <x:c r="E88" s="33" t="n">
        <x:v>1</x:v>
      </x:c>
      <x:c r="F88" s="33" t="n">
        <x:f>D88-E88</x:f>
        <x:v>0</x:v>
      </x:c>
      <x:c r="G88" s="9" t="str">
        <x:f>IF(ABS(F88)&lt;0.000001,"PASS","FAIL")</x:f>
        <x:v>PASS</x:v>
      </x:c>
      <x:c r="H88" s="9" t="str"/>
    </x:row>
    <x:row r="89">
      <x:c r="B89" s="9" t="str">
        <x:v>AU83</x:v>
      </x:c>
      <x:c r="C89" s="9" t="str">
        <x:v>Program authority held</x:v>
      </x:c>
      <x:c r="D89" s="33" t="n">
        <x:f>IF('Release Gates'!D59="HOLD",1,0)</x:f>
        <x:v>1</x:v>
      </x:c>
      <x:c r="E89" s="33" t="n">
        <x:v>1</x:v>
      </x:c>
      <x:c r="F89" s="33" t="n">
        <x:f>D89-E89</x:f>
        <x:v>0</x:v>
      </x:c>
      <x:c r="G89" s="9" t="str">
        <x:f>IF(ABS(F89)&lt;0.000001,"PASS","FAIL")</x:f>
        <x:v>PASS</x:v>
      </x:c>
      <x:c r="H89" s="9" t="str"/>
    </x:row>
    <x:row r="90">
      <x:c r="B90" s="9" t="str">
        <x:v>AU84</x:v>
      </x:c>
      <x:c r="C90" s="9" t="str">
        <x:v>Physical force held</x:v>
      </x:c>
      <x:c r="D90" s="33" t="n">
        <x:f>IF('Release Gates'!D60="HOLD",1,0)</x:f>
        <x:v>1</x:v>
      </x:c>
      <x:c r="E90" s="33" t="n">
        <x:v>1</x:v>
      </x:c>
      <x:c r="F90" s="33" t="n">
        <x:f>D90-E90</x:f>
        <x:v>0</x:v>
      </x:c>
      <x:c r="G90" s="9" t="str">
        <x:f>IF(ABS(F90)&lt;0.000001,"PASS","FAIL")</x:f>
        <x:v>PASS</x:v>
      </x:c>
      <x:c r="H90" s="9" t="str"/>
    </x:row>
    <x:row r="91">
      <x:c r="B91" s="9" t="str">
        <x:v>AU85</x:v>
      </x:c>
      <x:c r="C91" s="9" t="str">
        <x:v>Campaign execution held</x:v>
      </x:c>
      <x:c r="D91" s="33" t="n">
        <x:f>IF('Release Gates'!D61="HOLD",1,0)</x:f>
        <x:v>1</x:v>
      </x:c>
      <x:c r="E91" s="33" t="n">
        <x:v>1</x:v>
      </x:c>
      <x:c r="F91" s="33" t="n">
        <x:f>D91-E91</x:f>
        <x:v>0</x:v>
      </x:c>
      <x:c r="G91" s="9" t="str">
        <x:f>IF(ABS(F91)&lt;0.000001,"PASS","FAIL")</x:f>
        <x:v>PASS</x:v>
      </x:c>
      <x:c r="H91" s="9" t="str"/>
    </x:row>
    <x:row r="92">
      <x:c r="B92" s="10" t="str">
        <x:v>AU86</x:v>
      </x:c>
      <x:c r="C92" s="10" t="str">
        <x:v>Production and rendering blocked</x:v>
      </x:c>
      <x:c r="D92" s="34" t="n">
        <x:f>IF('Release Gates'!D62="BLOCKED",1,0)</x:f>
        <x:v>1</x:v>
      </x:c>
      <x:c r="E92" s="34" t="n">
        <x:v>1</x:v>
      </x:c>
      <x:c r="F92" s="34" t="n">
        <x:f>D92-E92</x:f>
        <x:v>0</x:v>
      </x:c>
      <x:c r="G92" s="10" t="str">
        <x:f>IF(ABS(F92)&lt;0.000001,"PASS","FAIL")</x:f>
        <x:v>PASS</x:v>
      </x:c>
      <x:c r="H92" s="10" t="str"/>
    </x:row>
  </x:sheetData>
  <x:mergeCells>
    <x:mergeCell ref="B2:H2"/>
    <x:mergeCell ref="B3:H3"/>
  </x:mergeCells>
  <x:conditionalFormatting sqref="G7:G92">
    <x:cfRule type="containsText" dxfId="405" priority="1" operator="containsText" text="PASS"/>
    <x:cfRule type="containsText" dxfId="406" priority="2" operator="containsText" text="SELECT"/>
    <x:cfRule type="containsText" dxfId="407" priority="3" operator="containsText" text="AUTHORIZED"/>
    <x:cfRule type="containsText" dxfId="408" priority="4" operator="containsText" text="ADMITTED"/>
    <x:cfRule type="containsText" dxfId="409" priority="5" operator="containsText" text="READY"/>
    <x:cfRule type="containsText" dxfId="410" priority="6" operator="containsText" text="HOLD"/>
    <x:cfRule type="containsText" dxfId="411" priority="7" operator="containsText" text="OPEN"/>
    <x:cfRule type="containsText" dxfId="412" priority="8" operator="containsText" text="SAFE_STOP"/>
    <x:cfRule type="containsText" dxfId="413" priority="9" operator="containsText" text="BLOCKED"/>
    <x:cfRule type="containsText" dxfId="414" priority="10" operator="containsText" text="PLANNING"/>
    <x:cfRule type="containsText" dxfId="415" priority="11" operator="containsText" text="FAIL"/>
    <x:cfRule type="containsText" dxfId="416" priority="12" operator="containsText" text="REJECT"/>
    <x:cfRule type="containsText" dxfId="417" priority="13" operator="containsText" text="LATE"/>
    <x:cfRule type="containsText" dxfId="418" priority="14" operator="containsText" text="INCOMPLETE"/>
    <x:cfRule type="containsText" dxfId="419" priority="15" operator="containsText" text="INDETERMINATE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2" max="2" width="34" hidden="0" customWidth="1"/>
    <x:col min="3" max="3" width="28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2">
      <x:c r="B2" s="1" t="str">
        <x:v>Workbook method and limitations</x:v>
      </x:c>
      <x:c r="C2" s="36"/>
      <x:c r="D2" s="36"/>
      <x:c r="E2" s="36"/>
      <x:c r="F2" s="36"/>
      <x:c r="G2" s="36"/>
      <x:c r="H2" s="36"/>
      <x:c r="I2" s="36"/>
      <x:c r="J2" s="36"/>
    </x:row>
    <x:row r="3">
      <x:c r="B3" s="2" t="str">
        <x:v>The workbook is a planning constitution. It contains no real sites, rosters, shipsets or observed reconstruction events.</x:v>
      </x:c>
      <x:c r="C3" s="36"/>
      <x:c r="D3" s="36"/>
      <x:c r="E3" s="36"/>
      <x:c r="F3" s="36"/>
      <x:c r="G3" s="36"/>
      <x:c r="H3" s="36"/>
      <x:c r="I3" s="36"/>
      <x:c r="J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</x:row>
    <x:row r="6">
      <x:c r="B6" s="25" t="str">
        <x:v>Method</x:v>
      </x:c>
      <x:c r="C6" s="26" t="str">
        <x:v>Method</x:v>
      </x:c>
      <x:c r="D6" s="26" t="str">
        <x:v>Method</x:v>
      </x:c>
      <x:c r="E6" s="26" t="str">
        <x:v>Method</x:v>
      </x:c>
      <x:c r="F6" s="26" t="str">
        <x:v>Method</x:v>
      </x:c>
      <x:c r="G6" s="26" t="str">
        <x:v>Method</x:v>
      </x:c>
      <x:c r="H6" s="26" t="str">
        <x:v>Method</x:v>
      </x:c>
      <x:c r="I6" s="26" t="str">
        <x:v>Method</x:v>
      </x:c>
      <x:c r="J6" s="27" t="str">
        <x:v>Method</x:v>
      </x:c>
    </x:row>
    <x:row r="7" ht="43" customHeight="1">
      <x:c r="B7" s="35" t="str">
        <x:v>Decision</x:v>
      </x:c>
      <x:c r="C7" s="39" t="str">
        <x:v>Can the campus-regeneration force conduct a complete no-notice exercise while preserving an independent compound-loss alert path?</x:v>
      </x:c>
      <x:c r="D7" s="39"/>
      <x:c r="E7" s="39"/>
      <x:c r="F7" s="39"/>
      <x:c r="G7" s="39"/>
      <x:c r="H7" s="39"/>
      <x:c r="I7" s="39"/>
      <x:c r="J7" s="39"/>
    </x:row>
    <x:row r="8" ht="43" customHeight="1">
      <x:c r="B8" s="35" t="str">
        <x:v>Force comparison</x:v>
      </x:c>
      <x:c r="C8" s="39" t="str">
        <x:v>CRS-1 remains the one-shot minimum. CRS-2 adds rotational material, people and evidence capacity.</x:v>
      </x:c>
      <x:c r="D8" s="39"/>
      <x:c r="E8" s="39"/>
      <x:c r="F8" s="39"/>
      <x:c r="G8" s="39"/>
      <x:c r="H8" s="39"/>
      <x:c r="I8" s="39"/>
      <x:c r="J8" s="39"/>
    </x:row>
    <x:row r="9" ht="43" customHeight="1">
      <x:c r="B9" s="35" t="str">
        <x:v>Reserve</x:v>
      </x:c>
      <x:c r="C9" s="39" t="str">
        <x:v>Seventy-two CRS-2 cases and thirty-two CRS-1 cases enumerate denied root, lost arsenal and exercise commitment.</x:v>
      </x:c>
      <x:c r="D9" s="39"/>
      <x:c r="E9" s="39"/>
      <x:c r="F9" s="39"/>
      <x:c r="G9" s="39"/>
      <x:c r="H9" s="39"/>
      <x:c r="I9" s="39"/>
      <x:c r="J9" s="39"/>
    </x:row>
    <x:row r="10" ht="43" customHeight="1">
      <x:c r="B10" s="35" t="str">
        <x:v>Campaign</x:v>
      </x:c>
      <x:c r="C10" s="39" t="str">
        <x:v>Six full events balance roots, arsenals, receivers, simulated campus loss and line-group rotation.</x:v>
      </x:c>
      <x:c r="D10" s="39"/>
      <x:c r="E10" s="39"/>
      <x:c r="F10" s="39"/>
      <x:c r="G10" s="39"/>
      <x:c r="H10" s="39"/>
      <x:c r="I10" s="39"/>
      <x:c r="J10" s="39"/>
    </x:row>
    <x:row r="11" ht="43" customHeight="1">
      <x:c r="B11" s="35" t="str">
        <x:v>Items</x:v>
      </x:c>
      <x:c r="C11" s="39" t="str">
        <x:v>Fifty-four event-service records bind nine complete-campus service packages to immutable tokens.</x:v>
      </x:c>
      <x:c r="D11" s="39"/>
      <x:c r="E11" s="39"/>
      <x:c r="F11" s="39"/>
      <x:c r="G11" s="39"/>
      <x:c r="H11" s="39"/>
      <x:c r="I11" s="39"/>
      <x:c r="J11" s="39"/>
    </x:row>
    <x:row r="12" ht="43" customHeight="1">
      <x:c r="B12" s="35" t="str">
        <x:v>Faults</x:v>
      </x:c>
      <x:c r="C12" s="39" t="str">
        <x:v>Eight families appear three times across twenty-four sealed assignments; twelve clean controls accompany them.</x:v>
      </x:c>
      <x:c r="D12" s="39"/>
      <x:c r="E12" s="39"/>
      <x:c r="F12" s="39"/>
      <x:c r="G12" s="39"/>
      <x:c r="H12" s="39"/>
      <x:c r="I12" s="39"/>
      <x:c r="J12" s="39"/>
    </x:row>
    <x:row r="13" ht="43" customHeight="1">
      <x:c r="B13" s="35" t="str">
        <x:v>Schedule</x:v>
      </x:c>
      <x:c r="C13" s="39" t="str">
        <x:v>The core target is day 162. Secondary challenges may consume reserve but every event must close by day 180.</x:v>
      </x:c>
      <x:c r="D13" s="39"/>
      <x:c r="E13" s="39"/>
      <x:c r="F13" s="39"/>
      <x:c r="G13" s="39"/>
      <x:c r="H13" s="39"/>
      <x:c r="I13" s="39"/>
      <x:c r="J13" s="39"/>
    </x:row>
    <x:row r="14" ht="43" customHeight="1">
      <x:c r="B14" s="35" t="str">
        <x:v>Finance</x:v>
      </x:c>
      <x:c r="C14" s="39" t="str">
        <x:v>Constant USD billions. The USD 1.650B campaign draw is inside the first six years of annual support.</x:v>
      </x:c>
      <x:c r="D14" s="39"/>
      <x:c r="E14" s="39"/>
      <x:c r="F14" s="39"/>
      <x:c r="G14" s="39"/>
      <x:c r="H14" s="39"/>
      <x:c r="I14" s="39"/>
      <x:c r="J14" s="39"/>
    </x:row>
    <x:row r="15" ht="43" customHeight="1">
      <x:c r="B15" s="35" t="str">
        <x:v>Authority</x:v>
      </x:c>
      <x:c r="C15" s="39" t="str">
        <x:v>Planning gates can authorize the package. All physical evidence, production and rendering remain open or blocked.</x:v>
      </x:c>
      <x:c r="D15" s="39"/>
      <x:c r="E15" s="39"/>
      <x:c r="F15" s="39"/>
      <x:c r="G15" s="39"/>
      <x:c r="H15" s="39"/>
      <x:c r="I15" s="39"/>
      <x:c r="J15" s="39"/>
    </x:row>
    <x:row r="16">
      <x:c r="B16" s="36"/>
      <x:c r="C16" s="36"/>
      <x:c r="D16" s="36"/>
      <x:c r="E16" s="36"/>
      <x:c r="F16" s="36"/>
      <x:c r="G16" s="36"/>
      <x:c r="H16" s="36"/>
      <x:c r="I16" s="36"/>
      <x:c r="J16" s="36"/>
    </x:row>
    <x:row r="17">
      <x:c r="B17" s="36"/>
      <x:c r="C17" s="36"/>
      <x:c r="D17" s="36"/>
      <x:c r="E17" s="36"/>
      <x:c r="F17" s="36"/>
      <x:c r="G17" s="36"/>
      <x:c r="H17" s="36"/>
      <x:c r="I17" s="36"/>
      <x:c r="J17" s="36"/>
    </x:row>
    <x:row r="18">
      <x:c r="B18" s="36"/>
      <x:c r="C18" s="36"/>
      <x:c r="D18" s="36"/>
      <x:c r="E18" s="36"/>
      <x:c r="F18" s="36"/>
      <x:c r="G18" s="36"/>
      <x:c r="H18" s="36"/>
      <x:c r="I18" s="36"/>
      <x:c r="J18" s="36"/>
    </x:row>
    <x:row r="19">
      <x:c r="B19" s="25" t="str">
        <x:v>Decision grammar</x:v>
      </x:c>
      <x:c r="C19" s="26" t="str">
        <x:v>Decision grammar</x:v>
      </x:c>
      <x:c r="D19" s="26" t="str">
        <x:v>Decision grammar</x:v>
      </x:c>
      <x:c r="E19" s="26" t="str">
        <x:v>Decision grammar</x:v>
      </x:c>
      <x:c r="F19" s="26" t="str">
        <x:v>Decision grammar</x:v>
      </x:c>
      <x:c r="G19" s="26" t="str">
        <x:v>Decision grammar</x:v>
      </x:c>
      <x:c r="H19" s="26" t="str">
        <x:v>Decision grammar</x:v>
      </x:c>
      <x:c r="I19" s="26" t="str">
        <x:v>Decision grammar</x:v>
      </x:c>
      <x:c r="J19" s="27" t="str">
        <x:v>Decision grammar</x:v>
      </x:c>
    </x:row>
    <x:row r="20" ht="40" customHeight="1">
      <x:c r="B20" s="35" t="str">
        <x:v>PLANNING PASS</x:v>
      </x:c>
      <x:c r="C20" s="39" t="str">
        <x:v>The rule, registry or calculation is complete in this package.</x:v>
      </x:c>
      <x:c r="D20" s="39"/>
      <x:c r="E20" s="39"/>
      <x:c r="F20" s="39"/>
      <x:c r="G20" s="39"/>
      <x:c r="H20" s="39"/>
      <x:c r="I20" s="39"/>
      <x:c r="J20" s="39"/>
    </x:row>
    <x:row r="21" ht="40" customHeight="1">
      <x:c r="B21" s="35" t="str">
        <x:v>AUTHORIZED</x:v>
      </x:c>
      <x:c r="C21" s="39" t="str">
        <x:v>The planning layer may proceed to its next physical predecessor.</x:v>
      </x:c>
      <x:c r="D21" s="39"/>
      <x:c r="E21" s="39"/>
      <x:c r="F21" s="39"/>
      <x:c r="G21" s="39"/>
      <x:c r="H21" s="39"/>
      <x:c r="I21" s="39"/>
      <x:c r="J21" s="39"/>
    </x:row>
    <x:row r="22" ht="40" customHeight="1">
      <x:c r="B22" s="35" t="str">
        <x:v>OPEN / HOLD</x:v>
      </x:c>
      <x:c r="C22" s="39" t="str">
        <x:v>Required authority, asset, roster or observation does not exist.</x:v>
      </x:c>
      <x:c r="D22" s="39"/>
      <x:c r="E22" s="39"/>
      <x:c r="F22" s="39"/>
      <x:c r="G22" s="39"/>
      <x:c r="H22" s="39"/>
      <x:c r="I22" s="39"/>
      <x:c r="J22" s="39"/>
    </x:row>
    <x:row r="23" ht="40" customHeight="1">
      <x:c r="B23" s="35" t="str">
        <x:v>BLOCKED</x:v>
      </x:c>
      <x:c r="C23" s="39" t="str">
        <x:v>Production or rendering cannot bypass physical campaign admission.</x:v>
      </x:c>
      <x:c r="D23" s="39"/>
      <x:c r="E23" s="39"/>
      <x:c r="F23" s="39"/>
      <x:c r="G23" s="39"/>
      <x:c r="H23" s="39"/>
      <x:c r="I23" s="39"/>
      <x:c r="J23" s="39"/>
    </x:row>
    <x:row r="24" ht="40" customHeight="1">
      <x:c r="B24" s="35" t="str">
        <x:v>EXPECTED FAIL</x:v>
      </x:c>
      <x:c r="C24" s="39" t="str">
        <x:v>The CRS-1 comparator correctly reaches zero alert shipsets in at least one case.</x:v>
      </x:c>
      <x:c r="D24" s="39"/>
      <x:c r="E24" s="39"/>
      <x:c r="F24" s="39"/>
      <x:c r="G24" s="39"/>
      <x:c r="H24" s="39"/>
      <x:c r="I24" s="39"/>
      <x:c r="J24" s="39"/>
    </x:row>
    <x:row r="25" ht="40" customHeight="1">
      <x:c r="B25" s="35" t="str">
        <x:v>REAL_MISSION_CONVERSION</x:v>
      </x:c>
      <x:c r="C25" s="39" t="str">
        <x:v>A public emergency supersedes the exercise; experimental coverage remains incomplete.</x:v>
      </x:c>
      <x:c r="D25" s="39"/>
      <x:c r="E25" s="39"/>
      <x:c r="F25" s="39"/>
      <x:c r="G25" s="39"/>
      <x:c r="H25" s="39"/>
      <x:c r="I25" s="39"/>
      <x:c r="J25" s="39"/>
    </x:row>
  </x:sheetData>
  <x:mergeCells>
    <x:mergeCell ref="B2:J2"/>
    <x:mergeCell ref="B3:J3"/>
    <x:mergeCell ref="B6:J6"/>
    <x:mergeCell ref="C7:J7"/>
    <x:mergeCell ref="C8:J8"/>
    <x:mergeCell ref="C9:J9"/>
    <x:mergeCell ref="C10:J10"/>
    <x:mergeCell ref="C11:J11"/>
    <x:mergeCell ref="C12:J12"/>
    <x:mergeCell ref="C13:J13"/>
    <x:mergeCell ref="C14:J14"/>
    <x:mergeCell ref="C15:J15"/>
    <x:mergeCell ref="B19:J19"/>
    <x:mergeCell ref="C20:J20"/>
    <x:mergeCell ref="C21:J21"/>
    <x:mergeCell ref="C22:J22"/>
    <x:mergeCell ref="C23:J23"/>
    <x:mergeCell ref="C24:J24"/>
    <x:mergeCell ref="C25:J25"/>
  </x:mergeCells>
  <x:conditionalFormatting sqref="B20:B25">
    <x:cfRule type="containsText" dxfId="435" priority="1" operator="containsText" text="PASS"/>
    <x:cfRule type="containsText" dxfId="436" priority="2" operator="containsText" text="SELECT"/>
    <x:cfRule type="containsText" dxfId="437" priority="3" operator="containsText" text="AUTHORIZED"/>
    <x:cfRule type="containsText" dxfId="438" priority="4" operator="containsText" text="ADMITTED"/>
    <x:cfRule type="containsText" dxfId="439" priority="5" operator="containsText" text="READY"/>
    <x:cfRule type="containsText" dxfId="440" priority="6" operator="containsText" text="HOLD"/>
    <x:cfRule type="containsText" dxfId="441" priority="7" operator="containsText" text="OPEN"/>
    <x:cfRule type="containsText" dxfId="442" priority="8" operator="containsText" text="SAFE_STOP"/>
    <x:cfRule type="containsText" dxfId="443" priority="9" operator="containsText" text="BLOCKED"/>
    <x:cfRule type="containsText" dxfId="444" priority="10" operator="containsText" text="PLANNING"/>
    <x:cfRule type="containsText" dxfId="445" priority="11" operator="containsText" text="FAIL"/>
    <x:cfRule type="containsText" dxfId="446" priority="12" operator="containsText" text="REJECT"/>
    <x:cfRule type="containsText" dxfId="447" priority="13" operator="containsText" text="LATE"/>
    <x:cfRule type="containsText" dxfId="448" priority="14" operator="containsText" text="INCOMPLETE"/>
    <x:cfRule type="containsText" dxfId="449" priority="15" operator="containsText" text="INDETERMINATE"/>
  </x:conditionalFormatting>
  <x:pageMargins left="0.7" right="0.7" top="0.75" bottom="0.75" header="0.3" footer="0.3"/>
</x:worksheet>
</file>