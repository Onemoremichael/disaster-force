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559ec3a26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8bb95165b74774"/>
    <x:sheet xmlns:r="http://schemas.openxmlformats.org/officeDocument/2006/relationships" name="Controls" sheetId="2" r:id="Rf53383a221884ea6"/>
    <x:sheet xmlns:r="http://schemas.openxmlformats.org/officeDocument/2006/relationships" name="Candidate Matrix" sheetId="3" r:id="R207b58b86b834c04"/>
    <x:sheet xmlns:r="http://schemas.openxmlformats.org/officeDocument/2006/relationships" name="Article Bank" sheetId="4" r:id="Ree06f0f4e351447a"/>
    <x:sheet xmlns:r="http://schemas.openxmlformats.org/officeDocument/2006/relationships" name="Method Matrix" sheetId="5" r:id="Ra6afebe13fc84669"/>
    <x:sheet xmlns:r="http://schemas.openxmlformats.org/officeDocument/2006/relationships" name="Challenge Matrix" sheetId="6" r:id="Rdd8936be95c74b81"/>
    <x:sheet xmlns:r="http://schemas.openxmlformats.org/officeDocument/2006/relationships" name="Event Register" sheetId="7" r:id="R443d41fe9ef24529"/>
    <x:sheet xmlns:r="http://schemas.openxmlformats.org/officeDocument/2006/relationships" name="Pair Register" sheetId="8" r:id="Rd9da97bb83a64b77"/>
    <x:sheet xmlns:r="http://schemas.openxmlformats.org/officeDocument/2006/relationships" name="Hydraulic Screen" sheetId="9" r:id="R546eeedd65ef488e"/>
    <x:sheet xmlns:r="http://schemas.openxmlformats.org/officeDocument/2006/relationships" name="Pool Fire" sheetId="10" r:id="Rc6e4d1b251074797"/>
    <x:sheet xmlns:r="http://schemas.openxmlformats.org/officeDocument/2006/relationships" name="Firewater Screen" sheetId="11" r:id="Rbccadce06fd2479d"/>
    <x:sheet xmlns:r="http://schemas.openxmlformats.org/officeDocument/2006/relationships" name="Runoff Ledger" sheetId="12" r:id="Rcb2337cf54c240f9"/>
    <x:sheet xmlns:r="http://schemas.openxmlformats.org/officeDocument/2006/relationships" name="Intervention Matrix" sheetId="13" r:id="R22b5f4da1c014053"/>
    <x:sheet xmlns:r="http://schemas.openxmlformats.org/officeDocument/2006/relationships" name="Test Estate" sheetId="14" r:id="Rcd906636c8304422"/>
    <x:sheet xmlns:r="http://schemas.openxmlformats.org/officeDocument/2006/relationships" name="Sensor Plan" sheetId="15" r:id="R26aec0a5939a4dfe"/>
    <x:sheet xmlns:r="http://schemas.openxmlformats.org/officeDocument/2006/relationships" name="Command Script" sheetId="16" r:id="Re518995ae9d74323"/>
    <x:sheet xmlns:r="http://schemas.openxmlformats.org/officeDocument/2006/relationships" name="Abort Logic" sheetId="17" r:id="Rccb0497c2adb44d7"/>
    <x:sheet xmlns:r="http://schemas.openxmlformats.org/officeDocument/2006/relationships" name="Safe State" sheetId="18" r:id="R2a12d140baa3409c"/>
    <x:sheet xmlns:r="http://schemas.openxmlformats.org/officeDocument/2006/relationships" name="Recovery States" sheetId="19" r:id="Rb243852272cb4a8f"/>
    <x:sheet xmlns:r="http://schemas.openxmlformats.org/officeDocument/2006/relationships" name="Evidence Packet" sheetId="20" r:id="R0189c99aa59d4c65"/>
    <x:sheet xmlns:r="http://schemas.openxmlformats.org/officeDocument/2006/relationships" name="Feature Dictionary" sheetId="21" r:id="R4999871ba5f4478e"/>
    <x:sheet xmlns:r="http://schemas.openxmlformats.org/officeDocument/2006/relationships" name="Event Estimator" sheetId="22" r:id="R87d8be33937140e4"/>
    <x:sheet xmlns:r="http://schemas.openxmlformats.org/officeDocument/2006/relationships" name="Pair Estimator" sheetId="23" r:id="Ra637484a8c37404c"/>
    <x:sheet xmlns:r="http://schemas.openxmlformats.org/officeDocument/2006/relationships" name="Root Estimator" sheetId="24" r:id="R54f8f637061349da"/>
    <x:sheet xmlns:r="http://schemas.openxmlformats.org/officeDocument/2006/relationships" name="Candidate Estimator" sheetId="25" r:id="Rc346e599099d41d2"/>
    <x:sheet xmlns:r="http://schemas.openxmlformats.org/officeDocument/2006/relationships" name="Missing Data" sheetId="26" r:id="R623968e1def442c4"/>
    <x:sheet xmlns:r="http://schemas.openxmlformats.org/officeDocument/2006/relationships" name="Uncertainty" sheetId="27" r:id="Rbd5da48f4da645a2"/>
    <x:sheet xmlns:r="http://schemas.openxmlformats.org/officeDocument/2006/relationships" name="Schedule" sheetId="28" r:id="R1e544746a6a547f0"/>
    <x:sheet xmlns:r="http://schemas.openxmlformats.org/officeDocument/2006/relationships" name="Workforce" sheetId="29" r:id="R227ebd3fbcea4471"/>
    <x:sheet xmlns:r="http://schemas.openxmlformats.org/officeDocument/2006/relationships" name="Capital" sheetId="30" r:id="Rb7973f2a90db4f59"/>
    <x:sheet xmlns:r="http://schemas.openxmlformats.org/officeDocument/2006/relationships" name="Annual Support" sheetId="31" r:id="Rfcbda4e7f4d347f0"/>
    <x:sheet xmlns:r="http://schemas.openxmlformats.org/officeDocument/2006/relationships" name="Portfolio Boundary" sheetId="32" r:id="Rd7b73a53aef84eb4"/>
    <x:sheet xmlns:r="http://schemas.openxmlformats.org/officeDocument/2006/relationships" name="Release Gates" sheetId="33" r:id="Rb090c915fd024bec"/>
    <x:sheet xmlns:r="http://schemas.openxmlformats.org/officeDocument/2006/relationships" name="Audit" sheetId="34" r:id="Rf7374da7863648ca"/>
    <x:sheet xmlns:r="http://schemas.openxmlformats.org/officeDocument/2006/relationships" name="Authority" sheetId="35" r:id="R665e1906298542fe"/>
    <x:sheet xmlns:r="http://schemas.openxmlformats.org/officeDocument/2006/relationships" name="ReadMe" sheetId="36" r:id="Rdabf3589565b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0.000"/>
    <x:numFmt numFmtId="201" formatCode="#,##0.00"/>
    <x:numFmt numFmtId="202" formatCode="#,##0.00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4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e9c1c2efd4708" /><Relationship Type="http://schemas.openxmlformats.org/officeDocument/2006/relationships/theme" Target="/xl/theme/theme1.xml" Id="R8736d88a54b24f19" /><Relationship Type="http://schemas.openxmlformats.org/officeDocument/2006/relationships/sharedStrings" Target="/xl/sharedStrings.xml" Id="Rf674b50ecb724d1a" /><Relationship Type="http://schemas.openxmlformats.org/officeDocument/2006/relationships/worksheet" Target="/xl/worksheets/sheet1.xml" Id="R5d8bb95165b74774" /><Relationship Type="http://schemas.openxmlformats.org/officeDocument/2006/relationships/worksheet" Target="/xl/worksheets/sheet2.xml" Id="Rf53383a221884ea6" /><Relationship Type="http://schemas.openxmlformats.org/officeDocument/2006/relationships/worksheet" Target="/xl/worksheets/sheet3.xml" Id="R207b58b86b834c04" /><Relationship Type="http://schemas.openxmlformats.org/officeDocument/2006/relationships/worksheet" Target="/xl/worksheets/sheet4.xml" Id="Ree06f0f4e351447a" /><Relationship Type="http://schemas.openxmlformats.org/officeDocument/2006/relationships/worksheet" Target="/xl/worksheets/sheet5.xml" Id="Ra6afebe13fc84669" /><Relationship Type="http://schemas.openxmlformats.org/officeDocument/2006/relationships/worksheet" Target="/xl/worksheets/sheet6.xml" Id="Rdd8936be95c74b81" /><Relationship Type="http://schemas.openxmlformats.org/officeDocument/2006/relationships/worksheet" Target="/xl/worksheets/sheet7.xml" Id="R443d41fe9ef24529" /><Relationship Type="http://schemas.openxmlformats.org/officeDocument/2006/relationships/worksheet" Target="/xl/worksheets/sheet8.xml" Id="Rd9da97bb83a64b77" /><Relationship Type="http://schemas.openxmlformats.org/officeDocument/2006/relationships/worksheet" Target="/xl/worksheets/sheet9.xml" Id="R546eeedd65ef488e" /><Relationship Type="http://schemas.openxmlformats.org/officeDocument/2006/relationships/worksheet" Target="/xl/worksheets/sheet10.xml" Id="Rc6e4d1b251074797" /><Relationship Type="http://schemas.openxmlformats.org/officeDocument/2006/relationships/worksheet" Target="/xl/worksheets/sheet11.xml" Id="Rbccadce06fd2479d" /><Relationship Type="http://schemas.openxmlformats.org/officeDocument/2006/relationships/worksheet" Target="/xl/worksheets/sheet12.xml" Id="Rcb2337cf54c240f9" /><Relationship Type="http://schemas.openxmlformats.org/officeDocument/2006/relationships/worksheet" Target="/xl/worksheets/sheet13.xml" Id="R22b5f4da1c014053" /><Relationship Type="http://schemas.openxmlformats.org/officeDocument/2006/relationships/worksheet" Target="/xl/worksheets/sheet14.xml" Id="Rcd906636c8304422" /><Relationship Type="http://schemas.openxmlformats.org/officeDocument/2006/relationships/worksheet" Target="/xl/worksheets/sheet15.xml" Id="R26aec0a5939a4dfe" /><Relationship Type="http://schemas.openxmlformats.org/officeDocument/2006/relationships/worksheet" Target="/xl/worksheets/sheet16.xml" Id="Re518995ae9d74323" /><Relationship Type="http://schemas.openxmlformats.org/officeDocument/2006/relationships/worksheet" Target="/xl/worksheets/sheet17.xml" Id="Rccb0497c2adb44d7" /><Relationship Type="http://schemas.openxmlformats.org/officeDocument/2006/relationships/worksheet" Target="/xl/worksheets/sheet18.xml" Id="R2a12d140baa3409c" /><Relationship Type="http://schemas.openxmlformats.org/officeDocument/2006/relationships/worksheet" Target="/xl/worksheets/sheet19.xml" Id="Rb243852272cb4a8f" /><Relationship Type="http://schemas.openxmlformats.org/officeDocument/2006/relationships/worksheet" Target="/xl/worksheets/sheet20.xml" Id="R0189c99aa59d4c65" /><Relationship Type="http://schemas.openxmlformats.org/officeDocument/2006/relationships/worksheet" Target="/xl/worksheets/sheet21.xml" Id="R4999871ba5f4478e" /><Relationship Type="http://schemas.openxmlformats.org/officeDocument/2006/relationships/worksheet" Target="/xl/worksheets/sheet22.xml" Id="R87d8be33937140e4" /><Relationship Type="http://schemas.openxmlformats.org/officeDocument/2006/relationships/worksheet" Target="/xl/worksheets/sheet23.xml" Id="Ra637484a8c37404c" /><Relationship Type="http://schemas.openxmlformats.org/officeDocument/2006/relationships/worksheet" Target="/xl/worksheets/sheet24.xml" Id="R54f8f637061349da" /><Relationship Type="http://schemas.openxmlformats.org/officeDocument/2006/relationships/worksheet" Target="/xl/worksheets/sheet25.xml" Id="Rc346e599099d41d2" /><Relationship Type="http://schemas.openxmlformats.org/officeDocument/2006/relationships/worksheet" Target="/xl/worksheets/sheet26.xml" Id="R623968e1def442c4" /><Relationship Type="http://schemas.openxmlformats.org/officeDocument/2006/relationships/worksheet" Target="/xl/worksheets/sheet27.xml" Id="Rbd5da48f4da645a2" /><Relationship Type="http://schemas.openxmlformats.org/officeDocument/2006/relationships/worksheet" Target="/xl/worksheets/sheet28.xml" Id="R1e544746a6a547f0" /><Relationship Type="http://schemas.openxmlformats.org/officeDocument/2006/relationships/worksheet" Target="/xl/worksheets/sheet29.xml" Id="R227ebd3fbcea4471" /><Relationship Type="http://schemas.openxmlformats.org/officeDocument/2006/relationships/worksheet" Target="/xl/worksheets/sheet30.xml" Id="Rb7973f2a90db4f59" /><Relationship Type="http://schemas.openxmlformats.org/officeDocument/2006/relationships/worksheet" Target="/xl/worksheets/sheet31.xml" Id="Rfcbda4e7f4d347f0" /><Relationship Type="http://schemas.openxmlformats.org/officeDocument/2006/relationships/worksheet" Target="/xl/worksheets/sheet32.xml" Id="Rd7b73a53aef84eb4" /><Relationship Type="http://schemas.openxmlformats.org/officeDocument/2006/relationships/worksheet" Target="/xl/worksheets/sheet33.xml" Id="Rb090c915fd024bec" /><Relationship Type="http://schemas.openxmlformats.org/officeDocument/2006/relationships/worksheet" Target="/xl/worksheets/sheet34.xml" Id="Rf7374da7863648ca" /><Relationship Type="http://schemas.openxmlformats.org/officeDocument/2006/relationships/worksheet" Target="/xl/worksheets/sheet35.xml" Id="R665e1906298542fe" /><Relationship Type="http://schemas.openxmlformats.org/officeDocument/2006/relationships/worksheet" Target="/xl/worksheets/sheet36.xml" Id="Rdabf3589565b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42" hidden="0" customWidth="1"/>
    <x:col min="3" max="3" width="18" hidden="0" customWidth="1"/>
    <x:col min="4" max="4" width="18" hidden="0" customWidth="1"/>
    <x:col min="5" max="5" width="4" hidden="0" customWidth="1"/>
    <x:col min="6" max="6" width="42" hidden="0" customWidth="1"/>
    <x:col min="7" max="7" width="22" hidden="0" customWidth="1"/>
    <x:col min="8" max="8" width="18" hidden="0" customWidth="1"/>
  </x:cols>
  <x:sheetData>
    <x:row r="2">
      <x:c r="B2" s="1" t="str">
        <x:v>RFA-1 Root A drainage, firewater and recovery constitution</x:v>
      </x:c>
    </x:row>
    <x:row r="3">
      <x:c r="B3" s="2" t="str">
        <x:v>Three unlike complete-chain architectures and a public campaign for source, water, heat, runoff and recovery.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Program architecture</x:v>
      </x:c>
      <x:c r="C6" s="7" t="str">
        <x:v>Value</x:v>
      </x:c>
      <x:c r="D6" s="7" t="str">
        <x:v>Unit</x:v>
      </x:c>
      <x:c r="F6" s="7" t="str">
        <x:v>Institution and release state</x:v>
      </x:c>
      <x:c r="G6" s="7" t="str">
        <x:v>Value</x:v>
      </x:c>
      <x:c r="H6" s="7" t="str">
        <x:v>Unit</x:v>
      </x:c>
    </x:row>
    <x:row r="7">
      <x:c r="B7" t="str">
        <x:v>candidate architectures</x:v>
      </x:c>
      <x:c r="C7" t="n">
        <x:v>3</x:v>
      </x:c>
      <x:c r="D7" t="str">
        <x:v>count</x:v>
      </x:c>
      <x:c r="F7" t="str">
        <x:v>mission workforce</x:v>
      </x:c>
      <x:c r="G7" t="n">
        <x:f>Workforce!D18</x:f>
        <x:v>462</x:v>
      </x:c>
      <x:c r="H7" t="str">
        <x:v>positions</x:v>
      </x:c>
    </x:row>
    <x:row r="8">
      <x:c r="B8" t="str">
        <x:v>unlike builder roots</x:v>
      </x:c>
      <x:c r="C8" t="n">
        <x:v>6</x:v>
      </x:c>
      <x:c r="D8" t="str">
        <x:v>count</x:v>
      </x:c>
      <x:c r="F8" t="str">
        <x:v>capital</x:v>
      </x:c>
      <x:c r="G8" t="n">
        <x:f>Capital!F18</x:f>
        <x:v>1080</x:v>
      </x:c>
      <x:c r="H8" t="str">
        <x:v>USD M</x:v>
      </x:c>
    </x:row>
    <x:row r="9">
      <x:c r="B9" t="str">
        <x:v>article bank</x:v>
      </x:c>
      <x:c r="C9" t="n">
        <x:v>48</x:v>
      </x:c>
      <x:c r="D9" t="str">
        <x:v>articles</x:v>
      </x:c>
      <x:c r="F9" t="str">
        <x:v>annual support</x:v>
      </x:c>
      <x:c r="G9" t="n">
        <x:f>'Annual Support'!F16</x:f>
        <x:v>178</x:v>
      </x:c>
      <x:c r="H9" t="str">
        <x:v>USD M/year</x:v>
      </x:c>
    </x:row>
    <x:row r="10">
      <x:c r="B10" t="str">
        <x:v>method families</x:v>
      </x:c>
      <x:c r="C10" t="n">
        <x:v>10</x:v>
      </x:c>
      <x:c r="D10" t="str">
        <x:v>count</x:v>
      </x:c>
      <x:c r="F10" t="str">
        <x:v>program exposure</x:v>
      </x:c>
      <x:c r="G10" t="n">
        <x:f>'Portfolio Boundary'!C19</x:f>
        <x:v>1703</x:v>
      </x:c>
      <x:c r="H10" t="str">
        <x:v>USD M</x:v>
      </x:c>
    </x:row>
    <x:row r="11">
      <x:c r="B11" t="str">
        <x:v>base events</x:v>
      </x:c>
      <x:c r="C11" t="n">
        <x:v>306</x:v>
      </x:c>
      <x:c r="D11" t="str">
        <x:v>events</x:v>
      </x:c>
      <x:c r="F11" t="str">
        <x:v>net-new gross capital</x:v>
      </x:c>
      <x:c r="G11" t="n">
        <x:f>'Portfolio Boundary'!C13</x:f>
        <x:v>760</x:v>
      </x:c>
      <x:c r="H11" t="str">
        <x:v>USD M</x:v>
      </x:c>
    </x:row>
    <x:row r="12">
      <x:c r="B12" t="str">
        <x:v>matched pairs</x:v>
      </x:c>
      <x:c r="C12" t="n">
        <x:v>96</x:v>
      </x:c>
      <x:c r="D12" t="str">
        <x:v>pairs</x:v>
      </x:c>
      <x:c r="F12" t="str">
        <x:v>net-new gross annual</x:v>
      </x:c>
      <x:c r="G12" t="n">
        <x:f>'Portfolio Boundary'!D13</x:f>
        <x:v>68</x:v>
      </x:c>
      <x:c r="H12" t="str">
        <x:v>USD M/year</x:v>
      </x:c>
    </x:row>
    <x:row r="13">
      <x:c r="B13" t="str">
        <x:v>measurement functions</x:v>
      </x:c>
      <x:c r="C13" t="n">
        <x:v>20</x:v>
      </x:c>
      <x:c r="D13" t="str">
        <x:v>count</x:v>
      </x:c>
      <x:c r="F13" t="str">
        <x:v>BRD-9R capital</x:v>
      </x:c>
      <x:c r="G13" t="n">
        <x:f>'Portfolio Boundary'!C16</x:f>
        <x:v>2195</x:v>
      </x:c>
      <x:c r="H13" t="str">
        <x:v>USD M</x:v>
      </x:c>
    </x:row>
    <x:row r="14">
      <x:c r="B14" t="str">
        <x:v>native channels</x:v>
      </x:c>
      <x:c r="C14" t="n">
        <x:v>480</x:v>
      </x:c>
      <x:c r="D14" t="str">
        <x:v>channels</x:v>
      </x:c>
      <x:c r="F14" t="str">
        <x:v>BRD-9R annual</x:v>
      </x:c>
      <x:c r="G14" t="n">
        <x:f>'Portfolio Boundary'!D16</x:f>
        <x:v>372</x:v>
      </x:c>
      <x:c r="H14" t="str">
        <x:v>USD M/year</x:v>
      </x:c>
    </x:row>
    <x:row r="15">
      <x:c r="B15" t="str">
        <x:v>duration</x:v>
      </x:c>
      <x:c r="C15" t="n">
        <x:v>42</x:v>
      </x:c>
      <x:c r="D15" t="str">
        <x:v>months</x:v>
      </x:c>
      <x:c r="F15" t="str">
        <x:v>planning gates</x:v>
      </x:c>
      <x:c r="G15" t="n">
        <x:f>COUNTIF('Release Gates'!J7:J527,"PASS")</x:f>
        <x:v>521</x:v>
      </x:c>
      <x:c r="H15" t="str">
        <x:v>PASS</x:v>
      </x:c>
    </x:row>
    <x:row r="16">
      <x:c r="F16" t="str">
        <x:v>physical gates</x:v>
      </x:c>
      <x:c r="G16" t="n">
        <x:f>COUNTIF('Release Gates'!J528:J1651,"OPEN")</x:f>
        <x:v>1124</x:v>
      </x:c>
      <x:c r="H16" t="str">
        <x:v>OPEN</x:v>
      </x:c>
    </x:row>
    <x:row r="17">
      <x:c r="F17" t="str">
        <x:v>downstream gates</x:v>
      </x:c>
      <x:c r="G17" t="n">
        <x:f>COUNTIF('Release Gates'!J1652:J1660,"BLOCKED")</x:f>
        <x:v>9</x:v>
      </x:c>
      <x:c r="H17" t="str">
        <x:v>BLOCKED</x:v>
      </x:c>
    </x:row>
    <x:row r="18">
      <x:c r="F18" t="str">
        <x:v>audit observers</x:v>
      </x:c>
      <x:c r="G18" t="n">
        <x:f>COUNTIF(Audit!H7:H1684,"PASS")</x:f>
        <x:v>1678</x:v>
      </x:c>
      <x:c r="H18" t="str">
        <x:v>PASS</x:v>
      </x:c>
    </x:row>
    <x:row r="21">
      <x:c r="B21" s="14" t="str">
        <x:v>Governing interpretation</x:v>
      </x:c>
      <x:c r="C21" s="14"/>
      <x:c r="D21" s="14"/>
      <x:c r="E21" s="14"/>
      <x:c r="F21" s="14"/>
      <x:c r="G21" s="14"/>
      <x:c r="H21" s="14"/>
    </x:row>
    <x:row r="22" ht="35" customHeight="1">
      <x:c r="B22" s="11" t="str">
        <x:v>RFA-1 does not assume that water application is beneficial. It measures whether cooling reduces heat while increasing retained-water demand, source entrainment, overflow or environmental consequence.</x:v>
      </x:c>
      <x:c r="C22"/>
      <x:c r="D22"/>
      <x:c r="E22"/>
      <x:c r="F22"/>
      <x:c r="G22"/>
      <x:c r="H22"/>
    </x:row>
    <x:row r="23" ht="35" customHeight="1">
      <x:c r="B23" s="11" t="str">
        <x:v>AF-1 is a fixed passive gravity cascade. AF-2 uses distributed underdeck capture and closed-loop cooling. AF-3 uses deployable robotic grade, skimming and modular fractionation.</x:v>
      </x:c>
      <x:c r="C23"/>
      <x:c r="D23"/>
      <x:c r="E23"/>
      <x:c r="F23"/>
      <x:c r="G23"/>
      <x:c r="H23"/>
    </x:row>
    <x:row r="24" ht="35" customHeight="1">
      <x:c r="B24" s="11" t="str">
        <x:v>The 306-event denominator mirrors the Root B campaign but uses Root A-specific challenges, source-water separation, fire and environmental evidence.</x:v>
      </x:c>
      <x:c r="C24"/>
      <x:c r="D24"/>
      <x:c r="E24"/>
      <x:c r="F24"/>
      <x:c r="G24"/>
      <x:c r="H24"/>
    </x:row>
    <x:row r="25" ht="35" customHeight="1">
      <x:c r="B25" s="11" t="str">
        <x:v>Planning screens expose drain capacity, burn scale, water heat removal and vault demand. They do not qualify transient flow, extinguishment or environmental performance.</x:v>
      </x:c>
      <x:c r="C25"/>
      <x:c r="D25"/>
      <x:c r="E25"/>
      <x:c r="F25"/>
      <x:c r="G25"/>
      <x:c r="H25"/>
    </x:row>
    <x:row r="26" ht="35" customHeight="1">
      <x:c r="B26" s="11" t="str">
        <x:v>Causal inference remains hierarchical: valid events form matched pairs; two sites form a builder root; two unlike builders form a candidate. Disagreement remains visible.</x:v>
      </x:c>
      <x:c r="C26"/>
      <x:c r="D26"/>
      <x:c r="E26"/>
      <x:c r="F26"/>
      <x:c r="G26"/>
      <x:c r="H26"/>
    </x:row>
    <x:row r="27" ht="35" customHeight="1">
      <x:c r="B27" s="11" t="str">
        <x:v>The forty-two-month institution requires 462 positions, USD 1,080 million capital and USD 178 million per year. Net-new gross requirement is USD 760 million and USD 68 million per year.</x:v>
      </x:c>
      <x:c r="C27"/>
      <x:c r="D27"/>
      <x:c r="E27"/>
      <x:c r="F27"/>
      <x:c r="G27"/>
      <x:c r="H27"/>
    </x:row>
    <x:row r="28" ht="35" customHeight="1">
      <x:c r="B28" s="11" t="str">
        <x:v>All 1,124 physical gates remain open and nine downstream authorities remain blocked. Exterior rendering remains excluded.</x:v>
      </x:c>
      <x:c r="C28"/>
      <x:c r="D28"/>
      <x:c r="E28"/>
      <x:c r="F28"/>
      <x:c r="G28"/>
      <x:c r="H28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1" hidden="0" customWidth="1"/>
    <x:col min="4" max="4" width="18" hidden="0" customWidth="1"/>
    <x:col min="5" max="5" width="20" hidden="0" customWidth="1"/>
    <x:col min="6" max="6" width="15" hidden="0" customWidth="1"/>
    <x:col min="7" max="7" width="20" hidden="0" customWidth="1"/>
  </x:cols>
  <x:sheetData>
    <x:row r="2">
      <x:c r="B2" s="1" t="str">
        <x:v>RFA-1 controls</x:v>
      </x:c>
    </x:row>
    <x:row r="3">
      <x:c r="B3" s="2" t="str">
        <x:v>Blue values are editable planning hypotheses. Physical observations and authorities begin at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Class</x:v>
      </x:c>
      <x:c r="G6" s="7" t="str">
        <x:v>Internal authority</x:v>
      </x:c>
    </x:row>
    <x:row r="7">
      <x:c r="B7" t="str">
        <x:v>C01</x:v>
      </x:c>
      <x:c r="C7" t="str">
        <x:v>candidate architectures</x:v>
      </x:c>
      <x:c r="D7" s="10" t="n">
        <x:v>3</x:v>
      </x:c>
      <x:c r="E7" t="str">
        <x:v>count</x:v>
      </x:c>
      <x:c r="F7" t="str">
        <x:v>design</x:v>
      </x:c>
      <x:c r="G7" t="str">
        <x:v>RFA-1</x:v>
      </x:c>
    </x:row>
    <x:row r="8">
      <x:c r="B8" t="str">
        <x:v>C02</x:v>
      </x:c>
      <x:c r="C8" t="str">
        <x:v>unlike builders per candidate</x:v>
      </x:c>
      <x:c r="D8" s="10" t="n">
        <x:v>2</x:v>
      </x:c>
      <x:c r="E8" t="str">
        <x:v>count</x:v>
      </x:c>
      <x:c r="F8" t="str">
        <x:v>design</x:v>
      </x:c>
      <x:c r="G8" t="str">
        <x:v>RFA-1</x:v>
      </x:c>
    </x:row>
    <x:row r="9">
      <x:c r="B9" t="str">
        <x:v>C03</x:v>
      </x:c>
      <x:c r="C9" t="str">
        <x:v>operational sites</x:v>
      </x:c>
      <x:c r="D9" s="10" t="n">
        <x:v>2</x:v>
      </x:c>
      <x:c r="E9" t="str">
        <x:v>count</x:v>
      </x:c>
      <x:c r="F9" t="str">
        <x:v>inherited</x:v>
      </x:c>
      <x:c r="G9" t="str">
        <x:v>PTC-0</x:v>
      </x:c>
    </x:row>
    <x:row r="10">
      <x:c r="B10" t="str">
        <x:v>C04</x:v>
      </x:c>
      <x:c r="C10" t="str">
        <x:v>paired challenges</x:v>
      </x:c>
      <x:c r="D10" s="10" t="n">
        <x:v>8</x:v>
      </x:c>
      <x:c r="E10" t="str">
        <x:v>count</x:v>
      </x:c>
      <x:c r="F10" t="str">
        <x:v>design</x:v>
      </x:c>
      <x:c r="G10" t="str">
        <x:v>RFA-1</x:v>
      </x:c>
    </x:row>
    <x:row r="11">
      <x:c r="B11" t="str">
        <x:v>C05</x:v>
      </x:c>
      <x:c r="C11" t="str">
        <x:v>base campaign events</x:v>
      </x:c>
      <x:c r="D11" s="10" t="n">
        <x:v>306</x:v>
      </x:c>
      <x:c r="E11" t="str">
        <x:v>count</x:v>
      </x:c>
      <x:c r="F11" t="str">
        <x:v>derived</x:v>
      </x:c>
      <x:c r="G11" t="str">
        <x:v>RFA-1</x:v>
      </x:c>
    </x:row>
    <x:row r="12">
      <x:c r="B12" t="str">
        <x:v>C06</x:v>
      </x:c>
      <x:c r="C12" t="str">
        <x:v>source mass C1</x:v>
      </x:c>
      <x:c r="D12" s="10" t="n">
        <x:v>2000</x:v>
      </x:c>
      <x:c r="E12" t="str">
        <x:v>kg</x:v>
      </x:c>
      <x:c r="F12" t="str">
        <x:v>inherited</x:v>
      </x:c>
      <x:c r="G12" t="str">
        <x:v>MCR-1</x:v>
      </x:c>
    </x:row>
    <x:row r="13">
      <x:c r="B13" t="str">
        <x:v>C07</x:v>
      </x:c>
      <x:c r="C13" t="str">
        <x:v>source mass C2</x:v>
      </x:c>
      <x:c r="D13" s="10" t="n">
        <x:v>8000</x:v>
      </x:c>
      <x:c r="E13" t="str">
        <x:v>kg</x:v>
      </x:c>
      <x:c r="F13" t="str">
        <x:v>inherited</x:v>
      </x:c>
      <x:c r="G13" t="str">
        <x:v>MCR-1</x:v>
      </x:c>
    </x:row>
    <x:row r="14">
      <x:c r="B14" t="str">
        <x:v>C08</x:v>
      </x:c>
      <x:c r="C14" t="str">
        <x:v>fuel density</x:v>
      </x:c>
      <x:c r="D14" s="10" t="n">
        <x:v>800</x:v>
      </x:c>
      <x:c r="E14" t="str">
        <x:v>kg/m3</x:v>
      </x:c>
      <x:c r="F14" t="str">
        <x:v>inherited</x:v>
      </x:c>
      <x:c r="G14" t="str">
        <x:v>MCR-1</x:v>
      </x:c>
    </x:row>
    <x:row r="15">
      <x:c r="B15" t="str">
        <x:v>C09</x:v>
      </x:c>
      <x:c r="C15" t="str">
        <x:v>lower heating value</x:v>
      </x:c>
      <x:c r="D15" s="10" t="n">
        <x:v>42.588</x:v>
      </x:c>
      <x:c r="E15" t="str">
        <x:v>MJ/kg</x:v>
      </x:c>
      <x:c r="F15" t="str">
        <x:v>inherited</x:v>
      </x:c>
      <x:c r="G15" t="str">
        <x:v>MCR-1</x:v>
      </x:c>
    </x:row>
    <x:row r="16">
      <x:c r="B16" t="str">
        <x:v>C10</x:v>
      </x:c>
      <x:c r="C16" t="str">
        <x:v>source release duration</x:v>
      </x:c>
      <x:c r="D16" s="10" t="n">
        <x:v>120</x:v>
      </x:c>
      <x:c r="E16" t="str">
        <x:v>s</x:v>
      </x:c>
      <x:c r="F16" t="str">
        <x:v>inherited</x:v>
      </x:c>
      <x:c r="G16" t="str">
        <x:v>SBD-1</x:v>
      </x:c>
    </x:row>
    <x:row r="17">
      <x:c r="B17" t="str">
        <x:v>C11</x:v>
      </x:c>
      <x:c r="C17" t="str">
        <x:v>terminal-source target</x:v>
      </x:c>
      <x:c r="D17" s="10" t="n">
        <x:v>30</x:v>
      </x:c>
      <x:c r="E17" t="str">
        <x:v>s</x:v>
      </x:c>
      <x:c r="F17" t="str">
        <x:v>inherited</x:v>
      </x:c>
      <x:c r="G17" t="str">
        <x:v>SBD-1</x:v>
      </x:c>
    </x:row>
    <x:row r="18">
      <x:c r="B18" t="str">
        <x:v>C12</x:v>
      </x:c>
      <x:c r="C18" t="str">
        <x:v>reference pool area</x:v>
      </x:c>
      <x:c r="D18" s="10" t="n">
        <x:v>25</x:v>
      </x:c>
      <x:c r="E18" t="str">
        <x:v>m2</x:v>
      </x:c>
      <x:c r="F18" t="str">
        <x:v>inherited</x:v>
      </x:c>
      <x:c r="G18" t="str">
        <x:v>MCR-1</x:v>
      </x:c>
    </x:row>
    <x:row r="19">
      <x:c r="B19" t="str">
        <x:v>C13</x:v>
      </x:c>
      <x:c r="C19" t="str">
        <x:v>burning flux</x:v>
      </x:c>
      <x:c r="D19" s="10" t="n">
        <x:v>0.055</x:v>
      </x:c>
      <x:c r="E19" t="str">
        <x:v>kg/m2/s</x:v>
      </x:c>
      <x:c r="F19" t="str">
        <x:v>inherited</x:v>
      </x:c>
      <x:c r="G19" t="str">
        <x:v>MCR-1</x:v>
      </x:c>
    </x:row>
    <x:row r="20">
      <x:c r="B20" t="str">
        <x:v>C14</x:v>
      </x:c>
      <x:c r="C20" t="str">
        <x:v>radiative fraction</x:v>
      </x:c>
      <x:c r="D20" s="10" t="n">
        <x:v>0.35</x:v>
      </x:c>
      <x:c r="E20" t="str">
        <x:v>ratio</x:v>
      </x:c>
      <x:c r="F20" t="str">
        <x:v>inherited</x:v>
      </x:c>
      <x:c r="G20" t="str">
        <x:v>MCR-1</x:v>
      </x:c>
    </x:row>
    <x:row r="21">
      <x:c r="B21" t="str">
        <x:v>C15</x:v>
      </x:c>
      <x:c r="C21" t="str">
        <x:v>radiant-field screen</x:v>
      </x:c>
      <x:c r="D21" s="10" t="n">
        <x:v>1.6</x:v>
      </x:c>
      <x:c r="E21" t="str">
        <x:v>kW/m2</x:v>
      </x:c>
      <x:c r="F21" t="str">
        <x:v>inherited</x:v>
      </x:c>
      <x:c r="G21" t="str">
        <x:v>MCR-1</x:v>
      </x:c>
    </x:row>
    <x:row r="22">
      <x:c r="B22" t="str">
        <x:v>C16</x:v>
      </x:c>
      <x:c r="C22" t="str">
        <x:v>source sump capacity</x:v>
      </x:c>
      <x:c r="D22" s="10" t="n">
        <x:v>15</x:v>
      </x:c>
      <x:c r="E22" t="str">
        <x:v>m3/root</x:v>
      </x:c>
      <x:c r="F22" t="str">
        <x:v>inherited</x:v>
      </x:c>
      <x:c r="G22" t="str">
        <x:v>SBD-1</x:v>
      </x:c>
    </x:row>
    <x:row r="23">
      <x:c r="B23" t="str">
        <x:v>C17</x:v>
      </x:c>
      <x:c r="C23" t="str">
        <x:v>firewater vault capacity</x:v>
      </x:c>
      <x:c r="D23" s="10" t="n">
        <x:v>40</x:v>
      </x:c>
      <x:c r="E23" t="str">
        <x:v>m3/root</x:v>
      </x:c>
      <x:c r="F23" t="str">
        <x:v>inherited</x:v>
      </x:c>
      <x:c r="G23" t="str">
        <x:v>SBD-1</x:v>
      </x:c>
    </x:row>
    <x:row r="24">
      <x:c r="B24" t="str">
        <x:v>C18</x:v>
      </x:c>
      <x:c r="C24" t="str">
        <x:v>mass discrepancy ceiling</x:v>
      </x:c>
      <x:c r="D24" s="10" t="n">
        <x:v>5</x:v>
      </x:c>
      <x:c r="E24" t="str">
        <x:v>kg</x:v>
      </x:c>
      <x:c r="F24" t="str">
        <x:v>inherited</x:v>
      </x:c>
      <x:c r="G24" t="str">
        <x:v>SBD-1</x:v>
      </x:c>
    </x:row>
    <x:row r="25">
      <x:c r="B25" t="str">
        <x:v>C19</x:v>
      </x:c>
      <x:c r="C25" t="str">
        <x:v>protected transfer ceiling</x:v>
      </x:c>
      <x:c r="D25" s="10" t="n">
        <x:v>0.5</x:v>
      </x:c>
      <x:c r="E25" t="str">
        <x:v>kg</x:v>
      </x:c>
      <x:c r="F25" t="str">
        <x:v>inherited</x:v>
      </x:c>
      <x:c r="G25" t="str">
        <x:v>SBD-1</x:v>
      </x:c>
    </x:row>
    <x:row r="26">
      <x:c r="B26" t="str">
        <x:v>C20</x:v>
      </x:c>
      <x:c r="C26" t="str">
        <x:v>usable-channel floor</x:v>
      </x:c>
      <x:c r="D26" s="10" t="n">
        <x:v>0.9</x:v>
      </x:c>
      <x:c r="E26" t="str">
        <x:v>ratio</x:v>
      </x:c>
      <x:c r="F26" t="str">
        <x:v>inherited</x:v>
      </x:c>
      <x:c r="G26" t="str">
        <x:v>RHM-1</x:v>
      </x:c>
    </x:row>
    <x:row r="27">
      <x:c r="B27" t="str">
        <x:v>C21</x:v>
      </x:c>
      <x:c r="C27" t="str">
        <x:v>time-skew ceiling</x:v>
      </x:c>
      <x:c r="D27" s="10" t="n">
        <x:v>5</x:v>
      </x:c>
      <x:c r="E27" t="str">
        <x:v>microseconds</x:v>
      </x:c>
      <x:c r="F27" t="str">
        <x:v>inherited</x:v>
      </x:c>
      <x:c r="G27" t="str">
        <x:v>RHM-1</x:v>
      </x:c>
    </x:row>
    <x:row r="28">
      <x:c r="B28" t="str">
        <x:v>C22</x:v>
      </x:c>
      <x:c r="C28" t="str">
        <x:v>water heat capacity</x:v>
      </x:c>
      <x:c r="D28" s="10" t="n">
        <x:v>4.186</x:v>
      </x:c>
      <x:c r="E28" t="str">
        <x:v>MJ/m3-K</x:v>
      </x:c>
      <x:c r="F28" t="str">
        <x:v>design</x:v>
      </x:c>
      <x:c r="G28" t="str">
        <x:v>RFA-1</x:v>
      </x:c>
    </x:row>
    <x:row r="29">
      <x:c r="B29" t="str">
        <x:v>C23</x:v>
      </x:c>
      <x:c r="C29" t="str">
        <x:v>water temperature rise</x:v>
      </x:c>
      <x:c r="D29" s="10" t="n">
        <x:v>55</x:v>
      </x:c>
      <x:c r="E29" t="str">
        <x:v>K</x:v>
      </x:c>
      <x:c r="F29" t="str">
        <x:v>design</x:v>
      </x:c>
      <x:c r="G29" t="str">
        <x:v>RFA-1</x:v>
      </x:c>
    </x:row>
    <x:row r="30">
      <x:c r="B30" t="str">
        <x:v>C24</x:v>
      </x:c>
      <x:c r="C30" t="str">
        <x:v>water vaporized fraction</x:v>
      </x:c>
      <x:c r="D30" s="10" t="n">
        <x:v>0.15</x:v>
      </x:c>
      <x:c r="E30" t="str">
        <x:v>ratio</x:v>
      </x:c>
      <x:c r="F30" t="str">
        <x:v>design</x:v>
      </x:c>
      <x:c r="G30" t="str">
        <x:v>RFA-1</x:v>
      </x:c>
    </x:row>
    <x:row r="31">
      <x:c r="B31" t="str">
        <x:v>C25</x:v>
      </x:c>
      <x:c r="C31" t="str">
        <x:v>water latent heat</x:v>
      </x:c>
      <x:c r="D31" s="10" t="n">
        <x:v>2257</x:v>
      </x:c>
      <x:c r="E31" t="str">
        <x:v>MJ/m3</x:v>
      </x:c>
      <x:c r="F31" t="str">
        <x:v>design</x:v>
      </x:c>
      <x:c r="G31" t="str">
        <x:v>RFA-1</x:v>
      </x:c>
    </x:row>
    <x:row r="32">
      <x:c r="B32" t="str">
        <x:v>C26</x:v>
      </x:c>
      <x:c r="C32" t="str">
        <x:v>heat-transfer efficiency</x:v>
      </x:c>
      <x:c r="D32" s="10" t="n">
        <x:v>0.65</x:v>
      </x:c>
      <x:c r="E32" t="str">
        <x:v>ratio</x:v>
      </x:c>
      <x:c r="F32" t="str">
        <x:v>design</x:v>
      </x:c>
      <x:c r="G32" t="str">
        <x:v>RFA-1</x:v>
      </x:c>
    </x:row>
    <x:row r="33">
      <x:c r="B33" t="str">
        <x:v>C27</x:v>
      </x:c>
      <x:c r="C33" t="str">
        <x:v>RFA duration</x:v>
      </x:c>
      <x:c r="D33" s="10" t="n">
        <x:v>42</x:v>
      </x:c>
      <x:c r="E33" t="str">
        <x:v>months</x:v>
      </x:c>
      <x:c r="F33" t="str">
        <x:v>design</x:v>
      </x:c>
      <x:c r="G33" t="str">
        <x:v>RFA-1</x:v>
      </x:c>
    </x:row>
    <x:row r="34">
      <x:c r="B34" t="str">
        <x:v>C28</x:v>
      </x:c>
      <x:c r="C34" t="str">
        <x:v>RFA workforce</x:v>
      </x:c>
      <x:c r="D34" s="10" t="n">
        <x:v>462</x:v>
      </x:c>
      <x:c r="E34" t="str">
        <x:v>positions</x:v>
      </x:c>
      <x:c r="F34" t="str">
        <x:v>design</x:v>
      </x:c>
      <x:c r="G34" t="str">
        <x:v>RFA-1</x:v>
      </x:c>
    </x:row>
    <x:row r="35">
      <x:c r="B35" t="str">
        <x:v>C29</x:v>
      </x:c>
      <x:c r="C35" t="str">
        <x:v>RFA capital</x:v>
      </x:c>
      <x:c r="D35" s="10" t="n">
        <x:v>1080</x:v>
      </x:c>
      <x:c r="E35" t="str">
        <x:v>USD M</x:v>
      </x:c>
      <x:c r="F35" t="str">
        <x:v>design</x:v>
      </x:c>
      <x:c r="G35" t="str">
        <x:v>RFA-1</x:v>
      </x:c>
    </x:row>
    <x:row r="36">
      <x:c r="B36" t="str">
        <x:v>C30</x:v>
      </x:c>
      <x:c r="C36" t="str">
        <x:v>RFA annual support</x:v>
      </x:c>
      <x:c r="D36" s="10" t="n">
        <x:v>178</x:v>
      </x:c>
      <x:c r="E36" t="str">
        <x:v>USD M/year</x:v>
      </x:c>
      <x:c r="F36" t="str">
        <x:v>design</x:v>
      </x:c>
      <x:c r="G36" t="str">
        <x:v>RFA-1</x:v>
      </x:c>
    </x:row>
    <x:row r="37">
      <x:c r="B37" t="str">
        <x:v>C31</x:v>
      </x:c>
      <x:c r="C37" t="str">
        <x:v>CISA capital share</x:v>
      </x:c>
      <x:c r="D37" s="10" t="n">
        <x:v>650</x:v>
      </x:c>
      <x:c r="E37" t="str">
        <x:v>USD M</x:v>
      </x:c>
      <x:c r="F37" t="str">
        <x:v>design</x:v>
      </x:c>
      <x:c r="G37" t="str">
        <x:v>RFA-1</x:v>
      </x:c>
    </x:row>
    <x:row r="38">
      <x:c r="B38" t="str">
        <x:v>C32</x:v>
      </x:c>
      <x:c r="C38" t="str">
        <x:v>shared capital share</x:v>
      </x:c>
      <x:c r="D38" s="10" t="n">
        <x:v>430</x:v>
      </x:c>
      <x:c r="E38" t="str">
        <x:v>USD M</x:v>
      </x:c>
      <x:c r="F38" t="str">
        <x:v>design</x:v>
      </x:c>
      <x:c r="G38" t="str">
        <x:v>RFA-1</x:v>
      </x:c>
    </x:row>
    <x:row r="39">
      <x:c r="B39" t="str">
        <x:v>C33</x:v>
      </x:c>
      <x:c r="C39" t="str">
        <x:v>CISA annual share</x:v>
      </x:c>
      <x:c r="D39" s="10" t="n">
        <x:v>108</x:v>
      </x:c>
      <x:c r="E39" t="str">
        <x:v>USD M/year</x:v>
      </x:c>
      <x:c r="F39" t="str">
        <x:v>design</x:v>
      </x:c>
      <x:c r="G39" t="str">
        <x:v>RFA-1</x:v>
      </x:c>
    </x:row>
    <x:row r="40">
      <x:c r="B40" t="str">
        <x:v>C34</x:v>
      </x:c>
      <x:c r="C40" t="str">
        <x:v>shared annual share</x:v>
      </x:c>
      <x:c r="D40" s="10" t="n">
        <x:v>70</x:v>
      </x:c>
      <x:c r="E40" t="str">
        <x:v>USD M/year</x:v>
      </x:c>
      <x:c r="F40" t="str">
        <x:v>design</x:v>
      </x:c>
      <x:c r="G40" t="str">
        <x:v>RFA-1</x:v>
      </x:c>
    </x:row>
    <x:row r="41">
      <x:c r="B41" t="str">
        <x:v>C35</x:v>
      </x:c>
      <x:c r="C41" t="str">
        <x:v>registered overlap capital</x:v>
      </x:c>
      <x:c r="D41" s="10" t="n">
        <x:v>320</x:v>
      </x:c>
      <x:c r="E41" t="str">
        <x:v>USD M</x:v>
      </x:c>
      <x:c r="F41" t="str">
        <x:v>design</x:v>
      </x:c>
      <x:c r="G41" t="str">
        <x:v>RFA-1</x:v>
      </x:c>
    </x:row>
    <x:row r="42">
      <x:c r="B42" t="str">
        <x:v>C36</x:v>
      </x:c>
      <x:c r="C42" t="str">
        <x:v>registered overlap annual</x:v>
      </x:c>
      <x:c r="D42" s="10" t="n">
        <x:v>110</x:v>
      </x:c>
      <x:c r="E42" t="str">
        <x:v>USD M/year</x:v>
      </x:c>
      <x:c r="F42" t="str">
        <x:v>design</x:v>
      </x:c>
      <x:c r="G42" t="str">
        <x:v>RFA-1</x:v>
      </x:c>
    </x:row>
    <x:row r="43">
      <x:c r="B43" t="str">
        <x:v>C37</x:v>
      </x:c>
      <x:c r="C43" t="str">
        <x:v>CISA overlap capital</x:v>
      </x:c>
      <x:c r="D43" s="10" t="n">
        <x:v>190</x:v>
      </x:c>
      <x:c r="E43" t="str">
        <x:v>USD M</x:v>
      </x:c>
      <x:c r="F43" t="str">
        <x:v>design</x:v>
      </x:c>
      <x:c r="G43" t="str">
        <x:v>RFA-1</x:v>
      </x:c>
    </x:row>
    <x:row r="44">
      <x:c r="B44" t="str">
        <x:v>C38</x:v>
      </x:c>
      <x:c r="C44" t="str">
        <x:v>CISA overlap annual</x:v>
      </x:c>
      <x:c r="D44" s="10" t="n">
        <x:v>65</x:v>
      </x:c>
      <x:c r="E44" t="str">
        <x:v>USD M/year</x:v>
      </x:c>
      <x:c r="F44" t="str">
        <x:v>design</x:v>
      </x:c>
      <x:c r="G44" t="str">
        <x:v>RFA-1</x:v>
      </x:c>
    </x:row>
    <x:row r="45">
      <x:c r="B45" t="str">
        <x:v>C39</x:v>
      </x:c>
      <x:c r="C45" t="str">
        <x:v>shared overlap capital</x:v>
      </x:c>
      <x:c r="D45" s="10" t="n">
        <x:v>130</x:v>
      </x:c>
      <x:c r="E45" t="str">
        <x:v>USD M</x:v>
      </x:c>
      <x:c r="F45" t="str">
        <x:v>design</x:v>
      </x:c>
      <x:c r="G45" t="str">
        <x:v>RFA-1</x:v>
      </x:c>
    </x:row>
    <x:row r="46">
      <x:c r="B46" t="str">
        <x:v>C40</x:v>
      </x:c>
      <x:c r="C46" t="str">
        <x:v>shared overlap annual</x:v>
      </x:c>
      <x:c r="D46" s="10" t="n">
        <x:v>45</x:v>
      </x:c>
      <x:c r="E46" t="str">
        <x:v>USD M/year</x:v>
      </x:c>
      <x:c r="F46" t="str">
        <x:v>design</x:v>
      </x:c>
      <x:c r="G46" t="str">
        <x:v>RFA-1</x:v>
      </x:c>
    </x:row>
    <x:row r="47">
      <x:c r="B47" t="str">
        <x:v>C41</x:v>
      </x:c>
      <x:c r="C47" t="str">
        <x:v>BRD-8R capital</x:v>
      </x:c>
      <x:c r="D47" s="10" t="n">
        <x:v>1435</x:v>
      </x:c>
      <x:c r="E47" t="str">
        <x:v>USD M</x:v>
      </x:c>
      <x:c r="F47" t="str">
        <x:v>inherited</x:v>
      </x:c>
      <x:c r="G47" t="str">
        <x:v>RHM-1</x:v>
      </x:c>
    </x:row>
    <x:row r="48">
      <x:c r="B48" t="str">
        <x:v>C42</x:v>
      </x:c>
      <x:c r="C48" t="str">
        <x:v>BRD-8R annual</x:v>
      </x:c>
      <x:c r="D48" s="10" t="n">
        <x:v>304</x:v>
      </x:c>
      <x:c r="E48" t="str">
        <x:v>USD M/year</x:v>
      </x:c>
      <x:c r="F48" t="str">
        <x:v>inherited</x:v>
      </x:c>
      <x:c r="G48" t="str">
        <x:v>RHM-1</x:v>
      </x:c>
    </x:row>
    <x:row r="49">
      <x:c r="B49" t="str">
        <x:v>C43</x:v>
      </x:c>
      <x:c r="C49" t="str">
        <x:v>BRD-8U capital</x:v>
      </x:c>
      <x:c r="D49" s="10" t="n">
        <x:v>1953</x:v>
      </x:c>
      <x:c r="E49" t="str">
        <x:v>USD M</x:v>
      </x:c>
      <x:c r="F49" t="str">
        <x:v>inherited</x:v>
      </x:c>
      <x:c r="G49" t="str">
        <x:v>RHM-1</x:v>
      </x:c>
    </x:row>
    <x:row r="50">
      <x:c r="B50" t="str">
        <x:v>C44</x:v>
      </x:c>
      <x:c r="C50" t="str">
        <x:v>BRD-8U annual</x:v>
      </x:c>
      <x:c r="D50" s="10" t="n">
        <x:v>425</x:v>
      </x:c>
      <x:c r="E50" t="str">
        <x:v>USD M/year</x:v>
      </x:c>
      <x:c r="F50" t="str">
        <x:v>inherited</x:v>
      </x:c>
      <x:c r="G50" t="str">
        <x:v>RHM-1</x:v>
      </x:c>
    </x:row>
    <x:row r="51">
      <x:c r="B51" t="str">
        <x:v>C45</x:v>
      </x:c>
      <x:c r="C51" t="str">
        <x:v>CISA parent capital</x:v>
      </x:c>
      <x:c r="D51" s="10" t="n">
        <x:v>960</x:v>
      </x:c>
      <x:c r="E51" t="str">
        <x:v>USD M</x:v>
      </x:c>
      <x:c r="F51" t="str">
        <x:v>inherited</x:v>
      </x:c>
      <x:c r="G51" t="str">
        <x:v>CISA-1</x:v>
      </x:c>
    </x:row>
    <x:row r="52">
      <x:c r="B52" t="str">
        <x:v>C46</x:v>
      </x:c>
      <x:c r="C52" t="str">
        <x:v>CISA parent annual</x:v>
      </x:c>
      <x:c r="D52" s="10" t="n">
        <x:v>260</x:v>
      </x:c>
      <x:c r="E52" t="str">
        <x:v>USD M/year</x:v>
      </x:c>
      <x:c r="F52" t="str">
        <x:v>inherited</x:v>
      </x:c>
      <x:c r="G52" t="str">
        <x:v>CISA-1</x:v>
      </x:c>
    </x:row>
    <x:row r="53">
      <x:c r="B53" t="str">
        <x:v>C47</x:v>
      </x:c>
      <x:c r="C53" t="str">
        <x:v>planning completion</x:v>
      </x:c>
      <x:c r="D53" s="10" t="n">
        <x:v>1</x:v>
      </x:c>
      <x:c r="E53" t="str">
        <x:v>binary</x:v>
      </x:c>
      <x:c r="F53" t="str">
        <x:v>design</x:v>
      </x:c>
      <x:c r="G53" t="str">
        <x:v>RFA-1</x:v>
      </x:c>
    </x:row>
    <x:row r="54">
      <x:c r="B54" t="str">
        <x:v>C48</x:v>
      </x:c>
      <x:c r="C54" t="str">
        <x:v>physical method qualification</x:v>
      </x:c>
      <x:c r="D54" s="10" t="n">
        <x:v>0</x:v>
      </x:c>
      <x:c r="E54" t="str">
        <x:v>binary</x:v>
      </x:c>
      <x:c r="F54" t="str">
        <x:v>physical</x:v>
      </x:c>
      <x:c r="G54" t="str">
        <x:v>authority</x:v>
      </x:c>
    </x:row>
    <x:row r="55">
      <x:c r="B55" t="str">
        <x:v>C49</x:v>
      </x:c>
      <x:c r="C55" t="str">
        <x:v>water-only authority</x:v>
      </x:c>
      <x:c r="D55" s="10" t="n">
        <x:v>0</x:v>
      </x:c>
      <x:c r="E55" t="str">
        <x:v>binary</x:v>
      </x:c>
      <x:c r="F55" t="str">
        <x:v>authority</x:v>
      </x:c>
      <x:c r="G55" t="str">
        <x:v>downstream</x:v>
      </x:c>
    </x:row>
    <x:row r="56">
      <x:c r="B56" t="str">
        <x:v>C50</x:v>
      </x:c>
      <x:c r="C56" t="str">
        <x:v>surrogate-source authority</x:v>
      </x:c>
      <x:c r="D56" s="10" t="n">
        <x:v>0</x:v>
      </x:c>
      <x:c r="E56" t="str">
        <x:v>binary</x:v>
      </x:c>
      <x:c r="F56" t="str">
        <x:v>authority</x:v>
      </x:c>
      <x:c r="G56" t="str">
        <x:v>downstream</x:v>
      </x:c>
    </x:row>
    <x:row r="57">
      <x:c r="B57" t="str">
        <x:v>C51</x:v>
      </x:c>
      <x:c r="C57" t="str">
        <x:v>quarter-source authority</x:v>
      </x:c>
      <x:c r="D57" s="10" t="n">
        <x:v>0</x:v>
      </x:c>
      <x:c r="E57" t="str">
        <x:v>binary</x:v>
      </x:c>
      <x:c r="F57" t="str">
        <x:v>authority</x:v>
      </x:c>
      <x:c r="G57" t="str">
        <x:v>downstream</x:v>
      </x:c>
    </x:row>
    <x:row r="58">
      <x:c r="B58" t="str">
        <x:v>C52</x:v>
      </x:c>
      <x:c r="C58" t="str">
        <x:v>full-source fire authority</x:v>
      </x:c>
      <x:c r="D58" s="10" t="n">
        <x:v>0</x:v>
      </x:c>
      <x:c r="E58" t="str">
        <x:v>binary</x:v>
      </x:c>
      <x:c r="F58" t="str">
        <x:v>authority</x:v>
      </x:c>
      <x:c r="G58" t="str">
        <x:v>downstream</x:v>
      </x:c>
    </x:row>
    <x:row r="59">
      <x:c r="B59" t="str">
        <x:v>C53</x:v>
      </x:c>
      <x:c r="C59" t="str">
        <x:v>destructive authority</x:v>
      </x:c>
      <x:c r="D59" s="10" t="n">
        <x:v>0</x:v>
      </x:c>
      <x:c r="E59" t="str">
        <x:v>binary</x:v>
      </x:c>
      <x:c r="F59" t="str">
        <x:v>authority</x:v>
      </x:c>
      <x:c r="G59" t="str">
        <x:v>downstream</x:v>
      </x:c>
    </x:row>
    <x:row r="60">
      <x:c r="B60" t="str">
        <x:v>C54</x:v>
      </x:c>
      <x:c r="C60" t="str">
        <x:v>candidate selection</x:v>
      </x:c>
      <x:c r="D60" s="10" t="n">
        <x:v>0</x:v>
      </x:c>
      <x:c r="E60" t="str">
        <x:v>binary</x:v>
      </x:c>
      <x:c r="F60" t="str">
        <x:v>authority</x:v>
      </x:c>
      <x:c r="G60" t="str">
        <x:v>downstream</x:v>
      </x:c>
    </x:row>
    <x:row r="61">
      <x:c r="B61" t="str">
        <x:v>C55</x:v>
      </x:c>
      <x:c r="C61" t="str">
        <x:v>Root A freeze</x:v>
      </x:c>
      <x:c r="D61" s="10" t="n">
        <x:v>0</x:v>
      </x:c>
      <x:c r="E61" t="str">
        <x:v>binary</x:v>
      </x:c>
      <x:c r="F61" t="str">
        <x:v>authority</x:v>
      </x:c>
      <x:c r="G61" t="str">
        <x:v>downstream</x:v>
      </x:c>
    </x:row>
    <x:row r="62">
      <x:c r="B62" t="str">
        <x:v>C56</x:v>
      </x:c>
      <x:c r="C62" t="str">
        <x:v>production authority</x:v>
      </x:c>
      <x:c r="D62" s="10" t="n">
        <x:v>0</x:v>
      </x:c>
      <x:c r="E62" t="str">
        <x:v>binary</x:v>
      </x:c>
      <x:c r="F62" t="str">
        <x:v>authority</x:v>
      </x:c>
      <x:c r="G62" t="str">
        <x:v>downstream</x:v>
      </x:c>
    </x:row>
    <x:row r="63">
      <x:c r="B63" t="str">
        <x:v>C57</x:v>
      </x:c>
      <x:c r="C63" t="str">
        <x:v>exterior-rendering authority</x:v>
      </x:c>
      <x:c r="D63" s="10" t="n">
        <x:v>0</x:v>
      </x:c>
      <x:c r="E63" t="str">
        <x:v>binary</x:v>
      </x:c>
      <x:c r="F63" t="str">
        <x:v>authority</x:v>
      </x:c>
      <x:c r="G63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3" hidden="0" customWidth="1"/>
    <x:col min="3" max="3" width="30" hidden="0" customWidth="1"/>
    <x:col min="4" max="4" width="74" hidden="0" customWidth="1"/>
    <x:col min="5" max="5" width="16" hidden="0" customWidth="1"/>
    <x:col min="6" max="6" width="13" hidden="0" customWidth="1"/>
    <x:col min="7" max="7" width="20" hidden="0" customWidth="1"/>
    <x:col min="8" max="8" width="18" hidden="0" customWidth="1"/>
    <x:col min="9" max="9" width="21" hidden="0" customWidth="1"/>
    <x:col min="10" max="10" width="14" hidden="0" customWidth="1"/>
    <x:col min="11" max="11" width="22" hidden="0" customWidth="1"/>
    <x:col min="12" max="12" width="21" hidden="0" customWidth="1"/>
    <x:col min="13" max="13" width="17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9" hidden="0" customWidth="1"/>
    <x:col min="19" max="19" width="20" hidden="0" customWidth="1"/>
    <x:col min="20" max="20" width="21" hidden="0" customWidth="1"/>
    <x:col min="21" max="21" width="22" hidden="0" customWidth="1"/>
    <x:col min="22" max="22" width="21" hidden="0" customWidth="1"/>
    <x:col min="23" max="23" width="18" hidden="0" customWidth="1"/>
  </x:cols>
  <x:sheetData>
    <x:row r="2">
      <x:c r="B2" s="1" t="str">
        <x:v>Three unlike Root A candidate architectures</x:v>
      </x:c>
    </x:row>
    <x:row r="3">
      <x:c r="B3" s="2" t="str">
        <x:v>Values are design screens, not selection results.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Candidate</x:v>
      </x:c>
      <x:c r="C6" s="7" t="str">
        <x:v>Architecture</x:v>
      </x:c>
      <x:c r="D6" s="7" t="str">
        <x:v>Complete-chain concept</x:v>
      </x:c>
      <x:c r="E6" s="7" t="str">
        <x:v>Drain area m2</x:v>
      </x:c>
      <x:c r="F6" s="7" t="str">
        <x:v>Head m</x:v>
      </x:c>
      <x:c r="G6" s="7" t="str">
        <x:v>Discharge coefficient</x:v>
      </x:c>
      <x:c r="H6" s="7" t="str">
        <x:v>Water m3/min</x:v>
      </x:c>
      <x:c r="I6" s="7" t="str">
        <x:v>Recirculated fraction</x:v>
      </x:c>
      <x:c r="J6" s="7" t="str">
        <x:v>Vault m3</x:v>
      </x:c>
      <x:c r="K6" s="7" t="str">
        <x:v>Protected radiant fraction</x:v>
      </x:c>
      <x:c r="L6" s="7" t="str">
        <x:v>Source capture fraction</x:v>
      </x:c>
      <x:c r="M6" s="7" t="str">
        <x:v>Deployment min</x:v>
      </x:c>
      <x:c r="N6" s="7" t="str">
        <x:v>No external energy</x:v>
      </x:c>
      <x:c r="O6" s="7" t="str">
        <x:v>Open drain kg/s</x:v>
      </x:c>
      <x:c r="P6" s="7" t="str">
        <x:v>Half-area kg/s</x:v>
      </x:c>
      <x:c r="Q6" s="7" t="str">
        <x:v>Release kg/s</x:v>
      </x:c>
      <x:c r="R6" s="7" t="str">
        <x:v>Drain margin kg/s</x:v>
      </x:c>
      <x:c r="S6" s="7" t="str">
        <x:v>Net water 15 min m3</x:v>
      </x:c>
      <x:c r="T6" s="7" t="str">
        <x:v>Vault margin m3</x:v>
      </x:c>
      <x:c r="U6" s="7" t="str">
        <x:v>Uncontrolled source kg</x:v>
      </x:c>
      <x:c r="V6" s="7" t="str">
        <x:v>Protected radiant MW</x:v>
      </x:c>
      <x:c r="W6" s="7" t="str">
        <x:v>Planning screen</x:v>
      </x:c>
    </x:row>
    <x:row r="7" ht="54" customHeight="1">
      <x:c r="B7" t="str">
        <x:v>AF-1</x:v>
      </x:c>
      <x:c r="C7" t="str">
        <x:v>passive gravity cascade</x:v>
      </x:c>
      <x:c r="D7" s="11" t="str">
        <x:v>fixed refractory grade, two passive source slots and surface-separated water return</x:v>
      </x:c>
      <x:c r="E7" s="16" t="n">
        <x:v>0.03534</x:v>
      </x:c>
      <x:c r="F7" s="16" t="n">
        <x:v>0.5</x:v>
      </x:c>
      <x:c r="G7" s="16" t="n">
        <x:v>0.62</x:v>
      </x:c>
      <x:c r="H7" s="16" t="n">
        <x:v>2.4</x:v>
      </x:c>
      <x:c r="I7" s="16" t="n">
        <x:v>0</x:v>
      </x:c>
      <x:c r="J7" s="16" t="n">
        <x:v>40</x:v>
      </x:c>
      <x:c r="K7" s="16" t="n">
        <x:v>0.2</x:v>
      </x:c>
      <x:c r="L7" s="16" t="n">
        <x:v>0.9978</x:v>
      </x:c>
      <x:c r="M7" s="16" t="n">
        <x:v>0</x:v>
      </x:c>
      <x:c r="N7" s="16" t="n">
        <x:v>1</x:v>
      </x:c>
      <x:c r="O7" s="16" t="n">
        <x:f>E7*G7*SQRT(2*9.81*F7)*Controls!$D$14</x:f>
        <x:v>54.90131228530495</x:v>
      </x:c>
      <x:c r="P7" s="16" t="n">
        <x:f>O7/2</x:f>
        <x:v>27.450656142652473</x:v>
      </x:c>
      <x:c r="Q7" s="16" t="n">
        <x:f>Controls!$D$12/Controls!$D$16</x:f>
        <x:v>16.666666666666668</x:v>
      </x:c>
      <x:c r="R7" s="16" t="n">
        <x:f>P7-Q7</x:f>
        <x:v>10.783989475985805</x:v>
      </x:c>
      <x:c r="S7" s="16" t="n">
        <x:f>H7*(1-I7)*15</x:f>
        <x:v>36</x:v>
      </x:c>
      <x:c r="T7" s="16" t="n">
        <x:f>J7-S7</x:f>
        <x:v>4</x:v>
      </x:c>
      <x:c r="U7" s="16" t="n">
        <x:f>Controls!$D$12*(1-L7)</x:f>
        <x:v>4.3999999999999595</x:v>
      </x:c>
      <x:c r="V7" s="16" t="n">
        <x:f>Controls!$D$18*Controls!$D$19*Controls!$D$15*Controls!$D$20*K7</x:f>
        <x:v>4.099095</x:v>
      </x:c>
      <x:c r="W7" t="str">
        <x:f>IF(AND(R7&gt;=0,T7&gt;=0,U7&lt;=Controls!$D$24,V7&lt;=5),"SCREEN","REOPEN")</x:f>
        <x:v>SCREEN</x:v>
      </x:c>
    </x:row>
    <x:row r="8" ht="54" customHeight="1">
      <x:c r="B8" t="str">
        <x:v>AF-2</x:v>
      </x:c>
      <x:c r="C8" t="str">
        <x:v>cellular closed-loop deck</x:v>
      </x:c>
      <x:c r="D8" s="11" t="str">
        <x:v>distributed underdeck cells, local source cartridges and closed-loop impingement cooling</x:v>
      </x:c>
      <x:c r="E8" s="16" t="n">
        <x:v>0.03534</x:v>
      </x:c>
      <x:c r="F8" s="16" t="n">
        <x:v>0.35</x:v>
      </x:c>
      <x:c r="G8" s="16" t="n">
        <x:v>0.68</x:v>
      </x:c>
      <x:c r="H8" s="16" t="n">
        <x:v>1.6</x:v>
      </x:c>
      <x:c r="I8" s="16" t="n">
        <x:v>0.85</x:v>
      </x:c>
      <x:c r="J8" s="16" t="n">
        <x:v>40</x:v>
      </x:c>
      <x:c r="K8" s="16" t="n">
        <x:v>0.12</x:v>
      </x:c>
      <x:c r="L8" s="16" t="n">
        <x:v>0.9992</x:v>
      </x:c>
      <x:c r="M8" s="16" t="n">
        <x:v>0</x:v>
      </x:c>
      <x:c r="N8" s="16" t="n">
        <x:v>0</x:v>
      </x:c>
      <x:c r="O8" s="16" t="n">
        <x:f>E8*G8*SQRT(2*9.81*F8)*Controls!$D$14</x:f>
        <x:v>50.37893339918966</x:v>
      </x:c>
      <x:c r="P8" s="16" t="n">
        <x:f>O8/2</x:f>
        <x:v>25.18946669959483</x:v>
      </x:c>
      <x:c r="Q8" s="16" t="n">
        <x:f>Controls!$D$12/Controls!$D$16</x:f>
        <x:v>16.666666666666668</x:v>
      </x:c>
      <x:c r="R8" s="16" t="n">
        <x:f>P8-Q8</x:f>
        <x:v>8.522800032928163</x:v>
      </x:c>
      <x:c r="S8" s="16" t="n">
        <x:f>H8*(1-I8)*15</x:f>
        <x:v>3.6000000000000005</x:v>
      </x:c>
      <x:c r="T8" s="16" t="n">
        <x:f>J8-S8</x:f>
        <x:v>36.4</x:v>
      </x:c>
      <x:c r="U8" s="16" t="n">
        <x:f>Controls!$D$12*(1-L8)</x:f>
        <x:v>1.6000000000000458</x:v>
      </x:c>
      <x:c r="V8" s="16" t="n">
        <x:f>Controls!$D$18*Controls!$D$19*Controls!$D$15*Controls!$D$20*K8</x:f>
        <x:v>2.459457</x:v>
      </x:c>
      <x:c r="W8" t="str">
        <x:f>IF(AND(R8&gt;=0,T8&gt;=0,U8&lt;=Controls!$D$24,V8&lt;=5),"SCREEN","REOPEN")</x:f>
        <x:v>SCREEN</x:v>
      </x:c>
    </x:row>
    <x:row r="9" ht="54" customHeight="1">
      <x:c r="B9" t="str">
        <x:v>AF-3</x:v>
      </x:c>
      <x:c r="C9" t="str">
        <x:v>robotic capture field</x:v>
      </x:c>
      <x:c r="D9" s="11" t="str">
        <x:v>deployable refractory grade, autonomous skimming and modular runoff fractionation</x:v>
      </x:c>
      <x:c r="E9" s="16" t="n">
        <x:v>0.03142</x:v>
      </x:c>
      <x:c r="F9" s="16" t="n">
        <x:v>0.6</x:v>
      </x:c>
      <x:c r="G9" s="16" t="n">
        <x:v>0.64</x:v>
      </x:c>
      <x:c r="H9" s="16" t="n">
        <x:v>1.2</x:v>
      </x:c>
      <x:c r="I9" s="16" t="n">
        <x:v>0.4</x:v>
      </x:c>
      <x:c r="J9" s="16" t="n">
        <x:v>40</x:v>
      </x:c>
      <x:c r="K9" s="16" t="n">
        <x:v>0.15</x:v>
      </x:c>
      <x:c r="L9" s="16" t="n">
        <x:v>0.9985</x:v>
      </x:c>
      <x:c r="M9" s="16" t="n">
        <x:v>4</x:v>
      </x:c>
      <x:c r="N9" s="16" t="n">
        <x:v>0</x:v>
      </x:c>
      <x:c r="O9" s="16" t="n">
        <x:f>E9*G9*SQRT(2*9.81*F9)*Controls!$D$14</x:f>
        <x:v>55.19519454064778</x:v>
      </x:c>
      <x:c r="P9" s="16" t="n">
        <x:f>O9/2</x:f>
        <x:v>27.59759727032389</x:v>
      </x:c>
      <x:c r="Q9" s="16" t="n">
        <x:f>Controls!$D$12/Controls!$D$16</x:f>
        <x:v>16.666666666666668</x:v>
      </x:c>
      <x:c r="R9" s="16" t="n">
        <x:f>P9-Q9</x:f>
        <x:v>10.930930603657224</x:v>
      </x:c>
      <x:c r="S9" s="16" t="n">
        <x:f>H9*(1-I9)*15</x:f>
        <x:v>10.799999999999999</x:v>
      </x:c>
      <x:c r="T9" s="16" t="n">
        <x:f>J9-S9</x:f>
        <x:v>29.200000000000003</x:v>
      </x:c>
      <x:c r="U9" s="16" t="n">
        <x:f>Controls!$D$12*(1-L9)</x:f>
        <x:v>2.9999999999998916</x:v>
      </x:c>
      <x:c r="V9" s="16" t="n">
        <x:f>Controls!$D$18*Controls!$D$19*Controls!$D$15*Controls!$D$20*K9</x:f>
        <x:v>3.0743212499999997</x:v>
      </x:c>
      <x:c r="W9" t="str">
        <x:f>IF(AND(R9&gt;=0,T9&gt;=0,U9&lt;=Controls!$D$24,V9&lt;=5),"SCREEN","REOPEN")</x:f>
        <x:v>SCREEN</x:v>
      </x:c>
    </x:row>
  </x:sheetData>
  <x:conditionalFormatting sqref="W7:W9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REOPEN"/>
    <x:cfRule type="containsText" dxfId="3" priority="4" operator="containsText" text="OVERFLOW"/>
    <x:cfRule type="containsText" dxfId="4" priority="5" operator="containsText" text="OPEN"/>
    <x:cfRule type="containsText" dxfId="5" priority="6" operator="containsText" text="GAP"/>
    <x:cfRule type="containsText" dxfId="6" priority="7" operator="containsText" text="PASS"/>
    <x:cfRule type="containsText" dxfId="7" priority="8" operator="containsText" text="IN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23" hidden="0" customWidth="1"/>
    <x:col min="3" max="3" width="13" hidden="0" customWidth="1"/>
    <x:col min="4" max="4" width="11" hidden="0" customWidth="1"/>
    <x:col min="5" max="5" width="14" hidden="0" customWidth="1"/>
    <x:col min="6" max="6" width="32" hidden="0" customWidth="1"/>
    <x:col min="7" max="7" width="21" hidden="0" customWidth="1"/>
    <x:col min="8" max="8" width="14" hidden="0" customWidth="1"/>
  </x:cols>
  <x:sheetData>
    <x:row r="2">
      <x:c r="B2" s="1" t="str">
        <x:v>Forty-eight root-native articles</x:v>
      </x:c>
    </x:row>
    <x:row r="3">
      <x:c r="B3" s="2" t="str">
        <x:v>Every candidate-builder root owns hydraulic, fire, destructive, recovery, spare and calibration articles.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Article</x:v>
      </x:c>
      <x:c r="C6" s="7" t="str">
        <x:v>Candidate</x:v>
      </x:c>
      <x:c r="D6" s="7" t="str">
        <x:v>Builder</x:v>
      </x:c>
      <x:c r="E6" s="7" t="str">
        <x:v>Type</x:v>
      </x:c>
      <x:c r="F6" s="7" t="str">
        <x:v>Purpose</x:v>
      </x:c>
      <x:c r="G6" s="7" t="str">
        <x:v>Accepted UTC</x:v>
      </x:c>
      <x:c r="H6" s="7" t="str">
        <x:v>State</x:v>
      </x:c>
    </x:row>
    <x:row r="7" ht="34" customHeight="1">
      <x:c r="B7" t="str">
        <x:v>AF-1-BA-HY-1-1</x:v>
      </x:c>
      <x:c r="C7" t="str">
        <x:v>AF-1</x:v>
      </x:c>
      <x:c r="D7" t="str">
        <x:v>BA</x:v>
      </x:c>
      <x:c r="E7" t="str">
        <x:v>HY-1</x:v>
      </x:c>
      <x:c r="F7" s="11" t="str">
        <x:v>hydraulic truth article</x:v>
      </x:c>
      <x:c r="G7" t="str"/>
      <x:c r="H7" t="str">
        <x:v>OPEN</x:v>
      </x:c>
    </x:row>
    <x:row r="8" ht="34" customHeight="1">
      <x:c r="B8" t="str">
        <x:v>AF-1-BA-HY-1-2</x:v>
      </x:c>
      <x:c r="C8" t="str">
        <x:v>AF-1</x:v>
      </x:c>
      <x:c r="D8" t="str">
        <x:v>BA</x:v>
      </x:c>
      <x:c r="E8" t="str">
        <x:v>HY-1</x:v>
      </x:c>
      <x:c r="F8" s="11" t="str">
        <x:v>hydraulic truth article</x:v>
      </x:c>
      <x:c r="G8" t="str"/>
      <x:c r="H8" t="str">
        <x:v>OPEN</x:v>
      </x:c>
    </x:row>
    <x:row r="9" ht="34" customHeight="1">
      <x:c r="B9" t="str">
        <x:v>AF-1-BA-FR-1-1</x:v>
      </x:c>
      <x:c r="C9" t="str">
        <x:v>AF-1</x:v>
      </x:c>
      <x:c r="D9" t="str">
        <x:v>BA</x:v>
      </x:c>
      <x:c r="E9" t="str">
        <x:v>FR-1</x:v>
      </x:c>
      <x:c r="F9" s="11" t="str">
        <x:v>fire truth article</x:v>
      </x:c>
      <x:c r="G9" t="str"/>
      <x:c r="H9" t="str">
        <x:v>OPEN</x:v>
      </x:c>
    </x:row>
    <x:row r="10" ht="34" customHeight="1">
      <x:c r="B10" t="str">
        <x:v>AF-1-BA-FR-1-2</x:v>
      </x:c>
      <x:c r="C10" t="str">
        <x:v>AF-1</x:v>
      </x:c>
      <x:c r="D10" t="str">
        <x:v>BA</x:v>
      </x:c>
      <x:c r="E10" t="str">
        <x:v>FR-1</x:v>
      </x:c>
      <x:c r="F10" s="11" t="str">
        <x:v>fire truth article</x:v>
      </x:c>
      <x:c r="G10" t="str"/>
      <x:c r="H10" t="str">
        <x:v>OPEN</x:v>
      </x:c>
    </x:row>
    <x:row r="11" ht="34" customHeight="1">
      <x:c r="B11" t="str">
        <x:v>AF-1-BA-DS-1-1</x:v>
      </x:c>
      <x:c r="C11" t="str">
        <x:v>AF-1</x:v>
      </x:c>
      <x:c r="D11" t="str">
        <x:v>BA</x:v>
      </x:c>
      <x:c r="E11" t="str">
        <x:v>DS-1</x:v>
      </x:c>
      <x:c r="F11" s="11" t="str">
        <x:v>destructive witness</x:v>
      </x:c>
      <x:c r="G11" t="str"/>
      <x:c r="H11" t="str">
        <x:v>OPEN</x:v>
      </x:c>
    </x:row>
    <x:row r="12" ht="34" customHeight="1">
      <x:c r="B12" t="str">
        <x:v>AF-1-BA-RC-1-1</x:v>
      </x:c>
      <x:c r="C12" t="str">
        <x:v>AF-1</x:v>
      </x:c>
      <x:c r="D12" t="str">
        <x:v>BA</x:v>
      </x:c>
      <x:c r="E12" t="str">
        <x:v>RC-1</x:v>
      </x:c>
      <x:c r="F12" s="11" t="str">
        <x:v>recovery article</x:v>
      </x:c>
      <x:c r="G12" t="str"/>
      <x:c r="H12" t="str">
        <x:v>OPEN</x:v>
      </x:c>
    </x:row>
    <x:row r="13" ht="34" customHeight="1">
      <x:c r="B13" t="str">
        <x:v>AF-1-BA-SP-1-1</x:v>
      </x:c>
      <x:c r="C13" t="str">
        <x:v>AF-1</x:v>
      </x:c>
      <x:c r="D13" t="str">
        <x:v>BA</x:v>
      </x:c>
      <x:c r="E13" t="str">
        <x:v>SP-1</x:v>
      </x:c>
      <x:c r="F13" s="11" t="str">
        <x:v>regeneration spare</x:v>
      </x:c>
      <x:c r="G13" t="str"/>
      <x:c r="H13" t="str">
        <x:v>OPEN</x:v>
      </x:c>
    </x:row>
    <x:row r="14" ht="34" customHeight="1">
      <x:c r="B14" t="str">
        <x:v>AF-1-BA-CL-1-1</x:v>
      </x:c>
      <x:c r="C14" t="str">
        <x:v>AF-1</x:v>
      </x:c>
      <x:c r="D14" t="str">
        <x:v>BA</x:v>
      </x:c>
      <x:c r="E14" t="str">
        <x:v>CL-1</x:v>
      </x:c>
      <x:c r="F14" s="11" t="str">
        <x:v>public calibration reference</x:v>
      </x:c>
      <x:c r="G14" t="str"/>
      <x:c r="H14" t="str">
        <x:v>OPEN</x:v>
      </x:c>
    </x:row>
    <x:row r="15" ht="34" customHeight="1">
      <x:c r="B15" t="str">
        <x:v>AF-1-BB-HY-1-1</x:v>
      </x:c>
      <x:c r="C15" t="str">
        <x:v>AF-1</x:v>
      </x:c>
      <x:c r="D15" t="str">
        <x:v>BB</x:v>
      </x:c>
      <x:c r="E15" t="str">
        <x:v>HY-1</x:v>
      </x:c>
      <x:c r="F15" s="11" t="str">
        <x:v>hydraulic truth article</x:v>
      </x:c>
      <x:c r="G15" t="str"/>
      <x:c r="H15" t="str">
        <x:v>OPEN</x:v>
      </x:c>
    </x:row>
    <x:row r="16" ht="34" customHeight="1">
      <x:c r="B16" t="str">
        <x:v>AF-1-BB-HY-1-2</x:v>
      </x:c>
      <x:c r="C16" t="str">
        <x:v>AF-1</x:v>
      </x:c>
      <x:c r="D16" t="str">
        <x:v>BB</x:v>
      </x:c>
      <x:c r="E16" t="str">
        <x:v>HY-1</x:v>
      </x:c>
      <x:c r="F16" s="11" t="str">
        <x:v>hydraulic truth article</x:v>
      </x:c>
      <x:c r="G16" t="str"/>
      <x:c r="H16" t="str">
        <x:v>OPEN</x:v>
      </x:c>
    </x:row>
    <x:row r="17" ht="34" customHeight="1">
      <x:c r="B17" t="str">
        <x:v>AF-1-BB-FR-1-1</x:v>
      </x:c>
      <x:c r="C17" t="str">
        <x:v>AF-1</x:v>
      </x:c>
      <x:c r="D17" t="str">
        <x:v>BB</x:v>
      </x:c>
      <x:c r="E17" t="str">
        <x:v>FR-1</x:v>
      </x:c>
      <x:c r="F17" s="11" t="str">
        <x:v>fire truth article</x:v>
      </x:c>
      <x:c r="G17" t="str"/>
      <x:c r="H17" t="str">
        <x:v>OPEN</x:v>
      </x:c>
    </x:row>
    <x:row r="18" ht="34" customHeight="1">
      <x:c r="B18" t="str">
        <x:v>AF-1-BB-FR-1-2</x:v>
      </x:c>
      <x:c r="C18" t="str">
        <x:v>AF-1</x:v>
      </x:c>
      <x:c r="D18" t="str">
        <x:v>BB</x:v>
      </x:c>
      <x:c r="E18" t="str">
        <x:v>FR-1</x:v>
      </x:c>
      <x:c r="F18" s="11" t="str">
        <x:v>fire truth article</x:v>
      </x:c>
      <x:c r="G18" t="str"/>
      <x:c r="H18" t="str">
        <x:v>OPEN</x:v>
      </x:c>
    </x:row>
    <x:row r="19" ht="34" customHeight="1">
      <x:c r="B19" t="str">
        <x:v>AF-1-BB-DS-1-1</x:v>
      </x:c>
      <x:c r="C19" t="str">
        <x:v>AF-1</x:v>
      </x:c>
      <x:c r="D19" t="str">
        <x:v>BB</x:v>
      </x:c>
      <x:c r="E19" t="str">
        <x:v>DS-1</x:v>
      </x:c>
      <x:c r="F19" s="11" t="str">
        <x:v>destructive witness</x:v>
      </x:c>
      <x:c r="G19" t="str"/>
      <x:c r="H19" t="str">
        <x:v>OPEN</x:v>
      </x:c>
    </x:row>
    <x:row r="20" ht="34" customHeight="1">
      <x:c r="B20" t="str">
        <x:v>AF-1-BB-RC-1-1</x:v>
      </x:c>
      <x:c r="C20" t="str">
        <x:v>AF-1</x:v>
      </x:c>
      <x:c r="D20" t="str">
        <x:v>BB</x:v>
      </x:c>
      <x:c r="E20" t="str">
        <x:v>RC-1</x:v>
      </x:c>
      <x:c r="F20" s="11" t="str">
        <x:v>recovery article</x:v>
      </x:c>
      <x:c r="G20" t="str"/>
      <x:c r="H20" t="str">
        <x:v>OPEN</x:v>
      </x:c>
    </x:row>
    <x:row r="21" ht="34" customHeight="1">
      <x:c r="B21" t="str">
        <x:v>AF-1-BB-SP-1-1</x:v>
      </x:c>
      <x:c r="C21" t="str">
        <x:v>AF-1</x:v>
      </x:c>
      <x:c r="D21" t="str">
        <x:v>BB</x:v>
      </x:c>
      <x:c r="E21" t="str">
        <x:v>SP-1</x:v>
      </x:c>
      <x:c r="F21" s="11" t="str">
        <x:v>regeneration spare</x:v>
      </x:c>
      <x:c r="G21" t="str"/>
      <x:c r="H21" t="str">
        <x:v>OPEN</x:v>
      </x:c>
    </x:row>
    <x:row r="22" ht="34" customHeight="1">
      <x:c r="B22" t="str">
        <x:v>AF-1-BB-CL-1-1</x:v>
      </x:c>
      <x:c r="C22" t="str">
        <x:v>AF-1</x:v>
      </x:c>
      <x:c r="D22" t="str">
        <x:v>BB</x:v>
      </x:c>
      <x:c r="E22" t="str">
        <x:v>CL-1</x:v>
      </x:c>
      <x:c r="F22" s="11" t="str">
        <x:v>public calibration reference</x:v>
      </x:c>
      <x:c r="G22" t="str"/>
      <x:c r="H22" t="str">
        <x:v>OPEN</x:v>
      </x:c>
    </x:row>
    <x:row r="23" ht="34" customHeight="1">
      <x:c r="B23" t="str">
        <x:v>AF-2-BA-HY-1-1</x:v>
      </x:c>
      <x:c r="C23" t="str">
        <x:v>AF-2</x:v>
      </x:c>
      <x:c r="D23" t="str">
        <x:v>BA</x:v>
      </x:c>
      <x:c r="E23" t="str">
        <x:v>HY-1</x:v>
      </x:c>
      <x:c r="F23" s="11" t="str">
        <x:v>hydraulic truth article</x:v>
      </x:c>
      <x:c r="G23" t="str"/>
      <x:c r="H23" t="str">
        <x:v>OPEN</x:v>
      </x:c>
    </x:row>
    <x:row r="24" ht="34" customHeight="1">
      <x:c r="B24" t="str">
        <x:v>AF-2-BA-HY-1-2</x:v>
      </x:c>
      <x:c r="C24" t="str">
        <x:v>AF-2</x:v>
      </x:c>
      <x:c r="D24" t="str">
        <x:v>BA</x:v>
      </x:c>
      <x:c r="E24" t="str">
        <x:v>HY-1</x:v>
      </x:c>
      <x:c r="F24" s="11" t="str">
        <x:v>hydraulic truth article</x:v>
      </x:c>
      <x:c r="G24" t="str"/>
      <x:c r="H24" t="str">
        <x:v>OPEN</x:v>
      </x:c>
    </x:row>
    <x:row r="25" ht="34" customHeight="1">
      <x:c r="B25" t="str">
        <x:v>AF-2-BA-FR-1-1</x:v>
      </x:c>
      <x:c r="C25" t="str">
        <x:v>AF-2</x:v>
      </x:c>
      <x:c r="D25" t="str">
        <x:v>BA</x:v>
      </x:c>
      <x:c r="E25" t="str">
        <x:v>FR-1</x:v>
      </x:c>
      <x:c r="F25" s="11" t="str">
        <x:v>fire truth article</x:v>
      </x:c>
      <x:c r="G25" t="str"/>
      <x:c r="H25" t="str">
        <x:v>OPEN</x:v>
      </x:c>
    </x:row>
    <x:row r="26" ht="34" customHeight="1">
      <x:c r="B26" t="str">
        <x:v>AF-2-BA-FR-1-2</x:v>
      </x:c>
      <x:c r="C26" t="str">
        <x:v>AF-2</x:v>
      </x:c>
      <x:c r="D26" t="str">
        <x:v>BA</x:v>
      </x:c>
      <x:c r="E26" t="str">
        <x:v>FR-1</x:v>
      </x:c>
      <x:c r="F26" s="11" t="str">
        <x:v>fire truth article</x:v>
      </x:c>
      <x:c r="G26" t="str"/>
      <x:c r="H26" t="str">
        <x:v>OPEN</x:v>
      </x:c>
    </x:row>
    <x:row r="27" ht="34" customHeight="1">
      <x:c r="B27" t="str">
        <x:v>AF-2-BA-DS-1-1</x:v>
      </x:c>
      <x:c r="C27" t="str">
        <x:v>AF-2</x:v>
      </x:c>
      <x:c r="D27" t="str">
        <x:v>BA</x:v>
      </x:c>
      <x:c r="E27" t="str">
        <x:v>DS-1</x:v>
      </x:c>
      <x:c r="F27" s="11" t="str">
        <x:v>destructive witness</x:v>
      </x:c>
      <x:c r="G27" t="str"/>
      <x:c r="H27" t="str">
        <x:v>OPEN</x:v>
      </x:c>
    </x:row>
    <x:row r="28" ht="34" customHeight="1">
      <x:c r="B28" t="str">
        <x:v>AF-2-BA-RC-1-1</x:v>
      </x:c>
      <x:c r="C28" t="str">
        <x:v>AF-2</x:v>
      </x:c>
      <x:c r="D28" t="str">
        <x:v>BA</x:v>
      </x:c>
      <x:c r="E28" t="str">
        <x:v>RC-1</x:v>
      </x:c>
      <x:c r="F28" s="11" t="str">
        <x:v>recovery article</x:v>
      </x:c>
      <x:c r="G28" t="str"/>
      <x:c r="H28" t="str">
        <x:v>OPEN</x:v>
      </x:c>
    </x:row>
    <x:row r="29" ht="34" customHeight="1">
      <x:c r="B29" t="str">
        <x:v>AF-2-BA-SP-1-1</x:v>
      </x:c>
      <x:c r="C29" t="str">
        <x:v>AF-2</x:v>
      </x:c>
      <x:c r="D29" t="str">
        <x:v>BA</x:v>
      </x:c>
      <x:c r="E29" t="str">
        <x:v>SP-1</x:v>
      </x:c>
      <x:c r="F29" s="11" t="str">
        <x:v>regeneration spare</x:v>
      </x:c>
      <x:c r="G29" t="str"/>
      <x:c r="H29" t="str">
        <x:v>OPEN</x:v>
      </x:c>
    </x:row>
    <x:row r="30" ht="34" customHeight="1">
      <x:c r="B30" t="str">
        <x:v>AF-2-BA-CL-1-1</x:v>
      </x:c>
      <x:c r="C30" t="str">
        <x:v>AF-2</x:v>
      </x:c>
      <x:c r="D30" t="str">
        <x:v>BA</x:v>
      </x:c>
      <x:c r="E30" t="str">
        <x:v>CL-1</x:v>
      </x:c>
      <x:c r="F30" s="11" t="str">
        <x:v>public calibration reference</x:v>
      </x:c>
      <x:c r="G30" t="str"/>
      <x:c r="H30" t="str">
        <x:v>OPEN</x:v>
      </x:c>
    </x:row>
    <x:row r="31" ht="34" customHeight="1">
      <x:c r="B31" t="str">
        <x:v>AF-2-BB-HY-1-1</x:v>
      </x:c>
      <x:c r="C31" t="str">
        <x:v>AF-2</x:v>
      </x:c>
      <x:c r="D31" t="str">
        <x:v>BB</x:v>
      </x:c>
      <x:c r="E31" t="str">
        <x:v>HY-1</x:v>
      </x:c>
      <x:c r="F31" s="11" t="str">
        <x:v>hydraulic truth article</x:v>
      </x:c>
      <x:c r="G31" t="str"/>
      <x:c r="H31" t="str">
        <x:v>OPEN</x:v>
      </x:c>
    </x:row>
    <x:row r="32" ht="34" customHeight="1">
      <x:c r="B32" t="str">
        <x:v>AF-2-BB-HY-1-2</x:v>
      </x:c>
      <x:c r="C32" t="str">
        <x:v>AF-2</x:v>
      </x:c>
      <x:c r="D32" t="str">
        <x:v>BB</x:v>
      </x:c>
      <x:c r="E32" t="str">
        <x:v>HY-1</x:v>
      </x:c>
      <x:c r="F32" s="11" t="str">
        <x:v>hydraulic truth article</x:v>
      </x:c>
      <x:c r="G32" t="str"/>
      <x:c r="H32" t="str">
        <x:v>OPEN</x:v>
      </x:c>
    </x:row>
    <x:row r="33" ht="34" customHeight="1">
      <x:c r="B33" t="str">
        <x:v>AF-2-BB-FR-1-1</x:v>
      </x:c>
      <x:c r="C33" t="str">
        <x:v>AF-2</x:v>
      </x:c>
      <x:c r="D33" t="str">
        <x:v>BB</x:v>
      </x:c>
      <x:c r="E33" t="str">
        <x:v>FR-1</x:v>
      </x:c>
      <x:c r="F33" s="11" t="str">
        <x:v>fire truth article</x:v>
      </x:c>
      <x:c r="G33" t="str"/>
      <x:c r="H33" t="str">
        <x:v>OPEN</x:v>
      </x:c>
    </x:row>
    <x:row r="34" ht="34" customHeight="1">
      <x:c r="B34" t="str">
        <x:v>AF-2-BB-FR-1-2</x:v>
      </x:c>
      <x:c r="C34" t="str">
        <x:v>AF-2</x:v>
      </x:c>
      <x:c r="D34" t="str">
        <x:v>BB</x:v>
      </x:c>
      <x:c r="E34" t="str">
        <x:v>FR-1</x:v>
      </x:c>
      <x:c r="F34" s="11" t="str">
        <x:v>fire truth article</x:v>
      </x:c>
      <x:c r="G34" t="str"/>
      <x:c r="H34" t="str">
        <x:v>OPEN</x:v>
      </x:c>
    </x:row>
    <x:row r="35" ht="34" customHeight="1">
      <x:c r="B35" t="str">
        <x:v>AF-2-BB-DS-1-1</x:v>
      </x:c>
      <x:c r="C35" t="str">
        <x:v>AF-2</x:v>
      </x:c>
      <x:c r="D35" t="str">
        <x:v>BB</x:v>
      </x:c>
      <x:c r="E35" t="str">
        <x:v>DS-1</x:v>
      </x:c>
      <x:c r="F35" s="11" t="str">
        <x:v>destructive witness</x:v>
      </x:c>
      <x:c r="G35" t="str"/>
      <x:c r="H35" t="str">
        <x:v>OPEN</x:v>
      </x:c>
    </x:row>
    <x:row r="36" ht="34" customHeight="1">
      <x:c r="B36" t="str">
        <x:v>AF-2-BB-RC-1-1</x:v>
      </x:c>
      <x:c r="C36" t="str">
        <x:v>AF-2</x:v>
      </x:c>
      <x:c r="D36" t="str">
        <x:v>BB</x:v>
      </x:c>
      <x:c r="E36" t="str">
        <x:v>RC-1</x:v>
      </x:c>
      <x:c r="F36" s="11" t="str">
        <x:v>recovery article</x:v>
      </x:c>
      <x:c r="G36" t="str"/>
      <x:c r="H36" t="str">
        <x:v>OPEN</x:v>
      </x:c>
    </x:row>
    <x:row r="37" ht="34" customHeight="1">
      <x:c r="B37" t="str">
        <x:v>AF-2-BB-SP-1-1</x:v>
      </x:c>
      <x:c r="C37" t="str">
        <x:v>AF-2</x:v>
      </x:c>
      <x:c r="D37" t="str">
        <x:v>BB</x:v>
      </x:c>
      <x:c r="E37" t="str">
        <x:v>SP-1</x:v>
      </x:c>
      <x:c r="F37" s="11" t="str">
        <x:v>regeneration spare</x:v>
      </x:c>
      <x:c r="G37" t="str"/>
      <x:c r="H37" t="str">
        <x:v>OPEN</x:v>
      </x:c>
    </x:row>
    <x:row r="38" ht="34" customHeight="1">
      <x:c r="B38" t="str">
        <x:v>AF-2-BB-CL-1-1</x:v>
      </x:c>
      <x:c r="C38" t="str">
        <x:v>AF-2</x:v>
      </x:c>
      <x:c r="D38" t="str">
        <x:v>BB</x:v>
      </x:c>
      <x:c r="E38" t="str">
        <x:v>CL-1</x:v>
      </x:c>
      <x:c r="F38" s="11" t="str">
        <x:v>public calibration reference</x:v>
      </x:c>
      <x:c r="G38" t="str"/>
      <x:c r="H38" t="str">
        <x:v>OPEN</x:v>
      </x:c>
    </x:row>
    <x:row r="39" ht="34" customHeight="1">
      <x:c r="B39" t="str">
        <x:v>AF-3-BA-HY-1-1</x:v>
      </x:c>
      <x:c r="C39" t="str">
        <x:v>AF-3</x:v>
      </x:c>
      <x:c r="D39" t="str">
        <x:v>BA</x:v>
      </x:c>
      <x:c r="E39" t="str">
        <x:v>HY-1</x:v>
      </x:c>
      <x:c r="F39" s="11" t="str">
        <x:v>hydraulic truth article</x:v>
      </x:c>
      <x:c r="G39" t="str"/>
      <x:c r="H39" t="str">
        <x:v>OPEN</x:v>
      </x:c>
    </x:row>
    <x:row r="40" ht="34" customHeight="1">
      <x:c r="B40" t="str">
        <x:v>AF-3-BA-HY-1-2</x:v>
      </x:c>
      <x:c r="C40" t="str">
        <x:v>AF-3</x:v>
      </x:c>
      <x:c r="D40" t="str">
        <x:v>BA</x:v>
      </x:c>
      <x:c r="E40" t="str">
        <x:v>HY-1</x:v>
      </x:c>
      <x:c r="F40" s="11" t="str">
        <x:v>hydraulic truth article</x:v>
      </x:c>
      <x:c r="G40" t="str"/>
      <x:c r="H40" t="str">
        <x:v>OPEN</x:v>
      </x:c>
    </x:row>
    <x:row r="41" ht="34" customHeight="1">
      <x:c r="B41" t="str">
        <x:v>AF-3-BA-FR-1-1</x:v>
      </x:c>
      <x:c r="C41" t="str">
        <x:v>AF-3</x:v>
      </x:c>
      <x:c r="D41" t="str">
        <x:v>BA</x:v>
      </x:c>
      <x:c r="E41" t="str">
        <x:v>FR-1</x:v>
      </x:c>
      <x:c r="F41" s="11" t="str">
        <x:v>fire truth article</x:v>
      </x:c>
      <x:c r="G41" t="str"/>
      <x:c r="H41" t="str">
        <x:v>OPEN</x:v>
      </x:c>
    </x:row>
    <x:row r="42" ht="34" customHeight="1">
      <x:c r="B42" t="str">
        <x:v>AF-3-BA-FR-1-2</x:v>
      </x:c>
      <x:c r="C42" t="str">
        <x:v>AF-3</x:v>
      </x:c>
      <x:c r="D42" t="str">
        <x:v>BA</x:v>
      </x:c>
      <x:c r="E42" t="str">
        <x:v>FR-1</x:v>
      </x:c>
      <x:c r="F42" s="11" t="str">
        <x:v>fire truth article</x:v>
      </x:c>
      <x:c r="G42" t="str"/>
      <x:c r="H42" t="str">
        <x:v>OPEN</x:v>
      </x:c>
    </x:row>
    <x:row r="43" ht="34" customHeight="1">
      <x:c r="B43" t="str">
        <x:v>AF-3-BA-DS-1-1</x:v>
      </x:c>
      <x:c r="C43" t="str">
        <x:v>AF-3</x:v>
      </x:c>
      <x:c r="D43" t="str">
        <x:v>BA</x:v>
      </x:c>
      <x:c r="E43" t="str">
        <x:v>DS-1</x:v>
      </x:c>
      <x:c r="F43" s="11" t="str">
        <x:v>destructive witness</x:v>
      </x:c>
      <x:c r="G43" t="str"/>
      <x:c r="H43" t="str">
        <x:v>OPEN</x:v>
      </x:c>
    </x:row>
    <x:row r="44" ht="34" customHeight="1">
      <x:c r="B44" t="str">
        <x:v>AF-3-BA-RC-1-1</x:v>
      </x:c>
      <x:c r="C44" t="str">
        <x:v>AF-3</x:v>
      </x:c>
      <x:c r="D44" t="str">
        <x:v>BA</x:v>
      </x:c>
      <x:c r="E44" t="str">
        <x:v>RC-1</x:v>
      </x:c>
      <x:c r="F44" s="11" t="str">
        <x:v>recovery article</x:v>
      </x:c>
      <x:c r="G44" t="str"/>
      <x:c r="H44" t="str">
        <x:v>OPEN</x:v>
      </x:c>
    </x:row>
    <x:row r="45" ht="34" customHeight="1">
      <x:c r="B45" t="str">
        <x:v>AF-3-BA-SP-1-1</x:v>
      </x:c>
      <x:c r="C45" t="str">
        <x:v>AF-3</x:v>
      </x:c>
      <x:c r="D45" t="str">
        <x:v>BA</x:v>
      </x:c>
      <x:c r="E45" t="str">
        <x:v>SP-1</x:v>
      </x:c>
      <x:c r="F45" s="11" t="str">
        <x:v>regeneration spare</x:v>
      </x:c>
      <x:c r="G45" t="str"/>
      <x:c r="H45" t="str">
        <x:v>OPEN</x:v>
      </x:c>
    </x:row>
    <x:row r="46" ht="34" customHeight="1">
      <x:c r="B46" t="str">
        <x:v>AF-3-BA-CL-1-1</x:v>
      </x:c>
      <x:c r="C46" t="str">
        <x:v>AF-3</x:v>
      </x:c>
      <x:c r="D46" t="str">
        <x:v>BA</x:v>
      </x:c>
      <x:c r="E46" t="str">
        <x:v>CL-1</x:v>
      </x:c>
      <x:c r="F46" s="11" t="str">
        <x:v>public calibration reference</x:v>
      </x:c>
      <x:c r="G46" t="str"/>
      <x:c r="H46" t="str">
        <x:v>OPEN</x:v>
      </x:c>
    </x:row>
    <x:row r="47" ht="34" customHeight="1">
      <x:c r="B47" t="str">
        <x:v>AF-3-BB-HY-1-1</x:v>
      </x:c>
      <x:c r="C47" t="str">
        <x:v>AF-3</x:v>
      </x:c>
      <x:c r="D47" t="str">
        <x:v>BB</x:v>
      </x:c>
      <x:c r="E47" t="str">
        <x:v>HY-1</x:v>
      </x:c>
      <x:c r="F47" s="11" t="str">
        <x:v>hydraulic truth article</x:v>
      </x:c>
      <x:c r="G47" t="str"/>
      <x:c r="H47" t="str">
        <x:v>OPEN</x:v>
      </x:c>
    </x:row>
    <x:row r="48" ht="34" customHeight="1">
      <x:c r="B48" t="str">
        <x:v>AF-3-BB-HY-1-2</x:v>
      </x:c>
      <x:c r="C48" t="str">
        <x:v>AF-3</x:v>
      </x:c>
      <x:c r="D48" t="str">
        <x:v>BB</x:v>
      </x:c>
      <x:c r="E48" t="str">
        <x:v>HY-1</x:v>
      </x:c>
      <x:c r="F48" s="11" t="str">
        <x:v>hydraulic truth article</x:v>
      </x:c>
      <x:c r="G48" t="str"/>
      <x:c r="H48" t="str">
        <x:v>OPEN</x:v>
      </x:c>
    </x:row>
    <x:row r="49" ht="34" customHeight="1">
      <x:c r="B49" t="str">
        <x:v>AF-3-BB-FR-1-1</x:v>
      </x:c>
      <x:c r="C49" t="str">
        <x:v>AF-3</x:v>
      </x:c>
      <x:c r="D49" t="str">
        <x:v>BB</x:v>
      </x:c>
      <x:c r="E49" t="str">
        <x:v>FR-1</x:v>
      </x:c>
      <x:c r="F49" s="11" t="str">
        <x:v>fire truth article</x:v>
      </x:c>
      <x:c r="G49" t="str"/>
      <x:c r="H49" t="str">
        <x:v>OPEN</x:v>
      </x:c>
    </x:row>
    <x:row r="50" ht="34" customHeight="1">
      <x:c r="B50" t="str">
        <x:v>AF-3-BB-FR-1-2</x:v>
      </x:c>
      <x:c r="C50" t="str">
        <x:v>AF-3</x:v>
      </x:c>
      <x:c r="D50" t="str">
        <x:v>BB</x:v>
      </x:c>
      <x:c r="E50" t="str">
        <x:v>FR-1</x:v>
      </x:c>
      <x:c r="F50" s="11" t="str">
        <x:v>fire truth article</x:v>
      </x:c>
      <x:c r="G50" t="str"/>
      <x:c r="H50" t="str">
        <x:v>OPEN</x:v>
      </x:c>
    </x:row>
    <x:row r="51" ht="34" customHeight="1">
      <x:c r="B51" t="str">
        <x:v>AF-3-BB-DS-1-1</x:v>
      </x:c>
      <x:c r="C51" t="str">
        <x:v>AF-3</x:v>
      </x:c>
      <x:c r="D51" t="str">
        <x:v>BB</x:v>
      </x:c>
      <x:c r="E51" t="str">
        <x:v>DS-1</x:v>
      </x:c>
      <x:c r="F51" s="11" t="str">
        <x:v>destructive witness</x:v>
      </x:c>
      <x:c r="G51" t="str"/>
      <x:c r="H51" t="str">
        <x:v>OPEN</x:v>
      </x:c>
    </x:row>
    <x:row r="52" ht="34" customHeight="1">
      <x:c r="B52" t="str">
        <x:v>AF-3-BB-RC-1-1</x:v>
      </x:c>
      <x:c r="C52" t="str">
        <x:v>AF-3</x:v>
      </x:c>
      <x:c r="D52" t="str">
        <x:v>BB</x:v>
      </x:c>
      <x:c r="E52" t="str">
        <x:v>RC-1</x:v>
      </x:c>
      <x:c r="F52" s="11" t="str">
        <x:v>recovery article</x:v>
      </x:c>
      <x:c r="G52" t="str"/>
      <x:c r="H52" t="str">
        <x:v>OPEN</x:v>
      </x:c>
    </x:row>
    <x:row r="53" ht="34" customHeight="1">
      <x:c r="B53" t="str">
        <x:v>AF-3-BB-SP-1-1</x:v>
      </x:c>
      <x:c r="C53" t="str">
        <x:v>AF-3</x:v>
      </x:c>
      <x:c r="D53" t="str">
        <x:v>BB</x:v>
      </x:c>
      <x:c r="E53" t="str">
        <x:v>SP-1</x:v>
      </x:c>
      <x:c r="F53" s="11" t="str">
        <x:v>regeneration spare</x:v>
      </x:c>
      <x:c r="G53" t="str"/>
      <x:c r="H53" t="str">
        <x:v>OPEN</x:v>
      </x:c>
    </x:row>
    <x:row r="54" ht="34" customHeight="1">
      <x:c r="B54" t="str">
        <x:v>AF-3-BB-CL-1-1</x:v>
      </x:c>
      <x:c r="C54" t="str">
        <x:v>AF-3</x:v>
      </x:c>
      <x:c r="D54" t="str">
        <x:v>BB</x:v>
      </x:c>
      <x:c r="E54" t="str">
        <x:v>CL-1</x:v>
      </x:c>
      <x:c r="F54" s="11" t="str">
        <x:v>public calibration reference</x:v>
      </x:c>
      <x:c r="G54" t="str"/>
      <x:c r="H54" t="str">
        <x:v>OPEN</x:v>
      </x:c>
    </x:row>
  </x:sheetData>
  <x:conditionalFormatting sqref="H7:H54">
    <x:cfRule type="containsText" dxfId="8" priority="1" operator="containsText" text="FAIL"/>
    <x:cfRule type="containsText" dxfId="9" priority="2" operator="containsText" text="BLOCKED"/>
    <x:cfRule type="containsText" dxfId="10" priority="3" operator="containsText" text="REOPEN"/>
    <x:cfRule type="containsText" dxfId="11" priority="4" operator="containsText" text="OVERFLOW"/>
    <x:cfRule type="containsText" dxfId="12" priority="5" operator="containsText" text="OPEN"/>
    <x:cfRule type="containsText" dxfId="13" priority="6" operator="containsText" text="GAP"/>
    <x:cfRule type="containsText" dxfId="14" priority="7" operator="containsText" text="PASS"/>
    <x:cfRule type="containsText" dxfId="15" priority="8" operator="containsText" text="INVALI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1" hidden="0" customWidth="1"/>
    <x:col min="4" max="4" width="24" hidden="0" customWidth="1"/>
    <x:col min="5" max="5" width="14" hidden="0" customWidth="1"/>
    <x:col min="6" max="6" width="57" hidden="0" customWidth="1"/>
    <x:col min="7" max="7" width="58" hidden="0" customWidth="1"/>
    <x:col min="8" max="8" width="19" hidden="0" customWidth="1"/>
    <x:col min="9" max="9" width="15" hidden="0" customWidth="1"/>
    <x:col min="10" max="10" width="14" hidden="0" customWidth="1"/>
  </x:cols>
  <x:sheetData>
    <x:row r="2">
      <x:c r="B2" s="1" t="str">
        <x:v>Ten Root A method families</x:v>
      </x:c>
    </x:row>
    <x:row r="3">
      <x:c r="B3" s="2" t="str">
        <x:v>Every family owns medium, source tier, causal target and exit evidence.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</x:v>
      </x:c>
      <x:c r="C6" s="7" t="str">
        <x:v>Name</x:v>
      </x:c>
      <x:c r="D6" s="7" t="str">
        <x:v>Medium</x:v>
      </x:c>
      <x:c r="E6" s="7" t="str">
        <x:v>Source kg</x:v>
      </x:c>
      <x:c r="F6" s="7" t="str">
        <x:v>Causal target</x:v>
      </x:c>
      <x:c r="G6" s="7" t="str">
        <x:v>Exit evidence</x:v>
      </x:c>
      <x:c r="H6" s="7" t="str">
        <x:v>Planning accepted</x:v>
      </x:c>
      <x:c r="I6" s="7" t="str">
        <x:v>Qualified</x:v>
      </x:c>
      <x:c r="J6" s="7" t="str">
        <x:v>State</x:v>
      </x:c>
    </x:row>
    <x:row r="7" ht="43" customHeight="1">
      <x:c r="B7" t="str">
        <x:v>AM-00</x:v>
      </x:c>
      <x:c r="C7" t="str">
        <x:v>geometry and grade map</x:v>
      </x:c>
      <x:c r="D7" t="str">
        <x:v>none</x:v>
      </x:c>
      <x:c r="E7" t="n">
        <x:v>0</x:v>
      </x:c>
      <x:c r="F7" s="11" t="str">
        <x:v>surface datum, drainage identity and protected route</x:v>
      </x:c>
      <x:c r="G7" s="11" t="str">
        <x:v>survey and custody dossier</x:v>
      </x:c>
      <x:c r="H7" t="n">
        <x:v>1</x:v>
      </x:c>
      <x:c r="I7" t="n">
        <x:v>0</x:v>
      </x:c>
      <x:c r="J7" t="str">
        <x:f>IF(I7=1,"PASS","OPEN")</x:f>
        <x:v>OPEN</x:v>
      </x:c>
    </x:row>
    <x:row r="8" ht="43" customHeight="1">
      <x:c r="B8" t="str">
        <x:v>AM-01</x:v>
      </x:c>
      <x:c r="C8" t="str">
        <x:v>water-only hydraulics</x:v>
      </x:c>
      <x:c r="D8" t="str">
        <x:v>water</x:v>
      </x:c>
      <x:c r="E8" t="n">
        <x:v>0</x:v>
      </x:c>
      <x:c r="F8" s="11" t="str">
        <x:v>water path, vault capacity and overflow behavior</x:v>
      </x:c>
      <x:c r="G8" s="11" t="str">
        <x:v>flow, level and discharge reconstruction</x:v>
      </x:c>
      <x:c r="H8" t="n">
        <x:v>1</x:v>
      </x:c>
      <x:c r="I8" t="n">
        <x:v>0</x:v>
      </x:c>
      <x:c r="J8" t="str">
        <x:f>IF(I8=1,"PASS","OPEN")</x:f>
        <x:v>OPEN</x:v>
      </x:c>
    </x:row>
    <x:row r="9" ht="43" customHeight="1">
      <x:c r="B9" t="str">
        <x:v>AM-02</x:v>
      </x:c>
      <x:c r="C9" t="str">
        <x:v>safe surrogate capture</x:v>
      </x:c>
      <x:c r="D9" t="str">
        <x:v>nonflammable surrogate</x:v>
      </x:c>
      <x:c r="E9" t="n">
        <x:v>500</x:v>
      </x:c>
      <x:c r="F9" s="11" t="str">
        <x:v>source routing, pool spread and separation</x:v>
      </x:c>
      <x:c r="G9" s="11" t="str">
        <x:v>closed surrogate mass ledger</x:v>
      </x:c>
      <x:c r="H9" t="n">
        <x:v>1</x:v>
      </x:c>
      <x:c r="I9" t="n">
        <x:v>0</x:v>
      </x:c>
      <x:c r="J9" t="str">
        <x:f>IF(I9=1,"PASS","OPEN")</x:f>
        <x:v>OPEN</x:v>
      </x:c>
    </x:row>
    <x:row r="10" ht="43" customHeight="1">
      <x:c r="B10" t="str">
        <x:v>AM-03</x:v>
      </x:c>
      <x:c r="C10" t="str">
        <x:v>debris and obstruction</x:v>
      </x:c>
      <x:c r="D10" t="str">
        <x:v>surrogate plus debris</x:v>
      </x:c>
      <x:c r="E10" t="n">
        <x:v>500</x:v>
      </x:c>
      <x:c r="F10" s="11" t="str">
        <x:v>drain survival and autonomous clearing</x:v>
      </x:c>
      <x:c r="G10" s="11" t="str">
        <x:v>blockage and recovery dossier</x:v>
      </x:c>
      <x:c r="H10" t="n">
        <x:v>1</x:v>
      </x:c>
      <x:c r="I10" t="n">
        <x:v>0</x:v>
      </x:c>
      <x:c r="J10" t="str">
        <x:f>IF(I10=1,"PASS","OPEN")</x:f>
        <x:v>OPEN</x:v>
      </x:c>
    </x:row>
    <x:row r="11" ht="43" customHeight="1">
      <x:c r="B11" t="str">
        <x:v>AM-04</x:v>
      </x:c>
      <x:c r="C11" t="str">
        <x:v>firewater segregation</x:v>
      </x:c>
      <x:c r="D11" t="str">
        <x:v>water plus tracer</x:v>
      </x:c>
      <x:c r="E11" t="n">
        <x:v>0</x:v>
      </x:c>
      <x:c r="F11" s="11" t="str">
        <x:v>cross-path transfer and fractionation</x:v>
      </x:c>
      <x:c r="G11" s="11" t="str">
        <x:v>two-path mass and chemistry ledger</x:v>
      </x:c>
      <x:c r="H11" t="n">
        <x:v>1</x:v>
      </x:c>
      <x:c r="I11" t="n">
        <x:v>0</x:v>
      </x:c>
      <x:c r="J11" t="str">
        <x:f>IF(I11=1,"PASS","OPEN")</x:f>
        <x:v>OPEN</x:v>
      </x:c>
    </x:row>
    <x:row r="12" ht="43" customHeight="1">
      <x:c r="B12" t="str">
        <x:v>AM-05</x:v>
      </x:c>
      <x:c r="C12" t="str">
        <x:v>quarter-source unignited</x:v>
      </x:c>
      <x:c r="D12" t="str">
        <x:v>liquid fuel</x:v>
      </x:c>
      <x:c r="E12" t="n">
        <x:v>500</x:v>
      </x:c>
      <x:c r="F12" s="11" t="str">
        <x:v>source isolation, routing and recovery</x:v>
      </x:c>
      <x:c r="G12" s="11" t="str">
        <x:v>valid event and source ledger</x:v>
      </x:c>
      <x:c r="H12" t="n">
        <x:v>1</x:v>
      </x:c>
      <x:c r="I12" t="n">
        <x:v>0</x:v>
      </x:c>
      <x:c r="J12" t="str">
        <x:f>IF(I12=1,"PASS","OPEN")</x:f>
        <x:v>OPEN</x:v>
      </x:c>
    </x:row>
    <x:row r="13" ht="43" customHeight="1">
      <x:c r="B13" t="str">
        <x:v>AM-06</x:v>
      </x:c>
      <x:c r="C13" t="str">
        <x:v>quarter-source fire</x:v>
      </x:c>
      <x:c r="D13" t="str">
        <x:v>liquid fuel</x:v>
      </x:c>
      <x:c r="E13" t="n">
        <x:v>500</x:v>
      </x:c>
      <x:c r="F13" s="11" t="str">
        <x:v>pool growth, intervention and thermal protection</x:v>
      </x:c>
      <x:c r="G13" s="11" t="str">
        <x:v>fire, runoff and recovery dossier</x:v>
      </x:c>
      <x:c r="H13" t="n">
        <x:v>1</x:v>
      </x:c>
      <x:c r="I13" t="n">
        <x:v>0</x:v>
      </x:c>
      <x:c r="J13" t="str">
        <x:f>IF(I13=1,"PASS","OPEN")</x:f>
        <x:v>OPEN</x:v>
      </x:c>
    </x:row>
    <x:row r="14" ht="43" customHeight="1">
      <x:c r="B14" t="str">
        <x:v>AM-07</x:v>
      </x:c>
      <x:c r="C14" t="str">
        <x:v>full-source fire</x:v>
      </x:c>
      <x:c r="D14" t="str">
        <x:v>liquid fuel</x:v>
      </x:c>
      <x:c r="E14" t="n">
        <x:v>2000</x:v>
      </x:c>
      <x:c r="F14" s="11" t="str">
        <x:v>terminal state under bounded fire</x:v>
      </x:c>
      <x:c r="G14" s="11" t="str">
        <x:v>valid event and signed pair contrast</x:v>
      </x:c>
      <x:c r="H14" t="n">
        <x:v>1</x:v>
      </x:c>
      <x:c r="I14" t="n">
        <x:v>0</x:v>
      </x:c>
      <x:c r="J14" t="str">
        <x:f>IF(I14=1,"PASS","OPEN")</x:f>
        <x:v>OPEN</x:v>
      </x:c>
    </x:row>
    <x:row r="15" ht="43" customHeight="1">
      <x:c r="B15" t="str">
        <x:v>AM-08</x:v>
      </x:c>
      <x:c r="C15" t="str">
        <x:v>destructive compound</x:v>
      </x:c>
      <x:c r="D15" t="str">
        <x:v>liquid fuel</x:v>
      </x:c>
      <x:c r="E15" t="n">
        <x:v>2000</x:v>
      </x:c>
      <x:c r="F15" s="11" t="str">
        <x:v>controlled loss of drain, cooling, power or barrier</x:v>
      </x:c>
      <x:c r="G15" s="11" t="str">
        <x:v>failure sequence and public intervention</x:v>
      </x:c>
      <x:c r="H15" t="n">
        <x:v>1</x:v>
      </x:c>
      <x:c r="I15" t="n">
        <x:v>0</x:v>
      </x:c>
      <x:c r="J15" t="str">
        <x:f>IF(I15=1,"PASS","OPEN")</x:f>
        <x:v>OPEN</x:v>
      </x:c>
    </x:row>
    <x:row r="16" ht="43" customHeight="1">
      <x:c r="B16" t="str">
        <x:v>AM-09</x:v>
      </x:c>
      <x:c r="C16" t="str">
        <x:v>recovery and reconstruction</x:v>
      </x:c>
      <x:c r="D16" t="str">
        <x:v>retained material/evidence</x:v>
      </x:c>
      <x:c r="E16" t="n">
        <x:v>0</x:v>
      </x:c>
      <x:c r="F16" s="11" t="str">
        <x:v>entry, separation, restoration and outside-site replay</x:v>
      </x:c>
      <x:c r="G16" s="11" t="str">
        <x:v>restored root and independent decision</x:v>
      </x:c>
      <x:c r="H16" t="n">
        <x:v>1</x:v>
      </x:c>
      <x:c r="I16" t="n">
        <x:v>0</x:v>
      </x:c>
      <x:c r="J16" t="str">
        <x:f>IF(I16=1,"PASS","OPEN")</x:f>
        <x:v>OPEN</x:v>
      </x:c>
    </x:row>
  </x:sheetData>
  <x:conditionalFormatting sqref="J7:J16">
    <x:cfRule type="containsText" dxfId="16" priority="1" operator="containsText" text="FAIL"/>
    <x:cfRule type="containsText" dxfId="17" priority="2" operator="containsText" text="BLOCKED"/>
    <x:cfRule type="containsText" dxfId="18" priority="3" operator="containsText" text="REOPEN"/>
    <x:cfRule type="containsText" dxfId="19" priority="4" operator="containsText" text="OVERFLOW"/>
    <x:cfRule type="containsText" dxfId="20" priority="5" operator="containsText" text="OPEN"/>
    <x:cfRule type="containsText" dxfId="21" priority="6" operator="containsText" text="GAP"/>
    <x:cfRule type="containsText" dxfId="22" priority="7" operator="containsText" text="PASS"/>
    <x:cfRule type="containsText" dxfId="23" priority="8" operator="containsText" text="INVAL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8" hidden="0" customWidth="1"/>
    <x:col min="4" max="4" width="74" hidden="0" customWidth="1"/>
    <x:col min="5" max="5" width="48" hidden="0" customWidth="1"/>
    <x:col min="6" max="6" width="13" hidden="0" customWidth="1"/>
  </x:cols>
  <x:sheetData>
    <x:row r="2">
      <x:c r="B2" s="1" t="str">
        <x:v>Eight paired Root A challenges</x:v>
      </x:c>
    </x:row>
    <x:row r="3">
      <x:c r="B3" s="2" t="str">
        <x:v>Each challenge tests a causal mechanism; a command label cannot substitute for measured realization.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Challenge</x:v>
      </x:c>
      <x:c r="C6" s="7" t="str">
        <x:v>Name</x:v>
      </x:c>
      <x:c r="D6" s="7" t="str">
        <x:v>Registered insertion</x:v>
      </x:c>
      <x:c r="E6" s="7" t="str">
        <x:v>Causal question</x:v>
      </x:c>
      <x:c r="F6" s="7" t="str">
        <x:v>Tier</x:v>
      </x:c>
    </x:row>
    <x:row r="7" ht="46" customHeight="1">
      <x:c r="B7" t="str">
        <x:v>A01</x:v>
      </x:c>
      <x:c r="C7" t="str">
        <x:v>adverse grade</x:v>
      </x:c>
      <x:c r="D7" s="11" t="str">
        <x:v>one-percent reverse local grade and ±25 mm datum error</x:v>
      </x:c>
      <x:c r="E7" s="11" t="str">
        <x:v>surface and gravity sensitivity</x:v>
      </x:c>
      <x:c r="F7" t="str">
        <x:v>quarter</x:v>
      </x:c>
    </x:row>
    <x:row r="8" ht="46" customHeight="1">
      <x:c r="B8" t="str">
        <x:v>A02</x:v>
      </x:c>
      <x:c r="C8" t="str">
        <x:v>half drain area</x:v>
      </x:c>
      <x:c r="D8" s="11" t="str">
        <x:v>fifty-percent effective source-drain area</x:v>
      </x:c>
      <x:c r="E8" s="11" t="str">
        <x:v>obstruction and redundancy</x:v>
      </x:c>
      <x:c r="F8" t="str">
        <x:v>quarter</x:v>
      </x:c>
    </x:row>
    <x:row r="9" ht="46" customHeight="1">
      <x:c r="B9" t="str">
        <x:v>A03</x:v>
      </x:c>
      <x:c r="C9" t="str">
        <x:v>sump half full</x:v>
      </x:c>
      <x:c r="D9" s="11" t="str">
        <x:v>source sump begins at fifty-percent liquid-equivalent fill</x:v>
      </x:c>
      <x:c r="E9" s="11" t="str">
        <x:v>receiver-state sensitivity</x:v>
      </x:c>
      <x:c r="F9" t="str">
        <x:v>quarter</x:v>
      </x:c>
    </x:row>
    <x:row r="10" ht="46" customHeight="1">
      <x:c r="B10" t="str">
        <x:v>A04</x:v>
      </x:c>
      <x:c r="C10" t="str">
        <x:v>debris field</x:v>
      </x:c>
      <x:c r="D10" s="11" t="str">
        <x:v>twenty-five-percent grate coverage plus ten representative fragments</x:v>
      </x:c>
      <x:c r="E10" s="11" t="str">
        <x:v>clearing and hidden-path sensitivity</x:v>
      </x:c>
      <x:c r="F10" t="str">
        <x:v>quarter</x:v>
      </x:c>
    </x:row>
    <x:row r="11" ht="46" customHeight="1">
      <x:c r="B11" t="str">
        <x:v>A05</x:v>
      </x:c>
      <x:c r="C11" t="str">
        <x:v>bounded pool fire</x:v>
      </x:c>
      <x:c r="D11" s="11" t="str">
        <x:v>25 m2 ignited pool at registered source state</x:v>
      </x:c>
      <x:c r="E11" s="11" t="str">
        <x:v>fire, barrier and isolation response</x:v>
      </x:c>
      <x:c r="F11" t="str">
        <x:v>full</x:v>
      </x:c>
    </x:row>
    <x:row r="12" ht="46" customHeight="1">
      <x:c r="B12" t="str">
        <x:v>A06</x:v>
      </x:c>
      <x:c r="C12" t="str">
        <x:v>firewater capacity shock</x:v>
      </x:c>
      <x:c r="D12" s="11" t="str">
        <x:v>twenty-minute demand with firewater vault fifty-percent full</x:v>
      </x:c>
      <x:c r="E12" s="11" t="str">
        <x:v>cooling benefit versus overflow</x:v>
      </x:c>
      <x:c r="F12" t="str">
        <x:v>full</x:v>
      </x:c>
    </x:row>
    <x:row r="13" ht="46" customHeight="1">
      <x:c r="B13" t="str">
        <x:v>A07</x:v>
      </x:c>
      <x:c r="C13" t="str">
        <x:v>partial barrier plus wind</x:v>
      </x:c>
      <x:c r="D13" s="11" t="str">
        <x:v>fifty-percent deployable barrier and 1.5 kPa wind screen</x:v>
      </x:c>
      <x:c r="E13" s="11" t="str">
        <x:v>spread and radiant-field sensitivity</x:v>
      </x:c>
      <x:c r="F13" t="str">
        <x:v>full</x:v>
      </x:c>
    </x:row>
    <x:row r="14" ht="46" customHeight="1">
      <x:c r="B14" t="str">
        <x:v>A08</x:v>
      </x:c>
      <x:c r="C14" t="str">
        <x:v>compound service denial</x:v>
      </x:c>
      <x:c r="D14" s="11" t="str">
        <x:v>fire with normal power, site network and primary time denied</x:v>
      </x:c>
      <x:c r="E14" s="11" t="str">
        <x:v>independent safety and evidence</x:v>
      </x:c>
      <x:c r="F14" t="str">
        <x:v>full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3" hidden="0" customWidth="1"/>
    <x:col min="5" max="5" width="11" hidden="0" customWidth="1"/>
    <x:col min="6" max="6" width="12" hidden="0" customWidth="1"/>
    <x:col min="7" max="7" width="24" hidden="0" customWidth="1"/>
    <x:col min="8" max="8" width="14" hidden="0" customWidth="1"/>
    <x:col min="9" max="9" width="18" hidden="0" customWidth="1"/>
    <x:col min="10" max="10" width="49" hidden="0" customWidth="1"/>
    <x:col min="11" max="11" width="14" hidden="0" customWidth="1"/>
    <x:col min="12" max="12" width="10" hidden="0" customWidth="1"/>
    <x:col min="13" max="13" width="21" hidden="0" customWidth="1"/>
    <x:col min="14" max="14" width="21" hidden="0" customWidth="1"/>
    <x:col min="15" max="15" width="15" hidden="0" customWidth="1"/>
    <x:col min="16" max="16" width="14" hidden="0" customWidth="1"/>
  </x:cols>
  <x:sheetData>
    <x:row r="2">
      <x:c r="B2" s="1" t="str">
        <x:v>Exact 306-event Root A campaign</x:v>
      </x:c>
    </x:row>
    <x:row r="3">
      <x:c r="B3" s="2" t="str">
        <x:v>Every event has candidate, builder, site, method, pair and source identity. Physical fields remain blank.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Method</x:v>
      </x:c>
      <x:c r="D6" s="7" t="str">
        <x:v>Candidate</x:v>
      </x:c>
      <x:c r="E6" s="7" t="str">
        <x:v>Builder</x:v>
      </x:c>
      <x:c r="F6" s="7" t="str">
        <x:v>Site</x:v>
      </x:c>
      <x:c r="G6" s="7" t="str">
        <x:v>Protocol</x:v>
      </x:c>
      <x:c r="H6" s="7" t="str">
        <x:v>Pair</x:v>
      </x:c>
      <x:c r="I6" s="7" t="str">
        <x:v>Condition</x:v>
      </x:c>
      <x:c r="J6" s="7" t="str">
        <x:v>Challenge</x:v>
      </x:c>
      <x:c r="K6" s="7" t="str">
        <x:v>Source kg</x:v>
      </x:c>
      <x:c r="L6" s="7" t="str">
        <x:v>Order</x:v>
      </x:c>
      <x:c r="M6" s="7" t="str">
        <x:v>Executed UTC</x:v>
      </x:c>
      <x:c r="N6" s="7" t="str">
        <x:v>Evidence UTC</x:v>
      </x:c>
      <x:c r="O6" s="7" t="str">
        <x:v>Validity</x:v>
      </x:c>
      <x:c r="P6" s="7" t="str">
        <x:v>State</x:v>
      </x:c>
    </x:row>
    <x:row r="7" ht="34" customHeight="1">
      <x:c r="B7" t="str">
        <x:v>RFA-E001</x:v>
      </x:c>
      <x:c r="C7" t="str">
        <x:v>AM-00</x:v>
      </x:c>
      <x:c r="D7" t="str">
        <x:v>AF-1</x:v>
      </x:c>
      <x:c r="E7" t="str">
        <x:v>BA</x:v>
      </x:c>
      <x:c r="F7" t="str">
        <x:v>PTC-A</x:v>
      </x:c>
      <x:c r="G7" t="str">
        <x:v>grade-A</x:v>
      </x:c>
      <x:c r="H7" t="str">
        <x:v>—</x:v>
      </x:c>
      <x:c r="I7" t="str">
        <x:v>development</x:v>
      </x:c>
      <x:c r="J7" s="11" t="str">
        <x:v>grade-A</x:v>
      </x:c>
      <x:c r="K7" t="n">
        <x:v>0</x:v>
      </x:c>
      <x:c r="L7" t="n">
        <x:v>1</x:v>
      </x:c>
      <x:c r="M7" t="str"/>
      <x:c r="N7" t="str"/>
      <x:c r="O7" t="str"/>
      <x:c r="P7" t="str">
        <x:v>OPEN</x:v>
      </x:c>
    </x:row>
    <x:row r="8" ht="34" customHeight="1">
      <x:c r="B8" t="str">
        <x:v>RFA-E002</x:v>
      </x:c>
      <x:c r="C8" t="str">
        <x:v>AM-00</x:v>
      </x:c>
      <x:c r="D8" t="str">
        <x:v>AF-1</x:v>
      </x:c>
      <x:c r="E8" t="str">
        <x:v>BA</x:v>
      </x:c>
      <x:c r="F8" t="str">
        <x:v>PTC-B</x:v>
      </x:c>
      <x:c r="G8" t="str">
        <x:v>grade-B</x:v>
      </x:c>
      <x:c r="H8" t="str">
        <x:v>—</x:v>
      </x:c>
      <x:c r="I8" t="str">
        <x:v>development</x:v>
      </x:c>
      <x:c r="J8" s="11" t="str">
        <x:v>grade-B</x:v>
      </x:c>
      <x:c r="K8" t="n">
        <x:v>0</x:v>
      </x:c>
      <x:c r="L8" t="n">
        <x:v>1</x:v>
      </x:c>
      <x:c r="M8" t="str"/>
      <x:c r="N8" t="str"/>
      <x:c r="O8" t="str"/>
      <x:c r="P8" t="str">
        <x:v>OPEN</x:v>
      </x:c>
    </x:row>
    <x:row r="9" ht="34" customHeight="1">
      <x:c r="B9" t="str">
        <x:v>RFA-E003</x:v>
      </x:c>
      <x:c r="C9" t="str">
        <x:v>AM-01</x:v>
      </x:c>
      <x:c r="D9" t="str">
        <x:v>AF-1</x:v>
      </x:c>
      <x:c r="E9" t="str">
        <x:v>BA</x:v>
      </x:c>
      <x:c r="F9" t="str">
        <x:v>PTC-A</x:v>
      </x:c>
      <x:c r="G9" t="str">
        <x:v>water-A</x:v>
      </x:c>
      <x:c r="H9" t="str">
        <x:v>—</x:v>
      </x:c>
      <x:c r="I9" t="str">
        <x:v>development</x:v>
      </x:c>
      <x:c r="J9" s="11" t="str">
        <x:v>water-A</x:v>
      </x:c>
      <x:c r="K9" t="n">
        <x:v>0</x:v>
      </x:c>
      <x:c r="L9" t="n">
        <x:v>1</x:v>
      </x:c>
      <x:c r="M9" t="str"/>
      <x:c r="N9" t="str"/>
      <x:c r="O9" t="str"/>
      <x:c r="P9" t="str">
        <x:v>OPEN</x:v>
      </x:c>
    </x:row>
    <x:row r="10" ht="34" customHeight="1">
      <x:c r="B10" t="str">
        <x:v>RFA-E004</x:v>
      </x:c>
      <x:c r="C10" t="str">
        <x:v>AM-01</x:v>
      </x:c>
      <x:c r="D10" t="str">
        <x:v>AF-1</x:v>
      </x:c>
      <x:c r="E10" t="str">
        <x:v>BA</x:v>
      </x:c>
      <x:c r="F10" t="str">
        <x:v>PTC-C</x:v>
      </x:c>
      <x:c r="G10" t="str">
        <x:v>water-C</x:v>
      </x:c>
      <x:c r="H10" t="str">
        <x:v>—</x:v>
      </x:c>
      <x:c r="I10" t="str">
        <x:v>development</x:v>
      </x:c>
      <x:c r="J10" s="11" t="str">
        <x:v>water-C</x:v>
      </x:c>
      <x:c r="K10" t="n">
        <x:v>0</x:v>
      </x:c>
      <x:c r="L10" t="n">
        <x:v>1</x:v>
      </x:c>
      <x:c r="M10" t="str"/>
      <x:c r="N10" t="str"/>
      <x:c r="O10" t="str"/>
      <x:c r="P10" t="str">
        <x:v>OPEN</x:v>
      </x:c>
    </x:row>
    <x:row r="11" ht="34" customHeight="1">
      <x:c r="B11" t="str">
        <x:v>RFA-E005</x:v>
      </x:c>
      <x:c r="C11" t="str">
        <x:v>AM-02</x:v>
      </x:c>
      <x:c r="D11" t="str">
        <x:v>AF-1</x:v>
      </x:c>
      <x:c r="E11" t="str">
        <x:v>BA</x:v>
      </x:c>
      <x:c r="F11" t="str">
        <x:v>PTC-B</x:v>
      </x:c>
      <x:c r="G11" t="str">
        <x:v>surrogate-B</x:v>
      </x:c>
      <x:c r="H11" t="str">
        <x:v>—</x:v>
      </x:c>
      <x:c r="I11" t="str">
        <x:v>development</x:v>
      </x:c>
      <x:c r="J11" s="11" t="str">
        <x:v>surrogate-B</x:v>
      </x:c>
      <x:c r="K11" t="n">
        <x:v>500</x:v>
      </x:c>
      <x:c r="L11" t="n">
        <x:v>1</x:v>
      </x:c>
      <x:c r="M11" t="str"/>
      <x:c r="N11" t="str"/>
      <x:c r="O11" t="str"/>
      <x:c r="P11" t="str">
        <x:v>OPEN</x:v>
      </x:c>
    </x:row>
    <x:row r="12" ht="34" customHeight="1">
      <x:c r="B12" t="str">
        <x:v>RFA-E006</x:v>
      </x:c>
      <x:c r="C12" t="str">
        <x:v>AM-02</x:v>
      </x:c>
      <x:c r="D12" t="str">
        <x:v>AF-1</x:v>
      </x:c>
      <x:c r="E12" t="str">
        <x:v>BA</x:v>
      </x:c>
      <x:c r="F12" t="str">
        <x:v>PTC-C</x:v>
      </x:c>
      <x:c r="G12" t="str">
        <x:v>surrogate-C</x:v>
      </x:c>
      <x:c r="H12" t="str">
        <x:v>—</x:v>
      </x:c>
      <x:c r="I12" t="str">
        <x:v>development</x:v>
      </x:c>
      <x:c r="J12" s="11" t="str">
        <x:v>surrogate-C</x:v>
      </x:c>
      <x:c r="K12" t="n">
        <x:v>500</x:v>
      </x:c>
      <x:c r="L12" t="n">
        <x:v>1</x:v>
      </x:c>
      <x:c r="M12" t="str"/>
      <x:c r="N12" t="str"/>
      <x:c r="O12" t="str"/>
      <x:c r="P12" t="str">
        <x:v>OPEN</x:v>
      </x:c>
    </x:row>
    <x:row r="13" ht="34" customHeight="1">
      <x:c r="B13" t="str">
        <x:v>RFA-E007</x:v>
      </x:c>
      <x:c r="C13" t="str">
        <x:v>AM-03</x:v>
      </x:c>
      <x:c r="D13" t="str">
        <x:v>AF-1</x:v>
      </x:c>
      <x:c r="E13" t="str">
        <x:v>BA</x:v>
      </x:c>
      <x:c r="F13" t="str">
        <x:v>PTC-A</x:v>
      </x:c>
      <x:c r="G13" t="str">
        <x:v>debris-A</x:v>
      </x:c>
      <x:c r="H13" t="str">
        <x:v>—</x:v>
      </x:c>
      <x:c r="I13" t="str">
        <x:v>development</x:v>
      </x:c>
      <x:c r="J13" s="11" t="str">
        <x:v>debris-A</x:v>
      </x:c>
      <x:c r="K13" t="n">
        <x:v>500</x:v>
      </x:c>
      <x:c r="L13" t="n">
        <x:v>1</x:v>
      </x:c>
      <x:c r="M13" t="str"/>
      <x:c r="N13" t="str"/>
      <x:c r="O13" t="str"/>
      <x:c r="P13" t="str">
        <x:v>OPEN</x:v>
      </x:c>
    </x:row>
    <x:row r="14" ht="34" customHeight="1">
      <x:c r="B14" t="str">
        <x:v>RFA-E008</x:v>
      </x:c>
      <x:c r="C14" t="str">
        <x:v>AM-03</x:v>
      </x:c>
      <x:c r="D14" t="str">
        <x:v>AF-1</x:v>
      </x:c>
      <x:c r="E14" t="str">
        <x:v>BA</x:v>
      </x:c>
      <x:c r="F14" t="str">
        <x:v>PTC-B</x:v>
      </x:c>
      <x:c r="G14" t="str">
        <x:v>debris-B</x:v>
      </x:c>
      <x:c r="H14" t="str">
        <x:v>—</x:v>
      </x:c>
      <x:c r="I14" t="str">
        <x:v>development</x:v>
      </x:c>
      <x:c r="J14" s="11" t="str">
        <x:v>debris-B</x:v>
      </x:c>
      <x:c r="K14" t="n">
        <x:v>500</x:v>
      </x:c>
      <x:c r="L14" t="n">
        <x:v>1</x:v>
      </x:c>
      <x:c r="M14" t="str"/>
      <x:c r="N14" t="str"/>
      <x:c r="O14" t="str"/>
      <x:c r="P14" t="str">
        <x:v>OPEN</x:v>
      </x:c>
    </x:row>
    <x:row r="15" ht="34" customHeight="1">
      <x:c r="B15" t="str">
        <x:v>RFA-E009</x:v>
      </x:c>
      <x:c r="C15" t="str">
        <x:v>AM-03</x:v>
      </x:c>
      <x:c r="D15" t="str">
        <x:v>AF-1</x:v>
      </x:c>
      <x:c r="E15" t="str">
        <x:v>BA</x:v>
      </x:c>
      <x:c r="F15" t="str">
        <x:v>PTC-C</x:v>
      </x:c>
      <x:c r="G15" t="str">
        <x:v>debris-C</x:v>
      </x:c>
      <x:c r="H15" t="str">
        <x:v>—</x:v>
      </x:c>
      <x:c r="I15" t="str">
        <x:v>development</x:v>
      </x:c>
      <x:c r="J15" s="11" t="str">
        <x:v>debris-C</x:v>
      </x:c>
      <x:c r="K15" t="n">
        <x:v>500</x:v>
      </x:c>
      <x:c r="L15" t="n">
        <x:v>1</x:v>
      </x:c>
      <x:c r="M15" t="str"/>
      <x:c r="N15" t="str"/>
      <x:c r="O15" t="str"/>
      <x:c r="P15" t="str">
        <x:v>OPEN</x:v>
      </x:c>
    </x:row>
    <x:row r="16" ht="34" customHeight="1">
      <x:c r="B16" t="str">
        <x:v>RFA-E010</x:v>
      </x:c>
      <x:c r="C16" t="str">
        <x:v>AM-04</x:v>
      </x:c>
      <x:c r="D16" t="str">
        <x:v>AF-1</x:v>
      </x:c>
      <x:c r="E16" t="str">
        <x:v>BA</x:v>
      </x:c>
      <x:c r="F16" t="str">
        <x:v>PTC-A</x:v>
      </x:c>
      <x:c r="G16" t="str">
        <x:v>segregation-A</x:v>
      </x:c>
      <x:c r="H16" t="str">
        <x:v>—</x:v>
      </x:c>
      <x:c r="I16" t="str">
        <x:v>development</x:v>
      </x:c>
      <x:c r="J16" s="11" t="str">
        <x:v>segregation-A</x:v>
      </x:c>
      <x:c r="K16" t="n">
        <x:v>0</x:v>
      </x:c>
      <x:c r="L16" t="n">
        <x:v>1</x:v>
      </x:c>
      <x:c r="M16" t="str"/>
      <x:c r="N16" t="str"/>
      <x:c r="O16" t="str"/>
      <x:c r="P16" t="str">
        <x:v>OPEN</x:v>
      </x:c>
    </x:row>
    <x:row r="17" ht="34" customHeight="1">
      <x:c r="B17" t="str">
        <x:v>RFA-E011</x:v>
      </x:c>
      <x:c r="C17" t="str">
        <x:v>AM-04</x:v>
      </x:c>
      <x:c r="D17" t="str">
        <x:v>AF-1</x:v>
      </x:c>
      <x:c r="E17" t="str">
        <x:v>BA</x:v>
      </x:c>
      <x:c r="F17" t="str">
        <x:v>PTC-B</x:v>
      </x:c>
      <x:c r="G17" t="str">
        <x:v>segregation-B</x:v>
      </x:c>
      <x:c r="H17" t="str">
        <x:v>—</x:v>
      </x:c>
      <x:c r="I17" t="str">
        <x:v>development</x:v>
      </x:c>
      <x:c r="J17" s="11" t="str">
        <x:v>segregation-B</x:v>
      </x:c>
      <x:c r="K17" t="n">
        <x:v>0</x:v>
      </x:c>
      <x:c r="L17" t="n">
        <x:v>1</x:v>
      </x:c>
      <x:c r="M17" t="str"/>
      <x:c r="N17" t="str"/>
      <x:c r="O17" t="str"/>
      <x:c r="P17" t="str">
        <x:v>OPEN</x:v>
      </x:c>
    </x:row>
    <x:row r="18" ht="34" customHeight="1">
      <x:c r="B18" t="str">
        <x:v>RFA-E012</x:v>
      </x:c>
      <x:c r="C18" t="str">
        <x:v>AM-04</x:v>
      </x:c>
      <x:c r="D18" t="str">
        <x:v>AF-1</x:v>
      </x:c>
      <x:c r="E18" t="str">
        <x:v>BA</x:v>
      </x:c>
      <x:c r="F18" t="str">
        <x:v>PTC-C</x:v>
      </x:c>
      <x:c r="G18" t="str">
        <x:v>segregation-C</x:v>
      </x:c>
      <x:c r="H18" t="str">
        <x:v>—</x:v>
      </x:c>
      <x:c r="I18" t="str">
        <x:v>development</x:v>
      </x:c>
      <x:c r="J18" s="11" t="str">
        <x:v>segregation-C</x:v>
      </x:c>
      <x:c r="K18" t="n">
        <x:v>0</x:v>
      </x:c>
      <x:c r="L18" t="n">
        <x:v>1</x:v>
      </x:c>
      <x:c r="M18" t="str"/>
      <x:c r="N18" t="str"/>
      <x:c r="O18" t="str"/>
      <x:c r="P18" t="str">
        <x:v>OPEN</x:v>
      </x:c>
    </x:row>
    <x:row r="19" ht="34" customHeight="1">
      <x:c r="B19" t="str">
        <x:v>RFA-E013</x:v>
      </x:c>
      <x:c r="C19" t="str">
        <x:v>AM-00</x:v>
      </x:c>
      <x:c r="D19" t="str">
        <x:v>AF-1</x:v>
      </x:c>
      <x:c r="E19" t="str">
        <x:v>BB</x:v>
      </x:c>
      <x:c r="F19" t="str">
        <x:v>PTC-A</x:v>
      </x:c>
      <x:c r="G19" t="str">
        <x:v>grade-A</x:v>
      </x:c>
      <x:c r="H19" t="str">
        <x:v>—</x:v>
      </x:c>
      <x:c r="I19" t="str">
        <x:v>development</x:v>
      </x:c>
      <x:c r="J19" s="11" t="str">
        <x:v>grade-A</x:v>
      </x:c>
      <x:c r="K19" t="n">
        <x:v>0</x:v>
      </x:c>
      <x:c r="L19" t="n">
        <x:v>1</x:v>
      </x:c>
      <x:c r="M19" t="str"/>
      <x:c r="N19" t="str"/>
      <x:c r="O19" t="str"/>
      <x:c r="P19" t="str">
        <x:v>OPEN</x:v>
      </x:c>
    </x:row>
    <x:row r="20" ht="34" customHeight="1">
      <x:c r="B20" t="str">
        <x:v>RFA-E014</x:v>
      </x:c>
      <x:c r="C20" t="str">
        <x:v>AM-00</x:v>
      </x:c>
      <x:c r="D20" t="str">
        <x:v>AF-1</x:v>
      </x:c>
      <x:c r="E20" t="str">
        <x:v>BB</x:v>
      </x:c>
      <x:c r="F20" t="str">
        <x:v>PTC-B</x:v>
      </x:c>
      <x:c r="G20" t="str">
        <x:v>grade-B</x:v>
      </x:c>
      <x:c r="H20" t="str">
        <x:v>—</x:v>
      </x:c>
      <x:c r="I20" t="str">
        <x:v>development</x:v>
      </x:c>
      <x:c r="J20" s="11" t="str">
        <x:v>grade-B</x:v>
      </x:c>
      <x:c r="K20" t="n">
        <x:v>0</x:v>
      </x:c>
      <x:c r="L20" t="n">
        <x:v>1</x:v>
      </x:c>
      <x:c r="M20" t="str"/>
      <x:c r="N20" t="str"/>
      <x:c r="O20" t="str"/>
      <x:c r="P20" t="str">
        <x:v>OPEN</x:v>
      </x:c>
    </x:row>
    <x:row r="21" ht="34" customHeight="1">
      <x:c r="B21" t="str">
        <x:v>RFA-E015</x:v>
      </x:c>
      <x:c r="C21" t="str">
        <x:v>AM-01</x:v>
      </x:c>
      <x:c r="D21" t="str">
        <x:v>AF-1</x:v>
      </x:c>
      <x:c r="E21" t="str">
        <x:v>BB</x:v>
      </x:c>
      <x:c r="F21" t="str">
        <x:v>PTC-A</x:v>
      </x:c>
      <x:c r="G21" t="str">
        <x:v>water-A</x:v>
      </x:c>
      <x:c r="H21" t="str">
        <x:v>—</x:v>
      </x:c>
      <x:c r="I21" t="str">
        <x:v>development</x:v>
      </x:c>
      <x:c r="J21" s="11" t="str">
        <x:v>water-A</x:v>
      </x:c>
      <x:c r="K21" t="n">
        <x:v>0</x:v>
      </x:c>
      <x:c r="L21" t="n">
        <x:v>1</x:v>
      </x:c>
      <x:c r="M21" t="str"/>
      <x:c r="N21" t="str"/>
      <x:c r="O21" t="str"/>
      <x:c r="P21" t="str">
        <x:v>OPEN</x:v>
      </x:c>
    </x:row>
    <x:row r="22" ht="34" customHeight="1">
      <x:c r="B22" t="str">
        <x:v>RFA-E016</x:v>
      </x:c>
      <x:c r="C22" t="str">
        <x:v>AM-01</x:v>
      </x:c>
      <x:c r="D22" t="str">
        <x:v>AF-1</x:v>
      </x:c>
      <x:c r="E22" t="str">
        <x:v>BB</x:v>
      </x:c>
      <x:c r="F22" t="str">
        <x:v>PTC-C</x:v>
      </x:c>
      <x:c r="G22" t="str">
        <x:v>water-C</x:v>
      </x:c>
      <x:c r="H22" t="str">
        <x:v>—</x:v>
      </x:c>
      <x:c r="I22" t="str">
        <x:v>development</x:v>
      </x:c>
      <x:c r="J22" s="11" t="str">
        <x:v>water-C</x:v>
      </x:c>
      <x:c r="K22" t="n">
        <x:v>0</x:v>
      </x:c>
      <x:c r="L22" t="n">
        <x:v>1</x:v>
      </x:c>
      <x:c r="M22" t="str"/>
      <x:c r="N22" t="str"/>
      <x:c r="O22" t="str"/>
      <x:c r="P22" t="str">
        <x:v>OPEN</x:v>
      </x:c>
    </x:row>
    <x:row r="23" ht="34" customHeight="1">
      <x:c r="B23" t="str">
        <x:v>RFA-E017</x:v>
      </x:c>
      <x:c r="C23" t="str">
        <x:v>AM-02</x:v>
      </x:c>
      <x:c r="D23" t="str">
        <x:v>AF-1</x:v>
      </x:c>
      <x:c r="E23" t="str">
        <x:v>BB</x:v>
      </x:c>
      <x:c r="F23" t="str">
        <x:v>PTC-B</x:v>
      </x:c>
      <x:c r="G23" t="str">
        <x:v>surrogate-B</x:v>
      </x:c>
      <x:c r="H23" t="str">
        <x:v>—</x:v>
      </x:c>
      <x:c r="I23" t="str">
        <x:v>development</x:v>
      </x:c>
      <x:c r="J23" s="11" t="str">
        <x:v>surrogate-B</x:v>
      </x:c>
      <x:c r="K23" t="n">
        <x:v>500</x:v>
      </x:c>
      <x:c r="L23" t="n">
        <x:v>1</x:v>
      </x:c>
      <x:c r="M23" t="str"/>
      <x:c r="N23" t="str"/>
      <x:c r="O23" t="str"/>
      <x:c r="P23" t="str">
        <x:v>OPEN</x:v>
      </x:c>
    </x:row>
    <x:row r="24" ht="34" customHeight="1">
      <x:c r="B24" t="str">
        <x:v>RFA-E018</x:v>
      </x:c>
      <x:c r="C24" t="str">
        <x:v>AM-02</x:v>
      </x:c>
      <x:c r="D24" t="str">
        <x:v>AF-1</x:v>
      </x:c>
      <x:c r="E24" t="str">
        <x:v>BB</x:v>
      </x:c>
      <x:c r="F24" t="str">
        <x:v>PTC-C</x:v>
      </x:c>
      <x:c r="G24" t="str">
        <x:v>surrogate-C</x:v>
      </x:c>
      <x:c r="H24" t="str">
        <x:v>—</x:v>
      </x:c>
      <x:c r="I24" t="str">
        <x:v>development</x:v>
      </x:c>
      <x:c r="J24" s="11" t="str">
        <x:v>surrogate-C</x:v>
      </x:c>
      <x:c r="K24" t="n">
        <x:v>500</x:v>
      </x:c>
      <x:c r="L24" t="n">
        <x:v>1</x:v>
      </x:c>
      <x:c r="M24" t="str"/>
      <x:c r="N24" t="str"/>
      <x:c r="O24" t="str"/>
      <x:c r="P24" t="str">
        <x:v>OPEN</x:v>
      </x:c>
    </x:row>
    <x:row r="25" ht="34" customHeight="1">
      <x:c r="B25" t="str">
        <x:v>RFA-E019</x:v>
      </x:c>
      <x:c r="C25" t="str">
        <x:v>AM-03</x:v>
      </x:c>
      <x:c r="D25" t="str">
        <x:v>AF-1</x:v>
      </x:c>
      <x:c r="E25" t="str">
        <x:v>BB</x:v>
      </x:c>
      <x:c r="F25" t="str">
        <x:v>PTC-A</x:v>
      </x:c>
      <x:c r="G25" t="str">
        <x:v>debris-A</x:v>
      </x:c>
      <x:c r="H25" t="str">
        <x:v>—</x:v>
      </x:c>
      <x:c r="I25" t="str">
        <x:v>development</x:v>
      </x:c>
      <x:c r="J25" s="11" t="str">
        <x:v>debris-A</x:v>
      </x:c>
      <x:c r="K25" t="n">
        <x:v>500</x:v>
      </x:c>
      <x:c r="L25" t="n">
        <x:v>1</x:v>
      </x:c>
      <x:c r="M25" t="str"/>
      <x:c r="N25" t="str"/>
      <x:c r="O25" t="str"/>
      <x:c r="P25" t="str">
        <x:v>OPEN</x:v>
      </x:c>
    </x:row>
    <x:row r="26" ht="34" customHeight="1">
      <x:c r="B26" t="str">
        <x:v>RFA-E020</x:v>
      </x:c>
      <x:c r="C26" t="str">
        <x:v>AM-03</x:v>
      </x:c>
      <x:c r="D26" t="str">
        <x:v>AF-1</x:v>
      </x:c>
      <x:c r="E26" t="str">
        <x:v>BB</x:v>
      </x:c>
      <x:c r="F26" t="str">
        <x:v>PTC-B</x:v>
      </x:c>
      <x:c r="G26" t="str">
        <x:v>debris-B</x:v>
      </x:c>
      <x:c r="H26" t="str">
        <x:v>—</x:v>
      </x:c>
      <x:c r="I26" t="str">
        <x:v>development</x:v>
      </x:c>
      <x:c r="J26" s="11" t="str">
        <x:v>debris-B</x:v>
      </x:c>
      <x:c r="K26" t="n">
        <x:v>500</x:v>
      </x:c>
      <x:c r="L26" t="n">
        <x:v>1</x:v>
      </x:c>
      <x:c r="M26" t="str"/>
      <x:c r="N26" t="str"/>
      <x:c r="O26" t="str"/>
      <x:c r="P26" t="str">
        <x:v>OPEN</x:v>
      </x:c>
    </x:row>
    <x:row r="27" ht="34" customHeight="1">
      <x:c r="B27" t="str">
        <x:v>RFA-E021</x:v>
      </x:c>
      <x:c r="C27" t="str">
        <x:v>AM-03</x:v>
      </x:c>
      <x:c r="D27" t="str">
        <x:v>AF-1</x:v>
      </x:c>
      <x:c r="E27" t="str">
        <x:v>BB</x:v>
      </x:c>
      <x:c r="F27" t="str">
        <x:v>PTC-C</x:v>
      </x:c>
      <x:c r="G27" t="str">
        <x:v>debris-C</x:v>
      </x:c>
      <x:c r="H27" t="str">
        <x:v>—</x:v>
      </x:c>
      <x:c r="I27" t="str">
        <x:v>development</x:v>
      </x:c>
      <x:c r="J27" s="11" t="str">
        <x:v>debris-C</x:v>
      </x:c>
      <x:c r="K27" t="n">
        <x:v>500</x:v>
      </x:c>
      <x:c r="L27" t="n">
        <x:v>1</x:v>
      </x:c>
      <x:c r="M27" t="str"/>
      <x:c r="N27" t="str"/>
      <x:c r="O27" t="str"/>
      <x:c r="P27" t="str">
        <x:v>OPEN</x:v>
      </x:c>
    </x:row>
    <x:row r="28" ht="34" customHeight="1">
      <x:c r="B28" t="str">
        <x:v>RFA-E022</x:v>
      </x:c>
      <x:c r="C28" t="str">
        <x:v>AM-04</x:v>
      </x:c>
      <x:c r="D28" t="str">
        <x:v>AF-1</x:v>
      </x:c>
      <x:c r="E28" t="str">
        <x:v>BB</x:v>
      </x:c>
      <x:c r="F28" t="str">
        <x:v>PTC-A</x:v>
      </x:c>
      <x:c r="G28" t="str">
        <x:v>segregation-A</x:v>
      </x:c>
      <x:c r="H28" t="str">
        <x:v>—</x:v>
      </x:c>
      <x:c r="I28" t="str">
        <x:v>development</x:v>
      </x:c>
      <x:c r="J28" s="11" t="str">
        <x:v>segregation-A</x:v>
      </x:c>
      <x:c r="K28" t="n">
        <x:v>0</x:v>
      </x:c>
      <x:c r="L28" t="n">
        <x:v>1</x:v>
      </x:c>
      <x:c r="M28" t="str"/>
      <x:c r="N28" t="str"/>
      <x:c r="O28" t="str"/>
      <x:c r="P28" t="str">
        <x:v>OPEN</x:v>
      </x:c>
    </x:row>
    <x:row r="29" ht="34" customHeight="1">
      <x:c r="B29" t="str">
        <x:v>RFA-E023</x:v>
      </x:c>
      <x:c r="C29" t="str">
        <x:v>AM-04</x:v>
      </x:c>
      <x:c r="D29" t="str">
        <x:v>AF-1</x:v>
      </x:c>
      <x:c r="E29" t="str">
        <x:v>BB</x:v>
      </x:c>
      <x:c r="F29" t="str">
        <x:v>PTC-B</x:v>
      </x:c>
      <x:c r="G29" t="str">
        <x:v>segregation-B</x:v>
      </x:c>
      <x:c r="H29" t="str">
        <x:v>—</x:v>
      </x:c>
      <x:c r="I29" t="str">
        <x:v>development</x:v>
      </x:c>
      <x:c r="J29" s="11" t="str">
        <x:v>segregation-B</x:v>
      </x:c>
      <x:c r="K29" t="n">
        <x:v>0</x:v>
      </x:c>
      <x:c r="L29" t="n">
        <x:v>1</x:v>
      </x:c>
      <x:c r="M29" t="str"/>
      <x:c r="N29" t="str"/>
      <x:c r="O29" t="str"/>
      <x:c r="P29" t="str">
        <x:v>OPEN</x:v>
      </x:c>
    </x:row>
    <x:row r="30" ht="34" customHeight="1">
      <x:c r="B30" t="str">
        <x:v>RFA-E024</x:v>
      </x:c>
      <x:c r="C30" t="str">
        <x:v>AM-04</x:v>
      </x:c>
      <x:c r="D30" t="str">
        <x:v>AF-1</x:v>
      </x:c>
      <x:c r="E30" t="str">
        <x:v>BB</x:v>
      </x:c>
      <x:c r="F30" t="str">
        <x:v>PTC-C</x:v>
      </x:c>
      <x:c r="G30" t="str">
        <x:v>segregation-C</x:v>
      </x:c>
      <x:c r="H30" t="str">
        <x:v>—</x:v>
      </x:c>
      <x:c r="I30" t="str">
        <x:v>development</x:v>
      </x:c>
      <x:c r="J30" s="11" t="str">
        <x:v>segregation-C</x:v>
      </x:c>
      <x:c r="K30" t="n">
        <x:v>0</x:v>
      </x:c>
      <x:c r="L30" t="n">
        <x:v>1</x:v>
      </x:c>
      <x:c r="M30" t="str"/>
      <x:c r="N30" t="str"/>
      <x:c r="O30" t="str"/>
      <x:c r="P30" t="str">
        <x:v>OPEN</x:v>
      </x:c>
    </x:row>
    <x:row r="31" ht="34" customHeight="1">
      <x:c r="B31" t="str">
        <x:v>RFA-E025</x:v>
      </x:c>
      <x:c r="C31" t="str">
        <x:v>AM-00</x:v>
      </x:c>
      <x:c r="D31" t="str">
        <x:v>AF-2</x:v>
      </x:c>
      <x:c r="E31" t="str">
        <x:v>BA</x:v>
      </x:c>
      <x:c r="F31" t="str">
        <x:v>PTC-A</x:v>
      </x:c>
      <x:c r="G31" t="str">
        <x:v>grade-A</x:v>
      </x:c>
      <x:c r="H31" t="str">
        <x:v>—</x:v>
      </x:c>
      <x:c r="I31" t="str">
        <x:v>development</x:v>
      </x:c>
      <x:c r="J31" s="11" t="str">
        <x:v>grade-A</x:v>
      </x:c>
      <x:c r="K31" t="n">
        <x:v>0</x:v>
      </x:c>
      <x:c r="L31" t="n">
        <x:v>1</x:v>
      </x:c>
      <x:c r="M31" t="str"/>
      <x:c r="N31" t="str"/>
      <x:c r="O31" t="str"/>
      <x:c r="P31" t="str">
        <x:v>OPEN</x:v>
      </x:c>
    </x:row>
    <x:row r="32" ht="34" customHeight="1">
      <x:c r="B32" t="str">
        <x:v>RFA-E026</x:v>
      </x:c>
      <x:c r="C32" t="str">
        <x:v>AM-00</x:v>
      </x:c>
      <x:c r="D32" t="str">
        <x:v>AF-2</x:v>
      </x:c>
      <x:c r="E32" t="str">
        <x:v>BA</x:v>
      </x:c>
      <x:c r="F32" t="str">
        <x:v>PTC-B</x:v>
      </x:c>
      <x:c r="G32" t="str">
        <x:v>grade-B</x:v>
      </x:c>
      <x:c r="H32" t="str">
        <x:v>—</x:v>
      </x:c>
      <x:c r="I32" t="str">
        <x:v>development</x:v>
      </x:c>
      <x:c r="J32" s="11" t="str">
        <x:v>grade-B</x:v>
      </x:c>
      <x:c r="K32" t="n">
        <x:v>0</x:v>
      </x:c>
      <x:c r="L32" t="n">
        <x:v>1</x:v>
      </x:c>
      <x:c r="M32" t="str"/>
      <x:c r="N32" t="str"/>
      <x:c r="O32" t="str"/>
      <x:c r="P32" t="str">
        <x:v>OPEN</x:v>
      </x:c>
    </x:row>
    <x:row r="33" ht="34" customHeight="1">
      <x:c r="B33" t="str">
        <x:v>RFA-E027</x:v>
      </x:c>
      <x:c r="C33" t="str">
        <x:v>AM-01</x:v>
      </x:c>
      <x:c r="D33" t="str">
        <x:v>AF-2</x:v>
      </x:c>
      <x:c r="E33" t="str">
        <x:v>BA</x:v>
      </x:c>
      <x:c r="F33" t="str">
        <x:v>PTC-A</x:v>
      </x:c>
      <x:c r="G33" t="str">
        <x:v>water-A</x:v>
      </x:c>
      <x:c r="H33" t="str">
        <x:v>—</x:v>
      </x:c>
      <x:c r="I33" t="str">
        <x:v>development</x:v>
      </x:c>
      <x:c r="J33" s="11" t="str">
        <x:v>water-A</x:v>
      </x:c>
      <x:c r="K33" t="n">
        <x:v>0</x:v>
      </x:c>
      <x:c r="L33" t="n">
        <x:v>1</x:v>
      </x:c>
      <x:c r="M33" t="str"/>
      <x:c r="N33" t="str"/>
      <x:c r="O33" t="str"/>
      <x:c r="P33" t="str">
        <x:v>OPEN</x:v>
      </x:c>
    </x:row>
    <x:row r="34" ht="34" customHeight="1">
      <x:c r="B34" t="str">
        <x:v>RFA-E028</x:v>
      </x:c>
      <x:c r="C34" t="str">
        <x:v>AM-01</x:v>
      </x:c>
      <x:c r="D34" t="str">
        <x:v>AF-2</x:v>
      </x:c>
      <x:c r="E34" t="str">
        <x:v>BA</x:v>
      </x:c>
      <x:c r="F34" t="str">
        <x:v>PTC-C</x:v>
      </x:c>
      <x:c r="G34" t="str">
        <x:v>water-C</x:v>
      </x:c>
      <x:c r="H34" t="str">
        <x:v>—</x:v>
      </x:c>
      <x:c r="I34" t="str">
        <x:v>development</x:v>
      </x:c>
      <x:c r="J34" s="11" t="str">
        <x:v>water-C</x:v>
      </x:c>
      <x:c r="K34" t="n">
        <x:v>0</x:v>
      </x:c>
      <x:c r="L34" t="n">
        <x:v>1</x:v>
      </x:c>
      <x:c r="M34" t="str"/>
      <x:c r="N34" t="str"/>
      <x:c r="O34" t="str"/>
      <x:c r="P34" t="str">
        <x:v>OPEN</x:v>
      </x:c>
    </x:row>
    <x:row r="35" ht="34" customHeight="1">
      <x:c r="B35" t="str">
        <x:v>RFA-E029</x:v>
      </x:c>
      <x:c r="C35" t="str">
        <x:v>AM-02</x:v>
      </x:c>
      <x:c r="D35" t="str">
        <x:v>AF-2</x:v>
      </x:c>
      <x:c r="E35" t="str">
        <x:v>BA</x:v>
      </x:c>
      <x:c r="F35" t="str">
        <x:v>PTC-B</x:v>
      </x:c>
      <x:c r="G35" t="str">
        <x:v>surrogate-B</x:v>
      </x:c>
      <x:c r="H35" t="str">
        <x:v>—</x:v>
      </x:c>
      <x:c r="I35" t="str">
        <x:v>development</x:v>
      </x:c>
      <x:c r="J35" s="11" t="str">
        <x:v>surrogate-B</x:v>
      </x:c>
      <x:c r="K35" t="n">
        <x:v>500</x:v>
      </x:c>
      <x:c r="L35" t="n">
        <x:v>1</x:v>
      </x:c>
      <x:c r="M35" t="str"/>
      <x:c r="N35" t="str"/>
      <x:c r="O35" t="str"/>
      <x:c r="P35" t="str">
        <x:v>OPEN</x:v>
      </x:c>
    </x:row>
    <x:row r="36" ht="34" customHeight="1">
      <x:c r="B36" t="str">
        <x:v>RFA-E030</x:v>
      </x:c>
      <x:c r="C36" t="str">
        <x:v>AM-02</x:v>
      </x:c>
      <x:c r="D36" t="str">
        <x:v>AF-2</x:v>
      </x:c>
      <x:c r="E36" t="str">
        <x:v>BA</x:v>
      </x:c>
      <x:c r="F36" t="str">
        <x:v>PTC-C</x:v>
      </x:c>
      <x:c r="G36" t="str">
        <x:v>surrogate-C</x:v>
      </x:c>
      <x:c r="H36" t="str">
        <x:v>—</x:v>
      </x:c>
      <x:c r="I36" t="str">
        <x:v>development</x:v>
      </x:c>
      <x:c r="J36" s="11" t="str">
        <x:v>surrogate-C</x:v>
      </x:c>
      <x:c r="K36" t="n">
        <x:v>500</x:v>
      </x:c>
      <x:c r="L36" t="n">
        <x:v>1</x:v>
      </x:c>
      <x:c r="M36" t="str"/>
      <x:c r="N36" t="str"/>
      <x:c r="O36" t="str"/>
      <x:c r="P36" t="str">
        <x:v>OPEN</x:v>
      </x:c>
    </x:row>
    <x:row r="37" ht="34" customHeight="1">
      <x:c r="B37" t="str">
        <x:v>RFA-E031</x:v>
      </x:c>
      <x:c r="C37" t="str">
        <x:v>AM-03</x:v>
      </x:c>
      <x:c r="D37" t="str">
        <x:v>AF-2</x:v>
      </x:c>
      <x:c r="E37" t="str">
        <x:v>BA</x:v>
      </x:c>
      <x:c r="F37" t="str">
        <x:v>PTC-A</x:v>
      </x:c>
      <x:c r="G37" t="str">
        <x:v>debris-A</x:v>
      </x:c>
      <x:c r="H37" t="str">
        <x:v>—</x:v>
      </x:c>
      <x:c r="I37" t="str">
        <x:v>development</x:v>
      </x:c>
      <x:c r="J37" s="11" t="str">
        <x:v>debris-A</x:v>
      </x:c>
      <x:c r="K37" t="n">
        <x:v>500</x:v>
      </x:c>
      <x:c r="L37" t="n">
        <x:v>1</x:v>
      </x:c>
      <x:c r="M37" t="str"/>
      <x:c r="N37" t="str"/>
      <x:c r="O37" t="str"/>
      <x:c r="P37" t="str">
        <x:v>OPEN</x:v>
      </x:c>
    </x:row>
    <x:row r="38" ht="34" customHeight="1">
      <x:c r="B38" t="str">
        <x:v>RFA-E032</x:v>
      </x:c>
      <x:c r="C38" t="str">
        <x:v>AM-03</x:v>
      </x:c>
      <x:c r="D38" t="str">
        <x:v>AF-2</x:v>
      </x:c>
      <x:c r="E38" t="str">
        <x:v>BA</x:v>
      </x:c>
      <x:c r="F38" t="str">
        <x:v>PTC-B</x:v>
      </x:c>
      <x:c r="G38" t="str">
        <x:v>debris-B</x:v>
      </x:c>
      <x:c r="H38" t="str">
        <x:v>—</x:v>
      </x:c>
      <x:c r="I38" t="str">
        <x:v>development</x:v>
      </x:c>
      <x:c r="J38" s="11" t="str">
        <x:v>debris-B</x:v>
      </x:c>
      <x:c r="K38" t="n">
        <x:v>500</x:v>
      </x:c>
      <x:c r="L38" t="n">
        <x:v>1</x:v>
      </x:c>
      <x:c r="M38" t="str"/>
      <x:c r="N38" t="str"/>
      <x:c r="O38" t="str"/>
      <x:c r="P38" t="str">
        <x:v>OPEN</x:v>
      </x:c>
    </x:row>
    <x:row r="39" ht="34" customHeight="1">
      <x:c r="B39" t="str">
        <x:v>RFA-E033</x:v>
      </x:c>
      <x:c r="C39" t="str">
        <x:v>AM-03</x:v>
      </x:c>
      <x:c r="D39" t="str">
        <x:v>AF-2</x:v>
      </x:c>
      <x:c r="E39" t="str">
        <x:v>BA</x:v>
      </x:c>
      <x:c r="F39" t="str">
        <x:v>PTC-C</x:v>
      </x:c>
      <x:c r="G39" t="str">
        <x:v>debris-C</x:v>
      </x:c>
      <x:c r="H39" t="str">
        <x:v>—</x:v>
      </x:c>
      <x:c r="I39" t="str">
        <x:v>development</x:v>
      </x:c>
      <x:c r="J39" s="11" t="str">
        <x:v>debris-C</x:v>
      </x:c>
      <x:c r="K39" t="n">
        <x:v>500</x:v>
      </x:c>
      <x:c r="L39" t="n">
        <x:v>1</x:v>
      </x:c>
      <x:c r="M39" t="str"/>
      <x:c r="N39" t="str"/>
      <x:c r="O39" t="str"/>
      <x:c r="P39" t="str">
        <x:v>OPEN</x:v>
      </x:c>
    </x:row>
    <x:row r="40" ht="34" customHeight="1">
      <x:c r="B40" t="str">
        <x:v>RFA-E034</x:v>
      </x:c>
      <x:c r="C40" t="str">
        <x:v>AM-04</x:v>
      </x:c>
      <x:c r="D40" t="str">
        <x:v>AF-2</x:v>
      </x:c>
      <x:c r="E40" t="str">
        <x:v>BA</x:v>
      </x:c>
      <x:c r="F40" t="str">
        <x:v>PTC-A</x:v>
      </x:c>
      <x:c r="G40" t="str">
        <x:v>segregation-A</x:v>
      </x:c>
      <x:c r="H40" t="str">
        <x:v>—</x:v>
      </x:c>
      <x:c r="I40" t="str">
        <x:v>development</x:v>
      </x:c>
      <x:c r="J40" s="11" t="str">
        <x:v>segregation-A</x:v>
      </x:c>
      <x:c r="K40" t="n">
        <x:v>0</x:v>
      </x:c>
      <x:c r="L40" t="n">
        <x:v>1</x:v>
      </x:c>
      <x:c r="M40" t="str"/>
      <x:c r="N40" t="str"/>
      <x:c r="O40" t="str"/>
      <x:c r="P40" t="str">
        <x:v>OPEN</x:v>
      </x:c>
    </x:row>
    <x:row r="41" ht="34" customHeight="1">
      <x:c r="B41" t="str">
        <x:v>RFA-E035</x:v>
      </x:c>
      <x:c r="C41" t="str">
        <x:v>AM-04</x:v>
      </x:c>
      <x:c r="D41" t="str">
        <x:v>AF-2</x:v>
      </x:c>
      <x:c r="E41" t="str">
        <x:v>BA</x:v>
      </x:c>
      <x:c r="F41" t="str">
        <x:v>PTC-B</x:v>
      </x:c>
      <x:c r="G41" t="str">
        <x:v>segregation-B</x:v>
      </x:c>
      <x:c r="H41" t="str">
        <x:v>—</x:v>
      </x:c>
      <x:c r="I41" t="str">
        <x:v>development</x:v>
      </x:c>
      <x:c r="J41" s="11" t="str">
        <x:v>segregation-B</x:v>
      </x:c>
      <x:c r="K41" t="n">
        <x:v>0</x:v>
      </x:c>
      <x:c r="L41" t="n">
        <x:v>1</x:v>
      </x:c>
      <x:c r="M41" t="str"/>
      <x:c r="N41" t="str"/>
      <x:c r="O41" t="str"/>
      <x:c r="P41" t="str">
        <x:v>OPEN</x:v>
      </x:c>
    </x:row>
    <x:row r="42" ht="34" customHeight="1">
      <x:c r="B42" t="str">
        <x:v>RFA-E036</x:v>
      </x:c>
      <x:c r="C42" t="str">
        <x:v>AM-04</x:v>
      </x:c>
      <x:c r="D42" t="str">
        <x:v>AF-2</x:v>
      </x:c>
      <x:c r="E42" t="str">
        <x:v>BA</x:v>
      </x:c>
      <x:c r="F42" t="str">
        <x:v>PTC-C</x:v>
      </x:c>
      <x:c r="G42" t="str">
        <x:v>segregation-C</x:v>
      </x:c>
      <x:c r="H42" t="str">
        <x:v>—</x:v>
      </x:c>
      <x:c r="I42" t="str">
        <x:v>development</x:v>
      </x:c>
      <x:c r="J42" s="11" t="str">
        <x:v>segregation-C</x:v>
      </x:c>
      <x:c r="K42" t="n">
        <x:v>0</x:v>
      </x:c>
      <x:c r="L42" t="n">
        <x:v>1</x:v>
      </x:c>
      <x:c r="M42" t="str"/>
      <x:c r="N42" t="str"/>
      <x:c r="O42" t="str"/>
      <x:c r="P42" t="str">
        <x:v>OPEN</x:v>
      </x:c>
    </x:row>
    <x:row r="43" ht="34" customHeight="1">
      <x:c r="B43" t="str">
        <x:v>RFA-E037</x:v>
      </x:c>
      <x:c r="C43" t="str">
        <x:v>AM-00</x:v>
      </x:c>
      <x:c r="D43" t="str">
        <x:v>AF-2</x:v>
      </x:c>
      <x:c r="E43" t="str">
        <x:v>BB</x:v>
      </x:c>
      <x:c r="F43" t="str">
        <x:v>PTC-A</x:v>
      </x:c>
      <x:c r="G43" t="str">
        <x:v>grade-A</x:v>
      </x:c>
      <x:c r="H43" t="str">
        <x:v>—</x:v>
      </x:c>
      <x:c r="I43" t="str">
        <x:v>development</x:v>
      </x:c>
      <x:c r="J43" s="11" t="str">
        <x:v>grade-A</x:v>
      </x:c>
      <x:c r="K43" t="n">
        <x:v>0</x:v>
      </x:c>
      <x:c r="L43" t="n">
        <x:v>1</x:v>
      </x:c>
      <x:c r="M43" t="str"/>
      <x:c r="N43" t="str"/>
      <x:c r="O43" t="str"/>
      <x:c r="P43" t="str">
        <x:v>OPEN</x:v>
      </x:c>
    </x:row>
    <x:row r="44" ht="34" customHeight="1">
      <x:c r="B44" t="str">
        <x:v>RFA-E038</x:v>
      </x:c>
      <x:c r="C44" t="str">
        <x:v>AM-00</x:v>
      </x:c>
      <x:c r="D44" t="str">
        <x:v>AF-2</x:v>
      </x:c>
      <x:c r="E44" t="str">
        <x:v>BB</x:v>
      </x:c>
      <x:c r="F44" t="str">
        <x:v>PTC-B</x:v>
      </x:c>
      <x:c r="G44" t="str">
        <x:v>grade-B</x:v>
      </x:c>
      <x:c r="H44" t="str">
        <x:v>—</x:v>
      </x:c>
      <x:c r="I44" t="str">
        <x:v>development</x:v>
      </x:c>
      <x:c r="J44" s="11" t="str">
        <x:v>grade-B</x:v>
      </x:c>
      <x:c r="K44" t="n">
        <x:v>0</x:v>
      </x:c>
      <x:c r="L44" t="n">
        <x:v>1</x:v>
      </x:c>
      <x:c r="M44" t="str"/>
      <x:c r="N44" t="str"/>
      <x:c r="O44" t="str"/>
      <x:c r="P44" t="str">
        <x:v>OPEN</x:v>
      </x:c>
    </x:row>
    <x:row r="45" ht="34" customHeight="1">
      <x:c r="B45" t="str">
        <x:v>RFA-E039</x:v>
      </x:c>
      <x:c r="C45" t="str">
        <x:v>AM-01</x:v>
      </x:c>
      <x:c r="D45" t="str">
        <x:v>AF-2</x:v>
      </x:c>
      <x:c r="E45" t="str">
        <x:v>BB</x:v>
      </x:c>
      <x:c r="F45" t="str">
        <x:v>PTC-A</x:v>
      </x:c>
      <x:c r="G45" t="str">
        <x:v>water-A</x:v>
      </x:c>
      <x:c r="H45" t="str">
        <x:v>—</x:v>
      </x:c>
      <x:c r="I45" t="str">
        <x:v>development</x:v>
      </x:c>
      <x:c r="J45" s="11" t="str">
        <x:v>water-A</x:v>
      </x:c>
      <x:c r="K45" t="n">
        <x:v>0</x:v>
      </x:c>
      <x:c r="L45" t="n">
        <x:v>1</x:v>
      </x:c>
      <x:c r="M45" t="str"/>
      <x:c r="N45" t="str"/>
      <x:c r="O45" t="str"/>
      <x:c r="P45" t="str">
        <x:v>OPEN</x:v>
      </x:c>
    </x:row>
    <x:row r="46" ht="34" customHeight="1">
      <x:c r="B46" t="str">
        <x:v>RFA-E040</x:v>
      </x:c>
      <x:c r="C46" t="str">
        <x:v>AM-01</x:v>
      </x:c>
      <x:c r="D46" t="str">
        <x:v>AF-2</x:v>
      </x:c>
      <x:c r="E46" t="str">
        <x:v>BB</x:v>
      </x:c>
      <x:c r="F46" t="str">
        <x:v>PTC-C</x:v>
      </x:c>
      <x:c r="G46" t="str">
        <x:v>water-C</x:v>
      </x:c>
      <x:c r="H46" t="str">
        <x:v>—</x:v>
      </x:c>
      <x:c r="I46" t="str">
        <x:v>development</x:v>
      </x:c>
      <x:c r="J46" s="11" t="str">
        <x:v>water-C</x:v>
      </x:c>
      <x:c r="K46" t="n">
        <x:v>0</x:v>
      </x:c>
      <x:c r="L46" t="n">
        <x:v>1</x:v>
      </x:c>
      <x:c r="M46" t="str"/>
      <x:c r="N46" t="str"/>
      <x:c r="O46" t="str"/>
      <x:c r="P46" t="str">
        <x:v>OPEN</x:v>
      </x:c>
    </x:row>
    <x:row r="47" ht="34" customHeight="1">
      <x:c r="B47" t="str">
        <x:v>RFA-E041</x:v>
      </x:c>
      <x:c r="C47" t="str">
        <x:v>AM-02</x:v>
      </x:c>
      <x:c r="D47" t="str">
        <x:v>AF-2</x:v>
      </x:c>
      <x:c r="E47" t="str">
        <x:v>BB</x:v>
      </x:c>
      <x:c r="F47" t="str">
        <x:v>PTC-B</x:v>
      </x:c>
      <x:c r="G47" t="str">
        <x:v>surrogate-B</x:v>
      </x:c>
      <x:c r="H47" t="str">
        <x:v>—</x:v>
      </x:c>
      <x:c r="I47" t="str">
        <x:v>development</x:v>
      </x:c>
      <x:c r="J47" s="11" t="str">
        <x:v>surrogate-B</x:v>
      </x:c>
      <x:c r="K47" t="n">
        <x:v>500</x:v>
      </x:c>
      <x:c r="L47" t="n">
        <x:v>1</x:v>
      </x:c>
      <x:c r="M47" t="str"/>
      <x:c r="N47" t="str"/>
      <x:c r="O47" t="str"/>
      <x:c r="P47" t="str">
        <x:v>OPEN</x:v>
      </x:c>
    </x:row>
    <x:row r="48" ht="34" customHeight="1">
      <x:c r="B48" t="str">
        <x:v>RFA-E042</x:v>
      </x:c>
      <x:c r="C48" t="str">
        <x:v>AM-02</x:v>
      </x:c>
      <x:c r="D48" t="str">
        <x:v>AF-2</x:v>
      </x:c>
      <x:c r="E48" t="str">
        <x:v>BB</x:v>
      </x:c>
      <x:c r="F48" t="str">
        <x:v>PTC-C</x:v>
      </x:c>
      <x:c r="G48" t="str">
        <x:v>surrogate-C</x:v>
      </x:c>
      <x:c r="H48" t="str">
        <x:v>—</x:v>
      </x:c>
      <x:c r="I48" t="str">
        <x:v>development</x:v>
      </x:c>
      <x:c r="J48" s="11" t="str">
        <x:v>surrogate-C</x:v>
      </x:c>
      <x:c r="K48" t="n">
        <x:v>500</x:v>
      </x:c>
      <x:c r="L48" t="n">
        <x:v>1</x:v>
      </x:c>
      <x:c r="M48" t="str"/>
      <x:c r="N48" t="str"/>
      <x:c r="O48" t="str"/>
      <x:c r="P48" t="str">
        <x:v>OPEN</x:v>
      </x:c>
    </x:row>
    <x:row r="49" ht="34" customHeight="1">
      <x:c r="B49" t="str">
        <x:v>RFA-E043</x:v>
      </x:c>
      <x:c r="C49" t="str">
        <x:v>AM-03</x:v>
      </x:c>
      <x:c r="D49" t="str">
        <x:v>AF-2</x:v>
      </x:c>
      <x:c r="E49" t="str">
        <x:v>BB</x:v>
      </x:c>
      <x:c r="F49" t="str">
        <x:v>PTC-A</x:v>
      </x:c>
      <x:c r="G49" t="str">
        <x:v>debris-A</x:v>
      </x:c>
      <x:c r="H49" t="str">
        <x:v>—</x:v>
      </x:c>
      <x:c r="I49" t="str">
        <x:v>development</x:v>
      </x:c>
      <x:c r="J49" s="11" t="str">
        <x:v>debris-A</x:v>
      </x:c>
      <x:c r="K49" t="n">
        <x:v>500</x:v>
      </x:c>
      <x:c r="L49" t="n">
        <x:v>1</x:v>
      </x:c>
      <x:c r="M49" t="str"/>
      <x:c r="N49" t="str"/>
      <x:c r="O49" t="str"/>
      <x:c r="P49" t="str">
        <x:v>OPEN</x:v>
      </x:c>
    </x:row>
    <x:row r="50" ht="34" customHeight="1">
      <x:c r="B50" t="str">
        <x:v>RFA-E044</x:v>
      </x:c>
      <x:c r="C50" t="str">
        <x:v>AM-03</x:v>
      </x:c>
      <x:c r="D50" t="str">
        <x:v>AF-2</x:v>
      </x:c>
      <x:c r="E50" t="str">
        <x:v>BB</x:v>
      </x:c>
      <x:c r="F50" t="str">
        <x:v>PTC-B</x:v>
      </x:c>
      <x:c r="G50" t="str">
        <x:v>debris-B</x:v>
      </x:c>
      <x:c r="H50" t="str">
        <x:v>—</x:v>
      </x:c>
      <x:c r="I50" t="str">
        <x:v>development</x:v>
      </x:c>
      <x:c r="J50" s="11" t="str">
        <x:v>debris-B</x:v>
      </x:c>
      <x:c r="K50" t="n">
        <x:v>500</x:v>
      </x:c>
      <x:c r="L50" t="n">
        <x:v>1</x:v>
      </x:c>
      <x:c r="M50" t="str"/>
      <x:c r="N50" t="str"/>
      <x:c r="O50" t="str"/>
      <x:c r="P50" t="str">
        <x:v>OPEN</x:v>
      </x:c>
    </x:row>
    <x:row r="51" ht="34" customHeight="1">
      <x:c r="B51" t="str">
        <x:v>RFA-E045</x:v>
      </x:c>
      <x:c r="C51" t="str">
        <x:v>AM-03</x:v>
      </x:c>
      <x:c r="D51" t="str">
        <x:v>AF-2</x:v>
      </x:c>
      <x:c r="E51" t="str">
        <x:v>BB</x:v>
      </x:c>
      <x:c r="F51" t="str">
        <x:v>PTC-C</x:v>
      </x:c>
      <x:c r="G51" t="str">
        <x:v>debris-C</x:v>
      </x:c>
      <x:c r="H51" t="str">
        <x:v>—</x:v>
      </x:c>
      <x:c r="I51" t="str">
        <x:v>development</x:v>
      </x:c>
      <x:c r="J51" s="11" t="str">
        <x:v>debris-C</x:v>
      </x:c>
      <x:c r="K51" t="n">
        <x:v>500</x:v>
      </x:c>
      <x:c r="L51" t="n">
        <x:v>1</x:v>
      </x:c>
      <x:c r="M51" t="str"/>
      <x:c r="N51" t="str"/>
      <x:c r="O51" t="str"/>
      <x:c r="P51" t="str">
        <x:v>OPEN</x:v>
      </x:c>
    </x:row>
    <x:row r="52" ht="34" customHeight="1">
      <x:c r="B52" t="str">
        <x:v>RFA-E046</x:v>
      </x:c>
      <x:c r="C52" t="str">
        <x:v>AM-04</x:v>
      </x:c>
      <x:c r="D52" t="str">
        <x:v>AF-2</x:v>
      </x:c>
      <x:c r="E52" t="str">
        <x:v>BB</x:v>
      </x:c>
      <x:c r="F52" t="str">
        <x:v>PTC-A</x:v>
      </x:c>
      <x:c r="G52" t="str">
        <x:v>segregation-A</x:v>
      </x:c>
      <x:c r="H52" t="str">
        <x:v>—</x:v>
      </x:c>
      <x:c r="I52" t="str">
        <x:v>development</x:v>
      </x:c>
      <x:c r="J52" s="11" t="str">
        <x:v>segregation-A</x:v>
      </x:c>
      <x:c r="K52" t="n">
        <x:v>0</x:v>
      </x:c>
      <x:c r="L52" t="n">
        <x:v>1</x:v>
      </x:c>
      <x:c r="M52" t="str"/>
      <x:c r="N52" t="str"/>
      <x:c r="O52" t="str"/>
      <x:c r="P52" t="str">
        <x:v>OPEN</x:v>
      </x:c>
    </x:row>
    <x:row r="53" ht="34" customHeight="1">
      <x:c r="B53" t="str">
        <x:v>RFA-E047</x:v>
      </x:c>
      <x:c r="C53" t="str">
        <x:v>AM-04</x:v>
      </x:c>
      <x:c r="D53" t="str">
        <x:v>AF-2</x:v>
      </x:c>
      <x:c r="E53" t="str">
        <x:v>BB</x:v>
      </x:c>
      <x:c r="F53" t="str">
        <x:v>PTC-B</x:v>
      </x:c>
      <x:c r="G53" t="str">
        <x:v>segregation-B</x:v>
      </x:c>
      <x:c r="H53" t="str">
        <x:v>—</x:v>
      </x:c>
      <x:c r="I53" t="str">
        <x:v>development</x:v>
      </x:c>
      <x:c r="J53" s="11" t="str">
        <x:v>segregation-B</x:v>
      </x:c>
      <x:c r="K53" t="n">
        <x:v>0</x:v>
      </x:c>
      <x:c r="L53" t="n">
        <x:v>1</x:v>
      </x:c>
      <x:c r="M53" t="str"/>
      <x:c r="N53" t="str"/>
      <x:c r="O53" t="str"/>
      <x:c r="P53" t="str">
        <x:v>OPEN</x:v>
      </x:c>
    </x:row>
    <x:row r="54" ht="34" customHeight="1">
      <x:c r="B54" t="str">
        <x:v>RFA-E048</x:v>
      </x:c>
      <x:c r="C54" t="str">
        <x:v>AM-04</x:v>
      </x:c>
      <x:c r="D54" t="str">
        <x:v>AF-2</x:v>
      </x:c>
      <x:c r="E54" t="str">
        <x:v>BB</x:v>
      </x:c>
      <x:c r="F54" t="str">
        <x:v>PTC-C</x:v>
      </x:c>
      <x:c r="G54" t="str">
        <x:v>segregation-C</x:v>
      </x:c>
      <x:c r="H54" t="str">
        <x:v>—</x:v>
      </x:c>
      <x:c r="I54" t="str">
        <x:v>development</x:v>
      </x:c>
      <x:c r="J54" s="11" t="str">
        <x:v>segregation-C</x:v>
      </x:c>
      <x:c r="K54" t="n">
        <x:v>0</x:v>
      </x:c>
      <x:c r="L54" t="n">
        <x:v>1</x:v>
      </x:c>
      <x:c r="M54" t="str"/>
      <x:c r="N54" t="str"/>
      <x:c r="O54" t="str"/>
      <x:c r="P54" t="str">
        <x:v>OPEN</x:v>
      </x:c>
    </x:row>
    <x:row r="55" ht="34" customHeight="1">
      <x:c r="B55" t="str">
        <x:v>RFA-E049</x:v>
      </x:c>
      <x:c r="C55" t="str">
        <x:v>AM-00</x:v>
      </x:c>
      <x:c r="D55" t="str">
        <x:v>AF-3</x:v>
      </x:c>
      <x:c r="E55" t="str">
        <x:v>BA</x:v>
      </x:c>
      <x:c r="F55" t="str">
        <x:v>PTC-A</x:v>
      </x:c>
      <x:c r="G55" t="str">
        <x:v>grade-A</x:v>
      </x:c>
      <x:c r="H55" t="str">
        <x:v>—</x:v>
      </x:c>
      <x:c r="I55" t="str">
        <x:v>development</x:v>
      </x:c>
      <x:c r="J55" s="11" t="str">
        <x:v>grade-A</x:v>
      </x:c>
      <x:c r="K55" t="n">
        <x:v>0</x:v>
      </x:c>
      <x:c r="L55" t="n">
        <x:v>1</x:v>
      </x:c>
      <x:c r="M55" t="str"/>
      <x:c r="N55" t="str"/>
      <x:c r="O55" t="str"/>
      <x:c r="P55" t="str">
        <x:v>OPEN</x:v>
      </x:c>
    </x:row>
    <x:row r="56" ht="34" customHeight="1">
      <x:c r="B56" t="str">
        <x:v>RFA-E050</x:v>
      </x:c>
      <x:c r="C56" t="str">
        <x:v>AM-00</x:v>
      </x:c>
      <x:c r="D56" t="str">
        <x:v>AF-3</x:v>
      </x:c>
      <x:c r="E56" t="str">
        <x:v>BA</x:v>
      </x:c>
      <x:c r="F56" t="str">
        <x:v>PTC-B</x:v>
      </x:c>
      <x:c r="G56" t="str">
        <x:v>grade-B</x:v>
      </x:c>
      <x:c r="H56" t="str">
        <x:v>—</x:v>
      </x:c>
      <x:c r="I56" t="str">
        <x:v>development</x:v>
      </x:c>
      <x:c r="J56" s="11" t="str">
        <x:v>grade-B</x:v>
      </x:c>
      <x:c r="K56" t="n">
        <x:v>0</x:v>
      </x:c>
      <x:c r="L56" t="n">
        <x:v>1</x:v>
      </x:c>
      <x:c r="M56" t="str"/>
      <x:c r="N56" t="str"/>
      <x:c r="O56" t="str"/>
      <x:c r="P56" t="str">
        <x:v>OPEN</x:v>
      </x:c>
    </x:row>
    <x:row r="57" ht="34" customHeight="1">
      <x:c r="B57" t="str">
        <x:v>RFA-E051</x:v>
      </x:c>
      <x:c r="C57" t="str">
        <x:v>AM-01</x:v>
      </x:c>
      <x:c r="D57" t="str">
        <x:v>AF-3</x:v>
      </x:c>
      <x:c r="E57" t="str">
        <x:v>BA</x:v>
      </x:c>
      <x:c r="F57" t="str">
        <x:v>PTC-A</x:v>
      </x:c>
      <x:c r="G57" t="str">
        <x:v>water-A</x:v>
      </x:c>
      <x:c r="H57" t="str">
        <x:v>—</x:v>
      </x:c>
      <x:c r="I57" t="str">
        <x:v>development</x:v>
      </x:c>
      <x:c r="J57" s="11" t="str">
        <x:v>water-A</x:v>
      </x:c>
      <x:c r="K57" t="n">
        <x:v>0</x:v>
      </x:c>
      <x:c r="L57" t="n">
        <x:v>1</x:v>
      </x:c>
      <x:c r="M57" t="str"/>
      <x:c r="N57" t="str"/>
      <x:c r="O57" t="str"/>
      <x:c r="P57" t="str">
        <x:v>OPEN</x:v>
      </x:c>
    </x:row>
    <x:row r="58" ht="34" customHeight="1">
      <x:c r="B58" t="str">
        <x:v>RFA-E052</x:v>
      </x:c>
      <x:c r="C58" t="str">
        <x:v>AM-01</x:v>
      </x:c>
      <x:c r="D58" t="str">
        <x:v>AF-3</x:v>
      </x:c>
      <x:c r="E58" t="str">
        <x:v>BA</x:v>
      </x:c>
      <x:c r="F58" t="str">
        <x:v>PTC-C</x:v>
      </x:c>
      <x:c r="G58" t="str">
        <x:v>water-C</x:v>
      </x:c>
      <x:c r="H58" t="str">
        <x:v>—</x:v>
      </x:c>
      <x:c r="I58" t="str">
        <x:v>development</x:v>
      </x:c>
      <x:c r="J58" s="11" t="str">
        <x:v>water-C</x:v>
      </x:c>
      <x:c r="K58" t="n">
        <x:v>0</x:v>
      </x:c>
      <x:c r="L58" t="n">
        <x:v>1</x:v>
      </x:c>
      <x:c r="M58" t="str"/>
      <x:c r="N58" t="str"/>
      <x:c r="O58" t="str"/>
      <x:c r="P58" t="str">
        <x:v>OPEN</x:v>
      </x:c>
    </x:row>
    <x:row r="59" ht="34" customHeight="1">
      <x:c r="B59" t="str">
        <x:v>RFA-E053</x:v>
      </x:c>
      <x:c r="C59" t="str">
        <x:v>AM-02</x:v>
      </x:c>
      <x:c r="D59" t="str">
        <x:v>AF-3</x:v>
      </x:c>
      <x:c r="E59" t="str">
        <x:v>BA</x:v>
      </x:c>
      <x:c r="F59" t="str">
        <x:v>PTC-B</x:v>
      </x:c>
      <x:c r="G59" t="str">
        <x:v>surrogate-B</x:v>
      </x:c>
      <x:c r="H59" t="str">
        <x:v>—</x:v>
      </x:c>
      <x:c r="I59" t="str">
        <x:v>development</x:v>
      </x:c>
      <x:c r="J59" s="11" t="str">
        <x:v>surrogate-B</x:v>
      </x:c>
      <x:c r="K59" t="n">
        <x:v>500</x:v>
      </x:c>
      <x:c r="L59" t="n">
        <x:v>1</x:v>
      </x:c>
      <x:c r="M59" t="str"/>
      <x:c r="N59" t="str"/>
      <x:c r="O59" t="str"/>
      <x:c r="P59" t="str">
        <x:v>OPEN</x:v>
      </x:c>
    </x:row>
    <x:row r="60" ht="34" customHeight="1">
      <x:c r="B60" t="str">
        <x:v>RFA-E054</x:v>
      </x:c>
      <x:c r="C60" t="str">
        <x:v>AM-02</x:v>
      </x:c>
      <x:c r="D60" t="str">
        <x:v>AF-3</x:v>
      </x:c>
      <x:c r="E60" t="str">
        <x:v>BA</x:v>
      </x:c>
      <x:c r="F60" t="str">
        <x:v>PTC-C</x:v>
      </x:c>
      <x:c r="G60" t="str">
        <x:v>surrogate-C</x:v>
      </x:c>
      <x:c r="H60" t="str">
        <x:v>—</x:v>
      </x:c>
      <x:c r="I60" t="str">
        <x:v>development</x:v>
      </x:c>
      <x:c r="J60" s="11" t="str">
        <x:v>surrogate-C</x:v>
      </x:c>
      <x:c r="K60" t="n">
        <x:v>500</x:v>
      </x:c>
      <x:c r="L60" t="n">
        <x:v>1</x:v>
      </x:c>
      <x:c r="M60" t="str"/>
      <x:c r="N60" t="str"/>
      <x:c r="O60" t="str"/>
      <x:c r="P60" t="str">
        <x:v>OPEN</x:v>
      </x:c>
    </x:row>
    <x:row r="61" ht="34" customHeight="1">
      <x:c r="B61" t="str">
        <x:v>RFA-E055</x:v>
      </x:c>
      <x:c r="C61" t="str">
        <x:v>AM-03</x:v>
      </x:c>
      <x:c r="D61" t="str">
        <x:v>AF-3</x:v>
      </x:c>
      <x:c r="E61" t="str">
        <x:v>BA</x:v>
      </x:c>
      <x:c r="F61" t="str">
        <x:v>PTC-A</x:v>
      </x:c>
      <x:c r="G61" t="str">
        <x:v>debris-A</x:v>
      </x:c>
      <x:c r="H61" t="str">
        <x:v>—</x:v>
      </x:c>
      <x:c r="I61" t="str">
        <x:v>development</x:v>
      </x:c>
      <x:c r="J61" s="11" t="str">
        <x:v>debris-A</x:v>
      </x:c>
      <x:c r="K61" t="n">
        <x:v>500</x:v>
      </x:c>
      <x:c r="L61" t="n">
        <x:v>1</x:v>
      </x:c>
      <x:c r="M61" t="str"/>
      <x:c r="N61" t="str"/>
      <x:c r="O61" t="str"/>
      <x:c r="P61" t="str">
        <x:v>OPEN</x:v>
      </x:c>
    </x:row>
    <x:row r="62" ht="34" customHeight="1">
      <x:c r="B62" t="str">
        <x:v>RFA-E056</x:v>
      </x:c>
      <x:c r="C62" t="str">
        <x:v>AM-03</x:v>
      </x:c>
      <x:c r="D62" t="str">
        <x:v>AF-3</x:v>
      </x:c>
      <x:c r="E62" t="str">
        <x:v>BA</x:v>
      </x:c>
      <x:c r="F62" t="str">
        <x:v>PTC-B</x:v>
      </x:c>
      <x:c r="G62" t="str">
        <x:v>debris-B</x:v>
      </x:c>
      <x:c r="H62" t="str">
        <x:v>—</x:v>
      </x:c>
      <x:c r="I62" t="str">
        <x:v>development</x:v>
      </x:c>
      <x:c r="J62" s="11" t="str">
        <x:v>debris-B</x:v>
      </x:c>
      <x:c r="K62" t="n">
        <x:v>500</x:v>
      </x:c>
      <x:c r="L62" t="n">
        <x:v>1</x:v>
      </x:c>
      <x:c r="M62" t="str"/>
      <x:c r="N62" t="str"/>
      <x:c r="O62" t="str"/>
      <x:c r="P62" t="str">
        <x:v>OPEN</x:v>
      </x:c>
    </x:row>
    <x:row r="63" ht="34" customHeight="1">
      <x:c r="B63" t="str">
        <x:v>RFA-E057</x:v>
      </x:c>
      <x:c r="C63" t="str">
        <x:v>AM-03</x:v>
      </x:c>
      <x:c r="D63" t="str">
        <x:v>AF-3</x:v>
      </x:c>
      <x:c r="E63" t="str">
        <x:v>BA</x:v>
      </x:c>
      <x:c r="F63" t="str">
        <x:v>PTC-C</x:v>
      </x:c>
      <x:c r="G63" t="str">
        <x:v>debris-C</x:v>
      </x:c>
      <x:c r="H63" t="str">
        <x:v>—</x:v>
      </x:c>
      <x:c r="I63" t="str">
        <x:v>development</x:v>
      </x:c>
      <x:c r="J63" s="11" t="str">
        <x:v>debris-C</x:v>
      </x:c>
      <x:c r="K63" t="n">
        <x:v>500</x:v>
      </x:c>
      <x:c r="L63" t="n">
        <x:v>1</x:v>
      </x:c>
      <x:c r="M63" t="str"/>
      <x:c r="N63" t="str"/>
      <x:c r="O63" t="str"/>
      <x:c r="P63" t="str">
        <x:v>OPEN</x:v>
      </x:c>
    </x:row>
    <x:row r="64" ht="34" customHeight="1">
      <x:c r="B64" t="str">
        <x:v>RFA-E058</x:v>
      </x:c>
      <x:c r="C64" t="str">
        <x:v>AM-04</x:v>
      </x:c>
      <x:c r="D64" t="str">
        <x:v>AF-3</x:v>
      </x:c>
      <x:c r="E64" t="str">
        <x:v>BA</x:v>
      </x:c>
      <x:c r="F64" t="str">
        <x:v>PTC-A</x:v>
      </x:c>
      <x:c r="G64" t="str">
        <x:v>segregation-A</x:v>
      </x:c>
      <x:c r="H64" t="str">
        <x:v>—</x:v>
      </x:c>
      <x:c r="I64" t="str">
        <x:v>development</x:v>
      </x:c>
      <x:c r="J64" s="11" t="str">
        <x:v>segregation-A</x:v>
      </x:c>
      <x:c r="K64" t="n">
        <x:v>0</x:v>
      </x:c>
      <x:c r="L64" t="n">
        <x:v>1</x:v>
      </x:c>
      <x:c r="M64" t="str"/>
      <x:c r="N64" t="str"/>
      <x:c r="O64" t="str"/>
      <x:c r="P64" t="str">
        <x:v>OPEN</x:v>
      </x:c>
    </x:row>
    <x:row r="65" ht="34" customHeight="1">
      <x:c r="B65" t="str">
        <x:v>RFA-E059</x:v>
      </x:c>
      <x:c r="C65" t="str">
        <x:v>AM-04</x:v>
      </x:c>
      <x:c r="D65" t="str">
        <x:v>AF-3</x:v>
      </x:c>
      <x:c r="E65" t="str">
        <x:v>BA</x:v>
      </x:c>
      <x:c r="F65" t="str">
        <x:v>PTC-B</x:v>
      </x:c>
      <x:c r="G65" t="str">
        <x:v>segregation-B</x:v>
      </x:c>
      <x:c r="H65" t="str">
        <x:v>—</x:v>
      </x:c>
      <x:c r="I65" t="str">
        <x:v>development</x:v>
      </x:c>
      <x:c r="J65" s="11" t="str">
        <x:v>segregation-B</x:v>
      </x:c>
      <x:c r="K65" t="n">
        <x:v>0</x:v>
      </x:c>
      <x:c r="L65" t="n">
        <x:v>1</x:v>
      </x:c>
      <x:c r="M65" t="str"/>
      <x:c r="N65" t="str"/>
      <x:c r="O65" t="str"/>
      <x:c r="P65" t="str">
        <x:v>OPEN</x:v>
      </x:c>
    </x:row>
    <x:row r="66" ht="34" customHeight="1">
      <x:c r="B66" t="str">
        <x:v>RFA-E060</x:v>
      </x:c>
      <x:c r="C66" t="str">
        <x:v>AM-04</x:v>
      </x:c>
      <x:c r="D66" t="str">
        <x:v>AF-3</x:v>
      </x:c>
      <x:c r="E66" t="str">
        <x:v>BA</x:v>
      </x:c>
      <x:c r="F66" t="str">
        <x:v>PTC-C</x:v>
      </x:c>
      <x:c r="G66" t="str">
        <x:v>segregation-C</x:v>
      </x:c>
      <x:c r="H66" t="str">
        <x:v>—</x:v>
      </x:c>
      <x:c r="I66" t="str">
        <x:v>development</x:v>
      </x:c>
      <x:c r="J66" s="11" t="str">
        <x:v>segregation-C</x:v>
      </x:c>
      <x:c r="K66" t="n">
        <x:v>0</x:v>
      </x:c>
      <x:c r="L66" t="n">
        <x:v>1</x:v>
      </x:c>
      <x:c r="M66" t="str"/>
      <x:c r="N66" t="str"/>
      <x:c r="O66" t="str"/>
      <x:c r="P66" t="str">
        <x:v>OPEN</x:v>
      </x:c>
    </x:row>
    <x:row r="67" ht="34" customHeight="1">
      <x:c r="B67" t="str">
        <x:v>RFA-E061</x:v>
      </x:c>
      <x:c r="C67" t="str">
        <x:v>AM-00</x:v>
      </x:c>
      <x:c r="D67" t="str">
        <x:v>AF-3</x:v>
      </x:c>
      <x:c r="E67" t="str">
        <x:v>BB</x:v>
      </x:c>
      <x:c r="F67" t="str">
        <x:v>PTC-A</x:v>
      </x:c>
      <x:c r="G67" t="str">
        <x:v>grade-A</x:v>
      </x:c>
      <x:c r="H67" t="str">
        <x:v>—</x:v>
      </x:c>
      <x:c r="I67" t="str">
        <x:v>development</x:v>
      </x:c>
      <x:c r="J67" s="11" t="str">
        <x:v>grade-A</x:v>
      </x:c>
      <x:c r="K67" t="n">
        <x:v>0</x:v>
      </x:c>
      <x:c r="L67" t="n">
        <x:v>1</x:v>
      </x:c>
      <x:c r="M67" t="str"/>
      <x:c r="N67" t="str"/>
      <x:c r="O67" t="str"/>
      <x:c r="P67" t="str">
        <x:v>OPEN</x:v>
      </x:c>
    </x:row>
    <x:row r="68" ht="34" customHeight="1">
      <x:c r="B68" t="str">
        <x:v>RFA-E062</x:v>
      </x:c>
      <x:c r="C68" t="str">
        <x:v>AM-00</x:v>
      </x:c>
      <x:c r="D68" t="str">
        <x:v>AF-3</x:v>
      </x:c>
      <x:c r="E68" t="str">
        <x:v>BB</x:v>
      </x:c>
      <x:c r="F68" t="str">
        <x:v>PTC-B</x:v>
      </x:c>
      <x:c r="G68" t="str">
        <x:v>grade-B</x:v>
      </x:c>
      <x:c r="H68" t="str">
        <x:v>—</x:v>
      </x:c>
      <x:c r="I68" t="str">
        <x:v>development</x:v>
      </x:c>
      <x:c r="J68" s="11" t="str">
        <x:v>grade-B</x:v>
      </x:c>
      <x:c r="K68" t="n">
        <x:v>0</x:v>
      </x:c>
      <x:c r="L68" t="n">
        <x:v>1</x:v>
      </x:c>
      <x:c r="M68" t="str"/>
      <x:c r="N68" t="str"/>
      <x:c r="O68" t="str"/>
      <x:c r="P68" t="str">
        <x:v>OPEN</x:v>
      </x:c>
    </x:row>
    <x:row r="69" ht="34" customHeight="1">
      <x:c r="B69" t="str">
        <x:v>RFA-E063</x:v>
      </x:c>
      <x:c r="C69" t="str">
        <x:v>AM-01</x:v>
      </x:c>
      <x:c r="D69" t="str">
        <x:v>AF-3</x:v>
      </x:c>
      <x:c r="E69" t="str">
        <x:v>BB</x:v>
      </x:c>
      <x:c r="F69" t="str">
        <x:v>PTC-A</x:v>
      </x:c>
      <x:c r="G69" t="str">
        <x:v>water-A</x:v>
      </x:c>
      <x:c r="H69" t="str">
        <x:v>—</x:v>
      </x:c>
      <x:c r="I69" t="str">
        <x:v>development</x:v>
      </x:c>
      <x:c r="J69" s="11" t="str">
        <x:v>water-A</x:v>
      </x:c>
      <x:c r="K69" t="n">
        <x:v>0</x:v>
      </x:c>
      <x:c r="L69" t="n">
        <x:v>1</x:v>
      </x:c>
      <x:c r="M69" t="str"/>
      <x:c r="N69" t="str"/>
      <x:c r="O69" t="str"/>
      <x:c r="P69" t="str">
        <x:v>OPEN</x:v>
      </x:c>
    </x:row>
    <x:row r="70" ht="34" customHeight="1">
      <x:c r="B70" t="str">
        <x:v>RFA-E064</x:v>
      </x:c>
      <x:c r="C70" t="str">
        <x:v>AM-01</x:v>
      </x:c>
      <x:c r="D70" t="str">
        <x:v>AF-3</x:v>
      </x:c>
      <x:c r="E70" t="str">
        <x:v>BB</x:v>
      </x:c>
      <x:c r="F70" t="str">
        <x:v>PTC-C</x:v>
      </x:c>
      <x:c r="G70" t="str">
        <x:v>water-C</x:v>
      </x:c>
      <x:c r="H70" t="str">
        <x:v>—</x:v>
      </x:c>
      <x:c r="I70" t="str">
        <x:v>development</x:v>
      </x:c>
      <x:c r="J70" s="11" t="str">
        <x:v>water-C</x:v>
      </x:c>
      <x:c r="K70" t="n">
        <x:v>0</x:v>
      </x:c>
      <x:c r="L70" t="n">
        <x:v>1</x:v>
      </x:c>
      <x:c r="M70" t="str"/>
      <x:c r="N70" t="str"/>
      <x:c r="O70" t="str"/>
      <x:c r="P70" t="str">
        <x:v>OPEN</x:v>
      </x:c>
    </x:row>
    <x:row r="71" ht="34" customHeight="1">
      <x:c r="B71" t="str">
        <x:v>RFA-E065</x:v>
      </x:c>
      <x:c r="C71" t="str">
        <x:v>AM-02</x:v>
      </x:c>
      <x:c r="D71" t="str">
        <x:v>AF-3</x:v>
      </x:c>
      <x:c r="E71" t="str">
        <x:v>BB</x:v>
      </x:c>
      <x:c r="F71" t="str">
        <x:v>PTC-B</x:v>
      </x:c>
      <x:c r="G71" t="str">
        <x:v>surrogate-B</x:v>
      </x:c>
      <x:c r="H71" t="str">
        <x:v>—</x:v>
      </x:c>
      <x:c r="I71" t="str">
        <x:v>development</x:v>
      </x:c>
      <x:c r="J71" s="11" t="str">
        <x:v>surrogate-B</x:v>
      </x:c>
      <x:c r="K71" t="n">
        <x:v>500</x:v>
      </x:c>
      <x:c r="L71" t="n">
        <x:v>1</x:v>
      </x:c>
      <x:c r="M71" t="str"/>
      <x:c r="N71" t="str"/>
      <x:c r="O71" t="str"/>
      <x:c r="P71" t="str">
        <x:v>OPEN</x:v>
      </x:c>
    </x:row>
    <x:row r="72" ht="34" customHeight="1">
      <x:c r="B72" t="str">
        <x:v>RFA-E066</x:v>
      </x:c>
      <x:c r="C72" t="str">
        <x:v>AM-02</x:v>
      </x:c>
      <x:c r="D72" t="str">
        <x:v>AF-3</x:v>
      </x:c>
      <x:c r="E72" t="str">
        <x:v>BB</x:v>
      </x:c>
      <x:c r="F72" t="str">
        <x:v>PTC-C</x:v>
      </x:c>
      <x:c r="G72" t="str">
        <x:v>surrogate-C</x:v>
      </x:c>
      <x:c r="H72" t="str">
        <x:v>—</x:v>
      </x:c>
      <x:c r="I72" t="str">
        <x:v>development</x:v>
      </x:c>
      <x:c r="J72" s="11" t="str">
        <x:v>surrogate-C</x:v>
      </x:c>
      <x:c r="K72" t="n">
        <x:v>500</x:v>
      </x:c>
      <x:c r="L72" t="n">
        <x:v>1</x:v>
      </x:c>
      <x:c r="M72" t="str"/>
      <x:c r="N72" t="str"/>
      <x:c r="O72" t="str"/>
      <x:c r="P72" t="str">
        <x:v>OPEN</x:v>
      </x:c>
    </x:row>
    <x:row r="73" ht="34" customHeight="1">
      <x:c r="B73" t="str">
        <x:v>RFA-E067</x:v>
      </x:c>
      <x:c r="C73" t="str">
        <x:v>AM-03</x:v>
      </x:c>
      <x:c r="D73" t="str">
        <x:v>AF-3</x:v>
      </x:c>
      <x:c r="E73" t="str">
        <x:v>BB</x:v>
      </x:c>
      <x:c r="F73" t="str">
        <x:v>PTC-A</x:v>
      </x:c>
      <x:c r="G73" t="str">
        <x:v>debris-A</x:v>
      </x:c>
      <x:c r="H73" t="str">
        <x:v>—</x:v>
      </x:c>
      <x:c r="I73" t="str">
        <x:v>development</x:v>
      </x:c>
      <x:c r="J73" s="11" t="str">
        <x:v>debris-A</x:v>
      </x:c>
      <x:c r="K73" t="n">
        <x:v>500</x:v>
      </x:c>
      <x:c r="L73" t="n">
        <x:v>1</x:v>
      </x:c>
      <x:c r="M73" t="str"/>
      <x:c r="N73" t="str"/>
      <x:c r="O73" t="str"/>
      <x:c r="P73" t="str">
        <x:v>OPEN</x:v>
      </x:c>
    </x:row>
    <x:row r="74" ht="34" customHeight="1">
      <x:c r="B74" t="str">
        <x:v>RFA-E068</x:v>
      </x:c>
      <x:c r="C74" t="str">
        <x:v>AM-03</x:v>
      </x:c>
      <x:c r="D74" t="str">
        <x:v>AF-3</x:v>
      </x:c>
      <x:c r="E74" t="str">
        <x:v>BB</x:v>
      </x:c>
      <x:c r="F74" t="str">
        <x:v>PTC-B</x:v>
      </x:c>
      <x:c r="G74" t="str">
        <x:v>debris-B</x:v>
      </x:c>
      <x:c r="H74" t="str">
        <x:v>—</x:v>
      </x:c>
      <x:c r="I74" t="str">
        <x:v>development</x:v>
      </x:c>
      <x:c r="J74" s="11" t="str">
        <x:v>debris-B</x:v>
      </x:c>
      <x:c r="K74" t="n">
        <x:v>500</x:v>
      </x:c>
      <x:c r="L74" t="n">
        <x:v>1</x:v>
      </x:c>
      <x:c r="M74" t="str"/>
      <x:c r="N74" t="str"/>
      <x:c r="O74" t="str"/>
      <x:c r="P74" t="str">
        <x:v>OPEN</x:v>
      </x:c>
    </x:row>
    <x:row r="75" ht="34" customHeight="1">
      <x:c r="B75" t="str">
        <x:v>RFA-E069</x:v>
      </x:c>
      <x:c r="C75" t="str">
        <x:v>AM-03</x:v>
      </x:c>
      <x:c r="D75" t="str">
        <x:v>AF-3</x:v>
      </x:c>
      <x:c r="E75" t="str">
        <x:v>BB</x:v>
      </x:c>
      <x:c r="F75" t="str">
        <x:v>PTC-C</x:v>
      </x:c>
      <x:c r="G75" t="str">
        <x:v>debris-C</x:v>
      </x:c>
      <x:c r="H75" t="str">
        <x:v>—</x:v>
      </x:c>
      <x:c r="I75" t="str">
        <x:v>development</x:v>
      </x:c>
      <x:c r="J75" s="11" t="str">
        <x:v>debris-C</x:v>
      </x:c>
      <x:c r="K75" t="n">
        <x:v>500</x:v>
      </x:c>
      <x:c r="L75" t="n">
        <x:v>1</x:v>
      </x:c>
      <x:c r="M75" t="str"/>
      <x:c r="N75" t="str"/>
      <x:c r="O75" t="str"/>
      <x:c r="P75" t="str">
        <x:v>OPEN</x:v>
      </x:c>
    </x:row>
    <x:row r="76" ht="34" customHeight="1">
      <x:c r="B76" t="str">
        <x:v>RFA-E070</x:v>
      </x:c>
      <x:c r="C76" t="str">
        <x:v>AM-04</x:v>
      </x:c>
      <x:c r="D76" t="str">
        <x:v>AF-3</x:v>
      </x:c>
      <x:c r="E76" t="str">
        <x:v>BB</x:v>
      </x:c>
      <x:c r="F76" t="str">
        <x:v>PTC-A</x:v>
      </x:c>
      <x:c r="G76" t="str">
        <x:v>segregation-A</x:v>
      </x:c>
      <x:c r="H76" t="str">
        <x:v>—</x:v>
      </x:c>
      <x:c r="I76" t="str">
        <x:v>development</x:v>
      </x:c>
      <x:c r="J76" s="11" t="str">
        <x:v>segregation-A</x:v>
      </x:c>
      <x:c r="K76" t="n">
        <x:v>0</x:v>
      </x:c>
      <x:c r="L76" t="n">
        <x:v>1</x:v>
      </x:c>
      <x:c r="M76" t="str"/>
      <x:c r="N76" t="str"/>
      <x:c r="O76" t="str"/>
      <x:c r="P76" t="str">
        <x:v>OPEN</x:v>
      </x:c>
    </x:row>
    <x:row r="77" ht="34" customHeight="1">
      <x:c r="B77" t="str">
        <x:v>RFA-E071</x:v>
      </x:c>
      <x:c r="C77" t="str">
        <x:v>AM-04</x:v>
      </x:c>
      <x:c r="D77" t="str">
        <x:v>AF-3</x:v>
      </x:c>
      <x:c r="E77" t="str">
        <x:v>BB</x:v>
      </x:c>
      <x:c r="F77" t="str">
        <x:v>PTC-B</x:v>
      </x:c>
      <x:c r="G77" t="str">
        <x:v>segregation-B</x:v>
      </x:c>
      <x:c r="H77" t="str">
        <x:v>—</x:v>
      </x:c>
      <x:c r="I77" t="str">
        <x:v>development</x:v>
      </x:c>
      <x:c r="J77" s="11" t="str">
        <x:v>segregation-B</x:v>
      </x:c>
      <x:c r="K77" t="n">
        <x:v>0</x:v>
      </x:c>
      <x:c r="L77" t="n">
        <x:v>1</x:v>
      </x:c>
      <x:c r="M77" t="str"/>
      <x:c r="N77" t="str"/>
      <x:c r="O77" t="str"/>
      <x:c r="P77" t="str">
        <x:v>OPEN</x:v>
      </x:c>
    </x:row>
    <x:row r="78" ht="34" customHeight="1">
      <x:c r="B78" t="str">
        <x:v>RFA-E072</x:v>
      </x:c>
      <x:c r="C78" t="str">
        <x:v>AM-04</x:v>
      </x:c>
      <x:c r="D78" t="str">
        <x:v>AF-3</x:v>
      </x:c>
      <x:c r="E78" t="str">
        <x:v>BB</x:v>
      </x:c>
      <x:c r="F78" t="str">
        <x:v>PTC-C</x:v>
      </x:c>
      <x:c r="G78" t="str">
        <x:v>segregation-C</x:v>
      </x:c>
      <x:c r="H78" t="str">
        <x:v>—</x:v>
      </x:c>
      <x:c r="I78" t="str">
        <x:v>development</x:v>
      </x:c>
      <x:c r="J78" s="11" t="str">
        <x:v>segregation-C</x:v>
      </x:c>
      <x:c r="K78" t="n">
        <x:v>0</x:v>
      </x:c>
      <x:c r="L78" t="n">
        <x:v>1</x:v>
      </x:c>
      <x:c r="M78" t="str"/>
      <x:c r="N78" t="str"/>
      <x:c r="O78" t="str"/>
      <x:c r="P78" t="str">
        <x:v>OPEN</x:v>
      </x:c>
    </x:row>
    <x:row r="79" ht="34" customHeight="1">
      <x:c r="B79" t="str">
        <x:v>RFA-E073</x:v>
      </x:c>
      <x:c r="C79" t="str">
        <x:v>AM-05</x:v>
      </x:c>
      <x:c r="D79" t="str">
        <x:v>AF-1</x:v>
      </x:c>
      <x:c r="E79" t="str">
        <x:v>BA</x:v>
      </x:c>
      <x:c r="F79" t="str">
        <x:v>PTC-B</x:v>
      </x:c>
      <x:c r="G79" t="str">
        <x:v>AF-1-BA-A01</x:v>
      </x:c>
      <x:c r="H79" t="str">
        <x:v>RFA-P001</x:v>
      </x:c>
      <x:c r="I79" t="str">
        <x:v>control</x:v>
      </x:c>
      <x:c r="J79" s="11" t="str">
        <x:v>matched clean state</x:v>
      </x:c>
      <x:c r="K79" t="n">
        <x:v>500</x:v>
      </x:c>
      <x:c r="L79" t="n">
        <x:v>1</x:v>
      </x:c>
      <x:c r="M79" t="str"/>
      <x:c r="N79" t="str"/>
      <x:c r="O79" t="str"/>
      <x:c r="P79" t="str">
        <x:v>OPEN</x:v>
      </x:c>
    </x:row>
    <x:row r="80" ht="34" customHeight="1">
      <x:c r="B80" t="str">
        <x:v>RFA-E074</x:v>
      </x:c>
      <x:c r="C80" t="str">
        <x:v>AM-05</x:v>
      </x:c>
      <x:c r="D80" t="str">
        <x:v>AF-1</x:v>
      </x:c>
      <x:c r="E80" t="str">
        <x:v>BA</x:v>
      </x:c>
      <x:c r="F80" t="str">
        <x:v>PTC-B</x:v>
      </x:c>
      <x:c r="G80" t="str">
        <x:v>AF-1-BA-A01</x:v>
      </x:c>
      <x:c r="H80" t="str">
        <x:v>RFA-P001</x:v>
      </x:c>
      <x:c r="I80" t="str">
        <x:v>challenge</x:v>
      </x:c>
      <x:c r="J80" s="11" t="str">
        <x:v>adverse grade</x:v>
      </x:c>
      <x:c r="K80" t="n">
        <x:v>500</x:v>
      </x:c>
      <x:c r="L80" t="n">
        <x:v>2</x:v>
      </x:c>
      <x:c r="M80" t="str"/>
      <x:c r="N80" t="str"/>
      <x:c r="O80" t="str"/>
      <x:c r="P80" t="str">
        <x:v>OPEN</x:v>
      </x:c>
    </x:row>
    <x:row r="81" ht="34" customHeight="1">
      <x:c r="B81" t="str">
        <x:v>RFA-E075</x:v>
      </x:c>
      <x:c r="C81" t="str">
        <x:v>AM-05</x:v>
      </x:c>
      <x:c r="D81" t="str">
        <x:v>AF-1</x:v>
      </x:c>
      <x:c r="E81" t="str">
        <x:v>BA</x:v>
      </x:c>
      <x:c r="F81" t="str">
        <x:v>PTC-B</x:v>
      </x:c>
      <x:c r="G81" t="str">
        <x:v>AF-1-BA-A02</x:v>
      </x:c>
      <x:c r="H81" t="str">
        <x:v>RFA-P002</x:v>
      </x:c>
      <x:c r="I81" t="str">
        <x:v>challenge</x:v>
      </x:c>
      <x:c r="J81" s="11" t="str">
        <x:v>half drain area</x:v>
      </x:c>
      <x:c r="K81" t="n">
        <x:v>500</x:v>
      </x:c>
      <x:c r="L81" t="n">
        <x:v>1</x:v>
      </x:c>
      <x:c r="M81" t="str"/>
      <x:c r="N81" t="str"/>
      <x:c r="O81" t="str"/>
      <x:c r="P81" t="str">
        <x:v>OPEN</x:v>
      </x:c>
    </x:row>
    <x:row r="82" ht="34" customHeight="1">
      <x:c r="B82" t="str">
        <x:v>RFA-E076</x:v>
      </x:c>
      <x:c r="C82" t="str">
        <x:v>AM-05</x:v>
      </x:c>
      <x:c r="D82" t="str">
        <x:v>AF-1</x:v>
      </x:c>
      <x:c r="E82" t="str">
        <x:v>BA</x:v>
      </x:c>
      <x:c r="F82" t="str">
        <x:v>PTC-B</x:v>
      </x:c>
      <x:c r="G82" t="str">
        <x:v>AF-1-BA-A02</x:v>
      </x:c>
      <x:c r="H82" t="str">
        <x:v>RFA-P002</x:v>
      </x:c>
      <x:c r="I82" t="str">
        <x:v>control</x:v>
      </x:c>
      <x:c r="J82" s="11" t="str">
        <x:v>matched clean state</x:v>
      </x:c>
      <x:c r="K82" t="n">
        <x:v>500</x:v>
      </x:c>
      <x:c r="L82" t="n">
        <x:v>2</x:v>
      </x:c>
      <x:c r="M82" t="str"/>
      <x:c r="N82" t="str"/>
      <x:c r="O82" t="str"/>
      <x:c r="P82" t="str">
        <x:v>OPEN</x:v>
      </x:c>
    </x:row>
    <x:row r="83" ht="34" customHeight="1">
      <x:c r="B83" t="str">
        <x:v>RFA-E077</x:v>
      </x:c>
      <x:c r="C83" t="str">
        <x:v>AM-05</x:v>
      </x:c>
      <x:c r="D83" t="str">
        <x:v>AF-1</x:v>
      </x:c>
      <x:c r="E83" t="str">
        <x:v>BA</x:v>
      </x:c>
      <x:c r="F83" t="str">
        <x:v>PTC-B</x:v>
      </x:c>
      <x:c r="G83" t="str">
        <x:v>AF-1-BA-A03</x:v>
      </x:c>
      <x:c r="H83" t="str">
        <x:v>RFA-P003</x:v>
      </x:c>
      <x:c r="I83" t="str">
        <x:v>control</x:v>
      </x:c>
      <x:c r="J83" s="11" t="str">
        <x:v>matched clean state</x:v>
      </x:c>
      <x:c r="K83" t="n">
        <x:v>500</x:v>
      </x:c>
      <x:c r="L83" t="n">
        <x:v>1</x:v>
      </x:c>
      <x:c r="M83" t="str"/>
      <x:c r="N83" t="str"/>
      <x:c r="O83" t="str"/>
      <x:c r="P83" t="str">
        <x:v>OPEN</x:v>
      </x:c>
    </x:row>
    <x:row r="84" ht="34" customHeight="1">
      <x:c r="B84" t="str">
        <x:v>RFA-E078</x:v>
      </x:c>
      <x:c r="C84" t="str">
        <x:v>AM-05</x:v>
      </x:c>
      <x:c r="D84" t="str">
        <x:v>AF-1</x:v>
      </x:c>
      <x:c r="E84" t="str">
        <x:v>BA</x:v>
      </x:c>
      <x:c r="F84" t="str">
        <x:v>PTC-B</x:v>
      </x:c>
      <x:c r="G84" t="str">
        <x:v>AF-1-BA-A03</x:v>
      </x:c>
      <x:c r="H84" t="str">
        <x:v>RFA-P003</x:v>
      </x:c>
      <x:c r="I84" t="str">
        <x:v>challenge</x:v>
      </x:c>
      <x:c r="J84" s="11" t="str">
        <x:v>sump half full</x:v>
      </x:c>
      <x:c r="K84" t="n">
        <x:v>500</x:v>
      </x:c>
      <x:c r="L84" t="n">
        <x:v>2</x:v>
      </x:c>
      <x:c r="M84" t="str"/>
      <x:c r="N84" t="str"/>
      <x:c r="O84" t="str"/>
      <x:c r="P84" t="str">
        <x:v>OPEN</x:v>
      </x:c>
    </x:row>
    <x:row r="85" ht="34" customHeight="1">
      <x:c r="B85" t="str">
        <x:v>RFA-E079</x:v>
      </x:c>
      <x:c r="C85" t="str">
        <x:v>AM-05</x:v>
      </x:c>
      <x:c r="D85" t="str">
        <x:v>AF-1</x:v>
      </x:c>
      <x:c r="E85" t="str">
        <x:v>BA</x:v>
      </x:c>
      <x:c r="F85" t="str">
        <x:v>PTC-B</x:v>
      </x:c>
      <x:c r="G85" t="str">
        <x:v>AF-1-BA-A04</x:v>
      </x:c>
      <x:c r="H85" t="str">
        <x:v>RFA-P004</x:v>
      </x:c>
      <x:c r="I85" t="str">
        <x:v>challenge</x:v>
      </x:c>
      <x:c r="J85" s="11" t="str">
        <x:v>debris field</x:v>
      </x:c>
      <x:c r="K85" t="n">
        <x:v>500</x:v>
      </x:c>
      <x:c r="L85" t="n">
        <x:v>1</x:v>
      </x:c>
      <x:c r="M85" t="str"/>
      <x:c r="N85" t="str"/>
      <x:c r="O85" t="str"/>
      <x:c r="P85" t="str">
        <x:v>OPEN</x:v>
      </x:c>
    </x:row>
    <x:row r="86" ht="34" customHeight="1">
      <x:c r="B86" t="str">
        <x:v>RFA-E080</x:v>
      </x:c>
      <x:c r="C86" t="str">
        <x:v>AM-05</x:v>
      </x:c>
      <x:c r="D86" t="str">
        <x:v>AF-1</x:v>
      </x:c>
      <x:c r="E86" t="str">
        <x:v>BA</x:v>
      </x:c>
      <x:c r="F86" t="str">
        <x:v>PTC-B</x:v>
      </x:c>
      <x:c r="G86" t="str">
        <x:v>AF-1-BA-A04</x:v>
      </x:c>
      <x:c r="H86" t="str">
        <x:v>RFA-P004</x:v>
      </x:c>
      <x:c r="I86" t="str">
        <x:v>control</x:v>
      </x:c>
      <x:c r="J86" s="11" t="str">
        <x:v>matched clean state</x:v>
      </x:c>
      <x:c r="K86" t="n">
        <x:v>500</x:v>
      </x:c>
      <x:c r="L86" t="n">
        <x:v>2</x:v>
      </x:c>
      <x:c r="M86" t="str"/>
      <x:c r="N86" t="str"/>
      <x:c r="O86" t="str"/>
      <x:c r="P86" t="str">
        <x:v>OPEN</x:v>
      </x:c>
    </x:row>
    <x:row r="87" ht="34" customHeight="1">
      <x:c r="B87" t="str">
        <x:v>RFA-E081</x:v>
      </x:c>
      <x:c r="C87" t="str">
        <x:v>AM-07</x:v>
      </x:c>
      <x:c r="D87" t="str">
        <x:v>AF-1</x:v>
      </x:c>
      <x:c r="E87" t="str">
        <x:v>BA</x:v>
      </x:c>
      <x:c r="F87" t="str">
        <x:v>PTC-B</x:v>
      </x:c>
      <x:c r="G87" t="str">
        <x:v>AF-1-BA-A05</x:v>
      </x:c>
      <x:c r="H87" t="str">
        <x:v>RFA-P005</x:v>
      </x:c>
      <x:c r="I87" t="str">
        <x:v>control</x:v>
      </x:c>
      <x:c r="J87" s="11" t="str">
        <x:v>matched clean state</x:v>
      </x:c>
      <x:c r="K87" t="n">
        <x:v>2000</x:v>
      </x:c>
      <x:c r="L87" t="n">
        <x:v>1</x:v>
      </x:c>
      <x:c r="M87" t="str"/>
      <x:c r="N87" t="str"/>
      <x:c r="O87" t="str"/>
      <x:c r="P87" t="str">
        <x:v>OPEN</x:v>
      </x:c>
    </x:row>
    <x:row r="88" ht="34" customHeight="1">
      <x:c r="B88" t="str">
        <x:v>RFA-E082</x:v>
      </x:c>
      <x:c r="C88" t="str">
        <x:v>AM-07</x:v>
      </x:c>
      <x:c r="D88" t="str">
        <x:v>AF-1</x:v>
      </x:c>
      <x:c r="E88" t="str">
        <x:v>BA</x:v>
      </x:c>
      <x:c r="F88" t="str">
        <x:v>PTC-B</x:v>
      </x:c>
      <x:c r="G88" t="str">
        <x:v>AF-1-BA-A05</x:v>
      </x:c>
      <x:c r="H88" t="str">
        <x:v>RFA-P005</x:v>
      </x:c>
      <x:c r="I88" t="str">
        <x:v>challenge</x:v>
      </x:c>
      <x:c r="J88" s="11" t="str">
        <x:v>bounded pool fire</x:v>
      </x:c>
      <x:c r="K88" t="n">
        <x:v>2000</x:v>
      </x:c>
      <x:c r="L88" t="n">
        <x:v>2</x:v>
      </x:c>
      <x:c r="M88" t="str"/>
      <x:c r="N88" t="str"/>
      <x:c r="O88" t="str"/>
      <x:c r="P88" t="str">
        <x:v>OPEN</x:v>
      </x:c>
    </x:row>
    <x:row r="89" ht="34" customHeight="1">
      <x:c r="B89" t="str">
        <x:v>RFA-E083</x:v>
      </x:c>
      <x:c r="C89" t="str">
        <x:v>AM-07</x:v>
      </x:c>
      <x:c r="D89" t="str">
        <x:v>AF-1</x:v>
      </x:c>
      <x:c r="E89" t="str">
        <x:v>BA</x:v>
      </x:c>
      <x:c r="F89" t="str">
        <x:v>PTC-B</x:v>
      </x:c>
      <x:c r="G89" t="str">
        <x:v>AF-1-BA-A06</x:v>
      </x:c>
      <x:c r="H89" t="str">
        <x:v>RFA-P006</x:v>
      </x:c>
      <x:c r="I89" t="str">
        <x:v>challenge</x:v>
      </x:c>
      <x:c r="J89" s="11" t="str">
        <x:v>firewater capacity shock</x:v>
      </x:c>
      <x:c r="K89" t="n">
        <x:v>2000</x:v>
      </x:c>
      <x:c r="L89" t="n">
        <x:v>1</x:v>
      </x:c>
      <x:c r="M89" t="str"/>
      <x:c r="N89" t="str"/>
      <x:c r="O89" t="str"/>
      <x:c r="P89" t="str">
        <x:v>OPEN</x:v>
      </x:c>
    </x:row>
    <x:row r="90" ht="34" customHeight="1">
      <x:c r="B90" t="str">
        <x:v>RFA-E084</x:v>
      </x:c>
      <x:c r="C90" t="str">
        <x:v>AM-07</x:v>
      </x:c>
      <x:c r="D90" t="str">
        <x:v>AF-1</x:v>
      </x:c>
      <x:c r="E90" t="str">
        <x:v>BA</x:v>
      </x:c>
      <x:c r="F90" t="str">
        <x:v>PTC-B</x:v>
      </x:c>
      <x:c r="G90" t="str">
        <x:v>AF-1-BA-A06</x:v>
      </x:c>
      <x:c r="H90" t="str">
        <x:v>RFA-P006</x:v>
      </x:c>
      <x:c r="I90" t="str">
        <x:v>control</x:v>
      </x:c>
      <x:c r="J90" s="11" t="str">
        <x:v>matched clean state</x:v>
      </x:c>
      <x:c r="K90" t="n">
        <x:v>2000</x:v>
      </x:c>
      <x:c r="L90" t="n">
        <x:v>2</x:v>
      </x:c>
      <x:c r="M90" t="str"/>
      <x:c r="N90" t="str"/>
      <x:c r="O90" t="str"/>
      <x:c r="P90" t="str">
        <x:v>OPEN</x:v>
      </x:c>
    </x:row>
    <x:row r="91" ht="34" customHeight="1">
      <x:c r="B91" t="str">
        <x:v>RFA-E085</x:v>
      </x:c>
      <x:c r="C91" t="str">
        <x:v>AM-07</x:v>
      </x:c>
      <x:c r="D91" t="str">
        <x:v>AF-1</x:v>
      </x:c>
      <x:c r="E91" t="str">
        <x:v>BA</x:v>
      </x:c>
      <x:c r="F91" t="str">
        <x:v>PTC-B</x:v>
      </x:c>
      <x:c r="G91" t="str">
        <x:v>AF-1-BA-A07</x:v>
      </x:c>
      <x:c r="H91" t="str">
        <x:v>RFA-P007</x:v>
      </x:c>
      <x:c r="I91" t="str">
        <x:v>control</x:v>
      </x:c>
      <x:c r="J91" s="11" t="str">
        <x:v>matched clean state</x:v>
      </x:c>
      <x:c r="K91" t="n">
        <x:v>2000</x:v>
      </x:c>
      <x:c r="L91" t="n">
        <x:v>1</x:v>
      </x:c>
      <x:c r="M91" t="str"/>
      <x:c r="N91" t="str"/>
      <x:c r="O91" t="str"/>
      <x:c r="P91" t="str">
        <x:v>OPEN</x:v>
      </x:c>
    </x:row>
    <x:row r="92" ht="34" customHeight="1">
      <x:c r="B92" t="str">
        <x:v>RFA-E086</x:v>
      </x:c>
      <x:c r="C92" t="str">
        <x:v>AM-07</x:v>
      </x:c>
      <x:c r="D92" t="str">
        <x:v>AF-1</x:v>
      </x:c>
      <x:c r="E92" t="str">
        <x:v>BA</x:v>
      </x:c>
      <x:c r="F92" t="str">
        <x:v>PTC-B</x:v>
      </x:c>
      <x:c r="G92" t="str">
        <x:v>AF-1-BA-A07</x:v>
      </x:c>
      <x:c r="H92" t="str">
        <x:v>RFA-P007</x:v>
      </x:c>
      <x:c r="I92" t="str">
        <x:v>challenge</x:v>
      </x:c>
      <x:c r="J92" s="11" t="str">
        <x:v>partial barrier plus wind</x:v>
      </x:c>
      <x:c r="K92" t="n">
        <x:v>2000</x:v>
      </x:c>
      <x:c r="L92" t="n">
        <x:v>2</x:v>
      </x:c>
      <x:c r="M92" t="str"/>
      <x:c r="N92" t="str"/>
      <x:c r="O92" t="str"/>
      <x:c r="P92" t="str">
        <x:v>OPEN</x:v>
      </x:c>
    </x:row>
    <x:row r="93" ht="34" customHeight="1">
      <x:c r="B93" t="str">
        <x:v>RFA-E087</x:v>
      </x:c>
      <x:c r="C93" t="str">
        <x:v>AM-07</x:v>
      </x:c>
      <x:c r="D93" t="str">
        <x:v>AF-1</x:v>
      </x:c>
      <x:c r="E93" t="str">
        <x:v>BA</x:v>
      </x:c>
      <x:c r="F93" t="str">
        <x:v>PTC-B</x:v>
      </x:c>
      <x:c r="G93" t="str">
        <x:v>AF-1-BA-A08</x:v>
      </x:c>
      <x:c r="H93" t="str">
        <x:v>RFA-P008</x:v>
      </x:c>
      <x:c r="I93" t="str">
        <x:v>challenge</x:v>
      </x:c>
      <x:c r="J93" s="11" t="str">
        <x:v>compound service denial</x:v>
      </x:c>
      <x:c r="K93" t="n">
        <x:v>2000</x:v>
      </x:c>
      <x:c r="L93" t="n">
        <x:v>1</x:v>
      </x:c>
      <x:c r="M93" t="str"/>
      <x:c r="N93" t="str"/>
      <x:c r="O93" t="str"/>
      <x:c r="P93" t="str">
        <x:v>OPEN</x:v>
      </x:c>
    </x:row>
    <x:row r="94" ht="34" customHeight="1">
      <x:c r="B94" t="str">
        <x:v>RFA-E088</x:v>
      </x:c>
      <x:c r="C94" t="str">
        <x:v>AM-07</x:v>
      </x:c>
      <x:c r="D94" t="str">
        <x:v>AF-1</x:v>
      </x:c>
      <x:c r="E94" t="str">
        <x:v>BA</x:v>
      </x:c>
      <x:c r="F94" t="str">
        <x:v>PTC-B</x:v>
      </x:c>
      <x:c r="G94" t="str">
        <x:v>AF-1-BA-A08</x:v>
      </x:c>
      <x:c r="H94" t="str">
        <x:v>RFA-P008</x:v>
      </x:c>
      <x:c r="I94" t="str">
        <x:v>control</x:v>
      </x:c>
      <x:c r="J94" s="11" t="str">
        <x:v>matched clean state</x:v>
      </x:c>
      <x:c r="K94" t="n">
        <x:v>2000</x:v>
      </x:c>
      <x:c r="L94" t="n">
        <x:v>2</x:v>
      </x:c>
      <x:c r="M94" t="str"/>
      <x:c r="N94" t="str"/>
      <x:c r="O94" t="str"/>
      <x:c r="P94" t="str">
        <x:v>OPEN</x:v>
      </x:c>
    </x:row>
    <x:row r="95" ht="34" customHeight="1">
      <x:c r="B95" t="str">
        <x:v>RFA-E089</x:v>
      </x:c>
      <x:c r="C95" t="str">
        <x:v>AM-05</x:v>
      </x:c>
      <x:c r="D95" t="str">
        <x:v>AF-1</x:v>
      </x:c>
      <x:c r="E95" t="str">
        <x:v>BA</x:v>
      </x:c>
      <x:c r="F95" t="str">
        <x:v>PTC-C</x:v>
      </x:c>
      <x:c r="G95" t="str">
        <x:v>AF-1-BA-A01</x:v>
      </x:c>
      <x:c r="H95" t="str">
        <x:v>RFA-P009</x:v>
      </x:c>
      <x:c r="I95" t="str">
        <x:v>control</x:v>
      </x:c>
      <x:c r="J95" s="11" t="str">
        <x:v>matched clean state</x:v>
      </x:c>
      <x:c r="K95" t="n">
        <x:v>500</x:v>
      </x:c>
      <x:c r="L95" t="n">
        <x:v>1</x:v>
      </x:c>
      <x:c r="M95" t="str"/>
      <x:c r="N95" t="str"/>
      <x:c r="O95" t="str"/>
      <x:c r="P95" t="str">
        <x:v>OPEN</x:v>
      </x:c>
    </x:row>
    <x:row r="96" ht="34" customHeight="1">
      <x:c r="B96" t="str">
        <x:v>RFA-E090</x:v>
      </x:c>
      <x:c r="C96" t="str">
        <x:v>AM-05</x:v>
      </x:c>
      <x:c r="D96" t="str">
        <x:v>AF-1</x:v>
      </x:c>
      <x:c r="E96" t="str">
        <x:v>BA</x:v>
      </x:c>
      <x:c r="F96" t="str">
        <x:v>PTC-C</x:v>
      </x:c>
      <x:c r="G96" t="str">
        <x:v>AF-1-BA-A01</x:v>
      </x:c>
      <x:c r="H96" t="str">
        <x:v>RFA-P009</x:v>
      </x:c>
      <x:c r="I96" t="str">
        <x:v>challenge</x:v>
      </x:c>
      <x:c r="J96" s="11" t="str">
        <x:v>adverse grade</x:v>
      </x:c>
      <x:c r="K96" t="n">
        <x:v>500</x:v>
      </x:c>
      <x:c r="L96" t="n">
        <x:v>2</x:v>
      </x:c>
      <x:c r="M96" t="str"/>
      <x:c r="N96" t="str"/>
      <x:c r="O96" t="str"/>
      <x:c r="P96" t="str">
        <x:v>OPEN</x:v>
      </x:c>
    </x:row>
    <x:row r="97" ht="34" customHeight="1">
      <x:c r="B97" t="str">
        <x:v>RFA-E091</x:v>
      </x:c>
      <x:c r="C97" t="str">
        <x:v>AM-05</x:v>
      </x:c>
      <x:c r="D97" t="str">
        <x:v>AF-1</x:v>
      </x:c>
      <x:c r="E97" t="str">
        <x:v>BA</x:v>
      </x:c>
      <x:c r="F97" t="str">
        <x:v>PTC-C</x:v>
      </x:c>
      <x:c r="G97" t="str">
        <x:v>AF-1-BA-A02</x:v>
      </x:c>
      <x:c r="H97" t="str">
        <x:v>RFA-P010</x:v>
      </x:c>
      <x:c r="I97" t="str">
        <x:v>challenge</x:v>
      </x:c>
      <x:c r="J97" s="11" t="str">
        <x:v>half drain area</x:v>
      </x:c>
      <x:c r="K97" t="n">
        <x:v>500</x:v>
      </x:c>
      <x:c r="L97" t="n">
        <x:v>1</x:v>
      </x:c>
      <x:c r="M97" t="str"/>
      <x:c r="N97" t="str"/>
      <x:c r="O97" t="str"/>
      <x:c r="P97" t="str">
        <x:v>OPEN</x:v>
      </x:c>
    </x:row>
    <x:row r="98" ht="34" customHeight="1">
      <x:c r="B98" t="str">
        <x:v>RFA-E092</x:v>
      </x:c>
      <x:c r="C98" t="str">
        <x:v>AM-05</x:v>
      </x:c>
      <x:c r="D98" t="str">
        <x:v>AF-1</x:v>
      </x:c>
      <x:c r="E98" t="str">
        <x:v>BA</x:v>
      </x:c>
      <x:c r="F98" t="str">
        <x:v>PTC-C</x:v>
      </x:c>
      <x:c r="G98" t="str">
        <x:v>AF-1-BA-A02</x:v>
      </x:c>
      <x:c r="H98" t="str">
        <x:v>RFA-P010</x:v>
      </x:c>
      <x:c r="I98" t="str">
        <x:v>control</x:v>
      </x:c>
      <x:c r="J98" s="11" t="str">
        <x:v>matched clean state</x:v>
      </x:c>
      <x:c r="K98" t="n">
        <x:v>500</x:v>
      </x:c>
      <x:c r="L98" t="n">
        <x:v>2</x:v>
      </x:c>
      <x:c r="M98" t="str"/>
      <x:c r="N98" t="str"/>
      <x:c r="O98" t="str"/>
      <x:c r="P98" t="str">
        <x:v>OPEN</x:v>
      </x:c>
    </x:row>
    <x:row r="99" ht="34" customHeight="1">
      <x:c r="B99" t="str">
        <x:v>RFA-E093</x:v>
      </x:c>
      <x:c r="C99" t="str">
        <x:v>AM-05</x:v>
      </x:c>
      <x:c r="D99" t="str">
        <x:v>AF-1</x:v>
      </x:c>
      <x:c r="E99" t="str">
        <x:v>BA</x:v>
      </x:c>
      <x:c r="F99" t="str">
        <x:v>PTC-C</x:v>
      </x:c>
      <x:c r="G99" t="str">
        <x:v>AF-1-BA-A03</x:v>
      </x:c>
      <x:c r="H99" t="str">
        <x:v>RFA-P011</x:v>
      </x:c>
      <x:c r="I99" t="str">
        <x:v>control</x:v>
      </x:c>
      <x:c r="J99" s="11" t="str">
        <x:v>matched clean state</x:v>
      </x:c>
      <x:c r="K99" t="n">
        <x:v>500</x:v>
      </x:c>
      <x:c r="L99" t="n">
        <x:v>1</x:v>
      </x:c>
      <x:c r="M99" t="str"/>
      <x:c r="N99" t="str"/>
      <x:c r="O99" t="str"/>
      <x:c r="P99" t="str">
        <x:v>OPEN</x:v>
      </x:c>
    </x:row>
    <x:row r="100" ht="34" customHeight="1">
      <x:c r="B100" t="str">
        <x:v>RFA-E094</x:v>
      </x:c>
      <x:c r="C100" t="str">
        <x:v>AM-05</x:v>
      </x:c>
      <x:c r="D100" t="str">
        <x:v>AF-1</x:v>
      </x:c>
      <x:c r="E100" t="str">
        <x:v>BA</x:v>
      </x:c>
      <x:c r="F100" t="str">
        <x:v>PTC-C</x:v>
      </x:c>
      <x:c r="G100" t="str">
        <x:v>AF-1-BA-A03</x:v>
      </x:c>
      <x:c r="H100" t="str">
        <x:v>RFA-P011</x:v>
      </x:c>
      <x:c r="I100" t="str">
        <x:v>challenge</x:v>
      </x:c>
      <x:c r="J100" s="11" t="str">
        <x:v>sump half full</x:v>
      </x:c>
      <x:c r="K100" t="n">
        <x:v>500</x:v>
      </x:c>
      <x:c r="L100" t="n">
        <x:v>2</x:v>
      </x:c>
      <x:c r="M100" t="str"/>
      <x:c r="N100" t="str"/>
      <x:c r="O100" t="str"/>
      <x:c r="P100" t="str">
        <x:v>OPEN</x:v>
      </x:c>
    </x:row>
    <x:row r="101" ht="34" customHeight="1">
      <x:c r="B101" t="str">
        <x:v>RFA-E095</x:v>
      </x:c>
      <x:c r="C101" t="str">
        <x:v>AM-05</x:v>
      </x:c>
      <x:c r="D101" t="str">
        <x:v>AF-1</x:v>
      </x:c>
      <x:c r="E101" t="str">
        <x:v>BA</x:v>
      </x:c>
      <x:c r="F101" t="str">
        <x:v>PTC-C</x:v>
      </x:c>
      <x:c r="G101" t="str">
        <x:v>AF-1-BA-A04</x:v>
      </x:c>
      <x:c r="H101" t="str">
        <x:v>RFA-P012</x:v>
      </x:c>
      <x:c r="I101" t="str">
        <x:v>challenge</x:v>
      </x:c>
      <x:c r="J101" s="11" t="str">
        <x:v>debris field</x:v>
      </x:c>
      <x:c r="K101" t="n">
        <x:v>500</x:v>
      </x:c>
      <x:c r="L101" t="n">
        <x:v>1</x:v>
      </x:c>
      <x:c r="M101" t="str"/>
      <x:c r="N101" t="str"/>
      <x:c r="O101" t="str"/>
      <x:c r="P101" t="str">
        <x:v>OPEN</x:v>
      </x:c>
    </x:row>
    <x:row r="102" ht="34" customHeight="1">
      <x:c r="B102" t="str">
        <x:v>RFA-E096</x:v>
      </x:c>
      <x:c r="C102" t="str">
        <x:v>AM-05</x:v>
      </x:c>
      <x:c r="D102" t="str">
        <x:v>AF-1</x:v>
      </x:c>
      <x:c r="E102" t="str">
        <x:v>BA</x:v>
      </x:c>
      <x:c r="F102" t="str">
        <x:v>PTC-C</x:v>
      </x:c>
      <x:c r="G102" t="str">
        <x:v>AF-1-BA-A04</x:v>
      </x:c>
      <x:c r="H102" t="str">
        <x:v>RFA-P012</x:v>
      </x:c>
      <x:c r="I102" t="str">
        <x:v>control</x:v>
      </x:c>
      <x:c r="J102" s="11" t="str">
        <x:v>matched clean state</x:v>
      </x:c>
      <x:c r="K102" t="n">
        <x:v>500</x:v>
      </x:c>
      <x:c r="L102" t="n">
        <x:v>2</x:v>
      </x:c>
      <x:c r="M102" t="str"/>
      <x:c r="N102" t="str"/>
      <x:c r="O102" t="str"/>
      <x:c r="P102" t="str">
        <x:v>OPEN</x:v>
      </x:c>
    </x:row>
    <x:row r="103" ht="34" customHeight="1">
      <x:c r="B103" t="str">
        <x:v>RFA-E097</x:v>
      </x:c>
      <x:c r="C103" t="str">
        <x:v>AM-07</x:v>
      </x:c>
      <x:c r="D103" t="str">
        <x:v>AF-1</x:v>
      </x:c>
      <x:c r="E103" t="str">
        <x:v>BA</x:v>
      </x:c>
      <x:c r="F103" t="str">
        <x:v>PTC-C</x:v>
      </x:c>
      <x:c r="G103" t="str">
        <x:v>AF-1-BA-A05</x:v>
      </x:c>
      <x:c r="H103" t="str">
        <x:v>RFA-P013</x:v>
      </x:c>
      <x:c r="I103" t="str">
        <x:v>control</x:v>
      </x:c>
      <x:c r="J103" s="11" t="str">
        <x:v>matched clean state</x:v>
      </x:c>
      <x:c r="K103" t="n">
        <x:v>2000</x:v>
      </x:c>
      <x:c r="L103" t="n">
        <x:v>1</x:v>
      </x:c>
      <x:c r="M103" t="str"/>
      <x:c r="N103" t="str"/>
      <x:c r="O103" t="str"/>
      <x:c r="P103" t="str">
        <x:v>OPEN</x:v>
      </x:c>
    </x:row>
    <x:row r="104" ht="34" customHeight="1">
      <x:c r="B104" t="str">
        <x:v>RFA-E098</x:v>
      </x:c>
      <x:c r="C104" t="str">
        <x:v>AM-07</x:v>
      </x:c>
      <x:c r="D104" t="str">
        <x:v>AF-1</x:v>
      </x:c>
      <x:c r="E104" t="str">
        <x:v>BA</x:v>
      </x:c>
      <x:c r="F104" t="str">
        <x:v>PTC-C</x:v>
      </x:c>
      <x:c r="G104" t="str">
        <x:v>AF-1-BA-A05</x:v>
      </x:c>
      <x:c r="H104" t="str">
        <x:v>RFA-P013</x:v>
      </x:c>
      <x:c r="I104" t="str">
        <x:v>challenge</x:v>
      </x:c>
      <x:c r="J104" s="11" t="str">
        <x:v>bounded pool fire</x:v>
      </x:c>
      <x:c r="K104" t="n">
        <x:v>2000</x:v>
      </x:c>
      <x:c r="L104" t="n">
        <x:v>2</x:v>
      </x:c>
      <x:c r="M104" t="str"/>
      <x:c r="N104" t="str"/>
      <x:c r="O104" t="str"/>
      <x:c r="P104" t="str">
        <x:v>OPEN</x:v>
      </x:c>
    </x:row>
    <x:row r="105" ht="34" customHeight="1">
      <x:c r="B105" t="str">
        <x:v>RFA-E099</x:v>
      </x:c>
      <x:c r="C105" t="str">
        <x:v>AM-07</x:v>
      </x:c>
      <x:c r="D105" t="str">
        <x:v>AF-1</x:v>
      </x:c>
      <x:c r="E105" t="str">
        <x:v>BA</x:v>
      </x:c>
      <x:c r="F105" t="str">
        <x:v>PTC-C</x:v>
      </x:c>
      <x:c r="G105" t="str">
        <x:v>AF-1-BA-A06</x:v>
      </x:c>
      <x:c r="H105" t="str">
        <x:v>RFA-P014</x:v>
      </x:c>
      <x:c r="I105" t="str">
        <x:v>challenge</x:v>
      </x:c>
      <x:c r="J105" s="11" t="str">
        <x:v>firewater capacity shock</x:v>
      </x:c>
      <x:c r="K105" t="n">
        <x:v>2000</x:v>
      </x:c>
      <x:c r="L105" t="n">
        <x:v>1</x:v>
      </x:c>
      <x:c r="M105" t="str"/>
      <x:c r="N105" t="str"/>
      <x:c r="O105" t="str"/>
      <x:c r="P105" t="str">
        <x:v>OPEN</x:v>
      </x:c>
    </x:row>
    <x:row r="106" ht="34" customHeight="1">
      <x:c r="B106" t="str">
        <x:v>RFA-E100</x:v>
      </x:c>
      <x:c r="C106" t="str">
        <x:v>AM-07</x:v>
      </x:c>
      <x:c r="D106" t="str">
        <x:v>AF-1</x:v>
      </x:c>
      <x:c r="E106" t="str">
        <x:v>BA</x:v>
      </x:c>
      <x:c r="F106" t="str">
        <x:v>PTC-C</x:v>
      </x:c>
      <x:c r="G106" t="str">
        <x:v>AF-1-BA-A06</x:v>
      </x:c>
      <x:c r="H106" t="str">
        <x:v>RFA-P014</x:v>
      </x:c>
      <x:c r="I106" t="str">
        <x:v>control</x:v>
      </x:c>
      <x:c r="J106" s="11" t="str">
        <x:v>matched clean state</x:v>
      </x:c>
      <x:c r="K106" t="n">
        <x:v>2000</x:v>
      </x:c>
      <x:c r="L106" t="n">
        <x:v>2</x:v>
      </x:c>
      <x:c r="M106" t="str"/>
      <x:c r="N106" t="str"/>
      <x:c r="O106" t="str"/>
      <x:c r="P106" t="str">
        <x:v>OPEN</x:v>
      </x:c>
    </x:row>
    <x:row r="107" ht="34" customHeight="1">
      <x:c r="B107" t="str">
        <x:v>RFA-E101</x:v>
      </x:c>
      <x:c r="C107" t="str">
        <x:v>AM-07</x:v>
      </x:c>
      <x:c r="D107" t="str">
        <x:v>AF-1</x:v>
      </x:c>
      <x:c r="E107" t="str">
        <x:v>BA</x:v>
      </x:c>
      <x:c r="F107" t="str">
        <x:v>PTC-C</x:v>
      </x:c>
      <x:c r="G107" t="str">
        <x:v>AF-1-BA-A07</x:v>
      </x:c>
      <x:c r="H107" t="str">
        <x:v>RFA-P015</x:v>
      </x:c>
      <x:c r="I107" t="str">
        <x:v>control</x:v>
      </x:c>
      <x:c r="J107" s="11" t="str">
        <x:v>matched clean state</x:v>
      </x:c>
      <x:c r="K107" t="n">
        <x:v>2000</x:v>
      </x:c>
      <x:c r="L107" t="n">
        <x:v>1</x:v>
      </x:c>
      <x:c r="M107" t="str"/>
      <x:c r="N107" t="str"/>
      <x:c r="O107" t="str"/>
      <x:c r="P107" t="str">
        <x:v>OPEN</x:v>
      </x:c>
    </x:row>
    <x:row r="108" ht="34" customHeight="1">
      <x:c r="B108" t="str">
        <x:v>RFA-E102</x:v>
      </x:c>
      <x:c r="C108" t="str">
        <x:v>AM-07</x:v>
      </x:c>
      <x:c r="D108" t="str">
        <x:v>AF-1</x:v>
      </x:c>
      <x:c r="E108" t="str">
        <x:v>BA</x:v>
      </x:c>
      <x:c r="F108" t="str">
        <x:v>PTC-C</x:v>
      </x:c>
      <x:c r="G108" t="str">
        <x:v>AF-1-BA-A07</x:v>
      </x:c>
      <x:c r="H108" t="str">
        <x:v>RFA-P015</x:v>
      </x:c>
      <x:c r="I108" t="str">
        <x:v>challenge</x:v>
      </x:c>
      <x:c r="J108" s="11" t="str">
        <x:v>partial barrier plus wind</x:v>
      </x:c>
      <x:c r="K108" t="n">
        <x:v>2000</x:v>
      </x:c>
      <x:c r="L108" t="n">
        <x:v>2</x:v>
      </x:c>
      <x:c r="M108" t="str"/>
      <x:c r="N108" t="str"/>
      <x:c r="O108" t="str"/>
      <x:c r="P108" t="str">
        <x:v>OPEN</x:v>
      </x:c>
    </x:row>
    <x:row r="109" ht="34" customHeight="1">
      <x:c r="B109" t="str">
        <x:v>RFA-E103</x:v>
      </x:c>
      <x:c r="C109" t="str">
        <x:v>AM-07</x:v>
      </x:c>
      <x:c r="D109" t="str">
        <x:v>AF-1</x:v>
      </x:c>
      <x:c r="E109" t="str">
        <x:v>BA</x:v>
      </x:c>
      <x:c r="F109" t="str">
        <x:v>PTC-C</x:v>
      </x:c>
      <x:c r="G109" t="str">
        <x:v>AF-1-BA-A08</x:v>
      </x:c>
      <x:c r="H109" t="str">
        <x:v>RFA-P016</x:v>
      </x:c>
      <x:c r="I109" t="str">
        <x:v>challenge</x:v>
      </x:c>
      <x:c r="J109" s="11" t="str">
        <x:v>compound service denial</x:v>
      </x:c>
      <x:c r="K109" t="n">
        <x:v>2000</x:v>
      </x:c>
      <x:c r="L109" t="n">
        <x:v>1</x:v>
      </x:c>
      <x:c r="M109" t="str"/>
      <x:c r="N109" t="str"/>
      <x:c r="O109" t="str"/>
      <x:c r="P109" t="str">
        <x:v>OPEN</x:v>
      </x:c>
    </x:row>
    <x:row r="110" ht="34" customHeight="1">
      <x:c r="B110" t="str">
        <x:v>RFA-E104</x:v>
      </x:c>
      <x:c r="C110" t="str">
        <x:v>AM-07</x:v>
      </x:c>
      <x:c r="D110" t="str">
        <x:v>AF-1</x:v>
      </x:c>
      <x:c r="E110" t="str">
        <x:v>BA</x:v>
      </x:c>
      <x:c r="F110" t="str">
        <x:v>PTC-C</x:v>
      </x:c>
      <x:c r="G110" t="str">
        <x:v>AF-1-BA-A08</x:v>
      </x:c>
      <x:c r="H110" t="str">
        <x:v>RFA-P016</x:v>
      </x:c>
      <x:c r="I110" t="str">
        <x:v>control</x:v>
      </x:c>
      <x:c r="J110" s="11" t="str">
        <x:v>matched clean state</x:v>
      </x:c>
      <x:c r="K110" t="n">
        <x:v>2000</x:v>
      </x:c>
      <x:c r="L110" t="n">
        <x:v>2</x:v>
      </x:c>
      <x:c r="M110" t="str"/>
      <x:c r="N110" t="str"/>
      <x:c r="O110" t="str"/>
      <x:c r="P110" t="str">
        <x:v>OPEN</x:v>
      </x:c>
    </x:row>
    <x:row r="111" ht="34" customHeight="1">
      <x:c r="B111" t="str">
        <x:v>RFA-E105</x:v>
      </x:c>
      <x:c r="C111" t="str">
        <x:v>AM-05</x:v>
      </x:c>
      <x:c r="D111" t="str">
        <x:v>AF-1</x:v>
      </x:c>
      <x:c r="E111" t="str">
        <x:v>BB</x:v>
      </x:c>
      <x:c r="F111" t="str">
        <x:v>PTC-B</x:v>
      </x:c>
      <x:c r="G111" t="str">
        <x:v>AF-1-BB-A01</x:v>
      </x:c>
      <x:c r="H111" t="str">
        <x:v>RFA-P017</x:v>
      </x:c>
      <x:c r="I111" t="str">
        <x:v>control</x:v>
      </x:c>
      <x:c r="J111" s="11" t="str">
        <x:v>matched clean state</x:v>
      </x:c>
      <x:c r="K111" t="n">
        <x:v>500</x:v>
      </x:c>
      <x:c r="L111" t="n">
        <x:v>1</x:v>
      </x:c>
      <x:c r="M111" t="str"/>
      <x:c r="N111" t="str"/>
      <x:c r="O111" t="str"/>
      <x:c r="P111" t="str">
        <x:v>OPEN</x:v>
      </x:c>
    </x:row>
    <x:row r="112" ht="34" customHeight="1">
      <x:c r="B112" t="str">
        <x:v>RFA-E106</x:v>
      </x:c>
      <x:c r="C112" t="str">
        <x:v>AM-05</x:v>
      </x:c>
      <x:c r="D112" t="str">
        <x:v>AF-1</x:v>
      </x:c>
      <x:c r="E112" t="str">
        <x:v>BB</x:v>
      </x:c>
      <x:c r="F112" t="str">
        <x:v>PTC-B</x:v>
      </x:c>
      <x:c r="G112" t="str">
        <x:v>AF-1-BB-A01</x:v>
      </x:c>
      <x:c r="H112" t="str">
        <x:v>RFA-P017</x:v>
      </x:c>
      <x:c r="I112" t="str">
        <x:v>challenge</x:v>
      </x:c>
      <x:c r="J112" s="11" t="str">
        <x:v>adverse grade</x:v>
      </x:c>
      <x:c r="K112" t="n">
        <x:v>500</x:v>
      </x:c>
      <x:c r="L112" t="n">
        <x:v>2</x:v>
      </x:c>
      <x:c r="M112" t="str"/>
      <x:c r="N112" t="str"/>
      <x:c r="O112" t="str"/>
      <x:c r="P112" t="str">
        <x:v>OPEN</x:v>
      </x:c>
    </x:row>
    <x:row r="113" ht="34" customHeight="1">
      <x:c r="B113" t="str">
        <x:v>RFA-E107</x:v>
      </x:c>
      <x:c r="C113" t="str">
        <x:v>AM-05</x:v>
      </x:c>
      <x:c r="D113" t="str">
        <x:v>AF-1</x:v>
      </x:c>
      <x:c r="E113" t="str">
        <x:v>BB</x:v>
      </x:c>
      <x:c r="F113" t="str">
        <x:v>PTC-B</x:v>
      </x:c>
      <x:c r="G113" t="str">
        <x:v>AF-1-BB-A02</x:v>
      </x:c>
      <x:c r="H113" t="str">
        <x:v>RFA-P018</x:v>
      </x:c>
      <x:c r="I113" t="str">
        <x:v>challenge</x:v>
      </x:c>
      <x:c r="J113" s="11" t="str">
        <x:v>half drain area</x:v>
      </x:c>
      <x:c r="K113" t="n">
        <x:v>500</x:v>
      </x:c>
      <x:c r="L113" t="n">
        <x:v>1</x:v>
      </x:c>
      <x:c r="M113" t="str"/>
      <x:c r="N113" t="str"/>
      <x:c r="O113" t="str"/>
      <x:c r="P113" t="str">
        <x:v>OPEN</x:v>
      </x:c>
    </x:row>
    <x:row r="114" ht="34" customHeight="1">
      <x:c r="B114" t="str">
        <x:v>RFA-E108</x:v>
      </x:c>
      <x:c r="C114" t="str">
        <x:v>AM-05</x:v>
      </x:c>
      <x:c r="D114" t="str">
        <x:v>AF-1</x:v>
      </x:c>
      <x:c r="E114" t="str">
        <x:v>BB</x:v>
      </x:c>
      <x:c r="F114" t="str">
        <x:v>PTC-B</x:v>
      </x:c>
      <x:c r="G114" t="str">
        <x:v>AF-1-BB-A02</x:v>
      </x:c>
      <x:c r="H114" t="str">
        <x:v>RFA-P018</x:v>
      </x:c>
      <x:c r="I114" t="str">
        <x:v>control</x:v>
      </x:c>
      <x:c r="J114" s="11" t="str">
        <x:v>matched clean state</x:v>
      </x:c>
      <x:c r="K114" t="n">
        <x:v>500</x:v>
      </x:c>
      <x:c r="L114" t="n">
        <x:v>2</x:v>
      </x:c>
      <x:c r="M114" t="str"/>
      <x:c r="N114" t="str"/>
      <x:c r="O114" t="str"/>
      <x:c r="P114" t="str">
        <x:v>OPEN</x:v>
      </x:c>
    </x:row>
    <x:row r="115" ht="34" customHeight="1">
      <x:c r="B115" t="str">
        <x:v>RFA-E109</x:v>
      </x:c>
      <x:c r="C115" t="str">
        <x:v>AM-05</x:v>
      </x:c>
      <x:c r="D115" t="str">
        <x:v>AF-1</x:v>
      </x:c>
      <x:c r="E115" t="str">
        <x:v>BB</x:v>
      </x:c>
      <x:c r="F115" t="str">
        <x:v>PTC-B</x:v>
      </x:c>
      <x:c r="G115" t="str">
        <x:v>AF-1-BB-A03</x:v>
      </x:c>
      <x:c r="H115" t="str">
        <x:v>RFA-P019</x:v>
      </x:c>
      <x:c r="I115" t="str">
        <x:v>control</x:v>
      </x:c>
      <x:c r="J115" s="11" t="str">
        <x:v>matched clean state</x:v>
      </x:c>
      <x:c r="K115" t="n">
        <x:v>500</x:v>
      </x:c>
      <x:c r="L115" t="n">
        <x:v>1</x:v>
      </x:c>
      <x:c r="M115" t="str"/>
      <x:c r="N115" t="str"/>
      <x:c r="O115" t="str"/>
      <x:c r="P115" t="str">
        <x:v>OPEN</x:v>
      </x:c>
    </x:row>
    <x:row r="116" ht="34" customHeight="1">
      <x:c r="B116" t="str">
        <x:v>RFA-E110</x:v>
      </x:c>
      <x:c r="C116" t="str">
        <x:v>AM-05</x:v>
      </x:c>
      <x:c r="D116" t="str">
        <x:v>AF-1</x:v>
      </x:c>
      <x:c r="E116" t="str">
        <x:v>BB</x:v>
      </x:c>
      <x:c r="F116" t="str">
        <x:v>PTC-B</x:v>
      </x:c>
      <x:c r="G116" t="str">
        <x:v>AF-1-BB-A03</x:v>
      </x:c>
      <x:c r="H116" t="str">
        <x:v>RFA-P019</x:v>
      </x:c>
      <x:c r="I116" t="str">
        <x:v>challenge</x:v>
      </x:c>
      <x:c r="J116" s="11" t="str">
        <x:v>sump half full</x:v>
      </x:c>
      <x:c r="K116" t="n">
        <x:v>500</x:v>
      </x:c>
      <x:c r="L116" t="n">
        <x:v>2</x:v>
      </x:c>
      <x:c r="M116" t="str"/>
      <x:c r="N116" t="str"/>
      <x:c r="O116" t="str"/>
      <x:c r="P116" t="str">
        <x:v>OPEN</x:v>
      </x:c>
    </x:row>
    <x:row r="117" ht="34" customHeight="1">
      <x:c r="B117" t="str">
        <x:v>RFA-E111</x:v>
      </x:c>
      <x:c r="C117" t="str">
        <x:v>AM-05</x:v>
      </x:c>
      <x:c r="D117" t="str">
        <x:v>AF-1</x:v>
      </x:c>
      <x:c r="E117" t="str">
        <x:v>BB</x:v>
      </x:c>
      <x:c r="F117" t="str">
        <x:v>PTC-B</x:v>
      </x:c>
      <x:c r="G117" t="str">
        <x:v>AF-1-BB-A04</x:v>
      </x:c>
      <x:c r="H117" t="str">
        <x:v>RFA-P020</x:v>
      </x:c>
      <x:c r="I117" t="str">
        <x:v>challenge</x:v>
      </x:c>
      <x:c r="J117" s="11" t="str">
        <x:v>debris field</x:v>
      </x:c>
      <x:c r="K117" t="n">
        <x:v>500</x:v>
      </x:c>
      <x:c r="L117" t="n">
        <x:v>1</x:v>
      </x:c>
      <x:c r="M117" t="str"/>
      <x:c r="N117" t="str"/>
      <x:c r="O117" t="str"/>
      <x:c r="P117" t="str">
        <x:v>OPEN</x:v>
      </x:c>
    </x:row>
    <x:row r="118" ht="34" customHeight="1">
      <x:c r="B118" t="str">
        <x:v>RFA-E112</x:v>
      </x:c>
      <x:c r="C118" t="str">
        <x:v>AM-05</x:v>
      </x:c>
      <x:c r="D118" t="str">
        <x:v>AF-1</x:v>
      </x:c>
      <x:c r="E118" t="str">
        <x:v>BB</x:v>
      </x:c>
      <x:c r="F118" t="str">
        <x:v>PTC-B</x:v>
      </x:c>
      <x:c r="G118" t="str">
        <x:v>AF-1-BB-A04</x:v>
      </x:c>
      <x:c r="H118" t="str">
        <x:v>RFA-P020</x:v>
      </x:c>
      <x:c r="I118" t="str">
        <x:v>control</x:v>
      </x:c>
      <x:c r="J118" s="11" t="str">
        <x:v>matched clean state</x:v>
      </x:c>
      <x:c r="K118" t="n">
        <x:v>500</x:v>
      </x:c>
      <x:c r="L118" t="n">
        <x:v>2</x:v>
      </x:c>
      <x:c r="M118" t="str"/>
      <x:c r="N118" t="str"/>
      <x:c r="O118" t="str"/>
      <x:c r="P118" t="str">
        <x:v>OPEN</x:v>
      </x:c>
    </x:row>
    <x:row r="119" ht="34" customHeight="1">
      <x:c r="B119" t="str">
        <x:v>RFA-E113</x:v>
      </x:c>
      <x:c r="C119" t="str">
        <x:v>AM-07</x:v>
      </x:c>
      <x:c r="D119" t="str">
        <x:v>AF-1</x:v>
      </x:c>
      <x:c r="E119" t="str">
        <x:v>BB</x:v>
      </x:c>
      <x:c r="F119" t="str">
        <x:v>PTC-B</x:v>
      </x:c>
      <x:c r="G119" t="str">
        <x:v>AF-1-BB-A05</x:v>
      </x:c>
      <x:c r="H119" t="str">
        <x:v>RFA-P021</x:v>
      </x:c>
      <x:c r="I119" t="str">
        <x:v>control</x:v>
      </x:c>
      <x:c r="J119" s="11" t="str">
        <x:v>matched clean state</x:v>
      </x:c>
      <x:c r="K119" t="n">
        <x:v>2000</x:v>
      </x:c>
      <x:c r="L119" t="n">
        <x:v>1</x:v>
      </x:c>
      <x:c r="M119" t="str"/>
      <x:c r="N119" t="str"/>
      <x:c r="O119" t="str"/>
      <x:c r="P119" t="str">
        <x:v>OPEN</x:v>
      </x:c>
    </x:row>
    <x:row r="120" ht="34" customHeight="1">
      <x:c r="B120" t="str">
        <x:v>RFA-E114</x:v>
      </x:c>
      <x:c r="C120" t="str">
        <x:v>AM-07</x:v>
      </x:c>
      <x:c r="D120" t="str">
        <x:v>AF-1</x:v>
      </x:c>
      <x:c r="E120" t="str">
        <x:v>BB</x:v>
      </x:c>
      <x:c r="F120" t="str">
        <x:v>PTC-B</x:v>
      </x:c>
      <x:c r="G120" t="str">
        <x:v>AF-1-BB-A05</x:v>
      </x:c>
      <x:c r="H120" t="str">
        <x:v>RFA-P021</x:v>
      </x:c>
      <x:c r="I120" t="str">
        <x:v>challenge</x:v>
      </x:c>
      <x:c r="J120" s="11" t="str">
        <x:v>bounded pool fire</x:v>
      </x:c>
      <x:c r="K120" t="n">
        <x:v>2000</x:v>
      </x:c>
      <x:c r="L120" t="n">
        <x:v>2</x:v>
      </x:c>
      <x:c r="M120" t="str"/>
      <x:c r="N120" t="str"/>
      <x:c r="O120" t="str"/>
      <x:c r="P120" t="str">
        <x:v>OPEN</x:v>
      </x:c>
    </x:row>
    <x:row r="121" ht="34" customHeight="1">
      <x:c r="B121" t="str">
        <x:v>RFA-E115</x:v>
      </x:c>
      <x:c r="C121" t="str">
        <x:v>AM-07</x:v>
      </x:c>
      <x:c r="D121" t="str">
        <x:v>AF-1</x:v>
      </x:c>
      <x:c r="E121" t="str">
        <x:v>BB</x:v>
      </x:c>
      <x:c r="F121" t="str">
        <x:v>PTC-B</x:v>
      </x:c>
      <x:c r="G121" t="str">
        <x:v>AF-1-BB-A06</x:v>
      </x:c>
      <x:c r="H121" t="str">
        <x:v>RFA-P022</x:v>
      </x:c>
      <x:c r="I121" t="str">
        <x:v>challenge</x:v>
      </x:c>
      <x:c r="J121" s="11" t="str">
        <x:v>firewater capacity shock</x:v>
      </x:c>
      <x:c r="K121" t="n">
        <x:v>2000</x:v>
      </x:c>
      <x:c r="L121" t="n">
        <x:v>1</x:v>
      </x:c>
      <x:c r="M121" t="str"/>
      <x:c r="N121" t="str"/>
      <x:c r="O121" t="str"/>
      <x:c r="P121" t="str">
        <x:v>OPEN</x:v>
      </x:c>
    </x:row>
    <x:row r="122" ht="34" customHeight="1">
      <x:c r="B122" t="str">
        <x:v>RFA-E116</x:v>
      </x:c>
      <x:c r="C122" t="str">
        <x:v>AM-07</x:v>
      </x:c>
      <x:c r="D122" t="str">
        <x:v>AF-1</x:v>
      </x:c>
      <x:c r="E122" t="str">
        <x:v>BB</x:v>
      </x:c>
      <x:c r="F122" t="str">
        <x:v>PTC-B</x:v>
      </x:c>
      <x:c r="G122" t="str">
        <x:v>AF-1-BB-A06</x:v>
      </x:c>
      <x:c r="H122" t="str">
        <x:v>RFA-P022</x:v>
      </x:c>
      <x:c r="I122" t="str">
        <x:v>control</x:v>
      </x:c>
      <x:c r="J122" s="11" t="str">
        <x:v>matched clean state</x:v>
      </x:c>
      <x:c r="K122" t="n">
        <x:v>2000</x:v>
      </x:c>
      <x:c r="L122" t="n">
        <x:v>2</x:v>
      </x:c>
      <x:c r="M122" t="str"/>
      <x:c r="N122" t="str"/>
      <x:c r="O122" t="str"/>
      <x:c r="P122" t="str">
        <x:v>OPEN</x:v>
      </x:c>
    </x:row>
    <x:row r="123" ht="34" customHeight="1">
      <x:c r="B123" t="str">
        <x:v>RFA-E117</x:v>
      </x:c>
      <x:c r="C123" t="str">
        <x:v>AM-07</x:v>
      </x:c>
      <x:c r="D123" t="str">
        <x:v>AF-1</x:v>
      </x:c>
      <x:c r="E123" t="str">
        <x:v>BB</x:v>
      </x:c>
      <x:c r="F123" t="str">
        <x:v>PTC-B</x:v>
      </x:c>
      <x:c r="G123" t="str">
        <x:v>AF-1-BB-A07</x:v>
      </x:c>
      <x:c r="H123" t="str">
        <x:v>RFA-P023</x:v>
      </x:c>
      <x:c r="I123" t="str">
        <x:v>control</x:v>
      </x:c>
      <x:c r="J123" s="11" t="str">
        <x:v>matched clean state</x:v>
      </x:c>
      <x:c r="K123" t="n">
        <x:v>2000</x:v>
      </x:c>
      <x:c r="L123" t="n">
        <x:v>1</x:v>
      </x:c>
      <x:c r="M123" t="str"/>
      <x:c r="N123" t="str"/>
      <x:c r="O123" t="str"/>
      <x:c r="P123" t="str">
        <x:v>OPEN</x:v>
      </x:c>
    </x:row>
    <x:row r="124" ht="34" customHeight="1">
      <x:c r="B124" t="str">
        <x:v>RFA-E118</x:v>
      </x:c>
      <x:c r="C124" t="str">
        <x:v>AM-07</x:v>
      </x:c>
      <x:c r="D124" t="str">
        <x:v>AF-1</x:v>
      </x:c>
      <x:c r="E124" t="str">
        <x:v>BB</x:v>
      </x:c>
      <x:c r="F124" t="str">
        <x:v>PTC-B</x:v>
      </x:c>
      <x:c r="G124" t="str">
        <x:v>AF-1-BB-A07</x:v>
      </x:c>
      <x:c r="H124" t="str">
        <x:v>RFA-P023</x:v>
      </x:c>
      <x:c r="I124" t="str">
        <x:v>challenge</x:v>
      </x:c>
      <x:c r="J124" s="11" t="str">
        <x:v>partial barrier plus wind</x:v>
      </x:c>
      <x:c r="K124" t="n">
        <x:v>2000</x:v>
      </x:c>
      <x:c r="L124" t="n">
        <x:v>2</x:v>
      </x:c>
      <x:c r="M124" t="str"/>
      <x:c r="N124" t="str"/>
      <x:c r="O124" t="str"/>
      <x:c r="P124" t="str">
        <x:v>OPEN</x:v>
      </x:c>
    </x:row>
    <x:row r="125" ht="34" customHeight="1">
      <x:c r="B125" t="str">
        <x:v>RFA-E119</x:v>
      </x:c>
      <x:c r="C125" t="str">
        <x:v>AM-07</x:v>
      </x:c>
      <x:c r="D125" t="str">
        <x:v>AF-1</x:v>
      </x:c>
      <x:c r="E125" t="str">
        <x:v>BB</x:v>
      </x:c>
      <x:c r="F125" t="str">
        <x:v>PTC-B</x:v>
      </x:c>
      <x:c r="G125" t="str">
        <x:v>AF-1-BB-A08</x:v>
      </x:c>
      <x:c r="H125" t="str">
        <x:v>RFA-P024</x:v>
      </x:c>
      <x:c r="I125" t="str">
        <x:v>challenge</x:v>
      </x:c>
      <x:c r="J125" s="11" t="str">
        <x:v>compound service denial</x:v>
      </x:c>
      <x:c r="K125" t="n">
        <x:v>2000</x:v>
      </x:c>
      <x:c r="L125" t="n">
        <x:v>1</x:v>
      </x:c>
      <x:c r="M125" t="str"/>
      <x:c r="N125" t="str"/>
      <x:c r="O125" t="str"/>
      <x:c r="P125" t="str">
        <x:v>OPEN</x:v>
      </x:c>
    </x:row>
    <x:row r="126" ht="34" customHeight="1">
      <x:c r="B126" t="str">
        <x:v>RFA-E120</x:v>
      </x:c>
      <x:c r="C126" t="str">
        <x:v>AM-07</x:v>
      </x:c>
      <x:c r="D126" t="str">
        <x:v>AF-1</x:v>
      </x:c>
      <x:c r="E126" t="str">
        <x:v>BB</x:v>
      </x:c>
      <x:c r="F126" t="str">
        <x:v>PTC-B</x:v>
      </x:c>
      <x:c r="G126" t="str">
        <x:v>AF-1-BB-A08</x:v>
      </x:c>
      <x:c r="H126" t="str">
        <x:v>RFA-P024</x:v>
      </x:c>
      <x:c r="I126" t="str">
        <x:v>control</x:v>
      </x:c>
      <x:c r="J126" s="11" t="str">
        <x:v>matched clean state</x:v>
      </x:c>
      <x:c r="K126" t="n">
        <x:v>2000</x:v>
      </x:c>
      <x:c r="L126" t="n">
        <x:v>2</x:v>
      </x:c>
      <x:c r="M126" t="str"/>
      <x:c r="N126" t="str"/>
      <x:c r="O126" t="str"/>
      <x:c r="P126" t="str">
        <x:v>OPEN</x:v>
      </x:c>
    </x:row>
    <x:row r="127" ht="34" customHeight="1">
      <x:c r="B127" t="str">
        <x:v>RFA-E121</x:v>
      </x:c>
      <x:c r="C127" t="str">
        <x:v>AM-05</x:v>
      </x:c>
      <x:c r="D127" t="str">
        <x:v>AF-1</x:v>
      </x:c>
      <x:c r="E127" t="str">
        <x:v>BB</x:v>
      </x:c>
      <x:c r="F127" t="str">
        <x:v>PTC-C</x:v>
      </x:c>
      <x:c r="G127" t="str">
        <x:v>AF-1-BB-A01</x:v>
      </x:c>
      <x:c r="H127" t="str">
        <x:v>RFA-P025</x:v>
      </x:c>
      <x:c r="I127" t="str">
        <x:v>control</x:v>
      </x:c>
      <x:c r="J127" s="11" t="str">
        <x:v>matched clean state</x:v>
      </x:c>
      <x:c r="K127" t="n">
        <x:v>500</x:v>
      </x:c>
      <x:c r="L127" t="n">
        <x:v>1</x:v>
      </x:c>
      <x:c r="M127" t="str"/>
      <x:c r="N127" t="str"/>
      <x:c r="O127" t="str"/>
      <x:c r="P127" t="str">
        <x:v>OPEN</x:v>
      </x:c>
    </x:row>
    <x:row r="128" ht="34" customHeight="1">
      <x:c r="B128" t="str">
        <x:v>RFA-E122</x:v>
      </x:c>
      <x:c r="C128" t="str">
        <x:v>AM-05</x:v>
      </x:c>
      <x:c r="D128" t="str">
        <x:v>AF-1</x:v>
      </x:c>
      <x:c r="E128" t="str">
        <x:v>BB</x:v>
      </x:c>
      <x:c r="F128" t="str">
        <x:v>PTC-C</x:v>
      </x:c>
      <x:c r="G128" t="str">
        <x:v>AF-1-BB-A01</x:v>
      </x:c>
      <x:c r="H128" t="str">
        <x:v>RFA-P025</x:v>
      </x:c>
      <x:c r="I128" t="str">
        <x:v>challenge</x:v>
      </x:c>
      <x:c r="J128" s="11" t="str">
        <x:v>adverse grade</x:v>
      </x:c>
      <x:c r="K128" t="n">
        <x:v>500</x:v>
      </x:c>
      <x:c r="L128" t="n">
        <x:v>2</x:v>
      </x:c>
      <x:c r="M128" t="str"/>
      <x:c r="N128" t="str"/>
      <x:c r="O128" t="str"/>
      <x:c r="P128" t="str">
        <x:v>OPEN</x:v>
      </x:c>
    </x:row>
    <x:row r="129" ht="34" customHeight="1">
      <x:c r="B129" t="str">
        <x:v>RFA-E123</x:v>
      </x:c>
      <x:c r="C129" t="str">
        <x:v>AM-05</x:v>
      </x:c>
      <x:c r="D129" t="str">
        <x:v>AF-1</x:v>
      </x:c>
      <x:c r="E129" t="str">
        <x:v>BB</x:v>
      </x:c>
      <x:c r="F129" t="str">
        <x:v>PTC-C</x:v>
      </x:c>
      <x:c r="G129" t="str">
        <x:v>AF-1-BB-A02</x:v>
      </x:c>
      <x:c r="H129" t="str">
        <x:v>RFA-P026</x:v>
      </x:c>
      <x:c r="I129" t="str">
        <x:v>challenge</x:v>
      </x:c>
      <x:c r="J129" s="11" t="str">
        <x:v>half drain area</x:v>
      </x:c>
      <x:c r="K129" t="n">
        <x:v>500</x:v>
      </x:c>
      <x:c r="L129" t="n">
        <x:v>1</x:v>
      </x:c>
      <x:c r="M129" t="str"/>
      <x:c r="N129" t="str"/>
      <x:c r="O129" t="str"/>
      <x:c r="P129" t="str">
        <x:v>OPEN</x:v>
      </x:c>
    </x:row>
    <x:row r="130" ht="34" customHeight="1">
      <x:c r="B130" t="str">
        <x:v>RFA-E124</x:v>
      </x:c>
      <x:c r="C130" t="str">
        <x:v>AM-05</x:v>
      </x:c>
      <x:c r="D130" t="str">
        <x:v>AF-1</x:v>
      </x:c>
      <x:c r="E130" t="str">
        <x:v>BB</x:v>
      </x:c>
      <x:c r="F130" t="str">
        <x:v>PTC-C</x:v>
      </x:c>
      <x:c r="G130" t="str">
        <x:v>AF-1-BB-A02</x:v>
      </x:c>
      <x:c r="H130" t="str">
        <x:v>RFA-P026</x:v>
      </x:c>
      <x:c r="I130" t="str">
        <x:v>control</x:v>
      </x:c>
      <x:c r="J130" s="11" t="str">
        <x:v>matched clean state</x:v>
      </x:c>
      <x:c r="K130" t="n">
        <x:v>500</x:v>
      </x:c>
      <x:c r="L130" t="n">
        <x:v>2</x:v>
      </x:c>
      <x:c r="M130" t="str"/>
      <x:c r="N130" t="str"/>
      <x:c r="O130" t="str"/>
      <x:c r="P130" t="str">
        <x:v>OPEN</x:v>
      </x:c>
    </x:row>
    <x:row r="131" ht="34" customHeight="1">
      <x:c r="B131" t="str">
        <x:v>RFA-E125</x:v>
      </x:c>
      <x:c r="C131" t="str">
        <x:v>AM-05</x:v>
      </x:c>
      <x:c r="D131" t="str">
        <x:v>AF-1</x:v>
      </x:c>
      <x:c r="E131" t="str">
        <x:v>BB</x:v>
      </x:c>
      <x:c r="F131" t="str">
        <x:v>PTC-C</x:v>
      </x:c>
      <x:c r="G131" t="str">
        <x:v>AF-1-BB-A03</x:v>
      </x:c>
      <x:c r="H131" t="str">
        <x:v>RFA-P027</x:v>
      </x:c>
      <x:c r="I131" t="str">
        <x:v>control</x:v>
      </x:c>
      <x:c r="J131" s="11" t="str">
        <x:v>matched clean state</x:v>
      </x:c>
      <x:c r="K131" t="n">
        <x:v>500</x:v>
      </x:c>
      <x:c r="L131" t="n">
        <x:v>1</x:v>
      </x:c>
      <x:c r="M131" t="str"/>
      <x:c r="N131" t="str"/>
      <x:c r="O131" t="str"/>
      <x:c r="P131" t="str">
        <x:v>OPEN</x:v>
      </x:c>
    </x:row>
    <x:row r="132" ht="34" customHeight="1">
      <x:c r="B132" t="str">
        <x:v>RFA-E126</x:v>
      </x:c>
      <x:c r="C132" t="str">
        <x:v>AM-05</x:v>
      </x:c>
      <x:c r="D132" t="str">
        <x:v>AF-1</x:v>
      </x:c>
      <x:c r="E132" t="str">
        <x:v>BB</x:v>
      </x:c>
      <x:c r="F132" t="str">
        <x:v>PTC-C</x:v>
      </x:c>
      <x:c r="G132" t="str">
        <x:v>AF-1-BB-A03</x:v>
      </x:c>
      <x:c r="H132" t="str">
        <x:v>RFA-P027</x:v>
      </x:c>
      <x:c r="I132" t="str">
        <x:v>challenge</x:v>
      </x:c>
      <x:c r="J132" s="11" t="str">
        <x:v>sump half full</x:v>
      </x:c>
      <x:c r="K132" t="n">
        <x:v>500</x:v>
      </x:c>
      <x:c r="L132" t="n">
        <x:v>2</x:v>
      </x:c>
      <x:c r="M132" t="str"/>
      <x:c r="N132" t="str"/>
      <x:c r="O132" t="str"/>
      <x:c r="P132" t="str">
        <x:v>OPEN</x:v>
      </x:c>
    </x:row>
    <x:row r="133" ht="34" customHeight="1">
      <x:c r="B133" t="str">
        <x:v>RFA-E127</x:v>
      </x:c>
      <x:c r="C133" t="str">
        <x:v>AM-05</x:v>
      </x:c>
      <x:c r="D133" t="str">
        <x:v>AF-1</x:v>
      </x:c>
      <x:c r="E133" t="str">
        <x:v>BB</x:v>
      </x:c>
      <x:c r="F133" t="str">
        <x:v>PTC-C</x:v>
      </x:c>
      <x:c r="G133" t="str">
        <x:v>AF-1-BB-A04</x:v>
      </x:c>
      <x:c r="H133" t="str">
        <x:v>RFA-P028</x:v>
      </x:c>
      <x:c r="I133" t="str">
        <x:v>challenge</x:v>
      </x:c>
      <x:c r="J133" s="11" t="str">
        <x:v>debris field</x:v>
      </x:c>
      <x:c r="K133" t="n">
        <x:v>500</x:v>
      </x:c>
      <x:c r="L133" t="n">
        <x:v>1</x:v>
      </x:c>
      <x:c r="M133" t="str"/>
      <x:c r="N133" t="str"/>
      <x:c r="O133" t="str"/>
      <x:c r="P133" t="str">
        <x:v>OPEN</x:v>
      </x:c>
    </x:row>
    <x:row r="134" ht="34" customHeight="1">
      <x:c r="B134" t="str">
        <x:v>RFA-E128</x:v>
      </x:c>
      <x:c r="C134" t="str">
        <x:v>AM-05</x:v>
      </x:c>
      <x:c r="D134" t="str">
        <x:v>AF-1</x:v>
      </x:c>
      <x:c r="E134" t="str">
        <x:v>BB</x:v>
      </x:c>
      <x:c r="F134" t="str">
        <x:v>PTC-C</x:v>
      </x:c>
      <x:c r="G134" t="str">
        <x:v>AF-1-BB-A04</x:v>
      </x:c>
      <x:c r="H134" t="str">
        <x:v>RFA-P028</x:v>
      </x:c>
      <x:c r="I134" t="str">
        <x:v>control</x:v>
      </x:c>
      <x:c r="J134" s="11" t="str">
        <x:v>matched clean state</x:v>
      </x:c>
      <x:c r="K134" t="n">
        <x:v>500</x:v>
      </x:c>
      <x:c r="L134" t="n">
        <x:v>2</x:v>
      </x:c>
      <x:c r="M134" t="str"/>
      <x:c r="N134" t="str"/>
      <x:c r="O134" t="str"/>
      <x:c r="P134" t="str">
        <x:v>OPEN</x:v>
      </x:c>
    </x:row>
    <x:row r="135" ht="34" customHeight="1">
      <x:c r="B135" t="str">
        <x:v>RFA-E129</x:v>
      </x:c>
      <x:c r="C135" t="str">
        <x:v>AM-07</x:v>
      </x:c>
      <x:c r="D135" t="str">
        <x:v>AF-1</x:v>
      </x:c>
      <x:c r="E135" t="str">
        <x:v>BB</x:v>
      </x:c>
      <x:c r="F135" t="str">
        <x:v>PTC-C</x:v>
      </x:c>
      <x:c r="G135" t="str">
        <x:v>AF-1-BB-A05</x:v>
      </x:c>
      <x:c r="H135" t="str">
        <x:v>RFA-P029</x:v>
      </x:c>
      <x:c r="I135" t="str">
        <x:v>control</x:v>
      </x:c>
      <x:c r="J135" s="11" t="str">
        <x:v>matched clean state</x:v>
      </x:c>
      <x:c r="K135" t="n">
        <x:v>2000</x:v>
      </x:c>
      <x:c r="L135" t="n">
        <x:v>1</x:v>
      </x:c>
      <x:c r="M135" t="str"/>
      <x:c r="N135" t="str"/>
      <x:c r="O135" t="str"/>
      <x:c r="P135" t="str">
        <x:v>OPEN</x:v>
      </x:c>
    </x:row>
    <x:row r="136" ht="34" customHeight="1">
      <x:c r="B136" t="str">
        <x:v>RFA-E130</x:v>
      </x:c>
      <x:c r="C136" t="str">
        <x:v>AM-07</x:v>
      </x:c>
      <x:c r="D136" t="str">
        <x:v>AF-1</x:v>
      </x:c>
      <x:c r="E136" t="str">
        <x:v>BB</x:v>
      </x:c>
      <x:c r="F136" t="str">
        <x:v>PTC-C</x:v>
      </x:c>
      <x:c r="G136" t="str">
        <x:v>AF-1-BB-A05</x:v>
      </x:c>
      <x:c r="H136" t="str">
        <x:v>RFA-P029</x:v>
      </x:c>
      <x:c r="I136" t="str">
        <x:v>challenge</x:v>
      </x:c>
      <x:c r="J136" s="11" t="str">
        <x:v>bounded pool fire</x:v>
      </x:c>
      <x:c r="K136" t="n">
        <x:v>2000</x:v>
      </x:c>
      <x:c r="L136" t="n">
        <x:v>2</x:v>
      </x:c>
      <x:c r="M136" t="str"/>
      <x:c r="N136" t="str"/>
      <x:c r="O136" t="str"/>
      <x:c r="P136" t="str">
        <x:v>OPEN</x:v>
      </x:c>
    </x:row>
    <x:row r="137" ht="34" customHeight="1">
      <x:c r="B137" t="str">
        <x:v>RFA-E131</x:v>
      </x:c>
      <x:c r="C137" t="str">
        <x:v>AM-07</x:v>
      </x:c>
      <x:c r="D137" t="str">
        <x:v>AF-1</x:v>
      </x:c>
      <x:c r="E137" t="str">
        <x:v>BB</x:v>
      </x:c>
      <x:c r="F137" t="str">
        <x:v>PTC-C</x:v>
      </x:c>
      <x:c r="G137" t="str">
        <x:v>AF-1-BB-A06</x:v>
      </x:c>
      <x:c r="H137" t="str">
        <x:v>RFA-P030</x:v>
      </x:c>
      <x:c r="I137" t="str">
        <x:v>challenge</x:v>
      </x:c>
      <x:c r="J137" s="11" t="str">
        <x:v>firewater capacity shock</x:v>
      </x:c>
      <x:c r="K137" t="n">
        <x:v>2000</x:v>
      </x:c>
      <x:c r="L137" t="n">
        <x:v>1</x:v>
      </x:c>
      <x:c r="M137" t="str"/>
      <x:c r="N137" t="str"/>
      <x:c r="O137" t="str"/>
      <x:c r="P137" t="str">
        <x:v>OPEN</x:v>
      </x:c>
    </x:row>
    <x:row r="138" ht="34" customHeight="1">
      <x:c r="B138" t="str">
        <x:v>RFA-E132</x:v>
      </x:c>
      <x:c r="C138" t="str">
        <x:v>AM-07</x:v>
      </x:c>
      <x:c r="D138" t="str">
        <x:v>AF-1</x:v>
      </x:c>
      <x:c r="E138" t="str">
        <x:v>BB</x:v>
      </x:c>
      <x:c r="F138" t="str">
        <x:v>PTC-C</x:v>
      </x:c>
      <x:c r="G138" t="str">
        <x:v>AF-1-BB-A06</x:v>
      </x:c>
      <x:c r="H138" t="str">
        <x:v>RFA-P030</x:v>
      </x:c>
      <x:c r="I138" t="str">
        <x:v>control</x:v>
      </x:c>
      <x:c r="J138" s="11" t="str">
        <x:v>matched clean state</x:v>
      </x:c>
      <x:c r="K138" t="n">
        <x:v>2000</x:v>
      </x:c>
      <x:c r="L138" t="n">
        <x:v>2</x:v>
      </x:c>
      <x:c r="M138" t="str"/>
      <x:c r="N138" t="str"/>
      <x:c r="O138" t="str"/>
      <x:c r="P138" t="str">
        <x:v>OPEN</x:v>
      </x:c>
    </x:row>
    <x:row r="139" ht="34" customHeight="1">
      <x:c r="B139" t="str">
        <x:v>RFA-E133</x:v>
      </x:c>
      <x:c r="C139" t="str">
        <x:v>AM-07</x:v>
      </x:c>
      <x:c r="D139" t="str">
        <x:v>AF-1</x:v>
      </x:c>
      <x:c r="E139" t="str">
        <x:v>BB</x:v>
      </x:c>
      <x:c r="F139" t="str">
        <x:v>PTC-C</x:v>
      </x:c>
      <x:c r="G139" t="str">
        <x:v>AF-1-BB-A07</x:v>
      </x:c>
      <x:c r="H139" t="str">
        <x:v>RFA-P031</x:v>
      </x:c>
      <x:c r="I139" t="str">
        <x:v>control</x:v>
      </x:c>
      <x:c r="J139" s="11" t="str">
        <x:v>matched clean state</x:v>
      </x:c>
      <x:c r="K139" t="n">
        <x:v>2000</x:v>
      </x:c>
      <x:c r="L139" t="n">
        <x:v>1</x:v>
      </x:c>
      <x:c r="M139" t="str"/>
      <x:c r="N139" t="str"/>
      <x:c r="O139" t="str"/>
      <x:c r="P139" t="str">
        <x:v>OPEN</x:v>
      </x:c>
    </x:row>
    <x:row r="140" ht="34" customHeight="1">
      <x:c r="B140" t="str">
        <x:v>RFA-E134</x:v>
      </x:c>
      <x:c r="C140" t="str">
        <x:v>AM-07</x:v>
      </x:c>
      <x:c r="D140" t="str">
        <x:v>AF-1</x:v>
      </x:c>
      <x:c r="E140" t="str">
        <x:v>BB</x:v>
      </x:c>
      <x:c r="F140" t="str">
        <x:v>PTC-C</x:v>
      </x:c>
      <x:c r="G140" t="str">
        <x:v>AF-1-BB-A07</x:v>
      </x:c>
      <x:c r="H140" t="str">
        <x:v>RFA-P031</x:v>
      </x:c>
      <x:c r="I140" t="str">
        <x:v>challenge</x:v>
      </x:c>
      <x:c r="J140" s="11" t="str">
        <x:v>partial barrier plus wind</x:v>
      </x:c>
      <x:c r="K140" t="n">
        <x:v>2000</x:v>
      </x:c>
      <x:c r="L140" t="n">
        <x:v>2</x:v>
      </x:c>
      <x:c r="M140" t="str"/>
      <x:c r="N140" t="str"/>
      <x:c r="O140" t="str"/>
      <x:c r="P140" t="str">
        <x:v>OPEN</x:v>
      </x:c>
    </x:row>
    <x:row r="141" ht="34" customHeight="1">
      <x:c r="B141" t="str">
        <x:v>RFA-E135</x:v>
      </x:c>
      <x:c r="C141" t="str">
        <x:v>AM-07</x:v>
      </x:c>
      <x:c r="D141" t="str">
        <x:v>AF-1</x:v>
      </x:c>
      <x:c r="E141" t="str">
        <x:v>BB</x:v>
      </x:c>
      <x:c r="F141" t="str">
        <x:v>PTC-C</x:v>
      </x:c>
      <x:c r="G141" t="str">
        <x:v>AF-1-BB-A08</x:v>
      </x:c>
      <x:c r="H141" t="str">
        <x:v>RFA-P032</x:v>
      </x:c>
      <x:c r="I141" t="str">
        <x:v>challenge</x:v>
      </x:c>
      <x:c r="J141" s="11" t="str">
        <x:v>compound service denial</x:v>
      </x:c>
      <x:c r="K141" t="n">
        <x:v>2000</x:v>
      </x:c>
      <x:c r="L141" t="n">
        <x:v>1</x:v>
      </x:c>
      <x:c r="M141" t="str"/>
      <x:c r="N141" t="str"/>
      <x:c r="O141" t="str"/>
      <x:c r="P141" t="str">
        <x:v>OPEN</x:v>
      </x:c>
    </x:row>
    <x:row r="142" ht="34" customHeight="1">
      <x:c r="B142" t="str">
        <x:v>RFA-E136</x:v>
      </x:c>
      <x:c r="C142" t="str">
        <x:v>AM-07</x:v>
      </x:c>
      <x:c r="D142" t="str">
        <x:v>AF-1</x:v>
      </x:c>
      <x:c r="E142" t="str">
        <x:v>BB</x:v>
      </x:c>
      <x:c r="F142" t="str">
        <x:v>PTC-C</x:v>
      </x:c>
      <x:c r="G142" t="str">
        <x:v>AF-1-BB-A08</x:v>
      </x:c>
      <x:c r="H142" t="str">
        <x:v>RFA-P032</x:v>
      </x:c>
      <x:c r="I142" t="str">
        <x:v>control</x:v>
      </x:c>
      <x:c r="J142" s="11" t="str">
        <x:v>matched clean state</x:v>
      </x:c>
      <x:c r="K142" t="n">
        <x:v>2000</x:v>
      </x:c>
      <x:c r="L142" t="n">
        <x:v>2</x:v>
      </x:c>
      <x:c r="M142" t="str"/>
      <x:c r="N142" t="str"/>
      <x:c r="O142" t="str"/>
      <x:c r="P142" t="str">
        <x:v>OPEN</x:v>
      </x:c>
    </x:row>
    <x:row r="143" ht="34" customHeight="1">
      <x:c r="B143" t="str">
        <x:v>RFA-E137</x:v>
      </x:c>
      <x:c r="C143" t="str">
        <x:v>AM-05</x:v>
      </x:c>
      <x:c r="D143" t="str">
        <x:v>AF-2</x:v>
      </x:c>
      <x:c r="E143" t="str">
        <x:v>BA</x:v>
      </x:c>
      <x:c r="F143" t="str">
        <x:v>PTC-B</x:v>
      </x:c>
      <x:c r="G143" t="str">
        <x:v>AF-2-BA-A01</x:v>
      </x:c>
      <x:c r="H143" t="str">
        <x:v>RFA-P033</x:v>
      </x:c>
      <x:c r="I143" t="str">
        <x:v>control</x:v>
      </x:c>
      <x:c r="J143" s="11" t="str">
        <x:v>matched clean state</x:v>
      </x:c>
      <x:c r="K143" t="n">
        <x:v>500</x:v>
      </x:c>
      <x:c r="L143" t="n">
        <x:v>1</x:v>
      </x:c>
      <x:c r="M143" t="str"/>
      <x:c r="N143" t="str"/>
      <x:c r="O143" t="str"/>
      <x:c r="P143" t="str">
        <x:v>OPEN</x:v>
      </x:c>
    </x:row>
    <x:row r="144" ht="34" customHeight="1">
      <x:c r="B144" t="str">
        <x:v>RFA-E138</x:v>
      </x:c>
      <x:c r="C144" t="str">
        <x:v>AM-05</x:v>
      </x:c>
      <x:c r="D144" t="str">
        <x:v>AF-2</x:v>
      </x:c>
      <x:c r="E144" t="str">
        <x:v>BA</x:v>
      </x:c>
      <x:c r="F144" t="str">
        <x:v>PTC-B</x:v>
      </x:c>
      <x:c r="G144" t="str">
        <x:v>AF-2-BA-A01</x:v>
      </x:c>
      <x:c r="H144" t="str">
        <x:v>RFA-P033</x:v>
      </x:c>
      <x:c r="I144" t="str">
        <x:v>challenge</x:v>
      </x:c>
      <x:c r="J144" s="11" t="str">
        <x:v>adverse grade</x:v>
      </x:c>
      <x:c r="K144" t="n">
        <x:v>500</x:v>
      </x:c>
      <x:c r="L144" t="n">
        <x:v>2</x:v>
      </x:c>
      <x:c r="M144" t="str"/>
      <x:c r="N144" t="str"/>
      <x:c r="O144" t="str"/>
      <x:c r="P144" t="str">
        <x:v>OPEN</x:v>
      </x:c>
    </x:row>
    <x:row r="145" ht="34" customHeight="1">
      <x:c r="B145" t="str">
        <x:v>RFA-E139</x:v>
      </x:c>
      <x:c r="C145" t="str">
        <x:v>AM-05</x:v>
      </x:c>
      <x:c r="D145" t="str">
        <x:v>AF-2</x:v>
      </x:c>
      <x:c r="E145" t="str">
        <x:v>BA</x:v>
      </x:c>
      <x:c r="F145" t="str">
        <x:v>PTC-B</x:v>
      </x:c>
      <x:c r="G145" t="str">
        <x:v>AF-2-BA-A02</x:v>
      </x:c>
      <x:c r="H145" t="str">
        <x:v>RFA-P034</x:v>
      </x:c>
      <x:c r="I145" t="str">
        <x:v>challenge</x:v>
      </x:c>
      <x:c r="J145" s="11" t="str">
        <x:v>half drain area</x:v>
      </x:c>
      <x:c r="K145" t="n">
        <x:v>500</x:v>
      </x:c>
      <x:c r="L145" t="n">
        <x:v>1</x:v>
      </x:c>
      <x:c r="M145" t="str"/>
      <x:c r="N145" t="str"/>
      <x:c r="O145" t="str"/>
      <x:c r="P145" t="str">
        <x:v>OPEN</x:v>
      </x:c>
    </x:row>
    <x:row r="146" ht="34" customHeight="1">
      <x:c r="B146" t="str">
        <x:v>RFA-E140</x:v>
      </x:c>
      <x:c r="C146" t="str">
        <x:v>AM-05</x:v>
      </x:c>
      <x:c r="D146" t="str">
        <x:v>AF-2</x:v>
      </x:c>
      <x:c r="E146" t="str">
        <x:v>BA</x:v>
      </x:c>
      <x:c r="F146" t="str">
        <x:v>PTC-B</x:v>
      </x:c>
      <x:c r="G146" t="str">
        <x:v>AF-2-BA-A02</x:v>
      </x:c>
      <x:c r="H146" t="str">
        <x:v>RFA-P034</x:v>
      </x:c>
      <x:c r="I146" t="str">
        <x:v>control</x:v>
      </x:c>
      <x:c r="J146" s="11" t="str">
        <x:v>matched clean state</x:v>
      </x:c>
      <x:c r="K146" t="n">
        <x:v>500</x:v>
      </x:c>
      <x:c r="L146" t="n">
        <x:v>2</x:v>
      </x:c>
      <x:c r="M146" t="str"/>
      <x:c r="N146" t="str"/>
      <x:c r="O146" t="str"/>
      <x:c r="P146" t="str">
        <x:v>OPEN</x:v>
      </x:c>
    </x:row>
    <x:row r="147" ht="34" customHeight="1">
      <x:c r="B147" t="str">
        <x:v>RFA-E141</x:v>
      </x:c>
      <x:c r="C147" t="str">
        <x:v>AM-05</x:v>
      </x:c>
      <x:c r="D147" t="str">
        <x:v>AF-2</x:v>
      </x:c>
      <x:c r="E147" t="str">
        <x:v>BA</x:v>
      </x:c>
      <x:c r="F147" t="str">
        <x:v>PTC-B</x:v>
      </x:c>
      <x:c r="G147" t="str">
        <x:v>AF-2-BA-A03</x:v>
      </x:c>
      <x:c r="H147" t="str">
        <x:v>RFA-P035</x:v>
      </x:c>
      <x:c r="I147" t="str">
        <x:v>control</x:v>
      </x:c>
      <x:c r="J147" s="11" t="str">
        <x:v>matched clean state</x:v>
      </x:c>
      <x:c r="K147" t="n">
        <x:v>500</x:v>
      </x:c>
      <x:c r="L147" t="n">
        <x:v>1</x:v>
      </x:c>
      <x:c r="M147" t="str"/>
      <x:c r="N147" t="str"/>
      <x:c r="O147" t="str"/>
      <x:c r="P147" t="str">
        <x:v>OPEN</x:v>
      </x:c>
    </x:row>
    <x:row r="148" ht="34" customHeight="1">
      <x:c r="B148" t="str">
        <x:v>RFA-E142</x:v>
      </x:c>
      <x:c r="C148" t="str">
        <x:v>AM-05</x:v>
      </x:c>
      <x:c r="D148" t="str">
        <x:v>AF-2</x:v>
      </x:c>
      <x:c r="E148" t="str">
        <x:v>BA</x:v>
      </x:c>
      <x:c r="F148" t="str">
        <x:v>PTC-B</x:v>
      </x:c>
      <x:c r="G148" t="str">
        <x:v>AF-2-BA-A03</x:v>
      </x:c>
      <x:c r="H148" t="str">
        <x:v>RFA-P035</x:v>
      </x:c>
      <x:c r="I148" t="str">
        <x:v>challenge</x:v>
      </x:c>
      <x:c r="J148" s="11" t="str">
        <x:v>sump half full</x:v>
      </x:c>
      <x:c r="K148" t="n">
        <x:v>500</x:v>
      </x:c>
      <x:c r="L148" t="n">
        <x:v>2</x:v>
      </x:c>
      <x:c r="M148" t="str"/>
      <x:c r="N148" t="str"/>
      <x:c r="O148" t="str"/>
      <x:c r="P148" t="str">
        <x:v>OPEN</x:v>
      </x:c>
    </x:row>
    <x:row r="149" ht="34" customHeight="1">
      <x:c r="B149" t="str">
        <x:v>RFA-E143</x:v>
      </x:c>
      <x:c r="C149" t="str">
        <x:v>AM-05</x:v>
      </x:c>
      <x:c r="D149" t="str">
        <x:v>AF-2</x:v>
      </x:c>
      <x:c r="E149" t="str">
        <x:v>BA</x:v>
      </x:c>
      <x:c r="F149" t="str">
        <x:v>PTC-B</x:v>
      </x:c>
      <x:c r="G149" t="str">
        <x:v>AF-2-BA-A04</x:v>
      </x:c>
      <x:c r="H149" t="str">
        <x:v>RFA-P036</x:v>
      </x:c>
      <x:c r="I149" t="str">
        <x:v>challenge</x:v>
      </x:c>
      <x:c r="J149" s="11" t="str">
        <x:v>debris field</x:v>
      </x:c>
      <x:c r="K149" t="n">
        <x:v>500</x:v>
      </x:c>
      <x:c r="L149" t="n">
        <x:v>1</x:v>
      </x:c>
      <x:c r="M149" t="str"/>
      <x:c r="N149" t="str"/>
      <x:c r="O149" t="str"/>
      <x:c r="P149" t="str">
        <x:v>OPEN</x:v>
      </x:c>
    </x:row>
    <x:row r="150" ht="34" customHeight="1">
      <x:c r="B150" t="str">
        <x:v>RFA-E144</x:v>
      </x:c>
      <x:c r="C150" t="str">
        <x:v>AM-05</x:v>
      </x:c>
      <x:c r="D150" t="str">
        <x:v>AF-2</x:v>
      </x:c>
      <x:c r="E150" t="str">
        <x:v>BA</x:v>
      </x:c>
      <x:c r="F150" t="str">
        <x:v>PTC-B</x:v>
      </x:c>
      <x:c r="G150" t="str">
        <x:v>AF-2-BA-A04</x:v>
      </x:c>
      <x:c r="H150" t="str">
        <x:v>RFA-P036</x:v>
      </x:c>
      <x:c r="I150" t="str">
        <x:v>control</x:v>
      </x:c>
      <x:c r="J150" s="11" t="str">
        <x:v>matched clean state</x:v>
      </x:c>
      <x:c r="K150" t="n">
        <x:v>500</x:v>
      </x:c>
      <x:c r="L150" t="n">
        <x:v>2</x:v>
      </x:c>
      <x:c r="M150" t="str"/>
      <x:c r="N150" t="str"/>
      <x:c r="O150" t="str"/>
      <x:c r="P150" t="str">
        <x:v>OPEN</x:v>
      </x:c>
    </x:row>
    <x:row r="151" ht="34" customHeight="1">
      <x:c r="B151" t="str">
        <x:v>RFA-E145</x:v>
      </x:c>
      <x:c r="C151" t="str">
        <x:v>AM-07</x:v>
      </x:c>
      <x:c r="D151" t="str">
        <x:v>AF-2</x:v>
      </x:c>
      <x:c r="E151" t="str">
        <x:v>BA</x:v>
      </x:c>
      <x:c r="F151" t="str">
        <x:v>PTC-B</x:v>
      </x:c>
      <x:c r="G151" t="str">
        <x:v>AF-2-BA-A05</x:v>
      </x:c>
      <x:c r="H151" t="str">
        <x:v>RFA-P037</x:v>
      </x:c>
      <x:c r="I151" t="str">
        <x:v>control</x:v>
      </x:c>
      <x:c r="J151" s="11" t="str">
        <x:v>matched clean state</x:v>
      </x:c>
      <x:c r="K151" t="n">
        <x:v>2000</x:v>
      </x:c>
      <x:c r="L151" t="n">
        <x:v>1</x:v>
      </x:c>
      <x:c r="M151" t="str"/>
      <x:c r="N151" t="str"/>
      <x:c r="O151" t="str"/>
      <x:c r="P151" t="str">
        <x:v>OPEN</x:v>
      </x:c>
    </x:row>
    <x:row r="152" ht="34" customHeight="1">
      <x:c r="B152" t="str">
        <x:v>RFA-E146</x:v>
      </x:c>
      <x:c r="C152" t="str">
        <x:v>AM-07</x:v>
      </x:c>
      <x:c r="D152" t="str">
        <x:v>AF-2</x:v>
      </x:c>
      <x:c r="E152" t="str">
        <x:v>BA</x:v>
      </x:c>
      <x:c r="F152" t="str">
        <x:v>PTC-B</x:v>
      </x:c>
      <x:c r="G152" t="str">
        <x:v>AF-2-BA-A05</x:v>
      </x:c>
      <x:c r="H152" t="str">
        <x:v>RFA-P037</x:v>
      </x:c>
      <x:c r="I152" t="str">
        <x:v>challenge</x:v>
      </x:c>
      <x:c r="J152" s="11" t="str">
        <x:v>bounded pool fire</x:v>
      </x:c>
      <x:c r="K152" t="n">
        <x:v>2000</x:v>
      </x:c>
      <x:c r="L152" t="n">
        <x:v>2</x:v>
      </x:c>
      <x:c r="M152" t="str"/>
      <x:c r="N152" t="str"/>
      <x:c r="O152" t="str"/>
      <x:c r="P152" t="str">
        <x:v>OPEN</x:v>
      </x:c>
    </x:row>
    <x:row r="153" ht="34" customHeight="1">
      <x:c r="B153" t="str">
        <x:v>RFA-E147</x:v>
      </x:c>
      <x:c r="C153" t="str">
        <x:v>AM-07</x:v>
      </x:c>
      <x:c r="D153" t="str">
        <x:v>AF-2</x:v>
      </x:c>
      <x:c r="E153" t="str">
        <x:v>BA</x:v>
      </x:c>
      <x:c r="F153" t="str">
        <x:v>PTC-B</x:v>
      </x:c>
      <x:c r="G153" t="str">
        <x:v>AF-2-BA-A06</x:v>
      </x:c>
      <x:c r="H153" t="str">
        <x:v>RFA-P038</x:v>
      </x:c>
      <x:c r="I153" t="str">
        <x:v>challenge</x:v>
      </x:c>
      <x:c r="J153" s="11" t="str">
        <x:v>firewater capacity shock</x:v>
      </x:c>
      <x:c r="K153" t="n">
        <x:v>2000</x:v>
      </x:c>
      <x:c r="L153" t="n">
        <x:v>1</x:v>
      </x:c>
      <x:c r="M153" t="str"/>
      <x:c r="N153" t="str"/>
      <x:c r="O153" t="str"/>
      <x:c r="P153" t="str">
        <x:v>OPEN</x:v>
      </x:c>
    </x:row>
    <x:row r="154" ht="34" customHeight="1">
      <x:c r="B154" t="str">
        <x:v>RFA-E148</x:v>
      </x:c>
      <x:c r="C154" t="str">
        <x:v>AM-07</x:v>
      </x:c>
      <x:c r="D154" t="str">
        <x:v>AF-2</x:v>
      </x:c>
      <x:c r="E154" t="str">
        <x:v>BA</x:v>
      </x:c>
      <x:c r="F154" t="str">
        <x:v>PTC-B</x:v>
      </x:c>
      <x:c r="G154" t="str">
        <x:v>AF-2-BA-A06</x:v>
      </x:c>
      <x:c r="H154" t="str">
        <x:v>RFA-P038</x:v>
      </x:c>
      <x:c r="I154" t="str">
        <x:v>control</x:v>
      </x:c>
      <x:c r="J154" s="11" t="str">
        <x:v>matched clean state</x:v>
      </x:c>
      <x:c r="K154" t="n">
        <x:v>2000</x:v>
      </x:c>
      <x:c r="L154" t="n">
        <x:v>2</x:v>
      </x:c>
      <x:c r="M154" t="str"/>
      <x:c r="N154" t="str"/>
      <x:c r="O154" t="str"/>
      <x:c r="P154" t="str">
        <x:v>OPEN</x:v>
      </x:c>
    </x:row>
    <x:row r="155" ht="34" customHeight="1">
      <x:c r="B155" t="str">
        <x:v>RFA-E149</x:v>
      </x:c>
      <x:c r="C155" t="str">
        <x:v>AM-07</x:v>
      </x:c>
      <x:c r="D155" t="str">
        <x:v>AF-2</x:v>
      </x:c>
      <x:c r="E155" t="str">
        <x:v>BA</x:v>
      </x:c>
      <x:c r="F155" t="str">
        <x:v>PTC-B</x:v>
      </x:c>
      <x:c r="G155" t="str">
        <x:v>AF-2-BA-A07</x:v>
      </x:c>
      <x:c r="H155" t="str">
        <x:v>RFA-P039</x:v>
      </x:c>
      <x:c r="I155" t="str">
        <x:v>control</x:v>
      </x:c>
      <x:c r="J155" s="11" t="str">
        <x:v>matched clean state</x:v>
      </x:c>
      <x:c r="K155" t="n">
        <x:v>2000</x:v>
      </x:c>
      <x:c r="L155" t="n">
        <x:v>1</x:v>
      </x:c>
      <x:c r="M155" t="str"/>
      <x:c r="N155" t="str"/>
      <x:c r="O155" t="str"/>
      <x:c r="P155" t="str">
        <x:v>OPEN</x:v>
      </x:c>
    </x:row>
    <x:row r="156" ht="34" customHeight="1">
      <x:c r="B156" t="str">
        <x:v>RFA-E150</x:v>
      </x:c>
      <x:c r="C156" t="str">
        <x:v>AM-07</x:v>
      </x:c>
      <x:c r="D156" t="str">
        <x:v>AF-2</x:v>
      </x:c>
      <x:c r="E156" t="str">
        <x:v>BA</x:v>
      </x:c>
      <x:c r="F156" t="str">
        <x:v>PTC-B</x:v>
      </x:c>
      <x:c r="G156" t="str">
        <x:v>AF-2-BA-A07</x:v>
      </x:c>
      <x:c r="H156" t="str">
        <x:v>RFA-P039</x:v>
      </x:c>
      <x:c r="I156" t="str">
        <x:v>challenge</x:v>
      </x:c>
      <x:c r="J156" s="11" t="str">
        <x:v>partial barrier plus wind</x:v>
      </x:c>
      <x:c r="K156" t="n">
        <x:v>2000</x:v>
      </x:c>
      <x:c r="L156" t="n">
        <x:v>2</x:v>
      </x:c>
      <x:c r="M156" t="str"/>
      <x:c r="N156" t="str"/>
      <x:c r="O156" t="str"/>
      <x:c r="P156" t="str">
        <x:v>OPEN</x:v>
      </x:c>
    </x:row>
    <x:row r="157" ht="34" customHeight="1">
      <x:c r="B157" t="str">
        <x:v>RFA-E151</x:v>
      </x:c>
      <x:c r="C157" t="str">
        <x:v>AM-07</x:v>
      </x:c>
      <x:c r="D157" t="str">
        <x:v>AF-2</x:v>
      </x:c>
      <x:c r="E157" t="str">
        <x:v>BA</x:v>
      </x:c>
      <x:c r="F157" t="str">
        <x:v>PTC-B</x:v>
      </x:c>
      <x:c r="G157" t="str">
        <x:v>AF-2-BA-A08</x:v>
      </x:c>
      <x:c r="H157" t="str">
        <x:v>RFA-P040</x:v>
      </x:c>
      <x:c r="I157" t="str">
        <x:v>challenge</x:v>
      </x:c>
      <x:c r="J157" s="11" t="str">
        <x:v>compound service denial</x:v>
      </x:c>
      <x:c r="K157" t="n">
        <x:v>2000</x:v>
      </x:c>
      <x:c r="L157" t="n">
        <x:v>1</x:v>
      </x:c>
      <x:c r="M157" t="str"/>
      <x:c r="N157" t="str"/>
      <x:c r="O157" t="str"/>
      <x:c r="P157" t="str">
        <x:v>OPEN</x:v>
      </x:c>
    </x:row>
    <x:row r="158" ht="34" customHeight="1">
      <x:c r="B158" t="str">
        <x:v>RFA-E152</x:v>
      </x:c>
      <x:c r="C158" t="str">
        <x:v>AM-07</x:v>
      </x:c>
      <x:c r="D158" t="str">
        <x:v>AF-2</x:v>
      </x:c>
      <x:c r="E158" t="str">
        <x:v>BA</x:v>
      </x:c>
      <x:c r="F158" t="str">
        <x:v>PTC-B</x:v>
      </x:c>
      <x:c r="G158" t="str">
        <x:v>AF-2-BA-A08</x:v>
      </x:c>
      <x:c r="H158" t="str">
        <x:v>RFA-P040</x:v>
      </x:c>
      <x:c r="I158" t="str">
        <x:v>control</x:v>
      </x:c>
      <x:c r="J158" s="11" t="str">
        <x:v>matched clean state</x:v>
      </x:c>
      <x:c r="K158" t="n">
        <x:v>2000</x:v>
      </x:c>
      <x:c r="L158" t="n">
        <x:v>2</x:v>
      </x:c>
      <x:c r="M158" t="str"/>
      <x:c r="N158" t="str"/>
      <x:c r="O158" t="str"/>
      <x:c r="P158" t="str">
        <x:v>OPEN</x:v>
      </x:c>
    </x:row>
    <x:row r="159" ht="34" customHeight="1">
      <x:c r="B159" t="str">
        <x:v>RFA-E153</x:v>
      </x:c>
      <x:c r="C159" t="str">
        <x:v>AM-05</x:v>
      </x:c>
      <x:c r="D159" t="str">
        <x:v>AF-2</x:v>
      </x:c>
      <x:c r="E159" t="str">
        <x:v>BA</x:v>
      </x:c>
      <x:c r="F159" t="str">
        <x:v>PTC-C</x:v>
      </x:c>
      <x:c r="G159" t="str">
        <x:v>AF-2-BA-A01</x:v>
      </x:c>
      <x:c r="H159" t="str">
        <x:v>RFA-P041</x:v>
      </x:c>
      <x:c r="I159" t="str">
        <x:v>control</x:v>
      </x:c>
      <x:c r="J159" s="11" t="str">
        <x:v>matched clean state</x:v>
      </x:c>
      <x:c r="K159" t="n">
        <x:v>500</x:v>
      </x:c>
      <x:c r="L159" t="n">
        <x:v>1</x:v>
      </x:c>
      <x:c r="M159" t="str"/>
      <x:c r="N159" t="str"/>
      <x:c r="O159" t="str"/>
      <x:c r="P159" t="str">
        <x:v>OPEN</x:v>
      </x:c>
    </x:row>
    <x:row r="160" ht="34" customHeight="1">
      <x:c r="B160" t="str">
        <x:v>RFA-E154</x:v>
      </x:c>
      <x:c r="C160" t="str">
        <x:v>AM-05</x:v>
      </x:c>
      <x:c r="D160" t="str">
        <x:v>AF-2</x:v>
      </x:c>
      <x:c r="E160" t="str">
        <x:v>BA</x:v>
      </x:c>
      <x:c r="F160" t="str">
        <x:v>PTC-C</x:v>
      </x:c>
      <x:c r="G160" t="str">
        <x:v>AF-2-BA-A01</x:v>
      </x:c>
      <x:c r="H160" t="str">
        <x:v>RFA-P041</x:v>
      </x:c>
      <x:c r="I160" t="str">
        <x:v>challenge</x:v>
      </x:c>
      <x:c r="J160" s="11" t="str">
        <x:v>adverse grade</x:v>
      </x:c>
      <x:c r="K160" t="n">
        <x:v>500</x:v>
      </x:c>
      <x:c r="L160" t="n">
        <x:v>2</x:v>
      </x:c>
      <x:c r="M160" t="str"/>
      <x:c r="N160" t="str"/>
      <x:c r="O160" t="str"/>
      <x:c r="P160" t="str">
        <x:v>OPEN</x:v>
      </x:c>
    </x:row>
    <x:row r="161" ht="34" customHeight="1">
      <x:c r="B161" t="str">
        <x:v>RFA-E155</x:v>
      </x:c>
      <x:c r="C161" t="str">
        <x:v>AM-05</x:v>
      </x:c>
      <x:c r="D161" t="str">
        <x:v>AF-2</x:v>
      </x:c>
      <x:c r="E161" t="str">
        <x:v>BA</x:v>
      </x:c>
      <x:c r="F161" t="str">
        <x:v>PTC-C</x:v>
      </x:c>
      <x:c r="G161" t="str">
        <x:v>AF-2-BA-A02</x:v>
      </x:c>
      <x:c r="H161" t="str">
        <x:v>RFA-P042</x:v>
      </x:c>
      <x:c r="I161" t="str">
        <x:v>challenge</x:v>
      </x:c>
      <x:c r="J161" s="11" t="str">
        <x:v>half drain area</x:v>
      </x:c>
      <x:c r="K161" t="n">
        <x:v>500</x:v>
      </x:c>
      <x:c r="L161" t="n">
        <x:v>1</x:v>
      </x:c>
      <x:c r="M161" t="str"/>
      <x:c r="N161" t="str"/>
      <x:c r="O161" t="str"/>
      <x:c r="P161" t="str">
        <x:v>OPEN</x:v>
      </x:c>
    </x:row>
    <x:row r="162" ht="34" customHeight="1">
      <x:c r="B162" t="str">
        <x:v>RFA-E156</x:v>
      </x:c>
      <x:c r="C162" t="str">
        <x:v>AM-05</x:v>
      </x:c>
      <x:c r="D162" t="str">
        <x:v>AF-2</x:v>
      </x:c>
      <x:c r="E162" t="str">
        <x:v>BA</x:v>
      </x:c>
      <x:c r="F162" t="str">
        <x:v>PTC-C</x:v>
      </x:c>
      <x:c r="G162" t="str">
        <x:v>AF-2-BA-A02</x:v>
      </x:c>
      <x:c r="H162" t="str">
        <x:v>RFA-P042</x:v>
      </x:c>
      <x:c r="I162" t="str">
        <x:v>control</x:v>
      </x:c>
      <x:c r="J162" s="11" t="str">
        <x:v>matched clean state</x:v>
      </x:c>
      <x:c r="K162" t="n">
        <x:v>500</x:v>
      </x:c>
      <x:c r="L162" t="n">
        <x:v>2</x:v>
      </x:c>
      <x:c r="M162" t="str"/>
      <x:c r="N162" t="str"/>
      <x:c r="O162" t="str"/>
      <x:c r="P162" t="str">
        <x:v>OPEN</x:v>
      </x:c>
    </x:row>
    <x:row r="163" ht="34" customHeight="1">
      <x:c r="B163" t="str">
        <x:v>RFA-E157</x:v>
      </x:c>
      <x:c r="C163" t="str">
        <x:v>AM-05</x:v>
      </x:c>
      <x:c r="D163" t="str">
        <x:v>AF-2</x:v>
      </x:c>
      <x:c r="E163" t="str">
        <x:v>BA</x:v>
      </x:c>
      <x:c r="F163" t="str">
        <x:v>PTC-C</x:v>
      </x:c>
      <x:c r="G163" t="str">
        <x:v>AF-2-BA-A03</x:v>
      </x:c>
      <x:c r="H163" t="str">
        <x:v>RFA-P043</x:v>
      </x:c>
      <x:c r="I163" t="str">
        <x:v>control</x:v>
      </x:c>
      <x:c r="J163" s="11" t="str">
        <x:v>matched clean state</x:v>
      </x:c>
      <x:c r="K163" t="n">
        <x:v>500</x:v>
      </x:c>
      <x:c r="L163" t="n">
        <x:v>1</x:v>
      </x:c>
      <x:c r="M163" t="str"/>
      <x:c r="N163" t="str"/>
      <x:c r="O163" t="str"/>
      <x:c r="P163" t="str">
        <x:v>OPEN</x:v>
      </x:c>
    </x:row>
    <x:row r="164" ht="34" customHeight="1">
      <x:c r="B164" t="str">
        <x:v>RFA-E158</x:v>
      </x:c>
      <x:c r="C164" t="str">
        <x:v>AM-05</x:v>
      </x:c>
      <x:c r="D164" t="str">
        <x:v>AF-2</x:v>
      </x:c>
      <x:c r="E164" t="str">
        <x:v>BA</x:v>
      </x:c>
      <x:c r="F164" t="str">
        <x:v>PTC-C</x:v>
      </x:c>
      <x:c r="G164" t="str">
        <x:v>AF-2-BA-A03</x:v>
      </x:c>
      <x:c r="H164" t="str">
        <x:v>RFA-P043</x:v>
      </x:c>
      <x:c r="I164" t="str">
        <x:v>challenge</x:v>
      </x:c>
      <x:c r="J164" s="11" t="str">
        <x:v>sump half full</x:v>
      </x:c>
      <x:c r="K164" t="n">
        <x:v>500</x:v>
      </x:c>
      <x:c r="L164" t="n">
        <x:v>2</x:v>
      </x:c>
      <x:c r="M164" t="str"/>
      <x:c r="N164" t="str"/>
      <x:c r="O164" t="str"/>
      <x:c r="P164" t="str">
        <x:v>OPEN</x:v>
      </x:c>
    </x:row>
    <x:row r="165" ht="34" customHeight="1">
      <x:c r="B165" t="str">
        <x:v>RFA-E159</x:v>
      </x:c>
      <x:c r="C165" t="str">
        <x:v>AM-05</x:v>
      </x:c>
      <x:c r="D165" t="str">
        <x:v>AF-2</x:v>
      </x:c>
      <x:c r="E165" t="str">
        <x:v>BA</x:v>
      </x:c>
      <x:c r="F165" t="str">
        <x:v>PTC-C</x:v>
      </x:c>
      <x:c r="G165" t="str">
        <x:v>AF-2-BA-A04</x:v>
      </x:c>
      <x:c r="H165" t="str">
        <x:v>RFA-P044</x:v>
      </x:c>
      <x:c r="I165" t="str">
        <x:v>challenge</x:v>
      </x:c>
      <x:c r="J165" s="11" t="str">
        <x:v>debris field</x:v>
      </x:c>
      <x:c r="K165" t="n">
        <x:v>500</x:v>
      </x:c>
      <x:c r="L165" t="n">
        <x:v>1</x:v>
      </x:c>
      <x:c r="M165" t="str"/>
      <x:c r="N165" t="str"/>
      <x:c r="O165" t="str"/>
      <x:c r="P165" t="str">
        <x:v>OPEN</x:v>
      </x:c>
    </x:row>
    <x:row r="166" ht="34" customHeight="1">
      <x:c r="B166" t="str">
        <x:v>RFA-E160</x:v>
      </x:c>
      <x:c r="C166" t="str">
        <x:v>AM-05</x:v>
      </x:c>
      <x:c r="D166" t="str">
        <x:v>AF-2</x:v>
      </x:c>
      <x:c r="E166" t="str">
        <x:v>BA</x:v>
      </x:c>
      <x:c r="F166" t="str">
        <x:v>PTC-C</x:v>
      </x:c>
      <x:c r="G166" t="str">
        <x:v>AF-2-BA-A04</x:v>
      </x:c>
      <x:c r="H166" t="str">
        <x:v>RFA-P044</x:v>
      </x:c>
      <x:c r="I166" t="str">
        <x:v>control</x:v>
      </x:c>
      <x:c r="J166" s="11" t="str">
        <x:v>matched clean state</x:v>
      </x:c>
      <x:c r="K166" t="n">
        <x:v>500</x:v>
      </x:c>
      <x:c r="L166" t="n">
        <x:v>2</x:v>
      </x:c>
      <x:c r="M166" t="str"/>
      <x:c r="N166" t="str"/>
      <x:c r="O166" t="str"/>
      <x:c r="P166" t="str">
        <x:v>OPEN</x:v>
      </x:c>
    </x:row>
    <x:row r="167" ht="34" customHeight="1">
      <x:c r="B167" t="str">
        <x:v>RFA-E161</x:v>
      </x:c>
      <x:c r="C167" t="str">
        <x:v>AM-07</x:v>
      </x:c>
      <x:c r="D167" t="str">
        <x:v>AF-2</x:v>
      </x:c>
      <x:c r="E167" t="str">
        <x:v>BA</x:v>
      </x:c>
      <x:c r="F167" t="str">
        <x:v>PTC-C</x:v>
      </x:c>
      <x:c r="G167" t="str">
        <x:v>AF-2-BA-A05</x:v>
      </x:c>
      <x:c r="H167" t="str">
        <x:v>RFA-P045</x:v>
      </x:c>
      <x:c r="I167" t="str">
        <x:v>control</x:v>
      </x:c>
      <x:c r="J167" s="11" t="str">
        <x:v>matched clean state</x:v>
      </x:c>
      <x:c r="K167" t="n">
        <x:v>2000</x:v>
      </x:c>
      <x:c r="L167" t="n">
        <x:v>1</x:v>
      </x:c>
      <x:c r="M167" t="str"/>
      <x:c r="N167" t="str"/>
      <x:c r="O167" t="str"/>
      <x:c r="P167" t="str">
        <x:v>OPEN</x:v>
      </x:c>
    </x:row>
    <x:row r="168" ht="34" customHeight="1">
      <x:c r="B168" t="str">
        <x:v>RFA-E162</x:v>
      </x:c>
      <x:c r="C168" t="str">
        <x:v>AM-07</x:v>
      </x:c>
      <x:c r="D168" t="str">
        <x:v>AF-2</x:v>
      </x:c>
      <x:c r="E168" t="str">
        <x:v>BA</x:v>
      </x:c>
      <x:c r="F168" t="str">
        <x:v>PTC-C</x:v>
      </x:c>
      <x:c r="G168" t="str">
        <x:v>AF-2-BA-A05</x:v>
      </x:c>
      <x:c r="H168" t="str">
        <x:v>RFA-P045</x:v>
      </x:c>
      <x:c r="I168" t="str">
        <x:v>challenge</x:v>
      </x:c>
      <x:c r="J168" s="11" t="str">
        <x:v>bounded pool fire</x:v>
      </x:c>
      <x:c r="K168" t="n">
        <x:v>2000</x:v>
      </x:c>
      <x:c r="L168" t="n">
        <x:v>2</x:v>
      </x:c>
      <x:c r="M168" t="str"/>
      <x:c r="N168" t="str"/>
      <x:c r="O168" t="str"/>
      <x:c r="P168" t="str">
        <x:v>OPEN</x:v>
      </x:c>
    </x:row>
    <x:row r="169" ht="34" customHeight="1">
      <x:c r="B169" t="str">
        <x:v>RFA-E163</x:v>
      </x:c>
      <x:c r="C169" t="str">
        <x:v>AM-07</x:v>
      </x:c>
      <x:c r="D169" t="str">
        <x:v>AF-2</x:v>
      </x:c>
      <x:c r="E169" t="str">
        <x:v>BA</x:v>
      </x:c>
      <x:c r="F169" t="str">
        <x:v>PTC-C</x:v>
      </x:c>
      <x:c r="G169" t="str">
        <x:v>AF-2-BA-A06</x:v>
      </x:c>
      <x:c r="H169" t="str">
        <x:v>RFA-P046</x:v>
      </x:c>
      <x:c r="I169" t="str">
        <x:v>challenge</x:v>
      </x:c>
      <x:c r="J169" s="11" t="str">
        <x:v>firewater capacity shock</x:v>
      </x:c>
      <x:c r="K169" t="n">
        <x:v>2000</x:v>
      </x:c>
      <x:c r="L169" t="n">
        <x:v>1</x:v>
      </x:c>
      <x:c r="M169" t="str"/>
      <x:c r="N169" t="str"/>
      <x:c r="O169" t="str"/>
      <x:c r="P169" t="str">
        <x:v>OPEN</x:v>
      </x:c>
    </x:row>
    <x:row r="170" ht="34" customHeight="1">
      <x:c r="B170" t="str">
        <x:v>RFA-E164</x:v>
      </x:c>
      <x:c r="C170" t="str">
        <x:v>AM-07</x:v>
      </x:c>
      <x:c r="D170" t="str">
        <x:v>AF-2</x:v>
      </x:c>
      <x:c r="E170" t="str">
        <x:v>BA</x:v>
      </x:c>
      <x:c r="F170" t="str">
        <x:v>PTC-C</x:v>
      </x:c>
      <x:c r="G170" t="str">
        <x:v>AF-2-BA-A06</x:v>
      </x:c>
      <x:c r="H170" t="str">
        <x:v>RFA-P046</x:v>
      </x:c>
      <x:c r="I170" t="str">
        <x:v>control</x:v>
      </x:c>
      <x:c r="J170" s="11" t="str">
        <x:v>matched clean state</x:v>
      </x:c>
      <x:c r="K170" t="n">
        <x:v>2000</x:v>
      </x:c>
      <x:c r="L170" t="n">
        <x:v>2</x:v>
      </x:c>
      <x:c r="M170" t="str"/>
      <x:c r="N170" t="str"/>
      <x:c r="O170" t="str"/>
      <x:c r="P170" t="str">
        <x:v>OPEN</x:v>
      </x:c>
    </x:row>
    <x:row r="171" ht="34" customHeight="1">
      <x:c r="B171" t="str">
        <x:v>RFA-E165</x:v>
      </x:c>
      <x:c r="C171" t="str">
        <x:v>AM-07</x:v>
      </x:c>
      <x:c r="D171" t="str">
        <x:v>AF-2</x:v>
      </x:c>
      <x:c r="E171" t="str">
        <x:v>BA</x:v>
      </x:c>
      <x:c r="F171" t="str">
        <x:v>PTC-C</x:v>
      </x:c>
      <x:c r="G171" t="str">
        <x:v>AF-2-BA-A07</x:v>
      </x:c>
      <x:c r="H171" t="str">
        <x:v>RFA-P047</x:v>
      </x:c>
      <x:c r="I171" t="str">
        <x:v>control</x:v>
      </x:c>
      <x:c r="J171" s="11" t="str">
        <x:v>matched clean state</x:v>
      </x:c>
      <x:c r="K171" t="n">
        <x:v>2000</x:v>
      </x:c>
      <x:c r="L171" t="n">
        <x:v>1</x:v>
      </x:c>
      <x:c r="M171" t="str"/>
      <x:c r="N171" t="str"/>
      <x:c r="O171" t="str"/>
      <x:c r="P171" t="str">
        <x:v>OPEN</x:v>
      </x:c>
    </x:row>
    <x:row r="172" ht="34" customHeight="1">
      <x:c r="B172" t="str">
        <x:v>RFA-E166</x:v>
      </x:c>
      <x:c r="C172" t="str">
        <x:v>AM-07</x:v>
      </x:c>
      <x:c r="D172" t="str">
        <x:v>AF-2</x:v>
      </x:c>
      <x:c r="E172" t="str">
        <x:v>BA</x:v>
      </x:c>
      <x:c r="F172" t="str">
        <x:v>PTC-C</x:v>
      </x:c>
      <x:c r="G172" t="str">
        <x:v>AF-2-BA-A07</x:v>
      </x:c>
      <x:c r="H172" t="str">
        <x:v>RFA-P047</x:v>
      </x:c>
      <x:c r="I172" t="str">
        <x:v>challenge</x:v>
      </x:c>
      <x:c r="J172" s="11" t="str">
        <x:v>partial barrier plus wind</x:v>
      </x:c>
      <x:c r="K172" t="n">
        <x:v>2000</x:v>
      </x:c>
      <x:c r="L172" t="n">
        <x:v>2</x:v>
      </x:c>
      <x:c r="M172" t="str"/>
      <x:c r="N172" t="str"/>
      <x:c r="O172" t="str"/>
      <x:c r="P172" t="str">
        <x:v>OPEN</x:v>
      </x:c>
    </x:row>
    <x:row r="173" ht="34" customHeight="1">
      <x:c r="B173" t="str">
        <x:v>RFA-E167</x:v>
      </x:c>
      <x:c r="C173" t="str">
        <x:v>AM-07</x:v>
      </x:c>
      <x:c r="D173" t="str">
        <x:v>AF-2</x:v>
      </x:c>
      <x:c r="E173" t="str">
        <x:v>BA</x:v>
      </x:c>
      <x:c r="F173" t="str">
        <x:v>PTC-C</x:v>
      </x:c>
      <x:c r="G173" t="str">
        <x:v>AF-2-BA-A08</x:v>
      </x:c>
      <x:c r="H173" t="str">
        <x:v>RFA-P048</x:v>
      </x:c>
      <x:c r="I173" t="str">
        <x:v>challenge</x:v>
      </x:c>
      <x:c r="J173" s="11" t="str">
        <x:v>compound service denial</x:v>
      </x:c>
      <x:c r="K173" t="n">
        <x:v>2000</x:v>
      </x:c>
      <x:c r="L173" t="n">
        <x:v>1</x:v>
      </x:c>
      <x:c r="M173" t="str"/>
      <x:c r="N173" t="str"/>
      <x:c r="O173" t="str"/>
      <x:c r="P173" t="str">
        <x:v>OPEN</x:v>
      </x:c>
    </x:row>
    <x:row r="174" ht="34" customHeight="1">
      <x:c r="B174" t="str">
        <x:v>RFA-E168</x:v>
      </x:c>
      <x:c r="C174" t="str">
        <x:v>AM-07</x:v>
      </x:c>
      <x:c r="D174" t="str">
        <x:v>AF-2</x:v>
      </x:c>
      <x:c r="E174" t="str">
        <x:v>BA</x:v>
      </x:c>
      <x:c r="F174" t="str">
        <x:v>PTC-C</x:v>
      </x:c>
      <x:c r="G174" t="str">
        <x:v>AF-2-BA-A08</x:v>
      </x:c>
      <x:c r="H174" t="str">
        <x:v>RFA-P048</x:v>
      </x:c>
      <x:c r="I174" t="str">
        <x:v>control</x:v>
      </x:c>
      <x:c r="J174" s="11" t="str">
        <x:v>matched clean state</x:v>
      </x:c>
      <x:c r="K174" t="n">
        <x:v>2000</x:v>
      </x:c>
      <x:c r="L174" t="n">
        <x:v>2</x:v>
      </x:c>
      <x:c r="M174" t="str"/>
      <x:c r="N174" t="str"/>
      <x:c r="O174" t="str"/>
      <x:c r="P174" t="str">
        <x:v>OPEN</x:v>
      </x:c>
    </x:row>
    <x:row r="175" ht="34" customHeight="1">
      <x:c r="B175" t="str">
        <x:v>RFA-E169</x:v>
      </x:c>
      <x:c r="C175" t="str">
        <x:v>AM-05</x:v>
      </x:c>
      <x:c r="D175" t="str">
        <x:v>AF-2</x:v>
      </x:c>
      <x:c r="E175" t="str">
        <x:v>BB</x:v>
      </x:c>
      <x:c r="F175" t="str">
        <x:v>PTC-B</x:v>
      </x:c>
      <x:c r="G175" t="str">
        <x:v>AF-2-BB-A01</x:v>
      </x:c>
      <x:c r="H175" t="str">
        <x:v>RFA-P049</x:v>
      </x:c>
      <x:c r="I175" t="str">
        <x:v>control</x:v>
      </x:c>
      <x:c r="J175" s="11" t="str">
        <x:v>matched clean state</x:v>
      </x:c>
      <x:c r="K175" t="n">
        <x:v>500</x:v>
      </x:c>
      <x:c r="L175" t="n">
        <x:v>1</x:v>
      </x:c>
      <x:c r="M175" t="str"/>
      <x:c r="N175" t="str"/>
      <x:c r="O175" t="str"/>
      <x:c r="P175" t="str">
        <x:v>OPEN</x:v>
      </x:c>
    </x:row>
    <x:row r="176" ht="34" customHeight="1">
      <x:c r="B176" t="str">
        <x:v>RFA-E170</x:v>
      </x:c>
      <x:c r="C176" t="str">
        <x:v>AM-05</x:v>
      </x:c>
      <x:c r="D176" t="str">
        <x:v>AF-2</x:v>
      </x:c>
      <x:c r="E176" t="str">
        <x:v>BB</x:v>
      </x:c>
      <x:c r="F176" t="str">
        <x:v>PTC-B</x:v>
      </x:c>
      <x:c r="G176" t="str">
        <x:v>AF-2-BB-A01</x:v>
      </x:c>
      <x:c r="H176" t="str">
        <x:v>RFA-P049</x:v>
      </x:c>
      <x:c r="I176" t="str">
        <x:v>challenge</x:v>
      </x:c>
      <x:c r="J176" s="11" t="str">
        <x:v>adverse grade</x:v>
      </x:c>
      <x:c r="K176" t="n">
        <x:v>500</x:v>
      </x:c>
      <x:c r="L176" t="n">
        <x:v>2</x:v>
      </x:c>
      <x:c r="M176" t="str"/>
      <x:c r="N176" t="str"/>
      <x:c r="O176" t="str"/>
      <x:c r="P176" t="str">
        <x:v>OPEN</x:v>
      </x:c>
    </x:row>
    <x:row r="177" ht="34" customHeight="1">
      <x:c r="B177" t="str">
        <x:v>RFA-E171</x:v>
      </x:c>
      <x:c r="C177" t="str">
        <x:v>AM-05</x:v>
      </x:c>
      <x:c r="D177" t="str">
        <x:v>AF-2</x:v>
      </x:c>
      <x:c r="E177" t="str">
        <x:v>BB</x:v>
      </x:c>
      <x:c r="F177" t="str">
        <x:v>PTC-B</x:v>
      </x:c>
      <x:c r="G177" t="str">
        <x:v>AF-2-BB-A02</x:v>
      </x:c>
      <x:c r="H177" t="str">
        <x:v>RFA-P050</x:v>
      </x:c>
      <x:c r="I177" t="str">
        <x:v>challenge</x:v>
      </x:c>
      <x:c r="J177" s="11" t="str">
        <x:v>half drain area</x:v>
      </x:c>
      <x:c r="K177" t="n">
        <x:v>500</x:v>
      </x:c>
      <x:c r="L177" t="n">
        <x:v>1</x:v>
      </x:c>
      <x:c r="M177" t="str"/>
      <x:c r="N177" t="str"/>
      <x:c r="O177" t="str"/>
      <x:c r="P177" t="str">
        <x:v>OPEN</x:v>
      </x:c>
    </x:row>
    <x:row r="178" ht="34" customHeight="1">
      <x:c r="B178" t="str">
        <x:v>RFA-E172</x:v>
      </x:c>
      <x:c r="C178" t="str">
        <x:v>AM-05</x:v>
      </x:c>
      <x:c r="D178" t="str">
        <x:v>AF-2</x:v>
      </x:c>
      <x:c r="E178" t="str">
        <x:v>BB</x:v>
      </x:c>
      <x:c r="F178" t="str">
        <x:v>PTC-B</x:v>
      </x:c>
      <x:c r="G178" t="str">
        <x:v>AF-2-BB-A02</x:v>
      </x:c>
      <x:c r="H178" t="str">
        <x:v>RFA-P050</x:v>
      </x:c>
      <x:c r="I178" t="str">
        <x:v>control</x:v>
      </x:c>
      <x:c r="J178" s="11" t="str">
        <x:v>matched clean state</x:v>
      </x:c>
      <x:c r="K178" t="n">
        <x:v>500</x:v>
      </x:c>
      <x:c r="L178" t="n">
        <x:v>2</x:v>
      </x:c>
      <x:c r="M178" t="str"/>
      <x:c r="N178" t="str"/>
      <x:c r="O178" t="str"/>
      <x:c r="P178" t="str">
        <x:v>OPEN</x:v>
      </x:c>
    </x:row>
    <x:row r="179" ht="34" customHeight="1">
      <x:c r="B179" t="str">
        <x:v>RFA-E173</x:v>
      </x:c>
      <x:c r="C179" t="str">
        <x:v>AM-05</x:v>
      </x:c>
      <x:c r="D179" t="str">
        <x:v>AF-2</x:v>
      </x:c>
      <x:c r="E179" t="str">
        <x:v>BB</x:v>
      </x:c>
      <x:c r="F179" t="str">
        <x:v>PTC-B</x:v>
      </x:c>
      <x:c r="G179" t="str">
        <x:v>AF-2-BB-A03</x:v>
      </x:c>
      <x:c r="H179" t="str">
        <x:v>RFA-P051</x:v>
      </x:c>
      <x:c r="I179" t="str">
        <x:v>control</x:v>
      </x:c>
      <x:c r="J179" s="11" t="str">
        <x:v>matched clean state</x:v>
      </x:c>
      <x:c r="K179" t="n">
        <x:v>500</x:v>
      </x:c>
      <x:c r="L179" t="n">
        <x:v>1</x:v>
      </x:c>
      <x:c r="M179" t="str"/>
      <x:c r="N179" t="str"/>
      <x:c r="O179" t="str"/>
      <x:c r="P179" t="str">
        <x:v>OPEN</x:v>
      </x:c>
    </x:row>
    <x:row r="180" ht="34" customHeight="1">
      <x:c r="B180" t="str">
        <x:v>RFA-E174</x:v>
      </x:c>
      <x:c r="C180" t="str">
        <x:v>AM-05</x:v>
      </x:c>
      <x:c r="D180" t="str">
        <x:v>AF-2</x:v>
      </x:c>
      <x:c r="E180" t="str">
        <x:v>BB</x:v>
      </x:c>
      <x:c r="F180" t="str">
        <x:v>PTC-B</x:v>
      </x:c>
      <x:c r="G180" t="str">
        <x:v>AF-2-BB-A03</x:v>
      </x:c>
      <x:c r="H180" t="str">
        <x:v>RFA-P051</x:v>
      </x:c>
      <x:c r="I180" t="str">
        <x:v>challenge</x:v>
      </x:c>
      <x:c r="J180" s="11" t="str">
        <x:v>sump half full</x:v>
      </x:c>
      <x:c r="K180" t="n">
        <x:v>500</x:v>
      </x:c>
      <x:c r="L180" t="n">
        <x:v>2</x:v>
      </x:c>
      <x:c r="M180" t="str"/>
      <x:c r="N180" t="str"/>
      <x:c r="O180" t="str"/>
      <x:c r="P180" t="str">
        <x:v>OPEN</x:v>
      </x:c>
    </x:row>
    <x:row r="181" ht="34" customHeight="1">
      <x:c r="B181" t="str">
        <x:v>RFA-E175</x:v>
      </x:c>
      <x:c r="C181" t="str">
        <x:v>AM-05</x:v>
      </x:c>
      <x:c r="D181" t="str">
        <x:v>AF-2</x:v>
      </x:c>
      <x:c r="E181" t="str">
        <x:v>BB</x:v>
      </x:c>
      <x:c r="F181" t="str">
        <x:v>PTC-B</x:v>
      </x:c>
      <x:c r="G181" t="str">
        <x:v>AF-2-BB-A04</x:v>
      </x:c>
      <x:c r="H181" t="str">
        <x:v>RFA-P052</x:v>
      </x:c>
      <x:c r="I181" t="str">
        <x:v>challenge</x:v>
      </x:c>
      <x:c r="J181" s="11" t="str">
        <x:v>debris field</x:v>
      </x:c>
      <x:c r="K181" t="n">
        <x:v>500</x:v>
      </x:c>
      <x:c r="L181" t="n">
        <x:v>1</x:v>
      </x:c>
      <x:c r="M181" t="str"/>
      <x:c r="N181" t="str"/>
      <x:c r="O181" t="str"/>
      <x:c r="P181" t="str">
        <x:v>OPEN</x:v>
      </x:c>
    </x:row>
    <x:row r="182" ht="34" customHeight="1">
      <x:c r="B182" t="str">
        <x:v>RFA-E176</x:v>
      </x:c>
      <x:c r="C182" t="str">
        <x:v>AM-05</x:v>
      </x:c>
      <x:c r="D182" t="str">
        <x:v>AF-2</x:v>
      </x:c>
      <x:c r="E182" t="str">
        <x:v>BB</x:v>
      </x:c>
      <x:c r="F182" t="str">
        <x:v>PTC-B</x:v>
      </x:c>
      <x:c r="G182" t="str">
        <x:v>AF-2-BB-A04</x:v>
      </x:c>
      <x:c r="H182" t="str">
        <x:v>RFA-P052</x:v>
      </x:c>
      <x:c r="I182" t="str">
        <x:v>control</x:v>
      </x:c>
      <x:c r="J182" s="11" t="str">
        <x:v>matched clean state</x:v>
      </x:c>
      <x:c r="K182" t="n">
        <x:v>500</x:v>
      </x:c>
      <x:c r="L182" t="n">
        <x:v>2</x:v>
      </x:c>
      <x:c r="M182" t="str"/>
      <x:c r="N182" t="str"/>
      <x:c r="O182" t="str"/>
      <x:c r="P182" t="str">
        <x:v>OPEN</x:v>
      </x:c>
    </x:row>
    <x:row r="183" ht="34" customHeight="1">
      <x:c r="B183" t="str">
        <x:v>RFA-E177</x:v>
      </x:c>
      <x:c r="C183" t="str">
        <x:v>AM-07</x:v>
      </x:c>
      <x:c r="D183" t="str">
        <x:v>AF-2</x:v>
      </x:c>
      <x:c r="E183" t="str">
        <x:v>BB</x:v>
      </x:c>
      <x:c r="F183" t="str">
        <x:v>PTC-B</x:v>
      </x:c>
      <x:c r="G183" t="str">
        <x:v>AF-2-BB-A05</x:v>
      </x:c>
      <x:c r="H183" t="str">
        <x:v>RFA-P053</x:v>
      </x:c>
      <x:c r="I183" t="str">
        <x:v>control</x:v>
      </x:c>
      <x:c r="J183" s="11" t="str">
        <x:v>matched clean state</x:v>
      </x:c>
      <x:c r="K183" t="n">
        <x:v>2000</x:v>
      </x:c>
      <x:c r="L183" t="n">
        <x:v>1</x:v>
      </x:c>
      <x:c r="M183" t="str"/>
      <x:c r="N183" t="str"/>
      <x:c r="O183" t="str"/>
      <x:c r="P183" t="str">
        <x:v>OPEN</x:v>
      </x:c>
    </x:row>
    <x:row r="184" ht="34" customHeight="1">
      <x:c r="B184" t="str">
        <x:v>RFA-E178</x:v>
      </x:c>
      <x:c r="C184" t="str">
        <x:v>AM-07</x:v>
      </x:c>
      <x:c r="D184" t="str">
        <x:v>AF-2</x:v>
      </x:c>
      <x:c r="E184" t="str">
        <x:v>BB</x:v>
      </x:c>
      <x:c r="F184" t="str">
        <x:v>PTC-B</x:v>
      </x:c>
      <x:c r="G184" t="str">
        <x:v>AF-2-BB-A05</x:v>
      </x:c>
      <x:c r="H184" t="str">
        <x:v>RFA-P053</x:v>
      </x:c>
      <x:c r="I184" t="str">
        <x:v>challenge</x:v>
      </x:c>
      <x:c r="J184" s="11" t="str">
        <x:v>bounded pool fire</x:v>
      </x:c>
      <x:c r="K184" t="n">
        <x:v>2000</x:v>
      </x:c>
      <x:c r="L184" t="n">
        <x:v>2</x:v>
      </x:c>
      <x:c r="M184" t="str"/>
      <x:c r="N184" t="str"/>
      <x:c r="O184" t="str"/>
      <x:c r="P184" t="str">
        <x:v>OPEN</x:v>
      </x:c>
    </x:row>
    <x:row r="185" ht="34" customHeight="1">
      <x:c r="B185" t="str">
        <x:v>RFA-E179</x:v>
      </x:c>
      <x:c r="C185" t="str">
        <x:v>AM-07</x:v>
      </x:c>
      <x:c r="D185" t="str">
        <x:v>AF-2</x:v>
      </x:c>
      <x:c r="E185" t="str">
        <x:v>BB</x:v>
      </x:c>
      <x:c r="F185" t="str">
        <x:v>PTC-B</x:v>
      </x:c>
      <x:c r="G185" t="str">
        <x:v>AF-2-BB-A06</x:v>
      </x:c>
      <x:c r="H185" t="str">
        <x:v>RFA-P054</x:v>
      </x:c>
      <x:c r="I185" t="str">
        <x:v>challenge</x:v>
      </x:c>
      <x:c r="J185" s="11" t="str">
        <x:v>firewater capacity shock</x:v>
      </x:c>
      <x:c r="K185" t="n">
        <x:v>2000</x:v>
      </x:c>
      <x:c r="L185" t="n">
        <x:v>1</x:v>
      </x:c>
      <x:c r="M185" t="str"/>
      <x:c r="N185" t="str"/>
      <x:c r="O185" t="str"/>
      <x:c r="P185" t="str">
        <x:v>OPEN</x:v>
      </x:c>
    </x:row>
    <x:row r="186" ht="34" customHeight="1">
      <x:c r="B186" t="str">
        <x:v>RFA-E180</x:v>
      </x:c>
      <x:c r="C186" t="str">
        <x:v>AM-07</x:v>
      </x:c>
      <x:c r="D186" t="str">
        <x:v>AF-2</x:v>
      </x:c>
      <x:c r="E186" t="str">
        <x:v>BB</x:v>
      </x:c>
      <x:c r="F186" t="str">
        <x:v>PTC-B</x:v>
      </x:c>
      <x:c r="G186" t="str">
        <x:v>AF-2-BB-A06</x:v>
      </x:c>
      <x:c r="H186" t="str">
        <x:v>RFA-P054</x:v>
      </x:c>
      <x:c r="I186" t="str">
        <x:v>control</x:v>
      </x:c>
      <x:c r="J186" s="11" t="str">
        <x:v>matched clean state</x:v>
      </x:c>
      <x:c r="K186" t="n">
        <x:v>2000</x:v>
      </x:c>
      <x:c r="L186" t="n">
        <x:v>2</x:v>
      </x:c>
      <x:c r="M186" t="str"/>
      <x:c r="N186" t="str"/>
      <x:c r="O186" t="str"/>
      <x:c r="P186" t="str">
        <x:v>OPEN</x:v>
      </x:c>
    </x:row>
    <x:row r="187" ht="34" customHeight="1">
      <x:c r="B187" t="str">
        <x:v>RFA-E181</x:v>
      </x:c>
      <x:c r="C187" t="str">
        <x:v>AM-07</x:v>
      </x:c>
      <x:c r="D187" t="str">
        <x:v>AF-2</x:v>
      </x:c>
      <x:c r="E187" t="str">
        <x:v>BB</x:v>
      </x:c>
      <x:c r="F187" t="str">
        <x:v>PTC-B</x:v>
      </x:c>
      <x:c r="G187" t="str">
        <x:v>AF-2-BB-A07</x:v>
      </x:c>
      <x:c r="H187" t="str">
        <x:v>RFA-P055</x:v>
      </x:c>
      <x:c r="I187" t="str">
        <x:v>control</x:v>
      </x:c>
      <x:c r="J187" s="11" t="str">
        <x:v>matched clean state</x:v>
      </x:c>
      <x:c r="K187" t="n">
        <x:v>2000</x:v>
      </x:c>
      <x:c r="L187" t="n">
        <x:v>1</x:v>
      </x:c>
      <x:c r="M187" t="str"/>
      <x:c r="N187" t="str"/>
      <x:c r="O187" t="str"/>
      <x:c r="P187" t="str">
        <x:v>OPEN</x:v>
      </x:c>
    </x:row>
    <x:row r="188" ht="34" customHeight="1">
      <x:c r="B188" t="str">
        <x:v>RFA-E182</x:v>
      </x:c>
      <x:c r="C188" t="str">
        <x:v>AM-07</x:v>
      </x:c>
      <x:c r="D188" t="str">
        <x:v>AF-2</x:v>
      </x:c>
      <x:c r="E188" t="str">
        <x:v>BB</x:v>
      </x:c>
      <x:c r="F188" t="str">
        <x:v>PTC-B</x:v>
      </x:c>
      <x:c r="G188" t="str">
        <x:v>AF-2-BB-A07</x:v>
      </x:c>
      <x:c r="H188" t="str">
        <x:v>RFA-P055</x:v>
      </x:c>
      <x:c r="I188" t="str">
        <x:v>challenge</x:v>
      </x:c>
      <x:c r="J188" s="11" t="str">
        <x:v>partial barrier plus wind</x:v>
      </x:c>
      <x:c r="K188" t="n">
        <x:v>2000</x:v>
      </x:c>
      <x:c r="L188" t="n">
        <x:v>2</x:v>
      </x:c>
      <x:c r="M188" t="str"/>
      <x:c r="N188" t="str"/>
      <x:c r="O188" t="str"/>
      <x:c r="P188" t="str">
        <x:v>OPEN</x:v>
      </x:c>
    </x:row>
    <x:row r="189" ht="34" customHeight="1">
      <x:c r="B189" t="str">
        <x:v>RFA-E183</x:v>
      </x:c>
      <x:c r="C189" t="str">
        <x:v>AM-07</x:v>
      </x:c>
      <x:c r="D189" t="str">
        <x:v>AF-2</x:v>
      </x:c>
      <x:c r="E189" t="str">
        <x:v>BB</x:v>
      </x:c>
      <x:c r="F189" t="str">
        <x:v>PTC-B</x:v>
      </x:c>
      <x:c r="G189" t="str">
        <x:v>AF-2-BB-A08</x:v>
      </x:c>
      <x:c r="H189" t="str">
        <x:v>RFA-P056</x:v>
      </x:c>
      <x:c r="I189" t="str">
        <x:v>challenge</x:v>
      </x:c>
      <x:c r="J189" s="11" t="str">
        <x:v>compound service denial</x:v>
      </x:c>
      <x:c r="K189" t="n">
        <x:v>2000</x:v>
      </x:c>
      <x:c r="L189" t="n">
        <x:v>1</x:v>
      </x:c>
      <x:c r="M189" t="str"/>
      <x:c r="N189" t="str"/>
      <x:c r="O189" t="str"/>
      <x:c r="P189" t="str">
        <x:v>OPEN</x:v>
      </x:c>
    </x:row>
    <x:row r="190" ht="34" customHeight="1">
      <x:c r="B190" t="str">
        <x:v>RFA-E184</x:v>
      </x:c>
      <x:c r="C190" t="str">
        <x:v>AM-07</x:v>
      </x:c>
      <x:c r="D190" t="str">
        <x:v>AF-2</x:v>
      </x:c>
      <x:c r="E190" t="str">
        <x:v>BB</x:v>
      </x:c>
      <x:c r="F190" t="str">
        <x:v>PTC-B</x:v>
      </x:c>
      <x:c r="G190" t="str">
        <x:v>AF-2-BB-A08</x:v>
      </x:c>
      <x:c r="H190" t="str">
        <x:v>RFA-P056</x:v>
      </x:c>
      <x:c r="I190" t="str">
        <x:v>control</x:v>
      </x:c>
      <x:c r="J190" s="11" t="str">
        <x:v>matched clean state</x:v>
      </x:c>
      <x:c r="K190" t="n">
        <x:v>2000</x:v>
      </x:c>
      <x:c r="L190" t="n">
        <x:v>2</x:v>
      </x:c>
      <x:c r="M190" t="str"/>
      <x:c r="N190" t="str"/>
      <x:c r="O190" t="str"/>
      <x:c r="P190" t="str">
        <x:v>OPEN</x:v>
      </x:c>
    </x:row>
    <x:row r="191" ht="34" customHeight="1">
      <x:c r="B191" t="str">
        <x:v>RFA-E185</x:v>
      </x:c>
      <x:c r="C191" t="str">
        <x:v>AM-05</x:v>
      </x:c>
      <x:c r="D191" t="str">
        <x:v>AF-2</x:v>
      </x:c>
      <x:c r="E191" t="str">
        <x:v>BB</x:v>
      </x:c>
      <x:c r="F191" t="str">
        <x:v>PTC-C</x:v>
      </x:c>
      <x:c r="G191" t="str">
        <x:v>AF-2-BB-A01</x:v>
      </x:c>
      <x:c r="H191" t="str">
        <x:v>RFA-P057</x:v>
      </x:c>
      <x:c r="I191" t="str">
        <x:v>control</x:v>
      </x:c>
      <x:c r="J191" s="11" t="str">
        <x:v>matched clean state</x:v>
      </x:c>
      <x:c r="K191" t="n">
        <x:v>500</x:v>
      </x:c>
      <x:c r="L191" t="n">
        <x:v>1</x:v>
      </x:c>
      <x:c r="M191" t="str"/>
      <x:c r="N191" t="str"/>
      <x:c r="O191" t="str"/>
      <x:c r="P191" t="str">
        <x:v>OPEN</x:v>
      </x:c>
    </x:row>
    <x:row r="192" ht="34" customHeight="1">
      <x:c r="B192" t="str">
        <x:v>RFA-E186</x:v>
      </x:c>
      <x:c r="C192" t="str">
        <x:v>AM-05</x:v>
      </x:c>
      <x:c r="D192" t="str">
        <x:v>AF-2</x:v>
      </x:c>
      <x:c r="E192" t="str">
        <x:v>BB</x:v>
      </x:c>
      <x:c r="F192" t="str">
        <x:v>PTC-C</x:v>
      </x:c>
      <x:c r="G192" t="str">
        <x:v>AF-2-BB-A01</x:v>
      </x:c>
      <x:c r="H192" t="str">
        <x:v>RFA-P057</x:v>
      </x:c>
      <x:c r="I192" t="str">
        <x:v>challenge</x:v>
      </x:c>
      <x:c r="J192" s="11" t="str">
        <x:v>adverse grade</x:v>
      </x:c>
      <x:c r="K192" t="n">
        <x:v>500</x:v>
      </x:c>
      <x:c r="L192" t="n">
        <x:v>2</x:v>
      </x:c>
      <x:c r="M192" t="str"/>
      <x:c r="N192" t="str"/>
      <x:c r="O192" t="str"/>
      <x:c r="P192" t="str">
        <x:v>OPEN</x:v>
      </x:c>
    </x:row>
    <x:row r="193" ht="34" customHeight="1">
      <x:c r="B193" t="str">
        <x:v>RFA-E187</x:v>
      </x:c>
      <x:c r="C193" t="str">
        <x:v>AM-05</x:v>
      </x:c>
      <x:c r="D193" t="str">
        <x:v>AF-2</x:v>
      </x:c>
      <x:c r="E193" t="str">
        <x:v>BB</x:v>
      </x:c>
      <x:c r="F193" t="str">
        <x:v>PTC-C</x:v>
      </x:c>
      <x:c r="G193" t="str">
        <x:v>AF-2-BB-A02</x:v>
      </x:c>
      <x:c r="H193" t="str">
        <x:v>RFA-P058</x:v>
      </x:c>
      <x:c r="I193" t="str">
        <x:v>challenge</x:v>
      </x:c>
      <x:c r="J193" s="11" t="str">
        <x:v>half drain area</x:v>
      </x:c>
      <x:c r="K193" t="n">
        <x:v>500</x:v>
      </x:c>
      <x:c r="L193" t="n">
        <x:v>1</x:v>
      </x:c>
      <x:c r="M193" t="str"/>
      <x:c r="N193" t="str"/>
      <x:c r="O193" t="str"/>
      <x:c r="P193" t="str">
        <x:v>OPEN</x:v>
      </x:c>
    </x:row>
    <x:row r="194" ht="34" customHeight="1">
      <x:c r="B194" t="str">
        <x:v>RFA-E188</x:v>
      </x:c>
      <x:c r="C194" t="str">
        <x:v>AM-05</x:v>
      </x:c>
      <x:c r="D194" t="str">
        <x:v>AF-2</x:v>
      </x:c>
      <x:c r="E194" t="str">
        <x:v>BB</x:v>
      </x:c>
      <x:c r="F194" t="str">
        <x:v>PTC-C</x:v>
      </x:c>
      <x:c r="G194" t="str">
        <x:v>AF-2-BB-A02</x:v>
      </x:c>
      <x:c r="H194" t="str">
        <x:v>RFA-P058</x:v>
      </x:c>
      <x:c r="I194" t="str">
        <x:v>control</x:v>
      </x:c>
      <x:c r="J194" s="11" t="str">
        <x:v>matched clean state</x:v>
      </x:c>
      <x:c r="K194" t="n">
        <x:v>500</x:v>
      </x:c>
      <x:c r="L194" t="n">
        <x:v>2</x:v>
      </x:c>
      <x:c r="M194" t="str"/>
      <x:c r="N194" t="str"/>
      <x:c r="O194" t="str"/>
      <x:c r="P194" t="str">
        <x:v>OPEN</x:v>
      </x:c>
    </x:row>
    <x:row r="195" ht="34" customHeight="1">
      <x:c r="B195" t="str">
        <x:v>RFA-E189</x:v>
      </x:c>
      <x:c r="C195" t="str">
        <x:v>AM-05</x:v>
      </x:c>
      <x:c r="D195" t="str">
        <x:v>AF-2</x:v>
      </x:c>
      <x:c r="E195" t="str">
        <x:v>BB</x:v>
      </x:c>
      <x:c r="F195" t="str">
        <x:v>PTC-C</x:v>
      </x:c>
      <x:c r="G195" t="str">
        <x:v>AF-2-BB-A03</x:v>
      </x:c>
      <x:c r="H195" t="str">
        <x:v>RFA-P059</x:v>
      </x:c>
      <x:c r="I195" t="str">
        <x:v>control</x:v>
      </x:c>
      <x:c r="J195" s="11" t="str">
        <x:v>matched clean state</x:v>
      </x:c>
      <x:c r="K195" t="n">
        <x:v>500</x:v>
      </x:c>
      <x:c r="L195" t="n">
        <x:v>1</x:v>
      </x:c>
      <x:c r="M195" t="str"/>
      <x:c r="N195" t="str"/>
      <x:c r="O195" t="str"/>
      <x:c r="P195" t="str">
        <x:v>OPEN</x:v>
      </x:c>
    </x:row>
    <x:row r="196" ht="34" customHeight="1">
      <x:c r="B196" t="str">
        <x:v>RFA-E190</x:v>
      </x:c>
      <x:c r="C196" t="str">
        <x:v>AM-05</x:v>
      </x:c>
      <x:c r="D196" t="str">
        <x:v>AF-2</x:v>
      </x:c>
      <x:c r="E196" t="str">
        <x:v>BB</x:v>
      </x:c>
      <x:c r="F196" t="str">
        <x:v>PTC-C</x:v>
      </x:c>
      <x:c r="G196" t="str">
        <x:v>AF-2-BB-A03</x:v>
      </x:c>
      <x:c r="H196" t="str">
        <x:v>RFA-P059</x:v>
      </x:c>
      <x:c r="I196" t="str">
        <x:v>challenge</x:v>
      </x:c>
      <x:c r="J196" s="11" t="str">
        <x:v>sump half full</x:v>
      </x:c>
      <x:c r="K196" t="n">
        <x:v>500</x:v>
      </x:c>
      <x:c r="L196" t="n">
        <x:v>2</x:v>
      </x:c>
      <x:c r="M196" t="str"/>
      <x:c r="N196" t="str"/>
      <x:c r="O196" t="str"/>
      <x:c r="P196" t="str">
        <x:v>OPEN</x:v>
      </x:c>
    </x:row>
    <x:row r="197" ht="34" customHeight="1">
      <x:c r="B197" t="str">
        <x:v>RFA-E191</x:v>
      </x:c>
      <x:c r="C197" t="str">
        <x:v>AM-05</x:v>
      </x:c>
      <x:c r="D197" t="str">
        <x:v>AF-2</x:v>
      </x:c>
      <x:c r="E197" t="str">
        <x:v>BB</x:v>
      </x:c>
      <x:c r="F197" t="str">
        <x:v>PTC-C</x:v>
      </x:c>
      <x:c r="G197" t="str">
        <x:v>AF-2-BB-A04</x:v>
      </x:c>
      <x:c r="H197" t="str">
        <x:v>RFA-P060</x:v>
      </x:c>
      <x:c r="I197" t="str">
        <x:v>challenge</x:v>
      </x:c>
      <x:c r="J197" s="11" t="str">
        <x:v>debris field</x:v>
      </x:c>
      <x:c r="K197" t="n">
        <x:v>500</x:v>
      </x:c>
      <x:c r="L197" t="n">
        <x:v>1</x:v>
      </x:c>
      <x:c r="M197" t="str"/>
      <x:c r="N197" t="str"/>
      <x:c r="O197" t="str"/>
      <x:c r="P197" t="str">
        <x:v>OPEN</x:v>
      </x:c>
    </x:row>
    <x:row r="198" ht="34" customHeight="1">
      <x:c r="B198" t="str">
        <x:v>RFA-E192</x:v>
      </x:c>
      <x:c r="C198" t="str">
        <x:v>AM-05</x:v>
      </x:c>
      <x:c r="D198" t="str">
        <x:v>AF-2</x:v>
      </x:c>
      <x:c r="E198" t="str">
        <x:v>BB</x:v>
      </x:c>
      <x:c r="F198" t="str">
        <x:v>PTC-C</x:v>
      </x:c>
      <x:c r="G198" t="str">
        <x:v>AF-2-BB-A04</x:v>
      </x:c>
      <x:c r="H198" t="str">
        <x:v>RFA-P060</x:v>
      </x:c>
      <x:c r="I198" t="str">
        <x:v>control</x:v>
      </x:c>
      <x:c r="J198" s="11" t="str">
        <x:v>matched clean state</x:v>
      </x:c>
      <x:c r="K198" t="n">
        <x:v>500</x:v>
      </x:c>
      <x:c r="L198" t="n">
        <x:v>2</x:v>
      </x:c>
      <x:c r="M198" t="str"/>
      <x:c r="N198" t="str"/>
      <x:c r="O198" t="str"/>
      <x:c r="P198" t="str">
        <x:v>OPEN</x:v>
      </x:c>
    </x:row>
    <x:row r="199" ht="34" customHeight="1">
      <x:c r="B199" t="str">
        <x:v>RFA-E193</x:v>
      </x:c>
      <x:c r="C199" t="str">
        <x:v>AM-07</x:v>
      </x:c>
      <x:c r="D199" t="str">
        <x:v>AF-2</x:v>
      </x:c>
      <x:c r="E199" t="str">
        <x:v>BB</x:v>
      </x:c>
      <x:c r="F199" t="str">
        <x:v>PTC-C</x:v>
      </x:c>
      <x:c r="G199" t="str">
        <x:v>AF-2-BB-A05</x:v>
      </x:c>
      <x:c r="H199" t="str">
        <x:v>RFA-P061</x:v>
      </x:c>
      <x:c r="I199" t="str">
        <x:v>control</x:v>
      </x:c>
      <x:c r="J199" s="11" t="str">
        <x:v>matched clean state</x:v>
      </x:c>
      <x:c r="K199" t="n">
        <x:v>2000</x:v>
      </x:c>
      <x:c r="L199" t="n">
        <x:v>1</x:v>
      </x:c>
      <x:c r="M199" t="str"/>
      <x:c r="N199" t="str"/>
      <x:c r="O199" t="str"/>
      <x:c r="P199" t="str">
        <x:v>OPEN</x:v>
      </x:c>
    </x:row>
    <x:row r="200" ht="34" customHeight="1">
      <x:c r="B200" t="str">
        <x:v>RFA-E194</x:v>
      </x:c>
      <x:c r="C200" t="str">
        <x:v>AM-07</x:v>
      </x:c>
      <x:c r="D200" t="str">
        <x:v>AF-2</x:v>
      </x:c>
      <x:c r="E200" t="str">
        <x:v>BB</x:v>
      </x:c>
      <x:c r="F200" t="str">
        <x:v>PTC-C</x:v>
      </x:c>
      <x:c r="G200" t="str">
        <x:v>AF-2-BB-A05</x:v>
      </x:c>
      <x:c r="H200" t="str">
        <x:v>RFA-P061</x:v>
      </x:c>
      <x:c r="I200" t="str">
        <x:v>challenge</x:v>
      </x:c>
      <x:c r="J200" s="11" t="str">
        <x:v>bounded pool fire</x:v>
      </x:c>
      <x:c r="K200" t="n">
        <x:v>2000</x:v>
      </x:c>
      <x:c r="L200" t="n">
        <x:v>2</x:v>
      </x:c>
      <x:c r="M200" t="str"/>
      <x:c r="N200" t="str"/>
      <x:c r="O200" t="str"/>
      <x:c r="P200" t="str">
        <x:v>OPEN</x:v>
      </x:c>
    </x:row>
    <x:row r="201" ht="34" customHeight="1">
      <x:c r="B201" t="str">
        <x:v>RFA-E195</x:v>
      </x:c>
      <x:c r="C201" t="str">
        <x:v>AM-07</x:v>
      </x:c>
      <x:c r="D201" t="str">
        <x:v>AF-2</x:v>
      </x:c>
      <x:c r="E201" t="str">
        <x:v>BB</x:v>
      </x:c>
      <x:c r="F201" t="str">
        <x:v>PTC-C</x:v>
      </x:c>
      <x:c r="G201" t="str">
        <x:v>AF-2-BB-A06</x:v>
      </x:c>
      <x:c r="H201" t="str">
        <x:v>RFA-P062</x:v>
      </x:c>
      <x:c r="I201" t="str">
        <x:v>challenge</x:v>
      </x:c>
      <x:c r="J201" s="11" t="str">
        <x:v>firewater capacity shock</x:v>
      </x:c>
      <x:c r="K201" t="n">
        <x:v>2000</x:v>
      </x:c>
      <x:c r="L201" t="n">
        <x:v>1</x:v>
      </x:c>
      <x:c r="M201" t="str"/>
      <x:c r="N201" t="str"/>
      <x:c r="O201" t="str"/>
      <x:c r="P201" t="str">
        <x:v>OPEN</x:v>
      </x:c>
    </x:row>
    <x:row r="202" ht="34" customHeight="1">
      <x:c r="B202" t="str">
        <x:v>RFA-E196</x:v>
      </x:c>
      <x:c r="C202" t="str">
        <x:v>AM-07</x:v>
      </x:c>
      <x:c r="D202" t="str">
        <x:v>AF-2</x:v>
      </x:c>
      <x:c r="E202" t="str">
        <x:v>BB</x:v>
      </x:c>
      <x:c r="F202" t="str">
        <x:v>PTC-C</x:v>
      </x:c>
      <x:c r="G202" t="str">
        <x:v>AF-2-BB-A06</x:v>
      </x:c>
      <x:c r="H202" t="str">
        <x:v>RFA-P062</x:v>
      </x:c>
      <x:c r="I202" t="str">
        <x:v>control</x:v>
      </x:c>
      <x:c r="J202" s="11" t="str">
        <x:v>matched clean state</x:v>
      </x:c>
      <x:c r="K202" t="n">
        <x:v>2000</x:v>
      </x:c>
      <x:c r="L202" t="n">
        <x:v>2</x:v>
      </x:c>
      <x:c r="M202" t="str"/>
      <x:c r="N202" t="str"/>
      <x:c r="O202" t="str"/>
      <x:c r="P202" t="str">
        <x:v>OPEN</x:v>
      </x:c>
    </x:row>
    <x:row r="203" ht="34" customHeight="1">
      <x:c r="B203" t="str">
        <x:v>RFA-E197</x:v>
      </x:c>
      <x:c r="C203" t="str">
        <x:v>AM-07</x:v>
      </x:c>
      <x:c r="D203" t="str">
        <x:v>AF-2</x:v>
      </x:c>
      <x:c r="E203" t="str">
        <x:v>BB</x:v>
      </x:c>
      <x:c r="F203" t="str">
        <x:v>PTC-C</x:v>
      </x:c>
      <x:c r="G203" t="str">
        <x:v>AF-2-BB-A07</x:v>
      </x:c>
      <x:c r="H203" t="str">
        <x:v>RFA-P063</x:v>
      </x:c>
      <x:c r="I203" t="str">
        <x:v>control</x:v>
      </x:c>
      <x:c r="J203" s="11" t="str">
        <x:v>matched clean state</x:v>
      </x:c>
      <x:c r="K203" t="n">
        <x:v>2000</x:v>
      </x:c>
      <x:c r="L203" t="n">
        <x:v>1</x:v>
      </x:c>
      <x:c r="M203" t="str"/>
      <x:c r="N203" t="str"/>
      <x:c r="O203" t="str"/>
      <x:c r="P203" t="str">
        <x:v>OPEN</x:v>
      </x:c>
    </x:row>
    <x:row r="204" ht="34" customHeight="1">
      <x:c r="B204" t="str">
        <x:v>RFA-E198</x:v>
      </x:c>
      <x:c r="C204" t="str">
        <x:v>AM-07</x:v>
      </x:c>
      <x:c r="D204" t="str">
        <x:v>AF-2</x:v>
      </x:c>
      <x:c r="E204" t="str">
        <x:v>BB</x:v>
      </x:c>
      <x:c r="F204" t="str">
        <x:v>PTC-C</x:v>
      </x:c>
      <x:c r="G204" t="str">
        <x:v>AF-2-BB-A07</x:v>
      </x:c>
      <x:c r="H204" t="str">
        <x:v>RFA-P063</x:v>
      </x:c>
      <x:c r="I204" t="str">
        <x:v>challenge</x:v>
      </x:c>
      <x:c r="J204" s="11" t="str">
        <x:v>partial barrier plus wind</x:v>
      </x:c>
      <x:c r="K204" t="n">
        <x:v>2000</x:v>
      </x:c>
      <x:c r="L204" t="n">
        <x:v>2</x:v>
      </x:c>
      <x:c r="M204" t="str"/>
      <x:c r="N204" t="str"/>
      <x:c r="O204" t="str"/>
      <x:c r="P204" t="str">
        <x:v>OPEN</x:v>
      </x:c>
    </x:row>
    <x:row r="205" ht="34" customHeight="1">
      <x:c r="B205" t="str">
        <x:v>RFA-E199</x:v>
      </x:c>
      <x:c r="C205" t="str">
        <x:v>AM-07</x:v>
      </x:c>
      <x:c r="D205" t="str">
        <x:v>AF-2</x:v>
      </x:c>
      <x:c r="E205" t="str">
        <x:v>BB</x:v>
      </x:c>
      <x:c r="F205" t="str">
        <x:v>PTC-C</x:v>
      </x:c>
      <x:c r="G205" t="str">
        <x:v>AF-2-BB-A08</x:v>
      </x:c>
      <x:c r="H205" t="str">
        <x:v>RFA-P064</x:v>
      </x:c>
      <x:c r="I205" t="str">
        <x:v>challenge</x:v>
      </x:c>
      <x:c r="J205" s="11" t="str">
        <x:v>compound service denial</x:v>
      </x:c>
      <x:c r="K205" t="n">
        <x:v>2000</x:v>
      </x:c>
      <x:c r="L205" t="n">
        <x:v>1</x:v>
      </x:c>
      <x:c r="M205" t="str"/>
      <x:c r="N205" t="str"/>
      <x:c r="O205" t="str"/>
      <x:c r="P205" t="str">
        <x:v>OPEN</x:v>
      </x:c>
    </x:row>
    <x:row r="206" ht="34" customHeight="1">
      <x:c r="B206" t="str">
        <x:v>RFA-E200</x:v>
      </x:c>
      <x:c r="C206" t="str">
        <x:v>AM-07</x:v>
      </x:c>
      <x:c r="D206" t="str">
        <x:v>AF-2</x:v>
      </x:c>
      <x:c r="E206" t="str">
        <x:v>BB</x:v>
      </x:c>
      <x:c r="F206" t="str">
        <x:v>PTC-C</x:v>
      </x:c>
      <x:c r="G206" t="str">
        <x:v>AF-2-BB-A08</x:v>
      </x:c>
      <x:c r="H206" t="str">
        <x:v>RFA-P064</x:v>
      </x:c>
      <x:c r="I206" t="str">
        <x:v>control</x:v>
      </x:c>
      <x:c r="J206" s="11" t="str">
        <x:v>matched clean state</x:v>
      </x:c>
      <x:c r="K206" t="n">
        <x:v>2000</x:v>
      </x:c>
      <x:c r="L206" t="n">
        <x:v>2</x:v>
      </x:c>
      <x:c r="M206" t="str"/>
      <x:c r="N206" t="str"/>
      <x:c r="O206" t="str"/>
      <x:c r="P206" t="str">
        <x:v>OPEN</x:v>
      </x:c>
    </x:row>
    <x:row r="207" ht="34" customHeight="1">
      <x:c r="B207" t="str">
        <x:v>RFA-E201</x:v>
      </x:c>
      <x:c r="C207" t="str">
        <x:v>AM-05</x:v>
      </x:c>
      <x:c r="D207" t="str">
        <x:v>AF-3</x:v>
      </x:c>
      <x:c r="E207" t="str">
        <x:v>BA</x:v>
      </x:c>
      <x:c r="F207" t="str">
        <x:v>PTC-B</x:v>
      </x:c>
      <x:c r="G207" t="str">
        <x:v>AF-3-BA-A01</x:v>
      </x:c>
      <x:c r="H207" t="str">
        <x:v>RFA-P065</x:v>
      </x:c>
      <x:c r="I207" t="str">
        <x:v>control</x:v>
      </x:c>
      <x:c r="J207" s="11" t="str">
        <x:v>matched clean state</x:v>
      </x:c>
      <x:c r="K207" t="n">
        <x:v>500</x:v>
      </x:c>
      <x:c r="L207" t="n">
        <x:v>1</x:v>
      </x:c>
      <x:c r="M207" t="str"/>
      <x:c r="N207" t="str"/>
      <x:c r="O207" t="str"/>
      <x:c r="P207" t="str">
        <x:v>OPEN</x:v>
      </x:c>
    </x:row>
    <x:row r="208" ht="34" customHeight="1">
      <x:c r="B208" t="str">
        <x:v>RFA-E202</x:v>
      </x:c>
      <x:c r="C208" t="str">
        <x:v>AM-05</x:v>
      </x:c>
      <x:c r="D208" t="str">
        <x:v>AF-3</x:v>
      </x:c>
      <x:c r="E208" t="str">
        <x:v>BA</x:v>
      </x:c>
      <x:c r="F208" t="str">
        <x:v>PTC-B</x:v>
      </x:c>
      <x:c r="G208" t="str">
        <x:v>AF-3-BA-A01</x:v>
      </x:c>
      <x:c r="H208" t="str">
        <x:v>RFA-P065</x:v>
      </x:c>
      <x:c r="I208" t="str">
        <x:v>challenge</x:v>
      </x:c>
      <x:c r="J208" s="11" t="str">
        <x:v>adverse grade</x:v>
      </x:c>
      <x:c r="K208" t="n">
        <x:v>500</x:v>
      </x:c>
      <x:c r="L208" t="n">
        <x:v>2</x:v>
      </x:c>
      <x:c r="M208" t="str"/>
      <x:c r="N208" t="str"/>
      <x:c r="O208" t="str"/>
      <x:c r="P208" t="str">
        <x:v>OPEN</x:v>
      </x:c>
    </x:row>
    <x:row r="209" ht="34" customHeight="1">
      <x:c r="B209" t="str">
        <x:v>RFA-E203</x:v>
      </x:c>
      <x:c r="C209" t="str">
        <x:v>AM-05</x:v>
      </x:c>
      <x:c r="D209" t="str">
        <x:v>AF-3</x:v>
      </x:c>
      <x:c r="E209" t="str">
        <x:v>BA</x:v>
      </x:c>
      <x:c r="F209" t="str">
        <x:v>PTC-B</x:v>
      </x:c>
      <x:c r="G209" t="str">
        <x:v>AF-3-BA-A02</x:v>
      </x:c>
      <x:c r="H209" t="str">
        <x:v>RFA-P066</x:v>
      </x:c>
      <x:c r="I209" t="str">
        <x:v>challenge</x:v>
      </x:c>
      <x:c r="J209" s="11" t="str">
        <x:v>half drain area</x:v>
      </x:c>
      <x:c r="K209" t="n">
        <x:v>500</x:v>
      </x:c>
      <x:c r="L209" t="n">
        <x:v>1</x:v>
      </x:c>
      <x:c r="M209" t="str"/>
      <x:c r="N209" t="str"/>
      <x:c r="O209" t="str"/>
      <x:c r="P209" t="str">
        <x:v>OPEN</x:v>
      </x:c>
    </x:row>
    <x:row r="210" ht="34" customHeight="1">
      <x:c r="B210" t="str">
        <x:v>RFA-E204</x:v>
      </x:c>
      <x:c r="C210" t="str">
        <x:v>AM-05</x:v>
      </x:c>
      <x:c r="D210" t="str">
        <x:v>AF-3</x:v>
      </x:c>
      <x:c r="E210" t="str">
        <x:v>BA</x:v>
      </x:c>
      <x:c r="F210" t="str">
        <x:v>PTC-B</x:v>
      </x:c>
      <x:c r="G210" t="str">
        <x:v>AF-3-BA-A02</x:v>
      </x:c>
      <x:c r="H210" t="str">
        <x:v>RFA-P066</x:v>
      </x:c>
      <x:c r="I210" t="str">
        <x:v>control</x:v>
      </x:c>
      <x:c r="J210" s="11" t="str">
        <x:v>matched clean state</x:v>
      </x:c>
      <x:c r="K210" t="n">
        <x:v>500</x:v>
      </x:c>
      <x:c r="L210" t="n">
        <x:v>2</x:v>
      </x:c>
      <x:c r="M210" t="str"/>
      <x:c r="N210" t="str"/>
      <x:c r="O210" t="str"/>
      <x:c r="P210" t="str">
        <x:v>OPEN</x:v>
      </x:c>
    </x:row>
    <x:row r="211" ht="34" customHeight="1">
      <x:c r="B211" t="str">
        <x:v>RFA-E205</x:v>
      </x:c>
      <x:c r="C211" t="str">
        <x:v>AM-05</x:v>
      </x:c>
      <x:c r="D211" t="str">
        <x:v>AF-3</x:v>
      </x:c>
      <x:c r="E211" t="str">
        <x:v>BA</x:v>
      </x:c>
      <x:c r="F211" t="str">
        <x:v>PTC-B</x:v>
      </x:c>
      <x:c r="G211" t="str">
        <x:v>AF-3-BA-A03</x:v>
      </x:c>
      <x:c r="H211" t="str">
        <x:v>RFA-P067</x:v>
      </x:c>
      <x:c r="I211" t="str">
        <x:v>control</x:v>
      </x:c>
      <x:c r="J211" s="11" t="str">
        <x:v>matched clean state</x:v>
      </x:c>
      <x:c r="K211" t="n">
        <x:v>500</x:v>
      </x:c>
      <x:c r="L211" t="n">
        <x:v>1</x:v>
      </x:c>
      <x:c r="M211" t="str"/>
      <x:c r="N211" t="str"/>
      <x:c r="O211" t="str"/>
      <x:c r="P211" t="str">
        <x:v>OPEN</x:v>
      </x:c>
    </x:row>
    <x:row r="212" ht="34" customHeight="1">
      <x:c r="B212" t="str">
        <x:v>RFA-E206</x:v>
      </x:c>
      <x:c r="C212" t="str">
        <x:v>AM-05</x:v>
      </x:c>
      <x:c r="D212" t="str">
        <x:v>AF-3</x:v>
      </x:c>
      <x:c r="E212" t="str">
        <x:v>BA</x:v>
      </x:c>
      <x:c r="F212" t="str">
        <x:v>PTC-B</x:v>
      </x:c>
      <x:c r="G212" t="str">
        <x:v>AF-3-BA-A03</x:v>
      </x:c>
      <x:c r="H212" t="str">
        <x:v>RFA-P067</x:v>
      </x:c>
      <x:c r="I212" t="str">
        <x:v>challenge</x:v>
      </x:c>
      <x:c r="J212" s="11" t="str">
        <x:v>sump half full</x:v>
      </x:c>
      <x:c r="K212" t="n">
        <x:v>500</x:v>
      </x:c>
      <x:c r="L212" t="n">
        <x:v>2</x:v>
      </x:c>
      <x:c r="M212" t="str"/>
      <x:c r="N212" t="str"/>
      <x:c r="O212" t="str"/>
      <x:c r="P212" t="str">
        <x:v>OPEN</x:v>
      </x:c>
    </x:row>
    <x:row r="213" ht="34" customHeight="1">
      <x:c r="B213" t="str">
        <x:v>RFA-E207</x:v>
      </x:c>
      <x:c r="C213" t="str">
        <x:v>AM-05</x:v>
      </x:c>
      <x:c r="D213" t="str">
        <x:v>AF-3</x:v>
      </x:c>
      <x:c r="E213" t="str">
        <x:v>BA</x:v>
      </x:c>
      <x:c r="F213" t="str">
        <x:v>PTC-B</x:v>
      </x:c>
      <x:c r="G213" t="str">
        <x:v>AF-3-BA-A04</x:v>
      </x:c>
      <x:c r="H213" t="str">
        <x:v>RFA-P068</x:v>
      </x:c>
      <x:c r="I213" t="str">
        <x:v>challenge</x:v>
      </x:c>
      <x:c r="J213" s="11" t="str">
        <x:v>debris field</x:v>
      </x:c>
      <x:c r="K213" t="n">
        <x:v>500</x:v>
      </x:c>
      <x:c r="L213" t="n">
        <x:v>1</x:v>
      </x:c>
      <x:c r="M213" t="str"/>
      <x:c r="N213" t="str"/>
      <x:c r="O213" t="str"/>
      <x:c r="P213" t="str">
        <x:v>OPEN</x:v>
      </x:c>
    </x:row>
    <x:row r="214" ht="34" customHeight="1">
      <x:c r="B214" t="str">
        <x:v>RFA-E208</x:v>
      </x:c>
      <x:c r="C214" t="str">
        <x:v>AM-05</x:v>
      </x:c>
      <x:c r="D214" t="str">
        <x:v>AF-3</x:v>
      </x:c>
      <x:c r="E214" t="str">
        <x:v>BA</x:v>
      </x:c>
      <x:c r="F214" t="str">
        <x:v>PTC-B</x:v>
      </x:c>
      <x:c r="G214" t="str">
        <x:v>AF-3-BA-A04</x:v>
      </x:c>
      <x:c r="H214" t="str">
        <x:v>RFA-P068</x:v>
      </x:c>
      <x:c r="I214" t="str">
        <x:v>control</x:v>
      </x:c>
      <x:c r="J214" s="11" t="str">
        <x:v>matched clean state</x:v>
      </x:c>
      <x:c r="K214" t="n">
        <x:v>500</x:v>
      </x:c>
      <x:c r="L214" t="n">
        <x:v>2</x:v>
      </x:c>
      <x:c r="M214" t="str"/>
      <x:c r="N214" t="str"/>
      <x:c r="O214" t="str"/>
      <x:c r="P214" t="str">
        <x:v>OPEN</x:v>
      </x:c>
    </x:row>
    <x:row r="215" ht="34" customHeight="1">
      <x:c r="B215" t="str">
        <x:v>RFA-E209</x:v>
      </x:c>
      <x:c r="C215" t="str">
        <x:v>AM-07</x:v>
      </x:c>
      <x:c r="D215" t="str">
        <x:v>AF-3</x:v>
      </x:c>
      <x:c r="E215" t="str">
        <x:v>BA</x:v>
      </x:c>
      <x:c r="F215" t="str">
        <x:v>PTC-B</x:v>
      </x:c>
      <x:c r="G215" t="str">
        <x:v>AF-3-BA-A05</x:v>
      </x:c>
      <x:c r="H215" t="str">
        <x:v>RFA-P069</x:v>
      </x:c>
      <x:c r="I215" t="str">
        <x:v>control</x:v>
      </x:c>
      <x:c r="J215" s="11" t="str">
        <x:v>matched clean state</x:v>
      </x:c>
      <x:c r="K215" t="n">
        <x:v>2000</x:v>
      </x:c>
      <x:c r="L215" t="n">
        <x:v>1</x:v>
      </x:c>
      <x:c r="M215" t="str"/>
      <x:c r="N215" t="str"/>
      <x:c r="O215" t="str"/>
      <x:c r="P215" t="str">
        <x:v>OPEN</x:v>
      </x:c>
    </x:row>
    <x:row r="216" ht="34" customHeight="1">
      <x:c r="B216" t="str">
        <x:v>RFA-E210</x:v>
      </x:c>
      <x:c r="C216" t="str">
        <x:v>AM-07</x:v>
      </x:c>
      <x:c r="D216" t="str">
        <x:v>AF-3</x:v>
      </x:c>
      <x:c r="E216" t="str">
        <x:v>BA</x:v>
      </x:c>
      <x:c r="F216" t="str">
        <x:v>PTC-B</x:v>
      </x:c>
      <x:c r="G216" t="str">
        <x:v>AF-3-BA-A05</x:v>
      </x:c>
      <x:c r="H216" t="str">
        <x:v>RFA-P069</x:v>
      </x:c>
      <x:c r="I216" t="str">
        <x:v>challenge</x:v>
      </x:c>
      <x:c r="J216" s="11" t="str">
        <x:v>bounded pool fire</x:v>
      </x:c>
      <x:c r="K216" t="n">
        <x:v>2000</x:v>
      </x:c>
      <x:c r="L216" t="n">
        <x:v>2</x:v>
      </x:c>
      <x:c r="M216" t="str"/>
      <x:c r="N216" t="str"/>
      <x:c r="O216" t="str"/>
      <x:c r="P216" t="str">
        <x:v>OPEN</x:v>
      </x:c>
    </x:row>
    <x:row r="217" ht="34" customHeight="1">
      <x:c r="B217" t="str">
        <x:v>RFA-E211</x:v>
      </x:c>
      <x:c r="C217" t="str">
        <x:v>AM-07</x:v>
      </x:c>
      <x:c r="D217" t="str">
        <x:v>AF-3</x:v>
      </x:c>
      <x:c r="E217" t="str">
        <x:v>BA</x:v>
      </x:c>
      <x:c r="F217" t="str">
        <x:v>PTC-B</x:v>
      </x:c>
      <x:c r="G217" t="str">
        <x:v>AF-3-BA-A06</x:v>
      </x:c>
      <x:c r="H217" t="str">
        <x:v>RFA-P070</x:v>
      </x:c>
      <x:c r="I217" t="str">
        <x:v>challenge</x:v>
      </x:c>
      <x:c r="J217" s="11" t="str">
        <x:v>firewater capacity shock</x:v>
      </x:c>
      <x:c r="K217" t="n">
        <x:v>2000</x:v>
      </x:c>
      <x:c r="L217" t="n">
        <x:v>1</x:v>
      </x:c>
      <x:c r="M217" t="str"/>
      <x:c r="N217" t="str"/>
      <x:c r="O217" t="str"/>
      <x:c r="P217" t="str">
        <x:v>OPEN</x:v>
      </x:c>
    </x:row>
    <x:row r="218" ht="34" customHeight="1">
      <x:c r="B218" t="str">
        <x:v>RFA-E212</x:v>
      </x:c>
      <x:c r="C218" t="str">
        <x:v>AM-07</x:v>
      </x:c>
      <x:c r="D218" t="str">
        <x:v>AF-3</x:v>
      </x:c>
      <x:c r="E218" t="str">
        <x:v>BA</x:v>
      </x:c>
      <x:c r="F218" t="str">
        <x:v>PTC-B</x:v>
      </x:c>
      <x:c r="G218" t="str">
        <x:v>AF-3-BA-A06</x:v>
      </x:c>
      <x:c r="H218" t="str">
        <x:v>RFA-P070</x:v>
      </x:c>
      <x:c r="I218" t="str">
        <x:v>control</x:v>
      </x:c>
      <x:c r="J218" s="11" t="str">
        <x:v>matched clean state</x:v>
      </x:c>
      <x:c r="K218" t="n">
        <x:v>2000</x:v>
      </x:c>
      <x:c r="L218" t="n">
        <x:v>2</x:v>
      </x:c>
      <x:c r="M218" t="str"/>
      <x:c r="N218" t="str"/>
      <x:c r="O218" t="str"/>
      <x:c r="P218" t="str">
        <x:v>OPEN</x:v>
      </x:c>
    </x:row>
    <x:row r="219" ht="34" customHeight="1">
      <x:c r="B219" t="str">
        <x:v>RFA-E213</x:v>
      </x:c>
      <x:c r="C219" t="str">
        <x:v>AM-07</x:v>
      </x:c>
      <x:c r="D219" t="str">
        <x:v>AF-3</x:v>
      </x:c>
      <x:c r="E219" t="str">
        <x:v>BA</x:v>
      </x:c>
      <x:c r="F219" t="str">
        <x:v>PTC-B</x:v>
      </x:c>
      <x:c r="G219" t="str">
        <x:v>AF-3-BA-A07</x:v>
      </x:c>
      <x:c r="H219" t="str">
        <x:v>RFA-P071</x:v>
      </x:c>
      <x:c r="I219" t="str">
        <x:v>control</x:v>
      </x:c>
      <x:c r="J219" s="11" t="str">
        <x:v>matched clean state</x:v>
      </x:c>
      <x:c r="K219" t="n">
        <x:v>2000</x:v>
      </x:c>
      <x:c r="L219" t="n">
        <x:v>1</x:v>
      </x:c>
      <x:c r="M219" t="str"/>
      <x:c r="N219" t="str"/>
      <x:c r="O219" t="str"/>
      <x:c r="P219" t="str">
        <x:v>OPEN</x:v>
      </x:c>
    </x:row>
    <x:row r="220" ht="34" customHeight="1">
      <x:c r="B220" t="str">
        <x:v>RFA-E214</x:v>
      </x:c>
      <x:c r="C220" t="str">
        <x:v>AM-07</x:v>
      </x:c>
      <x:c r="D220" t="str">
        <x:v>AF-3</x:v>
      </x:c>
      <x:c r="E220" t="str">
        <x:v>BA</x:v>
      </x:c>
      <x:c r="F220" t="str">
        <x:v>PTC-B</x:v>
      </x:c>
      <x:c r="G220" t="str">
        <x:v>AF-3-BA-A07</x:v>
      </x:c>
      <x:c r="H220" t="str">
        <x:v>RFA-P071</x:v>
      </x:c>
      <x:c r="I220" t="str">
        <x:v>challenge</x:v>
      </x:c>
      <x:c r="J220" s="11" t="str">
        <x:v>partial barrier plus wind</x:v>
      </x:c>
      <x:c r="K220" t="n">
        <x:v>2000</x:v>
      </x:c>
      <x:c r="L220" t="n">
        <x:v>2</x:v>
      </x:c>
      <x:c r="M220" t="str"/>
      <x:c r="N220" t="str"/>
      <x:c r="O220" t="str"/>
      <x:c r="P220" t="str">
        <x:v>OPEN</x:v>
      </x:c>
    </x:row>
    <x:row r="221" ht="34" customHeight="1">
      <x:c r="B221" t="str">
        <x:v>RFA-E215</x:v>
      </x:c>
      <x:c r="C221" t="str">
        <x:v>AM-07</x:v>
      </x:c>
      <x:c r="D221" t="str">
        <x:v>AF-3</x:v>
      </x:c>
      <x:c r="E221" t="str">
        <x:v>BA</x:v>
      </x:c>
      <x:c r="F221" t="str">
        <x:v>PTC-B</x:v>
      </x:c>
      <x:c r="G221" t="str">
        <x:v>AF-3-BA-A08</x:v>
      </x:c>
      <x:c r="H221" t="str">
        <x:v>RFA-P072</x:v>
      </x:c>
      <x:c r="I221" t="str">
        <x:v>challenge</x:v>
      </x:c>
      <x:c r="J221" s="11" t="str">
        <x:v>compound service denial</x:v>
      </x:c>
      <x:c r="K221" t="n">
        <x:v>2000</x:v>
      </x:c>
      <x:c r="L221" t="n">
        <x:v>1</x:v>
      </x:c>
      <x:c r="M221" t="str"/>
      <x:c r="N221" t="str"/>
      <x:c r="O221" t="str"/>
      <x:c r="P221" t="str">
        <x:v>OPEN</x:v>
      </x:c>
    </x:row>
    <x:row r="222" ht="34" customHeight="1">
      <x:c r="B222" t="str">
        <x:v>RFA-E216</x:v>
      </x:c>
      <x:c r="C222" t="str">
        <x:v>AM-07</x:v>
      </x:c>
      <x:c r="D222" t="str">
        <x:v>AF-3</x:v>
      </x:c>
      <x:c r="E222" t="str">
        <x:v>BA</x:v>
      </x:c>
      <x:c r="F222" t="str">
        <x:v>PTC-B</x:v>
      </x:c>
      <x:c r="G222" t="str">
        <x:v>AF-3-BA-A08</x:v>
      </x:c>
      <x:c r="H222" t="str">
        <x:v>RFA-P072</x:v>
      </x:c>
      <x:c r="I222" t="str">
        <x:v>control</x:v>
      </x:c>
      <x:c r="J222" s="11" t="str">
        <x:v>matched clean state</x:v>
      </x:c>
      <x:c r="K222" t="n">
        <x:v>2000</x:v>
      </x:c>
      <x:c r="L222" t="n">
        <x:v>2</x:v>
      </x:c>
      <x:c r="M222" t="str"/>
      <x:c r="N222" t="str"/>
      <x:c r="O222" t="str"/>
      <x:c r="P222" t="str">
        <x:v>OPEN</x:v>
      </x:c>
    </x:row>
    <x:row r="223" ht="34" customHeight="1">
      <x:c r="B223" t="str">
        <x:v>RFA-E217</x:v>
      </x:c>
      <x:c r="C223" t="str">
        <x:v>AM-05</x:v>
      </x:c>
      <x:c r="D223" t="str">
        <x:v>AF-3</x:v>
      </x:c>
      <x:c r="E223" t="str">
        <x:v>BA</x:v>
      </x:c>
      <x:c r="F223" t="str">
        <x:v>PTC-C</x:v>
      </x:c>
      <x:c r="G223" t="str">
        <x:v>AF-3-BA-A01</x:v>
      </x:c>
      <x:c r="H223" t="str">
        <x:v>RFA-P073</x:v>
      </x:c>
      <x:c r="I223" t="str">
        <x:v>control</x:v>
      </x:c>
      <x:c r="J223" s="11" t="str">
        <x:v>matched clean state</x:v>
      </x:c>
      <x:c r="K223" t="n">
        <x:v>500</x:v>
      </x:c>
      <x:c r="L223" t="n">
        <x:v>1</x:v>
      </x:c>
      <x:c r="M223" t="str"/>
      <x:c r="N223" t="str"/>
      <x:c r="O223" t="str"/>
      <x:c r="P223" t="str">
        <x:v>OPEN</x:v>
      </x:c>
    </x:row>
    <x:row r="224" ht="34" customHeight="1">
      <x:c r="B224" t="str">
        <x:v>RFA-E218</x:v>
      </x:c>
      <x:c r="C224" t="str">
        <x:v>AM-05</x:v>
      </x:c>
      <x:c r="D224" t="str">
        <x:v>AF-3</x:v>
      </x:c>
      <x:c r="E224" t="str">
        <x:v>BA</x:v>
      </x:c>
      <x:c r="F224" t="str">
        <x:v>PTC-C</x:v>
      </x:c>
      <x:c r="G224" t="str">
        <x:v>AF-3-BA-A01</x:v>
      </x:c>
      <x:c r="H224" t="str">
        <x:v>RFA-P073</x:v>
      </x:c>
      <x:c r="I224" t="str">
        <x:v>challenge</x:v>
      </x:c>
      <x:c r="J224" s="11" t="str">
        <x:v>adverse grade</x:v>
      </x:c>
      <x:c r="K224" t="n">
        <x:v>500</x:v>
      </x:c>
      <x:c r="L224" t="n">
        <x:v>2</x:v>
      </x:c>
      <x:c r="M224" t="str"/>
      <x:c r="N224" t="str"/>
      <x:c r="O224" t="str"/>
      <x:c r="P224" t="str">
        <x:v>OPEN</x:v>
      </x:c>
    </x:row>
    <x:row r="225" ht="34" customHeight="1">
      <x:c r="B225" t="str">
        <x:v>RFA-E219</x:v>
      </x:c>
      <x:c r="C225" t="str">
        <x:v>AM-05</x:v>
      </x:c>
      <x:c r="D225" t="str">
        <x:v>AF-3</x:v>
      </x:c>
      <x:c r="E225" t="str">
        <x:v>BA</x:v>
      </x:c>
      <x:c r="F225" t="str">
        <x:v>PTC-C</x:v>
      </x:c>
      <x:c r="G225" t="str">
        <x:v>AF-3-BA-A02</x:v>
      </x:c>
      <x:c r="H225" t="str">
        <x:v>RFA-P074</x:v>
      </x:c>
      <x:c r="I225" t="str">
        <x:v>challenge</x:v>
      </x:c>
      <x:c r="J225" s="11" t="str">
        <x:v>half drain area</x:v>
      </x:c>
      <x:c r="K225" t="n">
        <x:v>500</x:v>
      </x:c>
      <x:c r="L225" t="n">
        <x:v>1</x:v>
      </x:c>
      <x:c r="M225" t="str"/>
      <x:c r="N225" t="str"/>
      <x:c r="O225" t="str"/>
      <x:c r="P225" t="str">
        <x:v>OPEN</x:v>
      </x:c>
    </x:row>
    <x:row r="226" ht="34" customHeight="1">
      <x:c r="B226" t="str">
        <x:v>RFA-E220</x:v>
      </x:c>
      <x:c r="C226" t="str">
        <x:v>AM-05</x:v>
      </x:c>
      <x:c r="D226" t="str">
        <x:v>AF-3</x:v>
      </x:c>
      <x:c r="E226" t="str">
        <x:v>BA</x:v>
      </x:c>
      <x:c r="F226" t="str">
        <x:v>PTC-C</x:v>
      </x:c>
      <x:c r="G226" t="str">
        <x:v>AF-3-BA-A02</x:v>
      </x:c>
      <x:c r="H226" t="str">
        <x:v>RFA-P074</x:v>
      </x:c>
      <x:c r="I226" t="str">
        <x:v>control</x:v>
      </x:c>
      <x:c r="J226" s="11" t="str">
        <x:v>matched clean state</x:v>
      </x:c>
      <x:c r="K226" t="n">
        <x:v>500</x:v>
      </x:c>
      <x:c r="L226" t="n">
        <x:v>2</x:v>
      </x:c>
      <x:c r="M226" t="str"/>
      <x:c r="N226" t="str"/>
      <x:c r="O226" t="str"/>
      <x:c r="P226" t="str">
        <x:v>OPEN</x:v>
      </x:c>
    </x:row>
    <x:row r="227" ht="34" customHeight="1">
      <x:c r="B227" t="str">
        <x:v>RFA-E221</x:v>
      </x:c>
      <x:c r="C227" t="str">
        <x:v>AM-05</x:v>
      </x:c>
      <x:c r="D227" t="str">
        <x:v>AF-3</x:v>
      </x:c>
      <x:c r="E227" t="str">
        <x:v>BA</x:v>
      </x:c>
      <x:c r="F227" t="str">
        <x:v>PTC-C</x:v>
      </x:c>
      <x:c r="G227" t="str">
        <x:v>AF-3-BA-A03</x:v>
      </x:c>
      <x:c r="H227" t="str">
        <x:v>RFA-P075</x:v>
      </x:c>
      <x:c r="I227" t="str">
        <x:v>control</x:v>
      </x:c>
      <x:c r="J227" s="11" t="str">
        <x:v>matched clean state</x:v>
      </x:c>
      <x:c r="K227" t="n">
        <x:v>500</x:v>
      </x:c>
      <x:c r="L227" t="n">
        <x:v>1</x:v>
      </x:c>
      <x:c r="M227" t="str"/>
      <x:c r="N227" t="str"/>
      <x:c r="O227" t="str"/>
      <x:c r="P227" t="str">
        <x:v>OPEN</x:v>
      </x:c>
    </x:row>
    <x:row r="228" ht="34" customHeight="1">
      <x:c r="B228" t="str">
        <x:v>RFA-E222</x:v>
      </x:c>
      <x:c r="C228" t="str">
        <x:v>AM-05</x:v>
      </x:c>
      <x:c r="D228" t="str">
        <x:v>AF-3</x:v>
      </x:c>
      <x:c r="E228" t="str">
        <x:v>BA</x:v>
      </x:c>
      <x:c r="F228" t="str">
        <x:v>PTC-C</x:v>
      </x:c>
      <x:c r="G228" t="str">
        <x:v>AF-3-BA-A03</x:v>
      </x:c>
      <x:c r="H228" t="str">
        <x:v>RFA-P075</x:v>
      </x:c>
      <x:c r="I228" t="str">
        <x:v>challenge</x:v>
      </x:c>
      <x:c r="J228" s="11" t="str">
        <x:v>sump half full</x:v>
      </x:c>
      <x:c r="K228" t="n">
        <x:v>500</x:v>
      </x:c>
      <x:c r="L228" t="n">
        <x:v>2</x:v>
      </x:c>
      <x:c r="M228" t="str"/>
      <x:c r="N228" t="str"/>
      <x:c r="O228" t="str"/>
      <x:c r="P228" t="str">
        <x:v>OPEN</x:v>
      </x:c>
    </x:row>
    <x:row r="229" ht="34" customHeight="1">
      <x:c r="B229" t="str">
        <x:v>RFA-E223</x:v>
      </x:c>
      <x:c r="C229" t="str">
        <x:v>AM-05</x:v>
      </x:c>
      <x:c r="D229" t="str">
        <x:v>AF-3</x:v>
      </x:c>
      <x:c r="E229" t="str">
        <x:v>BA</x:v>
      </x:c>
      <x:c r="F229" t="str">
        <x:v>PTC-C</x:v>
      </x:c>
      <x:c r="G229" t="str">
        <x:v>AF-3-BA-A04</x:v>
      </x:c>
      <x:c r="H229" t="str">
        <x:v>RFA-P076</x:v>
      </x:c>
      <x:c r="I229" t="str">
        <x:v>challenge</x:v>
      </x:c>
      <x:c r="J229" s="11" t="str">
        <x:v>debris field</x:v>
      </x:c>
      <x:c r="K229" t="n">
        <x:v>500</x:v>
      </x:c>
      <x:c r="L229" t="n">
        <x:v>1</x:v>
      </x:c>
      <x:c r="M229" t="str"/>
      <x:c r="N229" t="str"/>
      <x:c r="O229" t="str"/>
      <x:c r="P229" t="str">
        <x:v>OPEN</x:v>
      </x:c>
    </x:row>
    <x:row r="230" ht="34" customHeight="1">
      <x:c r="B230" t="str">
        <x:v>RFA-E224</x:v>
      </x:c>
      <x:c r="C230" t="str">
        <x:v>AM-05</x:v>
      </x:c>
      <x:c r="D230" t="str">
        <x:v>AF-3</x:v>
      </x:c>
      <x:c r="E230" t="str">
        <x:v>BA</x:v>
      </x:c>
      <x:c r="F230" t="str">
        <x:v>PTC-C</x:v>
      </x:c>
      <x:c r="G230" t="str">
        <x:v>AF-3-BA-A04</x:v>
      </x:c>
      <x:c r="H230" t="str">
        <x:v>RFA-P076</x:v>
      </x:c>
      <x:c r="I230" t="str">
        <x:v>control</x:v>
      </x:c>
      <x:c r="J230" s="11" t="str">
        <x:v>matched clean state</x:v>
      </x:c>
      <x:c r="K230" t="n">
        <x:v>500</x:v>
      </x:c>
      <x:c r="L230" t="n">
        <x:v>2</x:v>
      </x:c>
      <x:c r="M230" t="str"/>
      <x:c r="N230" t="str"/>
      <x:c r="O230" t="str"/>
      <x:c r="P230" t="str">
        <x:v>OPEN</x:v>
      </x:c>
    </x:row>
    <x:row r="231" ht="34" customHeight="1">
      <x:c r="B231" t="str">
        <x:v>RFA-E225</x:v>
      </x:c>
      <x:c r="C231" t="str">
        <x:v>AM-07</x:v>
      </x:c>
      <x:c r="D231" t="str">
        <x:v>AF-3</x:v>
      </x:c>
      <x:c r="E231" t="str">
        <x:v>BA</x:v>
      </x:c>
      <x:c r="F231" t="str">
        <x:v>PTC-C</x:v>
      </x:c>
      <x:c r="G231" t="str">
        <x:v>AF-3-BA-A05</x:v>
      </x:c>
      <x:c r="H231" t="str">
        <x:v>RFA-P077</x:v>
      </x:c>
      <x:c r="I231" t="str">
        <x:v>control</x:v>
      </x:c>
      <x:c r="J231" s="11" t="str">
        <x:v>matched clean state</x:v>
      </x:c>
      <x:c r="K231" t="n">
        <x:v>2000</x:v>
      </x:c>
      <x:c r="L231" t="n">
        <x:v>1</x:v>
      </x:c>
      <x:c r="M231" t="str"/>
      <x:c r="N231" t="str"/>
      <x:c r="O231" t="str"/>
      <x:c r="P231" t="str">
        <x:v>OPEN</x:v>
      </x:c>
    </x:row>
    <x:row r="232" ht="34" customHeight="1">
      <x:c r="B232" t="str">
        <x:v>RFA-E226</x:v>
      </x:c>
      <x:c r="C232" t="str">
        <x:v>AM-07</x:v>
      </x:c>
      <x:c r="D232" t="str">
        <x:v>AF-3</x:v>
      </x:c>
      <x:c r="E232" t="str">
        <x:v>BA</x:v>
      </x:c>
      <x:c r="F232" t="str">
        <x:v>PTC-C</x:v>
      </x:c>
      <x:c r="G232" t="str">
        <x:v>AF-3-BA-A05</x:v>
      </x:c>
      <x:c r="H232" t="str">
        <x:v>RFA-P077</x:v>
      </x:c>
      <x:c r="I232" t="str">
        <x:v>challenge</x:v>
      </x:c>
      <x:c r="J232" s="11" t="str">
        <x:v>bounded pool fire</x:v>
      </x:c>
      <x:c r="K232" t="n">
        <x:v>2000</x:v>
      </x:c>
      <x:c r="L232" t="n">
        <x:v>2</x:v>
      </x:c>
      <x:c r="M232" t="str"/>
      <x:c r="N232" t="str"/>
      <x:c r="O232" t="str"/>
      <x:c r="P232" t="str">
        <x:v>OPEN</x:v>
      </x:c>
    </x:row>
    <x:row r="233" ht="34" customHeight="1">
      <x:c r="B233" t="str">
        <x:v>RFA-E227</x:v>
      </x:c>
      <x:c r="C233" t="str">
        <x:v>AM-07</x:v>
      </x:c>
      <x:c r="D233" t="str">
        <x:v>AF-3</x:v>
      </x:c>
      <x:c r="E233" t="str">
        <x:v>BA</x:v>
      </x:c>
      <x:c r="F233" t="str">
        <x:v>PTC-C</x:v>
      </x:c>
      <x:c r="G233" t="str">
        <x:v>AF-3-BA-A06</x:v>
      </x:c>
      <x:c r="H233" t="str">
        <x:v>RFA-P078</x:v>
      </x:c>
      <x:c r="I233" t="str">
        <x:v>challenge</x:v>
      </x:c>
      <x:c r="J233" s="11" t="str">
        <x:v>firewater capacity shock</x:v>
      </x:c>
      <x:c r="K233" t="n">
        <x:v>2000</x:v>
      </x:c>
      <x:c r="L233" t="n">
        <x:v>1</x:v>
      </x:c>
      <x:c r="M233" t="str"/>
      <x:c r="N233" t="str"/>
      <x:c r="O233" t="str"/>
      <x:c r="P233" t="str">
        <x:v>OPEN</x:v>
      </x:c>
    </x:row>
    <x:row r="234" ht="34" customHeight="1">
      <x:c r="B234" t="str">
        <x:v>RFA-E228</x:v>
      </x:c>
      <x:c r="C234" t="str">
        <x:v>AM-07</x:v>
      </x:c>
      <x:c r="D234" t="str">
        <x:v>AF-3</x:v>
      </x:c>
      <x:c r="E234" t="str">
        <x:v>BA</x:v>
      </x:c>
      <x:c r="F234" t="str">
        <x:v>PTC-C</x:v>
      </x:c>
      <x:c r="G234" t="str">
        <x:v>AF-3-BA-A06</x:v>
      </x:c>
      <x:c r="H234" t="str">
        <x:v>RFA-P078</x:v>
      </x:c>
      <x:c r="I234" t="str">
        <x:v>control</x:v>
      </x:c>
      <x:c r="J234" s="11" t="str">
        <x:v>matched clean state</x:v>
      </x:c>
      <x:c r="K234" t="n">
        <x:v>2000</x:v>
      </x:c>
      <x:c r="L234" t="n">
        <x:v>2</x:v>
      </x:c>
      <x:c r="M234" t="str"/>
      <x:c r="N234" t="str"/>
      <x:c r="O234" t="str"/>
      <x:c r="P234" t="str">
        <x:v>OPEN</x:v>
      </x:c>
    </x:row>
    <x:row r="235" ht="34" customHeight="1">
      <x:c r="B235" t="str">
        <x:v>RFA-E229</x:v>
      </x:c>
      <x:c r="C235" t="str">
        <x:v>AM-07</x:v>
      </x:c>
      <x:c r="D235" t="str">
        <x:v>AF-3</x:v>
      </x:c>
      <x:c r="E235" t="str">
        <x:v>BA</x:v>
      </x:c>
      <x:c r="F235" t="str">
        <x:v>PTC-C</x:v>
      </x:c>
      <x:c r="G235" t="str">
        <x:v>AF-3-BA-A07</x:v>
      </x:c>
      <x:c r="H235" t="str">
        <x:v>RFA-P079</x:v>
      </x:c>
      <x:c r="I235" t="str">
        <x:v>control</x:v>
      </x:c>
      <x:c r="J235" s="11" t="str">
        <x:v>matched clean state</x:v>
      </x:c>
      <x:c r="K235" t="n">
        <x:v>2000</x:v>
      </x:c>
      <x:c r="L235" t="n">
        <x:v>1</x:v>
      </x:c>
      <x:c r="M235" t="str"/>
      <x:c r="N235" t="str"/>
      <x:c r="O235" t="str"/>
      <x:c r="P235" t="str">
        <x:v>OPEN</x:v>
      </x:c>
    </x:row>
    <x:row r="236" ht="34" customHeight="1">
      <x:c r="B236" t="str">
        <x:v>RFA-E230</x:v>
      </x:c>
      <x:c r="C236" t="str">
        <x:v>AM-07</x:v>
      </x:c>
      <x:c r="D236" t="str">
        <x:v>AF-3</x:v>
      </x:c>
      <x:c r="E236" t="str">
        <x:v>BA</x:v>
      </x:c>
      <x:c r="F236" t="str">
        <x:v>PTC-C</x:v>
      </x:c>
      <x:c r="G236" t="str">
        <x:v>AF-3-BA-A07</x:v>
      </x:c>
      <x:c r="H236" t="str">
        <x:v>RFA-P079</x:v>
      </x:c>
      <x:c r="I236" t="str">
        <x:v>challenge</x:v>
      </x:c>
      <x:c r="J236" s="11" t="str">
        <x:v>partial barrier plus wind</x:v>
      </x:c>
      <x:c r="K236" t="n">
        <x:v>2000</x:v>
      </x:c>
      <x:c r="L236" t="n">
        <x:v>2</x:v>
      </x:c>
      <x:c r="M236" t="str"/>
      <x:c r="N236" t="str"/>
      <x:c r="O236" t="str"/>
      <x:c r="P236" t="str">
        <x:v>OPEN</x:v>
      </x:c>
    </x:row>
    <x:row r="237" ht="34" customHeight="1">
      <x:c r="B237" t="str">
        <x:v>RFA-E231</x:v>
      </x:c>
      <x:c r="C237" t="str">
        <x:v>AM-07</x:v>
      </x:c>
      <x:c r="D237" t="str">
        <x:v>AF-3</x:v>
      </x:c>
      <x:c r="E237" t="str">
        <x:v>BA</x:v>
      </x:c>
      <x:c r="F237" t="str">
        <x:v>PTC-C</x:v>
      </x:c>
      <x:c r="G237" t="str">
        <x:v>AF-3-BA-A08</x:v>
      </x:c>
      <x:c r="H237" t="str">
        <x:v>RFA-P080</x:v>
      </x:c>
      <x:c r="I237" t="str">
        <x:v>challenge</x:v>
      </x:c>
      <x:c r="J237" s="11" t="str">
        <x:v>compound service denial</x:v>
      </x:c>
      <x:c r="K237" t="n">
        <x:v>2000</x:v>
      </x:c>
      <x:c r="L237" t="n">
        <x:v>1</x:v>
      </x:c>
      <x:c r="M237" t="str"/>
      <x:c r="N237" t="str"/>
      <x:c r="O237" t="str"/>
      <x:c r="P237" t="str">
        <x:v>OPEN</x:v>
      </x:c>
    </x:row>
    <x:row r="238" ht="34" customHeight="1">
      <x:c r="B238" t="str">
        <x:v>RFA-E232</x:v>
      </x:c>
      <x:c r="C238" t="str">
        <x:v>AM-07</x:v>
      </x:c>
      <x:c r="D238" t="str">
        <x:v>AF-3</x:v>
      </x:c>
      <x:c r="E238" t="str">
        <x:v>BA</x:v>
      </x:c>
      <x:c r="F238" t="str">
        <x:v>PTC-C</x:v>
      </x:c>
      <x:c r="G238" t="str">
        <x:v>AF-3-BA-A08</x:v>
      </x:c>
      <x:c r="H238" t="str">
        <x:v>RFA-P080</x:v>
      </x:c>
      <x:c r="I238" t="str">
        <x:v>control</x:v>
      </x:c>
      <x:c r="J238" s="11" t="str">
        <x:v>matched clean state</x:v>
      </x:c>
      <x:c r="K238" t="n">
        <x:v>2000</x:v>
      </x:c>
      <x:c r="L238" t="n">
        <x:v>2</x:v>
      </x:c>
      <x:c r="M238" t="str"/>
      <x:c r="N238" t="str"/>
      <x:c r="O238" t="str"/>
      <x:c r="P238" t="str">
        <x:v>OPEN</x:v>
      </x:c>
    </x:row>
    <x:row r="239" ht="34" customHeight="1">
      <x:c r="B239" t="str">
        <x:v>RFA-E233</x:v>
      </x:c>
      <x:c r="C239" t="str">
        <x:v>AM-05</x:v>
      </x:c>
      <x:c r="D239" t="str">
        <x:v>AF-3</x:v>
      </x:c>
      <x:c r="E239" t="str">
        <x:v>BB</x:v>
      </x:c>
      <x:c r="F239" t="str">
        <x:v>PTC-B</x:v>
      </x:c>
      <x:c r="G239" t="str">
        <x:v>AF-3-BB-A01</x:v>
      </x:c>
      <x:c r="H239" t="str">
        <x:v>RFA-P081</x:v>
      </x:c>
      <x:c r="I239" t="str">
        <x:v>control</x:v>
      </x:c>
      <x:c r="J239" s="11" t="str">
        <x:v>matched clean state</x:v>
      </x:c>
      <x:c r="K239" t="n">
        <x:v>500</x:v>
      </x:c>
      <x:c r="L239" t="n">
        <x:v>1</x:v>
      </x:c>
      <x:c r="M239" t="str"/>
      <x:c r="N239" t="str"/>
      <x:c r="O239" t="str"/>
      <x:c r="P239" t="str">
        <x:v>OPEN</x:v>
      </x:c>
    </x:row>
    <x:row r="240" ht="34" customHeight="1">
      <x:c r="B240" t="str">
        <x:v>RFA-E234</x:v>
      </x:c>
      <x:c r="C240" t="str">
        <x:v>AM-05</x:v>
      </x:c>
      <x:c r="D240" t="str">
        <x:v>AF-3</x:v>
      </x:c>
      <x:c r="E240" t="str">
        <x:v>BB</x:v>
      </x:c>
      <x:c r="F240" t="str">
        <x:v>PTC-B</x:v>
      </x:c>
      <x:c r="G240" t="str">
        <x:v>AF-3-BB-A01</x:v>
      </x:c>
      <x:c r="H240" t="str">
        <x:v>RFA-P081</x:v>
      </x:c>
      <x:c r="I240" t="str">
        <x:v>challenge</x:v>
      </x:c>
      <x:c r="J240" s="11" t="str">
        <x:v>adverse grade</x:v>
      </x:c>
      <x:c r="K240" t="n">
        <x:v>500</x:v>
      </x:c>
      <x:c r="L240" t="n">
        <x:v>2</x:v>
      </x:c>
      <x:c r="M240" t="str"/>
      <x:c r="N240" t="str"/>
      <x:c r="O240" t="str"/>
      <x:c r="P240" t="str">
        <x:v>OPEN</x:v>
      </x:c>
    </x:row>
    <x:row r="241" ht="34" customHeight="1">
      <x:c r="B241" t="str">
        <x:v>RFA-E235</x:v>
      </x:c>
      <x:c r="C241" t="str">
        <x:v>AM-05</x:v>
      </x:c>
      <x:c r="D241" t="str">
        <x:v>AF-3</x:v>
      </x:c>
      <x:c r="E241" t="str">
        <x:v>BB</x:v>
      </x:c>
      <x:c r="F241" t="str">
        <x:v>PTC-B</x:v>
      </x:c>
      <x:c r="G241" t="str">
        <x:v>AF-3-BB-A02</x:v>
      </x:c>
      <x:c r="H241" t="str">
        <x:v>RFA-P082</x:v>
      </x:c>
      <x:c r="I241" t="str">
        <x:v>challenge</x:v>
      </x:c>
      <x:c r="J241" s="11" t="str">
        <x:v>half drain area</x:v>
      </x:c>
      <x:c r="K241" t="n">
        <x:v>500</x:v>
      </x:c>
      <x:c r="L241" t="n">
        <x:v>1</x:v>
      </x:c>
      <x:c r="M241" t="str"/>
      <x:c r="N241" t="str"/>
      <x:c r="O241" t="str"/>
      <x:c r="P241" t="str">
        <x:v>OPEN</x:v>
      </x:c>
    </x:row>
    <x:row r="242" ht="34" customHeight="1">
      <x:c r="B242" t="str">
        <x:v>RFA-E236</x:v>
      </x:c>
      <x:c r="C242" t="str">
        <x:v>AM-05</x:v>
      </x:c>
      <x:c r="D242" t="str">
        <x:v>AF-3</x:v>
      </x:c>
      <x:c r="E242" t="str">
        <x:v>BB</x:v>
      </x:c>
      <x:c r="F242" t="str">
        <x:v>PTC-B</x:v>
      </x:c>
      <x:c r="G242" t="str">
        <x:v>AF-3-BB-A02</x:v>
      </x:c>
      <x:c r="H242" t="str">
        <x:v>RFA-P082</x:v>
      </x:c>
      <x:c r="I242" t="str">
        <x:v>control</x:v>
      </x:c>
      <x:c r="J242" s="11" t="str">
        <x:v>matched clean state</x:v>
      </x:c>
      <x:c r="K242" t="n">
        <x:v>500</x:v>
      </x:c>
      <x:c r="L242" t="n">
        <x:v>2</x:v>
      </x:c>
      <x:c r="M242" t="str"/>
      <x:c r="N242" t="str"/>
      <x:c r="O242" t="str"/>
      <x:c r="P242" t="str">
        <x:v>OPEN</x:v>
      </x:c>
    </x:row>
    <x:row r="243" ht="34" customHeight="1">
      <x:c r="B243" t="str">
        <x:v>RFA-E237</x:v>
      </x:c>
      <x:c r="C243" t="str">
        <x:v>AM-05</x:v>
      </x:c>
      <x:c r="D243" t="str">
        <x:v>AF-3</x:v>
      </x:c>
      <x:c r="E243" t="str">
        <x:v>BB</x:v>
      </x:c>
      <x:c r="F243" t="str">
        <x:v>PTC-B</x:v>
      </x:c>
      <x:c r="G243" t="str">
        <x:v>AF-3-BB-A03</x:v>
      </x:c>
      <x:c r="H243" t="str">
        <x:v>RFA-P083</x:v>
      </x:c>
      <x:c r="I243" t="str">
        <x:v>control</x:v>
      </x:c>
      <x:c r="J243" s="11" t="str">
        <x:v>matched clean state</x:v>
      </x:c>
      <x:c r="K243" t="n">
        <x:v>500</x:v>
      </x:c>
      <x:c r="L243" t="n">
        <x:v>1</x:v>
      </x:c>
      <x:c r="M243" t="str"/>
      <x:c r="N243" t="str"/>
      <x:c r="O243" t="str"/>
      <x:c r="P243" t="str">
        <x:v>OPEN</x:v>
      </x:c>
    </x:row>
    <x:row r="244" ht="34" customHeight="1">
      <x:c r="B244" t="str">
        <x:v>RFA-E238</x:v>
      </x:c>
      <x:c r="C244" t="str">
        <x:v>AM-05</x:v>
      </x:c>
      <x:c r="D244" t="str">
        <x:v>AF-3</x:v>
      </x:c>
      <x:c r="E244" t="str">
        <x:v>BB</x:v>
      </x:c>
      <x:c r="F244" t="str">
        <x:v>PTC-B</x:v>
      </x:c>
      <x:c r="G244" t="str">
        <x:v>AF-3-BB-A03</x:v>
      </x:c>
      <x:c r="H244" t="str">
        <x:v>RFA-P083</x:v>
      </x:c>
      <x:c r="I244" t="str">
        <x:v>challenge</x:v>
      </x:c>
      <x:c r="J244" s="11" t="str">
        <x:v>sump half full</x:v>
      </x:c>
      <x:c r="K244" t="n">
        <x:v>500</x:v>
      </x:c>
      <x:c r="L244" t="n">
        <x:v>2</x:v>
      </x:c>
      <x:c r="M244" t="str"/>
      <x:c r="N244" t="str"/>
      <x:c r="O244" t="str"/>
      <x:c r="P244" t="str">
        <x:v>OPEN</x:v>
      </x:c>
    </x:row>
    <x:row r="245" ht="34" customHeight="1">
      <x:c r="B245" t="str">
        <x:v>RFA-E239</x:v>
      </x:c>
      <x:c r="C245" t="str">
        <x:v>AM-05</x:v>
      </x:c>
      <x:c r="D245" t="str">
        <x:v>AF-3</x:v>
      </x:c>
      <x:c r="E245" t="str">
        <x:v>BB</x:v>
      </x:c>
      <x:c r="F245" t="str">
        <x:v>PTC-B</x:v>
      </x:c>
      <x:c r="G245" t="str">
        <x:v>AF-3-BB-A04</x:v>
      </x:c>
      <x:c r="H245" t="str">
        <x:v>RFA-P084</x:v>
      </x:c>
      <x:c r="I245" t="str">
        <x:v>challenge</x:v>
      </x:c>
      <x:c r="J245" s="11" t="str">
        <x:v>debris field</x:v>
      </x:c>
      <x:c r="K245" t="n">
        <x:v>500</x:v>
      </x:c>
      <x:c r="L245" t="n">
        <x:v>1</x:v>
      </x:c>
      <x:c r="M245" t="str"/>
      <x:c r="N245" t="str"/>
      <x:c r="O245" t="str"/>
      <x:c r="P245" t="str">
        <x:v>OPEN</x:v>
      </x:c>
    </x:row>
    <x:row r="246" ht="34" customHeight="1">
      <x:c r="B246" t="str">
        <x:v>RFA-E240</x:v>
      </x:c>
      <x:c r="C246" t="str">
        <x:v>AM-05</x:v>
      </x:c>
      <x:c r="D246" t="str">
        <x:v>AF-3</x:v>
      </x:c>
      <x:c r="E246" t="str">
        <x:v>BB</x:v>
      </x:c>
      <x:c r="F246" t="str">
        <x:v>PTC-B</x:v>
      </x:c>
      <x:c r="G246" t="str">
        <x:v>AF-3-BB-A04</x:v>
      </x:c>
      <x:c r="H246" t="str">
        <x:v>RFA-P084</x:v>
      </x:c>
      <x:c r="I246" t="str">
        <x:v>control</x:v>
      </x:c>
      <x:c r="J246" s="11" t="str">
        <x:v>matched clean state</x:v>
      </x:c>
      <x:c r="K246" t="n">
        <x:v>500</x:v>
      </x:c>
      <x:c r="L246" t="n">
        <x:v>2</x:v>
      </x:c>
      <x:c r="M246" t="str"/>
      <x:c r="N246" t="str"/>
      <x:c r="O246" t="str"/>
      <x:c r="P246" t="str">
        <x:v>OPEN</x:v>
      </x:c>
    </x:row>
    <x:row r="247" ht="34" customHeight="1">
      <x:c r="B247" t="str">
        <x:v>RFA-E241</x:v>
      </x:c>
      <x:c r="C247" t="str">
        <x:v>AM-07</x:v>
      </x:c>
      <x:c r="D247" t="str">
        <x:v>AF-3</x:v>
      </x:c>
      <x:c r="E247" t="str">
        <x:v>BB</x:v>
      </x:c>
      <x:c r="F247" t="str">
        <x:v>PTC-B</x:v>
      </x:c>
      <x:c r="G247" t="str">
        <x:v>AF-3-BB-A05</x:v>
      </x:c>
      <x:c r="H247" t="str">
        <x:v>RFA-P085</x:v>
      </x:c>
      <x:c r="I247" t="str">
        <x:v>control</x:v>
      </x:c>
      <x:c r="J247" s="11" t="str">
        <x:v>matched clean state</x:v>
      </x:c>
      <x:c r="K247" t="n">
        <x:v>2000</x:v>
      </x:c>
      <x:c r="L247" t="n">
        <x:v>1</x:v>
      </x:c>
      <x:c r="M247" t="str"/>
      <x:c r="N247" t="str"/>
      <x:c r="O247" t="str"/>
      <x:c r="P247" t="str">
        <x:v>OPEN</x:v>
      </x:c>
    </x:row>
    <x:row r="248" ht="34" customHeight="1">
      <x:c r="B248" t="str">
        <x:v>RFA-E242</x:v>
      </x:c>
      <x:c r="C248" t="str">
        <x:v>AM-07</x:v>
      </x:c>
      <x:c r="D248" t="str">
        <x:v>AF-3</x:v>
      </x:c>
      <x:c r="E248" t="str">
        <x:v>BB</x:v>
      </x:c>
      <x:c r="F248" t="str">
        <x:v>PTC-B</x:v>
      </x:c>
      <x:c r="G248" t="str">
        <x:v>AF-3-BB-A05</x:v>
      </x:c>
      <x:c r="H248" t="str">
        <x:v>RFA-P085</x:v>
      </x:c>
      <x:c r="I248" t="str">
        <x:v>challenge</x:v>
      </x:c>
      <x:c r="J248" s="11" t="str">
        <x:v>bounded pool fire</x:v>
      </x:c>
      <x:c r="K248" t="n">
        <x:v>2000</x:v>
      </x:c>
      <x:c r="L248" t="n">
        <x:v>2</x:v>
      </x:c>
      <x:c r="M248" t="str"/>
      <x:c r="N248" t="str"/>
      <x:c r="O248" t="str"/>
      <x:c r="P248" t="str">
        <x:v>OPEN</x:v>
      </x:c>
    </x:row>
    <x:row r="249" ht="34" customHeight="1">
      <x:c r="B249" t="str">
        <x:v>RFA-E243</x:v>
      </x:c>
      <x:c r="C249" t="str">
        <x:v>AM-07</x:v>
      </x:c>
      <x:c r="D249" t="str">
        <x:v>AF-3</x:v>
      </x:c>
      <x:c r="E249" t="str">
        <x:v>BB</x:v>
      </x:c>
      <x:c r="F249" t="str">
        <x:v>PTC-B</x:v>
      </x:c>
      <x:c r="G249" t="str">
        <x:v>AF-3-BB-A06</x:v>
      </x:c>
      <x:c r="H249" t="str">
        <x:v>RFA-P086</x:v>
      </x:c>
      <x:c r="I249" t="str">
        <x:v>challenge</x:v>
      </x:c>
      <x:c r="J249" s="11" t="str">
        <x:v>firewater capacity shock</x:v>
      </x:c>
      <x:c r="K249" t="n">
        <x:v>2000</x:v>
      </x:c>
      <x:c r="L249" t="n">
        <x:v>1</x:v>
      </x:c>
      <x:c r="M249" t="str"/>
      <x:c r="N249" t="str"/>
      <x:c r="O249" t="str"/>
      <x:c r="P249" t="str">
        <x:v>OPEN</x:v>
      </x:c>
    </x:row>
    <x:row r="250" ht="34" customHeight="1">
      <x:c r="B250" t="str">
        <x:v>RFA-E244</x:v>
      </x:c>
      <x:c r="C250" t="str">
        <x:v>AM-07</x:v>
      </x:c>
      <x:c r="D250" t="str">
        <x:v>AF-3</x:v>
      </x:c>
      <x:c r="E250" t="str">
        <x:v>BB</x:v>
      </x:c>
      <x:c r="F250" t="str">
        <x:v>PTC-B</x:v>
      </x:c>
      <x:c r="G250" t="str">
        <x:v>AF-3-BB-A06</x:v>
      </x:c>
      <x:c r="H250" t="str">
        <x:v>RFA-P086</x:v>
      </x:c>
      <x:c r="I250" t="str">
        <x:v>control</x:v>
      </x:c>
      <x:c r="J250" s="11" t="str">
        <x:v>matched clean state</x:v>
      </x:c>
      <x:c r="K250" t="n">
        <x:v>2000</x:v>
      </x:c>
      <x:c r="L250" t="n">
        <x:v>2</x:v>
      </x:c>
      <x:c r="M250" t="str"/>
      <x:c r="N250" t="str"/>
      <x:c r="O250" t="str"/>
      <x:c r="P250" t="str">
        <x:v>OPEN</x:v>
      </x:c>
    </x:row>
    <x:row r="251" ht="34" customHeight="1">
      <x:c r="B251" t="str">
        <x:v>RFA-E245</x:v>
      </x:c>
      <x:c r="C251" t="str">
        <x:v>AM-07</x:v>
      </x:c>
      <x:c r="D251" t="str">
        <x:v>AF-3</x:v>
      </x:c>
      <x:c r="E251" t="str">
        <x:v>BB</x:v>
      </x:c>
      <x:c r="F251" t="str">
        <x:v>PTC-B</x:v>
      </x:c>
      <x:c r="G251" t="str">
        <x:v>AF-3-BB-A07</x:v>
      </x:c>
      <x:c r="H251" t="str">
        <x:v>RFA-P087</x:v>
      </x:c>
      <x:c r="I251" t="str">
        <x:v>control</x:v>
      </x:c>
      <x:c r="J251" s="11" t="str">
        <x:v>matched clean state</x:v>
      </x:c>
      <x:c r="K251" t="n">
        <x:v>2000</x:v>
      </x:c>
      <x:c r="L251" t="n">
        <x:v>1</x:v>
      </x:c>
      <x:c r="M251" t="str"/>
      <x:c r="N251" t="str"/>
      <x:c r="O251" t="str"/>
      <x:c r="P251" t="str">
        <x:v>OPEN</x:v>
      </x:c>
    </x:row>
    <x:row r="252" ht="34" customHeight="1">
      <x:c r="B252" t="str">
        <x:v>RFA-E246</x:v>
      </x:c>
      <x:c r="C252" t="str">
        <x:v>AM-07</x:v>
      </x:c>
      <x:c r="D252" t="str">
        <x:v>AF-3</x:v>
      </x:c>
      <x:c r="E252" t="str">
        <x:v>BB</x:v>
      </x:c>
      <x:c r="F252" t="str">
        <x:v>PTC-B</x:v>
      </x:c>
      <x:c r="G252" t="str">
        <x:v>AF-3-BB-A07</x:v>
      </x:c>
      <x:c r="H252" t="str">
        <x:v>RFA-P087</x:v>
      </x:c>
      <x:c r="I252" t="str">
        <x:v>challenge</x:v>
      </x:c>
      <x:c r="J252" s="11" t="str">
        <x:v>partial barrier plus wind</x:v>
      </x:c>
      <x:c r="K252" t="n">
        <x:v>2000</x:v>
      </x:c>
      <x:c r="L252" t="n">
        <x:v>2</x:v>
      </x:c>
      <x:c r="M252" t="str"/>
      <x:c r="N252" t="str"/>
      <x:c r="O252" t="str"/>
      <x:c r="P252" t="str">
        <x:v>OPEN</x:v>
      </x:c>
    </x:row>
    <x:row r="253" ht="34" customHeight="1">
      <x:c r="B253" t="str">
        <x:v>RFA-E247</x:v>
      </x:c>
      <x:c r="C253" t="str">
        <x:v>AM-07</x:v>
      </x:c>
      <x:c r="D253" t="str">
        <x:v>AF-3</x:v>
      </x:c>
      <x:c r="E253" t="str">
        <x:v>BB</x:v>
      </x:c>
      <x:c r="F253" t="str">
        <x:v>PTC-B</x:v>
      </x:c>
      <x:c r="G253" t="str">
        <x:v>AF-3-BB-A08</x:v>
      </x:c>
      <x:c r="H253" t="str">
        <x:v>RFA-P088</x:v>
      </x:c>
      <x:c r="I253" t="str">
        <x:v>challenge</x:v>
      </x:c>
      <x:c r="J253" s="11" t="str">
        <x:v>compound service denial</x:v>
      </x:c>
      <x:c r="K253" t="n">
        <x:v>2000</x:v>
      </x:c>
      <x:c r="L253" t="n">
        <x:v>1</x:v>
      </x:c>
      <x:c r="M253" t="str"/>
      <x:c r="N253" t="str"/>
      <x:c r="O253" t="str"/>
      <x:c r="P253" t="str">
        <x:v>OPEN</x:v>
      </x:c>
    </x:row>
    <x:row r="254" ht="34" customHeight="1">
      <x:c r="B254" t="str">
        <x:v>RFA-E248</x:v>
      </x:c>
      <x:c r="C254" t="str">
        <x:v>AM-07</x:v>
      </x:c>
      <x:c r="D254" t="str">
        <x:v>AF-3</x:v>
      </x:c>
      <x:c r="E254" t="str">
        <x:v>BB</x:v>
      </x:c>
      <x:c r="F254" t="str">
        <x:v>PTC-B</x:v>
      </x:c>
      <x:c r="G254" t="str">
        <x:v>AF-3-BB-A08</x:v>
      </x:c>
      <x:c r="H254" t="str">
        <x:v>RFA-P088</x:v>
      </x:c>
      <x:c r="I254" t="str">
        <x:v>control</x:v>
      </x:c>
      <x:c r="J254" s="11" t="str">
        <x:v>matched clean state</x:v>
      </x:c>
      <x:c r="K254" t="n">
        <x:v>2000</x:v>
      </x:c>
      <x:c r="L254" t="n">
        <x:v>2</x:v>
      </x:c>
      <x:c r="M254" t="str"/>
      <x:c r="N254" t="str"/>
      <x:c r="O254" t="str"/>
      <x:c r="P254" t="str">
        <x:v>OPEN</x:v>
      </x:c>
    </x:row>
    <x:row r="255" ht="34" customHeight="1">
      <x:c r="B255" t="str">
        <x:v>RFA-E249</x:v>
      </x:c>
      <x:c r="C255" t="str">
        <x:v>AM-05</x:v>
      </x:c>
      <x:c r="D255" t="str">
        <x:v>AF-3</x:v>
      </x:c>
      <x:c r="E255" t="str">
        <x:v>BB</x:v>
      </x:c>
      <x:c r="F255" t="str">
        <x:v>PTC-C</x:v>
      </x:c>
      <x:c r="G255" t="str">
        <x:v>AF-3-BB-A01</x:v>
      </x:c>
      <x:c r="H255" t="str">
        <x:v>RFA-P089</x:v>
      </x:c>
      <x:c r="I255" t="str">
        <x:v>control</x:v>
      </x:c>
      <x:c r="J255" s="11" t="str">
        <x:v>matched clean state</x:v>
      </x:c>
      <x:c r="K255" t="n">
        <x:v>500</x:v>
      </x:c>
      <x:c r="L255" t="n">
        <x:v>1</x:v>
      </x:c>
      <x:c r="M255" t="str"/>
      <x:c r="N255" t="str"/>
      <x:c r="O255" t="str"/>
      <x:c r="P255" t="str">
        <x:v>OPEN</x:v>
      </x:c>
    </x:row>
    <x:row r="256" ht="34" customHeight="1">
      <x:c r="B256" t="str">
        <x:v>RFA-E250</x:v>
      </x:c>
      <x:c r="C256" t="str">
        <x:v>AM-05</x:v>
      </x:c>
      <x:c r="D256" t="str">
        <x:v>AF-3</x:v>
      </x:c>
      <x:c r="E256" t="str">
        <x:v>BB</x:v>
      </x:c>
      <x:c r="F256" t="str">
        <x:v>PTC-C</x:v>
      </x:c>
      <x:c r="G256" t="str">
        <x:v>AF-3-BB-A01</x:v>
      </x:c>
      <x:c r="H256" t="str">
        <x:v>RFA-P089</x:v>
      </x:c>
      <x:c r="I256" t="str">
        <x:v>challenge</x:v>
      </x:c>
      <x:c r="J256" s="11" t="str">
        <x:v>adverse grade</x:v>
      </x:c>
      <x:c r="K256" t="n">
        <x:v>500</x:v>
      </x:c>
      <x:c r="L256" t="n">
        <x:v>2</x:v>
      </x:c>
      <x:c r="M256" t="str"/>
      <x:c r="N256" t="str"/>
      <x:c r="O256" t="str"/>
      <x:c r="P256" t="str">
        <x:v>OPEN</x:v>
      </x:c>
    </x:row>
    <x:row r="257" ht="34" customHeight="1">
      <x:c r="B257" t="str">
        <x:v>RFA-E251</x:v>
      </x:c>
      <x:c r="C257" t="str">
        <x:v>AM-05</x:v>
      </x:c>
      <x:c r="D257" t="str">
        <x:v>AF-3</x:v>
      </x:c>
      <x:c r="E257" t="str">
        <x:v>BB</x:v>
      </x:c>
      <x:c r="F257" t="str">
        <x:v>PTC-C</x:v>
      </x:c>
      <x:c r="G257" t="str">
        <x:v>AF-3-BB-A02</x:v>
      </x:c>
      <x:c r="H257" t="str">
        <x:v>RFA-P090</x:v>
      </x:c>
      <x:c r="I257" t="str">
        <x:v>challenge</x:v>
      </x:c>
      <x:c r="J257" s="11" t="str">
        <x:v>half drain area</x:v>
      </x:c>
      <x:c r="K257" t="n">
        <x:v>500</x:v>
      </x:c>
      <x:c r="L257" t="n">
        <x:v>1</x:v>
      </x:c>
      <x:c r="M257" t="str"/>
      <x:c r="N257" t="str"/>
      <x:c r="O257" t="str"/>
      <x:c r="P257" t="str">
        <x:v>OPEN</x:v>
      </x:c>
    </x:row>
    <x:row r="258" ht="34" customHeight="1">
      <x:c r="B258" t="str">
        <x:v>RFA-E252</x:v>
      </x:c>
      <x:c r="C258" t="str">
        <x:v>AM-05</x:v>
      </x:c>
      <x:c r="D258" t="str">
        <x:v>AF-3</x:v>
      </x:c>
      <x:c r="E258" t="str">
        <x:v>BB</x:v>
      </x:c>
      <x:c r="F258" t="str">
        <x:v>PTC-C</x:v>
      </x:c>
      <x:c r="G258" t="str">
        <x:v>AF-3-BB-A02</x:v>
      </x:c>
      <x:c r="H258" t="str">
        <x:v>RFA-P090</x:v>
      </x:c>
      <x:c r="I258" t="str">
        <x:v>control</x:v>
      </x:c>
      <x:c r="J258" s="11" t="str">
        <x:v>matched clean state</x:v>
      </x:c>
      <x:c r="K258" t="n">
        <x:v>500</x:v>
      </x:c>
      <x:c r="L258" t="n">
        <x:v>2</x:v>
      </x:c>
      <x:c r="M258" t="str"/>
      <x:c r="N258" t="str"/>
      <x:c r="O258" t="str"/>
      <x:c r="P258" t="str">
        <x:v>OPEN</x:v>
      </x:c>
    </x:row>
    <x:row r="259" ht="34" customHeight="1">
      <x:c r="B259" t="str">
        <x:v>RFA-E253</x:v>
      </x:c>
      <x:c r="C259" t="str">
        <x:v>AM-05</x:v>
      </x:c>
      <x:c r="D259" t="str">
        <x:v>AF-3</x:v>
      </x:c>
      <x:c r="E259" t="str">
        <x:v>BB</x:v>
      </x:c>
      <x:c r="F259" t="str">
        <x:v>PTC-C</x:v>
      </x:c>
      <x:c r="G259" t="str">
        <x:v>AF-3-BB-A03</x:v>
      </x:c>
      <x:c r="H259" t="str">
        <x:v>RFA-P091</x:v>
      </x:c>
      <x:c r="I259" t="str">
        <x:v>control</x:v>
      </x:c>
      <x:c r="J259" s="11" t="str">
        <x:v>matched clean state</x:v>
      </x:c>
      <x:c r="K259" t="n">
        <x:v>500</x:v>
      </x:c>
      <x:c r="L259" t="n">
        <x:v>1</x:v>
      </x:c>
      <x:c r="M259" t="str"/>
      <x:c r="N259" t="str"/>
      <x:c r="O259" t="str"/>
      <x:c r="P259" t="str">
        <x:v>OPEN</x:v>
      </x:c>
    </x:row>
    <x:row r="260" ht="34" customHeight="1">
      <x:c r="B260" t="str">
        <x:v>RFA-E254</x:v>
      </x:c>
      <x:c r="C260" t="str">
        <x:v>AM-05</x:v>
      </x:c>
      <x:c r="D260" t="str">
        <x:v>AF-3</x:v>
      </x:c>
      <x:c r="E260" t="str">
        <x:v>BB</x:v>
      </x:c>
      <x:c r="F260" t="str">
        <x:v>PTC-C</x:v>
      </x:c>
      <x:c r="G260" t="str">
        <x:v>AF-3-BB-A03</x:v>
      </x:c>
      <x:c r="H260" t="str">
        <x:v>RFA-P091</x:v>
      </x:c>
      <x:c r="I260" t="str">
        <x:v>challenge</x:v>
      </x:c>
      <x:c r="J260" s="11" t="str">
        <x:v>sump half full</x:v>
      </x:c>
      <x:c r="K260" t="n">
        <x:v>500</x:v>
      </x:c>
      <x:c r="L260" t="n">
        <x:v>2</x:v>
      </x:c>
      <x:c r="M260" t="str"/>
      <x:c r="N260" t="str"/>
      <x:c r="O260" t="str"/>
      <x:c r="P260" t="str">
        <x:v>OPEN</x:v>
      </x:c>
    </x:row>
    <x:row r="261" ht="34" customHeight="1">
      <x:c r="B261" t="str">
        <x:v>RFA-E255</x:v>
      </x:c>
      <x:c r="C261" t="str">
        <x:v>AM-05</x:v>
      </x:c>
      <x:c r="D261" t="str">
        <x:v>AF-3</x:v>
      </x:c>
      <x:c r="E261" t="str">
        <x:v>BB</x:v>
      </x:c>
      <x:c r="F261" t="str">
        <x:v>PTC-C</x:v>
      </x:c>
      <x:c r="G261" t="str">
        <x:v>AF-3-BB-A04</x:v>
      </x:c>
      <x:c r="H261" t="str">
        <x:v>RFA-P092</x:v>
      </x:c>
      <x:c r="I261" t="str">
        <x:v>challenge</x:v>
      </x:c>
      <x:c r="J261" s="11" t="str">
        <x:v>debris field</x:v>
      </x:c>
      <x:c r="K261" t="n">
        <x:v>500</x:v>
      </x:c>
      <x:c r="L261" t="n">
        <x:v>1</x:v>
      </x:c>
      <x:c r="M261" t="str"/>
      <x:c r="N261" t="str"/>
      <x:c r="O261" t="str"/>
      <x:c r="P261" t="str">
        <x:v>OPEN</x:v>
      </x:c>
    </x:row>
    <x:row r="262" ht="34" customHeight="1">
      <x:c r="B262" t="str">
        <x:v>RFA-E256</x:v>
      </x:c>
      <x:c r="C262" t="str">
        <x:v>AM-05</x:v>
      </x:c>
      <x:c r="D262" t="str">
        <x:v>AF-3</x:v>
      </x:c>
      <x:c r="E262" t="str">
        <x:v>BB</x:v>
      </x:c>
      <x:c r="F262" t="str">
        <x:v>PTC-C</x:v>
      </x:c>
      <x:c r="G262" t="str">
        <x:v>AF-3-BB-A04</x:v>
      </x:c>
      <x:c r="H262" t="str">
        <x:v>RFA-P092</x:v>
      </x:c>
      <x:c r="I262" t="str">
        <x:v>control</x:v>
      </x:c>
      <x:c r="J262" s="11" t="str">
        <x:v>matched clean state</x:v>
      </x:c>
      <x:c r="K262" t="n">
        <x:v>500</x:v>
      </x:c>
      <x:c r="L262" t="n">
        <x:v>2</x:v>
      </x:c>
      <x:c r="M262" t="str"/>
      <x:c r="N262" t="str"/>
      <x:c r="O262" t="str"/>
      <x:c r="P262" t="str">
        <x:v>OPEN</x:v>
      </x:c>
    </x:row>
    <x:row r="263" ht="34" customHeight="1">
      <x:c r="B263" t="str">
        <x:v>RFA-E257</x:v>
      </x:c>
      <x:c r="C263" t="str">
        <x:v>AM-07</x:v>
      </x:c>
      <x:c r="D263" t="str">
        <x:v>AF-3</x:v>
      </x:c>
      <x:c r="E263" t="str">
        <x:v>BB</x:v>
      </x:c>
      <x:c r="F263" t="str">
        <x:v>PTC-C</x:v>
      </x:c>
      <x:c r="G263" t="str">
        <x:v>AF-3-BB-A05</x:v>
      </x:c>
      <x:c r="H263" t="str">
        <x:v>RFA-P093</x:v>
      </x:c>
      <x:c r="I263" t="str">
        <x:v>control</x:v>
      </x:c>
      <x:c r="J263" s="11" t="str">
        <x:v>matched clean state</x:v>
      </x:c>
      <x:c r="K263" t="n">
        <x:v>2000</x:v>
      </x:c>
      <x:c r="L263" t="n">
        <x:v>1</x:v>
      </x:c>
      <x:c r="M263" t="str"/>
      <x:c r="N263" t="str"/>
      <x:c r="O263" t="str"/>
      <x:c r="P263" t="str">
        <x:v>OPEN</x:v>
      </x:c>
    </x:row>
    <x:row r="264" ht="34" customHeight="1">
      <x:c r="B264" t="str">
        <x:v>RFA-E258</x:v>
      </x:c>
      <x:c r="C264" t="str">
        <x:v>AM-07</x:v>
      </x:c>
      <x:c r="D264" t="str">
        <x:v>AF-3</x:v>
      </x:c>
      <x:c r="E264" t="str">
        <x:v>BB</x:v>
      </x:c>
      <x:c r="F264" t="str">
        <x:v>PTC-C</x:v>
      </x:c>
      <x:c r="G264" t="str">
        <x:v>AF-3-BB-A05</x:v>
      </x:c>
      <x:c r="H264" t="str">
        <x:v>RFA-P093</x:v>
      </x:c>
      <x:c r="I264" t="str">
        <x:v>challenge</x:v>
      </x:c>
      <x:c r="J264" s="11" t="str">
        <x:v>bounded pool fire</x:v>
      </x:c>
      <x:c r="K264" t="n">
        <x:v>2000</x:v>
      </x:c>
      <x:c r="L264" t="n">
        <x:v>2</x:v>
      </x:c>
      <x:c r="M264" t="str"/>
      <x:c r="N264" t="str"/>
      <x:c r="O264" t="str"/>
      <x:c r="P264" t="str">
        <x:v>OPEN</x:v>
      </x:c>
    </x:row>
    <x:row r="265" ht="34" customHeight="1">
      <x:c r="B265" t="str">
        <x:v>RFA-E259</x:v>
      </x:c>
      <x:c r="C265" t="str">
        <x:v>AM-07</x:v>
      </x:c>
      <x:c r="D265" t="str">
        <x:v>AF-3</x:v>
      </x:c>
      <x:c r="E265" t="str">
        <x:v>BB</x:v>
      </x:c>
      <x:c r="F265" t="str">
        <x:v>PTC-C</x:v>
      </x:c>
      <x:c r="G265" t="str">
        <x:v>AF-3-BB-A06</x:v>
      </x:c>
      <x:c r="H265" t="str">
        <x:v>RFA-P094</x:v>
      </x:c>
      <x:c r="I265" t="str">
        <x:v>challenge</x:v>
      </x:c>
      <x:c r="J265" s="11" t="str">
        <x:v>firewater capacity shock</x:v>
      </x:c>
      <x:c r="K265" t="n">
        <x:v>2000</x:v>
      </x:c>
      <x:c r="L265" t="n">
        <x:v>1</x:v>
      </x:c>
      <x:c r="M265" t="str"/>
      <x:c r="N265" t="str"/>
      <x:c r="O265" t="str"/>
      <x:c r="P265" t="str">
        <x:v>OPEN</x:v>
      </x:c>
    </x:row>
    <x:row r="266" ht="34" customHeight="1">
      <x:c r="B266" t="str">
        <x:v>RFA-E260</x:v>
      </x:c>
      <x:c r="C266" t="str">
        <x:v>AM-07</x:v>
      </x:c>
      <x:c r="D266" t="str">
        <x:v>AF-3</x:v>
      </x:c>
      <x:c r="E266" t="str">
        <x:v>BB</x:v>
      </x:c>
      <x:c r="F266" t="str">
        <x:v>PTC-C</x:v>
      </x:c>
      <x:c r="G266" t="str">
        <x:v>AF-3-BB-A06</x:v>
      </x:c>
      <x:c r="H266" t="str">
        <x:v>RFA-P094</x:v>
      </x:c>
      <x:c r="I266" t="str">
        <x:v>control</x:v>
      </x:c>
      <x:c r="J266" s="11" t="str">
        <x:v>matched clean state</x:v>
      </x:c>
      <x:c r="K266" t="n">
        <x:v>2000</x:v>
      </x:c>
      <x:c r="L266" t="n">
        <x:v>2</x:v>
      </x:c>
      <x:c r="M266" t="str"/>
      <x:c r="N266" t="str"/>
      <x:c r="O266" t="str"/>
      <x:c r="P266" t="str">
        <x:v>OPEN</x:v>
      </x:c>
    </x:row>
    <x:row r="267" ht="34" customHeight="1">
      <x:c r="B267" t="str">
        <x:v>RFA-E261</x:v>
      </x:c>
      <x:c r="C267" t="str">
        <x:v>AM-07</x:v>
      </x:c>
      <x:c r="D267" t="str">
        <x:v>AF-3</x:v>
      </x:c>
      <x:c r="E267" t="str">
        <x:v>BB</x:v>
      </x:c>
      <x:c r="F267" t="str">
        <x:v>PTC-C</x:v>
      </x:c>
      <x:c r="G267" t="str">
        <x:v>AF-3-BB-A07</x:v>
      </x:c>
      <x:c r="H267" t="str">
        <x:v>RFA-P095</x:v>
      </x:c>
      <x:c r="I267" t="str">
        <x:v>control</x:v>
      </x:c>
      <x:c r="J267" s="11" t="str">
        <x:v>matched clean state</x:v>
      </x:c>
      <x:c r="K267" t="n">
        <x:v>2000</x:v>
      </x:c>
      <x:c r="L267" t="n">
        <x:v>1</x:v>
      </x:c>
      <x:c r="M267" t="str"/>
      <x:c r="N267" t="str"/>
      <x:c r="O267" t="str"/>
      <x:c r="P267" t="str">
        <x:v>OPEN</x:v>
      </x:c>
    </x:row>
    <x:row r="268" ht="34" customHeight="1">
      <x:c r="B268" t="str">
        <x:v>RFA-E262</x:v>
      </x:c>
      <x:c r="C268" t="str">
        <x:v>AM-07</x:v>
      </x:c>
      <x:c r="D268" t="str">
        <x:v>AF-3</x:v>
      </x:c>
      <x:c r="E268" t="str">
        <x:v>BB</x:v>
      </x:c>
      <x:c r="F268" t="str">
        <x:v>PTC-C</x:v>
      </x:c>
      <x:c r="G268" t="str">
        <x:v>AF-3-BB-A07</x:v>
      </x:c>
      <x:c r="H268" t="str">
        <x:v>RFA-P095</x:v>
      </x:c>
      <x:c r="I268" t="str">
        <x:v>challenge</x:v>
      </x:c>
      <x:c r="J268" s="11" t="str">
        <x:v>partial barrier plus wind</x:v>
      </x:c>
      <x:c r="K268" t="n">
        <x:v>2000</x:v>
      </x:c>
      <x:c r="L268" t="n">
        <x:v>2</x:v>
      </x:c>
      <x:c r="M268" t="str"/>
      <x:c r="N268" t="str"/>
      <x:c r="O268" t="str"/>
      <x:c r="P268" t="str">
        <x:v>OPEN</x:v>
      </x:c>
    </x:row>
    <x:row r="269" ht="34" customHeight="1">
      <x:c r="B269" t="str">
        <x:v>RFA-E263</x:v>
      </x:c>
      <x:c r="C269" t="str">
        <x:v>AM-07</x:v>
      </x:c>
      <x:c r="D269" t="str">
        <x:v>AF-3</x:v>
      </x:c>
      <x:c r="E269" t="str">
        <x:v>BB</x:v>
      </x:c>
      <x:c r="F269" t="str">
        <x:v>PTC-C</x:v>
      </x:c>
      <x:c r="G269" t="str">
        <x:v>AF-3-BB-A08</x:v>
      </x:c>
      <x:c r="H269" t="str">
        <x:v>RFA-P096</x:v>
      </x:c>
      <x:c r="I269" t="str">
        <x:v>challenge</x:v>
      </x:c>
      <x:c r="J269" s="11" t="str">
        <x:v>compound service denial</x:v>
      </x:c>
      <x:c r="K269" t="n">
        <x:v>2000</x:v>
      </x:c>
      <x:c r="L269" t="n">
        <x:v>1</x:v>
      </x:c>
      <x:c r="M269" t="str"/>
      <x:c r="N269" t="str"/>
      <x:c r="O269" t="str"/>
      <x:c r="P269" t="str">
        <x:v>OPEN</x:v>
      </x:c>
    </x:row>
    <x:row r="270" ht="34" customHeight="1">
      <x:c r="B270" t="str">
        <x:v>RFA-E264</x:v>
      </x:c>
      <x:c r="C270" t="str">
        <x:v>AM-07</x:v>
      </x:c>
      <x:c r="D270" t="str">
        <x:v>AF-3</x:v>
      </x:c>
      <x:c r="E270" t="str">
        <x:v>BB</x:v>
      </x:c>
      <x:c r="F270" t="str">
        <x:v>PTC-C</x:v>
      </x:c>
      <x:c r="G270" t="str">
        <x:v>AF-3-BB-A08</x:v>
      </x:c>
      <x:c r="H270" t="str">
        <x:v>RFA-P096</x:v>
      </x:c>
      <x:c r="I270" t="str">
        <x:v>control</x:v>
      </x:c>
      <x:c r="J270" s="11" t="str">
        <x:v>matched clean state</x:v>
      </x:c>
      <x:c r="K270" t="n">
        <x:v>2000</x:v>
      </x:c>
      <x:c r="L270" t="n">
        <x:v>2</x:v>
      </x:c>
      <x:c r="M270" t="str"/>
      <x:c r="N270" t="str"/>
      <x:c r="O270" t="str"/>
      <x:c r="P270" t="str">
        <x:v>OPEN</x:v>
      </x:c>
    </x:row>
    <x:row r="271" ht="34" customHeight="1">
      <x:c r="B271" t="str">
        <x:v>RFA-E265</x:v>
      </x:c>
      <x:c r="C271" t="str">
        <x:v>AM-08</x:v>
      </x:c>
      <x:c r="D271" t="str">
        <x:v>AF-1</x:v>
      </x:c>
      <x:c r="E271" t="str">
        <x:v>BA</x:v>
      </x:c>
      <x:c r="F271" t="str">
        <x:v>PTC-A</x:v>
      </x:c>
      <x:c r="G271" t="str">
        <x:v>AF-1-BA-D01</x:v>
      </x:c>
      <x:c r="H271" t="str">
        <x:v>—</x:v>
      </x:c>
      <x:c r="I271" t="str">
        <x:v>destructive</x:v>
      </x:c>
      <x:c r="J271" s="11" t="str">
        <x:v>source-drain severance</x:v>
      </x:c>
      <x:c r="K271" t="n">
        <x:v>2000</x:v>
      </x:c>
      <x:c r="L271" t="n">
        <x:v>1</x:v>
      </x:c>
      <x:c r="M271" t="str"/>
      <x:c r="N271" t="str"/>
      <x:c r="O271" t="str"/>
      <x:c r="P271" t="str">
        <x:v>OPEN</x:v>
      </x:c>
    </x:row>
    <x:row r="272" ht="34" customHeight="1">
      <x:c r="B272" t="str">
        <x:v>RFA-E266</x:v>
      </x:c>
      <x:c r="C272" t="str">
        <x:v>AM-08</x:v>
      </x:c>
      <x:c r="D272" t="str">
        <x:v>AF-1</x:v>
      </x:c>
      <x:c r="E272" t="str">
        <x:v>BA</x:v>
      </x:c>
      <x:c r="F272" t="str">
        <x:v>PTC-A</x:v>
      </x:c>
      <x:c r="G272" t="str">
        <x:v>AF-1-BA-D02</x:v>
      </x:c>
      <x:c r="H272" t="str">
        <x:v>—</x:v>
      </x:c>
      <x:c r="I272" t="str">
        <x:v>destructive</x:v>
      </x:c>
      <x:c r="J272" s="11" t="str">
        <x:v>firewater vault overflow</x:v>
      </x:c>
      <x:c r="K272" t="n">
        <x:v>2000</x:v>
      </x:c>
      <x:c r="L272" t="n">
        <x:v>2</x:v>
      </x:c>
      <x:c r="M272" t="str"/>
      <x:c r="N272" t="str"/>
      <x:c r="O272" t="str"/>
      <x:c r="P272" t="str">
        <x:v>OPEN</x:v>
      </x:c>
    </x:row>
    <x:row r="273" ht="34" customHeight="1">
      <x:c r="B273" t="str">
        <x:v>RFA-E267</x:v>
      </x:c>
      <x:c r="C273" t="str">
        <x:v>AM-08</x:v>
      </x:c>
      <x:c r="D273" t="str">
        <x:v>AF-1</x:v>
      </x:c>
      <x:c r="E273" t="str">
        <x:v>BA</x:v>
      </x:c>
      <x:c r="F273" t="str">
        <x:v>PTC-A</x:v>
      </x:c>
      <x:c r="G273" t="str">
        <x:v>AF-1-BA-D03</x:v>
      </x:c>
      <x:c r="H273" t="str">
        <x:v>—</x:v>
      </x:c>
      <x:c r="I273" t="str">
        <x:v>destructive</x:v>
      </x:c>
      <x:c r="J273" s="11" t="str">
        <x:v>thermal barrier breach</x:v>
      </x:c>
      <x:c r="K273" t="n">
        <x:v>2000</x:v>
      </x:c>
      <x:c r="L273" t="n">
        <x:v>3</x:v>
      </x:c>
      <x:c r="M273" t="str"/>
      <x:c r="N273" t="str"/>
      <x:c r="O273" t="str"/>
      <x:c r="P273" t="str">
        <x:v>OPEN</x:v>
      </x:c>
    </x:row>
    <x:row r="274" ht="34" customHeight="1">
      <x:c r="B274" t="str">
        <x:v>RFA-E268</x:v>
      </x:c>
      <x:c r="C274" t="str">
        <x:v>AM-08</x:v>
      </x:c>
      <x:c r="D274" t="str">
        <x:v>AF-1</x:v>
      </x:c>
      <x:c r="E274" t="str">
        <x:v>BA</x:v>
      </x:c>
      <x:c r="F274" t="str">
        <x:v>PTC-A</x:v>
      </x:c>
      <x:c r="G274" t="str">
        <x:v>AF-1-BA-D04</x:v>
      </x:c>
      <x:c r="H274" t="str">
        <x:v>—</x:v>
      </x:c>
      <x:c r="I274" t="str">
        <x:v>destructive</x:v>
      </x:c>
      <x:c r="J274" s="11" t="str">
        <x:v>compound drain, energy and evidence loss</x:v>
      </x:c>
      <x:c r="K274" t="n">
        <x:v>2000</x:v>
      </x:c>
      <x:c r="L274" t="n">
        <x:v>4</x:v>
      </x:c>
      <x:c r="M274" t="str"/>
      <x:c r="N274" t="str"/>
      <x:c r="O274" t="str"/>
      <x:c r="P274" t="str">
        <x:v>OPEN</x:v>
      </x:c>
    </x:row>
    <x:row r="275" ht="34" customHeight="1">
      <x:c r="B275" t="str">
        <x:v>RFA-E269</x:v>
      </x:c>
      <x:c r="C275" t="str">
        <x:v>AM-08</x:v>
      </x:c>
      <x:c r="D275" t="str">
        <x:v>AF-1</x:v>
      </x:c>
      <x:c r="E275" t="str">
        <x:v>BB</x:v>
      </x:c>
      <x:c r="F275" t="str">
        <x:v>PTC-A</x:v>
      </x:c>
      <x:c r="G275" t="str">
        <x:v>AF-1-BB-D01</x:v>
      </x:c>
      <x:c r="H275" t="str">
        <x:v>—</x:v>
      </x:c>
      <x:c r="I275" t="str">
        <x:v>destructive</x:v>
      </x:c>
      <x:c r="J275" s="11" t="str">
        <x:v>source-drain severance</x:v>
      </x:c>
      <x:c r="K275" t="n">
        <x:v>2000</x:v>
      </x:c>
      <x:c r="L275" t="n">
        <x:v>1</x:v>
      </x:c>
      <x:c r="M275" t="str"/>
      <x:c r="N275" t="str"/>
      <x:c r="O275" t="str"/>
      <x:c r="P275" t="str">
        <x:v>OPEN</x:v>
      </x:c>
    </x:row>
    <x:row r="276" ht="34" customHeight="1">
      <x:c r="B276" t="str">
        <x:v>RFA-E270</x:v>
      </x:c>
      <x:c r="C276" t="str">
        <x:v>AM-08</x:v>
      </x:c>
      <x:c r="D276" t="str">
        <x:v>AF-1</x:v>
      </x:c>
      <x:c r="E276" t="str">
        <x:v>BB</x:v>
      </x:c>
      <x:c r="F276" t="str">
        <x:v>PTC-A</x:v>
      </x:c>
      <x:c r="G276" t="str">
        <x:v>AF-1-BB-D02</x:v>
      </x:c>
      <x:c r="H276" t="str">
        <x:v>—</x:v>
      </x:c>
      <x:c r="I276" t="str">
        <x:v>destructive</x:v>
      </x:c>
      <x:c r="J276" s="11" t="str">
        <x:v>firewater vault overflow</x:v>
      </x:c>
      <x:c r="K276" t="n">
        <x:v>2000</x:v>
      </x:c>
      <x:c r="L276" t="n">
        <x:v>2</x:v>
      </x:c>
      <x:c r="M276" t="str"/>
      <x:c r="N276" t="str"/>
      <x:c r="O276" t="str"/>
      <x:c r="P276" t="str">
        <x:v>OPEN</x:v>
      </x:c>
    </x:row>
    <x:row r="277" ht="34" customHeight="1">
      <x:c r="B277" t="str">
        <x:v>RFA-E271</x:v>
      </x:c>
      <x:c r="C277" t="str">
        <x:v>AM-08</x:v>
      </x:c>
      <x:c r="D277" t="str">
        <x:v>AF-1</x:v>
      </x:c>
      <x:c r="E277" t="str">
        <x:v>BB</x:v>
      </x:c>
      <x:c r="F277" t="str">
        <x:v>PTC-A</x:v>
      </x:c>
      <x:c r="G277" t="str">
        <x:v>AF-1-BB-D03</x:v>
      </x:c>
      <x:c r="H277" t="str">
        <x:v>—</x:v>
      </x:c>
      <x:c r="I277" t="str">
        <x:v>destructive</x:v>
      </x:c>
      <x:c r="J277" s="11" t="str">
        <x:v>thermal barrier breach</x:v>
      </x:c>
      <x:c r="K277" t="n">
        <x:v>2000</x:v>
      </x:c>
      <x:c r="L277" t="n">
        <x:v>3</x:v>
      </x:c>
      <x:c r="M277" t="str"/>
      <x:c r="N277" t="str"/>
      <x:c r="O277" t="str"/>
      <x:c r="P277" t="str">
        <x:v>OPEN</x:v>
      </x:c>
    </x:row>
    <x:row r="278" ht="34" customHeight="1">
      <x:c r="B278" t="str">
        <x:v>RFA-E272</x:v>
      </x:c>
      <x:c r="C278" t="str">
        <x:v>AM-08</x:v>
      </x:c>
      <x:c r="D278" t="str">
        <x:v>AF-1</x:v>
      </x:c>
      <x:c r="E278" t="str">
        <x:v>BB</x:v>
      </x:c>
      <x:c r="F278" t="str">
        <x:v>PTC-A</x:v>
      </x:c>
      <x:c r="G278" t="str">
        <x:v>AF-1-BB-D04</x:v>
      </x:c>
      <x:c r="H278" t="str">
        <x:v>—</x:v>
      </x:c>
      <x:c r="I278" t="str">
        <x:v>destructive</x:v>
      </x:c>
      <x:c r="J278" s="11" t="str">
        <x:v>compound drain, energy and evidence loss</x:v>
      </x:c>
      <x:c r="K278" t="n">
        <x:v>2000</x:v>
      </x:c>
      <x:c r="L278" t="n">
        <x:v>4</x:v>
      </x:c>
      <x:c r="M278" t="str"/>
      <x:c r="N278" t="str"/>
      <x:c r="O278" t="str"/>
      <x:c r="P278" t="str">
        <x:v>OPEN</x:v>
      </x:c>
    </x:row>
    <x:row r="279" ht="34" customHeight="1">
      <x:c r="B279" t="str">
        <x:v>RFA-E273</x:v>
      </x:c>
      <x:c r="C279" t="str">
        <x:v>AM-08</x:v>
      </x:c>
      <x:c r="D279" t="str">
        <x:v>AF-2</x:v>
      </x:c>
      <x:c r="E279" t="str">
        <x:v>BA</x:v>
      </x:c>
      <x:c r="F279" t="str">
        <x:v>PTC-A</x:v>
      </x:c>
      <x:c r="G279" t="str">
        <x:v>AF-2-BA-D01</x:v>
      </x:c>
      <x:c r="H279" t="str">
        <x:v>—</x:v>
      </x:c>
      <x:c r="I279" t="str">
        <x:v>destructive</x:v>
      </x:c>
      <x:c r="J279" s="11" t="str">
        <x:v>source-drain severance</x:v>
      </x:c>
      <x:c r="K279" t="n">
        <x:v>2000</x:v>
      </x:c>
      <x:c r="L279" t="n">
        <x:v>1</x:v>
      </x:c>
      <x:c r="M279" t="str"/>
      <x:c r="N279" t="str"/>
      <x:c r="O279" t="str"/>
      <x:c r="P279" t="str">
        <x:v>OPEN</x:v>
      </x:c>
    </x:row>
    <x:row r="280" ht="34" customHeight="1">
      <x:c r="B280" t="str">
        <x:v>RFA-E274</x:v>
      </x:c>
      <x:c r="C280" t="str">
        <x:v>AM-08</x:v>
      </x:c>
      <x:c r="D280" t="str">
        <x:v>AF-2</x:v>
      </x:c>
      <x:c r="E280" t="str">
        <x:v>BA</x:v>
      </x:c>
      <x:c r="F280" t="str">
        <x:v>PTC-A</x:v>
      </x:c>
      <x:c r="G280" t="str">
        <x:v>AF-2-BA-D02</x:v>
      </x:c>
      <x:c r="H280" t="str">
        <x:v>—</x:v>
      </x:c>
      <x:c r="I280" t="str">
        <x:v>destructive</x:v>
      </x:c>
      <x:c r="J280" s="11" t="str">
        <x:v>firewater vault overflow</x:v>
      </x:c>
      <x:c r="K280" t="n">
        <x:v>2000</x:v>
      </x:c>
      <x:c r="L280" t="n">
        <x:v>2</x:v>
      </x:c>
      <x:c r="M280" t="str"/>
      <x:c r="N280" t="str"/>
      <x:c r="O280" t="str"/>
      <x:c r="P280" t="str">
        <x:v>OPEN</x:v>
      </x:c>
    </x:row>
    <x:row r="281" ht="34" customHeight="1">
      <x:c r="B281" t="str">
        <x:v>RFA-E275</x:v>
      </x:c>
      <x:c r="C281" t="str">
        <x:v>AM-08</x:v>
      </x:c>
      <x:c r="D281" t="str">
        <x:v>AF-2</x:v>
      </x:c>
      <x:c r="E281" t="str">
        <x:v>BA</x:v>
      </x:c>
      <x:c r="F281" t="str">
        <x:v>PTC-A</x:v>
      </x:c>
      <x:c r="G281" t="str">
        <x:v>AF-2-BA-D03</x:v>
      </x:c>
      <x:c r="H281" t="str">
        <x:v>—</x:v>
      </x:c>
      <x:c r="I281" t="str">
        <x:v>destructive</x:v>
      </x:c>
      <x:c r="J281" s="11" t="str">
        <x:v>thermal barrier breach</x:v>
      </x:c>
      <x:c r="K281" t="n">
        <x:v>2000</x:v>
      </x:c>
      <x:c r="L281" t="n">
        <x:v>3</x:v>
      </x:c>
      <x:c r="M281" t="str"/>
      <x:c r="N281" t="str"/>
      <x:c r="O281" t="str"/>
      <x:c r="P281" t="str">
        <x:v>OPEN</x:v>
      </x:c>
    </x:row>
    <x:row r="282" ht="34" customHeight="1">
      <x:c r="B282" t="str">
        <x:v>RFA-E276</x:v>
      </x:c>
      <x:c r="C282" t="str">
        <x:v>AM-08</x:v>
      </x:c>
      <x:c r="D282" t="str">
        <x:v>AF-2</x:v>
      </x:c>
      <x:c r="E282" t="str">
        <x:v>BA</x:v>
      </x:c>
      <x:c r="F282" t="str">
        <x:v>PTC-A</x:v>
      </x:c>
      <x:c r="G282" t="str">
        <x:v>AF-2-BA-D04</x:v>
      </x:c>
      <x:c r="H282" t="str">
        <x:v>—</x:v>
      </x:c>
      <x:c r="I282" t="str">
        <x:v>destructive</x:v>
      </x:c>
      <x:c r="J282" s="11" t="str">
        <x:v>compound drain, energy and evidence loss</x:v>
      </x:c>
      <x:c r="K282" t="n">
        <x:v>2000</x:v>
      </x:c>
      <x:c r="L282" t="n">
        <x:v>4</x:v>
      </x:c>
      <x:c r="M282" t="str"/>
      <x:c r="N282" t="str"/>
      <x:c r="O282" t="str"/>
      <x:c r="P282" t="str">
        <x:v>OPEN</x:v>
      </x:c>
    </x:row>
    <x:row r="283" ht="34" customHeight="1">
      <x:c r="B283" t="str">
        <x:v>RFA-E277</x:v>
      </x:c>
      <x:c r="C283" t="str">
        <x:v>AM-08</x:v>
      </x:c>
      <x:c r="D283" t="str">
        <x:v>AF-2</x:v>
      </x:c>
      <x:c r="E283" t="str">
        <x:v>BB</x:v>
      </x:c>
      <x:c r="F283" t="str">
        <x:v>PTC-A</x:v>
      </x:c>
      <x:c r="G283" t="str">
        <x:v>AF-2-BB-D01</x:v>
      </x:c>
      <x:c r="H283" t="str">
        <x:v>—</x:v>
      </x:c>
      <x:c r="I283" t="str">
        <x:v>destructive</x:v>
      </x:c>
      <x:c r="J283" s="11" t="str">
        <x:v>source-drain severance</x:v>
      </x:c>
      <x:c r="K283" t="n">
        <x:v>2000</x:v>
      </x:c>
      <x:c r="L283" t="n">
        <x:v>1</x:v>
      </x:c>
      <x:c r="M283" t="str"/>
      <x:c r="N283" t="str"/>
      <x:c r="O283" t="str"/>
      <x:c r="P283" t="str">
        <x:v>OPEN</x:v>
      </x:c>
    </x:row>
    <x:row r="284" ht="34" customHeight="1">
      <x:c r="B284" t="str">
        <x:v>RFA-E278</x:v>
      </x:c>
      <x:c r="C284" t="str">
        <x:v>AM-08</x:v>
      </x:c>
      <x:c r="D284" t="str">
        <x:v>AF-2</x:v>
      </x:c>
      <x:c r="E284" t="str">
        <x:v>BB</x:v>
      </x:c>
      <x:c r="F284" t="str">
        <x:v>PTC-A</x:v>
      </x:c>
      <x:c r="G284" t="str">
        <x:v>AF-2-BB-D02</x:v>
      </x:c>
      <x:c r="H284" t="str">
        <x:v>—</x:v>
      </x:c>
      <x:c r="I284" t="str">
        <x:v>destructive</x:v>
      </x:c>
      <x:c r="J284" s="11" t="str">
        <x:v>firewater vault overflow</x:v>
      </x:c>
      <x:c r="K284" t="n">
        <x:v>2000</x:v>
      </x:c>
      <x:c r="L284" t="n">
        <x:v>2</x:v>
      </x:c>
      <x:c r="M284" t="str"/>
      <x:c r="N284" t="str"/>
      <x:c r="O284" t="str"/>
      <x:c r="P284" t="str">
        <x:v>OPEN</x:v>
      </x:c>
    </x:row>
    <x:row r="285" ht="34" customHeight="1">
      <x:c r="B285" t="str">
        <x:v>RFA-E279</x:v>
      </x:c>
      <x:c r="C285" t="str">
        <x:v>AM-08</x:v>
      </x:c>
      <x:c r="D285" t="str">
        <x:v>AF-2</x:v>
      </x:c>
      <x:c r="E285" t="str">
        <x:v>BB</x:v>
      </x:c>
      <x:c r="F285" t="str">
        <x:v>PTC-A</x:v>
      </x:c>
      <x:c r="G285" t="str">
        <x:v>AF-2-BB-D03</x:v>
      </x:c>
      <x:c r="H285" t="str">
        <x:v>—</x:v>
      </x:c>
      <x:c r="I285" t="str">
        <x:v>destructive</x:v>
      </x:c>
      <x:c r="J285" s="11" t="str">
        <x:v>thermal barrier breach</x:v>
      </x:c>
      <x:c r="K285" t="n">
        <x:v>2000</x:v>
      </x:c>
      <x:c r="L285" t="n">
        <x:v>3</x:v>
      </x:c>
      <x:c r="M285" t="str"/>
      <x:c r="N285" t="str"/>
      <x:c r="O285" t="str"/>
      <x:c r="P285" t="str">
        <x:v>OPEN</x:v>
      </x:c>
    </x:row>
    <x:row r="286" ht="34" customHeight="1">
      <x:c r="B286" t="str">
        <x:v>RFA-E280</x:v>
      </x:c>
      <x:c r="C286" t="str">
        <x:v>AM-08</x:v>
      </x:c>
      <x:c r="D286" t="str">
        <x:v>AF-2</x:v>
      </x:c>
      <x:c r="E286" t="str">
        <x:v>BB</x:v>
      </x:c>
      <x:c r="F286" t="str">
        <x:v>PTC-A</x:v>
      </x:c>
      <x:c r="G286" t="str">
        <x:v>AF-2-BB-D04</x:v>
      </x:c>
      <x:c r="H286" t="str">
        <x:v>—</x:v>
      </x:c>
      <x:c r="I286" t="str">
        <x:v>destructive</x:v>
      </x:c>
      <x:c r="J286" s="11" t="str">
        <x:v>compound drain, energy and evidence loss</x:v>
      </x:c>
      <x:c r="K286" t="n">
        <x:v>2000</x:v>
      </x:c>
      <x:c r="L286" t="n">
        <x:v>4</x:v>
      </x:c>
      <x:c r="M286" t="str"/>
      <x:c r="N286" t="str"/>
      <x:c r="O286" t="str"/>
      <x:c r="P286" t="str">
        <x:v>OPEN</x:v>
      </x:c>
    </x:row>
    <x:row r="287" ht="34" customHeight="1">
      <x:c r="B287" t="str">
        <x:v>RFA-E281</x:v>
      </x:c>
      <x:c r="C287" t="str">
        <x:v>AM-08</x:v>
      </x:c>
      <x:c r="D287" t="str">
        <x:v>AF-3</x:v>
      </x:c>
      <x:c r="E287" t="str">
        <x:v>BA</x:v>
      </x:c>
      <x:c r="F287" t="str">
        <x:v>PTC-A</x:v>
      </x:c>
      <x:c r="G287" t="str">
        <x:v>AF-3-BA-D01</x:v>
      </x:c>
      <x:c r="H287" t="str">
        <x:v>—</x:v>
      </x:c>
      <x:c r="I287" t="str">
        <x:v>destructive</x:v>
      </x:c>
      <x:c r="J287" s="11" t="str">
        <x:v>source-drain severance</x:v>
      </x:c>
      <x:c r="K287" t="n">
        <x:v>2000</x:v>
      </x:c>
      <x:c r="L287" t="n">
        <x:v>1</x:v>
      </x:c>
      <x:c r="M287" t="str"/>
      <x:c r="N287" t="str"/>
      <x:c r="O287" t="str"/>
      <x:c r="P287" t="str">
        <x:v>OPEN</x:v>
      </x:c>
    </x:row>
    <x:row r="288" ht="34" customHeight="1">
      <x:c r="B288" t="str">
        <x:v>RFA-E282</x:v>
      </x:c>
      <x:c r="C288" t="str">
        <x:v>AM-08</x:v>
      </x:c>
      <x:c r="D288" t="str">
        <x:v>AF-3</x:v>
      </x:c>
      <x:c r="E288" t="str">
        <x:v>BA</x:v>
      </x:c>
      <x:c r="F288" t="str">
        <x:v>PTC-A</x:v>
      </x:c>
      <x:c r="G288" t="str">
        <x:v>AF-3-BA-D02</x:v>
      </x:c>
      <x:c r="H288" t="str">
        <x:v>—</x:v>
      </x:c>
      <x:c r="I288" t="str">
        <x:v>destructive</x:v>
      </x:c>
      <x:c r="J288" s="11" t="str">
        <x:v>firewater vault overflow</x:v>
      </x:c>
      <x:c r="K288" t="n">
        <x:v>2000</x:v>
      </x:c>
      <x:c r="L288" t="n">
        <x:v>2</x:v>
      </x:c>
      <x:c r="M288" t="str"/>
      <x:c r="N288" t="str"/>
      <x:c r="O288" t="str"/>
      <x:c r="P288" t="str">
        <x:v>OPEN</x:v>
      </x:c>
    </x:row>
    <x:row r="289" ht="34" customHeight="1">
      <x:c r="B289" t="str">
        <x:v>RFA-E283</x:v>
      </x:c>
      <x:c r="C289" t="str">
        <x:v>AM-08</x:v>
      </x:c>
      <x:c r="D289" t="str">
        <x:v>AF-3</x:v>
      </x:c>
      <x:c r="E289" t="str">
        <x:v>BA</x:v>
      </x:c>
      <x:c r="F289" t="str">
        <x:v>PTC-A</x:v>
      </x:c>
      <x:c r="G289" t="str">
        <x:v>AF-3-BA-D03</x:v>
      </x:c>
      <x:c r="H289" t="str">
        <x:v>—</x:v>
      </x:c>
      <x:c r="I289" t="str">
        <x:v>destructive</x:v>
      </x:c>
      <x:c r="J289" s="11" t="str">
        <x:v>thermal barrier breach</x:v>
      </x:c>
      <x:c r="K289" t="n">
        <x:v>2000</x:v>
      </x:c>
      <x:c r="L289" t="n">
        <x:v>3</x:v>
      </x:c>
      <x:c r="M289" t="str"/>
      <x:c r="N289" t="str"/>
      <x:c r="O289" t="str"/>
      <x:c r="P289" t="str">
        <x:v>OPEN</x:v>
      </x:c>
    </x:row>
    <x:row r="290" ht="34" customHeight="1">
      <x:c r="B290" t="str">
        <x:v>RFA-E284</x:v>
      </x:c>
      <x:c r="C290" t="str">
        <x:v>AM-08</x:v>
      </x:c>
      <x:c r="D290" t="str">
        <x:v>AF-3</x:v>
      </x:c>
      <x:c r="E290" t="str">
        <x:v>BA</x:v>
      </x:c>
      <x:c r="F290" t="str">
        <x:v>PTC-A</x:v>
      </x:c>
      <x:c r="G290" t="str">
        <x:v>AF-3-BA-D04</x:v>
      </x:c>
      <x:c r="H290" t="str">
        <x:v>—</x:v>
      </x:c>
      <x:c r="I290" t="str">
        <x:v>destructive</x:v>
      </x:c>
      <x:c r="J290" s="11" t="str">
        <x:v>compound drain, energy and evidence loss</x:v>
      </x:c>
      <x:c r="K290" t="n">
        <x:v>2000</x:v>
      </x:c>
      <x:c r="L290" t="n">
        <x:v>4</x:v>
      </x:c>
      <x:c r="M290" t="str"/>
      <x:c r="N290" t="str"/>
      <x:c r="O290" t="str"/>
      <x:c r="P290" t="str">
        <x:v>OPEN</x:v>
      </x:c>
    </x:row>
    <x:row r="291" ht="34" customHeight="1">
      <x:c r="B291" t="str">
        <x:v>RFA-E285</x:v>
      </x:c>
      <x:c r="C291" t="str">
        <x:v>AM-08</x:v>
      </x:c>
      <x:c r="D291" t="str">
        <x:v>AF-3</x:v>
      </x:c>
      <x:c r="E291" t="str">
        <x:v>BB</x:v>
      </x:c>
      <x:c r="F291" t="str">
        <x:v>PTC-A</x:v>
      </x:c>
      <x:c r="G291" t="str">
        <x:v>AF-3-BB-D01</x:v>
      </x:c>
      <x:c r="H291" t="str">
        <x:v>—</x:v>
      </x:c>
      <x:c r="I291" t="str">
        <x:v>destructive</x:v>
      </x:c>
      <x:c r="J291" s="11" t="str">
        <x:v>source-drain severance</x:v>
      </x:c>
      <x:c r="K291" t="n">
        <x:v>2000</x:v>
      </x:c>
      <x:c r="L291" t="n">
        <x:v>1</x:v>
      </x:c>
      <x:c r="M291" t="str"/>
      <x:c r="N291" t="str"/>
      <x:c r="O291" t="str"/>
      <x:c r="P291" t="str">
        <x:v>OPEN</x:v>
      </x:c>
    </x:row>
    <x:row r="292" ht="34" customHeight="1">
      <x:c r="B292" t="str">
        <x:v>RFA-E286</x:v>
      </x:c>
      <x:c r="C292" t="str">
        <x:v>AM-08</x:v>
      </x:c>
      <x:c r="D292" t="str">
        <x:v>AF-3</x:v>
      </x:c>
      <x:c r="E292" t="str">
        <x:v>BB</x:v>
      </x:c>
      <x:c r="F292" t="str">
        <x:v>PTC-A</x:v>
      </x:c>
      <x:c r="G292" t="str">
        <x:v>AF-3-BB-D02</x:v>
      </x:c>
      <x:c r="H292" t="str">
        <x:v>—</x:v>
      </x:c>
      <x:c r="I292" t="str">
        <x:v>destructive</x:v>
      </x:c>
      <x:c r="J292" s="11" t="str">
        <x:v>firewater vault overflow</x:v>
      </x:c>
      <x:c r="K292" t="n">
        <x:v>2000</x:v>
      </x:c>
      <x:c r="L292" t="n">
        <x:v>2</x:v>
      </x:c>
      <x:c r="M292" t="str"/>
      <x:c r="N292" t="str"/>
      <x:c r="O292" t="str"/>
      <x:c r="P292" t="str">
        <x:v>OPEN</x:v>
      </x:c>
    </x:row>
    <x:row r="293" ht="34" customHeight="1">
      <x:c r="B293" t="str">
        <x:v>RFA-E287</x:v>
      </x:c>
      <x:c r="C293" t="str">
        <x:v>AM-08</x:v>
      </x:c>
      <x:c r="D293" t="str">
        <x:v>AF-3</x:v>
      </x:c>
      <x:c r="E293" t="str">
        <x:v>BB</x:v>
      </x:c>
      <x:c r="F293" t="str">
        <x:v>PTC-A</x:v>
      </x:c>
      <x:c r="G293" t="str">
        <x:v>AF-3-BB-D03</x:v>
      </x:c>
      <x:c r="H293" t="str">
        <x:v>—</x:v>
      </x:c>
      <x:c r="I293" t="str">
        <x:v>destructive</x:v>
      </x:c>
      <x:c r="J293" s="11" t="str">
        <x:v>thermal barrier breach</x:v>
      </x:c>
      <x:c r="K293" t="n">
        <x:v>2000</x:v>
      </x:c>
      <x:c r="L293" t="n">
        <x:v>3</x:v>
      </x:c>
      <x:c r="M293" t="str"/>
      <x:c r="N293" t="str"/>
      <x:c r="O293" t="str"/>
      <x:c r="P293" t="str">
        <x:v>OPEN</x:v>
      </x:c>
    </x:row>
    <x:row r="294" ht="34" customHeight="1">
      <x:c r="B294" t="str">
        <x:v>RFA-E288</x:v>
      </x:c>
      <x:c r="C294" t="str">
        <x:v>AM-08</x:v>
      </x:c>
      <x:c r="D294" t="str">
        <x:v>AF-3</x:v>
      </x:c>
      <x:c r="E294" t="str">
        <x:v>BB</x:v>
      </x:c>
      <x:c r="F294" t="str">
        <x:v>PTC-A</x:v>
      </x:c>
      <x:c r="G294" t="str">
        <x:v>AF-3-BB-D04</x:v>
      </x:c>
      <x:c r="H294" t="str">
        <x:v>—</x:v>
      </x:c>
      <x:c r="I294" t="str">
        <x:v>destructive</x:v>
      </x:c>
      <x:c r="J294" s="11" t="str">
        <x:v>compound drain, energy and evidence loss</x:v>
      </x:c>
      <x:c r="K294" t="n">
        <x:v>2000</x:v>
      </x:c>
      <x:c r="L294" t="n">
        <x:v>4</x:v>
      </x:c>
      <x:c r="M294" t="str"/>
      <x:c r="N294" t="str"/>
      <x:c r="O294" t="str"/>
      <x:c r="P294" t="str">
        <x:v>OPEN</x:v>
      </x:c>
    </x:row>
    <x:row r="295" ht="34" customHeight="1">
      <x:c r="B295" t="str">
        <x:v>RFA-E289</x:v>
      </x:c>
      <x:c r="C295" t="str">
        <x:v>AM-09</x:v>
      </x:c>
      <x:c r="D295" t="str">
        <x:v>AF-1</x:v>
      </x:c>
      <x:c r="E295" t="str">
        <x:v>BA</x:v>
      </x:c>
      <x:c r="F295" t="str">
        <x:v>PTC-B</x:v>
      </x:c>
      <x:c r="G295" t="str">
        <x:v>AF-1-BA-RESET-B</x:v>
      </x:c>
      <x:c r="H295" t="str">
        <x:v>—</x:v>
      </x:c>
      <x:c r="I295" t="str">
        <x:v>recovery/reset</x:v>
      </x:c>
      <x:c r="J295" s="11" t="str">
        <x:v>restore serialized baseline</x:v>
      </x:c>
      <x:c r="K295" t="n">
        <x:v>0</x:v>
      </x:c>
      <x:c r="L295" t="n">
        <x:v>1</x:v>
      </x:c>
      <x:c r="M295" t="str"/>
      <x:c r="N295" t="str"/>
      <x:c r="O295" t="str"/>
      <x:c r="P295" t="str">
        <x:v>OPEN</x:v>
      </x:c>
    </x:row>
    <x:row r="296" ht="34" customHeight="1">
      <x:c r="B296" t="str">
        <x:v>RFA-E290</x:v>
      </x:c>
      <x:c r="C296" t="str">
        <x:v>AM-09</x:v>
      </x:c>
      <x:c r="D296" t="str">
        <x:v>AF-1</x:v>
      </x:c>
      <x:c r="E296" t="str">
        <x:v>BA</x:v>
      </x:c>
      <x:c r="F296" t="str">
        <x:v>PTC-C</x:v>
      </x:c>
      <x:c r="G296" t="str">
        <x:v>AF-1-BA-RESET-C</x:v>
      </x:c>
      <x:c r="H296" t="str">
        <x:v>—</x:v>
      </x:c>
      <x:c r="I296" t="str">
        <x:v>recovery/reset</x:v>
      </x:c>
      <x:c r="J296" s="11" t="str">
        <x:v>restore serialized baseline</x:v>
      </x:c>
      <x:c r="K296" t="n">
        <x:v>0</x:v>
      </x:c>
      <x:c r="L296" t="n">
        <x:v>1</x:v>
      </x:c>
      <x:c r="M296" t="str"/>
      <x:c r="N296" t="str"/>
      <x:c r="O296" t="str"/>
      <x:c r="P296" t="str">
        <x:v>OPEN</x:v>
      </x:c>
    </x:row>
    <x:row r="297" ht="34" customHeight="1">
      <x:c r="B297" t="str">
        <x:v>RFA-E291</x:v>
      </x:c>
      <x:c r="C297" t="str">
        <x:v>AM-09</x:v>
      </x:c>
      <x:c r="D297" t="str">
        <x:v>AF-1</x:v>
      </x:c>
      <x:c r="E297" t="str">
        <x:v>BB</x:v>
      </x:c>
      <x:c r="F297" t="str">
        <x:v>PTC-B</x:v>
      </x:c>
      <x:c r="G297" t="str">
        <x:v>AF-1-BB-RESET-B</x:v>
      </x:c>
      <x:c r="H297" t="str">
        <x:v>—</x:v>
      </x:c>
      <x:c r="I297" t="str">
        <x:v>recovery/reset</x:v>
      </x:c>
      <x:c r="J297" s="11" t="str">
        <x:v>restore serialized baseline</x:v>
      </x:c>
      <x:c r="K297" t="n">
        <x:v>0</x:v>
      </x:c>
      <x:c r="L297" t="n">
        <x:v>1</x:v>
      </x:c>
      <x:c r="M297" t="str"/>
      <x:c r="N297" t="str"/>
      <x:c r="O297" t="str"/>
      <x:c r="P297" t="str">
        <x:v>OPEN</x:v>
      </x:c>
    </x:row>
    <x:row r="298" ht="34" customHeight="1">
      <x:c r="B298" t="str">
        <x:v>RFA-E292</x:v>
      </x:c>
      <x:c r="C298" t="str">
        <x:v>AM-09</x:v>
      </x:c>
      <x:c r="D298" t="str">
        <x:v>AF-1</x:v>
      </x:c>
      <x:c r="E298" t="str">
        <x:v>BB</x:v>
      </x:c>
      <x:c r="F298" t="str">
        <x:v>PTC-C</x:v>
      </x:c>
      <x:c r="G298" t="str">
        <x:v>AF-1-BB-RESET-C</x:v>
      </x:c>
      <x:c r="H298" t="str">
        <x:v>—</x:v>
      </x:c>
      <x:c r="I298" t="str">
        <x:v>recovery/reset</x:v>
      </x:c>
      <x:c r="J298" s="11" t="str">
        <x:v>restore serialized baseline</x:v>
      </x:c>
      <x:c r="K298" t="n">
        <x:v>0</x:v>
      </x:c>
      <x:c r="L298" t="n">
        <x:v>1</x:v>
      </x:c>
      <x:c r="M298" t="str"/>
      <x:c r="N298" t="str"/>
      <x:c r="O298" t="str"/>
      <x:c r="P298" t="str">
        <x:v>OPEN</x:v>
      </x:c>
    </x:row>
    <x:row r="299" ht="34" customHeight="1">
      <x:c r="B299" t="str">
        <x:v>RFA-E293</x:v>
      </x:c>
      <x:c r="C299" t="str">
        <x:v>AM-09</x:v>
      </x:c>
      <x:c r="D299" t="str">
        <x:v>AF-2</x:v>
      </x:c>
      <x:c r="E299" t="str">
        <x:v>BA</x:v>
      </x:c>
      <x:c r="F299" t="str">
        <x:v>PTC-B</x:v>
      </x:c>
      <x:c r="G299" t="str">
        <x:v>AF-2-BA-RESET-B</x:v>
      </x:c>
      <x:c r="H299" t="str">
        <x:v>—</x:v>
      </x:c>
      <x:c r="I299" t="str">
        <x:v>recovery/reset</x:v>
      </x:c>
      <x:c r="J299" s="11" t="str">
        <x:v>restore serialized baseline</x:v>
      </x:c>
      <x:c r="K299" t="n">
        <x:v>0</x:v>
      </x:c>
      <x:c r="L299" t="n">
        <x:v>1</x:v>
      </x:c>
      <x:c r="M299" t="str"/>
      <x:c r="N299" t="str"/>
      <x:c r="O299" t="str"/>
      <x:c r="P299" t="str">
        <x:v>OPEN</x:v>
      </x:c>
    </x:row>
    <x:row r="300" ht="34" customHeight="1">
      <x:c r="B300" t="str">
        <x:v>RFA-E294</x:v>
      </x:c>
      <x:c r="C300" t="str">
        <x:v>AM-09</x:v>
      </x:c>
      <x:c r="D300" t="str">
        <x:v>AF-2</x:v>
      </x:c>
      <x:c r="E300" t="str">
        <x:v>BA</x:v>
      </x:c>
      <x:c r="F300" t="str">
        <x:v>PTC-C</x:v>
      </x:c>
      <x:c r="G300" t="str">
        <x:v>AF-2-BA-RESET-C</x:v>
      </x:c>
      <x:c r="H300" t="str">
        <x:v>—</x:v>
      </x:c>
      <x:c r="I300" t="str">
        <x:v>recovery/reset</x:v>
      </x:c>
      <x:c r="J300" s="11" t="str">
        <x:v>restore serialized baseline</x:v>
      </x:c>
      <x:c r="K300" t="n">
        <x:v>0</x:v>
      </x:c>
      <x:c r="L300" t="n">
        <x:v>1</x:v>
      </x:c>
      <x:c r="M300" t="str"/>
      <x:c r="N300" t="str"/>
      <x:c r="O300" t="str"/>
      <x:c r="P300" t="str">
        <x:v>OPEN</x:v>
      </x:c>
    </x:row>
    <x:row r="301" ht="34" customHeight="1">
      <x:c r="B301" t="str">
        <x:v>RFA-E295</x:v>
      </x:c>
      <x:c r="C301" t="str">
        <x:v>AM-09</x:v>
      </x:c>
      <x:c r="D301" t="str">
        <x:v>AF-2</x:v>
      </x:c>
      <x:c r="E301" t="str">
        <x:v>BB</x:v>
      </x:c>
      <x:c r="F301" t="str">
        <x:v>PTC-B</x:v>
      </x:c>
      <x:c r="G301" t="str">
        <x:v>AF-2-BB-RESET-B</x:v>
      </x:c>
      <x:c r="H301" t="str">
        <x:v>—</x:v>
      </x:c>
      <x:c r="I301" t="str">
        <x:v>recovery/reset</x:v>
      </x:c>
      <x:c r="J301" s="11" t="str">
        <x:v>restore serialized baseline</x:v>
      </x:c>
      <x:c r="K301" t="n">
        <x:v>0</x:v>
      </x:c>
      <x:c r="L301" t="n">
        <x:v>1</x:v>
      </x:c>
      <x:c r="M301" t="str"/>
      <x:c r="N301" t="str"/>
      <x:c r="O301" t="str"/>
      <x:c r="P301" t="str">
        <x:v>OPEN</x:v>
      </x:c>
    </x:row>
    <x:row r="302" ht="34" customHeight="1">
      <x:c r="B302" t="str">
        <x:v>RFA-E296</x:v>
      </x:c>
      <x:c r="C302" t="str">
        <x:v>AM-09</x:v>
      </x:c>
      <x:c r="D302" t="str">
        <x:v>AF-2</x:v>
      </x:c>
      <x:c r="E302" t="str">
        <x:v>BB</x:v>
      </x:c>
      <x:c r="F302" t="str">
        <x:v>PTC-C</x:v>
      </x:c>
      <x:c r="G302" t="str">
        <x:v>AF-2-BB-RESET-C</x:v>
      </x:c>
      <x:c r="H302" t="str">
        <x:v>—</x:v>
      </x:c>
      <x:c r="I302" t="str">
        <x:v>recovery/reset</x:v>
      </x:c>
      <x:c r="J302" s="11" t="str">
        <x:v>restore serialized baseline</x:v>
      </x:c>
      <x:c r="K302" t="n">
        <x:v>0</x:v>
      </x:c>
      <x:c r="L302" t="n">
        <x:v>1</x:v>
      </x:c>
      <x:c r="M302" t="str"/>
      <x:c r="N302" t="str"/>
      <x:c r="O302" t="str"/>
      <x:c r="P302" t="str">
        <x:v>OPEN</x:v>
      </x:c>
    </x:row>
    <x:row r="303" ht="34" customHeight="1">
      <x:c r="B303" t="str">
        <x:v>RFA-E297</x:v>
      </x:c>
      <x:c r="C303" t="str">
        <x:v>AM-09</x:v>
      </x:c>
      <x:c r="D303" t="str">
        <x:v>AF-3</x:v>
      </x:c>
      <x:c r="E303" t="str">
        <x:v>BA</x:v>
      </x:c>
      <x:c r="F303" t="str">
        <x:v>PTC-B</x:v>
      </x:c>
      <x:c r="G303" t="str">
        <x:v>AF-3-BA-RESET-B</x:v>
      </x:c>
      <x:c r="H303" t="str">
        <x:v>—</x:v>
      </x:c>
      <x:c r="I303" t="str">
        <x:v>recovery/reset</x:v>
      </x:c>
      <x:c r="J303" s="11" t="str">
        <x:v>restore serialized baseline</x:v>
      </x:c>
      <x:c r="K303" t="n">
        <x:v>0</x:v>
      </x:c>
      <x:c r="L303" t="n">
        <x:v>1</x:v>
      </x:c>
      <x:c r="M303" t="str"/>
      <x:c r="N303" t="str"/>
      <x:c r="O303" t="str"/>
      <x:c r="P303" t="str">
        <x:v>OPEN</x:v>
      </x:c>
    </x:row>
    <x:row r="304" ht="34" customHeight="1">
      <x:c r="B304" t="str">
        <x:v>RFA-E298</x:v>
      </x:c>
      <x:c r="C304" t="str">
        <x:v>AM-09</x:v>
      </x:c>
      <x:c r="D304" t="str">
        <x:v>AF-3</x:v>
      </x:c>
      <x:c r="E304" t="str">
        <x:v>BA</x:v>
      </x:c>
      <x:c r="F304" t="str">
        <x:v>PTC-C</x:v>
      </x:c>
      <x:c r="G304" t="str">
        <x:v>AF-3-BA-RESET-C</x:v>
      </x:c>
      <x:c r="H304" t="str">
        <x:v>—</x:v>
      </x:c>
      <x:c r="I304" t="str">
        <x:v>recovery/reset</x:v>
      </x:c>
      <x:c r="J304" s="11" t="str">
        <x:v>restore serialized baseline</x:v>
      </x:c>
      <x:c r="K304" t="n">
        <x:v>0</x:v>
      </x:c>
      <x:c r="L304" t="n">
        <x:v>1</x:v>
      </x:c>
      <x:c r="M304" t="str"/>
      <x:c r="N304" t="str"/>
      <x:c r="O304" t="str"/>
      <x:c r="P304" t="str">
        <x:v>OPEN</x:v>
      </x:c>
    </x:row>
    <x:row r="305" ht="34" customHeight="1">
      <x:c r="B305" t="str">
        <x:v>RFA-E299</x:v>
      </x:c>
      <x:c r="C305" t="str">
        <x:v>AM-09</x:v>
      </x:c>
      <x:c r="D305" t="str">
        <x:v>AF-3</x:v>
      </x:c>
      <x:c r="E305" t="str">
        <x:v>BB</x:v>
      </x:c>
      <x:c r="F305" t="str">
        <x:v>PTC-B</x:v>
      </x:c>
      <x:c r="G305" t="str">
        <x:v>AF-3-BB-RESET-B</x:v>
      </x:c>
      <x:c r="H305" t="str">
        <x:v>—</x:v>
      </x:c>
      <x:c r="I305" t="str">
        <x:v>recovery/reset</x:v>
      </x:c>
      <x:c r="J305" s="11" t="str">
        <x:v>restore serialized baseline</x:v>
      </x:c>
      <x:c r="K305" t="n">
        <x:v>0</x:v>
      </x:c>
      <x:c r="L305" t="n">
        <x:v>1</x:v>
      </x:c>
      <x:c r="M305" t="str"/>
      <x:c r="N305" t="str"/>
      <x:c r="O305" t="str"/>
      <x:c r="P305" t="str">
        <x:v>OPEN</x:v>
      </x:c>
    </x:row>
    <x:row r="306" ht="34" customHeight="1">
      <x:c r="B306" t="str">
        <x:v>RFA-E300</x:v>
      </x:c>
      <x:c r="C306" t="str">
        <x:v>AM-09</x:v>
      </x:c>
      <x:c r="D306" t="str">
        <x:v>AF-3</x:v>
      </x:c>
      <x:c r="E306" t="str">
        <x:v>BB</x:v>
      </x:c>
      <x:c r="F306" t="str">
        <x:v>PTC-C</x:v>
      </x:c>
      <x:c r="G306" t="str">
        <x:v>AF-3-BB-RESET-C</x:v>
      </x:c>
      <x:c r="H306" t="str">
        <x:v>—</x:v>
      </x:c>
      <x:c r="I306" t="str">
        <x:v>recovery/reset</x:v>
      </x:c>
      <x:c r="J306" s="11" t="str">
        <x:v>restore serialized baseline</x:v>
      </x:c>
      <x:c r="K306" t="n">
        <x:v>0</x:v>
      </x:c>
      <x:c r="L306" t="n">
        <x:v>1</x:v>
      </x:c>
      <x:c r="M306" t="str"/>
      <x:c r="N306" t="str"/>
      <x:c r="O306" t="str"/>
      <x:c r="P306" t="str">
        <x:v>OPEN</x:v>
      </x:c>
    </x:row>
    <x:row r="307" ht="34" customHeight="1">
      <x:c r="B307" t="str">
        <x:v>RFA-E301</x:v>
      </x:c>
      <x:c r="C307" t="str">
        <x:v>AM-09</x:v>
      </x:c>
      <x:c r="D307" t="str">
        <x:v>AF-1</x:v>
      </x:c>
      <x:c r="E307" t="str">
        <x:v>BA</x:v>
      </x:c>
      <x:c r="F307" t="str">
        <x:v>PTC-C</x:v>
      </x:c>
      <x:c r="G307" t="str">
        <x:v>AF-1-BA-REPLAY</x:v>
      </x:c>
      <x:c r="H307" t="str">
        <x:v>—</x:v>
      </x:c>
      <x:c r="I307" t="str">
        <x:v>cross-site replay</x:v>
      </x:c>
      <x:c r="J307" s="11" t="str">
        <x:v>origin PTC-B unavailable</x:v>
      </x:c>
      <x:c r="K307" t="n">
        <x:v>0</x:v>
      </x:c>
      <x:c r="L307" t="n">
        <x:v>1</x:v>
      </x:c>
      <x:c r="M307" t="str"/>
      <x:c r="N307" t="str"/>
      <x:c r="O307" t="str"/>
      <x:c r="P307" t="str">
        <x:v>OPEN</x:v>
      </x:c>
    </x:row>
    <x:row r="308" ht="34" customHeight="1">
      <x:c r="B308" t="str">
        <x:v>RFA-E302</x:v>
      </x:c>
      <x:c r="C308" t="str">
        <x:v>AM-09</x:v>
      </x:c>
      <x:c r="D308" t="str">
        <x:v>AF-1</x:v>
      </x:c>
      <x:c r="E308" t="str">
        <x:v>BB</x:v>
      </x:c>
      <x:c r="F308" t="str">
        <x:v>PTC-C</x:v>
      </x:c>
      <x:c r="G308" t="str">
        <x:v>AF-1-BB-REPLAY</x:v>
      </x:c>
      <x:c r="H308" t="str">
        <x:v>—</x:v>
      </x:c>
      <x:c r="I308" t="str">
        <x:v>cross-site replay</x:v>
      </x:c>
      <x:c r="J308" s="11" t="str">
        <x:v>origin PTC-B unavailable</x:v>
      </x:c>
      <x:c r="K308" t="n">
        <x:v>0</x:v>
      </x:c>
      <x:c r="L308" t="n">
        <x:v>1</x:v>
      </x:c>
      <x:c r="M308" t="str"/>
      <x:c r="N308" t="str"/>
      <x:c r="O308" t="str"/>
      <x:c r="P308" t="str">
        <x:v>OPEN</x:v>
      </x:c>
    </x:row>
    <x:row r="309" ht="34" customHeight="1">
      <x:c r="B309" t="str">
        <x:v>RFA-E303</x:v>
      </x:c>
      <x:c r="C309" t="str">
        <x:v>AM-09</x:v>
      </x:c>
      <x:c r="D309" t="str">
        <x:v>AF-2</x:v>
      </x:c>
      <x:c r="E309" t="str">
        <x:v>BA</x:v>
      </x:c>
      <x:c r="F309" t="str">
        <x:v>PTC-C</x:v>
      </x:c>
      <x:c r="G309" t="str">
        <x:v>AF-2-BA-REPLAY</x:v>
      </x:c>
      <x:c r="H309" t="str">
        <x:v>—</x:v>
      </x:c>
      <x:c r="I309" t="str">
        <x:v>cross-site replay</x:v>
      </x:c>
      <x:c r="J309" s="11" t="str">
        <x:v>origin PTC-B unavailable</x:v>
      </x:c>
      <x:c r="K309" t="n">
        <x:v>0</x:v>
      </x:c>
      <x:c r="L309" t="n">
        <x:v>1</x:v>
      </x:c>
      <x:c r="M309" t="str"/>
      <x:c r="N309" t="str"/>
      <x:c r="O309" t="str"/>
      <x:c r="P309" t="str">
        <x:v>OPEN</x:v>
      </x:c>
    </x:row>
    <x:row r="310" ht="34" customHeight="1">
      <x:c r="B310" t="str">
        <x:v>RFA-E304</x:v>
      </x:c>
      <x:c r="C310" t="str">
        <x:v>AM-09</x:v>
      </x:c>
      <x:c r="D310" t="str">
        <x:v>AF-2</x:v>
      </x:c>
      <x:c r="E310" t="str">
        <x:v>BB</x:v>
      </x:c>
      <x:c r="F310" t="str">
        <x:v>PTC-C</x:v>
      </x:c>
      <x:c r="G310" t="str">
        <x:v>AF-2-BB-REPLAY</x:v>
      </x:c>
      <x:c r="H310" t="str">
        <x:v>—</x:v>
      </x:c>
      <x:c r="I310" t="str">
        <x:v>cross-site replay</x:v>
      </x:c>
      <x:c r="J310" s="11" t="str">
        <x:v>origin PTC-B unavailable</x:v>
      </x:c>
      <x:c r="K310" t="n">
        <x:v>0</x:v>
      </x:c>
      <x:c r="L310" t="n">
        <x:v>1</x:v>
      </x:c>
      <x:c r="M310" t="str"/>
      <x:c r="N310" t="str"/>
      <x:c r="O310" t="str"/>
      <x:c r="P310" t="str">
        <x:v>OPEN</x:v>
      </x:c>
    </x:row>
    <x:row r="311" ht="34" customHeight="1">
      <x:c r="B311" t="str">
        <x:v>RFA-E305</x:v>
      </x:c>
      <x:c r="C311" t="str">
        <x:v>AM-09</x:v>
      </x:c>
      <x:c r="D311" t="str">
        <x:v>AF-3</x:v>
      </x:c>
      <x:c r="E311" t="str">
        <x:v>BA</x:v>
      </x:c>
      <x:c r="F311" t="str">
        <x:v>PTC-C</x:v>
      </x:c>
      <x:c r="G311" t="str">
        <x:v>AF-3-BA-REPLAY</x:v>
      </x:c>
      <x:c r="H311" t="str">
        <x:v>—</x:v>
      </x:c>
      <x:c r="I311" t="str">
        <x:v>cross-site replay</x:v>
      </x:c>
      <x:c r="J311" s="11" t="str">
        <x:v>origin PTC-B unavailable</x:v>
      </x:c>
      <x:c r="K311" t="n">
        <x:v>0</x:v>
      </x:c>
      <x:c r="L311" t="n">
        <x:v>1</x:v>
      </x:c>
      <x:c r="M311" t="str"/>
      <x:c r="N311" t="str"/>
      <x:c r="O311" t="str"/>
      <x:c r="P311" t="str">
        <x:v>OPEN</x:v>
      </x:c>
    </x:row>
    <x:row r="312" ht="34" customHeight="1">
      <x:c r="B312" t="str">
        <x:v>RFA-E306</x:v>
      </x:c>
      <x:c r="C312" t="str">
        <x:v>AM-09</x:v>
      </x:c>
      <x:c r="D312" t="str">
        <x:v>AF-3</x:v>
      </x:c>
      <x:c r="E312" t="str">
        <x:v>BB</x:v>
      </x:c>
      <x:c r="F312" t="str">
        <x:v>PTC-C</x:v>
      </x:c>
      <x:c r="G312" t="str">
        <x:v>AF-3-BB-REPLAY</x:v>
      </x:c>
      <x:c r="H312" t="str">
        <x:v>—</x:v>
      </x:c>
      <x:c r="I312" t="str">
        <x:v>cross-site replay</x:v>
      </x:c>
      <x:c r="J312" s="11" t="str">
        <x:v>origin PTC-B unavailable</x:v>
      </x:c>
      <x:c r="K312" t="n">
        <x:v>0</x:v>
      </x:c>
      <x:c r="L312" t="n">
        <x:v>1</x:v>
      </x:c>
      <x:c r="M312" t="str"/>
      <x:c r="N312" t="str"/>
      <x:c r="O312" t="str"/>
      <x:c r="P312" t="str">
        <x:v>OPEN</x:v>
      </x:c>
    </x:row>
  </x:sheetData>
  <x:conditionalFormatting sqref="P7:P312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REOPEN"/>
    <x:cfRule type="containsText" dxfId="27" priority="4" operator="containsText" text="OVERFLOW"/>
    <x:cfRule type="containsText" dxfId="28" priority="5" operator="containsText" text="OPEN"/>
    <x:cfRule type="containsText" dxfId="29" priority="6" operator="containsText" text="GAP"/>
    <x:cfRule type="containsText" dxfId="30" priority="7" operator="containsText" text="PASS"/>
    <x:cfRule type="containsText" dxfId="31" priority="8" operator="containsText" text="IN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15" hidden="0" customWidth="1"/>
    <x:col min="4" max="4" width="12" hidden="0" customWidth="1"/>
    <x:col min="5" max="5" width="14" hidden="0" customWidth="1"/>
    <x:col min="6" max="6" width="18" hidden="0" customWidth="1"/>
    <x:col min="7" max="7" width="19" hidden="0" customWidth="1"/>
    <x:col min="8" max="8" width="19" hidden="0" customWidth="1"/>
    <x:col min="9" max="9" width="21" hidden="0" customWidth="1"/>
    <x:col min="10" max="10" width="17" hidden="0" customWidth="1"/>
    <x:col min="11" max="11" width="21" hidden="0" customWidth="1"/>
    <x:col min="12" max="12" width="14" hidden="0" customWidth="1"/>
  </x:cols>
  <x:sheetData>
    <x:row r="2">
      <x:c r="B2" s="1" t="str">
        <x:v>Ninety-six matched control/challenge pairs</x:v>
      </x:c>
    </x:row>
    <x:row r="3">
      <x:c r="B3" s="2" t="str">
        <x:v>Pair identity, order and lower-level event identities are fixed before execution.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Pair</x:v>
      </x:c>
      <x:c r="C6" s="7" t="str">
        <x:v>Root</x:v>
      </x:c>
      <x:c r="D6" s="7" t="str">
        <x:v>Site</x:v>
      </x:c>
      <x:c r="E6" s="7" t="str">
        <x:v>Challenge</x:v>
      </x:c>
      <x:c r="F6" s="7" t="str">
        <x:v>Control event</x:v>
      </x:c>
      <x:c r="G6" s="7" t="str">
        <x:v>Challenge event</x:v>
      </x:c>
      <x:c r="H6" s="7" t="str">
        <x:v>Control accepted</x:v>
      </x:c>
      <x:c r="I6" s="7" t="str">
        <x:v>Challenge accepted</x:v>
      </x:c>
      <x:c r="J6" s="7" t="str">
        <x:v>Disposition</x:v>
      </x:c>
      <x:c r="K6" s="7" t="str">
        <x:v>Effect packet UTC</x:v>
      </x:c>
      <x:c r="L6" s="7" t="str">
        <x:v>State</x:v>
      </x:c>
    </x:row>
    <x:row r="7">
      <x:c r="B7" t="str">
        <x:v>RFA-P001</x:v>
      </x:c>
      <x:c r="C7" t="str">
        <x:v>AF-1-BA</x:v>
      </x:c>
      <x:c r="D7" t="str">
        <x:v>PTC-B</x:v>
      </x:c>
      <x:c r="E7" t="str">
        <x:v>A01</x:v>
      </x:c>
      <x:c r="F7" t="str">
        <x:v>RFA-E073</x:v>
      </x:c>
      <x:c r="G7" t="str">
        <x:v>RFA-E074</x:v>
      </x:c>
      <x:c r="H7" t="str"/>
      <x:c r="I7" t="str"/>
      <x:c r="J7" t="str"/>
      <x:c r="K7" t="str"/>
      <x:c r="L7" t="str">
        <x:f>IF(J7=1,"PASS","OPEN")</x:f>
        <x:v>OPEN</x:v>
      </x:c>
    </x:row>
    <x:row r="8">
      <x:c r="B8" t="str">
        <x:v>RFA-P002</x:v>
      </x:c>
      <x:c r="C8" t="str">
        <x:v>AF-1-BA</x:v>
      </x:c>
      <x:c r="D8" t="str">
        <x:v>PTC-B</x:v>
      </x:c>
      <x:c r="E8" t="str">
        <x:v>A02</x:v>
      </x:c>
      <x:c r="F8" t="str">
        <x:v>RFA-E076</x:v>
      </x:c>
      <x:c r="G8" t="str">
        <x:v>RFA-E075</x:v>
      </x:c>
      <x:c r="H8" t="str"/>
      <x:c r="I8" t="str"/>
      <x:c r="J8" t="str"/>
      <x:c r="K8" t="str"/>
      <x:c r="L8" t="str">
        <x:f>IF(J8=1,"PASS","OPEN")</x:f>
        <x:v>OPEN</x:v>
      </x:c>
    </x:row>
    <x:row r="9">
      <x:c r="B9" t="str">
        <x:v>RFA-P003</x:v>
      </x:c>
      <x:c r="C9" t="str">
        <x:v>AF-1-BA</x:v>
      </x:c>
      <x:c r="D9" t="str">
        <x:v>PTC-B</x:v>
      </x:c>
      <x:c r="E9" t="str">
        <x:v>A03</x:v>
      </x:c>
      <x:c r="F9" t="str">
        <x:v>RFA-E077</x:v>
      </x:c>
      <x:c r="G9" t="str">
        <x:v>RFA-E078</x:v>
      </x:c>
      <x:c r="H9" t="str"/>
      <x:c r="I9" t="str"/>
      <x:c r="J9" t="str"/>
      <x:c r="K9" t="str"/>
      <x:c r="L9" t="str">
        <x:f>IF(J9=1,"PASS","OPEN")</x:f>
        <x:v>OPEN</x:v>
      </x:c>
    </x:row>
    <x:row r="10">
      <x:c r="B10" t="str">
        <x:v>RFA-P004</x:v>
      </x:c>
      <x:c r="C10" t="str">
        <x:v>AF-1-BA</x:v>
      </x:c>
      <x:c r="D10" t="str">
        <x:v>PTC-B</x:v>
      </x:c>
      <x:c r="E10" t="str">
        <x:v>A04</x:v>
      </x:c>
      <x:c r="F10" t="str">
        <x:v>RFA-E080</x:v>
      </x:c>
      <x:c r="G10" t="str">
        <x:v>RFA-E079</x:v>
      </x:c>
      <x:c r="H10" t="str"/>
      <x:c r="I10" t="str"/>
      <x:c r="J10" t="str"/>
      <x:c r="K10" t="str"/>
      <x:c r="L10" t="str">
        <x:f>IF(J10=1,"PASS","OPEN")</x:f>
        <x:v>OPEN</x:v>
      </x:c>
    </x:row>
    <x:row r="11">
      <x:c r="B11" t="str">
        <x:v>RFA-P005</x:v>
      </x:c>
      <x:c r="C11" t="str">
        <x:v>AF-1-BA</x:v>
      </x:c>
      <x:c r="D11" t="str">
        <x:v>PTC-B</x:v>
      </x:c>
      <x:c r="E11" t="str">
        <x:v>A05</x:v>
      </x:c>
      <x:c r="F11" t="str">
        <x:v>RFA-E081</x:v>
      </x:c>
      <x:c r="G11" t="str">
        <x:v>RFA-E082</x:v>
      </x:c>
      <x:c r="H11" t="str"/>
      <x:c r="I11" t="str"/>
      <x:c r="J11" t="str"/>
      <x:c r="K11" t="str"/>
      <x:c r="L11" t="str">
        <x:f>IF(J11=1,"PASS","OPEN")</x:f>
        <x:v>OPEN</x:v>
      </x:c>
    </x:row>
    <x:row r="12">
      <x:c r="B12" t="str">
        <x:v>RFA-P006</x:v>
      </x:c>
      <x:c r="C12" t="str">
        <x:v>AF-1-BA</x:v>
      </x:c>
      <x:c r="D12" t="str">
        <x:v>PTC-B</x:v>
      </x:c>
      <x:c r="E12" t="str">
        <x:v>A06</x:v>
      </x:c>
      <x:c r="F12" t="str">
        <x:v>RFA-E084</x:v>
      </x:c>
      <x:c r="G12" t="str">
        <x:v>RFA-E083</x:v>
      </x:c>
      <x:c r="H12" t="str"/>
      <x:c r="I12" t="str"/>
      <x:c r="J12" t="str"/>
      <x:c r="K12" t="str"/>
      <x:c r="L12" t="str">
        <x:f>IF(J12=1,"PASS","OPEN")</x:f>
        <x:v>OPEN</x:v>
      </x:c>
    </x:row>
    <x:row r="13">
      <x:c r="B13" t="str">
        <x:v>RFA-P007</x:v>
      </x:c>
      <x:c r="C13" t="str">
        <x:v>AF-1-BA</x:v>
      </x:c>
      <x:c r="D13" t="str">
        <x:v>PTC-B</x:v>
      </x:c>
      <x:c r="E13" t="str">
        <x:v>A07</x:v>
      </x:c>
      <x:c r="F13" t="str">
        <x:v>RFA-E085</x:v>
      </x:c>
      <x:c r="G13" t="str">
        <x:v>RFA-E086</x:v>
      </x:c>
      <x:c r="H13" t="str"/>
      <x:c r="I13" t="str"/>
      <x:c r="J13" t="str"/>
      <x:c r="K13" t="str"/>
      <x:c r="L13" t="str">
        <x:f>IF(J13=1,"PASS","OPEN")</x:f>
        <x:v>OPEN</x:v>
      </x:c>
    </x:row>
    <x:row r="14">
      <x:c r="B14" t="str">
        <x:v>RFA-P008</x:v>
      </x:c>
      <x:c r="C14" t="str">
        <x:v>AF-1-BA</x:v>
      </x:c>
      <x:c r="D14" t="str">
        <x:v>PTC-B</x:v>
      </x:c>
      <x:c r="E14" t="str">
        <x:v>A08</x:v>
      </x:c>
      <x:c r="F14" t="str">
        <x:v>RFA-E088</x:v>
      </x:c>
      <x:c r="G14" t="str">
        <x:v>RFA-E087</x:v>
      </x:c>
      <x:c r="H14" t="str"/>
      <x:c r="I14" t="str"/>
      <x:c r="J14" t="str"/>
      <x:c r="K14" t="str"/>
      <x:c r="L14" t="str">
        <x:f>IF(J14=1,"PASS","OPEN")</x:f>
        <x:v>OPEN</x:v>
      </x:c>
    </x:row>
    <x:row r="15">
      <x:c r="B15" t="str">
        <x:v>RFA-P009</x:v>
      </x:c>
      <x:c r="C15" t="str">
        <x:v>AF-1-BA</x:v>
      </x:c>
      <x:c r="D15" t="str">
        <x:v>PTC-C</x:v>
      </x:c>
      <x:c r="E15" t="str">
        <x:v>A01</x:v>
      </x:c>
      <x:c r="F15" t="str">
        <x:v>RFA-E089</x:v>
      </x:c>
      <x:c r="G15" t="str">
        <x:v>RFA-E090</x:v>
      </x:c>
      <x:c r="H15" t="str"/>
      <x:c r="I15" t="str"/>
      <x:c r="J15" t="str"/>
      <x:c r="K15" t="str"/>
      <x:c r="L15" t="str">
        <x:f>IF(J15=1,"PASS","OPEN")</x:f>
        <x:v>OPEN</x:v>
      </x:c>
    </x:row>
    <x:row r="16">
      <x:c r="B16" t="str">
        <x:v>RFA-P010</x:v>
      </x:c>
      <x:c r="C16" t="str">
        <x:v>AF-1-BA</x:v>
      </x:c>
      <x:c r="D16" t="str">
        <x:v>PTC-C</x:v>
      </x:c>
      <x:c r="E16" t="str">
        <x:v>A02</x:v>
      </x:c>
      <x:c r="F16" t="str">
        <x:v>RFA-E092</x:v>
      </x:c>
      <x:c r="G16" t="str">
        <x:v>RFA-E091</x:v>
      </x:c>
      <x:c r="H16" t="str"/>
      <x:c r="I16" t="str"/>
      <x:c r="J16" t="str"/>
      <x:c r="K16" t="str"/>
      <x:c r="L16" t="str">
        <x:f>IF(J16=1,"PASS","OPEN")</x:f>
        <x:v>OPEN</x:v>
      </x:c>
    </x:row>
    <x:row r="17">
      <x:c r="B17" t="str">
        <x:v>RFA-P011</x:v>
      </x:c>
      <x:c r="C17" t="str">
        <x:v>AF-1-BA</x:v>
      </x:c>
      <x:c r="D17" t="str">
        <x:v>PTC-C</x:v>
      </x:c>
      <x:c r="E17" t="str">
        <x:v>A03</x:v>
      </x:c>
      <x:c r="F17" t="str">
        <x:v>RFA-E093</x:v>
      </x:c>
      <x:c r="G17" t="str">
        <x:v>RFA-E094</x:v>
      </x:c>
      <x:c r="H17" t="str"/>
      <x:c r="I17" t="str"/>
      <x:c r="J17" t="str"/>
      <x:c r="K17" t="str"/>
      <x:c r="L17" t="str">
        <x:f>IF(J17=1,"PASS","OPEN")</x:f>
        <x:v>OPEN</x:v>
      </x:c>
    </x:row>
    <x:row r="18">
      <x:c r="B18" t="str">
        <x:v>RFA-P012</x:v>
      </x:c>
      <x:c r="C18" t="str">
        <x:v>AF-1-BA</x:v>
      </x:c>
      <x:c r="D18" t="str">
        <x:v>PTC-C</x:v>
      </x:c>
      <x:c r="E18" t="str">
        <x:v>A04</x:v>
      </x:c>
      <x:c r="F18" t="str">
        <x:v>RFA-E096</x:v>
      </x:c>
      <x:c r="G18" t="str">
        <x:v>RFA-E095</x:v>
      </x:c>
      <x:c r="H18" t="str"/>
      <x:c r="I18" t="str"/>
      <x:c r="J18" t="str"/>
      <x:c r="K18" t="str"/>
      <x:c r="L18" t="str">
        <x:f>IF(J18=1,"PASS","OPEN")</x:f>
        <x:v>OPEN</x:v>
      </x:c>
    </x:row>
    <x:row r="19">
      <x:c r="B19" t="str">
        <x:v>RFA-P013</x:v>
      </x:c>
      <x:c r="C19" t="str">
        <x:v>AF-1-BA</x:v>
      </x:c>
      <x:c r="D19" t="str">
        <x:v>PTC-C</x:v>
      </x:c>
      <x:c r="E19" t="str">
        <x:v>A05</x:v>
      </x:c>
      <x:c r="F19" t="str">
        <x:v>RFA-E097</x:v>
      </x:c>
      <x:c r="G19" t="str">
        <x:v>RFA-E098</x:v>
      </x:c>
      <x:c r="H19" t="str"/>
      <x:c r="I19" t="str"/>
      <x:c r="J19" t="str"/>
      <x:c r="K19" t="str"/>
      <x:c r="L19" t="str">
        <x:f>IF(J19=1,"PASS","OPEN")</x:f>
        <x:v>OPEN</x:v>
      </x:c>
    </x:row>
    <x:row r="20">
      <x:c r="B20" t="str">
        <x:v>RFA-P014</x:v>
      </x:c>
      <x:c r="C20" t="str">
        <x:v>AF-1-BA</x:v>
      </x:c>
      <x:c r="D20" t="str">
        <x:v>PTC-C</x:v>
      </x:c>
      <x:c r="E20" t="str">
        <x:v>A06</x:v>
      </x:c>
      <x:c r="F20" t="str">
        <x:v>RFA-E100</x:v>
      </x:c>
      <x:c r="G20" t="str">
        <x:v>RFA-E099</x:v>
      </x:c>
      <x:c r="H20" t="str"/>
      <x:c r="I20" t="str"/>
      <x:c r="J20" t="str"/>
      <x:c r="K20" t="str"/>
      <x:c r="L20" t="str">
        <x:f>IF(J20=1,"PASS","OPEN")</x:f>
        <x:v>OPEN</x:v>
      </x:c>
    </x:row>
    <x:row r="21">
      <x:c r="B21" t="str">
        <x:v>RFA-P015</x:v>
      </x:c>
      <x:c r="C21" t="str">
        <x:v>AF-1-BA</x:v>
      </x:c>
      <x:c r="D21" t="str">
        <x:v>PTC-C</x:v>
      </x:c>
      <x:c r="E21" t="str">
        <x:v>A07</x:v>
      </x:c>
      <x:c r="F21" t="str">
        <x:v>RFA-E101</x:v>
      </x:c>
      <x:c r="G21" t="str">
        <x:v>RFA-E102</x:v>
      </x:c>
      <x:c r="H21" t="str"/>
      <x:c r="I21" t="str"/>
      <x:c r="J21" t="str"/>
      <x:c r="K21" t="str"/>
      <x:c r="L21" t="str">
        <x:f>IF(J21=1,"PASS","OPEN")</x:f>
        <x:v>OPEN</x:v>
      </x:c>
    </x:row>
    <x:row r="22">
      <x:c r="B22" t="str">
        <x:v>RFA-P016</x:v>
      </x:c>
      <x:c r="C22" t="str">
        <x:v>AF-1-BA</x:v>
      </x:c>
      <x:c r="D22" t="str">
        <x:v>PTC-C</x:v>
      </x:c>
      <x:c r="E22" t="str">
        <x:v>A08</x:v>
      </x:c>
      <x:c r="F22" t="str">
        <x:v>RFA-E104</x:v>
      </x:c>
      <x:c r="G22" t="str">
        <x:v>RFA-E103</x:v>
      </x:c>
      <x:c r="H22" t="str"/>
      <x:c r="I22" t="str"/>
      <x:c r="J22" t="str"/>
      <x:c r="K22" t="str"/>
      <x:c r="L22" t="str">
        <x:f>IF(J22=1,"PASS","OPEN")</x:f>
        <x:v>OPEN</x:v>
      </x:c>
    </x:row>
    <x:row r="23">
      <x:c r="B23" t="str">
        <x:v>RFA-P017</x:v>
      </x:c>
      <x:c r="C23" t="str">
        <x:v>AF-1-BB</x:v>
      </x:c>
      <x:c r="D23" t="str">
        <x:v>PTC-B</x:v>
      </x:c>
      <x:c r="E23" t="str">
        <x:v>A01</x:v>
      </x:c>
      <x:c r="F23" t="str">
        <x:v>RFA-E105</x:v>
      </x:c>
      <x:c r="G23" t="str">
        <x:v>RFA-E106</x:v>
      </x:c>
      <x:c r="H23" t="str"/>
      <x:c r="I23" t="str"/>
      <x:c r="J23" t="str"/>
      <x:c r="K23" t="str"/>
      <x:c r="L23" t="str">
        <x:f>IF(J23=1,"PASS","OPEN")</x:f>
        <x:v>OPEN</x:v>
      </x:c>
    </x:row>
    <x:row r="24">
      <x:c r="B24" t="str">
        <x:v>RFA-P018</x:v>
      </x:c>
      <x:c r="C24" t="str">
        <x:v>AF-1-BB</x:v>
      </x:c>
      <x:c r="D24" t="str">
        <x:v>PTC-B</x:v>
      </x:c>
      <x:c r="E24" t="str">
        <x:v>A02</x:v>
      </x:c>
      <x:c r="F24" t="str">
        <x:v>RFA-E108</x:v>
      </x:c>
      <x:c r="G24" t="str">
        <x:v>RFA-E107</x:v>
      </x:c>
      <x:c r="H24" t="str"/>
      <x:c r="I24" t="str"/>
      <x:c r="J24" t="str"/>
      <x:c r="K24" t="str"/>
      <x:c r="L24" t="str">
        <x:f>IF(J24=1,"PASS","OPEN")</x:f>
        <x:v>OPEN</x:v>
      </x:c>
    </x:row>
    <x:row r="25">
      <x:c r="B25" t="str">
        <x:v>RFA-P019</x:v>
      </x:c>
      <x:c r="C25" t="str">
        <x:v>AF-1-BB</x:v>
      </x:c>
      <x:c r="D25" t="str">
        <x:v>PTC-B</x:v>
      </x:c>
      <x:c r="E25" t="str">
        <x:v>A03</x:v>
      </x:c>
      <x:c r="F25" t="str">
        <x:v>RFA-E109</x:v>
      </x:c>
      <x:c r="G25" t="str">
        <x:v>RFA-E110</x:v>
      </x:c>
      <x:c r="H25" t="str"/>
      <x:c r="I25" t="str"/>
      <x:c r="J25" t="str"/>
      <x:c r="K25" t="str"/>
      <x:c r="L25" t="str">
        <x:f>IF(J25=1,"PASS","OPEN")</x:f>
        <x:v>OPEN</x:v>
      </x:c>
    </x:row>
    <x:row r="26">
      <x:c r="B26" t="str">
        <x:v>RFA-P020</x:v>
      </x:c>
      <x:c r="C26" t="str">
        <x:v>AF-1-BB</x:v>
      </x:c>
      <x:c r="D26" t="str">
        <x:v>PTC-B</x:v>
      </x:c>
      <x:c r="E26" t="str">
        <x:v>A04</x:v>
      </x:c>
      <x:c r="F26" t="str">
        <x:v>RFA-E112</x:v>
      </x:c>
      <x:c r="G26" t="str">
        <x:v>RFA-E111</x:v>
      </x:c>
      <x:c r="H26" t="str"/>
      <x:c r="I26" t="str"/>
      <x:c r="J26" t="str"/>
      <x:c r="K26" t="str"/>
      <x:c r="L26" t="str">
        <x:f>IF(J26=1,"PASS","OPEN")</x:f>
        <x:v>OPEN</x:v>
      </x:c>
    </x:row>
    <x:row r="27">
      <x:c r="B27" t="str">
        <x:v>RFA-P021</x:v>
      </x:c>
      <x:c r="C27" t="str">
        <x:v>AF-1-BB</x:v>
      </x:c>
      <x:c r="D27" t="str">
        <x:v>PTC-B</x:v>
      </x:c>
      <x:c r="E27" t="str">
        <x:v>A05</x:v>
      </x:c>
      <x:c r="F27" t="str">
        <x:v>RFA-E113</x:v>
      </x:c>
      <x:c r="G27" t="str">
        <x:v>RFA-E114</x:v>
      </x:c>
      <x:c r="H27" t="str"/>
      <x:c r="I27" t="str"/>
      <x:c r="J27" t="str"/>
      <x:c r="K27" t="str"/>
      <x:c r="L27" t="str">
        <x:f>IF(J27=1,"PASS","OPEN")</x:f>
        <x:v>OPEN</x:v>
      </x:c>
    </x:row>
    <x:row r="28">
      <x:c r="B28" t="str">
        <x:v>RFA-P022</x:v>
      </x:c>
      <x:c r="C28" t="str">
        <x:v>AF-1-BB</x:v>
      </x:c>
      <x:c r="D28" t="str">
        <x:v>PTC-B</x:v>
      </x:c>
      <x:c r="E28" t="str">
        <x:v>A06</x:v>
      </x:c>
      <x:c r="F28" t="str">
        <x:v>RFA-E116</x:v>
      </x:c>
      <x:c r="G28" t="str">
        <x:v>RFA-E115</x:v>
      </x:c>
      <x:c r="H28" t="str"/>
      <x:c r="I28" t="str"/>
      <x:c r="J28" t="str"/>
      <x:c r="K28" t="str"/>
      <x:c r="L28" t="str">
        <x:f>IF(J28=1,"PASS","OPEN")</x:f>
        <x:v>OPEN</x:v>
      </x:c>
    </x:row>
    <x:row r="29">
      <x:c r="B29" t="str">
        <x:v>RFA-P023</x:v>
      </x:c>
      <x:c r="C29" t="str">
        <x:v>AF-1-BB</x:v>
      </x:c>
      <x:c r="D29" t="str">
        <x:v>PTC-B</x:v>
      </x:c>
      <x:c r="E29" t="str">
        <x:v>A07</x:v>
      </x:c>
      <x:c r="F29" t="str">
        <x:v>RFA-E117</x:v>
      </x:c>
      <x:c r="G29" t="str">
        <x:v>RFA-E118</x:v>
      </x:c>
      <x:c r="H29" t="str"/>
      <x:c r="I29" t="str"/>
      <x:c r="J29" t="str"/>
      <x:c r="K29" t="str"/>
      <x:c r="L29" t="str">
        <x:f>IF(J29=1,"PASS","OPEN")</x:f>
        <x:v>OPEN</x:v>
      </x:c>
    </x:row>
    <x:row r="30">
      <x:c r="B30" t="str">
        <x:v>RFA-P024</x:v>
      </x:c>
      <x:c r="C30" t="str">
        <x:v>AF-1-BB</x:v>
      </x:c>
      <x:c r="D30" t="str">
        <x:v>PTC-B</x:v>
      </x:c>
      <x:c r="E30" t="str">
        <x:v>A08</x:v>
      </x:c>
      <x:c r="F30" t="str">
        <x:v>RFA-E120</x:v>
      </x:c>
      <x:c r="G30" t="str">
        <x:v>RFA-E119</x:v>
      </x:c>
      <x:c r="H30" t="str"/>
      <x:c r="I30" t="str"/>
      <x:c r="J30" t="str"/>
      <x:c r="K30" t="str"/>
      <x:c r="L30" t="str">
        <x:f>IF(J30=1,"PASS","OPEN")</x:f>
        <x:v>OPEN</x:v>
      </x:c>
    </x:row>
    <x:row r="31">
      <x:c r="B31" t="str">
        <x:v>RFA-P025</x:v>
      </x:c>
      <x:c r="C31" t="str">
        <x:v>AF-1-BB</x:v>
      </x:c>
      <x:c r="D31" t="str">
        <x:v>PTC-C</x:v>
      </x:c>
      <x:c r="E31" t="str">
        <x:v>A01</x:v>
      </x:c>
      <x:c r="F31" t="str">
        <x:v>RFA-E121</x:v>
      </x:c>
      <x:c r="G31" t="str">
        <x:v>RFA-E122</x:v>
      </x:c>
      <x:c r="H31" t="str"/>
      <x:c r="I31" t="str"/>
      <x:c r="J31" t="str"/>
      <x:c r="K31" t="str"/>
      <x:c r="L31" t="str">
        <x:f>IF(J31=1,"PASS","OPEN")</x:f>
        <x:v>OPEN</x:v>
      </x:c>
    </x:row>
    <x:row r="32">
      <x:c r="B32" t="str">
        <x:v>RFA-P026</x:v>
      </x:c>
      <x:c r="C32" t="str">
        <x:v>AF-1-BB</x:v>
      </x:c>
      <x:c r="D32" t="str">
        <x:v>PTC-C</x:v>
      </x:c>
      <x:c r="E32" t="str">
        <x:v>A02</x:v>
      </x:c>
      <x:c r="F32" t="str">
        <x:v>RFA-E124</x:v>
      </x:c>
      <x:c r="G32" t="str">
        <x:v>RFA-E123</x:v>
      </x:c>
      <x:c r="H32" t="str"/>
      <x:c r="I32" t="str"/>
      <x:c r="J32" t="str"/>
      <x:c r="K32" t="str"/>
      <x:c r="L32" t="str">
        <x:f>IF(J32=1,"PASS","OPEN")</x:f>
        <x:v>OPEN</x:v>
      </x:c>
    </x:row>
    <x:row r="33">
      <x:c r="B33" t="str">
        <x:v>RFA-P027</x:v>
      </x:c>
      <x:c r="C33" t="str">
        <x:v>AF-1-BB</x:v>
      </x:c>
      <x:c r="D33" t="str">
        <x:v>PTC-C</x:v>
      </x:c>
      <x:c r="E33" t="str">
        <x:v>A03</x:v>
      </x:c>
      <x:c r="F33" t="str">
        <x:v>RFA-E125</x:v>
      </x:c>
      <x:c r="G33" t="str">
        <x:v>RFA-E126</x:v>
      </x:c>
      <x:c r="H33" t="str"/>
      <x:c r="I33" t="str"/>
      <x:c r="J33" t="str"/>
      <x:c r="K33" t="str"/>
      <x:c r="L33" t="str">
        <x:f>IF(J33=1,"PASS","OPEN")</x:f>
        <x:v>OPEN</x:v>
      </x:c>
    </x:row>
    <x:row r="34">
      <x:c r="B34" t="str">
        <x:v>RFA-P028</x:v>
      </x:c>
      <x:c r="C34" t="str">
        <x:v>AF-1-BB</x:v>
      </x:c>
      <x:c r="D34" t="str">
        <x:v>PTC-C</x:v>
      </x:c>
      <x:c r="E34" t="str">
        <x:v>A04</x:v>
      </x:c>
      <x:c r="F34" t="str">
        <x:v>RFA-E128</x:v>
      </x:c>
      <x:c r="G34" t="str">
        <x:v>RFA-E127</x:v>
      </x:c>
      <x:c r="H34" t="str"/>
      <x:c r="I34" t="str"/>
      <x:c r="J34" t="str"/>
      <x:c r="K34" t="str"/>
      <x:c r="L34" t="str">
        <x:f>IF(J34=1,"PASS","OPEN")</x:f>
        <x:v>OPEN</x:v>
      </x:c>
    </x:row>
    <x:row r="35">
      <x:c r="B35" t="str">
        <x:v>RFA-P029</x:v>
      </x:c>
      <x:c r="C35" t="str">
        <x:v>AF-1-BB</x:v>
      </x:c>
      <x:c r="D35" t="str">
        <x:v>PTC-C</x:v>
      </x:c>
      <x:c r="E35" t="str">
        <x:v>A05</x:v>
      </x:c>
      <x:c r="F35" t="str">
        <x:v>RFA-E129</x:v>
      </x:c>
      <x:c r="G35" t="str">
        <x:v>RFA-E130</x:v>
      </x:c>
      <x:c r="H35" t="str"/>
      <x:c r="I35" t="str"/>
      <x:c r="J35" t="str"/>
      <x:c r="K35" t="str"/>
      <x:c r="L35" t="str">
        <x:f>IF(J35=1,"PASS","OPEN")</x:f>
        <x:v>OPEN</x:v>
      </x:c>
    </x:row>
    <x:row r="36">
      <x:c r="B36" t="str">
        <x:v>RFA-P030</x:v>
      </x:c>
      <x:c r="C36" t="str">
        <x:v>AF-1-BB</x:v>
      </x:c>
      <x:c r="D36" t="str">
        <x:v>PTC-C</x:v>
      </x:c>
      <x:c r="E36" t="str">
        <x:v>A06</x:v>
      </x:c>
      <x:c r="F36" t="str">
        <x:v>RFA-E132</x:v>
      </x:c>
      <x:c r="G36" t="str">
        <x:v>RFA-E131</x:v>
      </x:c>
      <x:c r="H36" t="str"/>
      <x:c r="I36" t="str"/>
      <x:c r="J36" t="str"/>
      <x:c r="K36" t="str"/>
      <x:c r="L36" t="str">
        <x:f>IF(J36=1,"PASS","OPEN")</x:f>
        <x:v>OPEN</x:v>
      </x:c>
    </x:row>
    <x:row r="37">
      <x:c r="B37" t="str">
        <x:v>RFA-P031</x:v>
      </x:c>
      <x:c r="C37" t="str">
        <x:v>AF-1-BB</x:v>
      </x:c>
      <x:c r="D37" t="str">
        <x:v>PTC-C</x:v>
      </x:c>
      <x:c r="E37" t="str">
        <x:v>A07</x:v>
      </x:c>
      <x:c r="F37" t="str">
        <x:v>RFA-E133</x:v>
      </x:c>
      <x:c r="G37" t="str">
        <x:v>RFA-E134</x:v>
      </x:c>
      <x:c r="H37" t="str"/>
      <x:c r="I37" t="str"/>
      <x:c r="J37" t="str"/>
      <x:c r="K37" t="str"/>
      <x:c r="L37" t="str">
        <x:f>IF(J37=1,"PASS","OPEN")</x:f>
        <x:v>OPEN</x:v>
      </x:c>
    </x:row>
    <x:row r="38">
      <x:c r="B38" t="str">
        <x:v>RFA-P032</x:v>
      </x:c>
      <x:c r="C38" t="str">
        <x:v>AF-1-BB</x:v>
      </x:c>
      <x:c r="D38" t="str">
        <x:v>PTC-C</x:v>
      </x:c>
      <x:c r="E38" t="str">
        <x:v>A08</x:v>
      </x:c>
      <x:c r="F38" t="str">
        <x:v>RFA-E136</x:v>
      </x:c>
      <x:c r="G38" t="str">
        <x:v>RFA-E135</x:v>
      </x:c>
      <x:c r="H38" t="str"/>
      <x:c r="I38" t="str"/>
      <x:c r="J38" t="str"/>
      <x:c r="K38" t="str"/>
      <x:c r="L38" t="str">
        <x:f>IF(J38=1,"PASS","OPEN")</x:f>
        <x:v>OPEN</x:v>
      </x:c>
    </x:row>
    <x:row r="39">
      <x:c r="B39" t="str">
        <x:v>RFA-P033</x:v>
      </x:c>
      <x:c r="C39" t="str">
        <x:v>AF-2-BA</x:v>
      </x:c>
      <x:c r="D39" t="str">
        <x:v>PTC-B</x:v>
      </x:c>
      <x:c r="E39" t="str">
        <x:v>A01</x:v>
      </x:c>
      <x:c r="F39" t="str">
        <x:v>RFA-E137</x:v>
      </x:c>
      <x:c r="G39" t="str">
        <x:v>RFA-E138</x:v>
      </x:c>
      <x:c r="H39" t="str"/>
      <x:c r="I39" t="str"/>
      <x:c r="J39" t="str"/>
      <x:c r="K39" t="str"/>
      <x:c r="L39" t="str">
        <x:f>IF(J39=1,"PASS","OPEN")</x:f>
        <x:v>OPEN</x:v>
      </x:c>
    </x:row>
    <x:row r="40">
      <x:c r="B40" t="str">
        <x:v>RFA-P034</x:v>
      </x:c>
      <x:c r="C40" t="str">
        <x:v>AF-2-BA</x:v>
      </x:c>
      <x:c r="D40" t="str">
        <x:v>PTC-B</x:v>
      </x:c>
      <x:c r="E40" t="str">
        <x:v>A02</x:v>
      </x:c>
      <x:c r="F40" t="str">
        <x:v>RFA-E140</x:v>
      </x:c>
      <x:c r="G40" t="str">
        <x:v>RFA-E139</x:v>
      </x:c>
      <x:c r="H40" t="str"/>
      <x:c r="I40" t="str"/>
      <x:c r="J40" t="str"/>
      <x:c r="K40" t="str"/>
      <x:c r="L40" t="str">
        <x:f>IF(J40=1,"PASS","OPEN")</x:f>
        <x:v>OPEN</x:v>
      </x:c>
    </x:row>
    <x:row r="41">
      <x:c r="B41" t="str">
        <x:v>RFA-P035</x:v>
      </x:c>
      <x:c r="C41" t="str">
        <x:v>AF-2-BA</x:v>
      </x:c>
      <x:c r="D41" t="str">
        <x:v>PTC-B</x:v>
      </x:c>
      <x:c r="E41" t="str">
        <x:v>A03</x:v>
      </x:c>
      <x:c r="F41" t="str">
        <x:v>RFA-E141</x:v>
      </x:c>
      <x:c r="G41" t="str">
        <x:v>RFA-E142</x:v>
      </x:c>
      <x:c r="H41" t="str"/>
      <x:c r="I41" t="str"/>
      <x:c r="J41" t="str"/>
      <x:c r="K41" t="str"/>
      <x:c r="L41" t="str">
        <x:f>IF(J41=1,"PASS","OPEN")</x:f>
        <x:v>OPEN</x:v>
      </x:c>
    </x:row>
    <x:row r="42">
      <x:c r="B42" t="str">
        <x:v>RFA-P036</x:v>
      </x:c>
      <x:c r="C42" t="str">
        <x:v>AF-2-BA</x:v>
      </x:c>
      <x:c r="D42" t="str">
        <x:v>PTC-B</x:v>
      </x:c>
      <x:c r="E42" t="str">
        <x:v>A04</x:v>
      </x:c>
      <x:c r="F42" t="str">
        <x:v>RFA-E144</x:v>
      </x:c>
      <x:c r="G42" t="str">
        <x:v>RFA-E143</x:v>
      </x:c>
      <x:c r="H42" t="str"/>
      <x:c r="I42" t="str"/>
      <x:c r="J42" t="str"/>
      <x:c r="K42" t="str"/>
      <x:c r="L42" t="str">
        <x:f>IF(J42=1,"PASS","OPEN")</x:f>
        <x:v>OPEN</x:v>
      </x:c>
    </x:row>
    <x:row r="43">
      <x:c r="B43" t="str">
        <x:v>RFA-P037</x:v>
      </x:c>
      <x:c r="C43" t="str">
        <x:v>AF-2-BA</x:v>
      </x:c>
      <x:c r="D43" t="str">
        <x:v>PTC-B</x:v>
      </x:c>
      <x:c r="E43" t="str">
        <x:v>A05</x:v>
      </x:c>
      <x:c r="F43" t="str">
        <x:v>RFA-E145</x:v>
      </x:c>
      <x:c r="G43" t="str">
        <x:v>RFA-E146</x:v>
      </x:c>
      <x:c r="H43" t="str"/>
      <x:c r="I43" t="str"/>
      <x:c r="J43" t="str"/>
      <x:c r="K43" t="str"/>
      <x:c r="L43" t="str">
        <x:f>IF(J43=1,"PASS","OPEN")</x:f>
        <x:v>OPEN</x:v>
      </x:c>
    </x:row>
    <x:row r="44">
      <x:c r="B44" t="str">
        <x:v>RFA-P038</x:v>
      </x:c>
      <x:c r="C44" t="str">
        <x:v>AF-2-BA</x:v>
      </x:c>
      <x:c r="D44" t="str">
        <x:v>PTC-B</x:v>
      </x:c>
      <x:c r="E44" t="str">
        <x:v>A06</x:v>
      </x:c>
      <x:c r="F44" t="str">
        <x:v>RFA-E148</x:v>
      </x:c>
      <x:c r="G44" t="str">
        <x:v>RFA-E147</x:v>
      </x:c>
      <x:c r="H44" t="str"/>
      <x:c r="I44" t="str"/>
      <x:c r="J44" t="str"/>
      <x:c r="K44" t="str"/>
      <x:c r="L44" t="str">
        <x:f>IF(J44=1,"PASS","OPEN")</x:f>
        <x:v>OPEN</x:v>
      </x:c>
    </x:row>
    <x:row r="45">
      <x:c r="B45" t="str">
        <x:v>RFA-P039</x:v>
      </x:c>
      <x:c r="C45" t="str">
        <x:v>AF-2-BA</x:v>
      </x:c>
      <x:c r="D45" t="str">
        <x:v>PTC-B</x:v>
      </x:c>
      <x:c r="E45" t="str">
        <x:v>A07</x:v>
      </x:c>
      <x:c r="F45" t="str">
        <x:v>RFA-E149</x:v>
      </x:c>
      <x:c r="G45" t="str">
        <x:v>RFA-E150</x:v>
      </x:c>
      <x:c r="H45" t="str"/>
      <x:c r="I45" t="str"/>
      <x:c r="J45" t="str"/>
      <x:c r="K45" t="str"/>
      <x:c r="L45" t="str">
        <x:f>IF(J45=1,"PASS","OPEN")</x:f>
        <x:v>OPEN</x:v>
      </x:c>
    </x:row>
    <x:row r="46">
      <x:c r="B46" t="str">
        <x:v>RFA-P040</x:v>
      </x:c>
      <x:c r="C46" t="str">
        <x:v>AF-2-BA</x:v>
      </x:c>
      <x:c r="D46" t="str">
        <x:v>PTC-B</x:v>
      </x:c>
      <x:c r="E46" t="str">
        <x:v>A08</x:v>
      </x:c>
      <x:c r="F46" t="str">
        <x:v>RFA-E152</x:v>
      </x:c>
      <x:c r="G46" t="str">
        <x:v>RFA-E151</x:v>
      </x:c>
      <x:c r="H46" t="str"/>
      <x:c r="I46" t="str"/>
      <x:c r="J46" t="str"/>
      <x:c r="K46" t="str"/>
      <x:c r="L46" t="str">
        <x:f>IF(J46=1,"PASS","OPEN")</x:f>
        <x:v>OPEN</x:v>
      </x:c>
    </x:row>
    <x:row r="47">
      <x:c r="B47" t="str">
        <x:v>RFA-P041</x:v>
      </x:c>
      <x:c r="C47" t="str">
        <x:v>AF-2-BA</x:v>
      </x:c>
      <x:c r="D47" t="str">
        <x:v>PTC-C</x:v>
      </x:c>
      <x:c r="E47" t="str">
        <x:v>A01</x:v>
      </x:c>
      <x:c r="F47" t="str">
        <x:v>RFA-E153</x:v>
      </x:c>
      <x:c r="G47" t="str">
        <x:v>RFA-E154</x:v>
      </x:c>
      <x:c r="H47" t="str"/>
      <x:c r="I47" t="str"/>
      <x:c r="J47" t="str"/>
      <x:c r="K47" t="str"/>
      <x:c r="L47" t="str">
        <x:f>IF(J47=1,"PASS","OPEN")</x:f>
        <x:v>OPEN</x:v>
      </x:c>
    </x:row>
    <x:row r="48">
      <x:c r="B48" t="str">
        <x:v>RFA-P042</x:v>
      </x:c>
      <x:c r="C48" t="str">
        <x:v>AF-2-BA</x:v>
      </x:c>
      <x:c r="D48" t="str">
        <x:v>PTC-C</x:v>
      </x:c>
      <x:c r="E48" t="str">
        <x:v>A02</x:v>
      </x:c>
      <x:c r="F48" t="str">
        <x:v>RFA-E156</x:v>
      </x:c>
      <x:c r="G48" t="str">
        <x:v>RFA-E155</x:v>
      </x:c>
      <x:c r="H48" t="str"/>
      <x:c r="I48" t="str"/>
      <x:c r="J48" t="str"/>
      <x:c r="K48" t="str"/>
      <x:c r="L48" t="str">
        <x:f>IF(J48=1,"PASS","OPEN")</x:f>
        <x:v>OPEN</x:v>
      </x:c>
    </x:row>
    <x:row r="49">
      <x:c r="B49" t="str">
        <x:v>RFA-P043</x:v>
      </x:c>
      <x:c r="C49" t="str">
        <x:v>AF-2-BA</x:v>
      </x:c>
      <x:c r="D49" t="str">
        <x:v>PTC-C</x:v>
      </x:c>
      <x:c r="E49" t="str">
        <x:v>A03</x:v>
      </x:c>
      <x:c r="F49" t="str">
        <x:v>RFA-E157</x:v>
      </x:c>
      <x:c r="G49" t="str">
        <x:v>RFA-E158</x:v>
      </x:c>
      <x:c r="H49" t="str"/>
      <x:c r="I49" t="str"/>
      <x:c r="J49" t="str"/>
      <x:c r="K49" t="str"/>
      <x:c r="L49" t="str">
        <x:f>IF(J49=1,"PASS","OPEN")</x:f>
        <x:v>OPEN</x:v>
      </x:c>
    </x:row>
    <x:row r="50">
      <x:c r="B50" t="str">
        <x:v>RFA-P044</x:v>
      </x:c>
      <x:c r="C50" t="str">
        <x:v>AF-2-BA</x:v>
      </x:c>
      <x:c r="D50" t="str">
        <x:v>PTC-C</x:v>
      </x:c>
      <x:c r="E50" t="str">
        <x:v>A04</x:v>
      </x:c>
      <x:c r="F50" t="str">
        <x:v>RFA-E160</x:v>
      </x:c>
      <x:c r="G50" t="str">
        <x:v>RFA-E159</x:v>
      </x:c>
      <x:c r="H50" t="str"/>
      <x:c r="I50" t="str"/>
      <x:c r="J50" t="str"/>
      <x:c r="K50" t="str"/>
      <x:c r="L50" t="str">
        <x:f>IF(J50=1,"PASS","OPEN")</x:f>
        <x:v>OPEN</x:v>
      </x:c>
    </x:row>
    <x:row r="51">
      <x:c r="B51" t="str">
        <x:v>RFA-P045</x:v>
      </x:c>
      <x:c r="C51" t="str">
        <x:v>AF-2-BA</x:v>
      </x:c>
      <x:c r="D51" t="str">
        <x:v>PTC-C</x:v>
      </x:c>
      <x:c r="E51" t="str">
        <x:v>A05</x:v>
      </x:c>
      <x:c r="F51" t="str">
        <x:v>RFA-E161</x:v>
      </x:c>
      <x:c r="G51" t="str">
        <x:v>RFA-E162</x:v>
      </x:c>
      <x:c r="H51" t="str"/>
      <x:c r="I51" t="str"/>
      <x:c r="J51" t="str"/>
      <x:c r="K51" t="str"/>
      <x:c r="L51" t="str">
        <x:f>IF(J51=1,"PASS","OPEN")</x:f>
        <x:v>OPEN</x:v>
      </x:c>
    </x:row>
    <x:row r="52">
      <x:c r="B52" t="str">
        <x:v>RFA-P046</x:v>
      </x:c>
      <x:c r="C52" t="str">
        <x:v>AF-2-BA</x:v>
      </x:c>
      <x:c r="D52" t="str">
        <x:v>PTC-C</x:v>
      </x:c>
      <x:c r="E52" t="str">
        <x:v>A06</x:v>
      </x:c>
      <x:c r="F52" t="str">
        <x:v>RFA-E164</x:v>
      </x:c>
      <x:c r="G52" t="str">
        <x:v>RFA-E163</x:v>
      </x:c>
      <x:c r="H52" t="str"/>
      <x:c r="I52" t="str"/>
      <x:c r="J52" t="str"/>
      <x:c r="K52" t="str"/>
      <x:c r="L52" t="str">
        <x:f>IF(J52=1,"PASS","OPEN")</x:f>
        <x:v>OPEN</x:v>
      </x:c>
    </x:row>
    <x:row r="53">
      <x:c r="B53" t="str">
        <x:v>RFA-P047</x:v>
      </x:c>
      <x:c r="C53" t="str">
        <x:v>AF-2-BA</x:v>
      </x:c>
      <x:c r="D53" t="str">
        <x:v>PTC-C</x:v>
      </x:c>
      <x:c r="E53" t="str">
        <x:v>A07</x:v>
      </x:c>
      <x:c r="F53" t="str">
        <x:v>RFA-E165</x:v>
      </x:c>
      <x:c r="G53" t="str">
        <x:v>RFA-E166</x:v>
      </x:c>
      <x:c r="H53" t="str"/>
      <x:c r="I53" t="str"/>
      <x:c r="J53" t="str"/>
      <x:c r="K53" t="str"/>
      <x:c r="L53" t="str">
        <x:f>IF(J53=1,"PASS","OPEN")</x:f>
        <x:v>OPEN</x:v>
      </x:c>
    </x:row>
    <x:row r="54">
      <x:c r="B54" t="str">
        <x:v>RFA-P048</x:v>
      </x:c>
      <x:c r="C54" t="str">
        <x:v>AF-2-BA</x:v>
      </x:c>
      <x:c r="D54" t="str">
        <x:v>PTC-C</x:v>
      </x:c>
      <x:c r="E54" t="str">
        <x:v>A08</x:v>
      </x:c>
      <x:c r="F54" t="str">
        <x:v>RFA-E168</x:v>
      </x:c>
      <x:c r="G54" t="str">
        <x:v>RFA-E167</x:v>
      </x:c>
      <x:c r="H54" t="str"/>
      <x:c r="I54" t="str"/>
      <x:c r="J54" t="str"/>
      <x:c r="K54" t="str"/>
      <x:c r="L54" t="str">
        <x:f>IF(J54=1,"PASS","OPEN")</x:f>
        <x:v>OPEN</x:v>
      </x:c>
    </x:row>
    <x:row r="55">
      <x:c r="B55" t="str">
        <x:v>RFA-P049</x:v>
      </x:c>
      <x:c r="C55" t="str">
        <x:v>AF-2-BB</x:v>
      </x:c>
      <x:c r="D55" t="str">
        <x:v>PTC-B</x:v>
      </x:c>
      <x:c r="E55" t="str">
        <x:v>A01</x:v>
      </x:c>
      <x:c r="F55" t="str">
        <x:v>RFA-E169</x:v>
      </x:c>
      <x:c r="G55" t="str">
        <x:v>RFA-E170</x:v>
      </x:c>
      <x:c r="H55" t="str"/>
      <x:c r="I55" t="str"/>
      <x:c r="J55" t="str"/>
      <x:c r="K55" t="str"/>
      <x:c r="L55" t="str">
        <x:f>IF(J55=1,"PASS","OPEN")</x:f>
        <x:v>OPEN</x:v>
      </x:c>
    </x:row>
    <x:row r="56">
      <x:c r="B56" t="str">
        <x:v>RFA-P050</x:v>
      </x:c>
      <x:c r="C56" t="str">
        <x:v>AF-2-BB</x:v>
      </x:c>
      <x:c r="D56" t="str">
        <x:v>PTC-B</x:v>
      </x:c>
      <x:c r="E56" t="str">
        <x:v>A02</x:v>
      </x:c>
      <x:c r="F56" t="str">
        <x:v>RFA-E172</x:v>
      </x:c>
      <x:c r="G56" t="str">
        <x:v>RFA-E171</x:v>
      </x:c>
      <x:c r="H56" t="str"/>
      <x:c r="I56" t="str"/>
      <x:c r="J56" t="str"/>
      <x:c r="K56" t="str"/>
      <x:c r="L56" t="str">
        <x:f>IF(J56=1,"PASS","OPEN")</x:f>
        <x:v>OPEN</x:v>
      </x:c>
    </x:row>
    <x:row r="57">
      <x:c r="B57" t="str">
        <x:v>RFA-P051</x:v>
      </x:c>
      <x:c r="C57" t="str">
        <x:v>AF-2-BB</x:v>
      </x:c>
      <x:c r="D57" t="str">
        <x:v>PTC-B</x:v>
      </x:c>
      <x:c r="E57" t="str">
        <x:v>A03</x:v>
      </x:c>
      <x:c r="F57" t="str">
        <x:v>RFA-E173</x:v>
      </x:c>
      <x:c r="G57" t="str">
        <x:v>RFA-E174</x:v>
      </x:c>
      <x:c r="H57" t="str"/>
      <x:c r="I57" t="str"/>
      <x:c r="J57" t="str"/>
      <x:c r="K57" t="str"/>
      <x:c r="L57" t="str">
        <x:f>IF(J57=1,"PASS","OPEN")</x:f>
        <x:v>OPEN</x:v>
      </x:c>
    </x:row>
    <x:row r="58">
      <x:c r="B58" t="str">
        <x:v>RFA-P052</x:v>
      </x:c>
      <x:c r="C58" t="str">
        <x:v>AF-2-BB</x:v>
      </x:c>
      <x:c r="D58" t="str">
        <x:v>PTC-B</x:v>
      </x:c>
      <x:c r="E58" t="str">
        <x:v>A04</x:v>
      </x:c>
      <x:c r="F58" t="str">
        <x:v>RFA-E176</x:v>
      </x:c>
      <x:c r="G58" t="str">
        <x:v>RFA-E175</x:v>
      </x:c>
      <x:c r="H58" t="str"/>
      <x:c r="I58" t="str"/>
      <x:c r="J58" t="str"/>
      <x:c r="K58" t="str"/>
      <x:c r="L58" t="str">
        <x:f>IF(J58=1,"PASS","OPEN")</x:f>
        <x:v>OPEN</x:v>
      </x:c>
    </x:row>
    <x:row r="59">
      <x:c r="B59" t="str">
        <x:v>RFA-P053</x:v>
      </x:c>
      <x:c r="C59" t="str">
        <x:v>AF-2-BB</x:v>
      </x:c>
      <x:c r="D59" t="str">
        <x:v>PTC-B</x:v>
      </x:c>
      <x:c r="E59" t="str">
        <x:v>A05</x:v>
      </x:c>
      <x:c r="F59" t="str">
        <x:v>RFA-E177</x:v>
      </x:c>
      <x:c r="G59" t="str">
        <x:v>RFA-E178</x:v>
      </x:c>
      <x:c r="H59" t="str"/>
      <x:c r="I59" t="str"/>
      <x:c r="J59" t="str"/>
      <x:c r="K59" t="str"/>
      <x:c r="L59" t="str">
        <x:f>IF(J59=1,"PASS","OPEN")</x:f>
        <x:v>OPEN</x:v>
      </x:c>
    </x:row>
    <x:row r="60">
      <x:c r="B60" t="str">
        <x:v>RFA-P054</x:v>
      </x:c>
      <x:c r="C60" t="str">
        <x:v>AF-2-BB</x:v>
      </x:c>
      <x:c r="D60" t="str">
        <x:v>PTC-B</x:v>
      </x:c>
      <x:c r="E60" t="str">
        <x:v>A06</x:v>
      </x:c>
      <x:c r="F60" t="str">
        <x:v>RFA-E180</x:v>
      </x:c>
      <x:c r="G60" t="str">
        <x:v>RFA-E179</x:v>
      </x:c>
      <x:c r="H60" t="str"/>
      <x:c r="I60" t="str"/>
      <x:c r="J60" t="str"/>
      <x:c r="K60" t="str"/>
      <x:c r="L60" t="str">
        <x:f>IF(J60=1,"PASS","OPEN")</x:f>
        <x:v>OPEN</x:v>
      </x:c>
    </x:row>
    <x:row r="61">
      <x:c r="B61" t="str">
        <x:v>RFA-P055</x:v>
      </x:c>
      <x:c r="C61" t="str">
        <x:v>AF-2-BB</x:v>
      </x:c>
      <x:c r="D61" t="str">
        <x:v>PTC-B</x:v>
      </x:c>
      <x:c r="E61" t="str">
        <x:v>A07</x:v>
      </x:c>
      <x:c r="F61" t="str">
        <x:v>RFA-E181</x:v>
      </x:c>
      <x:c r="G61" t="str">
        <x:v>RFA-E182</x:v>
      </x:c>
      <x:c r="H61" t="str"/>
      <x:c r="I61" t="str"/>
      <x:c r="J61" t="str"/>
      <x:c r="K61" t="str"/>
      <x:c r="L61" t="str">
        <x:f>IF(J61=1,"PASS","OPEN")</x:f>
        <x:v>OPEN</x:v>
      </x:c>
    </x:row>
    <x:row r="62">
      <x:c r="B62" t="str">
        <x:v>RFA-P056</x:v>
      </x:c>
      <x:c r="C62" t="str">
        <x:v>AF-2-BB</x:v>
      </x:c>
      <x:c r="D62" t="str">
        <x:v>PTC-B</x:v>
      </x:c>
      <x:c r="E62" t="str">
        <x:v>A08</x:v>
      </x:c>
      <x:c r="F62" t="str">
        <x:v>RFA-E184</x:v>
      </x:c>
      <x:c r="G62" t="str">
        <x:v>RFA-E183</x:v>
      </x:c>
      <x:c r="H62" t="str"/>
      <x:c r="I62" t="str"/>
      <x:c r="J62" t="str"/>
      <x:c r="K62" t="str"/>
      <x:c r="L62" t="str">
        <x:f>IF(J62=1,"PASS","OPEN")</x:f>
        <x:v>OPEN</x:v>
      </x:c>
    </x:row>
    <x:row r="63">
      <x:c r="B63" t="str">
        <x:v>RFA-P057</x:v>
      </x:c>
      <x:c r="C63" t="str">
        <x:v>AF-2-BB</x:v>
      </x:c>
      <x:c r="D63" t="str">
        <x:v>PTC-C</x:v>
      </x:c>
      <x:c r="E63" t="str">
        <x:v>A01</x:v>
      </x:c>
      <x:c r="F63" t="str">
        <x:v>RFA-E185</x:v>
      </x:c>
      <x:c r="G63" t="str">
        <x:v>RFA-E186</x:v>
      </x:c>
      <x:c r="H63" t="str"/>
      <x:c r="I63" t="str"/>
      <x:c r="J63" t="str"/>
      <x:c r="K63" t="str"/>
      <x:c r="L63" t="str">
        <x:f>IF(J63=1,"PASS","OPEN")</x:f>
        <x:v>OPEN</x:v>
      </x:c>
    </x:row>
    <x:row r="64">
      <x:c r="B64" t="str">
        <x:v>RFA-P058</x:v>
      </x:c>
      <x:c r="C64" t="str">
        <x:v>AF-2-BB</x:v>
      </x:c>
      <x:c r="D64" t="str">
        <x:v>PTC-C</x:v>
      </x:c>
      <x:c r="E64" t="str">
        <x:v>A02</x:v>
      </x:c>
      <x:c r="F64" t="str">
        <x:v>RFA-E188</x:v>
      </x:c>
      <x:c r="G64" t="str">
        <x:v>RFA-E187</x:v>
      </x:c>
      <x:c r="H64" t="str"/>
      <x:c r="I64" t="str"/>
      <x:c r="J64" t="str"/>
      <x:c r="K64" t="str"/>
      <x:c r="L64" t="str">
        <x:f>IF(J64=1,"PASS","OPEN")</x:f>
        <x:v>OPEN</x:v>
      </x:c>
    </x:row>
    <x:row r="65">
      <x:c r="B65" t="str">
        <x:v>RFA-P059</x:v>
      </x:c>
      <x:c r="C65" t="str">
        <x:v>AF-2-BB</x:v>
      </x:c>
      <x:c r="D65" t="str">
        <x:v>PTC-C</x:v>
      </x:c>
      <x:c r="E65" t="str">
        <x:v>A03</x:v>
      </x:c>
      <x:c r="F65" t="str">
        <x:v>RFA-E189</x:v>
      </x:c>
      <x:c r="G65" t="str">
        <x:v>RFA-E190</x:v>
      </x:c>
      <x:c r="H65" t="str"/>
      <x:c r="I65" t="str"/>
      <x:c r="J65" t="str"/>
      <x:c r="K65" t="str"/>
      <x:c r="L65" t="str">
        <x:f>IF(J65=1,"PASS","OPEN")</x:f>
        <x:v>OPEN</x:v>
      </x:c>
    </x:row>
    <x:row r="66">
      <x:c r="B66" t="str">
        <x:v>RFA-P060</x:v>
      </x:c>
      <x:c r="C66" t="str">
        <x:v>AF-2-BB</x:v>
      </x:c>
      <x:c r="D66" t="str">
        <x:v>PTC-C</x:v>
      </x:c>
      <x:c r="E66" t="str">
        <x:v>A04</x:v>
      </x:c>
      <x:c r="F66" t="str">
        <x:v>RFA-E192</x:v>
      </x:c>
      <x:c r="G66" t="str">
        <x:v>RFA-E191</x:v>
      </x:c>
      <x:c r="H66" t="str"/>
      <x:c r="I66" t="str"/>
      <x:c r="J66" t="str"/>
      <x:c r="K66" t="str"/>
      <x:c r="L66" t="str">
        <x:f>IF(J66=1,"PASS","OPEN")</x:f>
        <x:v>OPEN</x:v>
      </x:c>
    </x:row>
    <x:row r="67">
      <x:c r="B67" t="str">
        <x:v>RFA-P061</x:v>
      </x:c>
      <x:c r="C67" t="str">
        <x:v>AF-2-BB</x:v>
      </x:c>
      <x:c r="D67" t="str">
        <x:v>PTC-C</x:v>
      </x:c>
      <x:c r="E67" t="str">
        <x:v>A05</x:v>
      </x:c>
      <x:c r="F67" t="str">
        <x:v>RFA-E193</x:v>
      </x:c>
      <x:c r="G67" t="str">
        <x:v>RFA-E194</x:v>
      </x:c>
      <x:c r="H67" t="str"/>
      <x:c r="I67" t="str"/>
      <x:c r="J67" t="str"/>
      <x:c r="K67" t="str"/>
      <x:c r="L67" t="str">
        <x:f>IF(J67=1,"PASS","OPEN")</x:f>
        <x:v>OPEN</x:v>
      </x:c>
    </x:row>
    <x:row r="68">
      <x:c r="B68" t="str">
        <x:v>RFA-P062</x:v>
      </x:c>
      <x:c r="C68" t="str">
        <x:v>AF-2-BB</x:v>
      </x:c>
      <x:c r="D68" t="str">
        <x:v>PTC-C</x:v>
      </x:c>
      <x:c r="E68" t="str">
        <x:v>A06</x:v>
      </x:c>
      <x:c r="F68" t="str">
        <x:v>RFA-E196</x:v>
      </x:c>
      <x:c r="G68" t="str">
        <x:v>RFA-E195</x:v>
      </x:c>
      <x:c r="H68" t="str"/>
      <x:c r="I68" t="str"/>
      <x:c r="J68" t="str"/>
      <x:c r="K68" t="str"/>
      <x:c r="L68" t="str">
        <x:f>IF(J68=1,"PASS","OPEN")</x:f>
        <x:v>OPEN</x:v>
      </x:c>
    </x:row>
    <x:row r="69">
      <x:c r="B69" t="str">
        <x:v>RFA-P063</x:v>
      </x:c>
      <x:c r="C69" t="str">
        <x:v>AF-2-BB</x:v>
      </x:c>
      <x:c r="D69" t="str">
        <x:v>PTC-C</x:v>
      </x:c>
      <x:c r="E69" t="str">
        <x:v>A07</x:v>
      </x:c>
      <x:c r="F69" t="str">
        <x:v>RFA-E197</x:v>
      </x:c>
      <x:c r="G69" t="str">
        <x:v>RFA-E198</x:v>
      </x:c>
      <x:c r="H69" t="str"/>
      <x:c r="I69" t="str"/>
      <x:c r="J69" t="str"/>
      <x:c r="K69" t="str"/>
      <x:c r="L69" t="str">
        <x:f>IF(J69=1,"PASS","OPEN")</x:f>
        <x:v>OPEN</x:v>
      </x:c>
    </x:row>
    <x:row r="70">
      <x:c r="B70" t="str">
        <x:v>RFA-P064</x:v>
      </x:c>
      <x:c r="C70" t="str">
        <x:v>AF-2-BB</x:v>
      </x:c>
      <x:c r="D70" t="str">
        <x:v>PTC-C</x:v>
      </x:c>
      <x:c r="E70" t="str">
        <x:v>A08</x:v>
      </x:c>
      <x:c r="F70" t="str">
        <x:v>RFA-E200</x:v>
      </x:c>
      <x:c r="G70" t="str">
        <x:v>RFA-E199</x:v>
      </x:c>
      <x:c r="H70" t="str"/>
      <x:c r="I70" t="str"/>
      <x:c r="J70" t="str"/>
      <x:c r="K70" t="str"/>
      <x:c r="L70" t="str">
        <x:f>IF(J70=1,"PASS","OPEN")</x:f>
        <x:v>OPEN</x:v>
      </x:c>
    </x:row>
    <x:row r="71">
      <x:c r="B71" t="str">
        <x:v>RFA-P065</x:v>
      </x:c>
      <x:c r="C71" t="str">
        <x:v>AF-3-BA</x:v>
      </x:c>
      <x:c r="D71" t="str">
        <x:v>PTC-B</x:v>
      </x:c>
      <x:c r="E71" t="str">
        <x:v>A01</x:v>
      </x:c>
      <x:c r="F71" t="str">
        <x:v>RFA-E201</x:v>
      </x:c>
      <x:c r="G71" t="str">
        <x:v>RFA-E202</x:v>
      </x:c>
      <x:c r="H71" t="str"/>
      <x:c r="I71" t="str"/>
      <x:c r="J71" t="str"/>
      <x:c r="K71" t="str"/>
      <x:c r="L71" t="str">
        <x:f>IF(J71=1,"PASS","OPEN")</x:f>
        <x:v>OPEN</x:v>
      </x:c>
    </x:row>
    <x:row r="72">
      <x:c r="B72" t="str">
        <x:v>RFA-P066</x:v>
      </x:c>
      <x:c r="C72" t="str">
        <x:v>AF-3-BA</x:v>
      </x:c>
      <x:c r="D72" t="str">
        <x:v>PTC-B</x:v>
      </x:c>
      <x:c r="E72" t="str">
        <x:v>A02</x:v>
      </x:c>
      <x:c r="F72" t="str">
        <x:v>RFA-E204</x:v>
      </x:c>
      <x:c r="G72" t="str">
        <x:v>RFA-E203</x:v>
      </x:c>
      <x:c r="H72" t="str"/>
      <x:c r="I72" t="str"/>
      <x:c r="J72" t="str"/>
      <x:c r="K72" t="str"/>
      <x:c r="L72" t="str">
        <x:f>IF(J72=1,"PASS","OPEN")</x:f>
        <x:v>OPEN</x:v>
      </x:c>
    </x:row>
    <x:row r="73">
      <x:c r="B73" t="str">
        <x:v>RFA-P067</x:v>
      </x:c>
      <x:c r="C73" t="str">
        <x:v>AF-3-BA</x:v>
      </x:c>
      <x:c r="D73" t="str">
        <x:v>PTC-B</x:v>
      </x:c>
      <x:c r="E73" t="str">
        <x:v>A03</x:v>
      </x:c>
      <x:c r="F73" t="str">
        <x:v>RFA-E205</x:v>
      </x:c>
      <x:c r="G73" t="str">
        <x:v>RFA-E206</x:v>
      </x:c>
      <x:c r="H73" t="str"/>
      <x:c r="I73" t="str"/>
      <x:c r="J73" t="str"/>
      <x:c r="K73" t="str"/>
      <x:c r="L73" t="str">
        <x:f>IF(J73=1,"PASS","OPEN")</x:f>
        <x:v>OPEN</x:v>
      </x:c>
    </x:row>
    <x:row r="74">
      <x:c r="B74" t="str">
        <x:v>RFA-P068</x:v>
      </x:c>
      <x:c r="C74" t="str">
        <x:v>AF-3-BA</x:v>
      </x:c>
      <x:c r="D74" t="str">
        <x:v>PTC-B</x:v>
      </x:c>
      <x:c r="E74" t="str">
        <x:v>A04</x:v>
      </x:c>
      <x:c r="F74" t="str">
        <x:v>RFA-E208</x:v>
      </x:c>
      <x:c r="G74" t="str">
        <x:v>RFA-E207</x:v>
      </x:c>
      <x:c r="H74" t="str"/>
      <x:c r="I74" t="str"/>
      <x:c r="J74" t="str"/>
      <x:c r="K74" t="str"/>
      <x:c r="L74" t="str">
        <x:f>IF(J74=1,"PASS","OPEN")</x:f>
        <x:v>OPEN</x:v>
      </x:c>
    </x:row>
    <x:row r="75">
      <x:c r="B75" t="str">
        <x:v>RFA-P069</x:v>
      </x:c>
      <x:c r="C75" t="str">
        <x:v>AF-3-BA</x:v>
      </x:c>
      <x:c r="D75" t="str">
        <x:v>PTC-B</x:v>
      </x:c>
      <x:c r="E75" t="str">
        <x:v>A05</x:v>
      </x:c>
      <x:c r="F75" t="str">
        <x:v>RFA-E209</x:v>
      </x:c>
      <x:c r="G75" t="str">
        <x:v>RFA-E210</x:v>
      </x:c>
      <x:c r="H75" t="str"/>
      <x:c r="I75" t="str"/>
      <x:c r="J75" t="str"/>
      <x:c r="K75" t="str"/>
      <x:c r="L75" t="str">
        <x:f>IF(J75=1,"PASS","OPEN")</x:f>
        <x:v>OPEN</x:v>
      </x:c>
    </x:row>
    <x:row r="76">
      <x:c r="B76" t="str">
        <x:v>RFA-P070</x:v>
      </x:c>
      <x:c r="C76" t="str">
        <x:v>AF-3-BA</x:v>
      </x:c>
      <x:c r="D76" t="str">
        <x:v>PTC-B</x:v>
      </x:c>
      <x:c r="E76" t="str">
        <x:v>A06</x:v>
      </x:c>
      <x:c r="F76" t="str">
        <x:v>RFA-E212</x:v>
      </x:c>
      <x:c r="G76" t="str">
        <x:v>RFA-E211</x:v>
      </x:c>
      <x:c r="H76" t="str"/>
      <x:c r="I76" t="str"/>
      <x:c r="J76" t="str"/>
      <x:c r="K76" t="str"/>
      <x:c r="L76" t="str">
        <x:f>IF(J76=1,"PASS","OPEN")</x:f>
        <x:v>OPEN</x:v>
      </x:c>
    </x:row>
    <x:row r="77">
      <x:c r="B77" t="str">
        <x:v>RFA-P071</x:v>
      </x:c>
      <x:c r="C77" t="str">
        <x:v>AF-3-BA</x:v>
      </x:c>
      <x:c r="D77" t="str">
        <x:v>PTC-B</x:v>
      </x:c>
      <x:c r="E77" t="str">
        <x:v>A07</x:v>
      </x:c>
      <x:c r="F77" t="str">
        <x:v>RFA-E213</x:v>
      </x:c>
      <x:c r="G77" t="str">
        <x:v>RFA-E214</x:v>
      </x:c>
      <x:c r="H77" t="str"/>
      <x:c r="I77" t="str"/>
      <x:c r="J77" t="str"/>
      <x:c r="K77" t="str"/>
      <x:c r="L77" t="str">
        <x:f>IF(J77=1,"PASS","OPEN")</x:f>
        <x:v>OPEN</x:v>
      </x:c>
    </x:row>
    <x:row r="78">
      <x:c r="B78" t="str">
        <x:v>RFA-P072</x:v>
      </x:c>
      <x:c r="C78" t="str">
        <x:v>AF-3-BA</x:v>
      </x:c>
      <x:c r="D78" t="str">
        <x:v>PTC-B</x:v>
      </x:c>
      <x:c r="E78" t="str">
        <x:v>A08</x:v>
      </x:c>
      <x:c r="F78" t="str">
        <x:v>RFA-E216</x:v>
      </x:c>
      <x:c r="G78" t="str">
        <x:v>RFA-E215</x:v>
      </x:c>
      <x:c r="H78" t="str"/>
      <x:c r="I78" t="str"/>
      <x:c r="J78" t="str"/>
      <x:c r="K78" t="str"/>
      <x:c r="L78" t="str">
        <x:f>IF(J78=1,"PASS","OPEN")</x:f>
        <x:v>OPEN</x:v>
      </x:c>
    </x:row>
    <x:row r="79">
      <x:c r="B79" t="str">
        <x:v>RFA-P073</x:v>
      </x:c>
      <x:c r="C79" t="str">
        <x:v>AF-3-BA</x:v>
      </x:c>
      <x:c r="D79" t="str">
        <x:v>PTC-C</x:v>
      </x:c>
      <x:c r="E79" t="str">
        <x:v>A01</x:v>
      </x:c>
      <x:c r="F79" t="str">
        <x:v>RFA-E217</x:v>
      </x:c>
      <x:c r="G79" t="str">
        <x:v>RFA-E218</x:v>
      </x:c>
      <x:c r="H79" t="str"/>
      <x:c r="I79" t="str"/>
      <x:c r="J79" t="str"/>
      <x:c r="K79" t="str"/>
      <x:c r="L79" t="str">
        <x:f>IF(J79=1,"PASS","OPEN")</x:f>
        <x:v>OPEN</x:v>
      </x:c>
    </x:row>
    <x:row r="80">
      <x:c r="B80" t="str">
        <x:v>RFA-P074</x:v>
      </x:c>
      <x:c r="C80" t="str">
        <x:v>AF-3-BA</x:v>
      </x:c>
      <x:c r="D80" t="str">
        <x:v>PTC-C</x:v>
      </x:c>
      <x:c r="E80" t="str">
        <x:v>A02</x:v>
      </x:c>
      <x:c r="F80" t="str">
        <x:v>RFA-E220</x:v>
      </x:c>
      <x:c r="G80" t="str">
        <x:v>RFA-E219</x:v>
      </x:c>
      <x:c r="H80" t="str"/>
      <x:c r="I80" t="str"/>
      <x:c r="J80" t="str"/>
      <x:c r="K80" t="str"/>
      <x:c r="L80" t="str">
        <x:f>IF(J80=1,"PASS","OPEN")</x:f>
        <x:v>OPEN</x:v>
      </x:c>
    </x:row>
    <x:row r="81">
      <x:c r="B81" t="str">
        <x:v>RFA-P075</x:v>
      </x:c>
      <x:c r="C81" t="str">
        <x:v>AF-3-BA</x:v>
      </x:c>
      <x:c r="D81" t="str">
        <x:v>PTC-C</x:v>
      </x:c>
      <x:c r="E81" t="str">
        <x:v>A03</x:v>
      </x:c>
      <x:c r="F81" t="str">
        <x:v>RFA-E221</x:v>
      </x:c>
      <x:c r="G81" t="str">
        <x:v>RFA-E222</x:v>
      </x:c>
      <x:c r="H81" t="str"/>
      <x:c r="I81" t="str"/>
      <x:c r="J81" t="str"/>
      <x:c r="K81" t="str"/>
      <x:c r="L81" t="str">
        <x:f>IF(J81=1,"PASS","OPEN")</x:f>
        <x:v>OPEN</x:v>
      </x:c>
    </x:row>
    <x:row r="82">
      <x:c r="B82" t="str">
        <x:v>RFA-P076</x:v>
      </x:c>
      <x:c r="C82" t="str">
        <x:v>AF-3-BA</x:v>
      </x:c>
      <x:c r="D82" t="str">
        <x:v>PTC-C</x:v>
      </x:c>
      <x:c r="E82" t="str">
        <x:v>A04</x:v>
      </x:c>
      <x:c r="F82" t="str">
        <x:v>RFA-E224</x:v>
      </x:c>
      <x:c r="G82" t="str">
        <x:v>RFA-E223</x:v>
      </x:c>
      <x:c r="H82" t="str"/>
      <x:c r="I82" t="str"/>
      <x:c r="J82" t="str"/>
      <x:c r="K82" t="str"/>
      <x:c r="L82" t="str">
        <x:f>IF(J82=1,"PASS","OPEN")</x:f>
        <x:v>OPEN</x:v>
      </x:c>
    </x:row>
    <x:row r="83">
      <x:c r="B83" t="str">
        <x:v>RFA-P077</x:v>
      </x:c>
      <x:c r="C83" t="str">
        <x:v>AF-3-BA</x:v>
      </x:c>
      <x:c r="D83" t="str">
        <x:v>PTC-C</x:v>
      </x:c>
      <x:c r="E83" t="str">
        <x:v>A05</x:v>
      </x:c>
      <x:c r="F83" t="str">
        <x:v>RFA-E225</x:v>
      </x:c>
      <x:c r="G83" t="str">
        <x:v>RFA-E226</x:v>
      </x:c>
      <x:c r="H83" t="str"/>
      <x:c r="I83" t="str"/>
      <x:c r="J83" t="str"/>
      <x:c r="K83" t="str"/>
      <x:c r="L83" t="str">
        <x:f>IF(J83=1,"PASS","OPEN")</x:f>
        <x:v>OPEN</x:v>
      </x:c>
    </x:row>
    <x:row r="84">
      <x:c r="B84" t="str">
        <x:v>RFA-P078</x:v>
      </x:c>
      <x:c r="C84" t="str">
        <x:v>AF-3-BA</x:v>
      </x:c>
      <x:c r="D84" t="str">
        <x:v>PTC-C</x:v>
      </x:c>
      <x:c r="E84" t="str">
        <x:v>A06</x:v>
      </x:c>
      <x:c r="F84" t="str">
        <x:v>RFA-E228</x:v>
      </x:c>
      <x:c r="G84" t="str">
        <x:v>RFA-E227</x:v>
      </x:c>
      <x:c r="H84" t="str"/>
      <x:c r="I84" t="str"/>
      <x:c r="J84" t="str"/>
      <x:c r="K84" t="str"/>
      <x:c r="L84" t="str">
        <x:f>IF(J84=1,"PASS","OPEN")</x:f>
        <x:v>OPEN</x:v>
      </x:c>
    </x:row>
    <x:row r="85">
      <x:c r="B85" t="str">
        <x:v>RFA-P079</x:v>
      </x:c>
      <x:c r="C85" t="str">
        <x:v>AF-3-BA</x:v>
      </x:c>
      <x:c r="D85" t="str">
        <x:v>PTC-C</x:v>
      </x:c>
      <x:c r="E85" t="str">
        <x:v>A07</x:v>
      </x:c>
      <x:c r="F85" t="str">
        <x:v>RFA-E229</x:v>
      </x:c>
      <x:c r="G85" t="str">
        <x:v>RFA-E230</x:v>
      </x:c>
      <x:c r="H85" t="str"/>
      <x:c r="I85" t="str"/>
      <x:c r="J85" t="str"/>
      <x:c r="K85" t="str"/>
      <x:c r="L85" t="str">
        <x:f>IF(J85=1,"PASS","OPEN")</x:f>
        <x:v>OPEN</x:v>
      </x:c>
    </x:row>
    <x:row r="86">
      <x:c r="B86" t="str">
        <x:v>RFA-P080</x:v>
      </x:c>
      <x:c r="C86" t="str">
        <x:v>AF-3-BA</x:v>
      </x:c>
      <x:c r="D86" t="str">
        <x:v>PTC-C</x:v>
      </x:c>
      <x:c r="E86" t="str">
        <x:v>A08</x:v>
      </x:c>
      <x:c r="F86" t="str">
        <x:v>RFA-E232</x:v>
      </x:c>
      <x:c r="G86" t="str">
        <x:v>RFA-E231</x:v>
      </x:c>
      <x:c r="H86" t="str"/>
      <x:c r="I86" t="str"/>
      <x:c r="J86" t="str"/>
      <x:c r="K86" t="str"/>
      <x:c r="L86" t="str">
        <x:f>IF(J86=1,"PASS","OPEN")</x:f>
        <x:v>OPEN</x:v>
      </x:c>
    </x:row>
    <x:row r="87">
      <x:c r="B87" t="str">
        <x:v>RFA-P081</x:v>
      </x:c>
      <x:c r="C87" t="str">
        <x:v>AF-3-BB</x:v>
      </x:c>
      <x:c r="D87" t="str">
        <x:v>PTC-B</x:v>
      </x:c>
      <x:c r="E87" t="str">
        <x:v>A01</x:v>
      </x:c>
      <x:c r="F87" t="str">
        <x:v>RFA-E233</x:v>
      </x:c>
      <x:c r="G87" t="str">
        <x:v>RFA-E234</x:v>
      </x:c>
      <x:c r="H87" t="str"/>
      <x:c r="I87" t="str"/>
      <x:c r="J87" t="str"/>
      <x:c r="K87" t="str"/>
      <x:c r="L87" t="str">
        <x:f>IF(J87=1,"PASS","OPEN")</x:f>
        <x:v>OPEN</x:v>
      </x:c>
    </x:row>
    <x:row r="88">
      <x:c r="B88" t="str">
        <x:v>RFA-P082</x:v>
      </x:c>
      <x:c r="C88" t="str">
        <x:v>AF-3-BB</x:v>
      </x:c>
      <x:c r="D88" t="str">
        <x:v>PTC-B</x:v>
      </x:c>
      <x:c r="E88" t="str">
        <x:v>A02</x:v>
      </x:c>
      <x:c r="F88" t="str">
        <x:v>RFA-E236</x:v>
      </x:c>
      <x:c r="G88" t="str">
        <x:v>RFA-E235</x:v>
      </x:c>
      <x:c r="H88" t="str"/>
      <x:c r="I88" t="str"/>
      <x:c r="J88" t="str"/>
      <x:c r="K88" t="str"/>
      <x:c r="L88" t="str">
        <x:f>IF(J88=1,"PASS","OPEN")</x:f>
        <x:v>OPEN</x:v>
      </x:c>
    </x:row>
    <x:row r="89">
      <x:c r="B89" t="str">
        <x:v>RFA-P083</x:v>
      </x:c>
      <x:c r="C89" t="str">
        <x:v>AF-3-BB</x:v>
      </x:c>
      <x:c r="D89" t="str">
        <x:v>PTC-B</x:v>
      </x:c>
      <x:c r="E89" t="str">
        <x:v>A03</x:v>
      </x:c>
      <x:c r="F89" t="str">
        <x:v>RFA-E237</x:v>
      </x:c>
      <x:c r="G89" t="str">
        <x:v>RFA-E238</x:v>
      </x:c>
      <x:c r="H89" t="str"/>
      <x:c r="I89" t="str"/>
      <x:c r="J89" t="str"/>
      <x:c r="K89" t="str"/>
      <x:c r="L89" t="str">
        <x:f>IF(J89=1,"PASS","OPEN")</x:f>
        <x:v>OPEN</x:v>
      </x:c>
    </x:row>
    <x:row r="90">
      <x:c r="B90" t="str">
        <x:v>RFA-P084</x:v>
      </x:c>
      <x:c r="C90" t="str">
        <x:v>AF-3-BB</x:v>
      </x:c>
      <x:c r="D90" t="str">
        <x:v>PTC-B</x:v>
      </x:c>
      <x:c r="E90" t="str">
        <x:v>A04</x:v>
      </x:c>
      <x:c r="F90" t="str">
        <x:v>RFA-E240</x:v>
      </x:c>
      <x:c r="G90" t="str">
        <x:v>RFA-E239</x:v>
      </x:c>
      <x:c r="H90" t="str"/>
      <x:c r="I90" t="str"/>
      <x:c r="J90" t="str"/>
      <x:c r="K90" t="str"/>
      <x:c r="L90" t="str">
        <x:f>IF(J90=1,"PASS","OPEN")</x:f>
        <x:v>OPEN</x:v>
      </x:c>
    </x:row>
    <x:row r="91">
      <x:c r="B91" t="str">
        <x:v>RFA-P085</x:v>
      </x:c>
      <x:c r="C91" t="str">
        <x:v>AF-3-BB</x:v>
      </x:c>
      <x:c r="D91" t="str">
        <x:v>PTC-B</x:v>
      </x:c>
      <x:c r="E91" t="str">
        <x:v>A05</x:v>
      </x:c>
      <x:c r="F91" t="str">
        <x:v>RFA-E241</x:v>
      </x:c>
      <x:c r="G91" t="str">
        <x:v>RFA-E242</x:v>
      </x:c>
      <x:c r="H91" t="str"/>
      <x:c r="I91" t="str"/>
      <x:c r="J91" t="str"/>
      <x:c r="K91" t="str"/>
      <x:c r="L91" t="str">
        <x:f>IF(J91=1,"PASS","OPEN")</x:f>
        <x:v>OPEN</x:v>
      </x:c>
    </x:row>
    <x:row r="92">
      <x:c r="B92" t="str">
        <x:v>RFA-P086</x:v>
      </x:c>
      <x:c r="C92" t="str">
        <x:v>AF-3-BB</x:v>
      </x:c>
      <x:c r="D92" t="str">
        <x:v>PTC-B</x:v>
      </x:c>
      <x:c r="E92" t="str">
        <x:v>A06</x:v>
      </x:c>
      <x:c r="F92" t="str">
        <x:v>RFA-E244</x:v>
      </x:c>
      <x:c r="G92" t="str">
        <x:v>RFA-E243</x:v>
      </x:c>
      <x:c r="H92" t="str"/>
      <x:c r="I92" t="str"/>
      <x:c r="J92" t="str"/>
      <x:c r="K92" t="str"/>
      <x:c r="L92" t="str">
        <x:f>IF(J92=1,"PASS","OPEN")</x:f>
        <x:v>OPEN</x:v>
      </x:c>
    </x:row>
    <x:row r="93">
      <x:c r="B93" t="str">
        <x:v>RFA-P087</x:v>
      </x:c>
      <x:c r="C93" t="str">
        <x:v>AF-3-BB</x:v>
      </x:c>
      <x:c r="D93" t="str">
        <x:v>PTC-B</x:v>
      </x:c>
      <x:c r="E93" t="str">
        <x:v>A07</x:v>
      </x:c>
      <x:c r="F93" t="str">
        <x:v>RFA-E245</x:v>
      </x:c>
      <x:c r="G93" t="str">
        <x:v>RFA-E246</x:v>
      </x:c>
      <x:c r="H93" t="str"/>
      <x:c r="I93" t="str"/>
      <x:c r="J93" t="str"/>
      <x:c r="K93" t="str"/>
      <x:c r="L93" t="str">
        <x:f>IF(J93=1,"PASS","OPEN")</x:f>
        <x:v>OPEN</x:v>
      </x:c>
    </x:row>
    <x:row r="94">
      <x:c r="B94" t="str">
        <x:v>RFA-P088</x:v>
      </x:c>
      <x:c r="C94" t="str">
        <x:v>AF-3-BB</x:v>
      </x:c>
      <x:c r="D94" t="str">
        <x:v>PTC-B</x:v>
      </x:c>
      <x:c r="E94" t="str">
        <x:v>A08</x:v>
      </x:c>
      <x:c r="F94" t="str">
        <x:v>RFA-E248</x:v>
      </x:c>
      <x:c r="G94" t="str">
        <x:v>RFA-E247</x:v>
      </x:c>
      <x:c r="H94" t="str"/>
      <x:c r="I94" t="str"/>
      <x:c r="J94" t="str"/>
      <x:c r="K94" t="str"/>
      <x:c r="L94" t="str">
        <x:f>IF(J94=1,"PASS","OPEN")</x:f>
        <x:v>OPEN</x:v>
      </x:c>
    </x:row>
    <x:row r="95">
      <x:c r="B95" t="str">
        <x:v>RFA-P089</x:v>
      </x:c>
      <x:c r="C95" t="str">
        <x:v>AF-3-BB</x:v>
      </x:c>
      <x:c r="D95" t="str">
        <x:v>PTC-C</x:v>
      </x:c>
      <x:c r="E95" t="str">
        <x:v>A01</x:v>
      </x:c>
      <x:c r="F95" t="str">
        <x:v>RFA-E249</x:v>
      </x:c>
      <x:c r="G95" t="str">
        <x:v>RFA-E250</x:v>
      </x:c>
      <x:c r="H95" t="str"/>
      <x:c r="I95" t="str"/>
      <x:c r="J95" t="str"/>
      <x:c r="K95" t="str"/>
      <x:c r="L95" t="str">
        <x:f>IF(J95=1,"PASS","OPEN")</x:f>
        <x:v>OPEN</x:v>
      </x:c>
    </x:row>
    <x:row r="96">
      <x:c r="B96" t="str">
        <x:v>RFA-P090</x:v>
      </x:c>
      <x:c r="C96" t="str">
        <x:v>AF-3-BB</x:v>
      </x:c>
      <x:c r="D96" t="str">
        <x:v>PTC-C</x:v>
      </x:c>
      <x:c r="E96" t="str">
        <x:v>A02</x:v>
      </x:c>
      <x:c r="F96" t="str">
        <x:v>RFA-E252</x:v>
      </x:c>
      <x:c r="G96" t="str">
        <x:v>RFA-E251</x:v>
      </x:c>
      <x:c r="H96" t="str"/>
      <x:c r="I96" t="str"/>
      <x:c r="J96" t="str"/>
      <x:c r="K96" t="str"/>
      <x:c r="L96" t="str">
        <x:f>IF(J96=1,"PASS","OPEN")</x:f>
        <x:v>OPEN</x:v>
      </x:c>
    </x:row>
    <x:row r="97">
      <x:c r="B97" t="str">
        <x:v>RFA-P091</x:v>
      </x:c>
      <x:c r="C97" t="str">
        <x:v>AF-3-BB</x:v>
      </x:c>
      <x:c r="D97" t="str">
        <x:v>PTC-C</x:v>
      </x:c>
      <x:c r="E97" t="str">
        <x:v>A03</x:v>
      </x:c>
      <x:c r="F97" t="str">
        <x:v>RFA-E253</x:v>
      </x:c>
      <x:c r="G97" t="str">
        <x:v>RFA-E254</x:v>
      </x:c>
      <x:c r="H97" t="str"/>
      <x:c r="I97" t="str"/>
      <x:c r="J97" t="str"/>
      <x:c r="K97" t="str"/>
      <x:c r="L97" t="str">
        <x:f>IF(J97=1,"PASS","OPEN")</x:f>
        <x:v>OPEN</x:v>
      </x:c>
    </x:row>
    <x:row r="98">
      <x:c r="B98" t="str">
        <x:v>RFA-P092</x:v>
      </x:c>
      <x:c r="C98" t="str">
        <x:v>AF-3-BB</x:v>
      </x:c>
      <x:c r="D98" t="str">
        <x:v>PTC-C</x:v>
      </x:c>
      <x:c r="E98" t="str">
        <x:v>A04</x:v>
      </x:c>
      <x:c r="F98" t="str">
        <x:v>RFA-E256</x:v>
      </x:c>
      <x:c r="G98" t="str">
        <x:v>RFA-E255</x:v>
      </x:c>
      <x:c r="H98" t="str"/>
      <x:c r="I98" t="str"/>
      <x:c r="J98" t="str"/>
      <x:c r="K98" t="str"/>
      <x:c r="L98" t="str">
        <x:f>IF(J98=1,"PASS","OPEN")</x:f>
        <x:v>OPEN</x:v>
      </x:c>
    </x:row>
    <x:row r="99">
      <x:c r="B99" t="str">
        <x:v>RFA-P093</x:v>
      </x:c>
      <x:c r="C99" t="str">
        <x:v>AF-3-BB</x:v>
      </x:c>
      <x:c r="D99" t="str">
        <x:v>PTC-C</x:v>
      </x:c>
      <x:c r="E99" t="str">
        <x:v>A05</x:v>
      </x:c>
      <x:c r="F99" t="str">
        <x:v>RFA-E257</x:v>
      </x:c>
      <x:c r="G99" t="str">
        <x:v>RFA-E258</x:v>
      </x:c>
      <x:c r="H99" t="str"/>
      <x:c r="I99" t="str"/>
      <x:c r="J99" t="str"/>
      <x:c r="K99" t="str"/>
      <x:c r="L99" t="str">
        <x:f>IF(J99=1,"PASS","OPEN")</x:f>
        <x:v>OPEN</x:v>
      </x:c>
    </x:row>
    <x:row r="100">
      <x:c r="B100" t="str">
        <x:v>RFA-P094</x:v>
      </x:c>
      <x:c r="C100" t="str">
        <x:v>AF-3-BB</x:v>
      </x:c>
      <x:c r="D100" t="str">
        <x:v>PTC-C</x:v>
      </x:c>
      <x:c r="E100" t="str">
        <x:v>A06</x:v>
      </x:c>
      <x:c r="F100" t="str">
        <x:v>RFA-E260</x:v>
      </x:c>
      <x:c r="G100" t="str">
        <x:v>RFA-E259</x:v>
      </x:c>
      <x:c r="H100" t="str"/>
      <x:c r="I100" t="str"/>
      <x:c r="J100" t="str"/>
      <x:c r="K100" t="str"/>
      <x:c r="L100" t="str">
        <x:f>IF(J100=1,"PASS","OPEN")</x:f>
        <x:v>OPEN</x:v>
      </x:c>
    </x:row>
    <x:row r="101">
      <x:c r="B101" t="str">
        <x:v>RFA-P095</x:v>
      </x:c>
      <x:c r="C101" t="str">
        <x:v>AF-3-BB</x:v>
      </x:c>
      <x:c r="D101" t="str">
        <x:v>PTC-C</x:v>
      </x:c>
      <x:c r="E101" t="str">
        <x:v>A07</x:v>
      </x:c>
      <x:c r="F101" t="str">
        <x:v>RFA-E261</x:v>
      </x:c>
      <x:c r="G101" t="str">
        <x:v>RFA-E262</x:v>
      </x:c>
      <x:c r="H101" t="str"/>
      <x:c r="I101" t="str"/>
      <x:c r="J101" t="str"/>
      <x:c r="K101" t="str"/>
      <x:c r="L101" t="str">
        <x:f>IF(J101=1,"PASS","OPEN")</x:f>
        <x:v>OPEN</x:v>
      </x:c>
    </x:row>
    <x:row r="102">
      <x:c r="B102" t="str">
        <x:v>RFA-P096</x:v>
      </x:c>
      <x:c r="C102" t="str">
        <x:v>AF-3-BB</x:v>
      </x:c>
      <x:c r="D102" t="str">
        <x:v>PTC-C</x:v>
      </x:c>
      <x:c r="E102" t="str">
        <x:v>A08</x:v>
      </x:c>
      <x:c r="F102" t="str">
        <x:v>RFA-E264</x:v>
      </x:c>
      <x:c r="G102" t="str">
        <x:v>RFA-E263</x:v>
      </x:c>
      <x:c r="H102" t="str"/>
      <x:c r="I102" t="str"/>
      <x:c r="J102" t="str"/>
      <x:c r="K102" t="str"/>
      <x:c r="L102" t="str">
        <x:f>IF(J102=1,"PASS","OPEN")</x:f>
        <x:v>OPEN</x:v>
      </x:c>
    </x:row>
  </x:sheetData>
  <x:conditionalFormatting sqref="L7:L102">
    <x:cfRule type="containsText" dxfId="32" priority="1" operator="containsText" text="FAIL"/>
    <x:cfRule type="containsText" dxfId="33" priority="2" operator="containsText" text="BLOCKED"/>
    <x:cfRule type="containsText" dxfId="34" priority="3" operator="containsText" text="REOPEN"/>
    <x:cfRule type="containsText" dxfId="35" priority="4" operator="containsText" text="OVERFLOW"/>
    <x:cfRule type="containsText" dxfId="36" priority="5" operator="containsText" text="OPEN"/>
    <x:cfRule type="containsText" dxfId="37" priority="6" operator="containsText" text="GAP"/>
    <x:cfRule type="containsText" dxfId="38" priority="7" operator="containsText" text="PASS"/>
    <x:cfRule type="containsText" dxfId="39" priority="8" operator="containsText" text="INVALI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15" hidden="0" customWidth="1"/>
  </x:cols>
  <x:sheetData>
    <x:row r="2">
      <x:c r="B2" s="1" t="str">
        <x:v>Gravity-drain planning screens</x:v>
      </x:c>
    </x:row>
    <x:row r="3">
      <x:c r="B3" s="2" t="str">
        <x:v>Bulk orifice screens expose scale; they do not establish transient, debris, vapor or fire performance.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Candidate</x:v>
      </x:c>
      <x:c r="C6" s="7" t="str">
        <x:v>Case</x:v>
      </x:c>
      <x:c r="D6" s="7" t="str">
        <x:v>Base area m2</x:v>
      </x:c>
      <x:c r="E6" s="7" t="str">
        <x:v>Area factor</x:v>
      </x:c>
      <x:c r="F6" s="7" t="str">
        <x:v>Base head m</x:v>
      </x:c>
      <x:c r="G6" s="7" t="str">
        <x:v>Head factor</x:v>
      </x:c>
      <x:c r="H6" s="7" t="str">
        <x:v>Coefficient</x:v>
      </x:c>
      <x:c r="I6" s="7" t="str">
        <x:v>Flow m3/s</x:v>
      </x:c>
      <x:c r="J6" s="7" t="str">
        <x:v>Mass kg/s</x:v>
      </x:c>
      <x:c r="K6" s="7" t="str">
        <x:v>Margin kg/s</x:v>
      </x:c>
      <x:c r="L6" s="7" t="str">
        <x:v>Screen</x:v>
      </x:c>
    </x:row>
    <x:row r="7">
      <x:c r="B7" t="str">
        <x:v>AF-1</x:v>
      </x:c>
      <x:c r="C7" t="str">
        <x:v>open</x:v>
      </x:c>
      <x:c r="D7" s="16" t="n">
        <x:v>0.03534</x:v>
      </x:c>
      <x:c r="E7" s="16" t="n">
        <x:v>1</x:v>
      </x:c>
      <x:c r="F7" s="16" t="n">
        <x:v>0.5</x:v>
      </x:c>
      <x:c r="G7" s="16" t="n">
        <x:v>1</x:v>
      </x:c>
      <x:c r="H7" s="16" t="n">
        <x:v>0.62</x:v>
      </x:c>
      <x:c r="I7" s="16" t="n">
        <x:f>D7*E7*H7*SQRT(2*9.81*F7*G7)</x:f>
        <x:v>0.06862664035663119</x:v>
      </x:c>
      <x:c r="J7" s="16" t="n">
        <x:f>I7*Controls!$D$14</x:f>
        <x:v>54.90131228530495</x:v>
      </x:c>
      <x:c r="K7" s="16" t="n">
        <x:f>J7-Controls!$D$12/Controls!$D$16</x:f>
        <x:v>38.23464561863828</x:v>
      </x:c>
      <x:c r="L7" t="str">
        <x:f>IF(K7&gt;=0,"SCREEN","REOPEN")</x:f>
        <x:v>SCREEN</x:v>
      </x:c>
    </x:row>
    <x:row r="8">
      <x:c r="B8" t="str">
        <x:v>AF-1</x:v>
      </x:c>
      <x:c r="C8" t="str">
        <x:v>half area</x:v>
      </x:c>
      <x:c r="D8" s="16" t="n">
        <x:v>0.03534</x:v>
      </x:c>
      <x:c r="E8" s="16" t="n">
        <x:v>0.5</x:v>
      </x:c>
      <x:c r="F8" s="16" t="n">
        <x:v>0.5</x:v>
      </x:c>
      <x:c r="G8" s="16" t="n">
        <x:v>1</x:v>
      </x:c>
      <x:c r="H8" s="16" t="n">
        <x:v>0.62</x:v>
      </x:c>
      <x:c r="I8" s="16" t="n">
        <x:f>D8*E8*H8*SQRT(2*9.81*F8*G8)</x:f>
        <x:v>0.03431332017831559</x:v>
      </x:c>
      <x:c r="J8" s="16" t="n">
        <x:f>I8*Controls!$D$14</x:f>
        <x:v>27.450656142652473</x:v>
      </x:c>
      <x:c r="K8" s="16" t="n">
        <x:f>J8-Controls!$D$12/Controls!$D$16</x:f>
        <x:v>10.783989475985805</x:v>
      </x:c>
      <x:c r="L8" t="str">
        <x:f>IF(K8&gt;=0,"SCREEN","REOPEN")</x:f>
        <x:v>SCREEN</x:v>
      </x:c>
    </x:row>
    <x:row r="9">
      <x:c r="B9" t="str">
        <x:v>AF-1</x:v>
      </x:c>
      <x:c r="C9" t="str">
        <x:v>low head</x:v>
      </x:c>
      <x:c r="D9" s="16" t="n">
        <x:v>0.03534</x:v>
      </x:c>
      <x:c r="E9" s="16" t="n">
        <x:v>1</x:v>
      </x:c>
      <x:c r="F9" s="16" t="n">
        <x:v>0.5</x:v>
      </x:c>
      <x:c r="G9" s="16" t="n">
        <x:v>0.75</x:v>
      </x:c>
      <x:c r="H9" s="16" t="n">
        <x:v>0.62</x:v>
      </x:c>
      <x:c r="I9" s="16" t="n">
        <x:f>D9*E9*H9*SQRT(2*9.81*F9*G9)</x:f>
        <x:v>0.05943241392522098</x:v>
      </x:c>
      <x:c r="J9" s="16" t="n">
        <x:f>I9*Controls!$D$14</x:f>
        <x:v>47.54593114017678</x:v>
      </x:c>
      <x:c r="K9" s="16" t="n">
        <x:f>J9-Controls!$D$12/Controls!$D$16</x:f>
        <x:v>30.879264473510116</x:v>
      </x:c>
      <x:c r="L9" t="str">
        <x:f>IF(K9&gt;=0,"SCREEN","REOPEN")</x:f>
        <x:v>SCREEN</x:v>
      </x:c>
    </x:row>
    <x:row r="10">
      <x:c r="B10" t="str">
        <x:v>AF-1</x:v>
      </x:c>
      <x:c r="C10" t="str">
        <x:v>compound</x:v>
      </x:c>
      <x:c r="D10" s="16" t="n">
        <x:v>0.03534</x:v>
      </x:c>
      <x:c r="E10" s="16" t="n">
        <x:v>0.5</x:v>
      </x:c>
      <x:c r="F10" s="16" t="n">
        <x:v>0.5</x:v>
      </x:c>
      <x:c r="G10" s="16" t="n">
        <x:v>0.75</x:v>
      </x:c>
      <x:c r="H10" s="16" t="n">
        <x:v>0.62</x:v>
      </x:c>
      <x:c r="I10" s="16" t="n">
        <x:f>D10*E10*H10*SQRT(2*9.81*F10*G10)</x:f>
        <x:v>0.02971620696261049</x:v>
      </x:c>
      <x:c r="J10" s="16" t="n">
        <x:f>I10*Controls!$D$14</x:f>
        <x:v>23.77296557008839</x:v>
      </x:c>
      <x:c r="K10" s="16" t="n">
        <x:f>J10-Controls!$D$12/Controls!$D$16</x:f>
        <x:v>7.106298903421724</x:v>
      </x:c>
      <x:c r="L10" t="str">
        <x:f>IF(K10&gt;=0,"SCREEN","REOPEN")</x:f>
        <x:v>SCREEN</x:v>
      </x:c>
    </x:row>
    <x:row r="11">
      <x:c r="B11" t="str">
        <x:v>AF-2</x:v>
      </x:c>
      <x:c r="C11" t="str">
        <x:v>open</x:v>
      </x:c>
      <x:c r="D11" s="16" t="n">
        <x:v>0.03534</x:v>
      </x:c>
      <x:c r="E11" s="16" t="n">
        <x:v>1</x:v>
      </x:c>
      <x:c r="F11" s="16" t="n">
        <x:v>0.35</x:v>
      </x:c>
      <x:c r="G11" s="16" t="n">
        <x:v>1</x:v>
      </x:c>
      <x:c r="H11" s="16" t="n">
        <x:v>0.68</x:v>
      </x:c>
      <x:c r="I11" s="16" t="n">
        <x:f>D11*E11*H11*SQRT(2*9.81*F11*G11)</x:f>
        <x:v>0.06297366674898708</x:v>
      </x:c>
      <x:c r="J11" s="16" t="n">
        <x:f>I11*Controls!$D$14</x:f>
        <x:v>50.37893339918966</x:v>
      </x:c>
      <x:c r="K11" s="16" t="n">
        <x:f>J11-Controls!$D$12/Controls!$D$16</x:f>
        <x:v>33.71226673252299</x:v>
      </x:c>
      <x:c r="L11" t="str">
        <x:f>IF(K11&gt;=0,"SCREEN","REOPEN")</x:f>
        <x:v>SCREEN</x:v>
      </x:c>
    </x:row>
    <x:row r="12">
      <x:c r="B12" t="str">
        <x:v>AF-2</x:v>
      </x:c>
      <x:c r="C12" t="str">
        <x:v>half area</x:v>
      </x:c>
      <x:c r="D12" s="16" t="n">
        <x:v>0.03534</x:v>
      </x:c>
      <x:c r="E12" s="16" t="n">
        <x:v>0.5</x:v>
      </x:c>
      <x:c r="F12" s="16" t="n">
        <x:v>0.35</x:v>
      </x:c>
      <x:c r="G12" s="16" t="n">
        <x:v>1</x:v>
      </x:c>
      <x:c r="H12" s="16" t="n">
        <x:v>0.68</x:v>
      </x:c>
      <x:c r="I12" s="16" t="n">
        <x:f>D12*E12*H12*SQRT(2*9.81*F12*G12)</x:f>
        <x:v>0.03148683337449354</x:v>
      </x:c>
      <x:c r="J12" s="16" t="n">
        <x:f>I12*Controls!$D$14</x:f>
        <x:v>25.18946669959483</x:v>
      </x:c>
      <x:c r="K12" s="16" t="n">
        <x:f>J12-Controls!$D$12/Controls!$D$16</x:f>
        <x:v>8.522800032928163</x:v>
      </x:c>
      <x:c r="L12" t="str">
        <x:f>IF(K12&gt;=0,"SCREEN","REOPEN")</x:f>
        <x:v>SCREEN</x:v>
      </x:c>
    </x:row>
    <x:row r="13">
      <x:c r="B13" t="str">
        <x:v>AF-2</x:v>
      </x:c>
      <x:c r="C13" t="str">
        <x:v>low head</x:v>
      </x:c>
      <x:c r="D13" s="16" t="n">
        <x:v>0.03534</x:v>
      </x:c>
      <x:c r="E13" s="16" t="n">
        <x:v>1</x:v>
      </x:c>
      <x:c r="F13" s="16" t="n">
        <x:v>0.35</x:v>
      </x:c>
      <x:c r="G13" s="16" t="n">
        <x:v>0.75</x:v>
      </x:c>
      <x:c r="H13" s="16" t="n">
        <x:v>0.68</x:v>
      </x:c>
      <x:c r="I13" s="16" t="n">
        <x:f>D13*E13*H13*SQRT(2*9.81*F13*G13)</x:f>
        <x:v>0.05453679517407821</x:v>
      </x:c>
      <x:c r="J13" s="16" t="n">
        <x:f>I13*Controls!$D$14</x:f>
        <x:v>43.629436139262566</x:v>
      </x:c>
      <x:c r="K13" s="16" t="n">
        <x:f>J13-Controls!$D$12/Controls!$D$16</x:f>
        <x:v>26.962769472595898</x:v>
      </x:c>
      <x:c r="L13" t="str">
        <x:f>IF(K13&gt;=0,"SCREEN","REOPEN")</x:f>
        <x:v>SCREEN</x:v>
      </x:c>
    </x:row>
    <x:row r="14">
      <x:c r="B14" t="str">
        <x:v>AF-2</x:v>
      </x:c>
      <x:c r="C14" t="str">
        <x:v>compound</x:v>
      </x:c>
      <x:c r="D14" s="16" t="n">
        <x:v>0.03534</x:v>
      </x:c>
      <x:c r="E14" s="16" t="n">
        <x:v>0.5</x:v>
      </x:c>
      <x:c r="F14" s="16" t="n">
        <x:v>0.35</x:v>
      </x:c>
      <x:c r="G14" s="16" t="n">
        <x:v>0.75</x:v>
      </x:c>
      <x:c r="H14" s="16" t="n">
        <x:v>0.68</x:v>
      </x:c>
      <x:c r="I14" s="16" t="n">
        <x:f>D14*E14*H14*SQRT(2*9.81*F14*G14)</x:f>
        <x:v>0.027268397587039105</x:v>
      </x:c>
      <x:c r="J14" s="16" t="n">
        <x:f>I14*Controls!$D$14</x:f>
        <x:v>21.814718069631283</x:v>
      </x:c>
      <x:c r="K14" s="16" t="n">
        <x:f>J14-Controls!$D$12/Controls!$D$16</x:f>
        <x:v>5.148051402964615</x:v>
      </x:c>
      <x:c r="L14" t="str">
        <x:f>IF(K14&gt;=0,"SCREEN","REOPEN")</x:f>
        <x:v>SCREEN</x:v>
      </x:c>
    </x:row>
    <x:row r="15">
      <x:c r="B15" t="str">
        <x:v>AF-3</x:v>
      </x:c>
      <x:c r="C15" t="str">
        <x:v>open</x:v>
      </x:c>
      <x:c r="D15" s="16" t="n">
        <x:v>0.03142</x:v>
      </x:c>
      <x:c r="E15" s="16" t="n">
        <x:v>1</x:v>
      </x:c>
      <x:c r="F15" s="16" t="n">
        <x:v>0.6</x:v>
      </x:c>
      <x:c r="G15" s="16" t="n">
        <x:v>1</x:v>
      </x:c>
      <x:c r="H15" s="16" t="n">
        <x:v>0.64</x:v>
      </x:c>
      <x:c r="I15" s="16" t="n">
        <x:f>D15*E15*H15*SQRT(2*9.81*F15*G15)</x:f>
        <x:v>0.06899399317580973</x:v>
      </x:c>
      <x:c r="J15" s="16" t="n">
        <x:f>I15*Controls!$D$14</x:f>
        <x:v>55.19519454064778</x:v>
      </x:c>
      <x:c r="K15" s="16" t="n">
        <x:f>J15-Controls!$D$12/Controls!$D$16</x:f>
        <x:v>38.52852787398112</x:v>
      </x:c>
      <x:c r="L15" t="str">
        <x:f>IF(K15&gt;=0,"SCREEN","REOPEN")</x:f>
        <x:v>SCREEN</x:v>
      </x:c>
    </x:row>
    <x:row r="16">
      <x:c r="B16" t="str">
        <x:v>AF-3</x:v>
      </x:c>
      <x:c r="C16" t="str">
        <x:v>half area</x:v>
      </x:c>
      <x:c r="D16" s="16" t="n">
        <x:v>0.03142</x:v>
      </x:c>
      <x:c r="E16" s="16" t="n">
        <x:v>0.5</x:v>
      </x:c>
      <x:c r="F16" s="16" t="n">
        <x:v>0.6</x:v>
      </x:c>
      <x:c r="G16" s="16" t="n">
        <x:v>1</x:v>
      </x:c>
      <x:c r="H16" s="16" t="n">
        <x:v>0.64</x:v>
      </x:c>
      <x:c r="I16" s="16" t="n">
        <x:f>D16*E16*H16*SQRT(2*9.81*F16*G16)</x:f>
        <x:v>0.034496996587904866</x:v>
      </x:c>
      <x:c r="J16" s="16" t="n">
        <x:f>I16*Controls!$D$14</x:f>
        <x:v>27.59759727032389</x:v>
      </x:c>
      <x:c r="K16" s="16" t="n">
        <x:f>J16-Controls!$D$12/Controls!$D$16</x:f>
        <x:v>10.930930603657224</x:v>
      </x:c>
      <x:c r="L16" t="str">
        <x:f>IF(K16&gt;=0,"SCREEN","REOPEN")</x:f>
        <x:v>SCREEN</x:v>
      </x:c>
    </x:row>
    <x:row r="17">
      <x:c r="B17" t="str">
        <x:v>AF-3</x:v>
      </x:c>
      <x:c r="C17" t="str">
        <x:v>low head</x:v>
      </x:c>
      <x:c r="D17" s="16" t="n">
        <x:v>0.03142</x:v>
      </x:c>
      <x:c r="E17" s="16" t="n">
        <x:v>1</x:v>
      </x:c>
      <x:c r="F17" s="16" t="n">
        <x:v>0.6</x:v>
      </x:c>
      <x:c r="G17" s="16" t="n">
        <x:v>0.75</x:v>
      </x:c>
      <x:c r="H17" s="16" t="n">
        <x:v>0.64</x:v>
      </x:c>
      <x:c r="I17" s="16" t="n">
        <x:f>D17*E17*H17*SQRT(2*9.81*F17*G17)</x:f>
        <x:v>0.059750550798781436</x:v>
      </x:c>
      <x:c r="J17" s="16" t="n">
        <x:f>I17*Controls!$D$14</x:f>
        <x:v>47.80044063902515</x:v>
      </x:c>
      <x:c r="K17" s="16" t="n">
        <x:f>J17-Controls!$D$12/Controls!$D$16</x:f>
        <x:v>31.13377397235848</x:v>
      </x:c>
      <x:c r="L17" t="str">
        <x:f>IF(K17&gt;=0,"SCREEN","REOPEN")</x:f>
        <x:v>SCREEN</x:v>
      </x:c>
    </x:row>
    <x:row r="18">
      <x:c r="B18" t="str">
        <x:v>AF-3</x:v>
      </x:c>
      <x:c r="C18" t="str">
        <x:v>compound</x:v>
      </x:c>
      <x:c r="D18" s="16" t="n">
        <x:v>0.03142</x:v>
      </x:c>
      <x:c r="E18" s="16" t="n">
        <x:v>0.5</x:v>
      </x:c>
      <x:c r="F18" s="16" t="n">
        <x:v>0.6</x:v>
      </x:c>
      <x:c r="G18" s="16" t="n">
        <x:v>0.75</x:v>
      </x:c>
      <x:c r="H18" s="16" t="n">
        <x:v>0.64</x:v>
      </x:c>
      <x:c r="I18" s="16" t="n">
        <x:f>D18*E18*H18*SQRT(2*9.81*F18*G18)</x:f>
        <x:v>0.029875275399390718</x:v>
      </x:c>
      <x:c r="J18" s="16" t="n">
        <x:f>I18*Controls!$D$14</x:f>
        <x:v>23.900220319512574</x:v>
      </x:c>
      <x:c r="K18" s="16" t="n">
        <x:f>J18-Controls!$D$12/Controls!$D$16</x:f>
        <x:v>7.233553652845906</x:v>
      </x:c>
      <x:c r="L18" t="str">
        <x:f>IF(K18&gt;=0,"SCREEN","REOPEN")</x:f>
        <x:v>SCREEN</x:v>
      </x:c>
    </x:row>
  </x:sheetData>
  <x:conditionalFormatting sqref="L7:L18">
    <x:cfRule type="containsText" dxfId="40" priority="1" operator="containsText" text="FAIL"/>
    <x:cfRule type="containsText" dxfId="41" priority="2" operator="containsText" text="BLOCKED"/>
    <x:cfRule type="containsText" dxfId="42" priority="3" operator="containsText" text="REOPEN"/>
    <x:cfRule type="containsText" dxfId="43" priority="4" operator="containsText" text="OVERFLOW"/>
    <x:cfRule type="containsText" dxfId="44" priority="5" operator="containsText" text="OPEN"/>
    <x:cfRule type="containsText" dxfId="45" priority="6" operator="containsText" text="GAP"/>
    <x:cfRule type="containsText" dxfId="46" priority="7" operator="containsText" text="PASS"/>
    <x:cfRule type="containsText" dxfId="47" priority="8" operator="containsText" text="INVALI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7" hidden="0" customWidth="1"/>
    <x:col min="4" max="4" width="20" hidden="0" customWidth="1"/>
    <x:col min="5" max="5" width="17" hidden="0" customWidth="1"/>
    <x:col min="6" max="6" width="22" hidden="0" customWidth="1"/>
    <x:col min="7" max="7" width="27" hidden="0" customWidth="1"/>
    <x:col min="8" max="8" width="24" hidden="0" customWidth="1"/>
  </x:cols>
  <x:sheetData>
    <x:row r="2">
      <x:c r="B2" s="1" t="str">
        <x:v>Pool-fire planning envelope</x:v>
      </x:c>
    </x:row>
    <x:row r="3">
      <x:c r="B3" s="2" t="str">
        <x:v>Point-source radiation and constant burning flux expose scale only. Flame geometry, smoke, wind and surface effects remain physical questions.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Pool area m2</x:v>
      </x:c>
      <x:c r="C6" s="7" t="str">
        <x:v>Burn kg/s</x:v>
      </x:c>
      <x:c r="D6" s="7" t="str">
        <x:v>Heat release MW</x:v>
      </x:c>
      <x:c r="E6" s="7" t="str">
        <x:v>Radiant MW</x:v>
      </x:c>
      <x:c r="F6" s="7" t="str">
        <x:v>C1 burn duration min</x:v>
      </x:c>
      <x:c r="G6" s="7" t="str">
        <x:v>Distance to 1.6 kW/m2 m</x:v>
      </x:c>
      <x:c r="H6" s="7" t="str">
        <x:v>Use</x:v>
      </x:c>
    </x:row>
    <x:row r="7">
      <x:c r="B7" s="16" t="n">
        <x:v>5</x:v>
      </x:c>
      <x:c r="C7" s="16" t="n">
        <x:f>B7*Controls!$D$19</x:f>
        <x:v>0.275</x:v>
      </x:c>
      <x:c r="D7" s="16" t="n">
        <x:f>C7*Controls!$D$15</x:f>
        <x:v>11.7117</x:v>
      </x:c>
      <x:c r="E7" s="16" t="n">
        <x:f>D7*Controls!$D$20</x:f>
        <x:v>4.099095</x:v>
      </x:c>
      <x:c r="F7" s="16" t="n">
        <x:f>Controls!$D$12/C7/60</x:f>
        <x:v>121.2121212121212</x:v>
      </x:c>
      <x:c r="G7" s="16" t="n">
        <x:f>SQRT(E7*1000/(4*PI()*Controls!$D$21))</x:f>
        <x:v>14.278384356402084</x:v>
      </x:c>
      <x:c r="H7" t="str">
        <x:v>area sensitivity</x:v>
      </x:c>
    </x:row>
    <x:row r="8">
      <x:c r="B8" s="16" t="n">
        <x:v>10</x:v>
      </x:c>
      <x:c r="C8" s="16" t="n">
        <x:f>B8*Controls!$D$19</x:f>
        <x:v>0.55</x:v>
      </x:c>
      <x:c r="D8" s="16" t="n">
        <x:f>C8*Controls!$D$15</x:f>
        <x:v>23.4234</x:v>
      </x:c>
      <x:c r="E8" s="16" t="n">
        <x:f>D8*Controls!$D$20</x:f>
        <x:v>8.19819</x:v>
      </x:c>
      <x:c r="F8" s="16" t="n">
        <x:f>Controls!$D$12/C8/60</x:f>
        <x:v>60.6060606060606</x:v>
      </x:c>
      <x:c r="G8" s="16" t="n">
        <x:f>SQRT(E8*1000/(4*PI()*Controls!$D$21))</x:f>
        <x:v>20.19268480559966</x:v>
      </x:c>
      <x:c r="H8" t="str">
        <x:v>area sensitivity</x:v>
      </x:c>
    </x:row>
    <x:row r="9">
      <x:c r="B9" s="16" t="n">
        <x:v>25</x:v>
      </x:c>
      <x:c r="C9" s="16" t="n">
        <x:f>B9*Controls!$D$19</x:f>
        <x:v>1.375</x:v>
      </x:c>
      <x:c r="D9" s="16" t="n">
        <x:f>C9*Controls!$D$15</x:f>
        <x:v>58.5585</x:v>
      </x:c>
      <x:c r="E9" s="16" t="n">
        <x:f>D9*Controls!$D$20</x:f>
        <x:v>20.495475</x:v>
      </x:c>
      <x:c r="F9" s="16" t="n">
        <x:f>Controls!$D$12/C9/60</x:f>
        <x:v>24.242424242424242</x:v>
      </x:c>
      <x:c r="G9" s="16" t="n">
        <x:f>SQRT(E9*1000/(4*PI()*Controls!$D$21))</x:f>
        <x:v>31.927438029784643</x:v>
      </x:c>
      <x:c r="H9" t="str">
        <x:v>C1 reference</x:v>
      </x:c>
    </x:row>
    <x:row r="10">
      <x:c r="B10" s="16" t="n">
        <x:v>50</x:v>
      </x:c>
      <x:c r="C10" s="16" t="n">
        <x:f>B10*Controls!$D$19</x:f>
        <x:v>2.75</x:v>
      </x:c>
      <x:c r="D10" s="16" t="n">
        <x:f>C10*Controls!$D$15</x:f>
        <x:v>117.117</x:v>
      </x:c>
      <x:c r="E10" s="16" t="n">
        <x:f>D10*Controls!$D$20</x:f>
        <x:v>40.99095</x:v>
      </x:c>
      <x:c r="F10" s="16" t="n">
        <x:f>Controls!$D$12/C10/60</x:f>
        <x:v>12.121212121212121</x:v>
      </x:c>
      <x:c r="G10" s="16" t="n">
        <x:f>SQRT(E10*1000/(4*PI()*Controls!$D$21))</x:f>
        <x:v>45.152215873547966</x:v>
      </x:c>
      <x:c r="H10" t="str">
        <x:v>area sensitivity</x:v>
      </x:c>
    </x:row>
    <x:row r="11">
      <x:c r="B11" s="16" t="n">
        <x:v>100</x:v>
      </x:c>
      <x:c r="C11" s="16" t="n">
        <x:f>B11*Controls!$D$19</x:f>
        <x:v>5.5</x:v>
      </x:c>
      <x:c r="D11" s="16" t="n">
        <x:f>C11*Controls!$D$15</x:f>
        <x:v>234.234</x:v>
      </x:c>
      <x:c r="E11" s="16" t="n">
        <x:f>D11*Controls!$D$20</x:f>
        <x:v>81.9819</x:v>
      </x:c>
      <x:c r="F11" s="16" t="n">
        <x:f>Controls!$D$12/C11/60</x:f>
        <x:v>6.0606060606060606</x:v>
      </x:c>
      <x:c r="G11" s="16" t="n">
        <x:f>SQRT(E11*1000/(4*PI()*Controls!$D$21))</x:f>
        <x:v>63.854876059569285</x:v>
      </x:c>
      <x:c r="H11" t="str">
        <x:v>C2 area screen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7" hidden="0" customWidth="1"/>
    <x:col min="4" max="4" width="19" hidden="0" customWidth="1"/>
    <x:col min="5" max="5" width="22" hidden="0" customWidth="1"/>
    <x:col min="6" max="6" width="19" hidden="0" customWidth="1"/>
    <x:col min="7" max="7" width="18" hidden="0" customWidth="1"/>
    <x:col min="8" max="8" width="14" hidden="0" customWidth="1"/>
    <x:col min="9" max="9" width="20" hidden="0" customWidth="1"/>
    <x:col min="10" max="10" width="27" hidden="0" customWidth="1"/>
    <x:col min="11" max="11" width="15" hidden="0" customWidth="1"/>
  </x:cols>
  <x:sheetData>
    <x:row r="2">
      <x:c r="B2" s="1" t="str">
        <x:v>Firewater, recirculation and vault screens</x:v>
      </x:c>
    </x:row>
    <x:row r="3">
      <x:c r="B3" s="2" t="str">
        <x:v>Water use is a causal intervention. Net retained volume and heat removal are calculated separately.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Candidate</x:v>
      </x:c>
      <x:c r="C6" s="7" t="str">
        <x:v>Duration min</x:v>
      </x:c>
      <x:c r="D6" s="7" t="str">
        <x:v>Applied m3/min</x:v>
      </x:c>
      <x:c r="E6" s="7" t="str">
        <x:v>Recirculated fraction</x:v>
      </x:c>
      <x:c r="F6" s="7" t="str">
        <x:v>Net retained m3</x:v>
      </x:c>
      <x:c r="G6" s="7" t="str">
        <x:v>Gross applied m3</x:v>
      </x:c>
      <x:c r="H6" s="7" t="str">
        <x:v>Vault m3</x:v>
      </x:c>
      <x:c r="I6" s="7" t="str">
        <x:v>Vault margin m3</x:v>
      </x:c>
      <x:c r="J6" s="7" t="str">
        <x:v>Theoretical transferred MW</x:v>
      </x:c>
      <x:c r="K6" s="7" t="str">
        <x:v>Screen</x:v>
      </x:c>
    </x:row>
    <x:row r="7">
      <x:c r="B7" t="str">
        <x:v>AF-1</x:v>
      </x:c>
      <x:c r="C7" s="16" t="n">
        <x:v>10</x:v>
      </x:c>
      <x:c r="D7" s="16" t="n">
        <x:v>2.4</x:v>
      </x:c>
      <x:c r="E7" s="16" t="n">
        <x:v>0</x:v>
      </x:c>
      <x:c r="F7" s="16" t="n">
        <x:f>D7*(1-E7)*C7</x:f>
        <x:v>24</x:v>
      </x:c>
      <x:c r="G7" s="16" t="n">
        <x:f>D7*C7</x:f>
        <x:v>24</x:v>
      </x:c>
      <x:c r="H7" s="16" t="n">
        <x:v>40</x:v>
      </x:c>
      <x:c r="I7" s="16" t="n">
        <x:f>H7-F7</x:f>
        <x:v>16</x:v>
      </x:c>
      <x:c r="J7" s="16" t="n">
        <x:f>D7/60*(Controls!$D$28*Controls!$D$29+Controls!$D$30*Controls!$D$31)*Controls!$D$32</x:f>
        <x:v>14.78828</x:v>
      </x:c>
      <x:c r="K7" t="str">
        <x:f>IF(I7&gt;=0,"SCREEN","OVERFLOW")</x:f>
        <x:v>SCREEN</x:v>
      </x:c>
    </x:row>
    <x:row r="8">
      <x:c r="B8" t="str">
        <x:v>AF-1</x:v>
      </x:c>
      <x:c r="C8" s="16" t="n">
        <x:v>15</x:v>
      </x:c>
      <x:c r="D8" s="16" t="n">
        <x:v>2.4</x:v>
      </x:c>
      <x:c r="E8" s="16" t="n">
        <x:v>0</x:v>
      </x:c>
      <x:c r="F8" s="16" t="n">
        <x:f>D8*(1-E8)*C8</x:f>
        <x:v>36</x:v>
      </x:c>
      <x:c r="G8" s="16" t="n">
        <x:f>D8*C8</x:f>
        <x:v>36</x:v>
      </x:c>
      <x:c r="H8" s="16" t="n">
        <x:v>40</x:v>
      </x:c>
      <x:c r="I8" s="16" t="n">
        <x:f>H8-F8</x:f>
        <x:v>4</x:v>
      </x:c>
      <x:c r="J8" s="16" t="n">
        <x:f>D8/60*(Controls!$D$28*Controls!$D$29+Controls!$D$30*Controls!$D$31)*Controls!$D$32</x:f>
        <x:v>14.78828</x:v>
      </x:c>
      <x:c r="K8" t="str">
        <x:f>IF(I8&gt;=0,"SCREEN","OVERFLOW")</x:f>
        <x:v>SCREEN</x:v>
      </x:c>
    </x:row>
    <x:row r="9">
      <x:c r="B9" t="str">
        <x:v>AF-1</x:v>
      </x:c>
      <x:c r="C9" s="16" t="n">
        <x:v>20</x:v>
      </x:c>
      <x:c r="D9" s="16" t="n">
        <x:v>2.4</x:v>
      </x:c>
      <x:c r="E9" s="16" t="n">
        <x:v>0</x:v>
      </x:c>
      <x:c r="F9" s="16" t="n">
        <x:f>D9*(1-E9)*C9</x:f>
        <x:v>48</x:v>
      </x:c>
      <x:c r="G9" s="16" t="n">
        <x:f>D9*C9</x:f>
        <x:v>48</x:v>
      </x:c>
      <x:c r="H9" s="16" t="n">
        <x:v>40</x:v>
      </x:c>
      <x:c r="I9" s="16" t="n">
        <x:f>H9-F9</x:f>
        <x:v>-8</x:v>
      </x:c>
      <x:c r="J9" s="16" t="n">
        <x:f>D9/60*(Controls!$D$28*Controls!$D$29+Controls!$D$30*Controls!$D$31)*Controls!$D$32</x:f>
        <x:v>14.78828</x:v>
      </x:c>
      <x:c r="K9" t="str">
        <x:f>IF(I9&gt;=0,"SCREEN","OVERFLOW")</x:f>
        <x:v>OVERFLOW</x:v>
      </x:c>
    </x:row>
    <x:row r="10">
      <x:c r="B10" t="str">
        <x:v>AF-1</x:v>
      </x:c>
      <x:c r="C10" s="16" t="n">
        <x:v>30</x:v>
      </x:c>
      <x:c r="D10" s="16" t="n">
        <x:v>2.4</x:v>
      </x:c>
      <x:c r="E10" s="16" t="n">
        <x:v>0</x:v>
      </x:c>
      <x:c r="F10" s="16" t="n">
        <x:f>D10*(1-E10)*C10</x:f>
        <x:v>72</x:v>
      </x:c>
      <x:c r="G10" s="16" t="n">
        <x:f>D10*C10</x:f>
        <x:v>72</x:v>
      </x:c>
      <x:c r="H10" s="16" t="n">
        <x:v>40</x:v>
      </x:c>
      <x:c r="I10" s="16" t="n">
        <x:f>H10-F10</x:f>
        <x:v>-32</x:v>
      </x:c>
      <x:c r="J10" s="16" t="n">
        <x:f>D10/60*(Controls!$D$28*Controls!$D$29+Controls!$D$30*Controls!$D$31)*Controls!$D$32</x:f>
        <x:v>14.78828</x:v>
      </x:c>
      <x:c r="K10" t="str">
        <x:f>IF(I10&gt;=0,"SCREEN","OVERFLOW")</x:f>
        <x:v>OVERFLOW</x:v>
      </x:c>
    </x:row>
    <x:row r="11">
      <x:c r="B11" t="str">
        <x:v>AF-2</x:v>
      </x:c>
      <x:c r="C11" s="16" t="n">
        <x:v>10</x:v>
      </x:c>
      <x:c r="D11" s="16" t="n">
        <x:v>1.6</x:v>
      </x:c>
      <x:c r="E11" s="16" t="n">
        <x:v>0.85</x:v>
      </x:c>
      <x:c r="F11" s="16" t="n">
        <x:f>D11*(1-E11)*C11</x:f>
        <x:v>2.4000000000000004</x:v>
      </x:c>
      <x:c r="G11" s="16" t="n">
        <x:f>D11*C11</x:f>
        <x:v>16</x:v>
      </x:c>
      <x:c r="H11" s="16" t="n">
        <x:v>40</x:v>
      </x:c>
      <x:c r="I11" s="16" t="n">
        <x:f>H11-F11</x:f>
        <x:v>37.6</x:v>
      </x:c>
      <x:c r="J11" s="16" t="n">
        <x:f>D11/60*(Controls!$D$28*Controls!$D$29+Controls!$D$30*Controls!$D$31)*Controls!$D$32</x:f>
        <x:v>9.858853333333334</x:v>
      </x:c>
      <x:c r="K11" t="str">
        <x:f>IF(I11&gt;=0,"SCREEN","OVERFLOW")</x:f>
        <x:v>SCREEN</x:v>
      </x:c>
    </x:row>
    <x:row r="12">
      <x:c r="B12" t="str">
        <x:v>AF-2</x:v>
      </x:c>
      <x:c r="C12" s="16" t="n">
        <x:v>15</x:v>
      </x:c>
      <x:c r="D12" s="16" t="n">
        <x:v>1.6</x:v>
      </x:c>
      <x:c r="E12" s="16" t="n">
        <x:v>0.85</x:v>
      </x:c>
      <x:c r="F12" s="16" t="n">
        <x:f>D12*(1-E12)*C12</x:f>
        <x:v>3.6000000000000005</x:v>
      </x:c>
      <x:c r="G12" s="16" t="n">
        <x:f>D12*C12</x:f>
        <x:v>24</x:v>
      </x:c>
      <x:c r="H12" s="16" t="n">
        <x:v>40</x:v>
      </x:c>
      <x:c r="I12" s="16" t="n">
        <x:f>H12-F12</x:f>
        <x:v>36.4</x:v>
      </x:c>
      <x:c r="J12" s="16" t="n">
        <x:f>D12/60*(Controls!$D$28*Controls!$D$29+Controls!$D$30*Controls!$D$31)*Controls!$D$32</x:f>
        <x:v>9.858853333333334</x:v>
      </x:c>
      <x:c r="K12" t="str">
        <x:f>IF(I12&gt;=0,"SCREEN","OVERFLOW")</x:f>
        <x:v>SCREEN</x:v>
      </x:c>
    </x:row>
    <x:row r="13">
      <x:c r="B13" t="str">
        <x:v>AF-2</x:v>
      </x:c>
      <x:c r="C13" s="16" t="n">
        <x:v>20</x:v>
      </x:c>
      <x:c r="D13" s="16" t="n">
        <x:v>1.6</x:v>
      </x:c>
      <x:c r="E13" s="16" t="n">
        <x:v>0.85</x:v>
      </x:c>
      <x:c r="F13" s="16" t="n">
        <x:f>D13*(1-E13)*C13</x:f>
        <x:v>4.800000000000001</x:v>
      </x:c>
      <x:c r="G13" s="16" t="n">
        <x:f>D13*C13</x:f>
        <x:v>32</x:v>
      </x:c>
      <x:c r="H13" s="16" t="n">
        <x:v>40</x:v>
      </x:c>
      <x:c r="I13" s="16" t="n">
        <x:f>H13-F13</x:f>
        <x:v>35.2</x:v>
      </x:c>
      <x:c r="J13" s="16" t="n">
        <x:f>D13/60*(Controls!$D$28*Controls!$D$29+Controls!$D$30*Controls!$D$31)*Controls!$D$32</x:f>
        <x:v>9.858853333333334</x:v>
      </x:c>
      <x:c r="K13" t="str">
        <x:f>IF(I13&gt;=0,"SCREEN","OVERFLOW")</x:f>
        <x:v>SCREEN</x:v>
      </x:c>
    </x:row>
    <x:row r="14">
      <x:c r="B14" t="str">
        <x:v>AF-2</x:v>
      </x:c>
      <x:c r="C14" s="16" t="n">
        <x:v>30</x:v>
      </x:c>
      <x:c r="D14" s="16" t="n">
        <x:v>1.6</x:v>
      </x:c>
      <x:c r="E14" s="16" t="n">
        <x:v>0.85</x:v>
      </x:c>
      <x:c r="F14" s="16" t="n">
        <x:f>D14*(1-E14)*C14</x:f>
        <x:v>7.200000000000001</x:v>
      </x:c>
      <x:c r="G14" s="16" t="n">
        <x:f>D14*C14</x:f>
        <x:v>48</x:v>
      </x:c>
      <x:c r="H14" s="16" t="n">
        <x:v>40</x:v>
      </x:c>
      <x:c r="I14" s="16" t="n">
        <x:f>H14-F14</x:f>
        <x:v>32.8</x:v>
      </x:c>
      <x:c r="J14" s="16" t="n">
        <x:f>D14/60*(Controls!$D$28*Controls!$D$29+Controls!$D$30*Controls!$D$31)*Controls!$D$32</x:f>
        <x:v>9.858853333333334</x:v>
      </x:c>
      <x:c r="K14" t="str">
        <x:f>IF(I14&gt;=0,"SCREEN","OVERFLOW")</x:f>
        <x:v>SCREEN</x:v>
      </x:c>
    </x:row>
    <x:row r="15">
      <x:c r="B15" t="str">
        <x:v>AF-3</x:v>
      </x:c>
      <x:c r="C15" s="16" t="n">
        <x:v>10</x:v>
      </x:c>
      <x:c r="D15" s="16" t="n">
        <x:v>1.2</x:v>
      </x:c>
      <x:c r="E15" s="16" t="n">
        <x:v>0.4</x:v>
      </x:c>
      <x:c r="F15" s="16" t="n">
        <x:f>D15*(1-E15)*C15</x:f>
        <x:v>7.199999999999999</x:v>
      </x:c>
      <x:c r="G15" s="16" t="n">
        <x:f>D15*C15</x:f>
        <x:v>12</x:v>
      </x:c>
      <x:c r="H15" s="16" t="n">
        <x:v>40</x:v>
      </x:c>
      <x:c r="I15" s="16" t="n">
        <x:f>H15-F15</x:f>
        <x:v>32.8</x:v>
      </x:c>
      <x:c r="J15" s="16" t="n">
        <x:f>D15/60*(Controls!$D$28*Controls!$D$29+Controls!$D$30*Controls!$D$31)*Controls!$D$32</x:f>
        <x:v>7.39414</x:v>
      </x:c>
      <x:c r="K15" t="str">
        <x:f>IF(I15&gt;=0,"SCREEN","OVERFLOW")</x:f>
        <x:v>SCREEN</x:v>
      </x:c>
    </x:row>
    <x:row r="16">
      <x:c r="B16" t="str">
        <x:v>AF-3</x:v>
      </x:c>
      <x:c r="C16" s="16" t="n">
        <x:v>15</x:v>
      </x:c>
      <x:c r="D16" s="16" t="n">
        <x:v>1.2</x:v>
      </x:c>
      <x:c r="E16" s="16" t="n">
        <x:v>0.4</x:v>
      </x:c>
      <x:c r="F16" s="16" t="n">
        <x:f>D16*(1-E16)*C16</x:f>
        <x:v>10.799999999999999</x:v>
      </x:c>
      <x:c r="G16" s="16" t="n">
        <x:f>D16*C16</x:f>
        <x:v>18</x:v>
      </x:c>
      <x:c r="H16" s="16" t="n">
        <x:v>40</x:v>
      </x:c>
      <x:c r="I16" s="16" t="n">
        <x:f>H16-F16</x:f>
        <x:v>29.200000000000003</x:v>
      </x:c>
      <x:c r="J16" s="16" t="n">
        <x:f>D16/60*(Controls!$D$28*Controls!$D$29+Controls!$D$30*Controls!$D$31)*Controls!$D$32</x:f>
        <x:v>7.39414</x:v>
      </x:c>
      <x:c r="K16" t="str">
        <x:f>IF(I16&gt;=0,"SCREEN","OVERFLOW")</x:f>
        <x:v>SCREEN</x:v>
      </x:c>
    </x:row>
    <x:row r="17">
      <x:c r="B17" t="str">
        <x:v>AF-3</x:v>
      </x:c>
      <x:c r="C17" s="16" t="n">
        <x:v>20</x:v>
      </x:c>
      <x:c r="D17" s="16" t="n">
        <x:v>1.2</x:v>
      </x:c>
      <x:c r="E17" s="16" t="n">
        <x:v>0.4</x:v>
      </x:c>
      <x:c r="F17" s="16" t="n">
        <x:f>D17*(1-E17)*C17</x:f>
        <x:v>14.399999999999999</x:v>
      </x:c>
      <x:c r="G17" s="16" t="n">
        <x:f>D17*C17</x:f>
        <x:v>24</x:v>
      </x:c>
      <x:c r="H17" s="16" t="n">
        <x:v>40</x:v>
      </x:c>
      <x:c r="I17" s="16" t="n">
        <x:f>H17-F17</x:f>
        <x:v>25.6</x:v>
      </x:c>
      <x:c r="J17" s="16" t="n">
        <x:f>D17/60*(Controls!$D$28*Controls!$D$29+Controls!$D$30*Controls!$D$31)*Controls!$D$32</x:f>
        <x:v>7.39414</x:v>
      </x:c>
      <x:c r="K17" t="str">
        <x:f>IF(I17&gt;=0,"SCREEN","OVERFLOW")</x:f>
        <x:v>SCREEN</x:v>
      </x:c>
    </x:row>
    <x:row r="18">
      <x:c r="B18" t="str">
        <x:v>AF-3</x:v>
      </x:c>
      <x:c r="C18" s="16" t="n">
        <x:v>30</x:v>
      </x:c>
      <x:c r="D18" s="16" t="n">
        <x:v>1.2</x:v>
      </x:c>
      <x:c r="E18" s="16" t="n">
        <x:v>0.4</x:v>
      </x:c>
      <x:c r="F18" s="16" t="n">
        <x:f>D18*(1-E18)*C18</x:f>
        <x:v>21.599999999999998</x:v>
      </x:c>
      <x:c r="G18" s="16" t="n">
        <x:f>D18*C18</x:f>
        <x:v>36</x:v>
      </x:c>
      <x:c r="H18" s="16" t="n">
        <x:v>40</x:v>
      </x:c>
      <x:c r="I18" s="16" t="n">
        <x:f>H18-F18</x:f>
        <x:v>18.400000000000002</x:v>
      </x:c>
      <x:c r="J18" s="16" t="n">
        <x:f>D18/60*(Controls!$D$28*Controls!$D$29+Controls!$D$30*Controls!$D$31)*Controls!$D$32</x:f>
        <x:v>7.39414</x:v>
      </x:c>
      <x:c r="K18" t="str">
        <x:f>IF(I18&gt;=0,"SCREEN","OVERFLOW")</x:f>
        <x:v>SCREEN</x:v>
      </x:c>
    </x:row>
  </x:sheetData>
  <x:conditionalFormatting sqref="K7:K18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REOPEN"/>
    <x:cfRule type="containsText" dxfId="51" priority="4" operator="containsText" text="OVERFLOW"/>
    <x:cfRule type="containsText" dxfId="52" priority="5" operator="containsText" text="OPEN"/>
    <x:cfRule type="containsText" dxfId="53" priority="6" operator="containsText" text="GAP"/>
    <x:cfRule type="containsText" dxfId="54" priority="7" operator="containsText" text="PASS"/>
    <x:cfRule type="containsText" dxfId="55" priority="8" operator="containsText" text="INVALI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6" hidden="0" customWidth="1"/>
    <x:col min="4" max="4" width="18" hidden="0" customWidth="1"/>
    <x:col min="5" max="5" width="17" hidden="0" customWidth="1"/>
    <x:col min="6" max="6" width="18" hidden="0" customWidth="1"/>
    <x:col min="7" max="7" width="20" hidden="0" customWidth="1"/>
    <x:col min="8" max="8" width="22" hidden="0" customWidth="1"/>
    <x:col min="9" max="9" width="17" hidden="0" customWidth="1"/>
    <x:col min="10" max="10" width="19" hidden="0" customWidth="1"/>
    <x:col min="11" max="11" width="14" hidden="0" customWidth="1"/>
    <x:col min="12" max="12" width="20" hidden="0" customWidth="1"/>
    <x:col min="13" max="13" width="17" hidden="0" customWidth="1"/>
    <x:col min="14" max="14" width="17" hidden="0" customWidth="1"/>
  </x:cols>
  <x:sheetData>
    <x:row r="2">
      <x:c r="B2" s="1" t="str">
        <x:v>Planning source-water inventory ledger</x:v>
      </x:c>
    </x:row>
    <x:row r="3">
      <x:c r="B3" s="2" t="str">
        <x:v>Source, suppression water and uncontrolled product remain separate. Design values create no physical acceptance.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Candidate</x:v>
      </x:c>
      <x:c r="C6" s="7" t="str">
        <x:v>Source kg</x:v>
      </x:c>
      <x:c r="D6" s="7" t="str">
        <x:v>Capture fraction</x:v>
      </x:c>
      <x:c r="E6" s="7" t="str">
        <x:v>Captured kg</x:v>
      </x:c>
      <x:c r="F6" s="7" t="str">
        <x:v>Uncontrolled kg</x:v>
      </x:c>
      <x:c r="G6" s="7" t="str">
        <x:v>Water m3/min</x:v>
      </x:c>
      <x:c r="H6" s="7" t="str">
        <x:v>Recirculated fraction</x:v>
      </x:c>
      <x:c r="I6" s="7" t="str">
        <x:v>Duration min</x:v>
      </x:c>
      <x:c r="J6" s="7" t="str">
        <x:v>Net water m3</x:v>
      </x:c>
      <x:c r="K6" s="7" t="str">
        <x:v>Vault m3</x:v>
      </x:c>
      <x:c r="L6" s="7" t="str">
        <x:v>Vault margin m3</x:v>
      </x:c>
      <x:c r="M6" s="7" t="str">
        <x:v>Mass screen</x:v>
      </x:c>
      <x:c r="N6" s="7" t="str">
        <x:v>Vault screen</x:v>
      </x:c>
    </x:row>
    <x:row r="7">
      <x:c r="B7" t="str">
        <x:v>AF-1</x:v>
      </x:c>
      <x:c r="C7" s="16" t="n">
        <x:f>Controls!$D$12</x:f>
        <x:v>2000</x:v>
      </x:c>
      <x:c r="D7" s="16" t="n">
        <x:v>0.9978</x:v>
      </x:c>
      <x:c r="E7" s="16" t="n">
        <x:f>C7*D7</x:f>
        <x:v>1995.6000000000001</x:v>
      </x:c>
      <x:c r="F7" s="16" t="n">
        <x:f>C7-E7</x:f>
        <x:v>4.399999999999864</x:v>
      </x:c>
      <x:c r="G7" s="16" t="n">
        <x:v>2.4</x:v>
      </x:c>
      <x:c r="H7" s="16" t="n">
        <x:v>0</x:v>
      </x:c>
      <x:c r="I7" s="16" t="n">
        <x:v>15</x:v>
      </x:c>
      <x:c r="J7" s="16" t="n">
        <x:f>G7*(1-H7)*I7</x:f>
        <x:v>36</x:v>
      </x:c>
      <x:c r="K7" s="16" t="n">
        <x:v>40</x:v>
      </x:c>
      <x:c r="L7" s="16" t="n">
        <x:f>K7-J7</x:f>
        <x:v>4</x:v>
      </x:c>
      <x:c r="M7" t="str">
        <x:f>IF(F7&lt;=Controls!$D$24,"SCREEN","REOPEN")</x:f>
        <x:v>SCREEN</x:v>
      </x:c>
      <x:c r="N7" t="str">
        <x:f>IF(L7&gt;=0,"SCREEN","OVERFLOW")</x:f>
        <x:v>SCREEN</x:v>
      </x:c>
    </x:row>
    <x:row r="8">
      <x:c r="B8" t="str">
        <x:v>AF-2</x:v>
      </x:c>
      <x:c r="C8" s="16" t="n">
        <x:f>Controls!$D$12</x:f>
        <x:v>2000</x:v>
      </x:c>
      <x:c r="D8" s="16" t="n">
        <x:v>0.9992</x:v>
      </x:c>
      <x:c r="E8" s="16" t="n">
        <x:f>C8*D8</x:f>
        <x:v>1998.3999999999999</x:v>
      </x:c>
      <x:c r="F8" s="16" t="n">
        <x:f>C8-E8</x:f>
        <x:v>1.6000000000001364</x:v>
      </x:c>
      <x:c r="G8" s="16" t="n">
        <x:v>1.6</x:v>
      </x:c>
      <x:c r="H8" s="16" t="n">
        <x:v>0.85</x:v>
      </x:c>
      <x:c r="I8" s="16" t="n">
        <x:v>15</x:v>
      </x:c>
      <x:c r="J8" s="16" t="n">
        <x:f>G8*(1-H8)*I8</x:f>
        <x:v>3.6000000000000005</x:v>
      </x:c>
      <x:c r="K8" s="16" t="n">
        <x:v>40</x:v>
      </x:c>
      <x:c r="L8" s="16" t="n">
        <x:f>K8-J8</x:f>
        <x:v>36.4</x:v>
      </x:c>
      <x:c r="M8" t="str">
        <x:f>IF(F8&lt;=Controls!$D$24,"SCREEN","REOPEN")</x:f>
        <x:v>SCREEN</x:v>
      </x:c>
      <x:c r="N8" t="str">
        <x:f>IF(L8&gt;=0,"SCREEN","OVERFLOW")</x:f>
        <x:v>SCREEN</x:v>
      </x:c>
    </x:row>
    <x:row r="9">
      <x:c r="B9" t="str">
        <x:v>AF-3</x:v>
      </x:c>
      <x:c r="C9" s="16" t="n">
        <x:f>Controls!$D$12</x:f>
        <x:v>2000</x:v>
      </x:c>
      <x:c r="D9" s="16" t="n">
        <x:v>0.9985</x:v>
      </x:c>
      <x:c r="E9" s="16" t="n">
        <x:f>C9*D9</x:f>
        <x:v>1997</x:v>
      </x:c>
      <x:c r="F9" s="16" t="n">
        <x:f>C9-E9</x:f>
        <x:v>3</x:v>
      </x:c>
      <x:c r="G9" s="16" t="n">
        <x:v>1.2</x:v>
      </x:c>
      <x:c r="H9" s="16" t="n">
        <x:v>0.4</x:v>
      </x:c>
      <x:c r="I9" s="16" t="n">
        <x:v>15</x:v>
      </x:c>
      <x:c r="J9" s="16" t="n">
        <x:f>G9*(1-H9)*I9</x:f>
        <x:v>10.799999999999999</x:v>
      </x:c>
      <x:c r="K9" s="16" t="n">
        <x:v>40</x:v>
      </x:c>
      <x:c r="L9" s="16" t="n">
        <x:f>K9-J9</x:f>
        <x:v>29.200000000000003</x:v>
      </x:c>
      <x:c r="M9" t="str">
        <x:f>IF(F9&lt;=Controls!$D$24,"SCREEN","REOPEN")</x:f>
        <x:v>SCREEN</x:v>
      </x:c>
      <x:c r="N9" t="str">
        <x:f>IF(L9&gt;=0,"SCREEN","OVERFLOW")</x:f>
        <x:v>SCREEN</x:v>
      </x:c>
    </x:row>
  </x:sheetData>
  <x:conditionalFormatting sqref="M7:N9">
    <x:cfRule type="containsText" dxfId="56" priority="1" operator="containsText" text="FAIL"/>
    <x:cfRule type="containsText" dxfId="57" priority="2" operator="containsText" text="BLOCKED"/>
    <x:cfRule type="containsText" dxfId="58" priority="3" operator="containsText" text="REOPEN"/>
    <x:cfRule type="containsText" dxfId="59" priority="4" operator="containsText" text="OVERFLOW"/>
    <x:cfRule type="containsText" dxfId="60" priority="5" operator="containsText" text="OPEN"/>
    <x:cfRule type="containsText" dxfId="61" priority="6" operator="containsText" text="GAP"/>
    <x:cfRule type="containsText" dxfId="62" priority="7" operator="containsText" text="PASS"/>
    <x:cfRule type="containsText" dxfId="63" priority="8" operator="containsText" text="INVALI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2" hidden="0" customWidth="1"/>
    <x:col min="4" max="4" width="42" hidden="0" customWidth="1"/>
    <x:col min="5" max="5" width="22" hidden="0" customWidth="1"/>
    <x:col min="6" max="6" width="64" hidden="0" customWidth="1"/>
    <x:col min="7" max="7" width="58" hidden="0" customWidth="1"/>
  </x:cols>
  <x:sheetData>
    <x:row r="2">
      <x:c r="B2" s="1" t="str">
        <x:v>Ten intervention families</x:v>
      </x:c>
    </x:row>
    <x:row r="3">
      <x:c r="B3" s="2" t="str">
        <x:v>Every intervention has a declared trigger, intended causal effect and measured consequence.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Intervention</x:v>
      </x:c>
      <x:c r="C6" s="7" t="str">
        <x:v>Action</x:v>
      </x:c>
      <x:c r="D6" s="7" t="str">
        <x:v>Trigger</x:v>
      </x:c>
      <x:c r="E6" s="7" t="str">
        <x:v>Candidate scope</x:v>
      </x:c>
      <x:c r="F6" s="7" t="str">
        <x:v>Intended effect</x:v>
      </x:c>
      <x:c r="G6" s="7" t="str">
        <x:v>Decision observations</x:v>
      </x:c>
    </x:row>
    <x:row r="7" ht="48" customHeight="1">
      <x:c r="B7" t="str">
        <x:v>IN-01</x:v>
      </x:c>
      <x:c r="C7" s="11" t="str">
        <x:v>passive source diversion</x:v>
      </x:c>
      <x:c r="D7" s="11" t="str">
        <x:v>before suppression</x:v>
      </x:c>
      <x:c r="E7" t="str">
        <x:v>all</x:v>
      </x:c>
      <x:c r="F7" s="11" t="str">
        <x:v>route liquid away from exposed and neighboring sources</x:v>
      </x:c>
      <x:c r="G7" s="11" t="str">
        <x:v>transferred source, pool area, terminal time</x:v>
      </x:c>
    </x:row>
    <x:row r="8" ht="48" customHeight="1">
      <x:c r="B8" t="str">
        <x:v>IN-02</x:v>
      </x:c>
      <x:c r="C8" s="11" t="str">
        <x:v>source isolation</x:v>
      </x:c>
      <x:c r="D8" s="11" t="str">
        <x:v>first detected release</x:v>
      </x:c>
      <x:c r="E8" t="str">
        <x:v>all</x:v>
      </x:c>
      <x:c r="F8" s="11" t="str">
        <x:v>stop new inventory without normal power</x:v>
      </x:c>
      <x:c r="G8" s="11" t="str">
        <x:v>flow cessation, valve state, residual inventory</x:v>
      </x:c>
    </x:row>
    <x:row r="9" ht="48" customHeight="1">
      <x:c r="B9" t="str">
        <x:v>IN-03</x:v>
      </x:c>
      <x:c r="C9" s="11" t="str">
        <x:v>localized agent blanket</x:v>
      </x:c>
      <x:c r="D9" s="11" t="str">
        <x:v>after isolation or by registered automatic threshold</x:v>
      </x:c>
      <x:c r="E9" t="str">
        <x:v>AF-1/AF-3</x:v>
      </x:c>
      <x:c r="F9" s="11" t="str">
        <x:v>reduce burning and vapor without large runoff volume</x:v>
      </x:c>
      <x:c r="G9" s="11" t="str">
        <x:v>burn rate, reignition, agent mass</x:v>
      </x:c>
    </x:row>
    <x:row r="10" ht="48" customHeight="1">
      <x:c r="B10" t="str">
        <x:v>IN-04</x:v>
      </x:c>
      <x:c r="C10" s="11" t="str">
        <x:v>closed-loop impingement cooling</x:v>
      </x:c>
      <x:c r="D10" s="11" t="str">
        <x:v>thermal threshold</x:v>
      </x:c>
      <x:c r="E10" t="str">
        <x:v>AF-2</x:v>
      </x:c>
      <x:c r="F10" s="11" t="str">
        <x:v>protect surfaces without mixing water into source route</x:v>
      </x:c>
      <x:c r="G10" s="11" t="str">
        <x:v>heat flux, return temperature, loop inventory</x:v>
      </x:c>
    </x:row>
    <x:row r="11" ht="48" customHeight="1">
      <x:c r="B11" t="str">
        <x:v>IN-05</x:v>
      </x:c>
      <x:c r="C11" s="11" t="str">
        <x:v>robotic high-flux cooling</x:v>
      </x:c>
      <x:c r="D11" s="11" t="str">
        <x:v>remote authority</x:v>
      </x:c>
      <x:c r="E11" t="str">
        <x:v>AF-3/all casualty</x:v>
      </x:c>
      <x:c r="F11" s="11" t="str">
        <x:v>hold protected boundary while keeping people excluded</x:v>
      </x:c>
      <x:c r="G11" s="11" t="str">
        <x:v>heat transfer, robot state, responder dose</x:v>
      </x:c>
    </x:row>
    <x:row r="12" ht="48" customHeight="1">
      <x:c r="B12" t="str">
        <x:v>IN-06</x:v>
      </x:c>
      <x:c r="C12" s="11" t="str">
        <x:v>autonomous drain clearing</x:v>
      </x:c>
      <x:c r="D12" s="11" t="str">
        <x:v>registered obstruction</x:v>
      </x:c>
      <x:c r="E12" t="str">
        <x:v>all</x:v>
      </x:c>
      <x:c r="F12" s="11" t="str">
        <x:v>restore a blocked path without human entry</x:v>
      </x:c>
      <x:c r="G12" s="11" t="str">
        <x:v>area recovery, transferred mass, debris identity</x:v>
      </x:c>
    </x:row>
    <x:row r="13" ht="48" customHeight="1">
      <x:c r="B13" t="str">
        <x:v>IN-07</x:v>
      </x:c>
      <x:c r="C13" s="11" t="str">
        <x:v>robotic skimming</x:v>
      </x:c>
      <x:c r="D13" s="11" t="str">
        <x:v>after pool growth stops</x:v>
      </x:c>
      <x:c r="E13" t="str">
        <x:v>AF-3/all recovery</x:v>
      </x:c>
      <x:c r="F13" s="11" t="str">
        <x:v>recover product before water entrainment</x:v>
      </x:c>
      <x:c r="G13" s="11" t="str">
        <x:v>source identity, recovered mass, water fraction</x:v>
      </x:c>
    </x:row>
    <x:row r="14" ht="48" customHeight="1">
      <x:c r="B14" t="str">
        <x:v>IN-08</x:v>
      </x:c>
      <x:c r="C14" s="11" t="str">
        <x:v>modular runoff fractionation</x:v>
      </x:c>
      <x:c r="D14" s="11" t="str">
        <x:v>after vault isolation</x:v>
      </x:c>
      <x:c r="E14" t="str">
        <x:v>AF-2/AF-3</x:v>
      </x:c>
      <x:c r="F14" s="11" t="str">
        <x:v>separate water, source, agent and solids under custody</x:v>
      </x:c>
      <x:c r="G14" s="11" t="str">
        <x:v>phase mass, chemistry, waste class</x:v>
      </x:c>
    </x:row>
    <x:row r="15" ht="48" customHeight="1">
      <x:c r="B15" t="str">
        <x:v>IN-09</x:v>
      </x:c>
      <x:c r="C15" s="11" t="str">
        <x:v>remote refractory barrier</x:v>
      </x:c>
      <x:c r="D15" s="11" t="str">
        <x:v>wind or grade challenge</x:v>
      </x:c>
      <x:c r="E15" t="str">
        <x:v>AF-3</x:v>
      </x:c>
      <x:c r="F15" s="11" t="str">
        <x:v>bound spread when fixed grade is damaged</x:v>
      </x:c>
      <x:c r="G15" s="11" t="str">
        <x:v>barrier geometry, leakage, thermal history</x:v>
      </x:c>
    </x:row>
    <x:row r="16" ht="48" customHeight="1">
      <x:c r="B16" t="str">
        <x:v>IN-10</x:v>
      </x:c>
      <x:c r="C16" s="11" t="str">
        <x:v>public terminal isolation</x:v>
      </x:c>
      <x:c r="D16" s="11" t="str">
        <x:v>candidate failure</x:v>
      </x:c>
      <x:c r="E16" t="str">
        <x:v>all</x:v>
      </x:c>
      <x:c r="F16" s="11" t="str">
        <x:v>protect public receiver and preserve evidence</x:v>
      </x:c>
      <x:c r="G16" s="11" t="str">
        <x:v>command, state, inventory and consequence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7" hidden="0" customWidth="1"/>
    <x:col min="4" max="4" width="34" hidden="0" customWidth="1"/>
    <x:col min="5" max="5" width="58" hidden="0" customWidth="1"/>
    <x:col min="6" max="6" width="18" hidden="0" customWidth="1"/>
  </x:cols>
  <x:sheetData>
    <x:row r="2">
      <x:c r="B2" s="1" t="str">
        <x:v>Six public Root A rigs</x:v>
      </x:c>
    </x:row>
    <x:row r="3">
      <x:c r="B3" s="2" t="str">
        <x:v>Operational siblings remain complete; the destructive campus owns separate casualty and recovery capacity.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Site</x:v>
      </x:c>
      <x:c r="C6" s="7" t="str">
        <x:v>Rig</x:v>
      </x:c>
      <x:c r="D6" s="7" t="str">
        <x:v>Role</x:v>
      </x:c>
      <x:c r="E6" s="7" t="str">
        <x:v>Primary duty</x:v>
      </x:c>
      <x:c r="F6" s="7" t="str">
        <x:v>Planning present</x:v>
      </x:c>
    </x:row>
    <x:row r="7" ht="42" customHeight="1">
      <x:c r="B7" t="str">
        <x:v>PTC-A</x:v>
      </x:c>
      <x:c r="C7" t="str">
        <x:v>RFA-RIG-A1</x:v>
      </x:c>
      <x:c r="D7" s="11" t="str">
        <x:v>destructive fire/hydraulic rig</x:v>
      </x:c>
      <x:c r="E7" s="11" t="str">
        <x:v>controlled barrier, vault and route loss</x:v>
      </x:c>
      <x:c r="F7" t="n">
        <x:v>1</x:v>
      </x:c>
    </x:row>
    <x:row r="8" ht="42" customHeight="1">
      <x:c r="B8" t="str">
        <x:v>PTC-A</x:v>
      </x:c>
      <x:c r="C8" t="str">
        <x:v>RFA-RIG-A2</x:v>
      </x:c>
      <x:c r="D8" s="11" t="str">
        <x:v>destructive recovery rig</x:v>
      </x:c>
      <x:c r="E8" s="11" t="str">
        <x:v>robot, fractionation and evidence loss</x:v>
      </x:c>
      <x:c r="F8" t="n">
        <x:v>1</x:v>
      </x:c>
    </x:row>
    <x:row r="9" ht="42" customHeight="1">
      <x:c r="B9" t="str">
        <x:v>PTC-B</x:v>
      </x:c>
      <x:c r="C9" t="str">
        <x:v>RFA-RIG-B1</x:v>
      </x:c>
      <x:c r="D9" s="11" t="str">
        <x:v>operational sibling rig</x:v>
      </x:c>
      <x:c r="E9" s="11" t="str">
        <x:v>full candidate and source ladder</x:v>
      </x:c>
      <x:c r="F9" t="n">
        <x:v>1</x:v>
      </x:c>
    </x:row>
    <x:row r="10" ht="42" customHeight="1">
      <x:c r="B10" t="str">
        <x:v>PTC-B</x:v>
      </x:c>
      <x:c r="C10" t="str">
        <x:v>RFA-RIG-B2</x:v>
      </x:c>
      <x:c r="D10" s="11" t="str">
        <x:v>operational sibling rig</x:v>
      </x:c>
      <x:c r="E10" s="11" t="str">
        <x:v>full candidate and source ladder</x:v>
      </x:c>
      <x:c r="F10" t="n">
        <x:v>1</x:v>
      </x:c>
    </x:row>
    <x:row r="11" ht="42" customHeight="1">
      <x:c r="B11" t="str">
        <x:v>PTC-C</x:v>
      </x:c>
      <x:c r="C11" t="str">
        <x:v>RFA-RIG-C1</x:v>
      </x:c>
      <x:c r="D11" s="11" t="str">
        <x:v>operational sibling rig</x:v>
      </x:c>
      <x:c r="E11" s="11" t="str">
        <x:v>full candidate and source ladder</x:v>
      </x:c>
      <x:c r="F11" t="n">
        <x:v>1</x:v>
      </x:c>
    </x:row>
    <x:row r="12" ht="42" customHeight="1">
      <x:c r="B12" t="str">
        <x:v>PTC-C</x:v>
      </x:c>
      <x:c r="C12" t="str">
        <x:v>RFA-RIG-C2</x:v>
      </x:c>
      <x:c r="D12" s="11" t="str">
        <x:v>operational sibling rig</x:v>
      </x:c>
      <x:c r="E12" s="11" t="str">
        <x:v>full candidate and source ladder</x:v>
      </x:c>
      <x:c r="F12" t="n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4" hidden="0" customWidth="1"/>
    <x:col min="5" max="5" width="18" hidden="0" customWidth="1"/>
    <x:col min="6" max="6" width="62" hidden="0" customWidth="1"/>
    <x:col min="7" max="7" width="21" hidden="0" customWidth="1"/>
    <x:col min="8" max="8" width="14" hidden="0" customWidth="1"/>
  </x:cols>
  <x:sheetData>
    <x:row r="2">
      <x:c r="B2" s="1" t="str">
        <x:v>Twenty measurement functions</x:v>
      </x:c>
    </x:row>
    <x:row r="3">
      <x:c r="B3" s="2" t="str">
        <x:v>The measurement system follows source, water, heat, intervention, recovery and custody rather than facility ownership.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Function</x:v>
      </x:c>
      <x:c r="C6" s="7" t="str">
        <x:v>Quantity</x:v>
      </x:c>
      <x:c r="D6" s="7" t="str">
        <x:v>Channels</x:v>
      </x:c>
      <x:c r="E6" s="7" t="str">
        <x:v>Native rate</x:v>
      </x:c>
      <x:c r="F6" s="7" t="str">
        <x:v>Decision use</x:v>
      </x:c>
      <x:c r="G6" s="7" t="str">
        <x:v>Physical acceptance</x:v>
      </x:c>
      <x:c r="H6" s="7" t="str">
        <x:v>State</x:v>
      </x:c>
    </x:row>
    <x:row r="7" ht="38" customHeight="1">
      <x:c r="B7" t="str">
        <x:v>SF-01</x:v>
      </x:c>
      <x:c r="C7" t="str">
        <x:v>source mass</x:v>
      </x:c>
      <x:c r="D7" t="n">
        <x:v>8</x:v>
      </x:c>
      <x:c r="E7" t="str">
        <x:v>100 Hz</x:v>
      </x:c>
      <x:c r="F7" s="11" t="str">
        <x:v>initial, residual and transferred inventory</x:v>
      </x:c>
      <x:c r="G7" t="str"/>
      <x:c r="H7" t="str">
        <x:v>OPEN</x:v>
      </x:c>
    </x:row>
    <x:row r="8" ht="38" customHeight="1">
      <x:c r="B8" t="str">
        <x:v>SF-02</x:v>
      </x:c>
      <x:c r="C8" t="str">
        <x:v>source composition</x:v>
      </x:c>
      <x:c r="D8" t="n">
        <x:v>12</x:v>
      </x:c>
      <x:c r="E8" t="str">
        <x:v>event samples</x:v>
      </x:c>
      <x:c r="F8" s="11" t="str">
        <x:v>identity, weathering and decomposition</x:v>
      </x:c>
      <x:c r="G8" t="str"/>
      <x:c r="H8" t="str">
        <x:v>OPEN</x:v>
      </x:c>
    </x:row>
    <x:row r="9" ht="38" customHeight="1">
      <x:c r="B9" t="str">
        <x:v>SF-03</x:v>
      </x:c>
      <x:c r="C9" t="str">
        <x:v>liquid flow</x:v>
      </x:c>
      <x:c r="D9" t="n">
        <x:v>16</x:v>
      </x:c>
      <x:c r="E9" t="str">
        <x:v>1 kHz</x:v>
      </x:c>
      <x:c r="F9" s="11" t="str">
        <x:v>source and water paths</x:v>
      </x:c>
      <x:c r="G9" t="str"/>
      <x:c r="H9" t="str">
        <x:v>OPEN</x:v>
      </x:c>
    </x:row>
    <x:row r="10" ht="38" customHeight="1">
      <x:c r="B10" t="str">
        <x:v>SF-04</x:v>
      </x:c>
      <x:c r="C10" t="str">
        <x:v>surface liquid depth</x:v>
      </x:c>
      <x:c r="D10" t="n">
        <x:v>64</x:v>
      </x:c>
      <x:c r="E10" t="str">
        <x:v>100 Hz</x:v>
      </x:c>
      <x:c r="F10" s="11" t="str">
        <x:v>pool area, thickness and growth</x:v>
      </x:c>
      <x:c r="G10" t="str"/>
      <x:c r="H10" t="str">
        <x:v>OPEN</x:v>
      </x:c>
    </x:row>
    <x:row r="11" ht="38" customHeight="1">
      <x:c r="B11" t="str">
        <x:v>SF-05</x:v>
      </x:c>
      <x:c r="C11" t="str">
        <x:v>drain geometry</x:v>
      </x:c>
      <x:c r="D11" t="n">
        <x:v>24</x:v>
      </x:c>
      <x:c r="E11" t="str">
        <x:v>100 Hz</x:v>
      </x:c>
      <x:c r="F11" s="11" t="str">
        <x:v>effective area, obstruction and clearing</x:v>
      </x:c>
      <x:c r="G11" t="str"/>
      <x:c r="H11" t="str">
        <x:v>OPEN</x:v>
      </x:c>
    </x:row>
    <x:row r="12" ht="38" customHeight="1">
      <x:c r="B12" t="str">
        <x:v>SF-06</x:v>
      </x:c>
      <x:c r="C12" t="str">
        <x:v>sump inventory</x:v>
      </x:c>
      <x:c r="D12" t="n">
        <x:v>16</x:v>
      </x:c>
      <x:c r="E12" t="str">
        <x:v>10 Hz</x:v>
      </x:c>
      <x:c r="F12" s="11" t="str">
        <x:v>retained source and heel</x:v>
      </x:c>
      <x:c r="G12" t="str"/>
      <x:c r="H12" t="str">
        <x:v>OPEN</x:v>
      </x:c>
    </x:row>
    <x:row r="13" ht="38" customHeight="1">
      <x:c r="B13" t="str">
        <x:v>SF-07</x:v>
      </x:c>
      <x:c r="C13" t="str">
        <x:v>firewater inventory</x:v>
      </x:c>
      <x:c r="D13" t="n">
        <x:v>16</x:v>
      </x:c>
      <x:c r="E13" t="str">
        <x:v>10 Hz</x:v>
      </x:c>
      <x:c r="F13" s="11" t="str">
        <x:v>vault use and overflow</x:v>
      </x:c>
      <x:c r="G13" t="str"/>
      <x:c r="H13" t="str">
        <x:v>OPEN</x:v>
      </x:c>
    </x:row>
    <x:row r="14" ht="38" customHeight="1">
      <x:c r="B14" t="str">
        <x:v>SF-08</x:v>
      </x:c>
      <x:c r="C14" t="str">
        <x:v>runoff composition</x:v>
      </x:c>
      <x:c r="D14" t="n">
        <x:v>24</x:v>
      </x:c>
      <x:c r="E14" t="str">
        <x:v>10 Hz</x:v>
      </x:c>
      <x:c r="F14" s="11" t="str">
        <x:v>water, source, agent and solids</x:v>
      </x:c>
      <x:c r="G14" t="str"/>
      <x:c r="H14" t="str">
        <x:v>OPEN</x:v>
      </x:c>
    </x:row>
    <x:row r="15" ht="38" customHeight="1">
      <x:c r="B15" t="str">
        <x:v>SF-09</x:v>
      </x:c>
      <x:c r="C15" t="str">
        <x:v>flame onset</x:v>
      </x:c>
      <x:c r="D15" t="n">
        <x:v>24</x:v>
      </x:c>
      <x:c r="E15" t="str">
        <x:v>10 kHz</x:v>
      </x:c>
      <x:c r="F15" s="11" t="str">
        <x:v>ignition and reignition</x:v>
      </x:c>
      <x:c r="G15" t="str"/>
      <x:c r="H15" t="str">
        <x:v>OPEN</x:v>
      </x:c>
    </x:row>
    <x:row r="16" ht="38" customHeight="1">
      <x:c r="B16" t="str">
        <x:v>SF-10</x:v>
      </x:c>
      <x:c r="C16" t="str">
        <x:v>radiant heat</x:v>
      </x:c>
      <x:c r="D16" t="n">
        <x:v>64</x:v>
      </x:c>
      <x:c r="E16" t="str">
        <x:v>1 kHz</x:v>
      </x:c>
      <x:c r="F16" s="11" t="str">
        <x:v>field and barrier loading</x:v>
      </x:c>
      <x:c r="G16" t="str"/>
      <x:c r="H16" t="str">
        <x:v>OPEN</x:v>
      </x:c>
    </x:row>
    <x:row r="17" ht="38" customHeight="1">
      <x:c r="B17" t="str">
        <x:v>SF-11</x:v>
      </x:c>
      <x:c r="C17" t="str">
        <x:v>surface temperature</x:v>
      </x:c>
      <x:c r="D17" t="n">
        <x:v>32</x:v>
      </x:c>
      <x:c r="E17" t="str">
        <x:v>100 Hz</x:v>
      </x:c>
      <x:c r="F17" s="11" t="str">
        <x:v>deck and protected boundary</x:v>
      </x:c>
      <x:c r="G17" t="str"/>
      <x:c r="H17" t="str">
        <x:v>OPEN</x:v>
      </x:c>
    </x:row>
    <x:row r="18" ht="38" customHeight="1">
      <x:c r="B18" t="str">
        <x:v>SF-12</x:v>
      </x:c>
      <x:c r="C18" t="str">
        <x:v>structural strain</x:v>
      </x:c>
      <x:c r="D18" t="n">
        <x:v>32</x:v>
      </x:c>
      <x:c r="E18" t="str">
        <x:v>10 kHz</x:v>
      </x:c>
      <x:c r="F18" s="11" t="str">
        <x:v>supports, barrier and drain damage</x:v>
      </x:c>
      <x:c r="G18" t="str"/>
      <x:c r="H18" t="str">
        <x:v>OPEN</x:v>
      </x:c>
    </x:row>
    <x:row r="19" ht="38" customHeight="1">
      <x:c r="B19" t="str">
        <x:v>SF-13</x:v>
      </x:c>
      <x:c r="C19" t="str">
        <x:v>gas concentration</x:v>
      </x:c>
      <x:c r="D19" t="n">
        <x:v>24</x:v>
      </x:c>
      <x:c r="E19" t="str">
        <x:v>100 Hz</x:v>
      </x:c>
      <x:c r="F19" s="11" t="str">
        <x:v>vapor field and entry</x:v>
      </x:c>
      <x:c r="G19" t="str"/>
      <x:c r="H19" t="str">
        <x:v>OPEN</x:v>
      </x:c>
    </x:row>
    <x:row r="20" ht="38" customHeight="1">
      <x:c r="B20" t="str">
        <x:v>SF-14</x:v>
      </x:c>
      <x:c r="C20" t="str">
        <x:v>weather field</x:v>
      </x:c>
      <x:c r="D20" t="n">
        <x:v>16</x:v>
      </x:c>
      <x:c r="E20" t="str">
        <x:v>10 Hz</x:v>
      </x:c>
      <x:c r="F20" s="11" t="str">
        <x:v>wind, precipitation and transmission</x:v>
      </x:c>
      <x:c r="G20" t="str"/>
      <x:c r="H20" t="str">
        <x:v>OPEN</x:v>
      </x:c>
    </x:row>
    <x:row r="21" ht="38" customHeight="1">
      <x:c r="B21" t="str">
        <x:v>SF-15</x:v>
      </x:c>
      <x:c r="C21" t="str">
        <x:v>agent flow</x:v>
      </x:c>
      <x:c r="D21" t="n">
        <x:v>12</x:v>
      </x:c>
      <x:c r="E21" t="str">
        <x:v>100 Hz</x:v>
      </x:c>
      <x:c r="F21" s="11" t="str">
        <x:v>application and residual</x:v>
      </x:c>
      <x:c r="G21" t="str"/>
      <x:c r="H21" t="str">
        <x:v>OPEN</x:v>
      </x:c>
    </x:row>
    <x:row r="22" ht="38" customHeight="1">
      <x:c r="B22" t="str">
        <x:v>SF-16</x:v>
      </x:c>
      <x:c r="C22" t="str">
        <x:v>robot state</x:v>
      </x:c>
      <x:c r="D22" t="n">
        <x:v>24</x:v>
      </x:c>
      <x:c r="E22" t="str">
        <x:v>100 Hz</x:v>
      </x:c>
      <x:c r="F22" s="11" t="str">
        <x:v>pose, command, energy and fault</x:v>
      </x:c>
      <x:c r="G22" t="str"/>
      <x:c r="H22" t="str">
        <x:v>OPEN</x:v>
      </x:c>
    </x:row>
    <x:row r="23" ht="38" customHeight="1">
      <x:c r="B23" t="str">
        <x:v>SF-17</x:v>
      </x:c>
      <x:c r="C23" t="str">
        <x:v>electrical safety energy</x:v>
      </x:c>
      <x:c r="D23" t="n">
        <x:v>20</x:v>
      </x:c>
      <x:c r="E23" t="str">
        <x:v>1 kHz</x:v>
      </x:c>
      <x:c r="F23" s="11" t="str">
        <x:v>independent paths and denial</x:v>
      </x:c>
      <x:c r="G23" t="str"/>
      <x:c r="H23" t="str">
        <x:v>OPEN</x:v>
      </x:c>
    </x:row>
    <x:row r="24" ht="38" customHeight="1">
      <x:c r="B24" t="str">
        <x:v>SF-18</x:v>
      </x:c>
      <x:c r="C24" t="str">
        <x:v>visual and thermal imagery</x:v>
      </x:c>
      <x:c r="D24" t="n">
        <x:v>32</x:v>
      </x:c>
      <x:c r="E24" t="str">
        <x:v>native frame</x:v>
      </x:c>
      <x:c r="F24" s="11" t="str">
        <x:v>pool, fire, barrier and responder state</x:v>
      </x:c>
      <x:c r="G24" t="str"/>
      <x:c r="H24" t="str">
        <x:v>OPEN</x:v>
      </x:c>
    </x:row>
    <x:row r="25" ht="38" customHeight="1">
      <x:c r="B25" t="str">
        <x:v>SF-19</x:v>
      </x:c>
      <x:c r="C25" t="str">
        <x:v>public time</x:v>
      </x:c>
      <x:c r="D25" t="n">
        <x:v>8</x:v>
      </x:c>
      <x:c r="E25" t="str">
        <x:v>100 kHz</x:v>
      </x:c>
      <x:c r="F25" s="11" t="str">
        <x:v>causal ordering and evidence</x:v>
      </x:c>
      <x:c r="G25" t="str"/>
      <x:c r="H25" t="str">
        <x:v>OPEN</x:v>
      </x:c>
    </x:row>
    <x:row r="26" ht="38" customHeight="1">
      <x:c r="B26" t="str">
        <x:v>SF-20</x:v>
      </x:c>
      <x:c r="C26" t="str">
        <x:v>custody and environmental boundary</x:v>
      </x:c>
      <x:c r="D26" t="n">
        <x:v>12</x:v>
      </x:c>
      <x:c r="E26" t="str">
        <x:v>event record</x:v>
      </x:c>
      <x:c r="F26" s="11" t="str">
        <x:v>samples, waste, perimeter and originals</x:v>
      </x:c>
      <x:c r="G26" t="str"/>
      <x:c r="H26" t="str">
        <x:v>OPEN</x:v>
      </x:c>
    </x:row>
    <x:row r="28">
      <x:c r="B28" s="14" t="str">
        <x:v>Total</x:v>
      </x:c>
      <x:c r="C28" s="14"/>
      <x:c r="D28" s="14" t="n">
        <x:f>SUM(D7:D26)</x:f>
        <x:v>480</x:v>
      </x:c>
      <x:c r="E28" s="14"/>
      <x:c r="F28" s="14"/>
      <x:c r="G28" s="14"/>
      <x:c r="H28" s="14"/>
    </x:row>
  </x:sheetData>
  <x:conditionalFormatting sqref="H7:H26">
    <x:cfRule type="containsText" dxfId="64" priority="1" operator="containsText" text="FAIL"/>
    <x:cfRule type="containsText" dxfId="65" priority="2" operator="containsText" text="BLOCKED"/>
    <x:cfRule type="containsText" dxfId="66" priority="3" operator="containsText" text="REOPEN"/>
    <x:cfRule type="containsText" dxfId="67" priority="4" operator="containsText" text="OVERFLOW"/>
    <x:cfRule type="containsText" dxfId="68" priority="5" operator="containsText" text="OPEN"/>
    <x:cfRule type="containsText" dxfId="69" priority="6" operator="containsText" text="GAP"/>
    <x:cfRule type="containsText" dxfId="70" priority="7" operator="containsText" text="PASS"/>
    <x:cfRule type="containsText" dxfId="71" priority="8" operator="containsText" text="IN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42" hidden="0" customWidth="1"/>
    <x:col min="4" max="4" width="20" hidden="0" customWidth="1"/>
    <x:col min="5" max="5" width="25" hidden="0" customWidth="1"/>
    <x:col min="6" max="6" width="75" hidden="0" customWidth="1"/>
    <x:col min="7" max="7" width="28" hidden="0" customWidth="1"/>
  </x:cols>
  <x:sheetData>
    <x:row r="2">
      <x:c r="B2" s="1" t="str">
        <x:v>Sixteen signed command transactions</x:v>
      </x:c>
    </x:row>
    <x:row r="3">
      <x:c r="B3" s="2" t="str">
        <x:v>Each command binds issuer, evidence and predetermined response.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Command</x:v>
      </x:c>
      <x:c r="C6" s="7" t="str">
        <x:v>Action</x:v>
      </x:c>
      <x:c r="D6" s="7" t="str">
        <x:v>Time</x:v>
      </x:c>
      <x:c r="E6" s="7" t="str">
        <x:v>Issuer</x:v>
      </x:c>
      <x:c r="F6" s="7" t="str">
        <x:v>Required evidence</x:v>
      </x:c>
      <x:c r="G6" s="7" t="str">
        <x:v>Failure response</x:v>
      </x:c>
    </x:row>
    <x:row r="7" ht="42" customHeight="1">
      <x:c r="B7" t="str">
        <x:v>CS-01</x:v>
      </x:c>
      <x:c r="C7" s="11" t="str">
        <x:v>freeze configuration</x:v>
      </x:c>
      <x:c r="D7" t="str">
        <x:v>T-72 h</x:v>
      </x:c>
      <x:c r="E7" t="str">
        <x:v>configuration authority</x:v>
      </x:c>
      <x:c r="F7" s="11" t="str">
        <x:v>write-once article, surface, drain, vault and software record</x:v>
      </x:c>
      <x:c r="G7" s="11" t="str">
        <x:v>hold</x:v>
      </x:c>
    </x:row>
    <x:row r="8" ht="42" customHeight="1">
      <x:c r="B8" t="str">
        <x:v>CS-02</x:v>
      </x:c>
      <x:c r="C8" s="11" t="str">
        <x:v>prove recovery and environmental capacity</x:v>
      </x:c>
      <x:c r="D8" t="str">
        <x:v>T-48 h</x:v>
      </x:c>
      <x:c r="E8" t="str">
        <x:v>recovery authority</x:v>
      </x:c>
      <x:c r="F8" s="11" t="str">
        <x:v>empty capacity, waste route and casualty proof</x:v>
      </x:c>
      <x:c r="G8" s="11" t="str">
        <x:v>hold</x:v>
      </x:c>
    </x:row>
    <x:row r="9" ht="42" customHeight="1">
      <x:c r="B9" t="str">
        <x:v>CS-03</x:v>
      </x:c>
      <x:c r="C9" s="11" t="str">
        <x:v>admit media and samples</x:v>
      </x:c>
      <x:c r="D9" t="str">
        <x:v>T-24 h</x:v>
      </x:c>
      <x:c r="E9" t="str">
        <x:v>source authority</x:v>
      </x:c>
      <x:c r="F9" s="11" t="str">
        <x:v>source, water, agent and tracer custody</x:v>
      </x:c>
      <x:c r="G9" s="11" t="str">
        <x:v>reject media</x:v>
      </x:c>
    </x:row>
    <x:row r="10" ht="42" customHeight="1">
      <x:c r="B10" t="str">
        <x:v>CS-04</x:v>
      </x:c>
      <x:c r="C10" s="11" t="str">
        <x:v>accept candidate and terrain state</x:v>
      </x:c>
      <x:c r="D10" t="str">
        <x:v>T-12 h</x:v>
      </x:c>
      <x:c r="E10" t="str">
        <x:v>candidate authority</x:v>
      </x:c>
      <x:c r="F10" s="11" t="str">
        <x:v>as-tested architecture and surveyed grade</x:v>
      </x:c>
      <x:c r="G10" s="11" t="str">
        <x:v>hold</x:v>
      </x:c>
    </x:row>
    <x:row r="11" ht="42" customHeight="1">
      <x:c r="B11" t="str">
        <x:v>CS-05</x:v>
      </x:c>
      <x:c r="C11" s="11" t="str">
        <x:v>begin condition realization</x:v>
      </x:c>
      <x:c r="D11" t="str">
        <x:v>T-8 h</x:v>
      </x:c>
      <x:c r="E11" t="str">
        <x:v>method lead</x:v>
      </x:c>
      <x:c r="F11" s="11" t="str">
        <x:v>bounded temperature, fill, obstruction and weather state</x:v>
      </x:c>
      <x:c r="G11" s="11" t="str">
        <x:v>restart</x:v>
      </x:c>
    </x:row>
    <x:row r="12" ht="42" customHeight="1">
      <x:c r="B12" t="str">
        <x:v>CS-06</x:v>
      </x:c>
      <x:c r="C12" s="11" t="str">
        <x:v>seal exclusion</x:v>
      </x:c>
      <x:c r="D12" t="str">
        <x:v>T-2 h</x:v>
      </x:c>
      <x:c r="E12" t="str">
        <x:v>safety authority</x:v>
      </x:c>
      <x:c r="F12" s="11" t="str">
        <x:v>people, robots, rescue and perimeter accountable</x:v>
      </x:c>
      <x:c r="G12" s="11" t="str">
        <x:v>hold</x:v>
      </x:c>
    </x:row>
    <x:row r="13" ht="42" customHeight="1">
      <x:c r="B13" t="str">
        <x:v>CS-07</x:v>
      </x:c>
      <x:c r="C13" s="11" t="str">
        <x:v>accept calibration</x:v>
      </x:c>
      <x:c r="D13" t="str">
        <x:v>T-45 min</x:v>
      </x:c>
      <x:c r="E13" t="str">
        <x:v>metrology authority</x:v>
      </x:c>
      <x:c r="F13" s="11" t="str">
        <x:v>decisive functions linked to two chains</x:v>
      </x:c>
      <x:c r="G13" s="11" t="str">
        <x:v>hold</x:v>
      </x:c>
    </x:row>
    <x:row r="14" ht="42" customHeight="1">
      <x:c r="B14" t="str">
        <x:v>CS-08</x:v>
      </x:c>
      <x:c r="C14" s="11" t="str">
        <x:v>arm originals</x:v>
      </x:c>
      <x:c r="D14" t="str">
        <x:v>T-30 min</x:v>
      </x:c>
      <x:c r="E14" t="str">
        <x:v>evidence authority</x:v>
      </x:c>
      <x:c r="F14" s="11" t="str">
        <x:v>two native paths and environmental custody active</x:v>
      </x:c>
      <x:c r="G14" s="11" t="str">
        <x:v>hold</x:v>
      </x:c>
    </x:row>
    <x:row r="15" ht="42" customHeight="1">
      <x:c r="B15" t="str">
        <x:v>CS-09</x:v>
      </x:c>
      <x:c r="C15" s="11" t="str">
        <x:v>poll authorities</x:v>
      </x:c>
      <x:c r="D15" t="str">
        <x:v>T-10 min</x:v>
      </x:c>
      <x:c r="E15" t="str">
        <x:v>test conductor</x:v>
      </x:c>
      <x:c r="F15" s="11" t="str">
        <x:v>explicit signed responses</x:v>
      </x:c>
      <x:c r="G15" s="11" t="str">
        <x:v>hold</x:v>
      </x:c>
    </x:row>
    <x:row r="16" ht="42" customHeight="1">
      <x:c r="B16" t="str">
        <x:v>CS-10</x:v>
      </x:c>
      <x:c r="C16" s="11" t="str">
        <x:v>start full-rate record</x:v>
      </x:c>
      <x:c r="D16" t="str">
        <x:v>T-60 s</x:v>
      </x:c>
      <x:c r="E16" t="str">
        <x:v>time authority</x:v>
      </x:c>
      <x:c r="F16" s="11" t="str">
        <x:v>common clock and skew result</x:v>
      </x:c>
      <x:c r="G16" s="11" t="str">
        <x:v>abort</x:v>
      </x:c>
    </x:row>
    <x:row r="17" ht="42" customHeight="1">
      <x:c r="B17" t="str">
        <x:v>CS-11</x:v>
      </x:c>
      <x:c r="C17" s="11" t="str">
        <x:v>insert paired challenge</x:v>
      </x:c>
      <x:c r="D17" t="str">
        <x:v>T-10 s</x:v>
      </x:c>
      <x:c r="E17" t="str">
        <x:v>challenge authority</x:v>
      </x:c>
      <x:c r="F17" s="11" t="str">
        <x:v>measured challenge state</x:v>
      </x:c>
      <x:c r="G17" s="11" t="str">
        <x:v>abort</x:v>
      </x:c>
    </x:row>
    <x:row r="18" ht="42" customHeight="1">
      <x:c r="B18" t="str">
        <x:v>CS-12</x:v>
      </x:c>
      <x:c r="C18" s="11" t="str">
        <x:v>release method or source</x:v>
      </x:c>
      <x:c r="D18" t="str">
        <x:v>T0</x:v>
      </x:c>
      <x:c r="E18" t="str">
        <x:v>test conductor</x:v>
      </x:c>
      <x:c r="F18" s="11" t="str">
        <x:v>one accountable command</x:v>
      </x:c>
      <x:c r="G18" s="11" t="str">
        <x:v>abort</x:v>
      </x:c>
    </x:row>
    <x:row r="19" ht="42" customHeight="1">
      <x:c r="B19" t="str">
        <x:v>CS-13</x:v>
      </x:c>
      <x:c r="C19" s="11" t="str">
        <x:v>authorize registered intervention</x:v>
      </x:c>
      <x:c r="D19" t="str">
        <x:v>event rule</x:v>
      </x:c>
      <x:c r="E19" t="str">
        <x:v>intervention authority</x:v>
      </x:c>
      <x:c r="F19" s="11" t="str">
        <x:v>trigger and intervention identity</x:v>
      </x:c>
      <x:c r="G19" s="11" t="str">
        <x:v>public safe state</x:v>
      </x:c>
    </x:row>
    <x:row r="20" ht="42" customHeight="1">
      <x:c r="B20" t="str">
        <x:v>CS-14</x:v>
      </x:c>
      <x:c r="C20" s="11" t="str">
        <x:v>declare terminal-source state</x:v>
      </x:c>
      <x:c r="D20" t="str">
        <x:v>target T+30 s</x:v>
      </x:c>
      <x:c r="E20" t="str">
        <x:v>source authority</x:v>
      </x:c>
      <x:c r="F20" s="11" t="str">
        <x:v>flow, pool and neighbor state</x:v>
      </x:c>
      <x:c r="G20" s="11" t="str">
        <x:v>continue isolation</x:v>
      </x:c>
    </x:row>
    <x:row r="21" ht="42" customHeight="1">
      <x:c r="B21" t="str">
        <x:v>CS-15</x:v>
      </x:c>
      <x:c r="C21" s="11" t="str">
        <x:v>authorize recovery entry</x:v>
      </x:c>
      <x:c r="D21" t="str">
        <x:v>not before T+30 min</x:v>
      </x:c>
      <x:c r="E21" t="str">
        <x:v>safety authority</x:v>
      </x:c>
      <x:c r="F21" s="11" t="str">
        <x:v>remote thermal, gas, structure and route survey</x:v>
      </x:c>
      <x:c r="G21" s="11" t="str">
        <x:v>remain excluded</x:v>
      </x:c>
    </x:row>
    <x:row r="22" ht="42" customHeight="1">
      <x:c r="B22" t="str">
        <x:v>CS-16</x:v>
      </x:c>
      <x:c r="C22" s="11" t="str">
        <x:v>freeze packet and dispositions</x:v>
      </x:c>
      <x:c r="D22" t="str">
        <x:v>T+72 h / day 7</x:v>
      </x:c>
      <x:c r="E22" t="str">
        <x:v>adjudication board</x:v>
      </x:c>
      <x:c r="F22" s="11" t="str">
        <x:v>immutable packet, validity and outcome</x:v>
      </x:c>
      <x:c r="G22" s="11" t="str">
        <x:v>no campaign credit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5" hidden="0" customWidth="1"/>
    <x:col min="4" max="4" width="40" hidden="0" customWidth="1"/>
    <x:col min="5" max="5" width="42" hidden="0" customWidth="1"/>
    <x:col min="6" max="6" width="55" hidden="0" customWidth="1"/>
    <x:col min="7" max="7" width="25" hidden="0" customWidth="1"/>
  </x:cols>
  <x:sheetData>
    <x:row r="2">
      <x:c r="B2" s="1" t="str">
        <x:v>Sixteen independent abort channels</x:v>
      </x:c>
    </x:row>
    <x:row r="3">
      <x:c r="B3" s="2" t="str">
        <x:v>Threshold, detection, final action and authority are fixed before the event.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Abort</x:v>
      </x:c>
      <x:c r="C6" s="7" t="str">
        <x:v>Observable</x:v>
      </x:c>
      <x:c r="D6" s="7" t="str">
        <x:v>Threshold</x:v>
      </x:c>
      <x:c r="E6" s="7" t="str">
        <x:v>Detection</x:v>
      </x:c>
      <x:c r="F6" s="7" t="str">
        <x:v>Final action</x:v>
      </x:c>
      <x:c r="G6" s="7" t="str">
        <x:v>Authority</x:v>
      </x:c>
    </x:row>
    <x:row r="7" ht="44" customHeight="1">
      <x:c r="B7" t="str">
        <x:v>AB-01</x:v>
      </x:c>
      <x:c r="C7" s="11" t="str">
        <x:v>unisolated source flow</x:v>
      </x:c>
      <x:c r="D7" s="11" t="str">
        <x:v>&gt; registered terminal envelope</x:v>
      </x:c>
      <x:c r="E7" s="11" t="str">
        <x:v>two unlike flow/mass chains</x:v>
      </x:c>
      <x:c r="F7" s="11" t="str">
        <x:v>dual source isolation</x:v>
      </x:c>
      <x:c r="G7" t="str">
        <x:v>source authority</x:v>
      </x:c>
    </x:row>
    <x:row r="8" ht="44" customHeight="1">
      <x:c r="B8" t="str">
        <x:v>AB-02</x:v>
      </x:c>
      <x:c r="C8" s="11" t="str">
        <x:v>neighbor transfer</x:v>
      </x:c>
      <x:c r="D8" s="11" t="str">
        <x:v>&gt; 0.5 kg</x:v>
      </x:c>
      <x:c r="E8" s="11" t="str">
        <x:v>protected-train mass witness</x:v>
      </x:c>
      <x:c r="F8" s="11" t="str">
        <x:v>isolate and enter public safe state</x:v>
      </x:c>
      <x:c r="G8" t="str">
        <x:v>source authority</x:v>
      </x:c>
    </x:row>
    <x:row r="9" ht="44" customHeight="1">
      <x:c r="B9" t="str">
        <x:v>AB-03</x:v>
      </x:c>
      <x:c r="C9" s="11" t="str">
        <x:v>pool growth</x:v>
      </x:c>
      <x:c r="D9" s="11" t="str">
        <x:v>positive area slope after terminal target</x:v>
      </x:c>
      <x:c r="E9" s="11" t="str">
        <x:v>depth field plus imagery</x:v>
      </x:c>
      <x:c r="F9" s="11" t="str">
        <x:v>isolate and deploy registered barrier</x:v>
      </x:c>
      <x:c r="G9" t="str">
        <x:v>method authority</x:v>
      </x:c>
    </x:row>
    <x:row r="10" ht="44" customHeight="1">
      <x:c r="B10" t="str">
        <x:v>AB-04</x:v>
      </x:c>
      <x:c r="C10" s="11" t="str">
        <x:v>source sump utilization</x:v>
      </x:c>
      <x:c r="D10" s="11" t="str">
        <x:v>&gt; 0.90</x:v>
      </x:c>
      <x:c r="E10" s="11" t="str">
        <x:v>independent level and mass</x:v>
      </x:c>
      <x:c r="F10" s="11" t="str">
        <x:v>divert only to registered casualty vessel</x:v>
      </x:c>
      <x:c r="G10" t="str">
        <x:v>recovery authority</x:v>
      </x:c>
    </x:row>
    <x:row r="11" ht="44" customHeight="1">
      <x:c r="B11" t="str">
        <x:v>AB-05</x:v>
      </x:c>
      <x:c r="C11" s="11" t="str">
        <x:v>firewater vault utilization</x:v>
      </x:c>
      <x:c r="D11" s="11" t="str">
        <x:v>&gt; 0.90</x:v>
      </x:c>
      <x:c r="E11" s="11" t="str">
        <x:v>independent volume chains</x:v>
      </x:c>
      <x:c r="F11" s="11" t="str">
        <x:v>stop open-loop water; retain local protection</x:v>
      </x:c>
      <x:c r="G11" t="str">
        <x:v>fire authority</x:v>
      </x:c>
    </x:row>
    <x:row r="12" ht="44" customHeight="1">
      <x:c r="B12" t="str">
        <x:v>AB-06</x:v>
      </x:c>
      <x:c r="C12" s="11" t="str">
        <x:v>unregistered runoff</x:v>
      </x:c>
      <x:c r="D12" s="11" t="str">
        <x:v>any flow beyond controlled boundary</x:v>
      </x:c>
      <x:c r="E12" s="11" t="str">
        <x:v>chemistry, flow and visual concurrence</x:v>
      </x:c>
      <x:c r="F12" s="11" t="str">
        <x:v>isolate drains and protect perimeter</x:v>
      </x:c>
      <x:c r="G12" t="str">
        <x:v>environment authority</x:v>
      </x:c>
    </x:row>
    <x:row r="13" ht="44" customHeight="1">
      <x:c r="B13" t="str">
        <x:v>AB-07</x:v>
      </x:c>
      <x:c r="C13" s="11" t="str">
        <x:v>protected heat flux</x:v>
      </x:c>
      <x:c r="D13" s="11" t="str">
        <x:v>&gt; registered barrier limit</x:v>
      </x:c>
      <x:c r="E13" s="11" t="str">
        <x:v>two heat-flux principles</x:v>
      </x:c>
      <x:c r="F13" s="11" t="str">
        <x:v>isolate and cool protected boundary</x:v>
      </x:c>
      <x:c r="G13" t="str">
        <x:v>thermal authority</x:v>
      </x:c>
    </x:row>
    <x:row r="14" ht="44" customHeight="1">
      <x:c r="B14" t="str">
        <x:v>AB-08</x:v>
      </x:c>
      <x:c r="C14" s="11" t="str">
        <x:v>neighbor source temperature</x:v>
      </x:c>
      <x:c r="D14" s="11" t="str">
        <x:v>&gt; registered rise or rate</x:v>
      </x:c>
      <x:c r="E14" s="11" t="str">
        <x:v>independent thermometry</x:v>
      </x:c>
      <x:c r="F14" s="11" t="str">
        <x:v>isolate neighbor and apply protected cooling</x:v>
      </x:c>
      <x:c r="G14" t="str">
        <x:v>source authority</x:v>
      </x:c>
    </x:row>
    <x:row r="15" ht="44" customHeight="1">
      <x:c r="B15" t="str">
        <x:v>AB-09</x:v>
      </x:c>
      <x:c r="C15" s="11" t="str">
        <x:v>barrier state</x:v>
      </x:c>
      <x:c r="D15" s="11" t="str">
        <x:v>loss of registered capture geometry</x:v>
      </x:c>
      <x:c r="E15" s="11" t="str">
        <x:v>survey and imagery</x:v>
      </x:c>
      <x:c r="F15" s="11" t="str">
        <x:v>source isolation and casualty capture</x:v>
      </x:c>
      <x:c r="G15" t="str">
        <x:v>civil authority</x:v>
      </x:c>
    </x:row>
    <x:row r="16" ht="44" customHeight="1">
      <x:c r="B16" t="str">
        <x:v>AB-10</x:v>
      </x:c>
      <x:c r="C16" s="11" t="str">
        <x:v>gas boundary</x:v>
      </x:c>
      <x:c r="D16" s="11" t="str">
        <x:v>two-of-three detectors at alarm</x:v>
      </x:c>
      <x:c r="E16" s="11" t="str">
        <x:v>diverse gas array</x:v>
      </x:c>
      <x:c r="F16" s="11" t="str">
        <x:v>isolate, extinguish ignition and evacuate</x:v>
      </x:c>
      <x:c r="G16" t="str">
        <x:v>safety authority</x:v>
      </x:c>
    </x:row>
    <x:row r="17" ht="44" customHeight="1">
      <x:c r="B17" t="str">
        <x:v>AB-11</x:v>
      </x:c>
      <x:c r="C17" s="11" t="str">
        <x:v>robot exclusion breach</x:v>
      </x:c>
      <x:c r="D17" s="11" t="str">
        <x:v>robot or line leaves registered corridor</x:v>
      </x:c>
      <x:c r="E17" s="11" t="str">
        <x:v>position plus independent imagery</x:v>
      </x:c>
      <x:c r="F17" s="11" t="str">
        <x:v>stop robot and isolate energy</x:v>
      </x:c>
      <x:c r="G17" t="str">
        <x:v>robot authority</x:v>
      </x:c>
    </x:row>
    <x:row r="18" ht="44" customHeight="1">
      <x:c r="B18" t="str">
        <x:v>AB-12</x:v>
      </x:c>
      <x:c r="C18" s="11" t="str">
        <x:v>loss of independent stop paths</x:v>
      </x:c>
      <x:c r="D18" s="11" t="str">
        <x:v>either path unavailable</x:v>
      </x:c>
      <x:c r="E18" s="11" t="str">
        <x:v>continuous continuity proof</x:v>
      </x:c>
      <x:c r="F18" s="11" t="str">
        <x:v>manual public stop</x:v>
      </x:c>
      <x:c r="G18" t="str">
        <x:v>safety authority</x:v>
      </x:c>
    </x:row>
    <x:row r="19" ht="44" customHeight="1">
      <x:c r="B19" t="str">
        <x:v>AB-13</x:v>
      </x:c>
      <x:c r="C19" s="11" t="str">
        <x:v>both evidence originals cease</x:v>
      </x:c>
      <x:c r="D19" s="11" t="str">
        <x:v>two write-path heartbeats</x:v>
      </x:c>
      <x:c r="E19" s="11" t="str">
        <x:v>one-second persistence</x:v>
      </x:c>
      <x:c r="F19" s="11" t="str">
        <x:v>isolate and classify validity</x:v>
      </x:c>
      <x:c r="G19" t="str">
        <x:v>evidence authority</x:v>
      </x:c>
    </x:row>
    <x:row r="20" ht="44" customHeight="1">
      <x:c r="B20" t="str">
        <x:v>AB-14</x:v>
      </x:c>
      <x:c r="C20" s="11" t="str">
        <x:v>time skew</x:v>
      </x:c>
      <x:c r="D20" s="11" t="str">
        <x:v>&gt; 5 microseconds</x:v>
      </x:c>
      <x:c r="E20" s="11" t="str">
        <x:v>independent grandmasters</x:v>
      </x:c>
      <x:c r="F20" s="11" t="str">
        <x:v>hold or isolate</x:v>
      </x:c>
      <x:c r="G20" t="str">
        <x:v>time authority</x:v>
      </x:c>
    </x:row>
    <x:row r="21" ht="44" customHeight="1">
      <x:c r="B21" t="str">
        <x:v>AB-15</x:v>
      </x:c>
      <x:c r="C21" s="11" t="str">
        <x:v>mass discrepancy</x:v>
      </x:c>
      <x:c r="D21" s="11" t="str">
        <x:v>&gt; 5 kg expanded</x:v>
      </x:c>
      <x:c r="E21" s="11" t="str">
        <x:v>real-time bounded inventory</x:v>
      </x:c>
      <x:c r="F21" s="11" t="str">
        <x:v>hold recovery transfer</x:v>
      </x:c>
      <x:c r="G21" t="str">
        <x:v>mass authority</x:v>
      </x:c>
    </x:row>
    <x:row r="22" ht="44" customHeight="1">
      <x:c r="B22" t="str">
        <x:v>AB-16</x:v>
      </x:c>
      <x:c r="C22" s="11" t="str">
        <x:v>manual unconditional</x:v>
      </x:c>
      <x:c r="D22" s="11" t="str">
        <x:v>any console authority declares STOP</x:v>
      </x:c>
      <x:c r="E22" s="11" t="str">
        <x:v>independent hardwired demand</x:v>
      </x:c>
      <x:c r="F22" s="11" t="str">
        <x:v>automatic hard isolation</x:v>
      </x:c>
      <x:c r="G22" t="str">
        <x:v>test conductor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8" hidden="0" customWidth="1"/>
    <x:col min="4" max="4" width="74" hidden="0" customWidth="1"/>
    <x:col min="5" max="5" width="25" hidden="0" customWidth="1"/>
  </x:cols>
  <x:sheetData>
    <x:row r="2">
      <x:c r="B2" s="1" t="str">
        <x:v>Eight-action public safe state</x:v>
      </x:c>
    </x:row>
    <x:row r="3">
      <x:c r="B3" s="2" t="str">
        <x:v>The state contains source, water, heat and evidence without relying on candidate logic.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Action</x:v>
      </x:c>
      <x:c r="C6" s="7" t="str">
        <x:v>Command</x:v>
      </x:c>
      <x:c r="D6" s="7" t="str">
        <x:v>Acceptance evidence</x:v>
      </x:c>
      <x:c r="E6" s="7" t="str">
        <x:v>Authority</x:v>
      </x:c>
    </x:row>
    <x:row r="7" ht="42" customHeight="1">
      <x:c r="B7" t="str">
        <x:v>SS-01</x:v>
      </x:c>
      <x:c r="C7" t="str">
        <x:v>close source isolation</x:v>
      </x:c>
      <x:c r="D7" s="11" t="str">
        <x:v>two independent barriers prove closed</x:v>
      </x:c>
      <x:c r="E7" t="str">
        <x:v>source authority</x:v>
      </x:c>
    </x:row>
    <x:row r="8" ht="42" customHeight="1">
      <x:c r="B8" t="str">
        <x:v>SS-02</x:v>
      </x:c>
      <x:c r="C8" t="str">
        <x:v>establish passive diversion</x:v>
      </x:c>
      <x:c r="D8" s="11" t="str">
        <x:v>source enters the registered capture path</x:v>
      </x:c>
      <x:c r="E8" t="str">
        <x:v>method authority</x:v>
      </x:c>
    </x:row>
    <x:row r="9" ht="42" customHeight="1">
      <x:c r="B9" t="str">
        <x:v>SS-03</x:v>
      </x:c>
      <x:c r="C9" t="str">
        <x:v>bound pool and runoff</x:v>
      </x:c>
      <x:c r="D9" s="11" t="str">
        <x:v>no growing pool or uncontrolled boundary flow</x:v>
      </x:c>
      <x:c r="E9" t="str">
        <x:v>environment authority</x:v>
      </x:c>
    </x:row>
    <x:row r="10" ht="42" customHeight="1">
      <x:c r="B10" t="str">
        <x:v>SS-04</x:v>
      </x:c>
      <x:c r="C10" t="str">
        <x:v>protect neighboring sources</x:v>
      </x:c>
      <x:c r="D10" s="11" t="str">
        <x:v>heat and transferred mass remain inside limits</x:v>
      </x:c>
      <x:c r="E10" t="str">
        <x:v>source authority</x:v>
      </x:c>
    </x:row>
    <x:row r="11" ht="42" customHeight="1">
      <x:c r="B11" t="str">
        <x:v>SS-05</x:v>
      </x:c>
      <x:c r="C11" t="str">
        <x:v>remove nonessential ignition energy</x:v>
      </x:c>
      <x:c r="D11" s="11" t="str">
        <x:v>public and candidate energy states recorded</x:v>
      </x:c>
      <x:c r="E11" t="str">
        <x:v>fire authority</x:v>
      </x:c>
    </x:row>
    <x:row r="12" ht="42" customHeight="1">
      <x:c r="B12" t="str">
        <x:v>SS-06</x:v>
      </x:c>
      <x:c r="C12" t="str">
        <x:v>continue remote evidence</x:v>
      </x:c>
      <x:c r="D12" s="11" t="str">
        <x:v>two originals and low-rate state remain active</x:v>
      </x:c>
      <x:c r="E12" t="str">
        <x:v>evidence authority</x:v>
      </x:c>
    </x:row>
    <x:row r="13" ht="42" customHeight="1">
      <x:c r="B13" t="str">
        <x:v>SS-07</x:v>
      </x:c>
      <x:c r="C13" t="str">
        <x:v>protect people and perimeter</x:v>
      </x:c>
      <x:c r="D13" s="11" t="str">
        <x:v>accountability, exclusion, rescue and sampling active</x:v>
      </x:c>
      <x:c r="E13" t="str">
        <x:v>safety authority</x:v>
      </x:c>
    </x:row>
    <x:row r="14" ht="42" customHeight="1">
      <x:c r="B14" t="str">
        <x:v>SS-08</x:v>
      </x:c>
      <x:c r="C14" t="str">
        <x:v>freeze configuration and custody</x:v>
      </x:c>
      <x:c r="D14" s="11" t="str">
        <x:v>no repair, pumping or media handling before release</x:v>
      </x:c>
      <x:c r="E14" t="str">
        <x:v>adjudication board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1" hidden="0" customWidth="1"/>
    <x:col min="4" max="4" width="78" hidden="0" customWidth="1"/>
    <x:col min="5" max="5" width="24" hidden="0" customWidth="1"/>
    <x:col min="6" max="6" width="15" hidden="0" customWidth="1"/>
    <x:col min="7" max="7" width="14" hidden="0" customWidth="1"/>
  </x:cols>
  <x:sheetData>
    <x:row r="2">
      <x:c r="B2" s="1" t="str">
        <x:v>Eight measured recovery states</x:v>
      </x:c>
    </x:row>
    <x:row r="3">
      <x:c r="B3" s="2" t="str">
        <x:v>Elapsed time never grants entry or reset by itself.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State</x:v>
      </x:c>
      <x:c r="C6" s="7" t="str">
        <x:v>Name</x:v>
      </x:c>
      <x:c r="D6" s="7" t="str">
        <x:v>Acceptance evidence</x:v>
      </x:c>
      <x:c r="E6" s="7" t="str">
        <x:v>Permitted posture</x:v>
      </x:c>
      <x:c r="F6" s="7" t="str">
        <x:v>Accepted</x:v>
      </x:c>
      <x:c r="G6" s="7" t="str">
        <x:v>Status</x:v>
      </x:c>
    </x:row>
    <x:row r="7" ht="42" customHeight="1">
      <x:c r="B7" t="str">
        <x:v>RE-01</x:v>
      </x:c>
      <x:c r="C7" t="str">
        <x:v>source isolated</x:v>
      </x:c>
      <x:c r="D7" s="11" t="str">
        <x:v>two independent barriers and bounded residual flow</x:v>
      </x:c>
      <x:c r="E7" t="str">
        <x:v>remote only</x:v>
      </x:c>
      <x:c r="F7" t="n">
        <x:v>0</x:v>
      </x:c>
      <x:c r="G7" t="str">
        <x:f>IF(F7=1,"PASS","OPEN")</x:f>
        <x:v>OPEN</x:v>
      </x:c>
    </x:row>
    <x:row r="8" ht="42" customHeight="1">
      <x:c r="B8" t="str">
        <x:v>RE-02</x:v>
      </x:c>
      <x:c r="C8" t="str">
        <x:v>pool no longer grows</x:v>
      </x:c>
      <x:c r="D8" s="11" t="str">
        <x:v>surface-depth field and imagery show nonpositive area slope</x:v>
      </x:c>
      <x:c r="E8" t="str">
        <x:v>remote only</x:v>
      </x:c>
      <x:c r="F8" t="n">
        <x:v>0</x:v>
      </x:c>
      <x:c r="G8" t="str">
        <x:f>IF(F8=1,"PASS","OPEN")</x:f>
        <x:v>OPEN</x:v>
      </x:c>
    </x:row>
    <x:row r="9" ht="42" customHeight="1">
      <x:c r="B9" t="str">
        <x:v>RE-03</x:v>
      </x:c>
      <x:c r="C9" t="str">
        <x:v>fire state known</x:v>
      </x:c>
      <x:c r="D9" s="11" t="str">
        <x:v>flame, gas, heat and reignition state classified</x:v>
      </x:c>
      <x:c r="E9" t="str">
        <x:v>remote only</x:v>
      </x:c>
      <x:c r="F9" t="n">
        <x:v>0</x:v>
      </x:c>
      <x:c r="G9" t="str">
        <x:f>IF(F9=1,"PASS","OPEN")</x:f>
        <x:v>OPEN</x:v>
      </x:c>
    </x:row>
    <x:row r="10" ht="42" customHeight="1">
      <x:c r="B10" t="str">
        <x:v>RE-04</x:v>
      </x:c>
      <x:c r="C10" t="str">
        <x:v>inventories stable</x:v>
      </x:c>
      <x:c r="D10" s="11" t="str">
        <x:v>source sump, water vault and casualty stores bounded</x:v>
      </x:c>
      <x:c r="E10" t="str">
        <x:v>remote only</x:v>
      </x:c>
      <x:c r="F10" t="n">
        <x:v>0</x:v>
      </x:c>
      <x:c r="G10" t="str">
        <x:f>IF(F10=1,"PASS","OPEN")</x:f>
        <x:v>OPEN</x:v>
      </x:c>
    </x:row>
    <x:row r="11" ht="42" customHeight="1">
      <x:c r="B11" t="str">
        <x:v>RE-05</x:v>
      </x:c>
      <x:c r="C11" t="str">
        <x:v>environmental boundary stable</x:v>
      </x:c>
      <x:c r="D11" s="11" t="str">
        <x:v>no uncontrolled runoff or vapor boundary</x:v>
      </x:c>
      <x:c r="E11" t="str">
        <x:v>instrumented survey</x:v>
      </x:c>
      <x:c r="F11" t="n">
        <x:v>0</x:v>
      </x:c>
      <x:c r="G11" t="str">
        <x:f>IF(F11=1,"PASS","OPEN")</x:f>
        <x:v>OPEN</x:v>
      </x:c>
    </x:row>
    <x:row r="12" ht="42" customHeight="1">
      <x:c r="B12" t="str">
        <x:v>RE-06</x:v>
      </x:c>
      <x:c r="C12" t="str">
        <x:v>limited entry authorized</x:v>
      </x:c>
      <x:c r="D12" s="11" t="str">
        <x:v>thermal, gas, structure and route criteria accepted</x:v>
      </x:c>
      <x:c r="E12" t="str">
        <x:v>conditional entry</x:v>
      </x:c>
      <x:c r="F12" t="n">
        <x:v>0</x:v>
      </x:c>
      <x:c r="G12" t="str">
        <x:f>IF(F12=1,"PASS","OPEN")</x:f>
        <x:v>OPEN</x:v>
      </x:c>
    </x:row>
    <x:row r="13" ht="42" customHeight="1">
      <x:c r="B13" t="str">
        <x:v>RE-07</x:v>
      </x:c>
      <x:c r="C13" t="str">
        <x:v>source/water/waste ledgers close</x:v>
      </x:c>
      <x:c r="D13" s="11" t="str">
        <x:v>samples, recovered phases and uncertainty accepted</x:v>
      </x:c>
      <x:c r="E13" t="str">
        <x:v>controlled work</x:v>
      </x:c>
      <x:c r="F13" t="n">
        <x:v>0</x:v>
      </x:c>
      <x:c r="G13" t="str">
        <x:f>IF(F13=1,"PASS","OPEN")</x:f>
        <x:v>OPEN</x:v>
      </x:c>
    </x:row>
    <x:row r="14" ht="42" customHeight="1">
      <x:c r="B14" t="str">
        <x:v>RE-08</x:v>
      </x:c>
      <x:c r="C14" t="str">
        <x:v>serialized root restored</x:v>
      </x:c>
      <x:c r="D14" s="11" t="str">
        <x:v>surface, drains, barriers, robots and calibrations dispositioned</x:v>
      </x:c>
      <x:c r="E14" t="str">
        <x:v>return to queue</x:v>
      </x:c>
      <x:c r="F14" t="n">
        <x:v>0</x:v>
      </x:c>
      <x:c r="G14" t="str">
        <x:f>IF(F14=1,"PASS","OPEN")</x:f>
        <x:v>OPEN</x:v>
      </x:c>
    </x:row>
  </x:sheetData>
  <x:conditionalFormatting sqref="G7:G14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REOPEN"/>
    <x:cfRule type="containsText" dxfId="75" priority="4" operator="containsText" text="OVERFLOW"/>
    <x:cfRule type="containsText" dxfId="76" priority="5" operator="containsText" text="OPEN"/>
    <x:cfRule type="containsText" dxfId="77" priority="6" operator="containsText" text="GAP"/>
    <x:cfRule type="containsText" dxfId="78" priority="7" operator="containsText" text="PASS"/>
    <x:cfRule type="containsText" dxfId="79" priority="8" operator="containsText" text="INVALI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6" hidden="0" customWidth="1"/>
    <x:col min="4" max="4" width="92" hidden="0" customWidth="1"/>
    <x:col min="5" max="5" width="27" hidden="0" customWidth="1"/>
  </x:cols>
  <x:sheetData>
    <x:row r="2">
      <x:c r="B2" s="1" t="str">
        <x:v>Eight-object immutable evidence packet</x:v>
      </x:c>
    </x:row>
    <x:row r="3">
      <x:c r="B3" s="2" t="str">
        <x:v>An outside site must reconstruct source, water, heat and intervention without builder narration.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Object</x:v>
      </x:c>
      <x:c r="C6" s="7" t="str">
        <x:v>Packet object</x:v>
      </x:c>
      <x:c r="D6" s="7" t="str">
        <x:v>Required contents</x:v>
      </x:c>
      <x:c r="E6" s="7" t="str">
        <x:v>Owner</x:v>
      </x:c>
    </x:row>
    <x:row r="7" ht="44" customHeight="1">
      <x:c r="B7" t="str">
        <x:v>EP-01</x:v>
      </x:c>
      <x:c r="C7" t="str">
        <x:v>frozen configuration</x:v>
      </x:c>
      <x:c r="D7" s="11" t="str">
        <x:v>article, terrain, drain, vault, barrier, robot, software and amendments</x:v>
      </x:c>
      <x:c r="E7" t="str">
        <x:v>configuration authority</x:v>
      </x:c>
    </x:row>
    <x:row r="8" ht="44" customHeight="1">
      <x:c r="B8" t="str">
        <x:v>EP-02</x:v>
      </x:c>
      <x:c r="C8" t="str">
        <x:v>media and sample custody</x:v>
      </x:c>
      <x:c r="D8" s="11" t="str">
        <x:v>source, water, agent, tracer and environmental blanks</x:v>
      </x:c>
      <x:c r="E8" t="str">
        <x:v>source authority</x:v>
      </x:c>
    </x:row>
    <x:row r="9" ht="44" customHeight="1">
      <x:c r="B9" t="str">
        <x:v>EP-03</x:v>
      </x:c>
      <x:c r="C9" t="str">
        <x:v>initial and challenge state</x:v>
      </x:c>
      <x:c r="D9" s="11" t="str">
        <x:v>grade, fill, obstruction, weather, energy and challenge histories</x:v>
      </x:c>
      <x:c r="E9" t="str">
        <x:v>challenge authority</x:v>
      </x:c>
    </x:row>
    <x:row r="10" ht="44" customHeight="1">
      <x:c r="B10" t="str">
        <x:v>EP-04</x:v>
      </x:c>
      <x:c r="C10" t="str">
        <x:v>native observations</x:v>
      </x:c>
      <x:c r="D10" s="11" t="str">
        <x:v>two originals, clocks, calibration and channel-quality ledger</x:v>
      </x:c>
      <x:c r="E10" t="str">
        <x:v>evidence authority</x:v>
      </x:c>
    </x:row>
    <x:row r="11" ht="44" customHeight="1">
      <x:c r="B11" t="str">
        <x:v>EP-05</x:v>
      </x:c>
      <x:c r="C11" t="str">
        <x:v>command and intervention record</x:v>
      </x:c>
      <x:c r="D11" s="11" t="str">
        <x:v>issued, refused, automatic and manual actions with timing</x:v>
      </x:c>
      <x:c r="E11" t="str">
        <x:v>test conductor</x:v>
      </x:c>
    </x:row>
    <x:row r="12" ht="44" customHeight="1">
      <x:c r="B12" t="str">
        <x:v>EP-06</x:v>
      </x:c>
      <x:c r="C12" t="str">
        <x:v>source-water-heat reconstruction</x:v>
      </x:c>
      <x:c r="D12" s="11" t="str">
        <x:v>mass, energy, pool, runoff, intervention and uncertainty</x:v>
      </x:c>
      <x:c r="E12" t="str">
        <x:v>analysis authority</x:v>
      </x:c>
    </x:row>
    <x:row r="13" ht="44" customHeight="1">
      <x:c r="B13" t="str">
        <x:v>EP-07</x:v>
      </x:c>
      <x:c r="C13" t="str">
        <x:v>recovery and environmental disposition</x:v>
      </x:c>
      <x:c r="D13" s="11" t="str">
        <x:v>entry, samples, phase separation, waste and restored state</x:v>
      </x:c>
      <x:c r="E13" t="str">
        <x:v>recovery authority</x:v>
      </x:c>
    </x:row>
    <x:row r="14" ht="44" customHeight="1">
      <x:c r="B14" t="str">
        <x:v>EP-08</x:v>
      </x:c>
      <x:c r="C14" t="str">
        <x:v>independent decisions</x:v>
      </x:c>
      <x:c r="D14" s="11" t="str">
        <x:v>validity, outcome, minority opinion and reserve action</x:v>
      </x:c>
      <x:c r="E14" t="str">
        <x:v>adjudication board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9" hidden="0" customWidth="1"/>
    <x:col min="4" max="4" width="18" hidden="0" customWidth="1"/>
    <x:col min="5" max="5" width="22" hidden="0" customWidth="1"/>
    <x:col min="6" max="6" width="19" hidden="0" customWidth="1"/>
    <x:col min="7" max="7" width="18" hidden="0" customWidth="1"/>
  </x:cols>
  <x:sheetData>
    <x:row r="2">
      <x:c r="B2" s="1" t="str">
        <x:v>Twenty Root A decision features</x:v>
      </x:c>
    </x:row>
    <x:row r="3">
      <x:c r="B3" s="2" t="str">
        <x:v>Features remain conjunctive by class; no weighted score compensates for source, safety or validity failure.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Feature</x:v>
      </x:c>
      <x:c r="C6" s="7" t="str">
        <x:v>Quantity</x:v>
      </x:c>
      <x:c r="D6" s="7" t="str">
        <x:v>Unit</x:v>
      </x:c>
      <x:c r="E6" s="7" t="str">
        <x:v>Preferred direction</x:v>
      </x:c>
      <x:c r="F6" s="7" t="str">
        <x:v>Decision bound</x:v>
      </x:c>
      <x:c r="G6" s="7" t="str">
        <x:v>Class</x:v>
      </x:c>
    </x:row>
    <x:row r="7" ht="34" customHeight="1">
      <x:c r="B7" t="str">
        <x:v>FT-01</x:v>
      </x:c>
      <x:c r="C7" t="str">
        <x:v>terminal-source time</x:v>
      </x:c>
      <x:c r="D7" t="str">
        <x:v>s</x:v>
      </x:c>
      <x:c r="E7" t="str">
        <x:v>lower</x:v>
      </x:c>
      <x:c r="F7" t="n">
        <x:v>30</x:v>
      </x:c>
      <x:c r="G7" t="str">
        <x:v>mission</x:v>
      </x:c>
    </x:row>
    <x:row r="8" ht="34" customHeight="1">
      <x:c r="B8" t="str">
        <x:v>FT-02</x:v>
      </x:c>
      <x:c r="C8" t="str">
        <x:v>source capture fraction</x:v>
      </x:c>
      <x:c r="D8" t="str">
        <x:v>ratio</x:v>
      </x:c>
      <x:c r="E8" t="str">
        <x:v>higher</x:v>
      </x:c>
      <x:c r="F8" t="n">
        <x:v>0.9975</x:v>
      </x:c>
      <x:c r="G8" t="str">
        <x:v>source</x:v>
      </x:c>
    </x:row>
    <x:row r="9" ht="34" customHeight="1">
      <x:c r="B9" t="str">
        <x:v>FT-03</x:v>
      </x:c>
      <x:c r="C9" t="str">
        <x:v>neighbor transferred mass</x:v>
      </x:c>
      <x:c r="D9" t="str">
        <x:v>kg</x:v>
      </x:c>
      <x:c r="E9" t="str">
        <x:v>lower</x:v>
      </x:c>
      <x:c r="F9" t="n">
        <x:v>0.5</x:v>
      </x:c>
      <x:c r="G9" t="str">
        <x:v>source</x:v>
      </x:c>
    </x:row>
    <x:row r="10" ht="34" customHeight="1">
      <x:c r="B10" t="str">
        <x:v>FT-04</x:v>
      </x:c>
      <x:c r="C10" t="str">
        <x:v>maximum pool area</x:v>
      </x:c>
      <x:c r="D10" t="str">
        <x:v>m2</x:v>
      </x:c>
      <x:c r="E10" t="str">
        <x:v>lower</x:v>
      </x:c>
      <x:c r="F10" t="n">
        <x:v>25</x:v>
      </x:c>
      <x:c r="G10" t="str">
        <x:v>fire</x:v>
      </x:c>
    </x:row>
    <x:row r="11" ht="34" customHeight="1">
      <x:c r="B11" t="str">
        <x:v>FT-05</x:v>
      </x:c>
      <x:c r="C11" t="str">
        <x:v>post-isolation pool-area slope</x:v>
      </x:c>
      <x:c r="D11" t="str">
        <x:v>m2/s</x:v>
      </x:c>
      <x:c r="E11" t="str">
        <x:v>lower</x:v>
      </x:c>
      <x:c r="F11" t="n">
        <x:v>0</x:v>
      </x:c>
      <x:c r="G11" t="str">
        <x:v>fire</x:v>
      </x:c>
    </x:row>
    <x:row r="12" ht="34" customHeight="1">
      <x:c r="B12" t="str">
        <x:v>FT-06</x:v>
      </x:c>
      <x:c r="C12" t="str">
        <x:v>burn duration</x:v>
      </x:c>
      <x:c r="D12" t="str">
        <x:v>s</x:v>
      </x:c>
      <x:c r="E12" t="str">
        <x:v>lower</x:v>
      </x:c>
      <x:c r="F12" t="n">
        <x:v>0</x:v>
      </x:c>
      <x:c r="G12" t="str">
        <x:v>fire</x:v>
      </x:c>
    </x:row>
    <x:row r="13" ht="34" customHeight="1">
      <x:c r="B13" t="str">
        <x:v>FT-07</x:v>
      </x:c>
      <x:c r="C13" t="str">
        <x:v>protected radiant flux</x:v>
      </x:c>
      <x:c r="D13" t="str">
        <x:v>kW/m2</x:v>
      </x:c>
      <x:c r="E13" t="str">
        <x:v>lower</x:v>
      </x:c>
      <x:c r="F13" t="n">
        <x:v>1.6</x:v>
      </x:c>
      <x:c r="G13" t="str">
        <x:v>thermal</x:v>
      </x:c>
    </x:row>
    <x:row r="14" ht="34" customHeight="1">
      <x:c r="B14" t="str">
        <x:v>FT-08</x:v>
      </x:c>
      <x:c r="C14" t="str">
        <x:v>barrier utilization</x:v>
      </x:c>
      <x:c r="D14" t="str">
        <x:v>ratio</x:v>
      </x:c>
      <x:c r="E14" t="str">
        <x:v>lower</x:v>
      </x:c>
      <x:c r="F14" t="n">
        <x:v>0.8</x:v>
      </x:c>
      <x:c r="G14" t="str">
        <x:v>thermal</x:v>
      </x:c>
    </x:row>
    <x:row r="15" ht="34" customHeight="1">
      <x:c r="B15" t="str">
        <x:v>FT-09</x:v>
      </x:c>
      <x:c r="C15" t="str">
        <x:v>drain-flow margin</x:v>
      </x:c>
      <x:c r="D15" t="str">
        <x:v>kg/s</x:v>
      </x:c>
      <x:c r="E15" t="str">
        <x:v>higher</x:v>
      </x:c>
      <x:c r="F15" t="n">
        <x:v>0</x:v>
      </x:c>
      <x:c r="G15" t="str">
        <x:v>hydraulic</x:v>
      </x:c>
    </x:row>
    <x:row r="16" ht="34" customHeight="1">
      <x:c r="B16" t="str">
        <x:v>FT-10</x:v>
      </x:c>
      <x:c r="C16" t="str">
        <x:v>source-sump utilization</x:v>
      </x:c>
      <x:c r="D16" t="str">
        <x:v>ratio</x:v>
      </x:c>
      <x:c r="E16" t="str">
        <x:v>lower</x:v>
      </x:c>
      <x:c r="F16" t="n">
        <x:v>0.9</x:v>
      </x:c>
      <x:c r="G16" t="str">
        <x:v>hydraulic</x:v>
      </x:c>
    </x:row>
    <x:row r="17" ht="34" customHeight="1">
      <x:c r="B17" t="str">
        <x:v>FT-11</x:v>
      </x:c>
      <x:c r="C17" t="str">
        <x:v>firewater-vault utilization</x:v>
      </x:c>
      <x:c r="D17" t="str">
        <x:v>ratio</x:v>
      </x:c>
      <x:c r="E17" t="str">
        <x:v>lower</x:v>
      </x:c>
      <x:c r="F17" t="n">
        <x:v>0.9</x:v>
      </x:c>
      <x:c r="G17" t="str">
        <x:v>water</x:v>
      </x:c>
    </x:row>
    <x:row r="18" ht="34" customHeight="1">
      <x:c r="B18" t="str">
        <x:v>FT-12</x:v>
      </x:c>
      <x:c r="C18" t="str">
        <x:v>source-water cross fraction</x:v>
      </x:c>
      <x:c r="D18" t="str">
        <x:v>ratio</x:v>
      </x:c>
      <x:c r="E18" t="str">
        <x:v>lower</x:v>
      </x:c>
      <x:c r="F18" t="n">
        <x:v>0.0025</x:v>
      </x:c>
      <x:c r="G18" t="str">
        <x:v>environment</x:v>
      </x:c>
    </x:row>
    <x:row r="19" ht="34" customHeight="1">
      <x:c r="B19" t="str">
        <x:v>FT-13</x:v>
      </x:c>
      <x:c r="C19" t="str">
        <x:v>uncontrolled product</x:v>
      </x:c>
      <x:c r="D19" t="str">
        <x:v>kg</x:v>
      </x:c>
      <x:c r="E19" t="str">
        <x:v>lower</x:v>
      </x:c>
      <x:c r="F19" t="n">
        <x:v>5</x:v>
      </x:c>
      <x:c r="G19" t="str">
        <x:v>environment</x:v>
      </x:c>
    </x:row>
    <x:row r="20" ht="34" customHeight="1">
      <x:c r="B20" t="str">
        <x:v>FT-14</x:v>
      </x:c>
      <x:c r="C20" t="str">
        <x:v>runoff product concentration</x:v>
      </x:c>
      <x:c r="D20" t="str">
        <x:v>mg/L</x:v>
      </x:c>
      <x:c r="E20" t="str">
        <x:v>lower</x:v>
      </x:c>
      <x:c r="F20" t="n">
        <x:v>0</x:v>
      </x:c>
      <x:c r="G20" t="str">
        <x:v>diagnostic</x:v>
      </x:c>
    </x:row>
    <x:row r="21" ht="34" customHeight="1">
      <x:c r="B21" t="str">
        <x:v>FT-15</x:v>
      </x:c>
      <x:c r="C21" t="str">
        <x:v>recovered source mass</x:v>
      </x:c>
      <x:c r="D21" t="str">
        <x:v>kg</x:v>
      </x:c>
      <x:c r="E21" t="str">
        <x:v>higher</x:v>
      </x:c>
      <x:c r="F21" t="n">
        <x:v>1990</x:v>
      </x:c>
      <x:c r="G21" t="str">
        <x:v>recovery</x:v>
      </x:c>
    </x:row>
    <x:row r="22" ht="34" customHeight="1">
      <x:c r="B22" t="str">
        <x:v>FT-16</x:v>
      </x:c>
      <x:c r="C22" t="str">
        <x:v>responder dose utilization</x:v>
      </x:c>
      <x:c r="D22" t="str">
        <x:v>ratio</x:v>
      </x:c>
      <x:c r="E22" t="str">
        <x:v>lower</x:v>
      </x:c>
      <x:c r="F22" t="n">
        <x:v>0.8</x:v>
      </x:c>
      <x:c r="G22" t="str">
        <x:v>safety</x:v>
      </x:c>
    </x:row>
    <x:row r="23" ht="34" customHeight="1">
      <x:c r="B23" t="str">
        <x:v>FT-17</x:v>
      </x:c>
      <x:c r="C23" t="str">
        <x:v>public intervention</x:v>
      </x:c>
      <x:c r="D23" t="str">
        <x:v>binary</x:v>
      </x:c>
      <x:c r="E23" t="str">
        <x:v>lower</x:v>
      </x:c>
      <x:c r="F23" t="n">
        <x:v>0</x:v>
      </x:c>
      <x:c r="G23" t="str">
        <x:v>outcome</x:v>
      </x:c>
    </x:row>
    <x:row r="24" ht="34" customHeight="1">
      <x:c r="B24" t="str">
        <x:v>FT-18</x:v>
      </x:c>
      <x:c r="C24" t="str">
        <x:v>maximum time skew</x:v>
      </x:c>
      <x:c r="D24" t="str">
        <x:v>microseconds</x:v>
      </x:c>
      <x:c r="E24" t="str">
        <x:v>lower</x:v>
      </x:c>
      <x:c r="F24" t="n">
        <x:v>5</x:v>
      </x:c>
      <x:c r="G24" t="str">
        <x:v>validity</x:v>
      </x:c>
    </x:row>
    <x:row r="25" ht="34" customHeight="1">
      <x:c r="B25" t="str">
        <x:v>FT-19</x:v>
      </x:c>
      <x:c r="C25" t="str">
        <x:v>mass discrepancy</x:v>
      </x:c>
      <x:c r="D25" t="str">
        <x:v>kg</x:v>
      </x:c>
      <x:c r="E25" t="str">
        <x:v>lower</x:v>
      </x:c>
      <x:c r="F25" t="n">
        <x:v>5</x:v>
      </x:c>
      <x:c r="G25" t="str">
        <x:v>validity</x:v>
      </x:c>
    </x:row>
    <x:row r="26" ht="34" customHeight="1">
      <x:c r="B26" t="str">
        <x:v>FT-20</x:v>
      </x:c>
      <x:c r="C26" t="str">
        <x:v>evidence completeness</x:v>
      </x:c>
      <x:c r="D26" t="str">
        <x:v>ratio</x:v>
      </x:c>
      <x:c r="E26" t="str">
        <x:v>higher</x:v>
      </x:c>
      <x:c r="F26" t="n">
        <x:v>1</x:v>
      </x:c>
      <x:c r="G26" t="str">
        <x:v>validity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3" hidden="0" customWidth="1"/>
    <x:col min="5" max="5" width="11" hidden="0" customWidth="1"/>
    <x:col min="6" max="6" width="12" hidden="0" customWidth="1"/>
    <x:col min="7" max="7" width="14" hidden="0" customWidth="1"/>
    <x:col min="8" max="8" width="17" hidden="0" customWidth="1"/>
    <x:col min="9" max="9" width="20" hidden="0" customWidth="1"/>
    <x:col min="10" max="10" width="18" hidden="0" customWidth="1"/>
    <x:col min="11" max="11" width="20" hidden="0" customWidth="1"/>
    <x:col min="12" max="12" width="19" hidden="0" customWidth="1"/>
    <x:col min="13" max="13" width="19" hidden="0" customWidth="1"/>
    <x:col min="14" max="14" width="14" hidden="0" customWidth="1"/>
  </x:cols>
  <x:sheetData>
    <x:row r="2">
      <x:c r="B2" s="1" t="str">
        <x:v>Three hundred six event estimators</x:v>
      </x:c>
    </x:row>
    <x:row r="3">
      <x:c r="B3" s="2" t="str">
        <x:v>Observation, validity and outcome fields remain blank until independent physical disposition.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Method</x:v>
      </x:c>
      <x:c r="D6" s="7" t="str">
        <x:v>Candidate</x:v>
      </x:c>
      <x:c r="E6" s="7" t="str">
        <x:v>Builder</x:v>
      </x:c>
      <x:c r="F6" s="7" t="str">
        <x:v>Site</x:v>
      </x:c>
      <x:c r="G6" s="7" t="str">
        <x:v>Source kg</x:v>
      </x:c>
      <x:c r="H6" s="7" t="str">
        <x:v>Terminal s</x:v>
      </x:c>
      <x:c r="I6" s="7" t="str">
        <x:v>Captured fraction</x:v>
      </x:c>
      <x:c r="J6" s="7" t="str">
        <x:v>Pool area m2</x:v>
      </x:c>
      <x:c r="K6" s="7" t="str">
        <x:v>Uncontrolled kg</x:v>
      </x:c>
      <x:c r="L6" s="7" t="str">
        <x:v>Validity accepted</x:v>
      </x:c>
      <x:c r="M6" s="7" t="str">
        <x:v>Outcome</x:v>
      </x:c>
      <x:c r="N6" s="7" t="str">
        <x:v>State</x:v>
      </x:c>
    </x:row>
    <x:row r="7">
      <x:c r="B7" t="str">
        <x:v>RFA-E001</x:v>
      </x:c>
      <x:c r="C7" t="str">
        <x:v>AM-00</x:v>
      </x:c>
      <x:c r="D7" t="str">
        <x:v>AF-1</x:v>
      </x:c>
      <x:c r="E7" t="str">
        <x:v>BA</x:v>
      </x:c>
      <x:c r="F7" t="str">
        <x:v>PTC-A</x:v>
      </x:c>
      <x:c r="G7" t="n">
        <x:v>0</x:v>
      </x:c>
      <x:c r="H7" t="str"/>
      <x:c r="I7" t="str"/>
      <x:c r="J7" t="str"/>
      <x:c r="K7" t="str"/>
      <x:c r="L7" t="str"/>
      <x:c r="M7" t="str"/>
      <x:c r="N7" t="str">
        <x:f>IF(AND(G7&lt;&gt;"",L7=1,M7&lt;&gt;""),"PASS","OPEN")</x:f>
        <x:v>OPEN</x:v>
      </x:c>
    </x:row>
    <x:row r="8">
      <x:c r="B8" t="str">
        <x:v>RFA-E002</x:v>
      </x:c>
      <x:c r="C8" t="str">
        <x:v>AM-00</x:v>
      </x:c>
      <x:c r="D8" t="str">
        <x:v>AF-1</x:v>
      </x:c>
      <x:c r="E8" t="str">
        <x:v>BA</x:v>
      </x:c>
      <x:c r="F8" t="str">
        <x:v>PTC-B</x:v>
      </x:c>
      <x:c r="G8" t="n">
        <x:v>0</x:v>
      </x:c>
      <x:c r="H8" t="str"/>
      <x:c r="I8" t="str"/>
      <x:c r="J8" t="str"/>
      <x:c r="K8" t="str"/>
      <x:c r="L8" t="str"/>
      <x:c r="M8" t="str"/>
      <x:c r="N8" t="str">
        <x:f>IF(AND(G8&lt;&gt;"",L8=1,M8&lt;&gt;""),"PASS","OPEN")</x:f>
        <x:v>OPEN</x:v>
      </x:c>
    </x:row>
    <x:row r="9">
      <x:c r="B9" t="str">
        <x:v>RFA-E003</x:v>
      </x:c>
      <x:c r="C9" t="str">
        <x:v>AM-01</x:v>
      </x:c>
      <x:c r="D9" t="str">
        <x:v>AF-1</x:v>
      </x:c>
      <x:c r="E9" t="str">
        <x:v>BA</x:v>
      </x:c>
      <x:c r="F9" t="str">
        <x:v>PTC-A</x:v>
      </x:c>
      <x:c r="G9" t="n">
        <x:v>0</x:v>
      </x:c>
      <x:c r="H9" t="str"/>
      <x:c r="I9" t="str"/>
      <x:c r="J9" t="str"/>
      <x:c r="K9" t="str"/>
      <x:c r="L9" t="str"/>
      <x:c r="M9" t="str"/>
      <x:c r="N9" t="str">
        <x:f>IF(AND(G9&lt;&gt;"",L9=1,M9&lt;&gt;""),"PASS","OPEN")</x:f>
        <x:v>OPEN</x:v>
      </x:c>
    </x:row>
    <x:row r="10">
      <x:c r="B10" t="str">
        <x:v>RFA-E004</x:v>
      </x:c>
      <x:c r="C10" t="str">
        <x:v>AM-01</x:v>
      </x:c>
      <x:c r="D10" t="str">
        <x:v>AF-1</x:v>
      </x:c>
      <x:c r="E10" t="str">
        <x:v>BA</x:v>
      </x:c>
      <x:c r="F10" t="str">
        <x:v>PTC-C</x:v>
      </x:c>
      <x:c r="G10" t="n">
        <x:v>0</x:v>
      </x:c>
      <x:c r="H10" t="str"/>
      <x:c r="I10" t="str"/>
      <x:c r="J10" t="str"/>
      <x:c r="K10" t="str"/>
      <x:c r="L10" t="str"/>
      <x:c r="M10" t="str"/>
      <x:c r="N10" t="str">
        <x:f>IF(AND(G10&lt;&gt;"",L10=1,M10&lt;&gt;""),"PASS","OPEN")</x:f>
        <x:v>OPEN</x:v>
      </x:c>
    </x:row>
    <x:row r="11">
      <x:c r="B11" t="str">
        <x:v>RFA-E005</x:v>
      </x:c>
      <x:c r="C11" t="str">
        <x:v>AM-02</x:v>
      </x:c>
      <x:c r="D11" t="str">
        <x:v>AF-1</x:v>
      </x:c>
      <x:c r="E11" t="str">
        <x:v>BA</x:v>
      </x:c>
      <x:c r="F11" t="str">
        <x:v>PTC-B</x:v>
      </x:c>
      <x:c r="G11" t="n">
        <x:v>500</x:v>
      </x:c>
      <x:c r="H11" t="str"/>
      <x:c r="I11" t="str"/>
      <x:c r="J11" t="str"/>
      <x:c r="K11" t="str"/>
      <x:c r="L11" t="str"/>
      <x:c r="M11" t="str"/>
      <x:c r="N11" t="str">
        <x:f>IF(AND(G11&lt;&gt;"",L11=1,M11&lt;&gt;""),"PASS","OPEN")</x:f>
        <x:v>OPEN</x:v>
      </x:c>
    </x:row>
    <x:row r="12">
      <x:c r="B12" t="str">
        <x:v>RFA-E006</x:v>
      </x:c>
      <x:c r="C12" t="str">
        <x:v>AM-02</x:v>
      </x:c>
      <x:c r="D12" t="str">
        <x:v>AF-1</x:v>
      </x:c>
      <x:c r="E12" t="str">
        <x:v>BA</x:v>
      </x:c>
      <x:c r="F12" t="str">
        <x:v>PTC-C</x:v>
      </x:c>
      <x:c r="G12" t="n">
        <x:v>500</x:v>
      </x:c>
      <x:c r="H12" t="str"/>
      <x:c r="I12" t="str"/>
      <x:c r="J12" t="str"/>
      <x:c r="K12" t="str"/>
      <x:c r="L12" t="str"/>
      <x:c r="M12" t="str"/>
      <x:c r="N12" t="str">
        <x:f>IF(AND(G12&lt;&gt;"",L12=1,M12&lt;&gt;""),"PASS","OPEN")</x:f>
        <x:v>OPEN</x:v>
      </x:c>
    </x:row>
    <x:row r="13">
      <x:c r="B13" t="str">
        <x:v>RFA-E007</x:v>
      </x:c>
      <x:c r="C13" t="str">
        <x:v>AM-03</x:v>
      </x:c>
      <x:c r="D13" t="str">
        <x:v>AF-1</x:v>
      </x:c>
      <x:c r="E13" t="str">
        <x:v>BA</x:v>
      </x:c>
      <x:c r="F13" t="str">
        <x:v>PTC-A</x:v>
      </x:c>
      <x:c r="G13" t="n">
        <x:v>500</x:v>
      </x:c>
      <x:c r="H13" t="str"/>
      <x:c r="I13" t="str"/>
      <x:c r="J13" t="str"/>
      <x:c r="K13" t="str"/>
      <x:c r="L13" t="str"/>
      <x:c r="M13" t="str"/>
      <x:c r="N13" t="str">
        <x:f>IF(AND(G13&lt;&gt;"",L13=1,M13&lt;&gt;""),"PASS","OPEN")</x:f>
        <x:v>OPEN</x:v>
      </x:c>
    </x:row>
    <x:row r="14">
      <x:c r="B14" t="str">
        <x:v>RFA-E008</x:v>
      </x:c>
      <x:c r="C14" t="str">
        <x:v>AM-03</x:v>
      </x:c>
      <x:c r="D14" t="str">
        <x:v>AF-1</x:v>
      </x:c>
      <x:c r="E14" t="str">
        <x:v>BA</x:v>
      </x:c>
      <x:c r="F14" t="str">
        <x:v>PTC-B</x:v>
      </x:c>
      <x:c r="G14" t="n">
        <x:v>500</x:v>
      </x:c>
      <x:c r="H14" t="str"/>
      <x:c r="I14" t="str"/>
      <x:c r="J14" t="str"/>
      <x:c r="K14" t="str"/>
      <x:c r="L14" t="str"/>
      <x:c r="M14" t="str"/>
      <x:c r="N14" t="str">
        <x:f>IF(AND(G14&lt;&gt;"",L14=1,M14&lt;&gt;""),"PASS","OPEN")</x:f>
        <x:v>OPEN</x:v>
      </x:c>
    </x:row>
    <x:row r="15">
      <x:c r="B15" t="str">
        <x:v>RFA-E009</x:v>
      </x:c>
      <x:c r="C15" t="str">
        <x:v>AM-03</x:v>
      </x:c>
      <x:c r="D15" t="str">
        <x:v>AF-1</x:v>
      </x:c>
      <x:c r="E15" t="str">
        <x:v>BA</x:v>
      </x:c>
      <x:c r="F15" t="str">
        <x:v>PTC-C</x:v>
      </x:c>
      <x:c r="G15" t="n">
        <x:v>500</x:v>
      </x:c>
      <x:c r="H15" t="str"/>
      <x:c r="I15" t="str"/>
      <x:c r="J15" t="str"/>
      <x:c r="K15" t="str"/>
      <x:c r="L15" t="str"/>
      <x:c r="M15" t="str"/>
      <x:c r="N15" t="str">
        <x:f>IF(AND(G15&lt;&gt;"",L15=1,M15&lt;&gt;""),"PASS","OPEN")</x:f>
        <x:v>OPEN</x:v>
      </x:c>
    </x:row>
    <x:row r="16">
      <x:c r="B16" t="str">
        <x:v>RFA-E010</x:v>
      </x:c>
      <x:c r="C16" t="str">
        <x:v>AM-04</x:v>
      </x:c>
      <x:c r="D16" t="str">
        <x:v>AF-1</x:v>
      </x:c>
      <x:c r="E16" t="str">
        <x:v>BA</x:v>
      </x:c>
      <x:c r="F16" t="str">
        <x:v>PTC-A</x:v>
      </x:c>
      <x:c r="G16" t="n">
        <x:v>0</x:v>
      </x:c>
      <x:c r="H16" t="str"/>
      <x:c r="I16" t="str"/>
      <x:c r="J16" t="str"/>
      <x:c r="K16" t="str"/>
      <x:c r="L16" t="str"/>
      <x:c r="M16" t="str"/>
      <x:c r="N16" t="str">
        <x:f>IF(AND(G16&lt;&gt;"",L16=1,M16&lt;&gt;""),"PASS","OPEN")</x:f>
        <x:v>OPEN</x:v>
      </x:c>
    </x:row>
    <x:row r="17">
      <x:c r="B17" t="str">
        <x:v>RFA-E011</x:v>
      </x:c>
      <x:c r="C17" t="str">
        <x:v>AM-04</x:v>
      </x:c>
      <x:c r="D17" t="str">
        <x:v>AF-1</x:v>
      </x:c>
      <x:c r="E17" t="str">
        <x:v>BA</x:v>
      </x:c>
      <x:c r="F17" t="str">
        <x:v>PTC-B</x:v>
      </x:c>
      <x:c r="G17" t="n">
        <x:v>0</x:v>
      </x:c>
      <x:c r="H17" t="str"/>
      <x:c r="I17" t="str"/>
      <x:c r="J17" t="str"/>
      <x:c r="K17" t="str"/>
      <x:c r="L17" t="str"/>
      <x:c r="M17" t="str"/>
      <x:c r="N17" t="str">
        <x:f>IF(AND(G17&lt;&gt;"",L17=1,M17&lt;&gt;""),"PASS","OPEN")</x:f>
        <x:v>OPEN</x:v>
      </x:c>
    </x:row>
    <x:row r="18">
      <x:c r="B18" t="str">
        <x:v>RFA-E012</x:v>
      </x:c>
      <x:c r="C18" t="str">
        <x:v>AM-04</x:v>
      </x:c>
      <x:c r="D18" t="str">
        <x:v>AF-1</x:v>
      </x:c>
      <x:c r="E18" t="str">
        <x:v>BA</x:v>
      </x:c>
      <x:c r="F18" t="str">
        <x:v>PTC-C</x:v>
      </x:c>
      <x:c r="G18" t="n">
        <x:v>0</x:v>
      </x:c>
      <x:c r="H18" t="str"/>
      <x:c r="I18" t="str"/>
      <x:c r="J18" t="str"/>
      <x:c r="K18" t="str"/>
      <x:c r="L18" t="str"/>
      <x:c r="M18" t="str"/>
      <x:c r="N18" t="str">
        <x:f>IF(AND(G18&lt;&gt;"",L18=1,M18&lt;&gt;""),"PASS","OPEN")</x:f>
        <x:v>OPEN</x:v>
      </x:c>
    </x:row>
    <x:row r="19">
      <x:c r="B19" t="str">
        <x:v>RFA-E013</x:v>
      </x:c>
      <x:c r="C19" t="str">
        <x:v>AM-00</x:v>
      </x:c>
      <x:c r="D19" t="str">
        <x:v>AF-1</x:v>
      </x:c>
      <x:c r="E19" t="str">
        <x:v>BB</x:v>
      </x:c>
      <x:c r="F19" t="str">
        <x:v>PTC-A</x:v>
      </x:c>
      <x:c r="G19" t="n">
        <x:v>0</x:v>
      </x:c>
      <x:c r="H19" t="str"/>
      <x:c r="I19" t="str"/>
      <x:c r="J19" t="str"/>
      <x:c r="K19" t="str"/>
      <x:c r="L19" t="str"/>
      <x:c r="M19" t="str"/>
      <x:c r="N19" t="str">
        <x:f>IF(AND(G19&lt;&gt;"",L19=1,M19&lt;&gt;""),"PASS","OPEN")</x:f>
        <x:v>OPEN</x:v>
      </x:c>
    </x:row>
    <x:row r="20">
      <x:c r="B20" t="str">
        <x:v>RFA-E014</x:v>
      </x:c>
      <x:c r="C20" t="str">
        <x:v>AM-00</x:v>
      </x:c>
      <x:c r="D20" t="str">
        <x:v>AF-1</x:v>
      </x:c>
      <x:c r="E20" t="str">
        <x:v>BB</x:v>
      </x:c>
      <x:c r="F20" t="str">
        <x:v>PTC-B</x:v>
      </x:c>
      <x:c r="G20" t="n">
        <x:v>0</x:v>
      </x:c>
      <x:c r="H20" t="str"/>
      <x:c r="I20" t="str"/>
      <x:c r="J20" t="str"/>
      <x:c r="K20" t="str"/>
      <x:c r="L20" t="str"/>
      <x:c r="M20" t="str"/>
      <x:c r="N20" t="str">
        <x:f>IF(AND(G20&lt;&gt;"",L20=1,M20&lt;&gt;""),"PASS","OPEN")</x:f>
        <x:v>OPEN</x:v>
      </x:c>
    </x:row>
    <x:row r="21">
      <x:c r="B21" t="str">
        <x:v>RFA-E015</x:v>
      </x:c>
      <x:c r="C21" t="str">
        <x:v>AM-01</x:v>
      </x:c>
      <x:c r="D21" t="str">
        <x:v>AF-1</x:v>
      </x:c>
      <x:c r="E21" t="str">
        <x:v>BB</x:v>
      </x:c>
      <x:c r="F21" t="str">
        <x:v>PTC-A</x:v>
      </x:c>
      <x:c r="G21" t="n">
        <x:v>0</x:v>
      </x:c>
      <x:c r="H21" t="str"/>
      <x:c r="I21" t="str"/>
      <x:c r="J21" t="str"/>
      <x:c r="K21" t="str"/>
      <x:c r="L21" t="str"/>
      <x:c r="M21" t="str"/>
      <x:c r="N21" t="str">
        <x:f>IF(AND(G21&lt;&gt;"",L21=1,M21&lt;&gt;""),"PASS","OPEN")</x:f>
        <x:v>OPEN</x:v>
      </x:c>
    </x:row>
    <x:row r="22">
      <x:c r="B22" t="str">
        <x:v>RFA-E016</x:v>
      </x:c>
      <x:c r="C22" t="str">
        <x:v>AM-01</x:v>
      </x:c>
      <x:c r="D22" t="str">
        <x:v>AF-1</x:v>
      </x:c>
      <x:c r="E22" t="str">
        <x:v>BB</x:v>
      </x:c>
      <x:c r="F22" t="str">
        <x:v>PTC-C</x:v>
      </x:c>
      <x:c r="G22" t="n">
        <x:v>0</x:v>
      </x:c>
      <x:c r="H22" t="str"/>
      <x:c r="I22" t="str"/>
      <x:c r="J22" t="str"/>
      <x:c r="K22" t="str"/>
      <x:c r="L22" t="str"/>
      <x:c r="M22" t="str"/>
      <x:c r="N22" t="str">
        <x:f>IF(AND(G22&lt;&gt;"",L22=1,M22&lt;&gt;""),"PASS","OPEN")</x:f>
        <x:v>OPEN</x:v>
      </x:c>
    </x:row>
    <x:row r="23">
      <x:c r="B23" t="str">
        <x:v>RFA-E017</x:v>
      </x:c>
      <x:c r="C23" t="str">
        <x:v>AM-02</x:v>
      </x:c>
      <x:c r="D23" t="str">
        <x:v>AF-1</x:v>
      </x:c>
      <x:c r="E23" t="str">
        <x:v>BB</x:v>
      </x:c>
      <x:c r="F23" t="str">
        <x:v>PTC-B</x:v>
      </x:c>
      <x:c r="G23" t="n">
        <x:v>500</x:v>
      </x:c>
      <x:c r="H23" t="str"/>
      <x:c r="I23" t="str"/>
      <x:c r="J23" t="str"/>
      <x:c r="K23" t="str"/>
      <x:c r="L23" t="str"/>
      <x:c r="M23" t="str"/>
      <x:c r="N23" t="str">
        <x:f>IF(AND(G23&lt;&gt;"",L23=1,M23&lt;&gt;""),"PASS","OPEN")</x:f>
        <x:v>OPEN</x:v>
      </x:c>
    </x:row>
    <x:row r="24">
      <x:c r="B24" t="str">
        <x:v>RFA-E018</x:v>
      </x:c>
      <x:c r="C24" t="str">
        <x:v>AM-02</x:v>
      </x:c>
      <x:c r="D24" t="str">
        <x:v>AF-1</x:v>
      </x:c>
      <x:c r="E24" t="str">
        <x:v>BB</x:v>
      </x:c>
      <x:c r="F24" t="str">
        <x:v>PTC-C</x:v>
      </x:c>
      <x:c r="G24" t="n">
        <x:v>500</x:v>
      </x:c>
      <x:c r="H24" t="str"/>
      <x:c r="I24" t="str"/>
      <x:c r="J24" t="str"/>
      <x:c r="K24" t="str"/>
      <x:c r="L24" t="str"/>
      <x:c r="M24" t="str"/>
      <x:c r="N24" t="str">
        <x:f>IF(AND(G24&lt;&gt;"",L24=1,M24&lt;&gt;""),"PASS","OPEN")</x:f>
        <x:v>OPEN</x:v>
      </x:c>
    </x:row>
    <x:row r="25">
      <x:c r="B25" t="str">
        <x:v>RFA-E019</x:v>
      </x:c>
      <x:c r="C25" t="str">
        <x:v>AM-03</x:v>
      </x:c>
      <x:c r="D25" t="str">
        <x:v>AF-1</x:v>
      </x:c>
      <x:c r="E25" t="str">
        <x:v>BB</x:v>
      </x:c>
      <x:c r="F25" t="str">
        <x:v>PTC-A</x:v>
      </x:c>
      <x:c r="G25" t="n">
        <x:v>500</x:v>
      </x:c>
      <x:c r="H25" t="str"/>
      <x:c r="I25" t="str"/>
      <x:c r="J25" t="str"/>
      <x:c r="K25" t="str"/>
      <x:c r="L25" t="str"/>
      <x:c r="M25" t="str"/>
      <x:c r="N25" t="str">
        <x:f>IF(AND(G25&lt;&gt;"",L25=1,M25&lt;&gt;""),"PASS","OPEN")</x:f>
        <x:v>OPEN</x:v>
      </x:c>
    </x:row>
    <x:row r="26">
      <x:c r="B26" t="str">
        <x:v>RFA-E020</x:v>
      </x:c>
      <x:c r="C26" t="str">
        <x:v>AM-03</x:v>
      </x:c>
      <x:c r="D26" t="str">
        <x:v>AF-1</x:v>
      </x:c>
      <x:c r="E26" t="str">
        <x:v>BB</x:v>
      </x:c>
      <x:c r="F26" t="str">
        <x:v>PTC-B</x:v>
      </x:c>
      <x:c r="G26" t="n">
        <x:v>500</x:v>
      </x:c>
      <x:c r="H26" t="str"/>
      <x:c r="I26" t="str"/>
      <x:c r="J26" t="str"/>
      <x:c r="K26" t="str"/>
      <x:c r="L26" t="str"/>
      <x:c r="M26" t="str"/>
      <x:c r="N26" t="str">
        <x:f>IF(AND(G26&lt;&gt;"",L26=1,M26&lt;&gt;""),"PASS","OPEN")</x:f>
        <x:v>OPEN</x:v>
      </x:c>
    </x:row>
    <x:row r="27">
      <x:c r="B27" t="str">
        <x:v>RFA-E021</x:v>
      </x:c>
      <x:c r="C27" t="str">
        <x:v>AM-03</x:v>
      </x:c>
      <x:c r="D27" t="str">
        <x:v>AF-1</x:v>
      </x:c>
      <x:c r="E27" t="str">
        <x:v>BB</x:v>
      </x:c>
      <x:c r="F27" t="str">
        <x:v>PTC-C</x:v>
      </x:c>
      <x:c r="G27" t="n">
        <x:v>500</x:v>
      </x:c>
      <x:c r="H27" t="str"/>
      <x:c r="I27" t="str"/>
      <x:c r="J27" t="str"/>
      <x:c r="K27" t="str"/>
      <x:c r="L27" t="str"/>
      <x:c r="M27" t="str"/>
      <x:c r="N27" t="str">
        <x:f>IF(AND(G27&lt;&gt;"",L27=1,M27&lt;&gt;""),"PASS","OPEN")</x:f>
        <x:v>OPEN</x:v>
      </x:c>
    </x:row>
    <x:row r="28">
      <x:c r="B28" t="str">
        <x:v>RFA-E022</x:v>
      </x:c>
      <x:c r="C28" t="str">
        <x:v>AM-04</x:v>
      </x:c>
      <x:c r="D28" t="str">
        <x:v>AF-1</x:v>
      </x:c>
      <x:c r="E28" t="str">
        <x:v>BB</x:v>
      </x:c>
      <x:c r="F28" t="str">
        <x:v>PTC-A</x:v>
      </x:c>
      <x:c r="G28" t="n">
        <x:v>0</x:v>
      </x:c>
      <x:c r="H28" t="str"/>
      <x:c r="I28" t="str"/>
      <x:c r="J28" t="str"/>
      <x:c r="K28" t="str"/>
      <x:c r="L28" t="str"/>
      <x:c r="M28" t="str"/>
      <x:c r="N28" t="str">
        <x:f>IF(AND(G28&lt;&gt;"",L28=1,M28&lt;&gt;""),"PASS","OPEN")</x:f>
        <x:v>OPEN</x:v>
      </x:c>
    </x:row>
    <x:row r="29">
      <x:c r="B29" t="str">
        <x:v>RFA-E023</x:v>
      </x:c>
      <x:c r="C29" t="str">
        <x:v>AM-04</x:v>
      </x:c>
      <x:c r="D29" t="str">
        <x:v>AF-1</x:v>
      </x:c>
      <x:c r="E29" t="str">
        <x:v>BB</x:v>
      </x:c>
      <x:c r="F29" t="str">
        <x:v>PTC-B</x:v>
      </x:c>
      <x:c r="G29" t="n">
        <x:v>0</x:v>
      </x:c>
      <x:c r="H29" t="str"/>
      <x:c r="I29" t="str"/>
      <x:c r="J29" t="str"/>
      <x:c r="K29" t="str"/>
      <x:c r="L29" t="str"/>
      <x:c r="M29" t="str"/>
      <x:c r="N29" t="str">
        <x:f>IF(AND(G29&lt;&gt;"",L29=1,M29&lt;&gt;""),"PASS","OPEN")</x:f>
        <x:v>OPEN</x:v>
      </x:c>
    </x:row>
    <x:row r="30">
      <x:c r="B30" t="str">
        <x:v>RFA-E024</x:v>
      </x:c>
      <x:c r="C30" t="str">
        <x:v>AM-04</x:v>
      </x:c>
      <x:c r="D30" t="str">
        <x:v>AF-1</x:v>
      </x:c>
      <x:c r="E30" t="str">
        <x:v>BB</x:v>
      </x:c>
      <x:c r="F30" t="str">
        <x:v>PTC-C</x:v>
      </x:c>
      <x:c r="G30" t="n">
        <x:v>0</x:v>
      </x:c>
      <x:c r="H30" t="str"/>
      <x:c r="I30" t="str"/>
      <x:c r="J30" t="str"/>
      <x:c r="K30" t="str"/>
      <x:c r="L30" t="str"/>
      <x:c r="M30" t="str"/>
      <x:c r="N30" t="str">
        <x:f>IF(AND(G30&lt;&gt;"",L30=1,M30&lt;&gt;""),"PASS","OPEN")</x:f>
        <x:v>OPEN</x:v>
      </x:c>
    </x:row>
    <x:row r="31">
      <x:c r="B31" t="str">
        <x:v>RFA-E025</x:v>
      </x:c>
      <x:c r="C31" t="str">
        <x:v>AM-00</x:v>
      </x:c>
      <x:c r="D31" t="str">
        <x:v>AF-2</x:v>
      </x:c>
      <x:c r="E31" t="str">
        <x:v>BA</x:v>
      </x:c>
      <x:c r="F31" t="str">
        <x:v>PTC-A</x:v>
      </x:c>
      <x:c r="G31" t="n">
        <x:v>0</x:v>
      </x:c>
      <x:c r="H31" t="str"/>
      <x:c r="I31" t="str"/>
      <x:c r="J31" t="str"/>
      <x:c r="K31" t="str"/>
      <x:c r="L31" t="str"/>
      <x:c r="M31" t="str"/>
      <x:c r="N31" t="str">
        <x:f>IF(AND(G31&lt;&gt;"",L31=1,M31&lt;&gt;""),"PASS","OPEN")</x:f>
        <x:v>OPEN</x:v>
      </x:c>
    </x:row>
    <x:row r="32">
      <x:c r="B32" t="str">
        <x:v>RFA-E026</x:v>
      </x:c>
      <x:c r="C32" t="str">
        <x:v>AM-00</x:v>
      </x:c>
      <x:c r="D32" t="str">
        <x:v>AF-2</x:v>
      </x:c>
      <x:c r="E32" t="str">
        <x:v>BA</x:v>
      </x:c>
      <x:c r="F32" t="str">
        <x:v>PTC-B</x:v>
      </x:c>
      <x:c r="G32" t="n">
        <x:v>0</x:v>
      </x:c>
      <x:c r="H32" t="str"/>
      <x:c r="I32" t="str"/>
      <x:c r="J32" t="str"/>
      <x:c r="K32" t="str"/>
      <x:c r="L32" t="str"/>
      <x:c r="M32" t="str"/>
      <x:c r="N32" t="str">
        <x:f>IF(AND(G32&lt;&gt;"",L32=1,M32&lt;&gt;""),"PASS","OPEN")</x:f>
        <x:v>OPEN</x:v>
      </x:c>
    </x:row>
    <x:row r="33">
      <x:c r="B33" t="str">
        <x:v>RFA-E027</x:v>
      </x:c>
      <x:c r="C33" t="str">
        <x:v>AM-01</x:v>
      </x:c>
      <x:c r="D33" t="str">
        <x:v>AF-2</x:v>
      </x:c>
      <x:c r="E33" t="str">
        <x:v>BA</x:v>
      </x:c>
      <x:c r="F33" t="str">
        <x:v>PTC-A</x:v>
      </x:c>
      <x:c r="G33" t="n">
        <x:v>0</x:v>
      </x:c>
      <x:c r="H33" t="str"/>
      <x:c r="I33" t="str"/>
      <x:c r="J33" t="str"/>
      <x:c r="K33" t="str"/>
      <x:c r="L33" t="str"/>
      <x:c r="M33" t="str"/>
      <x:c r="N33" t="str">
        <x:f>IF(AND(G33&lt;&gt;"",L33=1,M33&lt;&gt;""),"PASS","OPEN")</x:f>
        <x:v>OPEN</x:v>
      </x:c>
    </x:row>
    <x:row r="34">
      <x:c r="B34" t="str">
        <x:v>RFA-E028</x:v>
      </x:c>
      <x:c r="C34" t="str">
        <x:v>AM-01</x:v>
      </x:c>
      <x:c r="D34" t="str">
        <x:v>AF-2</x:v>
      </x:c>
      <x:c r="E34" t="str">
        <x:v>BA</x:v>
      </x:c>
      <x:c r="F34" t="str">
        <x:v>PTC-C</x:v>
      </x:c>
      <x:c r="G34" t="n">
        <x:v>0</x:v>
      </x:c>
      <x:c r="H34" t="str"/>
      <x:c r="I34" t="str"/>
      <x:c r="J34" t="str"/>
      <x:c r="K34" t="str"/>
      <x:c r="L34" t="str"/>
      <x:c r="M34" t="str"/>
      <x:c r="N34" t="str">
        <x:f>IF(AND(G34&lt;&gt;"",L34=1,M34&lt;&gt;""),"PASS","OPEN")</x:f>
        <x:v>OPEN</x:v>
      </x:c>
    </x:row>
    <x:row r="35">
      <x:c r="B35" t="str">
        <x:v>RFA-E029</x:v>
      </x:c>
      <x:c r="C35" t="str">
        <x:v>AM-02</x:v>
      </x:c>
      <x:c r="D35" t="str">
        <x:v>AF-2</x:v>
      </x:c>
      <x:c r="E35" t="str">
        <x:v>BA</x:v>
      </x:c>
      <x:c r="F35" t="str">
        <x:v>PTC-B</x:v>
      </x:c>
      <x:c r="G35" t="n">
        <x:v>500</x:v>
      </x:c>
      <x:c r="H35" t="str"/>
      <x:c r="I35" t="str"/>
      <x:c r="J35" t="str"/>
      <x:c r="K35" t="str"/>
      <x:c r="L35" t="str"/>
      <x:c r="M35" t="str"/>
      <x:c r="N35" t="str">
        <x:f>IF(AND(G35&lt;&gt;"",L35=1,M35&lt;&gt;""),"PASS","OPEN")</x:f>
        <x:v>OPEN</x:v>
      </x:c>
    </x:row>
    <x:row r="36">
      <x:c r="B36" t="str">
        <x:v>RFA-E030</x:v>
      </x:c>
      <x:c r="C36" t="str">
        <x:v>AM-02</x:v>
      </x:c>
      <x:c r="D36" t="str">
        <x:v>AF-2</x:v>
      </x:c>
      <x:c r="E36" t="str">
        <x:v>BA</x:v>
      </x:c>
      <x:c r="F36" t="str">
        <x:v>PTC-C</x:v>
      </x:c>
      <x:c r="G36" t="n">
        <x:v>500</x:v>
      </x:c>
      <x:c r="H36" t="str"/>
      <x:c r="I36" t="str"/>
      <x:c r="J36" t="str"/>
      <x:c r="K36" t="str"/>
      <x:c r="L36" t="str"/>
      <x:c r="M36" t="str"/>
      <x:c r="N36" t="str">
        <x:f>IF(AND(G36&lt;&gt;"",L36=1,M36&lt;&gt;""),"PASS","OPEN")</x:f>
        <x:v>OPEN</x:v>
      </x:c>
    </x:row>
    <x:row r="37">
      <x:c r="B37" t="str">
        <x:v>RFA-E031</x:v>
      </x:c>
      <x:c r="C37" t="str">
        <x:v>AM-03</x:v>
      </x:c>
      <x:c r="D37" t="str">
        <x:v>AF-2</x:v>
      </x:c>
      <x:c r="E37" t="str">
        <x:v>BA</x:v>
      </x:c>
      <x:c r="F37" t="str">
        <x:v>PTC-A</x:v>
      </x:c>
      <x:c r="G37" t="n">
        <x:v>500</x:v>
      </x:c>
      <x:c r="H37" t="str"/>
      <x:c r="I37" t="str"/>
      <x:c r="J37" t="str"/>
      <x:c r="K37" t="str"/>
      <x:c r="L37" t="str"/>
      <x:c r="M37" t="str"/>
      <x:c r="N37" t="str">
        <x:f>IF(AND(G37&lt;&gt;"",L37=1,M37&lt;&gt;""),"PASS","OPEN")</x:f>
        <x:v>OPEN</x:v>
      </x:c>
    </x:row>
    <x:row r="38">
      <x:c r="B38" t="str">
        <x:v>RFA-E032</x:v>
      </x:c>
      <x:c r="C38" t="str">
        <x:v>AM-03</x:v>
      </x:c>
      <x:c r="D38" t="str">
        <x:v>AF-2</x:v>
      </x:c>
      <x:c r="E38" t="str">
        <x:v>BA</x:v>
      </x:c>
      <x:c r="F38" t="str">
        <x:v>PTC-B</x:v>
      </x:c>
      <x:c r="G38" t="n">
        <x:v>500</x:v>
      </x:c>
      <x:c r="H38" t="str"/>
      <x:c r="I38" t="str"/>
      <x:c r="J38" t="str"/>
      <x:c r="K38" t="str"/>
      <x:c r="L38" t="str"/>
      <x:c r="M38" t="str"/>
      <x:c r="N38" t="str">
        <x:f>IF(AND(G38&lt;&gt;"",L38=1,M38&lt;&gt;""),"PASS","OPEN")</x:f>
        <x:v>OPEN</x:v>
      </x:c>
    </x:row>
    <x:row r="39">
      <x:c r="B39" t="str">
        <x:v>RFA-E033</x:v>
      </x:c>
      <x:c r="C39" t="str">
        <x:v>AM-03</x:v>
      </x:c>
      <x:c r="D39" t="str">
        <x:v>AF-2</x:v>
      </x:c>
      <x:c r="E39" t="str">
        <x:v>BA</x:v>
      </x:c>
      <x:c r="F39" t="str">
        <x:v>PTC-C</x:v>
      </x:c>
      <x:c r="G39" t="n">
        <x:v>500</x:v>
      </x:c>
      <x:c r="H39" t="str"/>
      <x:c r="I39" t="str"/>
      <x:c r="J39" t="str"/>
      <x:c r="K39" t="str"/>
      <x:c r="L39" t="str"/>
      <x:c r="M39" t="str"/>
      <x:c r="N39" t="str">
        <x:f>IF(AND(G39&lt;&gt;"",L39=1,M39&lt;&gt;""),"PASS","OPEN")</x:f>
        <x:v>OPEN</x:v>
      </x:c>
    </x:row>
    <x:row r="40">
      <x:c r="B40" t="str">
        <x:v>RFA-E034</x:v>
      </x:c>
      <x:c r="C40" t="str">
        <x:v>AM-04</x:v>
      </x:c>
      <x:c r="D40" t="str">
        <x:v>AF-2</x:v>
      </x:c>
      <x:c r="E40" t="str">
        <x:v>BA</x:v>
      </x:c>
      <x:c r="F40" t="str">
        <x:v>PTC-A</x:v>
      </x:c>
      <x:c r="G40" t="n">
        <x:v>0</x:v>
      </x:c>
      <x:c r="H40" t="str"/>
      <x:c r="I40" t="str"/>
      <x:c r="J40" t="str"/>
      <x:c r="K40" t="str"/>
      <x:c r="L40" t="str"/>
      <x:c r="M40" t="str"/>
      <x:c r="N40" t="str">
        <x:f>IF(AND(G40&lt;&gt;"",L40=1,M40&lt;&gt;""),"PASS","OPEN")</x:f>
        <x:v>OPEN</x:v>
      </x:c>
    </x:row>
    <x:row r="41">
      <x:c r="B41" t="str">
        <x:v>RFA-E035</x:v>
      </x:c>
      <x:c r="C41" t="str">
        <x:v>AM-04</x:v>
      </x:c>
      <x:c r="D41" t="str">
        <x:v>AF-2</x:v>
      </x:c>
      <x:c r="E41" t="str">
        <x:v>BA</x:v>
      </x:c>
      <x:c r="F41" t="str">
        <x:v>PTC-B</x:v>
      </x:c>
      <x:c r="G41" t="n">
        <x:v>0</x:v>
      </x:c>
      <x:c r="H41" t="str"/>
      <x:c r="I41" t="str"/>
      <x:c r="J41" t="str"/>
      <x:c r="K41" t="str"/>
      <x:c r="L41" t="str"/>
      <x:c r="M41" t="str"/>
      <x:c r="N41" t="str">
        <x:f>IF(AND(G41&lt;&gt;"",L41=1,M41&lt;&gt;""),"PASS","OPEN")</x:f>
        <x:v>OPEN</x:v>
      </x:c>
    </x:row>
    <x:row r="42">
      <x:c r="B42" t="str">
        <x:v>RFA-E036</x:v>
      </x:c>
      <x:c r="C42" t="str">
        <x:v>AM-04</x:v>
      </x:c>
      <x:c r="D42" t="str">
        <x:v>AF-2</x:v>
      </x:c>
      <x:c r="E42" t="str">
        <x:v>BA</x:v>
      </x:c>
      <x:c r="F42" t="str">
        <x:v>PTC-C</x:v>
      </x:c>
      <x:c r="G42" t="n">
        <x:v>0</x:v>
      </x:c>
      <x:c r="H42" t="str"/>
      <x:c r="I42" t="str"/>
      <x:c r="J42" t="str"/>
      <x:c r="K42" t="str"/>
      <x:c r="L42" t="str"/>
      <x:c r="M42" t="str"/>
      <x:c r="N42" t="str">
        <x:f>IF(AND(G42&lt;&gt;"",L42=1,M42&lt;&gt;""),"PASS","OPEN")</x:f>
        <x:v>OPEN</x:v>
      </x:c>
    </x:row>
    <x:row r="43">
      <x:c r="B43" t="str">
        <x:v>RFA-E037</x:v>
      </x:c>
      <x:c r="C43" t="str">
        <x:v>AM-00</x:v>
      </x:c>
      <x:c r="D43" t="str">
        <x:v>AF-2</x:v>
      </x:c>
      <x:c r="E43" t="str">
        <x:v>BB</x:v>
      </x:c>
      <x:c r="F43" t="str">
        <x:v>PTC-A</x:v>
      </x:c>
      <x:c r="G43" t="n">
        <x:v>0</x:v>
      </x:c>
      <x:c r="H43" t="str"/>
      <x:c r="I43" t="str"/>
      <x:c r="J43" t="str"/>
      <x:c r="K43" t="str"/>
      <x:c r="L43" t="str"/>
      <x:c r="M43" t="str"/>
      <x:c r="N43" t="str">
        <x:f>IF(AND(G43&lt;&gt;"",L43=1,M43&lt;&gt;""),"PASS","OPEN")</x:f>
        <x:v>OPEN</x:v>
      </x:c>
    </x:row>
    <x:row r="44">
      <x:c r="B44" t="str">
        <x:v>RFA-E038</x:v>
      </x:c>
      <x:c r="C44" t="str">
        <x:v>AM-00</x:v>
      </x:c>
      <x:c r="D44" t="str">
        <x:v>AF-2</x:v>
      </x:c>
      <x:c r="E44" t="str">
        <x:v>BB</x:v>
      </x:c>
      <x:c r="F44" t="str">
        <x:v>PTC-B</x:v>
      </x:c>
      <x:c r="G44" t="n">
        <x:v>0</x:v>
      </x:c>
      <x:c r="H44" t="str"/>
      <x:c r="I44" t="str"/>
      <x:c r="J44" t="str"/>
      <x:c r="K44" t="str"/>
      <x:c r="L44" t="str"/>
      <x:c r="M44" t="str"/>
      <x:c r="N44" t="str">
        <x:f>IF(AND(G44&lt;&gt;"",L44=1,M44&lt;&gt;""),"PASS","OPEN")</x:f>
        <x:v>OPEN</x:v>
      </x:c>
    </x:row>
    <x:row r="45">
      <x:c r="B45" t="str">
        <x:v>RFA-E039</x:v>
      </x:c>
      <x:c r="C45" t="str">
        <x:v>AM-01</x:v>
      </x:c>
      <x:c r="D45" t="str">
        <x:v>AF-2</x:v>
      </x:c>
      <x:c r="E45" t="str">
        <x:v>BB</x:v>
      </x:c>
      <x:c r="F45" t="str">
        <x:v>PTC-A</x:v>
      </x:c>
      <x:c r="G45" t="n">
        <x:v>0</x:v>
      </x:c>
      <x:c r="H45" t="str"/>
      <x:c r="I45" t="str"/>
      <x:c r="J45" t="str"/>
      <x:c r="K45" t="str"/>
      <x:c r="L45" t="str"/>
      <x:c r="M45" t="str"/>
      <x:c r="N45" t="str">
        <x:f>IF(AND(G45&lt;&gt;"",L45=1,M45&lt;&gt;""),"PASS","OPEN")</x:f>
        <x:v>OPEN</x:v>
      </x:c>
    </x:row>
    <x:row r="46">
      <x:c r="B46" t="str">
        <x:v>RFA-E040</x:v>
      </x:c>
      <x:c r="C46" t="str">
        <x:v>AM-01</x:v>
      </x:c>
      <x:c r="D46" t="str">
        <x:v>AF-2</x:v>
      </x:c>
      <x:c r="E46" t="str">
        <x:v>BB</x:v>
      </x:c>
      <x:c r="F46" t="str">
        <x:v>PTC-C</x:v>
      </x:c>
      <x:c r="G46" t="n">
        <x:v>0</x:v>
      </x:c>
      <x:c r="H46" t="str"/>
      <x:c r="I46" t="str"/>
      <x:c r="J46" t="str"/>
      <x:c r="K46" t="str"/>
      <x:c r="L46" t="str"/>
      <x:c r="M46" t="str"/>
      <x:c r="N46" t="str">
        <x:f>IF(AND(G46&lt;&gt;"",L46=1,M46&lt;&gt;""),"PASS","OPEN")</x:f>
        <x:v>OPEN</x:v>
      </x:c>
    </x:row>
    <x:row r="47">
      <x:c r="B47" t="str">
        <x:v>RFA-E041</x:v>
      </x:c>
      <x:c r="C47" t="str">
        <x:v>AM-02</x:v>
      </x:c>
      <x:c r="D47" t="str">
        <x:v>AF-2</x:v>
      </x:c>
      <x:c r="E47" t="str">
        <x:v>BB</x:v>
      </x:c>
      <x:c r="F47" t="str">
        <x:v>PTC-B</x:v>
      </x:c>
      <x:c r="G47" t="n">
        <x:v>500</x:v>
      </x:c>
      <x:c r="H47" t="str"/>
      <x:c r="I47" t="str"/>
      <x:c r="J47" t="str"/>
      <x:c r="K47" t="str"/>
      <x:c r="L47" t="str"/>
      <x:c r="M47" t="str"/>
      <x:c r="N47" t="str">
        <x:f>IF(AND(G47&lt;&gt;"",L47=1,M47&lt;&gt;""),"PASS","OPEN")</x:f>
        <x:v>OPEN</x:v>
      </x:c>
    </x:row>
    <x:row r="48">
      <x:c r="B48" t="str">
        <x:v>RFA-E042</x:v>
      </x:c>
      <x:c r="C48" t="str">
        <x:v>AM-02</x:v>
      </x:c>
      <x:c r="D48" t="str">
        <x:v>AF-2</x:v>
      </x:c>
      <x:c r="E48" t="str">
        <x:v>BB</x:v>
      </x:c>
      <x:c r="F48" t="str">
        <x:v>PTC-C</x:v>
      </x:c>
      <x:c r="G48" t="n">
        <x:v>500</x:v>
      </x:c>
      <x:c r="H48" t="str"/>
      <x:c r="I48" t="str"/>
      <x:c r="J48" t="str"/>
      <x:c r="K48" t="str"/>
      <x:c r="L48" t="str"/>
      <x:c r="M48" t="str"/>
      <x:c r="N48" t="str">
        <x:f>IF(AND(G48&lt;&gt;"",L48=1,M48&lt;&gt;""),"PASS","OPEN")</x:f>
        <x:v>OPEN</x:v>
      </x:c>
    </x:row>
    <x:row r="49">
      <x:c r="B49" t="str">
        <x:v>RFA-E043</x:v>
      </x:c>
      <x:c r="C49" t="str">
        <x:v>AM-03</x:v>
      </x:c>
      <x:c r="D49" t="str">
        <x:v>AF-2</x:v>
      </x:c>
      <x:c r="E49" t="str">
        <x:v>BB</x:v>
      </x:c>
      <x:c r="F49" t="str">
        <x:v>PTC-A</x:v>
      </x:c>
      <x:c r="G49" t="n">
        <x:v>500</x:v>
      </x:c>
      <x:c r="H49" t="str"/>
      <x:c r="I49" t="str"/>
      <x:c r="J49" t="str"/>
      <x:c r="K49" t="str"/>
      <x:c r="L49" t="str"/>
      <x:c r="M49" t="str"/>
      <x:c r="N49" t="str">
        <x:f>IF(AND(G49&lt;&gt;"",L49=1,M49&lt;&gt;""),"PASS","OPEN")</x:f>
        <x:v>OPEN</x:v>
      </x:c>
    </x:row>
    <x:row r="50">
      <x:c r="B50" t="str">
        <x:v>RFA-E044</x:v>
      </x:c>
      <x:c r="C50" t="str">
        <x:v>AM-03</x:v>
      </x:c>
      <x:c r="D50" t="str">
        <x:v>AF-2</x:v>
      </x:c>
      <x:c r="E50" t="str">
        <x:v>BB</x:v>
      </x:c>
      <x:c r="F50" t="str">
        <x:v>PTC-B</x:v>
      </x:c>
      <x:c r="G50" t="n">
        <x:v>500</x:v>
      </x:c>
      <x:c r="H50" t="str"/>
      <x:c r="I50" t="str"/>
      <x:c r="J50" t="str"/>
      <x:c r="K50" t="str"/>
      <x:c r="L50" t="str"/>
      <x:c r="M50" t="str"/>
      <x:c r="N50" t="str">
        <x:f>IF(AND(G50&lt;&gt;"",L50=1,M50&lt;&gt;""),"PASS","OPEN")</x:f>
        <x:v>OPEN</x:v>
      </x:c>
    </x:row>
    <x:row r="51">
      <x:c r="B51" t="str">
        <x:v>RFA-E045</x:v>
      </x:c>
      <x:c r="C51" t="str">
        <x:v>AM-03</x:v>
      </x:c>
      <x:c r="D51" t="str">
        <x:v>AF-2</x:v>
      </x:c>
      <x:c r="E51" t="str">
        <x:v>BB</x:v>
      </x:c>
      <x:c r="F51" t="str">
        <x:v>PTC-C</x:v>
      </x:c>
      <x:c r="G51" t="n">
        <x:v>500</x:v>
      </x:c>
      <x:c r="H51" t="str"/>
      <x:c r="I51" t="str"/>
      <x:c r="J51" t="str"/>
      <x:c r="K51" t="str"/>
      <x:c r="L51" t="str"/>
      <x:c r="M51" t="str"/>
      <x:c r="N51" t="str">
        <x:f>IF(AND(G51&lt;&gt;"",L51=1,M51&lt;&gt;""),"PASS","OPEN")</x:f>
        <x:v>OPEN</x:v>
      </x:c>
    </x:row>
    <x:row r="52">
      <x:c r="B52" t="str">
        <x:v>RFA-E046</x:v>
      </x:c>
      <x:c r="C52" t="str">
        <x:v>AM-04</x:v>
      </x:c>
      <x:c r="D52" t="str">
        <x:v>AF-2</x:v>
      </x:c>
      <x:c r="E52" t="str">
        <x:v>BB</x:v>
      </x:c>
      <x:c r="F52" t="str">
        <x:v>PTC-A</x:v>
      </x:c>
      <x:c r="G52" t="n">
        <x:v>0</x:v>
      </x:c>
      <x:c r="H52" t="str"/>
      <x:c r="I52" t="str"/>
      <x:c r="J52" t="str"/>
      <x:c r="K52" t="str"/>
      <x:c r="L52" t="str"/>
      <x:c r="M52" t="str"/>
      <x:c r="N52" t="str">
        <x:f>IF(AND(G52&lt;&gt;"",L52=1,M52&lt;&gt;""),"PASS","OPEN")</x:f>
        <x:v>OPEN</x:v>
      </x:c>
    </x:row>
    <x:row r="53">
      <x:c r="B53" t="str">
        <x:v>RFA-E047</x:v>
      </x:c>
      <x:c r="C53" t="str">
        <x:v>AM-04</x:v>
      </x:c>
      <x:c r="D53" t="str">
        <x:v>AF-2</x:v>
      </x:c>
      <x:c r="E53" t="str">
        <x:v>BB</x:v>
      </x:c>
      <x:c r="F53" t="str">
        <x:v>PTC-B</x:v>
      </x:c>
      <x:c r="G53" t="n">
        <x:v>0</x:v>
      </x:c>
      <x:c r="H53" t="str"/>
      <x:c r="I53" t="str"/>
      <x:c r="J53" t="str"/>
      <x:c r="K53" t="str"/>
      <x:c r="L53" t="str"/>
      <x:c r="M53" t="str"/>
      <x:c r="N53" t="str">
        <x:f>IF(AND(G53&lt;&gt;"",L53=1,M53&lt;&gt;""),"PASS","OPEN")</x:f>
        <x:v>OPEN</x:v>
      </x:c>
    </x:row>
    <x:row r="54">
      <x:c r="B54" t="str">
        <x:v>RFA-E048</x:v>
      </x:c>
      <x:c r="C54" t="str">
        <x:v>AM-04</x:v>
      </x:c>
      <x:c r="D54" t="str">
        <x:v>AF-2</x:v>
      </x:c>
      <x:c r="E54" t="str">
        <x:v>BB</x:v>
      </x:c>
      <x:c r="F54" t="str">
        <x:v>PTC-C</x:v>
      </x:c>
      <x:c r="G54" t="n">
        <x:v>0</x:v>
      </x:c>
      <x:c r="H54" t="str"/>
      <x:c r="I54" t="str"/>
      <x:c r="J54" t="str"/>
      <x:c r="K54" t="str"/>
      <x:c r="L54" t="str"/>
      <x:c r="M54" t="str"/>
      <x:c r="N54" t="str">
        <x:f>IF(AND(G54&lt;&gt;"",L54=1,M54&lt;&gt;""),"PASS","OPEN")</x:f>
        <x:v>OPEN</x:v>
      </x:c>
    </x:row>
    <x:row r="55">
      <x:c r="B55" t="str">
        <x:v>RFA-E049</x:v>
      </x:c>
      <x:c r="C55" t="str">
        <x:v>AM-00</x:v>
      </x:c>
      <x:c r="D55" t="str">
        <x:v>AF-3</x:v>
      </x:c>
      <x:c r="E55" t="str">
        <x:v>BA</x:v>
      </x:c>
      <x:c r="F55" t="str">
        <x:v>PTC-A</x:v>
      </x:c>
      <x:c r="G55" t="n">
        <x:v>0</x:v>
      </x:c>
      <x:c r="H55" t="str"/>
      <x:c r="I55" t="str"/>
      <x:c r="J55" t="str"/>
      <x:c r="K55" t="str"/>
      <x:c r="L55" t="str"/>
      <x:c r="M55" t="str"/>
      <x:c r="N55" t="str">
        <x:f>IF(AND(G55&lt;&gt;"",L55=1,M55&lt;&gt;""),"PASS","OPEN")</x:f>
        <x:v>OPEN</x:v>
      </x:c>
    </x:row>
    <x:row r="56">
      <x:c r="B56" t="str">
        <x:v>RFA-E050</x:v>
      </x:c>
      <x:c r="C56" t="str">
        <x:v>AM-00</x:v>
      </x:c>
      <x:c r="D56" t="str">
        <x:v>AF-3</x:v>
      </x:c>
      <x:c r="E56" t="str">
        <x:v>BA</x:v>
      </x:c>
      <x:c r="F56" t="str">
        <x:v>PTC-B</x:v>
      </x:c>
      <x:c r="G56" t="n">
        <x:v>0</x:v>
      </x:c>
      <x:c r="H56" t="str"/>
      <x:c r="I56" t="str"/>
      <x:c r="J56" t="str"/>
      <x:c r="K56" t="str"/>
      <x:c r="L56" t="str"/>
      <x:c r="M56" t="str"/>
      <x:c r="N56" t="str">
        <x:f>IF(AND(G56&lt;&gt;"",L56=1,M56&lt;&gt;""),"PASS","OPEN")</x:f>
        <x:v>OPEN</x:v>
      </x:c>
    </x:row>
    <x:row r="57">
      <x:c r="B57" t="str">
        <x:v>RFA-E051</x:v>
      </x:c>
      <x:c r="C57" t="str">
        <x:v>AM-01</x:v>
      </x:c>
      <x:c r="D57" t="str">
        <x:v>AF-3</x:v>
      </x:c>
      <x:c r="E57" t="str">
        <x:v>BA</x:v>
      </x:c>
      <x:c r="F57" t="str">
        <x:v>PTC-A</x:v>
      </x:c>
      <x:c r="G57" t="n">
        <x:v>0</x:v>
      </x:c>
      <x:c r="H57" t="str"/>
      <x:c r="I57" t="str"/>
      <x:c r="J57" t="str"/>
      <x:c r="K57" t="str"/>
      <x:c r="L57" t="str"/>
      <x:c r="M57" t="str"/>
      <x:c r="N57" t="str">
        <x:f>IF(AND(G57&lt;&gt;"",L57=1,M57&lt;&gt;""),"PASS","OPEN")</x:f>
        <x:v>OPEN</x:v>
      </x:c>
    </x:row>
    <x:row r="58">
      <x:c r="B58" t="str">
        <x:v>RFA-E052</x:v>
      </x:c>
      <x:c r="C58" t="str">
        <x:v>AM-01</x:v>
      </x:c>
      <x:c r="D58" t="str">
        <x:v>AF-3</x:v>
      </x:c>
      <x:c r="E58" t="str">
        <x:v>BA</x:v>
      </x:c>
      <x:c r="F58" t="str">
        <x:v>PTC-C</x:v>
      </x:c>
      <x:c r="G58" t="n">
        <x:v>0</x:v>
      </x:c>
      <x:c r="H58" t="str"/>
      <x:c r="I58" t="str"/>
      <x:c r="J58" t="str"/>
      <x:c r="K58" t="str"/>
      <x:c r="L58" t="str"/>
      <x:c r="M58" t="str"/>
      <x:c r="N58" t="str">
        <x:f>IF(AND(G58&lt;&gt;"",L58=1,M58&lt;&gt;""),"PASS","OPEN")</x:f>
        <x:v>OPEN</x:v>
      </x:c>
    </x:row>
    <x:row r="59">
      <x:c r="B59" t="str">
        <x:v>RFA-E053</x:v>
      </x:c>
      <x:c r="C59" t="str">
        <x:v>AM-02</x:v>
      </x:c>
      <x:c r="D59" t="str">
        <x:v>AF-3</x:v>
      </x:c>
      <x:c r="E59" t="str">
        <x:v>BA</x:v>
      </x:c>
      <x:c r="F59" t="str">
        <x:v>PTC-B</x:v>
      </x:c>
      <x:c r="G59" t="n">
        <x:v>500</x:v>
      </x:c>
      <x:c r="H59" t="str"/>
      <x:c r="I59" t="str"/>
      <x:c r="J59" t="str"/>
      <x:c r="K59" t="str"/>
      <x:c r="L59" t="str"/>
      <x:c r="M59" t="str"/>
      <x:c r="N59" t="str">
        <x:f>IF(AND(G59&lt;&gt;"",L59=1,M59&lt;&gt;""),"PASS","OPEN")</x:f>
        <x:v>OPEN</x:v>
      </x:c>
    </x:row>
    <x:row r="60">
      <x:c r="B60" t="str">
        <x:v>RFA-E054</x:v>
      </x:c>
      <x:c r="C60" t="str">
        <x:v>AM-02</x:v>
      </x:c>
      <x:c r="D60" t="str">
        <x:v>AF-3</x:v>
      </x:c>
      <x:c r="E60" t="str">
        <x:v>BA</x:v>
      </x:c>
      <x:c r="F60" t="str">
        <x:v>PTC-C</x:v>
      </x:c>
      <x:c r="G60" t="n">
        <x:v>500</x:v>
      </x:c>
      <x:c r="H60" t="str"/>
      <x:c r="I60" t="str"/>
      <x:c r="J60" t="str"/>
      <x:c r="K60" t="str"/>
      <x:c r="L60" t="str"/>
      <x:c r="M60" t="str"/>
      <x:c r="N60" t="str">
        <x:f>IF(AND(G60&lt;&gt;"",L60=1,M60&lt;&gt;""),"PASS","OPEN")</x:f>
        <x:v>OPEN</x:v>
      </x:c>
    </x:row>
    <x:row r="61">
      <x:c r="B61" t="str">
        <x:v>RFA-E055</x:v>
      </x:c>
      <x:c r="C61" t="str">
        <x:v>AM-03</x:v>
      </x:c>
      <x:c r="D61" t="str">
        <x:v>AF-3</x:v>
      </x:c>
      <x:c r="E61" t="str">
        <x:v>BA</x:v>
      </x:c>
      <x:c r="F61" t="str">
        <x:v>PTC-A</x:v>
      </x:c>
      <x:c r="G61" t="n">
        <x:v>500</x:v>
      </x:c>
      <x:c r="H61" t="str"/>
      <x:c r="I61" t="str"/>
      <x:c r="J61" t="str"/>
      <x:c r="K61" t="str"/>
      <x:c r="L61" t="str"/>
      <x:c r="M61" t="str"/>
      <x:c r="N61" t="str">
        <x:f>IF(AND(G61&lt;&gt;"",L61=1,M61&lt;&gt;""),"PASS","OPEN")</x:f>
        <x:v>OPEN</x:v>
      </x:c>
    </x:row>
    <x:row r="62">
      <x:c r="B62" t="str">
        <x:v>RFA-E056</x:v>
      </x:c>
      <x:c r="C62" t="str">
        <x:v>AM-03</x:v>
      </x:c>
      <x:c r="D62" t="str">
        <x:v>AF-3</x:v>
      </x:c>
      <x:c r="E62" t="str">
        <x:v>BA</x:v>
      </x:c>
      <x:c r="F62" t="str">
        <x:v>PTC-B</x:v>
      </x:c>
      <x:c r="G62" t="n">
        <x:v>500</x:v>
      </x:c>
      <x:c r="H62" t="str"/>
      <x:c r="I62" t="str"/>
      <x:c r="J62" t="str"/>
      <x:c r="K62" t="str"/>
      <x:c r="L62" t="str"/>
      <x:c r="M62" t="str"/>
      <x:c r="N62" t="str">
        <x:f>IF(AND(G62&lt;&gt;"",L62=1,M62&lt;&gt;""),"PASS","OPEN")</x:f>
        <x:v>OPEN</x:v>
      </x:c>
    </x:row>
    <x:row r="63">
      <x:c r="B63" t="str">
        <x:v>RFA-E057</x:v>
      </x:c>
      <x:c r="C63" t="str">
        <x:v>AM-03</x:v>
      </x:c>
      <x:c r="D63" t="str">
        <x:v>AF-3</x:v>
      </x:c>
      <x:c r="E63" t="str">
        <x:v>BA</x:v>
      </x:c>
      <x:c r="F63" t="str">
        <x:v>PTC-C</x:v>
      </x:c>
      <x:c r="G63" t="n">
        <x:v>500</x:v>
      </x:c>
      <x:c r="H63" t="str"/>
      <x:c r="I63" t="str"/>
      <x:c r="J63" t="str"/>
      <x:c r="K63" t="str"/>
      <x:c r="L63" t="str"/>
      <x:c r="M63" t="str"/>
      <x:c r="N63" t="str">
        <x:f>IF(AND(G63&lt;&gt;"",L63=1,M63&lt;&gt;""),"PASS","OPEN")</x:f>
        <x:v>OPEN</x:v>
      </x:c>
    </x:row>
    <x:row r="64">
      <x:c r="B64" t="str">
        <x:v>RFA-E058</x:v>
      </x:c>
      <x:c r="C64" t="str">
        <x:v>AM-04</x:v>
      </x:c>
      <x:c r="D64" t="str">
        <x:v>AF-3</x:v>
      </x:c>
      <x:c r="E64" t="str">
        <x:v>BA</x:v>
      </x:c>
      <x:c r="F64" t="str">
        <x:v>PTC-A</x:v>
      </x:c>
      <x:c r="G64" t="n">
        <x:v>0</x:v>
      </x:c>
      <x:c r="H64" t="str"/>
      <x:c r="I64" t="str"/>
      <x:c r="J64" t="str"/>
      <x:c r="K64" t="str"/>
      <x:c r="L64" t="str"/>
      <x:c r="M64" t="str"/>
      <x:c r="N64" t="str">
        <x:f>IF(AND(G64&lt;&gt;"",L64=1,M64&lt;&gt;""),"PASS","OPEN")</x:f>
        <x:v>OPEN</x:v>
      </x:c>
    </x:row>
    <x:row r="65">
      <x:c r="B65" t="str">
        <x:v>RFA-E059</x:v>
      </x:c>
      <x:c r="C65" t="str">
        <x:v>AM-04</x:v>
      </x:c>
      <x:c r="D65" t="str">
        <x:v>AF-3</x:v>
      </x:c>
      <x:c r="E65" t="str">
        <x:v>BA</x:v>
      </x:c>
      <x:c r="F65" t="str">
        <x:v>PTC-B</x:v>
      </x:c>
      <x:c r="G65" t="n">
        <x:v>0</x:v>
      </x:c>
      <x:c r="H65" t="str"/>
      <x:c r="I65" t="str"/>
      <x:c r="J65" t="str"/>
      <x:c r="K65" t="str"/>
      <x:c r="L65" t="str"/>
      <x:c r="M65" t="str"/>
      <x:c r="N65" t="str">
        <x:f>IF(AND(G65&lt;&gt;"",L65=1,M65&lt;&gt;""),"PASS","OPEN")</x:f>
        <x:v>OPEN</x:v>
      </x:c>
    </x:row>
    <x:row r="66">
      <x:c r="B66" t="str">
        <x:v>RFA-E060</x:v>
      </x:c>
      <x:c r="C66" t="str">
        <x:v>AM-04</x:v>
      </x:c>
      <x:c r="D66" t="str">
        <x:v>AF-3</x:v>
      </x:c>
      <x:c r="E66" t="str">
        <x:v>BA</x:v>
      </x:c>
      <x:c r="F66" t="str">
        <x:v>PTC-C</x:v>
      </x:c>
      <x:c r="G66" t="n">
        <x:v>0</x:v>
      </x:c>
      <x:c r="H66" t="str"/>
      <x:c r="I66" t="str"/>
      <x:c r="J66" t="str"/>
      <x:c r="K66" t="str"/>
      <x:c r="L66" t="str"/>
      <x:c r="M66" t="str"/>
      <x:c r="N66" t="str">
        <x:f>IF(AND(G66&lt;&gt;"",L66=1,M66&lt;&gt;""),"PASS","OPEN")</x:f>
        <x:v>OPEN</x:v>
      </x:c>
    </x:row>
    <x:row r="67">
      <x:c r="B67" t="str">
        <x:v>RFA-E061</x:v>
      </x:c>
      <x:c r="C67" t="str">
        <x:v>AM-00</x:v>
      </x:c>
      <x:c r="D67" t="str">
        <x:v>AF-3</x:v>
      </x:c>
      <x:c r="E67" t="str">
        <x:v>BB</x:v>
      </x:c>
      <x:c r="F67" t="str">
        <x:v>PTC-A</x:v>
      </x:c>
      <x:c r="G67" t="n">
        <x:v>0</x:v>
      </x:c>
      <x:c r="H67" t="str"/>
      <x:c r="I67" t="str"/>
      <x:c r="J67" t="str"/>
      <x:c r="K67" t="str"/>
      <x:c r="L67" t="str"/>
      <x:c r="M67" t="str"/>
      <x:c r="N67" t="str">
        <x:f>IF(AND(G67&lt;&gt;"",L67=1,M67&lt;&gt;""),"PASS","OPEN")</x:f>
        <x:v>OPEN</x:v>
      </x:c>
    </x:row>
    <x:row r="68">
      <x:c r="B68" t="str">
        <x:v>RFA-E062</x:v>
      </x:c>
      <x:c r="C68" t="str">
        <x:v>AM-00</x:v>
      </x:c>
      <x:c r="D68" t="str">
        <x:v>AF-3</x:v>
      </x:c>
      <x:c r="E68" t="str">
        <x:v>BB</x:v>
      </x:c>
      <x:c r="F68" t="str">
        <x:v>PTC-B</x:v>
      </x:c>
      <x:c r="G68" t="n">
        <x:v>0</x:v>
      </x:c>
      <x:c r="H68" t="str"/>
      <x:c r="I68" t="str"/>
      <x:c r="J68" t="str"/>
      <x:c r="K68" t="str"/>
      <x:c r="L68" t="str"/>
      <x:c r="M68" t="str"/>
      <x:c r="N68" t="str">
        <x:f>IF(AND(G68&lt;&gt;"",L68=1,M68&lt;&gt;""),"PASS","OPEN")</x:f>
        <x:v>OPEN</x:v>
      </x:c>
    </x:row>
    <x:row r="69">
      <x:c r="B69" t="str">
        <x:v>RFA-E063</x:v>
      </x:c>
      <x:c r="C69" t="str">
        <x:v>AM-01</x:v>
      </x:c>
      <x:c r="D69" t="str">
        <x:v>AF-3</x:v>
      </x:c>
      <x:c r="E69" t="str">
        <x:v>BB</x:v>
      </x:c>
      <x:c r="F69" t="str">
        <x:v>PTC-A</x:v>
      </x:c>
      <x:c r="G69" t="n">
        <x:v>0</x:v>
      </x:c>
      <x:c r="H69" t="str"/>
      <x:c r="I69" t="str"/>
      <x:c r="J69" t="str"/>
      <x:c r="K69" t="str"/>
      <x:c r="L69" t="str"/>
      <x:c r="M69" t="str"/>
      <x:c r="N69" t="str">
        <x:f>IF(AND(G69&lt;&gt;"",L69=1,M69&lt;&gt;""),"PASS","OPEN")</x:f>
        <x:v>OPEN</x:v>
      </x:c>
    </x:row>
    <x:row r="70">
      <x:c r="B70" t="str">
        <x:v>RFA-E064</x:v>
      </x:c>
      <x:c r="C70" t="str">
        <x:v>AM-01</x:v>
      </x:c>
      <x:c r="D70" t="str">
        <x:v>AF-3</x:v>
      </x:c>
      <x:c r="E70" t="str">
        <x:v>BB</x:v>
      </x:c>
      <x:c r="F70" t="str">
        <x:v>PTC-C</x:v>
      </x:c>
      <x:c r="G70" t="n">
        <x:v>0</x:v>
      </x:c>
      <x:c r="H70" t="str"/>
      <x:c r="I70" t="str"/>
      <x:c r="J70" t="str"/>
      <x:c r="K70" t="str"/>
      <x:c r="L70" t="str"/>
      <x:c r="M70" t="str"/>
      <x:c r="N70" t="str">
        <x:f>IF(AND(G70&lt;&gt;"",L70=1,M70&lt;&gt;""),"PASS","OPEN")</x:f>
        <x:v>OPEN</x:v>
      </x:c>
    </x:row>
    <x:row r="71">
      <x:c r="B71" t="str">
        <x:v>RFA-E065</x:v>
      </x:c>
      <x:c r="C71" t="str">
        <x:v>AM-02</x:v>
      </x:c>
      <x:c r="D71" t="str">
        <x:v>AF-3</x:v>
      </x:c>
      <x:c r="E71" t="str">
        <x:v>BB</x:v>
      </x:c>
      <x:c r="F71" t="str">
        <x:v>PTC-B</x:v>
      </x:c>
      <x:c r="G71" t="n">
        <x:v>500</x:v>
      </x:c>
      <x:c r="H71" t="str"/>
      <x:c r="I71" t="str"/>
      <x:c r="J71" t="str"/>
      <x:c r="K71" t="str"/>
      <x:c r="L71" t="str"/>
      <x:c r="M71" t="str"/>
      <x:c r="N71" t="str">
        <x:f>IF(AND(G71&lt;&gt;"",L71=1,M71&lt;&gt;""),"PASS","OPEN")</x:f>
        <x:v>OPEN</x:v>
      </x:c>
    </x:row>
    <x:row r="72">
      <x:c r="B72" t="str">
        <x:v>RFA-E066</x:v>
      </x:c>
      <x:c r="C72" t="str">
        <x:v>AM-02</x:v>
      </x:c>
      <x:c r="D72" t="str">
        <x:v>AF-3</x:v>
      </x:c>
      <x:c r="E72" t="str">
        <x:v>BB</x:v>
      </x:c>
      <x:c r="F72" t="str">
        <x:v>PTC-C</x:v>
      </x:c>
      <x:c r="G72" t="n">
        <x:v>500</x:v>
      </x:c>
      <x:c r="H72" t="str"/>
      <x:c r="I72" t="str"/>
      <x:c r="J72" t="str"/>
      <x:c r="K72" t="str"/>
      <x:c r="L72" t="str"/>
      <x:c r="M72" t="str"/>
      <x:c r="N72" t="str">
        <x:f>IF(AND(G72&lt;&gt;"",L72=1,M72&lt;&gt;""),"PASS","OPEN")</x:f>
        <x:v>OPEN</x:v>
      </x:c>
    </x:row>
    <x:row r="73">
      <x:c r="B73" t="str">
        <x:v>RFA-E067</x:v>
      </x:c>
      <x:c r="C73" t="str">
        <x:v>AM-03</x:v>
      </x:c>
      <x:c r="D73" t="str">
        <x:v>AF-3</x:v>
      </x:c>
      <x:c r="E73" t="str">
        <x:v>BB</x:v>
      </x:c>
      <x:c r="F73" t="str">
        <x:v>PTC-A</x:v>
      </x:c>
      <x:c r="G73" t="n">
        <x:v>500</x:v>
      </x:c>
      <x:c r="H73" t="str"/>
      <x:c r="I73" t="str"/>
      <x:c r="J73" t="str"/>
      <x:c r="K73" t="str"/>
      <x:c r="L73" t="str"/>
      <x:c r="M73" t="str"/>
      <x:c r="N73" t="str">
        <x:f>IF(AND(G73&lt;&gt;"",L73=1,M73&lt;&gt;""),"PASS","OPEN")</x:f>
        <x:v>OPEN</x:v>
      </x:c>
    </x:row>
    <x:row r="74">
      <x:c r="B74" t="str">
        <x:v>RFA-E068</x:v>
      </x:c>
      <x:c r="C74" t="str">
        <x:v>AM-03</x:v>
      </x:c>
      <x:c r="D74" t="str">
        <x:v>AF-3</x:v>
      </x:c>
      <x:c r="E74" t="str">
        <x:v>BB</x:v>
      </x:c>
      <x:c r="F74" t="str">
        <x:v>PTC-B</x:v>
      </x:c>
      <x:c r="G74" t="n">
        <x:v>500</x:v>
      </x:c>
      <x:c r="H74" t="str"/>
      <x:c r="I74" t="str"/>
      <x:c r="J74" t="str"/>
      <x:c r="K74" t="str"/>
      <x:c r="L74" t="str"/>
      <x:c r="M74" t="str"/>
      <x:c r="N74" t="str">
        <x:f>IF(AND(G74&lt;&gt;"",L74=1,M74&lt;&gt;""),"PASS","OPEN")</x:f>
        <x:v>OPEN</x:v>
      </x:c>
    </x:row>
    <x:row r="75">
      <x:c r="B75" t="str">
        <x:v>RFA-E069</x:v>
      </x:c>
      <x:c r="C75" t="str">
        <x:v>AM-03</x:v>
      </x:c>
      <x:c r="D75" t="str">
        <x:v>AF-3</x:v>
      </x:c>
      <x:c r="E75" t="str">
        <x:v>BB</x:v>
      </x:c>
      <x:c r="F75" t="str">
        <x:v>PTC-C</x:v>
      </x:c>
      <x:c r="G75" t="n">
        <x:v>500</x:v>
      </x:c>
      <x:c r="H75" t="str"/>
      <x:c r="I75" t="str"/>
      <x:c r="J75" t="str"/>
      <x:c r="K75" t="str"/>
      <x:c r="L75" t="str"/>
      <x:c r="M75" t="str"/>
      <x:c r="N75" t="str">
        <x:f>IF(AND(G75&lt;&gt;"",L75=1,M75&lt;&gt;""),"PASS","OPEN")</x:f>
        <x:v>OPEN</x:v>
      </x:c>
    </x:row>
    <x:row r="76">
      <x:c r="B76" t="str">
        <x:v>RFA-E070</x:v>
      </x:c>
      <x:c r="C76" t="str">
        <x:v>AM-04</x:v>
      </x:c>
      <x:c r="D76" t="str">
        <x:v>AF-3</x:v>
      </x:c>
      <x:c r="E76" t="str">
        <x:v>BB</x:v>
      </x:c>
      <x:c r="F76" t="str">
        <x:v>PTC-A</x:v>
      </x:c>
      <x:c r="G76" t="n">
        <x:v>0</x:v>
      </x:c>
      <x:c r="H76" t="str"/>
      <x:c r="I76" t="str"/>
      <x:c r="J76" t="str"/>
      <x:c r="K76" t="str"/>
      <x:c r="L76" t="str"/>
      <x:c r="M76" t="str"/>
      <x:c r="N76" t="str">
        <x:f>IF(AND(G76&lt;&gt;"",L76=1,M76&lt;&gt;""),"PASS","OPEN")</x:f>
        <x:v>OPEN</x:v>
      </x:c>
    </x:row>
    <x:row r="77">
      <x:c r="B77" t="str">
        <x:v>RFA-E071</x:v>
      </x:c>
      <x:c r="C77" t="str">
        <x:v>AM-04</x:v>
      </x:c>
      <x:c r="D77" t="str">
        <x:v>AF-3</x:v>
      </x:c>
      <x:c r="E77" t="str">
        <x:v>BB</x:v>
      </x:c>
      <x:c r="F77" t="str">
        <x:v>PTC-B</x:v>
      </x:c>
      <x:c r="G77" t="n">
        <x:v>0</x:v>
      </x:c>
      <x:c r="H77" t="str"/>
      <x:c r="I77" t="str"/>
      <x:c r="J77" t="str"/>
      <x:c r="K77" t="str"/>
      <x:c r="L77" t="str"/>
      <x:c r="M77" t="str"/>
      <x:c r="N77" t="str">
        <x:f>IF(AND(G77&lt;&gt;"",L77=1,M77&lt;&gt;""),"PASS","OPEN")</x:f>
        <x:v>OPEN</x:v>
      </x:c>
    </x:row>
    <x:row r="78">
      <x:c r="B78" t="str">
        <x:v>RFA-E072</x:v>
      </x:c>
      <x:c r="C78" t="str">
        <x:v>AM-04</x:v>
      </x:c>
      <x:c r="D78" t="str">
        <x:v>AF-3</x:v>
      </x:c>
      <x:c r="E78" t="str">
        <x:v>BB</x:v>
      </x:c>
      <x:c r="F78" t="str">
        <x:v>PTC-C</x:v>
      </x:c>
      <x:c r="G78" t="n">
        <x:v>0</x:v>
      </x:c>
      <x:c r="H78" t="str"/>
      <x:c r="I78" t="str"/>
      <x:c r="J78" t="str"/>
      <x:c r="K78" t="str"/>
      <x:c r="L78" t="str"/>
      <x:c r="M78" t="str"/>
      <x:c r="N78" t="str">
        <x:f>IF(AND(G78&lt;&gt;"",L78=1,M78&lt;&gt;""),"PASS","OPEN")</x:f>
        <x:v>OPEN</x:v>
      </x:c>
    </x:row>
    <x:row r="79">
      <x:c r="B79" t="str">
        <x:v>RFA-E073</x:v>
      </x:c>
      <x:c r="C79" t="str">
        <x:v>AM-05</x:v>
      </x:c>
      <x:c r="D79" t="str">
        <x:v>AF-1</x:v>
      </x:c>
      <x:c r="E79" t="str">
        <x:v>BA</x:v>
      </x:c>
      <x:c r="F79" t="str">
        <x:v>PTC-B</x:v>
      </x:c>
      <x:c r="G79" t="n">
        <x:v>500</x:v>
      </x:c>
      <x:c r="H79" t="str"/>
      <x:c r="I79" t="str"/>
      <x:c r="J79" t="str"/>
      <x:c r="K79" t="str"/>
      <x:c r="L79" t="str"/>
      <x:c r="M79" t="str"/>
      <x:c r="N79" t="str">
        <x:f>IF(AND(G79&lt;&gt;"",L79=1,M79&lt;&gt;""),"PASS","OPEN")</x:f>
        <x:v>OPEN</x:v>
      </x:c>
    </x:row>
    <x:row r="80">
      <x:c r="B80" t="str">
        <x:v>RFA-E074</x:v>
      </x:c>
      <x:c r="C80" t="str">
        <x:v>AM-05</x:v>
      </x:c>
      <x:c r="D80" t="str">
        <x:v>AF-1</x:v>
      </x:c>
      <x:c r="E80" t="str">
        <x:v>BA</x:v>
      </x:c>
      <x:c r="F80" t="str">
        <x:v>PTC-B</x:v>
      </x:c>
      <x:c r="G80" t="n">
        <x:v>500</x:v>
      </x:c>
      <x:c r="H80" t="str"/>
      <x:c r="I80" t="str"/>
      <x:c r="J80" t="str"/>
      <x:c r="K80" t="str"/>
      <x:c r="L80" t="str"/>
      <x:c r="M80" t="str"/>
      <x:c r="N80" t="str">
        <x:f>IF(AND(G80&lt;&gt;"",L80=1,M80&lt;&gt;""),"PASS","OPEN")</x:f>
        <x:v>OPEN</x:v>
      </x:c>
    </x:row>
    <x:row r="81">
      <x:c r="B81" t="str">
        <x:v>RFA-E075</x:v>
      </x:c>
      <x:c r="C81" t="str">
        <x:v>AM-05</x:v>
      </x:c>
      <x:c r="D81" t="str">
        <x:v>AF-1</x:v>
      </x:c>
      <x:c r="E81" t="str">
        <x:v>BA</x:v>
      </x:c>
      <x:c r="F81" t="str">
        <x:v>PTC-B</x:v>
      </x:c>
      <x:c r="G81" t="n">
        <x:v>500</x:v>
      </x:c>
      <x:c r="H81" t="str"/>
      <x:c r="I81" t="str"/>
      <x:c r="J81" t="str"/>
      <x:c r="K81" t="str"/>
      <x:c r="L81" t="str"/>
      <x:c r="M81" t="str"/>
      <x:c r="N81" t="str">
        <x:f>IF(AND(G81&lt;&gt;"",L81=1,M81&lt;&gt;""),"PASS","OPEN")</x:f>
        <x:v>OPEN</x:v>
      </x:c>
    </x:row>
    <x:row r="82">
      <x:c r="B82" t="str">
        <x:v>RFA-E076</x:v>
      </x:c>
      <x:c r="C82" t="str">
        <x:v>AM-05</x:v>
      </x:c>
      <x:c r="D82" t="str">
        <x:v>AF-1</x:v>
      </x:c>
      <x:c r="E82" t="str">
        <x:v>BA</x:v>
      </x:c>
      <x:c r="F82" t="str">
        <x:v>PTC-B</x:v>
      </x:c>
      <x:c r="G82" t="n">
        <x:v>500</x:v>
      </x:c>
      <x:c r="H82" t="str"/>
      <x:c r="I82" t="str"/>
      <x:c r="J82" t="str"/>
      <x:c r="K82" t="str"/>
      <x:c r="L82" t="str"/>
      <x:c r="M82" t="str"/>
      <x:c r="N82" t="str">
        <x:f>IF(AND(G82&lt;&gt;"",L82=1,M82&lt;&gt;""),"PASS","OPEN")</x:f>
        <x:v>OPEN</x:v>
      </x:c>
    </x:row>
    <x:row r="83">
      <x:c r="B83" t="str">
        <x:v>RFA-E077</x:v>
      </x:c>
      <x:c r="C83" t="str">
        <x:v>AM-05</x:v>
      </x:c>
      <x:c r="D83" t="str">
        <x:v>AF-1</x:v>
      </x:c>
      <x:c r="E83" t="str">
        <x:v>BA</x:v>
      </x:c>
      <x:c r="F83" t="str">
        <x:v>PTC-B</x:v>
      </x:c>
      <x:c r="G83" t="n">
        <x:v>500</x:v>
      </x:c>
      <x:c r="H83" t="str"/>
      <x:c r="I83" t="str"/>
      <x:c r="J83" t="str"/>
      <x:c r="K83" t="str"/>
      <x:c r="L83" t="str"/>
      <x:c r="M83" t="str"/>
      <x:c r="N83" t="str">
        <x:f>IF(AND(G83&lt;&gt;"",L83=1,M83&lt;&gt;""),"PASS","OPEN")</x:f>
        <x:v>OPEN</x:v>
      </x:c>
    </x:row>
    <x:row r="84">
      <x:c r="B84" t="str">
        <x:v>RFA-E078</x:v>
      </x:c>
      <x:c r="C84" t="str">
        <x:v>AM-05</x:v>
      </x:c>
      <x:c r="D84" t="str">
        <x:v>AF-1</x:v>
      </x:c>
      <x:c r="E84" t="str">
        <x:v>BA</x:v>
      </x:c>
      <x:c r="F84" t="str">
        <x:v>PTC-B</x:v>
      </x:c>
      <x:c r="G84" t="n">
        <x:v>500</x:v>
      </x:c>
      <x:c r="H84" t="str"/>
      <x:c r="I84" t="str"/>
      <x:c r="J84" t="str"/>
      <x:c r="K84" t="str"/>
      <x:c r="L84" t="str"/>
      <x:c r="M84" t="str"/>
      <x:c r="N84" t="str">
        <x:f>IF(AND(G84&lt;&gt;"",L84=1,M84&lt;&gt;""),"PASS","OPEN")</x:f>
        <x:v>OPEN</x:v>
      </x:c>
    </x:row>
    <x:row r="85">
      <x:c r="B85" t="str">
        <x:v>RFA-E079</x:v>
      </x:c>
      <x:c r="C85" t="str">
        <x:v>AM-05</x:v>
      </x:c>
      <x:c r="D85" t="str">
        <x:v>AF-1</x:v>
      </x:c>
      <x:c r="E85" t="str">
        <x:v>BA</x:v>
      </x:c>
      <x:c r="F85" t="str">
        <x:v>PTC-B</x:v>
      </x:c>
      <x:c r="G85" t="n">
        <x:v>500</x:v>
      </x:c>
      <x:c r="H85" t="str"/>
      <x:c r="I85" t="str"/>
      <x:c r="J85" t="str"/>
      <x:c r="K85" t="str"/>
      <x:c r="L85" t="str"/>
      <x:c r="M85" t="str"/>
      <x:c r="N85" t="str">
        <x:f>IF(AND(G85&lt;&gt;"",L85=1,M85&lt;&gt;""),"PASS","OPEN")</x:f>
        <x:v>OPEN</x:v>
      </x:c>
    </x:row>
    <x:row r="86">
      <x:c r="B86" t="str">
        <x:v>RFA-E080</x:v>
      </x:c>
      <x:c r="C86" t="str">
        <x:v>AM-05</x:v>
      </x:c>
      <x:c r="D86" t="str">
        <x:v>AF-1</x:v>
      </x:c>
      <x:c r="E86" t="str">
        <x:v>BA</x:v>
      </x:c>
      <x:c r="F86" t="str">
        <x:v>PTC-B</x:v>
      </x:c>
      <x:c r="G86" t="n">
        <x:v>500</x:v>
      </x:c>
      <x:c r="H86" t="str"/>
      <x:c r="I86" t="str"/>
      <x:c r="J86" t="str"/>
      <x:c r="K86" t="str"/>
      <x:c r="L86" t="str"/>
      <x:c r="M86" t="str"/>
      <x:c r="N86" t="str">
        <x:f>IF(AND(G86&lt;&gt;"",L86=1,M86&lt;&gt;""),"PASS","OPEN")</x:f>
        <x:v>OPEN</x:v>
      </x:c>
    </x:row>
    <x:row r="87">
      <x:c r="B87" t="str">
        <x:v>RFA-E081</x:v>
      </x:c>
      <x:c r="C87" t="str">
        <x:v>AM-07</x:v>
      </x:c>
      <x:c r="D87" t="str">
        <x:v>AF-1</x:v>
      </x:c>
      <x:c r="E87" t="str">
        <x:v>BA</x:v>
      </x:c>
      <x:c r="F87" t="str">
        <x:v>PTC-B</x:v>
      </x:c>
      <x:c r="G87" t="n">
        <x:v>2000</x:v>
      </x:c>
      <x:c r="H87" t="str"/>
      <x:c r="I87" t="str"/>
      <x:c r="J87" t="str"/>
      <x:c r="K87" t="str"/>
      <x:c r="L87" t="str"/>
      <x:c r="M87" t="str"/>
      <x:c r="N87" t="str">
        <x:f>IF(AND(G87&lt;&gt;"",L87=1,M87&lt;&gt;""),"PASS","OPEN")</x:f>
        <x:v>OPEN</x:v>
      </x:c>
    </x:row>
    <x:row r="88">
      <x:c r="B88" t="str">
        <x:v>RFA-E082</x:v>
      </x:c>
      <x:c r="C88" t="str">
        <x:v>AM-07</x:v>
      </x:c>
      <x:c r="D88" t="str">
        <x:v>AF-1</x:v>
      </x:c>
      <x:c r="E88" t="str">
        <x:v>BA</x:v>
      </x:c>
      <x:c r="F88" t="str">
        <x:v>PTC-B</x:v>
      </x:c>
      <x:c r="G88" t="n">
        <x:v>2000</x:v>
      </x:c>
      <x:c r="H88" t="str"/>
      <x:c r="I88" t="str"/>
      <x:c r="J88" t="str"/>
      <x:c r="K88" t="str"/>
      <x:c r="L88" t="str"/>
      <x:c r="M88" t="str"/>
      <x:c r="N88" t="str">
        <x:f>IF(AND(G88&lt;&gt;"",L88=1,M88&lt;&gt;""),"PASS","OPEN")</x:f>
        <x:v>OPEN</x:v>
      </x:c>
    </x:row>
    <x:row r="89">
      <x:c r="B89" t="str">
        <x:v>RFA-E083</x:v>
      </x:c>
      <x:c r="C89" t="str">
        <x:v>AM-07</x:v>
      </x:c>
      <x:c r="D89" t="str">
        <x:v>AF-1</x:v>
      </x:c>
      <x:c r="E89" t="str">
        <x:v>BA</x:v>
      </x:c>
      <x:c r="F89" t="str">
        <x:v>PTC-B</x:v>
      </x:c>
      <x:c r="G89" t="n">
        <x:v>2000</x:v>
      </x:c>
      <x:c r="H89" t="str"/>
      <x:c r="I89" t="str"/>
      <x:c r="J89" t="str"/>
      <x:c r="K89" t="str"/>
      <x:c r="L89" t="str"/>
      <x:c r="M89" t="str"/>
      <x:c r="N89" t="str">
        <x:f>IF(AND(G89&lt;&gt;"",L89=1,M89&lt;&gt;""),"PASS","OPEN")</x:f>
        <x:v>OPEN</x:v>
      </x:c>
    </x:row>
    <x:row r="90">
      <x:c r="B90" t="str">
        <x:v>RFA-E084</x:v>
      </x:c>
      <x:c r="C90" t="str">
        <x:v>AM-07</x:v>
      </x:c>
      <x:c r="D90" t="str">
        <x:v>AF-1</x:v>
      </x:c>
      <x:c r="E90" t="str">
        <x:v>BA</x:v>
      </x:c>
      <x:c r="F90" t="str">
        <x:v>PTC-B</x:v>
      </x:c>
      <x:c r="G90" t="n">
        <x:v>2000</x:v>
      </x:c>
      <x:c r="H90" t="str"/>
      <x:c r="I90" t="str"/>
      <x:c r="J90" t="str"/>
      <x:c r="K90" t="str"/>
      <x:c r="L90" t="str"/>
      <x:c r="M90" t="str"/>
      <x:c r="N90" t="str">
        <x:f>IF(AND(G90&lt;&gt;"",L90=1,M90&lt;&gt;""),"PASS","OPEN")</x:f>
        <x:v>OPEN</x:v>
      </x:c>
    </x:row>
    <x:row r="91">
      <x:c r="B91" t="str">
        <x:v>RFA-E085</x:v>
      </x:c>
      <x:c r="C91" t="str">
        <x:v>AM-07</x:v>
      </x:c>
      <x:c r="D91" t="str">
        <x:v>AF-1</x:v>
      </x:c>
      <x:c r="E91" t="str">
        <x:v>BA</x:v>
      </x:c>
      <x:c r="F91" t="str">
        <x:v>PTC-B</x:v>
      </x:c>
      <x:c r="G91" t="n">
        <x:v>2000</x:v>
      </x:c>
      <x:c r="H91" t="str"/>
      <x:c r="I91" t="str"/>
      <x:c r="J91" t="str"/>
      <x:c r="K91" t="str"/>
      <x:c r="L91" t="str"/>
      <x:c r="M91" t="str"/>
      <x:c r="N91" t="str">
        <x:f>IF(AND(G91&lt;&gt;"",L91=1,M91&lt;&gt;""),"PASS","OPEN")</x:f>
        <x:v>OPEN</x:v>
      </x:c>
    </x:row>
    <x:row r="92">
      <x:c r="B92" t="str">
        <x:v>RFA-E086</x:v>
      </x:c>
      <x:c r="C92" t="str">
        <x:v>AM-07</x:v>
      </x:c>
      <x:c r="D92" t="str">
        <x:v>AF-1</x:v>
      </x:c>
      <x:c r="E92" t="str">
        <x:v>BA</x:v>
      </x:c>
      <x:c r="F92" t="str">
        <x:v>PTC-B</x:v>
      </x:c>
      <x:c r="G92" t="n">
        <x:v>2000</x:v>
      </x:c>
      <x:c r="H92" t="str"/>
      <x:c r="I92" t="str"/>
      <x:c r="J92" t="str"/>
      <x:c r="K92" t="str"/>
      <x:c r="L92" t="str"/>
      <x:c r="M92" t="str"/>
      <x:c r="N92" t="str">
        <x:f>IF(AND(G92&lt;&gt;"",L92=1,M92&lt;&gt;""),"PASS","OPEN")</x:f>
        <x:v>OPEN</x:v>
      </x:c>
    </x:row>
    <x:row r="93">
      <x:c r="B93" t="str">
        <x:v>RFA-E087</x:v>
      </x:c>
      <x:c r="C93" t="str">
        <x:v>AM-07</x:v>
      </x:c>
      <x:c r="D93" t="str">
        <x:v>AF-1</x:v>
      </x:c>
      <x:c r="E93" t="str">
        <x:v>BA</x:v>
      </x:c>
      <x:c r="F93" t="str">
        <x:v>PTC-B</x:v>
      </x:c>
      <x:c r="G93" t="n">
        <x:v>2000</x:v>
      </x:c>
      <x:c r="H93" t="str"/>
      <x:c r="I93" t="str"/>
      <x:c r="J93" t="str"/>
      <x:c r="K93" t="str"/>
      <x:c r="L93" t="str"/>
      <x:c r="M93" t="str"/>
      <x:c r="N93" t="str">
        <x:f>IF(AND(G93&lt;&gt;"",L93=1,M93&lt;&gt;""),"PASS","OPEN")</x:f>
        <x:v>OPEN</x:v>
      </x:c>
    </x:row>
    <x:row r="94">
      <x:c r="B94" t="str">
        <x:v>RFA-E088</x:v>
      </x:c>
      <x:c r="C94" t="str">
        <x:v>AM-07</x:v>
      </x:c>
      <x:c r="D94" t="str">
        <x:v>AF-1</x:v>
      </x:c>
      <x:c r="E94" t="str">
        <x:v>BA</x:v>
      </x:c>
      <x:c r="F94" t="str">
        <x:v>PTC-B</x:v>
      </x:c>
      <x:c r="G94" t="n">
        <x:v>2000</x:v>
      </x:c>
      <x:c r="H94" t="str"/>
      <x:c r="I94" t="str"/>
      <x:c r="J94" t="str"/>
      <x:c r="K94" t="str"/>
      <x:c r="L94" t="str"/>
      <x:c r="M94" t="str"/>
      <x:c r="N94" t="str">
        <x:f>IF(AND(G94&lt;&gt;"",L94=1,M94&lt;&gt;""),"PASS","OPEN")</x:f>
        <x:v>OPEN</x:v>
      </x:c>
    </x:row>
    <x:row r="95">
      <x:c r="B95" t="str">
        <x:v>RFA-E089</x:v>
      </x:c>
      <x:c r="C95" t="str">
        <x:v>AM-05</x:v>
      </x:c>
      <x:c r="D95" t="str">
        <x:v>AF-1</x:v>
      </x:c>
      <x:c r="E95" t="str">
        <x:v>BA</x:v>
      </x:c>
      <x:c r="F95" t="str">
        <x:v>PTC-C</x:v>
      </x:c>
      <x:c r="G95" t="n">
        <x:v>500</x:v>
      </x:c>
      <x:c r="H95" t="str"/>
      <x:c r="I95" t="str"/>
      <x:c r="J95" t="str"/>
      <x:c r="K95" t="str"/>
      <x:c r="L95" t="str"/>
      <x:c r="M95" t="str"/>
      <x:c r="N95" t="str">
        <x:f>IF(AND(G95&lt;&gt;"",L95=1,M95&lt;&gt;""),"PASS","OPEN")</x:f>
        <x:v>OPEN</x:v>
      </x:c>
    </x:row>
    <x:row r="96">
      <x:c r="B96" t="str">
        <x:v>RFA-E090</x:v>
      </x:c>
      <x:c r="C96" t="str">
        <x:v>AM-05</x:v>
      </x:c>
      <x:c r="D96" t="str">
        <x:v>AF-1</x:v>
      </x:c>
      <x:c r="E96" t="str">
        <x:v>BA</x:v>
      </x:c>
      <x:c r="F96" t="str">
        <x:v>PTC-C</x:v>
      </x:c>
      <x:c r="G96" t="n">
        <x:v>500</x:v>
      </x:c>
      <x:c r="H96" t="str"/>
      <x:c r="I96" t="str"/>
      <x:c r="J96" t="str"/>
      <x:c r="K96" t="str"/>
      <x:c r="L96" t="str"/>
      <x:c r="M96" t="str"/>
      <x:c r="N96" t="str">
        <x:f>IF(AND(G96&lt;&gt;"",L96=1,M96&lt;&gt;""),"PASS","OPEN")</x:f>
        <x:v>OPEN</x:v>
      </x:c>
    </x:row>
    <x:row r="97">
      <x:c r="B97" t="str">
        <x:v>RFA-E091</x:v>
      </x:c>
      <x:c r="C97" t="str">
        <x:v>AM-05</x:v>
      </x:c>
      <x:c r="D97" t="str">
        <x:v>AF-1</x:v>
      </x:c>
      <x:c r="E97" t="str">
        <x:v>BA</x:v>
      </x:c>
      <x:c r="F97" t="str">
        <x:v>PTC-C</x:v>
      </x:c>
      <x:c r="G97" t="n">
        <x:v>500</x:v>
      </x:c>
      <x:c r="H97" t="str"/>
      <x:c r="I97" t="str"/>
      <x:c r="J97" t="str"/>
      <x:c r="K97" t="str"/>
      <x:c r="L97" t="str"/>
      <x:c r="M97" t="str"/>
      <x:c r="N97" t="str">
        <x:f>IF(AND(G97&lt;&gt;"",L97=1,M97&lt;&gt;""),"PASS","OPEN")</x:f>
        <x:v>OPEN</x:v>
      </x:c>
    </x:row>
    <x:row r="98">
      <x:c r="B98" t="str">
        <x:v>RFA-E092</x:v>
      </x:c>
      <x:c r="C98" t="str">
        <x:v>AM-05</x:v>
      </x:c>
      <x:c r="D98" t="str">
        <x:v>AF-1</x:v>
      </x:c>
      <x:c r="E98" t="str">
        <x:v>BA</x:v>
      </x:c>
      <x:c r="F98" t="str">
        <x:v>PTC-C</x:v>
      </x:c>
      <x:c r="G98" t="n">
        <x:v>500</x:v>
      </x:c>
      <x:c r="H98" t="str"/>
      <x:c r="I98" t="str"/>
      <x:c r="J98" t="str"/>
      <x:c r="K98" t="str"/>
      <x:c r="L98" t="str"/>
      <x:c r="M98" t="str"/>
      <x:c r="N98" t="str">
        <x:f>IF(AND(G98&lt;&gt;"",L98=1,M98&lt;&gt;""),"PASS","OPEN")</x:f>
        <x:v>OPEN</x:v>
      </x:c>
    </x:row>
    <x:row r="99">
      <x:c r="B99" t="str">
        <x:v>RFA-E093</x:v>
      </x:c>
      <x:c r="C99" t="str">
        <x:v>AM-05</x:v>
      </x:c>
      <x:c r="D99" t="str">
        <x:v>AF-1</x:v>
      </x:c>
      <x:c r="E99" t="str">
        <x:v>BA</x:v>
      </x:c>
      <x:c r="F99" t="str">
        <x:v>PTC-C</x:v>
      </x:c>
      <x:c r="G99" t="n">
        <x:v>500</x:v>
      </x:c>
      <x:c r="H99" t="str"/>
      <x:c r="I99" t="str"/>
      <x:c r="J99" t="str"/>
      <x:c r="K99" t="str"/>
      <x:c r="L99" t="str"/>
      <x:c r="M99" t="str"/>
      <x:c r="N99" t="str">
        <x:f>IF(AND(G99&lt;&gt;"",L99=1,M99&lt;&gt;""),"PASS","OPEN")</x:f>
        <x:v>OPEN</x:v>
      </x:c>
    </x:row>
    <x:row r="100">
      <x:c r="B100" t="str">
        <x:v>RFA-E094</x:v>
      </x:c>
      <x:c r="C100" t="str">
        <x:v>AM-05</x:v>
      </x:c>
      <x:c r="D100" t="str">
        <x:v>AF-1</x:v>
      </x:c>
      <x:c r="E100" t="str">
        <x:v>BA</x:v>
      </x:c>
      <x:c r="F100" t="str">
        <x:v>PTC-C</x:v>
      </x:c>
      <x:c r="G100" t="n">
        <x:v>500</x:v>
      </x:c>
      <x:c r="H100" t="str"/>
      <x:c r="I100" t="str"/>
      <x:c r="J100" t="str"/>
      <x:c r="K100" t="str"/>
      <x:c r="L100" t="str"/>
      <x:c r="M100" t="str"/>
      <x:c r="N100" t="str">
        <x:f>IF(AND(G100&lt;&gt;"",L100=1,M100&lt;&gt;""),"PASS","OPEN")</x:f>
        <x:v>OPEN</x:v>
      </x:c>
    </x:row>
    <x:row r="101">
      <x:c r="B101" t="str">
        <x:v>RFA-E095</x:v>
      </x:c>
      <x:c r="C101" t="str">
        <x:v>AM-05</x:v>
      </x:c>
      <x:c r="D101" t="str">
        <x:v>AF-1</x:v>
      </x:c>
      <x:c r="E101" t="str">
        <x:v>BA</x:v>
      </x:c>
      <x:c r="F101" t="str">
        <x:v>PTC-C</x:v>
      </x:c>
      <x:c r="G101" t="n">
        <x:v>500</x:v>
      </x:c>
      <x:c r="H101" t="str"/>
      <x:c r="I101" t="str"/>
      <x:c r="J101" t="str"/>
      <x:c r="K101" t="str"/>
      <x:c r="L101" t="str"/>
      <x:c r="M101" t="str"/>
      <x:c r="N101" t="str">
        <x:f>IF(AND(G101&lt;&gt;"",L101=1,M101&lt;&gt;""),"PASS","OPEN")</x:f>
        <x:v>OPEN</x:v>
      </x:c>
    </x:row>
    <x:row r="102">
      <x:c r="B102" t="str">
        <x:v>RFA-E096</x:v>
      </x:c>
      <x:c r="C102" t="str">
        <x:v>AM-05</x:v>
      </x:c>
      <x:c r="D102" t="str">
        <x:v>AF-1</x:v>
      </x:c>
      <x:c r="E102" t="str">
        <x:v>BA</x:v>
      </x:c>
      <x:c r="F102" t="str">
        <x:v>PTC-C</x:v>
      </x:c>
      <x:c r="G102" t="n">
        <x:v>500</x:v>
      </x:c>
      <x:c r="H102" t="str"/>
      <x:c r="I102" t="str"/>
      <x:c r="J102" t="str"/>
      <x:c r="K102" t="str"/>
      <x:c r="L102" t="str"/>
      <x:c r="M102" t="str"/>
      <x:c r="N102" t="str">
        <x:f>IF(AND(G102&lt;&gt;"",L102=1,M102&lt;&gt;""),"PASS","OPEN")</x:f>
        <x:v>OPEN</x:v>
      </x:c>
    </x:row>
    <x:row r="103">
      <x:c r="B103" t="str">
        <x:v>RFA-E097</x:v>
      </x:c>
      <x:c r="C103" t="str">
        <x:v>AM-07</x:v>
      </x:c>
      <x:c r="D103" t="str">
        <x:v>AF-1</x:v>
      </x:c>
      <x:c r="E103" t="str">
        <x:v>BA</x:v>
      </x:c>
      <x:c r="F103" t="str">
        <x:v>PTC-C</x:v>
      </x:c>
      <x:c r="G103" t="n">
        <x:v>2000</x:v>
      </x:c>
      <x:c r="H103" t="str"/>
      <x:c r="I103" t="str"/>
      <x:c r="J103" t="str"/>
      <x:c r="K103" t="str"/>
      <x:c r="L103" t="str"/>
      <x:c r="M103" t="str"/>
      <x:c r="N103" t="str">
        <x:f>IF(AND(G103&lt;&gt;"",L103=1,M103&lt;&gt;""),"PASS","OPEN")</x:f>
        <x:v>OPEN</x:v>
      </x:c>
    </x:row>
    <x:row r="104">
      <x:c r="B104" t="str">
        <x:v>RFA-E098</x:v>
      </x:c>
      <x:c r="C104" t="str">
        <x:v>AM-07</x:v>
      </x:c>
      <x:c r="D104" t="str">
        <x:v>AF-1</x:v>
      </x:c>
      <x:c r="E104" t="str">
        <x:v>BA</x:v>
      </x:c>
      <x:c r="F104" t="str">
        <x:v>PTC-C</x:v>
      </x:c>
      <x:c r="G104" t="n">
        <x:v>2000</x:v>
      </x:c>
      <x:c r="H104" t="str"/>
      <x:c r="I104" t="str"/>
      <x:c r="J104" t="str"/>
      <x:c r="K104" t="str"/>
      <x:c r="L104" t="str"/>
      <x:c r="M104" t="str"/>
      <x:c r="N104" t="str">
        <x:f>IF(AND(G104&lt;&gt;"",L104=1,M104&lt;&gt;""),"PASS","OPEN")</x:f>
        <x:v>OPEN</x:v>
      </x:c>
    </x:row>
    <x:row r="105">
      <x:c r="B105" t="str">
        <x:v>RFA-E099</x:v>
      </x:c>
      <x:c r="C105" t="str">
        <x:v>AM-07</x:v>
      </x:c>
      <x:c r="D105" t="str">
        <x:v>AF-1</x:v>
      </x:c>
      <x:c r="E105" t="str">
        <x:v>BA</x:v>
      </x:c>
      <x:c r="F105" t="str">
        <x:v>PTC-C</x:v>
      </x:c>
      <x:c r="G105" t="n">
        <x:v>2000</x:v>
      </x:c>
      <x:c r="H105" t="str"/>
      <x:c r="I105" t="str"/>
      <x:c r="J105" t="str"/>
      <x:c r="K105" t="str"/>
      <x:c r="L105" t="str"/>
      <x:c r="M105" t="str"/>
      <x:c r="N105" t="str">
        <x:f>IF(AND(G105&lt;&gt;"",L105=1,M105&lt;&gt;""),"PASS","OPEN")</x:f>
        <x:v>OPEN</x:v>
      </x:c>
    </x:row>
    <x:row r="106">
      <x:c r="B106" t="str">
        <x:v>RFA-E100</x:v>
      </x:c>
      <x:c r="C106" t="str">
        <x:v>AM-07</x:v>
      </x:c>
      <x:c r="D106" t="str">
        <x:v>AF-1</x:v>
      </x:c>
      <x:c r="E106" t="str">
        <x:v>BA</x:v>
      </x:c>
      <x:c r="F106" t="str">
        <x:v>PTC-C</x:v>
      </x:c>
      <x:c r="G106" t="n">
        <x:v>2000</x:v>
      </x:c>
      <x:c r="H106" t="str"/>
      <x:c r="I106" t="str"/>
      <x:c r="J106" t="str"/>
      <x:c r="K106" t="str"/>
      <x:c r="L106" t="str"/>
      <x:c r="M106" t="str"/>
      <x:c r="N106" t="str">
        <x:f>IF(AND(G106&lt;&gt;"",L106=1,M106&lt;&gt;""),"PASS","OPEN")</x:f>
        <x:v>OPEN</x:v>
      </x:c>
    </x:row>
    <x:row r="107">
      <x:c r="B107" t="str">
        <x:v>RFA-E101</x:v>
      </x:c>
      <x:c r="C107" t="str">
        <x:v>AM-07</x:v>
      </x:c>
      <x:c r="D107" t="str">
        <x:v>AF-1</x:v>
      </x:c>
      <x:c r="E107" t="str">
        <x:v>BA</x:v>
      </x:c>
      <x:c r="F107" t="str">
        <x:v>PTC-C</x:v>
      </x:c>
      <x:c r="G107" t="n">
        <x:v>2000</x:v>
      </x:c>
      <x:c r="H107" t="str"/>
      <x:c r="I107" t="str"/>
      <x:c r="J107" t="str"/>
      <x:c r="K107" t="str"/>
      <x:c r="L107" t="str"/>
      <x:c r="M107" t="str"/>
      <x:c r="N107" t="str">
        <x:f>IF(AND(G107&lt;&gt;"",L107=1,M107&lt;&gt;""),"PASS","OPEN")</x:f>
        <x:v>OPEN</x:v>
      </x:c>
    </x:row>
    <x:row r="108">
      <x:c r="B108" t="str">
        <x:v>RFA-E102</x:v>
      </x:c>
      <x:c r="C108" t="str">
        <x:v>AM-07</x:v>
      </x:c>
      <x:c r="D108" t="str">
        <x:v>AF-1</x:v>
      </x:c>
      <x:c r="E108" t="str">
        <x:v>BA</x:v>
      </x:c>
      <x:c r="F108" t="str">
        <x:v>PTC-C</x:v>
      </x:c>
      <x:c r="G108" t="n">
        <x:v>2000</x:v>
      </x:c>
      <x:c r="H108" t="str"/>
      <x:c r="I108" t="str"/>
      <x:c r="J108" t="str"/>
      <x:c r="K108" t="str"/>
      <x:c r="L108" t="str"/>
      <x:c r="M108" t="str"/>
      <x:c r="N108" t="str">
        <x:f>IF(AND(G108&lt;&gt;"",L108=1,M108&lt;&gt;""),"PASS","OPEN")</x:f>
        <x:v>OPEN</x:v>
      </x:c>
    </x:row>
    <x:row r="109">
      <x:c r="B109" t="str">
        <x:v>RFA-E103</x:v>
      </x:c>
      <x:c r="C109" t="str">
        <x:v>AM-07</x:v>
      </x:c>
      <x:c r="D109" t="str">
        <x:v>AF-1</x:v>
      </x:c>
      <x:c r="E109" t="str">
        <x:v>BA</x:v>
      </x:c>
      <x:c r="F109" t="str">
        <x:v>PTC-C</x:v>
      </x:c>
      <x:c r="G109" t="n">
        <x:v>2000</x:v>
      </x:c>
      <x:c r="H109" t="str"/>
      <x:c r="I109" t="str"/>
      <x:c r="J109" t="str"/>
      <x:c r="K109" t="str"/>
      <x:c r="L109" t="str"/>
      <x:c r="M109" t="str"/>
      <x:c r="N109" t="str">
        <x:f>IF(AND(G109&lt;&gt;"",L109=1,M109&lt;&gt;""),"PASS","OPEN")</x:f>
        <x:v>OPEN</x:v>
      </x:c>
    </x:row>
    <x:row r="110">
      <x:c r="B110" t="str">
        <x:v>RFA-E104</x:v>
      </x:c>
      <x:c r="C110" t="str">
        <x:v>AM-07</x:v>
      </x:c>
      <x:c r="D110" t="str">
        <x:v>AF-1</x:v>
      </x:c>
      <x:c r="E110" t="str">
        <x:v>BA</x:v>
      </x:c>
      <x:c r="F110" t="str">
        <x:v>PTC-C</x:v>
      </x:c>
      <x:c r="G110" t="n">
        <x:v>2000</x:v>
      </x:c>
      <x:c r="H110" t="str"/>
      <x:c r="I110" t="str"/>
      <x:c r="J110" t="str"/>
      <x:c r="K110" t="str"/>
      <x:c r="L110" t="str"/>
      <x:c r="M110" t="str"/>
      <x:c r="N110" t="str">
        <x:f>IF(AND(G110&lt;&gt;"",L110=1,M110&lt;&gt;""),"PASS","OPEN")</x:f>
        <x:v>OPEN</x:v>
      </x:c>
    </x:row>
    <x:row r="111">
      <x:c r="B111" t="str">
        <x:v>RFA-E105</x:v>
      </x:c>
      <x:c r="C111" t="str">
        <x:v>AM-05</x:v>
      </x:c>
      <x:c r="D111" t="str">
        <x:v>AF-1</x:v>
      </x:c>
      <x:c r="E111" t="str">
        <x:v>BB</x:v>
      </x:c>
      <x:c r="F111" t="str">
        <x:v>PTC-B</x:v>
      </x:c>
      <x:c r="G111" t="n">
        <x:v>500</x:v>
      </x:c>
      <x:c r="H111" t="str"/>
      <x:c r="I111" t="str"/>
      <x:c r="J111" t="str"/>
      <x:c r="K111" t="str"/>
      <x:c r="L111" t="str"/>
      <x:c r="M111" t="str"/>
      <x:c r="N111" t="str">
        <x:f>IF(AND(G111&lt;&gt;"",L111=1,M111&lt;&gt;""),"PASS","OPEN")</x:f>
        <x:v>OPEN</x:v>
      </x:c>
    </x:row>
    <x:row r="112">
      <x:c r="B112" t="str">
        <x:v>RFA-E106</x:v>
      </x:c>
      <x:c r="C112" t="str">
        <x:v>AM-05</x:v>
      </x:c>
      <x:c r="D112" t="str">
        <x:v>AF-1</x:v>
      </x:c>
      <x:c r="E112" t="str">
        <x:v>BB</x:v>
      </x:c>
      <x:c r="F112" t="str">
        <x:v>PTC-B</x:v>
      </x:c>
      <x:c r="G112" t="n">
        <x:v>500</x:v>
      </x:c>
      <x:c r="H112" t="str"/>
      <x:c r="I112" t="str"/>
      <x:c r="J112" t="str"/>
      <x:c r="K112" t="str"/>
      <x:c r="L112" t="str"/>
      <x:c r="M112" t="str"/>
      <x:c r="N112" t="str">
        <x:f>IF(AND(G112&lt;&gt;"",L112=1,M112&lt;&gt;""),"PASS","OPEN")</x:f>
        <x:v>OPEN</x:v>
      </x:c>
    </x:row>
    <x:row r="113">
      <x:c r="B113" t="str">
        <x:v>RFA-E107</x:v>
      </x:c>
      <x:c r="C113" t="str">
        <x:v>AM-05</x:v>
      </x:c>
      <x:c r="D113" t="str">
        <x:v>AF-1</x:v>
      </x:c>
      <x:c r="E113" t="str">
        <x:v>BB</x:v>
      </x:c>
      <x:c r="F113" t="str">
        <x:v>PTC-B</x:v>
      </x:c>
      <x:c r="G113" t="n">
        <x:v>500</x:v>
      </x:c>
      <x:c r="H113" t="str"/>
      <x:c r="I113" t="str"/>
      <x:c r="J113" t="str"/>
      <x:c r="K113" t="str"/>
      <x:c r="L113" t="str"/>
      <x:c r="M113" t="str"/>
      <x:c r="N113" t="str">
        <x:f>IF(AND(G113&lt;&gt;"",L113=1,M113&lt;&gt;""),"PASS","OPEN")</x:f>
        <x:v>OPEN</x:v>
      </x:c>
    </x:row>
    <x:row r="114">
      <x:c r="B114" t="str">
        <x:v>RFA-E108</x:v>
      </x:c>
      <x:c r="C114" t="str">
        <x:v>AM-05</x:v>
      </x:c>
      <x:c r="D114" t="str">
        <x:v>AF-1</x:v>
      </x:c>
      <x:c r="E114" t="str">
        <x:v>BB</x:v>
      </x:c>
      <x:c r="F114" t="str">
        <x:v>PTC-B</x:v>
      </x:c>
      <x:c r="G114" t="n">
        <x:v>500</x:v>
      </x:c>
      <x:c r="H114" t="str"/>
      <x:c r="I114" t="str"/>
      <x:c r="J114" t="str"/>
      <x:c r="K114" t="str"/>
      <x:c r="L114" t="str"/>
      <x:c r="M114" t="str"/>
      <x:c r="N114" t="str">
        <x:f>IF(AND(G114&lt;&gt;"",L114=1,M114&lt;&gt;""),"PASS","OPEN")</x:f>
        <x:v>OPEN</x:v>
      </x:c>
    </x:row>
    <x:row r="115">
      <x:c r="B115" t="str">
        <x:v>RFA-E109</x:v>
      </x:c>
      <x:c r="C115" t="str">
        <x:v>AM-05</x:v>
      </x:c>
      <x:c r="D115" t="str">
        <x:v>AF-1</x:v>
      </x:c>
      <x:c r="E115" t="str">
        <x:v>BB</x:v>
      </x:c>
      <x:c r="F115" t="str">
        <x:v>PTC-B</x:v>
      </x:c>
      <x:c r="G115" t="n">
        <x:v>500</x:v>
      </x:c>
      <x:c r="H115" t="str"/>
      <x:c r="I115" t="str"/>
      <x:c r="J115" t="str"/>
      <x:c r="K115" t="str"/>
      <x:c r="L115" t="str"/>
      <x:c r="M115" t="str"/>
      <x:c r="N115" t="str">
        <x:f>IF(AND(G115&lt;&gt;"",L115=1,M115&lt;&gt;""),"PASS","OPEN")</x:f>
        <x:v>OPEN</x:v>
      </x:c>
    </x:row>
    <x:row r="116">
      <x:c r="B116" t="str">
        <x:v>RFA-E110</x:v>
      </x:c>
      <x:c r="C116" t="str">
        <x:v>AM-05</x:v>
      </x:c>
      <x:c r="D116" t="str">
        <x:v>AF-1</x:v>
      </x:c>
      <x:c r="E116" t="str">
        <x:v>BB</x:v>
      </x:c>
      <x:c r="F116" t="str">
        <x:v>PTC-B</x:v>
      </x:c>
      <x:c r="G116" t="n">
        <x:v>500</x:v>
      </x:c>
      <x:c r="H116" t="str"/>
      <x:c r="I116" t="str"/>
      <x:c r="J116" t="str"/>
      <x:c r="K116" t="str"/>
      <x:c r="L116" t="str"/>
      <x:c r="M116" t="str"/>
      <x:c r="N116" t="str">
        <x:f>IF(AND(G116&lt;&gt;"",L116=1,M116&lt;&gt;""),"PASS","OPEN")</x:f>
        <x:v>OPEN</x:v>
      </x:c>
    </x:row>
    <x:row r="117">
      <x:c r="B117" t="str">
        <x:v>RFA-E111</x:v>
      </x:c>
      <x:c r="C117" t="str">
        <x:v>AM-05</x:v>
      </x:c>
      <x:c r="D117" t="str">
        <x:v>AF-1</x:v>
      </x:c>
      <x:c r="E117" t="str">
        <x:v>BB</x:v>
      </x:c>
      <x:c r="F117" t="str">
        <x:v>PTC-B</x:v>
      </x:c>
      <x:c r="G117" t="n">
        <x:v>500</x:v>
      </x:c>
      <x:c r="H117" t="str"/>
      <x:c r="I117" t="str"/>
      <x:c r="J117" t="str"/>
      <x:c r="K117" t="str"/>
      <x:c r="L117" t="str"/>
      <x:c r="M117" t="str"/>
      <x:c r="N117" t="str">
        <x:f>IF(AND(G117&lt;&gt;"",L117=1,M117&lt;&gt;""),"PASS","OPEN")</x:f>
        <x:v>OPEN</x:v>
      </x:c>
    </x:row>
    <x:row r="118">
      <x:c r="B118" t="str">
        <x:v>RFA-E112</x:v>
      </x:c>
      <x:c r="C118" t="str">
        <x:v>AM-05</x:v>
      </x:c>
      <x:c r="D118" t="str">
        <x:v>AF-1</x:v>
      </x:c>
      <x:c r="E118" t="str">
        <x:v>BB</x:v>
      </x:c>
      <x:c r="F118" t="str">
        <x:v>PTC-B</x:v>
      </x:c>
      <x:c r="G118" t="n">
        <x:v>500</x:v>
      </x:c>
      <x:c r="H118" t="str"/>
      <x:c r="I118" t="str"/>
      <x:c r="J118" t="str"/>
      <x:c r="K118" t="str"/>
      <x:c r="L118" t="str"/>
      <x:c r="M118" t="str"/>
      <x:c r="N118" t="str">
        <x:f>IF(AND(G118&lt;&gt;"",L118=1,M118&lt;&gt;""),"PASS","OPEN")</x:f>
        <x:v>OPEN</x:v>
      </x:c>
    </x:row>
    <x:row r="119">
      <x:c r="B119" t="str">
        <x:v>RFA-E113</x:v>
      </x:c>
      <x:c r="C119" t="str">
        <x:v>AM-07</x:v>
      </x:c>
      <x:c r="D119" t="str">
        <x:v>AF-1</x:v>
      </x:c>
      <x:c r="E119" t="str">
        <x:v>BB</x:v>
      </x:c>
      <x:c r="F119" t="str">
        <x:v>PTC-B</x:v>
      </x:c>
      <x:c r="G119" t="n">
        <x:v>2000</x:v>
      </x:c>
      <x:c r="H119" t="str"/>
      <x:c r="I119" t="str"/>
      <x:c r="J119" t="str"/>
      <x:c r="K119" t="str"/>
      <x:c r="L119" t="str"/>
      <x:c r="M119" t="str"/>
      <x:c r="N119" t="str">
        <x:f>IF(AND(G119&lt;&gt;"",L119=1,M119&lt;&gt;""),"PASS","OPEN")</x:f>
        <x:v>OPEN</x:v>
      </x:c>
    </x:row>
    <x:row r="120">
      <x:c r="B120" t="str">
        <x:v>RFA-E114</x:v>
      </x:c>
      <x:c r="C120" t="str">
        <x:v>AM-07</x:v>
      </x:c>
      <x:c r="D120" t="str">
        <x:v>AF-1</x:v>
      </x:c>
      <x:c r="E120" t="str">
        <x:v>BB</x:v>
      </x:c>
      <x:c r="F120" t="str">
        <x:v>PTC-B</x:v>
      </x:c>
      <x:c r="G120" t="n">
        <x:v>2000</x:v>
      </x:c>
      <x:c r="H120" t="str"/>
      <x:c r="I120" t="str"/>
      <x:c r="J120" t="str"/>
      <x:c r="K120" t="str"/>
      <x:c r="L120" t="str"/>
      <x:c r="M120" t="str"/>
      <x:c r="N120" t="str">
        <x:f>IF(AND(G120&lt;&gt;"",L120=1,M120&lt;&gt;""),"PASS","OPEN")</x:f>
        <x:v>OPEN</x:v>
      </x:c>
    </x:row>
    <x:row r="121">
      <x:c r="B121" t="str">
        <x:v>RFA-E115</x:v>
      </x:c>
      <x:c r="C121" t="str">
        <x:v>AM-07</x:v>
      </x:c>
      <x:c r="D121" t="str">
        <x:v>AF-1</x:v>
      </x:c>
      <x:c r="E121" t="str">
        <x:v>BB</x:v>
      </x:c>
      <x:c r="F121" t="str">
        <x:v>PTC-B</x:v>
      </x:c>
      <x:c r="G121" t="n">
        <x:v>2000</x:v>
      </x:c>
      <x:c r="H121" t="str"/>
      <x:c r="I121" t="str"/>
      <x:c r="J121" t="str"/>
      <x:c r="K121" t="str"/>
      <x:c r="L121" t="str"/>
      <x:c r="M121" t="str"/>
      <x:c r="N121" t="str">
        <x:f>IF(AND(G121&lt;&gt;"",L121=1,M121&lt;&gt;""),"PASS","OPEN")</x:f>
        <x:v>OPEN</x:v>
      </x:c>
    </x:row>
    <x:row r="122">
      <x:c r="B122" t="str">
        <x:v>RFA-E116</x:v>
      </x:c>
      <x:c r="C122" t="str">
        <x:v>AM-07</x:v>
      </x:c>
      <x:c r="D122" t="str">
        <x:v>AF-1</x:v>
      </x:c>
      <x:c r="E122" t="str">
        <x:v>BB</x:v>
      </x:c>
      <x:c r="F122" t="str">
        <x:v>PTC-B</x:v>
      </x:c>
      <x:c r="G122" t="n">
        <x:v>2000</x:v>
      </x:c>
      <x:c r="H122" t="str"/>
      <x:c r="I122" t="str"/>
      <x:c r="J122" t="str"/>
      <x:c r="K122" t="str"/>
      <x:c r="L122" t="str"/>
      <x:c r="M122" t="str"/>
      <x:c r="N122" t="str">
        <x:f>IF(AND(G122&lt;&gt;"",L122=1,M122&lt;&gt;""),"PASS","OPEN")</x:f>
        <x:v>OPEN</x:v>
      </x:c>
    </x:row>
    <x:row r="123">
      <x:c r="B123" t="str">
        <x:v>RFA-E117</x:v>
      </x:c>
      <x:c r="C123" t="str">
        <x:v>AM-07</x:v>
      </x:c>
      <x:c r="D123" t="str">
        <x:v>AF-1</x:v>
      </x:c>
      <x:c r="E123" t="str">
        <x:v>BB</x:v>
      </x:c>
      <x:c r="F123" t="str">
        <x:v>PTC-B</x:v>
      </x:c>
      <x:c r="G123" t="n">
        <x:v>2000</x:v>
      </x:c>
      <x:c r="H123" t="str"/>
      <x:c r="I123" t="str"/>
      <x:c r="J123" t="str"/>
      <x:c r="K123" t="str"/>
      <x:c r="L123" t="str"/>
      <x:c r="M123" t="str"/>
      <x:c r="N123" t="str">
        <x:f>IF(AND(G123&lt;&gt;"",L123=1,M123&lt;&gt;""),"PASS","OPEN")</x:f>
        <x:v>OPEN</x:v>
      </x:c>
    </x:row>
    <x:row r="124">
      <x:c r="B124" t="str">
        <x:v>RFA-E118</x:v>
      </x:c>
      <x:c r="C124" t="str">
        <x:v>AM-07</x:v>
      </x:c>
      <x:c r="D124" t="str">
        <x:v>AF-1</x:v>
      </x:c>
      <x:c r="E124" t="str">
        <x:v>BB</x:v>
      </x:c>
      <x:c r="F124" t="str">
        <x:v>PTC-B</x:v>
      </x:c>
      <x:c r="G124" t="n">
        <x:v>2000</x:v>
      </x:c>
      <x:c r="H124" t="str"/>
      <x:c r="I124" t="str"/>
      <x:c r="J124" t="str"/>
      <x:c r="K124" t="str"/>
      <x:c r="L124" t="str"/>
      <x:c r="M124" t="str"/>
      <x:c r="N124" t="str">
        <x:f>IF(AND(G124&lt;&gt;"",L124=1,M124&lt;&gt;""),"PASS","OPEN")</x:f>
        <x:v>OPEN</x:v>
      </x:c>
    </x:row>
    <x:row r="125">
      <x:c r="B125" t="str">
        <x:v>RFA-E119</x:v>
      </x:c>
      <x:c r="C125" t="str">
        <x:v>AM-07</x:v>
      </x:c>
      <x:c r="D125" t="str">
        <x:v>AF-1</x:v>
      </x:c>
      <x:c r="E125" t="str">
        <x:v>BB</x:v>
      </x:c>
      <x:c r="F125" t="str">
        <x:v>PTC-B</x:v>
      </x:c>
      <x:c r="G125" t="n">
        <x:v>2000</x:v>
      </x:c>
      <x:c r="H125" t="str"/>
      <x:c r="I125" t="str"/>
      <x:c r="J125" t="str"/>
      <x:c r="K125" t="str"/>
      <x:c r="L125" t="str"/>
      <x:c r="M125" t="str"/>
      <x:c r="N125" t="str">
        <x:f>IF(AND(G125&lt;&gt;"",L125=1,M125&lt;&gt;""),"PASS","OPEN")</x:f>
        <x:v>OPEN</x:v>
      </x:c>
    </x:row>
    <x:row r="126">
      <x:c r="B126" t="str">
        <x:v>RFA-E120</x:v>
      </x:c>
      <x:c r="C126" t="str">
        <x:v>AM-07</x:v>
      </x:c>
      <x:c r="D126" t="str">
        <x:v>AF-1</x:v>
      </x:c>
      <x:c r="E126" t="str">
        <x:v>BB</x:v>
      </x:c>
      <x:c r="F126" t="str">
        <x:v>PTC-B</x:v>
      </x:c>
      <x:c r="G126" t="n">
        <x:v>2000</x:v>
      </x:c>
      <x:c r="H126" t="str"/>
      <x:c r="I126" t="str"/>
      <x:c r="J126" t="str"/>
      <x:c r="K126" t="str"/>
      <x:c r="L126" t="str"/>
      <x:c r="M126" t="str"/>
      <x:c r="N126" t="str">
        <x:f>IF(AND(G126&lt;&gt;"",L126=1,M126&lt;&gt;""),"PASS","OPEN")</x:f>
        <x:v>OPEN</x:v>
      </x:c>
    </x:row>
    <x:row r="127">
      <x:c r="B127" t="str">
        <x:v>RFA-E121</x:v>
      </x:c>
      <x:c r="C127" t="str">
        <x:v>AM-05</x:v>
      </x:c>
      <x:c r="D127" t="str">
        <x:v>AF-1</x:v>
      </x:c>
      <x:c r="E127" t="str">
        <x:v>BB</x:v>
      </x:c>
      <x:c r="F127" t="str">
        <x:v>PTC-C</x:v>
      </x:c>
      <x:c r="G127" t="n">
        <x:v>500</x:v>
      </x:c>
      <x:c r="H127" t="str"/>
      <x:c r="I127" t="str"/>
      <x:c r="J127" t="str"/>
      <x:c r="K127" t="str"/>
      <x:c r="L127" t="str"/>
      <x:c r="M127" t="str"/>
      <x:c r="N127" t="str">
        <x:f>IF(AND(G127&lt;&gt;"",L127=1,M127&lt;&gt;""),"PASS","OPEN")</x:f>
        <x:v>OPEN</x:v>
      </x:c>
    </x:row>
    <x:row r="128">
      <x:c r="B128" t="str">
        <x:v>RFA-E122</x:v>
      </x:c>
      <x:c r="C128" t="str">
        <x:v>AM-05</x:v>
      </x:c>
      <x:c r="D128" t="str">
        <x:v>AF-1</x:v>
      </x:c>
      <x:c r="E128" t="str">
        <x:v>BB</x:v>
      </x:c>
      <x:c r="F128" t="str">
        <x:v>PTC-C</x:v>
      </x:c>
      <x:c r="G128" t="n">
        <x:v>500</x:v>
      </x:c>
      <x:c r="H128" t="str"/>
      <x:c r="I128" t="str"/>
      <x:c r="J128" t="str"/>
      <x:c r="K128" t="str"/>
      <x:c r="L128" t="str"/>
      <x:c r="M128" t="str"/>
      <x:c r="N128" t="str">
        <x:f>IF(AND(G128&lt;&gt;"",L128=1,M128&lt;&gt;""),"PASS","OPEN")</x:f>
        <x:v>OPEN</x:v>
      </x:c>
    </x:row>
    <x:row r="129">
      <x:c r="B129" t="str">
        <x:v>RFA-E123</x:v>
      </x:c>
      <x:c r="C129" t="str">
        <x:v>AM-05</x:v>
      </x:c>
      <x:c r="D129" t="str">
        <x:v>AF-1</x:v>
      </x:c>
      <x:c r="E129" t="str">
        <x:v>BB</x:v>
      </x:c>
      <x:c r="F129" t="str">
        <x:v>PTC-C</x:v>
      </x:c>
      <x:c r="G129" t="n">
        <x:v>500</x:v>
      </x:c>
      <x:c r="H129" t="str"/>
      <x:c r="I129" t="str"/>
      <x:c r="J129" t="str"/>
      <x:c r="K129" t="str"/>
      <x:c r="L129" t="str"/>
      <x:c r="M129" t="str"/>
      <x:c r="N129" t="str">
        <x:f>IF(AND(G129&lt;&gt;"",L129=1,M129&lt;&gt;""),"PASS","OPEN")</x:f>
        <x:v>OPEN</x:v>
      </x:c>
    </x:row>
    <x:row r="130">
      <x:c r="B130" t="str">
        <x:v>RFA-E124</x:v>
      </x:c>
      <x:c r="C130" t="str">
        <x:v>AM-05</x:v>
      </x:c>
      <x:c r="D130" t="str">
        <x:v>AF-1</x:v>
      </x:c>
      <x:c r="E130" t="str">
        <x:v>BB</x:v>
      </x:c>
      <x:c r="F130" t="str">
        <x:v>PTC-C</x:v>
      </x:c>
      <x:c r="G130" t="n">
        <x:v>500</x:v>
      </x:c>
      <x:c r="H130" t="str"/>
      <x:c r="I130" t="str"/>
      <x:c r="J130" t="str"/>
      <x:c r="K130" t="str"/>
      <x:c r="L130" t="str"/>
      <x:c r="M130" t="str"/>
      <x:c r="N130" t="str">
        <x:f>IF(AND(G130&lt;&gt;"",L130=1,M130&lt;&gt;""),"PASS","OPEN")</x:f>
        <x:v>OPEN</x:v>
      </x:c>
    </x:row>
    <x:row r="131">
      <x:c r="B131" t="str">
        <x:v>RFA-E125</x:v>
      </x:c>
      <x:c r="C131" t="str">
        <x:v>AM-05</x:v>
      </x:c>
      <x:c r="D131" t="str">
        <x:v>AF-1</x:v>
      </x:c>
      <x:c r="E131" t="str">
        <x:v>BB</x:v>
      </x:c>
      <x:c r="F131" t="str">
        <x:v>PTC-C</x:v>
      </x:c>
      <x:c r="G131" t="n">
        <x:v>500</x:v>
      </x:c>
      <x:c r="H131" t="str"/>
      <x:c r="I131" t="str"/>
      <x:c r="J131" t="str"/>
      <x:c r="K131" t="str"/>
      <x:c r="L131" t="str"/>
      <x:c r="M131" t="str"/>
      <x:c r="N131" t="str">
        <x:f>IF(AND(G131&lt;&gt;"",L131=1,M131&lt;&gt;""),"PASS","OPEN")</x:f>
        <x:v>OPEN</x:v>
      </x:c>
    </x:row>
    <x:row r="132">
      <x:c r="B132" t="str">
        <x:v>RFA-E126</x:v>
      </x:c>
      <x:c r="C132" t="str">
        <x:v>AM-05</x:v>
      </x:c>
      <x:c r="D132" t="str">
        <x:v>AF-1</x:v>
      </x:c>
      <x:c r="E132" t="str">
        <x:v>BB</x:v>
      </x:c>
      <x:c r="F132" t="str">
        <x:v>PTC-C</x:v>
      </x:c>
      <x:c r="G132" t="n">
        <x:v>500</x:v>
      </x:c>
      <x:c r="H132" t="str"/>
      <x:c r="I132" t="str"/>
      <x:c r="J132" t="str"/>
      <x:c r="K132" t="str"/>
      <x:c r="L132" t="str"/>
      <x:c r="M132" t="str"/>
      <x:c r="N132" t="str">
        <x:f>IF(AND(G132&lt;&gt;"",L132=1,M132&lt;&gt;""),"PASS","OPEN")</x:f>
        <x:v>OPEN</x:v>
      </x:c>
    </x:row>
    <x:row r="133">
      <x:c r="B133" t="str">
        <x:v>RFA-E127</x:v>
      </x:c>
      <x:c r="C133" t="str">
        <x:v>AM-05</x:v>
      </x:c>
      <x:c r="D133" t="str">
        <x:v>AF-1</x:v>
      </x:c>
      <x:c r="E133" t="str">
        <x:v>BB</x:v>
      </x:c>
      <x:c r="F133" t="str">
        <x:v>PTC-C</x:v>
      </x:c>
      <x:c r="G133" t="n">
        <x:v>500</x:v>
      </x:c>
      <x:c r="H133" t="str"/>
      <x:c r="I133" t="str"/>
      <x:c r="J133" t="str"/>
      <x:c r="K133" t="str"/>
      <x:c r="L133" t="str"/>
      <x:c r="M133" t="str"/>
      <x:c r="N133" t="str">
        <x:f>IF(AND(G133&lt;&gt;"",L133=1,M133&lt;&gt;""),"PASS","OPEN")</x:f>
        <x:v>OPEN</x:v>
      </x:c>
    </x:row>
    <x:row r="134">
      <x:c r="B134" t="str">
        <x:v>RFA-E128</x:v>
      </x:c>
      <x:c r="C134" t="str">
        <x:v>AM-05</x:v>
      </x:c>
      <x:c r="D134" t="str">
        <x:v>AF-1</x:v>
      </x:c>
      <x:c r="E134" t="str">
        <x:v>BB</x:v>
      </x:c>
      <x:c r="F134" t="str">
        <x:v>PTC-C</x:v>
      </x:c>
      <x:c r="G134" t="n">
        <x:v>500</x:v>
      </x:c>
      <x:c r="H134" t="str"/>
      <x:c r="I134" t="str"/>
      <x:c r="J134" t="str"/>
      <x:c r="K134" t="str"/>
      <x:c r="L134" t="str"/>
      <x:c r="M134" t="str"/>
      <x:c r="N134" t="str">
        <x:f>IF(AND(G134&lt;&gt;"",L134=1,M134&lt;&gt;""),"PASS","OPEN")</x:f>
        <x:v>OPEN</x:v>
      </x:c>
    </x:row>
    <x:row r="135">
      <x:c r="B135" t="str">
        <x:v>RFA-E129</x:v>
      </x:c>
      <x:c r="C135" t="str">
        <x:v>AM-07</x:v>
      </x:c>
      <x:c r="D135" t="str">
        <x:v>AF-1</x:v>
      </x:c>
      <x:c r="E135" t="str">
        <x:v>BB</x:v>
      </x:c>
      <x:c r="F135" t="str">
        <x:v>PTC-C</x:v>
      </x:c>
      <x:c r="G135" t="n">
        <x:v>2000</x:v>
      </x:c>
      <x:c r="H135" t="str"/>
      <x:c r="I135" t="str"/>
      <x:c r="J135" t="str"/>
      <x:c r="K135" t="str"/>
      <x:c r="L135" t="str"/>
      <x:c r="M135" t="str"/>
      <x:c r="N135" t="str">
        <x:f>IF(AND(G135&lt;&gt;"",L135=1,M135&lt;&gt;""),"PASS","OPEN")</x:f>
        <x:v>OPEN</x:v>
      </x:c>
    </x:row>
    <x:row r="136">
      <x:c r="B136" t="str">
        <x:v>RFA-E130</x:v>
      </x:c>
      <x:c r="C136" t="str">
        <x:v>AM-07</x:v>
      </x:c>
      <x:c r="D136" t="str">
        <x:v>AF-1</x:v>
      </x:c>
      <x:c r="E136" t="str">
        <x:v>BB</x:v>
      </x:c>
      <x:c r="F136" t="str">
        <x:v>PTC-C</x:v>
      </x:c>
      <x:c r="G136" t="n">
        <x:v>2000</x:v>
      </x:c>
      <x:c r="H136" t="str"/>
      <x:c r="I136" t="str"/>
      <x:c r="J136" t="str"/>
      <x:c r="K136" t="str"/>
      <x:c r="L136" t="str"/>
      <x:c r="M136" t="str"/>
      <x:c r="N136" t="str">
        <x:f>IF(AND(G136&lt;&gt;"",L136=1,M136&lt;&gt;""),"PASS","OPEN")</x:f>
        <x:v>OPEN</x:v>
      </x:c>
    </x:row>
    <x:row r="137">
      <x:c r="B137" t="str">
        <x:v>RFA-E131</x:v>
      </x:c>
      <x:c r="C137" t="str">
        <x:v>AM-07</x:v>
      </x:c>
      <x:c r="D137" t="str">
        <x:v>AF-1</x:v>
      </x:c>
      <x:c r="E137" t="str">
        <x:v>BB</x:v>
      </x:c>
      <x:c r="F137" t="str">
        <x:v>PTC-C</x:v>
      </x:c>
      <x:c r="G137" t="n">
        <x:v>2000</x:v>
      </x:c>
      <x:c r="H137" t="str"/>
      <x:c r="I137" t="str"/>
      <x:c r="J137" t="str"/>
      <x:c r="K137" t="str"/>
      <x:c r="L137" t="str"/>
      <x:c r="M137" t="str"/>
      <x:c r="N137" t="str">
        <x:f>IF(AND(G137&lt;&gt;"",L137=1,M137&lt;&gt;""),"PASS","OPEN")</x:f>
        <x:v>OPEN</x:v>
      </x:c>
    </x:row>
    <x:row r="138">
      <x:c r="B138" t="str">
        <x:v>RFA-E132</x:v>
      </x:c>
      <x:c r="C138" t="str">
        <x:v>AM-07</x:v>
      </x:c>
      <x:c r="D138" t="str">
        <x:v>AF-1</x:v>
      </x:c>
      <x:c r="E138" t="str">
        <x:v>BB</x:v>
      </x:c>
      <x:c r="F138" t="str">
        <x:v>PTC-C</x:v>
      </x:c>
      <x:c r="G138" t="n">
        <x:v>2000</x:v>
      </x:c>
      <x:c r="H138" t="str"/>
      <x:c r="I138" t="str"/>
      <x:c r="J138" t="str"/>
      <x:c r="K138" t="str"/>
      <x:c r="L138" t="str"/>
      <x:c r="M138" t="str"/>
      <x:c r="N138" t="str">
        <x:f>IF(AND(G138&lt;&gt;"",L138=1,M138&lt;&gt;""),"PASS","OPEN")</x:f>
        <x:v>OPEN</x:v>
      </x:c>
    </x:row>
    <x:row r="139">
      <x:c r="B139" t="str">
        <x:v>RFA-E133</x:v>
      </x:c>
      <x:c r="C139" t="str">
        <x:v>AM-07</x:v>
      </x:c>
      <x:c r="D139" t="str">
        <x:v>AF-1</x:v>
      </x:c>
      <x:c r="E139" t="str">
        <x:v>BB</x:v>
      </x:c>
      <x:c r="F139" t="str">
        <x:v>PTC-C</x:v>
      </x:c>
      <x:c r="G139" t="n">
        <x:v>2000</x:v>
      </x:c>
      <x:c r="H139" t="str"/>
      <x:c r="I139" t="str"/>
      <x:c r="J139" t="str"/>
      <x:c r="K139" t="str"/>
      <x:c r="L139" t="str"/>
      <x:c r="M139" t="str"/>
      <x:c r="N139" t="str">
        <x:f>IF(AND(G139&lt;&gt;"",L139=1,M139&lt;&gt;""),"PASS","OPEN")</x:f>
        <x:v>OPEN</x:v>
      </x:c>
    </x:row>
    <x:row r="140">
      <x:c r="B140" t="str">
        <x:v>RFA-E134</x:v>
      </x:c>
      <x:c r="C140" t="str">
        <x:v>AM-07</x:v>
      </x:c>
      <x:c r="D140" t="str">
        <x:v>AF-1</x:v>
      </x:c>
      <x:c r="E140" t="str">
        <x:v>BB</x:v>
      </x:c>
      <x:c r="F140" t="str">
        <x:v>PTC-C</x:v>
      </x:c>
      <x:c r="G140" t="n">
        <x:v>2000</x:v>
      </x:c>
      <x:c r="H140" t="str"/>
      <x:c r="I140" t="str"/>
      <x:c r="J140" t="str"/>
      <x:c r="K140" t="str"/>
      <x:c r="L140" t="str"/>
      <x:c r="M140" t="str"/>
      <x:c r="N140" t="str">
        <x:f>IF(AND(G140&lt;&gt;"",L140=1,M140&lt;&gt;""),"PASS","OPEN")</x:f>
        <x:v>OPEN</x:v>
      </x:c>
    </x:row>
    <x:row r="141">
      <x:c r="B141" t="str">
        <x:v>RFA-E135</x:v>
      </x:c>
      <x:c r="C141" t="str">
        <x:v>AM-07</x:v>
      </x:c>
      <x:c r="D141" t="str">
        <x:v>AF-1</x:v>
      </x:c>
      <x:c r="E141" t="str">
        <x:v>BB</x:v>
      </x:c>
      <x:c r="F141" t="str">
        <x:v>PTC-C</x:v>
      </x:c>
      <x:c r="G141" t="n">
        <x:v>2000</x:v>
      </x:c>
      <x:c r="H141" t="str"/>
      <x:c r="I141" t="str"/>
      <x:c r="J141" t="str"/>
      <x:c r="K141" t="str"/>
      <x:c r="L141" t="str"/>
      <x:c r="M141" t="str"/>
      <x:c r="N141" t="str">
        <x:f>IF(AND(G141&lt;&gt;"",L141=1,M141&lt;&gt;""),"PASS","OPEN")</x:f>
        <x:v>OPEN</x:v>
      </x:c>
    </x:row>
    <x:row r="142">
      <x:c r="B142" t="str">
        <x:v>RFA-E136</x:v>
      </x:c>
      <x:c r="C142" t="str">
        <x:v>AM-07</x:v>
      </x:c>
      <x:c r="D142" t="str">
        <x:v>AF-1</x:v>
      </x:c>
      <x:c r="E142" t="str">
        <x:v>BB</x:v>
      </x:c>
      <x:c r="F142" t="str">
        <x:v>PTC-C</x:v>
      </x:c>
      <x:c r="G142" t="n">
        <x:v>2000</x:v>
      </x:c>
      <x:c r="H142" t="str"/>
      <x:c r="I142" t="str"/>
      <x:c r="J142" t="str"/>
      <x:c r="K142" t="str"/>
      <x:c r="L142" t="str"/>
      <x:c r="M142" t="str"/>
      <x:c r="N142" t="str">
        <x:f>IF(AND(G142&lt;&gt;"",L142=1,M142&lt;&gt;""),"PASS","OPEN")</x:f>
        <x:v>OPEN</x:v>
      </x:c>
    </x:row>
    <x:row r="143">
      <x:c r="B143" t="str">
        <x:v>RFA-E137</x:v>
      </x:c>
      <x:c r="C143" t="str">
        <x:v>AM-05</x:v>
      </x:c>
      <x:c r="D143" t="str">
        <x:v>AF-2</x:v>
      </x:c>
      <x:c r="E143" t="str">
        <x:v>BA</x:v>
      </x:c>
      <x:c r="F143" t="str">
        <x:v>PTC-B</x:v>
      </x:c>
      <x:c r="G143" t="n">
        <x:v>500</x:v>
      </x:c>
      <x:c r="H143" t="str"/>
      <x:c r="I143" t="str"/>
      <x:c r="J143" t="str"/>
      <x:c r="K143" t="str"/>
      <x:c r="L143" t="str"/>
      <x:c r="M143" t="str"/>
      <x:c r="N143" t="str">
        <x:f>IF(AND(G143&lt;&gt;"",L143=1,M143&lt;&gt;""),"PASS","OPEN")</x:f>
        <x:v>OPEN</x:v>
      </x:c>
    </x:row>
    <x:row r="144">
      <x:c r="B144" t="str">
        <x:v>RFA-E138</x:v>
      </x:c>
      <x:c r="C144" t="str">
        <x:v>AM-05</x:v>
      </x:c>
      <x:c r="D144" t="str">
        <x:v>AF-2</x:v>
      </x:c>
      <x:c r="E144" t="str">
        <x:v>BA</x:v>
      </x:c>
      <x:c r="F144" t="str">
        <x:v>PTC-B</x:v>
      </x:c>
      <x:c r="G144" t="n">
        <x:v>500</x:v>
      </x:c>
      <x:c r="H144" t="str"/>
      <x:c r="I144" t="str"/>
      <x:c r="J144" t="str"/>
      <x:c r="K144" t="str"/>
      <x:c r="L144" t="str"/>
      <x:c r="M144" t="str"/>
      <x:c r="N144" t="str">
        <x:f>IF(AND(G144&lt;&gt;"",L144=1,M144&lt;&gt;""),"PASS","OPEN")</x:f>
        <x:v>OPEN</x:v>
      </x:c>
    </x:row>
    <x:row r="145">
      <x:c r="B145" t="str">
        <x:v>RFA-E139</x:v>
      </x:c>
      <x:c r="C145" t="str">
        <x:v>AM-05</x:v>
      </x:c>
      <x:c r="D145" t="str">
        <x:v>AF-2</x:v>
      </x:c>
      <x:c r="E145" t="str">
        <x:v>BA</x:v>
      </x:c>
      <x:c r="F145" t="str">
        <x:v>PTC-B</x:v>
      </x:c>
      <x:c r="G145" t="n">
        <x:v>500</x:v>
      </x:c>
      <x:c r="H145" t="str"/>
      <x:c r="I145" t="str"/>
      <x:c r="J145" t="str"/>
      <x:c r="K145" t="str"/>
      <x:c r="L145" t="str"/>
      <x:c r="M145" t="str"/>
      <x:c r="N145" t="str">
        <x:f>IF(AND(G145&lt;&gt;"",L145=1,M145&lt;&gt;""),"PASS","OPEN")</x:f>
        <x:v>OPEN</x:v>
      </x:c>
    </x:row>
    <x:row r="146">
      <x:c r="B146" t="str">
        <x:v>RFA-E140</x:v>
      </x:c>
      <x:c r="C146" t="str">
        <x:v>AM-05</x:v>
      </x:c>
      <x:c r="D146" t="str">
        <x:v>AF-2</x:v>
      </x:c>
      <x:c r="E146" t="str">
        <x:v>BA</x:v>
      </x:c>
      <x:c r="F146" t="str">
        <x:v>PTC-B</x:v>
      </x:c>
      <x:c r="G146" t="n">
        <x:v>500</x:v>
      </x:c>
      <x:c r="H146" t="str"/>
      <x:c r="I146" t="str"/>
      <x:c r="J146" t="str"/>
      <x:c r="K146" t="str"/>
      <x:c r="L146" t="str"/>
      <x:c r="M146" t="str"/>
      <x:c r="N146" t="str">
        <x:f>IF(AND(G146&lt;&gt;"",L146=1,M146&lt;&gt;""),"PASS","OPEN")</x:f>
        <x:v>OPEN</x:v>
      </x:c>
    </x:row>
    <x:row r="147">
      <x:c r="B147" t="str">
        <x:v>RFA-E141</x:v>
      </x:c>
      <x:c r="C147" t="str">
        <x:v>AM-05</x:v>
      </x:c>
      <x:c r="D147" t="str">
        <x:v>AF-2</x:v>
      </x:c>
      <x:c r="E147" t="str">
        <x:v>BA</x:v>
      </x:c>
      <x:c r="F147" t="str">
        <x:v>PTC-B</x:v>
      </x:c>
      <x:c r="G147" t="n">
        <x:v>500</x:v>
      </x:c>
      <x:c r="H147" t="str"/>
      <x:c r="I147" t="str"/>
      <x:c r="J147" t="str"/>
      <x:c r="K147" t="str"/>
      <x:c r="L147" t="str"/>
      <x:c r="M147" t="str"/>
      <x:c r="N147" t="str">
        <x:f>IF(AND(G147&lt;&gt;"",L147=1,M147&lt;&gt;""),"PASS","OPEN")</x:f>
        <x:v>OPEN</x:v>
      </x:c>
    </x:row>
    <x:row r="148">
      <x:c r="B148" t="str">
        <x:v>RFA-E142</x:v>
      </x:c>
      <x:c r="C148" t="str">
        <x:v>AM-05</x:v>
      </x:c>
      <x:c r="D148" t="str">
        <x:v>AF-2</x:v>
      </x:c>
      <x:c r="E148" t="str">
        <x:v>BA</x:v>
      </x:c>
      <x:c r="F148" t="str">
        <x:v>PTC-B</x:v>
      </x:c>
      <x:c r="G148" t="n">
        <x:v>500</x:v>
      </x:c>
      <x:c r="H148" t="str"/>
      <x:c r="I148" t="str"/>
      <x:c r="J148" t="str"/>
      <x:c r="K148" t="str"/>
      <x:c r="L148" t="str"/>
      <x:c r="M148" t="str"/>
      <x:c r="N148" t="str">
        <x:f>IF(AND(G148&lt;&gt;"",L148=1,M148&lt;&gt;""),"PASS","OPEN")</x:f>
        <x:v>OPEN</x:v>
      </x:c>
    </x:row>
    <x:row r="149">
      <x:c r="B149" t="str">
        <x:v>RFA-E143</x:v>
      </x:c>
      <x:c r="C149" t="str">
        <x:v>AM-05</x:v>
      </x:c>
      <x:c r="D149" t="str">
        <x:v>AF-2</x:v>
      </x:c>
      <x:c r="E149" t="str">
        <x:v>BA</x:v>
      </x:c>
      <x:c r="F149" t="str">
        <x:v>PTC-B</x:v>
      </x:c>
      <x:c r="G149" t="n">
        <x:v>500</x:v>
      </x:c>
      <x:c r="H149" t="str"/>
      <x:c r="I149" t="str"/>
      <x:c r="J149" t="str"/>
      <x:c r="K149" t="str"/>
      <x:c r="L149" t="str"/>
      <x:c r="M149" t="str"/>
      <x:c r="N149" t="str">
        <x:f>IF(AND(G149&lt;&gt;"",L149=1,M149&lt;&gt;""),"PASS","OPEN")</x:f>
        <x:v>OPEN</x:v>
      </x:c>
    </x:row>
    <x:row r="150">
      <x:c r="B150" t="str">
        <x:v>RFA-E144</x:v>
      </x:c>
      <x:c r="C150" t="str">
        <x:v>AM-05</x:v>
      </x:c>
      <x:c r="D150" t="str">
        <x:v>AF-2</x:v>
      </x:c>
      <x:c r="E150" t="str">
        <x:v>BA</x:v>
      </x:c>
      <x:c r="F150" t="str">
        <x:v>PTC-B</x:v>
      </x:c>
      <x:c r="G150" t="n">
        <x:v>500</x:v>
      </x:c>
      <x:c r="H150" t="str"/>
      <x:c r="I150" t="str"/>
      <x:c r="J150" t="str"/>
      <x:c r="K150" t="str"/>
      <x:c r="L150" t="str"/>
      <x:c r="M150" t="str"/>
      <x:c r="N150" t="str">
        <x:f>IF(AND(G150&lt;&gt;"",L150=1,M150&lt;&gt;""),"PASS","OPEN")</x:f>
        <x:v>OPEN</x:v>
      </x:c>
    </x:row>
    <x:row r="151">
      <x:c r="B151" t="str">
        <x:v>RFA-E145</x:v>
      </x:c>
      <x:c r="C151" t="str">
        <x:v>AM-07</x:v>
      </x:c>
      <x:c r="D151" t="str">
        <x:v>AF-2</x:v>
      </x:c>
      <x:c r="E151" t="str">
        <x:v>BA</x:v>
      </x:c>
      <x:c r="F151" t="str">
        <x:v>PTC-B</x:v>
      </x:c>
      <x:c r="G151" t="n">
        <x:v>2000</x:v>
      </x:c>
      <x:c r="H151" t="str"/>
      <x:c r="I151" t="str"/>
      <x:c r="J151" t="str"/>
      <x:c r="K151" t="str"/>
      <x:c r="L151" t="str"/>
      <x:c r="M151" t="str"/>
      <x:c r="N151" t="str">
        <x:f>IF(AND(G151&lt;&gt;"",L151=1,M151&lt;&gt;""),"PASS","OPEN")</x:f>
        <x:v>OPEN</x:v>
      </x:c>
    </x:row>
    <x:row r="152">
      <x:c r="B152" t="str">
        <x:v>RFA-E146</x:v>
      </x:c>
      <x:c r="C152" t="str">
        <x:v>AM-07</x:v>
      </x:c>
      <x:c r="D152" t="str">
        <x:v>AF-2</x:v>
      </x:c>
      <x:c r="E152" t="str">
        <x:v>BA</x:v>
      </x:c>
      <x:c r="F152" t="str">
        <x:v>PTC-B</x:v>
      </x:c>
      <x:c r="G152" t="n">
        <x:v>2000</x:v>
      </x:c>
      <x:c r="H152" t="str"/>
      <x:c r="I152" t="str"/>
      <x:c r="J152" t="str"/>
      <x:c r="K152" t="str"/>
      <x:c r="L152" t="str"/>
      <x:c r="M152" t="str"/>
      <x:c r="N152" t="str">
        <x:f>IF(AND(G152&lt;&gt;"",L152=1,M152&lt;&gt;""),"PASS","OPEN")</x:f>
        <x:v>OPEN</x:v>
      </x:c>
    </x:row>
    <x:row r="153">
      <x:c r="B153" t="str">
        <x:v>RFA-E147</x:v>
      </x:c>
      <x:c r="C153" t="str">
        <x:v>AM-07</x:v>
      </x:c>
      <x:c r="D153" t="str">
        <x:v>AF-2</x:v>
      </x:c>
      <x:c r="E153" t="str">
        <x:v>BA</x:v>
      </x:c>
      <x:c r="F153" t="str">
        <x:v>PTC-B</x:v>
      </x:c>
      <x:c r="G153" t="n">
        <x:v>2000</x:v>
      </x:c>
      <x:c r="H153" t="str"/>
      <x:c r="I153" t="str"/>
      <x:c r="J153" t="str"/>
      <x:c r="K153" t="str"/>
      <x:c r="L153" t="str"/>
      <x:c r="M153" t="str"/>
      <x:c r="N153" t="str">
        <x:f>IF(AND(G153&lt;&gt;"",L153=1,M153&lt;&gt;""),"PASS","OPEN")</x:f>
        <x:v>OPEN</x:v>
      </x:c>
    </x:row>
    <x:row r="154">
      <x:c r="B154" t="str">
        <x:v>RFA-E148</x:v>
      </x:c>
      <x:c r="C154" t="str">
        <x:v>AM-07</x:v>
      </x:c>
      <x:c r="D154" t="str">
        <x:v>AF-2</x:v>
      </x:c>
      <x:c r="E154" t="str">
        <x:v>BA</x:v>
      </x:c>
      <x:c r="F154" t="str">
        <x:v>PTC-B</x:v>
      </x:c>
      <x:c r="G154" t="n">
        <x:v>2000</x:v>
      </x:c>
      <x:c r="H154" t="str"/>
      <x:c r="I154" t="str"/>
      <x:c r="J154" t="str"/>
      <x:c r="K154" t="str"/>
      <x:c r="L154" t="str"/>
      <x:c r="M154" t="str"/>
      <x:c r="N154" t="str">
        <x:f>IF(AND(G154&lt;&gt;"",L154=1,M154&lt;&gt;""),"PASS","OPEN")</x:f>
        <x:v>OPEN</x:v>
      </x:c>
    </x:row>
    <x:row r="155">
      <x:c r="B155" t="str">
        <x:v>RFA-E149</x:v>
      </x:c>
      <x:c r="C155" t="str">
        <x:v>AM-07</x:v>
      </x:c>
      <x:c r="D155" t="str">
        <x:v>AF-2</x:v>
      </x:c>
      <x:c r="E155" t="str">
        <x:v>BA</x:v>
      </x:c>
      <x:c r="F155" t="str">
        <x:v>PTC-B</x:v>
      </x:c>
      <x:c r="G155" t="n">
        <x:v>2000</x:v>
      </x:c>
      <x:c r="H155" t="str"/>
      <x:c r="I155" t="str"/>
      <x:c r="J155" t="str"/>
      <x:c r="K155" t="str"/>
      <x:c r="L155" t="str"/>
      <x:c r="M155" t="str"/>
      <x:c r="N155" t="str">
        <x:f>IF(AND(G155&lt;&gt;"",L155=1,M155&lt;&gt;""),"PASS","OPEN")</x:f>
        <x:v>OPEN</x:v>
      </x:c>
    </x:row>
    <x:row r="156">
      <x:c r="B156" t="str">
        <x:v>RFA-E150</x:v>
      </x:c>
      <x:c r="C156" t="str">
        <x:v>AM-07</x:v>
      </x:c>
      <x:c r="D156" t="str">
        <x:v>AF-2</x:v>
      </x:c>
      <x:c r="E156" t="str">
        <x:v>BA</x:v>
      </x:c>
      <x:c r="F156" t="str">
        <x:v>PTC-B</x:v>
      </x:c>
      <x:c r="G156" t="n">
        <x:v>2000</x:v>
      </x:c>
      <x:c r="H156" t="str"/>
      <x:c r="I156" t="str"/>
      <x:c r="J156" t="str"/>
      <x:c r="K156" t="str"/>
      <x:c r="L156" t="str"/>
      <x:c r="M156" t="str"/>
      <x:c r="N156" t="str">
        <x:f>IF(AND(G156&lt;&gt;"",L156=1,M156&lt;&gt;""),"PASS","OPEN")</x:f>
        <x:v>OPEN</x:v>
      </x:c>
    </x:row>
    <x:row r="157">
      <x:c r="B157" t="str">
        <x:v>RFA-E151</x:v>
      </x:c>
      <x:c r="C157" t="str">
        <x:v>AM-07</x:v>
      </x:c>
      <x:c r="D157" t="str">
        <x:v>AF-2</x:v>
      </x:c>
      <x:c r="E157" t="str">
        <x:v>BA</x:v>
      </x:c>
      <x:c r="F157" t="str">
        <x:v>PTC-B</x:v>
      </x:c>
      <x:c r="G157" t="n">
        <x:v>2000</x:v>
      </x:c>
      <x:c r="H157" t="str"/>
      <x:c r="I157" t="str"/>
      <x:c r="J157" t="str"/>
      <x:c r="K157" t="str"/>
      <x:c r="L157" t="str"/>
      <x:c r="M157" t="str"/>
      <x:c r="N157" t="str">
        <x:f>IF(AND(G157&lt;&gt;"",L157=1,M157&lt;&gt;""),"PASS","OPEN")</x:f>
        <x:v>OPEN</x:v>
      </x:c>
    </x:row>
    <x:row r="158">
      <x:c r="B158" t="str">
        <x:v>RFA-E152</x:v>
      </x:c>
      <x:c r="C158" t="str">
        <x:v>AM-07</x:v>
      </x:c>
      <x:c r="D158" t="str">
        <x:v>AF-2</x:v>
      </x:c>
      <x:c r="E158" t="str">
        <x:v>BA</x:v>
      </x:c>
      <x:c r="F158" t="str">
        <x:v>PTC-B</x:v>
      </x:c>
      <x:c r="G158" t="n">
        <x:v>2000</x:v>
      </x:c>
      <x:c r="H158" t="str"/>
      <x:c r="I158" t="str"/>
      <x:c r="J158" t="str"/>
      <x:c r="K158" t="str"/>
      <x:c r="L158" t="str"/>
      <x:c r="M158" t="str"/>
      <x:c r="N158" t="str">
        <x:f>IF(AND(G158&lt;&gt;"",L158=1,M158&lt;&gt;""),"PASS","OPEN")</x:f>
        <x:v>OPEN</x:v>
      </x:c>
    </x:row>
    <x:row r="159">
      <x:c r="B159" t="str">
        <x:v>RFA-E153</x:v>
      </x:c>
      <x:c r="C159" t="str">
        <x:v>AM-05</x:v>
      </x:c>
      <x:c r="D159" t="str">
        <x:v>AF-2</x:v>
      </x:c>
      <x:c r="E159" t="str">
        <x:v>BA</x:v>
      </x:c>
      <x:c r="F159" t="str">
        <x:v>PTC-C</x:v>
      </x:c>
      <x:c r="G159" t="n">
        <x:v>500</x:v>
      </x:c>
      <x:c r="H159" t="str"/>
      <x:c r="I159" t="str"/>
      <x:c r="J159" t="str"/>
      <x:c r="K159" t="str"/>
      <x:c r="L159" t="str"/>
      <x:c r="M159" t="str"/>
      <x:c r="N159" t="str">
        <x:f>IF(AND(G159&lt;&gt;"",L159=1,M159&lt;&gt;""),"PASS","OPEN")</x:f>
        <x:v>OPEN</x:v>
      </x:c>
    </x:row>
    <x:row r="160">
      <x:c r="B160" t="str">
        <x:v>RFA-E154</x:v>
      </x:c>
      <x:c r="C160" t="str">
        <x:v>AM-05</x:v>
      </x:c>
      <x:c r="D160" t="str">
        <x:v>AF-2</x:v>
      </x:c>
      <x:c r="E160" t="str">
        <x:v>BA</x:v>
      </x:c>
      <x:c r="F160" t="str">
        <x:v>PTC-C</x:v>
      </x:c>
      <x:c r="G160" t="n">
        <x:v>500</x:v>
      </x:c>
      <x:c r="H160" t="str"/>
      <x:c r="I160" t="str"/>
      <x:c r="J160" t="str"/>
      <x:c r="K160" t="str"/>
      <x:c r="L160" t="str"/>
      <x:c r="M160" t="str"/>
      <x:c r="N160" t="str">
        <x:f>IF(AND(G160&lt;&gt;"",L160=1,M160&lt;&gt;""),"PASS","OPEN")</x:f>
        <x:v>OPEN</x:v>
      </x:c>
    </x:row>
    <x:row r="161">
      <x:c r="B161" t="str">
        <x:v>RFA-E155</x:v>
      </x:c>
      <x:c r="C161" t="str">
        <x:v>AM-05</x:v>
      </x:c>
      <x:c r="D161" t="str">
        <x:v>AF-2</x:v>
      </x:c>
      <x:c r="E161" t="str">
        <x:v>BA</x:v>
      </x:c>
      <x:c r="F161" t="str">
        <x:v>PTC-C</x:v>
      </x:c>
      <x:c r="G161" t="n">
        <x:v>500</x:v>
      </x:c>
      <x:c r="H161" t="str"/>
      <x:c r="I161" t="str"/>
      <x:c r="J161" t="str"/>
      <x:c r="K161" t="str"/>
      <x:c r="L161" t="str"/>
      <x:c r="M161" t="str"/>
      <x:c r="N161" t="str">
        <x:f>IF(AND(G161&lt;&gt;"",L161=1,M161&lt;&gt;""),"PASS","OPEN")</x:f>
        <x:v>OPEN</x:v>
      </x:c>
    </x:row>
    <x:row r="162">
      <x:c r="B162" t="str">
        <x:v>RFA-E156</x:v>
      </x:c>
      <x:c r="C162" t="str">
        <x:v>AM-05</x:v>
      </x:c>
      <x:c r="D162" t="str">
        <x:v>AF-2</x:v>
      </x:c>
      <x:c r="E162" t="str">
        <x:v>BA</x:v>
      </x:c>
      <x:c r="F162" t="str">
        <x:v>PTC-C</x:v>
      </x:c>
      <x:c r="G162" t="n">
        <x:v>500</x:v>
      </x:c>
      <x:c r="H162" t="str"/>
      <x:c r="I162" t="str"/>
      <x:c r="J162" t="str"/>
      <x:c r="K162" t="str"/>
      <x:c r="L162" t="str"/>
      <x:c r="M162" t="str"/>
      <x:c r="N162" t="str">
        <x:f>IF(AND(G162&lt;&gt;"",L162=1,M162&lt;&gt;""),"PASS","OPEN")</x:f>
        <x:v>OPEN</x:v>
      </x:c>
    </x:row>
    <x:row r="163">
      <x:c r="B163" t="str">
        <x:v>RFA-E157</x:v>
      </x:c>
      <x:c r="C163" t="str">
        <x:v>AM-05</x:v>
      </x:c>
      <x:c r="D163" t="str">
        <x:v>AF-2</x:v>
      </x:c>
      <x:c r="E163" t="str">
        <x:v>BA</x:v>
      </x:c>
      <x:c r="F163" t="str">
        <x:v>PTC-C</x:v>
      </x:c>
      <x:c r="G163" t="n">
        <x:v>500</x:v>
      </x:c>
      <x:c r="H163" t="str"/>
      <x:c r="I163" t="str"/>
      <x:c r="J163" t="str"/>
      <x:c r="K163" t="str"/>
      <x:c r="L163" t="str"/>
      <x:c r="M163" t="str"/>
      <x:c r="N163" t="str">
        <x:f>IF(AND(G163&lt;&gt;"",L163=1,M163&lt;&gt;""),"PASS","OPEN")</x:f>
        <x:v>OPEN</x:v>
      </x:c>
    </x:row>
    <x:row r="164">
      <x:c r="B164" t="str">
        <x:v>RFA-E158</x:v>
      </x:c>
      <x:c r="C164" t="str">
        <x:v>AM-05</x:v>
      </x:c>
      <x:c r="D164" t="str">
        <x:v>AF-2</x:v>
      </x:c>
      <x:c r="E164" t="str">
        <x:v>BA</x:v>
      </x:c>
      <x:c r="F164" t="str">
        <x:v>PTC-C</x:v>
      </x:c>
      <x:c r="G164" t="n">
        <x:v>500</x:v>
      </x:c>
      <x:c r="H164" t="str"/>
      <x:c r="I164" t="str"/>
      <x:c r="J164" t="str"/>
      <x:c r="K164" t="str"/>
      <x:c r="L164" t="str"/>
      <x:c r="M164" t="str"/>
      <x:c r="N164" t="str">
        <x:f>IF(AND(G164&lt;&gt;"",L164=1,M164&lt;&gt;""),"PASS","OPEN")</x:f>
        <x:v>OPEN</x:v>
      </x:c>
    </x:row>
    <x:row r="165">
      <x:c r="B165" t="str">
        <x:v>RFA-E159</x:v>
      </x:c>
      <x:c r="C165" t="str">
        <x:v>AM-05</x:v>
      </x:c>
      <x:c r="D165" t="str">
        <x:v>AF-2</x:v>
      </x:c>
      <x:c r="E165" t="str">
        <x:v>BA</x:v>
      </x:c>
      <x:c r="F165" t="str">
        <x:v>PTC-C</x:v>
      </x:c>
      <x:c r="G165" t="n">
        <x:v>500</x:v>
      </x:c>
      <x:c r="H165" t="str"/>
      <x:c r="I165" t="str"/>
      <x:c r="J165" t="str"/>
      <x:c r="K165" t="str"/>
      <x:c r="L165" t="str"/>
      <x:c r="M165" t="str"/>
      <x:c r="N165" t="str">
        <x:f>IF(AND(G165&lt;&gt;"",L165=1,M165&lt;&gt;""),"PASS","OPEN")</x:f>
        <x:v>OPEN</x:v>
      </x:c>
    </x:row>
    <x:row r="166">
      <x:c r="B166" t="str">
        <x:v>RFA-E160</x:v>
      </x:c>
      <x:c r="C166" t="str">
        <x:v>AM-05</x:v>
      </x:c>
      <x:c r="D166" t="str">
        <x:v>AF-2</x:v>
      </x:c>
      <x:c r="E166" t="str">
        <x:v>BA</x:v>
      </x:c>
      <x:c r="F166" t="str">
        <x:v>PTC-C</x:v>
      </x:c>
      <x:c r="G166" t="n">
        <x:v>500</x:v>
      </x:c>
      <x:c r="H166" t="str"/>
      <x:c r="I166" t="str"/>
      <x:c r="J166" t="str"/>
      <x:c r="K166" t="str"/>
      <x:c r="L166" t="str"/>
      <x:c r="M166" t="str"/>
      <x:c r="N166" t="str">
        <x:f>IF(AND(G166&lt;&gt;"",L166=1,M166&lt;&gt;""),"PASS","OPEN")</x:f>
        <x:v>OPEN</x:v>
      </x:c>
    </x:row>
    <x:row r="167">
      <x:c r="B167" t="str">
        <x:v>RFA-E161</x:v>
      </x:c>
      <x:c r="C167" t="str">
        <x:v>AM-07</x:v>
      </x:c>
      <x:c r="D167" t="str">
        <x:v>AF-2</x:v>
      </x:c>
      <x:c r="E167" t="str">
        <x:v>BA</x:v>
      </x:c>
      <x:c r="F167" t="str">
        <x:v>PTC-C</x:v>
      </x:c>
      <x:c r="G167" t="n">
        <x:v>2000</x:v>
      </x:c>
      <x:c r="H167" t="str"/>
      <x:c r="I167" t="str"/>
      <x:c r="J167" t="str"/>
      <x:c r="K167" t="str"/>
      <x:c r="L167" t="str"/>
      <x:c r="M167" t="str"/>
      <x:c r="N167" t="str">
        <x:f>IF(AND(G167&lt;&gt;"",L167=1,M167&lt;&gt;""),"PASS","OPEN")</x:f>
        <x:v>OPEN</x:v>
      </x:c>
    </x:row>
    <x:row r="168">
      <x:c r="B168" t="str">
        <x:v>RFA-E162</x:v>
      </x:c>
      <x:c r="C168" t="str">
        <x:v>AM-07</x:v>
      </x:c>
      <x:c r="D168" t="str">
        <x:v>AF-2</x:v>
      </x:c>
      <x:c r="E168" t="str">
        <x:v>BA</x:v>
      </x:c>
      <x:c r="F168" t="str">
        <x:v>PTC-C</x:v>
      </x:c>
      <x:c r="G168" t="n">
        <x:v>2000</x:v>
      </x:c>
      <x:c r="H168" t="str"/>
      <x:c r="I168" t="str"/>
      <x:c r="J168" t="str"/>
      <x:c r="K168" t="str"/>
      <x:c r="L168" t="str"/>
      <x:c r="M168" t="str"/>
      <x:c r="N168" t="str">
        <x:f>IF(AND(G168&lt;&gt;"",L168=1,M168&lt;&gt;""),"PASS","OPEN")</x:f>
        <x:v>OPEN</x:v>
      </x:c>
    </x:row>
    <x:row r="169">
      <x:c r="B169" t="str">
        <x:v>RFA-E163</x:v>
      </x:c>
      <x:c r="C169" t="str">
        <x:v>AM-07</x:v>
      </x:c>
      <x:c r="D169" t="str">
        <x:v>AF-2</x:v>
      </x:c>
      <x:c r="E169" t="str">
        <x:v>BA</x:v>
      </x:c>
      <x:c r="F169" t="str">
        <x:v>PTC-C</x:v>
      </x:c>
      <x:c r="G169" t="n">
        <x:v>2000</x:v>
      </x:c>
      <x:c r="H169" t="str"/>
      <x:c r="I169" t="str"/>
      <x:c r="J169" t="str"/>
      <x:c r="K169" t="str"/>
      <x:c r="L169" t="str"/>
      <x:c r="M169" t="str"/>
      <x:c r="N169" t="str">
        <x:f>IF(AND(G169&lt;&gt;"",L169=1,M169&lt;&gt;""),"PASS","OPEN")</x:f>
        <x:v>OPEN</x:v>
      </x:c>
    </x:row>
    <x:row r="170">
      <x:c r="B170" t="str">
        <x:v>RFA-E164</x:v>
      </x:c>
      <x:c r="C170" t="str">
        <x:v>AM-07</x:v>
      </x:c>
      <x:c r="D170" t="str">
        <x:v>AF-2</x:v>
      </x:c>
      <x:c r="E170" t="str">
        <x:v>BA</x:v>
      </x:c>
      <x:c r="F170" t="str">
        <x:v>PTC-C</x:v>
      </x:c>
      <x:c r="G170" t="n">
        <x:v>2000</x:v>
      </x:c>
      <x:c r="H170" t="str"/>
      <x:c r="I170" t="str"/>
      <x:c r="J170" t="str"/>
      <x:c r="K170" t="str"/>
      <x:c r="L170" t="str"/>
      <x:c r="M170" t="str"/>
      <x:c r="N170" t="str">
        <x:f>IF(AND(G170&lt;&gt;"",L170=1,M170&lt;&gt;""),"PASS","OPEN")</x:f>
        <x:v>OPEN</x:v>
      </x:c>
    </x:row>
    <x:row r="171">
      <x:c r="B171" t="str">
        <x:v>RFA-E165</x:v>
      </x:c>
      <x:c r="C171" t="str">
        <x:v>AM-07</x:v>
      </x:c>
      <x:c r="D171" t="str">
        <x:v>AF-2</x:v>
      </x:c>
      <x:c r="E171" t="str">
        <x:v>BA</x:v>
      </x:c>
      <x:c r="F171" t="str">
        <x:v>PTC-C</x:v>
      </x:c>
      <x:c r="G171" t="n">
        <x:v>2000</x:v>
      </x:c>
      <x:c r="H171" t="str"/>
      <x:c r="I171" t="str"/>
      <x:c r="J171" t="str"/>
      <x:c r="K171" t="str"/>
      <x:c r="L171" t="str"/>
      <x:c r="M171" t="str"/>
      <x:c r="N171" t="str">
        <x:f>IF(AND(G171&lt;&gt;"",L171=1,M171&lt;&gt;""),"PASS","OPEN")</x:f>
        <x:v>OPEN</x:v>
      </x:c>
    </x:row>
    <x:row r="172">
      <x:c r="B172" t="str">
        <x:v>RFA-E166</x:v>
      </x:c>
      <x:c r="C172" t="str">
        <x:v>AM-07</x:v>
      </x:c>
      <x:c r="D172" t="str">
        <x:v>AF-2</x:v>
      </x:c>
      <x:c r="E172" t="str">
        <x:v>BA</x:v>
      </x:c>
      <x:c r="F172" t="str">
        <x:v>PTC-C</x:v>
      </x:c>
      <x:c r="G172" t="n">
        <x:v>2000</x:v>
      </x:c>
      <x:c r="H172" t="str"/>
      <x:c r="I172" t="str"/>
      <x:c r="J172" t="str"/>
      <x:c r="K172" t="str"/>
      <x:c r="L172" t="str"/>
      <x:c r="M172" t="str"/>
      <x:c r="N172" t="str">
        <x:f>IF(AND(G172&lt;&gt;"",L172=1,M172&lt;&gt;""),"PASS","OPEN")</x:f>
        <x:v>OPEN</x:v>
      </x:c>
    </x:row>
    <x:row r="173">
      <x:c r="B173" t="str">
        <x:v>RFA-E167</x:v>
      </x:c>
      <x:c r="C173" t="str">
        <x:v>AM-07</x:v>
      </x:c>
      <x:c r="D173" t="str">
        <x:v>AF-2</x:v>
      </x:c>
      <x:c r="E173" t="str">
        <x:v>BA</x:v>
      </x:c>
      <x:c r="F173" t="str">
        <x:v>PTC-C</x:v>
      </x:c>
      <x:c r="G173" t="n">
        <x:v>2000</x:v>
      </x:c>
      <x:c r="H173" t="str"/>
      <x:c r="I173" t="str"/>
      <x:c r="J173" t="str"/>
      <x:c r="K173" t="str"/>
      <x:c r="L173" t="str"/>
      <x:c r="M173" t="str"/>
      <x:c r="N173" t="str">
        <x:f>IF(AND(G173&lt;&gt;"",L173=1,M173&lt;&gt;""),"PASS","OPEN")</x:f>
        <x:v>OPEN</x:v>
      </x:c>
    </x:row>
    <x:row r="174">
      <x:c r="B174" t="str">
        <x:v>RFA-E168</x:v>
      </x:c>
      <x:c r="C174" t="str">
        <x:v>AM-07</x:v>
      </x:c>
      <x:c r="D174" t="str">
        <x:v>AF-2</x:v>
      </x:c>
      <x:c r="E174" t="str">
        <x:v>BA</x:v>
      </x:c>
      <x:c r="F174" t="str">
        <x:v>PTC-C</x:v>
      </x:c>
      <x:c r="G174" t="n">
        <x:v>2000</x:v>
      </x:c>
      <x:c r="H174" t="str"/>
      <x:c r="I174" t="str"/>
      <x:c r="J174" t="str"/>
      <x:c r="K174" t="str"/>
      <x:c r="L174" t="str"/>
      <x:c r="M174" t="str"/>
      <x:c r="N174" t="str">
        <x:f>IF(AND(G174&lt;&gt;"",L174=1,M174&lt;&gt;""),"PASS","OPEN")</x:f>
        <x:v>OPEN</x:v>
      </x:c>
    </x:row>
    <x:row r="175">
      <x:c r="B175" t="str">
        <x:v>RFA-E169</x:v>
      </x:c>
      <x:c r="C175" t="str">
        <x:v>AM-05</x:v>
      </x:c>
      <x:c r="D175" t="str">
        <x:v>AF-2</x:v>
      </x:c>
      <x:c r="E175" t="str">
        <x:v>BB</x:v>
      </x:c>
      <x:c r="F175" t="str">
        <x:v>PTC-B</x:v>
      </x:c>
      <x:c r="G175" t="n">
        <x:v>500</x:v>
      </x:c>
      <x:c r="H175" t="str"/>
      <x:c r="I175" t="str"/>
      <x:c r="J175" t="str"/>
      <x:c r="K175" t="str"/>
      <x:c r="L175" t="str"/>
      <x:c r="M175" t="str"/>
      <x:c r="N175" t="str">
        <x:f>IF(AND(G175&lt;&gt;"",L175=1,M175&lt;&gt;""),"PASS","OPEN")</x:f>
        <x:v>OPEN</x:v>
      </x:c>
    </x:row>
    <x:row r="176">
      <x:c r="B176" t="str">
        <x:v>RFA-E170</x:v>
      </x:c>
      <x:c r="C176" t="str">
        <x:v>AM-05</x:v>
      </x:c>
      <x:c r="D176" t="str">
        <x:v>AF-2</x:v>
      </x:c>
      <x:c r="E176" t="str">
        <x:v>BB</x:v>
      </x:c>
      <x:c r="F176" t="str">
        <x:v>PTC-B</x:v>
      </x:c>
      <x:c r="G176" t="n">
        <x:v>500</x:v>
      </x:c>
      <x:c r="H176" t="str"/>
      <x:c r="I176" t="str"/>
      <x:c r="J176" t="str"/>
      <x:c r="K176" t="str"/>
      <x:c r="L176" t="str"/>
      <x:c r="M176" t="str"/>
      <x:c r="N176" t="str">
        <x:f>IF(AND(G176&lt;&gt;"",L176=1,M176&lt;&gt;""),"PASS","OPEN")</x:f>
        <x:v>OPEN</x:v>
      </x:c>
    </x:row>
    <x:row r="177">
      <x:c r="B177" t="str">
        <x:v>RFA-E171</x:v>
      </x:c>
      <x:c r="C177" t="str">
        <x:v>AM-05</x:v>
      </x:c>
      <x:c r="D177" t="str">
        <x:v>AF-2</x:v>
      </x:c>
      <x:c r="E177" t="str">
        <x:v>BB</x:v>
      </x:c>
      <x:c r="F177" t="str">
        <x:v>PTC-B</x:v>
      </x:c>
      <x:c r="G177" t="n">
        <x:v>500</x:v>
      </x:c>
      <x:c r="H177" t="str"/>
      <x:c r="I177" t="str"/>
      <x:c r="J177" t="str"/>
      <x:c r="K177" t="str"/>
      <x:c r="L177" t="str"/>
      <x:c r="M177" t="str"/>
      <x:c r="N177" t="str">
        <x:f>IF(AND(G177&lt;&gt;"",L177=1,M177&lt;&gt;""),"PASS","OPEN")</x:f>
        <x:v>OPEN</x:v>
      </x:c>
    </x:row>
    <x:row r="178">
      <x:c r="B178" t="str">
        <x:v>RFA-E172</x:v>
      </x:c>
      <x:c r="C178" t="str">
        <x:v>AM-05</x:v>
      </x:c>
      <x:c r="D178" t="str">
        <x:v>AF-2</x:v>
      </x:c>
      <x:c r="E178" t="str">
        <x:v>BB</x:v>
      </x:c>
      <x:c r="F178" t="str">
        <x:v>PTC-B</x:v>
      </x:c>
      <x:c r="G178" t="n">
        <x:v>500</x:v>
      </x:c>
      <x:c r="H178" t="str"/>
      <x:c r="I178" t="str"/>
      <x:c r="J178" t="str"/>
      <x:c r="K178" t="str"/>
      <x:c r="L178" t="str"/>
      <x:c r="M178" t="str"/>
      <x:c r="N178" t="str">
        <x:f>IF(AND(G178&lt;&gt;"",L178=1,M178&lt;&gt;""),"PASS","OPEN")</x:f>
        <x:v>OPEN</x:v>
      </x:c>
    </x:row>
    <x:row r="179">
      <x:c r="B179" t="str">
        <x:v>RFA-E173</x:v>
      </x:c>
      <x:c r="C179" t="str">
        <x:v>AM-05</x:v>
      </x:c>
      <x:c r="D179" t="str">
        <x:v>AF-2</x:v>
      </x:c>
      <x:c r="E179" t="str">
        <x:v>BB</x:v>
      </x:c>
      <x:c r="F179" t="str">
        <x:v>PTC-B</x:v>
      </x:c>
      <x:c r="G179" t="n">
        <x:v>500</x:v>
      </x:c>
      <x:c r="H179" t="str"/>
      <x:c r="I179" t="str"/>
      <x:c r="J179" t="str"/>
      <x:c r="K179" t="str"/>
      <x:c r="L179" t="str"/>
      <x:c r="M179" t="str"/>
      <x:c r="N179" t="str">
        <x:f>IF(AND(G179&lt;&gt;"",L179=1,M179&lt;&gt;""),"PASS","OPEN")</x:f>
        <x:v>OPEN</x:v>
      </x:c>
    </x:row>
    <x:row r="180">
      <x:c r="B180" t="str">
        <x:v>RFA-E174</x:v>
      </x:c>
      <x:c r="C180" t="str">
        <x:v>AM-05</x:v>
      </x:c>
      <x:c r="D180" t="str">
        <x:v>AF-2</x:v>
      </x:c>
      <x:c r="E180" t="str">
        <x:v>BB</x:v>
      </x:c>
      <x:c r="F180" t="str">
        <x:v>PTC-B</x:v>
      </x:c>
      <x:c r="G180" t="n">
        <x:v>500</x:v>
      </x:c>
      <x:c r="H180" t="str"/>
      <x:c r="I180" t="str"/>
      <x:c r="J180" t="str"/>
      <x:c r="K180" t="str"/>
      <x:c r="L180" t="str"/>
      <x:c r="M180" t="str"/>
      <x:c r="N180" t="str">
        <x:f>IF(AND(G180&lt;&gt;"",L180=1,M180&lt;&gt;""),"PASS","OPEN")</x:f>
        <x:v>OPEN</x:v>
      </x:c>
    </x:row>
    <x:row r="181">
      <x:c r="B181" t="str">
        <x:v>RFA-E175</x:v>
      </x:c>
      <x:c r="C181" t="str">
        <x:v>AM-05</x:v>
      </x:c>
      <x:c r="D181" t="str">
        <x:v>AF-2</x:v>
      </x:c>
      <x:c r="E181" t="str">
        <x:v>BB</x:v>
      </x:c>
      <x:c r="F181" t="str">
        <x:v>PTC-B</x:v>
      </x:c>
      <x:c r="G181" t="n">
        <x:v>500</x:v>
      </x:c>
      <x:c r="H181" t="str"/>
      <x:c r="I181" t="str"/>
      <x:c r="J181" t="str"/>
      <x:c r="K181" t="str"/>
      <x:c r="L181" t="str"/>
      <x:c r="M181" t="str"/>
      <x:c r="N181" t="str">
        <x:f>IF(AND(G181&lt;&gt;"",L181=1,M181&lt;&gt;""),"PASS","OPEN")</x:f>
        <x:v>OPEN</x:v>
      </x:c>
    </x:row>
    <x:row r="182">
      <x:c r="B182" t="str">
        <x:v>RFA-E176</x:v>
      </x:c>
      <x:c r="C182" t="str">
        <x:v>AM-05</x:v>
      </x:c>
      <x:c r="D182" t="str">
        <x:v>AF-2</x:v>
      </x:c>
      <x:c r="E182" t="str">
        <x:v>BB</x:v>
      </x:c>
      <x:c r="F182" t="str">
        <x:v>PTC-B</x:v>
      </x:c>
      <x:c r="G182" t="n">
        <x:v>500</x:v>
      </x:c>
      <x:c r="H182" t="str"/>
      <x:c r="I182" t="str"/>
      <x:c r="J182" t="str"/>
      <x:c r="K182" t="str"/>
      <x:c r="L182" t="str"/>
      <x:c r="M182" t="str"/>
      <x:c r="N182" t="str">
        <x:f>IF(AND(G182&lt;&gt;"",L182=1,M182&lt;&gt;""),"PASS","OPEN")</x:f>
        <x:v>OPEN</x:v>
      </x:c>
    </x:row>
    <x:row r="183">
      <x:c r="B183" t="str">
        <x:v>RFA-E177</x:v>
      </x:c>
      <x:c r="C183" t="str">
        <x:v>AM-07</x:v>
      </x:c>
      <x:c r="D183" t="str">
        <x:v>AF-2</x:v>
      </x:c>
      <x:c r="E183" t="str">
        <x:v>BB</x:v>
      </x:c>
      <x:c r="F183" t="str">
        <x:v>PTC-B</x:v>
      </x:c>
      <x:c r="G183" t="n">
        <x:v>2000</x:v>
      </x:c>
      <x:c r="H183" t="str"/>
      <x:c r="I183" t="str"/>
      <x:c r="J183" t="str"/>
      <x:c r="K183" t="str"/>
      <x:c r="L183" t="str"/>
      <x:c r="M183" t="str"/>
      <x:c r="N183" t="str">
        <x:f>IF(AND(G183&lt;&gt;"",L183=1,M183&lt;&gt;""),"PASS","OPEN")</x:f>
        <x:v>OPEN</x:v>
      </x:c>
    </x:row>
    <x:row r="184">
      <x:c r="B184" t="str">
        <x:v>RFA-E178</x:v>
      </x:c>
      <x:c r="C184" t="str">
        <x:v>AM-07</x:v>
      </x:c>
      <x:c r="D184" t="str">
        <x:v>AF-2</x:v>
      </x:c>
      <x:c r="E184" t="str">
        <x:v>BB</x:v>
      </x:c>
      <x:c r="F184" t="str">
        <x:v>PTC-B</x:v>
      </x:c>
      <x:c r="G184" t="n">
        <x:v>2000</x:v>
      </x:c>
      <x:c r="H184" t="str"/>
      <x:c r="I184" t="str"/>
      <x:c r="J184" t="str"/>
      <x:c r="K184" t="str"/>
      <x:c r="L184" t="str"/>
      <x:c r="M184" t="str"/>
      <x:c r="N184" t="str">
        <x:f>IF(AND(G184&lt;&gt;"",L184=1,M184&lt;&gt;""),"PASS","OPEN")</x:f>
        <x:v>OPEN</x:v>
      </x:c>
    </x:row>
    <x:row r="185">
      <x:c r="B185" t="str">
        <x:v>RFA-E179</x:v>
      </x:c>
      <x:c r="C185" t="str">
        <x:v>AM-07</x:v>
      </x:c>
      <x:c r="D185" t="str">
        <x:v>AF-2</x:v>
      </x:c>
      <x:c r="E185" t="str">
        <x:v>BB</x:v>
      </x:c>
      <x:c r="F185" t="str">
        <x:v>PTC-B</x:v>
      </x:c>
      <x:c r="G185" t="n">
        <x:v>2000</x:v>
      </x:c>
      <x:c r="H185" t="str"/>
      <x:c r="I185" t="str"/>
      <x:c r="J185" t="str"/>
      <x:c r="K185" t="str"/>
      <x:c r="L185" t="str"/>
      <x:c r="M185" t="str"/>
      <x:c r="N185" t="str">
        <x:f>IF(AND(G185&lt;&gt;"",L185=1,M185&lt;&gt;""),"PASS","OPEN")</x:f>
        <x:v>OPEN</x:v>
      </x:c>
    </x:row>
    <x:row r="186">
      <x:c r="B186" t="str">
        <x:v>RFA-E180</x:v>
      </x:c>
      <x:c r="C186" t="str">
        <x:v>AM-07</x:v>
      </x:c>
      <x:c r="D186" t="str">
        <x:v>AF-2</x:v>
      </x:c>
      <x:c r="E186" t="str">
        <x:v>BB</x:v>
      </x:c>
      <x:c r="F186" t="str">
        <x:v>PTC-B</x:v>
      </x:c>
      <x:c r="G186" t="n">
        <x:v>2000</x:v>
      </x:c>
      <x:c r="H186" t="str"/>
      <x:c r="I186" t="str"/>
      <x:c r="J186" t="str"/>
      <x:c r="K186" t="str"/>
      <x:c r="L186" t="str"/>
      <x:c r="M186" t="str"/>
      <x:c r="N186" t="str">
        <x:f>IF(AND(G186&lt;&gt;"",L186=1,M186&lt;&gt;""),"PASS","OPEN")</x:f>
        <x:v>OPEN</x:v>
      </x:c>
    </x:row>
    <x:row r="187">
      <x:c r="B187" t="str">
        <x:v>RFA-E181</x:v>
      </x:c>
      <x:c r="C187" t="str">
        <x:v>AM-07</x:v>
      </x:c>
      <x:c r="D187" t="str">
        <x:v>AF-2</x:v>
      </x:c>
      <x:c r="E187" t="str">
        <x:v>BB</x:v>
      </x:c>
      <x:c r="F187" t="str">
        <x:v>PTC-B</x:v>
      </x:c>
      <x:c r="G187" t="n">
        <x:v>2000</x:v>
      </x:c>
      <x:c r="H187" t="str"/>
      <x:c r="I187" t="str"/>
      <x:c r="J187" t="str"/>
      <x:c r="K187" t="str"/>
      <x:c r="L187" t="str"/>
      <x:c r="M187" t="str"/>
      <x:c r="N187" t="str">
        <x:f>IF(AND(G187&lt;&gt;"",L187=1,M187&lt;&gt;""),"PASS","OPEN")</x:f>
        <x:v>OPEN</x:v>
      </x:c>
    </x:row>
    <x:row r="188">
      <x:c r="B188" t="str">
        <x:v>RFA-E182</x:v>
      </x:c>
      <x:c r="C188" t="str">
        <x:v>AM-07</x:v>
      </x:c>
      <x:c r="D188" t="str">
        <x:v>AF-2</x:v>
      </x:c>
      <x:c r="E188" t="str">
        <x:v>BB</x:v>
      </x:c>
      <x:c r="F188" t="str">
        <x:v>PTC-B</x:v>
      </x:c>
      <x:c r="G188" t="n">
        <x:v>2000</x:v>
      </x:c>
      <x:c r="H188" t="str"/>
      <x:c r="I188" t="str"/>
      <x:c r="J188" t="str"/>
      <x:c r="K188" t="str"/>
      <x:c r="L188" t="str"/>
      <x:c r="M188" t="str"/>
      <x:c r="N188" t="str">
        <x:f>IF(AND(G188&lt;&gt;"",L188=1,M188&lt;&gt;""),"PASS","OPEN")</x:f>
        <x:v>OPEN</x:v>
      </x:c>
    </x:row>
    <x:row r="189">
      <x:c r="B189" t="str">
        <x:v>RFA-E183</x:v>
      </x:c>
      <x:c r="C189" t="str">
        <x:v>AM-07</x:v>
      </x:c>
      <x:c r="D189" t="str">
        <x:v>AF-2</x:v>
      </x:c>
      <x:c r="E189" t="str">
        <x:v>BB</x:v>
      </x:c>
      <x:c r="F189" t="str">
        <x:v>PTC-B</x:v>
      </x:c>
      <x:c r="G189" t="n">
        <x:v>2000</x:v>
      </x:c>
      <x:c r="H189" t="str"/>
      <x:c r="I189" t="str"/>
      <x:c r="J189" t="str"/>
      <x:c r="K189" t="str"/>
      <x:c r="L189" t="str"/>
      <x:c r="M189" t="str"/>
      <x:c r="N189" t="str">
        <x:f>IF(AND(G189&lt;&gt;"",L189=1,M189&lt;&gt;""),"PASS","OPEN")</x:f>
        <x:v>OPEN</x:v>
      </x:c>
    </x:row>
    <x:row r="190">
      <x:c r="B190" t="str">
        <x:v>RFA-E184</x:v>
      </x:c>
      <x:c r="C190" t="str">
        <x:v>AM-07</x:v>
      </x:c>
      <x:c r="D190" t="str">
        <x:v>AF-2</x:v>
      </x:c>
      <x:c r="E190" t="str">
        <x:v>BB</x:v>
      </x:c>
      <x:c r="F190" t="str">
        <x:v>PTC-B</x:v>
      </x:c>
      <x:c r="G190" t="n">
        <x:v>2000</x:v>
      </x:c>
      <x:c r="H190" t="str"/>
      <x:c r="I190" t="str"/>
      <x:c r="J190" t="str"/>
      <x:c r="K190" t="str"/>
      <x:c r="L190" t="str"/>
      <x:c r="M190" t="str"/>
      <x:c r="N190" t="str">
        <x:f>IF(AND(G190&lt;&gt;"",L190=1,M190&lt;&gt;""),"PASS","OPEN")</x:f>
        <x:v>OPEN</x:v>
      </x:c>
    </x:row>
    <x:row r="191">
      <x:c r="B191" t="str">
        <x:v>RFA-E185</x:v>
      </x:c>
      <x:c r="C191" t="str">
        <x:v>AM-05</x:v>
      </x:c>
      <x:c r="D191" t="str">
        <x:v>AF-2</x:v>
      </x:c>
      <x:c r="E191" t="str">
        <x:v>BB</x:v>
      </x:c>
      <x:c r="F191" t="str">
        <x:v>PTC-C</x:v>
      </x:c>
      <x:c r="G191" t="n">
        <x:v>500</x:v>
      </x:c>
      <x:c r="H191" t="str"/>
      <x:c r="I191" t="str"/>
      <x:c r="J191" t="str"/>
      <x:c r="K191" t="str"/>
      <x:c r="L191" t="str"/>
      <x:c r="M191" t="str"/>
      <x:c r="N191" t="str">
        <x:f>IF(AND(G191&lt;&gt;"",L191=1,M191&lt;&gt;""),"PASS","OPEN")</x:f>
        <x:v>OPEN</x:v>
      </x:c>
    </x:row>
    <x:row r="192">
      <x:c r="B192" t="str">
        <x:v>RFA-E186</x:v>
      </x:c>
      <x:c r="C192" t="str">
        <x:v>AM-05</x:v>
      </x:c>
      <x:c r="D192" t="str">
        <x:v>AF-2</x:v>
      </x:c>
      <x:c r="E192" t="str">
        <x:v>BB</x:v>
      </x:c>
      <x:c r="F192" t="str">
        <x:v>PTC-C</x:v>
      </x:c>
      <x:c r="G192" t="n">
        <x:v>500</x:v>
      </x:c>
      <x:c r="H192" t="str"/>
      <x:c r="I192" t="str"/>
      <x:c r="J192" t="str"/>
      <x:c r="K192" t="str"/>
      <x:c r="L192" t="str"/>
      <x:c r="M192" t="str"/>
      <x:c r="N192" t="str">
        <x:f>IF(AND(G192&lt;&gt;"",L192=1,M192&lt;&gt;""),"PASS","OPEN")</x:f>
        <x:v>OPEN</x:v>
      </x:c>
    </x:row>
    <x:row r="193">
      <x:c r="B193" t="str">
        <x:v>RFA-E187</x:v>
      </x:c>
      <x:c r="C193" t="str">
        <x:v>AM-05</x:v>
      </x:c>
      <x:c r="D193" t="str">
        <x:v>AF-2</x:v>
      </x:c>
      <x:c r="E193" t="str">
        <x:v>BB</x:v>
      </x:c>
      <x:c r="F193" t="str">
        <x:v>PTC-C</x:v>
      </x:c>
      <x:c r="G193" t="n">
        <x:v>500</x:v>
      </x:c>
      <x:c r="H193" t="str"/>
      <x:c r="I193" t="str"/>
      <x:c r="J193" t="str"/>
      <x:c r="K193" t="str"/>
      <x:c r="L193" t="str"/>
      <x:c r="M193" t="str"/>
      <x:c r="N193" t="str">
        <x:f>IF(AND(G193&lt;&gt;"",L193=1,M193&lt;&gt;""),"PASS","OPEN")</x:f>
        <x:v>OPEN</x:v>
      </x:c>
    </x:row>
    <x:row r="194">
      <x:c r="B194" t="str">
        <x:v>RFA-E188</x:v>
      </x:c>
      <x:c r="C194" t="str">
        <x:v>AM-05</x:v>
      </x:c>
      <x:c r="D194" t="str">
        <x:v>AF-2</x:v>
      </x:c>
      <x:c r="E194" t="str">
        <x:v>BB</x:v>
      </x:c>
      <x:c r="F194" t="str">
        <x:v>PTC-C</x:v>
      </x:c>
      <x:c r="G194" t="n">
        <x:v>500</x:v>
      </x:c>
      <x:c r="H194" t="str"/>
      <x:c r="I194" t="str"/>
      <x:c r="J194" t="str"/>
      <x:c r="K194" t="str"/>
      <x:c r="L194" t="str"/>
      <x:c r="M194" t="str"/>
      <x:c r="N194" t="str">
        <x:f>IF(AND(G194&lt;&gt;"",L194=1,M194&lt;&gt;""),"PASS","OPEN")</x:f>
        <x:v>OPEN</x:v>
      </x:c>
    </x:row>
    <x:row r="195">
      <x:c r="B195" t="str">
        <x:v>RFA-E189</x:v>
      </x:c>
      <x:c r="C195" t="str">
        <x:v>AM-05</x:v>
      </x:c>
      <x:c r="D195" t="str">
        <x:v>AF-2</x:v>
      </x:c>
      <x:c r="E195" t="str">
        <x:v>BB</x:v>
      </x:c>
      <x:c r="F195" t="str">
        <x:v>PTC-C</x:v>
      </x:c>
      <x:c r="G195" t="n">
        <x:v>500</x:v>
      </x:c>
      <x:c r="H195" t="str"/>
      <x:c r="I195" t="str"/>
      <x:c r="J195" t="str"/>
      <x:c r="K195" t="str"/>
      <x:c r="L195" t="str"/>
      <x:c r="M195" t="str"/>
      <x:c r="N195" t="str">
        <x:f>IF(AND(G195&lt;&gt;"",L195=1,M195&lt;&gt;""),"PASS","OPEN")</x:f>
        <x:v>OPEN</x:v>
      </x:c>
    </x:row>
    <x:row r="196">
      <x:c r="B196" t="str">
        <x:v>RFA-E190</x:v>
      </x:c>
      <x:c r="C196" t="str">
        <x:v>AM-05</x:v>
      </x:c>
      <x:c r="D196" t="str">
        <x:v>AF-2</x:v>
      </x:c>
      <x:c r="E196" t="str">
        <x:v>BB</x:v>
      </x:c>
      <x:c r="F196" t="str">
        <x:v>PTC-C</x:v>
      </x:c>
      <x:c r="G196" t="n">
        <x:v>500</x:v>
      </x:c>
      <x:c r="H196" t="str"/>
      <x:c r="I196" t="str"/>
      <x:c r="J196" t="str"/>
      <x:c r="K196" t="str"/>
      <x:c r="L196" t="str"/>
      <x:c r="M196" t="str"/>
      <x:c r="N196" t="str">
        <x:f>IF(AND(G196&lt;&gt;"",L196=1,M196&lt;&gt;""),"PASS","OPEN")</x:f>
        <x:v>OPEN</x:v>
      </x:c>
    </x:row>
    <x:row r="197">
      <x:c r="B197" t="str">
        <x:v>RFA-E191</x:v>
      </x:c>
      <x:c r="C197" t="str">
        <x:v>AM-05</x:v>
      </x:c>
      <x:c r="D197" t="str">
        <x:v>AF-2</x:v>
      </x:c>
      <x:c r="E197" t="str">
        <x:v>BB</x:v>
      </x:c>
      <x:c r="F197" t="str">
        <x:v>PTC-C</x:v>
      </x:c>
      <x:c r="G197" t="n">
        <x:v>500</x:v>
      </x:c>
      <x:c r="H197" t="str"/>
      <x:c r="I197" t="str"/>
      <x:c r="J197" t="str"/>
      <x:c r="K197" t="str"/>
      <x:c r="L197" t="str"/>
      <x:c r="M197" t="str"/>
      <x:c r="N197" t="str">
        <x:f>IF(AND(G197&lt;&gt;"",L197=1,M197&lt;&gt;""),"PASS","OPEN")</x:f>
        <x:v>OPEN</x:v>
      </x:c>
    </x:row>
    <x:row r="198">
      <x:c r="B198" t="str">
        <x:v>RFA-E192</x:v>
      </x:c>
      <x:c r="C198" t="str">
        <x:v>AM-05</x:v>
      </x:c>
      <x:c r="D198" t="str">
        <x:v>AF-2</x:v>
      </x:c>
      <x:c r="E198" t="str">
        <x:v>BB</x:v>
      </x:c>
      <x:c r="F198" t="str">
        <x:v>PTC-C</x:v>
      </x:c>
      <x:c r="G198" t="n">
        <x:v>500</x:v>
      </x:c>
      <x:c r="H198" t="str"/>
      <x:c r="I198" t="str"/>
      <x:c r="J198" t="str"/>
      <x:c r="K198" t="str"/>
      <x:c r="L198" t="str"/>
      <x:c r="M198" t="str"/>
      <x:c r="N198" t="str">
        <x:f>IF(AND(G198&lt;&gt;"",L198=1,M198&lt;&gt;""),"PASS","OPEN")</x:f>
        <x:v>OPEN</x:v>
      </x:c>
    </x:row>
    <x:row r="199">
      <x:c r="B199" t="str">
        <x:v>RFA-E193</x:v>
      </x:c>
      <x:c r="C199" t="str">
        <x:v>AM-07</x:v>
      </x:c>
      <x:c r="D199" t="str">
        <x:v>AF-2</x:v>
      </x:c>
      <x:c r="E199" t="str">
        <x:v>BB</x:v>
      </x:c>
      <x:c r="F199" t="str">
        <x:v>PTC-C</x:v>
      </x:c>
      <x:c r="G199" t="n">
        <x:v>2000</x:v>
      </x:c>
      <x:c r="H199" t="str"/>
      <x:c r="I199" t="str"/>
      <x:c r="J199" t="str"/>
      <x:c r="K199" t="str"/>
      <x:c r="L199" t="str"/>
      <x:c r="M199" t="str"/>
      <x:c r="N199" t="str">
        <x:f>IF(AND(G199&lt;&gt;"",L199=1,M199&lt;&gt;""),"PASS","OPEN")</x:f>
        <x:v>OPEN</x:v>
      </x:c>
    </x:row>
    <x:row r="200">
      <x:c r="B200" t="str">
        <x:v>RFA-E194</x:v>
      </x:c>
      <x:c r="C200" t="str">
        <x:v>AM-07</x:v>
      </x:c>
      <x:c r="D200" t="str">
        <x:v>AF-2</x:v>
      </x:c>
      <x:c r="E200" t="str">
        <x:v>BB</x:v>
      </x:c>
      <x:c r="F200" t="str">
        <x:v>PTC-C</x:v>
      </x:c>
      <x:c r="G200" t="n">
        <x:v>2000</x:v>
      </x:c>
      <x:c r="H200" t="str"/>
      <x:c r="I200" t="str"/>
      <x:c r="J200" t="str"/>
      <x:c r="K200" t="str"/>
      <x:c r="L200" t="str"/>
      <x:c r="M200" t="str"/>
      <x:c r="N200" t="str">
        <x:f>IF(AND(G200&lt;&gt;"",L200=1,M200&lt;&gt;""),"PASS","OPEN")</x:f>
        <x:v>OPEN</x:v>
      </x:c>
    </x:row>
    <x:row r="201">
      <x:c r="B201" t="str">
        <x:v>RFA-E195</x:v>
      </x:c>
      <x:c r="C201" t="str">
        <x:v>AM-07</x:v>
      </x:c>
      <x:c r="D201" t="str">
        <x:v>AF-2</x:v>
      </x:c>
      <x:c r="E201" t="str">
        <x:v>BB</x:v>
      </x:c>
      <x:c r="F201" t="str">
        <x:v>PTC-C</x:v>
      </x:c>
      <x:c r="G201" t="n">
        <x:v>2000</x:v>
      </x:c>
      <x:c r="H201" t="str"/>
      <x:c r="I201" t="str"/>
      <x:c r="J201" t="str"/>
      <x:c r="K201" t="str"/>
      <x:c r="L201" t="str"/>
      <x:c r="M201" t="str"/>
      <x:c r="N201" t="str">
        <x:f>IF(AND(G201&lt;&gt;"",L201=1,M201&lt;&gt;""),"PASS","OPEN")</x:f>
        <x:v>OPEN</x:v>
      </x:c>
    </x:row>
    <x:row r="202">
      <x:c r="B202" t="str">
        <x:v>RFA-E196</x:v>
      </x:c>
      <x:c r="C202" t="str">
        <x:v>AM-07</x:v>
      </x:c>
      <x:c r="D202" t="str">
        <x:v>AF-2</x:v>
      </x:c>
      <x:c r="E202" t="str">
        <x:v>BB</x:v>
      </x:c>
      <x:c r="F202" t="str">
        <x:v>PTC-C</x:v>
      </x:c>
      <x:c r="G202" t="n">
        <x:v>2000</x:v>
      </x:c>
      <x:c r="H202" t="str"/>
      <x:c r="I202" t="str"/>
      <x:c r="J202" t="str"/>
      <x:c r="K202" t="str"/>
      <x:c r="L202" t="str"/>
      <x:c r="M202" t="str"/>
      <x:c r="N202" t="str">
        <x:f>IF(AND(G202&lt;&gt;"",L202=1,M202&lt;&gt;""),"PASS","OPEN")</x:f>
        <x:v>OPEN</x:v>
      </x:c>
    </x:row>
    <x:row r="203">
      <x:c r="B203" t="str">
        <x:v>RFA-E197</x:v>
      </x:c>
      <x:c r="C203" t="str">
        <x:v>AM-07</x:v>
      </x:c>
      <x:c r="D203" t="str">
        <x:v>AF-2</x:v>
      </x:c>
      <x:c r="E203" t="str">
        <x:v>BB</x:v>
      </x:c>
      <x:c r="F203" t="str">
        <x:v>PTC-C</x:v>
      </x:c>
      <x:c r="G203" t="n">
        <x:v>2000</x:v>
      </x:c>
      <x:c r="H203" t="str"/>
      <x:c r="I203" t="str"/>
      <x:c r="J203" t="str"/>
      <x:c r="K203" t="str"/>
      <x:c r="L203" t="str"/>
      <x:c r="M203" t="str"/>
      <x:c r="N203" t="str">
        <x:f>IF(AND(G203&lt;&gt;"",L203=1,M203&lt;&gt;""),"PASS","OPEN")</x:f>
        <x:v>OPEN</x:v>
      </x:c>
    </x:row>
    <x:row r="204">
      <x:c r="B204" t="str">
        <x:v>RFA-E198</x:v>
      </x:c>
      <x:c r="C204" t="str">
        <x:v>AM-07</x:v>
      </x:c>
      <x:c r="D204" t="str">
        <x:v>AF-2</x:v>
      </x:c>
      <x:c r="E204" t="str">
        <x:v>BB</x:v>
      </x:c>
      <x:c r="F204" t="str">
        <x:v>PTC-C</x:v>
      </x:c>
      <x:c r="G204" t="n">
        <x:v>2000</x:v>
      </x:c>
      <x:c r="H204" t="str"/>
      <x:c r="I204" t="str"/>
      <x:c r="J204" t="str"/>
      <x:c r="K204" t="str"/>
      <x:c r="L204" t="str"/>
      <x:c r="M204" t="str"/>
      <x:c r="N204" t="str">
        <x:f>IF(AND(G204&lt;&gt;"",L204=1,M204&lt;&gt;""),"PASS","OPEN")</x:f>
        <x:v>OPEN</x:v>
      </x:c>
    </x:row>
    <x:row r="205">
      <x:c r="B205" t="str">
        <x:v>RFA-E199</x:v>
      </x:c>
      <x:c r="C205" t="str">
        <x:v>AM-07</x:v>
      </x:c>
      <x:c r="D205" t="str">
        <x:v>AF-2</x:v>
      </x:c>
      <x:c r="E205" t="str">
        <x:v>BB</x:v>
      </x:c>
      <x:c r="F205" t="str">
        <x:v>PTC-C</x:v>
      </x:c>
      <x:c r="G205" t="n">
        <x:v>2000</x:v>
      </x:c>
      <x:c r="H205" t="str"/>
      <x:c r="I205" t="str"/>
      <x:c r="J205" t="str"/>
      <x:c r="K205" t="str"/>
      <x:c r="L205" t="str"/>
      <x:c r="M205" t="str"/>
      <x:c r="N205" t="str">
        <x:f>IF(AND(G205&lt;&gt;"",L205=1,M205&lt;&gt;""),"PASS","OPEN")</x:f>
        <x:v>OPEN</x:v>
      </x:c>
    </x:row>
    <x:row r="206">
      <x:c r="B206" t="str">
        <x:v>RFA-E200</x:v>
      </x:c>
      <x:c r="C206" t="str">
        <x:v>AM-07</x:v>
      </x:c>
      <x:c r="D206" t="str">
        <x:v>AF-2</x:v>
      </x:c>
      <x:c r="E206" t="str">
        <x:v>BB</x:v>
      </x:c>
      <x:c r="F206" t="str">
        <x:v>PTC-C</x:v>
      </x:c>
      <x:c r="G206" t="n">
        <x:v>2000</x:v>
      </x:c>
      <x:c r="H206" t="str"/>
      <x:c r="I206" t="str"/>
      <x:c r="J206" t="str"/>
      <x:c r="K206" t="str"/>
      <x:c r="L206" t="str"/>
      <x:c r="M206" t="str"/>
      <x:c r="N206" t="str">
        <x:f>IF(AND(G206&lt;&gt;"",L206=1,M206&lt;&gt;""),"PASS","OPEN")</x:f>
        <x:v>OPEN</x:v>
      </x:c>
    </x:row>
    <x:row r="207">
      <x:c r="B207" t="str">
        <x:v>RFA-E201</x:v>
      </x:c>
      <x:c r="C207" t="str">
        <x:v>AM-05</x:v>
      </x:c>
      <x:c r="D207" t="str">
        <x:v>AF-3</x:v>
      </x:c>
      <x:c r="E207" t="str">
        <x:v>BA</x:v>
      </x:c>
      <x:c r="F207" t="str">
        <x:v>PTC-B</x:v>
      </x:c>
      <x:c r="G207" t="n">
        <x:v>500</x:v>
      </x:c>
      <x:c r="H207" t="str"/>
      <x:c r="I207" t="str"/>
      <x:c r="J207" t="str"/>
      <x:c r="K207" t="str"/>
      <x:c r="L207" t="str"/>
      <x:c r="M207" t="str"/>
      <x:c r="N207" t="str">
        <x:f>IF(AND(G207&lt;&gt;"",L207=1,M207&lt;&gt;""),"PASS","OPEN")</x:f>
        <x:v>OPEN</x:v>
      </x:c>
    </x:row>
    <x:row r="208">
      <x:c r="B208" t="str">
        <x:v>RFA-E202</x:v>
      </x:c>
      <x:c r="C208" t="str">
        <x:v>AM-05</x:v>
      </x:c>
      <x:c r="D208" t="str">
        <x:v>AF-3</x:v>
      </x:c>
      <x:c r="E208" t="str">
        <x:v>BA</x:v>
      </x:c>
      <x:c r="F208" t="str">
        <x:v>PTC-B</x:v>
      </x:c>
      <x:c r="G208" t="n">
        <x:v>500</x:v>
      </x:c>
      <x:c r="H208" t="str"/>
      <x:c r="I208" t="str"/>
      <x:c r="J208" t="str"/>
      <x:c r="K208" t="str"/>
      <x:c r="L208" t="str"/>
      <x:c r="M208" t="str"/>
      <x:c r="N208" t="str">
        <x:f>IF(AND(G208&lt;&gt;"",L208=1,M208&lt;&gt;""),"PASS","OPEN")</x:f>
        <x:v>OPEN</x:v>
      </x:c>
    </x:row>
    <x:row r="209">
      <x:c r="B209" t="str">
        <x:v>RFA-E203</x:v>
      </x:c>
      <x:c r="C209" t="str">
        <x:v>AM-05</x:v>
      </x:c>
      <x:c r="D209" t="str">
        <x:v>AF-3</x:v>
      </x:c>
      <x:c r="E209" t="str">
        <x:v>BA</x:v>
      </x:c>
      <x:c r="F209" t="str">
        <x:v>PTC-B</x:v>
      </x:c>
      <x:c r="G209" t="n">
        <x:v>500</x:v>
      </x:c>
      <x:c r="H209" t="str"/>
      <x:c r="I209" t="str"/>
      <x:c r="J209" t="str"/>
      <x:c r="K209" t="str"/>
      <x:c r="L209" t="str"/>
      <x:c r="M209" t="str"/>
      <x:c r="N209" t="str">
        <x:f>IF(AND(G209&lt;&gt;"",L209=1,M209&lt;&gt;""),"PASS","OPEN")</x:f>
        <x:v>OPEN</x:v>
      </x:c>
    </x:row>
    <x:row r="210">
      <x:c r="B210" t="str">
        <x:v>RFA-E204</x:v>
      </x:c>
      <x:c r="C210" t="str">
        <x:v>AM-05</x:v>
      </x:c>
      <x:c r="D210" t="str">
        <x:v>AF-3</x:v>
      </x:c>
      <x:c r="E210" t="str">
        <x:v>BA</x:v>
      </x:c>
      <x:c r="F210" t="str">
        <x:v>PTC-B</x:v>
      </x:c>
      <x:c r="G210" t="n">
        <x:v>500</x:v>
      </x:c>
      <x:c r="H210" t="str"/>
      <x:c r="I210" t="str"/>
      <x:c r="J210" t="str"/>
      <x:c r="K210" t="str"/>
      <x:c r="L210" t="str"/>
      <x:c r="M210" t="str"/>
      <x:c r="N210" t="str">
        <x:f>IF(AND(G210&lt;&gt;"",L210=1,M210&lt;&gt;""),"PASS","OPEN")</x:f>
        <x:v>OPEN</x:v>
      </x:c>
    </x:row>
    <x:row r="211">
      <x:c r="B211" t="str">
        <x:v>RFA-E205</x:v>
      </x:c>
      <x:c r="C211" t="str">
        <x:v>AM-05</x:v>
      </x:c>
      <x:c r="D211" t="str">
        <x:v>AF-3</x:v>
      </x:c>
      <x:c r="E211" t="str">
        <x:v>BA</x:v>
      </x:c>
      <x:c r="F211" t="str">
        <x:v>PTC-B</x:v>
      </x:c>
      <x:c r="G211" t="n">
        <x:v>500</x:v>
      </x:c>
      <x:c r="H211" t="str"/>
      <x:c r="I211" t="str"/>
      <x:c r="J211" t="str"/>
      <x:c r="K211" t="str"/>
      <x:c r="L211" t="str"/>
      <x:c r="M211" t="str"/>
      <x:c r="N211" t="str">
        <x:f>IF(AND(G211&lt;&gt;"",L211=1,M211&lt;&gt;""),"PASS","OPEN")</x:f>
        <x:v>OPEN</x:v>
      </x:c>
    </x:row>
    <x:row r="212">
      <x:c r="B212" t="str">
        <x:v>RFA-E206</x:v>
      </x:c>
      <x:c r="C212" t="str">
        <x:v>AM-05</x:v>
      </x:c>
      <x:c r="D212" t="str">
        <x:v>AF-3</x:v>
      </x:c>
      <x:c r="E212" t="str">
        <x:v>BA</x:v>
      </x:c>
      <x:c r="F212" t="str">
        <x:v>PTC-B</x:v>
      </x:c>
      <x:c r="G212" t="n">
        <x:v>500</x:v>
      </x:c>
      <x:c r="H212" t="str"/>
      <x:c r="I212" t="str"/>
      <x:c r="J212" t="str"/>
      <x:c r="K212" t="str"/>
      <x:c r="L212" t="str"/>
      <x:c r="M212" t="str"/>
      <x:c r="N212" t="str">
        <x:f>IF(AND(G212&lt;&gt;"",L212=1,M212&lt;&gt;""),"PASS","OPEN")</x:f>
        <x:v>OPEN</x:v>
      </x:c>
    </x:row>
    <x:row r="213">
      <x:c r="B213" t="str">
        <x:v>RFA-E207</x:v>
      </x:c>
      <x:c r="C213" t="str">
        <x:v>AM-05</x:v>
      </x:c>
      <x:c r="D213" t="str">
        <x:v>AF-3</x:v>
      </x:c>
      <x:c r="E213" t="str">
        <x:v>BA</x:v>
      </x:c>
      <x:c r="F213" t="str">
        <x:v>PTC-B</x:v>
      </x:c>
      <x:c r="G213" t="n">
        <x:v>500</x:v>
      </x:c>
      <x:c r="H213" t="str"/>
      <x:c r="I213" t="str"/>
      <x:c r="J213" t="str"/>
      <x:c r="K213" t="str"/>
      <x:c r="L213" t="str"/>
      <x:c r="M213" t="str"/>
      <x:c r="N213" t="str">
        <x:f>IF(AND(G213&lt;&gt;"",L213=1,M213&lt;&gt;""),"PASS","OPEN")</x:f>
        <x:v>OPEN</x:v>
      </x:c>
    </x:row>
    <x:row r="214">
      <x:c r="B214" t="str">
        <x:v>RFA-E208</x:v>
      </x:c>
      <x:c r="C214" t="str">
        <x:v>AM-05</x:v>
      </x:c>
      <x:c r="D214" t="str">
        <x:v>AF-3</x:v>
      </x:c>
      <x:c r="E214" t="str">
        <x:v>BA</x:v>
      </x:c>
      <x:c r="F214" t="str">
        <x:v>PTC-B</x:v>
      </x:c>
      <x:c r="G214" t="n">
        <x:v>500</x:v>
      </x:c>
      <x:c r="H214" t="str"/>
      <x:c r="I214" t="str"/>
      <x:c r="J214" t="str"/>
      <x:c r="K214" t="str"/>
      <x:c r="L214" t="str"/>
      <x:c r="M214" t="str"/>
      <x:c r="N214" t="str">
        <x:f>IF(AND(G214&lt;&gt;"",L214=1,M214&lt;&gt;""),"PASS","OPEN")</x:f>
        <x:v>OPEN</x:v>
      </x:c>
    </x:row>
    <x:row r="215">
      <x:c r="B215" t="str">
        <x:v>RFA-E209</x:v>
      </x:c>
      <x:c r="C215" t="str">
        <x:v>AM-07</x:v>
      </x:c>
      <x:c r="D215" t="str">
        <x:v>AF-3</x:v>
      </x:c>
      <x:c r="E215" t="str">
        <x:v>BA</x:v>
      </x:c>
      <x:c r="F215" t="str">
        <x:v>PTC-B</x:v>
      </x:c>
      <x:c r="G215" t="n">
        <x:v>2000</x:v>
      </x:c>
      <x:c r="H215" t="str"/>
      <x:c r="I215" t="str"/>
      <x:c r="J215" t="str"/>
      <x:c r="K215" t="str"/>
      <x:c r="L215" t="str"/>
      <x:c r="M215" t="str"/>
      <x:c r="N215" t="str">
        <x:f>IF(AND(G215&lt;&gt;"",L215=1,M215&lt;&gt;""),"PASS","OPEN")</x:f>
        <x:v>OPEN</x:v>
      </x:c>
    </x:row>
    <x:row r="216">
      <x:c r="B216" t="str">
        <x:v>RFA-E210</x:v>
      </x:c>
      <x:c r="C216" t="str">
        <x:v>AM-07</x:v>
      </x:c>
      <x:c r="D216" t="str">
        <x:v>AF-3</x:v>
      </x:c>
      <x:c r="E216" t="str">
        <x:v>BA</x:v>
      </x:c>
      <x:c r="F216" t="str">
        <x:v>PTC-B</x:v>
      </x:c>
      <x:c r="G216" t="n">
        <x:v>2000</x:v>
      </x:c>
      <x:c r="H216" t="str"/>
      <x:c r="I216" t="str"/>
      <x:c r="J216" t="str"/>
      <x:c r="K216" t="str"/>
      <x:c r="L216" t="str"/>
      <x:c r="M216" t="str"/>
      <x:c r="N216" t="str">
        <x:f>IF(AND(G216&lt;&gt;"",L216=1,M216&lt;&gt;""),"PASS","OPEN")</x:f>
        <x:v>OPEN</x:v>
      </x:c>
    </x:row>
    <x:row r="217">
      <x:c r="B217" t="str">
        <x:v>RFA-E211</x:v>
      </x:c>
      <x:c r="C217" t="str">
        <x:v>AM-07</x:v>
      </x:c>
      <x:c r="D217" t="str">
        <x:v>AF-3</x:v>
      </x:c>
      <x:c r="E217" t="str">
        <x:v>BA</x:v>
      </x:c>
      <x:c r="F217" t="str">
        <x:v>PTC-B</x:v>
      </x:c>
      <x:c r="G217" t="n">
        <x:v>2000</x:v>
      </x:c>
      <x:c r="H217" t="str"/>
      <x:c r="I217" t="str"/>
      <x:c r="J217" t="str"/>
      <x:c r="K217" t="str"/>
      <x:c r="L217" t="str"/>
      <x:c r="M217" t="str"/>
      <x:c r="N217" t="str">
        <x:f>IF(AND(G217&lt;&gt;"",L217=1,M217&lt;&gt;""),"PASS","OPEN")</x:f>
        <x:v>OPEN</x:v>
      </x:c>
    </x:row>
    <x:row r="218">
      <x:c r="B218" t="str">
        <x:v>RFA-E212</x:v>
      </x:c>
      <x:c r="C218" t="str">
        <x:v>AM-07</x:v>
      </x:c>
      <x:c r="D218" t="str">
        <x:v>AF-3</x:v>
      </x:c>
      <x:c r="E218" t="str">
        <x:v>BA</x:v>
      </x:c>
      <x:c r="F218" t="str">
        <x:v>PTC-B</x:v>
      </x:c>
      <x:c r="G218" t="n">
        <x:v>2000</x:v>
      </x:c>
      <x:c r="H218" t="str"/>
      <x:c r="I218" t="str"/>
      <x:c r="J218" t="str"/>
      <x:c r="K218" t="str"/>
      <x:c r="L218" t="str"/>
      <x:c r="M218" t="str"/>
      <x:c r="N218" t="str">
        <x:f>IF(AND(G218&lt;&gt;"",L218=1,M218&lt;&gt;""),"PASS","OPEN")</x:f>
        <x:v>OPEN</x:v>
      </x:c>
    </x:row>
    <x:row r="219">
      <x:c r="B219" t="str">
        <x:v>RFA-E213</x:v>
      </x:c>
      <x:c r="C219" t="str">
        <x:v>AM-07</x:v>
      </x:c>
      <x:c r="D219" t="str">
        <x:v>AF-3</x:v>
      </x:c>
      <x:c r="E219" t="str">
        <x:v>BA</x:v>
      </x:c>
      <x:c r="F219" t="str">
        <x:v>PTC-B</x:v>
      </x:c>
      <x:c r="G219" t="n">
        <x:v>2000</x:v>
      </x:c>
      <x:c r="H219" t="str"/>
      <x:c r="I219" t="str"/>
      <x:c r="J219" t="str"/>
      <x:c r="K219" t="str"/>
      <x:c r="L219" t="str"/>
      <x:c r="M219" t="str"/>
      <x:c r="N219" t="str">
        <x:f>IF(AND(G219&lt;&gt;"",L219=1,M219&lt;&gt;""),"PASS","OPEN")</x:f>
        <x:v>OPEN</x:v>
      </x:c>
    </x:row>
    <x:row r="220">
      <x:c r="B220" t="str">
        <x:v>RFA-E214</x:v>
      </x:c>
      <x:c r="C220" t="str">
        <x:v>AM-07</x:v>
      </x:c>
      <x:c r="D220" t="str">
        <x:v>AF-3</x:v>
      </x:c>
      <x:c r="E220" t="str">
        <x:v>BA</x:v>
      </x:c>
      <x:c r="F220" t="str">
        <x:v>PTC-B</x:v>
      </x:c>
      <x:c r="G220" t="n">
        <x:v>2000</x:v>
      </x:c>
      <x:c r="H220" t="str"/>
      <x:c r="I220" t="str"/>
      <x:c r="J220" t="str"/>
      <x:c r="K220" t="str"/>
      <x:c r="L220" t="str"/>
      <x:c r="M220" t="str"/>
      <x:c r="N220" t="str">
        <x:f>IF(AND(G220&lt;&gt;"",L220=1,M220&lt;&gt;""),"PASS","OPEN")</x:f>
        <x:v>OPEN</x:v>
      </x:c>
    </x:row>
    <x:row r="221">
      <x:c r="B221" t="str">
        <x:v>RFA-E215</x:v>
      </x:c>
      <x:c r="C221" t="str">
        <x:v>AM-07</x:v>
      </x:c>
      <x:c r="D221" t="str">
        <x:v>AF-3</x:v>
      </x:c>
      <x:c r="E221" t="str">
        <x:v>BA</x:v>
      </x:c>
      <x:c r="F221" t="str">
        <x:v>PTC-B</x:v>
      </x:c>
      <x:c r="G221" t="n">
        <x:v>2000</x:v>
      </x:c>
      <x:c r="H221" t="str"/>
      <x:c r="I221" t="str"/>
      <x:c r="J221" t="str"/>
      <x:c r="K221" t="str"/>
      <x:c r="L221" t="str"/>
      <x:c r="M221" t="str"/>
      <x:c r="N221" t="str">
        <x:f>IF(AND(G221&lt;&gt;"",L221=1,M221&lt;&gt;""),"PASS","OPEN")</x:f>
        <x:v>OPEN</x:v>
      </x:c>
    </x:row>
    <x:row r="222">
      <x:c r="B222" t="str">
        <x:v>RFA-E216</x:v>
      </x:c>
      <x:c r="C222" t="str">
        <x:v>AM-07</x:v>
      </x:c>
      <x:c r="D222" t="str">
        <x:v>AF-3</x:v>
      </x:c>
      <x:c r="E222" t="str">
        <x:v>BA</x:v>
      </x:c>
      <x:c r="F222" t="str">
        <x:v>PTC-B</x:v>
      </x:c>
      <x:c r="G222" t="n">
        <x:v>2000</x:v>
      </x:c>
      <x:c r="H222" t="str"/>
      <x:c r="I222" t="str"/>
      <x:c r="J222" t="str"/>
      <x:c r="K222" t="str"/>
      <x:c r="L222" t="str"/>
      <x:c r="M222" t="str"/>
      <x:c r="N222" t="str">
        <x:f>IF(AND(G222&lt;&gt;"",L222=1,M222&lt;&gt;""),"PASS","OPEN")</x:f>
        <x:v>OPEN</x:v>
      </x:c>
    </x:row>
    <x:row r="223">
      <x:c r="B223" t="str">
        <x:v>RFA-E217</x:v>
      </x:c>
      <x:c r="C223" t="str">
        <x:v>AM-05</x:v>
      </x:c>
      <x:c r="D223" t="str">
        <x:v>AF-3</x:v>
      </x:c>
      <x:c r="E223" t="str">
        <x:v>BA</x:v>
      </x:c>
      <x:c r="F223" t="str">
        <x:v>PTC-C</x:v>
      </x:c>
      <x:c r="G223" t="n">
        <x:v>500</x:v>
      </x:c>
      <x:c r="H223" t="str"/>
      <x:c r="I223" t="str"/>
      <x:c r="J223" t="str"/>
      <x:c r="K223" t="str"/>
      <x:c r="L223" t="str"/>
      <x:c r="M223" t="str"/>
      <x:c r="N223" t="str">
        <x:f>IF(AND(G223&lt;&gt;"",L223=1,M223&lt;&gt;""),"PASS","OPEN")</x:f>
        <x:v>OPEN</x:v>
      </x:c>
    </x:row>
    <x:row r="224">
      <x:c r="B224" t="str">
        <x:v>RFA-E218</x:v>
      </x:c>
      <x:c r="C224" t="str">
        <x:v>AM-05</x:v>
      </x:c>
      <x:c r="D224" t="str">
        <x:v>AF-3</x:v>
      </x:c>
      <x:c r="E224" t="str">
        <x:v>BA</x:v>
      </x:c>
      <x:c r="F224" t="str">
        <x:v>PTC-C</x:v>
      </x:c>
      <x:c r="G224" t="n">
        <x:v>500</x:v>
      </x:c>
      <x:c r="H224" t="str"/>
      <x:c r="I224" t="str"/>
      <x:c r="J224" t="str"/>
      <x:c r="K224" t="str"/>
      <x:c r="L224" t="str"/>
      <x:c r="M224" t="str"/>
      <x:c r="N224" t="str">
        <x:f>IF(AND(G224&lt;&gt;"",L224=1,M224&lt;&gt;""),"PASS","OPEN")</x:f>
        <x:v>OPEN</x:v>
      </x:c>
    </x:row>
    <x:row r="225">
      <x:c r="B225" t="str">
        <x:v>RFA-E219</x:v>
      </x:c>
      <x:c r="C225" t="str">
        <x:v>AM-05</x:v>
      </x:c>
      <x:c r="D225" t="str">
        <x:v>AF-3</x:v>
      </x:c>
      <x:c r="E225" t="str">
        <x:v>BA</x:v>
      </x:c>
      <x:c r="F225" t="str">
        <x:v>PTC-C</x:v>
      </x:c>
      <x:c r="G225" t="n">
        <x:v>500</x:v>
      </x:c>
      <x:c r="H225" t="str"/>
      <x:c r="I225" t="str"/>
      <x:c r="J225" t="str"/>
      <x:c r="K225" t="str"/>
      <x:c r="L225" t="str"/>
      <x:c r="M225" t="str"/>
      <x:c r="N225" t="str">
        <x:f>IF(AND(G225&lt;&gt;"",L225=1,M225&lt;&gt;""),"PASS","OPEN")</x:f>
        <x:v>OPEN</x:v>
      </x:c>
    </x:row>
    <x:row r="226">
      <x:c r="B226" t="str">
        <x:v>RFA-E220</x:v>
      </x:c>
      <x:c r="C226" t="str">
        <x:v>AM-05</x:v>
      </x:c>
      <x:c r="D226" t="str">
        <x:v>AF-3</x:v>
      </x:c>
      <x:c r="E226" t="str">
        <x:v>BA</x:v>
      </x:c>
      <x:c r="F226" t="str">
        <x:v>PTC-C</x:v>
      </x:c>
      <x:c r="G226" t="n">
        <x:v>500</x:v>
      </x:c>
      <x:c r="H226" t="str"/>
      <x:c r="I226" t="str"/>
      <x:c r="J226" t="str"/>
      <x:c r="K226" t="str"/>
      <x:c r="L226" t="str"/>
      <x:c r="M226" t="str"/>
      <x:c r="N226" t="str">
        <x:f>IF(AND(G226&lt;&gt;"",L226=1,M226&lt;&gt;""),"PASS","OPEN")</x:f>
        <x:v>OPEN</x:v>
      </x:c>
    </x:row>
    <x:row r="227">
      <x:c r="B227" t="str">
        <x:v>RFA-E221</x:v>
      </x:c>
      <x:c r="C227" t="str">
        <x:v>AM-05</x:v>
      </x:c>
      <x:c r="D227" t="str">
        <x:v>AF-3</x:v>
      </x:c>
      <x:c r="E227" t="str">
        <x:v>BA</x:v>
      </x:c>
      <x:c r="F227" t="str">
        <x:v>PTC-C</x:v>
      </x:c>
      <x:c r="G227" t="n">
        <x:v>500</x:v>
      </x:c>
      <x:c r="H227" t="str"/>
      <x:c r="I227" t="str"/>
      <x:c r="J227" t="str"/>
      <x:c r="K227" t="str"/>
      <x:c r="L227" t="str"/>
      <x:c r="M227" t="str"/>
      <x:c r="N227" t="str">
        <x:f>IF(AND(G227&lt;&gt;"",L227=1,M227&lt;&gt;""),"PASS","OPEN")</x:f>
        <x:v>OPEN</x:v>
      </x:c>
    </x:row>
    <x:row r="228">
      <x:c r="B228" t="str">
        <x:v>RFA-E222</x:v>
      </x:c>
      <x:c r="C228" t="str">
        <x:v>AM-05</x:v>
      </x:c>
      <x:c r="D228" t="str">
        <x:v>AF-3</x:v>
      </x:c>
      <x:c r="E228" t="str">
        <x:v>BA</x:v>
      </x:c>
      <x:c r="F228" t="str">
        <x:v>PTC-C</x:v>
      </x:c>
      <x:c r="G228" t="n">
        <x:v>500</x:v>
      </x:c>
      <x:c r="H228" t="str"/>
      <x:c r="I228" t="str"/>
      <x:c r="J228" t="str"/>
      <x:c r="K228" t="str"/>
      <x:c r="L228" t="str"/>
      <x:c r="M228" t="str"/>
      <x:c r="N228" t="str">
        <x:f>IF(AND(G228&lt;&gt;"",L228=1,M228&lt;&gt;""),"PASS","OPEN")</x:f>
        <x:v>OPEN</x:v>
      </x:c>
    </x:row>
    <x:row r="229">
      <x:c r="B229" t="str">
        <x:v>RFA-E223</x:v>
      </x:c>
      <x:c r="C229" t="str">
        <x:v>AM-05</x:v>
      </x:c>
      <x:c r="D229" t="str">
        <x:v>AF-3</x:v>
      </x:c>
      <x:c r="E229" t="str">
        <x:v>BA</x:v>
      </x:c>
      <x:c r="F229" t="str">
        <x:v>PTC-C</x:v>
      </x:c>
      <x:c r="G229" t="n">
        <x:v>500</x:v>
      </x:c>
      <x:c r="H229" t="str"/>
      <x:c r="I229" t="str"/>
      <x:c r="J229" t="str"/>
      <x:c r="K229" t="str"/>
      <x:c r="L229" t="str"/>
      <x:c r="M229" t="str"/>
      <x:c r="N229" t="str">
        <x:f>IF(AND(G229&lt;&gt;"",L229=1,M229&lt;&gt;""),"PASS","OPEN")</x:f>
        <x:v>OPEN</x:v>
      </x:c>
    </x:row>
    <x:row r="230">
      <x:c r="B230" t="str">
        <x:v>RFA-E224</x:v>
      </x:c>
      <x:c r="C230" t="str">
        <x:v>AM-05</x:v>
      </x:c>
      <x:c r="D230" t="str">
        <x:v>AF-3</x:v>
      </x:c>
      <x:c r="E230" t="str">
        <x:v>BA</x:v>
      </x:c>
      <x:c r="F230" t="str">
        <x:v>PTC-C</x:v>
      </x:c>
      <x:c r="G230" t="n">
        <x:v>500</x:v>
      </x:c>
      <x:c r="H230" t="str"/>
      <x:c r="I230" t="str"/>
      <x:c r="J230" t="str"/>
      <x:c r="K230" t="str"/>
      <x:c r="L230" t="str"/>
      <x:c r="M230" t="str"/>
      <x:c r="N230" t="str">
        <x:f>IF(AND(G230&lt;&gt;"",L230=1,M230&lt;&gt;""),"PASS","OPEN")</x:f>
        <x:v>OPEN</x:v>
      </x:c>
    </x:row>
    <x:row r="231">
      <x:c r="B231" t="str">
        <x:v>RFA-E225</x:v>
      </x:c>
      <x:c r="C231" t="str">
        <x:v>AM-07</x:v>
      </x:c>
      <x:c r="D231" t="str">
        <x:v>AF-3</x:v>
      </x:c>
      <x:c r="E231" t="str">
        <x:v>BA</x:v>
      </x:c>
      <x:c r="F231" t="str">
        <x:v>PTC-C</x:v>
      </x:c>
      <x:c r="G231" t="n">
        <x:v>2000</x:v>
      </x:c>
      <x:c r="H231" t="str"/>
      <x:c r="I231" t="str"/>
      <x:c r="J231" t="str"/>
      <x:c r="K231" t="str"/>
      <x:c r="L231" t="str"/>
      <x:c r="M231" t="str"/>
      <x:c r="N231" t="str">
        <x:f>IF(AND(G231&lt;&gt;"",L231=1,M231&lt;&gt;""),"PASS","OPEN")</x:f>
        <x:v>OPEN</x:v>
      </x:c>
    </x:row>
    <x:row r="232">
      <x:c r="B232" t="str">
        <x:v>RFA-E226</x:v>
      </x:c>
      <x:c r="C232" t="str">
        <x:v>AM-07</x:v>
      </x:c>
      <x:c r="D232" t="str">
        <x:v>AF-3</x:v>
      </x:c>
      <x:c r="E232" t="str">
        <x:v>BA</x:v>
      </x:c>
      <x:c r="F232" t="str">
        <x:v>PTC-C</x:v>
      </x:c>
      <x:c r="G232" t="n">
        <x:v>2000</x:v>
      </x:c>
      <x:c r="H232" t="str"/>
      <x:c r="I232" t="str"/>
      <x:c r="J232" t="str"/>
      <x:c r="K232" t="str"/>
      <x:c r="L232" t="str"/>
      <x:c r="M232" t="str"/>
      <x:c r="N232" t="str">
        <x:f>IF(AND(G232&lt;&gt;"",L232=1,M232&lt;&gt;""),"PASS","OPEN")</x:f>
        <x:v>OPEN</x:v>
      </x:c>
    </x:row>
    <x:row r="233">
      <x:c r="B233" t="str">
        <x:v>RFA-E227</x:v>
      </x:c>
      <x:c r="C233" t="str">
        <x:v>AM-07</x:v>
      </x:c>
      <x:c r="D233" t="str">
        <x:v>AF-3</x:v>
      </x:c>
      <x:c r="E233" t="str">
        <x:v>BA</x:v>
      </x:c>
      <x:c r="F233" t="str">
        <x:v>PTC-C</x:v>
      </x:c>
      <x:c r="G233" t="n">
        <x:v>2000</x:v>
      </x:c>
      <x:c r="H233" t="str"/>
      <x:c r="I233" t="str"/>
      <x:c r="J233" t="str"/>
      <x:c r="K233" t="str"/>
      <x:c r="L233" t="str"/>
      <x:c r="M233" t="str"/>
      <x:c r="N233" t="str">
        <x:f>IF(AND(G233&lt;&gt;"",L233=1,M233&lt;&gt;""),"PASS","OPEN")</x:f>
        <x:v>OPEN</x:v>
      </x:c>
    </x:row>
    <x:row r="234">
      <x:c r="B234" t="str">
        <x:v>RFA-E228</x:v>
      </x:c>
      <x:c r="C234" t="str">
        <x:v>AM-07</x:v>
      </x:c>
      <x:c r="D234" t="str">
        <x:v>AF-3</x:v>
      </x:c>
      <x:c r="E234" t="str">
        <x:v>BA</x:v>
      </x:c>
      <x:c r="F234" t="str">
        <x:v>PTC-C</x:v>
      </x:c>
      <x:c r="G234" t="n">
        <x:v>2000</x:v>
      </x:c>
      <x:c r="H234" t="str"/>
      <x:c r="I234" t="str"/>
      <x:c r="J234" t="str"/>
      <x:c r="K234" t="str"/>
      <x:c r="L234" t="str"/>
      <x:c r="M234" t="str"/>
      <x:c r="N234" t="str">
        <x:f>IF(AND(G234&lt;&gt;"",L234=1,M234&lt;&gt;""),"PASS","OPEN")</x:f>
        <x:v>OPEN</x:v>
      </x:c>
    </x:row>
    <x:row r="235">
      <x:c r="B235" t="str">
        <x:v>RFA-E229</x:v>
      </x:c>
      <x:c r="C235" t="str">
        <x:v>AM-07</x:v>
      </x:c>
      <x:c r="D235" t="str">
        <x:v>AF-3</x:v>
      </x:c>
      <x:c r="E235" t="str">
        <x:v>BA</x:v>
      </x:c>
      <x:c r="F235" t="str">
        <x:v>PTC-C</x:v>
      </x:c>
      <x:c r="G235" t="n">
        <x:v>2000</x:v>
      </x:c>
      <x:c r="H235" t="str"/>
      <x:c r="I235" t="str"/>
      <x:c r="J235" t="str"/>
      <x:c r="K235" t="str"/>
      <x:c r="L235" t="str"/>
      <x:c r="M235" t="str"/>
      <x:c r="N235" t="str">
        <x:f>IF(AND(G235&lt;&gt;"",L235=1,M235&lt;&gt;""),"PASS","OPEN")</x:f>
        <x:v>OPEN</x:v>
      </x:c>
    </x:row>
    <x:row r="236">
      <x:c r="B236" t="str">
        <x:v>RFA-E230</x:v>
      </x:c>
      <x:c r="C236" t="str">
        <x:v>AM-07</x:v>
      </x:c>
      <x:c r="D236" t="str">
        <x:v>AF-3</x:v>
      </x:c>
      <x:c r="E236" t="str">
        <x:v>BA</x:v>
      </x:c>
      <x:c r="F236" t="str">
        <x:v>PTC-C</x:v>
      </x:c>
      <x:c r="G236" t="n">
        <x:v>2000</x:v>
      </x:c>
      <x:c r="H236" t="str"/>
      <x:c r="I236" t="str"/>
      <x:c r="J236" t="str"/>
      <x:c r="K236" t="str"/>
      <x:c r="L236" t="str"/>
      <x:c r="M236" t="str"/>
      <x:c r="N236" t="str">
        <x:f>IF(AND(G236&lt;&gt;"",L236=1,M236&lt;&gt;""),"PASS","OPEN")</x:f>
        <x:v>OPEN</x:v>
      </x:c>
    </x:row>
    <x:row r="237">
      <x:c r="B237" t="str">
        <x:v>RFA-E231</x:v>
      </x:c>
      <x:c r="C237" t="str">
        <x:v>AM-07</x:v>
      </x:c>
      <x:c r="D237" t="str">
        <x:v>AF-3</x:v>
      </x:c>
      <x:c r="E237" t="str">
        <x:v>BA</x:v>
      </x:c>
      <x:c r="F237" t="str">
        <x:v>PTC-C</x:v>
      </x:c>
      <x:c r="G237" t="n">
        <x:v>2000</x:v>
      </x:c>
      <x:c r="H237" t="str"/>
      <x:c r="I237" t="str"/>
      <x:c r="J237" t="str"/>
      <x:c r="K237" t="str"/>
      <x:c r="L237" t="str"/>
      <x:c r="M237" t="str"/>
      <x:c r="N237" t="str">
        <x:f>IF(AND(G237&lt;&gt;"",L237=1,M237&lt;&gt;""),"PASS","OPEN")</x:f>
        <x:v>OPEN</x:v>
      </x:c>
    </x:row>
    <x:row r="238">
      <x:c r="B238" t="str">
        <x:v>RFA-E232</x:v>
      </x:c>
      <x:c r="C238" t="str">
        <x:v>AM-07</x:v>
      </x:c>
      <x:c r="D238" t="str">
        <x:v>AF-3</x:v>
      </x:c>
      <x:c r="E238" t="str">
        <x:v>BA</x:v>
      </x:c>
      <x:c r="F238" t="str">
        <x:v>PTC-C</x:v>
      </x:c>
      <x:c r="G238" t="n">
        <x:v>2000</x:v>
      </x:c>
      <x:c r="H238" t="str"/>
      <x:c r="I238" t="str"/>
      <x:c r="J238" t="str"/>
      <x:c r="K238" t="str"/>
      <x:c r="L238" t="str"/>
      <x:c r="M238" t="str"/>
      <x:c r="N238" t="str">
        <x:f>IF(AND(G238&lt;&gt;"",L238=1,M238&lt;&gt;""),"PASS","OPEN")</x:f>
        <x:v>OPEN</x:v>
      </x:c>
    </x:row>
    <x:row r="239">
      <x:c r="B239" t="str">
        <x:v>RFA-E233</x:v>
      </x:c>
      <x:c r="C239" t="str">
        <x:v>AM-05</x:v>
      </x:c>
      <x:c r="D239" t="str">
        <x:v>AF-3</x:v>
      </x:c>
      <x:c r="E239" t="str">
        <x:v>BB</x:v>
      </x:c>
      <x:c r="F239" t="str">
        <x:v>PTC-B</x:v>
      </x:c>
      <x:c r="G239" t="n">
        <x:v>500</x:v>
      </x:c>
      <x:c r="H239" t="str"/>
      <x:c r="I239" t="str"/>
      <x:c r="J239" t="str"/>
      <x:c r="K239" t="str"/>
      <x:c r="L239" t="str"/>
      <x:c r="M239" t="str"/>
      <x:c r="N239" t="str">
        <x:f>IF(AND(G239&lt;&gt;"",L239=1,M239&lt;&gt;""),"PASS","OPEN")</x:f>
        <x:v>OPEN</x:v>
      </x:c>
    </x:row>
    <x:row r="240">
      <x:c r="B240" t="str">
        <x:v>RFA-E234</x:v>
      </x:c>
      <x:c r="C240" t="str">
        <x:v>AM-05</x:v>
      </x:c>
      <x:c r="D240" t="str">
        <x:v>AF-3</x:v>
      </x:c>
      <x:c r="E240" t="str">
        <x:v>BB</x:v>
      </x:c>
      <x:c r="F240" t="str">
        <x:v>PTC-B</x:v>
      </x:c>
      <x:c r="G240" t="n">
        <x:v>500</x:v>
      </x:c>
      <x:c r="H240" t="str"/>
      <x:c r="I240" t="str"/>
      <x:c r="J240" t="str"/>
      <x:c r="K240" t="str"/>
      <x:c r="L240" t="str"/>
      <x:c r="M240" t="str"/>
      <x:c r="N240" t="str">
        <x:f>IF(AND(G240&lt;&gt;"",L240=1,M240&lt;&gt;""),"PASS","OPEN")</x:f>
        <x:v>OPEN</x:v>
      </x:c>
    </x:row>
    <x:row r="241">
      <x:c r="B241" t="str">
        <x:v>RFA-E235</x:v>
      </x:c>
      <x:c r="C241" t="str">
        <x:v>AM-05</x:v>
      </x:c>
      <x:c r="D241" t="str">
        <x:v>AF-3</x:v>
      </x:c>
      <x:c r="E241" t="str">
        <x:v>BB</x:v>
      </x:c>
      <x:c r="F241" t="str">
        <x:v>PTC-B</x:v>
      </x:c>
      <x:c r="G241" t="n">
        <x:v>500</x:v>
      </x:c>
      <x:c r="H241" t="str"/>
      <x:c r="I241" t="str"/>
      <x:c r="J241" t="str"/>
      <x:c r="K241" t="str"/>
      <x:c r="L241" t="str"/>
      <x:c r="M241" t="str"/>
      <x:c r="N241" t="str">
        <x:f>IF(AND(G241&lt;&gt;"",L241=1,M241&lt;&gt;""),"PASS","OPEN")</x:f>
        <x:v>OPEN</x:v>
      </x:c>
    </x:row>
    <x:row r="242">
      <x:c r="B242" t="str">
        <x:v>RFA-E236</x:v>
      </x:c>
      <x:c r="C242" t="str">
        <x:v>AM-05</x:v>
      </x:c>
      <x:c r="D242" t="str">
        <x:v>AF-3</x:v>
      </x:c>
      <x:c r="E242" t="str">
        <x:v>BB</x:v>
      </x:c>
      <x:c r="F242" t="str">
        <x:v>PTC-B</x:v>
      </x:c>
      <x:c r="G242" t="n">
        <x:v>500</x:v>
      </x:c>
      <x:c r="H242" t="str"/>
      <x:c r="I242" t="str"/>
      <x:c r="J242" t="str"/>
      <x:c r="K242" t="str"/>
      <x:c r="L242" t="str"/>
      <x:c r="M242" t="str"/>
      <x:c r="N242" t="str">
        <x:f>IF(AND(G242&lt;&gt;"",L242=1,M242&lt;&gt;""),"PASS","OPEN")</x:f>
        <x:v>OPEN</x:v>
      </x:c>
    </x:row>
    <x:row r="243">
      <x:c r="B243" t="str">
        <x:v>RFA-E237</x:v>
      </x:c>
      <x:c r="C243" t="str">
        <x:v>AM-05</x:v>
      </x:c>
      <x:c r="D243" t="str">
        <x:v>AF-3</x:v>
      </x:c>
      <x:c r="E243" t="str">
        <x:v>BB</x:v>
      </x:c>
      <x:c r="F243" t="str">
        <x:v>PTC-B</x:v>
      </x:c>
      <x:c r="G243" t="n">
        <x:v>500</x:v>
      </x:c>
      <x:c r="H243" t="str"/>
      <x:c r="I243" t="str"/>
      <x:c r="J243" t="str"/>
      <x:c r="K243" t="str"/>
      <x:c r="L243" t="str"/>
      <x:c r="M243" t="str"/>
      <x:c r="N243" t="str">
        <x:f>IF(AND(G243&lt;&gt;"",L243=1,M243&lt;&gt;""),"PASS","OPEN")</x:f>
        <x:v>OPEN</x:v>
      </x:c>
    </x:row>
    <x:row r="244">
      <x:c r="B244" t="str">
        <x:v>RFA-E238</x:v>
      </x:c>
      <x:c r="C244" t="str">
        <x:v>AM-05</x:v>
      </x:c>
      <x:c r="D244" t="str">
        <x:v>AF-3</x:v>
      </x:c>
      <x:c r="E244" t="str">
        <x:v>BB</x:v>
      </x:c>
      <x:c r="F244" t="str">
        <x:v>PTC-B</x:v>
      </x:c>
      <x:c r="G244" t="n">
        <x:v>500</x:v>
      </x:c>
      <x:c r="H244" t="str"/>
      <x:c r="I244" t="str"/>
      <x:c r="J244" t="str"/>
      <x:c r="K244" t="str"/>
      <x:c r="L244" t="str"/>
      <x:c r="M244" t="str"/>
      <x:c r="N244" t="str">
        <x:f>IF(AND(G244&lt;&gt;"",L244=1,M244&lt;&gt;""),"PASS","OPEN")</x:f>
        <x:v>OPEN</x:v>
      </x:c>
    </x:row>
    <x:row r="245">
      <x:c r="B245" t="str">
        <x:v>RFA-E239</x:v>
      </x:c>
      <x:c r="C245" t="str">
        <x:v>AM-05</x:v>
      </x:c>
      <x:c r="D245" t="str">
        <x:v>AF-3</x:v>
      </x:c>
      <x:c r="E245" t="str">
        <x:v>BB</x:v>
      </x:c>
      <x:c r="F245" t="str">
        <x:v>PTC-B</x:v>
      </x:c>
      <x:c r="G245" t="n">
        <x:v>500</x:v>
      </x:c>
      <x:c r="H245" t="str"/>
      <x:c r="I245" t="str"/>
      <x:c r="J245" t="str"/>
      <x:c r="K245" t="str"/>
      <x:c r="L245" t="str"/>
      <x:c r="M245" t="str"/>
      <x:c r="N245" t="str">
        <x:f>IF(AND(G245&lt;&gt;"",L245=1,M245&lt;&gt;""),"PASS","OPEN")</x:f>
        <x:v>OPEN</x:v>
      </x:c>
    </x:row>
    <x:row r="246">
      <x:c r="B246" t="str">
        <x:v>RFA-E240</x:v>
      </x:c>
      <x:c r="C246" t="str">
        <x:v>AM-05</x:v>
      </x:c>
      <x:c r="D246" t="str">
        <x:v>AF-3</x:v>
      </x:c>
      <x:c r="E246" t="str">
        <x:v>BB</x:v>
      </x:c>
      <x:c r="F246" t="str">
        <x:v>PTC-B</x:v>
      </x:c>
      <x:c r="G246" t="n">
        <x:v>500</x:v>
      </x:c>
      <x:c r="H246" t="str"/>
      <x:c r="I246" t="str"/>
      <x:c r="J246" t="str"/>
      <x:c r="K246" t="str"/>
      <x:c r="L246" t="str"/>
      <x:c r="M246" t="str"/>
      <x:c r="N246" t="str">
        <x:f>IF(AND(G246&lt;&gt;"",L246=1,M246&lt;&gt;""),"PASS","OPEN")</x:f>
        <x:v>OPEN</x:v>
      </x:c>
    </x:row>
    <x:row r="247">
      <x:c r="B247" t="str">
        <x:v>RFA-E241</x:v>
      </x:c>
      <x:c r="C247" t="str">
        <x:v>AM-07</x:v>
      </x:c>
      <x:c r="D247" t="str">
        <x:v>AF-3</x:v>
      </x:c>
      <x:c r="E247" t="str">
        <x:v>BB</x:v>
      </x:c>
      <x:c r="F247" t="str">
        <x:v>PTC-B</x:v>
      </x:c>
      <x:c r="G247" t="n">
        <x:v>2000</x:v>
      </x:c>
      <x:c r="H247" t="str"/>
      <x:c r="I247" t="str"/>
      <x:c r="J247" t="str"/>
      <x:c r="K247" t="str"/>
      <x:c r="L247" t="str"/>
      <x:c r="M247" t="str"/>
      <x:c r="N247" t="str">
        <x:f>IF(AND(G247&lt;&gt;"",L247=1,M247&lt;&gt;""),"PASS","OPEN")</x:f>
        <x:v>OPEN</x:v>
      </x:c>
    </x:row>
    <x:row r="248">
      <x:c r="B248" t="str">
        <x:v>RFA-E242</x:v>
      </x:c>
      <x:c r="C248" t="str">
        <x:v>AM-07</x:v>
      </x:c>
      <x:c r="D248" t="str">
        <x:v>AF-3</x:v>
      </x:c>
      <x:c r="E248" t="str">
        <x:v>BB</x:v>
      </x:c>
      <x:c r="F248" t="str">
        <x:v>PTC-B</x:v>
      </x:c>
      <x:c r="G248" t="n">
        <x:v>2000</x:v>
      </x:c>
      <x:c r="H248" t="str"/>
      <x:c r="I248" t="str"/>
      <x:c r="J248" t="str"/>
      <x:c r="K248" t="str"/>
      <x:c r="L248" t="str"/>
      <x:c r="M248" t="str"/>
      <x:c r="N248" t="str">
        <x:f>IF(AND(G248&lt;&gt;"",L248=1,M248&lt;&gt;""),"PASS","OPEN")</x:f>
        <x:v>OPEN</x:v>
      </x:c>
    </x:row>
    <x:row r="249">
      <x:c r="B249" t="str">
        <x:v>RFA-E243</x:v>
      </x:c>
      <x:c r="C249" t="str">
        <x:v>AM-07</x:v>
      </x:c>
      <x:c r="D249" t="str">
        <x:v>AF-3</x:v>
      </x:c>
      <x:c r="E249" t="str">
        <x:v>BB</x:v>
      </x:c>
      <x:c r="F249" t="str">
        <x:v>PTC-B</x:v>
      </x:c>
      <x:c r="G249" t="n">
        <x:v>2000</x:v>
      </x:c>
      <x:c r="H249" t="str"/>
      <x:c r="I249" t="str"/>
      <x:c r="J249" t="str"/>
      <x:c r="K249" t="str"/>
      <x:c r="L249" t="str"/>
      <x:c r="M249" t="str"/>
      <x:c r="N249" t="str">
        <x:f>IF(AND(G249&lt;&gt;"",L249=1,M249&lt;&gt;""),"PASS","OPEN")</x:f>
        <x:v>OPEN</x:v>
      </x:c>
    </x:row>
    <x:row r="250">
      <x:c r="B250" t="str">
        <x:v>RFA-E244</x:v>
      </x:c>
      <x:c r="C250" t="str">
        <x:v>AM-07</x:v>
      </x:c>
      <x:c r="D250" t="str">
        <x:v>AF-3</x:v>
      </x:c>
      <x:c r="E250" t="str">
        <x:v>BB</x:v>
      </x:c>
      <x:c r="F250" t="str">
        <x:v>PTC-B</x:v>
      </x:c>
      <x:c r="G250" t="n">
        <x:v>2000</x:v>
      </x:c>
      <x:c r="H250" t="str"/>
      <x:c r="I250" t="str"/>
      <x:c r="J250" t="str"/>
      <x:c r="K250" t="str"/>
      <x:c r="L250" t="str"/>
      <x:c r="M250" t="str"/>
      <x:c r="N250" t="str">
        <x:f>IF(AND(G250&lt;&gt;"",L250=1,M250&lt;&gt;""),"PASS","OPEN")</x:f>
        <x:v>OPEN</x:v>
      </x:c>
    </x:row>
    <x:row r="251">
      <x:c r="B251" t="str">
        <x:v>RFA-E245</x:v>
      </x:c>
      <x:c r="C251" t="str">
        <x:v>AM-07</x:v>
      </x:c>
      <x:c r="D251" t="str">
        <x:v>AF-3</x:v>
      </x:c>
      <x:c r="E251" t="str">
        <x:v>BB</x:v>
      </x:c>
      <x:c r="F251" t="str">
        <x:v>PTC-B</x:v>
      </x:c>
      <x:c r="G251" t="n">
        <x:v>2000</x:v>
      </x:c>
      <x:c r="H251" t="str"/>
      <x:c r="I251" t="str"/>
      <x:c r="J251" t="str"/>
      <x:c r="K251" t="str"/>
      <x:c r="L251" t="str"/>
      <x:c r="M251" t="str"/>
      <x:c r="N251" t="str">
        <x:f>IF(AND(G251&lt;&gt;"",L251=1,M251&lt;&gt;""),"PASS","OPEN")</x:f>
        <x:v>OPEN</x:v>
      </x:c>
    </x:row>
    <x:row r="252">
      <x:c r="B252" t="str">
        <x:v>RFA-E246</x:v>
      </x:c>
      <x:c r="C252" t="str">
        <x:v>AM-07</x:v>
      </x:c>
      <x:c r="D252" t="str">
        <x:v>AF-3</x:v>
      </x:c>
      <x:c r="E252" t="str">
        <x:v>BB</x:v>
      </x:c>
      <x:c r="F252" t="str">
        <x:v>PTC-B</x:v>
      </x:c>
      <x:c r="G252" t="n">
        <x:v>2000</x:v>
      </x:c>
      <x:c r="H252" t="str"/>
      <x:c r="I252" t="str"/>
      <x:c r="J252" t="str"/>
      <x:c r="K252" t="str"/>
      <x:c r="L252" t="str"/>
      <x:c r="M252" t="str"/>
      <x:c r="N252" t="str">
        <x:f>IF(AND(G252&lt;&gt;"",L252=1,M252&lt;&gt;""),"PASS","OPEN")</x:f>
        <x:v>OPEN</x:v>
      </x:c>
    </x:row>
    <x:row r="253">
      <x:c r="B253" t="str">
        <x:v>RFA-E247</x:v>
      </x:c>
      <x:c r="C253" t="str">
        <x:v>AM-07</x:v>
      </x:c>
      <x:c r="D253" t="str">
        <x:v>AF-3</x:v>
      </x:c>
      <x:c r="E253" t="str">
        <x:v>BB</x:v>
      </x:c>
      <x:c r="F253" t="str">
        <x:v>PTC-B</x:v>
      </x:c>
      <x:c r="G253" t="n">
        <x:v>2000</x:v>
      </x:c>
      <x:c r="H253" t="str"/>
      <x:c r="I253" t="str"/>
      <x:c r="J253" t="str"/>
      <x:c r="K253" t="str"/>
      <x:c r="L253" t="str"/>
      <x:c r="M253" t="str"/>
      <x:c r="N253" t="str">
        <x:f>IF(AND(G253&lt;&gt;"",L253=1,M253&lt;&gt;""),"PASS","OPEN")</x:f>
        <x:v>OPEN</x:v>
      </x:c>
    </x:row>
    <x:row r="254">
      <x:c r="B254" t="str">
        <x:v>RFA-E248</x:v>
      </x:c>
      <x:c r="C254" t="str">
        <x:v>AM-07</x:v>
      </x:c>
      <x:c r="D254" t="str">
        <x:v>AF-3</x:v>
      </x:c>
      <x:c r="E254" t="str">
        <x:v>BB</x:v>
      </x:c>
      <x:c r="F254" t="str">
        <x:v>PTC-B</x:v>
      </x:c>
      <x:c r="G254" t="n">
        <x:v>2000</x:v>
      </x:c>
      <x:c r="H254" t="str"/>
      <x:c r="I254" t="str"/>
      <x:c r="J254" t="str"/>
      <x:c r="K254" t="str"/>
      <x:c r="L254" t="str"/>
      <x:c r="M254" t="str"/>
      <x:c r="N254" t="str">
        <x:f>IF(AND(G254&lt;&gt;"",L254=1,M254&lt;&gt;""),"PASS","OPEN")</x:f>
        <x:v>OPEN</x:v>
      </x:c>
    </x:row>
    <x:row r="255">
      <x:c r="B255" t="str">
        <x:v>RFA-E249</x:v>
      </x:c>
      <x:c r="C255" t="str">
        <x:v>AM-05</x:v>
      </x:c>
      <x:c r="D255" t="str">
        <x:v>AF-3</x:v>
      </x:c>
      <x:c r="E255" t="str">
        <x:v>BB</x:v>
      </x:c>
      <x:c r="F255" t="str">
        <x:v>PTC-C</x:v>
      </x:c>
      <x:c r="G255" t="n">
        <x:v>500</x:v>
      </x:c>
      <x:c r="H255" t="str"/>
      <x:c r="I255" t="str"/>
      <x:c r="J255" t="str"/>
      <x:c r="K255" t="str"/>
      <x:c r="L255" t="str"/>
      <x:c r="M255" t="str"/>
      <x:c r="N255" t="str">
        <x:f>IF(AND(G255&lt;&gt;"",L255=1,M255&lt;&gt;""),"PASS","OPEN")</x:f>
        <x:v>OPEN</x:v>
      </x:c>
    </x:row>
    <x:row r="256">
      <x:c r="B256" t="str">
        <x:v>RFA-E250</x:v>
      </x:c>
      <x:c r="C256" t="str">
        <x:v>AM-05</x:v>
      </x:c>
      <x:c r="D256" t="str">
        <x:v>AF-3</x:v>
      </x:c>
      <x:c r="E256" t="str">
        <x:v>BB</x:v>
      </x:c>
      <x:c r="F256" t="str">
        <x:v>PTC-C</x:v>
      </x:c>
      <x:c r="G256" t="n">
        <x:v>500</x:v>
      </x:c>
      <x:c r="H256" t="str"/>
      <x:c r="I256" t="str"/>
      <x:c r="J256" t="str"/>
      <x:c r="K256" t="str"/>
      <x:c r="L256" t="str"/>
      <x:c r="M256" t="str"/>
      <x:c r="N256" t="str">
        <x:f>IF(AND(G256&lt;&gt;"",L256=1,M256&lt;&gt;""),"PASS","OPEN")</x:f>
        <x:v>OPEN</x:v>
      </x:c>
    </x:row>
    <x:row r="257">
      <x:c r="B257" t="str">
        <x:v>RFA-E251</x:v>
      </x:c>
      <x:c r="C257" t="str">
        <x:v>AM-05</x:v>
      </x:c>
      <x:c r="D257" t="str">
        <x:v>AF-3</x:v>
      </x:c>
      <x:c r="E257" t="str">
        <x:v>BB</x:v>
      </x:c>
      <x:c r="F257" t="str">
        <x:v>PTC-C</x:v>
      </x:c>
      <x:c r="G257" t="n">
        <x:v>500</x:v>
      </x:c>
      <x:c r="H257" t="str"/>
      <x:c r="I257" t="str"/>
      <x:c r="J257" t="str"/>
      <x:c r="K257" t="str"/>
      <x:c r="L257" t="str"/>
      <x:c r="M257" t="str"/>
      <x:c r="N257" t="str">
        <x:f>IF(AND(G257&lt;&gt;"",L257=1,M257&lt;&gt;""),"PASS","OPEN")</x:f>
        <x:v>OPEN</x:v>
      </x:c>
    </x:row>
    <x:row r="258">
      <x:c r="B258" t="str">
        <x:v>RFA-E252</x:v>
      </x:c>
      <x:c r="C258" t="str">
        <x:v>AM-05</x:v>
      </x:c>
      <x:c r="D258" t="str">
        <x:v>AF-3</x:v>
      </x:c>
      <x:c r="E258" t="str">
        <x:v>BB</x:v>
      </x:c>
      <x:c r="F258" t="str">
        <x:v>PTC-C</x:v>
      </x:c>
      <x:c r="G258" t="n">
        <x:v>500</x:v>
      </x:c>
      <x:c r="H258" t="str"/>
      <x:c r="I258" t="str"/>
      <x:c r="J258" t="str"/>
      <x:c r="K258" t="str"/>
      <x:c r="L258" t="str"/>
      <x:c r="M258" t="str"/>
      <x:c r="N258" t="str">
        <x:f>IF(AND(G258&lt;&gt;"",L258=1,M258&lt;&gt;""),"PASS","OPEN")</x:f>
        <x:v>OPEN</x:v>
      </x:c>
    </x:row>
    <x:row r="259">
      <x:c r="B259" t="str">
        <x:v>RFA-E253</x:v>
      </x:c>
      <x:c r="C259" t="str">
        <x:v>AM-05</x:v>
      </x:c>
      <x:c r="D259" t="str">
        <x:v>AF-3</x:v>
      </x:c>
      <x:c r="E259" t="str">
        <x:v>BB</x:v>
      </x:c>
      <x:c r="F259" t="str">
        <x:v>PTC-C</x:v>
      </x:c>
      <x:c r="G259" t="n">
        <x:v>500</x:v>
      </x:c>
      <x:c r="H259" t="str"/>
      <x:c r="I259" t="str"/>
      <x:c r="J259" t="str"/>
      <x:c r="K259" t="str"/>
      <x:c r="L259" t="str"/>
      <x:c r="M259" t="str"/>
      <x:c r="N259" t="str">
        <x:f>IF(AND(G259&lt;&gt;"",L259=1,M259&lt;&gt;""),"PASS","OPEN")</x:f>
        <x:v>OPEN</x:v>
      </x:c>
    </x:row>
    <x:row r="260">
      <x:c r="B260" t="str">
        <x:v>RFA-E254</x:v>
      </x:c>
      <x:c r="C260" t="str">
        <x:v>AM-05</x:v>
      </x:c>
      <x:c r="D260" t="str">
        <x:v>AF-3</x:v>
      </x:c>
      <x:c r="E260" t="str">
        <x:v>BB</x:v>
      </x:c>
      <x:c r="F260" t="str">
        <x:v>PTC-C</x:v>
      </x:c>
      <x:c r="G260" t="n">
        <x:v>500</x:v>
      </x:c>
      <x:c r="H260" t="str"/>
      <x:c r="I260" t="str"/>
      <x:c r="J260" t="str"/>
      <x:c r="K260" t="str"/>
      <x:c r="L260" t="str"/>
      <x:c r="M260" t="str"/>
      <x:c r="N260" t="str">
        <x:f>IF(AND(G260&lt;&gt;"",L260=1,M260&lt;&gt;""),"PASS","OPEN")</x:f>
        <x:v>OPEN</x:v>
      </x:c>
    </x:row>
    <x:row r="261">
      <x:c r="B261" t="str">
        <x:v>RFA-E255</x:v>
      </x:c>
      <x:c r="C261" t="str">
        <x:v>AM-05</x:v>
      </x:c>
      <x:c r="D261" t="str">
        <x:v>AF-3</x:v>
      </x:c>
      <x:c r="E261" t="str">
        <x:v>BB</x:v>
      </x:c>
      <x:c r="F261" t="str">
        <x:v>PTC-C</x:v>
      </x:c>
      <x:c r="G261" t="n">
        <x:v>500</x:v>
      </x:c>
      <x:c r="H261" t="str"/>
      <x:c r="I261" t="str"/>
      <x:c r="J261" t="str"/>
      <x:c r="K261" t="str"/>
      <x:c r="L261" t="str"/>
      <x:c r="M261" t="str"/>
      <x:c r="N261" t="str">
        <x:f>IF(AND(G261&lt;&gt;"",L261=1,M261&lt;&gt;""),"PASS","OPEN")</x:f>
        <x:v>OPEN</x:v>
      </x:c>
    </x:row>
    <x:row r="262">
      <x:c r="B262" t="str">
        <x:v>RFA-E256</x:v>
      </x:c>
      <x:c r="C262" t="str">
        <x:v>AM-05</x:v>
      </x:c>
      <x:c r="D262" t="str">
        <x:v>AF-3</x:v>
      </x:c>
      <x:c r="E262" t="str">
        <x:v>BB</x:v>
      </x:c>
      <x:c r="F262" t="str">
        <x:v>PTC-C</x:v>
      </x:c>
      <x:c r="G262" t="n">
        <x:v>500</x:v>
      </x:c>
      <x:c r="H262" t="str"/>
      <x:c r="I262" t="str"/>
      <x:c r="J262" t="str"/>
      <x:c r="K262" t="str"/>
      <x:c r="L262" t="str"/>
      <x:c r="M262" t="str"/>
      <x:c r="N262" t="str">
        <x:f>IF(AND(G262&lt;&gt;"",L262=1,M262&lt;&gt;""),"PASS","OPEN")</x:f>
        <x:v>OPEN</x:v>
      </x:c>
    </x:row>
    <x:row r="263">
      <x:c r="B263" t="str">
        <x:v>RFA-E257</x:v>
      </x:c>
      <x:c r="C263" t="str">
        <x:v>AM-07</x:v>
      </x:c>
      <x:c r="D263" t="str">
        <x:v>AF-3</x:v>
      </x:c>
      <x:c r="E263" t="str">
        <x:v>BB</x:v>
      </x:c>
      <x:c r="F263" t="str">
        <x:v>PTC-C</x:v>
      </x:c>
      <x:c r="G263" t="n">
        <x:v>2000</x:v>
      </x:c>
      <x:c r="H263" t="str"/>
      <x:c r="I263" t="str"/>
      <x:c r="J263" t="str"/>
      <x:c r="K263" t="str"/>
      <x:c r="L263" t="str"/>
      <x:c r="M263" t="str"/>
      <x:c r="N263" t="str">
        <x:f>IF(AND(G263&lt;&gt;"",L263=1,M263&lt;&gt;""),"PASS","OPEN")</x:f>
        <x:v>OPEN</x:v>
      </x:c>
    </x:row>
    <x:row r="264">
      <x:c r="B264" t="str">
        <x:v>RFA-E258</x:v>
      </x:c>
      <x:c r="C264" t="str">
        <x:v>AM-07</x:v>
      </x:c>
      <x:c r="D264" t="str">
        <x:v>AF-3</x:v>
      </x:c>
      <x:c r="E264" t="str">
        <x:v>BB</x:v>
      </x:c>
      <x:c r="F264" t="str">
        <x:v>PTC-C</x:v>
      </x:c>
      <x:c r="G264" t="n">
        <x:v>2000</x:v>
      </x:c>
      <x:c r="H264" t="str"/>
      <x:c r="I264" t="str"/>
      <x:c r="J264" t="str"/>
      <x:c r="K264" t="str"/>
      <x:c r="L264" t="str"/>
      <x:c r="M264" t="str"/>
      <x:c r="N264" t="str">
        <x:f>IF(AND(G264&lt;&gt;"",L264=1,M264&lt;&gt;""),"PASS","OPEN")</x:f>
        <x:v>OPEN</x:v>
      </x:c>
    </x:row>
    <x:row r="265">
      <x:c r="B265" t="str">
        <x:v>RFA-E259</x:v>
      </x:c>
      <x:c r="C265" t="str">
        <x:v>AM-07</x:v>
      </x:c>
      <x:c r="D265" t="str">
        <x:v>AF-3</x:v>
      </x:c>
      <x:c r="E265" t="str">
        <x:v>BB</x:v>
      </x:c>
      <x:c r="F265" t="str">
        <x:v>PTC-C</x:v>
      </x:c>
      <x:c r="G265" t="n">
        <x:v>2000</x:v>
      </x:c>
      <x:c r="H265" t="str"/>
      <x:c r="I265" t="str"/>
      <x:c r="J265" t="str"/>
      <x:c r="K265" t="str"/>
      <x:c r="L265" t="str"/>
      <x:c r="M265" t="str"/>
      <x:c r="N265" t="str">
        <x:f>IF(AND(G265&lt;&gt;"",L265=1,M265&lt;&gt;""),"PASS","OPEN")</x:f>
        <x:v>OPEN</x:v>
      </x:c>
    </x:row>
    <x:row r="266">
      <x:c r="B266" t="str">
        <x:v>RFA-E260</x:v>
      </x:c>
      <x:c r="C266" t="str">
        <x:v>AM-07</x:v>
      </x:c>
      <x:c r="D266" t="str">
        <x:v>AF-3</x:v>
      </x:c>
      <x:c r="E266" t="str">
        <x:v>BB</x:v>
      </x:c>
      <x:c r="F266" t="str">
        <x:v>PTC-C</x:v>
      </x:c>
      <x:c r="G266" t="n">
        <x:v>2000</x:v>
      </x:c>
      <x:c r="H266" t="str"/>
      <x:c r="I266" t="str"/>
      <x:c r="J266" t="str"/>
      <x:c r="K266" t="str"/>
      <x:c r="L266" t="str"/>
      <x:c r="M266" t="str"/>
      <x:c r="N266" t="str">
        <x:f>IF(AND(G266&lt;&gt;"",L266=1,M266&lt;&gt;""),"PASS","OPEN")</x:f>
        <x:v>OPEN</x:v>
      </x:c>
    </x:row>
    <x:row r="267">
      <x:c r="B267" t="str">
        <x:v>RFA-E261</x:v>
      </x:c>
      <x:c r="C267" t="str">
        <x:v>AM-07</x:v>
      </x:c>
      <x:c r="D267" t="str">
        <x:v>AF-3</x:v>
      </x:c>
      <x:c r="E267" t="str">
        <x:v>BB</x:v>
      </x:c>
      <x:c r="F267" t="str">
        <x:v>PTC-C</x:v>
      </x:c>
      <x:c r="G267" t="n">
        <x:v>2000</x:v>
      </x:c>
      <x:c r="H267" t="str"/>
      <x:c r="I267" t="str"/>
      <x:c r="J267" t="str"/>
      <x:c r="K267" t="str"/>
      <x:c r="L267" t="str"/>
      <x:c r="M267" t="str"/>
      <x:c r="N267" t="str">
        <x:f>IF(AND(G267&lt;&gt;"",L267=1,M267&lt;&gt;""),"PASS","OPEN")</x:f>
        <x:v>OPEN</x:v>
      </x:c>
    </x:row>
    <x:row r="268">
      <x:c r="B268" t="str">
        <x:v>RFA-E262</x:v>
      </x:c>
      <x:c r="C268" t="str">
        <x:v>AM-07</x:v>
      </x:c>
      <x:c r="D268" t="str">
        <x:v>AF-3</x:v>
      </x:c>
      <x:c r="E268" t="str">
        <x:v>BB</x:v>
      </x:c>
      <x:c r="F268" t="str">
        <x:v>PTC-C</x:v>
      </x:c>
      <x:c r="G268" t="n">
        <x:v>2000</x:v>
      </x:c>
      <x:c r="H268" t="str"/>
      <x:c r="I268" t="str"/>
      <x:c r="J268" t="str"/>
      <x:c r="K268" t="str"/>
      <x:c r="L268" t="str"/>
      <x:c r="M268" t="str"/>
      <x:c r="N268" t="str">
        <x:f>IF(AND(G268&lt;&gt;"",L268=1,M268&lt;&gt;""),"PASS","OPEN")</x:f>
        <x:v>OPEN</x:v>
      </x:c>
    </x:row>
    <x:row r="269">
      <x:c r="B269" t="str">
        <x:v>RFA-E263</x:v>
      </x:c>
      <x:c r="C269" t="str">
        <x:v>AM-07</x:v>
      </x:c>
      <x:c r="D269" t="str">
        <x:v>AF-3</x:v>
      </x:c>
      <x:c r="E269" t="str">
        <x:v>BB</x:v>
      </x:c>
      <x:c r="F269" t="str">
        <x:v>PTC-C</x:v>
      </x:c>
      <x:c r="G269" t="n">
        <x:v>2000</x:v>
      </x:c>
      <x:c r="H269" t="str"/>
      <x:c r="I269" t="str"/>
      <x:c r="J269" t="str"/>
      <x:c r="K269" t="str"/>
      <x:c r="L269" t="str"/>
      <x:c r="M269" t="str"/>
      <x:c r="N269" t="str">
        <x:f>IF(AND(G269&lt;&gt;"",L269=1,M269&lt;&gt;""),"PASS","OPEN")</x:f>
        <x:v>OPEN</x:v>
      </x:c>
    </x:row>
    <x:row r="270">
      <x:c r="B270" t="str">
        <x:v>RFA-E264</x:v>
      </x:c>
      <x:c r="C270" t="str">
        <x:v>AM-07</x:v>
      </x:c>
      <x:c r="D270" t="str">
        <x:v>AF-3</x:v>
      </x:c>
      <x:c r="E270" t="str">
        <x:v>BB</x:v>
      </x:c>
      <x:c r="F270" t="str">
        <x:v>PTC-C</x:v>
      </x:c>
      <x:c r="G270" t="n">
        <x:v>2000</x:v>
      </x:c>
      <x:c r="H270" t="str"/>
      <x:c r="I270" t="str"/>
      <x:c r="J270" t="str"/>
      <x:c r="K270" t="str"/>
      <x:c r="L270" t="str"/>
      <x:c r="M270" t="str"/>
      <x:c r="N270" t="str">
        <x:f>IF(AND(G270&lt;&gt;"",L270=1,M270&lt;&gt;""),"PASS","OPEN")</x:f>
        <x:v>OPEN</x:v>
      </x:c>
    </x:row>
    <x:row r="271">
      <x:c r="B271" t="str">
        <x:v>RFA-E265</x:v>
      </x:c>
      <x:c r="C271" t="str">
        <x:v>AM-08</x:v>
      </x:c>
      <x:c r="D271" t="str">
        <x:v>AF-1</x:v>
      </x:c>
      <x:c r="E271" t="str">
        <x:v>BA</x:v>
      </x:c>
      <x:c r="F271" t="str">
        <x:v>PTC-A</x:v>
      </x:c>
      <x:c r="G271" t="n">
        <x:v>2000</x:v>
      </x:c>
      <x:c r="H271" t="str"/>
      <x:c r="I271" t="str"/>
      <x:c r="J271" t="str"/>
      <x:c r="K271" t="str"/>
      <x:c r="L271" t="str"/>
      <x:c r="M271" t="str"/>
      <x:c r="N271" t="str">
        <x:f>IF(AND(G271&lt;&gt;"",L271=1,M271&lt;&gt;""),"PASS","OPEN")</x:f>
        <x:v>OPEN</x:v>
      </x:c>
    </x:row>
    <x:row r="272">
      <x:c r="B272" t="str">
        <x:v>RFA-E266</x:v>
      </x:c>
      <x:c r="C272" t="str">
        <x:v>AM-08</x:v>
      </x:c>
      <x:c r="D272" t="str">
        <x:v>AF-1</x:v>
      </x:c>
      <x:c r="E272" t="str">
        <x:v>BA</x:v>
      </x:c>
      <x:c r="F272" t="str">
        <x:v>PTC-A</x:v>
      </x:c>
      <x:c r="G272" t="n">
        <x:v>2000</x:v>
      </x:c>
      <x:c r="H272" t="str"/>
      <x:c r="I272" t="str"/>
      <x:c r="J272" t="str"/>
      <x:c r="K272" t="str"/>
      <x:c r="L272" t="str"/>
      <x:c r="M272" t="str"/>
      <x:c r="N272" t="str">
        <x:f>IF(AND(G272&lt;&gt;"",L272=1,M272&lt;&gt;""),"PASS","OPEN")</x:f>
        <x:v>OPEN</x:v>
      </x:c>
    </x:row>
    <x:row r="273">
      <x:c r="B273" t="str">
        <x:v>RFA-E267</x:v>
      </x:c>
      <x:c r="C273" t="str">
        <x:v>AM-08</x:v>
      </x:c>
      <x:c r="D273" t="str">
        <x:v>AF-1</x:v>
      </x:c>
      <x:c r="E273" t="str">
        <x:v>BA</x:v>
      </x:c>
      <x:c r="F273" t="str">
        <x:v>PTC-A</x:v>
      </x:c>
      <x:c r="G273" t="n">
        <x:v>2000</x:v>
      </x:c>
      <x:c r="H273" t="str"/>
      <x:c r="I273" t="str"/>
      <x:c r="J273" t="str"/>
      <x:c r="K273" t="str"/>
      <x:c r="L273" t="str"/>
      <x:c r="M273" t="str"/>
      <x:c r="N273" t="str">
        <x:f>IF(AND(G273&lt;&gt;"",L273=1,M273&lt;&gt;""),"PASS","OPEN")</x:f>
        <x:v>OPEN</x:v>
      </x:c>
    </x:row>
    <x:row r="274">
      <x:c r="B274" t="str">
        <x:v>RFA-E268</x:v>
      </x:c>
      <x:c r="C274" t="str">
        <x:v>AM-08</x:v>
      </x:c>
      <x:c r="D274" t="str">
        <x:v>AF-1</x:v>
      </x:c>
      <x:c r="E274" t="str">
        <x:v>BA</x:v>
      </x:c>
      <x:c r="F274" t="str">
        <x:v>PTC-A</x:v>
      </x:c>
      <x:c r="G274" t="n">
        <x:v>2000</x:v>
      </x:c>
      <x:c r="H274" t="str"/>
      <x:c r="I274" t="str"/>
      <x:c r="J274" t="str"/>
      <x:c r="K274" t="str"/>
      <x:c r="L274" t="str"/>
      <x:c r="M274" t="str"/>
      <x:c r="N274" t="str">
        <x:f>IF(AND(G274&lt;&gt;"",L274=1,M274&lt;&gt;""),"PASS","OPEN")</x:f>
        <x:v>OPEN</x:v>
      </x:c>
    </x:row>
    <x:row r="275">
      <x:c r="B275" t="str">
        <x:v>RFA-E269</x:v>
      </x:c>
      <x:c r="C275" t="str">
        <x:v>AM-08</x:v>
      </x:c>
      <x:c r="D275" t="str">
        <x:v>AF-1</x:v>
      </x:c>
      <x:c r="E275" t="str">
        <x:v>BB</x:v>
      </x:c>
      <x:c r="F275" t="str">
        <x:v>PTC-A</x:v>
      </x:c>
      <x:c r="G275" t="n">
        <x:v>2000</x:v>
      </x:c>
      <x:c r="H275" t="str"/>
      <x:c r="I275" t="str"/>
      <x:c r="J275" t="str"/>
      <x:c r="K275" t="str"/>
      <x:c r="L275" t="str"/>
      <x:c r="M275" t="str"/>
      <x:c r="N275" t="str">
        <x:f>IF(AND(G275&lt;&gt;"",L275=1,M275&lt;&gt;""),"PASS","OPEN")</x:f>
        <x:v>OPEN</x:v>
      </x:c>
    </x:row>
    <x:row r="276">
      <x:c r="B276" t="str">
        <x:v>RFA-E270</x:v>
      </x:c>
      <x:c r="C276" t="str">
        <x:v>AM-08</x:v>
      </x:c>
      <x:c r="D276" t="str">
        <x:v>AF-1</x:v>
      </x:c>
      <x:c r="E276" t="str">
        <x:v>BB</x:v>
      </x:c>
      <x:c r="F276" t="str">
        <x:v>PTC-A</x:v>
      </x:c>
      <x:c r="G276" t="n">
        <x:v>2000</x:v>
      </x:c>
      <x:c r="H276" t="str"/>
      <x:c r="I276" t="str"/>
      <x:c r="J276" t="str"/>
      <x:c r="K276" t="str"/>
      <x:c r="L276" t="str"/>
      <x:c r="M276" t="str"/>
      <x:c r="N276" t="str">
        <x:f>IF(AND(G276&lt;&gt;"",L276=1,M276&lt;&gt;""),"PASS","OPEN")</x:f>
        <x:v>OPEN</x:v>
      </x:c>
    </x:row>
    <x:row r="277">
      <x:c r="B277" t="str">
        <x:v>RFA-E271</x:v>
      </x:c>
      <x:c r="C277" t="str">
        <x:v>AM-08</x:v>
      </x:c>
      <x:c r="D277" t="str">
        <x:v>AF-1</x:v>
      </x:c>
      <x:c r="E277" t="str">
        <x:v>BB</x:v>
      </x:c>
      <x:c r="F277" t="str">
        <x:v>PTC-A</x:v>
      </x:c>
      <x:c r="G277" t="n">
        <x:v>2000</x:v>
      </x:c>
      <x:c r="H277" t="str"/>
      <x:c r="I277" t="str"/>
      <x:c r="J277" t="str"/>
      <x:c r="K277" t="str"/>
      <x:c r="L277" t="str"/>
      <x:c r="M277" t="str"/>
      <x:c r="N277" t="str">
        <x:f>IF(AND(G277&lt;&gt;"",L277=1,M277&lt;&gt;""),"PASS","OPEN")</x:f>
        <x:v>OPEN</x:v>
      </x:c>
    </x:row>
    <x:row r="278">
      <x:c r="B278" t="str">
        <x:v>RFA-E272</x:v>
      </x:c>
      <x:c r="C278" t="str">
        <x:v>AM-08</x:v>
      </x:c>
      <x:c r="D278" t="str">
        <x:v>AF-1</x:v>
      </x:c>
      <x:c r="E278" t="str">
        <x:v>BB</x:v>
      </x:c>
      <x:c r="F278" t="str">
        <x:v>PTC-A</x:v>
      </x:c>
      <x:c r="G278" t="n">
        <x:v>2000</x:v>
      </x:c>
      <x:c r="H278" t="str"/>
      <x:c r="I278" t="str"/>
      <x:c r="J278" t="str"/>
      <x:c r="K278" t="str"/>
      <x:c r="L278" t="str"/>
      <x:c r="M278" t="str"/>
      <x:c r="N278" t="str">
        <x:f>IF(AND(G278&lt;&gt;"",L278=1,M278&lt;&gt;""),"PASS","OPEN")</x:f>
        <x:v>OPEN</x:v>
      </x:c>
    </x:row>
    <x:row r="279">
      <x:c r="B279" t="str">
        <x:v>RFA-E273</x:v>
      </x:c>
      <x:c r="C279" t="str">
        <x:v>AM-08</x:v>
      </x:c>
      <x:c r="D279" t="str">
        <x:v>AF-2</x:v>
      </x:c>
      <x:c r="E279" t="str">
        <x:v>BA</x:v>
      </x:c>
      <x:c r="F279" t="str">
        <x:v>PTC-A</x:v>
      </x:c>
      <x:c r="G279" t="n">
        <x:v>2000</x:v>
      </x:c>
      <x:c r="H279" t="str"/>
      <x:c r="I279" t="str"/>
      <x:c r="J279" t="str"/>
      <x:c r="K279" t="str"/>
      <x:c r="L279" t="str"/>
      <x:c r="M279" t="str"/>
      <x:c r="N279" t="str">
        <x:f>IF(AND(G279&lt;&gt;"",L279=1,M279&lt;&gt;""),"PASS","OPEN")</x:f>
        <x:v>OPEN</x:v>
      </x:c>
    </x:row>
    <x:row r="280">
      <x:c r="B280" t="str">
        <x:v>RFA-E274</x:v>
      </x:c>
      <x:c r="C280" t="str">
        <x:v>AM-08</x:v>
      </x:c>
      <x:c r="D280" t="str">
        <x:v>AF-2</x:v>
      </x:c>
      <x:c r="E280" t="str">
        <x:v>BA</x:v>
      </x:c>
      <x:c r="F280" t="str">
        <x:v>PTC-A</x:v>
      </x:c>
      <x:c r="G280" t="n">
        <x:v>2000</x:v>
      </x:c>
      <x:c r="H280" t="str"/>
      <x:c r="I280" t="str"/>
      <x:c r="J280" t="str"/>
      <x:c r="K280" t="str"/>
      <x:c r="L280" t="str"/>
      <x:c r="M280" t="str"/>
      <x:c r="N280" t="str">
        <x:f>IF(AND(G280&lt;&gt;"",L280=1,M280&lt;&gt;""),"PASS","OPEN")</x:f>
        <x:v>OPEN</x:v>
      </x:c>
    </x:row>
    <x:row r="281">
      <x:c r="B281" t="str">
        <x:v>RFA-E275</x:v>
      </x:c>
      <x:c r="C281" t="str">
        <x:v>AM-08</x:v>
      </x:c>
      <x:c r="D281" t="str">
        <x:v>AF-2</x:v>
      </x:c>
      <x:c r="E281" t="str">
        <x:v>BA</x:v>
      </x:c>
      <x:c r="F281" t="str">
        <x:v>PTC-A</x:v>
      </x:c>
      <x:c r="G281" t="n">
        <x:v>2000</x:v>
      </x:c>
      <x:c r="H281" t="str"/>
      <x:c r="I281" t="str"/>
      <x:c r="J281" t="str"/>
      <x:c r="K281" t="str"/>
      <x:c r="L281" t="str"/>
      <x:c r="M281" t="str"/>
      <x:c r="N281" t="str">
        <x:f>IF(AND(G281&lt;&gt;"",L281=1,M281&lt;&gt;""),"PASS","OPEN")</x:f>
        <x:v>OPEN</x:v>
      </x:c>
    </x:row>
    <x:row r="282">
      <x:c r="B282" t="str">
        <x:v>RFA-E276</x:v>
      </x:c>
      <x:c r="C282" t="str">
        <x:v>AM-08</x:v>
      </x:c>
      <x:c r="D282" t="str">
        <x:v>AF-2</x:v>
      </x:c>
      <x:c r="E282" t="str">
        <x:v>BA</x:v>
      </x:c>
      <x:c r="F282" t="str">
        <x:v>PTC-A</x:v>
      </x:c>
      <x:c r="G282" t="n">
        <x:v>2000</x:v>
      </x:c>
      <x:c r="H282" t="str"/>
      <x:c r="I282" t="str"/>
      <x:c r="J282" t="str"/>
      <x:c r="K282" t="str"/>
      <x:c r="L282" t="str"/>
      <x:c r="M282" t="str"/>
      <x:c r="N282" t="str">
        <x:f>IF(AND(G282&lt;&gt;"",L282=1,M282&lt;&gt;""),"PASS","OPEN")</x:f>
        <x:v>OPEN</x:v>
      </x:c>
    </x:row>
    <x:row r="283">
      <x:c r="B283" t="str">
        <x:v>RFA-E277</x:v>
      </x:c>
      <x:c r="C283" t="str">
        <x:v>AM-08</x:v>
      </x:c>
      <x:c r="D283" t="str">
        <x:v>AF-2</x:v>
      </x:c>
      <x:c r="E283" t="str">
        <x:v>BB</x:v>
      </x:c>
      <x:c r="F283" t="str">
        <x:v>PTC-A</x:v>
      </x:c>
      <x:c r="G283" t="n">
        <x:v>2000</x:v>
      </x:c>
      <x:c r="H283" t="str"/>
      <x:c r="I283" t="str"/>
      <x:c r="J283" t="str"/>
      <x:c r="K283" t="str"/>
      <x:c r="L283" t="str"/>
      <x:c r="M283" t="str"/>
      <x:c r="N283" t="str">
        <x:f>IF(AND(G283&lt;&gt;"",L283=1,M283&lt;&gt;""),"PASS","OPEN")</x:f>
        <x:v>OPEN</x:v>
      </x:c>
    </x:row>
    <x:row r="284">
      <x:c r="B284" t="str">
        <x:v>RFA-E278</x:v>
      </x:c>
      <x:c r="C284" t="str">
        <x:v>AM-08</x:v>
      </x:c>
      <x:c r="D284" t="str">
        <x:v>AF-2</x:v>
      </x:c>
      <x:c r="E284" t="str">
        <x:v>BB</x:v>
      </x:c>
      <x:c r="F284" t="str">
        <x:v>PTC-A</x:v>
      </x:c>
      <x:c r="G284" t="n">
        <x:v>2000</x:v>
      </x:c>
      <x:c r="H284" t="str"/>
      <x:c r="I284" t="str"/>
      <x:c r="J284" t="str"/>
      <x:c r="K284" t="str"/>
      <x:c r="L284" t="str"/>
      <x:c r="M284" t="str"/>
      <x:c r="N284" t="str">
        <x:f>IF(AND(G284&lt;&gt;"",L284=1,M284&lt;&gt;""),"PASS","OPEN")</x:f>
        <x:v>OPEN</x:v>
      </x:c>
    </x:row>
    <x:row r="285">
      <x:c r="B285" t="str">
        <x:v>RFA-E279</x:v>
      </x:c>
      <x:c r="C285" t="str">
        <x:v>AM-08</x:v>
      </x:c>
      <x:c r="D285" t="str">
        <x:v>AF-2</x:v>
      </x:c>
      <x:c r="E285" t="str">
        <x:v>BB</x:v>
      </x:c>
      <x:c r="F285" t="str">
        <x:v>PTC-A</x:v>
      </x:c>
      <x:c r="G285" t="n">
        <x:v>2000</x:v>
      </x:c>
      <x:c r="H285" t="str"/>
      <x:c r="I285" t="str"/>
      <x:c r="J285" t="str"/>
      <x:c r="K285" t="str"/>
      <x:c r="L285" t="str"/>
      <x:c r="M285" t="str"/>
      <x:c r="N285" t="str">
        <x:f>IF(AND(G285&lt;&gt;"",L285=1,M285&lt;&gt;""),"PASS","OPEN")</x:f>
        <x:v>OPEN</x:v>
      </x:c>
    </x:row>
    <x:row r="286">
      <x:c r="B286" t="str">
        <x:v>RFA-E280</x:v>
      </x:c>
      <x:c r="C286" t="str">
        <x:v>AM-08</x:v>
      </x:c>
      <x:c r="D286" t="str">
        <x:v>AF-2</x:v>
      </x:c>
      <x:c r="E286" t="str">
        <x:v>BB</x:v>
      </x:c>
      <x:c r="F286" t="str">
        <x:v>PTC-A</x:v>
      </x:c>
      <x:c r="G286" t="n">
        <x:v>2000</x:v>
      </x:c>
      <x:c r="H286" t="str"/>
      <x:c r="I286" t="str"/>
      <x:c r="J286" t="str"/>
      <x:c r="K286" t="str"/>
      <x:c r="L286" t="str"/>
      <x:c r="M286" t="str"/>
      <x:c r="N286" t="str">
        <x:f>IF(AND(G286&lt;&gt;"",L286=1,M286&lt;&gt;""),"PASS","OPEN")</x:f>
        <x:v>OPEN</x:v>
      </x:c>
    </x:row>
    <x:row r="287">
      <x:c r="B287" t="str">
        <x:v>RFA-E281</x:v>
      </x:c>
      <x:c r="C287" t="str">
        <x:v>AM-08</x:v>
      </x:c>
      <x:c r="D287" t="str">
        <x:v>AF-3</x:v>
      </x:c>
      <x:c r="E287" t="str">
        <x:v>BA</x:v>
      </x:c>
      <x:c r="F287" t="str">
        <x:v>PTC-A</x:v>
      </x:c>
      <x:c r="G287" t="n">
        <x:v>2000</x:v>
      </x:c>
      <x:c r="H287" t="str"/>
      <x:c r="I287" t="str"/>
      <x:c r="J287" t="str"/>
      <x:c r="K287" t="str"/>
      <x:c r="L287" t="str"/>
      <x:c r="M287" t="str"/>
      <x:c r="N287" t="str">
        <x:f>IF(AND(G287&lt;&gt;"",L287=1,M287&lt;&gt;""),"PASS","OPEN")</x:f>
        <x:v>OPEN</x:v>
      </x:c>
    </x:row>
    <x:row r="288">
      <x:c r="B288" t="str">
        <x:v>RFA-E282</x:v>
      </x:c>
      <x:c r="C288" t="str">
        <x:v>AM-08</x:v>
      </x:c>
      <x:c r="D288" t="str">
        <x:v>AF-3</x:v>
      </x:c>
      <x:c r="E288" t="str">
        <x:v>BA</x:v>
      </x:c>
      <x:c r="F288" t="str">
        <x:v>PTC-A</x:v>
      </x:c>
      <x:c r="G288" t="n">
        <x:v>2000</x:v>
      </x:c>
      <x:c r="H288" t="str"/>
      <x:c r="I288" t="str"/>
      <x:c r="J288" t="str"/>
      <x:c r="K288" t="str"/>
      <x:c r="L288" t="str"/>
      <x:c r="M288" t="str"/>
      <x:c r="N288" t="str">
        <x:f>IF(AND(G288&lt;&gt;"",L288=1,M288&lt;&gt;""),"PASS","OPEN")</x:f>
        <x:v>OPEN</x:v>
      </x:c>
    </x:row>
    <x:row r="289">
      <x:c r="B289" t="str">
        <x:v>RFA-E283</x:v>
      </x:c>
      <x:c r="C289" t="str">
        <x:v>AM-08</x:v>
      </x:c>
      <x:c r="D289" t="str">
        <x:v>AF-3</x:v>
      </x:c>
      <x:c r="E289" t="str">
        <x:v>BA</x:v>
      </x:c>
      <x:c r="F289" t="str">
        <x:v>PTC-A</x:v>
      </x:c>
      <x:c r="G289" t="n">
        <x:v>2000</x:v>
      </x:c>
      <x:c r="H289" t="str"/>
      <x:c r="I289" t="str"/>
      <x:c r="J289" t="str"/>
      <x:c r="K289" t="str"/>
      <x:c r="L289" t="str"/>
      <x:c r="M289" t="str"/>
      <x:c r="N289" t="str">
        <x:f>IF(AND(G289&lt;&gt;"",L289=1,M289&lt;&gt;""),"PASS","OPEN")</x:f>
        <x:v>OPEN</x:v>
      </x:c>
    </x:row>
    <x:row r="290">
      <x:c r="B290" t="str">
        <x:v>RFA-E284</x:v>
      </x:c>
      <x:c r="C290" t="str">
        <x:v>AM-08</x:v>
      </x:c>
      <x:c r="D290" t="str">
        <x:v>AF-3</x:v>
      </x:c>
      <x:c r="E290" t="str">
        <x:v>BA</x:v>
      </x:c>
      <x:c r="F290" t="str">
        <x:v>PTC-A</x:v>
      </x:c>
      <x:c r="G290" t="n">
        <x:v>2000</x:v>
      </x:c>
      <x:c r="H290" t="str"/>
      <x:c r="I290" t="str"/>
      <x:c r="J290" t="str"/>
      <x:c r="K290" t="str"/>
      <x:c r="L290" t="str"/>
      <x:c r="M290" t="str"/>
      <x:c r="N290" t="str">
        <x:f>IF(AND(G290&lt;&gt;"",L290=1,M290&lt;&gt;""),"PASS","OPEN")</x:f>
        <x:v>OPEN</x:v>
      </x:c>
    </x:row>
    <x:row r="291">
      <x:c r="B291" t="str">
        <x:v>RFA-E285</x:v>
      </x:c>
      <x:c r="C291" t="str">
        <x:v>AM-08</x:v>
      </x:c>
      <x:c r="D291" t="str">
        <x:v>AF-3</x:v>
      </x:c>
      <x:c r="E291" t="str">
        <x:v>BB</x:v>
      </x:c>
      <x:c r="F291" t="str">
        <x:v>PTC-A</x:v>
      </x:c>
      <x:c r="G291" t="n">
        <x:v>2000</x:v>
      </x:c>
      <x:c r="H291" t="str"/>
      <x:c r="I291" t="str"/>
      <x:c r="J291" t="str"/>
      <x:c r="K291" t="str"/>
      <x:c r="L291" t="str"/>
      <x:c r="M291" t="str"/>
      <x:c r="N291" t="str">
        <x:f>IF(AND(G291&lt;&gt;"",L291=1,M291&lt;&gt;""),"PASS","OPEN")</x:f>
        <x:v>OPEN</x:v>
      </x:c>
    </x:row>
    <x:row r="292">
      <x:c r="B292" t="str">
        <x:v>RFA-E286</x:v>
      </x:c>
      <x:c r="C292" t="str">
        <x:v>AM-08</x:v>
      </x:c>
      <x:c r="D292" t="str">
        <x:v>AF-3</x:v>
      </x:c>
      <x:c r="E292" t="str">
        <x:v>BB</x:v>
      </x:c>
      <x:c r="F292" t="str">
        <x:v>PTC-A</x:v>
      </x:c>
      <x:c r="G292" t="n">
        <x:v>2000</x:v>
      </x:c>
      <x:c r="H292" t="str"/>
      <x:c r="I292" t="str"/>
      <x:c r="J292" t="str"/>
      <x:c r="K292" t="str"/>
      <x:c r="L292" t="str"/>
      <x:c r="M292" t="str"/>
      <x:c r="N292" t="str">
        <x:f>IF(AND(G292&lt;&gt;"",L292=1,M292&lt;&gt;""),"PASS","OPEN")</x:f>
        <x:v>OPEN</x:v>
      </x:c>
    </x:row>
    <x:row r="293">
      <x:c r="B293" t="str">
        <x:v>RFA-E287</x:v>
      </x:c>
      <x:c r="C293" t="str">
        <x:v>AM-08</x:v>
      </x:c>
      <x:c r="D293" t="str">
        <x:v>AF-3</x:v>
      </x:c>
      <x:c r="E293" t="str">
        <x:v>BB</x:v>
      </x:c>
      <x:c r="F293" t="str">
        <x:v>PTC-A</x:v>
      </x:c>
      <x:c r="G293" t="n">
        <x:v>2000</x:v>
      </x:c>
      <x:c r="H293" t="str"/>
      <x:c r="I293" t="str"/>
      <x:c r="J293" t="str"/>
      <x:c r="K293" t="str"/>
      <x:c r="L293" t="str"/>
      <x:c r="M293" t="str"/>
      <x:c r="N293" t="str">
        <x:f>IF(AND(G293&lt;&gt;"",L293=1,M293&lt;&gt;""),"PASS","OPEN")</x:f>
        <x:v>OPEN</x:v>
      </x:c>
    </x:row>
    <x:row r="294">
      <x:c r="B294" t="str">
        <x:v>RFA-E288</x:v>
      </x:c>
      <x:c r="C294" t="str">
        <x:v>AM-08</x:v>
      </x:c>
      <x:c r="D294" t="str">
        <x:v>AF-3</x:v>
      </x:c>
      <x:c r="E294" t="str">
        <x:v>BB</x:v>
      </x:c>
      <x:c r="F294" t="str">
        <x:v>PTC-A</x:v>
      </x:c>
      <x:c r="G294" t="n">
        <x:v>2000</x:v>
      </x:c>
      <x:c r="H294" t="str"/>
      <x:c r="I294" t="str"/>
      <x:c r="J294" t="str"/>
      <x:c r="K294" t="str"/>
      <x:c r="L294" t="str"/>
      <x:c r="M294" t="str"/>
      <x:c r="N294" t="str">
        <x:f>IF(AND(G294&lt;&gt;"",L294=1,M294&lt;&gt;""),"PASS","OPEN")</x:f>
        <x:v>OPEN</x:v>
      </x:c>
    </x:row>
    <x:row r="295">
      <x:c r="B295" t="str">
        <x:v>RFA-E289</x:v>
      </x:c>
      <x:c r="C295" t="str">
        <x:v>AM-09</x:v>
      </x:c>
      <x:c r="D295" t="str">
        <x:v>AF-1</x:v>
      </x:c>
      <x:c r="E295" t="str">
        <x:v>BA</x:v>
      </x:c>
      <x:c r="F295" t="str">
        <x:v>PTC-B</x:v>
      </x:c>
      <x:c r="G295" t="n">
        <x:v>0</x:v>
      </x:c>
      <x:c r="H295" t="str"/>
      <x:c r="I295" t="str"/>
      <x:c r="J295" t="str"/>
      <x:c r="K295" t="str"/>
      <x:c r="L295" t="str"/>
      <x:c r="M295" t="str"/>
      <x:c r="N295" t="str">
        <x:f>IF(AND(G295&lt;&gt;"",L295=1,M295&lt;&gt;""),"PASS","OPEN")</x:f>
        <x:v>OPEN</x:v>
      </x:c>
    </x:row>
    <x:row r="296">
      <x:c r="B296" t="str">
        <x:v>RFA-E290</x:v>
      </x:c>
      <x:c r="C296" t="str">
        <x:v>AM-09</x:v>
      </x:c>
      <x:c r="D296" t="str">
        <x:v>AF-1</x:v>
      </x:c>
      <x:c r="E296" t="str">
        <x:v>BA</x:v>
      </x:c>
      <x:c r="F296" t="str">
        <x:v>PTC-C</x:v>
      </x:c>
      <x:c r="G296" t="n">
        <x:v>0</x:v>
      </x:c>
      <x:c r="H296" t="str"/>
      <x:c r="I296" t="str"/>
      <x:c r="J296" t="str"/>
      <x:c r="K296" t="str"/>
      <x:c r="L296" t="str"/>
      <x:c r="M296" t="str"/>
      <x:c r="N296" t="str">
        <x:f>IF(AND(G296&lt;&gt;"",L296=1,M296&lt;&gt;""),"PASS","OPEN")</x:f>
        <x:v>OPEN</x:v>
      </x:c>
    </x:row>
    <x:row r="297">
      <x:c r="B297" t="str">
        <x:v>RFA-E291</x:v>
      </x:c>
      <x:c r="C297" t="str">
        <x:v>AM-09</x:v>
      </x:c>
      <x:c r="D297" t="str">
        <x:v>AF-1</x:v>
      </x:c>
      <x:c r="E297" t="str">
        <x:v>BB</x:v>
      </x:c>
      <x:c r="F297" t="str">
        <x:v>PTC-B</x:v>
      </x:c>
      <x:c r="G297" t="n">
        <x:v>0</x:v>
      </x:c>
      <x:c r="H297" t="str"/>
      <x:c r="I297" t="str"/>
      <x:c r="J297" t="str"/>
      <x:c r="K297" t="str"/>
      <x:c r="L297" t="str"/>
      <x:c r="M297" t="str"/>
      <x:c r="N297" t="str">
        <x:f>IF(AND(G297&lt;&gt;"",L297=1,M297&lt;&gt;""),"PASS","OPEN")</x:f>
        <x:v>OPEN</x:v>
      </x:c>
    </x:row>
    <x:row r="298">
      <x:c r="B298" t="str">
        <x:v>RFA-E292</x:v>
      </x:c>
      <x:c r="C298" t="str">
        <x:v>AM-09</x:v>
      </x:c>
      <x:c r="D298" t="str">
        <x:v>AF-1</x:v>
      </x:c>
      <x:c r="E298" t="str">
        <x:v>BB</x:v>
      </x:c>
      <x:c r="F298" t="str">
        <x:v>PTC-C</x:v>
      </x:c>
      <x:c r="G298" t="n">
        <x:v>0</x:v>
      </x:c>
      <x:c r="H298" t="str"/>
      <x:c r="I298" t="str"/>
      <x:c r="J298" t="str"/>
      <x:c r="K298" t="str"/>
      <x:c r="L298" t="str"/>
      <x:c r="M298" t="str"/>
      <x:c r="N298" t="str">
        <x:f>IF(AND(G298&lt;&gt;"",L298=1,M298&lt;&gt;""),"PASS","OPEN")</x:f>
        <x:v>OPEN</x:v>
      </x:c>
    </x:row>
    <x:row r="299">
      <x:c r="B299" t="str">
        <x:v>RFA-E293</x:v>
      </x:c>
      <x:c r="C299" t="str">
        <x:v>AM-09</x:v>
      </x:c>
      <x:c r="D299" t="str">
        <x:v>AF-2</x:v>
      </x:c>
      <x:c r="E299" t="str">
        <x:v>BA</x:v>
      </x:c>
      <x:c r="F299" t="str">
        <x:v>PTC-B</x:v>
      </x:c>
      <x:c r="G299" t="n">
        <x:v>0</x:v>
      </x:c>
      <x:c r="H299" t="str"/>
      <x:c r="I299" t="str"/>
      <x:c r="J299" t="str"/>
      <x:c r="K299" t="str"/>
      <x:c r="L299" t="str"/>
      <x:c r="M299" t="str"/>
      <x:c r="N299" t="str">
        <x:f>IF(AND(G299&lt;&gt;"",L299=1,M299&lt;&gt;""),"PASS","OPEN")</x:f>
        <x:v>OPEN</x:v>
      </x:c>
    </x:row>
    <x:row r="300">
      <x:c r="B300" t="str">
        <x:v>RFA-E294</x:v>
      </x:c>
      <x:c r="C300" t="str">
        <x:v>AM-09</x:v>
      </x:c>
      <x:c r="D300" t="str">
        <x:v>AF-2</x:v>
      </x:c>
      <x:c r="E300" t="str">
        <x:v>BA</x:v>
      </x:c>
      <x:c r="F300" t="str">
        <x:v>PTC-C</x:v>
      </x:c>
      <x:c r="G300" t="n">
        <x:v>0</x:v>
      </x:c>
      <x:c r="H300" t="str"/>
      <x:c r="I300" t="str"/>
      <x:c r="J300" t="str"/>
      <x:c r="K300" t="str"/>
      <x:c r="L300" t="str"/>
      <x:c r="M300" t="str"/>
      <x:c r="N300" t="str">
        <x:f>IF(AND(G300&lt;&gt;"",L300=1,M300&lt;&gt;""),"PASS","OPEN")</x:f>
        <x:v>OPEN</x:v>
      </x:c>
    </x:row>
    <x:row r="301">
      <x:c r="B301" t="str">
        <x:v>RFA-E295</x:v>
      </x:c>
      <x:c r="C301" t="str">
        <x:v>AM-09</x:v>
      </x:c>
      <x:c r="D301" t="str">
        <x:v>AF-2</x:v>
      </x:c>
      <x:c r="E301" t="str">
        <x:v>BB</x:v>
      </x:c>
      <x:c r="F301" t="str">
        <x:v>PTC-B</x:v>
      </x:c>
      <x:c r="G301" t="n">
        <x:v>0</x:v>
      </x:c>
      <x:c r="H301" t="str"/>
      <x:c r="I301" t="str"/>
      <x:c r="J301" t="str"/>
      <x:c r="K301" t="str"/>
      <x:c r="L301" t="str"/>
      <x:c r="M301" t="str"/>
      <x:c r="N301" t="str">
        <x:f>IF(AND(G301&lt;&gt;"",L301=1,M301&lt;&gt;""),"PASS","OPEN")</x:f>
        <x:v>OPEN</x:v>
      </x:c>
    </x:row>
    <x:row r="302">
      <x:c r="B302" t="str">
        <x:v>RFA-E296</x:v>
      </x:c>
      <x:c r="C302" t="str">
        <x:v>AM-09</x:v>
      </x:c>
      <x:c r="D302" t="str">
        <x:v>AF-2</x:v>
      </x:c>
      <x:c r="E302" t="str">
        <x:v>BB</x:v>
      </x:c>
      <x:c r="F302" t="str">
        <x:v>PTC-C</x:v>
      </x:c>
      <x:c r="G302" t="n">
        <x:v>0</x:v>
      </x:c>
      <x:c r="H302" t="str"/>
      <x:c r="I302" t="str"/>
      <x:c r="J302" t="str"/>
      <x:c r="K302" t="str"/>
      <x:c r="L302" t="str"/>
      <x:c r="M302" t="str"/>
      <x:c r="N302" t="str">
        <x:f>IF(AND(G302&lt;&gt;"",L302=1,M302&lt;&gt;""),"PASS","OPEN")</x:f>
        <x:v>OPEN</x:v>
      </x:c>
    </x:row>
    <x:row r="303">
      <x:c r="B303" t="str">
        <x:v>RFA-E297</x:v>
      </x:c>
      <x:c r="C303" t="str">
        <x:v>AM-09</x:v>
      </x:c>
      <x:c r="D303" t="str">
        <x:v>AF-3</x:v>
      </x:c>
      <x:c r="E303" t="str">
        <x:v>BA</x:v>
      </x:c>
      <x:c r="F303" t="str">
        <x:v>PTC-B</x:v>
      </x:c>
      <x:c r="G303" t="n">
        <x:v>0</x:v>
      </x:c>
      <x:c r="H303" t="str"/>
      <x:c r="I303" t="str"/>
      <x:c r="J303" t="str"/>
      <x:c r="K303" t="str"/>
      <x:c r="L303" t="str"/>
      <x:c r="M303" t="str"/>
      <x:c r="N303" t="str">
        <x:f>IF(AND(G303&lt;&gt;"",L303=1,M303&lt;&gt;""),"PASS","OPEN")</x:f>
        <x:v>OPEN</x:v>
      </x:c>
    </x:row>
    <x:row r="304">
      <x:c r="B304" t="str">
        <x:v>RFA-E298</x:v>
      </x:c>
      <x:c r="C304" t="str">
        <x:v>AM-09</x:v>
      </x:c>
      <x:c r="D304" t="str">
        <x:v>AF-3</x:v>
      </x:c>
      <x:c r="E304" t="str">
        <x:v>BA</x:v>
      </x:c>
      <x:c r="F304" t="str">
        <x:v>PTC-C</x:v>
      </x:c>
      <x:c r="G304" t="n">
        <x:v>0</x:v>
      </x:c>
      <x:c r="H304" t="str"/>
      <x:c r="I304" t="str"/>
      <x:c r="J304" t="str"/>
      <x:c r="K304" t="str"/>
      <x:c r="L304" t="str"/>
      <x:c r="M304" t="str"/>
      <x:c r="N304" t="str">
        <x:f>IF(AND(G304&lt;&gt;"",L304=1,M304&lt;&gt;""),"PASS","OPEN")</x:f>
        <x:v>OPEN</x:v>
      </x:c>
    </x:row>
    <x:row r="305">
      <x:c r="B305" t="str">
        <x:v>RFA-E299</x:v>
      </x:c>
      <x:c r="C305" t="str">
        <x:v>AM-09</x:v>
      </x:c>
      <x:c r="D305" t="str">
        <x:v>AF-3</x:v>
      </x:c>
      <x:c r="E305" t="str">
        <x:v>BB</x:v>
      </x:c>
      <x:c r="F305" t="str">
        <x:v>PTC-B</x:v>
      </x:c>
      <x:c r="G305" t="n">
        <x:v>0</x:v>
      </x:c>
      <x:c r="H305" t="str"/>
      <x:c r="I305" t="str"/>
      <x:c r="J305" t="str"/>
      <x:c r="K305" t="str"/>
      <x:c r="L305" t="str"/>
      <x:c r="M305" t="str"/>
      <x:c r="N305" t="str">
        <x:f>IF(AND(G305&lt;&gt;"",L305=1,M305&lt;&gt;""),"PASS","OPEN")</x:f>
        <x:v>OPEN</x:v>
      </x:c>
    </x:row>
    <x:row r="306">
      <x:c r="B306" t="str">
        <x:v>RFA-E300</x:v>
      </x:c>
      <x:c r="C306" t="str">
        <x:v>AM-09</x:v>
      </x:c>
      <x:c r="D306" t="str">
        <x:v>AF-3</x:v>
      </x:c>
      <x:c r="E306" t="str">
        <x:v>BB</x:v>
      </x:c>
      <x:c r="F306" t="str">
        <x:v>PTC-C</x:v>
      </x:c>
      <x:c r="G306" t="n">
        <x:v>0</x:v>
      </x:c>
      <x:c r="H306" t="str"/>
      <x:c r="I306" t="str"/>
      <x:c r="J306" t="str"/>
      <x:c r="K306" t="str"/>
      <x:c r="L306" t="str"/>
      <x:c r="M306" t="str"/>
      <x:c r="N306" t="str">
        <x:f>IF(AND(G306&lt;&gt;"",L306=1,M306&lt;&gt;""),"PASS","OPEN")</x:f>
        <x:v>OPEN</x:v>
      </x:c>
    </x:row>
    <x:row r="307">
      <x:c r="B307" t="str">
        <x:v>RFA-E301</x:v>
      </x:c>
      <x:c r="C307" t="str">
        <x:v>AM-09</x:v>
      </x:c>
      <x:c r="D307" t="str">
        <x:v>AF-1</x:v>
      </x:c>
      <x:c r="E307" t="str">
        <x:v>BA</x:v>
      </x:c>
      <x:c r="F307" t="str">
        <x:v>PTC-C</x:v>
      </x:c>
      <x:c r="G307" t="n">
        <x:v>0</x:v>
      </x:c>
      <x:c r="H307" t="str"/>
      <x:c r="I307" t="str"/>
      <x:c r="J307" t="str"/>
      <x:c r="K307" t="str"/>
      <x:c r="L307" t="str"/>
      <x:c r="M307" t="str"/>
      <x:c r="N307" t="str">
        <x:f>IF(AND(G307&lt;&gt;"",L307=1,M307&lt;&gt;""),"PASS","OPEN")</x:f>
        <x:v>OPEN</x:v>
      </x:c>
    </x:row>
    <x:row r="308">
      <x:c r="B308" t="str">
        <x:v>RFA-E302</x:v>
      </x:c>
      <x:c r="C308" t="str">
        <x:v>AM-09</x:v>
      </x:c>
      <x:c r="D308" t="str">
        <x:v>AF-1</x:v>
      </x:c>
      <x:c r="E308" t="str">
        <x:v>BB</x:v>
      </x:c>
      <x:c r="F308" t="str">
        <x:v>PTC-C</x:v>
      </x:c>
      <x:c r="G308" t="n">
        <x:v>0</x:v>
      </x:c>
      <x:c r="H308" t="str"/>
      <x:c r="I308" t="str"/>
      <x:c r="J308" t="str"/>
      <x:c r="K308" t="str"/>
      <x:c r="L308" t="str"/>
      <x:c r="M308" t="str"/>
      <x:c r="N308" t="str">
        <x:f>IF(AND(G308&lt;&gt;"",L308=1,M308&lt;&gt;""),"PASS","OPEN")</x:f>
        <x:v>OPEN</x:v>
      </x:c>
    </x:row>
    <x:row r="309">
      <x:c r="B309" t="str">
        <x:v>RFA-E303</x:v>
      </x:c>
      <x:c r="C309" t="str">
        <x:v>AM-09</x:v>
      </x:c>
      <x:c r="D309" t="str">
        <x:v>AF-2</x:v>
      </x:c>
      <x:c r="E309" t="str">
        <x:v>BA</x:v>
      </x:c>
      <x:c r="F309" t="str">
        <x:v>PTC-C</x:v>
      </x:c>
      <x:c r="G309" t="n">
        <x:v>0</x:v>
      </x:c>
      <x:c r="H309" t="str"/>
      <x:c r="I309" t="str"/>
      <x:c r="J309" t="str"/>
      <x:c r="K309" t="str"/>
      <x:c r="L309" t="str"/>
      <x:c r="M309" t="str"/>
      <x:c r="N309" t="str">
        <x:f>IF(AND(G309&lt;&gt;"",L309=1,M309&lt;&gt;""),"PASS","OPEN")</x:f>
        <x:v>OPEN</x:v>
      </x:c>
    </x:row>
    <x:row r="310">
      <x:c r="B310" t="str">
        <x:v>RFA-E304</x:v>
      </x:c>
      <x:c r="C310" t="str">
        <x:v>AM-09</x:v>
      </x:c>
      <x:c r="D310" t="str">
        <x:v>AF-2</x:v>
      </x:c>
      <x:c r="E310" t="str">
        <x:v>BB</x:v>
      </x:c>
      <x:c r="F310" t="str">
        <x:v>PTC-C</x:v>
      </x:c>
      <x:c r="G310" t="n">
        <x:v>0</x:v>
      </x:c>
      <x:c r="H310" t="str"/>
      <x:c r="I310" t="str"/>
      <x:c r="J310" t="str"/>
      <x:c r="K310" t="str"/>
      <x:c r="L310" t="str"/>
      <x:c r="M310" t="str"/>
      <x:c r="N310" t="str">
        <x:f>IF(AND(G310&lt;&gt;"",L310=1,M310&lt;&gt;""),"PASS","OPEN")</x:f>
        <x:v>OPEN</x:v>
      </x:c>
    </x:row>
    <x:row r="311">
      <x:c r="B311" t="str">
        <x:v>RFA-E305</x:v>
      </x:c>
      <x:c r="C311" t="str">
        <x:v>AM-09</x:v>
      </x:c>
      <x:c r="D311" t="str">
        <x:v>AF-3</x:v>
      </x:c>
      <x:c r="E311" t="str">
        <x:v>BA</x:v>
      </x:c>
      <x:c r="F311" t="str">
        <x:v>PTC-C</x:v>
      </x:c>
      <x:c r="G311" t="n">
        <x:v>0</x:v>
      </x:c>
      <x:c r="H311" t="str"/>
      <x:c r="I311" t="str"/>
      <x:c r="J311" t="str"/>
      <x:c r="K311" t="str"/>
      <x:c r="L311" t="str"/>
      <x:c r="M311" t="str"/>
      <x:c r="N311" t="str">
        <x:f>IF(AND(G311&lt;&gt;"",L311=1,M311&lt;&gt;""),"PASS","OPEN")</x:f>
        <x:v>OPEN</x:v>
      </x:c>
    </x:row>
    <x:row r="312">
      <x:c r="B312" t="str">
        <x:v>RFA-E306</x:v>
      </x:c>
      <x:c r="C312" t="str">
        <x:v>AM-09</x:v>
      </x:c>
      <x:c r="D312" t="str">
        <x:v>AF-3</x:v>
      </x:c>
      <x:c r="E312" t="str">
        <x:v>BB</x:v>
      </x:c>
      <x:c r="F312" t="str">
        <x:v>PTC-C</x:v>
      </x:c>
      <x:c r="G312" t="n">
        <x:v>0</x:v>
      </x:c>
      <x:c r="H312" t="str"/>
      <x:c r="I312" t="str"/>
      <x:c r="J312" t="str"/>
      <x:c r="K312" t="str"/>
      <x:c r="L312" t="str"/>
      <x:c r="M312" t="str"/>
      <x:c r="N312" t="str">
        <x:f>IF(AND(G312&lt;&gt;"",L312=1,M312&lt;&gt;""),"PASS","OPEN")</x:f>
        <x:v>OPEN</x:v>
      </x:c>
    </x:row>
  </x:sheetData>
  <x:conditionalFormatting sqref="N7:N312">
    <x:cfRule type="containsText" dxfId="80" priority="1" operator="containsText" text="FAIL"/>
    <x:cfRule type="containsText" dxfId="81" priority="2" operator="containsText" text="BLOCKED"/>
    <x:cfRule type="containsText" dxfId="82" priority="3" operator="containsText" text="REOPEN"/>
    <x:cfRule type="containsText" dxfId="83" priority="4" operator="containsText" text="OVERFLOW"/>
    <x:cfRule type="containsText" dxfId="84" priority="5" operator="containsText" text="OPEN"/>
    <x:cfRule type="containsText" dxfId="85" priority="6" operator="containsText" text="GAP"/>
    <x:cfRule type="containsText" dxfId="86" priority="7" operator="containsText" text="PASS"/>
    <x:cfRule type="containsText" dxfId="87" priority="8" operator="containsText" text="INVALI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15" hidden="0" customWidth="1"/>
    <x:col min="4" max="4" width="12" hidden="0" customWidth="1"/>
    <x:col min="5" max="5" width="14" hidden="0" customWidth="1"/>
    <x:col min="6" max="6" width="18" hidden="0" customWidth="1"/>
    <x:col min="7" max="7" width="19" hidden="0" customWidth="1"/>
    <x:col min="8" max="8" width="21" hidden="0" customWidth="1"/>
    <x:col min="9" max="9" width="22" hidden="0" customWidth="1"/>
    <x:col min="10" max="10" width="20" hidden="0" customWidth="1"/>
    <x:col min="11" max="11" width="25" hidden="0" customWidth="1"/>
    <x:col min="12" max="12" width="26" hidden="0" customWidth="1"/>
    <x:col min="13" max="13" width="23" hidden="0" customWidth="1"/>
    <x:col min="14" max="14" width="18" hidden="0" customWidth="1"/>
    <x:col min="15" max="15" width="14" hidden="0" customWidth="1"/>
  </x:cols>
  <x:sheetData>
    <x:row r="2">
      <x:c r="B2" s="1" t="str">
        <x:v>Ninety-six matched-pair estimators</x:v>
      </x:c>
    </x:row>
    <x:row r="3">
      <x:c r="B3" s="2" t="str">
        <x:v>Effects are signed challenge minus control and remain blank until both events are valid.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Pair</x:v>
      </x:c>
      <x:c r="C6" s="7" t="str">
        <x:v>Root</x:v>
      </x:c>
      <x:c r="D6" s="7" t="str">
        <x:v>Site</x:v>
      </x:c>
      <x:c r="E6" s="7" t="str">
        <x:v>Challenge</x:v>
      </x:c>
      <x:c r="F6" s="7" t="str">
        <x:v>Control event</x:v>
      </x:c>
      <x:c r="G6" s="7" t="str">
        <x:v>Challenge event</x:v>
      </x:c>
      <x:c r="H6" s="7" t="str">
        <x:v>Control terminal s</x:v>
      </x:c>
      <x:c r="I6" s="7" t="str">
        <x:v>Challenge terminal s</x:v>
      </x:c>
      <x:c r="J6" s="7" t="str">
        <x:v>Delta terminal s</x:v>
      </x:c>
      <x:c r="K6" s="7" t="str">
        <x:v>Control uncontrolled kg</x:v>
      </x:c>
      <x:c r="L6" s="7" t="str">
        <x:v>Challenge uncontrolled kg</x:v>
      </x:c>
      <x:c r="M6" s="7" t="str">
        <x:v>Delta uncontrolled kg</x:v>
      </x:c>
      <x:c r="N6" s="7" t="str">
        <x:v>Disposition</x:v>
      </x:c>
      <x:c r="O6" s="7" t="str">
        <x:v>State</x:v>
      </x:c>
    </x:row>
    <x:row r="7">
      <x:c r="B7" t="str">
        <x:v>RFA-P001</x:v>
      </x:c>
      <x:c r="C7" t="str">
        <x:v>AF-1-BA</x:v>
      </x:c>
      <x:c r="D7" t="str">
        <x:v>PTC-B</x:v>
      </x:c>
      <x:c r="E7" t="str">
        <x:v>A01</x:v>
      </x:c>
      <x:c r="F7" t="str">
        <x:v>RFA-E073</x:v>
      </x:c>
      <x:c r="G7" t="str">
        <x:v>RFA-E074</x:v>
      </x:c>
      <x:c r="H7" t="str"/>
      <x:c r="I7" t="str"/>
      <x:c r="J7" t="str">
        <x:f>IF(COUNT(H7:I7)&lt;2,"",I7-H7)</x:f>
      </x:c>
      <x:c r="K7" t="str"/>
      <x:c r="L7" t="str"/>
      <x:c r="M7" t="str">
        <x:f>IF(COUNT(K7:L7)&lt;2,"",L7-K7)</x:f>
      </x:c>
      <x:c r="N7" t="str">
        <x:v>OPEN</x:v>
      </x:c>
      <x:c r="O7" t="str">
        <x:f>IF(N7=1,"PASS","OPEN")</x:f>
        <x:v>OPEN</x:v>
      </x:c>
    </x:row>
    <x:row r="8">
      <x:c r="B8" t="str">
        <x:v>RFA-P002</x:v>
      </x:c>
      <x:c r="C8" t="str">
        <x:v>AF-1-BA</x:v>
      </x:c>
      <x:c r="D8" t="str">
        <x:v>PTC-B</x:v>
      </x:c>
      <x:c r="E8" t="str">
        <x:v>A02</x:v>
      </x:c>
      <x:c r="F8" t="str">
        <x:v>RFA-E076</x:v>
      </x:c>
      <x:c r="G8" t="str">
        <x:v>RFA-E075</x:v>
      </x:c>
      <x:c r="H8" t="str"/>
      <x:c r="I8" t="str"/>
      <x:c r="J8" t="str">
        <x:f>IF(COUNT(H8:I8)&lt;2,"",I8-H8)</x:f>
      </x:c>
      <x:c r="K8" t="str"/>
      <x:c r="L8" t="str"/>
      <x:c r="M8" t="str">
        <x:f>IF(COUNT(K8:L8)&lt;2,"",L8-K8)</x:f>
      </x:c>
      <x:c r="N8" t="str">
        <x:v>OPEN</x:v>
      </x:c>
      <x:c r="O8" t="str">
        <x:f>IF(N8=1,"PASS","OPEN")</x:f>
        <x:v>OPEN</x:v>
      </x:c>
    </x:row>
    <x:row r="9">
      <x:c r="B9" t="str">
        <x:v>RFA-P003</x:v>
      </x:c>
      <x:c r="C9" t="str">
        <x:v>AF-1-BA</x:v>
      </x:c>
      <x:c r="D9" t="str">
        <x:v>PTC-B</x:v>
      </x:c>
      <x:c r="E9" t="str">
        <x:v>A03</x:v>
      </x:c>
      <x:c r="F9" t="str">
        <x:v>RFA-E077</x:v>
      </x:c>
      <x:c r="G9" t="str">
        <x:v>RFA-E078</x:v>
      </x:c>
      <x:c r="H9" t="str"/>
      <x:c r="I9" t="str"/>
      <x:c r="J9" t="str">
        <x:f>IF(COUNT(H9:I9)&lt;2,"",I9-H9)</x:f>
      </x:c>
      <x:c r="K9" t="str"/>
      <x:c r="L9" t="str"/>
      <x:c r="M9" t="str">
        <x:f>IF(COUNT(K9:L9)&lt;2,"",L9-K9)</x:f>
      </x:c>
      <x:c r="N9" t="str">
        <x:v>OPEN</x:v>
      </x:c>
      <x:c r="O9" t="str">
        <x:f>IF(N9=1,"PASS","OPEN")</x:f>
        <x:v>OPEN</x:v>
      </x:c>
    </x:row>
    <x:row r="10">
      <x:c r="B10" t="str">
        <x:v>RFA-P004</x:v>
      </x:c>
      <x:c r="C10" t="str">
        <x:v>AF-1-BA</x:v>
      </x:c>
      <x:c r="D10" t="str">
        <x:v>PTC-B</x:v>
      </x:c>
      <x:c r="E10" t="str">
        <x:v>A04</x:v>
      </x:c>
      <x:c r="F10" t="str">
        <x:v>RFA-E080</x:v>
      </x:c>
      <x:c r="G10" t="str">
        <x:v>RFA-E079</x:v>
      </x:c>
      <x:c r="H10" t="str"/>
      <x:c r="I10" t="str"/>
      <x:c r="J10" t="str">
        <x:f>IF(COUNT(H10:I10)&lt;2,"",I10-H10)</x:f>
      </x:c>
      <x:c r="K10" t="str"/>
      <x:c r="L10" t="str"/>
      <x:c r="M10" t="str">
        <x:f>IF(COUNT(K10:L10)&lt;2,"",L10-K10)</x:f>
      </x:c>
      <x:c r="N10" t="str">
        <x:v>OPEN</x:v>
      </x:c>
      <x:c r="O10" t="str">
        <x:f>IF(N10=1,"PASS","OPEN")</x:f>
        <x:v>OPEN</x:v>
      </x:c>
    </x:row>
    <x:row r="11">
      <x:c r="B11" t="str">
        <x:v>RFA-P005</x:v>
      </x:c>
      <x:c r="C11" t="str">
        <x:v>AF-1-BA</x:v>
      </x:c>
      <x:c r="D11" t="str">
        <x:v>PTC-B</x:v>
      </x:c>
      <x:c r="E11" t="str">
        <x:v>A05</x:v>
      </x:c>
      <x:c r="F11" t="str">
        <x:v>RFA-E081</x:v>
      </x:c>
      <x:c r="G11" t="str">
        <x:v>RFA-E082</x:v>
      </x:c>
      <x:c r="H11" t="str"/>
      <x:c r="I11" t="str"/>
      <x:c r="J11" t="str">
        <x:f>IF(COUNT(H11:I11)&lt;2,"",I11-H11)</x:f>
      </x:c>
      <x:c r="K11" t="str"/>
      <x:c r="L11" t="str"/>
      <x:c r="M11" t="str">
        <x:f>IF(COUNT(K11:L11)&lt;2,"",L11-K11)</x:f>
      </x:c>
      <x:c r="N11" t="str">
        <x:v>OPEN</x:v>
      </x:c>
      <x:c r="O11" t="str">
        <x:f>IF(N11=1,"PASS","OPEN")</x:f>
        <x:v>OPEN</x:v>
      </x:c>
    </x:row>
    <x:row r="12">
      <x:c r="B12" t="str">
        <x:v>RFA-P006</x:v>
      </x:c>
      <x:c r="C12" t="str">
        <x:v>AF-1-BA</x:v>
      </x:c>
      <x:c r="D12" t="str">
        <x:v>PTC-B</x:v>
      </x:c>
      <x:c r="E12" t="str">
        <x:v>A06</x:v>
      </x:c>
      <x:c r="F12" t="str">
        <x:v>RFA-E084</x:v>
      </x:c>
      <x:c r="G12" t="str">
        <x:v>RFA-E083</x:v>
      </x:c>
      <x:c r="H12" t="str"/>
      <x:c r="I12" t="str"/>
      <x:c r="J12" t="str">
        <x:f>IF(COUNT(H12:I12)&lt;2,"",I12-H12)</x:f>
      </x:c>
      <x:c r="K12" t="str"/>
      <x:c r="L12" t="str"/>
      <x:c r="M12" t="str">
        <x:f>IF(COUNT(K12:L12)&lt;2,"",L12-K12)</x:f>
      </x:c>
      <x:c r="N12" t="str">
        <x:v>OPEN</x:v>
      </x:c>
      <x:c r="O12" t="str">
        <x:f>IF(N12=1,"PASS","OPEN")</x:f>
        <x:v>OPEN</x:v>
      </x:c>
    </x:row>
    <x:row r="13">
      <x:c r="B13" t="str">
        <x:v>RFA-P007</x:v>
      </x:c>
      <x:c r="C13" t="str">
        <x:v>AF-1-BA</x:v>
      </x:c>
      <x:c r="D13" t="str">
        <x:v>PTC-B</x:v>
      </x:c>
      <x:c r="E13" t="str">
        <x:v>A07</x:v>
      </x:c>
      <x:c r="F13" t="str">
        <x:v>RFA-E085</x:v>
      </x:c>
      <x:c r="G13" t="str">
        <x:v>RFA-E086</x:v>
      </x:c>
      <x:c r="H13" t="str"/>
      <x:c r="I13" t="str"/>
      <x:c r="J13" t="str">
        <x:f>IF(COUNT(H13:I13)&lt;2,"",I13-H13)</x:f>
      </x:c>
      <x:c r="K13" t="str"/>
      <x:c r="L13" t="str"/>
      <x:c r="M13" t="str">
        <x:f>IF(COUNT(K13:L13)&lt;2,"",L13-K13)</x:f>
      </x:c>
      <x:c r="N13" t="str">
        <x:v>OPEN</x:v>
      </x:c>
      <x:c r="O13" t="str">
        <x:f>IF(N13=1,"PASS","OPEN")</x:f>
        <x:v>OPEN</x:v>
      </x:c>
    </x:row>
    <x:row r="14">
      <x:c r="B14" t="str">
        <x:v>RFA-P008</x:v>
      </x:c>
      <x:c r="C14" t="str">
        <x:v>AF-1-BA</x:v>
      </x:c>
      <x:c r="D14" t="str">
        <x:v>PTC-B</x:v>
      </x:c>
      <x:c r="E14" t="str">
        <x:v>A08</x:v>
      </x:c>
      <x:c r="F14" t="str">
        <x:v>RFA-E088</x:v>
      </x:c>
      <x:c r="G14" t="str">
        <x:v>RFA-E087</x:v>
      </x:c>
      <x:c r="H14" t="str"/>
      <x:c r="I14" t="str"/>
      <x:c r="J14" t="str">
        <x:f>IF(COUNT(H14:I14)&lt;2,"",I14-H14)</x:f>
      </x:c>
      <x:c r="K14" t="str"/>
      <x:c r="L14" t="str"/>
      <x:c r="M14" t="str">
        <x:f>IF(COUNT(K14:L14)&lt;2,"",L14-K14)</x:f>
      </x:c>
      <x:c r="N14" t="str">
        <x:v>OPEN</x:v>
      </x:c>
      <x:c r="O14" t="str">
        <x:f>IF(N14=1,"PASS","OPEN")</x:f>
        <x:v>OPEN</x:v>
      </x:c>
    </x:row>
    <x:row r="15">
      <x:c r="B15" t="str">
        <x:v>RFA-P009</x:v>
      </x:c>
      <x:c r="C15" t="str">
        <x:v>AF-1-BA</x:v>
      </x:c>
      <x:c r="D15" t="str">
        <x:v>PTC-C</x:v>
      </x:c>
      <x:c r="E15" t="str">
        <x:v>A01</x:v>
      </x:c>
      <x:c r="F15" t="str">
        <x:v>RFA-E089</x:v>
      </x:c>
      <x:c r="G15" t="str">
        <x:v>RFA-E090</x:v>
      </x:c>
      <x:c r="H15" t="str"/>
      <x:c r="I15" t="str"/>
      <x:c r="J15" t="str">
        <x:f>IF(COUNT(H15:I15)&lt;2,"",I15-H15)</x:f>
      </x:c>
      <x:c r="K15" t="str"/>
      <x:c r="L15" t="str"/>
      <x:c r="M15" t="str">
        <x:f>IF(COUNT(K15:L15)&lt;2,"",L15-K15)</x:f>
      </x:c>
      <x:c r="N15" t="str">
        <x:v>OPEN</x:v>
      </x:c>
      <x:c r="O15" t="str">
        <x:f>IF(N15=1,"PASS","OPEN")</x:f>
        <x:v>OPEN</x:v>
      </x:c>
    </x:row>
    <x:row r="16">
      <x:c r="B16" t="str">
        <x:v>RFA-P010</x:v>
      </x:c>
      <x:c r="C16" t="str">
        <x:v>AF-1-BA</x:v>
      </x:c>
      <x:c r="D16" t="str">
        <x:v>PTC-C</x:v>
      </x:c>
      <x:c r="E16" t="str">
        <x:v>A02</x:v>
      </x:c>
      <x:c r="F16" t="str">
        <x:v>RFA-E092</x:v>
      </x:c>
      <x:c r="G16" t="str">
        <x:v>RFA-E091</x:v>
      </x:c>
      <x:c r="H16" t="str"/>
      <x:c r="I16" t="str"/>
      <x:c r="J16" t="str">
        <x:f>IF(COUNT(H16:I16)&lt;2,"",I16-H16)</x:f>
      </x:c>
      <x:c r="K16" t="str"/>
      <x:c r="L16" t="str"/>
      <x:c r="M16" t="str">
        <x:f>IF(COUNT(K16:L16)&lt;2,"",L16-K16)</x:f>
      </x:c>
      <x:c r="N16" t="str">
        <x:v>OPEN</x:v>
      </x:c>
      <x:c r="O16" t="str">
        <x:f>IF(N16=1,"PASS","OPEN")</x:f>
        <x:v>OPEN</x:v>
      </x:c>
    </x:row>
    <x:row r="17">
      <x:c r="B17" t="str">
        <x:v>RFA-P011</x:v>
      </x:c>
      <x:c r="C17" t="str">
        <x:v>AF-1-BA</x:v>
      </x:c>
      <x:c r="D17" t="str">
        <x:v>PTC-C</x:v>
      </x:c>
      <x:c r="E17" t="str">
        <x:v>A03</x:v>
      </x:c>
      <x:c r="F17" t="str">
        <x:v>RFA-E093</x:v>
      </x:c>
      <x:c r="G17" t="str">
        <x:v>RFA-E094</x:v>
      </x:c>
      <x:c r="H17" t="str"/>
      <x:c r="I17" t="str"/>
      <x:c r="J17" t="str">
        <x:f>IF(COUNT(H17:I17)&lt;2,"",I17-H17)</x:f>
      </x:c>
      <x:c r="K17" t="str"/>
      <x:c r="L17" t="str"/>
      <x:c r="M17" t="str">
        <x:f>IF(COUNT(K17:L17)&lt;2,"",L17-K17)</x:f>
      </x:c>
      <x:c r="N17" t="str">
        <x:v>OPEN</x:v>
      </x:c>
      <x:c r="O17" t="str">
        <x:f>IF(N17=1,"PASS","OPEN")</x:f>
        <x:v>OPEN</x:v>
      </x:c>
    </x:row>
    <x:row r="18">
      <x:c r="B18" t="str">
        <x:v>RFA-P012</x:v>
      </x:c>
      <x:c r="C18" t="str">
        <x:v>AF-1-BA</x:v>
      </x:c>
      <x:c r="D18" t="str">
        <x:v>PTC-C</x:v>
      </x:c>
      <x:c r="E18" t="str">
        <x:v>A04</x:v>
      </x:c>
      <x:c r="F18" t="str">
        <x:v>RFA-E096</x:v>
      </x:c>
      <x:c r="G18" t="str">
        <x:v>RFA-E095</x:v>
      </x:c>
      <x:c r="H18" t="str"/>
      <x:c r="I18" t="str"/>
      <x:c r="J18" t="str">
        <x:f>IF(COUNT(H18:I18)&lt;2,"",I18-H18)</x:f>
      </x:c>
      <x:c r="K18" t="str"/>
      <x:c r="L18" t="str"/>
      <x:c r="M18" t="str">
        <x:f>IF(COUNT(K18:L18)&lt;2,"",L18-K18)</x:f>
      </x:c>
      <x:c r="N18" t="str">
        <x:v>OPEN</x:v>
      </x:c>
      <x:c r="O18" t="str">
        <x:f>IF(N18=1,"PASS","OPEN")</x:f>
        <x:v>OPEN</x:v>
      </x:c>
    </x:row>
    <x:row r="19">
      <x:c r="B19" t="str">
        <x:v>RFA-P013</x:v>
      </x:c>
      <x:c r="C19" t="str">
        <x:v>AF-1-BA</x:v>
      </x:c>
      <x:c r="D19" t="str">
        <x:v>PTC-C</x:v>
      </x:c>
      <x:c r="E19" t="str">
        <x:v>A05</x:v>
      </x:c>
      <x:c r="F19" t="str">
        <x:v>RFA-E097</x:v>
      </x:c>
      <x:c r="G19" t="str">
        <x:v>RFA-E098</x:v>
      </x:c>
      <x:c r="H19" t="str"/>
      <x:c r="I19" t="str"/>
      <x:c r="J19" t="str">
        <x:f>IF(COUNT(H19:I19)&lt;2,"",I19-H19)</x:f>
      </x:c>
      <x:c r="K19" t="str"/>
      <x:c r="L19" t="str"/>
      <x:c r="M19" t="str">
        <x:f>IF(COUNT(K19:L19)&lt;2,"",L19-K19)</x:f>
      </x:c>
      <x:c r="N19" t="str">
        <x:v>OPEN</x:v>
      </x:c>
      <x:c r="O19" t="str">
        <x:f>IF(N19=1,"PASS","OPEN")</x:f>
        <x:v>OPEN</x:v>
      </x:c>
    </x:row>
    <x:row r="20">
      <x:c r="B20" t="str">
        <x:v>RFA-P014</x:v>
      </x:c>
      <x:c r="C20" t="str">
        <x:v>AF-1-BA</x:v>
      </x:c>
      <x:c r="D20" t="str">
        <x:v>PTC-C</x:v>
      </x:c>
      <x:c r="E20" t="str">
        <x:v>A06</x:v>
      </x:c>
      <x:c r="F20" t="str">
        <x:v>RFA-E100</x:v>
      </x:c>
      <x:c r="G20" t="str">
        <x:v>RFA-E099</x:v>
      </x:c>
      <x:c r="H20" t="str"/>
      <x:c r="I20" t="str"/>
      <x:c r="J20" t="str">
        <x:f>IF(COUNT(H20:I20)&lt;2,"",I20-H20)</x:f>
      </x:c>
      <x:c r="K20" t="str"/>
      <x:c r="L20" t="str"/>
      <x:c r="M20" t="str">
        <x:f>IF(COUNT(K20:L20)&lt;2,"",L20-K20)</x:f>
      </x:c>
      <x:c r="N20" t="str">
        <x:v>OPEN</x:v>
      </x:c>
      <x:c r="O20" t="str">
        <x:f>IF(N20=1,"PASS","OPEN")</x:f>
        <x:v>OPEN</x:v>
      </x:c>
    </x:row>
    <x:row r="21">
      <x:c r="B21" t="str">
        <x:v>RFA-P015</x:v>
      </x:c>
      <x:c r="C21" t="str">
        <x:v>AF-1-BA</x:v>
      </x:c>
      <x:c r="D21" t="str">
        <x:v>PTC-C</x:v>
      </x:c>
      <x:c r="E21" t="str">
        <x:v>A07</x:v>
      </x:c>
      <x:c r="F21" t="str">
        <x:v>RFA-E101</x:v>
      </x:c>
      <x:c r="G21" t="str">
        <x:v>RFA-E102</x:v>
      </x:c>
      <x:c r="H21" t="str"/>
      <x:c r="I21" t="str"/>
      <x:c r="J21" t="str">
        <x:f>IF(COUNT(H21:I21)&lt;2,"",I21-H21)</x:f>
      </x:c>
      <x:c r="K21" t="str"/>
      <x:c r="L21" t="str"/>
      <x:c r="M21" t="str">
        <x:f>IF(COUNT(K21:L21)&lt;2,"",L21-K21)</x:f>
      </x:c>
      <x:c r="N21" t="str">
        <x:v>OPEN</x:v>
      </x:c>
      <x:c r="O21" t="str">
        <x:f>IF(N21=1,"PASS","OPEN")</x:f>
        <x:v>OPEN</x:v>
      </x:c>
    </x:row>
    <x:row r="22">
      <x:c r="B22" t="str">
        <x:v>RFA-P016</x:v>
      </x:c>
      <x:c r="C22" t="str">
        <x:v>AF-1-BA</x:v>
      </x:c>
      <x:c r="D22" t="str">
        <x:v>PTC-C</x:v>
      </x:c>
      <x:c r="E22" t="str">
        <x:v>A08</x:v>
      </x:c>
      <x:c r="F22" t="str">
        <x:v>RFA-E104</x:v>
      </x:c>
      <x:c r="G22" t="str">
        <x:v>RFA-E103</x:v>
      </x:c>
      <x:c r="H22" t="str"/>
      <x:c r="I22" t="str"/>
      <x:c r="J22" t="str">
        <x:f>IF(COUNT(H22:I22)&lt;2,"",I22-H22)</x:f>
      </x:c>
      <x:c r="K22" t="str"/>
      <x:c r="L22" t="str"/>
      <x:c r="M22" t="str">
        <x:f>IF(COUNT(K22:L22)&lt;2,"",L22-K22)</x:f>
      </x:c>
      <x:c r="N22" t="str">
        <x:v>OPEN</x:v>
      </x:c>
      <x:c r="O22" t="str">
        <x:f>IF(N22=1,"PASS","OPEN")</x:f>
        <x:v>OPEN</x:v>
      </x:c>
    </x:row>
    <x:row r="23">
      <x:c r="B23" t="str">
        <x:v>RFA-P017</x:v>
      </x:c>
      <x:c r="C23" t="str">
        <x:v>AF-1-BB</x:v>
      </x:c>
      <x:c r="D23" t="str">
        <x:v>PTC-B</x:v>
      </x:c>
      <x:c r="E23" t="str">
        <x:v>A01</x:v>
      </x:c>
      <x:c r="F23" t="str">
        <x:v>RFA-E105</x:v>
      </x:c>
      <x:c r="G23" t="str">
        <x:v>RFA-E106</x:v>
      </x:c>
      <x:c r="H23" t="str"/>
      <x:c r="I23" t="str"/>
      <x:c r="J23" t="str">
        <x:f>IF(COUNT(H23:I23)&lt;2,"",I23-H23)</x:f>
      </x:c>
      <x:c r="K23" t="str"/>
      <x:c r="L23" t="str"/>
      <x:c r="M23" t="str">
        <x:f>IF(COUNT(K23:L23)&lt;2,"",L23-K23)</x:f>
      </x:c>
      <x:c r="N23" t="str">
        <x:v>OPEN</x:v>
      </x:c>
      <x:c r="O23" t="str">
        <x:f>IF(N23=1,"PASS","OPEN")</x:f>
        <x:v>OPEN</x:v>
      </x:c>
    </x:row>
    <x:row r="24">
      <x:c r="B24" t="str">
        <x:v>RFA-P018</x:v>
      </x:c>
      <x:c r="C24" t="str">
        <x:v>AF-1-BB</x:v>
      </x:c>
      <x:c r="D24" t="str">
        <x:v>PTC-B</x:v>
      </x:c>
      <x:c r="E24" t="str">
        <x:v>A02</x:v>
      </x:c>
      <x:c r="F24" t="str">
        <x:v>RFA-E108</x:v>
      </x:c>
      <x:c r="G24" t="str">
        <x:v>RFA-E107</x:v>
      </x:c>
      <x:c r="H24" t="str"/>
      <x:c r="I24" t="str"/>
      <x:c r="J24" t="str">
        <x:f>IF(COUNT(H24:I24)&lt;2,"",I24-H24)</x:f>
      </x:c>
      <x:c r="K24" t="str"/>
      <x:c r="L24" t="str"/>
      <x:c r="M24" t="str">
        <x:f>IF(COUNT(K24:L24)&lt;2,"",L24-K24)</x:f>
      </x:c>
      <x:c r="N24" t="str">
        <x:v>OPEN</x:v>
      </x:c>
      <x:c r="O24" t="str">
        <x:f>IF(N24=1,"PASS","OPEN")</x:f>
        <x:v>OPEN</x:v>
      </x:c>
    </x:row>
    <x:row r="25">
      <x:c r="B25" t="str">
        <x:v>RFA-P019</x:v>
      </x:c>
      <x:c r="C25" t="str">
        <x:v>AF-1-BB</x:v>
      </x:c>
      <x:c r="D25" t="str">
        <x:v>PTC-B</x:v>
      </x:c>
      <x:c r="E25" t="str">
        <x:v>A03</x:v>
      </x:c>
      <x:c r="F25" t="str">
        <x:v>RFA-E109</x:v>
      </x:c>
      <x:c r="G25" t="str">
        <x:v>RFA-E110</x:v>
      </x:c>
      <x:c r="H25" t="str"/>
      <x:c r="I25" t="str"/>
      <x:c r="J25" t="str">
        <x:f>IF(COUNT(H25:I25)&lt;2,"",I25-H25)</x:f>
      </x:c>
      <x:c r="K25" t="str"/>
      <x:c r="L25" t="str"/>
      <x:c r="M25" t="str">
        <x:f>IF(COUNT(K25:L25)&lt;2,"",L25-K25)</x:f>
      </x:c>
      <x:c r="N25" t="str">
        <x:v>OPEN</x:v>
      </x:c>
      <x:c r="O25" t="str">
        <x:f>IF(N25=1,"PASS","OPEN")</x:f>
        <x:v>OPEN</x:v>
      </x:c>
    </x:row>
    <x:row r="26">
      <x:c r="B26" t="str">
        <x:v>RFA-P020</x:v>
      </x:c>
      <x:c r="C26" t="str">
        <x:v>AF-1-BB</x:v>
      </x:c>
      <x:c r="D26" t="str">
        <x:v>PTC-B</x:v>
      </x:c>
      <x:c r="E26" t="str">
        <x:v>A04</x:v>
      </x:c>
      <x:c r="F26" t="str">
        <x:v>RFA-E112</x:v>
      </x:c>
      <x:c r="G26" t="str">
        <x:v>RFA-E111</x:v>
      </x:c>
      <x:c r="H26" t="str"/>
      <x:c r="I26" t="str"/>
      <x:c r="J26" t="str">
        <x:f>IF(COUNT(H26:I26)&lt;2,"",I26-H26)</x:f>
      </x:c>
      <x:c r="K26" t="str"/>
      <x:c r="L26" t="str"/>
      <x:c r="M26" t="str">
        <x:f>IF(COUNT(K26:L26)&lt;2,"",L26-K26)</x:f>
      </x:c>
      <x:c r="N26" t="str">
        <x:v>OPEN</x:v>
      </x:c>
      <x:c r="O26" t="str">
        <x:f>IF(N26=1,"PASS","OPEN")</x:f>
        <x:v>OPEN</x:v>
      </x:c>
    </x:row>
    <x:row r="27">
      <x:c r="B27" t="str">
        <x:v>RFA-P021</x:v>
      </x:c>
      <x:c r="C27" t="str">
        <x:v>AF-1-BB</x:v>
      </x:c>
      <x:c r="D27" t="str">
        <x:v>PTC-B</x:v>
      </x:c>
      <x:c r="E27" t="str">
        <x:v>A05</x:v>
      </x:c>
      <x:c r="F27" t="str">
        <x:v>RFA-E113</x:v>
      </x:c>
      <x:c r="G27" t="str">
        <x:v>RFA-E114</x:v>
      </x:c>
      <x:c r="H27" t="str"/>
      <x:c r="I27" t="str"/>
      <x:c r="J27" t="str">
        <x:f>IF(COUNT(H27:I27)&lt;2,"",I27-H27)</x:f>
      </x:c>
      <x:c r="K27" t="str"/>
      <x:c r="L27" t="str"/>
      <x:c r="M27" t="str">
        <x:f>IF(COUNT(K27:L27)&lt;2,"",L27-K27)</x:f>
      </x:c>
      <x:c r="N27" t="str">
        <x:v>OPEN</x:v>
      </x:c>
      <x:c r="O27" t="str">
        <x:f>IF(N27=1,"PASS","OPEN")</x:f>
        <x:v>OPEN</x:v>
      </x:c>
    </x:row>
    <x:row r="28">
      <x:c r="B28" t="str">
        <x:v>RFA-P022</x:v>
      </x:c>
      <x:c r="C28" t="str">
        <x:v>AF-1-BB</x:v>
      </x:c>
      <x:c r="D28" t="str">
        <x:v>PTC-B</x:v>
      </x:c>
      <x:c r="E28" t="str">
        <x:v>A06</x:v>
      </x:c>
      <x:c r="F28" t="str">
        <x:v>RFA-E116</x:v>
      </x:c>
      <x:c r="G28" t="str">
        <x:v>RFA-E115</x:v>
      </x:c>
      <x:c r="H28" t="str"/>
      <x:c r="I28" t="str"/>
      <x:c r="J28" t="str">
        <x:f>IF(COUNT(H28:I28)&lt;2,"",I28-H28)</x:f>
      </x:c>
      <x:c r="K28" t="str"/>
      <x:c r="L28" t="str"/>
      <x:c r="M28" t="str">
        <x:f>IF(COUNT(K28:L28)&lt;2,"",L28-K28)</x:f>
      </x:c>
      <x:c r="N28" t="str">
        <x:v>OPEN</x:v>
      </x:c>
      <x:c r="O28" t="str">
        <x:f>IF(N28=1,"PASS","OPEN")</x:f>
        <x:v>OPEN</x:v>
      </x:c>
    </x:row>
    <x:row r="29">
      <x:c r="B29" t="str">
        <x:v>RFA-P023</x:v>
      </x:c>
      <x:c r="C29" t="str">
        <x:v>AF-1-BB</x:v>
      </x:c>
      <x:c r="D29" t="str">
        <x:v>PTC-B</x:v>
      </x:c>
      <x:c r="E29" t="str">
        <x:v>A07</x:v>
      </x:c>
      <x:c r="F29" t="str">
        <x:v>RFA-E117</x:v>
      </x:c>
      <x:c r="G29" t="str">
        <x:v>RFA-E118</x:v>
      </x:c>
      <x:c r="H29" t="str"/>
      <x:c r="I29" t="str"/>
      <x:c r="J29" t="str">
        <x:f>IF(COUNT(H29:I29)&lt;2,"",I29-H29)</x:f>
      </x:c>
      <x:c r="K29" t="str"/>
      <x:c r="L29" t="str"/>
      <x:c r="M29" t="str">
        <x:f>IF(COUNT(K29:L29)&lt;2,"",L29-K29)</x:f>
      </x:c>
      <x:c r="N29" t="str">
        <x:v>OPEN</x:v>
      </x:c>
      <x:c r="O29" t="str">
        <x:f>IF(N29=1,"PASS","OPEN")</x:f>
        <x:v>OPEN</x:v>
      </x:c>
    </x:row>
    <x:row r="30">
      <x:c r="B30" t="str">
        <x:v>RFA-P024</x:v>
      </x:c>
      <x:c r="C30" t="str">
        <x:v>AF-1-BB</x:v>
      </x:c>
      <x:c r="D30" t="str">
        <x:v>PTC-B</x:v>
      </x:c>
      <x:c r="E30" t="str">
        <x:v>A08</x:v>
      </x:c>
      <x:c r="F30" t="str">
        <x:v>RFA-E120</x:v>
      </x:c>
      <x:c r="G30" t="str">
        <x:v>RFA-E119</x:v>
      </x:c>
      <x:c r="H30" t="str"/>
      <x:c r="I30" t="str"/>
      <x:c r="J30" t="str">
        <x:f>IF(COUNT(H30:I30)&lt;2,"",I30-H30)</x:f>
      </x:c>
      <x:c r="K30" t="str"/>
      <x:c r="L30" t="str"/>
      <x:c r="M30" t="str">
        <x:f>IF(COUNT(K30:L30)&lt;2,"",L30-K30)</x:f>
      </x:c>
      <x:c r="N30" t="str">
        <x:v>OPEN</x:v>
      </x:c>
      <x:c r="O30" t="str">
        <x:f>IF(N30=1,"PASS","OPEN")</x:f>
        <x:v>OPEN</x:v>
      </x:c>
    </x:row>
    <x:row r="31">
      <x:c r="B31" t="str">
        <x:v>RFA-P025</x:v>
      </x:c>
      <x:c r="C31" t="str">
        <x:v>AF-1-BB</x:v>
      </x:c>
      <x:c r="D31" t="str">
        <x:v>PTC-C</x:v>
      </x:c>
      <x:c r="E31" t="str">
        <x:v>A01</x:v>
      </x:c>
      <x:c r="F31" t="str">
        <x:v>RFA-E121</x:v>
      </x:c>
      <x:c r="G31" t="str">
        <x:v>RFA-E122</x:v>
      </x:c>
      <x:c r="H31" t="str"/>
      <x:c r="I31" t="str"/>
      <x:c r="J31" t="str">
        <x:f>IF(COUNT(H31:I31)&lt;2,"",I31-H31)</x:f>
      </x:c>
      <x:c r="K31" t="str"/>
      <x:c r="L31" t="str"/>
      <x:c r="M31" t="str">
        <x:f>IF(COUNT(K31:L31)&lt;2,"",L31-K31)</x:f>
      </x:c>
      <x:c r="N31" t="str">
        <x:v>OPEN</x:v>
      </x:c>
      <x:c r="O31" t="str">
        <x:f>IF(N31=1,"PASS","OPEN")</x:f>
        <x:v>OPEN</x:v>
      </x:c>
    </x:row>
    <x:row r="32">
      <x:c r="B32" t="str">
        <x:v>RFA-P026</x:v>
      </x:c>
      <x:c r="C32" t="str">
        <x:v>AF-1-BB</x:v>
      </x:c>
      <x:c r="D32" t="str">
        <x:v>PTC-C</x:v>
      </x:c>
      <x:c r="E32" t="str">
        <x:v>A02</x:v>
      </x:c>
      <x:c r="F32" t="str">
        <x:v>RFA-E124</x:v>
      </x:c>
      <x:c r="G32" t="str">
        <x:v>RFA-E123</x:v>
      </x:c>
      <x:c r="H32" t="str"/>
      <x:c r="I32" t="str"/>
      <x:c r="J32" t="str">
        <x:f>IF(COUNT(H32:I32)&lt;2,"",I32-H32)</x:f>
      </x:c>
      <x:c r="K32" t="str"/>
      <x:c r="L32" t="str"/>
      <x:c r="M32" t="str">
        <x:f>IF(COUNT(K32:L32)&lt;2,"",L32-K32)</x:f>
      </x:c>
      <x:c r="N32" t="str">
        <x:v>OPEN</x:v>
      </x:c>
      <x:c r="O32" t="str">
        <x:f>IF(N32=1,"PASS","OPEN")</x:f>
        <x:v>OPEN</x:v>
      </x:c>
    </x:row>
    <x:row r="33">
      <x:c r="B33" t="str">
        <x:v>RFA-P027</x:v>
      </x:c>
      <x:c r="C33" t="str">
        <x:v>AF-1-BB</x:v>
      </x:c>
      <x:c r="D33" t="str">
        <x:v>PTC-C</x:v>
      </x:c>
      <x:c r="E33" t="str">
        <x:v>A03</x:v>
      </x:c>
      <x:c r="F33" t="str">
        <x:v>RFA-E125</x:v>
      </x:c>
      <x:c r="G33" t="str">
        <x:v>RFA-E126</x:v>
      </x:c>
      <x:c r="H33" t="str"/>
      <x:c r="I33" t="str"/>
      <x:c r="J33" t="str">
        <x:f>IF(COUNT(H33:I33)&lt;2,"",I33-H33)</x:f>
      </x:c>
      <x:c r="K33" t="str"/>
      <x:c r="L33" t="str"/>
      <x:c r="M33" t="str">
        <x:f>IF(COUNT(K33:L33)&lt;2,"",L33-K33)</x:f>
      </x:c>
      <x:c r="N33" t="str">
        <x:v>OPEN</x:v>
      </x:c>
      <x:c r="O33" t="str">
        <x:f>IF(N33=1,"PASS","OPEN")</x:f>
        <x:v>OPEN</x:v>
      </x:c>
    </x:row>
    <x:row r="34">
      <x:c r="B34" t="str">
        <x:v>RFA-P028</x:v>
      </x:c>
      <x:c r="C34" t="str">
        <x:v>AF-1-BB</x:v>
      </x:c>
      <x:c r="D34" t="str">
        <x:v>PTC-C</x:v>
      </x:c>
      <x:c r="E34" t="str">
        <x:v>A04</x:v>
      </x:c>
      <x:c r="F34" t="str">
        <x:v>RFA-E128</x:v>
      </x:c>
      <x:c r="G34" t="str">
        <x:v>RFA-E127</x:v>
      </x:c>
      <x:c r="H34" t="str"/>
      <x:c r="I34" t="str"/>
      <x:c r="J34" t="str">
        <x:f>IF(COUNT(H34:I34)&lt;2,"",I34-H34)</x:f>
      </x:c>
      <x:c r="K34" t="str"/>
      <x:c r="L34" t="str"/>
      <x:c r="M34" t="str">
        <x:f>IF(COUNT(K34:L34)&lt;2,"",L34-K34)</x:f>
      </x:c>
      <x:c r="N34" t="str">
        <x:v>OPEN</x:v>
      </x:c>
      <x:c r="O34" t="str">
        <x:f>IF(N34=1,"PASS","OPEN")</x:f>
        <x:v>OPEN</x:v>
      </x:c>
    </x:row>
    <x:row r="35">
      <x:c r="B35" t="str">
        <x:v>RFA-P029</x:v>
      </x:c>
      <x:c r="C35" t="str">
        <x:v>AF-1-BB</x:v>
      </x:c>
      <x:c r="D35" t="str">
        <x:v>PTC-C</x:v>
      </x:c>
      <x:c r="E35" t="str">
        <x:v>A05</x:v>
      </x:c>
      <x:c r="F35" t="str">
        <x:v>RFA-E129</x:v>
      </x:c>
      <x:c r="G35" t="str">
        <x:v>RFA-E130</x:v>
      </x:c>
      <x:c r="H35" t="str"/>
      <x:c r="I35" t="str"/>
      <x:c r="J35" t="str">
        <x:f>IF(COUNT(H35:I35)&lt;2,"",I35-H35)</x:f>
      </x:c>
      <x:c r="K35" t="str"/>
      <x:c r="L35" t="str"/>
      <x:c r="M35" t="str">
        <x:f>IF(COUNT(K35:L35)&lt;2,"",L35-K35)</x:f>
      </x:c>
      <x:c r="N35" t="str">
        <x:v>OPEN</x:v>
      </x:c>
      <x:c r="O35" t="str">
        <x:f>IF(N35=1,"PASS","OPEN")</x:f>
        <x:v>OPEN</x:v>
      </x:c>
    </x:row>
    <x:row r="36">
      <x:c r="B36" t="str">
        <x:v>RFA-P030</x:v>
      </x:c>
      <x:c r="C36" t="str">
        <x:v>AF-1-BB</x:v>
      </x:c>
      <x:c r="D36" t="str">
        <x:v>PTC-C</x:v>
      </x:c>
      <x:c r="E36" t="str">
        <x:v>A06</x:v>
      </x:c>
      <x:c r="F36" t="str">
        <x:v>RFA-E132</x:v>
      </x:c>
      <x:c r="G36" t="str">
        <x:v>RFA-E131</x:v>
      </x:c>
      <x:c r="H36" t="str"/>
      <x:c r="I36" t="str"/>
      <x:c r="J36" t="str">
        <x:f>IF(COUNT(H36:I36)&lt;2,"",I36-H36)</x:f>
      </x:c>
      <x:c r="K36" t="str"/>
      <x:c r="L36" t="str"/>
      <x:c r="M36" t="str">
        <x:f>IF(COUNT(K36:L36)&lt;2,"",L36-K36)</x:f>
      </x:c>
      <x:c r="N36" t="str">
        <x:v>OPEN</x:v>
      </x:c>
      <x:c r="O36" t="str">
        <x:f>IF(N36=1,"PASS","OPEN")</x:f>
        <x:v>OPEN</x:v>
      </x:c>
    </x:row>
    <x:row r="37">
      <x:c r="B37" t="str">
        <x:v>RFA-P031</x:v>
      </x:c>
      <x:c r="C37" t="str">
        <x:v>AF-1-BB</x:v>
      </x:c>
      <x:c r="D37" t="str">
        <x:v>PTC-C</x:v>
      </x:c>
      <x:c r="E37" t="str">
        <x:v>A07</x:v>
      </x:c>
      <x:c r="F37" t="str">
        <x:v>RFA-E133</x:v>
      </x:c>
      <x:c r="G37" t="str">
        <x:v>RFA-E134</x:v>
      </x:c>
      <x:c r="H37" t="str"/>
      <x:c r="I37" t="str"/>
      <x:c r="J37" t="str">
        <x:f>IF(COUNT(H37:I37)&lt;2,"",I37-H37)</x:f>
      </x:c>
      <x:c r="K37" t="str"/>
      <x:c r="L37" t="str"/>
      <x:c r="M37" t="str">
        <x:f>IF(COUNT(K37:L37)&lt;2,"",L37-K37)</x:f>
      </x:c>
      <x:c r="N37" t="str">
        <x:v>OPEN</x:v>
      </x:c>
      <x:c r="O37" t="str">
        <x:f>IF(N37=1,"PASS","OPEN")</x:f>
        <x:v>OPEN</x:v>
      </x:c>
    </x:row>
    <x:row r="38">
      <x:c r="B38" t="str">
        <x:v>RFA-P032</x:v>
      </x:c>
      <x:c r="C38" t="str">
        <x:v>AF-1-BB</x:v>
      </x:c>
      <x:c r="D38" t="str">
        <x:v>PTC-C</x:v>
      </x:c>
      <x:c r="E38" t="str">
        <x:v>A08</x:v>
      </x:c>
      <x:c r="F38" t="str">
        <x:v>RFA-E136</x:v>
      </x:c>
      <x:c r="G38" t="str">
        <x:v>RFA-E135</x:v>
      </x:c>
      <x:c r="H38" t="str"/>
      <x:c r="I38" t="str"/>
      <x:c r="J38" t="str">
        <x:f>IF(COUNT(H38:I38)&lt;2,"",I38-H38)</x:f>
      </x:c>
      <x:c r="K38" t="str"/>
      <x:c r="L38" t="str"/>
      <x:c r="M38" t="str">
        <x:f>IF(COUNT(K38:L38)&lt;2,"",L38-K38)</x:f>
      </x:c>
      <x:c r="N38" t="str">
        <x:v>OPEN</x:v>
      </x:c>
      <x:c r="O38" t="str">
        <x:f>IF(N38=1,"PASS","OPEN")</x:f>
        <x:v>OPEN</x:v>
      </x:c>
    </x:row>
    <x:row r="39">
      <x:c r="B39" t="str">
        <x:v>RFA-P033</x:v>
      </x:c>
      <x:c r="C39" t="str">
        <x:v>AF-2-BA</x:v>
      </x:c>
      <x:c r="D39" t="str">
        <x:v>PTC-B</x:v>
      </x:c>
      <x:c r="E39" t="str">
        <x:v>A01</x:v>
      </x:c>
      <x:c r="F39" t="str">
        <x:v>RFA-E137</x:v>
      </x:c>
      <x:c r="G39" t="str">
        <x:v>RFA-E138</x:v>
      </x:c>
      <x:c r="H39" t="str"/>
      <x:c r="I39" t="str"/>
      <x:c r="J39" t="str">
        <x:f>IF(COUNT(H39:I39)&lt;2,"",I39-H39)</x:f>
      </x:c>
      <x:c r="K39" t="str"/>
      <x:c r="L39" t="str"/>
      <x:c r="M39" t="str">
        <x:f>IF(COUNT(K39:L39)&lt;2,"",L39-K39)</x:f>
      </x:c>
      <x:c r="N39" t="str">
        <x:v>OPEN</x:v>
      </x:c>
      <x:c r="O39" t="str">
        <x:f>IF(N39=1,"PASS","OPEN")</x:f>
        <x:v>OPEN</x:v>
      </x:c>
    </x:row>
    <x:row r="40">
      <x:c r="B40" t="str">
        <x:v>RFA-P034</x:v>
      </x:c>
      <x:c r="C40" t="str">
        <x:v>AF-2-BA</x:v>
      </x:c>
      <x:c r="D40" t="str">
        <x:v>PTC-B</x:v>
      </x:c>
      <x:c r="E40" t="str">
        <x:v>A02</x:v>
      </x:c>
      <x:c r="F40" t="str">
        <x:v>RFA-E140</x:v>
      </x:c>
      <x:c r="G40" t="str">
        <x:v>RFA-E139</x:v>
      </x:c>
      <x:c r="H40" t="str"/>
      <x:c r="I40" t="str"/>
      <x:c r="J40" t="str">
        <x:f>IF(COUNT(H40:I40)&lt;2,"",I40-H40)</x:f>
      </x:c>
      <x:c r="K40" t="str"/>
      <x:c r="L40" t="str"/>
      <x:c r="M40" t="str">
        <x:f>IF(COUNT(K40:L40)&lt;2,"",L40-K40)</x:f>
      </x:c>
      <x:c r="N40" t="str">
        <x:v>OPEN</x:v>
      </x:c>
      <x:c r="O40" t="str">
        <x:f>IF(N40=1,"PASS","OPEN")</x:f>
        <x:v>OPEN</x:v>
      </x:c>
    </x:row>
    <x:row r="41">
      <x:c r="B41" t="str">
        <x:v>RFA-P035</x:v>
      </x:c>
      <x:c r="C41" t="str">
        <x:v>AF-2-BA</x:v>
      </x:c>
      <x:c r="D41" t="str">
        <x:v>PTC-B</x:v>
      </x:c>
      <x:c r="E41" t="str">
        <x:v>A03</x:v>
      </x:c>
      <x:c r="F41" t="str">
        <x:v>RFA-E141</x:v>
      </x:c>
      <x:c r="G41" t="str">
        <x:v>RFA-E142</x:v>
      </x:c>
      <x:c r="H41" t="str"/>
      <x:c r="I41" t="str"/>
      <x:c r="J41" t="str">
        <x:f>IF(COUNT(H41:I41)&lt;2,"",I41-H41)</x:f>
      </x:c>
      <x:c r="K41" t="str"/>
      <x:c r="L41" t="str"/>
      <x:c r="M41" t="str">
        <x:f>IF(COUNT(K41:L41)&lt;2,"",L41-K41)</x:f>
      </x:c>
      <x:c r="N41" t="str">
        <x:v>OPEN</x:v>
      </x:c>
      <x:c r="O41" t="str">
        <x:f>IF(N41=1,"PASS","OPEN")</x:f>
        <x:v>OPEN</x:v>
      </x:c>
    </x:row>
    <x:row r="42">
      <x:c r="B42" t="str">
        <x:v>RFA-P036</x:v>
      </x:c>
      <x:c r="C42" t="str">
        <x:v>AF-2-BA</x:v>
      </x:c>
      <x:c r="D42" t="str">
        <x:v>PTC-B</x:v>
      </x:c>
      <x:c r="E42" t="str">
        <x:v>A04</x:v>
      </x:c>
      <x:c r="F42" t="str">
        <x:v>RFA-E144</x:v>
      </x:c>
      <x:c r="G42" t="str">
        <x:v>RFA-E143</x:v>
      </x:c>
      <x:c r="H42" t="str"/>
      <x:c r="I42" t="str"/>
      <x:c r="J42" t="str">
        <x:f>IF(COUNT(H42:I42)&lt;2,"",I42-H42)</x:f>
      </x:c>
      <x:c r="K42" t="str"/>
      <x:c r="L42" t="str"/>
      <x:c r="M42" t="str">
        <x:f>IF(COUNT(K42:L42)&lt;2,"",L42-K42)</x:f>
      </x:c>
      <x:c r="N42" t="str">
        <x:v>OPEN</x:v>
      </x:c>
      <x:c r="O42" t="str">
        <x:f>IF(N42=1,"PASS","OPEN")</x:f>
        <x:v>OPEN</x:v>
      </x:c>
    </x:row>
    <x:row r="43">
      <x:c r="B43" t="str">
        <x:v>RFA-P037</x:v>
      </x:c>
      <x:c r="C43" t="str">
        <x:v>AF-2-BA</x:v>
      </x:c>
      <x:c r="D43" t="str">
        <x:v>PTC-B</x:v>
      </x:c>
      <x:c r="E43" t="str">
        <x:v>A05</x:v>
      </x:c>
      <x:c r="F43" t="str">
        <x:v>RFA-E145</x:v>
      </x:c>
      <x:c r="G43" t="str">
        <x:v>RFA-E146</x:v>
      </x:c>
      <x:c r="H43" t="str"/>
      <x:c r="I43" t="str"/>
      <x:c r="J43" t="str">
        <x:f>IF(COUNT(H43:I43)&lt;2,"",I43-H43)</x:f>
      </x:c>
      <x:c r="K43" t="str"/>
      <x:c r="L43" t="str"/>
      <x:c r="M43" t="str">
        <x:f>IF(COUNT(K43:L43)&lt;2,"",L43-K43)</x:f>
      </x:c>
      <x:c r="N43" t="str">
        <x:v>OPEN</x:v>
      </x:c>
      <x:c r="O43" t="str">
        <x:f>IF(N43=1,"PASS","OPEN")</x:f>
        <x:v>OPEN</x:v>
      </x:c>
    </x:row>
    <x:row r="44">
      <x:c r="B44" t="str">
        <x:v>RFA-P038</x:v>
      </x:c>
      <x:c r="C44" t="str">
        <x:v>AF-2-BA</x:v>
      </x:c>
      <x:c r="D44" t="str">
        <x:v>PTC-B</x:v>
      </x:c>
      <x:c r="E44" t="str">
        <x:v>A06</x:v>
      </x:c>
      <x:c r="F44" t="str">
        <x:v>RFA-E148</x:v>
      </x:c>
      <x:c r="G44" t="str">
        <x:v>RFA-E147</x:v>
      </x:c>
      <x:c r="H44" t="str"/>
      <x:c r="I44" t="str"/>
      <x:c r="J44" t="str">
        <x:f>IF(COUNT(H44:I44)&lt;2,"",I44-H44)</x:f>
      </x:c>
      <x:c r="K44" t="str"/>
      <x:c r="L44" t="str"/>
      <x:c r="M44" t="str">
        <x:f>IF(COUNT(K44:L44)&lt;2,"",L44-K44)</x:f>
      </x:c>
      <x:c r="N44" t="str">
        <x:v>OPEN</x:v>
      </x:c>
      <x:c r="O44" t="str">
        <x:f>IF(N44=1,"PASS","OPEN")</x:f>
        <x:v>OPEN</x:v>
      </x:c>
    </x:row>
    <x:row r="45">
      <x:c r="B45" t="str">
        <x:v>RFA-P039</x:v>
      </x:c>
      <x:c r="C45" t="str">
        <x:v>AF-2-BA</x:v>
      </x:c>
      <x:c r="D45" t="str">
        <x:v>PTC-B</x:v>
      </x:c>
      <x:c r="E45" t="str">
        <x:v>A07</x:v>
      </x:c>
      <x:c r="F45" t="str">
        <x:v>RFA-E149</x:v>
      </x:c>
      <x:c r="G45" t="str">
        <x:v>RFA-E150</x:v>
      </x:c>
      <x:c r="H45" t="str"/>
      <x:c r="I45" t="str"/>
      <x:c r="J45" t="str">
        <x:f>IF(COUNT(H45:I45)&lt;2,"",I45-H45)</x:f>
      </x:c>
      <x:c r="K45" t="str"/>
      <x:c r="L45" t="str"/>
      <x:c r="M45" t="str">
        <x:f>IF(COUNT(K45:L45)&lt;2,"",L45-K45)</x:f>
      </x:c>
      <x:c r="N45" t="str">
        <x:v>OPEN</x:v>
      </x:c>
      <x:c r="O45" t="str">
        <x:f>IF(N45=1,"PASS","OPEN")</x:f>
        <x:v>OPEN</x:v>
      </x:c>
    </x:row>
    <x:row r="46">
      <x:c r="B46" t="str">
        <x:v>RFA-P040</x:v>
      </x:c>
      <x:c r="C46" t="str">
        <x:v>AF-2-BA</x:v>
      </x:c>
      <x:c r="D46" t="str">
        <x:v>PTC-B</x:v>
      </x:c>
      <x:c r="E46" t="str">
        <x:v>A08</x:v>
      </x:c>
      <x:c r="F46" t="str">
        <x:v>RFA-E152</x:v>
      </x:c>
      <x:c r="G46" t="str">
        <x:v>RFA-E151</x:v>
      </x:c>
      <x:c r="H46" t="str"/>
      <x:c r="I46" t="str"/>
      <x:c r="J46" t="str">
        <x:f>IF(COUNT(H46:I46)&lt;2,"",I46-H46)</x:f>
      </x:c>
      <x:c r="K46" t="str"/>
      <x:c r="L46" t="str"/>
      <x:c r="M46" t="str">
        <x:f>IF(COUNT(K46:L46)&lt;2,"",L46-K46)</x:f>
      </x:c>
      <x:c r="N46" t="str">
        <x:v>OPEN</x:v>
      </x:c>
      <x:c r="O46" t="str">
        <x:f>IF(N46=1,"PASS","OPEN")</x:f>
        <x:v>OPEN</x:v>
      </x:c>
    </x:row>
    <x:row r="47">
      <x:c r="B47" t="str">
        <x:v>RFA-P041</x:v>
      </x:c>
      <x:c r="C47" t="str">
        <x:v>AF-2-BA</x:v>
      </x:c>
      <x:c r="D47" t="str">
        <x:v>PTC-C</x:v>
      </x:c>
      <x:c r="E47" t="str">
        <x:v>A01</x:v>
      </x:c>
      <x:c r="F47" t="str">
        <x:v>RFA-E153</x:v>
      </x:c>
      <x:c r="G47" t="str">
        <x:v>RFA-E154</x:v>
      </x:c>
      <x:c r="H47" t="str"/>
      <x:c r="I47" t="str"/>
      <x:c r="J47" t="str">
        <x:f>IF(COUNT(H47:I47)&lt;2,"",I47-H47)</x:f>
      </x:c>
      <x:c r="K47" t="str"/>
      <x:c r="L47" t="str"/>
      <x:c r="M47" t="str">
        <x:f>IF(COUNT(K47:L47)&lt;2,"",L47-K47)</x:f>
      </x:c>
      <x:c r="N47" t="str">
        <x:v>OPEN</x:v>
      </x:c>
      <x:c r="O47" t="str">
        <x:f>IF(N47=1,"PASS","OPEN")</x:f>
        <x:v>OPEN</x:v>
      </x:c>
    </x:row>
    <x:row r="48">
      <x:c r="B48" t="str">
        <x:v>RFA-P042</x:v>
      </x:c>
      <x:c r="C48" t="str">
        <x:v>AF-2-BA</x:v>
      </x:c>
      <x:c r="D48" t="str">
        <x:v>PTC-C</x:v>
      </x:c>
      <x:c r="E48" t="str">
        <x:v>A02</x:v>
      </x:c>
      <x:c r="F48" t="str">
        <x:v>RFA-E156</x:v>
      </x:c>
      <x:c r="G48" t="str">
        <x:v>RFA-E155</x:v>
      </x:c>
      <x:c r="H48" t="str"/>
      <x:c r="I48" t="str"/>
      <x:c r="J48" t="str">
        <x:f>IF(COUNT(H48:I48)&lt;2,"",I48-H48)</x:f>
      </x:c>
      <x:c r="K48" t="str"/>
      <x:c r="L48" t="str"/>
      <x:c r="M48" t="str">
        <x:f>IF(COUNT(K48:L48)&lt;2,"",L48-K48)</x:f>
      </x:c>
      <x:c r="N48" t="str">
        <x:v>OPEN</x:v>
      </x:c>
      <x:c r="O48" t="str">
        <x:f>IF(N48=1,"PASS","OPEN")</x:f>
        <x:v>OPEN</x:v>
      </x:c>
    </x:row>
    <x:row r="49">
      <x:c r="B49" t="str">
        <x:v>RFA-P043</x:v>
      </x:c>
      <x:c r="C49" t="str">
        <x:v>AF-2-BA</x:v>
      </x:c>
      <x:c r="D49" t="str">
        <x:v>PTC-C</x:v>
      </x:c>
      <x:c r="E49" t="str">
        <x:v>A03</x:v>
      </x:c>
      <x:c r="F49" t="str">
        <x:v>RFA-E157</x:v>
      </x:c>
      <x:c r="G49" t="str">
        <x:v>RFA-E158</x:v>
      </x:c>
      <x:c r="H49" t="str"/>
      <x:c r="I49" t="str"/>
      <x:c r="J49" t="str">
        <x:f>IF(COUNT(H49:I49)&lt;2,"",I49-H49)</x:f>
      </x:c>
      <x:c r="K49" t="str"/>
      <x:c r="L49" t="str"/>
      <x:c r="M49" t="str">
        <x:f>IF(COUNT(K49:L49)&lt;2,"",L49-K49)</x:f>
      </x:c>
      <x:c r="N49" t="str">
        <x:v>OPEN</x:v>
      </x:c>
      <x:c r="O49" t="str">
        <x:f>IF(N49=1,"PASS","OPEN")</x:f>
        <x:v>OPEN</x:v>
      </x:c>
    </x:row>
    <x:row r="50">
      <x:c r="B50" t="str">
        <x:v>RFA-P044</x:v>
      </x:c>
      <x:c r="C50" t="str">
        <x:v>AF-2-BA</x:v>
      </x:c>
      <x:c r="D50" t="str">
        <x:v>PTC-C</x:v>
      </x:c>
      <x:c r="E50" t="str">
        <x:v>A04</x:v>
      </x:c>
      <x:c r="F50" t="str">
        <x:v>RFA-E160</x:v>
      </x:c>
      <x:c r="G50" t="str">
        <x:v>RFA-E159</x:v>
      </x:c>
      <x:c r="H50" t="str"/>
      <x:c r="I50" t="str"/>
      <x:c r="J50" t="str">
        <x:f>IF(COUNT(H50:I50)&lt;2,"",I50-H50)</x:f>
      </x:c>
      <x:c r="K50" t="str"/>
      <x:c r="L50" t="str"/>
      <x:c r="M50" t="str">
        <x:f>IF(COUNT(K50:L50)&lt;2,"",L50-K50)</x:f>
      </x:c>
      <x:c r="N50" t="str">
        <x:v>OPEN</x:v>
      </x:c>
      <x:c r="O50" t="str">
        <x:f>IF(N50=1,"PASS","OPEN")</x:f>
        <x:v>OPEN</x:v>
      </x:c>
    </x:row>
    <x:row r="51">
      <x:c r="B51" t="str">
        <x:v>RFA-P045</x:v>
      </x:c>
      <x:c r="C51" t="str">
        <x:v>AF-2-BA</x:v>
      </x:c>
      <x:c r="D51" t="str">
        <x:v>PTC-C</x:v>
      </x:c>
      <x:c r="E51" t="str">
        <x:v>A05</x:v>
      </x:c>
      <x:c r="F51" t="str">
        <x:v>RFA-E161</x:v>
      </x:c>
      <x:c r="G51" t="str">
        <x:v>RFA-E162</x:v>
      </x:c>
      <x:c r="H51" t="str"/>
      <x:c r="I51" t="str"/>
      <x:c r="J51" t="str">
        <x:f>IF(COUNT(H51:I51)&lt;2,"",I51-H51)</x:f>
      </x:c>
      <x:c r="K51" t="str"/>
      <x:c r="L51" t="str"/>
      <x:c r="M51" t="str">
        <x:f>IF(COUNT(K51:L51)&lt;2,"",L51-K51)</x:f>
      </x:c>
      <x:c r="N51" t="str">
        <x:v>OPEN</x:v>
      </x:c>
      <x:c r="O51" t="str">
        <x:f>IF(N51=1,"PASS","OPEN")</x:f>
        <x:v>OPEN</x:v>
      </x:c>
    </x:row>
    <x:row r="52">
      <x:c r="B52" t="str">
        <x:v>RFA-P046</x:v>
      </x:c>
      <x:c r="C52" t="str">
        <x:v>AF-2-BA</x:v>
      </x:c>
      <x:c r="D52" t="str">
        <x:v>PTC-C</x:v>
      </x:c>
      <x:c r="E52" t="str">
        <x:v>A06</x:v>
      </x:c>
      <x:c r="F52" t="str">
        <x:v>RFA-E164</x:v>
      </x:c>
      <x:c r="G52" t="str">
        <x:v>RFA-E163</x:v>
      </x:c>
      <x:c r="H52" t="str"/>
      <x:c r="I52" t="str"/>
      <x:c r="J52" t="str">
        <x:f>IF(COUNT(H52:I52)&lt;2,"",I52-H52)</x:f>
      </x:c>
      <x:c r="K52" t="str"/>
      <x:c r="L52" t="str"/>
      <x:c r="M52" t="str">
        <x:f>IF(COUNT(K52:L52)&lt;2,"",L52-K52)</x:f>
      </x:c>
      <x:c r="N52" t="str">
        <x:v>OPEN</x:v>
      </x:c>
      <x:c r="O52" t="str">
        <x:f>IF(N52=1,"PASS","OPEN")</x:f>
        <x:v>OPEN</x:v>
      </x:c>
    </x:row>
    <x:row r="53">
      <x:c r="B53" t="str">
        <x:v>RFA-P047</x:v>
      </x:c>
      <x:c r="C53" t="str">
        <x:v>AF-2-BA</x:v>
      </x:c>
      <x:c r="D53" t="str">
        <x:v>PTC-C</x:v>
      </x:c>
      <x:c r="E53" t="str">
        <x:v>A07</x:v>
      </x:c>
      <x:c r="F53" t="str">
        <x:v>RFA-E165</x:v>
      </x:c>
      <x:c r="G53" t="str">
        <x:v>RFA-E166</x:v>
      </x:c>
      <x:c r="H53" t="str"/>
      <x:c r="I53" t="str"/>
      <x:c r="J53" t="str">
        <x:f>IF(COUNT(H53:I53)&lt;2,"",I53-H53)</x:f>
      </x:c>
      <x:c r="K53" t="str"/>
      <x:c r="L53" t="str"/>
      <x:c r="M53" t="str">
        <x:f>IF(COUNT(K53:L53)&lt;2,"",L53-K53)</x:f>
      </x:c>
      <x:c r="N53" t="str">
        <x:v>OPEN</x:v>
      </x:c>
      <x:c r="O53" t="str">
        <x:f>IF(N53=1,"PASS","OPEN")</x:f>
        <x:v>OPEN</x:v>
      </x:c>
    </x:row>
    <x:row r="54">
      <x:c r="B54" t="str">
        <x:v>RFA-P048</x:v>
      </x:c>
      <x:c r="C54" t="str">
        <x:v>AF-2-BA</x:v>
      </x:c>
      <x:c r="D54" t="str">
        <x:v>PTC-C</x:v>
      </x:c>
      <x:c r="E54" t="str">
        <x:v>A08</x:v>
      </x:c>
      <x:c r="F54" t="str">
        <x:v>RFA-E168</x:v>
      </x:c>
      <x:c r="G54" t="str">
        <x:v>RFA-E167</x:v>
      </x:c>
      <x:c r="H54" t="str"/>
      <x:c r="I54" t="str"/>
      <x:c r="J54" t="str">
        <x:f>IF(COUNT(H54:I54)&lt;2,"",I54-H54)</x:f>
      </x:c>
      <x:c r="K54" t="str"/>
      <x:c r="L54" t="str"/>
      <x:c r="M54" t="str">
        <x:f>IF(COUNT(K54:L54)&lt;2,"",L54-K54)</x:f>
      </x:c>
      <x:c r="N54" t="str">
        <x:v>OPEN</x:v>
      </x:c>
      <x:c r="O54" t="str">
        <x:f>IF(N54=1,"PASS","OPEN")</x:f>
        <x:v>OPEN</x:v>
      </x:c>
    </x:row>
    <x:row r="55">
      <x:c r="B55" t="str">
        <x:v>RFA-P049</x:v>
      </x:c>
      <x:c r="C55" t="str">
        <x:v>AF-2-BB</x:v>
      </x:c>
      <x:c r="D55" t="str">
        <x:v>PTC-B</x:v>
      </x:c>
      <x:c r="E55" t="str">
        <x:v>A01</x:v>
      </x:c>
      <x:c r="F55" t="str">
        <x:v>RFA-E169</x:v>
      </x:c>
      <x:c r="G55" t="str">
        <x:v>RFA-E170</x:v>
      </x:c>
      <x:c r="H55" t="str"/>
      <x:c r="I55" t="str"/>
      <x:c r="J55" t="str">
        <x:f>IF(COUNT(H55:I55)&lt;2,"",I55-H55)</x:f>
      </x:c>
      <x:c r="K55" t="str"/>
      <x:c r="L55" t="str"/>
      <x:c r="M55" t="str">
        <x:f>IF(COUNT(K55:L55)&lt;2,"",L55-K55)</x:f>
      </x:c>
      <x:c r="N55" t="str">
        <x:v>OPEN</x:v>
      </x:c>
      <x:c r="O55" t="str">
        <x:f>IF(N55=1,"PASS","OPEN")</x:f>
        <x:v>OPEN</x:v>
      </x:c>
    </x:row>
    <x:row r="56">
      <x:c r="B56" t="str">
        <x:v>RFA-P050</x:v>
      </x:c>
      <x:c r="C56" t="str">
        <x:v>AF-2-BB</x:v>
      </x:c>
      <x:c r="D56" t="str">
        <x:v>PTC-B</x:v>
      </x:c>
      <x:c r="E56" t="str">
        <x:v>A02</x:v>
      </x:c>
      <x:c r="F56" t="str">
        <x:v>RFA-E172</x:v>
      </x:c>
      <x:c r="G56" t="str">
        <x:v>RFA-E171</x:v>
      </x:c>
      <x:c r="H56" t="str"/>
      <x:c r="I56" t="str"/>
      <x:c r="J56" t="str">
        <x:f>IF(COUNT(H56:I56)&lt;2,"",I56-H56)</x:f>
      </x:c>
      <x:c r="K56" t="str"/>
      <x:c r="L56" t="str"/>
      <x:c r="M56" t="str">
        <x:f>IF(COUNT(K56:L56)&lt;2,"",L56-K56)</x:f>
      </x:c>
      <x:c r="N56" t="str">
        <x:v>OPEN</x:v>
      </x:c>
      <x:c r="O56" t="str">
        <x:f>IF(N56=1,"PASS","OPEN")</x:f>
        <x:v>OPEN</x:v>
      </x:c>
    </x:row>
    <x:row r="57">
      <x:c r="B57" t="str">
        <x:v>RFA-P051</x:v>
      </x:c>
      <x:c r="C57" t="str">
        <x:v>AF-2-BB</x:v>
      </x:c>
      <x:c r="D57" t="str">
        <x:v>PTC-B</x:v>
      </x:c>
      <x:c r="E57" t="str">
        <x:v>A03</x:v>
      </x:c>
      <x:c r="F57" t="str">
        <x:v>RFA-E173</x:v>
      </x:c>
      <x:c r="G57" t="str">
        <x:v>RFA-E174</x:v>
      </x:c>
      <x:c r="H57" t="str"/>
      <x:c r="I57" t="str"/>
      <x:c r="J57" t="str">
        <x:f>IF(COUNT(H57:I57)&lt;2,"",I57-H57)</x:f>
      </x:c>
      <x:c r="K57" t="str"/>
      <x:c r="L57" t="str"/>
      <x:c r="M57" t="str">
        <x:f>IF(COUNT(K57:L57)&lt;2,"",L57-K57)</x:f>
      </x:c>
      <x:c r="N57" t="str">
        <x:v>OPEN</x:v>
      </x:c>
      <x:c r="O57" t="str">
        <x:f>IF(N57=1,"PASS","OPEN")</x:f>
        <x:v>OPEN</x:v>
      </x:c>
    </x:row>
    <x:row r="58">
      <x:c r="B58" t="str">
        <x:v>RFA-P052</x:v>
      </x:c>
      <x:c r="C58" t="str">
        <x:v>AF-2-BB</x:v>
      </x:c>
      <x:c r="D58" t="str">
        <x:v>PTC-B</x:v>
      </x:c>
      <x:c r="E58" t="str">
        <x:v>A04</x:v>
      </x:c>
      <x:c r="F58" t="str">
        <x:v>RFA-E176</x:v>
      </x:c>
      <x:c r="G58" t="str">
        <x:v>RFA-E175</x:v>
      </x:c>
      <x:c r="H58" t="str"/>
      <x:c r="I58" t="str"/>
      <x:c r="J58" t="str">
        <x:f>IF(COUNT(H58:I58)&lt;2,"",I58-H58)</x:f>
      </x:c>
      <x:c r="K58" t="str"/>
      <x:c r="L58" t="str"/>
      <x:c r="M58" t="str">
        <x:f>IF(COUNT(K58:L58)&lt;2,"",L58-K58)</x:f>
      </x:c>
      <x:c r="N58" t="str">
        <x:v>OPEN</x:v>
      </x:c>
      <x:c r="O58" t="str">
        <x:f>IF(N58=1,"PASS","OPEN")</x:f>
        <x:v>OPEN</x:v>
      </x:c>
    </x:row>
    <x:row r="59">
      <x:c r="B59" t="str">
        <x:v>RFA-P053</x:v>
      </x:c>
      <x:c r="C59" t="str">
        <x:v>AF-2-BB</x:v>
      </x:c>
      <x:c r="D59" t="str">
        <x:v>PTC-B</x:v>
      </x:c>
      <x:c r="E59" t="str">
        <x:v>A05</x:v>
      </x:c>
      <x:c r="F59" t="str">
        <x:v>RFA-E177</x:v>
      </x:c>
      <x:c r="G59" t="str">
        <x:v>RFA-E178</x:v>
      </x:c>
      <x:c r="H59" t="str"/>
      <x:c r="I59" t="str"/>
      <x:c r="J59" t="str">
        <x:f>IF(COUNT(H59:I59)&lt;2,"",I59-H59)</x:f>
      </x:c>
      <x:c r="K59" t="str"/>
      <x:c r="L59" t="str"/>
      <x:c r="M59" t="str">
        <x:f>IF(COUNT(K59:L59)&lt;2,"",L59-K59)</x:f>
      </x:c>
      <x:c r="N59" t="str">
        <x:v>OPEN</x:v>
      </x:c>
      <x:c r="O59" t="str">
        <x:f>IF(N59=1,"PASS","OPEN")</x:f>
        <x:v>OPEN</x:v>
      </x:c>
    </x:row>
    <x:row r="60">
      <x:c r="B60" t="str">
        <x:v>RFA-P054</x:v>
      </x:c>
      <x:c r="C60" t="str">
        <x:v>AF-2-BB</x:v>
      </x:c>
      <x:c r="D60" t="str">
        <x:v>PTC-B</x:v>
      </x:c>
      <x:c r="E60" t="str">
        <x:v>A06</x:v>
      </x:c>
      <x:c r="F60" t="str">
        <x:v>RFA-E180</x:v>
      </x:c>
      <x:c r="G60" t="str">
        <x:v>RFA-E179</x:v>
      </x:c>
      <x:c r="H60" t="str"/>
      <x:c r="I60" t="str"/>
      <x:c r="J60" t="str">
        <x:f>IF(COUNT(H60:I60)&lt;2,"",I60-H60)</x:f>
      </x:c>
      <x:c r="K60" t="str"/>
      <x:c r="L60" t="str"/>
      <x:c r="M60" t="str">
        <x:f>IF(COUNT(K60:L60)&lt;2,"",L60-K60)</x:f>
      </x:c>
      <x:c r="N60" t="str">
        <x:v>OPEN</x:v>
      </x:c>
      <x:c r="O60" t="str">
        <x:f>IF(N60=1,"PASS","OPEN")</x:f>
        <x:v>OPEN</x:v>
      </x:c>
    </x:row>
    <x:row r="61">
      <x:c r="B61" t="str">
        <x:v>RFA-P055</x:v>
      </x:c>
      <x:c r="C61" t="str">
        <x:v>AF-2-BB</x:v>
      </x:c>
      <x:c r="D61" t="str">
        <x:v>PTC-B</x:v>
      </x:c>
      <x:c r="E61" t="str">
        <x:v>A07</x:v>
      </x:c>
      <x:c r="F61" t="str">
        <x:v>RFA-E181</x:v>
      </x:c>
      <x:c r="G61" t="str">
        <x:v>RFA-E182</x:v>
      </x:c>
      <x:c r="H61" t="str"/>
      <x:c r="I61" t="str"/>
      <x:c r="J61" t="str">
        <x:f>IF(COUNT(H61:I61)&lt;2,"",I61-H61)</x:f>
      </x:c>
      <x:c r="K61" t="str"/>
      <x:c r="L61" t="str"/>
      <x:c r="M61" t="str">
        <x:f>IF(COUNT(K61:L61)&lt;2,"",L61-K61)</x:f>
      </x:c>
      <x:c r="N61" t="str">
        <x:v>OPEN</x:v>
      </x:c>
      <x:c r="O61" t="str">
        <x:f>IF(N61=1,"PASS","OPEN")</x:f>
        <x:v>OPEN</x:v>
      </x:c>
    </x:row>
    <x:row r="62">
      <x:c r="B62" t="str">
        <x:v>RFA-P056</x:v>
      </x:c>
      <x:c r="C62" t="str">
        <x:v>AF-2-BB</x:v>
      </x:c>
      <x:c r="D62" t="str">
        <x:v>PTC-B</x:v>
      </x:c>
      <x:c r="E62" t="str">
        <x:v>A08</x:v>
      </x:c>
      <x:c r="F62" t="str">
        <x:v>RFA-E184</x:v>
      </x:c>
      <x:c r="G62" t="str">
        <x:v>RFA-E183</x:v>
      </x:c>
      <x:c r="H62" t="str"/>
      <x:c r="I62" t="str"/>
      <x:c r="J62" t="str">
        <x:f>IF(COUNT(H62:I62)&lt;2,"",I62-H62)</x:f>
      </x:c>
      <x:c r="K62" t="str"/>
      <x:c r="L62" t="str"/>
      <x:c r="M62" t="str">
        <x:f>IF(COUNT(K62:L62)&lt;2,"",L62-K62)</x:f>
      </x:c>
      <x:c r="N62" t="str">
        <x:v>OPEN</x:v>
      </x:c>
      <x:c r="O62" t="str">
        <x:f>IF(N62=1,"PASS","OPEN")</x:f>
        <x:v>OPEN</x:v>
      </x:c>
    </x:row>
    <x:row r="63">
      <x:c r="B63" t="str">
        <x:v>RFA-P057</x:v>
      </x:c>
      <x:c r="C63" t="str">
        <x:v>AF-2-BB</x:v>
      </x:c>
      <x:c r="D63" t="str">
        <x:v>PTC-C</x:v>
      </x:c>
      <x:c r="E63" t="str">
        <x:v>A01</x:v>
      </x:c>
      <x:c r="F63" t="str">
        <x:v>RFA-E185</x:v>
      </x:c>
      <x:c r="G63" t="str">
        <x:v>RFA-E186</x:v>
      </x:c>
      <x:c r="H63" t="str"/>
      <x:c r="I63" t="str"/>
      <x:c r="J63" t="str">
        <x:f>IF(COUNT(H63:I63)&lt;2,"",I63-H63)</x:f>
      </x:c>
      <x:c r="K63" t="str"/>
      <x:c r="L63" t="str"/>
      <x:c r="M63" t="str">
        <x:f>IF(COUNT(K63:L63)&lt;2,"",L63-K63)</x:f>
      </x:c>
      <x:c r="N63" t="str">
        <x:v>OPEN</x:v>
      </x:c>
      <x:c r="O63" t="str">
        <x:f>IF(N63=1,"PASS","OPEN")</x:f>
        <x:v>OPEN</x:v>
      </x:c>
    </x:row>
    <x:row r="64">
      <x:c r="B64" t="str">
        <x:v>RFA-P058</x:v>
      </x:c>
      <x:c r="C64" t="str">
        <x:v>AF-2-BB</x:v>
      </x:c>
      <x:c r="D64" t="str">
        <x:v>PTC-C</x:v>
      </x:c>
      <x:c r="E64" t="str">
        <x:v>A02</x:v>
      </x:c>
      <x:c r="F64" t="str">
        <x:v>RFA-E188</x:v>
      </x:c>
      <x:c r="G64" t="str">
        <x:v>RFA-E187</x:v>
      </x:c>
      <x:c r="H64" t="str"/>
      <x:c r="I64" t="str"/>
      <x:c r="J64" t="str">
        <x:f>IF(COUNT(H64:I64)&lt;2,"",I64-H64)</x:f>
      </x:c>
      <x:c r="K64" t="str"/>
      <x:c r="L64" t="str"/>
      <x:c r="M64" t="str">
        <x:f>IF(COUNT(K64:L64)&lt;2,"",L64-K64)</x:f>
      </x:c>
      <x:c r="N64" t="str">
        <x:v>OPEN</x:v>
      </x:c>
      <x:c r="O64" t="str">
        <x:f>IF(N64=1,"PASS","OPEN")</x:f>
        <x:v>OPEN</x:v>
      </x:c>
    </x:row>
    <x:row r="65">
      <x:c r="B65" t="str">
        <x:v>RFA-P059</x:v>
      </x:c>
      <x:c r="C65" t="str">
        <x:v>AF-2-BB</x:v>
      </x:c>
      <x:c r="D65" t="str">
        <x:v>PTC-C</x:v>
      </x:c>
      <x:c r="E65" t="str">
        <x:v>A03</x:v>
      </x:c>
      <x:c r="F65" t="str">
        <x:v>RFA-E189</x:v>
      </x:c>
      <x:c r="G65" t="str">
        <x:v>RFA-E190</x:v>
      </x:c>
      <x:c r="H65" t="str"/>
      <x:c r="I65" t="str"/>
      <x:c r="J65" t="str">
        <x:f>IF(COUNT(H65:I65)&lt;2,"",I65-H65)</x:f>
      </x:c>
      <x:c r="K65" t="str"/>
      <x:c r="L65" t="str"/>
      <x:c r="M65" t="str">
        <x:f>IF(COUNT(K65:L65)&lt;2,"",L65-K65)</x:f>
      </x:c>
      <x:c r="N65" t="str">
        <x:v>OPEN</x:v>
      </x:c>
      <x:c r="O65" t="str">
        <x:f>IF(N65=1,"PASS","OPEN")</x:f>
        <x:v>OPEN</x:v>
      </x:c>
    </x:row>
    <x:row r="66">
      <x:c r="B66" t="str">
        <x:v>RFA-P060</x:v>
      </x:c>
      <x:c r="C66" t="str">
        <x:v>AF-2-BB</x:v>
      </x:c>
      <x:c r="D66" t="str">
        <x:v>PTC-C</x:v>
      </x:c>
      <x:c r="E66" t="str">
        <x:v>A04</x:v>
      </x:c>
      <x:c r="F66" t="str">
        <x:v>RFA-E192</x:v>
      </x:c>
      <x:c r="G66" t="str">
        <x:v>RFA-E191</x:v>
      </x:c>
      <x:c r="H66" t="str"/>
      <x:c r="I66" t="str"/>
      <x:c r="J66" t="str">
        <x:f>IF(COUNT(H66:I66)&lt;2,"",I66-H66)</x:f>
      </x:c>
      <x:c r="K66" t="str"/>
      <x:c r="L66" t="str"/>
      <x:c r="M66" t="str">
        <x:f>IF(COUNT(K66:L66)&lt;2,"",L66-K66)</x:f>
      </x:c>
      <x:c r="N66" t="str">
        <x:v>OPEN</x:v>
      </x:c>
      <x:c r="O66" t="str">
        <x:f>IF(N66=1,"PASS","OPEN")</x:f>
        <x:v>OPEN</x:v>
      </x:c>
    </x:row>
    <x:row r="67">
      <x:c r="B67" t="str">
        <x:v>RFA-P061</x:v>
      </x:c>
      <x:c r="C67" t="str">
        <x:v>AF-2-BB</x:v>
      </x:c>
      <x:c r="D67" t="str">
        <x:v>PTC-C</x:v>
      </x:c>
      <x:c r="E67" t="str">
        <x:v>A05</x:v>
      </x:c>
      <x:c r="F67" t="str">
        <x:v>RFA-E193</x:v>
      </x:c>
      <x:c r="G67" t="str">
        <x:v>RFA-E194</x:v>
      </x:c>
      <x:c r="H67" t="str"/>
      <x:c r="I67" t="str"/>
      <x:c r="J67" t="str">
        <x:f>IF(COUNT(H67:I67)&lt;2,"",I67-H67)</x:f>
      </x:c>
      <x:c r="K67" t="str"/>
      <x:c r="L67" t="str"/>
      <x:c r="M67" t="str">
        <x:f>IF(COUNT(K67:L67)&lt;2,"",L67-K67)</x:f>
      </x:c>
      <x:c r="N67" t="str">
        <x:v>OPEN</x:v>
      </x:c>
      <x:c r="O67" t="str">
        <x:f>IF(N67=1,"PASS","OPEN")</x:f>
        <x:v>OPEN</x:v>
      </x:c>
    </x:row>
    <x:row r="68">
      <x:c r="B68" t="str">
        <x:v>RFA-P062</x:v>
      </x:c>
      <x:c r="C68" t="str">
        <x:v>AF-2-BB</x:v>
      </x:c>
      <x:c r="D68" t="str">
        <x:v>PTC-C</x:v>
      </x:c>
      <x:c r="E68" t="str">
        <x:v>A06</x:v>
      </x:c>
      <x:c r="F68" t="str">
        <x:v>RFA-E196</x:v>
      </x:c>
      <x:c r="G68" t="str">
        <x:v>RFA-E195</x:v>
      </x:c>
      <x:c r="H68" t="str"/>
      <x:c r="I68" t="str"/>
      <x:c r="J68" t="str">
        <x:f>IF(COUNT(H68:I68)&lt;2,"",I68-H68)</x:f>
      </x:c>
      <x:c r="K68" t="str"/>
      <x:c r="L68" t="str"/>
      <x:c r="M68" t="str">
        <x:f>IF(COUNT(K68:L68)&lt;2,"",L68-K68)</x:f>
      </x:c>
      <x:c r="N68" t="str">
        <x:v>OPEN</x:v>
      </x:c>
      <x:c r="O68" t="str">
        <x:f>IF(N68=1,"PASS","OPEN")</x:f>
        <x:v>OPEN</x:v>
      </x:c>
    </x:row>
    <x:row r="69">
      <x:c r="B69" t="str">
        <x:v>RFA-P063</x:v>
      </x:c>
      <x:c r="C69" t="str">
        <x:v>AF-2-BB</x:v>
      </x:c>
      <x:c r="D69" t="str">
        <x:v>PTC-C</x:v>
      </x:c>
      <x:c r="E69" t="str">
        <x:v>A07</x:v>
      </x:c>
      <x:c r="F69" t="str">
        <x:v>RFA-E197</x:v>
      </x:c>
      <x:c r="G69" t="str">
        <x:v>RFA-E198</x:v>
      </x:c>
      <x:c r="H69" t="str"/>
      <x:c r="I69" t="str"/>
      <x:c r="J69" t="str">
        <x:f>IF(COUNT(H69:I69)&lt;2,"",I69-H69)</x:f>
      </x:c>
      <x:c r="K69" t="str"/>
      <x:c r="L69" t="str"/>
      <x:c r="M69" t="str">
        <x:f>IF(COUNT(K69:L69)&lt;2,"",L69-K69)</x:f>
      </x:c>
      <x:c r="N69" t="str">
        <x:v>OPEN</x:v>
      </x:c>
      <x:c r="O69" t="str">
        <x:f>IF(N69=1,"PASS","OPEN")</x:f>
        <x:v>OPEN</x:v>
      </x:c>
    </x:row>
    <x:row r="70">
      <x:c r="B70" t="str">
        <x:v>RFA-P064</x:v>
      </x:c>
      <x:c r="C70" t="str">
        <x:v>AF-2-BB</x:v>
      </x:c>
      <x:c r="D70" t="str">
        <x:v>PTC-C</x:v>
      </x:c>
      <x:c r="E70" t="str">
        <x:v>A08</x:v>
      </x:c>
      <x:c r="F70" t="str">
        <x:v>RFA-E200</x:v>
      </x:c>
      <x:c r="G70" t="str">
        <x:v>RFA-E199</x:v>
      </x:c>
      <x:c r="H70" t="str"/>
      <x:c r="I70" t="str"/>
      <x:c r="J70" t="str">
        <x:f>IF(COUNT(H70:I70)&lt;2,"",I70-H70)</x:f>
      </x:c>
      <x:c r="K70" t="str"/>
      <x:c r="L70" t="str"/>
      <x:c r="M70" t="str">
        <x:f>IF(COUNT(K70:L70)&lt;2,"",L70-K70)</x:f>
      </x:c>
      <x:c r="N70" t="str">
        <x:v>OPEN</x:v>
      </x:c>
      <x:c r="O70" t="str">
        <x:f>IF(N70=1,"PASS","OPEN")</x:f>
        <x:v>OPEN</x:v>
      </x:c>
    </x:row>
    <x:row r="71">
      <x:c r="B71" t="str">
        <x:v>RFA-P065</x:v>
      </x:c>
      <x:c r="C71" t="str">
        <x:v>AF-3-BA</x:v>
      </x:c>
      <x:c r="D71" t="str">
        <x:v>PTC-B</x:v>
      </x:c>
      <x:c r="E71" t="str">
        <x:v>A01</x:v>
      </x:c>
      <x:c r="F71" t="str">
        <x:v>RFA-E201</x:v>
      </x:c>
      <x:c r="G71" t="str">
        <x:v>RFA-E202</x:v>
      </x:c>
      <x:c r="H71" t="str"/>
      <x:c r="I71" t="str"/>
      <x:c r="J71" t="str">
        <x:f>IF(COUNT(H71:I71)&lt;2,"",I71-H71)</x:f>
      </x:c>
      <x:c r="K71" t="str"/>
      <x:c r="L71" t="str"/>
      <x:c r="M71" t="str">
        <x:f>IF(COUNT(K71:L71)&lt;2,"",L71-K71)</x:f>
      </x:c>
      <x:c r="N71" t="str">
        <x:v>OPEN</x:v>
      </x:c>
      <x:c r="O71" t="str">
        <x:f>IF(N71=1,"PASS","OPEN")</x:f>
        <x:v>OPEN</x:v>
      </x:c>
    </x:row>
    <x:row r="72">
      <x:c r="B72" t="str">
        <x:v>RFA-P066</x:v>
      </x:c>
      <x:c r="C72" t="str">
        <x:v>AF-3-BA</x:v>
      </x:c>
      <x:c r="D72" t="str">
        <x:v>PTC-B</x:v>
      </x:c>
      <x:c r="E72" t="str">
        <x:v>A02</x:v>
      </x:c>
      <x:c r="F72" t="str">
        <x:v>RFA-E204</x:v>
      </x:c>
      <x:c r="G72" t="str">
        <x:v>RFA-E203</x:v>
      </x:c>
      <x:c r="H72" t="str"/>
      <x:c r="I72" t="str"/>
      <x:c r="J72" t="str">
        <x:f>IF(COUNT(H72:I72)&lt;2,"",I72-H72)</x:f>
      </x:c>
      <x:c r="K72" t="str"/>
      <x:c r="L72" t="str"/>
      <x:c r="M72" t="str">
        <x:f>IF(COUNT(K72:L72)&lt;2,"",L72-K72)</x:f>
      </x:c>
      <x:c r="N72" t="str">
        <x:v>OPEN</x:v>
      </x:c>
      <x:c r="O72" t="str">
        <x:f>IF(N72=1,"PASS","OPEN")</x:f>
        <x:v>OPEN</x:v>
      </x:c>
    </x:row>
    <x:row r="73">
      <x:c r="B73" t="str">
        <x:v>RFA-P067</x:v>
      </x:c>
      <x:c r="C73" t="str">
        <x:v>AF-3-BA</x:v>
      </x:c>
      <x:c r="D73" t="str">
        <x:v>PTC-B</x:v>
      </x:c>
      <x:c r="E73" t="str">
        <x:v>A03</x:v>
      </x:c>
      <x:c r="F73" t="str">
        <x:v>RFA-E205</x:v>
      </x:c>
      <x:c r="G73" t="str">
        <x:v>RFA-E206</x:v>
      </x:c>
      <x:c r="H73" t="str"/>
      <x:c r="I73" t="str"/>
      <x:c r="J73" t="str">
        <x:f>IF(COUNT(H73:I73)&lt;2,"",I73-H73)</x:f>
      </x:c>
      <x:c r="K73" t="str"/>
      <x:c r="L73" t="str"/>
      <x:c r="M73" t="str">
        <x:f>IF(COUNT(K73:L73)&lt;2,"",L73-K73)</x:f>
      </x:c>
      <x:c r="N73" t="str">
        <x:v>OPEN</x:v>
      </x:c>
      <x:c r="O73" t="str">
        <x:f>IF(N73=1,"PASS","OPEN")</x:f>
        <x:v>OPEN</x:v>
      </x:c>
    </x:row>
    <x:row r="74">
      <x:c r="B74" t="str">
        <x:v>RFA-P068</x:v>
      </x:c>
      <x:c r="C74" t="str">
        <x:v>AF-3-BA</x:v>
      </x:c>
      <x:c r="D74" t="str">
        <x:v>PTC-B</x:v>
      </x:c>
      <x:c r="E74" t="str">
        <x:v>A04</x:v>
      </x:c>
      <x:c r="F74" t="str">
        <x:v>RFA-E208</x:v>
      </x:c>
      <x:c r="G74" t="str">
        <x:v>RFA-E207</x:v>
      </x:c>
      <x:c r="H74" t="str"/>
      <x:c r="I74" t="str"/>
      <x:c r="J74" t="str">
        <x:f>IF(COUNT(H74:I74)&lt;2,"",I74-H74)</x:f>
      </x:c>
      <x:c r="K74" t="str"/>
      <x:c r="L74" t="str"/>
      <x:c r="M74" t="str">
        <x:f>IF(COUNT(K74:L74)&lt;2,"",L74-K74)</x:f>
      </x:c>
      <x:c r="N74" t="str">
        <x:v>OPEN</x:v>
      </x:c>
      <x:c r="O74" t="str">
        <x:f>IF(N74=1,"PASS","OPEN")</x:f>
        <x:v>OPEN</x:v>
      </x:c>
    </x:row>
    <x:row r="75">
      <x:c r="B75" t="str">
        <x:v>RFA-P069</x:v>
      </x:c>
      <x:c r="C75" t="str">
        <x:v>AF-3-BA</x:v>
      </x:c>
      <x:c r="D75" t="str">
        <x:v>PTC-B</x:v>
      </x:c>
      <x:c r="E75" t="str">
        <x:v>A05</x:v>
      </x:c>
      <x:c r="F75" t="str">
        <x:v>RFA-E209</x:v>
      </x:c>
      <x:c r="G75" t="str">
        <x:v>RFA-E210</x:v>
      </x:c>
      <x:c r="H75" t="str"/>
      <x:c r="I75" t="str"/>
      <x:c r="J75" t="str">
        <x:f>IF(COUNT(H75:I75)&lt;2,"",I75-H75)</x:f>
      </x:c>
      <x:c r="K75" t="str"/>
      <x:c r="L75" t="str"/>
      <x:c r="M75" t="str">
        <x:f>IF(COUNT(K75:L75)&lt;2,"",L75-K75)</x:f>
      </x:c>
      <x:c r="N75" t="str">
        <x:v>OPEN</x:v>
      </x:c>
      <x:c r="O75" t="str">
        <x:f>IF(N75=1,"PASS","OPEN")</x:f>
        <x:v>OPEN</x:v>
      </x:c>
    </x:row>
    <x:row r="76">
      <x:c r="B76" t="str">
        <x:v>RFA-P070</x:v>
      </x:c>
      <x:c r="C76" t="str">
        <x:v>AF-3-BA</x:v>
      </x:c>
      <x:c r="D76" t="str">
        <x:v>PTC-B</x:v>
      </x:c>
      <x:c r="E76" t="str">
        <x:v>A06</x:v>
      </x:c>
      <x:c r="F76" t="str">
        <x:v>RFA-E212</x:v>
      </x:c>
      <x:c r="G76" t="str">
        <x:v>RFA-E211</x:v>
      </x:c>
      <x:c r="H76" t="str"/>
      <x:c r="I76" t="str"/>
      <x:c r="J76" t="str">
        <x:f>IF(COUNT(H76:I76)&lt;2,"",I76-H76)</x:f>
      </x:c>
      <x:c r="K76" t="str"/>
      <x:c r="L76" t="str"/>
      <x:c r="M76" t="str">
        <x:f>IF(COUNT(K76:L76)&lt;2,"",L76-K76)</x:f>
      </x:c>
      <x:c r="N76" t="str">
        <x:v>OPEN</x:v>
      </x:c>
      <x:c r="O76" t="str">
        <x:f>IF(N76=1,"PASS","OPEN")</x:f>
        <x:v>OPEN</x:v>
      </x:c>
    </x:row>
    <x:row r="77">
      <x:c r="B77" t="str">
        <x:v>RFA-P071</x:v>
      </x:c>
      <x:c r="C77" t="str">
        <x:v>AF-3-BA</x:v>
      </x:c>
      <x:c r="D77" t="str">
        <x:v>PTC-B</x:v>
      </x:c>
      <x:c r="E77" t="str">
        <x:v>A07</x:v>
      </x:c>
      <x:c r="F77" t="str">
        <x:v>RFA-E213</x:v>
      </x:c>
      <x:c r="G77" t="str">
        <x:v>RFA-E214</x:v>
      </x:c>
      <x:c r="H77" t="str"/>
      <x:c r="I77" t="str"/>
      <x:c r="J77" t="str">
        <x:f>IF(COUNT(H77:I77)&lt;2,"",I77-H77)</x:f>
      </x:c>
      <x:c r="K77" t="str"/>
      <x:c r="L77" t="str"/>
      <x:c r="M77" t="str">
        <x:f>IF(COUNT(K77:L77)&lt;2,"",L77-K77)</x:f>
      </x:c>
      <x:c r="N77" t="str">
        <x:v>OPEN</x:v>
      </x:c>
      <x:c r="O77" t="str">
        <x:f>IF(N77=1,"PASS","OPEN")</x:f>
        <x:v>OPEN</x:v>
      </x:c>
    </x:row>
    <x:row r="78">
      <x:c r="B78" t="str">
        <x:v>RFA-P072</x:v>
      </x:c>
      <x:c r="C78" t="str">
        <x:v>AF-3-BA</x:v>
      </x:c>
      <x:c r="D78" t="str">
        <x:v>PTC-B</x:v>
      </x:c>
      <x:c r="E78" t="str">
        <x:v>A08</x:v>
      </x:c>
      <x:c r="F78" t="str">
        <x:v>RFA-E216</x:v>
      </x:c>
      <x:c r="G78" t="str">
        <x:v>RFA-E215</x:v>
      </x:c>
      <x:c r="H78" t="str"/>
      <x:c r="I78" t="str"/>
      <x:c r="J78" t="str">
        <x:f>IF(COUNT(H78:I78)&lt;2,"",I78-H78)</x:f>
      </x:c>
      <x:c r="K78" t="str"/>
      <x:c r="L78" t="str"/>
      <x:c r="M78" t="str">
        <x:f>IF(COUNT(K78:L78)&lt;2,"",L78-K78)</x:f>
      </x:c>
      <x:c r="N78" t="str">
        <x:v>OPEN</x:v>
      </x:c>
      <x:c r="O78" t="str">
        <x:f>IF(N78=1,"PASS","OPEN")</x:f>
        <x:v>OPEN</x:v>
      </x:c>
    </x:row>
    <x:row r="79">
      <x:c r="B79" t="str">
        <x:v>RFA-P073</x:v>
      </x:c>
      <x:c r="C79" t="str">
        <x:v>AF-3-BA</x:v>
      </x:c>
      <x:c r="D79" t="str">
        <x:v>PTC-C</x:v>
      </x:c>
      <x:c r="E79" t="str">
        <x:v>A01</x:v>
      </x:c>
      <x:c r="F79" t="str">
        <x:v>RFA-E217</x:v>
      </x:c>
      <x:c r="G79" t="str">
        <x:v>RFA-E218</x:v>
      </x:c>
      <x:c r="H79" t="str"/>
      <x:c r="I79" t="str"/>
      <x:c r="J79" t="str">
        <x:f>IF(COUNT(H79:I79)&lt;2,"",I79-H79)</x:f>
      </x:c>
      <x:c r="K79" t="str"/>
      <x:c r="L79" t="str"/>
      <x:c r="M79" t="str">
        <x:f>IF(COUNT(K79:L79)&lt;2,"",L79-K79)</x:f>
      </x:c>
      <x:c r="N79" t="str">
        <x:v>OPEN</x:v>
      </x:c>
      <x:c r="O79" t="str">
        <x:f>IF(N79=1,"PASS","OPEN")</x:f>
        <x:v>OPEN</x:v>
      </x:c>
    </x:row>
    <x:row r="80">
      <x:c r="B80" t="str">
        <x:v>RFA-P074</x:v>
      </x:c>
      <x:c r="C80" t="str">
        <x:v>AF-3-BA</x:v>
      </x:c>
      <x:c r="D80" t="str">
        <x:v>PTC-C</x:v>
      </x:c>
      <x:c r="E80" t="str">
        <x:v>A02</x:v>
      </x:c>
      <x:c r="F80" t="str">
        <x:v>RFA-E220</x:v>
      </x:c>
      <x:c r="G80" t="str">
        <x:v>RFA-E219</x:v>
      </x:c>
      <x:c r="H80" t="str"/>
      <x:c r="I80" t="str"/>
      <x:c r="J80" t="str">
        <x:f>IF(COUNT(H80:I80)&lt;2,"",I80-H80)</x:f>
      </x:c>
      <x:c r="K80" t="str"/>
      <x:c r="L80" t="str"/>
      <x:c r="M80" t="str">
        <x:f>IF(COUNT(K80:L80)&lt;2,"",L80-K80)</x:f>
      </x:c>
      <x:c r="N80" t="str">
        <x:v>OPEN</x:v>
      </x:c>
      <x:c r="O80" t="str">
        <x:f>IF(N80=1,"PASS","OPEN")</x:f>
        <x:v>OPEN</x:v>
      </x:c>
    </x:row>
    <x:row r="81">
      <x:c r="B81" t="str">
        <x:v>RFA-P075</x:v>
      </x:c>
      <x:c r="C81" t="str">
        <x:v>AF-3-BA</x:v>
      </x:c>
      <x:c r="D81" t="str">
        <x:v>PTC-C</x:v>
      </x:c>
      <x:c r="E81" t="str">
        <x:v>A03</x:v>
      </x:c>
      <x:c r="F81" t="str">
        <x:v>RFA-E221</x:v>
      </x:c>
      <x:c r="G81" t="str">
        <x:v>RFA-E222</x:v>
      </x:c>
      <x:c r="H81" t="str"/>
      <x:c r="I81" t="str"/>
      <x:c r="J81" t="str">
        <x:f>IF(COUNT(H81:I81)&lt;2,"",I81-H81)</x:f>
      </x:c>
      <x:c r="K81" t="str"/>
      <x:c r="L81" t="str"/>
      <x:c r="M81" t="str">
        <x:f>IF(COUNT(K81:L81)&lt;2,"",L81-K81)</x:f>
      </x:c>
      <x:c r="N81" t="str">
        <x:v>OPEN</x:v>
      </x:c>
      <x:c r="O81" t="str">
        <x:f>IF(N81=1,"PASS","OPEN")</x:f>
        <x:v>OPEN</x:v>
      </x:c>
    </x:row>
    <x:row r="82">
      <x:c r="B82" t="str">
        <x:v>RFA-P076</x:v>
      </x:c>
      <x:c r="C82" t="str">
        <x:v>AF-3-BA</x:v>
      </x:c>
      <x:c r="D82" t="str">
        <x:v>PTC-C</x:v>
      </x:c>
      <x:c r="E82" t="str">
        <x:v>A04</x:v>
      </x:c>
      <x:c r="F82" t="str">
        <x:v>RFA-E224</x:v>
      </x:c>
      <x:c r="G82" t="str">
        <x:v>RFA-E223</x:v>
      </x:c>
      <x:c r="H82" t="str"/>
      <x:c r="I82" t="str"/>
      <x:c r="J82" t="str">
        <x:f>IF(COUNT(H82:I82)&lt;2,"",I82-H82)</x:f>
      </x:c>
      <x:c r="K82" t="str"/>
      <x:c r="L82" t="str"/>
      <x:c r="M82" t="str">
        <x:f>IF(COUNT(K82:L82)&lt;2,"",L82-K82)</x:f>
      </x:c>
      <x:c r="N82" t="str">
        <x:v>OPEN</x:v>
      </x:c>
      <x:c r="O82" t="str">
        <x:f>IF(N82=1,"PASS","OPEN")</x:f>
        <x:v>OPEN</x:v>
      </x:c>
    </x:row>
    <x:row r="83">
      <x:c r="B83" t="str">
        <x:v>RFA-P077</x:v>
      </x:c>
      <x:c r="C83" t="str">
        <x:v>AF-3-BA</x:v>
      </x:c>
      <x:c r="D83" t="str">
        <x:v>PTC-C</x:v>
      </x:c>
      <x:c r="E83" t="str">
        <x:v>A05</x:v>
      </x:c>
      <x:c r="F83" t="str">
        <x:v>RFA-E225</x:v>
      </x:c>
      <x:c r="G83" t="str">
        <x:v>RFA-E226</x:v>
      </x:c>
      <x:c r="H83" t="str"/>
      <x:c r="I83" t="str"/>
      <x:c r="J83" t="str">
        <x:f>IF(COUNT(H83:I83)&lt;2,"",I83-H83)</x:f>
      </x:c>
      <x:c r="K83" t="str"/>
      <x:c r="L83" t="str"/>
      <x:c r="M83" t="str">
        <x:f>IF(COUNT(K83:L83)&lt;2,"",L83-K83)</x:f>
      </x:c>
      <x:c r="N83" t="str">
        <x:v>OPEN</x:v>
      </x:c>
      <x:c r="O83" t="str">
        <x:f>IF(N83=1,"PASS","OPEN")</x:f>
        <x:v>OPEN</x:v>
      </x:c>
    </x:row>
    <x:row r="84">
      <x:c r="B84" t="str">
        <x:v>RFA-P078</x:v>
      </x:c>
      <x:c r="C84" t="str">
        <x:v>AF-3-BA</x:v>
      </x:c>
      <x:c r="D84" t="str">
        <x:v>PTC-C</x:v>
      </x:c>
      <x:c r="E84" t="str">
        <x:v>A06</x:v>
      </x:c>
      <x:c r="F84" t="str">
        <x:v>RFA-E228</x:v>
      </x:c>
      <x:c r="G84" t="str">
        <x:v>RFA-E227</x:v>
      </x:c>
      <x:c r="H84" t="str"/>
      <x:c r="I84" t="str"/>
      <x:c r="J84" t="str">
        <x:f>IF(COUNT(H84:I84)&lt;2,"",I84-H84)</x:f>
      </x:c>
      <x:c r="K84" t="str"/>
      <x:c r="L84" t="str"/>
      <x:c r="M84" t="str">
        <x:f>IF(COUNT(K84:L84)&lt;2,"",L84-K84)</x:f>
      </x:c>
      <x:c r="N84" t="str">
        <x:v>OPEN</x:v>
      </x:c>
      <x:c r="O84" t="str">
        <x:f>IF(N84=1,"PASS","OPEN")</x:f>
        <x:v>OPEN</x:v>
      </x:c>
    </x:row>
    <x:row r="85">
      <x:c r="B85" t="str">
        <x:v>RFA-P079</x:v>
      </x:c>
      <x:c r="C85" t="str">
        <x:v>AF-3-BA</x:v>
      </x:c>
      <x:c r="D85" t="str">
        <x:v>PTC-C</x:v>
      </x:c>
      <x:c r="E85" t="str">
        <x:v>A07</x:v>
      </x:c>
      <x:c r="F85" t="str">
        <x:v>RFA-E229</x:v>
      </x:c>
      <x:c r="G85" t="str">
        <x:v>RFA-E230</x:v>
      </x:c>
      <x:c r="H85" t="str"/>
      <x:c r="I85" t="str"/>
      <x:c r="J85" t="str">
        <x:f>IF(COUNT(H85:I85)&lt;2,"",I85-H85)</x:f>
      </x:c>
      <x:c r="K85" t="str"/>
      <x:c r="L85" t="str"/>
      <x:c r="M85" t="str">
        <x:f>IF(COUNT(K85:L85)&lt;2,"",L85-K85)</x:f>
      </x:c>
      <x:c r="N85" t="str">
        <x:v>OPEN</x:v>
      </x:c>
      <x:c r="O85" t="str">
        <x:f>IF(N85=1,"PASS","OPEN")</x:f>
        <x:v>OPEN</x:v>
      </x:c>
    </x:row>
    <x:row r="86">
      <x:c r="B86" t="str">
        <x:v>RFA-P080</x:v>
      </x:c>
      <x:c r="C86" t="str">
        <x:v>AF-3-BA</x:v>
      </x:c>
      <x:c r="D86" t="str">
        <x:v>PTC-C</x:v>
      </x:c>
      <x:c r="E86" t="str">
        <x:v>A08</x:v>
      </x:c>
      <x:c r="F86" t="str">
        <x:v>RFA-E232</x:v>
      </x:c>
      <x:c r="G86" t="str">
        <x:v>RFA-E231</x:v>
      </x:c>
      <x:c r="H86" t="str"/>
      <x:c r="I86" t="str"/>
      <x:c r="J86" t="str">
        <x:f>IF(COUNT(H86:I86)&lt;2,"",I86-H86)</x:f>
      </x:c>
      <x:c r="K86" t="str"/>
      <x:c r="L86" t="str"/>
      <x:c r="M86" t="str">
        <x:f>IF(COUNT(K86:L86)&lt;2,"",L86-K86)</x:f>
      </x:c>
      <x:c r="N86" t="str">
        <x:v>OPEN</x:v>
      </x:c>
      <x:c r="O86" t="str">
        <x:f>IF(N86=1,"PASS","OPEN")</x:f>
        <x:v>OPEN</x:v>
      </x:c>
    </x:row>
    <x:row r="87">
      <x:c r="B87" t="str">
        <x:v>RFA-P081</x:v>
      </x:c>
      <x:c r="C87" t="str">
        <x:v>AF-3-BB</x:v>
      </x:c>
      <x:c r="D87" t="str">
        <x:v>PTC-B</x:v>
      </x:c>
      <x:c r="E87" t="str">
        <x:v>A01</x:v>
      </x:c>
      <x:c r="F87" t="str">
        <x:v>RFA-E233</x:v>
      </x:c>
      <x:c r="G87" t="str">
        <x:v>RFA-E234</x:v>
      </x:c>
      <x:c r="H87" t="str"/>
      <x:c r="I87" t="str"/>
      <x:c r="J87" t="str">
        <x:f>IF(COUNT(H87:I87)&lt;2,"",I87-H87)</x:f>
      </x:c>
      <x:c r="K87" t="str"/>
      <x:c r="L87" t="str"/>
      <x:c r="M87" t="str">
        <x:f>IF(COUNT(K87:L87)&lt;2,"",L87-K87)</x:f>
      </x:c>
      <x:c r="N87" t="str">
        <x:v>OPEN</x:v>
      </x:c>
      <x:c r="O87" t="str">
        <x:f>IF(N87=1,"PASS","OPEN")</x:f>
        <x:v>OPEN</x:v>
      </x:c>
    </x:row>
    <x:row r="88">
      <x:c r="B88" t="str">
        <x:v>RFA-P082</x:v>
      </x:c>
      <x:c r="C88" t="str">
        <x:v>AF-3-BB</x:v>
      </x:c>
      <x:c r="D88" t="str">
        <x:v>PTC-B</x:v>
      </x:c>
      <x:c r="E88" t="str">
        <x:v>A02</x:v>
      </x:c>
      <x:c r="F88" t="str">
        <x:v>RFA-E236</x:v>
      </x:c>
      <x:c r="G88" t="str">
        <x:v>RFA-E235</x:v>
      </x:c>
      <x:c r="H88" t="str"/>
      <x:c r="I88" t="str"/>
      <x:c r="J88" t="str">
        <x:f>IF(COUNT(H88:I88)&lt;2,"",I88-H88)</x:f>
      </x:c>
      <x:c r="K88" t="str"/>
      <x:c r="L88" t="str"/>
      <x:c r="M88" t="str">
        <x:f>IF(COUNT(K88:L88)&lt;2,"",L88-K88)</x:f>
      </x:c>
      <x:c r="N88" t="str">
        <x:v>OPEN</x:v>
      </x:c>
      <x:c r="O88" t="str">
        <x:f>IF(N88=1,"PASS","OPEN")</x:f>
        <x:v>OPEN</x:v>
      </x:c>
    </x:row>
    <x:row r="89">
      <x:c r="B89" t="str">
        <x:v>RFA-P083</x:v>
      </x:c>
      <x:c r="C89" t="str">
        <x:v>AF-3-BB</x:v>
      </x:c>
      <x:c r="D89" t="str">
        <x:v>PTC-B</x:v>
      </x:c>
      <x:c r="E89" t="str">
        <x:v>A03</x:v>
      </x:c>
      <x:c r="F89" t="str">
        <x:v>RFA-E237</x:v>
      </x:c>
      <x:c r="G89" t="str">
        <x:v>RFA-E238</x:v>
      </x:c>
      <x:c r="H89" t="str"/>
      <x:c r="I89" t="str"/>
      <x:c r="J89" t="str">
        <x:f>IF(COUNT(H89:I89)&lt;2,"",I89-H89)</x:f>
      </x:c>
      <x:c r="K89" t="str"/>
      <x:c r="L89" t="str"/>
      <x:c r="M89" t="str">
        <x:f>IF(COUNT(K89:L89)&lt;2,"",L89-K89)</x:f>
      </x:c>
      <x:c r="N89" t="str">
        <x:v>OPEN</x:v>
      </x:c>
      <x:c r="O89" t="str">
        <x:f>IF(N89=1,"PASS","OPEN")</x:f>
        <x:v>OPEN</x:v>
      </x:c>
    </x:row>
    <x:row r="90">
      <x:c r="B90" t="str">
        <x:v>RFA-P084</x:v>
      </x:c>
      <x:c r="C90" t="str">
        <x:v>AF-3-BB</x:v>
      </x:c>
      <x:c r="D90" t="str">
        <x:v>PTC-B</x:v>
      </x:c>
      <x:c r="E90" t="str">
        <x:v>A04</x:v>
      </x:c>
      <x:c r="F90" t="str">
        <x:v>RFA-E240</x:v>
      </x:c>
      <x:c r="G90" t="str">
        <x:v>RFA-E239</x:v>
      </x:c>
      <x:c r="H90" t="str"/>
      <x:c r="I90" t="str"/>
      <x:c r="J90" t="str">
        <x:f>IF(COUNT(H90:I90)&lt;2,"",I90-H90)</x:f>
      </x:c>
      <x:c r="K90" t="str"/>
      <x:c r="L90" t="str"/>
      <x:c r="M90" t="str">
        <x:f>IF(COUNT(K90:L90)&lt;2,"",L90-K90)</x:f>
      </x:c>
      <x:c r="N90" t="str">
        <x:v>OPEN</x:v>
      </x:c>
      <x:c r="O90" t="str">
        <x:f>IF(N90=1,"PASS","OPEN")</x:f>
        <x:v>OPEN</x:v>
      </x:c>
    </x:row>
    <x:row r="91">
      <x:c r="B91" t="str">
        <x:v>RFA-P085</x:v>
      </x:c>
      <x:c r="C91" t="str">
        <x:v>AF-3-BB</x:v>
      </x:c>
      <x:c r="D91" t="str">
        <x:v>PTC-B</x:v>
      </x:c>
      <x:c r="E91" t="str">
        <x:v>A05</x:v>
      </x:c>
      <x:c r="F91" t="str">
        <x:v>RFA-E241</x:v>
      </x:c>
      <x:c r="G91" t="str">
        <x:v>RFA-E242</x:v>
      </x:c>
      <x:c r="H91" t="str"/>
      <x:c r="I91" t="str"/>
      <x:c r="J91" t="str">
        <x:f>IF(COUNT(H91:I91)&lt;2,"",I91-H91)</x:f>
      </x:c>
      <x:c r="K91" t="str"/>
      <x:c r="L91" t="str"/>
      <x:c r="M91" t="str">
        <x:f>IF(COUNT(K91:L91)&lt;2,"",L91-K91)</x:f>
      </x:c>
      <x:c r="N91" t="str">
        <x:v>OPEN</x:v>
      </x:c>
      <x:c r="O91" t="str">
        <x:f>IF(N91=1,"PASS","OPEN")</x:f>
        <x:v>OPEN</x:v>
      </x:c>
    </x:row>
    <x:row r="92">
      <x:c r="B92" t="str">
        <x:v>RFA-P086</x:v>
      </x:c>
      <x:c r="C92" t="str">
        <x:v>AF-3-BB</x:v>
      </x:c>
      <x:c r="D92" t="str">
        <x:v>PTC-B</x:v>
      </x:c>
      <x:c r="E92" t="str">
        <x:v>A06</x:v>
      </x:c>
      <x:c r="F92" t="str">
        <x:v>RFA-E244</x:v>
      </x:c>
      <x:c r="G92" t="str">
        <x:v>RFA-E243</x:v>
      </x:c>
      <x:c r="H92" t="str"/>
      <x:c r="I92" t="str"/>
      <x:c r="J92" t="str">
        <x:f>IF(COUNT(H92:I92)&lt;2,"",I92-H92)</x:f>
      </x:c>
      <x:c r="K92" t="str"/>
      <x:c r="L92" t="str"/>
      <x:c r="M92" t="str">
        <x:f>IF(COUNT(K92:L92)&lt;2,"",L92-K92)</x:f>
      </x:c>
      <x:c r="N92" t="str">
        <x:v>OPEN</x:v>
      </x:c>
      <x:c r="O92" t="str">
        <x:f>IF(N92=1,"PASS","OPEN")</x:f>
        <x:v>OPEN</x:v>
      </x:c>
    </x:row>
    <x:row r="93">
      <x:c r="B93" t="str">
        <x:v>RFA-P087</x:v>
      </x:c>
      <x:c r="C93" t="str">
        <x:v>AF-3-BB</x:v>
      </x:c>
      <x:c r="D93" t="str">
        <x:v>PTC-B</x:v>
      </x:c>
      <x:c r="E93" t="str">
        <x:v>A07</x:v>
      </x:c>
      <x:c r="F93" t="str">
        <x:v>RFA-E245</x:v>
      </x:c>
      <x:c r="G93" t="str">
        <x:v>RFA-E246</x:v>
      </x:c>
      <x:c r="H93" t="str"/>
      <x:c r="I93" t="str"/>
      <x:c r="J93" t="str">
        <x:f>IF(COUNT(H93:I93)&lt;2,"",I93-H93)</x:f>
      </x:c>
      <x:c r="K93" t="str"/>
      <x:c r="L93" t="str"/>
      <x:c r="M93" t="str">
        <x:f>IF(COUNT(K93:L93)&lt;2,"",L93-K93)</x:f>
      </x:c>
      <x:c r="N93" t="str">
        <x:v>OPEN</x:v>
      </x:c>
      <x:c r="O93" t="str">
        <x:f>IF(N93=1,"PASS","OPEN")</x:f>
        <x:v>OPEN</x:v>
      </x:c>
    </x:row>
    <x:row r="94">
      <x:c r="B94" t="str">
        <x:v>RFA-P088</x:v>
      </x:c>
      <x:c r="C94" t="str">
        <x:v>AF-3-BB</x:v>
      </x:c>
      <x:c r="D94" t="str">
        <x:v>PTC-B</x:v>
      </x:c>
      <x:c r="E94" t="str">
        <x:v>A08</x:v>
      </x:c>
      <x:c r="F94" t="str">
        <x:v>RFA-E248</x:v>
      </x:c>
      <x:c r="G94" t="str">
        <x:v>RFA-E247</x:v>
      </x:c>
      <x:c r="H94" t="str"/>
      <x:c r="I94" t="str"/>
      <x:c r="J94" t="str">
        <x:f>IF(COUNT(H94:I94)&lt;2,"",I94-H94)</x:f>
      </x:c>
      <x:c r="K94" t="str"/>
      <x:c r="L94" t="str"/>
      <x:c r="M94" t="str">
        <x:f>IF(COUNT(K94:L94)&lt;2,"",L94-K94)</x:f>
      </x:c>
      <x:c r="N94" t="str">
        <x:v>OPEN</x:v>
      </x:c>
      <x:c r="O94" t="str">
        <x:f>IF(N94=1,"PASS","OPEN")</x:f>
        <x:v>OPEN</x:v>
      </x:c>
    </x:row>
    <x:row r="95">
      <x:c r="B95" t="str">
        <x:v>RFA-P089</x:v>
      </x:c>
      <x:c r="C95" t="str">
        <x:v>AF-3-BB</x:v>
      </x:c>
      <x:c r="D95" t="str">
        <x:v>PTC-C</x:v>
      </x:c>
      <x:c r="E95" t="str">
        <x:v>A01</x:v>
      </x:c>
      <x:c r="F95" t="str">
        <x:v>RFA-E249</x:v>
      </x:c>
      <x:c r="G95" t="str">
        <x:v>RFA-E250</x:v>
      </x:c>
      <x:c r="H95" t="str"/>
      <x:c r="I95" t="str"/>
      <x:c r="J95" t="str">
        <x:f>IF(COUNT(H95:I95)&lt;2,"",I95-H95)</x:f>
      </x:c>
      <x:c r="K95" t="str"/>
      <x:c r="L95" t="str"/>
      <x:c r="M95" t="str">
        <x:f>IF(COUNT(K95:L95)&lt;2,"",L95-K95)</x:f>
      </x:c>
      <x:c r="N95" t="str">
        <x:v>OPEN</x:v>
      </x:c>
      <x:c r="O95" t="str">
        <x:f>IF(N95=1,"PASS","OPEN")</x:f>
        <x:v>OPEN</x:v>
      </x:c>
    </x:row>
    <x:row r="96">
      <x:c r="B96" t="str">
        <x:v>RFA-P090</x:v>
      </x:c>
      <x:c r="C96" t="str">
        <x:v>AF-3-BB</x:v>
      </x:c>
      <x:c r="D96" t="str">
        <x:v>PTC-C</x:v>
      </x:c>
      <x:c r="E96" t="str">
        <x:v>A02</x:v>
      </x:c>
      <x:c r="F96" t="str">
        <x:v>RFA-E252</x:v>
      </x:c>
      <x:c r="G96" t="str">
        <x:v>RFA-E251</x:v>
      </x:c>
      <x:c r="H96" t="str"/>
      <x:c r="I96" t="str"/>
      <x:c r="J96" t="str">
        <x:f>IF(COUNT(H96:I96)&lt;2,"",I96-H96)</x:f>
      </x:c>
      <x:c r="K96" t="str"/>
      <x:c r="L96" t="str"/>
      <x:c r="M96" t="str">
        <x:f>IF(COUNT(K96:L96)&lt;2,"",L96-K96)</x:f>
      </x:c>
      <x:c r="N96" t="str">
        <x:v>OPEN</x:v>
      </x:c>
      <x:c r="O96" t="str">
        <x:f>IF(N96=1,"PASS","OPEN")</x:f>
        <x:v>OPEN</x:v>
      </x:c>
    </x:row>
    <x:row r="97">
      <x:c r="B97" t="str">
        <x:v>RFA-P091</x:v>
      </x:c>
      <x:c r="C97" t="str">
        <x:v>AF-3-BB</x:v>
      </x:c>
      <x:c r="D97" t="str">
        <x:v>PTC-C</x:v>
      </x:c>
      <x:c r="E97" t="str">
        <x:v>A03</x:v>
      </x:c>
      <x:c r="F97" t="str">
        <x:v>RFA-E253</x:v>
      </x:c>
      <x:c r="G97" t="str">
        <x:v>RFA-E254</x:v>
      </x:c>
      <x:c r="H97" t="str"/>
      <x:c r="I97" t="str"/>
      <x:c r="J97" t="str">
        <x:f>IF(COUNT(H97:I97)&lt;2,"",I97-H97)</x:f>
      </x:c>
      <x:c r="K97" t="str"/>
      <x:c r="L97" t="str"/>
      <x:c r="M97" t="str">
        <x:f>IF(COUNT(K97:L97)&lt;2,"",L97-K97)</x:f>
      </x:c>
      <x:c r="N97" t="str">
        <x:v>OPEN</x:v>
      </x:c>
      <x:c r="O97" t="str">
        <x:f>IF(N97=1,"PASS","OPEN")</x:f>
        <x:v>OPEN</x:v>
      </x:c>
    </x:row>
    <x:row r="98">
      <x:c r="B98" t="str">
        <x:v>RFA-P092</x:v>
      </x:c>
      <x:c r="C98" t="str">
        <x:v>AF-3-BB</x:v>
      </x:c>
      <x:c r="D98" t="str">
        <x:v>PTC-C</x:v>
      </x:c>
      <x:c r="E98" t="str">
        <x:v>A04</x:v>
      </x:c>
      <x:c r="F98" t="str">
        <x:v>RFA-E256</x:v>
      </x:c>
      <x:c r="G98" t="str">
        <x:v>RFA-E255</x:v>
      </x:c>
      <x:c r="H98" t="str"/>
      <x:c r="I98" t="str"/>
      <x:c r="J98" t="str">
        <x:f>IF(COUNT(H98:I98)&lt;2,"",I98-H98)</x:f>
      </x:c>
      <x:c r="K98" t="str"/>
      <x:c r="L98" t="str"/>
      <x:c r="M98" t="str">
        <x:f>IF(COUNT(K98:L98)&lt;2,"",L98-K98)</x:f>
      </x:c>
      <x:c r="N98" t="str">
        <x:v>OPEN</x:v>
      </x:c>
      <x:c r="O98" t="str">
        <x:f>IF(N98=1,"PASS","OPEN")</x:f>
        <x:v>OPEN</x:v>
      </x:c>
    </x:row>
    <x:row r="99">
      <x:c r="B99" t="str">
        <x:v>RFA-P093</x:v>
      </x:c>
      <x:c r="C99" t="str">
        <x:v>AF-3-BB</x:v>
      </x:c>
      <x:c r="D99" t="str">
        <x:v>PTC-C</x:v>
      </x:c>
      <x:c r="E99" t="str">
        <x:v>A05</x:v>
      </x:c>
      <x:c r="F99" t="str">
        <x:v>RFA-E257</x:v>
      </x:c>
      <x:c r="G99" t="str">
        <x:v>RFA-E258</x:v>
      </x:c>
      <x:c r="H99" t="str"/>
      <x:c r="I99" t="str"/>
      <x:c r="J99" t="str">
        <x:f>IF(COUNT(H99:I99)&lt;2,"",I99-H99)</x:f>
      </x:c>
      <x:c r="K99" t="str"/>
      <x:c r="L99" t="str"/>
      <x:c r="M99" t="str">
        <x:f>IF(COUNT(K99:L99)&lt;2,"",L99-K99)</x:f>
      </x:c>
      <x:c r="N99" t="str">
        <x:v>OPEN</x:v>
      </x:c>
      <x:c r="O99" t="str">
        <x:f>IF(N99=1,"PASS","OPEN")</x:f>
        <x:v>OPEN</x:v>
      </x:c>
    </x:row>
    <x:row r="100">
      <x:c r="B100" t="str">
        <x:v>RFA-P094</x:v>
      </x:c>
      <x:c r="C100" t="str">
        <x:v>AF-3-BB</x:v>
      </x:c>
      <x:c r="D100" t="str">
        <x:v>PTC-C</x:v>
      </x:c>
      <x:c r="E100" t="str">
        <x:v>A06</x:v>
      </x:c>
      <x:c r="F100" t="str">
        <x:v>RFA-E260</x:v>
      </x:c>
      <x:c r="G100" t="str">
        <x:v>RFA-E259</x:v>
      </x:c>
      <x:c r="H100" t="str"/>
      <x:c r="I100" t="str"/>
      <x:c r="J100" t="str">
        <x:f>IF(COUNT(H100:I100)&lt;2,"",I100-H100)</x:f>
      </x:c>
      <x:c r="K100" t="str"/>
      <x:c r="L100" t="str"/>
      <x:c r="M100" t="str">
        <x:f>IF(COUNT(K100:L100)&lt;2,"",L100-K100)</x:f>
      </x:c>
      <x:c r="N100" t="str">
        <x:v>OPEN</x:v>
      </x:c>
      <x:c r="O100" t="str">
        <x:f>IF(N100=1,"PASS","OPEN")</x:f>
        <x:v>OPEN</x:v>
      </x:c>
    </x:row>
    <x:row r="101">
      <x:c r="B101" t="str">
        <x:v>RFA-P095</x:v>
      </x:c>
      <x:c r="C101" t="str">
        <x:v>AF-3-BB</x:v>
      </x:c>
      <x:c r="D101" t="str">
        <x:v>PTC-C</x:v>
      </x:c>
      <x:c r="E101" t="str">
        <x:v>A07</x:v>
      </x:c>
      <x:c r="F101" t="str">
        <x:v>RFA-E261</x:v>
      </x:c>
      <x:c r="G101" t="str">
        <x:v>RFA-E262</x:v>
      </x:c>
      <x:c r="H101" t="str"/>
      <x:c r="I101" t="str"/>
      <x:c r="J101" t="str">
        <x:f>IF(COUNT(H101:I101)&lt;2,"",I101-H101)</x:f>
      </x:c>
      <x:c r="K101" t="str"/>
      <x:c r="L101" t="str"/>
      <x:c r="M101" t="str">
        <x:f>IF(COUNT(K101:L101)&lt;2,"",L101-K101)</x:f>
      </x:c>
      <x:c r="N101" t="str">
        <x:v>OPEN</x:v>
      </x:c>
      <x:c r="O101" t="str">
        <x:f>IF(N101=1,"PASS","OPEN")</x:f>
        <x:v>OPEN</x:v>
      </x:c>
    </x:row>
    <x:row r="102">
      <x:c r="B102" t="str">
        <x:v>RFA-P096</x:v>
      </x:c>
      <x:c r="C102" t="str">
        <x:v>AF-3-BB</x:v>
      </x:c>
      <x:c r="D102" t="str">
        <x:v>PTC-C</x:v>
      </x:c>
      <x:c r="E102" t="str">
        <x:v>A08</x:v>
      </x:c>
      <x:c r="F102" t="str">
        <x:v>RFA-E264</x:v>
      </x:c>
      <x:c r="G102" t="str">
        <x:v>RFA-E263</x:v>
      </x:c>
      <x:c r="H102" t="str"/>
      <x:c r="I102" t="str"/>
      <x:c r="J102" t="str">
        <x:f>IF(COUNT(H102:I102)&lt;2,"",I102-H102)</x:f>
      </x:c>
      <x:c r="K102" t="str"/>
      <x:c r="L102" t="str"/>
      <x:c r="M102" t="str">
        <x:f>IF(COUNT(K102:L102)&lt;2,"",L102-K102)</x:f>
      </x:c>
      <x:c r="N102" t="str">
        <x:v>OPEN</x:v>
      </x:c>
      <x:c r="O102" t="str">
        <x:f>IF(N102=1,"PASS","OPEN")</x:f>
        <x:v>OPEN</x:v>
      </x:c>
    </x:row>
  </x:sheetData>
  <x:conditionalFormatting sqref="O7:O102">
    <x:cfRule type="containsText" dxfId="88" priority="1" operator="containsText" text="FAIL"/>
    <x:cfRule type="containsText" dxfId="89" priority="2" operator="containsText" text="BLOCKED"/>
    <x:cfRule type="containsText" dxfId="90" priority="3" operator="containsText" text="REOPEN"/>
    <x:cfRule type="containsText" dxfId="91" priority="4" operator="containsText" text="OVERFLOW"/>
    <x:cfRule type="containsText" dxfId="92" priority="5" operator="containsText" text="OPEN"/>
    <x:cfRule type="containsText" dxfId="93" priority="6" operator="containsText" text="GAP"/>
    <x:cfRule type="containsText" dxfId="94" priority="7" operator="containsText" text="PASS"/>
    <x:cfRule type="containsText" dxfId="95" priority="8" operator="containsText" text="INVALI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18" hidden="0" customWidth="1"/>
    <x:col min="12" max="12" width="14" hidden="0" customWidth="1"/>
  </x:cols>
  <x:sheetData>
    <x:row r="2">
      <x:c r="B2" s="1" t="str">
        <x:v>Forty-eight two-site root estimators</x:v>
      </x:c>
    </x:row>
    <x:row r="3">
      <x:c r="B3" s="2" t="str">
        <x:v>Site effects and disagreement remain visible. A root mean requires both accepted site pairs.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Root</x:v>
      </x:c>
      <x:c r="C6" s="7" t="str">
        <x:v>Challenge</x:v>
      </x:c>
      <x:c r="D6" s="7" t="str">
        <x:v>PTC-B delta time</x:v>
      </x:c>
      <x:c r="E6" s="7" t="str">
        <x:v>PTC-C delta time</x:v>
      </x:c>
      <x:c r="F6" s="7" t="str">
        <x:v>Mean delta time</x:v>
      </x:c>
      <x:c r="G6" s="7" t="str">
        <x:v>PTC-B delta loss</x:v>
      </x:c>
      <x:c r="H6" s="7" t="str">
        <x:v>PTC-C delta loss</x:v>
      </x:c>
      <x:c r="I6" s="7" t="str">
        <x:v>Mean delta loss</x:v>
      </x:c>
      <x:c r="J6" s="7" t="str">
        <x:v>Maximum site spread</x:v>
      </x:c>
      <x:c r="K6" s="7" t="str">
        <x:v>Disposition</x:v>
      </x:c>
      <x:c r="L6" s="7" t="str">
        <x:v>State</x:v>
      </x:c>
    </x:row>
    <x:row r="7">
      <x:c r="B7" t="str">
        <x:v>AF-1-BA</x:v>
      </x:c>
      <x:c r="C7" t="str">
        <x:v>A01</x:v>
      </x:c>
      <x:c r="D7" t="str"/>
      <x:c r="E7" t="str"/>
      <x:c r="F7" t="str">
        <x:f>IF(COUNT(D7:E7)&lt;2,"",AVERAGE(D7:E7))</x:f>
      </x:c>
      <x:c r="G7" t="str"/>
      <x:c r="H7" t="str"/>
      <x:c r="I7" t="str">
        <x:f>IF(COUNT(G7:H7)&lt;2,"",AVERAGE(G7:H7))</x:f>
      </x:c>
      <x:c r="J7" t="str">
        <x:f>IF(COUNT(D7:H7)&lt;4,"",MAX(ABS(D7-E7),ABS(G7-H7)))</x:f>
      </x:c>
      <x:c r="K7" t="n">
        <x:v>0</x:v>
      </x:c>
      <x:c r="L7" t="str">
        <x:f>IF(K7=1,"PASS","OPEN")</x:f>
        <x:v>OPEN</x:v>
      </x:c>
    </x:row>
    <x:row r="8">
      <x:c r="B8" t="str">
        <x:v>AF-1-BA</x:v>
      </x:c>
      <x:c r="C8" t="str">
        <x:v>A02</x:v>
      </x:c>
      <x:c r="D8" t="str"/>
      <x:c r="E8" t="str"/>
      <x:c r="F8" t="str">
        <x:f>IF(COUNT(D8:E8)&lt;2,"",AVERAGE(D8:E8))</x:f>
      </x:c>
      <x:c r="G8" t="str"/>
      <x:c r="H8" t="str"/>
      <x:c r="I8" t="str">
        <x:f>IF(COUNT(G8:H8)&lt;2,"",AVERAGE(G8:H8))</x:f>
      </x:c>
      <x:c r="J8" t="str">
        <x:f>IF(COUNT(D8:H8)&lt;4,"",MAX(ABS(D8-E8),ABS(G8-H8)))</x:f>
      </x:c>
      <x:c r="K8" t="n">
        <x:v>0</x:v>
      </x:c>
      <x:c r="L8" t="str">
        <x:f>IF(K8=1,"PASS","OPEN")</x:f>
        <x:v>OPEN</x:v>
      </x:c>
    </x:row>
    <x:row r="9">
      <x:c r="B9" t="str">
        <x:v>AF-1-BA</x:v>
      </x:c>
      <x:c r="C9" t="str">
        <x:v>A03</x:v>
      </x:c>
      <x:c r="D9" t="str"/>
      <x:c r="E9" t="str"/>
      <x:c r="F9" t="str">
        <x:f>IF(COUNT(D9:E9)&lt;2,"",AVERAGE(D9:E9))</x:f>
      </x:c>
      <x:c r="G9" t="str"/>
      <x:c r="H9" t="str"/>
      <x:c r="I9" t="str">
        <x:f>IF(COUNT(G9:H9)&lt;2,"",AVERAGE(G9:H9))</x:f>
      </x:c>
      <x:c r="J9" t="str">
        <x:f>IF(COUNT(D9:H9)&lt;4,"",MAX(ABS(D9-E9),ABS(G9-H9)))</x:f>
      </x:c>
      <x:c r="K9" t="n">
        <x:v>0</x:v>
      </x:c>
      <x:c r="L9" t="str">
        <x:f>IF(K9=1,"PASS","OPEN")</x:f>
        <x:v>OPEN</x:v>
      </x:c>
    </x:row>
    <x:row r="10">
      <x:c r="B10" t="str">
        <x:v>AF-1-BA</x:v>
      </x:c>
      <x:c r="C10" t="str">
        <x:v>A04</x:v>
      </x:c>
      <x:c r="D10" t="str"/>
      <x:c r="E10" t="str"/>
      <x:c r="F10" t="str">
        <x:f>IF(COUNT(D10:E10)&lt;2,"",AVERAGE(D10:E10))</x:f>
      </x:c>
      <x:c r="G10" t="str"/>
      <x:c r="H10" t="str"/>
      <x:c r="I10" t="str">
        <x:f>IF(COUNT(G10:H10)&lt;2,"",AVERAGE(G10:H10))</x:f>
      </x:c>
      <x:c r="J10" t="str">
        <x:f>IF(COUNT(D10:H10)&lt;4,"",MAX(ABS(D10-E10),ABS(G10-H10)))</x:f>
      </x:c>
      <x:c r="K10" t="n">
        <x:v>0</x:v>
      </x:c>
      <x:c r="L10" t="str">
        <x:f>IF(K10=1,"PASS","OPEN")</x:f>
        <x:v>OPEN</x:v>
      </x:c>
    </x:row>
    <x:row r="11">
      <x:c r="B11" t="str">
        <x:v>AF-1-BA</x:v>
      </x:c>
      <x:c r="C11" t="str">
        <x:v>A05</x:v>
      </x:c>
      <x:c r="D11" t="str"/>
      <x:c r="E11" t="str"/>
      <x:c r="F11" t="str">
        <x:f>IF(COUNT(D11:E11)&lt;2,"",AVERAGE(D11:E11))</x:f>
      </x:c>
      <x:c r="G11" t="str"/>
      <x:c r="H11" t="str"/>
      <x:c r="I11" t="str">
        <x:f>IF(COUNT(G11:H11)&lt;2,"",AVERAGE(G11:H11))</x:f>
      </x:c>
      <x:c r="J11" t="str">
        <x:f>IF(COUNT(D11:H11)&lt;4,"",MAX(ABS(D11-E11),ABS(G11-H11)))</x:f>
      </x:c>
      <x:c r="K11" t="n">
        <x:v>0</x:v>
      </x:c>
      <x:c r="L11" t="str">
        <x:f>IF(K11=1,"PASS","OPEN")</x:f>
        <x:v>OPEN</x:v>
      </x:c>
    </x:row>
    <x:row r="12">
      <x:c r="B12" t="str">
        <x:v>AF-1-BA</x:v>
      </x:c>
      <x:c r="C12" t="str">
        <x:v>A06</x:v>
      </x:c>
      <x:c r="D12" t="str"/>
      <x:c r="E12" t="str"/>
      <x:c r="F12" t="str">
        <x:f>IF(COUNT(D12:E12)&lt;2,"",AVERAGE(D12:E12))</x:f>
      </x:c>
      <x:c r="G12" t="str"/>
      <x:c r="H12" t="str"/>
      <x:c r="I12" t="str">
        <x:f>IF(COUNT(G12:H12)&lt;2,"",AVERAGE(G12:H12))</x:f>
      </x:c>
      <x:c r="J12" t="str">
        <x:f>IF(COUNT(D12:H12)&lt;4,"",MAX(ABS(D12-E12),ABS(G12-H12)))</x:f>
      </x:c>
      <x:c r="K12" t="n">
        <x:v>0</x:v>
      </x:c>
      <x:c r="L12" t="str">
        <x:f>IF(K12=1,"PASS","OPEN")</x:f>
        <x:v>OPEN</x:v>
      </x:c>
    </x:row>
    <x:row r="13">
      <x:c r="B13" t="str">
        <x:v>AF-1-BA</x:v>
      </x:c>
      <x:c r="C13" t="str">
        <x:v>A07</x:v>
      </x:c>
      <x:c r="D13" t="str"/>
      <x:c r="E13" t="str"/>
      <x:c r="F13" t="str">
        <x:f>IF(COUNT(D13:E13)&lt;2,"",AVERAGE(D13:E13))</x:f>
      </x:c>
      <x:c r="G13" t="str"/>
      <x:c r="H13" t="str"/>
      <x:c r="I13" t="str">
        <x:f>IF(COUNT(G13:H13)&lt;2,"",AVERAGE(G13:H13))</x:f>
      </x:c>
      <x:c r="J13" t="str">
        <x:f>IF(COUNT(D13:H13)&lt;4,"",MAX(ABS(D13-E13),ABS(G13-H13)))</x:f>
      </x:c>
      <x:c r="K13" t="n">
        <x:v>0</x:v>
      </x:c>
      <x:c r="L13" t="str">
        <x:f>IF(K13=1,"PASS","OPEN")</x:f>
        <x:v>OPEN</x:v>
      </x:c>
    </x:row>
    <x:row r="14">
      <x:c r="B14" t="str">
        <x:v>AF-1-BA</x:v>
      </x:c>
      <x:c r="C14" t="str">
        <x:v>A08</x:v>
      </x:c>
      <x:c r="D14" t="str"/>
      <x:c r="E14" t="str"/>
      <x:c r="F14" t="str">
        <x:f>IF(COUNT(D14:E14)&lt;2,"",AVERAGE(D14:E14))</x:f>
      </x:c>
      <x:c r="G14" t="str"/>
      <x:c r="H14" t="str"/>
      <x:c r="I14" t="str">
        <x:f>IF(COUNT(G14:H14)&lt;2,"",AVERAGE(G14:H14))</x:f>
      </x:c>
      <x:c r="J14" t="str">
        <x:f>IF(COUNT(D14:H14)&lt;4,"",MAX(ABS(D14-E14),ABS(G14-H14)))</x:f>
      </x:c>
      <x:c r="K14" t="n">
        <x:v>0</x:v>
      </x:c>
      <x:c r="L14" t="str">
        <x:f>IF(K14=1,"PASS","OPEN")</x:f>
        <x:v>OPEN</x:v>
      </x:c>
    </x:row>
    <x:row r="15">
      <x:c r="B15" t="str">
        <x:v>AF-1-BB</x:v>
      </x:c>
      <x:c r="C15" t="str">
        <x:v>A01</x:v>
      </x:c>
      <x:c r="D15" t="str"/>
      <x:c r="E15" t="str"/>
      <x:c r="F15" t="str">
        <x:f>IF(COUNT(D15:E15)&lt;2,"",AVERAGE(D15:E15))</x:f>
      </x:c>
      <x:c r="G15" t="str"/>
      <x:c r="H15" t="str"/>
      <x:c r="I15" t="str">
        <x:f>IF(COUNT(G15:H15)&lt;2,"",AVERAGE(G15:H15))</x:f>
      </x:c>
      <x:c r="J15" t="str">
        <x:f>IF(COUNT(D15:H15)&lt;4,"",MAX(ABS(D15-E15),ABS(G15-H15)))</x:f>
      </x:c>
      <x:c r="K15" t="n">
        <x:v>0</x:v>
      </x:c>
      <x:c r="L15" t="str">
        <x:f>IF(K15=1,"PASS","OPEN")</x:f>
        <x:v>OPEN</x:v>
      </x:c>
    </x:row>
    <x:row r="16">
      <x:c r="B16" t="str">
        <x:v>AF-1-BB</x:v>
      </x:c>
      <x:c r="C16" t="str">
        <x:v>A02</x:v>
      </x:c>
      <x:c r="D16" t="str"/>
      <x:c r="E16" t="str"/>
      <x:c r="F16" t="str">
        <x:f>IF(COUNT(D16:E16)&lt;2,"",AVERAGE(D16:E16))</x:f>
      </x:c>
      <x:c r="G16" t="str"/>
      <x:c r="H16" t="str"/>
      <x:c r="I16" t="str">
        <x:f>IF(COUNT(G16:H16)&lt;2,"",AVERAGE(G16:H16))</x:f>
      </x:c>
      <x:c r="J16" t="str">
        <x:f>IF(COUNT(D16:H16)&lt;4,"",MAX(ABS(D16-E16),ABS(G16-H16)))</x:f>
      </x:c>
      <x:c r="K16" t="n">
        <x:v>0</x:v>
      </x:c>
      <x:c r="L16" t="str">
        <x:f>IF(K16=1,"PASS","OPEN")</x:f>
        <x:v>OPEN</x:v>
      </x:c>
    </x:row>
    <x:row r="17">
      <x:c r="B17" t="str">
        <x:v>AF-1-BB</x:v>
      </x:c>
      <x:c r="C17" t="str">
        <x:v>A03</x:v>
      </x:c>
      <x:c r="D17" t="str"/>
      <x:c r="E17" t="str"/>
      <x:c r="F17" t="str">
        <x:f>IF(COUNT(D17:E17)&lt;2,"",AVERAGE(D17:E17))</x:f>
      </x:c>
      <x:c r="G17" t="str"/>
      <x:c r="H17" t="str"/>
      <x:c r="I17" t="str">
        <x:f>IF(COUNT(G17:H17)&lt;2,"",AVERAGE(G17:H17))</x:f>
      </x:c>
      <x:c r="J17" t="str">
        <x:f>IF(COUNT(D17:H17)&lt;4,"",MAX(ABS(D17-E17),ABS(G17-H17)))</x:f>
      </x:c>
      <x:c r="K17" t="n">
        <x:v>0</x:v>
      </x:c>
      <x:c r="L17" t="str">
        <x:f>IF(K17=1,"PASS","OPEN")</x:f>
        <x:v>OPEN</x:v>
      </x:c>
    </x:row>
    <x:row r="18">
      <x:c r="B18" t="str">
        <x:v>AF-1-BB</x:v>
      </x:c>
      <x:c r="C18" t="str">
        <x:v>A04</x:v>
      </x:c>
      <x:c r="D18" t="str"/>
      <x:c r="E18" t="str"/>
      <x:c r="F18" t="str">
        <x:f>IF(COUNT(D18:E18)&lt;2,"",AVERAGE(D18:E18))</x:f>
      </x:c>
      <x:c r="G18" t="str"/>
      <x:c r="H18" t="str"/>
      <x:c r="I18" t="str">
        <x:f>IF(COUNT(G18:H18)&lt;2,"",AVERAGE(G18:H18))</x:f>
      </x:c>
      <x:c r="J18" t="str">
        <x:f>IF(COUNT(D18:H18)&lt;4,"",MAX(ABS(D18-E18),ABS(G18-H18)))</x:f>
      </x:c>
      <x:c r="K18" t="n">
        <x:v>0</x:v>
      </x:c>
      <x:c r="L18" t="str">
        <x:f>IF(K18=1,"PASS","OPEN")</x:f>
        <x:v>OPEN</x:v>
      </x:c>
    </x:row>
    <x:row r="19">
      <x:c r="B19" t="str">
        <x:v>AF-1-BB</x:v>
      </x:c>
      <x:c r="C19" t="str">
        <x:v>A05</x:v>
      </x:c>
      <x:c r="D19" t="str"/>
      <x:c r="E19" t="str"/>
      <x:c r="F19" t="str">
        <x:f>IF(COUNT(D19:E19)&lt;2,"",AVERAGE(D19:E19))</x:f>
      </x:c>
      <x:c r="G19" t="str"/>
      <x:c r="H19" t="str"/>
      <x:c r="I19" t="str">
        <x:f>IF(COUNT(G19:H19)&lt;2,"",AVERAGE(G19:H19))</x:f>
      </x:c>
      <x:c r="J19" t="str">
        <x:f>IF(COUNT(D19:H19)&lt;4,"",MAX(ABS(D19-E19),ABS(G19-H19)))</x:f>
      </x:c>
      <x:c r="K19" t="n">
        <x:v>0</x:v>
      </x:c>
      <x:c r="L19" t="str">
        <x:f>IF(K19=1,"PASS","OPEN")</x:f>
        <x:v>OPEN</x:v>
      </x:c>
    </x:row>
    <x:row r="20">
      <x:c r="B20" t="str">
        <x:v>AF-1-BB</x:v>
      </x:c>
      <x:c r="C20" t="str">
        <x:v>A06</x:v>
      </x:c>
      <x:c r="D20" t="str"/>
      <x:c r="E20" t="str"/>
      <x:c r="F20" t="str">
        <x:f>IF(COUNT(D20:E20)&lt;2,"",AVERAGE(D20:E20))</x:f>
      </x:c>
      <x:c r="G20" t="str"/>
      <x:c r="H20" t="str"/>
      <x:c r="I20" t="str">
        <x:f>IF(COUNT(G20:H20)&lt;2,"",AVERAGE(G20:H20))</x:f>
      </x:c>
      <x:c r="J20" t="str">
        <x:f>IF(COUNT(D20:H20)&lt;4,"",MAX(ABS(D20-E20),ABS(G20-H20)))</x:f>
      </x:c>
      <x:c r="K20" t="n">
        <x:v>0</x:v>
      </x:c>
      <x:c r="L20" t="str">
        <x:f>IF(K20=1,"PASS","OPEN")</x:f>
        <x:v>OPEN</x:v>
      </x:c>
    </x:row>
    <x:row r="21">
      <x:c r="B21" t="str">
        <x:v>AF-1-BB</x:v>
      </x:c>
      <x:c r="C21" t="str">
        <x:v>A07</x:v>
      </x:c>
      <x:c r="D21" t="str"/>
      <x:c r="E21" t="str"/>
      <x:c r="F21" t="str">
        <x:f>IF(COUNT(D21:E21)&lt;2,"",AVERAGE(D21:E21))</x:f>
      </x:c>
      <x:c r="G21" t="str"/>
      <x:c r="H21" t="str"/>
      <x:c r="I21" t="str">
        <x:f>IF(COUNT(G21:H21)&lt;2,"",AVERAGE(G21:H21))</x:f>
      </x:c>
      <x:c r="J21" t="str">
        <x:f>IF(COUNT(D21:H21)&lt;4,"",MAX(ABS(D21-E21),ABS(G21-H21)))</x:f>
      </x:c>
      <x:c r="K21" t="n">
        <x:v>0</x:v>
      </x:c>
      <x:c r="L21" t="str">
        <x:f>IF(K21=1,"PASS","OPEN")</x:f>
        <x:v>OPEN</x:v>
      </x:c>
    </x:row>
    <x:row r="22">
      <x:c r="B22" t="str">
        <x:v>AF-1-BB</x:v>
      </x:c>
      <x:c r="C22" t="str">
        <x:v>A08</x:v>
      </x:c>
      <x:c r="D22" t="str"/>
      <x:c r="E22" t="str"/>
      <x:c r="F22" t="str">
        <x:f>IF(COUNT(D22:E22)&lt;2,"",AVERAGE(D22:E22))</x:f>
      </x:c>
      <x:c r="G22" t="str"/>
      <x:c r="H22" t="str"/>
      <x:c r="I22" t="str">
        <x:f>IF(COUNT(G22:H22)&lt;2,"",AVERAGE(G22:H22))</x:f>
      </x:c>
      <x:c r="J22" t="str">
        <x:f>IF(COUNT(D22:H22)&lt;4,"",MAX(ABS(D22-E22),ABS(G22-H22)))</x:f>
      </x:c>
      <x:c r="K22" t="n">
        <x:v>0</x:v>
      </x:c>
      <x:c r="L22" t="str">
        <x:f>IF(K22=1,"PASS","OPEN")</x:f>
        <x:v>OPEN</x:v>
      </x:c>
    </x:row>
    <x:row r="23">
      <x:c r="B23" t="str">
        <x:v>AF-2-BA</x:v>
      </x:c>
      <x:c r="C23" t="str">
        <x:v>A01</x:v>
      </x:c>
      <x:c r="D23" t="str"/>
      <x:c r="E23" t="str"/>
      <x:c r="F23" t="str">
        <x:f>IF(COUNT(D23:E23)&lt;2,"",AVERAGE(D23:E23))</x:f>
      </x:c>
      <x:c r="G23" t="str"/>
      <x:c r="H23" t="str"/>
      <x:c r="I23" t="str">
        <x:f>IF(COUNT(G23:H23)&lt;2,"",AVERAGE(G23:H23))</x:f>
      </x:c>
      <x:c r="J23" t="str">
        <x:f>IF(COUNT(D23:H23)&lt;4,"",MAX(ABS(D23-E23),ABS(G23-H23)))</x:f>
      </x:c>
      <x:c r="K23" t="n">
        <x:v>0</x:v>
      </x:c>
      <x:c r="L23" t="str">
        <x:f>IF(K23=1,"PASS","OPEN")</x:f>
        <x:v>OPEN</x:v>
      </x:c>
    </x:row>
    <x:row r="24">
      <x:c r="B24" t="str">
        <x:v>AF-2-BA</x:v>
      </x:c>
      <x:c r="C24" t="str">
        <x:v>A02</x:v>
      </x:c>
      <x:c r="D24" t="str"/>
      <x:c r="E24" t="str"/>
      <x:c r="F24" t="str">
        <x:f>IF(COUNT(D24:E24)&lt;2,"",AVERAGE(D24:E24))</x:f>
      </x:c>
      <x:c r="G24" t="str"/>
      <x:c r="H24" t="str"/>
      <x:c r="I24" t="str">
        <x:f>IF(COUNT(G24:H24)&lt;2,"",AVERAGE(G24:H24))</x:f>
      </x:c>
      <x:c r="J24" t="str">
        <x:f>IF(COUNT(D24:H24)&lt;4,"",MAX(ABS(D24-E24),ABS(G24-H24)))</x:f>
      </x:c>
      <x:c r="K24" t="n">
        <x:v>0</x:v>
      </x:c>
      <x:c r="L24" t="str">
        <x:f>IF(K24=1,"PASS","OPEN")</x:f>
        <x:v>OPEN</x:v>
      </x:c>
    </x:row>
    <x:row r="25">
      <x:c r="B25" t="str">
        <x:v>AF-2-BA</x:v>
      </x:c>
      <x:c r="C25" t="str">
        <x:v>A03</x:v>
      </x:c>
      <x:c r="D25" t="str"/>
      <x:c r="E25" t="str"/>
      <x:c r="F25" t="str">
        <x:f>IF(COUNT(D25:E25)&lt;2,"",AVERAGE(D25:E25))</x:f>
      </x:c>
      <x:c r="G25" t="str"/>
      <x:c r="H25" t="str"/>
      <x:c r="I25" t="str">
        <x:f>IF(COUNT(G25:H25)&lt;2,"",AVERAGE(G25:H25))</x:f>
      </x:c>
      <x:c r="J25" t="str">
        <x:f>IF(COUNT(D25:H25)&lt;4,"",MAX(ABS(D25-E25),ABS(G25-H25)))</x:f>
      </x:c>
      <x:c r="K25" t="n">
        <x:v>0</x:v>
      </x:c>
      <x:c r="L25" t="str">
        <x:f>IF(K25=1,"PASS","OPEN")</x:f>
        <x:v>OPEN</x:v>
      </x:c>
    </x:row>
    <x:row r="26">
      <x:c r="B26" t="str">
        <x:v>AF-2-BA</x:v>
      </x:c>
      <x:c r="C26" t="str">
        <x:v>A04</x:v>
      </x:c>
      <x:c r="D26" t="str"/>
      <x:c r="E26" t="str"/>
      <x:c r="F26" t="str">
        <x:f>IF(COUNT(D26:E26)&lt;2,"",AVERAGE(D26:E26))</x:f>
      </x:c>
      <x:c r="G26" t="str"/>
      <x:c r="H26" t="str"/>
      <x:c r="I26" t="str">
        <x:f>IF(COUNT(G26:H26)&lt;2,"",AVERAGE(G26:H26))</x:f>
      </x:c>
      <x:c r="J26" t="str">
        <x:f>IF(COUNT(D26:H26)&lt;4,"",MAX(ABS(D26-E26),ABS(G26-H26)))</x:f>
      </x:c>
      <x:c r="K26" t="n">
        <x:v>0</x:v>
      </x:c>
      <x:c r="L26" t="str">
        <x:f>IF(K26=1,"PASS","OPEN")</x:f>
        <x:v>OPEN</x:v>
      </x:c>
    </x:row>
    <x:row r="27">
      <x:c r="B27" t="str">
        <x:v>AF-2-BA</x:v>
      </x:c>
      <x:c r="C27" t="str">
        <x:v>A05</x:v>
      </x:c>
      <x:c r="D27" t="str"/>
      <x:c r="E27" t="str"/>
      <x:c r="F27" t="str">
        <x:f>IF(COUNT(D27:E27)&lt;2,"",AVERAGE(D27:E27))</x:f>
      </x:c>
      <x:c r="G27" t="str"/>
      <x:c r="H27" t="str"/>
      <x:c r="I27" t="str">
        <x:f>IF(COUNT(G27:H27)&lt;2,"",AVERAGE(G27:H27))</x:f>
      </x:c>
      <x:c r="J27" t="str">
        <x:f>IF(COUNT(D27:H27)&lt;4,"",MAX(ABS(D27-E27),ABS(G27-H27)))</x:f>
      </x:c>
      <x:c r="K27" t="n">
        <x:v>0</x:v>
      </x:c>
      <x:c r="L27" t="str">
        <x:f>IF(K27=1,"PASS","OPEN")</x:f>
        <x:v>OPEN</x:v>
      </x:c>
    </x:row>
    <x:row r="28">
      <x:c r="B28" t="str">
        <x:v>AF-2-BA</x:v>
      </x:c>
      <x:c r="C28" t="str">
        <x:v>A06</x:v>
      </x:c>
      <x:c r="D28" t="str"/>
      <x:c r="E28" t="str"/>
      <x:c r="F28" t="str">
        <x:f>IF(COUNT(D28:E28)&lt;2,"",AVERAGE(D28:E28))</x:f>
      </x:c>
      <x:c r="G28" t="str"/>
      <x:c r="H28" t="str"/>
      <x:c r="I28" t="str">
        <x:f>IF(COUNT(G28:H28)&lt;2,"",AVERAGE(G28:H28))</x:f>
      </x:c>
      <x:c r="J28" t="str">
        <x:f>IF(COUNT(D28:H28)&lt;4,"",MAX(ABS(D28-E28),ABS(G28-H28)))</x:f>
      </x:c>
      <x:c r="K28" t="n">
        <x:v>0</x:v>
      </x:c>
      <x:c r="L28" t="str">
        <x:f>IF(K28=1,"PASS","OPEN")</x:f>
        <x:v>OPEN</x:v>
      </x:c>
    </x:row>
    <x:row r="29">
      <x:c r="B29" t="str">
        <x:v>AF-2-BA</x:v>
      </x:c>
      <x:c r="C29" t="str">
        <x:v>A07</x:v>
      </x:c>
      <x:c r="D29" t="str"/>
      <x:c r="E29" t="str"/>
      <x:c r="F29" t="str">
        <x:f>IF(COUNT(D29:E29)&lt;2,"",AVERAGE(D29:E29))</x:f>
      </x:c>
      <x:c r="G29" t="str"/>
      <x:c r="H29" t="str"/>
      <x:c r="I29" t="str">
        <x:f>IF(COUNT(G29:H29)&lt;2,"",AVERAGE(G29:H29))</x:f>
      </x:c>
      <x:c r="J29" t="str">
        <x:f>IF(COUNT(D29:H29)&lt;4,"",MAX(ABS(D29-E29),ABS(G29-H29)))</x:f>
      </x:c>
      <x:c r="K29" t="n">
        <x:v>0</x:v>
      </x:c>
      <x:c r="L29" t="str">
        <x:f>IF(K29=1,"PASS","OPEN")</x:f>
        <x:v>OPEN</x:v>
      </x:c>
    </x:row>
    <x:row r="30">
      <x:c r="B30" t="str">
        <x:v>AF-2-BA</x:v>
      </x:c>
      <x:c r="C30" t="str">
        <x:v>A08</x:v>
      </x:c>
      <x:c r="D30" t="str"/>
      <x:c r="E30" t="str"/>
      <x:c r="F30" t="str">
        <x:f>IF(COUNT(D30:E30)&lt;2,"",AVERAGE(D30:E30))</x:f>
      </x:c>
      <x:c r="G30" t="str"/>
      <x:c r="H30" t="str"/>
      <x:c r="I30" t="str">
        <x:f>IF(COUNT(G30:H30)&lt;2,"",AVERAGE(G30:H30))</x:f>
      </x:c>
      <x:c r="J30" t="str">
        <x:f>IF(COUNT(D30:H30)&lt;4,"",MAX(ABS(D30-E30),ABS(G30-H30)))</x:f>
      </x:c>
      <x:c r="K30" t="n">
        <x:v>0</x:v>
      </x:c>
      <x:c r="L30" t="str">
        <x:f>IF(K30=1,"PASS","OPEN")</x:f>
        <x:v>OPEN</x:v>
      </x:c>
    </x:row>
    <x:row r="31">
      <x:c r="B31" t="str">
        <x:v>AF-2-BB</x:v>
      </x:c>
      <x:c r="C31" t="str">
        <x:v>A01</x:v>
      </x:c>
      <x:c r="D31" t="str"/>
      <x:c r="E31" t="str"/>
      <x:c r="F31" t="str">
        <x:f>IF(COUNT(D31:E31)&lt;2,"",AVERAGE(D31:E31))</x:f>
      </x:c>
      <x:c r="G31" t="str"/>
      <x:c r="H31" t="str"/>
      <x:c r="I31" t="str">
        <x:f>IF(COUNT(G31:H31)&lt;2,"",AVERAGE(G31:H31))</x:f>
      </x:c>
      <x:c r="J31" t="str">
        <x:f>IF(COUNT(D31:H31)&lt;4,"",MAX(ABS(D31-E31),ABS(G31-H31)))</x:f>
      </x:c>
      <x:c r="K31" t="n">
        <x:v>0</x:v>
      </x:c>
      <x:c r="L31" t="str">
        <x:f>IF(K31=1,"PASS","OPEN")</x:f>
        <x:v>OPEN</x:v>
      </x:c>
    </x:row>
    <x:row r="32">
      <x:c r="B32" t="str">
        <x:v>AF-2-BB</x:v>
      </x:c>
      <x:c r="C32" t="str">
        <x:v>A02</x:v>
      </x:c>
      <x:c r="D32" t="str"/>
      <x:c r="E32" t="str"/>
      <x:c r="F32" t="str">
        <x:f>IF(COUNT(D32:E32)&lt;2,"",AVERAGE(D32:E32))</x:f>
      </x:c>
      <x:c r="G32" t="str"/>
      <x:c r="H32" t="str"/>
      <x:c r="I32" t="str">
        <x:f>IF(COUNT(G32:H32)&lt;2,"",AVERAGE(G32:H32))</x:f>
      </x:c>
      <x:c r="J32" t="str">
        <x:f>IF(COUNT(D32:H32)&lt;4,"",MAX(ABS(D32-E32),ABS(G32-H32)))</x:f>
      </x:c>
      <x:c r="K32" t="n">
        <x:v>0</x:v>
      </x:c>
      <x:c r="L32" t="str">
        <x:f>IF(K32=1,"PASS","OPEN")</x:f>
        <x:v>OPEN</x:v>
      </x:c>
    </x:row>
    <x:row r="33">
      <x:c r="B33" t="str">
        <x:v>AF-2-BB</x:v>
      </x:c>
      <x:c r="C33" t="str">
        <x:v>A03</x:v>
      </x:c>
      <x:c r="D33" t="str"/>
      <x:c r="E33" t="str"/>
      <x:c r="F33" t="str">
        <x:f>IF(COUNT(D33:E33)&lt;2,"",AVERAGE(D33:E33))</x:f>
      </x:c>
      <x:c r="G33" t="str"/>
      <x:c r="H33" t="str"/>
      <x:c r="I33" t="str">
        <x:f>IF(COUNT(G33:H33)&lt;2,"",AVERAGE(G33:H33))</x:f>
      </x:c>
      <x:c r="J33" t="str">
        <x:f>IF(COUNT(D33:H33)&lt;4,"",MAX(ABS(D33-E33),ABS(G33-H33)))</x:f>
      </x:c>
      <x:c r="K33" t="n">
        <x:v>0</x:v>
      </x:c>
      <x:c r="L33" t="str">
        <x:f>IF(K33=1,"PASS","OPEN")</x:f>
        <x:v>OPEN</x:v>
      </x:c>
    </x:row>
    <x:row r="34">
      <x:c r="B34" t="str">
        <x:v>AF-2-BB</x:v>
      </x:c>
      <x:c r="C34" t="str">
        <x:v>A04</x:v>
      </x:c>
      <x:c r="D34" t="str"/>
      <x:c r="E34" t="str"/>
      <x:c r="F34" t="str">
        <x:f>IF(COUNT(D34:E34)&lt;2,"",AVERAGE(D34:E34))</x:f>
      </x:c>
      <x:c r="G34" t="str"/>
      <x:c r="H34" t="str"/>
      <x:c r="I34" t="str">
        <x:f>IF(COUNT(G34:H34)&lt;2,"",AVERAGE(G34:H34))</x:f>
      </x:c>
      <x:c r="J34" t="str">
        <x:f>IF(COUNT(D34:H34)&lt;4,"",MAX(ABS(D34-E34),ABS(G34-H34)))</x:f>
      </x:c>
      <x:c r="K34" t="n">
        <x:v>0</x:v>
      </x:c>
      <x:c r="L34" t="str">
        <x:f>IF(K34=1,"PASS","OPEN")</x:f>
        <x:v>OPEN</x:v>
      </x:c>
    </x:row>
    <x:row r="35">
      <x:c r="B35" t="str">
        <x:v>AF-2-BB</x:v>
      </x:c>
      <x:c r="C35" t="str">
        <x:v>A05</x:v>
      </x:c>
      <x:c r="D35" t="str"/>
      <x:c r="E35" t="str"/>
      <x:c r="F35" t="str">
        <x:f>IF(COUNT(D35:E35)&lt;2,"",AVERAGE(D35:E35))</x:f>
      </x:c>
      <x:c r="G35" t="str"/>
      <x:c r="H35" t="str"/>
      <x:c r="I35" t="str">
        <x:f>IF(COUNT(G35:H35)&lt;2,"",AVERAGE(G35:H35))</x:f>
      </x:c>
      <x:c r="J35" t="str">
        <x:f>IF(COUNT(D35:H35)&lt;4,"",MAX(ABS(D35-E35),ABS(G35-H35)))</x:f>
      </x:c>
      <x:c r="K35" t="n">
        <x:v>0</x:v>
      </x:c>
      <x:c r="L35" t="str">
        <x:f>IF(K35=1,"PASS","OPEN")</x:f>
        <x:v>OPEN</x:v>
      </x:c>
    </x:row>
    <x:row r="36">
      <x:c r="B36" t="str">
        <x:v>AF-2-BB</x:v>
      </x:c>
      <x:c r="C36" t="str">
        <x:v>A06</x:v>
      </x:c>
      <x:c r="D36" t="str"/>
      <x:c r="E36" t="str"/>
      <x:c r="F36" t="str">
        <x:f>IF(COUNT(D36:E36)&lt;2,"",AVERAGE(D36:E36))</x:f>
      </x:c>
      <x:c r="G36" t="str"/>
      <x:c r="H36" t="str"/>
      <x:c r="I36" t="str">
        <x:f>IF(COUNT(G36:H36)&lt;2,"",AVERAGE(G36:H36))</x:f>
      </x:c>
      <x:c r="J36" t="str">
        <x:f>IF(COUNT(D36:H36)&lt;4,"",MAX(ABS(D36-E36),ABS(G36-H36)))</x:f>
      </x:c>
      <x:c r="K36" t="n">
        <x:v>0</x:v>
      </x:c>
      <x:c r="L36" t="str">
        <x:f>IF(K36=1,"PASS","OPEN")</x:f>
        <x:v>OPEN</x:v>
      </x:c>
    </x:row>
    <x:row r="37">
      <x:c r="B37" t="str">
        <x:v>AF-2-BB</x:v>
      </x:c>
      <x:c r="C37" t="str">
        <x:v>A07</x:v>
      </x:c>
      <x:c r="D37" t="str"/>
      <x:c r="E37" t="str"/>
      <x:c r="F37" t="str">
        <x:f>IF(COUNT(D37:E37)&lt;2,"",AVERAGE(D37:E37))</x:f>
      </x:c>
      <x:c r="G37" t="str"/>
      <x:c r="H37" t="str"/>
      <x:c r="I37" t="str">
        <x:f>IF(COUNT(G37:H37)&lt;2,"",AVERAGE(G37:H37))</x:f>
      </x:c>
      <x:c r="J37" t="str">
        <x:f>IF(COUNT(D37:H37)&lt;4,"",MAX(ABS(D37-E37),ABS(G37-H37)))</x:f>
      </x:c>
      <x:c r="K37" t="n">
        <x:v>0</x:v>
      </x:c>
      <x:c r="L37" t="str">
        <x:f>IF(K37=1,"PASS","OPEN")</x:f>
        <x:v>OPEN</x:v>
      </x:c>
    </x:row>
    <x:row r="38">
      <x:c r="B38" t="str">
        <x:v>AF-2-BB</x:v>
      </x:c>
      <x:c r="C38" t="str">
        <x:v>A08</x:v>
      </x:c>
      <x:c r="D38" t="str"/>
      <x:c r="E38" t="str"/>
      <x:c r="F38" t="str">
        <x:f>IF(COUNT(D38:E38)&lt;2,"",AVERAGE(D38:E38))</x:f>
      </x:c>
      <x:c r="G38" t="str"/>
      <x:c r="H38" t="str"/>
      <x:c r="I38" t="str">
        <x:f>IF(COUNT(G38:H38)&lt;2,"",AVERAGE(G38:H38))</x:f>
      </x:c>
      <x:c r="J38" t="str">
        <x:f>IF(COUNT(D38:H38)&lt;4,"",MAX(ABS(D38-E38),ABS(G38-H38)))</x:f>
      </x:c>
      <x:c r="K38" t="n">
        <x:v>0</x:v>
      </x:c>
      <x:c r="L38" t="str">
        <x:f>IF(K38=1,"PASS","OPEN")</x:f>
        <x:v>OPEN</x:v>
      </x:c>
    </x:row>
    <x:row r="39">
      <x:c r="B39" t="str">
        <x:v>AF-3-BA</x:v>
      </x:c>
      <x:c r="C39" t="str">
        <x:v>A01</x:v>
      </x:c>
      <x:c r="D39" t="str"/>
      <x:c r="E39" t="str"/>
      <x:c r="F39" t="str">
        <x:f>IF(COUNT(D39:E39)&lt;2,"",AVERAGE(D39:E39))</x:f>
      </x:c>
      <x:c r="G39" t="str"/>
      <x:c r="H39" t="str"/>
      <x:c r="I39" t="str">
        <x:f>IF(COUNT(G39:H39)&lt;2,"",AVERAGE(G39:H39))</x:f>
      </x:c>
      <x:c r="J39" t="str">
        <x:f>IF(COUNT(D39:H39)&lt;4,"",MAX(ABS(D39-E39),ABS(G39-H39)))</x:f>
      </x:c>
      <x:c r="K39" t="n">
        <x:v>0</x:v>
      </x:c>
      <x:c r="L39" t="str">
        <x:f>IF(K39=1,"PASS","OPEN")</x:f>
        <x:v>OPEN</x:v>
      </x:c>
    </x:row>
    <x:row r="40">
      <x:c r="B40" t="str">
        <x:v>AF-3-BA</x:v>
      </x:c>
      <x:c r="C40" t="str">
        <x:v>A02</x:v>
      </x:c>
      <x:c r="D40" t="str"/>
      <x:c r="E40" t="str"/>
      <x:c r="F40" t="str">
        <x:f>IF(COUNT(D40:E40)&lt;2,"",AVERAGE(D40:E40))</x:f>
      </x:c>
      <x:c r="G40" t="str"/>
      <x:c r="H40" t="str"/>
      <x:c r="I40" t="str">
        <x:f>IF(COUNT(G40:H40)&lt;2,"",AVERAGE(G40:H40))</x:f>
      </x:c>
      <x:c r="J40" t="str">
        <x:f>IF(COUNT(D40:H40)&lt;4,"",MAX(ABS(D40-E40),ABS(G40-H40)))</x:f>
      </x:c>
      <x:c r="K40" t="n">
        <x:v>0</x:v>
      </x:c>
      <x:c r="L40" t="str">
        <x:f>IF(K40=1,"PASS","OPEN")</x:f>
        <x:v>OPEN</x:v>
      </x:c>
    </x:row>
    <x:row r="41">
      <x:c r="B41" t="str">
        <x:v>AF-3-BA</x:v>
      </x:c>
      <x:c r="C41" t="str">
        <x:v>A03</x:v>
      </x:c>
      <x:c r="D41" t="str"/>
      <x:c r="E41" t="str"/>
      <x:c r="F41" t="str">
        <x:f>IF(COUNT(D41:E41)&lt;2,"",AVERAGE(D41:E41))</x:f>
      </x:c>
      <x:c r="G41" t="str"/>
      <x:c r="H41" t="str"/>
      <x:c r="I41" t="str">
        <x:f>IF(COUNT(G41:H41)&lt;2,"",AVERAGE(G41:H41))</x:f>
      </x:c>
      <x:c r="J41" t="str">
        <x:f>IF(COUNT(D41:H41)&lt;4,"",MAX(ABS(D41-E41),ABS(G41-H41)))</x:f>
      </x:c>
      <x:c r="K41" t="n">
        <x:v>0</x:v>
      </x:c>
      <x:c r="L41" t="str">
        <x:f>IF(K41=1,"PASS","OPEN")</x:f>
        <x:v>OPEN</x:v>
      </x:c>
    </x:row>
    <x:row r="42">
      <x:c r="B42" t="str">
        <x:v>AF-3-BA</x:v>
      </x:c>
      <x:c r="C42" t="str">
        <x:v>A04</x:v>
      </x:c>
      <x:c r="D42" t="str"/>
      <x:c r="E42" t="str"/>
      <x:c r="F42" t="str">
        <x:f>IF(COUNT(D42:E42)&lt;2,"",AVERAGE(D42:E42))</x:f>
      </x:c>
      <x:c r="G42" t="str"/>
      <x:c r="H42" t="str"/>
      <x:c r="I42" t="str">
        <x:f>IF(COUNT(G42:H42)&lt;2,"",AVERAGE(G42:H42))</x:f>
      </x:c>
      <x:c r="J42" t="str">
        <x:f>IF(COUNT(D42:H42)&lt;4,"",MAX(ABS(D42-E42),ABS(G42-H42)))</x:f>
      </x:c>
      <x:c r="K42" t="n">
        <x:v>0</x:v>
      </x:c>
      <x:c r="L42" t="str">
        <x:f>IF(K42=1,"PASS","OPEN")</x:f>
        <x:v>OPEN</x:v>
      </x:c>
    </x:row>
    <x:row r="43">
      <x:c r="B43" t="str">
        <x:v>AF-3-BA</x:v>
      </x:c>
      <x:c r="C43" t="str">
        <x:v>A05</x:v>
      </x:c>
      <x:c r="D43" t="str"/>
      <x:c r="E43" t="str"/>
      <x:c r="F43" t="str">
        <x:f>IF(COUNT(D43:E43)&lt;2,"",AVERAGE(D43:E43))</x:f>
      </x:c>
      <x:c r="G43" t="str"/>
      <x:c r="H43" t="str"/>
      <x:c r="I43" t="str">
        <x:f>IF(COUNT(G43:H43)&lt;2,"",AVERAGE(G43:H43))</x:f>
      </x:c>
      <x:c r="J43" t="str">
        <x:f>IF(COUNT(D43:H43)&lt;4,"",MAX(ABS(D43-E43),ABS(G43-H43)))</x:f>
      </x:c>
      <x:c r="K43" t="n">
        <x:v>0</x:v>
      </x:c>
      <x:c r="L43" t="str">
        <x:f>IF(K43=1,"PASS","OPEN")</x:f>
        <x:v>OPEN</x:v>
      </x:c>
    </x:row>
    <x:row r="44">
      <x:c r="B44" t="str">
        <x:v>AF-3-BA</x:v>
      </x:c>
      <x:c r="C44" t="str">
        <x:v>A06</x:v>
      </x:c>
      <x:c r="D44" t="str"/>
      <x:c r="E44" t="str"/>
      <x:c r="F44" t="str">
        <x:f>IF(COUNT(D44:E44)&lt;2,"",AVERAGE(D44:E44))</x:f>
      </x:c>
      <x:c r="G44" t="str"/>
      <x:c r="H44" t="str"/>
      <x:c r="I44" t="str">
        <x:f>IF(COUNT(G44:H44)&lt;2,"",AVERAGE(G44:H44))</x:f>
      </x:c>
      <x:c r="J44" t="str">
        <x:f>IF(COUNT(D44:H44)&lt;4,"",MAX(ABS(D44-E44),ABS(G44-H44)))</x:f>
      </x:c>
      <x:c r="K44" t="n">
        <x:v>0</x:v>
      </x:c>
      <x:c r="L44" t="str">
        <x:f>IF(K44=1,"PASS","OPEN")</x:f>
        <x:v>OPEN</x:v>
      </x:c>
    </x:row>
    <x:row r="45">
      <x:c r="B45" t="str">
        <x:v>AF-3-BA</x:v>
      </x:c>
      <x:c r="C45" t="str">
        <x:v>A07</x:v>
      </x:c>
      <x:c r="D45" t="str"/>
      <x:c r="E45" t="str"/>
      <x:c r="F45" t="str">
        <x:f>IF(COUNT(D45:E45)&lt;2,"",AVERAGE(D45:E45))</x:f>
      </x:c>
      <x:c r="G45" t="str"/>
      <x:c r="H45" t="str"/>
      <x:c r="I45" t="str">
        <x:f>IF(COUNT(G45:H45)&lt;2,"",AVERAGE(G45:H45))</x:f>
      </x:c>
      <x:c r="J45" t="str">
        <x:f>IF(COUNT(D45:H45)&lt;4,"",MAX(ABS(D45-E45),ABS(G45-H45)))</x:f>
      </x:c>
      <x:c r="K45" t="n">
        <x:v>0</x:v>
      </x:c>
      <x:c r="L45" t="str">
        <x:f>IF(K45=1,"PASS","OPEN")</x:f>
        <x:v>OPEN</x:v>
      </x:c>
    </x:row>
    <x:row r="46">
      <x:c r="B46" t="str">
        <x:v>AF-3-BA</x:v>
      </x:c>
      <x:c r="C46" t="str">
        <x:v>A08</x:v>
      </x:c>
      <x:c r="D46" t="str"/>
      <x:c r="E46" t="str"/>
      <x:c r="F46" t="str">
        <x:f>IF(COUNT(D46:E46)&lt;2,"",AVERAGE(D46:E46))</x:f>
      </x:c>
      <x:c r="G46" t="str"/>
      <x:c r="H46" t="str"/>
      <x:c r="I46" t="str">
        <x:f>IF(COUNT(G46:H46)&lt;2,"",AVERAGE(G46:H46))</x:f>
      </x:c>
      <x:c r="J46" t="str">
        <x:f>IF(COUNT(D46:H46)&lt;4,"",MAX(ABS(D46-E46),ABS(G46-H46)))</x:f>
      </x:c>
      <x:c r="K46" t="n">
        <x:v>0</x:v>
      </x:c>
      <x:c r="L46" t="str">
        <x:f>IF(K46=1,"PASS","OPEN")</x:f>
        <x:v>OPEN</x:v>
      </x:c>
    </x:row>
    <x:row r="47">
      <x:c r="B47" t="str">
        <x:v>AF-3-BB</x:v>
      </x:c>
      <x:c r="C47" t="str">
        <x:v>A01</x:v>
      </x:c>
      <x:c r="D47" t="str"/>
      <x:c r="E47" t="str"/>
      <x:c r="F47" t="str">
        <x:f>IF(COUNT(D47:E47)&lt;2,"",AVERAGE(D47:E47))</x:f>
      </x:c>
      <x:c r="G47" t="str"/>
      <x:c r="H47" t="str"/>
      <x:c r="I47" t="str">
        <x:f>IF(COUNT(G47:H47)&lt;2,"",AVERAGE(G47:H47))</x:f>
      </x:c>
      <x:c r="J47" t="str">
        <x:f>IF(COUNT(D47:H47)&lt;4,"",MAX(ABS(D47-E47),ABS(G47-H47)))</x:f>
      </x:c>
      <x:c r="K47" t="n">
        <x:v>0</x:v>
      </x:c>
      <x:c r="L47" t="str">
        <x:f>IF(K47=1,"PASS","OPEN")</x:f>
        <x:v>OPEN</x:v>
      </x:c>
    </x:row>
    <x:row r="48">
      <x:c r="B48" t="str">
        <x:v>AF-3-BB</x:v>
      </x:c>
      <x:c r="C48" t="str">
        <x:v>A02</x:v>
      </x:c>
      <x:c r="D48" t="str"/>
      <x:c r="E48" t="str"/>
      <x:c r="F48" t="str">
        <x:f>IF(COUNT(D48:E48)&lt;2,"",AVERAGE(D48:E48))</x:f>
      </x:c>
      <x:c r="G48" t="str"/>
      <x:c r="H48" t="str"/>
      <x:c r="I48" t="str">
        <x:f>IF(COUNT(G48:H48)&lt;2,"",AVERAGE(G48:H48))</x:f>
      </x:c>
      <x:c r="J48" t="str">
        <x:f>IF(COUNT(D48:H48)&lt;4,"",MAX(ABS(D48-E48),ABS(G48-H48)))</x:f>
      </x:c>
      <x:c r="K48" t="n">
        <x:v>0</x:v>
      </x:c>
      <x:c r="L48" t="str">
        <x:f>IF(K48=1,"PASS","OPEN")</x:f>
        <x:v>OPEN</x:v>
      </x:c>
    </x:row>
    <x:row r="49">
      <x:c r="B49" t="str">
        <x:v>AF-3-BB</x:v>
      </x:c>
      <x:c r="C49" t="str">
        <x:v>A03</x:v>
      </x:c>
      <x:c r="D49" t="str"/>
      <x:c r="E49" t="str"/>
      <x:c r="F49" t="str">
        <x:f>IF(COUNT(D49:E49)&lt;2,"",AVERAGE(D49:E49))</x:f>
      </x:c>
      <x:c r="G49" t="str"/>
      <x:c r="H49" t="str"/>
      <x:c r="I49" t="str">
        <x:f>IF(COUNT(G49:H49)&lt;2,"",AVERAGE(G49:H49))</x:f>
      </x:c>
      <x:c r="J49" t="str">
        <x:f>IF(COUNT(D49:H49)&lt;4,"",MAX(ABS(D49-E49),ABS(G49-H49)))</x:f>
      </x:c>
      <x:c r="K49" t="n">
        <x:v>0</x:v>
      </x:c>
      <x:c r="L49" t="str">
        <x:f>IF(K49=1,"PASS","OPEN")</x:f>
        <x:v>OPEN</x:v>
      </x:c>
    </x:row>
    <x:row r="50">
      <x:c r="B50" t="str">
        <x:v>AF-3-BB</x:v>
      </x:c>
      <x:c r="C50" t="str">
        <x:v>A04</x:v>
      </x:c>
      <x:c r="D50" t="str"/>
      <x:c r="E50" t="str"/>
      <x:c r="F50" t="str">
        <x:f>IF(COUNT(D50:E50)&lt;2,"",AVERAGE(D50:E50))</x:f>
      </x:c>
      <x:c r="G50" t="str"/>
      <x:c r="H50" t="str"/>
      <x:c r="I50" t="str">
        <x:f>IF(COUNT(G50:H50)&lt;2,"",AVERAGE(G50:H50))</x:f>
      </x:c>
      <x:c r="J50" t="str">
        <x:f>IF(COUNT(D50:H50)&lt;4,"",MAX(ABS(D50-E50),ABS(G50-H50)))</x:f>
      </x:c>
      <x:c r="K50" t="n">
        <x:v>0</x:v>
      </x:c>
      <x:c r="L50" t="str">
        <x:f>IF(K50=1,"PASS","OPEN")</x:f>
        <x:v>OPEN</x:v>
      </x:c>
    </x:row>
    <x:row r="51">
      <x:c r="B51" t="str">
        <x:v>AF-3-BB</x:v>
      </x:c>
      <x:c r="C51" t="str">
        <x:v>A05</x:v>
      </x:c>
      <x:c r="D51" t="str"/>
      <x:c r="E51" t="str"/>
      <x:c r="F51" t="str">
        <x:f>IF(COUNT(D51:E51)&lt;2,"",AVERAGE(D51:E51))</x:f>
      </x:c>
      <x:c r="G51" t="str"/>
      <x:c r="H51" t="str"/>
      <x:c r="I51" t="str">
        <x:f>IF(COUNT(G51:H51)&lt;2,"",AVERAGE(G51:H51))</x:f>
      </x:c>
      <x:c r="J51" t="str">
        <x:f>IF(COUNT(D51:H51)&lt;4,"",MAX(ABS(D51-E51),ABS(G51-H51)))</x:f>
      </x:c>
      <x:c r="K51" t="n">
        <x:v>0</x:v>
      </x:c>
      <x:c r="L51" t="str">
        <x:f>IF(K51=1,"PASS","OPEN")</x:f>
        <x:v>OPEN</x:v>
      </x:c>
    </x:row>
    <x:row r="52">
      <x:c r="B52" t="str">
        <x:v>AF-3-BB</x:v>
      </x:c>
      <x:c r="C52" t="str">
        <x:v>A06</x:v>
      </x:c>
      <x:c r="D52" t="str"/>
      <x:c r="E52" t="str"/>
      <x:c r="F52" t="str">
        <x:f>IF(COUNT(D52:E52)&lt;2,"",AVERAGE(D52:E52))</x:f>
      </x:c>
      <x:c r="G52" t="str"/>
      <x:c r="H52" t="str"/>
      <x:c r="I52" t="str">
        <x:f>IF(COUNT(G52:H52)&lt;2,"",AVERAGE(G52:H52))</x:f>
      </x:c>
      <x:c r="J52" t="str">
        <x:f>IF(COUNT(D52:H52)&lt;4,"",MAX(ABS(D52-E52),ABS(G52-H52)))</x:f>
      </x:c>
      <x:c r="K52" t="n">
        <x:v>0</x:v>
      </x:c>
      <x:c r="L52" t="str">
        <x:f>IF(K52=1,"PASS","OPEN")</x:f>
        <x:v>OPEN</x:v>
      </x:c>
    </x:row>
    <x:row r="53">
      <x:c r="B53" t="str">
        <x:v>AF-3-BB</x:v>
      </x:c>
      <x:c r="C53" t="str">
        <x:v>A07</x:v>
      </x:c>
      <x:c r="D53" t="str"/>
      <x:c r="E53" t="str"/>
      <x:c r="F53" t="str">
        <x:f>IF(COUNT(D53:E53)&lt;2,"",AVERAGE(D53:E53))</x:f>
      </x:c>
      <x:c r="G53" t="str"/>
      <x:c r="H53" t="str"/>
      <x:c r="I53" t="str">
        <x:f>IF(COUNT(G53:H53)&lt;2,"",AVERAGE(G53:H53))</x:f>
      </x:c>
      <x:c r="J53" t="str">
        <x:f>IF(COUNT(D53:H53)&lt;4,"",MAX(ABS(D53-E53),ABS(G53-H53)))</x:f>
      </x:c>
      <x:c r="K53" t="n">
        <x:v>0</x:v>
      </x:c>
      <x:c r="L53" t="str">
        <x:f>IF(K53=1,"PASS","OPEN")</x:f>
        <x:v>OPEN</x:v>
      </x:c>
    </x:row>
    <x:row r="54">
      <x:c r="B54" t="str">
        <x:v>AF-3-BB</x:v>
      </x:c>
      <x:c r="C54" t="str">
        <x:v>A08</x:v>
      </x:c>
      <x:c r="D54" t="str"/>
      <x:c r="E54" t="str"/>
      <x:c r="F54" t="str">
        <x:f>IF(COUNT(D54:E54)&lt;2,"",AVERAGE(D54:E54))</x:f>
      </x:c>
      <x:c r="G54" t="str"/>
      <x:c r="H54" t="str"/>
      <x:c r="I54" t="str">
        <x:f>IF(COUNT(G54:H54)&lt;2,"",AVERAGE(G54:H54))</x:f>
      </x:c>
      <x:c r="J54" t="str">
        <x:f>IF(COUNT(D54:H54)&lt;4,"",MAX(ABS(D54-E54),ABS(G54-H54)))</x:f>
      </x:c>
      <x:c r="K54" t="n">
        <x:v>0</x:v>
      </x:c>
      <x:c r="L54" t="str">
        <x:f>IF(K54=1,"PASS","OPEN")</x:f>
        <x:v>OPEN</x:v>
      </x:c>
    </x:row>
  </x:sheetData>
  <x:conditionalFormatting sqref="L7:L54">
    <x:cfRule type="containsText" dxfId="96" priority="1" operator="containsText" text="FAIL"/>
    <x:cfRule type="containsText" dxfId="97" priority="2" operator="containsText" text="BLOCKED"/>
    <x:cfRule type="containsText" dxfId="98" priority="3" operator="containsText" text="REOPEN"/>
    <x:cfRule type="containsText" dxfId="99" priority="4" operator="containsText" text="OVERFLOW"/>
    <x:cfRule type="containsText" dxfId="100" priority="5" operator="containsText" text="OPEN"/>
    <x:cfRule type="containsText" dxfId="101" priority="6" operator="containsText" text="GAP"/>
    <x:cfRule type="containsText" dxfId="102" priority="7" operator="containsText" text="PASS"/>
    <x:cfRule type="containsText" dxfId="103" priority="8" operator="containsText" text="INVALI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4" hidden="0" customWidth="1"/>
    <x:col min="4" max="4" width="23" hidden="0" customWidth="1"/>
    <x:col min="5" max="5" width="23" hidden="0" customWidth="1"/>
    <x:col min="6" max="6" width="20" hidden="0" customWidth="1"/>
    <x:col min="7" max="7" width="23" hidden="0" customWidth="1"/>
    <x:col min="8" max="8" width="23" hidden="0" customWidth="1"/>
    <x:col min="9" max="9" width="20" hidden="0" customWidth="1"/>
    <x:col min="10" max="10" width="25" hidden="0" customWidth="1"/>
    <x:col min="11" max="11" width="18" hidden="0" customWidth="1"/>
    <x:col min="12" max="12" width="14" hidden="0" customWidth="1"/>
  </x:cols>
  <x:sheetData>
    <x:row r="2">
      <x:c r="B2" s="1" t="str">
        <x:v>Twenty-four unlike-builder candidate estimators</x:v>
      </x:c>
    </x:row>
    <x:row r="3">
      <x:c r="B3" s="2" t="str">
        <x:v>Builder effects and disagreement remain visible. A candidate mean requires both accepted roots.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Candidate</x:v>
      </x:c>
      <x:c r="C6" s="7" t="str">
        <x:v>Challenge</x:v>
      </x:c>
      <x:c r="D6" s="7" t="str">
        <x:v>Builder A delta time</x:v>
      </x:c>
      <x:c r="E6" s="7" t="str">
        <x:v>Builder B delta time</x:v>
      </x:c>
      <x:c r="F6" s="7" t="str">
        <x:v>Mean delta time</x:v>
      </x:c>
      <x:c r="G6" s="7" t="str">
        <x:v>Builder A delta loss</x:v>
      </x:c>
      <x:c r="H6" s="7" t="str">
        <x:v>Builder B delta loss</x:v>
      </x:c>
      <x:c r="I6" s="7" t="str">
        <x:v>Mean delta loss</x:v>
      </x:c>
      <x:c r="J6" s="7" t="str">
        <x:v>Maximum builder spread</x:v>
      </x:c>
      <x:c r="K6" s="7" t="str">
        <x:v>Disposition</x:v>
      </x:c>
      <x:c r="L6" s="7" t="str">
        <x:v>State</x:v>
      </x:c>
    </x:row>
    <x:row r="7">
      <x:c r="B7" t="str">
        <x:v>AF-1</x:v>
      </x:c>
      <x:c r="C7" t="str">
        <x:v>A01</x:v>
      </x:c>
      <x:c r="D7" t="str"/>
      <x:c r="E7" t="str"/>
      <x:c r="F7" t="str">
        <x:f>IF(COUNT(D7:E7)&lt;2,"",AVERAGE(D7:E7))</x:f>
      </x:c>
      <x:c r="G7" t="str"/>
      <x:c r="H7" t="str"/>
      <x:c r="I7" t="str">
        <x:f>IF(COUNT(G7:H7)&lt;2,"",AVERAGE(G7:H7))</x:f>
      </x:c>
      <x:c r="J7" t="str">
        <x:f>IF(COUNT(D7:H7)&lt;4,"",MAX(ABS(D7-E7),ABS(G7-H7)))</x:f>
      </x:c>
      <x:c r="K7" t="n">
        <x:v>0</x:v>
      </x:c>
      <x:c r="L7" t="str">
        <x:f>IF(K7=1,"PASS","OPEN")</x:f>
        <x:v>OPEN</x:v>
      </x:c>
    </x:row>
    <x:row r="8">
      <x:c r="B8" t="str">
        <x:v>AF-1</x:v>
      </x:c>
      <x:c r="C8" t="str">
        <x:v>A02</x:v>
      </x:c>
      <x:c r="D8" t="str"/>
      <x:c r="E8" t="str"/>
      <x:c r="F8" t="str">
        <x:f>IF(COUNT(D8:E8)&lt;2,"",AVERAGE(D8:E8))</x:f>
      </x:c>
      <x:c r="G8" t="str"/>
      <x:c r="H8" t="str"/>
      <x:c r="I8" t="str">
        <x:f>IF(COUNT(G8:H8)&lt;2,"",AVERAGE(G8:H8))</x:f>
      </x:c>
      <x:c r="J8" t="str">
        <x:f>IF(COUNT(D8:H8)&lt;4,"",MAX(ABS(D8-E8),ABS(G8-H8)))</x:f>
      </x:c>
      <x:c r="K8" t="n">
        <x:v>0</x:v>
      </x:c>
      <x:c r="L8" t="str">
        <x:f>IF(K8=1,"PASS","OPEN")</x:f>
        <x:v>OPEN</x:v>
      </x:c>
    </x:row>
    <x:row r="9">
      <x:c r="B9" t="str">
        <x:v>AF-1</x:v>
      </x:c>
      <x:c r="C9" t="str">
        <x:v>A03</x:v>
      </x:c>
      <x:c r="D9" t="str"/>
      <x:c r="E9" t="str"/>
      <x:c r="F9" t="str">
        <x:f>IF(COUNT(D9:E9)&lt;2,"",AVERAGE(D9:E9))</x:f>
      </x:c>
      <x:c r="G9" t="str"/>
      <x:c r="H9" t="str"/>
      <x:c r="I9" t="str">
        <x:f>IF(COUNT(G9:H9)&lt;2,"",AVERAGE(G9:H9))</x:f>
      </x:c>
      <x:c r="J9" t="str">
        <x:f>IF(COUNT(D9:H9)&lt;4,"",MAX(ABS(D9-E9),ABS(G9-H9)))</x:f>
      </x:c>
      <x:c r="K9" t="n">
        <x:v>0</x:v>
      </x:c>
      <x:c r="L9" t="str">
        <x:f>IF(K9=1,"PASS","OPEN")</x:f>
        <x:v>OPEN</x:v>
      </x:c>
    </x:row>
    <x:row r="10">
      <x:c r="B10" t="str">
        <x:v>AF-1</x:v>
      </x:c>
      <x:c r="C10" t="str">
        <x:v>A04</x:v>
      </x:c>
      <x:c r="D10" t="str"/>
      <x:c r="E10" t="str"/>
      <x:c r="F10" t="str">
        <x:f>IF(COUNT(D10:E10)&lt;2,"",AVERAGE(D10:E10))</x:f>
      </x:c>
      <x:c r="G10" t="str"/>
      <x:c r="H10" t="str"/>
      <x:c r="I10" t="str">
        <x:f>IF(COUNT(G10:H10)&lt;2,"",AVERAGE(G10:H10))</x:f>
      </x:c>
      <x:c r="J10" t="str">
        <x:f>IF(COUNT(D10:H10)&lt;4,"",MAX(ABS(D10-E10),ABS(G10-H10)))</x:f>
      </x:c>
      <x:c r="K10" t="n">
        <x:v>0</x:v>
      </x:c>
      <x:c r="L10" t="str">
        <x:f>IF(K10=1,"PASS","OPEN")</x:f>
        <x:v>OPEN</x:v>
      </x:c>
    </x:row>
    <x:row r="11">
      <x:c r="B11" t="str">
        <x:v>AF-1</x:v>
      </x:c>
      <x:c r="C11" t="str">
        <x:v>A05</x:v>
      </x:c>
      <x:c r="D11" t="str"/>
      <x:c r="E11" t="str"/>
      <x:c r="F11" t="str">
        <x:f>IF(COUNT(D11:E11)&lt;2,"",AVERAGE(D11:E11))</x:f>
      </x:c>
      <x:c r="G11" t="str"/>
      <x:c r="H11" t="str"/>
      <x:c r="I11" t="str">
        <x:f>IF(COUNT(G11:H11)&lt;2,"",AVERAGE(G11:H11))</x:f>
      </x:c>
      <x:c r="J11" t="str">
        <x:f>IF(COUNT(D11:H11)&lt;4,"",MAX(ABS(D11-E11),ABS(G11-H11)))</x:f>
      </x:c>
      <x:c r="K11" t="n">
        <x:v>0</x:v>
      </x:c>
      <x:c r="L11" t="str">
        <x:f>IF(K11=1,"PASS","OPEN")</x:f>
        <x:v>OPEN</x:v>
      </x:c>
    </x:row>
    <x:row r="12">
      <x:c r="B12" t="str">
        <x:v>AF-1</x:v>
      </x:c>
      <x:c r="C12" t="str">
        <x:v>A06</x:v>
      </x:c>
      <x:c r="D12" t="str"/>
      <x:c r="E12" t="str"/>
      <x:c r="F12" t="str">
        <x:f>IF(COUNT(D12:E12)&lt;2,"",AVERAGE(D12:E12))</x:f>
      </x:c>
      <x:c r="G12" t="str"/>
      <x:c r="H12" t="str"/>
      <x:c r="I12" t="str">
        <x:f>IF(COUNT(G12:H12)&lt;2,"",AVERAGE(G12:H12))</x:f>
      </x:c>
      <x:c r="J12" t="str">
        <x:f>IF(COUNT(D12:H12)&lt;4,"",MAX(ABS(D12-E12),ABS(G12-H12)))</x:f>
      </x:c>
      <x:c r="K12" t="n">
        <x:v>0</x:v>
      </x:c>
      <x:c r="L12" t="str">
        <x:f>IF(K12=1,"PASS","OPEN")</x:f>
        <x:v>OPEN</x:v>
      </x:c>
    </x:row>
    <x:row r="13">
      <x:c r="B13" t="str">
        <x:v>AF-1</x:v>
      </x:c>
      <x:c r="C13" t="str">
        <x:v>A07</x:v>
      </x:c>
      <x:c r="D13" t="str"/>
      <x:c r="E13" t="str"/>
      <x:c r="F13" t="str">
        <x:f>IF(COUNT(D13:E13)&lt;2,"",AVERAGE(D13:E13))</x:f>
      </x:c>
      <x:c r="G13" t="str"/>
      <x:c r="H13" t="str"/>
      <x:c r="I13" t="str">
        <x:f>IF(COUNT(G13:H13)&lt;2,"",AVERAGE(G13:H13))</x:f>
      </x:c>
      <x:c r="J13" t="str">
        <x:f>IF(COUNT(D13:H13)&lt;4,"",MAX(ABS(D13-E13),ABS(G13-H13)))</x:f>
      </x:c>
      <x:c r="K13" t="n">
        <x:v>0</x:v>
      </x:c>
      <x:c r="L13" t="str">
        <x:f>IF(K13=1,"PASS","OPEN")</x:f>
        <x:v>OPEN</x:v>
      </x:c>
    </x:row>
    <x:row r="14">
      <x:c r="B14" t="str">
        <x:v>AF-1</x:v>
      </x:c>
      <x:c r="C14" t="str">
        <x:v>A08</x:v>
      </x:c>
      <x:c r="D14" t="str"/>
      <x:c r="E14" t="str"/>
      <x:c r="F14" t="str">
        <x:f>IF(COUNT(D14:E14)&lt;2,"",AVERAGE(D14:E14))</x:f>
      </x:c>
      <x:c r="G14" t="str"/>
      <x:c r="H14" t="str"/>
      <x:c r="I14" t="str">
        <x:f>IF(COUNT(G14:H14)&lt;2,"",AVERAGE(G14:H14))</x:f>
      </x:c>
      <x:c r="J14" t="str">
        <x:f>IF(COUNT(D14:H14)&lt;4,"",MAX(ABS(D14-E14),ABS(G14-H14)))</x:f>
      </x:c>
      <x:c r="K14" t="n">
        <x:v>0</x:v>
      </x:c>
      <x:c r="L14" t="str">
        <x:f>IF(K14=1,"PASS","OPEN")</x:f>
        <x:v>OPEN</x:v>
      </x:c>
    </x:row>
    <x:row r="15">
      <x:c r="B15" t="str">
        <x:v>AF-2</x:v>
      </x:c>
      <x:c r="C15" t="str">
        <x:v>A01</x:v>
      </x:c>
      <x:c r="D15" t="str"/>
      <x:c r="E15" t="str"/>
      <x:c r="F15" t="str">
        <x:f>IF(COUNT(D15:E15)&lt;2,"",AVERAGE(D15:E15))</x:f>
      </x:c>
      <x:c r="G15" t="str"/>
      <x:c r="H15" t="str"/>
      <x:c r="I15" t="str">
        <x:f>IF(COUNT(G15:H15)&lt;2,"",AVERAGE(G15:H15))</x:f>
      </x:c>
      <x:c r="J15" t="str">
        <x:f>IF(COUNT(D15:H15)&lt;4,"",MAX(ABS(D15-E15),ABS(G15-H15)))</x:f>
      </x:c>
      <x:c r="K15" t="n">
        <x:v>0</x:v>
      </x:c>
      <x:c r="L15" t="str">
        <x:f>IF(K15=1,"PASS","OPEN")</x:f>
        <x:v>OPEN</x:v>
      </x:c>
    </x:row>
    <x:row r="16">
      <x:c r="B16" t="str">
        <x:v>AF-2</x:v>
      </x:c>
      <x:c r="C16" t="str">
        <x:v>A02</x:v>
      </x:c>
      <x:c r="D16" t="str"/>
      <x:c r="E16" t="str"/>
      <x:c r="F16" t="str">
        <x:f>IF(COUNT(D16:E16)&lt;2,"",AVERAGE(D16:E16))</x:f>
      </x:c>
      <x:c r="G16" t="str"/>
      <x:c r="H16" t="str"/>
      <x:c r="I16" t="str">
        <x:f>IF(COUNT(G16:H16)&lt;2,"",AVERAGE(G16:H16))</x:f>
      </x:c>
      <x:c r="J16" t="str">
        <x:f>IF(COUNT(D16:H16)&lt;4,"",MAX(ABS(D16-E16),ABS(G16-H16)))</x:f>
      </x:c>
      <x:c r="K16" t="n">
        <x:v>0</x:v>
      </x:c>
      <x:c r="L16" t="str">
        <x:f>IF(K16=1,"PASS","OPEN")</x:f>
        <x:v>OPEN</x:v>
      </x:c>
    </x:row>
    <x:row r="17">
      <x:c r="B17" t="str">
        <x:v>AF-2</x:v>
      </x:c>
      <x:c r="C17" t="str">
        <x:v>A03</x:v>
      </x:c>
      <x:c r="D17" t="str"/>
      <x:c r="E17" t="str"/>
      <x:c r="F17" t="str">
        <x:f>IF(COUNT(D17:E17)&lt;2,"",AVERAGE(D17:E17))</x:f>
      </x:c>
      <x:c r="G17" t="str"/>
      <x:c r="H17" t="str"/>
      <x:c r="I17" t="str">
        <x:f>IF(COUNT(G17:H17)&lt;2,"",AVERAGE(G17:H17))</x:f>
      </x:c>
      <x:c r="J17" t="str">
        <x:f>IF(COUNT(D17:H17)&lt;4,"",MAX(ABS(D17-E17),ABS(G17-H17)))</x:f>
      </x:c>
      <x:c r="K17" t="n">
        <x:v>0</x:v>
      </x:c>
      <x:c r="L17" t="str">
        <x:f>IF(K17=1,"PASS","OPEN")</x:f>
        <x:v>OPEN</x:v>
      </x:c>
    </x:row>
    <x:row r="18">
      <x:c r="B18" t="str">
        <x:v>AF-2</x:v>
      </x:c>
      <x:c r="C18" t="str">
        <x:v>A04</x:v>
      </x:c>
      <x:c r="D18" t="str"/>
      <x:c r="E18" t="str"/>
      <x:c r="F18" t="str">
        <x:f>IF(COUNT(D18:E18)&lt;2,"",AVERAGE(D18:E18))</x:f>
      </x:c>
      <x:c r="G18" t="str"/>
      <x:c r="H18" t="str"/>
      <x:c r="I18" t="str">
        <x:f>IF(COUNT(G18:H18)&lt;2,"",AVERAGE(G18:H18))</x:f>
      </x:c>
      <x:c r="J18" t="str">
        <x:f>IF(COUNT(D18:H18)&lt;4,"",MAX(ABS(D18-E18),ABS(G18-H18)))</x:f>
      </x:c>
      <x:c r="K18" t="n">
        <x:v>0</x:v>
      </x:c>
      <x:c r="L18" t="str">
        <x:f>IF(K18=1,"PASS","OPEN")</x:f>
        <x:v>OPEN</x:v>
      </x:c>
    </x:row>
    <x:row r="19">
      <x:c r="B19" t="str">
        <x:v>AF-2</x:v>
      </x:c>
      <x:c r="C19" t="str">
        <x:v>A05</x:v>
      </x:c>
      <x:c r="D19" t="str"/>
      <x:c r="E19" t="str"/>
      <x:c r="F19" t="str">
        <x:f>IF(COUNT(D19:E19)&lt;2,"",AVERAGE(D19:E19))</x:f>
      </x:c>
      <x:c r="G19" t="str"/>
      <x:c r="H19" t="str"/>
      <x:c r="I19" t="str">
        <x:f>IF(COUNT(G19:H19)&lt;2,"",AVERAGE(G19:H19))</x:f>
      </x:c>
      <x:c r="J19" t="str">
        <x:f>IF(COUNT(D19:H19)&lt;4,"",MAX(ABS(D19-E19),ABS(G19-H19)))</x:f>
      </x:c>
      <x:c r="K19" t="n">
        <x:v>0</x:v>
      </x:c>
      <x:c r="L19" t="str">
        <x:f>IF(K19=1,"PASS","OPEN")</x:f>
        <x:v>OPEN</x:v>
      </x:c>
    </x:row>
    <x:row r="20">
      <x:c r="B20" t="str">
        <x:v>AF-2</x:v>
      </x:c>
      <x:c r="C20" t="str">
        <x:v>A06</x:v>
      </x:c>
      <x:c r="D20" t="str"/>
      <x:c r="E20" t="str"/>
      <x:c r="F20" t="str">
        <x:f>IF(COUNT(D20:E20)&lt;2,"",AVERAGE(D20:E20))</x:f>
      </x:c>
      <x:c r="G20" t="str"/>
      <x:c r="H20" t="str"/>
      <x:c r="I20" t="str">
        <x:f>IF(COUNT(G20:H20)&lt;2,"",AVERAGE(G20:H20))</x:f>
      </x:c>
      <x:c r="J20" t="str">
        <x:f>IF(COUNT(D20:H20)&lt;4,"",MAX(ABS(D20-E20),ABS(G20-H20)))</x:f>
      </x:c>
      <x:c r="K20" t="n">
        <x:v>0</x:v>
      </x:c>
      <x:c r="L20" t="str">
        <x:f>IF(K20=1,"PASS","OPEN")</x:f>
        <x:v>OPEN</x:v>
      </x:c>
    </x:row>
    <x:row r="21">
      <x:c r="B21" t="str">
        <x:v>AF-2</x:v>
      </x:c>
      <x:c r="C21" t="str">
        <x:v>A07</x:v>
      </x:c>
      <x:c r="D21" t="str"/>
      <x:c r="E21" t="str"/>
      <x:c r="F21" t="str">
        <x:f>IF(COUNT(D21:E21)&lt;2,"",AVERAGE(D21:E21))</x:f>
      </x:c>
      <x:c r="G21" t="str"/>
      <x:c r="H21" t="str"/>
      <x:c r="I21" t="str">
        <x:f>IF(COUNT(G21:H21)&lt;2,"",AVERAGE(G21:H21))</x:f>
      </x:c>
      <x:c r="J21" t="str">
        <x:f>IF(COUNT(D21:H21)&lt;4,"",MAX(ABS(D21-E21),ABS(G21-H21)))</x:f>
      </x:c>
      <x:c r="K21" t="n">
        <x:v>0</x:v>
      </x:c>
      <x:c r="L21" t="str">
        <x:f>IF(K21=1,"PASS","OPEN")</x:f>
        <x:v>OPEN</x:v>
      </x:c>
    </x:row>
    <x:row r="22">
      <x:c r="B22" t="str">
        <x:v>AF-2</x:v>
      </x:c>
      <x:c r="C22" t="str">
        <x:v>A08</x:v>
      </x:c>
      <x:c r="D22" t="str"/>
      <x:c r="E22" t="str"/>
      <x:c r="F22" t="str">
        <x:f>IF(COUNT(D22:E22)&lt;2,"",AVERAGE(D22:E22))</x:f>
      </x:c>
      <x:c r="G22" t="str"/>
      <x:c r="H22" t="str"/>
      <x:c r="I22" t="str">
        <x:f>IF(COUNT(G22:H22)&lt;2,"",AVERAGE(G22:H22))</x:f>
      </x:c>
      <x:c r="J22" t="str">
        <x:f>IF(COUNT(D22:H22)&lt;4,"",MAX(ABS(D22-E22),ABS(G22-H22)))</x:f>
      </x:c>
      <x:c r="K22" t="n">
        <x:v>0</x:v>
      </x:c>
      <x:c r="L22" t="str">
        <x:f>IF(K22=1,"PASS","OPEN")</x:f>
        <x:v>OPEN</x:v>
      </x:c>
    </x:row>
    <x:row r="23">
      <x:c r="B23" t="str">
        <x:v>AF-3</x:v>
      </x:c>
      <x:c r="C23" t="str">
        <x:v>A01</x:v>
      </x:c>
      <x:c r="D23" t="str"/>
      <x:c r="E23" t="str"/>
      <x:c r="F23" t="str">
        <x:f>IF(COUNT(D23:E23)&lt;2,"",AVERAGE(D23:E23))</x:f>
      </x:c>
      <x:c r="G23" t="str"/>
      <x:c r="H23" t="str"/>
      <x:c r="I23" t="str">
        <x:f>IF(COUNT(G23:H23)&lt;2,"",AVERAGE(G23:H23))</x:f>
      </x:c>
      <x:c r="J23" t="str">
        <x:f>IF(COUNT(D23:H23)&lt;4,"",MAX(ABS(D23-E23),ABS(G23-H23)))</x:f>
      </x:c>
      <x:c r="K23" t="n">
        <x:v>0</x:v>
      </x:c>
      <x:c r="L23" t="str">
        <x:f>IF(K23=1,"PASS","OPEN")</x:f>
        <x:v>OPEN</x:v>
      </x:c>
    </x:row>
    <x:row r="24">
      <x:c r="B24" t="str">
        <x:v>AF-3</x:v>
      </x:c>
      <x:c r="C24" t="str">
        <x:v>A02</x:v>
      </x:c>
      <x:c r="D24" t="str"/>
      <x:c r="E24" t="str"/>
      <x:c r="F24" t="str">
        <x:f>IF(COUNT(D24:E24)&lt;2,"",AVERAGE(D24:E24))</x:f>
      </x:c>
      <x:c r="G24" t="str"/>
      <x:c r="H24" t="str"/>
      <x:c r="I24" t="str">
        <x:f>IF(COUNT(G24:H24)&lt;2,"",AVERAGE(G24:H24))</x:f>
      </x:c>
      <x:c r="J24" t="str">
        <x:f>IF(COUNT(D24:H24)&lt;4,"",MAX(ABS(D24-E24),ABS(G24-H24)))</x:f>
      </x:c>
      <x:c r="K24" t="n">
        <x:v>0</x:v>
      </x:c>
      <x:c r="L24" t="str">
        <x:f>IF(K24=1,"PASS","OPEN")</x:f>
        <x:v>OPEN</x:v>
      </x:c>
    </x:row>
    <x:row r="25">
      <x:c r="B25" t="str">
        <x:v>AF-3</x:v>
      </x:c>
      <x:c r="C25" t="str">
        <x:v>A03</x:v>
      </x:c>
      <x:c r="D25" t="str"/>
      <x:c r="E25" t="str"/>
      <x:c r="F25" t="str">
        <x:f>IF(COUNT(D25:E25)&lt;2,"",AVERAGE(D25:E25))</x:f>
      </x:c>
      <x:c r="G25" t="str"/>
      <x:c r="H25" t="str"/>
      <x:c r="I25" t="str">
        <x:f>IF(COUNT(G25:H25)&lt;2,"",AVERAGE(G25:H25))</x:f>
      </x:c>
      <x:c r="J25" t="str">
        <x:f>IF(COUNT(D25:H25)&lt;4,"",MAX(ABS(D25-E25),ABS(G25-H25)))</x:f>
      </x:c>
      <x:c r="K25" t="n">
        <x:v>0</x:v>
      </x:c>
      <x:c r="L25" t="str">
        <x:f>IF(K25=1,"PASS","OPEN")</x:f>
        <x:v>OPEN</x:v>
      </x:c>
    </x:row>
    <x:row r="26">
      <x:c r="B26" t="str">
        <x:v>AF-3</x:v>
      </x:c>
      <x:c r="C26" t="str">
        <x:v>A04</x:v>
      </x:c>
      <x:c r="D26" t="str"/>
      <x:c r="E26" t="str"/>
      <x:c r="F26" t="str">
        <x:f>IF(COUNT(D26:E26)&lt;2,"",AVERAGE(D26:E26))</x:f>
      </x:c>
      <x:c r="G26" t="str"/>
      <x:c r="H26" t="str"/>
      <x:c r="I26" t="str">
        <x:f>IF(COUNT(G26:H26)&lt;2,"",AVERAGE(G26:H26))</x:f>
      </x:c>
      <x:c r="J26" t="str">
        <x:f>IF(COUNT(D26:H26)&lt;4,"",MAX(ABS(D26-E26),ABS(G26-H26)))</x:f>
      </x:c>
      <x:c r="K26" t="n">
        <x:v>0</x:v>
      </x:c>
      <x:c r="L26" t="str">
        <x:f>IF(K26=1,"PASS","OPEN")</x:f>
        <x:v>OPEN</x:v>
      </x:c>
    </x:row>
    <x:row r="27">
      <x:c r="B27" t="str">
        <x:v>AF-3</x:v>
      </x:c>
      <x:c r="C27" t="str">
        <x:v>A05</x:v>
      </x:c>
      <x:c r="D27" t="str"/>
      <x:c r="E27" t="str"/>
      <x:c r="F27" t="str">
        <x:f>IF(COUNT(D27:E27)&lt;2,"",AVERAGE(D27:E27))</x:f>
      </x:c>
      <x:c r="G27" t="str"/>
      <x:c r="H27" t="str"/>
      <x:c r="I27" t="str">
        <x:f>IF(COUNT(G27:H27)&lt;2,"",AVERAGE(G27:H27))</x:f>
      </x:c>
      <x:c r="J27" t="str">
        <x:f>IF(COUNT(D27:H27)&lt;4,"",MAX(ABS(D27-E27),ABS(G27-H27)))</x:f>
      </x:c>
      <x:c r="K27" t="n">
        <x:v>0</x:v>
      </x:c>
      <x:c r="L27" t="str">
        <x:f>IF(K27=1,"PASS","OPEN")</x:f>
        <x:v>OPEN</x:v>
      </x:c>
    </x:row>
    <x:row r="28">
      <x:c r="B28" t="str">
        <x:v>AF-3</x:v>
      </x:c>
      <x:c r="C28" t="str">
        <x:v>A06</x:v>
      </x:c>
      <x:c r="D28" t="str"/>
      <x:c r="E28" t="str"/>
      <x:c r="F28" t="str">
        <x:f>IF(COUNT(D28:E28)&lt;2,"",AVERAGE(D28:E28))</x:f>
      </x:c>
      <x:c r="G28" t="str"/>
      <x:c r="H28" t="str"/>
      <x:c r="I28" t="str">
        <x:f>IF(COUNT(G28:H28)&lt;2,"",AVERAGE(G28:H28))</x:f>
      </x:c>
      <x:c r="J28" t="str">
        <x:f>IF(COUNT(D28:H28)&lt;4,"",MAX(ABS(D28-E28),ABS(G28-H28)))</x:f>
      </x:c>
      <x:c r="K28" t="n">
        <x:v>0</x:v>
      </x:c>
      <x:c r="L28" t="str">
        <x:f>IF(K28=1,"PASS","OPEN")</x:f>
        <x:v>OPEN</x:v>
      </x:c>
    </x:row>
    <x:row r="29">
      <x:c r="B29" t="str">
        <x:v>AF-3</x:v>
      </x:c>
      <x:c r="C29" t="str">
        <x:v>A07</x:v>
      </x:c>
      <x:c r="D29" t="str"/>
      <x:c r="E29" t="str"/>
      <x:c r="F29" t="str">
        <x:f>IF(COUNT(D29:E29)&lt;2,"",AVERAGE(D29:E29))</x:f>
      </x:c>
      <x:c r="G29" t="str"/>
      <x:c r="H29" t="str"/>
      <x:c r="I29" t="str">
        <x:f>IF(COUNT(G29:H29)&lt;2,"",AVERAGE(G29:H29))</x:f>
      </x:c>
      <x:c r="J29" t="str">
        <x:f>IF(COUNT(D29:H29)&lt;4,"",MAX(ABS(D29-E29),ABS(G29-H29)))</x:f>
      </x:c>
      <x:c r="K29" t="n">
        <x:v>0</x:v>
      </x:c>
      <x:c r="L29" t="str">
        <x:f>IF(K29=1,"PASS","OPEN")</x:f>
        <x:v>OPEN</x:v>
      </x:c>
    </x:row>
    <x:row r="30">
      <x:c r="B30" t="str">
        <x:v>AF-3</x:v>
      </x:c>
      <x:c r="C30" t="str">
        <x:v>A08</x:v>
      </x:c>
      <x:c r="D30" t="str"/>
      <x:c r="E30" t="str"/>
      <x:c r="F30" t="str">
        <x:f>IF(COUNT(D30:E30)&lt;2,"",AVERAGE(D30:E30))</x:f>
      </x:c>
      <x:c r="G30" t="str"/>
      <x:c r="H30" t="str"/>
      <x:c r="I30" t="str">
        <x:f>IF(COUNT(G30:H30)&lt;2,"",AVERAGE(G30:H30))</x:f>
      </x:c>
      <x:c r="J30" t="str">
        <x:f>IF(COUNT(D30:H30)&lt;4,"",MAX(ABS(D30-E30),ABS(G30-H30)))</x:f>
      </x:c>
      <x:c r="K30" t="n">
        <x:v>0</x:v>
      </x:c>
      <x:c r="L30" t="str">
        <x:f>IF(K30=1,"PASS","OPEN")</x:f>
        <x:v>OPEN</x:v>
      </x:c>
    </x:row>
  </x:sheetData>
  <x:conditionalFormatting sqref="L7:L30">
    <x:cfRule type="containsText" dxfId="104" priority="1" operator="containsText" text="FAIL"/>
    <x:cfRule type="containsText" dxfId="105" priority="2" operator="containsText" text="BLOCKED"/>
    <x:cfRule type="containsText" dxfId="106" priority="3" operator="containsText" text="REOPEN"/>
    <x:cfRule type="containsText" dxfId="107" priority="4" operator="containsText" text="OVERFLOW"/>
    <x:cfRule type="containsText" dxfId="108" priority="5" operator="containsText" text="OPEN"/>
    <x:cfRule type="containsText" dxfId="109" priority="6" operator="containsText" text="GAP"/>
    <x:cfRule type="containsText" dxfId="110" priority="7" operator="containsText" text="PASS"/>
    <x:cfRule type="containsText" dxfId="111" priority="8" operator="containsText" text="INVALI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48" hidden="0" customWidth="1"/>
    <x:col min="4" max="4" width="55" hidden="0" customWidth="1"/>
    <x:col min="5" max="5" width="50" hidden="0" customWidth="1"/>
  </x:cols>
  <x:sheetData>
    <x:row r="2">
      <x:c r="B2" s="1" t="str">
        <x:v>Twelve missing-data rules</x:v>
      </x:c>
    </x:row>
    <x:row r="3">
      <x:c r="B3" s="2" t="str">
        <x:v>No treatment may manufacture a decisive observation or combine source and water into one convenient volume.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Missing condition</x:v>
      </x:c>
      <x:c r="D6" s="7" t="str">
        <x:v>Permitted treatment</x:v>
      </x:c>
      <x:c r="E6" s="7" t="str">
        <x:v>Disposition</x:v>
      </x:c>
    </x:row>
    <x:row r="7" ht="43" customHeight="1">
      <x:c r="B7" t="str">
        <x:v>MD-01</x:v>
      </x:c>
      <x:c r="C7" s="11" t="str">
        <x:v>decisive source, water or heat function absent</x:v>
      </x:c>
      <x:c r="D7" s="11" t="str">
        <x:v>no imputation</x:v>
      </x:c>
      <x:c r="E7" s="11" t="str">
        <x:v>event invalid</x:v>
      </x:c>
    </x:row>
    <x:row r="8" ht="43" customHeight="1">
      <x:c r="B8" t="str">
        <x:v>MD-02</x:v>
      </x:c>
      <x:c r="C8" s="11" t="str">
        <x:v>pool-depth field incomplete</x:v>
      </x:c>
      <x:c r="D8" s="11" t="str">
        <x:v>bounded area interval only</x:v>
      </x:c>
      <x:c r="E8" s="11" t="str">
        <x:v>invalid if interval crosses decision bound</x:v>
      </x:c>
    </x:row>
    <x:row r="9" ht="43" customHeight="1">
      <x:c r="B9" t="str">
        <x:v>MD-03</x:v>
      </x:c>
      <x:c r="C9" s="11" t="str">
        <x:v>source and water paths cannot be separated</x:v>
      </x:c>
      <x:c r="D9" s="11" t="str">
        <x:v>no combined-volume substitution</x:v>
      </x:c>
      <x:c r="E9" s="11" t="str">
        <x:v>event invalid</x:v>
      </x:c>
    </x:row>
    <x:row r="10" ht="43" customHeight="1">
      <x:c r="B10" t="str">
        <x:v>MD-04</x:v>
      </x:c>
      <x:c r="C10" s="11" t="str">
        <x:v>both native originals absent</x:v>
      </x:c>
      <x:c r="D10" s="11" t="str">
        <x:v>no reconstruction from summaries</x:v>
      </x:c>
      <x:c r="E10" s="11" t="str">
        <x:v>event invalid and abort</x:v>
      </x:c>
    </x:row>
    <x:row r="11" ht="43" customHeight="1">
      <x:c r="B11" t="str">
        <x:v>MD-05</x:v>
      </x:c>
      <x:c r="C11" s="11" t="str">
        <x:v>one original absent</x:v>
      </x:c>
      <x:c r="D11" s="11" t="str">
        <x:v>continue only inside method rule</x:v>
      </x:c>
      <x:c r="E11" s="11" t="str">
        <x:v>validity review</x:v>
      </x:c>
    </x:row>
    <x:row r="12" ht="43" customHeight="1">
      <x:c r="B12" t="str">
        <x:v>MD-06</x:v>
      </x:c>
      <x:c r="C12" s="11" t="str">
        <x:v>usable fraction below 0.90</x:v>
      </x:c>
      <x:c r="D12" s="11" t="str">
        <x:v>no aggregate waiver</x:v>
      </x:c>
      <x:c r="E12" s="11" t="str">
        <x:v>event invalid</x:v>
      </x:c>
    </x:row>
    <x:row r="13" ht="43" customHeight="1">
      <x:c r="B13" t="str">
        <x:v>MD-07</x:v>
      </x:c>
      <x:c r="C13" s="11" t="str">
        <x:v>time skew above 5 microseconds</x:v>
      </x:c>
      <x:c r="D13" s="11" t="str">
        <x:v>no post-event clock shift</x:v>
      </x:c>
      <x:c r="E13" s="11" t="str">
        <x:v>event invalid and abort</x:v>
      </x:c>
    </x:row>
    <x:row r="14" ht="43" customHeight="1">
      <x:c r="B14" t="str">
        <x:v>MD-08</x:v>
      </x:c>
      <x:c r="C14" s="11" t="str">
        <x:v>environmental sample lost</x:v>
      </x:c>
      <x:c r="D14" s="11" t="str">
        <x:v>archive split may be used if custody survives</x:v>
      </x:c>
      <x:c r="E14" s="11" t="str">
        <x:v>retain missingness flag</x:v>
      </x:c>
    </x:row>
    <x:row r="15" ht="43" customHeight="1">
      <x:c r="B15" t="str">
        <x:v>MD-09</x:v>
      </x:c>
      <x:c r="C15" s="11" t="str">
        <x:v>challenge witness absent</x:v>
      </x:c>
      <x:c r="D15" s="11" t="str">
        <x:v>no inferred realization from command</x:v>
      </x:c>
      <x:c r="E15" s="11" t="str">
        <x:v>event invalid</x:v>
      </x:c>
    </x:row>
    <x:row r="16" ht="43" customHeight="1">
      <x:c r="B16" t="str">
        <x:v>MD-10</x:v>
      </x:c>
      <x:c r="C16" s="11" t="str">
        <x:v>robot telemetry absent</x:v>
      </x:c>
      <x:c r="D16" s="11" t="str">
        <x:v>independent geometry witness may bound action</x:v>
      </x:c>
      <x:c r="E16" s="11" t="str">
        <x:v>diagnostic only unless robot is decisive</x:v>
      </x:c>
    </x:row>
    <x:row r="17" ht="43" customHeight="1">
      <x:c r="B17" t="str">
        <x:v>MD-11</x:v>
      </x:c>
      <x:c r="C17" s="11" t="str">
        <x:v>mass term unobserved</x:v>
      </x:c>
      <x:c r="D17" s="11" t="str">
        <x:v>bounded interval; no point fill</x:v>
      </x:c>
      <x:c r="E17" s="11" t="str">
        <x:v>invalid if interval crosses 5 kg</x:v>
      </x:c>
    </x:row>
    <x:row r="18" ht="43" customHeight="1">
      <x:c r="B18" t="str">
        <x:v>MD-12</x:v>
      </x:c>
      <x:c r="C18" s="11" t="str">
        <x:v>builder proprietary signal absent</x:v>
      </x:c>
      <x:c r="D18" s="11" t="str">
        <x:v>public estimator remains governing</x:v>
      </x:c>
      <x:c r="E18" s="11" t="str">
        <x:v>no penalty if public functions suffice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3" hidden="0" customWidth="1"/>
    <x:col min="4" max="4" width="38" hidden="0" customWidth="1"/>
    <x:col min="5" max="5" width="22" hidden="0" customWidth="1"/>
    <x:col min="6" max="6" width="18" hidden="0" customWidth="1"/>
    <x:col min="7" max="7" width="55" hidden="0" customWidth="1"/>
    <x:col min="8" max="8" width="48" hidden="0" customWidth="1"/>
    <x:col min="9" max="9" width="21" hidden="0" customWidth="1"/>
    <x:col min="10" max="10" width="15" hidden="0" customWidth="1"/>
    <x:col min="11" max="11" width="14" hidden="0" customWidth="1"/>
  </x:cols>
  <x:sheetData>
    <x:row r="2">
      <x:c r="B2" s="1" t="str">
        <x:v>Twenty feature-level uncertainty chains</x:v>
      </x:c>
    </x:row>
    <x:row r="3">
      <x:c r="B3" s="2" t="str">
        <x:v>Every allocation remains a physical acceptance, not an implication of model completion.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Budget</x:v>
      </x:c>
      <x:c r="C6" s="7" t="str">
        <x:v>Feature</x:v>
      </x:c>
      <x:c r="D6" s="7" t="str">
        <x:v>Quantity</x:v>
      </x:c>
      <x:c r="E6" s="7" t="str">
        <x:v>Expanded allocation</x:v>
      </x:c>
      <x:c r="F6" s="7" t="str">
        <x:v>Unit</x:v>
      </x:c>
      <x:c r="G6" s="7" t="str">
        <x:v>Contributors</x:v>
      </x:c>
      <x:c r="H6" s="7" t="str">
        <x:v>Combination rule</x:v>
      </x:c>
      <x:c r="I6" s="7" t="str">
        <x:v>Observed expanded</x:v>
      </x:c>
      <x:c r="J6" s="7" t="str">
        <x:v>Accepted</x:v>
      </x:c>
      <x:c r="K6" s="7" t="str">
        <x:v>State</x:v>
      </x:c>
    </x:row>
    <x:row r="7" ht="41" customHeight="1">
      <x:c r="B7" t="str">
        <x:v>UC-01</x:v>
      </x:c>
      <x:c r="C7" t="str">
        <x:v>FT-01</x:v>
      </x:c>
      <x:c r="D7" t="str">
        <x:v>terminal-source time</x:v>
      </x:c>
      <x:c r="E7" t="n">
        <x:v>0.25</x:v>
      </x:c>
      <x:c r="F7" t="str">
        <x:v>s</x:v>
      </x:c>
      <x:c r="G7" s="11" t="str">
        <x:v>calibration + spatial + temporal + transformation</x:v>
      </x:c>
      <x:c r="H7" s="11" t="str">
        <x:v>root-sum-square unless covariance is registered</x:v>
      </x:c>
      <x:c r="I7" t="str"/>
      <x:c r="J7" t="n">
        <x:v>0</x:v>
      </x:c>
      <x:c r="K7" t="str">
        <x:f>IF(J7=1,"PASS","OPEN")</x:f>
        <x:v>OPEN</x:v>
      </x:c>
    </x:row>
    <x:row r="8" ht="41" customHeight="1">
      <x:c r="B8" t="str">
        <x:v>UC-02</x:v>
      </x:c>
      <x:c r="C8" t="str">
        <x:v>FT-02</x:v>
      </x:c>
      <x:c r="D8" t="str">
        <x:v>source capture fraction</x:v>
      </x:c>
      <x:c r="E8" t="n">
        <x:v>0.001</x:v>
      </x:c>
      <x:c r="F8" t="str">
        <x:v>ratio</x:v>
      </x:c>
      <x:c r="G8" s="11" t="str">
        <x:v>calibration + spatial + temporal + transformation</x:v>
      </x:c>
      <x:c r="H8" s="11" t="str">
        <x:v>root-sum-square unless covariance is registered</x:v>
      </x:c>
      <x:c r="I8" t="str"/>
      <x:c r="J8" t="n">
        <x:v>0</x:v>
      </x:c>
      <x:c r="K8" t="str">
        <x:f>IF(J8=1,"PASS","OPEN")</x:f>
        <x:v>OPEN</x:v>
      </x:c>
    </x:row>
    <x:row r="9" ht="41" customHeight="1">
      <x:c r="B9" t="str">
        <x:v>UC-03</x:v>
      </x:c>
      <x:c r="C9" t="str">
        <x:v>FT-03</x:v>
      </x:c>
      <x:c r="D9" t="str">
        <x:v>neighbor transferred mass</x:v>
      </x:c>
      <x:c r="E9" t="n">
        <x:v>0.1</x:v>
      </x:c>
      <x:c r="F9" t="str">
        <x:v>kg</x:v>
      </x:c>
      <x:c r="G9" s="11" t="str">
        <x:v>calibration + spatial + temporal + transformation</x:v>
      </x:c>
      <x:c r="H9" s="11" t="str">
        <x:v>root-sum-square unless covariance is registered</x:v>
      </x:c>
      <x:c r="I9" t="str"/>
      <x:c r="J9" t="n">
        <x:v>0</x:v>
      </x:c>
      <x:c r="K9" t="str">
        <x:f>IF(J9=1,"PASS","OPEN")</x:f>
        <x:v>OPEN</x:v>
      </x:c>
    </x:row>
    <x:row r="10" ht="41" customHeight="1">
      <x:c r="B10" t="str">
        <x:v>UC-04</x:v>
      </x:c>
      <x:c r="C10" t="str">
        <x:v>FT-04</x:v>
      </x:c>
      <x:c r="D10" t="str">
        <x:v>maximum pool area</x:v>
      </x:c>
      <x:c r="E10" t="n">
        <x:v>0.25</x:v>
      </x:c>
      <x:c r="F10" t="str">
        <x:v>m2</x:v>
      </x:c>
      <x:c r="G10" s="11" t="str">
        <x:v>calibration + spatial + temporal + transformation</x:v>
      </x:c>
      <x:c r="H10" s="11" t="str">
        <x:v>root-sum-square unless covariance is registered</x:v>
      </x:c>
      <x:c r="I10" t="str"/>
      <x:c r="J10" t="n">
        <x:v>0</x:v>
      </x:c>
      <x:c r="K10" t="str">
        <x:f>IF(J10=1,"PASS","OPEN")</x:f>
        <x:v>OPEN</x:v>
      </x:c>
    </x:row>
    <x:row r="11" ht="41" customHeight="1">
      <x:c r="B11" t="str">
        <x:v>UC-05</x:v>
      </x:c>
      <x:c r="C11" t="str">
        <x:v>FT-05</x:v>
      </x:c>
      <x:c r="D11" t="str">
        <x:v>post-isolation pool-area slope</x:v>
      </x:c>
      <x:c r="E11" t="n">
        <x:v>0.005</x:v>
      </x:c>
      <x:c r="F11" t="str">
        <x:v>m2/s</x:v>
      </x:c>
      <x:c r="G11" s="11" t="str">
        <x:v>calibration + spatial + temporal + transformation</x:v>
      </x:c>
      <x:c r="H11" s="11" t="str">
        <x:v>root-sum-square unless covariance is registered</x:v>
      </x:c>
      <x:c r="I11" t="str"/>
      <x:c r="J11" t="n">
        <x:v>0</x:v>
      </x:c>
      <x:c r="K11" t="str">
        <x:f>IF(J11=1,"PASS","OPEN")</x:f>
        <x:v>OPEN</x:v>
      </x:c>
    </x:row>
    <x:row r="12" ht="41" customHeight="1">
      <x:c r="B12" t="str">
        <x:v>UC-06</x:v>
      </x:c>
      <x:c r="C12" t="str">
        <x:v>FT-06</x:v>
      </x:c>
      <x:c r="D12" t="str">
        <x:v>burn duration</x:v>
      </x:c>
      <x:c r="E12" t="n">
        <x:v>2</x:v>
      </x:c>
      <x:c r="F12" t="str">
        <x:v>s</x:v>
      </x:c>
      <x:c r="G12" s="11" t="str">
        <x:v>calibration + spatial + temporal + transformation</x:v>
      </x:c>
      <x:c r="H12" s="11" t="str">
        <x:v>root-sum-square unless covariance is registered</x:v>
      </x:c>
      <x:c r="I12" t="str"/>
      <x:c r="J12" t="n">
        <x:v>0</x:v>
      </x:c>
      <x:c r="K12" t="str">
        <x:f>IF(J12=1,"PASS","OPEN")</x:f>
        <x:v>OPEN</x:v>
      </x:c>
    </x:row>
    <x:row r="13" ht="41" customHeight="1">
      <x:c r="B13" t="str">
        <x:v>UC-07</x:v>
      </x:c>
      <x:c r="C13" t="str">
        <x:v>FT-07</x:v>
      </x:c>
      <x:c r="D13" t="str">
        <x:v>protected radiant flux</x:v>
      </x:c>
      <x:c r="E13" t="n">
        <x:v>0.08</x:v>
      </x:c>
      <x:c r="F13" t="str">
        <x:v>kW/m2</x:v>
      </x:c>
      <x:c r="G13" s="11" t="str">
        <x:v>calibration + spatial + temporal + transformation</x:v>
      </x:c>
      <x:c r="H13" s="11" t="str">
        <x:v>root-sum-square unless covariance is registered</x:v>
      </x:c>
      <x:c r="I13" t="str"/>
      <x:c r="J13" t="n">
        <x:v>0</x:v>
      </x:c>
      <x:c r="K13" t="str">
        <x:f>IF(J13=1,"PASS","OPEN")</x:f>
        <x:v>OPEN</x:v>
      </x:c>
    </x:row>
    <x:row r="14" ht="41" customHeight="1">
      <x:c r="B14" t="str">
        <x:v>UC-08</x:v>
      </x:c>
      <x:c r="C14" t="str">
        <x:v>FT-08</x:v>
      </x:c>
      <x:c r="D14" t="str">
        <x:v>barrier utilization</x:v>
      </x:c>
      <x:c r="E14" t="n">
        <x:v>0.02</x:v>
      </x:c>
      <x:c r="F14" t="str">
        <x:v>ratio</x:v>
      </x:c>
      <x:c r="G14" s="11" t="str">
        <x:v>calibration + spatial + temporal + transformation</x:v>
      </x:c>
      <x:c r="H14" s="11" t="str">
        <x:v>root-sum-square unless covariance is registered</x:v>
      </x:c>
      <x:c r="I14" t="str"/>
      <x:c r="J14" t="n">
        <x:v>0</x:v>
      </x:c>
      <x:c r="K14" t="str">
        <x:f>IF(J14=1,"PASS","OPEN")</x:f>
        <x:v>OPEN</x:v>
      </x:c>
    </x:row>
    <x:row r="15" ht="41" customHeight="1">
      <x:c r="B15" t="str">
        <x:v>UC-09</x:v>
      </x:c>
      <x:c r="C15" t="str">
        <x:v>FT-09</x:v>
      </x:c>
      <x:c r="D15" t="str">
        <x:v>drain-flow margin</x:v>
      </x:c>
      <x:c r="E15" t="n">
        <x:v>0.5</x:v>
      </x:c>
      <x:c r="F15" t="str">
        <x:v>kg/s</x:v>
      </x:c>
      <x:c r="G15" s="11" t="str">
        <x:v>calibration + spatial + temporal + transformation</x:v>
      </x:c>
      <x:c r="H15" s="11" t="str">
        <x:v>root-sum-square unless covariance is registered</x:v>
      </x:c>
      <x:c r="I15" t="str"/>
      <x:c r="J15" t="n">
        <x:v>0</x:v>
      </x:c>
      <x:c r="K15" t="str">
        <x:f>IF(J15=1,"PASS","OPEN")</x:f>
        <x:v>OPEN</x:v>
      </x:c>
    </x:row>
    <x:row r="16" ht="41" customHeight="1">
      <x:c r="B16" t="str">
        <x:v>UC-10</x:v>
      </x:c>
      <x:c r="C16" t="str">
        <x:v>FT-10</x:v>
      </x:c>
      <x:c r="D16" t="str">
        <x:v>source-sump utilization</x:v>
      </x:c>
      <x:c r="E16" t="n">
        <x:v>0.01</x:v>
      </x:c>
      <x:c r="F16" t="str">
        <x:v>ratio</x:v>
      </x:c>
      <x:c r="G16" s="11" t="str">
        <x:v>calibration + spatial + temporal + transformation</x:v>
      </x:c>
      <x:c r="H16" s="11" t="str">
        <x:v>root-sum-square unless covariance is registered</x:v>
      </x:c>
      <x:c r="I16" t="str"/>
      <x:c r="J16" t="n">
        <x:v>0</x:v>
      </x:c>
      <x:c r="K16" t="str">
        <x:f>IF(J16=1,"PASS","OPEN")</x:f>
        <x:v>OPEN</x:v>
      </x:c>
    </x:row>
    <x:row r="17" ht="41" customHeight="1">
      <x:c r="B17" t="str">
        <x:v>UC-11</x:v>
      </x:c>
      <x:c r="C17" t="str">
        <x:v>FT-11</x:v>
      </x:c>
      <x:c r="D17" t="str">
        <x:v>firewater-vault utilization</x:v>
      </x:c>
      <x:c r="E17" t="n">
        <x:v>0.01</x:v>
      </x:c>
      <x:c r="F17" t="str">
        <x:v>ratio</x:v>
      </x:c>
      <x:c r="G17" s="11" t="str">
        <x:v>calibration + spatial + temporal + transformation</x:v>
      </x:c>
      <x:c r="H17" s="11" t="str">
        <x:v>root-sum-square unless covariance is registered</x:v>
      </x:c>
      <x:c r="I17" t="str"/>
      <x:c r="J17" t="n">
        <x:v>0</x:v>
      </x:c>
      <x:c r="K17" t="str">
        <x:f>IF(J17=1,"PASS","OPEN")</x:f>
        <x:v>OPEN</x:v>
      </x:c>
    </x:row>
    <x:row r="18" ht="41" customHeight="1">
      <x:c r="B18" t="str">
        <x:v>UC-12</x:v>
      </x:c>
      <x:c r="C18" t="str">
        <x:v>FT-12</x:v>
      </x:c>
      <x:c r="D18" t="str">
        <x:v>source-water cross fraction</x:v>
      </x:c>
      <x:c r="E18" t="n">
        <x:v>0.0005</x:v>
      </x:c>
      <x:c r="F18" t="str">
        <x:v>ratio</x:v>
      </x:c>
      <x:c r="G18" s="11" t="str">
        <x:v>calibration + spatial + temporal + transformation</x:v>
      </x:c>
      <x:c r="H18" s="11" t="str">
        <x:v>root-sum-square unless covariance is registered</x:v>
      </x:c>
      <x:c r="I18" t="str"/>
      <x:c r="J18" t="n">
        <x:v>0</x:v>
      </x:c>
      <x:c r="K18" t="str">
        <x:f>IF(J18=1,"PASS","OPEN")</x:f>
        <x:v>OPEN</x:v>
      </x:c>
    </x:row>
    <x:row r="19" ht="41" customHeight="1">
      <x:c r="B19" t="str">
        <x:v>UC-13</x:v>
      </x:c>
      <x:c r="C19" t="str">
        <x:v>FT-13</x:v>
      </x:c>
      <x:c r="D19" t="str">
        <x:v>uncontrolled product</x:v>
      </x:c>
      <x:c r="E19" t="n">
        <x:v>1</x:v>
      </x:c>
      <x:c r="F19" t="str">
        <x:v>kg</x:v>
      </x:c>
      <x:c r="G19" s="11" t="str">
        <x:v>calibration + spatial + temporal + transformation</x:v>
      </x:c>
      <x:c r="H19" s="11" t="str">
        <x:v>root-sum-square unless covariance is registered</x:v>
      </x:c>
      <x:c r="I19" t="str"/>
      <x:c r="J19" t="n">
        <x:v>0</x:v>
      </x:c>
      <x:c r="K19" t="str">
        <x:f>IF(J19=1,"PASS","OPEN")</x:f>
        <x:v>OPEN</x:v>
      </x:c>
    </x:row>
    <x:row r="20" ht="41" customHeight="1">
      <x:c r="B20" t="str">
        <x:v>UC-14</x:v>
      </x:c>
      <x:c r="C20" t="str">
        <x:v>FT-14</x:v>
      </x:c>
      <x:c r="D20" t="str">
        <x:v>runoff product concentration</x:v>
      </x:c>
      <x:c r="E20" t="n">
        <x:v>5</x:v>
      </x:c>
      <x:c r="F20" t="str">
        <x:v>mg/L</x:v>
      </x:c>
      <x:c r="G20" s="11" t="str">
        <x:v>calibration + spatial + temporal + transformation</x:v>
      </x:c>
      <x:c r="H20" s="11" t="str">
        <x:v>root-sum-square unless covariance is registered</x:v>
      </x:c>
      <x:c r="I20" t="str"/>
      <x:c r="J20" t="n">
        <x:v>0</x:v>
      </x:c>
      <x:c r="K20" t="str">
        <x:f>IF(J20=1,"PASS","OPEN")</x:f>
        <x:v>OPEN</x:v>
      </x:c>
    </x:row>
    <x:row r="21" ht="41" customHeight="1">
      <x:c r="B21" t="str">
        <x:v>UC-15</x:v>
      </x:c>
      <x:c r="C21" t="str">
        <x:v>FT-15</x:v>
      </x:c>
      <x:c r="D21" t="str">
        <x:v>recovered source mass</x:v>
      </x:c>
      <x:c r="E21" t="n">
        <x:v>1</x:v>
      </x:c>
      <x:c r="F21" t="str">
        <x:v>kg</x:v>
      </x:c>
      <x:c r="G21" s="11" t="str">
        <x:v>calibration + spatial + temporal + transformation</x:v>
      </x:c>
      <x:c r="H21" s="11" t="str">
        <x:v>root-sum-square unless covariance is registered</x:v>
      </x:c>
      <x:c r="I21" t="str"/>
      <x:c r="J21" t="n">
        <x:v>0</x:v>
      </x:c>
      <x:c r="K21" t="str">
        <x:f>IF(J21=1,"PASS","OPEN")</x:f>
        <x:v>OPEN</x:v>
      </x:c>
    </x:row>
    <x:row r="22" ht="41" customHeight="1">
      <x:c r="B22" t="str">
        <x:v>UC-16</x:v>
      </x:c>
      <x:c r="C22" t="str">
        <x:v>FT-16</x:v>
      </x:c>
      <x:c r="D22" t="str">
        <x:v>responder dose utilization</x:v>
      </x:c>
      <x:c r="E22" t="n">
        <x:v>0.02</x:v>
      </x:c>
      <x:c r="F22" t="str">
        <x:v>ratio</x:v>
      </x:c>
      <x:c r="G22" s="11" t="str">
        <x:v>calibration + spatial + temporal + transformation</x:v>
      </x:c>
      <x:c r="H22" s="11" t="str">
        <x:v>root-sum-square unless covariance is registered</x:v>
      </x:c>
      <x:c r="I22" t="str"/>
      <x:c r="J22" t="n">
        <x:v>0</x:v>
      </x:c>
      <x:c r="K22" t="str">
        <x:f>IF(J22=1,"PASS","OPEN")</x:f>
        <x:v>OPEN</x:v>
      </x:c>
    </x:row>
    <x:row r="23" ht="41" customHeight="1">
      <x:c r="B23" t="str">
        <x:v>UC-17</x:v>
      </x:c>
      <x:c r="C23" t="str">
        <x:v>FT-17</x:v>
      </x:c>
      <x:c r="D23" t="str">
        <x:v>public intervention</x:v>
      </x:c>
      <x:c r="E23" t="n">
        <x:v>0</x:v>
      </x:c>
      <x:c r="F23" t="str">
        <x:v>binary</x:v>
      </x:c>
      <x:c r="G23" s="11" t="str">
        <x:v>calibration + spatial + temporal + transformation</x:v>
      </x:c>
      <x:c r="H23" s="11" t="str">
        <x:v>root-sum-square unless covariance is registered</x:v>
      </x:c>
      <x:c r="I23" t="str"/>
      <x:c r="J23" t="n">
        <x:v>0</x:v>
      </x:c>
      <x:c r="K23" t="str">
        <x:f>IF(J23=1,"PASS","OPEN")</x:f>
        <x:v>OPEN</x:v>
      </x:c>
    </x:row>
    <x:row r="24" ht="41" customHeight="1">
      <x:c r="B24" t="str">
        <x:v>UC-18</x:v>
      </x:c>
      <x:c r="C24" t="str">
        <x:v>FT-18</x:v>
      </x:c>
      <x:c r="D24" t="str">
        <x:v>maximum time skew</x:v>
      </x:c>
      <x:c r="E24" t="n">
        <x:v>1</x:v>
      </x:c>
      <x:c r="F24" t="str">
        <x:v>microseconds</x:v>
      </x:c>
      <x:c r="G24" s="11" t="str">
        <x:v>calibration + spatial + temporal + transformation</x:v>
      </x:c>
      <x:c r="H24" s="11" t="str">
        <x:v>root-sum-square unless covariance is registered</x:v>
      </x:c>
      <x:c r="I24" t="str"/>
      <x:c r="J24" t="n">
        <x:v>0</x:v>
      </x:c>
      <x:c r="K24" t="str">
        <x:f>IF(J24=1,"PASS","OPEN")</x:f>
        <x:v>OPEN</x:v>
      </x:c>
    </x:row>
    <x:row r="25" ht="41" customHeight="1">
      <x:c r="B25" t="str">
        <x:v>UC-19</x:v>
      </x:c>
      <x:c r="C25" t="str">
        <x:v>FT-19</x:v>
      </x:c>
      <x:c r="D25" t="str">
        <x:v>mass discrepancy</x:v>
      </x:c>
      <x:c r="E25" t="n">
        <x:v>4.383</x:v>
      </x:c>
      <x:c r="F25" t="str">
        <x:v>kg</x:v>
      </x:c>
      <x:c r="G25" s="11" t="str">
        <x:v>calibration + spatial + temporal + transformation</x:v>
      </x:c>
      <x:c r="H25" s="11" t="str">
        <x:v>root-sum-square unless covariance is registered</x:v>
      </x:c>
      <x:c r="I25" t="str"/>
      <x:c r="J25" t="n">
        <x:v>0</x:v>
      </x:c>
      <x:c r="K25" t="str">
        <x:f>IF(J25=1,"PASS","OPEN")</x:f>
        <x:v>OPEN</x:v>
      </x:c>
    </x:row>
    <x:row r="26" ht="41" customHeight="1">
      <x:c r="B26" t="str">
        <x:v>UC-20</x:v>
      </x:c>
      <x:c r="C26" t="str">
        <x:v>FT-20</x:v>
      </x:c>
      <x:c r="D26" t="str">
        <x:v>evidence completeness</x:v>
      </x:c>
      <x:c r="E26" t="n">
        <x:v>0.01</x:v>
      </x:c>
      <x:c r="F26" t="str">
        <x:v>ratio</x:v>
      </x:c>
      <x:c r="G26" s="11" t="str">
        <x:v>calibration + spatial + temporal + transformation</x:v>
      </x:c>
      <x:c r="H26" s="11" t="str">
        <x:v>root-sum-square unless covariance is registered</x:v>
      </x:c>
      <x:c r="I26" t="str"/>
      <x:c r="J26" t="n">
        <x:v>0</x:v>
      </x:c>
      <x:c r="K26" t="str">
        <x:f>IF(J26=1,"PASS","OPEN")</x:f>
        <x:v>OPEN</x:v>
      </x:c>
    </x:row>
  </x:sheetData>
  <x:conditionalFormatting sqref="K7:K26">
    <x:cfRule type="containsText" dxfId="112" priority="1" operator="containsText" text="FAIL"/>
    <x:cfRule type="containsText" dxfId="113" priority="2" operator="containsText" text="BLOCKED"/>
    <x:cfRule type="containsText" dxfId="114" priority="3" operator="containsText" text="REOPEN"/>
    <x:cfRule type="containsText" dxfId="115" priority="4" operator="containsText" text="OVERFLOW"/>
    <x:cfRule type="containsText" dxfId="116" priority="5" operator="containsText" text="OPEN"/>
    <x:cfRule type="containsText" dxfId="117" priority="6" operator="containsText" text="GAP"/>
    <x:cfRule type="containsText" dxfId="118" priority="7" operator="containsText" text="PASS"/>
    <x:cfRule type="containsText" dxfId="119" priority="8" operator="containsText" text="INVALI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15" hidden="0" customWidth="1"/>
    <x:col min="5" max="5" width="53" hidden="0" customWidth="1"/>
    <x:col min="6" max="6" width="66" hidden="0" customWidth="1"/>
  </x:cols>
  <x:sheetData>
    <x:row r="2">
      <x:c r="B2" s="1" t="str">
        <x:v>Forty-two-month Root A program</x:v>
      </x:c>
    </x:row>
    <x:row r="3">
      <x:c r="B3" s="2" t="str">
        <x:v>Work overlaps only when articles, sites and authorities are independent.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Package</x:v>
      </x:c>
      <x:c r="C6" s="7" t="str">
        <x:v>Start month</x:v>
      </x:c>
      <x:c r="D6" s="7" t="str">
        <x:v>End month</x:v>
      </x:c>
      <x:c r="E6" s="7" t="str">
        <x:v>Scope</x:v>
      </x:c>
      <x:c r="F6" s="7" t="str">
        <x:v>Exit evidence</x:v>
      </x:c>
    </x:row>
    <x:row r="7" ht="43" customHeight="1">
      <x:c r="B7" t="str">
        <x:v>WP-01</x:v>
      </x:c>
      <x:c r="C7" t="n">
        <x:v>1</x:v>
      </x:c>
      <x:c r="D7" t="n">
        <x:v>4</x:v>
      </x:c>
      <x:c r="E7" s="11" t="str">
        <x:v>candidate and method freeze</x:v>
      </x:c>
      <x:c r="F7" s="11" t="str">
        <x:v>three complete-chain candidates and ten methods</x:v>
      </x:c>
    </x:row>
    <x:row r="8" ht="43" customHeight="1">
      <x:c r="B8" t="str">
        <x:v>WP-02</x:v>
      </x:c>
      <x:c r="C8" t="n">
        <x:v>2</x:v>
      </x:c>
      <x:c r="D8" t="n">
        <x:v>9</x:v>
      </x:c>
      <x:c r="E8" s="11" t="str">
        <x:v>article and surface manufacture</x:v>
      </x:c>
      <x:c r="F8" s="11" t="str">
        <x:v>forty-eight articles and replaceable terrain fields</x:v>
      </x:c>
    </x:row>
    <x:row r="9" ht="43" customHeight="1">
      <x:c r="B9" t="str">
        <x:v>WP-03</x:v>
      </x:c>
      <x:c r="C9" t="n">
        <x:v>4</x:v>
      </x:c>
      <x:c r="D9" t="n">
        <x:v>11</x:v>
      </x:c>
      <x:c r="E9" s="11" t="str">
        <x:v>metrology and environmental custody</x:v>
      </x:c>
      <x:c r="F9" s="11" t="str">
        <x:v>twenty functions and sample chain qualified</x:v>
      </x:c>
    </x:row>
    <x:row r="10" ht="43" customHeight="1">
      <x:c r="B10" t="str">
        <x:v>WP-04</x:v>
      </x:c>
      <x:c r="C10" t="n">
        <x:v>6</x:v>
      </x:c>
      <x:c r="D10" t="n">
        <x:v>14</x:v>
      </x:c>
      <x:c r="E10" s="11" t="str">
        <x:v>robotic intervention qualification</x:v>
      </x:c>
      <x:c r="F10" s="11" t="str">
        <x:v>clearing, cooling, skimming, barrier and fractionation</x:v>
      </x:c>
    </x:row>
    <x:row r="11" ht="43" customHeight="1">
      <x:c r="B11" t="str">
        <x:v>WP-05</x:v>
      </x:c>
      <x:c r="C11" t="n">
        <x:v>9</x:v>
      </x:c>
      <x:c r="D11" t="n">
        <x:v>17</x:v>
      </x:c>
      <x:c r="E11" s="11" t="str">
        <x:v>water-only and surrogate ladder</x:v>
      </x:c>
      <x:c r="F11" s="11" t="str">
        <x:v>AM-00 through AM-04 accepted</x:v>
      </x:c>
    </x:row>
    <x:row r="12" ht="43" customHeight="1">
      <x:c r="B12" t="str">
        <x:v>WP-06</x:v>
      </x:c>
      <x:c r="C12" t="n">
        <x:v>14</x:v>
      </x:c>
      <x:c r="D12" t="n">
        <x:v>23</x:v>
      </x:c>
      <x:c r="E12" s="11" t="str">
        <x:v>quarter-source unignited ladder</x:v>
      </x:c>
      <x:c r="F12" s="11" t="str">
        <x:v>capture, obstruction and recovery accepted</x:v>
      </x:c>
    </x:row>
    <x:row r="13" ht="43" customHeight="1">
      <x:c r="B13" t="str">
        <x:v>WP-07</x:v>
      </x:c>
      <x:c r="C13" t="n">
        <x:v>19</x:v>
      </x:c>
      <x:c r="D13" t="n">
        <x:v>30</x:v>
      </x:c>
      <x:c r="E13" s="11" t="str">
        <x:v>quarter-source fire ladder</x:v>
      </x:c>
      <x:c r="F13" s="11" t="str">
        <x:v>pool, heat, barrier and runoff methods accepted</x:v>
      </x:c>
    </x:row>
    <x:row r="14" ht="43" customHeight="1">
      <x:c r="B14" t="str">
        <x:v>WP-08</x:v>
      </x:c>
      <x:c r="C14" t="n">
        <x:v>25</x:v>
      </x:c>
      <x:c r="D14" t="n">
        <x:v>36</x:v>
      </x:c>
      <x:c r="E14" s="11" t="str">
        <x:v>full-source paired campaign</x:v>
      </x:c>
      <x:c r="F14" s="11" t="str">
        <x:v>A05 through A08 across both sites</x:v>
      </x:c>
    </x:row>
    <x:row r="15" ht="43" customHeight="1">
      <x:c r="B15" t="str">
        <x:v>WP-09</x:v>
      </x:c>
      <x:c r="C15" t="n">
        <x:v>31</x:v>
      </x:c>
      <x:c r="D15" t="n">
        <x:v>40</x:v>
      </x:c>
      <x:c r="E15" s="11" t="str">
        <x:v>destructive, reset and replay</x:v>
      </x:c>
      <x:c r="F15" s="11" t="str">
        <x:v>controlled compound failures and restoration</x:v>
      </x:c>
    </x:row>
    <x:row r="16" ht="43" customHeight="1">
      <x:c r="B16" t="str">
        <x:v>WP-10</x:v>
      </x:c>
      <x:c r="C16" t="n">
        <x:v>41</x:v>
      </x:c>
      <x:c r="D16" t="n">
        <x:v>42</x:v>
      </x:c>
      <x:c r="E16" s="11" t="str">
        <x:v>outside review and selection packet</x:v>
      </x:c>
      <x:c r="F16" s="11" t="str">
        <x:v>root and candidate effects dispositioned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40" hidden="0" customWidth="1"/>
    <x:col min="4" max="4" width="16" hidden="0" customWidth="1"/>
    <x:col min="5" max="5" width="83" hidden="0" customWidth="1"/>
  </x:cols>
  <x:sheetData>
    <x:row r="2">
      <x:c r="B2" s="1" t="str">
        <x:v>462-position Root A institution</x:v>
      </x:c>
    </x:row>
    <x:row r="3">
      <x:c r="B3" s="2" t="str">
        <x:v>The establishment includes method, environment, intervention and evidence competencies.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Line</x:v>
      </x:c>
      <x:c r="C6" s="7" t="str">
        <x:v>Function</x:v>
      </x:c>
      <x:c r="D6" s="7" t="str">
        <x:v>Positions</x:v>
      </x:c>
      <x:c r="E6" s="7" t="str">
        <x:v>First-principles duty</x:v>
      </x:c>
    </x:row>
    <x:row r="7" ht="39" customHeight="1">
      <x:c r="B7" t="str">
        <x:v>WF-01</x:v>
      </x:c>
      <x:c r="C7" t="str">
        <x:v>fire and thermal science</x:v>
      </x:c>
      <x:c r="D7" t="n">
        <x:v>58</x:v>
      </x:c>
      <x:c r="E7" s="11" t="str">
        <x:v>pool, radiation, barriers and intervention</x:v>
      </x:c>
    </x:row>
    <x:row r="8" ht="39" customHeight="1">
      <x:c r="B8" t="str">
        <x:v>WF-02</x:v>
      </x:c>
      <x:c r="C8" t="str">
        <x:v>hydraulics and terrain</x:v>
      </x:c>
      <x:c r="D8" t="n">
        <x:v>52</x:v>
      </x:c>
      <x:c r="E8" s="11" t="str">
        <x:v>grade, drains, debris, sumps and vaults</x:v>
      </x:c>
    </x:row>
    <x:row r="9" ht="39" customHeight="1">
      <x:c r="B9" t="str">
        <x:v>WF-03</x:v>
      </x:c>
      <x:c r="C9" t="str">
        <x:v>environmental chemistry</x:v>
      </x:c>
      <x:c r="D9" t="n">
        <x:v>44</x:v>
      </x:c>
      <x:c r="E9" s="11" t="str">
        <x:v>source-water-agent separation, samples and waste</x:v>
      </x:c>
    </x:row>
    <x:row r="10" ht="39" customHeight="1">
      <x:c r="B10" t="str">
        <x:v>WF-04</x:v>
      </x:c>
      <x:c r="C10" t="str">
        <x:v>robotics and autonomy</x:v>
      </x:c>
      <x:c r="D10" t="n">
        <x:v>56</x:v>
      </x:c>
      <x:c r="E10" s="11" t="str">
        <x:v>clearing, cooling, skimming, barrier and casualty operation</x:v>
      </x:c>
    </x:row>
    <x:row r="11" ht="39" customHeight="1">
      <x:c r="B11" t="str">
        <x:v>WF-05</x:v>
      </x:c>
      <x:c r="C11" t="str">
        <x:v>test operations</x:v>
      </x:c>
      <x:c r="D11" t="n">
        <x:v>72</x:v>
      </x:c>
      <x:c r="E11" s="11" t="str">
        <x:v>six rigs, source ladder and paired campaign</x:v>
      </x:c>
    </x:row>
    <x:row r="12" ht="39" customHeight="1">
      <x:c r="B12" t="str">
        <x:v>WF-06</x:v>
      </x:c>
      <x:c r="C12" t="str">
        <x:v>safety, fire and rescue</x:v>
      </x:c>
      <x:c r="D12" t="n">
        <x:v>60</x:v>
      </x:c>
      <x:c r="E12" s="11" t="str">
        <x:v>abort, exclusion, remote response and entry</x:v>
      </x:c>
    </x:row>
    <x:row r="13" ht="39" customHeight="1">
      <x:c r="B13" t="str">
        <x:v>WF-07</x:v>
      </x:c>
      <x:c r="C13" t="str">
        <x:v>metrology, data and causal analysis</x:v>
      </x:c>
      <x:c r="D13" t="n">
        <x:v>58</x:v>
      </x:c>
      <x:c r="E13" s="11" t="str">
        <x:v>twenty functions, uncertainty and estimators</x:v>
      </x:c>
    </x:row>
    <x:row r="14" ht="39" customHeight="1">
      <x:c r="B14" t="str">
        <x:v>WF-08</x:v>
      </x:c>
      <x:c r="C14" t="str">
        <x:v>configuration and evidence</x:v>
      </x:c>
      <x:c r="D14" t="n">
        <x:v>34</x:v>
      </x:c>
      <x:c r="E14" s="11" t="str">
        <x:v>articles, methods, originals and custody</x:v>
      </x:c>
    </x:row>
    <x:row r="15" ht="39" customHeight="1">
      <x:c r="B15" t="str">
        <x:v>WF-09</x:v>
      </x:c>
      <x:c r="C15" t="str">
        <x:v>independent adjudication</x:v>
      </x:c>
      <x:c r="D15" t="n">
        <x:v>28</x:v>
      </x:c>
      <x:c r="E15" s="11" t="str">
        <x:v>validity, outcome, environmental and selection decisions</x:v>
      </x:c>
    </x:row>
    <x:row r="18">
      <x:c r="B18" s="14" t="str">
        <x:v>Total</x:v>
      </x:c>
      <x:c r="C18" s="14"/>
      <x:c r="D18" s="14" t="n">
        <x:f>SUM(D7:D15)</x:f>
        <x:v>462</x:v>
      </x:c>
      <x:c r="E18" s="14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9" hidden="0" customWidth="1"/>
    <x:col min="4" max="4" width="1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77" hidden="0" customWidth="1"/>
  </x:cols>
  <x:sheetData>
    <x:row r="2">
      <x:c r="B2" s="1" t="str">
        <x:v>RFA-1 gross capital allocation</x:v>
      </x:c>
    </x:row>
    <x:row r="3">
      <x:c r="B3" s="2" t="str">
        <x:v>USD millions in constant planning dollars. Values are hypotheses, not bids or appropriations.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Line</x:v>
      </x:c>
      <x:c r="C6" s="7" t="str">
        <x:v>Capital object</x:v>
      </x:c>
      <x:c r="D6" s="7" t="str">
        <x:v>Quantity</x:v>
      </x:c>
      <x:c r="E6" s="7" t="str">
        <x:v>Unit cost</x:v>
      </x:c>
      <x:c r="F6" s="7" t="str">
        <x:v>Gross</x:v>
      </x:c>
      <x:c r="G6" s="7" t="str">
        <x:v>CISA share</x:v>
      </x:c>
      <x:c r="H6" s="7" t="str">
        <x:v>Shared share</x:v>
      </x:c>
      <x:c r="I6" s="7" t="str">
        <x:v>Scope</x:v>
      </x:c>
    </x:row>
    <x:row r="7" ht="42" customHeight="1">
      <x:c r="B7" t="str">
        <x:v>CAP-01</x:v>
      </x:c>
      <x:c r="C7" t="str">
        <x:v>six public fire/hydraulic rigs</x:v>
      </x:c>
      <x:c r="D7" t="n">
        <x:v>1</x:v>
      </x:c>
      <x:c r="E7" t="n">
        <x:v>330</x:v>
      </x:c>
      <x:c r="F7" t="n">
        <x:v>330</x:v>
      </x:c>
      <x:c r="G7" t="n">
        <x:v>210</x:v>
      </x:c>
      <x:c r="H7" t="n">
        <x:v>120</x:v>
      </x:c>
      <x:c r="I7" s="11" t="str">
        <x:v>replaceable terrain, source, firewater, casualty and recovery systems</x:v>
      </x:c>
    </x:row>
    <x:row r="8" ht="42" customHeight="1">
      <x:c r="B8" t="str">
        <x:v>CAP-02</x:v>
      </x:c>
      <x:c r="C8" t="str">
        <x:v>forty-eight article bank</x:v>
      </x:c>
      <x:c r="D8" t="n">
        <x:v>1</x:v>
      </x:c>
      <x:c r="E8" t="n">
        <x:v>180</x:v>
      </x:c>
      <x:c r="F8" t="n">
        <x:v>180</x:v>
      </x:c>
      <x:c r="G8" t="n">
        <x:v>115</x:v>
      </x:c>
      <x:c r="H8" t="n">
        <x:v>65</x:v>
      </x:c>
      <x:c r="I8" s="11" t="str">
        <x:v>candidate-builder hydraulic, fire, destructive, recovery and spare articles</x:v>
      </x:c>
    </x:row>
    <x:row r="9" ht="42" customHeight="1">
      <x:c r="B9" t="str">
        <x:v>CAP-03</x:v>
      </x:c>
      <x:c r="C9" t="str">
        <x:v>source handling and conditioning</x:v>
      </x:c>
      <x:c r="D9" t="n">
        <x:v>1</x:v>
      </x:c>
      <x:c r="E9" t="n">
        <x:v>80</x:v>
      </x:c>
      <x:c r="F9" t="n">
        <x:v>80</x:v>
      </x:c>
      <x:c r="G9" t="n">
        <x:v>55</x:v>
      </x:c>
      <x:c r="H9" t="n">
        <x:v>25</x:v>
      </x:c>
      <x:c r="I9" s="11" t="str">
        <x:v>controlled liquid source, sampling, recovery and custody</x:v>
      </x:c>
    </x:row>
    <x:row r="10" ht="42" customHeight="1">
      <x:c r="B10" t="str">
        <x:v>CAP-04</x:v>
      </x:c>
      <x:c r="C10" t="str">
        <x:v>robotic intervention systems</x:v>
      </x:c>
      <x:c r="D10" t="n">
        <x:v>1</x:v>
      </x:c>
      <x:c r="E10" t="n">
        <x:v>110</x:v>
      </x:c>
      <x:c r="F10" t="n">
        <x:v>110</x:v>
      </x:c>
      <x:c r="G10" t="n">
        <x:v>55</x:v>
      </x:c>
      <x:c r="H10" t="n">
        <x:v>55</x:v>
      </x:c>
      <x:c r="I10" s="11" t="str">
        <x:v>clearing, cooling, skimming, barriers and remote casualty work</x:v>
      </x:c>
    </x:row>
    <x:row r="11" ht="42" customHeight="1">
      <x:c r="B11" t="str">
        <x:v>CAP-05</x:v>
      </x:c>
      <x:c r="C11" t="str">
        <x:v>runoff fractionation estate</x:v>
      </x:c>
      <x:c r="D11" t="n">
        <x:v>1</x:v>
      </x:c>
      <x:c r="E11" t="n">
        <x:v>95</x:v>
      </x:c>
      <x:c r="F11" t="n">
        <x:v>95</x:v>
      </x:c>
      <x:c r="G11" t="n">
        <x:v>45</x:v>
      </x:c>
      <x:c r="H11" t="n">
        <x:v>50</x:v>
      </x:c>
      <x:c r="I11" s="11" t="str">
        <x:v>phase separation, chemistry, archive and governed waste</x:v>
      </x:c>
    </x:row>
    <x:row r="12" ht="42" customHeight="1">
      <x:c r="B12" t="str">
        <x:v>CAP-06</x:v>
      </x:c>
      <x:c r="C12" t="str">
        <x:v>thermal and pool metrology</x:v>
      </x:c>
      <x:c r="D12" t="n">
        <x:v>1</x:v>
      </x:c>
      <x:c r="E12" t="n">
        <x:v>80</x:v>
      </x:c>
      <x:c r="F12" t="n">
        <x:v>80</x:v>
      </x:c>
      <x:c r="G12" t="n">
        <x:v>50</x:v>
      </x:c>
      <x:c r="H12" t="n">
        <x:v>30</x:v>
      </x:c>
      <x:c r="I12" s="11" t="str">
        <x:v>radiation, depth field, imagery and protected-state measurement</x:v>
      </x:c>
    </x:row>
    <x:row r="13" ht="42" customHeight="1">
      <x:c r="B13" t="str">
        <x:v>CAP-07</x:v>
      </x:c>
      <x:c r="C13" t="str">
        <x:v>closed-loop firewater systems</x:v>
      </x:c>
      <x:c r="D13" t="n">
        <x:v>1</x:v>
      </x:c>
      <x:c r="E13" t="n">
        <x:v>65</x:v>
      </x:c>
      <x:c r="F13" t="n">
        <x:v>65</x:v>
      </x:c>
      <x:c r="G13" t="n">
        <x:v>40</x:v>
      </x:c>
      <x:c r="H13" t="n">
        <x:v>25</x:v>
      </x:c>
      <x:c r="I13" s="11" t="str">
        <x:v>recirculation, heat rejection and separate vault accounting</x:v>
      </x:c>
    </x:row>
    <x:row r="14" ht="42" customHeight="1">
      <x:c r="B14" t="str">
        <x:v>CAP-08</x:v>
      </x:c>
      <x:c r="C14" t="str">
        <x:v>evidence and calibration estate</x:v>
      </x:c>
      <x:c r="D14" t="n">
        <x:v>1</x:v>
      </x:c>
      <x:c r="E14" t="n">
        <x:v>55</x:v>
      </x:c>
      <x:c r="F14" t="n">
        <x:v>55</x:v>
      </x:c>
      <x:c r="G14" t="n">
        <x:v>35</x:v>
      </x:c>
      <x:c r="H14" t="n">
        <x:v>20</x:v>
      </x:c>
      <x:c r="I14" s="11" t="str">
        <x:v>two originals, timing, standards and outside-site replay</x:v>
      </x:c>
    </x:row>
    <x:row r="15" ht="42" customHeight="1">
      <x:c r="B15" t="str">
        <x:v>CAP-09</x:v>
      </x:c>
      <x:c r="C15" t="str">
        <x:v>recovery and environmental systems</x:v>
      </x:c>
      <x:c r="D15" t="n">
        <x:v>1</x:v>
      </x:c>
      <x:c r="E15" t="n">
        <x:v>35</x:v>
      </x:c>
      <x:c r="F15" t="n">
        <x:v>35</x:v>
      </x:c>
      <x:c r="G15" t="n">
        <x:v>20</x:v>
      </x:c>
      <x:c r="H15" t="n">
        <x:v>15</x:v>
      </x:c>
      <x:c r="I15" s="11" t="str">
        <x:v>casualty vessels, sampling, decontamination and restoration</x:v>
      </x:c>
    </x:row>
    <x:row r="16" ht="42" customHeight="1">
      <x:c r="B16" t="str">
        <x:v>CAP-10</x:v>
      </x:c>
      <x:c r="C16" t="str">
        <x:v>capital uncertainty allocation</x:v>
      </x:c>
      <x:c r="D16" t="n">
        <x:v>1</x:v>
      </x:c>
      <x:c r="E16" t="n">
        <x:v>50</x:v>
      </x:c>
      <x:c r="F16" t="n">
        <x:v>50</x:v>
      </x:c>
      <x:c r="G16" t="n">
        <x:v>25</x:v>
      </x:c>
      <x:c r="H16" t="n">
        <x:v>25</x:v>
      </x:c>
      <x:c r="I16" s="11" t="str">
        <x:v>controlled allocation released by acquisition authority</x:v>
      </x:c>
    </x:row>
    <x:row r="18">
      <x:c r="B18" s="14" t="str">
        <x:v>Total</x:v>
      </x:c>
      <x:c r="C18" s="14"/>
      <x:c r="D18" s="14"/>
      <x:c r="E18" s="14"/>
      <x:c r="F18" s="14" t="n">
        <x:f>SUM(F7:F16)</x:f>
        <x:v>1080</x:v>
      </x:c>
      <x:c r="G18" s="14" t="n">
        <x:f>SUM(G7:G16)</x:f>
        <x:v>650</x:v>
      </x:c>
      <x:c r="H18" s="14" t="n">
        <x:f>SUM(H7:H16)</x:f>
        <x:v>430</x:v>
      </x:c>
      <x:c r="I18" s="14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9" hidden="0" customWidth="1"/>
    <x:col min="4" max="4" width="1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76" hidden="0" customWidth="1"/>
  </x:cols>
  <x:sheetData>
    <x:row r="2">
      <x:c r="B2" s="1" t="str">
        <x:v>RFA-1 annual operating allocation</x:v>
      </x:c>
    </x:row>
    <x:row r="3">
      <x:c r="B3" s="2" t="str">
        <x:v>USD millions per year during the forty-two-month program.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Line</x:v>
      </x:c>
      <x:c r="C6" s="7" t="str">
        <x:v>Annual function</x:v>
      </x:c>
      <x:c r="D6" s="7" t="str">
        <x:v>Quantity</x:v>
      </x:c>
      <x:c r="E6" s="7" t="str">
        <x:v>Unit cost</x:v>
      </x:c>
      <x:c r="F6" s="7" t="str">
        <x:v>Gross</x:v>
      </x:c>
      <x:c r="G6" s="7" t="str">
        <x:v>CISA share</x:v>
      </x:c>
      <x:c r="H6" s="7" t="str">
        <x:v>Shared share</x:v>
      </x:c>
      <x:c r="I6" s="7" t="str">
        <x:v>Scope</x:v>
      </x:c>
    </x:row>
    <x:row r="7" ht="41" customHeight="1">
      <x:c r="B7" t="str">
        <x:v>ANN-01</x:v>
      </x:c>
      <x:c r="C7" t="str">
        <x:v>mission workforce</x:v>
      </x:c>
      <x:c r="D7" t="n">
        <x:v>462</x:v>
      </x:c>
      <x:c r="E7" t="n">
        <x:v>0.181818</x:v>
      </x:c>
      <x:c r="F7" t="n">
        <x:v>84</x:v>
      </x:c>
      <x:c r="G7" t="n">
        <x:v>52</x:v>
      </x:c>
      <x:c r="H7" t="n">
        <x:v>32</x:v>
      </x:c>
      <x:c r="I7" s="11" t="str">
        <x:v>loaded scientific, operating and evidence establishment</x:v>
      </x:c>
    </x:row>
    <x:row r="8" ht="41" customHeight="1">
      <x:c r="B8" t="str">
        <x:v>ANN-02</x:v>
      </x:c>
      <x:c r="C8" t="str">
        <x:v>source, water and analytical media</x:v>
      </x:c>
      <x:c r="D8" t="n">
        <x:v>1</x:v>
      </x:c>
      <x:c r="E8" t="n">
        <x:v>18</x:v>
      </x:c>
      <x:c r="F8" t="n">
        <x:v>18</x:v>
      </x:c>
      <x:c r="G8" t="n">
        <x:v>12</x:v>
      </x:c>
      <x:c r="H8" t="n">
        <x:v>6</x:v>
      </x:c>
      <x:c r="I8" s="11" t="str">
        <x:v>controlled source, agents, tracers and laboratories</x:v>
      </x:c>
    </x:row>
    <x:row r="9" ht="41" customHeight="1">
      <x:c r="B9" t="str">
        <x:v>ANN-03</x:v>
      </x:c>
      <x:c r="C9" t="str">
        <x:v>site and rig operations</x:v>
      </x:c>
      <x:c r="D9" t="n">
        <x:v>1</x:v>
      </x:c>
      <x:c r="E9" t="n">
        <x:v>20</x:v>
      </x:c>
      <x:c r="F9" t="n">
        <x:v>20</x:v>
      </x:c>
      <x:c r="G9" t="n">
        <x:v>14</x:v>
      </x:c>
      <x:c r="H9" t="n">
        <x:v>6</x:v>
      </x:c>
      <x:c r="I9" s="11" t="str">
        <x:v>six rigs, utilities, exclusions and recovery</x:v>
      </x:c>
    </x:row>
    <x:row r="10" ht="41" customHeight="1">
      <x:c r="B10" t="str">
        <x:v>ANN-04</x:v>
      </x:c>
      <x:c r="C10" t="str">
        <x:v>metrology and data</x:v>
      </x:c>
      <x:c r="D10" t="n">
        <x:v>1</x:v>
      </x:c>
      <x:c r="E10" t="n">
        <x:v>10</x:v>
      </x:c>
      <x:c r="F10" t="n">
        <x:v>10</x:v>
      </x:c>
      <x:c r="G10" t="n">
        <x:v>6</x:v>
      </x:c>
      <x:c r="H10" t="n">
        <x:v>4</x:v>
      </x:c>
      <x:c r="I10" s="11" t="str">
        <x:v>calibration, native custody and estimator reproduction</x:v>
      </x:c>
    </x:row>
    <x:row r="11" ht="41" customHeight="1">
      <x:c r="B11" t="str">
        <x:v>ANN-05</x:v>
      </x:c>
      <x:c r="C11" t="str">
        <x:v>robotics maintenance and rehearsal</x:v>
      </x:c>
      <x:c r="D11" t="n">
        <x:v>1</x:v>
      </x:c>
      <x:c r="E11" t="n">
        <x:v>12</x:v>
      </x:c>
      <x:c r="F11" t="n">
        <x:v>12</x:v>
      </x:c>
      <x:c r="G11" t="n">
        <x:v>5</x:v>
      </x:c>
      <x:c r="H11" t="n">
        <x:v>7</x:v>
      </x:c>
      <x:c r="I11" s="11" t="str">
        <x:v>remote systems, spares and casualty exercises</x:v>
      </x:c>
    </x:row>
    <x:row r="12" ht="41" customHeight="1">
      <x:c r="B12" t="str">
        <x:v>ANN-06</x:v>
      </x:c>
      <x:c r="C12" t="str">
        <x:v>environmental recovery and waste</x:v>
      </x:c>
      <x:c r="D12" t="n">
        <x:v>1</x:v>
      </x:c>
      <x:c r="E12" t="n">
        <x:v>10</x:v>
      </x:c>
      <x:c r="F12" t="n">
        <x:v>10</x:v>
      </x:c>
      <x:c r="G12" t="n">
        <x:v>5</x:v>
      </x:c>
      <x:c r="H12" t="n">
        <x:v>5</x:v>
      </x:c>
      <x:c r="I12" s="11" t="str">
        <x:v>phase recovery, treatment and governed disposal</x:v>
      </x:c>
    </x:row>
    <x:row r="13" ht="41" customHeight="1">
      <x:c r="B13" t="str">
        <x:v>ANN-07</x:v>
      </x:c>
      <x:c r="C13" t="str">
        <x:v>independent review</x:v>
      </x:c>
      <x:c r="D13" t="n">
        <x:v>1</x:v>
      </x:c>
      <x:c r="E13" t="n">
        <x:v>8</x:v>
      </x:c>
      <x:c r="F13" t="n">
        <x:v>8</x:v>
      </x:c>
      <x:c r="G13" t="n">
        <x:v>5</x:v>
      </x:c>
      <x:c r="H13" t="n">
        <x:v>3</x:v>
      </x:c>
      <x:c r="I13" s="11" t="str">
        <x:v>validity, outcome, environmental and minority record</x:v>
      </x:c>
    </x:row>
    <x:row r="14" ht="41" customHeight="1">
      <x:c r="B14" t="str">
        <x:v>ANN-08</x:v>
      </x:c>
      <x:c r="C14" t="str">
        <x:v>annual uncertainty allocation</x:v>
      </x:c>
      <x:c r="D14" t="n">
        <x:v>1</x:v>
      </x:c>
      <x:c r="E14" t="n">
        <x:v>16</x:v>
      </x:c>
      <x:c r="F14" t="n">
        <x:v>16</x:v>
      </x:c>
      <x:c r="G14" t="n">
        <x:v>9</x:v>
      </x:c>
      <x:c r="H14" t="n">
        <x:v>7</x:v>
      </x:c>
      <x:c r="I14" s="11" t="str">
        <x:v>controlled allocation released by operating authority</x:v>
      </x:c>
    </x:row>
    <x:row r="16">
      <x:c r="B16" s="14" t="str">
        <x:v>Total</x:v>
      </x:c>
      <x:c r="C16" s="14"/>
      <x:c r="D16" s="14"/>
      <x:c r="E16" s="14"/>
      <x:c r="F16" s="14" t="n">
        <x:f>SUM(F7:F14)</x:f>
        <x:v>178</x:v>
      </x:c>
      <x:c r="G16" s="14" t="n">
        <x:f>SUM(G7:G14)</x:f>
        <x:v>108</x:v>
      </x:c>
      <x:c r="H16" s="14" t="n">
        <x:f>SUM(H7:H14)</x:f>
        <x:v>70</x:v>
      </x:c>
      <x:c r="I16" s="14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3" hidden="0" customWidth="1"/>
    <x:col min="4" max="4" width="24" hidden="0" customWidth="1"/>
    <x:col min="5" max="5" width="78" hidden="0" customWidth="1"/>
  </x:cols>
  <x:sheetData>
    <x:row r="2">
      <x:c r="B2" s="1" t="str">
        <x:v>Corrected portfolio boundary</x:v>
      </x:c>
    </x:row>
    <x:row r="3">
      <x:c r="B3" s="2" t="str">
        <x:v>Gross, overlap and net-new views remain separate.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View</x:v>
      </x:c>
      <x:c r="C6" s="7" t="str">
        <x:v>Capital USD M</x:v>
      </x:c>
      <x:c r="D6" s="7" t="str">
        <x:v>Annual USD M/year</x:v>
      </x:c>
      <x:c r="E6" s="7" t="str">
        <x:v>Interpretation</x:v>
      </x:c>
    </x:row>
    <x:row r="7" ht="40" customHeight="1">
      <x:c r="B7" t="str">
        <x:v>RFA-1 gross</x:v>
      </x:c>
      <x:c r="C7" s="15" t="n">
        <x:f>Capital!F18</x:f>
        <x:v>1080</x:v>
      </x:c>
      <x:c r="D7" s="15" t="n">
        <x:f>'Annual Support'!F16</x:f>
        <x:v>178</x:v>
      </x:c>
      <x:c r="E7" s="11" t="str">
        <x:v>full Root A technology and method program</x:v>
      </x:c>
    </x:row>
    <x:row r="8" ht="40" customHeight="1">
      <x:c r="B8" t="str">
        <x:v>RFA-1 CISA share</x:v>
      </x:c>
      <x:c r="C8" s="15" t="n">
        <x:f>Capital!G18</x:f>
        <x:v>650</x:v>
      </x:c>
      <x:c r="D8" s="15" t="n">
        <x:f>'Annual Support'!G16</x:f>
        <x:v>108</x:v>
      </x:c>
      <x:c r="E8" s="11" t="str">
        <x:v>Root A source, fire and recovery responsibility</x:v>
      </x:c>
    </x:row>
    <x:row r="9" ht="40" customHeight="1">
      <x:c r="B9" t="str">
        <x:v>RFA-1 shared share</x:v>
      </x:c>
      <x:c r="C9" s="15" t="n">
        <x:f>Capital!H18</x:f>
        <x:v>430</x:v>
      </x:c>
      <x:c r="D9" s="15" t="n">
        <x:f>'Annual Support'!H16</x:f>
        <x:v>70</x:v>
      </x:c>
      <x:c r="E9" s="11" t="str">
        <x:v>robotics, environmental science, metrology and evidence</x:v>
      </x:c>
    </x:row>
    <x:row r="10" ht="40" customHeight="1">
      <x:c r="B10" t="str">
        <x:v>registered overlap</x:v>
      </x:c>
      <x:c r="C10" s="15" t="n">
        <x:f>Controls!$D$41</x:f>
        <x:v>320</x:v>
      </x:c>
      <x:c r="D10" s="15" t="n">
        <x:f>Controls!$D$42</x:f>
        <x:v>110</x:v>
      </x:c>
      <x:c r="E10" s="11" t="str">
        <x:v>already registered in prior source-boundary and test-estate work</x:v>
      </x:c>
    </x:row>
    <x:row r="11" ht="40" customHeight="1">
      <x:c r="B11" t="str">
        <x:v>CISA overlap</x:v>
      </x:c>
      <x:c r="C11" s="15" t="n">
        <x:f>Controls!$D$43</x:f>
        <x:v>190</x:v>
      </x:c>
      <x:c r="D11" s="15" t="n">
        <x:f>Controls!$D$44</x:f>
        <x:v>65</x:v>
      </x:c>
      <x:c r="E11" s="11" t="str">
        <x:v>already assigned to CISA</x:v>
      </x:c>
    </x:row>
    <x:row r="12" ht="40" customHeight="1">
      <x:c r="B12" t="str">
        <x:v>shared overlap</x:v>
      </x:c>
      <x:c r="C12" s="15" t="n">
        <x:f>Controls!$D$45</x:f>
        <x:v>130</x:v>
      </x:c>
      <x:c r="D12" s="15" t="n">
        <x:f>Controls!$D$46</x:f>
        <x:v>45</x:v>
      </x:c>
      <x:c r="E12" s="11" t="str">
        <x:v>already assigned to shared technology</x:v>
      </x:c>
    </x:row>
    <x:row r="13" ht="40" customHeight="1">
      <x:c r="B13" t="str">
        <x:v>net-new gross</x:v>
      </x:c>
      <x:c r="C13" s="15" t="n">
        <x:f>C7-C10</x:f>
        <x:v>760</x:v>
      </x:c>
      <x:c r="D13" s="15" t="n">
        <x:f>D7-D10</x:f>
        <x:v>68</x:v>
      </x:c>
      <x:c r="E13" s="11" t="str">
        <x:v>increment beyond registered boundary</x:v>
      </x:c>
    </x:row>
    <x:row r="14" ht="40" customHeight="1">
      <x:c r="B14" t="str">
        <x:v>net-new CISA</x:v>
      </x:c>
      <x:c r="C14" s="15" t="n">
        <x:f>C8-C11</x:f>
        <x:v>460</x:v>
      </x:c>
      <x:c r="D14" s="15" t="n">
        <x:f>D8-D11</x:f>
        <x:v>43</x:v>
      </x:c>
      <x:c r="E14" s="11" t="str">
        <x:v>increment assigned to CISA</x:v>
      </x:c>
    </x:row>
    <x:row r="15" ht="40" customHeight="1">
      <x:c r="B15" t="str">
        <x:v>net-new shared</x:v>
      </x:c>
      <x:c r="C15" s="15" t="n">
        <x:f>C9-C12</x:f>
        <x:v>300</x:v>
      </x:c>
      <x:c r="D15" s="15" t="n">
        <x:f>D9-D12</x:f>
        <x:v>25</x:v>
      </x:c>
      <x:c r="E15" s="11" t="str">
        <x:v>increment assigned to shared technology</x:v>
      </x:c>
    </x:row>
    <x:row r="16" ht="40" customHeight="1">
      <x:c r="B16" t="str">
        <x:v>BRD-9R</x:v>
      </x:c>
      <x:c r="C16" s="15" t="n">
        <x:f>Controls!$D$47+C13</x:f>
        <x:v>2195</x:v>
      </x:c>
      <x:c r="D16" s="15" t="n">
        <x:f>Controls!$D$48+D13</x:f>
        <x:v>372</x:v>
      </x:c>
      <x:c r="E16" s="11" t="str">
        <x:v>corrected resilience planning boundary</x:v>
      </x:c>
    </x:row>
    <x:row r="17" ht="40" customHeight="1">
      <x:c r="B17" t="str">
        <x:v>CISA parent deficit</x:v>
      </x:c>
      <x:c r="C17" s="15" t="n">
        <x:f>C16-Controls!$D$51</x:f>
        <x:v>1235</x:v>
      </x:c>
      <x:c r="D17" s="15" t="n">
        <x:f>D16-Controls!$D$52</x:f>
        <x:v>112</x:v>
      </x:c>
      <x:c r="E17" s="11" t="str">
        <x:v>difference to inherited parent ceiling</x:v>
      </x:c>
    </x:row>
    <x:row r="18" ht="40" customHeight="1">
      <x:c r="B18" t="str">
        <x:v>BRD-9U</x:v>
      </x:c>
      <x:c r="C18" s="15" t="n">
        <x:f>Controls!$D$49+C13</x:f>
        <x:v>2713</x:v>
      </x:c>
      <x:c r="D18" s="15" t="n">
        <x:f>Controls!$D$50+D13</x:f>
        <x:v>493</x:v>
      </x:c>
      <x:c r="E18" s="11" t="str">
        <x:v>upper planning boundary</x:v>
      </x:c>
    </x:row>
    <x:row r="19" ht="40" customHeight="1">
      <x:c r="B19" t="str">
        <x:v>42-month RFA exposure</x:v>
      </x:c>
      <x:c r="C19" s="15" t="n">
        <x:f>C7+D7*Controls!$D$33/12</x:f>
        <x:v>1703</x:v>
      </x:c>
      <x:c r="D19" s="15" t="str">
        <x:v>—</x:v>
      </x:c>
      <x:c r="E19" s="11" t="str">
        <x:v>capital plus three and one-half years annual support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5" hidden="0" customWidth="1"/>
    <x:col min="4" max="4" width="34" hidden="0" customWidth="1"/>
    <x:col min="5" max="5" width="50" hidden="0" customWidth="1"/>
    <x:col min="6" max="6" width="13" hidden="0" customWidth="1"/>
    <x:col min="7" max="7" width="13" hidden="0" customWidth="1"/>
    <x:col min="8" max="8" width="13" hidden="0" customWidth="1"/>
    <x:col min="9" max="9" width="28" hidden="0" customWidth="1"/>
    <x:col min="10" max="10" width="14" hidden="0" customWidth="1"/>
  </x:cols>
  <x:sheetData>
    <x:row r="2">
      <x:c r="B2" s="1" t="str">
        <x:v>Conjunctive Root A release ledger</x:v>
      </x:c>
    </x:row>
    <x:row r="3">
      <x:c r="B3" s="2" t="str">
        <x:v>Planning completion cannot grant physical qualification, source release or candidate selection.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Gate ID</x:v>
      </x:c>
      <x:c r="C6" s="7" t="str">
        <x:v>Class</x:v>
      </x:c>
      <x:c r="D6" s="7" t="str">
        <x:v>Requirement</x:v>
      </x:c>
      <x:c r="E6" s="7" t="str">
        <x:v>Evidence source</x:v>
      </x:c>
      <x:c r="F6" s="7" t="str">
        <x:v>Observed</x:v>
      </x:c>
      <x:c r="G6" s="7" t="str">
        <x:v>Required</x:v>
      </x:c>
      <x:c r="H6" s="7" t="str">
        <x:v>Comparator</x:v>
      </x:c>
      <x:c r="I6" s="7" t="str">
        <x:v>Owner</x:v>
      </x:c>
      <x:c r="J6" s="7" t="str">
        <x:v>State</x:v>
      </x:c>
    </x:row>
    <x:row r="7">
      <x:c r="B7" t="str">
        <x:v>PLN-001</x:v>
      </x:c>
      <x:c r="C7" t="str">
        <x:v>PLANNING</x:v>
      </x:c>
      <x:c r="D7" t="str">
        <x:v>candidate</x:v>
      </x:c>
      <x:c r="E7" t="str">
        <x:v>Candidate Matrix · candidate 1</x:v>
      </x:c>
      <x:c r="F7" t="n">
        <x:f>Controls!$D$53</x:f>
        <x:v>1</x:v>
      </x:c>
      <x:c r="G7" t="n">
        <x:v>1</x:v>
      </x:c>
      <x:c r="H7" t="str">
        <x:v>equals</x:v>
      </x:c>
      <x:c r="I7" t="str">
        <x:v>RFA design authority</x:v>
      </x:c>
      <x:c r="J7" t="str">
        <x:f>IF(F7=1,"PASS","GAP")</x:f>
        <x:v>PASS</x:v>
      </x:c>
    </x:row>
    <x:row r="8">
      <x:c r="B8" t="str">
        <x:v>PLN-002</x:v>
      </x:c>
      <x:c r="C8" t="str">
        <x:v>PLANNING</x:v>
      </x:c>
      <x:c r="D8" t="str">
        <x:v>candidate</x:v>
      </x:c>
      <x:c r="E8" t="str">
        <x:v>Candidate Matrix · candidate 2</x:v>
      </x:c>
      <x:c r="F8" t="n">
        <x:f>Controls!$D$53</x:f>
        <x:v>1</x:v>
      </x:c>
      <x:c r="G8" t="n">
        <x:v>1</x:v>
      </x:c>
      <x:c r="H8" t="str">
        <x:v>equals</x:v>
      </x:c>
      <x:c r="I8" t="str">
        <x:v>RFA design authority</x:v>
      </x:c>
      <x:c r="J8" t="str">
        <x:f>IF(F8=1,"PASS","GAP")</x:f>
        <x:v>PASS</x:v>
      </x:c>
    </x:row>
    <x:row r="9">
      <x:c r="B9" t="str">
        <x:v>PLN-003</x:v>
      </x:c>
      <x:c r="C9" t="str">
        <x:v>PLANNING</x:v>
      </x:c>
      <x:c r="D9" t="str">
        <x:v>candidate</x:v>
      </x:c>
      <x:c r="E9" t="str">
        <x:v>Candidate Matrix · candidate 3</x:v>
      </x:c>
      <x:c r="F9" t="n">
        <x:f>Controls!$D$53</x:f>
        <x:v>1</x:v>
      </x:c>
      <x:c r="G9" t="n">
        <x:v>1</x:v>
      </x:c>
      <x:c r="H9" t="str">
        <x:v>equals</x:v>
      </x:c>
      <x:c r="I9" t="str">
        <x:v>RFA design authority</x:v>
      </x:c>
      <x:c r="J9" t="str">
        <x:f>IF(F9=1,"PASS","GAP")</x:f>
        <x:v>PASS</x:v>
      </x:c>
    </x:row>
    <x:row r="10">
      <x:c r="B10" t="str">
        <x:v>PLN-004</x:v>
      </x:c>
      <x:c r="C10" t="str">
        <x:v>PLANNING</x:v>
      </x:c>
      <x:c r="D10" t="str">
        <x:v>article</x:v>
      </x:c>
      <x:c r="E10" t="str">
        <x:v>Article Bank · article 1</x:v>
      </x:c>
      <x:c r="F10" t="n">
        <x:f>Controls!$D$53</x:f>
        <x:v>1</x:v>
      </x:c>
      <x:c r="G10" t="n">
        <x:v>1</x:v>
      </x:c>
      <x:c r="H10" t="str">
        <x:v>equals</x:v>
      </x:c>
      <x:c r="I10" t="str">
        <x:v>RFA design authority</x:v>
      </x:c>
      <x:c r="J10" t="str">
        <x:f>IF(F10=1,"PASS","GAP")</x:f>
        <x:v>PASS</x:v>
      </x:c>
    </x:row>
    <x:row r="11">
      <x:c r="B11" t="str">
        <x:v>PLN-005</x:v>
      </x:c>
      <x:c r="C11" t="str">
        <x:v>PLANNING</x:v>
      </x:c>
      <x:c r="D11" t="str">
        <x:v>article</x:v>
      </x:c>
      <x:c r="E11" t="str">
        <x:v>Article Bank · article 2</x:v>
      </x:c>
      <x:c r="F11" t="n">
        <x:f>Controls!$D$53</x:f>
        <x:v>1</x:v>
      </x:c>
      <x:c r="G11" t="n">
        <x:v>1</x:v>
      </x:c>
      <x:c r="H11" t="str">
        <x:v>equals</x:v>
      </x:c>
      <x:c r="I11" t="str">
        <x:v>RFA design authority</x:v>
      </x:c>
      <x:c r="J11" t="str">
        <x:f>IF(F11=1,"PASS","GAP")</x:f>
        <x:v>PASS</x:v>
      </x:c>
    </x:row>
    <x:row r="12">
      <x:c r="B12" t="str">
        <x:v>PLN-006</x:v>
      </x:c>
      <x:c r="C12" t="str">
        <x:v>PLANNING</x:v>
      </x:c>
      <x:c r="D12" t="str">
        <x:v>article</x:v>
      </x:c>
      <x:c r="E12" t="str">
        <x:v>Article Bank · article 3</x:v>
      </x:c>
      <x:c r="F12" t="n">
        <x:f>Controls!$D$53</x:f>
        <x:v>1</x:v>
      </x:c>
      <x:c r="G12" t="n">
        <x:v>1</x:v>
      </x:c>
      <x:c r="H12" t="str">
        <x:v>equals</x:v>
      </x:c>
      <x:c r="I12" t="str">
        <x:v>RFA design authority</x:v>
      </x:c>
      <x:c r="J12" t="str">
        <x:f>IF(F12=1,"PASS","GAP")</x:f>
        <x:v>PASS</x:v>
      </x:c>
    </x:row>
    <x:row r="13">
      <x:c r="B13" t="str">
        <x:v>PLN-007</x:v>
      </x:c>
      <x:c r="C13" t="str">
        <x:v>PLANNING</x:v>
      </x:c>
      <x:c r="D13" t="str">
        <x:v>article</x:v>
      </x:c>
      <x:c r="E13" t="str">
        <x:v>Article Bank · article 4</x:v>
      </x:c>
      <x:c r="F13" t="n">
        <x:f>Controls!$D$53</x:f>
        <x:v>1</x:v>
      </x:c>
      <x:c r="G13" t="n">
        <x:v>1</x:v>
      </x:c>
      <x:c r="H13" t="str">
        <x:v>equals</x:v>
      </x:c>
      <x:c r="I13" t="str">
        <x:v>RFA design authority</x:v>
      </x:c>
      <x:c r="J13" t="str">
        <x:f>IF(F13=1,"PASS","GAP")</x:f>
        <x:v>PASS</x:v>
      </x:c>
    </x:row>
    <x:row r="14">
      <x:c r="B14" t="str">
        <x:v>PLN-008</x:v>
      </x:c>
      <x:c r="C14" t="str">
        <x:v>PLANNING</x:v>
      </x:c>
      <x:c r="D14" t="str">
        <x:v>article</x:v>
      </x:c>
      <x:c r="E14" t="str">
        <x:v>Article Bank · article 5</x:v>
      </x:c>
      <x:c r="F14" t="n">
        <x:f>Controls!$D$53</x:f>
        <x:v>1</x:v>
      </x:c>
      <x:c r="G14" t="n">
        <x:v>1</x:v>
      </x:c>
      <x:c r="H14" t="str">
        <x:v>equals</x:v>
      </x:c>
      <x:c r="I14" t="str">
        <x:v>RFA design authority</x:v>
      </x:c>
      <x:c r="J14" t="str">
        <x:f>IF(F14=1,"PASS","GAP")</x:f>
        <x:v>PASS</x:v>
      </x:c>
    </x:row>
    <x:row r="15">
      <x:c r="B15" t="str">
        <x:v>PLN-009</x:v>
      </x:c>
      <x:c r="C15" t="str">
        <x:v>PLANNING</x:v>
      </x:c>
      <x:c r="D15" t="str">
        <x:v>article</x:v>
      </x:c>
      <x:c r="E15" t="str">
        <x:v>Article Bank · article 6</x:v>
      </x:c>
      <x:c r="F15" t="n">
        <x:f>Controls!$D$53</x:f>
        <x:v>1</x:v>
      </x:c>
      <x:c r="G15" t="n">
        <x:v>1</x:v>
      </x:c>
      <x:c r="H15" t="str">
        <x:v>equals</x:v>
      </x:c>
      <x:c r="I15" t="str">
        <x:v>RFA design authority</x:v>
      </x:c>
      <x:c r="J15" t="str">
        <x:f>IF(F15=1,"PASS","GAP")</x:f>
        <x:v>PASS</x:v>
      </x:c>
    </x:row>
    <x:row r="16">
      <x:c r="B16" t="str">
        <x:v>PLN-010</x:v>
      </x:c>
      <x:c r="C16" t="str">
        <x:v>PLANNING</x:v>
      </x:c>
      <x:c r="D16" t="str">
        <x:v>article</x:v>
      </x:c>
      <x:c r="E16" t="str">
        <x:v>Article Bank · article 7</x:v>
      </x:c>
      <x:c r="F16" t="n">
        <x:f>Controls!$D$53</x:f>
        <x:v>1</x:v>
      </x:c>
      <x:c r="G16" t="n">
        <x:v>1</x:v>
      </x:c>
      <x:c r="H16" t="str">
        <x:v>equals</x:v>
      </x:c>
      <x:c r="I16" t="str">
        <x:v>RFA design authority</x:v>
      </x:c>
      <x:c r="J16" t="str">
        <x:f>IF(F16=1,"PASS","GAP")</x:f>
        <x:v>PASS</x:v>
      </x:c>
    </x:row>
    <x:row r="17">
      <x:c r="B17" t="str">
        <x:v>PLN-011</x:v>
      </x:c>
      <x:c r="C17" t="str">
        <x:v>PLANNING</x:v>
      </x:c>
      <x:c r="D17" t="str">
        <x:v>article</x:v>
      </x:c>
      <x:c r="E17" t="str">
        <x:v>Article Bank · article 8</x:v>
      </x:c>
      <x:c r="F17" t="n">
        <x:f>Controls!$D$53</x:f>
        <x:v>1</x:v>
      </x:c>
      <x:c r="G17" t="n">
        <x:v>1</x:v>
      </x:c>
      <x:c r="H17" t="str">
        <x:v>equals</x:v>
      </x:c>
      <x:c r="I17" t="str">
        <x:v>RFA design authority</x:v>
      </x:c>
      <x:c r="J17" t="str">
        <x:f>IF(F17=1,"PASS","GAP")</x:f>
        <x:v>PASS</x:v>
      </x:c>
    </x:row>
    <x:row r="18">
      <x:c r="B18" t="str">
        <x:v>PLN-012</x:v>
      </x:c>
      <x:c r="C18" t="str">
        <x:v>PLANNING</x:v>
      </x:c>
      <x:c r="D18" t="str">
        <x:v>article</x:v>
      </x:c>
      <x:c r="E18" t="str">
        <x:v>Article Bank · article 9</x:v>
      </x:c>
      <x:c r="F18" t="n">
        <x:f>Controls!$D$53</x:f>
        <x:v>1</x:v>
      </x:c>
      <x:c r="G18" t="n">
        <x:v>1</x:v>
      </x:c>
      <x:c r="H18" t="str">
        <x:v>equals</x:v>
      </x:c>
      <x:c r="I18" t="str">
        <x:v>RFA design authority</x:v>
      </x:c>
      <x:c r="J18" t="str">
        <x:f>IF(F18=1,"PASS","GAP")</x:f>
        <x:v>PASS</x:v>
      </x:c>
    </x:row>
    <x:row r="19">
      <x:c r="B19" t="str">
        <x:v>PLN-013</x:v>
      </x:c>
      <x:c r="C19" t="str">
        <x:v>PLANNING</x:v>
      </x:c>
      <x:c r="D19" t="str">
        <x:v>article</x:v>
      </x:c>
      <x:c r="E19" t="str">
        <x:v>Article Bank · article 10</x:v>
      </x:c>
      <x:c r="F19" t="n">
        <x:f>Controls!$D$53</x:f>
        <x:v>1</x:v>
      </x:c>
      <x:c r="G19" t="n">
        <x:v>1</x:v>
      </x:c>
      <x:c r="H19" t="str">
        <x:v>equals</x:v>
      </x:c>
      <x:c r="I19" t="str">
        <x:v>RFA design authority</x:v>
      </x:c>
      <x:c r="J19" t="str">
        <x:f>IF(F19=1,"PASS","GAP")</x:f>
        <x:v>PASS</x:v>
      </x:c>
    </x:row>
    <x:row r="20">
      <x:c r="B20" t="str">
        <x:v>PLN-014</x:v>
      </x:c>
      <x:c r="C20" t="str">
        <x:v>PLANNING</x:v>
      </x:c>
      <x:c r="D20" t="str">
        <x:v>article</x:v>
      </x:c>
      <x:c r="E20" t="str">
        <x:v>Article Bank · article 11</x:v>
      </x:c>
      <x:c r="F20" t="n">
        <x:f>Controls!$D$53</x:f>
        <x:v>1</x:v>
      </x:c>
      <x:c r="G20" t="n">
        <x:v>1</x:v>
      </x:c>
      <x:c r="H20" t="str">
        <x:v>equals</x:v>
      </x:c>
      <x:c r="I20" t="str">
        <x:v>RFA design authority</x:v>
      </x:c>
      <x:c r="J20" t="str">
        <x:f>IF(F20=1,"PASS","GAP")</x:f>
        <x:v>PASS</x:v>
      </x:c>
    </x:row>
    <x:row r="21">
      <x:c r="B21" t="str">
        <x:v>PLN-015</x:v>
      </x:c>
      <x:c r="C21" t="str">
        <x:v>PLANNING</x:v>
      </x:c>
      <x:c r="D21" t="str">
        <x:v>article</x:v>
      </x:c>
      <x:c r="E21" t="str">
        <x:v>Article Bank · article 12</x:v>
      </x:c>
      <x:c r="F21" t="n">
        <x:f>Controls!$D$53</x:f>
        <x:v>1</x:v>
      </x:c>
      <x:c r="G21" t="n">
        <x:v>1</x:v>
      </x:c>
      <x:c r="H21" t="str">
        <x:v>equals</x:v>
      </x:c>
      <x:c r="I21" t="str">
        <x:v>RFA design authority</x:v>
      </x:c>
      <x:c r="J21" t="str">
        <x:f>IF(F21=1,"PASS","GAP")</x:f>
        <x:v>PASS</x:v>
      </x:c>
    </x:row>
    <x:row r="22">
      <x:c r="B22" t="str">
        <x:v>PLN-016</x:v>
      </x:c>
      <x:c r="C22" t="str">
        <x:v>PLANNING</x:v>
      </x:c>
      <x:c r="D22" t="str">
        <x:v>article</x:v>
      </x:c>
      <x:c r="E22" t="str">
        <x:v>Article Bank · article 13</x:v>
      </x:c>
      <x:c r="F22" t="n">
        <x:f>Controls!$D$53</x:f>
        <x:v>1</x:v>
      </x:c>
      <x:c r="G22" t="n">
        <x:v>1</x:v>
      </x:c>
      <x:c r="H22" t="str">
        <x:v>equals</x:v>
      </x:c>
      <x:c r="I22" t="str">
        <x:v>RFA design authority</x:v>
      </x:c>
      <x:c r="J22" t="str">
        <x:f>IF(F22=1,"PASS","GAP")</x:f>
        <x:v>PASS</x:v>
      </x:c>
    </x:row>
    <x:row r="23">
      <x:c r="B23" t="str">
        <x:v>PLN-017</x:v>
      </x:c>
      <x:c r="C23" t="str">
        <x:v>PLANNING</x:v>
      </x:c>
      <x:c r="D23" t="str">
        <x:v>article</x:v>
      </x:c>
      <x:c r="E23" t="str">
        <x:v>Article Bank · article 14</x:v>
      </x:c>
      <x:c r="F23" t="n">
        <x:f>Controls!$D$53</x:f>
        <x:v>1</x:v>
      </x:c>
      <x:c r="G23" t="n">
        <x:v>1</x:v>
      </x:c>
      <x:c r="H23" t="str">
        <x:v>equals</x:v>
      </x:c>
      <x:c r="I23" t="str">
        <x:v>RFA design authority</x:v>
      </x:c>
      <x:c r="J23" t="str">
        <x:f>IF(F23=1,"PASS","GAP")</x:f>
        <x:v>PASS</x:v>
      </x:c>
    </x:row>
    <x:row r="24">
      <x:c r="B24" t="str">
        <x:v>PLN-018</x:v>
      </x:c>
      <x:c r="C24" t="str">
        <x:v>PLANNING</x:v>
      </x:c>
      <x:c r="D24" t="str">
        <x:v>article</x:v>
      </x:c>
      <x:c r="E24" t="str">
        <x:v>Article Bank · article 15</x:v>
      </x:c>
      <x:c r="F24" t="n">
        <x:f>Controls!$D$53</x:f>
        <x:v>1</x:v>
      </x:c>
      <x:c r="G24" t="n">
        <x:v>1</x:v>
      </x:c>
      <x:c r="H24" t="str">
        <x:v>equals</x:v>
      </x:c>
      <x:c r="I24" t="str">
        <x:v>RFA design authority</x:v>
      </x:c>
      <x:c r="J24" t="str">
        <x:f>IF(F24=1,"PASS","GAP")</x:f>
        <x:v>PASS</x:v>
      </x:c>
    </x:row>
    <x:row r="25">
      <x:c r="B25" t="str">
        <x:v>PLN-019</x:v>
      </x:c>
      <x:c r="C25" t="str">
        <x:v>PLANNING</x:v>
      </x:c>
      <x:c r="D25" t="str">
        <x:v>article</x:v>
      </x:c>
      <x:c r="E25" t="str">
        <x:v>Article Bank · article 16</x:v>
      </x:c>
      <x:c r="F25" t="n">
        <x:f>Controls!$D$53</x:f>
        <x:v>1</x:v>
      </x:c>
      <x:c r="G25" t="n">
        <x:v>1</x:v>
      </x:c>
      <x:c r="H25" t="str">
        <x:v>equals</x:v>
      </x:c>
      <x:c r="I25" t="str">
        <x:v>RFA design authority</x:v>
      </x:c>
      <x:c r="J25" t="str">
        <x:f>IF(F25=1,"PASS","GAP")</x:f>
        <x:v>PASS</x:v>
      </x:c>
    </x:row>
    <x:row r="26">
      <x:c r="B26" t="str">
        <x:v>PLN-020</x:v>
      </x:c>
      <x:c r="C26" t="str">
        <x:v>PLANNING</x:v>
      </x:c>
      <x:c r="D26" t="str">
        <x:v>article</x:v>
      </x:c>
      <x:c r="E26" t="str">
        <x:v>Article Bank · article 17</x:v>
      </x:c>
      <x:c r="F26" t="n">
        <x:f>Controls!$D$53</x:f>
        <x:v>1</x:v>
      </x:c>
      <x:c r="G26" t="n">
        <x:v>1</x:v>
      </x:c>
      <x:c r="H26" t="str">
        <x:v>equals</x:v>
      </x:c>
      <x:c r="I26" t="str">
        <x:v>RFA design authority</x:v>
      </x:c>
      <x:c r="J26" t="str">
        <x:f>IF(F26=1,"PASS","GAP")</x:f>
        <x:v>PASS</x:v>
      </x:c>
    </x:row>
    <x:row r="27">
      <x:c r="B27" t="str">
        <x:v>PLN-021</x:v>
      </x:c>
      <x:c r="C27" t="str">
        <x:v>PLANNING</x:v>
      </x:c>
      <x:c r="D27" t="str">
        <x:v>article</x:v>
      </x:c>
      <x:c r="E27" t="str">
        <x:v>Article Bank · article 18</x:v>
      </x:c>
      <x:c r="F27" t="n">
        <x:f>Controls!$D$53</x:f>
        <x:v>1</x:v>
      </x:c>
      <x:c r="G27" t="n">
        <x:v>1</x:v>
      </x:c>
      <x:c r="H27" t="str">
        <x:v>equals</x:v>
      </x:c>
      <x:c r="I27" t="str">
        <x:v>RFA design authority</x:v>
      </x:c>
      <x:c r="J27" t="str">
        <x:f>IF(F27=1,"PASS","GAP")</x:f>
        <x:v>PASS</x:v>
      </x:c>
    </x:row>
    <x:row r="28">
      <x:c r="B28" t="str">
        <x:v>PLN-022</x:v>
      </x:c>
      <x:c r="C28" t="str">
        <x:v>PLANNING</x:v>
      </x:c>
      <x:c r="D28" t="str">
        <x:v>article</x:v>
      </x:c>
      <x:c r="E28" t="str">
        <x:v>Article Bank · article 19</x:v>
      </x:c>
      <x:c r="F28" t="n">
        <x:f>Controls!$D$53</x:f>
        <x:v>1</x:v>
      </x:c>
      <x:c r="G28" t="n">
        <x:v>1</x:v>
      </x:c>
      <x:c r="H28" t="str">
        <x:v>equals</x:v>
      </x:c>
      <x:c r="I28" t="str">
        <x:v>RFA design authority</x:v>
      </x:c>
      <x:c r="J28" t="str">
        <x:f>IF(F28=1,"PASS","GAP")</x:f>
        <x:v>PASS</x:v>
      </x:c>
    </x:row>
    <x:row r="29">
      <x:c r="B29" t="str">
        <x:v>PLN-023</x:v>
      </x:c>
      <x:c r="C29" t="str">
        <x:v>PLANNING</x:v>
      </x:c>
      <x:c r="D29" t="str">
        <x:v>article</x:v>
      </x:c>
      <x:c r="E29" t="str">
        <x:v>Article Bank · article 20</x:v>
      </x:c>
      <x:c r="F29" t="n">
        <x:f>Controls!$D$53</x:f>
        <x:v>1</x:v>
      </x:c>
      <x:c r="G29" t="n">
        <x:v>1</x:v>
      </x:c>
      <x:c r="H29" t="str">
        <x:v>equals</x:v>
      </x:c>
      <x:c r="I29" t="str">
        <x:v>RFA design authority</x:v>
      </x:c>
      <x:c r="J29" t="str">
        <x:f>IF(F29=1,"PASS","GAP")</x:f>
        <x:v>PASS</x:v>
      </x:c>
    </x:row>
    <x:row r="30">
      <x:c r="B30" t="str">
        <x:v>PLN-024</x:v>
      </x:c>
      <x:c r="C30" t="str">
        <x:v>PLANNING</x:v>
      </x:c>
      <x:c r="D30" t="str">
        <x:v>article</x:v>
      </x:c>
      <x:c r="E30" t="str">
        <x:v>Article Bank · article 21</x:v>
      </x:c>
      <x:c r="F30" t="n">
        <x:f>Controls!$D$53</x:f>
        <x:v>1</x:v>
      </x:c>
      <x:c r="G30" t="n">
        <x:v>1</x:v>
      </x:c>
      <x:c r="H30" t="str">
        <x:v>equals</x:v>
      </x:c>
      <x:c r="I30" t="str">
        <x:v>RFA design authority</x:v>
      </x:c>
      <x:c r="J30" t="str">
        <x:f>IF(F30=1,"PASS","GAP")</x:f>
        <x:v>PASS</x:v>
      </x:c>
    </x:row>
    <x:row r="31">
      <x:c r="B31" t="str">
        <x:v>PLN-025</x:v>
      </x:c>
      <x:c r="C31" t="str">
        <x:v>PLANNING</x:v>
      </x:c>
      <x:c r="D31" t="str">
        <x:v>article</x:v>
      </x:c>
      <x:c r="E31" t="str">
        <x:v>Article Bank · article 22</x:v>
      </x:c>
      <x:c r="F31" t="n">
        <x:f>Controls!$D$53</x:f>
        <x:v>1</x:v>
      </x:c>
      <x:c r="G31" t="n">
        <x:v>1</x:v>
      </x:c>
      <x:c r="H31" t="str">
        <x:v>equals</x:v>
      </x:c>
      <x:c r="I31" t="str">
        <x:v>RFA design authority</x:v>
      </x:c>
      <x:c r="J31" t="str">
        <x:f>IF(F31=1,"PASS","GAP")</x:f>
        <x:v>PASS</x:v>
      </x:c>
    </x:row>
    <x:row r="32">
      <x:c r="B32" t="str">
        <x:v>PLN-026</x:v>
      </x:c>
      <x:c r="C32" t="str">
        <x:v>PLANNING</x:v>
      </x:c>
      <x:c r="D32" t="str">
        <x:v>article</x:v>
      </x:c>
      <x:c r="E32" t="str">
        <x:v>Article Bank · article 23</x:v>
      </x:c>
      <x:c r="F32" t="n">
        <x:f>Controls!$D$53</x:f>
        <x:v>1</x:v>
      </x:c>
      <x:c r="G32" t="n">
        <x:v>1</x:v>
      </x:c>
      <x:c r="H32" t="str">
        <x:v>equals</x:v>
      </x:c>
      <x:c r="I32" t="str">
        <x:v>RFA design authority</x:v>
      </x:c>
      <x:c r="J32" t="str">
        <x:f>IF(F32=1,"PASS","GAP")</x:f>
        <x:v>PASS</x:v>
      </x:c>
    </x:row>
    <x:row r="33">
      <x:c r="B33" t="str">
        <x:v>PLN-027</x:v>
      </x:c>
      <x:c r="C33" t="str">
        <x:v>PLANNING</x:v>
      </x:c>
      <x:c r="D33" t="str">
        <x:v>article</x:v>
      </x:c>
      <x:c r="E33" t="str">
        <x:v>Article Bank · article 24</x:v>
      </x:c>
      <x:c r="F33" t="n">
        <x:f>Controls!$D$53</x:f>
        <x:v>1</x:v>
      </x:c>
      <x:c r="G33" t="n">
        <x:v>1</x:v>
      </x:c>
      <x:c r="H33" t="str">
        <x:v>equals</x:v>
      </x:c>
      <x:c r="I33" t="str">
        <x:v>RFA design authority</x:v>
      </x:c>
      <x:c r="J33" t="str">
        <x:f>IF(F33=1,"PASS","GAP")</x:f>
        <x:v>PASS</x:v>
      </x:c>
    </x:row>
    <x:row r="34">
      <x:c r="B34" t="str">
        <x:v>PLN-028</x:v>
      </x:c>
      <x:c r="C34" t="str">
        <x:v>PLANNING</x:v>
      </x:c>
      <x:c r="D34" t="str">
        <x:v>article</x:v>
      </x:c>
      <x:c r="E34" t="str">
        <x:v>Article Bank · article 25</x:v>
      </x:c>
      <x:c r="F34" t="n">
        <x:f>Controls!$D$53</x:f>
        <x:v>1</x:v>
      </x:c>
      <x:c r="G34" t="n">
        <x:v>1</x:v>
      </x:c>
      <x:c r="H34" t="str">
        <x:v>equals</x:v>
      </x:c>
      <x:c r="I34" t="str">
        <x:v>RFA design authority</x:v>
      </x:c>
      <x:c r="J34" t="str">
        <x:f>IF(F34=1,"PASS","GAP")</x:f>
        <x:v>PASS</x:v>
      </x:c>
    </x:row>
    <x:row r="35">
      <x:c r="B35" t="str">
        <x:v>PLN-029</x:v>
      </x:c>
      <x:c r="C35" t="str">
        <x:v>PLANNING</x:v>
      </x:c>
      <x:c r="D35" t="str">
        <x:v>article</x:v>
      </x:c>
      <x:c r="E35" t="str">
        <x:v>Article Bank · article 26</x:v>
      </x:c>
      <x:c r="F35" t="n">
        <x:f>Controls!$D$53</x:f>
        <x:v>1</x:v>
      </x:c>
      <x:c r="G35" t="n">
        <x:v>1</x:v>
      </x:c>
      <x:c r="H35" t="str">
        <x:v>equals</x:v>
      </x:c>
      <x:c r="I35" t="str">
        <x:v>RFA design authority</x:v>
      </x:c>
      <x:c r="J35" t="str">
        <x:f>IF(F35=1,"PASS","GAP")</x:f>
        <x:v>PASS</x:v>
      </x:c>
    </x:row>
    <x:row r="36">
      <x:c r="B36" t="str">
        <x:v>PLN-030</x:v>
      </x:c>
      <x:c r="C36" t="str">
        <x:v>PLANNING</x:v>
      </x:c>
      <x:c r="D36" t="str">
        <x:v>article</x:v>
      </x:c>
      <x:c r="E36" t="str">
        <x:v>Article Bank · article 27</x:v>
      </x:c>
      <x:c r="F36" t="n">
        <x:f>Controls!$D$53</x:f>
        <x:v>1</x:v>
      </x:c>
      <x:c r="G36" t="n">
        <x:v>1</x:v>
      </x:c>
      <x:c r="H36" t="str">
        <x:v>equals</x:v>
      </x:c>
      <x:c r="I36" t="str">
        <x:v>RFA design authority</x:v>
      </x:c>
      <x:c r="J36" t="str">
        <x:f>IF(F36=1,"PASS","GAP")</x:f>
        <x:v>PASS</x:v>
      </x:c>
    </x:row>
    <x:row r="37">
      <x:c r="B37" t="str">
        <x:v>PLN-031</x:v>
      </x:c>
      <x:c r="C37" t="str">
        <x:v>PLANNING</x:v>
      </x:c>
      <x:c r="D37" t="str">
        <x:v>article</x:v>
      </x:c>
      <x:c r="E37" t="str">
        <x:v>Article Bank · article 28</x:v>
      </x:c>
      <x:c r="F37" t="n">
        <x:f>Controls!$D$53</x:f>
        <x:v>1</x:v>
      </x:c>
      <x:c r="G37" t="n">
        <x:v>1</x:v>
      </x:c>
      <x:c r="H37" t="str">
        <x:v>equals</x:v>
      </x:c>
      <x:c r="I37" t="str">
        <x:v>RFA design authority</x:v>
      </x:c>
      <x:c r="J37" t="str">
        <x:f>IF(F37=1,"PASS","GAP")</x:f>
        <x:v>PASS</x:v>
      </x:c>
    </x:row>
    <x:row r="38">
      <x:c r="B38" t="str">
        <x:v>PLN-032</x:v>
      </x:c>
      <x:c r="C38" t="str">
        <x:v>PLANNING</x:v>
      </x:c>
      <x:c r="D38" t="str">
        <x:v>article</x:v>
      </x:c>
      <x:c r="E38" t="str">
        <x:v>Article Bank · article 29</x:v>
      </x:c>
      <x:c r="F38" t="n">
        <x:f>Controls!$D$53</x:f>
        <x:v>1</x:v>
      </x:c>
      <x:c r="G38" t="n">
        <x:v>1</x:v>
      </x:c>
      <x:c r="H38" t="str">
        <x:v>equals</x:v>
      </x:c>
      <x:c r="I38" t="str">
        <x:v>RFA design authority</x:v>
      </x:c>
      <x:c r="J38" t="str">
        <x:f>IF(F38=1,"PASS","GAP")</x:f>
        <x:v>PASS</x:v>
      </x:c>
    </x:row>
    <x:row r="39">
      <x:c r="B39" t="str">
        <x:v>PLN-033</x:v>
      </x:c>
      <x:c r="C39" t="str">
        <x:v>PLANNING</x:v>
      </x:c>
      <x:c r="D39" t="str">
        <x:v>article</x:v>
      </x:c>
      <x:c r="E39" t="str">
        <x:v>Article Bank · article 30</x:v>
      </x:c>
      <x:c r="F39" t="n">
        <x:f>Controls!$D$53</x:f>
        <x:v>1</x:v>
      </x:c>
      <x:c r="G39" t="n">
        <x:v>1</x:v>
      </x:c>
      <x:c r="H39" t="str">
        <x:v>equals</x:v>
      </x:c>
      <x:c r="I39" t="str">
        <x:v>RFA design authority</x:v>
      </x:c>
      <x:c r="J39" t="str">
        <x:f>IF(F39=1,"PASS","GAP")</x:f>
        <x:v>PASS</x:v>
      </x:c>
    </x:row>
    <x:row r="40">
      <x:c r="B40" t="str">
        <x:v>PLN-034</x:v>
      </x:c>
      <x:c r="C40" t="str">
        <x:v>PLANNING</x:v>
      </x:c>
      <x:c r="D40" t="str">
        <x:v>article</x:v>
      </x:c>
      <x:c r="E40" t="str">
        <x:v>Article Bank · article 31</x:v>
      </x:c>
      <x:c r="F40" t="n">
        <x:f>Controls!$D$53</x:f>
        <x:v>1</x:v>
      </x:c>
      <x:c r="G40" t="n">
        <x:v>1</x:v>
      </x:c>
      <x:c r="H40" t="str">
        <x:v>equals</x:v>
      </x:c>
      <x:c r="I40" t="str">
        <x:v>RFA design authority</x:v>
      </x:c>
      <x:c r="J40" t="str">
        <x:f>IF(F40=1,"PASS","GAP")</x:f>
        <x:v>PASS</x:v>
      </x:c>
    </x:row>
    <x:row r="41">
      <x:c r="B41" t="str">
        <x:v>PLN-035</x:v>
      </x:c>
      <x:c r="C41" t="str">
        <x:v>PLANNING</x:v>
      </x:c>
      <x:c r="D41" t="str">
        <x:v>article</x:v>
      </x:c>
      <x:c r="E41" t="str">
        <x:v>Article Bank · article 32</x:v>
      </x:c>
      <x:c r="F41" t="n">
        <x:f>Controls!$D$53</x:f>
        <x:v>1</x:v>
      </x:c>
      <x:c r="G41" t="n">
        <x:v>1</x:v>
      </x:c>
      <x:c r="H41" t="str">
        <x:v>equals</x:v>
      </x:c>
      <x:c r="I41" t="str">
        <x:v>RFA design authority</x:v>
      </x:c>
      <x:c r="J41" t="str">
        <x:f>IF(F41=1,"PASS","GAP")</x:f>
        <x:v>PASS</x:v>
      </x:c>
    </x:row>
    <x:row r="42">
      <x:c r="B42" t="str">
        <x:v>PLN-036</x:v>
      </x:c>
      <x:c r="C42" t="str">
        <x:v>PLANNING</x:v>
      </x:c>
      <x:c r="D42" t="str">
        <x:v>article</x:v>
      </x:c>
      <x:c r="E42" t="str">
        <x:v>Article Bank · article 33</x:v>
      </x:c>
      <x:c r="F42" t="n">
        <x:f>Controls!$D$53</x:f>
        <x:v>1</x:v>
      </x:c>
      <x:c r="G42" t="n">
        <x:v>1</x:v>
      </x:c>
      <x:c r="H42" t="str">
        <x:v>equals</x:v>
      </x:c>
      <x:c r="I42" t="str">
        <x:v>RFA design authority</x:v>
      </x:c>
      <x:c r="J42" t="str">
        <x:f>IF(F42=1,"PASS","GAP")</x:f>
        <x:v>PASS</x:v>
      </x:c>
    </x:row>
    <x:row r="43">
      <x:c r="B43" t="str">
        <x:v>PLN-037</x:v>
      </x:c>
      <x:c r="C43" t="str">
        <x:v>PLANNING</x:v>
      </x:c>
      <x:c r="D43" t="str">
        <x:v>article</x:v>
      </x:c>
      <x:c r="E43" t="str">
        <x:v>Article Bank · article 34</x:v>
      </x:c>
      <x:c r="F43" t="n">
        <x:f>Controls!$D$53</x:f>
        <x:v>1</x:v>
      </x:c>
      <x:c r="G43" t="n">
        <x:v>1</x:v>
      </x:c>
      <x:c r="H43" t="str">
        <x:v>equals</x:v>
      </x:c>
      <x:c r="I43" t="str">
        <x:v>RFA design authority</x:v>
      </x:c>
      <x:c r="J43" t="str">
        <x:f>IF(F43=1,"PASS","GAP")</x:f>
        <x:v>PASS</x:v>
      </x:c>
    </x:row>
    <x:row r="44">
      <x:c r="B44" t="str">
        <x:v>PLN-038</x:v>
      </x:c>
      <x:c r="C44" t="str">
        <x:v>PLANNING</x:v>
      </x:c>
      <x:c r="D44" t="str">
        <x:v>article</x:v>
      </x:c>
      <x:c r="E44" t="str">
        <x:v>Article Bank · article 35</x:v>
      </x:c>
      <x:c r="F44" t="n">
        <x:f>Controls!$D$53</x:f>
        <x:v>1</x:v>
      </x:c>
      <x:c r="G44" t="n">
        <x:v>1</x:v>
      </x:c>
      <x:c r="H44" t="str">
        <x:v>equals</x:v>
      </x:c>
      <x:c r="I44" t="str">
        <x:v>RFA design authority</x:v>
      </x:c>
      <x:c r="J44" t="str">
        <x:f>IF(F44=1,"PASS","GAP")</x:f>
        <x:v>PASS</x:v>
      </x:c>
    </x:row>
    <x:row r="45">
      <x:c r="B45" t="str">
        <x:v>PLN-039</x:v>
      </x:c>
      <x:c r="C45" t="str">
        <x:v>PLANNING</x:v>
      </x:c>
      <x:c r="D45" t="str">
        <x:v>article</x:v>
      </x:c>
      <x:c r="E45" t="str">
        <x:v>Article Bank · article 36</x:v>
      </x:c>
      <x:c r="F45" t="n">
        <x:f>Controls!$D$53</x:f>
        <x:v>1</x:v>
      </x:c>
      <x:c r="G45" t="n">
        <x:v>1</x:v>
      </x:c>
      <x:c r="H45" t="str">
        <x:v>equals</x:v>
      </x:c>
      <x:c r="I45" t="str">
        <x:v>RFA design authority</x:v>
      </x:c>
      <x:c r="J45" t="str">
        <x:f>IF(F45=1,"PASS","GAP")</x:f>
        <x:v>PASS</x:v>
      </x:c>
    </x:row>
    <x:row r="46">
      <x:c r="B46" t="str">
        <x:v>PLN-040</x:v>
      </x:c>
      <x:c r="C46" t="str">
        <x:v>PLANNING</x:v>
      </x:c>
      <x:c r="D46" t="str">
        <x:v>article</x:v>
      </x:c>
      <x:c r="E46" t="str">
        <x:v>Article Bank · article 37</x:v>
      </x:c>
      <x:c r="F46" t="n">
        <x:f>Controls!$D$53</x:f>
        <x:v>1</x:v>
      </x:c>
      <x:c r="G46" t="n">
        <x:v>1</x:v>
      </x:c>
      <x:c r="H46" t="str">
        <x:v>equals</x:v>
      </x:c>
      <x:c r="I46" t="str">
        <x:v>RFA design authority</x:v>
      </x:c>
      <x:c r="J46" t="str">
        <x:f>IF(F46=1,"PASS","GAP")</x:f>
        <x:v>PASS</x:v>
      </x:c>
    </x:row>
    <x:row r="47">
      <x:c r="B47" t="str">
        <x:v>PLN-041</x:v>
      </x:c>
      <x:c r="C47" t="str">
        <x:v>PLANNING</x:v>
      </x:c>
      <x:c r="D47" t="str">
        <x:v>article</x:v>
      </x:c>
      <x:c r="E47" t="str">
        <x:v>Article Bank · article 38</x:v>
      </x:c>
      <x:c r="F47" t="n">
        <x:f>Controls!$D$53</x:f>
        <x:v>1</x:v>
      </x:c>
      <x:c r="G47" t="n">
        <x:v>1</x:v>
      </x:c>
      <x:c r="H47" t="str">
        <x:v>equals</x:v>
      </x:c>
      <x:c r="I47" t="str">
        <x:v>RFA design authority</x:v>
      </x:c>
      <x:c r="J47" t="str">
        <x:f>IF(F47=1,"PASS","GAP")</x:f>
        <x:v>PASS</x:v>
      </x:c>
    </x:row>
    <x:row r="48">
      <x:c r="B48" t="str">
        <x:v>PLN-042</x:v>
      </x:c>
      <x:c r="C48" t="str">
        <x:v>PLANNING</x:v>
      </x:c>
      <x:c r="D48" t="str">
        <x:v>article</x:v>
      </x:c>
      <x:c r="E48" t="str">
        <x:v>Article Bank · article 39</x:v>
      </x:c>
      <x:c r="F48" t="n">
        <x:f>Controls!$D$53</x:f>
        <x:v>1</x:v>
      </x:c>
      <x:c r="G48" t="n">
        <x:v>1</x:v>
      </x:c>
      <x:c r="H48" t="str">
        <x:v>equals</x:v>
      </x:c>
      <x:c r="I48" t="str">
        <x:v>RFA design authority</x:v>
      </x:c>
      <x:c r="J48" t="str">
        <x:f>IF(F48=1,"PASS","GAP")</x:f>
        <x:v>PASS</x:v>
      </x:c>
    </x:row>
    <x:row r="49">
      <x:c r="B49" t="str">
        <x:v>PLN-043</x:v>
      </x:c>
      <x:c r="C49" t="str">
        <x:v>PLANNING</x:v>
      </x:c>
      <x:c r="D49" t="str">
        <x:v>article</x:v>
      </x:c>
      <x:c r="E49" t="str">
        <x:v>Article Bank · article 40</x:v>
      </x:c>
      <x:c r="F49" t="n">
        <x:f>Controls!$D$53</x:f>
        <x:v>1</x:v>
      </x:c>
      <x:c r="G49" t="n">
        <x:v>1</x:v>
      </x:c>
      <x:c r="H49" t="str">
        <x:v>equals</x:v>
      </x:c>
      <x:c r="I49" t="str">
        <x:v>RFA design authority</x:v>
      </x:c>
      <x:c r="J49" t="str">
        <x:f>IF(F49=1,"PASS","GAP")</x:f>
        <x:v>PASS</x:v>
      </x:c>
    </x:row>
    <x:row r="50">
      <x:c r="B50" t="str">
        <x:v>PLN-044</x:v>
      </x:c>
      <x:c r="C50" t="str">
        <x:v>PLANNING</x:v>
      </x:c>
      <x:c r="D50" t="str">
        <x:v>article</x:v>
      </x:c>
      <x:c r="E50" t="str">
        <x:v>Article Bank · article 41</x:v>
      </x:c>
      <x:c r="F50" t="n">
        <x:f>Controls!$D$53</x:f>
        <x:v>1</x:v>
      </x:c>
      <x:c r="G50" t="n">
        <x:v>1</x:v>
      </x:c>
      <x:c r="H50" t="str">
        <x:v>equals</x:v>
      </x:c>
      <x:c r="I50" t="str">
        <x:v>RFA design authority</x:v>
      </x:c>
      <x:c r="J50" t="str">
        <x:f>IF(F50=1,"PASS","GAP")</x:f>
        <x:v>PASS</x:v>
      </x:c>
    </x:row>
    <x:row r="51">
      <x:c r="B51" t="str">
        <x:v>PLN-045</x:v>
      </x:c>
      <x:c r="C51" t="str">
        <x:v>PLANNING</x:v>
      </x:c>
      <x:c r="D51" t="str">
        <x:v>article</x:v>
      </x:c>
      <x:c r="E51" t="str">
        <x:v>Article Bank · article 42</x:v>
      </x:c>
      <x:c r="F51" t="n">
        <x:f>Controls!$D$53</x:f>
        <x:v>1</x:v>
      </x:c>
      <x:c r="G51" t="n">
        <x:v>1</x:v>
      </x:c>
      <x:c r="H51" t="str">
        <x:v>equals</x:v>
      </x:c>
      <x:c r="I51" t="str">
        <x:v>RFA design authority</x:v>
      </x:c>
      <x:c r="J51" t="str">
        <x:f>IF(F51=1,"PASS","GAP")</x:f>
        <x:v>PASS</x:v>
      </x:c>
    </x:row>
    <x:row r="52">
      <x:c r="B52" t="str">
        <x:v>PLN-046</x:v>
      </x:c>
      <x:c r="C52" t="str">
        <x:v>PLANNING</x:v>
      </x:c>
      <x:c r="D52" t="str">
        <x:v>article</x:v>
      </x:c>
      <x:c r="E52" t="str">
        <x:v>Article Bank · article 43</x:v>
      </x:c>
      <x:c r="F52" t="n">
        <x:f>Controls!$D$53</x:f>
        <x:v>1</x:v>
      </x:c>
      <x:c r="G52" t="n">
        <x:v>1</x:v>
      </x:c>
      <x:c r="H52" t="str">
        <x:v>equals</x:v>
      </x:c>
      <x:c r="I52" t="str">
        <x:v>RFA design authority</x:v>
      </x:c>
      <x:c r="J52" t="str">
        <x:f>IF(F52=1,"PASS","GAP")</x:f>
        <x:v>PASS</x:v>
      </x:c>
    </x:row>
    <x:row r="53">
      <x:c r="B53" t="str">
        <x:v>PLN-047</x:v>
      </x:c>
      <x:c r="C53" t="str">
        <x:v>PLANNING</x:v>
      </x:c>
      <x:c r="D53" t="str">
        <x:v>article</x:v>
      </x:c>
      <x:c r="E53" t="str">
        <x:v>Article Bank · article 44</x:v>
      </x:c>
      <x:c r="F53" t="n">
        <x:f>Controls!$D$53</x:f>
        <x:v>1</x:v>
      </x:c>
      <x:c r="G53" t="n">
        <x:v>1</x:v>
      </x:c>
      <x:c r="H53" t="str">
        <x:v>equals</x:v>
      </x:c>
      <x:c r="I53" t="str">
        <x:v>RFA design authority</x:v>
      </x:c>
      <x:c r="J53" t="str">
        <x:f>IF(F53=1,"PASS","GAP")</x:f>
        <x:v>PASS</x:v>
      </x:c>
    </x:row>
    <x:row r="54">
      <x:c r="B54" t="str">
        <x:v>PLN-048</x:v>
      </x:c>
      <x:c r="C54" t="str">
        <x:v>PLANNING</x:v>
      </x:c>
      <x:c r="D54" t="str">
        <x:v>article</x:v>
      </x:c>
      <x:c r="E54" t="str">
        <x:v>Article Bank · article 45</x:v>
      </x:c>
      <x:c r="F54" t="n">
        <x:f>Controls!$D$53</x:f>
        <x:v>1</x:v>
      </x:c>
      <x:c r="G54" t="n">
        <x:v>1</x:v>
      </x:c>
      <x:c r="H54" t="str">
        <x:v>equals</x:v>
      </x:c>
      <x:c r="I54" t="str">
        <x:v>RFA design authority</x:v>
      </x:c>
      <x:c r="J54" t="str">
        <x:f>IF(F54=1,"PASS","GAP")</x:f>
        <x:v>PASS</x:v>
      </x:c>
    </x:row>
    <x:row r="55">
      <x:c r="B55" t="str">
        <x:v>PLN-049</x:v>
      </x:c>
      <x:c r="C55" t="str">
        <x:v>PLANNING</x:v>
      </x:c>
      <x:c r="D55" t="str">
        <x:v>article</x:v>
      </x:c>
      <x:c r="E55" t="str">
        <x:v>Article Bank · article 46</x:v>
      </x:c>
      <x:c r="F55" t="n">
        <x:f>Controls!$D$53</x:f>
        <x:v>1</x:v>
      </x:c>
      <x:c r="G55" t="n">
        <x:v>1</x:v>
      </x:c>
      <x:c r="H55" t="str">
        <x:v>equals</x:v>
      </x:c>
      <x:c r="I55" t="str">
        <x:v>RFA design authority</x:v>
      </x:c>
      <x:c r="J55" t="str">
        <x:f>IF(F55=1,"PASS","GAP")</x:f>
        <x:v>PASS</x:v>
      </x:c>
    </x:row>
    <x:row r="56">
      <x:c r="B56" t="str">
        <x:v>PLN-050</x:v>
      </x:c>
      <x:c r="C56" t="str">
        <x:v>PLANNING</x:v>
      </x:c>
      <x:c r="D56" t="str">
        <x:v>article</x:v>
      </x:c>
      <x:c r="E56" t="str">
        <x:v>Article Bank · article 47</x:v>
      </x:c>
      <x:c r="F56" t="n">
        <x:f>Controls!$D$53</x:f>
        <x:v>1</x:v>
      </x:c>
      <x:c r="G56" t="n">
        <x:v>1</x:v>
      </x:c>
      <x:c r="H56" t="str">
        <x:v>equals</x:v>
      </x:c>
      <x:c r="I56" t="str">
        <x:v>RFA design authority</x:v>
      </x:c>
      <x:c r="J56" t="str">
        <x:f>IF(F56=1,"PASS","GAP")</x:f>
        <x:v>PASS</x:v>
      </x:c>
    </x:row>
    <x:row r="57">
      <x:c r="B57" t="str">
        <x:v>PLN-051</x:v>
      </x:c>
      <x:c r="C57" t="str">
        <x:v>PLANNING</x:v>
      </x:c>
      <x:c r="D57" t="str">
        <x:v>article</x:v>
      </x:c>
      <x:c r="E57" t="str">
        <x:v>Article Bank · article 48</x:v>
      </x:c>
      <x:c r="F57" t="n">
        <x:f>Controls!$D$53</x:f>
        <x:v>1</x:v>
      </x:c>
      <x:c r="G57" t="n">
        <x:v>1</x:v>
      </x:c>
      <x:c r="H57" t="str">
        <x:v>equals</x:v>
      </x:c>
      <x:c r="I57" t="str">
        <x:v>RFA design authority</x:v>
      </x:c>
      <x:c r="J57" t="str">
        <x:f>IF(F57=1,"PASS","GAP")</x:f>
        <x:v>PASS</x:v>
      </x:c>
    </x:row>
    <x:row r="58">
      <x:c r="B58" t="str">
        <x:v>PLN-052</x:v>
      </x:c>
      <x:c r="C58" t="str">
        <x:v>PLANNING</x:v>
      </x:c>
      <x:c r="D58" t="str">
        <x:v>method</x:v>
      </x:c>
      <x:c r="E58" t="str">
        <x:v>Method Matrix · method 1</x:v>
      </x:c>
      <x:c r="F58" t="n">
        <x:f>Controls!$D$53</x:f>
        <x:v>1</x:v>
      </x:c>
      <x:c r="G58" t="n">
        <x:v>1</x:v>
      </x:c>
      <x:c r="H58" t="str">
        <x:v>equals</x:v>
      </x:c>
      <x:c r="I58" t="str">
        <x:v>RFA design authority</x:v>
      </x:c>
      <x:c r="J58" t="str">
        <x:f>IF(F58=1,"PASS","GAP")</x:f>
        <x:v>PASS</x:v>
      </x:c>
    </x:row>
    <x:row r="59">
      <x:c r="B59" t="str">
        <x:v>PLN-053</x:v>
      </x:c>
      <x:c r="C59" t="str">
        <x:v>PLANNING</x:v>
      </x:c>
      <x:c r="D59" t="str">
        <x:v>method</x:v>
      </x:c>
      <x:c r="E59" t="str">
        <x:v>Method Matrix · method 2</x:v>
      </x:c>
      <x:c r="F59" t="n">
        <x:f>Controls!$D$53</x:f>
        <x:v>1</x:v>
      </x:c>
      <x:c r="G59" t="n">
        <x:v>1</x:v>
      </x:c>
      <x:c r="H59" t="str">
        <x:v>equals</x:v>
      </x:c>
      <x:c r="I59" t="str">
        <x:v>RFA design authority</x:v>
      </x:c>
      <x:c r="J59" t="str">
        <x:f>IF(F59=1,"PASS","GAP")</x:f>
        <x:v>PASS</x:v>
      </x:c>
    </x:row>
    <x:row r="60">
      <x:c r="B60" t="str">
        <x:v>PLN-054</x:v>
      </x:c>
      <x:c r="C60" t="str">
        <x:v>PLANNING</x:v>
      </x:c>
      <x:c r="D60" t="str">
        <x:v>method</x:v>
      </x:c>
      <x:c r="E60" t="str">
        <x:v>Method Matrix · method 3</x:v>
      </x:c>
      <x:c r="F60" t="n">
        <x:f>Controls!$D$53</x:f>
        <x:v>1</x:v>
      </x:c>
      <x:c r="G60" t="n">
        <x:v>1</x:v>
      </x:c>
      <x:c r="H60" t="str">
        <x:v>equals</x:v>
      </x:c>
      <x:c r="I60" t="str">
        <x:v>RFA design authority</x:v>
      </x:c>
      <x:c r="J60" t="str">
        <x:f>IF(F60=1,"PASS","GAP")</x:f>
        <x:v>PASS</x:v>
      </x:c>
    </x:row>
    <x:row r="61">
      <x:c r="B61" t="str">
        <x:v>PLN-055</x:v>
      </x:c>
      <x:c r="C61" t="str">
        <x:v>PLANNING</x:v>
      </x:c>
      <x:c r="D61" t="str">
        <x:v>method</x:v>
      </x:c>
      <x:c r="E61" t="str">
        <x:v>Method Matrix · method 4</x:v>
      </x:c>
      <x:c r="F61" t="n">
        <x:f>Controls!$D$53</x:f>
        <x:v>1</x:v>
      </x:c>
      <x:c r="G61" t="n">
        <x:v>1</x:v>
      </x:c>
      <x:c r="H61" t="str">
        <x:v>equals</x:v>
      </x:c>
      <x:c r="I61" t="str">
        <x:v>RFA design authority</x:v>
      </x:c>
      <x:c r="J61" t="str">
        <x:f>IF(F61=1,"PASS","GAP")</x:f>
        <x:v>PASS</x:v>
      </x:c>
    </x:row>
    <x:row r="62">
      <x:c r="B62" t="str">
        <x:v>PLN-056</x:v>
      </x:c>
      <x:c r="C62" t="str">
        <x:v>PLANNING</x:v>
      </x:c>
      <x:c r="D62" t="str">
        <x:v>method</x:v>
      </x:c>
      <x:c r="E62" t="str">
        <x:v>Method Matrix · method 5</x:v>
      </x:c>
      <x:c r="F62" t="n">
        <x:f>Controls!$D$53</x:f>
        <x:v>1</x:v>
      </x:c>
      <x:c r="G62" t="n">
        <x:v>1</x:v>
      </x:c>
      <x:c r="H62" t="str">
        <x:v>equals</x:v>
      </x:c>
      <x:c r="I62" t="str">
        <x:v>RFA design authority</x:v>
      </x:c>
      <x:c r="J62" t="str">
        <x:f>IF(F62=1,"PASS","GAP")</x:f>
        <x:v>PASS</x:v>
      </x:c>
    </x:row>
    <x:row r="63">
      <x:c r="B63" t="str">
        <x:v>PLN-057</x:v>
      </x:c>
      <x:c r="C63" t="str">
        <x:v>PLANNING</x:v>
      </x:c>
      <x:c r="D63" t="str">
        <x:v>method</x:v>
      </x:c>
      <x:c r="E63" t="str">
        <x:v>Method Matrix · method 6</x:v>
      </x:c>
      <x:c r="F63" t="n">
        <x:f>Controls!$D$53</x:f>
        <x:v>1</x:v>
      </x:c>
      <x:c r="G63" t="n">
        <x:v>1</x:v>
      </x:c>
      <x:c r="H63" t="str">
        <x:v>equals</x:v>
      </x:c>
      <x:c r="I63" t="str">
        <x:v>RFA design authority</x:v>
      </x:c>
      <x:c r="J63" t="str">
        <x:f>IF(F63=1,"PASS","GAP")</x:f>
        <x:v>PASS</x:v>
      </x:c>
    </x:row>
    <x:row r="64">
      <x:c r="B64" t="str">
        <x:v>PLN-058</x:v>
      </x:c>
      <x:c r="C64" t="str">
        <x:v>PLANNING</x:v>
      </x:c>
      <x:c r="D64" t="str">
        <x:v>method</x:v>
      </x:c>
      <x:c r="E64" t="str">
        <x:v>Method Matrix · method 7</x:v>
      </x:c>
      <x:c r="F64" t="n">
        <x:f>Controls!$D$53</x:f>
        <x:v>1</x:v>
      </x:c>
      <x:c r="G64" t="n">
        <x:v>1</x:v>
      </x:c>
      <x:c r="H64" t="str">
        <x:v>equals</x:v>
      </x:c>
      <x:c r="I64" t="str">
        <x:v>RFA design authority</x:v>
      </x:c>
      <x:c r="J64" t="str">
        <x:f>IF(F64=1,"PASS","GAP")</x:f>
        <x:v>PASS</x:v>
      </x:c>
    </x:row>
    <x:row r="65">
      <x:c r="B65" t="str">
        <x:v>PLN-059</x:v>
      </x:c>
      <x:c r="C65" t="str">
        <x:v>PLANNING</x:v>
      </x:c>
      <x:c r="D65" t="str">
        <x:v>method</x:v>
      </x:c>
      <x:c r="E65" t="str">
        <x:v>Method Matrix · method 8</x:v>
      </x:c>
      <x:c r="F65" t="n">
        <x:f>Controls!$D$53</x:f>
        <x:v>1</x:v>
      </x:c>
      <x:c r="G65" t="n">
        <x:v>1</x:v>
      </x:c>
      <x:c r="H65" t="str">
        <x:v>equals</x:v>
      </x:c>
      <x:c r="I65" t="str">
        <x:v>RFA design authority</x:v>
      </x:c>
      <x:c r="J65" t="str">
        <x:f>IF(F65=1,"PASS","GAP")</x:f>
        <x:v>PASS</x:v>
      </x:c>
    </x:row>
    <x:row r="66">
      <x:c r="B66" t="str">
        <x:v>PLN-060</x:v>
      </x:c>
      <x:c r="C66" t="str">
        <x:v>PLANNING</x:v>
      </x:c>
      <x:c r="D66" t="str">
        <x:v>method</x:v>
      </x:c>
      <x:c r="E66" t="str">
        <x:v>Method Matrix · method 9</x:v>
      </x:c>
      <x:c r="F66" t="n">
        <x:f>Controls!$D$53</x:f>
        <x:v>1</x:v>
      </x:c>
      <x:c r="G66" t="n">
        <x:v>1</x:v>
      </x:c>
      <x:c r="H66" t="str">
        <x:v>equals</x:v>
      </x:c>
      <x:c r="I66" t="str">
        <x:v>RFA design authority</x:v>
      </x:c>
      <x:c r="J66" t="str">
        <x:f>IF(F66=1,"PASS","GAP")</x:f>
        <x:v>PASS</x:v>
      </x:c>
    </x:row>
    <x:row r="67">
      <x:c r="B67" t="str">
        <x:v>PLN-061</x:v>
      </x:c>
      <x:c r="C67" t="str">
        <x:v>PLANNING</x:v>
      </x:c>
      <x:c r="D67" t="str">
        <x:v>method</x:v>
      </x:c>
      <x:c r="E67" t="str">
        <x:v>Method Matrix · method 10</x:v>
      </x:c>
      <x:c r="F67" t="n">
        <x:f>Controls!$D$53</x:f>
        <x:v>1</x:v>
      </x:c>
      <x:c r="G67" t="n">
        <x:v>1</x:v>
      </x:c>
      <x:c r="H67" t="str">
        <x:v>equals</x:v>
      </x:c>
      <x:c r="I67" t="str">
        <x:v>RFA design authority</x:v>
      </x:c>
      <x:c r="J67" t="str">
        <x:f>IF(F67=1,"PASS","GAP")</x:f>
        <x:v>PASS</x:v>
      </x:c>
    </x:row>
    <x:row r="68">
      <x:c r="B68" t="str">
        <x:v>PLN-062</x:v>
      </x:c>
      <x:c r="C68" t="str">
        <x:v>PLANNING</x:v>
      </x:c>
      <x:c r="D68" t="str">
        <x:v>event</x:v>
      </x:c>
      <x:c r="E68" t="str">
        <x:v>Event Register · event 1</x:v>
      </x:c>
      <x:c r="F68" t="n">
        <x:f>Controls!$D$53</x:f>
        <x:v>1</x:v>
      </x:c>
      <x:c r="G68" t="n">
        <x:v>1</x:v>
      </x:c>
      <x:c r="H68" t="str">
        <x:v>equals</x:v>
      </x:c>
      <x:c r="I68" t="str">
        <x:v>RFA design authority</x:v>
      </x:c>
      <x:c r="J68" t="str">
        <x:f>IF(F68=1,"PASS","GAP")</x:f>
        <x:v>PASS</x:v>
      </x:c>
    </x:row>
    <x:row r="69">
      <x:c r="B69" t="str">
        <x:v>PLN-063</x:v>
      </x:c>
      <x:c r="C69" t="str">
        <x:v>PLANNING</x:v>
      </x:c>
      <x:c r="D69" t="str">
        <x:v>event</x:v>
      </x:c>
      <x:c r="E69" t="str">
        <x:v>Event Register · event 2</x:v>
      </x:c>
      <x:c r="F69" t="n">
        <x:f>Controls!$D$53</x:f>
        <x:v>1</x:v>
      </x:c>
      <x:c r="G69" t="n">
        <x:v>1</x:v>
      </x:c>
      <x:c r="H69" t="str">
        <x:v>equals</x:v>
      </x:c>
      <x:c r="I69" t="str">
        <x:v>RFA design authority</x:v>
      </x:c>
      <x:c r="J69" t="str">
        <x:f>IF(F69=1,"PASS","GAP")</x:f>
        <x:v>PASS</x:v>
      </x:c>
    </x:row>
    <x:row r="70">
      <x:c r="B70" t="str">
        <x:v>PLN-064</x:v>
      </x:c>
      <x:c r="C70" t="str">
        <x:v>PLANNING</x:v>
      </x:c>
      <x:c r="D70" t="str">
        <x:v>event</x:v>
      </x:c>
      <x:c r="E70" t="str">
        <x:v>Event Register · event 3</x:v>
      </x:c>
      <x:c r="F70" t="n">
        <x:f>Controls!$D$53</x:f>
        <x:v>1</x:v>
      </x:c>
      <x:c r="G70" t="n">
        <x:v>1</x:v>
      </x:c>
      <x:c r="H70" t="str">
        <x:v>equals</x:v>
      </x:c>
      <x:c r="I70" t="str">
        <x:v>RFA design authority</x:v>
      </x:c>
      <x:c r="J70" t="str">
        <x:f>IF(F70=1,"PASS","GAP")</x:f>
        <x:v>PASS</x:v>
      </x:c>
    </x:row>
    <x:row r="71">
      <x:c r="B71" t="str">
        <x:v>PLN-065</x:v>
      </x:c>
      <x:c r="C71" t="str">
        <x:v>PLANNING</x:v>
      </x:c>
      <x:c r="D71" t="str">
        <x:v>event</x:v>
      </x:c>
      <x:c r="E71" t="str">
        <x:v>Event Register · event 4</x:v>
      </x:c>
      <x:c r="F71" t="n">
        <x:f>Controls!$D$53</x:f>
        <x:v>1</x:v>
      </x:c>
      <x:c r="G71" t="n">
        <x:v>1</x:v>
      </x:c>
      <x:c r="H71" t="str">
        <x:v>equals</x:v>
      </x:c>
      <x:c r="I71" t="str">
        <x:v>RFA design authority</x:v>
      </x:c>
      <x:c r="J71" t="str">
        <x:f>IF(F71=1,"PASS","GAP")</x:f>
        <x:v>PASS</x:v>
      </x:c>
    </x:row>
    <x:row r="72">
      <x:c r="B72" t="str">
        <x:v>PLN-066</x:v>
      </x:c>
      <x:c r="C72" t="str">
        <x:v>PLANNING</x:v>
      </x:c>
      <x:c r="D72" t="str">
        <x:v>event</x:v>
      </x:c>
      <x:c r="E72" t="str">
        <x:v>Event Register · event 5</x:v>
      </x:c>
      <x:c r="F72" t="n">
        <x:f>Controls!$D$53</x:f>
        <x:v>1</x:v>
      </x:c>
      <x:c r="G72" t="n">
        <x:v>1</x:v>
      </x:c>
      <x:c r="H72" t="str">
        <x:v>equals</x:v>
      </x:c>
      <x:c r="I72" t="str">
        <x:v>RFA design authority</x:v>
      </x:c>
      <x:c r="J72" t="str">
        <x:f>IF(F72=1,"PASS","GAP")</x:f>
        <x:v>PASS</x:v>
      </x:c>
    </x:row>
    <x:row r="73">
      <x:c r="B73" t="str">
        <x:v>PLN-067</x:v>
      </x:c>
      <x:c r="C73" t="str">
        <x:v>PLANNING</x:v>
      </x:c>
      <x:c r="D73" t="str">
        <x:v>event</x:v>
      </x:c>
      <x:c r="E73" t="str">
        <x:v>Event Register · event 6</x:v>
      </x:c>
      <x:c r="F73" t="n">
        <x:f>Controls!$D$53</x:f>
        <x:v>1</x:v>
      </x:c>
      <x:c r="G73" t="n">
        <x:v>1</x:v>
      </x:c>
      <x:c r="H73" t="str">
        <x:v>equals</x:v>
      </x:c>
      <x:c r="I73" t="str">
        <x:v>RFA design authority</x:v>
      </x:c>
      <x:c r="J73" t="str">
        <x:f>IF(F73=1,"PASS","GAP")</x:f>
        <x:v>PASS</x:v>
      </x:c>
    </x:row>
    <x:row r="74">
      <x:c r="B74" t="str">
        <x:v>PLN-068</x:v>
      </x:c>
      <x:c r="C74" t="str">
        <x:v>PLANNING</x:v>
      </x:c>
      <x:c r="D74" t="str">
        <x:v>event</x:v>
      </x:c>
      <x:c r="E74" t="str">
        <x:v>Event Register · event 7</x:v>
      </x:c>
      <x:c r="F74" t="n">
        <x:f>Controls!$D$53</x:f>
        <x:v>1</x:v>
      </x:c>
      <x:c r="G74" t="n">
        <x:v>1</x:v>
      </x:c>
      <x:c r="H74" t="str">
        <x:v>equals</x:v>
      </x:c>
      <x:c r="I74" t="str">
        <x:v>RFA design authority</x:v>
      </x:c>
      <x:c r="J74" t="str">
        <x:f>IF(F74=1,"PASS","GAP")</x:f>
        <x:v>PASS</x:v>
      </x:c>
    </x:row>
    <x:row r="75">
      <x:c r="B75" t="str">
        <x:v>PLN-069</x:v>
      </x:c>
      <x:c r="C75" t="str">
        <x:v>PLANNING</x:v>
      </x:c>
      <x:c r="D75" t="str">
        <x:v>event</x:v>
      </x:c>
      <x:c r="E75" t="str">
        <x:v>Event Register · event 8</x:v>
      </x:c>
      <x:c r="F75" t="n">
        <x:f>Controls!$D$53</x:f>
        <x:v>1</x:v>
      </x:c>
      <x:c r="G75" t="n">
        <x:v>1</x:v>
      </x:c>
      <x:c r="H75" t="str">
        <x:v>equals</x:v>
      </x:c>
      <x:c r="I75" t="str">
        <x:v>RFA design authority</x:v>
      </x:c>
      <x:c r="J75" t="str">
        <x:f>IF(F75=1,"PASS","GAP")</x:f>
        <x:v>PASS</x:v>
      </x:c>
    </x:row>
    <x:row r="76">
      <x:c r="B76" t="str">
        <x:v>PLN-070</x:v>
      </x:c>
      <x:c r="C76" t="str">
        <x:v>PLANNING</x:v>
      </x:c>
      <x:c r="D76" t="str">
        <x:v>event</x:v>
      </x:c>
      <x:c r="E76" t="str">
        <x:v>Event Register · event 9</x:v>
      </x:c>
      <x:c r="F76" t="n">
        <x:f>Controls!$D$53</x:f>
        <x:v>1</x:v>
      </x:c>
      <x:c r="G76" t="n">
        <x:v>1</x:v>
      </x:c>
      <x:c r="H76" t="str">
        <x:v>equals</x:v>
      </x:c>
      <x:c r="I76" t="str">
        <x:v>RFA design authority</x:v>
      </x:c>
      <x:c r="J76" t="str">
        <x:f>IF(F76=1,"PASS","GAP")</x:f>
        <x:v>PASS</x:v>
      </x:c>
    </x:row>
    <x:row r="77">
      <x:c r="B77" t="str">
        <x:v>PLN-071</x:v>
      </x:c>
      <x:c r="C77" t="str">
        <x:v>PLANNING</x:v>
      </x:c>
      <x:c r="D77" t="str">
        <x:v>event</x:v>
      </x:c>
      <x:c r="E77" t="str">
        <x:v>Event Register · event 10</x:v>
      </x:c>
      <x:c r="F77" t="n">
        <x:f>Controls!$D$53</x:f>
        <x:v>1</x:v>
      </x:c>
      <x:c r="G77" t="n">
        <x:v>1</x:v>
      </x:c>
      <x:c r="H77" t="str">
        <x:v>equals</x:v>
      </x:c>
      <x:c r="I77" t="str">
        <x:v>RFA design authority</x:v>
      </x:c>
      <x:c r="J77" t="str">
        <x:f>IF(F77=1,"PASS","GAP")</x:f>
        <x:v>PASS</x:v>
      </x:c>
    </x:row>
    <x:row r="78">
      <x:c r="B78" t="str">
        <x:v>PLN-072</x:v>
      </x:c>
      <x:c r="C78" t="str">
        <x:v>PLANNING</x:v>
      </x:c>
      <x:c r="D78" t="str">
        <x:v>event</x:v>
      </x:c>
      <x:c r="E78" t="str">
        <x:v>Event Register · event 11</x:v>
      </x:c>
      <x:c r="F78" t="n">
        <x:f>Controls!$D$53</x:f>
        <x:v>1</x:v>
      </x:c>
      <x:c r="G78" t="n">
        <x:v>1</x:v>
      </x:c>
      <x:c r="H78" t="str">
        <x:v>equals</x:v>
      </x:c>
      <x:c r="I78" t="str">
        <x:v>RFA design authority</x:v>
      </x:c>
      <x:c r="J78" t="str">
        <x:f>IF(F78=1,"PASS","GAP")</x:f>
        <x:v>PASS</x:v>
      </x:c>
    </x:row>
    <x:row r="79">
      <x:c r="B79" t="str">
        <x:v>PLN-073</x:v>
      </x:c>
      <x:c r="C79" t="str">
        <x:v>PLANNING</x:v>
      </x:c>
      <x:c r="D79" t="str">
        <x:v>event</x:v>
      </x:c>
      <x:c r="E79" t="str">
        <x:v>Event Register · event 12</x:v>
      </x:c>
      <x:c r="F79" t="n">
        <x:f>Controls!$D$53</x:f>
        <x:v>1</x:v>
      </x:c>
      <x:c r="G79" t="n">
        <x:v>1</x:v>
      </x:c>
      <x:c r="H79" t="str">
        <x:v>equals</x:v>
      </x:c>
      <x:c r="I79" t="str">
        <x:v>RFA design authority</x:v>
      </x:c>
      <x:c r="J79" t="str">
        <x:f>IF(F79=1,"PASS","GAP")</x:f>
        <x:v>PASS</x:v>
      </x:c>
    </x:row>
    <x:row r="80">
      <x:c r="B80" t="str">
        <x:v>PLN-074</x:v>
      </x:c>
      <x:c r="C80" t="str">
        <x:v>PLANNING</x:v>
      </x:c>
      <x:c r="D80" t="str">
        <x:v>event</x:v>
      </x:c>
      <x:c r="E80" t="str">
        <x:v>Event Register · event 13</x:v>
      </x:c>
      <x:c r="F80" t="n">
        <x:f>Controls!$D$53</x:f>
        <x:v>1</x:v>
      </x:c>
      <x:c r="G80" t="n">
        <x:v>1</x:v>
      </x:c>
      <x:c r="H80" t="str">
        <x:v>equals</x:v>
      </x:c>
      <x:c r="I80" t="str">
        <x:v>RFA design authority</x:v>
      </x:c>
      <x:c r="J80" t="str">
        <x:f>IF(F80=1,"PASS","GAP")</x:f>
        <x:v>PASS</x:v>
      </x:c>
    </x:row>
    <x:row r="81">
      <x:c r="B81" t="str">
        <x:v>PLN-075</x:v>
      </x:c>
      <x:c r="C81" t="str">
        <x:v>PLANNING</x:v>
      </x:c>
      <x:c r="D81" t="str">
        <x:v>event</x:v>
      </x:c>
      <x:c r="E81" t="str">
        <x:v>Event Register · event 14</x:v>
      </x:c>
      <x:c r="F81" t="n">
        <x:f>Controls!$D$53</x:f>
        <x:v>1</x:v>
      </x:c>
      <x:c r="G81" t="n">
        <x:v>1</x:v>
      </x:c>
      <x:c r="H81" t="str">
        <x:v>equals</x:v>
      </x:c>
      <x:c r="I81" t="str">
        <x:v>RFA design authority</x:v>
      </x:c>
      <x:c r="J81" t="str">
        <x:f>IF(F81=1,"PASS","GAP")</x:f>
        <x:v>PASS</x:v>
      </x:c>
    </x:row>
    <x:row r="82">
      <x:c r="B82" t="str">
        <x:v>PLN-076</x:v>
      </x:c>
      <x:c r="C82" t="str">
        <x:v>PLANNING</x:v>
      </x:c>
      <x:c r="D82" t="str">
        <x:v>event</x:v>
      </x:c>
      <x:c r="E82" t="str">
        <x:v>Event Register · event 15</x:v>
      </x:c>
      <x:c r="F82" t="n">
        <x:f>Controls!$D$53</x:f>
        <x:v>1</x:v>
      </x:c>
      <x:c r="G82" t="n">
        <x:v>1</x:v>
      </x:c>
      <x:c r="H82" t="str">
        <x:v>equals</x:v>
      </x:c>
      <x:c r="I82" t="str">
        <x:v>RFA design authority</x:v>
      </x:c>
      <x:c r="J82" t="str">
        <x:f>IF(F82=1,"PASS","GAP")</x:f>
        <x:v>PASS</x:v>
      </x:c>
    </x:row>
    <x:row r="83">
      <x:c r="B83" t="str">
        <x:v>PLN-077</x:v>
      </x:c>
      <x:c r="C83" t="str">
        <x:v>PLANNING</x:v>
      </x:c>
      <x:c r="D83" t="str">
        <x:v>event</x:v>
      </x:c>
      <x:c r="E83" t="str">
        <x:v>Event Register · event 16</x:v>
      </x:c>
      <x:c r="F83" t="n">
        <x:f>Controls!$D$53</x:f>
        <x:v>1</x:v>
      </x:c>
      <x:c r="G83" t="n">
        <x:v>1</x:v>
      </x:c>
      <x:c r="H83" t="str">
        <x:v>equals</x:v>
      </x:c>
      <x:c r="I83" t="str">
        <x:v>RFA design authority</x:v>
      </x:c>
      <x:c r="J83" t="str">
        <x:f>IF(F83=1,"PASS","GAP")</x:f>
        <x:v>PASS</x:v>
      </x:c>
    </x:row>
    <x:row r="84">
      <x:c r="B84" t="str">
        <x:v>PLN-078</x:v>
      </x:c>
      <x:c r="C84" t="str">
        <x:v>PLANNING</x:v>
      </x:c>
      <x:c r="D84" t="str">
        <x:v>event</x:v>
      </x:c>
      <x:c r="E84" t="str">
        <x:v>Event Register · event 17</x:v>
      </x:c>
      <x:c r="F84" t="n">
        <x:f>Controls!$D$53</x:f>
        <x:v>1</x:v>
      </x:c>
      <x:c r="G84" t="n">
        <x:v>1</x:v>
      </x:c>
      <x:c r="H84" t="str">
        <x:v>equals</x:v>
      </x:c>
      <x:c r="I84" t="str">
        <x:v>RFA design authority</x:v>
      </x:c>
      <x:c r="J84" t="str">
        <x:f>IF(F84=1,"PASS","GAP")</x:f>
        <x:v>PASS</x:v>
      </x:c>
    </x:row>
    <x:row r="85">
      <x:c r="B85" t="str">
        <x:v>PLN-079</x:v>
      </x:c>
      <x:c r="C85" t="str">
        <x:v>PLANNING</x:v>
      </x:c>
      <x:c r="D85" t="str">
        <x:v>event</x:v>
      </x:c>
      <x:c r="E85" t="str">
        <x:v>Event Register · event 18</x:v>
      </x:c>
      <x:c r="F85" t="n">
        <x:f>Controls!$D$53</x:f>
        <x:v>1</x:v>
      </x:c>
      <x:c r="G85" t="n">
        <x:v>1</x:v>
      </x:c>
      <x:c r="H85" t="str">
        <x:v>equals</x:v>
      </x:c>
      <x:c r="I85" t="str">
        <x:v>RFA design authority</x:v>
      </x:c>
      <x:c r="J85" t="str">
        <x:f>IF(F85=1,"PASS","GAP")</x:f>
        <x:v>PASS</x:v>
      </x:c>
    </x:row>
    <x:row r="86">
      <x:c r="B86" t="str">
        <x:v>PLN-080</x:v>
      </x:c>
      <x:c r="C86" t="str">
        <x:v>PLANNING</x:v>
      </x:c>
      <x:c r="D86" t="str">
        <x:v>event</x:v>
      </x:c>
      <x:c r="E86" t="str">
        <x:v>Event Register · event 19</x:v>
      </x:c>
      <x:c r="F86" t="n">
        <x:f>Controls!$D$53</x:f>
        <x:v>1</x:v>
      </x:c>
      <x:c r="G86" t="n">
        <x:v>1</x:v>
      </x:c>
      <x:c r="H86" t="str">
        <x:v>equals</x:v>
      </x:c>
      <x:c r="I86" t="str">
        <x:v>RFA design authority</x:v>
      </x:c>
      <x:c r="J86" t="str">
        <x:f>IF(F86=1,"PASS","GAP")</x:f>
        <x:v>PASS</x:v>
      </x:c>
    </x:row>
    <x:row r="87">
      <x:c r="B87" t="str">
        <x:v>PLN-081</x:v>
      </x:c>
      <x:c r="C87" t="str">
        <x:v>PLANNING</x:v>
      </x:c>
      <x:c r="D87" t="str">
        <x:v>event</x:v>
      </x:c>
      <x:c r="E87" t="str">
        <x:v>Event Register · event 20</x:v>
      </x:c>
      <x:c r="F87" t="n">
        <x:f>Controls!$D$53</x:f>
        <x:v>1</x:v>
      </x:c>
      <x:c r="G87" t="n">
        <x:v>1</x:v>
      </x:c>
      <x:c r="H87" t="str">
        <x:v>equals</x:v>
      </x:c>
      <x:c r="I87" t="str">
        <x:v>RFA design authority</x:v>
      </x:c>
      <x:c r="J87" t="str">
        <x:f>IF(F87=1,"PASS","GAP")</x:f>
        <x:v>PASS</x:v>
      </x:c>
    </x:row>
    <x:row r="88">
      <x:c r="B88" t="str">
        <x:v>PLN-082</x:v>
      </x:c>
      <x:c r="C88" t="str">
        <x:v>PLANNING</x:v>
      </x:c>
      <x:c r="D88" t="str">
        <x:v>event</x:v>
      </x:c>
      <x:c r="E88" t="str">
        <x:v>Event Register · event 21</x:v>
      </x:c>
      <x:c r="F88" t="n">
        <x:f>Controls!$D$53</x:f>
        <x:v>1</x:v>
      </x:c>
      <x:c r="G88" t="n">
        <x:v>1</x:v>
      </x:c>
      <x:c r="H88" t="str">
        <x:v>equals</x:v>
      </x:c>
      <x:c r="I88" t="str">
        <x:v>RFA design authority</x:v>
      </x:c>
      <x:c r="J88" t="str">
        <x:f>IF(F88=1,"PASS","GAP")</x:f>
        <x:v>PASS</x:v>
      </x:c>
    </x:row>
    <x:row r="89">
      <x:c r="B89" t="str">
        <x:v>PLN-083</x:v>
      </x:c>
      <x:c r="C89" t="str">
        <x:v>PLANNING</x:v>
      </x:c>
      <x:c r="D89" t="str">
        <x:v>event</x:v>
      </x:c>
      <x:c r="E89" t="str">
        <x:v>Event Register · event 22</x:v>
      </x:c>
      <x:c r="F89" t="n">
        <x:f>Controls!$D$53</x:f>
        <x:v>1</x:v>
      </x:c>
      <x:c r="G89" t="n">
        <x:v>1</x:v>
      </x:c>
      <x:c r="H89" t="str">
        <x:v>equals</x:v>
      </x:c>
      <x:c r="I89" t="str">
        <x:v>RFA design authority</x:v>
      </x:c>
      <x:c r="J89" t="str">
        <x:f>IF(F89=1,"PASS","GAP")</x:f>
        <x:v>PASS</x:v>
      </x:c>
    </x:row>
    <x:row r="90">
      <x:c r="B90" t="str">
        <x:v>PLN-084</x:v>
      </x:c>
      <x:c r="C90" t="str">
        <x:v>PLANNING</x:v>
      </x:c>
      <x:c r="D90" t="str">
        <x:v>event</x:v>
      </x:c>
      <x:c r="E90" t="str">
        <x:v>Event Register · event 23</x:v>
      </x:c>
      <x:c r="F90" t="n">
        <x:f>Controls!$D$53</x:f>
        <x:v>1</x:v>
      </x:c>
      <x:c r="G90" t="n">
        <x:v>1</x:v>
      </x:c>
      <x:c r="H90" t="str">
        <x:v>equals</x:v>
      </x:c>
      <x:c r="I90" t="str">
        <x:v>RFA design authority</x:v>
      </x:c>
      <x:c r="J90" t="str">
        <x:f>IF(F90=1,"PASS","GAP")</x:f>
        <x:v>PASS</x:v>
      </x:c>
    </x:row>
    <x:row r="91">
      <x:c r="B91" t="str">
        <x:v>PLN-085</x:v>
      </x:c>
      <x:c r="C91" t="str">
        <x:v>PLANNING</x:v>
      </x:c>
      <x:c r="D91" t="str">
        <x:v>event</x:v>
      </x:c>
      <x:c r="E91" t="str">
        <x:v>Event Register · event 24</x:v>
      </x:c>
      <x:c r="F91" t="n">
        <x:f>Controls!$D$53</x:f>
        <x:v>1</x:v>
      </x:c>
      <x:c r="G91" t="n">
        <x:v>1</x:v>
      </x:c>
      <x:c r="H91" t="str">
        <x:v>equals</x:v>
      </x:c>
      <x:c r="I91" t="str">
        <x:v>RFA design authority</x:v>
      </x:c>
      <x:c r="J91" t="str">
        <x:f>IF(F91=1,"PASS","GAP")</x:f>
        <x:v>PASS</x:v>
      </x:c>
    </x:row>
    <x:row r="92">
      <x:c r="B92" t="str">
        <x:v>PLN-086</x:v>
      </x:c>
      <x:c r="C92" t="str">
        <x:v>PLANNING</x:v>
      </x:c>
      <x:c r="D92" t="str">
        <x:v>event</x:v>
      </x:c>
      <x:c r="E92" t="str">
        <x:v>Event Register · event 25</x:v>
      </x:c>
      <x:c r="F92" t="n">
        <x:f>Controls!$D$53</x:f>
        <x:v>1</x:v>
      </x:c>
      <x:c r="G92" t="n">
        <x:v>1</x:v>
      </x:c>
      <x:c r="H92" t="str">
        <x:v>equals</x:v>
      </x:c>
      <x:c r="I92" t="str">
        <x:v>RFA design authority</x:v>
      </x:c>
      <x:c r="J92" t="str">
        <x:f>IF(F92=1,"PASS","GAP")</x:f>
        <x:v>PASS</x:v>
      </x:c>
    </x:row>
    <x:row r="93">
      <x:c r="B93" t="str">
        <x:v>PLN-087</x:v>
      </x:c>
      <x:c r="C93" t="str">
        <x:v>PLANNING</x:v>
      </x:c>
      <x:c r="D93" t="str">
        <x:v>event</x:v>
      </x:c>
      <x:c r="E93" t="str">
        <x:v>Event Register · event 26</x:v>
      </x:c>
      <x:c r="F93" t="n">
        <x:f>Controls!$D$53</x:f>
        <x:v>1</x:v>
      </x:c>
      <x:c r="G93" t="n">
        <x:v>1</x:v>
      </x:c>
      <x:c r="H93" t="str">
        <x:v>equals</x:v>
      </x:c>
      <x:c r="I93" t="str">
        <x:v>RFA design authority</x:v>
      </x:c>
      <x:c r="J93" t="str">
        <x:f>IF(F93=1,"PASS","GAP")</x:f>
        <x:v>PASS</x:v>
      </x:c>
    </x:row>
    <x:row r="94">
      <x:c r="B94" t="str">
        <x:v>PLN-088</x:v>
      </x:c>
      <x:c r="C94" t="str">
        <x:v>PLANNING</x:v>
      </x:c>
      <x:c r="D94" t="str">
        <x:v>event</x:v>
      </x:c>
      <x:c r="E94" t="str">
        <x:v>Event Register · event 27</x:v>
      </x:c>
      <x:c r="F94" t="n">
        <x:f>Controls!$D$53</x:f>
        <x:v>1</x:v>
      </x:c>
      <x:c r="G94" t="n">
        <x:v>1</x:v>
      </x:c>
      <x:c r="H94" t="str">
        <x:v>equals</x:v>
      </x:c>
      <x:c r="I94" t="str">
        <x:v>RFA design authority</x:v>
      </x:c>
      <x:c r="J94" t="str">
        <x:f>IF(F94=1,"PASS","GAP")</x:f>
        <x:v>PASS</x:v>
      </x:c>
    </x:row>
    <x:row r="95">
      <x:c r="B95" t="str">
        <x:v>PLN-089</x:v>
      </x:c>
      <x:c r="C95" t="str">
        <x:v>PLANNING</x:v>
      </x:c>
      <x:c r="D95" t="str">
        <x:v>event</x:v>
      </x:c>
      <x:c r="E95" t="str">
        <x:v>Event Register · event 28</x:v>
      </x:c>
      <x:c r="F95" t="n">
        <x:f>Controls!$D$53</x:f>
        <x:v>1</x:v>
      </x:c>
      <x:c r="G95" t="n">
        <x:v>1</x:v>
      </x:c>
      <x:c r="H95" t="str">
        <x:v>equals</x:v>
      </x:c>
      <x:c r="I95" t="str">
        <x:v>RFA design authority</x:v>
      </x:c>
      <x:c r="J95" t="str">
        <x:f>IF(F95=1,"PASS","GAP")</x:f>
        <x:v>PASS</x:v>
      </x:c>
    </x:row>
    <x:row r="96">
      <x:c r="B96" t="str">
        <x:v>PLN-090</x:v>
      </x:c>
      <x:c r="C96" t="str">
        <x:v>PLANNING</x:v>
      </x:c>
      <x:c r="D96" t="str">
        <x:v>event</x:v>
      </x:c>
      <x:c r="E96" t="str">
        <x:v>Event Register · event 29</x:v>
      </x:c>
      <x:c r="F96" t="n">
        <x:f>Controls!$D$53</x:f>
        <x:v>1</x:v>
      </x:c>
      <x:c r="G96" t="n">
        <x:v>1</x:v>
      </x:c>
      <x:c r="H96" t="str">
        <x:v>equals</x:v>
      </x:c>
      <x:c r="I96" t="str">
        <x:v>RFA design authority</x:v>
      </x:c>
      <x:c r="J96" t="str">
        <x:f>IF(F96=1,"PASS","GAP")</x:f>
        <x:v>PASS</x:v>
      </x:c>
    </x:row>
    <x:row r="97">
      <x:c r="B97" t="str">
        <x:v>PLN-091</x:v>
      </x:c>
      <x:c r="C97" t="str">
        <x:v>PLANNING</x:v>
      </x:c>
      <x:c r="D97" t="str">
        <x:v>event</x:v>
      </x:c>
      <x:c r="E97" t="str">
        <x:v>Event Register · event 30</x:v>
      </x:c>
      <x:c r="F97" t="n">
        <x:f>Controls!$D$53</x:f>
        <x:v>1</x:v>
      </x:c>
      <x:c r="G97" t="n">
        <x:v>1</x:v>
      </x:c>
      <x:c r="H97" t="str">
        <x:v>equals</x:v>
      </x:c>
      <x:c r="I97" t="str">
        <x:v>RFA design authority</x:v>
      </x:c>
      <x:c r="J97" t="str">
        <x:f>IF(F97=1,"PASS","GAP")</x:f>
        <x:v>PASS</x:v>
      </x:c>
    </x:row>
    <x:row r="98">
      <x:c r="B98" t="str">
        <x:v>PLN-092</x:v>
      </x:c>
      <x:c r="C98" t="str">
        <x:v>PLANNING</x:v>
      </x:c>
      <x:c r="D98" t="str">
        <x:v>event</x:v>
      </x:c>
      <x:c r="E98" t="str">
        <x:v>Event Register · event 31</x:v>
      </x:c>
      <x:c r="F98" t="n">
        <x:f>Controls!$D$53</x:f>
        <x:v>1</x:v>
      </x:c>
      <x:c r="G98" t="n">
        <x:v>1</x:v>
      </x:c>
      <x:c r="H98" t="str">
        <x:v>equals</x:v>
      </x:c>
      <x:c r="I98" t="str">
        <x:v>RFA design authority</x:v>
      </x:c>
      <x:c r="J98" t="str">
        <x:f>IF(F98=1,"PASS","GAP")</x:f>
        <x:v>PASS</x:v>
      </x:c>
    </x:row>
    <x:row r="99">
      <x:c r="B99" t="str">
        <x:v>PLN-093</x:v>
      </x:c>
      <x:c r="C99" t="str">
        <x:v>PLANNING</x:v>
      </x:c>
      <x:c r="D99" t="str">
        <x:v>event</x:v>
      </x:c>
      <x:c r="E99" t="str">
        <x:v>Event Register · event 32</x:v>
      </x:c>
      <x:c r="F99" t="n">
        <x:f>Controls!$D$53</x:f>
        <x:v>1</x:v>
      </x:c>
      <x:c r="G99" t="n">
        <x:v>1</x:v>
      </x:c>
      <x:c r="H99" t="str">
        <x:v>equals</x:v>
      </x:c>
      <x:c r="I99" t="str">
        <x:v>RFA design authority</x:v>
      </x:c>
      <x:c r="J99" t="str">
        <x:f>IF(F99=1,"PASS","GAP")</x:f>
        <x:v>PASS</x:v>
      </x:c>
    </x:row>
    <x:row r="100">
      <x:c r="B100" t="str">
        <x:v>PLN-094</x:v>
      </x:c>
      <x:c r="C100" t="str">
        <x:v>PLANNING</x:v>
      </x:c>
      <x:c r="D100" t="str">
        <x:v>event</x:v>
      </x:c>
      <x:c r="E100" t="str">
        <x:v>Event Register · event 33</x:v>
      </x:c>
      <x:c r="F100" t="n">
        <x:f>Controls!$D$53</x:f>
        <x:v>1</x:v>
      </x:c>
      <x:c r="G100" t="n">
        <x:v>1</x:v>
      </x:c>
      <x:c r="H100" t="str">
        <x:v>equals</x:v>
      </x:c>
      <x:c r="I100" t="str">
        <x:v>RFA design authority</x:v>
      </x:c>
      <x:c r="J100" t="str">
        <x:f>IF(F100=1,"PASS","GAP")</x:f>
        <x:v>PASS</x:v>
      </x:c>
    </x:row>
    <x:row r="101">
      <x:c r="B101" t="str">
        <x:v>PLN-095</x:v>
      </x:c>
      <x:c r="C101" t="str">
        <x:v>PLANNING</x:v>
      </x:c>
      <x:c r="D101" t="str">
        <x:v>event</x:v>
      </x:c>
      <x:c r="E101" t="str">
        <x:v>Event Register · event 34</x:v>
      </x:c>
      <x:c r="F101" t="n">
        <x:f>Controls!$D$53</x:f>
        <x:v>1</x:v>
      </x:c>
      <x:c r="G101" t="n">
        <x:v>1</x:v>
      </x:c>
      <x:c r="H101" t="str">
        <x:v>equals</x:v>
      </x:c>
      <x:c r="I101" t="str">
        <x:v>RFA design authority</x:v>
      </x:c>
      <x:c r="J101" t="str">
        <x:f>IF(F101=1,"PASS","GAP")</x:f>
        <x:v>PASS</x:v>
      </x:c>
    </x:row>
    <x:row r="102">
      <x:c r="B102" t="str">
        <x:v>PLN-096</x:v>
      </x:c>
      <x:c r="C102" t="str">
        <x:v>PLANNING</x:v>
      </x:c>
      <x:c r="D102" t="str">
        <x:v>event</x:v>
      </x:c>
      <x:c r="E102" t="str">
        <x:v>Event Register · event 35</x:v>
      </x:c>
      <x:c r="F102" t="n">
        <x:f>Controls!$D$53</x:f>
        <x:v>1</x:v>
      </x:c>
      <x:c r="G102" t="n">
        <x:v>1</x:v>
      </x:c>
      <x:c r="H102" t="str">
        <x:v>equals</x:v>
      </x:c>
      <x:c r="I102" t="str">
        <x:v>RFA design authority</x:v>
      </x:c>
      <x:c r="J102" t="str">
        <x:f>IF(F102=1,"PASS","GAP")</x:f>
        <x:v>PASS</x:v>
      </x:c>
    </x:row>
    <x:row r="103">
      <x:c r="B103" t="str">
        <x:v>PLN-097</x:v>
      </x:c>
      <x:c r="C103" t="str">
        <x:v>PLANNING</x:v>
      </x:c>
      <x:c r="D103" t="str">
        <x:v>event</x:v>
      </x:c>
      <x:c r="E103" t="str">
        <x:v>Event Register · event 36</x:v>
      </x:c>
      <x:c r="F103" t="n">
        <x:f>Controls!$D$53</x:f>
        <x:v>1</x:v>
      </x:c>
      <x:c r="G103" t="n">
        <x:v>1</x:v>
      </x:c>
      <x:c r="H103" t="str">
        <x:v>equals</x:v>
      </x:c>
      <x:c r="I103" t="str">
        <x:v>RFA design authority</x:v>
      </x:c>
      <x:c r="J103" t="str">
        <x:f>IF(F103=1,"PASS","GAP")</x:f>
        <x:v>PASS</x:v>
      </x:c>
    </x:row>
    <x:row r="104">
      <x:c r="B104" t="str">
        <x:v>PLN-098</x:v>
      </x:c>
      <x:c r="C104" t="str">
        <x:v>PLANNING</x:v>
      </x:c>
      <x:c r="D104" t="str">
        <x:v>event</x:v>
      </x:c>
      <x:c r="E104" t="str">
        <x:v>Event Register · event 37</x:v>
      </x:c>
      <x:c r="F104" t="n">
        <x:f>Controls!$D$53</x:f>
        <x:v>1</x:v>
      </x:c>
      <x:c r="G104" t="n">
        <x:v>1</x:v>
      </x:c>
      <x:c r="H104" t="str">
        <x:v>equals</x:v>
      </x:c>
      <x:c r="I104" t="str">
        <x:v>RFA design authority</x:v>
      </x:c>
      <x:c r="J104" t="str">
        <x:f>IF(F104=1,"PASS","GAP")</x:f>
        <x:v>PASS</x:v>
      </x:c>
    </x:row>
    <x:row r="105">
      <x:c r="B105" t="str">
        <x:v>PLN-099</x:v>
      </x:c>
      <x:c r="C105" t="str">
        <x:v>PLANNING</x:v>
      </x:c>
      <x:c r="D105" t="str">
        <x:v>event</x:v>
      </x:c>
      <x:c r="E105" t="str">
        <x:v>Event Register · event 38</x:v>
      </x:c>
      <x:c r="F105" t="n">
        <x:f>Controls!$D$53</x:f>
        <x:v>1</x:v>
      </x:c>
      <x:c r="G105" t="n">
        <x:v>1</x:v>
      </x:c>
      <x:c r="H105" t="str">
        <x:v>equals</x:v>
      </x:c>
      <x:c r="I105" t="str">
        <x:v>RFA design authority</x:v>
      </x:c>
      <x:c r="J105" t="str">
        <x:f>IF(F105=1,"PASS","GAP")</x:f>
        <x:v>PASS</x:v>
      </x:c>
    </x:row>
    <x:row r="106">
      <x:c r="B106" t="str">
        <x:v>PLN-100</x:v>
      </x:c>
      <x:c r="C106" t="str">
        <x:v>PLANNING</x:v>
      </x:c>
      <x:c r="D106" t="str">
        <x:v>event</x:v>
      </x:c>
      <x:c r="E106" t="str">
        <x:v>Event Register · event 39</x:v>
      </x:c>
      <x:c r="F106" t="n">
        <x:f>Controls!$D$53</x:f>
        <x:v>1</x:v>
      </x:c>
      <x:c r="G106" t="n">
        <x:v>1</x:v>
      </x:c>
      <x:c r="H106" t="str">
        <x:v>equals</x:v>
      </x:c>
      <x:c r="I106" t="str">
        <x:v>RFA design authority</x:v>
      </x:c>
      <x:c r="J106" t="str">
        <x:f>IF(F106=1,"PASS","GAP")</x:f>
        <x:v>PASS</x:v>
      </x:c>
    </x:row>
    <x:row r="107">
      <x:c r="B107" t="str">
        <x:v>PLN-101</x:v>
      </x:c>
      <x:c r="C107" t="str">
        <x:v>PLANNING</x:v>
      </x:c>
      <x:c r="D107" t="str">
        <x:v>event</x:v>
      </x:c>
      <x:c r="E107" t="str">
        <x:v>Event Register · event 40</x:v>
      </x:c>
      <x:c r="F107" t="n">
        <x:f>Controls!$D$53</x:f>
        <x:v>1</x:v>
      </x:c>
      <x:c r="G107" t="n">
        <x:v>1</x:v>
      </x:c>
      <x:c r="H107" t="str">
        <x:v>equals</x:v>
      </x:c>
      <x:c r="I107" t="str">
        <x:v>RFA design authority</x:v>
      </x:c>
      <x:c r="J107" t="str">
        <x:f>IF(F107=1,"PASS","GAP")</x:f>
        <x:v>PASS</x:v>
      </x:c>
    </x:row>
    <x:row r="108">
      <x:c r="B108" t="str">
        <x:v>PLN-102</x:v>
      </x:c>
      <x:c r="C108" t="str">
        <x:v>PLANNING</x:v>
      </x:c>
      <x:c r="D108" t="str">
        <x:v>event</x:v>
      </x:c>
      <x:c r="E108" t="str">
        <x:v>Event Register · event 41</x:v>
      </x:c>
      <x:c r="F108" t="n">
        <x:f>Controls!$D$53</x:f>
        <x:v>1</x:v>
      </x:c>
      <x:c r="G108" t="n">
        <x:v>1</x:v>
      </x:c>
      <x:c r="H108" t="str">
        <x:v>equals</x:v>
      </x:c>
      <x:c r="I108" t="str">
        <x:v>RFA design authority</x:v>
      </x:c>
      <x:c r="J108" t="str">
        <x:f>IF(F108=1,"PASS","GAP")</x:f>
        <x:v>PASS</x:v>
      </x:c>
    </x:row>
    <x:row r="109">
      <x:c r="B109" t="str">
        <x:v>PLN-103</x:v>
      </x:c>
      <x:c r="C109" t="str">
        <x:v>PLANNING</x:v>
      </x:c>
      <x:c r="D109" t="str">
        <x:v>event</x:v>
      </x:c>
      <x:c r="E109" t="str">
        <x:v>Event Register · event 42</x:v>
      </x:c>
      <x:c r="F109" t="n">
        <x:f>Controls!$D$53</x:f>
        <x:v>1</x:v>
      </x:c>
      <x:c r="G109" t="n">
        <x:v>1</x:v>
      </x:c>
      <x:c r="H109" t="str">
        <x:v>equals</x:v>
      </x:c>
      <x:c r="I109" t="str">
        <x:v>RFA design authority</x:v>
      </x:c>
      <x:c r="J109" t="str">
        <x:f>IF(F109=1,"PASS","GAP")</x:f>
        <x:v>PASS</x:v>
      </x:c>
    </x:row>
    <x:row r="110">
      <x:c r="B110" t="str">
        <x:v>PLN-104</x:v>
      </x:c>
      <x:c r="C110" t="str">
        <x:v>PLANNING</x:v>
      </x:c>
      <x:c r="D110" t="str">
        <x:v>event</x:v>
      </x:c>
      <x:c r="E110" t="str">
        <x:v>Event Register · event 43</x:v>
      </x:c>
      <x:c r="F110" t="n">
        <x:f>Controls!$D$53</x:f>
        <x:v>1</x:v>
      </x:c>
      <x:c r="G110" t="n">
        <x:v>1</x:v>
      </x:c>
      <x:c r="H110" t="str">
        <x:v>equals</x:v>
      </x:c>
      <x:c r="I110" t="str">
        <x:v>RFA design authority</x:v>
      </x:c>
      <x:c r="J110" t="str">
        <x:f>IF(F110=1,"PASS","GAP")</x:f>
        <x:v>PASS</x:v>
      </x:c>
    </x:row>
    <x:row r="111">
      <x:c r="B111" t="str">
        <x:v>PLN-105</x:v>
      </x:c>
      <x:c r="C111" t="str">
        <x:v>PLANNING</x:v>
      </x:c>
      <x:c r="D111" t="str">
        <x:v>event</x:v>
      </x:c>
      <x:c r="E111" t="str">
        <x:v>Event Register · event 44</x:v>
      </x:c>
      <x:c r="F111" t="n">
        <x:f>Controls!$D$53</x:f>
        <x:v>1</x:v>
      </x:c>
      <x:c r="G111" t="n">
        <x:v>1</x:v>
      </x:c>
      <x:c r="H111" t="str">
        <x:v>equals</x:v>
      </x:c>
      <x:c r="I111" t="str">
        <x:v>RFA design authority</x:v>
      </x:c>
      <x:c r="J111" t="str">
        <x:f>IF(F111=1,"PASS","GAP")</x:f>
        <x:v>PASS</x:v>
      </x:c>
    </x:row>
    <x:row r="112">
      <x:c r="B112" t="str">
        <x:v>PLN-106</x:v>
      </x:c>
      <x:c r="C112" t="str">
        <x:v>PLANNING</x:v>
      </x:c>
      <x:c r="D112" t="str">
        <x:v>event</x:v>
      </x:c>
      <x:c r="E112" t="str">
        <x:v>Event Register · event 45</x:v>
      </x:c>
      <x:c r="F112" t="n">
        <x:f>Controls!$D$53</x:f>
        <x:v>1</x:v>
      </x:c>
      <x:c r="G112" t="n">
        <x:v>1</x:v>
      </x:c>
      <x:c r="H112" t="str">
        <x:v>equals</x:v>
      </x:c>
      <x:c r="I112" t="str">
        <x:v>RFA design authority</x:v>
      </x:c>
      <x:c r="J112" t="str">
        <x:f>IF(F112=1,"PASS","GAP")</x:f>
        <x:v>PASS</x:v>
      </x:c>
    </x:row>
    <x:row r="113">
      <x:c r="B113" t="str">
        <x:v>PLN-107</x:v>
      </x:c>
      <x:c r="C113" t="str">
        <x:v>PLANNING</x:v>
      </x:c>
      <x:c r="D113" t="str">
        <x:v>event</x:v>
      </x:c>
      <x:c r="E113" t="str">
        <x:v>Event Register · event 46</x:v>
      </x:c>
      <x:c r="F113" t="n">
        <x:f>Controls!$D$53</x:f>
        <x:v>1</x:v>
      </x:c>
      <x:c r="G113" t="n">
        <x:v>1</x:v>
      </x:c>
      <x:c r="H113" t="str">
        <x:v>equals</x:v>
      </x:c>
      <x:c r="I113" t="str">
        <x:v>RFA design authority</x:v>
      </x:c>
      <x:c r="J113" t="str">
        <x:f>IF(F113=1,"PASS","GAP")</x:f>
        <x:v>PASS</x:v>
      </x:c>
    </x:row>
    <x:row r="114">
      <x:c r="B114" t="str">
        <x:v>PLN-108</x:v>
      </x:c>
      <x:c r="C114" t="str">
        <x:v>PLANNING</x:v>
      </x:c>
      <x:c r="D114" t="str">
        <x:v>event</x:v>
      </x:c>
      <x:c r="E114" t="str">
        <x:v>Event Register · event 47</x:v>
      </x:c>
      <x:c r="F114" t="n">
        <x:f>Controls!$D$53</x:f>
        <x:v>1</x:v>
      </x:c>
      <x:c r="G114" t="n">
        <x:v>1</x:v>
      </x:c>
      <x:c r="H114" t="str">
        <x:v>equals</x:v>
      </x:c>
      <x:c r="I114" t="str">
        <x:v>RFA design authority</x:v>
      </x:c>
      <x:c r="J114" t="str">
        <x:f>IF(F114=1,"PASS","GAP")</x:f>
        <x:v>PASS</x:v>
      </x:c>
    </x:row>
    <x:row r="115">
      <x:c r="B115" t="str">
        <x:v>PLN-109</x:v>
      </x:c>
      <x:c r="C115" t="str">
        <x:v>PLANNING</x:v>
      </x:c>
      <x:c r="D115" t="str">
        <x:v>event</x:v>
      </x:c>
      <x:c r="E115" t="str">
        <x:v>Event Register · event 48</x:v>
      </x:c>
      <x:c r="F115" t="n">
        <x:f>Controls!$D$53</x:f>
        <x:v>1</x:v>
      </x:c>
      <x:c r="G115" t="n">
        <x:v>1</x:v>
      </x:c>
      <x:c r="H115" t="str">
        <x:v>equals</x:v>
      </x:c>
      <x:c r="I115" t="str">
        <x:v>RFA design authority</x:v>
      </x:c>
      <x:c r="J115" t="str">
        <x:f>IF(F115=1,"PASS","GAP")</x:f>
        <x:v>PASS</x:v>
      </x:c>
    </x:row>
    <x:row r="116">
      <x:c r="B116" t="str">
        <x:v>PLN-110</x:v>
      </x:c>
      <x:c r="C116" t="str">
        <x:v>PLANNING</x:v>
      </x:c>
      <x:c r="D116" t="str">
        <x:v>event</x:v>
      </x:c>
      <x:c r="E116" t="str">
        <x:v>Event Register · event 49</x:v>
      </x:c>
      <x:c r="F116" t="n">
        <x:f>Controls!$D$53</x:f>
        <x:v>1</x:v>
      </x:c>
      <x:c r="G116" t="n">
        <x:v>1</x:v>
      </x:c>
      <x:c r="H116" t="str">
        <x:v>equals</x:v>
      </x:c>
      <x:c r="I116" t="str">
        <x:v>RFA design authority</x:v>
      </x:c>
      <x:c r="J116" t="str">
        <x:f>IF(F116=1,"PASS","GAP")</x:f>
        <x:v>PASS</x:v>
      </x:c>
    </x:row>
    <x:row r="117">
      <x:c r="B117" t="str">
        <x:v>PLN-111</x:v>
      </x:c>
      <x:c r="C117" t="str">
        <x:v>PLANNING</x:v>
      </x:c>
      <x:c r="D117" t="str">
        <x:v>event</x:v>
      </x:c>
      <x:c r="E117" t="str">
        <x:v>Event Register · event 50</x:v>
      </x:c>
      <x:c r="F117" t="n">
        <x:f>Controls!$D$53</x:f>
        <x:v>1</x:v>
      </x:c>
      <x:c r="G117" t="n">
        <x:v>1</x:v>
      </x:c>
      <x:c r="H117" t="str">
        <x:v>equals</x:v>
      </x:c>
      <x:c r="I117" t="str">
        <x:v>RFA design authority</x:v>
      </x:c>
      <x:c r="J117" t="str">
        <x:f>IF(F117=1,"PASS","GAP")</x:f>
        <x:v>PASS</x:v>
      </x:c>
    </x:row>
    <x:row r="118">
      <x:c r="B118" t="str">
        <x:v>PLN-112</x:v>
      </x:c>
      <x:c r="C118" t="str">
        <x:v>PLANNING</x:v>
      </x:c>
      <x:c r="D118" t="str">
        <x:v>event</x:v>
      </x:c>
      <x:c r="E118" t="str">
        <x:v>Event Register · event 51</x:v>
      </x:c>
      <x:c r="F118" t="n">
        <x:f>Controls!$D$53</x:f>
        <x:v>1</x:v>
      </x:c>
      <x:c r="G118" t="n">
        <x:v>1</x:v>
      </x:c>
      <x:c r="H118" t="str">
        <x:v>equals</x:v>
      </x:c>
      <x:c r="I118" t="str">
        <x:v>RFA design authority</x:v>
      </x:c>
      <x:c r="J118" t="str">
        <x:f>IF(F118=1,"PASS","GAP")</x:f>
        <x:v>PASS</x:v>
      </x:c>
    </x:row>
    <x:row r="119">
      <x:c r="B119" t="str">
        <x:v>PLN-113</x:v>
      </x:c>
      <x:c r="C119" t="str">
        <x:v>PLANNING</x:v>
      </x:c>
      <x:c r="D119" t="str">
        <x:v>event</x:v>
      </x:c>
      <x:c r="E119" t="str">
        <x:v>Event Register · event 52</x:v>
      </x:c>
      <x:c r="F119" t="n">
        <x:f>Controls!$D$53</x:f>
        <x:v>1</x:v>
      </x:c>
      <x:c r="G119" t="n">
        <x:v>1</x:v>
      </x:c>
      <x:c r="H119" t="str">
        <x:v>equals</x:v>
      </x:c>
      <x:c r="I119" t="str">
        <x:v>RFA design authority</x:v>
      </x:c>
      <x:c r="J119" t="str">
        <x:f>IF(F119=1,"PASS","GAP")</x:f>
        <x:v>PASS</x:v>
      </x:c>
    </x:row>
    <x:row r="120">
      <x:c r="B120" t="str">
        <x:v>PLN-114</x:v>
      </x:c>
      <x:c r="C120" t="str">
        <x:v>PLANNING</x:v>
      </x:c>
      <x:c r="D120" t="str">
        <x:v>event</x:v>
      </x:c>
      <x:c r="E120" t="str">
        <x:v>Event Register · event 53</x:v>
      </x:c>
      <x:c r="F120" t="n">
        <x:f>Controls!$D$53</x:f>
        <x:v>1</x:v>
      </x:c>
      <x:c r="G120" t="n">
        <x:v>1</x:v>
      </x:c>
      <x:c r="H120" t="str">
        <x:v>equals</x:v>
      </x:c>
      <x:c r="I120" t="str">
        <x:v>RFA design authority</x:v>
      </x:c>
      <x:c r="J120" t="str">
        <x:f>IF(F120=1,"PASS","GAP")</x:f>
        <x:v>PASS</x:v>
      </x:c>
    </x:row>
    <x:row r="121">
      <x:c r="B121" t="str">
        <x:v>PLN-115</x:v>
      </x:c>
      <x:c r="C121" t="str">
        <x:v>PLANNING</x:v>
      </x:c>
      <x:c r="D121" t="str">
        <x:v>event</x:v>
      </x:c>
      <x:c r="E121" t="str">
        <x:v>Event Register · event 54</x:v>
      </x:c>
      <x:c r="F121" t="n">
        <x:f>Controls!$D$53</x:f>
        <x:v>1</x:v>
      </x:c>
      <x:c r="G121" t="n">
        <x:v>1</x:v>
      </x:c>
      <x:c r="H121" t="str">
        <x:v>equals</x:v>
      </x:c>
      <x:c r="I121" t="str">
        <x:v>RFA design authority</x:v>
      </x:c>
      <x:c r="J121" t="str">
        <x:f>IF(F121=1,"PASS","GAP")</x:f>
        <x:v>PASS</x:v>
      </x:c>
    </x:row>
    <x:row r="122">
      <x:c r="B122" t="str">
        <x:v>PLN-116</x:v>
      </x:c>
      <x:c r="C122" t="str">
        <x:v>PLANNING</x:v>
      </x:c>
      <x:c r="D122" t="str">
        <x:v>event</x:v>
      </x:c>
      <x:c r="E122" t="str">
        <x:v>Event Register · event 55</x:v>
      </x:c>
      <x:c r="F122" t="n">
        <x:f>Controls!$D$53</x:f>
        <x:v>1</x:v>
      </x:c>
      <x:c r="G122" t="n">
        <x:v>1</x:v>
      </x:c>
      <x:c r="H122" t="str">
        <x:v>equals</x:v>
      </x:c>
      <x:c r="I122" t="str">
        <x:v>RFA design authority</x:v>
      </x:c>
      <x:c r="J122" t="str">
        <x:f>IF(F122=1,"PASS","GAP")</x:f>
        <x:v>PASS</x:v>
      </x:c>
    </x:row>
    <x:row r="123">
      <x:c r="B123" t="str">
        <x:v>PLN-117</x:v>
      </x:c>
      <x:c r="C123" t="str">
        <x:v>PLANNING</x:v>
      </x:c>
      <x:c r="D123" t="str">
        <x:v>event</x:v>
      </x:c>
      <x:c r="E123" t="str">
        <x:v>Event Register · event 56</x:v>
      </x:c>
      <x:c r="F123" t="n">
        <x:f>Controls!$D$53</x:f>
        <x:v>1</x:v>
      </x:c>
      <x:c r="G123" t="n">
        <x:v>1</x:v>
      </x:c>
      <x:c r="H123" t="str">
        <x:v>equals</x:v>
      </x:c>
      <x:c r="I123" t="str">
        <x:v>RFA design authority</x:v>
      </x:c>
      <x:c r="J123" t="str">
        <x:f>IF(F123=1,"PASS","GAP")</x:f>
        <x:v>PASS</x:v>
      </x:c>
    </x:row>
    <x:row r="124">
      <x:c r="B124" t="str">
        <x:v>PLN-118</x:v>
      </x:c>
      <x:c r="C124" t="str">
        <x:v>PLANNING</x:v>
      </x:c>
      <x:c r="D124" t="str">
        <x:v>event</x:v>
      </x:c>
      <x:c r="E124" t="str">
        <x:v>Event Register · event 57</x:v>
      </x:c>
      <x:c r="F124" t="n">
        <x:f>Controls!$D$53</x:f>
        <x:v>1</x:v>
      </x:c>
      <x:c r="G124" t="n">
        <x:v>1</x:v>
      </x:c>
      <x:c r="H124" t="str">
        <x:v>equals</x:v>
      </x:c>
      <x:c r="I124" t="str">
        <x:v>RFA design authority</x:v>
      </x:c>
      <x:c r="J124" t="str">
        <x:f>IF(F124=1,"PASS","GAP")</x:f>
        <x:v>PASS</x:v>
      </x:c>
    </x:row>
    <x:row r="125">
      <x:c r="B125" t="str">
        <x:v>PLN-119</x:v>
      </x:c>
      <x:c r="C125" t="str">
        <x:v>PLANNING</x:v>
      </x:c>
      <x:c r="D125" t="str">
        <x:v>event</x:v>
      </x:c>
      <x:c r="E125" t="str">
        <x:v>Event Register · event 58</x:v>
      </x:c>
      <x:c r="F125" t="n">
        <x:f>Controls!$D$53</x:f>
        <x:v>1</x:v>
      </x:c>
      <x:c r="G125" t="n">
        <x:v>1</x:v>
      </x:c>
      <x:c r="H125" t="str">
        <x:v>equals</x:v>
      </x:c>
      <x:c r="I125" t="str">
        <x:v>RFA design authority</x:v>
      </x:c>
      <x:c r="J125" t="str">
        <x:f>IF(F125=1,"PASS","GAP")</x:f>
        <x:v>PASS</x:v>
      </x:c>
    </x:row>
    <x:row r="126">
      <x:c r="B126" t="str">
        <x:v>PLN-120</x:v>
      </x:c>
      <x:c r="C126" t="str">
        <x:v>PLANNING</x:v>
      </x:c>
      <x:c r="D126" t="str">
        <x:v>event</x:v>
      </x:c>
      <x:c r="E126" t="str">
        <x:v>Event Register · event 59</x:v>
      </x:c>
      <x:c r="F126" t="n">
        <x:f>Controls!$D$53</x:f>
        <x:v>1</x:v>
      </x:c>
      <x:c r="G126" t="n">
        <x:v>1</x:v>
      </x:c>
      <x:c r="H126" t="str">
        <x:v>equals</x:v>
      </x:c>
      <x:c r="I126" t="str">
        <x:v>RFA design authority</x:v>
      </x:c>
      <x:c r="J126" t="str">
        <x:f>IF(F126=1,"PASS","GAP")</x:f>
        <x:v>PASS</x:v>
      </x:c>
    </x:row>
    <x:row r="127">
      <x:c r="B127" t="str">
        <x:v>PLN-121</x:v>
      </x:c>
      <x:c r="C127" t="str">
        <x:v>PLANNING</x:v>
      </x:c>
      <x:c r="D127" t="str">
        <x:v>event</x:v>
      </x:c>
      <x:c r="E127" t="str">
        <x:v>Event Register · event 60</x:v>
      </x:c>
      <x:c r="F127" t="n">
        <x:f>Controls!$D$53</x:f>
        <x:v>1</x:v>
      </x:c>
      <x:c r="G127" t="n">
        <x:v>1</x:v>
      </x:c>
      <x:c r="H127" t="str">
        <x:v>equals</x:v>
      </x:c>
      <x:c r="I127" t="str">
        <x:v>RFA design authority</x:v>
      </x:c>
      <x:c r="J127" t="str">
        <x:f>IF(F127=1,"PASS","GAP")</x:f>
        <x:v>PASS</x:v>
      </x:c>
    </x:row>
    <x:row r="128">
      <x:c r="B128" t="str">
        <x:v>PLN-122</x:v>
      </x:c>
      <x:c r="C128" t="str">
        <x:v>PLANNING</x:v>
      </x:c>
      <x:c r="D128" t="str">
        <x:v>event</x:v>
      </x:c>
      <x:c r="E128" t="str">
        <x:v>Event Register · event 61</x:v>
      </x:c>
      <x:c r="F128" t="n">
        <x:f>Controls!$D$53</x:f>
        <x:v>1</x:v>
      </x:c>
      <x:c r="G128" t="n">
        <x:v>1</x:v>
      </x:c>
      <x:c r="H128" t="str">
        <x:v>equals</x:v>
      </x:c>
      <x:c r="I128" t="str">
        <x:v>RFA design authority</x:v>
      </x:c>
      <x:c r="J128" t="str">
        <x:f>IF(F128=1,"PASS","GAP")</x:f>
        <x:v>PASS</x:v>
      </x:c>
    </x:row>
    <x:row r="129">
      <x:c r="B129" t="str">
        <x:v>PLN-123</x:v>
      </x:c>
      <x:c r="C129" t="str">
        <x:v>PLANNING</x:v>
      </x:c>
      <x:c r="D129" t="str">
        <x:v>event</x:v>
      </x:c>
      <x:c r="E129" t="str">
        <x:v>Event Register · event 62</x:v>
      </x:c>
      <x:c r="F129" t="n">
        <x:f>Controls!$D$53</x:f>
        <x:v>1</x:v>
      </x:c>
      <x:c r="G129" t="n">
        <x:v>1</x:v>
      </x:c>
      <x:c r="H129" t="str">
        <x:v>equals</x:v>
      </x:c>
      <x:c r="I129" t="str">
        <x:v>RFA design authority</x:v>
      </x:c>
      <x:c r="J129" t="str">
        <x:f>IF(F129=1,"PASS","GAP")</x:f>
        <x:v>PASS</x:v>
      </x:c>
    </x:row>
    <x:row r="130">
      <x:c r="B130" t="str">
        <x:v>PLN-124</x:v>
      </x:c>
      <x:c r="C130" t="str">
        <x:v>PLANNING</x:v>
      </x:c>
      <x:c r="D130" t="str">
        <x:v>event</x:v>
      </x:c>
      <x:c r="E130" t="str">
        <x:v>Event Register · event 63</x:v>
      </x:c>
      <x:c r="F130" t="n">
        <x:f>Controls!$D$53</x:f>
        <x:v>1</x:v>
      </x:c>
      <x:c r="G130" t="n">
        <x:v>1</x:v>
      </x:c>
      <x:c r="H130" t="str">
        <x:v>equals</x:v>
      </x:c>
      <x:c r="I130" t="str">
        <x:v>RFA design authority</x:v>
      </x:c>
      <x:c r="J130" t="str">
        <x:f>IF(F130=1,"PASS","GAP")</x:f>
        <x:v>PASS</x:v>
      </x:c>
    </x:row>
    <x:row r="131">
      <x:c r="B131" t="str">
        <x:v>PLN-125</x:v>
      </x:c>
      <x:c r="C131" t="str">
        <x:v>PLANNING</x:v>
      </x:c>
      <x:c r="D131" t="str">
        <x:v>event</x:v>
      </x:c>
      <x:c r="E131" t="str">
        <x:v>Event Register · event 64</x:v>
      </x:c>
      <x:c r="F131" t="n">
        <x:f>Controls!$D$53</x:f>
        <x:v>1</x:v>
      </x:c>
      <x:c r="G131" t="n">
        <x:v>1</x:v>
      </x:c>
      <x:c r="H131" t="str">
        <x:v>equals</x:v>
      </x:c>
      <x:c r="I131" t="str">
        <x:v>RFA design authority</x:v>
      </x:c>
      <x:c r="J131" t="str">
        <x:f>IF(F131=1,"PASS","GAP")</x:f>
        <x:v>PASS</x:v>
      </x:c>
    </x:row>
    <x:row r="132">
      <x:c r="B132" t="str">
        <x:v>PLN-126</x:v>
      </x:c>
      <x:c r="C132" t="str">
        <x:v>PLANNING</x:v>
      </x:c>
      <x:c r="D132" t="str">
        <x:v>event</x:v>
      </x:c>
      <x:c r="E132" t="str">
        <x:v>Event Register · event 65</x:v>
      </x:c>
      <x:c r="F132" t="n">
        <x:f>Controls!$D$53</x:f>
        <x:v>1</x:v>
      </x:c>
      <x:c r="G132" t="n">
        <x:v>1</x:v>
      </x:c>
      <x:c r="H132" t="str">
        <x:v>equals</x:v>
      </x:c>
      <x:c r="I132" t="str">
        <x:v>RFA design authority</x:v>
      </x:c>
      <x:c r="J132" t="str">
        <x:f>IF(F132=1,"PASS","GAP")</x:f>
        <x:v>PASS</x:v>
      </x:c>
    </x:row>
    <x:row r="133">
      <x:c r="B133" t="str">
        <x:v>PLN-127</x:v>
      </x:c>
      <x:c r="C133" t="str">
        <x:v>PLANNING</x:v>
      </x:c>
      <x:c r="D133" t="str">
        <x:v>event</x:v>
      </x:c>
      <x:c r="E133" t="str">
        <x:v>Event Register · event 66</x:v>
      </x:c>
      <x:c r="F133" t="n">
        <x:f>Controls!$D$53</x:f>
        <x:v>1</x:v>
      </x:c>
      <x:c r="G133" t="n">
        <x:v>1</x:v>
      </x:c>
      <x:c r="H133" t="str">
        <x:v>equals</x:v>
      </x:c>
      <x:c r="I133" t="str">
        <x:v>RFA design authority</x:v>
      </x:c>
      <x:c r="J133" t="str">
        <x:f>IF(F133=1,"PASS","GAP")</x:f>
        <x:v>PASS</x:v>
      </x:c>
    </x:row>
    <x:row r="134">
      <x:c r="B134" t="str">
        <x:v>PLN-128</x:v>
      </x:c>
      <x:c r="C134" t="str">
        <x:v>PLANNING</x:v>
      </x:c>
      <x:c r="D134" t="str">
        <x:v>event</x:v>
      </x:c>
      <x:c r="E134" t="str">
        <x:v>Event Register · event 67</x:v>
      </x:c>
      <x:c r="F134" t="n">
        <x:f>Controls!$D$53</x:f>
        <x:v>1</x:v>
      </x:c>
      <x:c r="G134" t="n">
        <x:v>1</x:v>
      </x:c>
      <x:c r="H134" t="str">
        <x:v>equals</x:v>
      </x:c>
      <x:c r="I134" t="str">
        <x:v>RFA design authority</x:v>
      </x:c>
      <x:c r="J134" t="str">
        <x:f>IF(F134=1,"PASS","GAP")</x:f>
        <x:v>PASS</x:v>
      </x:c>
    </x:row>
    <x:row r="135">
      <x:c r="B135" t="str">
        <x:v>PLN-129</x:v>
      </x:c>
      <x:c r="C135" t="str">
        <x:v>PLANNING</x:v>
      </x:c>
      <x:c r="D135" t="str">
        <x:v>event</x:v>
      </x:c>
      <x:c r="E135" t="str">
        <x:v>Event Register · event 68</x:v>
      </x:c>
      <x:c r="F135" t="n">
        <x:f>Controls!$D$53</x:f>
        <x:v>1</x:v>
      </x:c>
      <x:c r="G135" t="n">
        <x:v>1</x:v>
      </x:c>
      <x:c r="H135" t="str">
        <x:v>equals</x:v>
      </x:c>
      <x:c r="I135" t="str">
        <x:v>RFA design authority</x:v>
      </x:c>
      <x:c r="J135" t="str">
        <x:f>IF(F135=1,"PASS","GAP")</x:f>
        <x:v>PASS</x:v>
      </x:c>
    </x:row>
    <x:row r="136">
      <x:c r="B136" t="str">
        <x:v>PLN-130</x:v>
      </x:c>
      <x:c r="C136" t="str">
        <x:v>PLANNING</x:v>
      </x:c>
      <x:c r="D136" t="str">
        <x:v>event</x:v>
      </x:c>
      <x:c r="E136" t="str">
        <x:v>Event Register · event 69</x:v>
      </x:c>
      <x:c r="F136" t="n">
        <x:f>Controls!$D$53</x:f>
        <x:v>1</x:v>
      </x:c>
      <x:c r="G136" t="n">
        <x:v>1</x:v>
      </x:c>
      <x:c r="H136" t="str">
        <x:v>equals</x:v>
      </x:c>
      <x:c r="I136" t="str">
        <x:v>RFA design authority</x:v>
      </x:c>
      <x:c r="J136" t="str">
        <x:f>IF(F136=1,"PASS","GAP")</x:f>
        <x:v>PASS</x:v>
      </x:c>
    </x:row>
    <x:row r="137">
      <x:c r="B137" t="str">
        <x:v>PLN-131</x:v>
      </x:c>
      <x:c r="C137" t="str">
        <x:v>PLANNING</x:v>
      </x:c>
      <x:c r="D137" t="str">
        <x:v>event</x:v>
      </x:c>
      <x:c r="E137" t="str">
        <x:v>Event Register · event 70</x:v>
      </x:c>
      <x:c r="F137" t="n">
        <x:f>Controls!$D$53</x:f>
        <x:v>1</x:v>
      </x:c>
      <x:c r="G137" t="n">
        <x:v>1</x:v>
      </x:c>
      <x:c r="H137" t="str">
        <x:v>equals</x:v>
      </x:c>
      <x:c r="I137" t="str">
        <x:v>RFA design authority</x:v>
      </x:c>
      <x:c r="J137" t="str">
        <x:f>IF(F137=1,"PASS","GAP")</x:f>
        <x:v>PASS</x:v>
      </x:c>
    </x:row>
    <x:row r="138">
      <x:c r="B138" t="str">
        <x:v>PLN-132</x:v>
      </x:c>
      <x:c r="C138" t="str">
        <x:v>PLANNING</x:v>
      </x:c>
      <x:c r="D138" t="str">
        <x:v>event</x:v>
      </x:c>
      <x:c r="E138" t="str">
        <x:v>Event Register · event 71</x:v>
      </x:c>
      <x:c r="F138" t="n">
        <x:f>Controls!$D$53</x:f>
        <x:v>1</x:v>
      </x:c>
      <x:c r="G138" t="n">
        <x:v>1</x:v>
      </x:c>
      <x:c r="H138" t="str">
        <x:v>equals</x:v>
      </x:c>
      <x:c r="I138" t="str">
        <x:v>RFA design authority</x:v>
      </x:c>
      <x:c r="J138" t="str">
        <x:f>IF(F138=1,"PASS","GAP")</x:f>
        <x:v>PASS</x:v>
      </x:c>
    </x:row>
    <x:row r="139">
      <x:c r="B139" t="str">
        <x:v>PLN-133</x:v>
      </x:c>
      <x:c r="C139" t="str">
        <x:v>PLANNING</x:v>
      </x:c>
      <x:c r="D139" t="str">
        <x:v>event</x:v>
      </x:c>
      <x:c r="E139" t="str">
        <x:v>Event Register · event 72</x:v>
      </x:c>
      <x:c r="F139" t="n">
        <x:f>Controls!$D$53</x:f>
        <x:v>1</x:v>
      </x:c>
      <x:c r="G139" t="n">
        <x:v>1</x:v>
      </x:c>
      <x:c r="H139" t="str">
        <x:v>equals</x:v>
      </x:c>
      <x:c r="I139" t="str">
        <x:v>RFA design authority</x:v>
      </x:c>
      <x:c r="J139" t="str">
        <x:f>IF(F139=1,"PASS","GAP")</x:f>
        <x:v>PASS</x:v>
      </x:c>
    </x:row>
    <x:row r="140">
      <x:c r="B140" t="str">
        <x:v>PLN-134</x:v>
      </x:c>
      <x:c r="C140" t="str">
        <x:v>PLANNING</x:v>
      </x:c>
      <x:c r="D140" t="str">
        <x:v>event</x:v>
      </x:c>
      <x:c r="E140" t="str">
        <x:v>Event Register · event 73</x:v>
      </x:c>
      <x:c r="F140" t="n">
        <x:f>Controls!$D$53</x:f>
        <x:v>1</x:v>
      </x:c>
      <x:c r="G140" t="n">
        <x:v>1</x:v>
      </x:c>
      <x:c r="H140" t="str">
        <x:v>equals</x:v>
      </x:c>
      <x:c r="I140" t="str">
        <x:v>RFA design authority</x:v>
      </x:c>
      <x:c r="J140" t="str">
        <x:f>IF(F140=1,"PASS","GAP")</x:f>
        <x:v>PASS</x:v>
      </x:c>
    </x:row>
    <x:row r="141">
      <x:c r="B141" t="str">
        <x:v>PLN-135</x:v>
      </x:c>
      <x:c r="C141" t="str">
        <x:v>PLANNING</x:v>
      </x:c>
      <x:c r="D141" t="str">
        <x:v>event</x:v>
      </x:c>
      <x:c r="E141" t="str">
        <x:v>Event Register · event 74</x:v>
      </x:c>
      <x:c r="F141" t="n">
        <x:f>Controls!$D$53</x:f>
        <x:v>1</x:v>
      </x:c>
      <x:c r="G141" t="n">
        <x:v>1</x:v>
      </x:c>
      <x:c r="H141" t="str">
        <x:v>equals</x:v>
      </x:c>
      <x:c r="I141" t="str">
        <x:v>RFA design authority</x:v>
      </x:c>
      <x:c r="J141" t="str">
        <x:f>IF(F141=1,"PASS","GAP")</x:f>
        <x:v>PASS</x:v>
      </x:c>
    </x:row>
    <x:row r="142">
      <x:c r="B142" t="str">
        <x:v>PLN-136</x:v>
      </x:c>
      <x:c r="C142" t="str">
        <x:v>PLANNING</x:v>
      </x:c>
      <x:c r="D142" t="str">
        <x:v>event</x:v>
      </x:c>
      <x:c r="E142" t="str">
        <x:v>Event Register · event 75</x:v>
      </x:c>
      <x:c r="F142" t="n">
        <x:f>Controls!$D$53</x:f>
        <x:v>1</x:v>
      </x:c>
      <x:c r="G142" t="n">
        <x:v>1</x:v>
      </x:c>
      <x:c r="H142" t="str">
        <x:v>equals</x:v>
      </x:c>
      <x:c r="I142" t="str">
        <x:v>RFA design authority</x:v>
      </x:c>
      <x:c r="J142" t="str">
        <x:f>IF(F142=1,"PASS","GAP")</x:f>
        <x:v>PASS</x:v>
      </x:c>
    </x:row>
    <x:row r="143">
      <x:c r="B143" t="str">
        <x:v>PLN-137</x:v>
      </x:c>
      <x:c r="C143" t="str">
        <x:v>PLANNING</x:v>
      </x:c>
      <x:c r="D143" t="str">
        <x:v>event</x:v>
      </x:c>
      <x:c r="E143" t="str">
        <x:v>Event Register · event 76</x:v>
      </x:c>
      <x:c r="F143" t="n">
        <x:f>Controls!$D$53</x:f>
        <x:v>1</x:v>
      </x:c>
      <x:c r="G143" t="n">
        <x:v>1</x:v>
      </x:c>
      <x:c r="H143" t="str">
        <x:v>equals</x:v>
      </x:c>
      <x:c r="I143" t="str">
        <x:v>RFA design authority</x:v>
      </x:c>
      <x:c r="J143" t="str">
        <x:f>IF(F143=1,"PASS","GAP")</x:f>
        <x:v>PASS</x:v>
      </x:c>
    </x:row>
    <x:row r="144">
      <x:c r="B144" t="str">
        <x:v>PLN-138</x:v>
      </x:c>
      <x:c r="C144" t="str">
        <x:v>PLANNING</x:v>
      </x:c>
      <x:c r="D144" t="str">
        <x:v>event</x:v>
      </x:c>
      <x:c r="E144" t="str">
        <x:v>Event Register · event 77</x:v>
      </x:c>
      <x:c r="F144" t="n">
        <x:f>Controls!$D$53</x:f>
        <x:v>1</x:v>
      </x:c>
      <x:c r="G144" t="n">
        <x:v>1</x:v>
      </x:c>
      <x:c r="H144" t="str">
        <x:v>equals</x:v>
      </x:c>
      <x:c r="I144" t="str">
        <x:v>RFA design authority</x:v>
      </x:c>
      <x:c r="J144" t="str">
        <x:f>IF(F144=1,"PASS","GAP")</x:f>
        <x:v>PASS</x:v>
      </x:c>
    </x:row>
    <x:row r="145">
      <x:c r="B145" t="str">
        <x:v>PLN-139</x:v>
      </x:c>
      <x:c r="C145" t="str">
        <x:v>PLANNING</x:v>
      </x:c>
      <x:c r="D145" t="str">
        <x:v>event</x:v>
      </x:c>
      <x:c r="E145" t="str">
        <x:v>Event Register · event 78</x:v>
      </x:c>
      <x:c r="F145" t="n">
        <x:f>Controls!$D$53</x:f>
        <x:v>1</x:v>
      </x:c>
      <x:c r="G145" t="n">
        <x:v>1</x:v>
      </x:c>
      <x:c r="H145" t="str">
        <x:v>equals</x:v>
      </x:c>
      <x:c r="I145" t="str">
        <x:v>RFA design authority</x:v>
      </x:c>
      <x:c r="J145" t="str">
        <x:f>IF(F145=1,"PASS","GAP")</x:f>
        <x:v>PASS</x:v>
      </x:c>
    </x:row>
    <x:row r="146">
      <x:c r="B146" t="str">
        <x:v>PLN-140</x:v>
      </x:c>
      <x:c r="C146" t="str">
        <x:v>PLANNING</x:v>
      </x:c>
      <x:c r="D146" t="str">
        <x:v>event</x:v>
      </x:c>
      <x:c r="E146" t="str">
        <x:v>Event Register · event 79</x:v>
      </x:c>
      <x:c r="F146" t="n">
        <x:f>Controls!$D$53</x:f>
        <x:v>1</x:v>
      </x:c>
      <x:c r="G146" t="n">
        <x:v>1</x:v>
      </x:c>
      <x:c r="H146" t="str">
        <x:v>equals</x:v>
      </x:c>
      <x:c r="I146" t="str">
        <x:v>RFA design authority</x:v>
      </x:c>
      <x:c r="J146" t="str">
        <x:f>IF(F146=1,"PASS","GAP")</x:f>
        <x:v>PASS</x:v>
      </x:c>
    </x:row>
    <x:row r="147">
      <x:c r="B147" t="str">
        <x:v>PLN-141</x:v>
      </x:c>
      <x:c r="C147" t="str">
        <x:v>PLANNING</x:v>
      </x:c>
      <x:c r="D147" t="str">
        <x:v>event</x:v>
      </x:c>
      <x:c r="E147" t="str">
        <x:v>Event Register · event 80</x:v>
      </x:c>
      <x:c r="F147" t="n">
        <x:f>Controls!$D$53</x:f>
        <x:v>1</x:v>
      </x:c>
      <x:c r="G147" t="n">
        <x:v>1</x:v>
      </x:c>
      <x:c r="H147" t="str">
        <x:v>equals</x:v>
      </x:c>
      <x:c r="I147" t="str">
        <x:v>RFA design authority</x:v>
      </x:c>
      <x:c r="J147" t="str">
        <x:f>IF(F147=1,"PASS","GAP")</x:f>
        <x:v>PASS</x:v>
      </x:c>
    </x:row>
    <x:row r="148">
      <x:c r="B148" t="str">
        <x:v>PLN-142</x:v>
      </x:c>
      <x:c r="C148" t="str">
        <x:v>PLANNING</x:v>
      </x:c>
      <x:c r="D148" t="str">
        <x:v>event</x:v>
      </x:c>
      <x:c r="E148" t="str">
        <x:v>Event Register · event 81</x:v>
      </x:c>
      <x:c r="F148" t="n">
        <x:f>Controls!$D$53</x:f>
        <x:v>1</x:v>
      </x:c>
      <x:c r="G148" t="n">
        <x:v>1</x:v>
      </x:c>
      <x:c r="H148" t="str">
        <x:v>equals</x:v>
      </x:c>
      <x:c r="I148" t="str">
        <x:v>RFA design authority</x:v>
      </x:c>
      <x:c r="J148" t="str">
        <x:f>IF(F148=1,"PASS","GAP")</x:f>
        <x:v>PASS</x:v>
      </x:c>
    </x:row>
    <x:row r="149">
      <x:c r="B149" t="str">
        <x:v>PLN-143</x:v>
      </x:c>
      <x:c r="C149" t="str">
        <x:v>PLANNING</x:v>
      </x:c>
      <x:c r="D149" t="str">
        <x:v>event</x:v>
      </x:c>
      <x:c r="E149" t="str">
        <x:v>Event Register · event 82</x:v>
      </x:c>
      <x:c r="F149" t="n">
        <x:f>Controls!$D$53</x:f>
        <x:v>1</x:v>
      </x:c>
      <x:c r="G149" t="n">
        <x:v>1</x:v>
      </x:c>
      <x:c r="H149" t="str">
        <x:v>equals</x:v>
      </x:c>
      <x:c r="I149" t="str">
        <x:v>RFA design authority</x:v>
      </x:c>
      <x:c r="J149" t="str">
        <x:f>IF(F149=1,"PASS","GAP")</x:f>
        <x:v>PASS</x:v>
      </x:c>
    </x:row>
    <x:row r="150">
      <x:c r="B150" t="str">
        <x:v>PLN-144</x:v>
      </x:c>
      <x:c r="C150" t="str">
        <x:v>PLANNING</x:v>
      </x:c>
      <x:c r="D150" t="str">
        <x:v>event</x:v>
      </x:c>
      <x:c r="E150" t="str">
        <x:v>Event Register · event 83</x:v>
      </x:c>
      <x:c r="F150" t="n">
        <x:f>Controls!$D$53</x:f>
        <x:v>1</x:v>
      </x:c>
      <x:c r="G150" t="n">
        <x:v>1</x:v>
      </x:c>
      <x:c r="H150" t="str">
        <x:v>equals</x:v>
      </x:c>
      <x:c r="I150" t="str">
        <x:v>RFA design authority</x:v>
      </x:c>
      <x:c r="J150" t="str">
        <x:f>IF(F150=1,"PASS","GAP")</x:f>
        <x:v>PASS</x:v>
      </x:c>
    </x:row>
    <x:row r="151">
      <x:c r="B151" t="str">
        <x:v>PLN-145</x:v>
      </x:c>
      <x:c r="C151" t="str">
        <x:v>PLANNING</x:v>
      </x:c>
      <x:c r="D151" t="str">
        <x:v>event</x:v>
      </x:c>
      <x:c r="E151" t="str">
        <x:v>Event Register · event 84</x:v>
      </x:c>
      <x:c r="F151" t="n">
        <x:f>Controls!$D$53</x:f>
        <x:v>1</x:v>
      </x:c>
      <x:c r="G151" t="n">
        <x:v>1</x:v>
      </x:c>
      <x:c r="H151" t="str">
        <x:v>equals</x:v>
      </x:c>
      <x:c r="I151" t="str">
        <x:v>RFA design authority</x:v>
      </x:c>
      <x:c r="J151" t="str">
        <x:f>IF(F151=1,"PASS","GAP")</x:f>
        <x:v>PASS</x:v>
      </x:c>
    </x:row>
    <x:row r="152">
      <x:c r="B152" t="str">
        <x:v>PLN-146</x:v>
      </x:c>
      <x:c r="C152" t="str">
        <x:v>PLANNING</x:v>
      </x:c>
      <x:c r="D152" t="str">
        <x:v>event</x:v>
      </x:c>
      <x:c r="E152" t="str">
        <x:v>Event Register · event 85</x:v>
      </x:c>
      <x:c r="F152" t="n">
        <x:f>Controls!$D$53</x:f>
        <x:v>1</x:v>
      </x:c>
      <x:c r="G152" t="n">
        <x:v>1</x:v>
      </x:c>
      <x:c r="H152" t="str">
        <x:v>equals</x:v>
      </x:c>
      <x:c r="I152" t="str">
        <x:v>RFA design authority</x:v>
      </x:c>
      <x:c r="J152" t="str">
        <x:f>IF(F152=1,"PASS","GAP")</x:f>
        <x:v>PASS</x:v>
      </x:c>
    </x:row>
    <x:row r="153">
      <x:c r="B153" t="str">
        <x:v>PLN-147</x:v>
      </x:c>
      <x:c r="C153" t="str">
        <x:v>PLANNING</x:v>
      </x:c>
      <x:c r="D153" t="str">
        <x:v>event</x:v>
      </x:c>
      <x:c r="E153" t="str">
        <x:v>Event Register · event 86</x:v>
      </x:c>
      <x:c r="F153" t="n">
        <x:f>Controls!$D$53</x:f>
        <x:v>1</x:v>
      </x:c>
      <x:c r="G153" t="n">
        <x:v>1</x:v>
      </x:c>
      <x:c r="H153" t="str">
        <x:v>equals</x:v>
      </x:c>
      <x:c r="I153" t="str">
        <x:v>RFA design authority</x:v>
      </x:c>
      <x:c r="J153" t="str">
        <x:f>IF(F153=1,"PASS","GAP")</x:f>
        <x:v>PASS</x:v>
      </x:c>
    </x:row>
    <x:row r="154">
      <x:c r="B154" t="str">
        <x:v>PLN-148</x:v>
      </x:c>
      <x:c r="C154" t="str">
        <x:v>PLANNING</x:v>
      </x:c>
      <x:c r="D154" t="str">
        <x:v>event</x:v>
      </x:c>
      <x:c r="E154" t="str">
        <x:v>Event Register · event 87</x:v>
      </x:c>
      <x:c r="F154" t="n">
        <x:f>Controls!$D$53</x:f>
        <x:v>1</x:v>
      </x:c>
      <x:c r="G154" t="n">
        <x:v>1</x:v>
      </x:c>
      <x:c r="H154" t="str">
        <x:v>equals</x:v>
      </x:c>
      <x:c r="I154" t="str">
        <x:v>RFA design authority</x:v>
      </x:c>
      <x:c r="J154" t="str">
        <x:f>IF(F154=1,"PASS","GAP")</x:f>
        <x:v>PASS</x:v>
      </x:c>
    </x:row>
    <x:row r="155">
      <x:c r="B155" t="str">
        <x:v>PLN-149</x:v>
      </x:c>
      <x:c r="C155" t="str">
        <x:v>PLANNING</x:v>
      </x:c>
      <x:c r="D155" t="str">
        <x:v>event</x:v>
      </x:c>
      <x:c r="E155" t="str">
        <x:v>Event Register · event 88</x:v>
      </x:c>
      <x:c r="F155" t="n">
        <x:f>Controls!$D$53</x:f>
        <x:v>1</x:v>
      </x:c>
      <x:c r="G155" t="n">
        <x:v>1</x:v>
      </x:c>
      <x:c r="H155" t="str">
        <x:v>equals</x:v>
      </x:c>
      <x:c r="I155" t="str">
        <x:v>RFA design authority</x:v>
      </x:c>
      <x:c r="J155" t="str">
        <x:f>IF(F155=1,"PASS","GAP")</x:f>
        <x:v>PASS</x:v>
      </x:c>
    </x:row>
    <x:row r="156">
      <x:c r="B156" t="str">
        <x:v>PLN-150</x:v>
      </x:c>
      <x:c r="C156" t="str">
        <x:v>PLANNING</x:v>
      </x:c>
      <x:c r="D156" t="str">
        <x:v>event</x:v>
      </x:c>
      <x:c r="E156" t="str">
        <x:v>Event Register · event 89</x:v>
      </x:c>
      <x:c r="F156" t="n">
        <x:f>Controls!$D$53</x:f>
        <x:v>1</x:v>
      </x:c>
      <x:c r="G156" t="n">
        <x:v>1</x:v>
      </x:c>
      <x:c r="H156" t="str">
        <x:v>equals</x:v>
      </x:c>
      <x:c r="I156" t="str">
        <x:v>RFA design authority</x:v>
      </x:c>
      <x:c r="J156" t="str">
        <x:f>IF(F156=1,"PASS","GAP")</x:f>
        <x:v>PASS</x:v>
      </x:c>
    </x:row>
    <x:row r="157">
      <x:c r="B157" t="str">
        <x:v>PLN-151</x:v>
      </x:c>
      <x:c r="C157" t="str">
        <x:v>PLANNING</x:v>
      </x:c>
      <x:c r="D157" t="str">
        <x:v>event</x:v>
      </x:c>
      <x:c r="E157" t="str">
        <x:v>Event Register · event 90</x:v>
      </x:c>
      <x:c r="F157" t="n">
        <x:f>Controls!$D$53</x:f>
        <x:v>1</x:v>
      </x:c>
      <x:c r="G157" t="n">
        <x:v>1</x:v>
      </x:c>
      <x:c r="H157" t="str">
        <x:v>equals</x:v>
      </x:c>
      <x:c r="I157" t="str">
        <x:v>RFA design authority</x:v>
      </x:c>
      <x:c r="J157" t="str">
        <x:f>IF(F157=1,"PASS","GAP")</x:f>
        <x:v>PASS</x:v>
      </x:c>
    </x:row>
    <x:row r="158">
      <x:c r="B158" t="str">
        <x:v>PLN-152</x:v>
      </x:c>
      <x:c r="C158" t="str">
        <x:v>PLANNING</x:v>
      </x:c>
      <x:c r="D158" t="str">
        <x:v>event</x:v>
      </x:c>
      <x:c r="E158" t="str">
        <x:v>Event Register · event 91</x:v>
      </x:c>
      <x:c r="F158" t="n">
        <x:f>Controls!$D$53</x:f>
        <x:v>1</x:v>
      </x:c>
      <x:c r="G158" t="n">
        <x:v>1</x:v>
      </x:c>
      <x:c r="H158" t="str">
        <x:v>equals</x:v>
      </x:c>
      <x:c r="I158" t="str">
        <x:v>RFA design authority</x:v>
      </x:c>
      <x:c r="J158" t="str">
        <x:f>IF(F158=1,"PASS","GAP")</x:f>
        <x:v>PASS</x:v>
      </x:c>
    </x:row>
    <x:row r="159">
      <x:c r="B159" t="str">
        <x:v>PLN-153</x:v>
      </x:c>
      <x:c r="C159" t="str">
        <x:v>PLANNING</x:v>
      </x:c>
      <x:c r="D159" t="str">
        <x:v>event</x:v>
      </x:c>
      <x:c r="E159" t="str">
        <x:v>Event Register · event 92</x:v>
      </x:c>
      <x:c r="F159" t="n">
        <x:f>Controls!$D$53</x:f>
        <x:v>1</x:v>
      </x:c>
      <x:c r="G159" t="n">
        <x:v>1</x:v>
      </x:c>
      <x:c r="H159" t="str">
        <x:v>equals</x:v>
      </x:c>
      <x:c r="I159" t="str">
        <x:v>RFA design authority</x:v>
      </x:c>
      <x:c r="J159" t="str">
        <x:f>IF(F159=1,"PASS","GAP")</x:f>
        <x:v>PASS</x:v>
      </x:c>
    </x:row>
    <x:row r="160">
      <x:c r="B160" t="str">
        <x:v>PLN-154</x:v>
      </x:c>
      <x:c r="C160" t="str">
        <x:v>PLANNING</x:v>
      </x:c>
      <x:c r="D160" t="str">
        <x:v>event</x:v>
      </x:c>
      <x:c r="E160" t="str">
        <x:v>Event Register · event 93</x:v>
      </x:c>
      <x:c r="F160" t="n">
        <x:f>Controls!$D$53</x:f>
        <x:v>1</x:v>
      </x:c>
      <x:c r="G160" t="n">
        <x:v>1</x:v>
      </x:c>
      <x:c r="H160" t="str">
        <x:v>equals</x:v>
      </x:c>
      <x:c r="I160" t="str">
        <x:v>RFA design authority</x:v>
      </x:c>
      <x:c r="J160" t="str">
        <x:f>IF(F160=1,"PASS","GAP")</x:f>
        <x:v>PASS</x:v>
      </x:c>
    </x:row>
    <x:row r="161">
      <x:c r="B161" t="str">
        <x:v>PLN-155</x:v>
      </x:c>
      <x:c r="C161" t="str">
        <x:v>PLANNING</x:v>
      </x:c>
      <x:c r="D161" t="str">
        <x:v>event</x:v>
      </x:c>
      <x:c r="E161" t="str">
        <x:v>Event Register · event 94</x:v>
      </x:c>
      <x:c r="F161" t="n">
        <x:f>Controls!$D$53</x:f>
        <x:v>1</x:v>
      </x:c>
      <x:c r="G161" t="n">
        <x:v>1</x:v>
      </x:c>
      <x:c r="H161" t="str">
        <x:v>equals</x:v>
      </x:c>
      <x:c r="I161" t="str">
        <x:v>RFA design authority</x:v>
      </x:c>
      <x:c r="J161" t="str">
        <x:f>IF(F161=1,"PASS","GAP")</x:f>
        <x:v>PASS</x:v>
      </x:c>
    </x:row>
    <x:row r="162">
      <x:c r="B162" t="str">
        <x:v>PLN-156</x:v>
      </x:c>
      <x:c r="C162" t="str">
        <x:v>PLANNING</x:v>
      </x:c>
      <x:c r="D162" t="str">
        <x:v>event</x:v>
      </x:c>
      <x:c r="E162" t="str">
        <x:v>Event Register · event 95</x:v>
      </x:c>
      <x:c r="F162" t="n">
        <x:f>Controls!$D$53</x:f>
        <x:v>1</x:v>
      </x:c>
      <x:c r="G162" t="n">
        <x:v>1</x:v>
      </x:c>
      <x:c r="H162" t="str">
        <x:v>equals</x:v>
      </x:c>
      <x:c r="I162" t="str">
        <x:v>RFA design authority</x:v>
      </x:c>
      <x:c r="J162" t="str">
        <x:f>IF(F162=1,"PASS","GAP")</x:f>
        <x:v>PASS</x:v>
      </x:c>
    </x:row>
    <x:row r="163">
      <x:c r="B163" t="str">
        <x:v>PLN-157</x:v>
      </x:c>
      <x:c r="C163" t="str">
        <x:v>PLANNING</x:v>
      </x:c>
      <x:c r="D163" t="str">
        <x:v>event</x:v>
      </x:c>
      <x:c r="E163" t="str">
        <x:v>Event Register · event 96</x:v>
      </x:c>
      <x:c r="F163" t="n">
        <x:f>Controls!$D$53</x:f>
        <x:v>1</x:v>
      </x:c>
      <x:c r="G163" t="n">
        <x:v>1</x:v>
      </x:c>
      <x:c r="H163" t="str">
        <x:v>equals</x:v>
      </x:c>
      <x:c r="I163" t="str">
        <x:v>RFA design authority</x:v>
      </x:c>
      <x:c r="J163" t="str">
        <x:f>IF(F163=1,"PASS","GAP")</x:f>
        <x:v>PASS</x:v>
      </x:c>
    </x:row>
    <x:row r="164">
      <x:c r="B164" t="str">
        <x:v>PLN-158</x:v>
      </x:c>
      <x:c r="C164" t="str">
        <x:v>PLANNING</x:v>
      </x:c>
      <x:c r="D164" t="str">
        <x:v>event</x:v>
      </x:c>
      <x:c r="E164" t="str">
        <x:v>Event Register · event 97</x:v>
      </x:c>
      <x:c r="F164" t="n">
        <x:f>Controls!$D$53</x:f>
        <x:v>1</x:v>
      </x:c>
      <x:c r="G164" t="n">
        <x:v>1</x:v>
      </x:c>
      <x:c r="H164" t="str">
        <x:v>equals</x:v>
      </x:c>
      <x:c r="I164" t="str">
        <x:v>RFA design authority</x:v>
      </x:c>
      <x:c r="J164" t="str">
        <x:f>IF(F164=1,"PASS","GAP")</x:f>
        <x:v>PASS</x:v>
      </x:c>
    </x:row>
    <x:row r="165">
      <x:c r="B165" t="str">
        <x:v>PLN-159</x:v>
      </x:c>
      <x:c r="C165" t="str">
        <x:v>PLANNING</x:v>
      </x:c>
      <x:c r="D165" t="str">
        <x:v>event</x:v>
      </x:c>
      <x:c r="E165" t="str">
        <x:v>Event Register · event 98</x:v>
      </x:c>
      <x:c r="F165" t="n">
        <x:f>Controls!$D$53</x:f>
        <x:v>1</x:v>
      </x:c>
      <x:c r="G165" t="n">
        <x:v>1</x:v>
      </x:c>
      <x:c r="H165" t="str">
        <x:v>equals</x:v>
      </x:c>
      <x:c r="I165" t="str">
        <x:v>RFA design authority</x:v>
      </x:c>
      <x:c r="J165" t="str">
        <x:f>IF(F165=1,"PASS","GAP")</x:f>
        <x:v>PASS</x:v>
      </x:c>
    </x:row>
    <x:row r="166">
      <x:c r="B166" t="str">
        <x:v>PLN-160</x:v>
      </x:c>
      <x:c r="C166" t="str">
        <x:v>PLANNING</x:v>
      </x:c>
      <x:c r="D166" t="str">
        <x:v>event</x:v>
      </x:c>
      <x:c r="E166" t="str">
        <x:v>Event Register · event 99</x:v>
      </x:c>
      <x:c r="F166" t="n">
        <x:f>Controls!$D$53</x:f>
        <x:v>1</x:v>
      </x:c>
      <x:c r="G166" t="n">
        <x:v>1</x:v>
      </x:c>
      <x:c r="H166" t="str">
        <x:v>equals</x:v>
      </x:c>
      <x:c r="I166" t="str">
        <x:v>RFA design authority</x:v>
      </x:c>
      <x:c r="J166" t="str">
        <x:f>IF(F166=1,"PASS","GAP")</x:f>
        <x:v>PASS</x:v>
      </x:c>
    </x:row>
    <x:row r="167">
      <x:c r="B167" t="str">
        <x:v>PLN-161</x:v>
      </x:c>
      <x:c r="C167" t="str">
        <x:v>PLANNING</x:v>
      </x:c>
      <x:c r="D167" t="str">
        <x:v>event</x:v>
      </x:c>
      <x:c r="E167" t="str">
        <x:v>Event Register · event 100</x:v>
      </x:c>
      <x:c r="F167" t="n">
        <x:f>Controls!$D$53</x:f>
        <x:v>1</x:v>
      </x:c>
      <x:c r="G167" t="n">
        <x:v>1</x:v>
      </x:c>
      <x:c r="H167" t="str">
        <x:v>equals</x:v>
      </x:c>
      <x:c r="I167" t="str">
        <x:v>RFA design authority</x:v>
      </x:c>
      <x:c r="J167" t="str">
        <x:f>IF(F167=1,"PASS","GAP")</x:f>
        <x:v>PASS</x:v>
      </x:c>
    </x:row>
    <x:row r="168">
      <x:c r="B168" t="str">
        <x:v>PLN-162</x:v>
      </x:c>
      <x:c r="C168" t="str">
        <x:v>PLANNING</x:v>
      </x:c>
      <x:c r="D168" t="str">
        <x:v>event</x:v>
      </x:c>
      <x:c r="E168" t="str">
        <x:v>Event Register · event 101</x:v>
      </x:c>
      <x:c r="F168" t="n">
        <x:f>Controls!$D$53</x:f>
        <x:v>1</x:v>
      </x:c>
      <x:c r="G168" t="n">
        <x:v>1</x:v>
      </x:c>
      <x:c r="H168" t="str">
        <x:v>equals</x:v>
      </x:c>
      <x:c r="I168" t="str">
        <x:v>RFA design authority</x:v>
      </x:c>
      <x:c r="J168" t="str">
        <x:f>IF(F168=1,"PASS","GAP")</x:f>
        <x:v>PASS</x:v>
      </x:c>
    </x:row>
    <x:row r="169">
      <x:c r="B169" t="str">
        <x:v>PLN-163</x:v>
      </x:c>
      <x:c r="C169" t="str">
        <x:v>PLANNING</x:v>
      </x:c>
      <x:c r="D169" t="str">
        <x:v>event</x:v>
      </x:c>
      <x:c r="E169" t="str">
        <x:v>Event Register · event 102</x:v>
      </x:c>
      <x:c r="F169" t="n">
        <x:f>Controls!$D$53</x:f>
        <x:v>1</x:v>
      </x:c>
      <x:c r="G169" t="n">
        <x:v>1</x:v>
      </x:c>
      <x:c r="H169" t="str">
        <x:v>equals</x:v>
      </x:c>
      <x:c r="I169" t="str">
        <x:v>RFA design authority</x:v>
      </x:c>
      <x:c r="J169" t="str">
        <x:f>IF(F169=1,"PASS","GAP")</x:f>
        <x:v>PASS</x:v>
      </x:c>
    </x:row>
    <x:row r="170">
      <x:c r="B170" t="str">
        <x:v>PLN-164</x:v>
      </x:c>
      <x:c r="C170" t="str">
        <x:v>PLANNING</x:v>
      </x:c>
      <x:c r="D170" t="str">
        <x:v>event</x:v>
      </x:c>
      <x:c r="E170" t="str">
        <x:v>Event Register · event 103</x:v>
      </x:c>
      <x:c r="F170" t="n">
        <x:f>Controls!$D$53</x:f>
        <x:v>1</x:v>
      </x:c>
      <x:c r="G170" t="n">
        <x:v>1</x:v>
      </x:c>
      <x:c r="H170" t="str">
        <x:v>equals</x:v>
      </x:c>
      <x:c r="I170" t="str">
        <x:v>RFA design authority</x:v>
      </x:c>
      <x:c r="J170" t="str">
        <x:f>IF(F170=1,"PASS","GAP")</x:f>
        <x:v>PASS</x:v>
      </x:c>
    </x:row>
    <x:row r="171">
      <x:c r="B171" t="str">
        <x:v>PLN-165</x:v>
      </x:c>
      <x:c r="C171" t="str">
        <x:v>PLANNING</x:v>
      </x:c>
      <x:c r="D171" t="str">
        <x:v>event</x:v>
      </x:c>
      <x:c r="E171" t="str">
        <x:v>Event Register · event 104</x:v>
      </x:c>
      <x:c r="F171" t="n">
        <x:f>Controls!$D$53</x:f>
        <x:v>1</x:v>
      </x:c>
      <x:c r="G171" t="n">
        <x:v>1</x:v>
      </x:c>
      <x:c r="H171" t="str">
        <x:v>equals</x:v>
      </x:c>
      <x:c r="I171" t="str">
        <x:v>RFA design authority</x:v>
      </x:c>
      <x:c r="J171" t="str">
        <x:f>IF(F171=1,"PASS","GAP")</x:f>
        <x:v>PASS</x:v>
      </x:c>
    </x:row>
    <x:row r="172">
      <x:c r="B172" t="str">
        <x:v>PLN-166</x:v>
      </x:c>
      <x:c r="C172" t="str">
        <x:v>PLANNING</x:v>
      </x:c>
      <x:c r="D172" t="str">
        <x:v>event</x:v>
      </x:c>
      <x:c r="E172" t="str">
        <x:v>Event Register · event 105</x:v>
      </x:c>
      <x:c r="F172" t="n">
        <x:f>Controls!$D$53</x:f>
        <x:v>1</x:v>
      </x:c>
      <x:c r="G172" t="n">
        <x:v>1</x:v>
      </x:c>
      <x:c r="H172" t="str">
        <x:v>equals</x:v>
      </x:c>
      <x:c r="I172" t="str">
        <x:v>RFA design authority</x:v>
      </x:c>
      <x:c r="J172" t="str">
        <x:f>IF(F172=1,"PASS","GAP")</x:f>
        <x:v>PASS</x:v>
      </x:c>
    </x:row>
    <x:row r="173">
      <x:c r="B173" t="str">
        <x:v>PLN-167</x:v>
      </x:c>
      <x:c r="C173" t="str">
        <x:v>PLANNING</x:v>
      </x:c>
      <x:c r="D173" t="str">
        <x:v>event</x:v>
      </x:c>
      <x:c r="E173" t="str">
        <x:v>Event Register · event 106</x:v>
      </x:c>
      <x:c r="F173" t="n">
        <x:f>Controls!$D$53</x:f>
        <x:v>1</x:v>
      </x:c>
      <x:c r="G173" t="n">
        <x:v>1</x:v>
      </x:c>
      <x:c r="H173" t="str">
        <x:v>equals</x:v>
      </x:c>
      <x:c r="I173" t="str">
        <x:v>RFA design authority</x:v>
      </x:c>
      <x:c r="J173" t="str">
        <x:f>IF(F173=1,"PASS","GAP")</x:f>
        <x:v>PASS</x:v>
      </x:c>
    </x:row>
    <x:row r="174">
      <x:c r="B174" t="str">
        <x:v>PLN-168</x:v>
      </x:c>
      <x:c r="C174" t="str">
        <x:v>PLANNING</x:v>
      </x:c>
      <x:c r="D174" t="str">
        <x:v>event</x:v>
      </x:c>
      <x:c r="E174" t="str">
        <x:v>Event Register · event 107</x:v>
      </x:c>
      <x:c r="F174" t="n">
        <x:f>Controls!$D$53</x:f>
        <x:v>1</x:v>
      </x:c>
      <x:c r="G174" t="n">
        <x:v>1</x:v>
      </x:c>
      <x:c r="H174" t="str">
        <x:v>equals</x:v>
      </x:c>
      <x:c r="I174" t="str">
        <x:v>RFA design authority</x:v>
      </x:c>
      <x:c r="J174" t="str">
        <x:f>IF(F174=1,"PASS","GAP")</x:f>
        <x:v>PASS</x:v>
      </x:c>
    </x:row>
    <x:row r="175">
      <x:c r="B175" t="str">
        <x:v>PLN-169</x:v>
      </x:c>
      <x:c r="C175" t="str">
        <x:v>PLANNING</x:v>
      </x:c>
      <x:c r="D175" t="str">
        <x:v>event</x:v>
      </x:c>
      <x:c r="E175" t="str">
        <x:v>Event Register · event 108</x:v>
      </x:c>
      <x:c r="F175" t="n">
        <x:f>Controls!$D$53</x:f>
        <x:v>1</x:v>
      </x:c>
      <x:c r="G175" t="n">
        <x:v>1</x:v>
      </x:c>
      <x:c r="H175" t="str">
        <x:v>equals</x:v>
      </x:c>
      <x:c r="I175" t="str">
        <x:v>RFA design authority</x:v>
      </x:c>
      <x:c r="J175" t="str">
        <x:f>IF(F175=1,"PASS","GAP")</x:f>
        <x:v>PASS</x:v>
      </x:c>
    </x:row>
    <x:row r="176">
      <x:c r="B176" t="str">
        <x:v>PLN-170</x:v>
      </x:c>
      <x:c r="C176" t="str">
        <x:v>PLANNING</x:v>
      </x:c>
      <x:c r="D176" t="str">
        <x:v>event</x:v>
      </x:c>
      <x:c r="E176" t="str">
        <x:v>Event Register · event 109</x:v>
      </x:c>
      <x:c r="F176" t="n">
        <x:f>Controls!$D$53</x:f>
        <x:v>1</x:v>
      </x:c>
      <x:c r="G176" t="n">
        <x:v>1</x:v>
      </x:c>
      <x:c r="H176" t="str">
        <x:v>equals</x:v>
      </x:c>
      <x:c r="I176" t="str">
        <x:v>RFA design authority</x:v>
      </x:c>
      <x:c r="J176" t="str">
        <x:f>IF(F176=1,"PASS","GAP")</x:f>
        <x:v>PASS</x:v>
      </x:c>
    </x:row>
    <x:row r="177">
      <x:c r="B177" t="str">
        <x:v>PLN-171</x:v>
      </x:c>
      <x:c r="C177" t="str">
        <x:v>PLANNING</x:v>
      </x:c>
      <x:c r="D177" t="str">
        <x:v>event</x:v>
      </x:c>
      <x:c r="E177" t="str">
        <x:v>Event Register · event 110</x:v>
      </x:c>
      <x:c r="F177" t="n">
        <x:f>Controls!$D$53</x:f>
        <x:v>1</x:v>
      </x:c>
      <x:c r="G177" t="n">
        <x:v>1</x:v>
      </x:c>
      <x:c r="H177" t="str">
        <x:v>equals</x:v>
      </x:c>
      <x:c r="I177" t="str">
        <x:v>RFA design authority</x:v>
      </x:c>
      <x:c r="J177" t="str">
        <x:f>IF(F177=1,"PASS","GAP")</x:f>
        <x:v>PASS</x:v>
      </x:c>
    </x:row>
    <x:row r="178">
      <x:c r="B178" t="str">
        <x:v>PLN-172</x:v>
      </x:c>
      <x:c r="C178" t="str">
        <x:v>PLANNING</x:v>
      </x:c>
      <x:c r="D178" t="str">
        <x:v>event</x:v>
      </x:c>
      <x:c r="E178" t="str">
        <x:v>Event Register · event 111</x:v>
      </x:c>
      <x:c r="F178" t="n">
        <x:f>Controls!$D$53</x:f>
        <x:v>1</x:v>
      </x:c>
      <x:c r="G178" t="n">
        <x:v>1</x:v>
      </x:c>
      <x:c r="H178" t="str">
        <x:v>equals</x:v>
      </x:c>
      <x:c r="I178" t="str">
        <x:v>RFA design authority</x:v>
      </x:c>
      <x:c r="J178" t="str">
        <x:f>IF(F178=1,"PASS","GAP")</x:f>
        <x:v>PASS</x:v>
      </x:c>
    </x:row>
    <x:row r="179">
      <x:c r="B179" t="str">
        <x:v>PLN-173</x:v>
      </x:c>
      <x:c r="C179" t="str">
        <x:v>PLANNING</x:v>
      </x:c>
      <x:c r="D179" t="str">
        <x:v>event</x:v>
      </x:c>
      <x:c r="E179" t="str">
        <x:v>Event Register · event 112</x:v>
      </x:c>
      <x:c r="F179" t="n">
        <x:f>Controls!$D$53</x:f>
        <x:v>1</x:v>
      </x:c>
      <x:c r="G179" t="n">
        <x:v>1</x:v>
      </x:c>
      <x:c r="H179" t="str">
        <x:v>equals</x:v>
      </x:c>
      <x:c r="I179" t="str">
        <x:v>RFA design authority</x:v>
      </x:c>
      <x:c r="J179" t="str">
        <x:f>IF(F179=1,"PASS","GAP")</x:f>
        <x:v>PASS</x:v>
      </x:c>
    </x:row>
    <x:row r="180">
      <x:c r="B180" t="str">
        <x:v>PLN-174</x:v>
      </x:c>
      <x:c r="C180" t="str">
        <x:v>PLANNING</x:v>
      </x:c>
      <x:c r="D180" t="str">
        <x:v>event</x:v>
      </x:c>
      <x:c r="E180" t="str">
        <x:v>Event Register · event 113</x:v>
      </x:c>
      <x:c r="F180" t="n">
        <x:f>Controls!$D$53</x:f>
        <x:v>1</x:v>
      </x:c>
      <x:c r="G180" t="n">
        <x:v>1</x:v>
      </x:c>
      <x:c r="H180" t="str">
        <x:v>equals</x:v>
      </x:c>
      <x:c r="I180" t="str">
        <x:v>RFA design authority</x:v>
      </x:c>
      <x:c r="J180" t="str">
        <x:f>IF(F180=1,"PASS","GAP")</x:f>
        <x:v>PASS</x:v>
      </x:c>
    </x:row>
    <x:row r="181">
      <x:c r="B181" t="str">
        <x:v>PLN-175</x:v>
      </x:c>
      <x:c r="C181" t="str">
        <x:v>PLANNING</x:v>
      </x:c>
      <x:c r="D181" t="str">
        <x:v>event</x:v>
      </x:c>
      <x:c r="E181" t="str">
        <x:v>Event Register · event 114</x:v>
      </x:c>
      <x:c r="F181" t="n">
        <x:f>Controls!$D$53</x:f>
        <x:v>1</x:v>
      </x:c>
      <x:c r="G181" t="n">
        <x:v>1</x:v>
      </x:c>
      <x:c r="H181" t="str">
        <x:v>equals</x:v>
      </x:c>
      <x:c r="I181" t="str">
        <x:v>RFA design authority</x:v>
      </x:c>
      <x:c r="J181" t="str">
        <x:f>IF(F181=1,"PASS","GAP")</x:f>
        <x:v>PASS</x:v>
      </x:c>
    </x:row>
    <x:row r="182">
      <x:c r="B182" t="str">
        <x:v>PLN-176</x:v>
      </x:c>
      <x:c r="C182" t="str">
        <x:v>PLANNING</x:v>
      </x:c>
      <x:c r="D182" t="str">
        <x:v>event</x:v>
      </x:c>
      <x:c r="E182" t="str">
        <x:v>Event Register · event 115</x:v>
      </x:c>
      <x:c r="F182" t="n">
        <x:f>Controls!$D$53</x:f>
        <x:v>1</x:v>
      </x:c>
      <x:c r="G182" t="n">
        <x:v>1</x:v>
      </x:c>
      <x:c r="H182" t="str">
        <x:v>equals</x:v>
      </x:c>
      <x:c r="I182" t="str">
        <x:v>RFA design authority</x:v>
      </x:c>
      <x:c r="J182" t="str">
        <x:f>IF(F182=1,"PASS","GAP")</x:f>
        <x:v>PASS</x:v>
      </x:c>
    </x:row>
    <x:row r="183">
      <x:c r="B183" t="str">
        <x:v>PLN-177</x:v>
      </x:c>
      <x:c r="C183" t="str">
        <x:v>PLANNING</x:v>
      </x:c>
      <x:c r="D183" t="str">
        <x:v>event</x:v>
      </x:c>
      <x:c r="E183" t="str">
        <x:v>Event Register · event 116</x:v>
      </x:c>
      <x:c r="F183" t="n">
        <x:f>Controls!$D$53</x:f>
        <x:v>1</x:v>
      </x:c>
      <x:c r="G183" t="n">
        <x:v>1</x:v>
      </x:c>
      <x:c r="H183" t="str">
        <x:v>equals</x:v>
      </x:c>
      <x:c r="I183" t="str">
        <x:v>RFA design authority</x:v>
      </x:c>
      <x:c r="J183" t="str">
        <x:f>IF(F183=1,"PASS","GAP")</x:f>
        <x:v>PASS</x:v>
      </x:c>
    </x:row>
    <x:row r="184">
      <x:c r="B184" t="str">
        <x:v>PLN-178</x:v>
      </x:c>
      <x:c r="C184" t="str">
        <x:v>PLANNING</x:v>
      </x:c>
      <x:c r="D184" t="str">
        <x:v>event</x:v>
      </x:c>
      <x:c r="E184" t="str">
        <x:v>Event Register · event 117</x:v>
      </x:c>
      <x:c r="F184" t="n">
        <x:f>Controls!$D$53</x:f>
        <x:v>1</x:v>
      </x:c>
      <x:c r="G184" t="n">
        <x:v>1</x:v>
      </x:c>
      <x:c r="H184" t="str">
        <x:v>equals</x:v>
      </x:c>
      <x:c r="I184" t="str">
        <x:v>RFA design authority</x:v>
      </x:c>
      <x:c r="J184" t="str">
        <x:f>IF(F184=1,"PASS","GAP")</x:f>
        <x:v>PASS</x:v>
      </x:c>
    </x:row>
    <x:row r="185">
      <x:c r="B185" t="str">
        <x:v>PLN-179</x:v>
      </x:c>
      <x:c r="C185" t="str">
        <x:v>PLANNING</x:v>
      </x:c>
      <x:c r="D185" t="str">
        <x:v>event</x:v>
      </x:c>
      <x:c r="E185" t="str">
        <x:v>Event Register · event 118</x:v>
      </x:c>
      <x:c r="F185" t="n">
        <x:f>Controls!$D$53</x:f>
        <x:v>1</x:v>
      </x:c>
      <x:c r="G185" t="n">
        <x:v>1</x:v>
      </x:c>
      <x:c r="H185" t="str">
        <x:v>equals</x:v>
      </x:c>
      <x:c r="I185" t="str">
        <x:v>RFA design authority</x:v>
      </x:c>
      <x:c r="J185" t="str">
        <x:f>IF(F185=1,"PASS","GAP")</x:f>
        <x:v>PASS</x:v>
      </x:c>
    </x:row>
    <x:row r="186">
      <x:c r="B186" t="str">
        <x:v>PLN-180</x:v>
      </x:c>
      <x:c r="C186" t="str">
        <x:v>PLANNING</x:v>
      </x:c>
      <x:c r="D186" t="str">
        <x:v>event</x:v>
      </x:c>
      <x:c r="E186" t="str">
        <x:v>Event Register · event 119</x:v>
      </x:c>
      <x:c r="F186" t="n">
        <x:f>Controls!$D$53</x:f>
        <x:v>1</x:v>
      </x:c>
      <x:c r="G186" t="n">
        <x:v>1</x:v>
      </x:c>
      <x:c r="H186" t="str">
        <x:v>equals</x:v>
      </x:c>
      <x:c r="I186" t="str">
        <x:v>RFA design authority</x:v>
      </x:c>
      <x:c r="J186" t="str">
        <x:f>IF(F186=1,"PASS","GAP")</x:f>
        <x:v>PASS</x:v>
      </x:c>
    </x:row>
    <x:row r="187">
      <x:c r="B187" t="str">
        <x:v>PLN-181</x:v>
      </x:c>
      <x:c r="C187" t="str">
        <x:v>PLANNING</x:v>
      </x:c>
      <x:c r="D187" t="str">
        <x:v>event</x:v>
      </x:c>
      <x:c r="E187" t="str">
        <x:v>Event Register · event 120</x:v>
      </x:c>
      <x:c r="F187" t="n">
        <x:f>Controls!$D$53</x:f>
        <x:v>1</x:v>
      </x:c>
      <x:c r="G187" t="n">
        <x:v>1</x:v>
      </x:c>
      <x:c r="H187" t="str">
        <x:v>equals</x:v>
      </x:c>
      <x:c r="I187" t="str">
        <x:v>RFA design authority</x:v>
      </x:c>
      <x:c r="J187" t="str">
        <x:f>IF(F187=1,"PASS","GAP")</x:f>
        <x:v>PASS</x:v>
      </x:c>
    </x:row>
    <x:row r="188">
      <x:c r="B188" t="str">
        <x:v>PLN-182</x:v>
      </x:c>
      <x:c r="C188" t="str">
        <x:v>PLANNING</x:v>
      </x:c>
      <x:c r="D188" t="str">
        <x:v>event</x:v>
      </x:c>
      <x:c r="E188" t="str">
        <x:v>Event Register · event 121</x:v>
      </x:c>
      <x:c r="F188" t="n">
        <x:f>Controls!$D$53</x:f>
        <x:v>1</x:v>
      </x:c>
      <x:c r="G188" t="n">
        <x:v>1</x:v>
      </x:c>
      <x:c r="H188" t="str">
        <x:v>equals</x:v>
      </x:c>
      <x:c r="I188" t="str">
        <x:v>RFA design authority</x:v>
      </x:c>
      <x:c r="J188" t="str">
        <x:f>IF(F188=1,"PASS","GAP")</x:f>
        <x:v>PASS</x:v>
      </x:c>
    </x:row>
    <x:row r="189">
      <x:c r="B189" t="str">
        <x:v>PLN-183</x:v>
      </x:c>
      <x:c r="C189" t="str">
        <x:v>PLANNING</x:v>
      </x:c>
      <x:c r="D189" t="str">
        <x:v>event</x:v>
      </x:c>
      <x:c r="E189" t="str">
        <x:v>Event Register · event 122</x:v>
      </x:c>
      <x:c r="F189" t="n">
        <x:f>Controls!$D$53</x:f>
        <x:v>1</x:v>
      </x:c>
      <x:c r="G189" t="n">
        <x:v>1</x:v>
      </x:c>
      <x:c r="H189" t="str">
        <x:v>equals</x:v>
      </x:c>
      <x:c r="I189" t="str">
        <x:v>RFA design authority</x:v>
      </x:c>
      <x:c r="J189" t="str">
        <x:f>IF(F189=1,"PASS","GAP")</x:f>
        <x:v>PASS</x:v>
      </x:c>
    </x:row>
    <x:row r="190">
      <x:c r="B190" t="str">
        <x:v>PLN-184</x:v>
      </x:c>
      <x:c r="C190" t="str">
        <x:v>PLANNING</x:v>
      </x:c>
      <x:c r="D190" t="str">
        <x:v>event</x:v>
      </x:c>
      <x:c r="E190" t="str">
        <x:v>Event Register · event 123</x:v>
      </x:c>
      <x:c r="F190" t="n">
        <x:f>Controls!$D$53</x:f>
        <x:v>1</x:v>
      </x:c>
      <x:c r="G190" t="n">
        <x:v>1</x:v>
      </x:c>
      <x:c r="H190" t="str">
        <x:v>equals</x:v>
      </x:c>
      <x:c r="I190" t="str">
        <x:v>RFA design authority</x:v>
      </x:c>
      <x:c r="J190" t="str">
        <x:f>IF(F190=1,"PASS","GAP")</x:f>
        <x:v>PASS</x:v>
      </x:c>
    </x:row>
    <x:row r="191">
      <x:c r="B191" t="str">
        <x:v>PLN-185</x:v>
      </x:c>
      <x:c r="C191" t="str">
        <x:v>PLANNING</x:v>
      </x:c>
      <x:c r="D191" t="str">
        <x:v>event</x:v>
      </x:c>
      <x:c r="E191" t="str">
        <x:v>Event Register · event 124</x:v>
      </x:c>
      <x:c r="F191" t="n">
        <x:f>Controls!$D$53</x:f>
        <x:v>1</x:v>
      </x:c>
      <x:c r="G191" t="n">
        <x:v>1</x:v>
      </x:c>
      <x:c r="H191" t="str">
        <x:v>equals</x:v>
      </x:c>
      <x:c r="I191" t="str">
        <x:v>RFA design authority</x:v>
      </x:c>
      <x:c r="J191" t="str">
        <x:f>IF(F191=1,"PASS","GAP")</x:f>
        <x:v>PASS</x:v>
      </x:c>
    </x:row>
    <x:row r="192">
      <x:c r="B192" t="str">
        <x:v>PLN-186</x:v>
      </x:c>
      <x:c r="C192" t="str">
        <x:v>PLANNING</x:v>
      </x:c>
      <x:c r="D192" t="str">
        <x:v>event</x:v>
      </x:c>
      <x:c r="E192" t="str">
        <x:v>Event Register · event 125</x:v>
      </x:c>
      <x:c r="F192" t="n">
        <x:f>Controls!$D$53</x:f>
        <x:v>1</x:v>
      </x:c>
      <x:c r="G192" t="n">
        <x:v>1</x:v>
      </x:c>
      <x:c r="H192" t="str">
        <x:v>equals</x:v>
      </x:c>
      <x:c r="I192" t="str">
        <x:v>RFA design authority</x:v>
      </x:c>
      <x:c r="J192" t="str">
        <x:f>IF(F192=1,"PASS","GAP")</x:f>
        <x:v>PASS</x:v>
      </x:c>
    </x:row>
    <x:row r="193">
      <x:c r="B193" t="str">
        <x:v>PLN-187</x:v>
      </x:c>
      <x:c r="C193" t="str">
        <x:v>PLANNING</x:v>
      </x:c>
      <x:c r="D193" t="str">
        <x:v>event</x:v>
      </x:c>
      <x:c r="E193" t="str">
        <x:v>Event Register · event 126</x:v>
      </x:c>
      <x:c r="F193" t="n">
        <x:f>Controls!$D$53</x:f>
        <x:v>1</x:v>
      </x:c>
      <x:c r="G193" t="n">
        <x:v>1</x:v>
      </x:c>
      <x:c r="H193" t="str">
        <x:v>equals</x:v>
      </x:c>
      <x:c r="I193" t="str">
        <x:v>RFA design authority</x:v>
      </x:c>
      <x:c r="J193" t="str">
        <x:f>IF(F193=1,"PASS","GAP")</x:f>
        <x:v>PASS</x:v>
      </x:c>
    </x:row>
    <x:row r="194">
      <x:c r="B194" t="str">
        <x:v>PLN-188</x:v>
      </x:c>
      <x:c r="C194" t="str">
        <x:v>PLANNING</x:v>
      </x:c>
      <x:c r="D194" t="str">
        <x:v>event</x:v>
      </x:c>
      <x:c r="E194" t="str">
        <x:v>Event Register · event 127</x:v>
      </x:c>
      <x:c r="F194" t="n">
        <x:f>Controls!$D$53</x:f>
        <x:v>1</x:v>
      </x:c>
      <x:c r="G194" t="n">
        <x:v>1</x:v>
      </x:c>
      <x:c r="H194" t="str">
        <x:v>equals</x:v>
      </x:c>
      <x:c r="I194" t="str">
        <x:v>RFA design authority</x:v>
      </x:c>
      <x:c r="J194" t="str">
        <x:f>IF(F194=1,"PASS","GAP")</x:f>
        <x:v>PASS</x:v>
      </x:c>
    </x:row>
    <x:row r="195">
      <x:c r="B195" t="str">
        <x:v>PLN-189</x:v>
      </x:c>
      <x:c r="C195" t="str">
        <x:v>PLANNING</x:v>
      </x:c>
      <x:c r="D195" t="str">
        <x:v>event</x:v>
      </x:c>
      <x:c r="E195" t="str">
        <x:v>Event Register · event 128</x:v>
      </x:c>
      <x:c r="F195" t="n">
        <x:f>Controls!$D$53</x:f>
        <x:v>1</x:v>
      </x:c>
      <x:c r="G195" t="n">
        <x:v>1</x:v>
      </x:c>
      <x:c r="H195" t="str">
        <x:v>equals</x:v>
      </x:c>
      <x:c r="I195" t="str">
        <x:v>RFA design authority</x:v>
      </x:c>
      <x:c r="J195" t="str">
        <x:f>IF(F195=1,"PASS","GAP")</x:f>
        <x:v>PASS</x:v>
      </x:c>
    </x:row>
    <x:row r="196">
      <x:c r="B196" t="str">
        <x:v>PLN-190</x:v>
      </x:c>
      <x:c r="C196" t="str">
        <x:v>PLANNING</x:v>
      </x:c>
      <x:c r="D196" t="str">
        <x:v>event</x:v>
      </x:c>
      <x:c r="E196" t="str">
        <x:v>Event Register · event 129</x:v>
      </x:c>
      <x:c r="F196" t="n">
        <x:f>Controls!$D$53</x:f>
        <x:v>1</x:v>
      </x:c>
      <x:c r="G196" t="n">
        <x:v>1</x:v>
      </x:c>
      <x:c r="H196" t="str">
        <x:v>equals</x:v>
      </x:c>
      <x:c r="I196" t="str">
        <x:v>RFA design authority</x:v>
      </x:c>
      <x:c r="J196" t="str">
        <x:f>IF(F196=1,"PASS","GAP")</x:f>
        <x:v>PASS</x:v>
      </x:c>
    </x:row>
    <x:row r="197">
      <x:c r="B197" t="str">
        <x:v>PLN-191</x:v>
      </x:c>
      <x:c r="C197" t="str">
        <x:v>PLANNING</x:v>
      </x:c>
      <x:c r="D197" t="str">
        <x:v>event</x:v>
      </x:c>
      <x:c r="E197" t="str">
        <x:v>Event Register · event 130</x:v>
      </x:c>
      <x:c r="F197" t="n">
        <x:f>Controls!$D$53</x:f>
        <x:v>1</x:v>
      </x:c>
      <x:c r="G197" t="n">
        <x:v>1</x:v>
      </x:c>
      <x:c r="H197" t="str">
        <x:v>equals</x:v>
      </x:c>
      <x:c r="I197" t="str">
        <x:v>RFA design authority</x:v>
      </x:c>
      <x:c r="J197" t="str">
        <x:f>IF(F197=1,"PASS","GAP")</x:f>
        <x:v>PASS</x:v>
      </x:c>
    </x:row>
    <x:row r="198">
      <x:c r="B198" t="str">
        <x:v>PLN-192</x:v>
      </x:c>
      <x:c r="C198" t="str">
        <x:v>PLANNING</x:v>
      </x:c>
      <x:c r="D198" t="str">
        <x:v>event</x:v>
      </x:c>
      <x:c r="E198" t="str">
        <x:v>Event Register · event 131</x:v>
      </x:c>
      <x:c r="F198" t="n">
        <x:f>Controls!$D$53</x:f>
        <x:v>1</x:v>
      </x:c>
      <x:c r="G198" t="n">
        <x:v>1</x:v>
      </x:c>
      <x:c r="H198" t="str">
        <x:v>equals</x:v>
      </x:c>
      <x:c r="I198" t="str">
        <x:v>RFA design authority</x:v>
      </x:c>
      <x:c r="J198" t="str">
        <x:f>IF(F198=1,"PASS","GAP")</x:f>
        <x:v>PASS</x:v>
      </x:c>
    </x:row>
    <x:row r="199">
      <x:c r="B199" t="str">
        <x:v>PLN-193</x:v>
      </x:c>
      <x:c r="C199" t="str">
        <x:v>PLANNING</x:v>
      </x:c>
      <x:c r="D199" t="str">
        <x:v>event</x:v>
      </x:c>
      <x:c r="E199" t="str">
        <x:v>Event Register · event 132</x:v>
      </x:c>
      <x:c r="F199" t="n">
        <x:f>Controls!$D$53</x:f>
        <x:v>1</x:v>
      </x:c>
      <x:c r="G199" t="n">
        <x:v>1</x:v>
      </x:c>
      <x:c r="H199" t="str">
        <x:v>equals</x:v>
      </x:c>
      <x:c r="I199" t="str">
        <x:v>RFA design authority</x:v>
      </x:c>
      <x:c r="J199" t="str">
        <x:f>IF(F199=1,"PASS","GAP")</x:f>
        <x:v>PASS</x:v>
      </x:c>
    </x:row>
    <x:row r="200">
      <x:c r="B200" t="str">
        <x:v>PLN-194</x:v>
      </x:c>
      <x:c r="C200" t="str">
        <x:v>PLANNING</x:v>
      </x:c>
      <x:c r="D200" t="str">
        <x:v>event</x:v>
      </x:c>
      <x:c r="E200" t="str">
        <x:v>Event Register · event 133</x:v>
      </x:c>
      <x:c r="F200" t="n">
        <x:f>Controls!$D$53</x:f>
        <x:v>1</x:v>
      </x:c>
      <x:c r="G200" t="n">
        <x:v>1</x:v>
      </x:c>
      <x:c r="H200" t="str">
        <x:v>equals</x:v>
      </x:c>
      <x:c r="I200" t="str">
        <x:v>RFA design authority</x:v>
      </x:c>
      <x:c r="J200" t="str">
        <x:f>IF(F200=1,"PASS","GAP")</x:f>
        <x:v>PASS</x:v>
      </x:c>
    </x:row>
    <x:row r="201">
      <x:c r="B201" t="str">
        <x:v>PLN-195</x:v>
      </x:c>
      <x:c r="C201" t="str">
        <x:v>PLANNING</x:v>
      </x:c>
      <x:c r="D201" t="str">
        <x:v>event</x:v>
      </x:c>
      <x:c r="E201" t="str">
        <x:v>Event Register · event 134</x:v>
      </x:c>
      <x:c r="F201" t="n">
        <x:f>Controls!$D$53</x:f>
        <x:v>1</x:v>
      </x:c>
      <x:c r="G201" t="n">
        <x:v>1</x:v>
      </x:c>
      <x:c r="H201" t="str">
        <x:v>equals</x:v>
      </x:c>
      <x:c r="I201" t="str">
        <x:v>RFA design authority</x:v>
      </x:c>
      <x:c r="J201" t="str">
        <x:f>IF(F201=1,"PASS","GAP")</x:f>
        <x:v>PASS</x:v>
      </x:c>
    </x:row>
    <x:row r="202">
      <x:c r="B202" t="str">
        <x:v>PLN-196</x:v>
      </x:c>
      <x:c r="C202" t="str">
        <x:v>PLANNING</x:v>
      </x:c>
      <x:c r="D202" t="str">
        <x:v>event</x:v>
      </x:c>
      <x:c r="E202" t="str">
        <x:v>Event Register · event 135</x:v>
      </x:c>
      <x:c r="F202" t="n">
        <x:f>Controls!$D$53</x:f>
        <x:v>1</x:v>
      </x:c>
      <x:c r="G202" t="n">
        <x:v>1</x:v>
      </x:c>
      <x:c r="H202" t="str">
        <x:v>equals</x:v>
      </x:c>
      <x:c r="I202" t="str">
        <x:v>RFA design authority</x:v>
      </x:c>
      <x:c r="J202" t="str">
        <x:f>IF(F202=1,"PASS","GAP")</x:f>
        <x:v>PASS</x:v>
      </x:c>
    </x:row>
    <x:row r="203">
      <x:c r="B203" t="str">
        <x:v>PLN-197</x:v>
      </x:c>
      <x:c r="C203" t="str">
        <x:v>PLANNING</x:v>
      </x:c>
      <x:c r="D203" t="str">
        <x:v>event</x:v>
      </x:c>
      <x:c r="E203" t="str">
        <x:v>Event Register · event 136</x:v>
      </x:c>
      <x:c r="F203" t="n">
        <x:f>Controls!$D$53</x:f>
        <x:v>1</x:v>
      </x:c>
      <x:c r="G203" t="n">
        <x:v>1</x:v>
      </x:c>
      <x:c r="H203" t="str">
        <x:v>equals</x:v>
      </x:c>
      <x:c r="I203" t="str">
        <x:v>RFA design authority</x:v>
      </x:c>
      <x:c r="J203" t="str">
        <x:f>IF(F203=1,"PASS","GAP")</x:f>
        <x:v>PASS</x:v>
      </x:c>
    </x:row>
    <x:row r="204">
      <x:c r="B204" t="str">
        <x:v>PLN-198</x:v>
      </x:c>
      <x:c r="C204" t="str">
        <x:v>PLANNING</x:v>
      </x:c>
      <x:c r="D204" t="str">
        <x:v>event</x:v>
      </x:c>
      <x:c r="E204" t="str">
        <x:v>Event Register · event 137</x:v>
      </x:c>
      <x:c r="F204" t="n">
        <x:f>Controls!$D$53</x:f>
        <x:v>1</x:v>
      </x:c>
      <x:c r="G204" t="n">
        <x:v>1</x:v>
      </x:c>
      <x:c r="H204" t="str">
        <x:v>equals</x:v>
      </x:c>
      <x:c r="I204" t="str">
        <x:v>RFA design authority</x:v>
      </x:c>
      <x:c r="J204" t="str">
        <x:f>IF(F204=1,"PASS","GAP")</x:f>
        <x:v>PASS</x:v>
      </x:c>
    </x:row>
    <x:row r="205">
      <x:c r="B205" t="str">
        <x:v>PLN-199</x:v>
      </x:c>
      <x:c r="C205" t="str">
        <x:v>PLANNING</x:v>
      </x:c>
      <x:c r="D205" t="str">
        <x:v>event</x:v>
      </x:c>
      <x:c r="E205" t="str">
        <x:v>Event Register · event 138</x:v>
      </x:c>
      <x:c r="F205" t="n">
        <x:f>Controls!$D$53</x:f>
        <x:v>1</x:v>
      </x:c>
      <x:c r="G205" t="n">
        <x:v>1</x:v>
      </x:c>
      <x:c r="H205" t="str">
        <x:v>equals</x:v>
      </x:c>
      <x:c r="I205" t="str">
        <x:v>RFA design authority</x:v>
      </x:c>
      <x:c r="J205" t="str">
        <x:f>IF(F205=1,"PASS","GAP")</x:f>
        <x:v>PASS</x:v>
      </x:c>
    </x:row>
    <x:row r="206">
      <x:c r="B206" t="str">
        <x:v>PLN-200</x:v>
      </x:c>
      <x:c r="C206" t="str">
        <x:v>PLANNING</x:v>
      </x:c>
      <x:c r="D206" t="str">
        <x:v>event</x:v>
      </x:c>
      <x:c r="E206" t="str">
        <x:v>Event Register · event 139</x:v>
      </x:c>
      <x:c r="F206" t="n">
        <x:f>Controls!$D$53</x:f>
        <x:v>1</x:v>
      </x:c>
      <x:c r="G206" t="n">
        <x:v>1</x:v>
      </x:c>
      <x:c r="H206" t="str">
        <x:v>equals</x:v>
      </x:c>
      <x:c r="I206" t="str">
        <x:v>RFA design authority</x:v>
      </x:c>
      <x:c r="J206" t="str">
        <x:f>IF(F206=1,"PASS","GAP")</x:f>
        <x:v>PASS</x:v>
      </x:c>
    </x:row>
    <x:row r="207">
      <x:c r="B207" t="str">
        <x:v>PLN-201</x:v>
      </x:c>
      <x:c r="C207" t="str">
        <x:v>PLANNING</x:v>
      </x:c>
      <x:c r="D207" t="str">
        <x:v>event</x:v>
      </x:c>
      <x:c r="E207" t="str">
        <x:v>Event Register · event 140</x:v>
      </x:c>
      <x:c r="F207" t="n">
        <x:f>Controls!$D$53</x:f>
        <x:v>1</x:v>
      </x:c>
      <x:c r="G207" t="n">
        <x:v>1</x:v>
      </x:c>
      <x:c r="H207" t="str">
        <x:v>equals</x:v>
      </x:c>
      <x:c r="I207" t="str">
        <x:v>RFA design authority</x:v>
      </x:c>
      <x:c r="J207" t="str">
        <x:f>IF(F207=1,"PASS","GAP")</x:f>
        <x:v>PASS</x:v>
      </x:c>
    </x:row>
    <x:row r="208">
      <x:c r="B208" t="str">
        <x:v>PLN-202</x:v>
      </x:c>
      <x:c r="C208" t="str">
        <x:v>PLANNING</x:v>
      </x:c>
      <x:c r="D208" t="str">
        <x:v>event</x:v>
      </x:c>
      <x:c r="E208" t="str">
        <x:v>Event Register · event 141</x:v>
      </x:c>
      <x:c r="F208" t="n">
        <x:f>Controls!$D$53</x:f>
        <x:v>1</x:v>
      </x:c>
      <x:c r="G208" t="n">
        <x:v>1</x:v>
      </x:c>
      <x:c r="H208" t="str">
        <x:v>equals</x:v>
      </x:c>
      <x:c r="I208" t="str">
        <x:v>RFA design authority</x:v>
      </x:c>
      <x:c r="J208" t="str">
        <x:f>IF(F208=1,"PASS","GAP")</x:f>
        <x:v>PASS</x:v>
      </x:c>
    </x:row>
    <x:row r="209">
      <x:c r="B209" t="str">
        <x:v>PLN-203</x:v>
      </x:c>
      <x:c r="C209" t="str">
        <x:v>PLANNING</x:v>
      </x:c>
      <x:c r="D209" t="str">
        <x:v>event</x:v>
      </x:c>
      <x:c r="E209" t="str">
        <x:v>Event Register · event 142</x:v>
      </x:c>
      <x:c r="F209" t="n">
        <x:f>Controls!$D$53</x:f>
        <x:v>1</x:v>
      </x:c>
      <x:c r="G209" t="n">
        <x:v>1</x:v>
      </x:c>
      <x:c r="H209" t="str">
        <x:v>equals</x:v>
      </x:c>
      <x:c r="I209" t="str">
        <x:v>RFA design authority</x:v>
      </x:c>
      <x:c r="J209" t="str">
        <x:f>IF(F209=1,"PASS","GAP")</x:f>
        <x:v>PASS</x:v>
      </x:c>
    </x:row>
    <x:row r="210">
      <x:c r="B210" t="str">
        <x:v>PLN-204</x:v>
      </x:c>
      <x:c r="C210" t="str">
        <x:v>PLANNING</x:v>
      </x:c>
      <x:c r="D210" t="str">
        <x:v>event</x:v>
      </x:c>
      <x:c r="E210" t="str">
        <x:v>Event Register · event 143</x:v>
      </x:c>
      <x:c r="F210" t="n">
        <x:f>Controls!$D$53</x:f>
        <x:v>1</x:v>
      </x:c>
      <x:c r="G210" t="n">
        <x:v>1</x:v>
      </x:c>
      <x:c r="H210" t="str">
        <x:v>equals</x:v>
      </x:c>
      <x:c r="I210" t="str">
        <x:v>RFA design authority</x:v>
      </x:c>
      <x:c r="J210" t="str">
        <x:f>IF(F210=1,"PASS","GAP")</x:f>
        <x:v>PASS</x:v>
      </x:c>
    </x:row>
    <x:row r="211">
      <x:c r="B211" t="str">
        <x:v>PLN-205</x:v>
      </x:c>
      <x:c r="C211" t="str">
        <x:v>PLANNING</x:v>
      </x:c>
      <x:c r="D211" t="str">
        <x:v>event</x:v>
      </x:c>
      <x:c r="E211" t="str">
        <x:v>Event Register · event 144</x:v>
      </x:c>
      <x:c r="F211" t="n">
        <x:f>Controls!$D$53</x:f>
        <x:v>1</x:v>
      </x:c>
      <x:c r="G211" t="n">
        <x:v>1</x:v>
      </x:c>
      <x:c r="H211" t="str">
        <x:v>equals</x:v>
      </x:c>
      <x:c r="I211" t="str">
        <x:v>RFA design authority</x:v>
      </x:c>
      <x:c r="J211" t="str">
        <x:f>IF(F211=1,"PASS","GAP")</x:f>
        <x:v>PASS</x:v>
      </x:c>
    </x:row>
    <x:row r="212">
      <x:c r="B212" t="str">
        <x:v>PLN-206</x:v>
      </x:c>
      <x:c r="C212" t="str">
        <x:v>PLANNING</x:v>
      </x:c>
      <x:c r="D212" t="str">
        <x:v>event</x:v>
      </x:c>
      <x:c r="E212" t="str">
        <x:v>Event Register · event 145</x:v>
      </x:c>
      <x:c r="F212" t="n">
        <x:f>Controls!$D$53</x:f>
        <x:v>1</x:v>
      </x:c>
      <x:c r="G212" t="n">
        <x:v>1</x:v>
      </x:c>
      <x:c r="H212" t="str">
        <x:v>equals</x:v>
      </x:c>
      <x:c r="I212" t="str">
        <x:v>RFA design authority</x:v>
      </x:c>
      <x:c r="J212" t="str">
        <x:f>IF(F212=1,"PASS","GAP")</x:f>
        <x:v>PASS</x:v>
      </x:c>
    </x:row>
    <x:row r="213">
      <x:c r="B213" t="str">
        <x:v>PLN-207</x:v>
      </x:c>
      <x:c r="C213" t="str">
        <x:v>PLANNING</x:v>
      </x:c>
      <x:c r="D213" t="str">
        <x:v>event</x:v>
      </x:c>
      <x:c r="E213" t="str">
        <x:v>Event Register · event 146</x:v>
      </x:c>
      <x:c r="F213" t="n">
        <x:f>Controls!$D$53</x:f>
        <x:v>1</x:v>
      </x:c>
      <x:c r="G213" t="n">
        <x:v>1</x:v>
      </x:c>
      <x:c r="H213" t="str">
        <x:v>equals</x:v>
      </x:c>
      <x:c r="I213" t="str">
        <x:v>RFA design authority</x:v>
      </x:c>
      <x:c r="J213" t="str">
        <x:f>IF(F213=1,"PASS","GAP")</x:f>
        <x:v>PASS</x:v>
      </x:c>
    </x:row>
    <x:row r="214">
      <x:c r="B214" t="str">
        <x:v>PLN-208</x:v>
      </x:c>
      <x:c r="C214" t="str">
        <x:v>PLANNING</x:v>
      </x:c>
      <x:c r="D214" t="str">
        <x:v>event</x:v>
      </x:c>
      <x:c r="E214" t="str">
        <x:v>Event Register · event 147</x:v>
      </x:c>
      <x:c r="F214" t="n">
        <x:f>Controls!$D$53</x:f>
        <x:v>1</x:v>
      </x:c>
      <x:c r="G214" t="n">
        <x:v>1</x:v>
      </x:c>
      <x:c r="H214" t="str">
        <x:v>equals</x:v>
      </x:c>
      <x:c r="I214" t="str">
        <x:v>RFA design authority</x:v>
      </x:c>
      <x:c r="J214" t="str">
        <x:f>IF(F214=1,"PASS","GAP")</x:f>
        <x:v>PASS</x:v>
      </x:c>
    </x:row>
    <x:row r="215">
      <x:c r="B215" t="str">
        <x:v>PLN-209</x:v>
      </x:c>
      <x:c r="C215" t="str">
        <x:v>PLANNING</x:v>
      </x:c>
      <x:c r="D215" t="str">
        <x:v>event</x:v>
      </x:c>
      <x:c r="E215" t="str">
        <x:v>Event Register · event 148</x:v>
      </x:c>
      <x:c r="F215" t="n">
        <x:f>Controls!$D$53</x:f>
        <x:v>1</x:v>
      </x:c>
      <x:c r="G215" t="n">
        <x:v>1</x:v>
      </x:c>
      <x:c r="H215" t="str">
        <x:v>equals</x:v>
      </x:c>
      <x:c r="I215" t="str">
        <x:v>RFA design authority</x:v>
      </x:c>
      <x:c r="J215" t="str">
        <x:f>IF(F215=1,"PASS","GAP")</x:f>
        <x:v>PASS</x:v>
      </x:c>
    </x:row>
    <x:row r="216">
      <x:c r="B216" t="str">
        <x:v>PLN-210</x:v>
      </x:c>
      <x:c r="C216" t="str">
        <x:v>PLANNING</x:v>
      </x:c>
      <x:c r="D216" t="str">
        <x:v>event</x:v>
      </x:c>
      <x:c r="E216" t="str">
        <x:v>Event Register · event 149</x:v>
      </x:c>
      <x:c r="F216" t="n">
        <x:f>Controls!$D$53</x:f>
        <x:v>1</x:v>
      </x:c>
      <x:c r="G216" t="n">
        <x:v>1</x:v>
      </x:c>
      <x:c r="H216" t="str">
        <x:v>equals</x:v>
      </x:c>
      <x:c r="I216" t="str">
        <x:v>RFA design authority</x:v>
      </x:c>
      <x:c r="J216" t="str">
        <x:f>IF(F216=1,"PASS","GAP")</x:f>
        <x:v>PASS</x:v>
      </x:c>
    </x:row>
    <x:row r="217">
      <x:c r="B217" t="str">
        <x:v>PLN-211</x:v>
      </x:c>
      <x:c r="C217" t="str">
        <x:v>PLANNING</x:v>
      </x:c>
      <x:c r="D217" t="str">
        <x:v>event</x:v>
      </x:c>
      <x:c r="E217" t="str">
        <x:v>Event Register · event 150</x:v>
      </x:c>
      <x:c r="F217" t="n">
        <x:f>Controls!$D$53</x:f>
        <x:v>1</x:v>
      </x:c>
      <x:c r="G217" t="n">
        <x:v>1</x:v>
      </x:c>
      <x:c r="H217" t="str">
        <x:v>equals</x:v>
      </x:c>
      <x:c r="I217" t="str">
        <x:v>RFA design authority</x:v>
      </x:c>
      <x:c r="J217" t="str">
        <x:f>IF(F217=1,"PASS","GAP")</x:f>
        <x:v>PASS</x:v>
      </x:c>
    </x:row>
    <x:row r="218">
      <x:c r="B218" t="str">
        <x:v>PLN-212</x:v>
      </x:c>
      <x:c r="C218" t="str">
        <x:v>PLANNING</x:v>
      </x:c>
      <x:c r="D218" t="str">
        <x:v>event</x:v>
      </x:c>
      <x:c r="E218" t="str">
        <x:v>Event Register · event 151</x:v>
      </x:c>
      <x:c r="F218" t="n">
        <x:f>Controls!$D$53</x:f>
        <x:v>1</x:v>
      </x:c>
      <x:c r="G218" t="n">
        <x:v>1</x:v>
      </x:c>
      <x:c r="H218" t="str">
        <x:v>equals</x:v>
      </x:c>
      <x:c r="I218" t="str">
        <x:v>RFA design authority</x:v>
      </x:c>
      <x:c r="J218" t="str">
        <x:f>IF(F218=1,"PASS","GAP")</x:f>
        <x:v>PASS</x:v>
      </x:c>
    </x:row>
    <x:row r="219">
      <x:c r="B219" t="str">
        <x:v>PLN-213</x:v>
      </x:c>
      <x:c r="C219" t="str">
        <x:v>PLANNING</x:v>
      </x:c>
      <x:c r="D219" t="str">
        <x:v>event</x:v>
      </x:c>
      <x:c r="E219" t="str">
        <x:v>Event Register · event 152</x:v>
      </x:c>
      <x:c r="F219" t="n">
        <x:f>Controls!$D$53</x:f>
        <x:v>1</x:v>
      </x:c>
      <x:c r="G219" t="n">
        <x:v>1</x:v>
      </x:c>
      <x:c r="H219" t="str">
        <x:v>equals</x:v>
      </x:c>
      <x:c r="I219" t="str">
        <x:v>RFA design authority</x:v>
      </x:c>
      <x:c r="J219" t="str">
        <x:f>IF(F219=1,"PASS","GAP")</x:f>
        <x:v>PASS</x:v>
      </x:c>
    </x:row>
    <x:row r="220">
      <x:c r="B220" t="str">
        <x:v>PLN-214</x:v>
      </x:c>
      <x:c r="C220" t="str">
        <x:v>PLANNING</x:v>
      </x:c>
      <x:c r="D220" t="str">
        <x:v>event</x:v>
      </x:c>
      <x:c r="E220" t="str">
        <x:v>Event Register · event 153</x:v>
      </x:c>
      <x:c r="F220" t="n">
        <x:f>Controls!$D$53</x:f>
        <x:v>1</x:v>
      </x:c>
      <x:c r="G220" t="n">
        <x:v>1</x:v>
      </x:c>
      <x:c r="H220" t="str">
        <x:v>equals</x:v>
      </x:c>
      <x:c r="I220" t="str">
        <x:v>RFA design authority</x:v>
      </x:c>
      <x:c r="J220" t="str">
        <x:f>IF(F220=1,"PASS","GAP")</x:f>
        <x:v>PASS</x:v>
      </x:c>
    </x:row>
    <x:row r="221">
      <x:c r="B221" t="str">
        <x:v>PLN-215</x:v>
      </x:c>
      <x:c r="C221" t="str">
        <x:v>PLANNING</x:v>
      </x:c>
      <x:c r="D221" t="str">
        <x:v>event</x:v>
      </x:c>
      <x:c r="E221" t="str">
        <x:v>Event Register · event 154</x:v>
      </x:c>
      <x:c r="F221" t="n">
        <x:f>Controls!$D$53</x:f>
        <x:v>1</x:v>
      </x:c>
      <x:c r="G221" t="n">
        <x:v>1</x:v>
      </x:c>
      <x:c r="H221" t="str">
        <x:v>equals</x:v>
      </x:c>
      <x:c r="I221" t="str">
        <x:v>RFA design authority</x:v>
      </x:c>
      <x:c r="J221" t="str">
        <x:f>IF(F221=1,"PASS","GAP")</x:f>
        <x:v>PASS</x:v>
      </x:c>
    </x:row>
    <x:row r="222">
      <x:c r="B222" t="str">
        <x:v>PLN-216</x:v>
      </x:c>
      <x:c r="C222" t="str">
        <x:v>PLANNING</x:v>
      </x:c>
      <x:c r="D222" t="str">
        <x:v>event</x:v>
      </x:c>
      <x:c r="E222" t="str">
        <x:v>Event Register · event 155</x:v>
      </x:c>
      <x:c r="F222" t="n">
        <x:f>Controls!$D$53</x:f>
        <x:v>1</x:v>
      </x:c>
      <x:c r="G222" t="n">
        <x:v>1</x:v>
      </x:c>
      <x:c r="H222" t="str">
        <x:v>equals</x:v>
      </x:c>
      <x:c r="I222" t="str">
        <x:v>RFA design authority</x:v>
      </x:c>
      <x:c r="J222" t="str">
        <x:f>IF(F222=1,"PASS","GAP")</x:f>
        <x:v>PASS</x:v>
      </x:c>
    </x:row>
    <x:row r="223">
      <x:c r="B223" t="str">
        <x:v>PLN-217</x:v>
      </x:c>
      <x:c r="C223" t="str">
        <x:v>PLANNING</x:v>
      </x:c>
      <x:c r="D223" t="str">
        <x:v>event</x:v>
      </x:c>
      <x:c r="E223" t="str">
        <x:v>Event Register · event 156</x:v>
      </x:c>
      <x:c r="F223" t="n">
        <x:f>Controls!$D$53</x:f>
        <x:v>1</x:v>
      </x:c>
      <x:c r="G223" t="n">
        <x:v>1</x:v>
      </x:c>
      <x:c r="H223" t="str">
        <x:v>equals</x:v>
      </x:c>
      <x:c r="I223" t="str">
        <x:v>RFA design authority</x:v>
      </x:c>
      <x:c r="J223" t="str">
        <x:f>IF(F223=1,"PASS","GAP")</x:f>
        <x:v>PASS</x:v>
      </x:c>
    </x:row>
    <x:row r="224">
      <x:c r="B224" t="str">
        <x:v>PLN-218</x:v>
      </x:c>
      <x:c r="C224" t="str">
        <x:v>PLANNING</x:v>
      </x:c>
      <x:c r="D224" t="str">
        <x:v>event</x:v>
      </x:c>
      <x:c r="E224" t="str">
        <x:v>Event Register · event 157</x:v>
      </x:c>
      <x:c r="F224" t="n">
        <x:f>Controls!$D$53</x:f>
        <x:v>1</x:v>
      </x:c>
      <x:c r="G224" t="n">
        <x:v>1</x:v>
      </x:c>
      <x:c r="H224" t="str">
        <x:v>equals</x:v>
      </x:c>
      <x:c r="I224" t="str">
        <x:v>RFA design authority</x:v>
      </x:c>
      <x:c r="J224" t="str">
        <x:f>IF(F224=1,"PASS","GAP")</x:f>
        <x:v>PASS</x:v>
      </x:c>
    </x:row>
    <x:row r="225">
      <x:c r="B225" t="str">
        <x:v>PLN-219</x:v>
      </x:c>
      <x:c r="C225" t="str">
        <x:v>PLANNING</x:v>
      </x:c>
      <x:c r="D225" t="str">
        <x:v>event</x:v>
      </x:c>
      <x:c r="E225" t="str">
        <x:v>Event Register · event 158</x:v>
      </x:c>
      <x:c r="F225" t="n">
        <x:f>Controls!$D$53</x:f>
        <x:v>1</x:v>
      </x:c>
      <x:c r="G225" t="n">
        <x:v>1</x:v>
      </x:c>
      <x:c r="H225" t="str">
        <x:v>equals</x:v>
      </x:c>
      <x:c r="I225" t="str">
        <x:v>RFA design authority</x:v>
      </x:c>
      <x:c r="J225" t="str">
        <x:f>IF(F225=1,"PASS","GAP")</x:f>
        <x:v>PASS</x:v>
      </x:c>
    </x:row>
    <x:row r="226">
      <x:c r="B226" t="str">
        <x:v>PLN-220</x:v>
      </x:c>
      <x:c r="C226" t="str">
        <x:v>PLANNING</x:v>
      </x:c>
      <x:c r="D226" t="str">
        <x:v>event</x:v>
      </x:c>
      <x:c r="E226" t="str">
        <x:v>Event Register · event 159</x:v>
      </x:c>
      <x:c r="F226" t="n">
        <x:f>Controls!$D$53</x:f>
        <x:v>1</x:v>
      </x:c>
      <x:c r="G226" t="n">
        <x:v>1</x:v>
      </x:c>
      <x:c r="H226" t="str">
        <x:v>equals</x:v>
      </x:c>
      <x:c r="I226" t="str">
        <x:v>RFA design authority</x:v>
      </x:c>
      <x:c r="J226" t="str">
        <x:f>IF(F226=1,"PASS","GAP")</x:f>
        <x:v>PASS</x:v>
      </x:c>
    </x:row>
    <x:row r="227">
      <x:c r="B227" t="str">
        <x:v>PLN-221</x:v>
      </x:c>
      <x:c r="C227" t="str">
        <x:v>PLANNING</x:v>
      </x:c>
      <x:c r="D227" t="str">
        <x:v>event</x:v>
      </x:c>
      <x:c r="E227" t="str">
        <x:v>Event Register · event 160</x:v>
      </x:c>
      <x:c r="F227" t="n">
        <x:f>Controls!$D$53</x:f>
        <x:v>1</x:v>
      </x:c>
      <x:c r="G227" t="n">
        <x:v>1</x:v>
      </x:c>
      <x:c r="H227" t="str">
        <x:v>equals</x:v>
      </x:c>
      <x:c r="I227" t="str">
        <x:v>RFA design authority</x:v>
      </x:c>
      <x:c r="J227" t="str">
        <x:f>IF(F227=1,"PASS","GAP")</x:f>
        <x:v>PASS</x:v>
      </x:c>
    </x:row>
    <x:row r="228">
      <x:c r="B228" t="str">
        <x:v>PLN-222</x:v>
      </x:c>
      <x:c r="C228" t="str">
        <x:v>PLANNING</x:v>
      </x:c>
      <x:c r="D228" t="str">
        <x:v>event</x:v>
      </x:c>
      <x:c r="E228" t="str">
        <x:v>Event Register · event 161</x:v>
      </x:c>
      <x:c r="F228" t="n">
        <x:f>Controls!$D$53</x:f>
        <x:v>1</x:v>
      </x:c>
      <x:c r="G228" t="n">
        <x:v>1</x:v>
      </x:c>
      <x:c r="H228" t="str">
        <x:v>equals</x:v>
      </x:c>
      <x:c r="I228" t="str">
        <x:v>RFA design authority</x:v>
      </x:c>
      <x:c r="J228" t="str">
        <x:f>IF(F228=1,"PASS","GAP")</x:f>
        <x:v>PASS</x:v>
      </x:c>
    </x:row>
    <x:row r="229">
      <x:c r="B229" t="str">
        <x:v>PLN-223</x:v>
      </x:c>
      <x:c r="C229" t="str">
        <x:v>PLANNING</x:v>
      </x:c>
      <x:c r="D229" t="str">
        <x:v>event</x:v>
      </x:c>
      <x:c r="E229" t="str">
        <x:v>Event Register · event 162</x:v>
      </x:c>
      <x:c r="F229" t="n">
        <x:f>Controls!$D$53</x:f>
        <x:v>1</x:v>
      </x:c>
      <x:c r="G229" t="n">
        <x:v>1</x:v>
      </x:c>
      <x:c r="H229" t="str">
        <x:v>equals</x:v>
      </x:c>
      <x:c r="I229" t="str">
        <x:v>RFA design authority</x:v>
      </x:c>
      <x:c r="J229" t="str">
        <x:f>IF(F229=1,"PASS","GAP")</x:f>
        <x:v>PASS</x:v>
      </x:c>
    </x:row>
    <x:row r="230">
      <x:c r="B230" t="str">
        <x:v>PLN-224</x:v>
      </x:c>
      <x:c r="C230" t="str">
        <x:v>PLANNING</x:v>
      </x:c>
      <x:c r="D230" t="str">
        <x:v>event</x:v>
      </x:c>
      <x:c r="E230" t="str">
        <x:v>Event Register · event 163</x:v>
      </x:c>
      <x:c r="F230" t="n">
        <x:f>Controls!$D$53</x:f>
        <x:v>1</x:v>
      </x:c>
      <x:c r="G230" t="n">
        <x:v>1</x:v>
      </x:c>
      <x:c r="H230" t="str">
        <x:v>equals</x:v>
      </x:c>
      <x:c r="I230" t="str">
        <x:v>RFA design authority</x:v>
      </x:c>
      <x:c r="J230" t="str">
        <x:f>IF(F230=1,"PASS","GAP")</x:f>
        <x:v>PASS</x:v>
      </x:c>
    </x:row>
    <x:row r="231">
      <x:c r="B231" t="str">
        <x:v>PLN-225</x:v>
      </x:c>
      <x:c r="C231" t="str">
        <x:v>PLANNING</x:v>
      </x:c>
      <x:c r="D231" t="str">
        <x:v>event</x:v>
      </x:c>
      <x:c r="E231" t="str">
        <x:v>Event Register · event 164</x:v>
      </x:c>
      <x:c r="F231" t="n">
        <x:f>Controls!$D$53</x:f>
        <x:v>1</x:v>
      </x:c>
      <x:c r="G231" t="n">
        <x:v>1</x:v>
      </x:c>
      <x:c r="H231" t="str">
        <x:v>equals</x:v>
      </x:c>
      <x:c r="I231" t="str">
        <x:v>RFA design authority</x:v>
      </x:c>
      <x:c r="J231" t="str">
        <x:f>IF(F231=1,"PASS","GAP")</x:f>
        <x:v>PASS</x:v>
      </x:c>
    </x:row>
    <x:row r="232">
      <x:c r="B232" t="str">
        <x:v>PLN-226</x:v>
      </x:c>
      <x:c r="C232" t="str">
        <x:v>PLANNING</x:v>
      </x:c>
      <x:c r="D232" t="str">
        <x:v>event</x:v>
      </x:c>
      <x:c r="E232" t="str">
        <x:v>Event Register · event 165</x:v>
      </x:c>
      <x:c r="F232" t="n">
        <x:f>Controls!$D$53</x:f>
        <x:v>1</x:v>
      </x:c>
      <x:c r="G232" t="n">
        <x:v>1</x:v>
      </x:c>
      <x:c r="H232" t="str">
        <x:v>equals</x:v>
      </x:c>
      <x:c r="I232" t="str">
        <x:v>RFA design authority</x:v>
      </x:c>
      <x:c r="J232" t="str">
        <x:f>IF(F232=1,"PASS","GAP")</x:f>
        <x:v>PASS</x:v>
      </x:c>
    </x:row>
    <x:row r="233">
      <x:c r="B233" t="str">
        <x:v>PLN-227</x:v>
      </x:c>
      <x:c r="C233" t="str">
        <x:v>PLANNING</x:v>
      </x:c>
      <x:c r="D233" t="str">
        <x:v>event</x:v>
      </x:c>
      <x:c r="E233" t="str">
        <x:v>Event Register · event 166</x:v>
      </x:c>
      <x:c r="F233" t="n">
        <x:f>Controls!$D$53</x:f>
        <x:v>1</x:v>
      </x:c>
      <x:c r="G233" t="n">
        <x:v>1</x:v>
      </x:c>
      <x:c r="H233" t="str">
        <x:v>equals</x:v>
      </x:c>
      <x:c r="I233" t="str">
        <x:v>RFA design authority</x:v>
      </x:c>
      <x:c r="J233" t="str">
        <x:f>IF(F233=1,"PASS","GAP")</x:f>
        <x:v>PASS</x:v>
      </x:c>
    </x:row>
    <x:row r="234">
      <x:c r="B234" t="str">
        <x:v>PLN-228</x:v>
      </x:c>
      <x:c r="C234" t="str">
        <x:v>PLANNING</x:v>
      </x:c>
      <x:c r="D234" t="str">
        <x:v>event</x:v>
      </x:c>
      <x:c r="E234" t="str">
        <x:v>Event Register · event 167</x:v>
      </x:c>
      <x:c r="F234" t="n">
        <x:f>Controls!$D$53</x:f>
        <x:v>1</x:v>
      </x:c>
      <x:c r="G234" t="n">
        <x:v>1</x:v>
      </x:c>
      <x:c r="H234" t="str">
        <x:v>equals</x:v>
      </x:c>
      <x:c r="I234" t="str">
        <x:v>RFA design authority</x:v>
      </x:c>
      <x:c r="J234" t="str">
        <x:f>IF(F234=1,"PASS","GAP")</x:f>
        <x:v>PASS</x:v>
      </x:c>
    </x:row>
    <x:row r="235">
      <x:c r="B235" t="str">
        <x:v>PLN-229</x:v>
      </x:c>
      <x:c r="C235" t="str">
        <x:v>PLANNING</x:v>
      </x:c>
      <x:c r="D235" t="str">
        <x:v>event</x:v>
      </x:c>
      <x:c r="E235" t="str">
        <x:v>Event Register · event 168</x:v>
      </x:c>
      <x:c r="F235" t="n">
        <x:f>Controls!$D$53</x:f>
        <x:v>1</x:v>
      </x:c>
      <x:c r="G235" t="n">
        <x:v>1</x:v>
      </x:c>
      <x:c r="H235" t="str">
        <x:v>equals</x:v>
      </x:c>
      <x:c r="I235" t="str">
        <x:v>RFA design authority</x:v>
      </x:c>
      <x:c r="J235" t="str">
        <x:f>IF(F235=1,"PASS","GAP")</x:f>
        <x:v>PASS</x:v>
      </x:c>
    </x:row>
    <x:row r="236">
      <x:c r="B236" t="str">
        <x:v>PLN-230</x:v>
      </x:c>
      <x:c r="C236" t="str">
        <x:v>PLANNING</x:v>
      </x:c>
      <x:c r="D236" t="str">
        <x:v>event</x:v>
      </x:c>
      <x:c r="E236" t="str">
        <x:v>Event Register · event 169</x:v>
      </x:c>
      <x:c r="F236" t="n">
        <x:f>Controls!$D$53</x:f>
        <x:v>1</x:v>
      </x:c>
      <x:c r="G236" t="n">
        <x:v>1</x:v>
      </x:c>
      <x:c r="H236" t="str">
        <x:v>equals</x:v>
      </x:c>
      <x:c r="I236" t="str">
        <x:v>RFA design authority</x:v>
      </x:c>
      <x:c r="J236" t="str">
        <x:f>IF(F236=1,"PASS","GAP")</x:f>
        <x:v>PASS</x:v>
      </x:c>
    </x:row>
    <x:row r="237">
      <x:c r="B237" t="str">
        <x:v>PLN-231</x:v>
      </x:c>
      <x:c r="C237" t="str">
        <x:v>PLANNING</x:v>
      </x:c>
      <x:c r="D237" t="str">
        <x:v>event</x:v>
      </x:c>
      <x:c r="E237" t="str">
        <x:v>Event Register · event 170</x:v>
      </x:c>
      <x:c r="F237" t="n">
        <x:f>Controls!$D$53</x:f>
        <x:v>1</x:v>
      </x:c>
      <x:c r="G237" t="n">
        <x:v>1</x:v>
      </x:c>
      <x:c r="H237" t="str">
        <x:v>equals</x:v>
      </x:c>
      <x:c r="I237" t="str">
        <x:v>RFA design authority</x:v>
      </x:c>
      <x:c r="J237" t="str">
        <x:f>IF(F237=1,"PASS","GAP")</x:f>
        <x:v>PASS</x:v>
      </x:c>
    </x:row>
    <x:row r="238">
      <x:c r="B238" t="str">
        <x:v>PLN-232</x:v>
      </x:c>
      <x:c r="C238" t="str">
        <x:v>PLANNING</x:v>
      </x:c>
      <x:c r="D238" t="str">
        <x:v>event</x:v>
      </x:c>
      <x:c r="E238" t="str">
        <x:v>Event Register · event 171</x:v>
      </x:c>
      <x:c r="F238" t="n">
        <x:f>Controls!$D$53</x:f>
        <x:v>1</x:v>
      </x:c>
      <x:c r="G238" t="n">
        <x:v>1</x:v>
      </x:c>
      <x:c r="H238" t="str">
        <x:v>equals</x:v>
      </x:c>
      <x:c r="I238" t="str">
        <x:v>RFA design authority</x:v>
      </x:c>
      <x:c r="J238" t="str">
        <x:f>IF(F238=1,"PASS","GAP")</x:f>
        <x:v>PASS</x:v>
      </x:c>
    </x:row>
    <x:row r="239">
      <x:c r="B239" t="str">
        <x:v>PLN-233</x:v>
      </x:c>
      <x:c r="C239" t="str">
        <x:v>PLANNING</x:v>
      </x:c>
      <x:c r="D239" t="str">
        <x:v>event</x:v>
      </x:c>
      <x:c r="E239" t="str">
        <x:v>Event Register · event 172</x:v>
      </x:c>
      <x:c r="F239" t="n">
        <x:f>Controls!$D$53</x:f>
        <x:v>1</x:v>
      </x:c>
      <x:c r="G239" t="n">
        <x:v>1</x:v>
      </x:c>
      <x:c r="H239" t="str">
        <x:v>equals</x:v>
      </x:c>
      <x:c r="I239" t="str">
        <x:v>RFA design authority</x:v>
      </x:c>
      <x:c r="J239" t="str">
        <x:f>IF(F239=1,"PASS","GAP")</x:f>
        <x:v>PASS</x:v>
      </x:c>
    </x:row>
    <x:row r="240">
      <x:c r="B240" t="str">
        <x:v>PLN-234</x:v>
      </x:c>
      <x:c r="C240" t="str">
        <x:v>PLANNING</x:v>
      </x:c>
      <x:c r="D240" t="str">
        <x:v>event</x:v>
      </x:c>
      <x:c r="E240" t="str">
        <x:v>Event Register · event 173</x:v>
      </x:c>
      <x:c r="F240" t="n">
        <x:f>Controls!$D$53</x:f>
        <x:v>1</x:v>
      </x:c>
      <x:c r="G240" t="n">
        <x:v>1</x:v>
      </x:c>
      <x:c r="H240" t="str">
        <x:v>equals</x:v>
      </x:c>
      <x:c r="I240" t="str">
        <x:v>RFA design authority</x:v>
      </x:c>
      <x:c r="J240" t="str">
        <x:f>IF(F240=1,"PASS","GAP")</x:f>
        <x:v>PASS</x:v>
      </x:c>
    </x:row>
    <x:row r="241">
      <x:c r="B241" t="str">
        <x:v>PLN-235</x:v>
      </x:c>
      <x:c r="C241" t="str">
        <x:v>PLANNING</x:v>
      </x:c>
      <x:c r="D241" t="str">
        <x:v>event</x:v>
      </x:c>
      <x:c r="E241" t="str">
        <x:v>Event Register · event 174</x:v>
      </x:c>
      <x:c r="F241" t="n">
        <x:f>Controls!$D$53</x:f>
        <x:v>1</x:v>
      </x:c>
      <x:c r="G241" t="n">
        <x:v>1</x:v>
      </x:c>
      <x:c r="H241" t="str">
        <x:v>equals</x:v>
      </x:c>
      <x:c r="I241" t="str">
        <x:v>RFA design authority</x:v>
      </x:c>
      <x:c r="J241" t="str">
        <x:f>IF(F241=1,"PASS","GAP")</x:f>
        <x:v>PASS</x:v>
      </x:c>
    </x:row>
    <x:row r="242">
      <x:c r="B242" t="str">
        <x:v>PLN-236</x:v>
      </x:c>
      <x:c r="C242" t="str">
        <x:v>PLANNING</x:v>
      </x:c>
      <x:c r="D242" t="str">
        <x:v>event</x:v>
      </x:c>
      <x:c r="E242" t="str">
        <x:v>Event Register · event 175</x:v>
      </x:c>
      <x:c r="F242" t="n">
        <x:f>Controls!$D$53</x:f>
        <x:v>1</x:v>
      </x:c>
      <x:c r="G242" t="n">
        <x:v>1</x:v>
      </x:c>
      <x:c r="H242" t="str">
        <x:v>equals</x:v>
      </x:c>
      <x:c r="I242" t="str">
        <x:v>RFA design authority</x:v>
      </x:c>
      <x:c r="J242" t="str">
        <x:f>IF(F242=1,"PASS","GAP")</x:f>
        <x:v>PASS</x:v>
      </x:c>
    </x:row>
    <x:row r="243">
      <x:c r="B243" t="str">
        <x:v>PLN-237</x:v>
      </x:c>
      <x:c r="C243" t="str">
        <x:v>PLANNING</x:v>
      </x:c>
      <x:c r="D243" t="str">
        <x:v>event</x:v>
      </x:c>
      <x:c r="E243" t="str">
        <x:v>Event Register · event 176</x:v>
      </x:c>
      <x:c r="F243" t="n">
        <x:f>Controls!$D$53</x:f>
        <x:v>1</x:v>
      </x:c>
      <x:c r="G243" t="n">
        <x:v>1</x:v>
      </x:c>
      <x:c r="H243" t="str">
        <x:v>equals</x:v>
      </x:c>
      <x:c r="I243" t="str">
        <x:v>RFA design authority</x:v>
      </x:c>
      <x:c r="J243" t="str">
        <x:f>IF(F243=1,"PASS","GAP")</x:f>
        <x:v>PASS</x:v>
      </x:c>
    </x:row>
    <x:row r="244">
      <x:c r="B244" t="str">
        <x:v>PLN-238</x:v>
      </x:c>
      <x:c r="C244" t="str">
        <x:v>PLANNING</x:v>
      </x:c>
      <x:c r="D244" t="str">
        <x:v>event</x:v>
      </x:c>
      <x:c r="E244" t="str">
        <x:v>Event Register · event 177</x:v>
      </x:c>
      <x:c r="F244" t="n">
        <x:f>Controls!$D$53</x:f>
        <x:v>1</x:v>
      </x:c>
      <x:c r="G244" t="n">
        <x:v>1</x:v>
      </x:c>
      <x:c r="H244" t="str">
        <x:v>equals</x:v>
      </x:c>
      <x:c r="I244" t="str">
        <x:v>RFA design authority</x:v>
      </x:c>
      <x:c r="J244" t="str">
        <x:f>IF(F244=1,"PASS","GAP")</x:f>
        <x:v>PASS</x:v>
      </x:c>
    </x:row>
    <x:row r="245">
      <x:c r="B245" t="str">
        <x:v>PLN-239</x:v>
      </x:c>
      <x:c r="C245" t="str">
        <x:v>PLANNING</x:v>
      </x:c>
      <x:c r="D245" t="str">
        <x:v>event</x:v>
      </x:c>
      <x:c r="E245" t="str">
        <x:v>Event Register · event 178</x:v>
      </x:c>
      <x:c r="F245" t="n">
        <x:f>Controls!$D$53</x:f>
        <x:v>1</x:v>
      </x:c>
      <x:c r="G245" t="n">
        <x:v>1</x:v>
      </x:c>
      <x:c r="H245" t="str">
        <x:v>equals</x:v>
      </x:c>
      <x:c r="I245" t="str">
        <x:v>RFA design authority</x:v>
      </x:c>
      <x:c r="J245" t="str">
        <x:f>IF(F245=1,"PASS","GAP")</x:f>
        <x:v>PASS</x:v>
      </x:c>
    </x:row>
    <x:row r="246">
      <x:c r="B246" t="str">
        <x:v>PLN-240</x:v>
      </x:c>
      <x:c r="C246" t="str">
        <x:v>PLANNING</x:v>
      </x:c>
      <x:c r="D246" t="str">
        <x:v>event</x:v>
      </x:c>
      <x:c r="E246" t="str">
        <x:v>Event Register · event 179</x:v>
      </x:c>
      <x:c r="F246" t="n">
        <x:f>Controls!$D$53</x:f>
        <x:v>1</x:v>
      </x:c>
      <x:c r="G246" t="n">
        <x:v>1</x:v>
      </x:c>
      <x:c r="H246" t="str">
        <x:v>equals</x:v>
      </x:c>
      <x:c r="I246" t="str">
        <x:v>RFA design authority</x:v>
      </x:c>
      <x:c r="J246" t="str">
        <x:f>IF(F246=1,"PASS","GAP")</x:f>
        <x:v>PASS</x:v>
      </x:c>
    </x:row>
    <x:row r="247">
      <x:c r="B247" t="str">
        <x:v>PLN-241</x:v>
      </x:c>
      <x:c r="C247" t="str">
        <x:v>PLANNING</x:v>
      </x:c>
      <x:c r="D247" t="str">
        <x:v>event</x:v>
      </x:c>
      <x:c r="E247" t="str">
        <x:v>Event Register · event 180</x:v>
      </x:c>
      <x:c r="F247" t="n">
        <x:f>Controls!$D$53</x:f>
        <x:v>1</x:v>
      </x:c>
      <x:c r="G247" t="n">
        <x:v>1</x:v>
      </x:c>
      <x:c r="H247" t="str">
        <x:v>equals</x:v>
      </x:c>
      <x:c r="I247" t="str">
        <x:v>RFA design authority</x:v>
      </x:c>
      <x:c r="J247" t="str">
        <x:f>IF(F247=1,"PASS","GAP")</x:f>
        <x:v>PASS</x:v>
      </x:c>
    </x:row>
    <x:row r="248">
      <x:c r="B248" t="str">
        <x:v>PLN-242</x:v>
      </x:c>
      <x:c r="C248" t="str">
        <x:v>PLANNING</x:v>
      </x:c>
      <x:c r="D248" t="str">
        <x:v>event</x:v>
      </x:c>
      <x:c r="E248" t="str">
        <x:v>Event Register · event 181</x:v>
      </x:c>
      <x:c r="F248" t="n">
        <x:f>Controls!$D$53</x:f>
        <x:v>1</x:v>
      </x:c>
      <x:c r="G248" t="n">
        <x:v>1</x:v>
      </x:c>
      <x:c r="H248" t="str">
        <x:v>equals</x:v>
      </x:c>
      <x:c r="I248" t="str">
        <x:v>RFA design authority</x:v>
      </x:c>
      <x:c r="J248" t="str">
        <x:f>IF(F248=1,"PASS","GAP")</x:f>
        <x:v>PASS</x:v>
      </x:c>
    </x:row>
    <x:row r="249">
      <x:c r="B249" t="str">
        <x:v>PLN-243</x:v>
      </x:c>
      <x:c r="C249" t="str">
        <x:v>PLANNING</x:v>
      </x:c>
      <x:c r="D249" t="str">
        <x:v>event</x:v>
      </x:c>
      <x:c r="E249" t="str">
        <x:v>Event Register · event 182</x:v>
      </x:c>
      <x:c r="F249" t="n">
        <x:f>Controls!$D$53</x:f>
        <x:v>1</x:v>
      </x:c>
      <x:c r="G249" t="n">
        <x:v>1</x:v>
      </x:c>
      <x:c r="H249" t="str">
        <x:v>equals</x:v>
      </x:c>
      <x:c r="I249" t="str">
        <x:v>RFA design authority</x:v>
      </x:c>
      <x:c r="J249" t="str">
        <x:f>IF(F249=1,"PASS","GAP")</x:f>
        <x:v>PASS</x:v>
      </x:c>
    </x:row>
    <x:row r="250">
      <x:c r="B250" t="str">
        <x:v>PLN-244</x:v>
      </x:c>
      <x:c r="C250" t="str">
        <x:v>PLANNING</x:v>
      </x:c>
      <x:c r="D250" t="str">
        <x:v>event</x:v>
      </x:c>
      <x:c r="E250" t="str">
        <x:v>Event Register · event 183</x:v>
      </x:c>
      <x:c r="F250" t="n">
        <x:f>Controls!$D$53</x:f>
        <x:v>1</x:v>
      </x:c>
      <x:c r="G250" t="n">
        <x:v>1</x:v>
      </x:c>
      <x:c r="H250" t="str">
        <x:v>equals</x:v>
      </x:c>
      <x:c r="I250" t="str">
        <x:v>RFA design authority</x:v>
      </x:c>
      <x:c r="J250" t="str">
        <x:f>IF(F250=1,"PASS","GAP")</x:f>
        <x:v>PASS</x:v>
      </x:c>
    </x:row>
    <x:row r="251">
      <x:c r="B251" t="str">
        <x:v>PLN-245</x:v>
      </x:c>
      <x:c r="C251" t="str">
        <x:v>PLANNING</x:v>
      </x:c>
      <x:c r="D251" t="str">
        <x:v>event</x:v>
      </x:c>
      <x:c r="E251" t="str">
        <x:v>Event Register · event 184</x:v>
      </x:c>
      <x:c r="F251" t="n">
        <x:f>Controls!$D$53</x:f>
        <x:v>1</x:v>
      </x:c>
      <x:c r="G251" t="n">
        <x:v>1</x:v>
      </x:c>
      <x:c r="H251" t="str">
        <x:v>equals</x:v>
      </x:c>
      <x:c r="I251" t="str">
        <x:v>RFA design authority</x:v>
      </x:c>
      <x:c r="J251" t="str">
        <x:f>IF(F251=1,"PASS","GAP")</x:f>
        <x:v>PASS</x:v>
      </x:c>
    </x:row>
    <x:row r="252">
      <x:c r="B252" t="str">
        <x:v>PLN-246</x:v>
      </x:c>
      <x:c r="C252" t="str">
        <x:v>PLANNING</x:v>
      </x:c>
      <x:c r="D252" t="str">
        <x:v>event</x:v>
      </x:c>
      <x:c r="E252" t="str">
        <x:v>Event Register · event 185</x:v>
      </x:c>
      <x:c r="F252" t="n">
        <x:f>Controls!$D$53</x:f>
        <x:v>1</x:v>
      </x:c>
      <x:c r="G252" t="n">
        <x:v>1</x:v>
      </x:c>
      <x:c r="H252" t="str">
        <x:v>equals</x:v>
      </x:c>
      <x:c r="I252" t="str">
        <x:v>RFA design authority</x:v>
      </x:c>
      <x:c r="J252" t="str">
        <x:f>IF(F252=1,"PASS","GAP")</x:f>
        <x:v>PASS</x:v>
      </x:c>
    </x:row>
    <x:row r="253">
      <x:c r="B253" t="str">
        <x:v>PLN-247</x:v>
      </x:c>
      <x:c r="C253" t="str">
        <x:v>PLANNING</x:v>
      </x:c>
      <x:c r="D253" t="str">
        <x:v>event</x:v>
      </x:c>
      <x:c r="E253" t="str">
        <x:v>Event Register · event 186</x:v>
      </x:c>
      <x:c r="F253" t="n">
        <x:f>Controls!$D$53</x:f>
        <x:v>1</x:v>
      </x:c>
      <x:c r="G253" t="n">
        <x:v>1</x:v>
      </x:c>
      <x:c r="H253" t="str">
        <x:v>equals</x:v>
      </x:c>
      <x:c r="I253" t="str">
        <x:v>RFA design authority</x:v>
      </x:c>
      <x:c r="J253" t="str">
        <x:f>IF(F253=1,"PASS","GAP")</x:f>
        <x:v>PASS</x:v>
      </x:c>
    </x:row>
    <x:row r="254">
      <x:c r="B254" t="str">
        <x:v>PLN-248</x:v>
      </x:c>
      <x:c r="C254" t="str">
        <x:v>PLANNING</x:v>
      </x:c>
      <x:c r="D254" t="str">
        <x:v>event</x:v>
      </x:c>
      <x:c r="E254" t="str">
        <x:v>Event Register · event 187</x:v>
      </x:c>
      <x:c r="F254" t="n">
        <x:f>Controls!$D$53</x:f>
        <x:v>1</x:v>
      </x:c>
      <x:c r="G254" t="n">
        <x:v>1</x:v>
      </x:c>
      <x:c r="H254" t="str">
        <x:v>equals</x:v>
      </x:c>
      <x:c r="I254" t="str">
        <x:v>RFA design authority</x:v>
      </x:c>
      <x:c r="J254" t="str">
        <x:f>IF(F254=1,"PASS","GAP")</x:f>
        <x:v>PASS</x:v>
      </x:c>
    </x:row>
    <x:row r="255">
      <x:c r="B255" t="str">
        <x:v>PLN-249</x:v>
      </x:c>
      <x:c r="C255" t="str">
        <x:v>PLANNING</x:v>
      </x:c>
      <x:c r="D255" t="str">
        <x:v>event</x:v>
      </x:c>
      <x:c r="E255" t="str">
        <x:v>Event Register · event 188</x:v>
      </x:c>
      <x:c r="F255" t="n">
        <x:f>Controls!$D$53</x:f>
        <x:v>1</x:v>
      </x:c>
      <x:c r="G255" t="n">
        <x:v>1</x:v>
      </x:c>
      <x:c r="H255" t="str">
        <x:v>equals</x:v>
      </x:c>
      <x:c r="I255" t="str">
        <x:v>RFA design authority</x:v>
      </x:c>
      <x:c r="J255" t="str">
        <x:f>IF(F255=1,"PASS","GAP")</x:f>
        <x:v>PASS</x:v>
      </x:c>
    </x:row>
    <x:row r="256">
      <x:c r="B256" t="str">
        <x:v>PLN-250</x:v>
      </x:c>
      <x:c r="C256" t="str">
        <x:v>PLANNING</x:v>
      </x:c>
      <x:c r="D256" t="str">
        <x:v>event</x:v>
      </x:c>
      <x:c r="E256" t="str">
        <x:v>Event Register · event 189</x:v>
      </x:c>
      <x:c r="F256" t="n">
        <x:f>Controls!$D$53</x:f>
        <x:v>1</x:v>
      </x:c>
      <x:c r="G256" t="n">
        <x:v>1</x:v>
      </x:c>
      <x:c r="H256" t="str">
        <x:v>equals</x:v>
      </x:c>
      <x:c r="I256" t="str">
        <x:v>RFA design authority</x:v>
      </x:c>
      <x:c r="J256" t="str">
        <x:f>IF(F256=1,"PASS","GAP")</x:f>
        <x:v>PASS</x:v>
      </x:c>
    </x:row>
    <x:row r="257">
      <x:c r="B257" t="str">
        <x:v>PLN-251</x:v>
      </x:c>
      <x:c r="C257" t="str">
        <x:v>PLANNING</x:v>
      </x:c>
      <x:c r="D257" t="str">
        <x:v>event</x:v>
      </x:c>
      <x:c r="E257" t="str">
        <x:v>Event Register · event 190</x:v>
      </x:c>
      <x:c r="F257" t="n">
        <x:f>Controls!$D$53</x:f>
        <x:v>1</x:v>
      </x:c>
      <x:c r="G257" t="n">
        <x:v>1</x:v>
      </x:c>
      <x:c r="H257" t="str">
        <x:v>equals</x:v>
      </x:c>
      <x:c r="I257" t="str">
        <x:v>RFA design authority</x:v>
      </x:c>
      <x:c r="J257" t="str">
        <x:f>IF(F257=1,"PASS","GAP")</x:f>
        <x:v>PASS</x:v>
      </x:c>
    </x:row>
    <x:row r="258">
      <x:c r="B258" t="str">
        <x:v>PLN-252</x:v>
      </x:c>
      <x:c r="C258" t="str">
        <x:v>PLANNING</x:v>
      </x:c>
      <x:c r="D258" t="str">
        <x:v>event</x:v>
      </x:c>
      <x:c r="E258" t="str">
        <x:v>Event Register · event 191</x:v>
      </x:c>
      <x:c r="F258" t="n">
        <x:f>Controls!$D$53</x:f>
        <x:v>1</x:v>
      </x:c>
      <x:c r="G258" t="n">
        <x:v>1</x:v>
      </x:c>
      <x:c r="H258" t="str">
        <x:v>equals</x:v>
      </x:c>
      <x:c r="I258" t="str">
        <x:v>RFA design authority</x:v>
      </x:c>
      <x:c r="J258" t="str">
        <x:f>IF(F258=1,"PASS","GAP")</x:f>
        <x:v>PASS</x:v>
      </x:c>
    </x:row>
    <x:row r="259">
      <x:c r="B259" t="str">
        <x:v>PLN-253</x:v>
      </x:c>
      <x:c r="C259" t="str">
        <x:v>PLANNING</x:v>
      </x:c>
      <x:c r="D259" t="str">
        <x:v>event</x:v>
      </x:c>
      <x:c r="E259" t="str">
        <x:v>Event Register · event 192</x:v>
      </x:c>
      <x:c r="F259" t="n">
        <x:f>Controls!$D$53</x:f>
        <x:v>1</x:v>
      </x:c>
      <x:c r="G259" t="n">
        <x:v>1</x:v>
      </x:c>
      <x:c r="H259" t="str">
        <x:v>equals</x:v>
      </x:c>
      <x:c r="I259" t="str">
        <x:v>RFA design authority</x:v>
      </x:c>
      <x:c r="J259" t="str">
        <x:f>IF(F259=1,"PASS","GAP")</x:f>
        <x:v>PASS</x:v>
      </x:c>
    </x:row>
    <x:row r="260">
      <x:c r="B260" t="str">
        <x:v>PLN-254</x:v>
      </x:c>
      <x:c r="C260" t="str">
        <x:v>PLANNING</x:v>
      </x:c>
      <x:c r="D260" t="str">
        <x:v>event</x:v>
      </x:c>
      <x:c r="E260" t="str">
        <x:v>Event Register · event 193</x:v>
      </x:c>
      <x:c r="F260" t="n">
        <x:f>Controls!$D$53</x:f>
        <x:v>1</x:v>
      </x:c>
      <x:c r="G260" t="n">
        <x:v>1</x:v>
      </x:c>
      <x:c r="H260" t="str">
        <x:v>equals</x:v>
      </x:c>
      <x:c r="I260" t="str">
        <x:v>RFA design authority</x:v>
      </x:c>
      <x:c r="J260" t="str">
        <x:f>IF(F260=1,"PASS","GAP")</x:f>
        <x:v>PASS</x:v>
      </x:c>
    </x:row>
    <x:row r="261">
      <x:c r="B261" t="str">
        <x:v>PLN-255</x:v>
      </x:c>
      <x:c r="C261" t="str">
        <x:v>PLANNING</x:v>
      </x:c>
      <x:c r="D261" t="str">
        <x:v>event</x:v>
      </x:c>
      <x:c r="E261" t="str">
        <x:v>Event Register · event 194</x:v>
      </x:c>
      <x:c r="F261" t="n">
        <x:f>Controls!$D$53</x:f>
        <x:v>1</x:v>
      </x:c>
      <x:c r="G261" t="n">
        <x:v>1</x:v>
      </x:c>
      <x:c r="H261" t="str">
        <x:v>equals</x:v>
      </x:c>
      <x:c r="I261" t="str">
        <x:v>RFA design authority</x:v>
      </x:c>
      <x:c r="J261" t="str">
        <x:f>IF(F261=1,"PASS","GAP")</x:f>
        <x:v>PASS</x:v>
      </x:c>
    </x:row>
    <x:row r="262">
      <x:c r="B262" t="str">
        <x:v>PLN-256</x:v>
      </x:c>
      <x:c r="C262" t="str">
        <x:v>PLANNING</x:v>
      </x:c>
      <x:c r="D262" t="str">
        <x:v>event</x:v>
      </x:c>
      <x:c r="E262" t="str">
        <x:v>Event Register · event 195</x:v>
      </x:c>
      <x:c r="F262" t="n">
        <x:f>Controls!$D$53</x:f>
        <x:v>1</x:v>
      </x:c>
      <x:c r="G262" t="n">
        <x:v>1</x:v>
      </x:c>
      <x:c r="H262" t="str">
        <x:v>equals</x:v>
      </x:c>
      <x:c r="I262" t="str">
        <x:v>RFA design authority</x:v>
      </x:c>
      <x:c r="J262" t="str">
        <x:f>IF(F262=1,"PASS","GAP")</x:f>
        <x:v>PASS</x:v>
      </x:c>
    </x:row>
    <x:row r="263">
      <x:c r="B263" t="str">
        <x:v>PLN-257</x:v>
      </x:c>
      <x:c r="C263" t="str">
        <x:v>PLANNING</x:v>
      </x:c>
      <x:c r="D263" t="str">
        <x:v>event</x:v>
      </x:c>
      <x:c r="E263" t="str">
        <x:v>Event Register · event 196</x:v>
      </x:c>
      <x:c r="F263" t="n">
        <x:f>Controls!$D$53</x:f>
        <x:v>1</x:v>
      </x:c>
      <x:c r="G263" t="n">
        <x:v>1</x:v>
      </x:c>
      <x:c r="H263" t="str">
        <x:v>equals</x:v>
      </x:c>
      <x:c r="I263" t="str">
        <x:v>RFA design authority</x:v>
      </x:c>
      <x:c r="J263" t="str">
        <x:f>IF(F263=1,"PASS","GAP")</x:f>
        <x:v>PASS</x:v>
      </x:c>
    </x:row>
    <x:row r="264">
      <x:c r="B264" t="str">
        <x:v>PLN-258</x:v>
      </x:c>
      <x:c r="C264" t="str">
        <x:v>PLANNING</x:v>
      </x:c>
      <x:c r="D264" t="str">
        <x:v>event</x:v>
      </x:c>
      <x:c r="E264" t="str">
        <x:v>Event Register · event 197</x:v>
      </x:c>
      <x:c r="F264" t="n">
        <x:f>Controls!$D$53</x:f>
        <x:v>1</x:v>
      </x:c>
      <x:c r="G264" t="n">
        <x:v>1</x:v>
      </x:c>
      <x:c r="H264" t="str">
        <x:v>equals</x:v>
      </x:c>
      <x:c r="I264" t="str">
        <x:v>RFA design authority</x:v>
      </x:c>
      <x:c r="J264" t="str">
        <x:f>IF(F264=1,"PASS","GAP")</x:f>
        <x:v>PASS</x:v>
      </x:c>
    </x:row>
    <x:row r="265">
      <x:c r="B265" t="str">
        <x:v>PLN-259</x:v>
      </x:c>
      <x:c r="C265" t="str">
        <x:v>PLANNING</x:v>
      </x:c>
      <x:c r="D265" t="str">
        <x:v>event</x:v>
      </x:c>
      <x:c r="E265" t="str">
        <x:v>Event Register · event 198</x:v>
      </x:c>
      <x:c r="F265" t="n">
        <x:f>Controls!$D$53</x:f>
        <x:v>1</x:v>
      </x:c>
      <x:c r="G265" t="n">
        <x:v>1</x:v>
      </x:c>
      <x:c r="H265" t="str">
        <x:v>equals</x:v>
      </x:c>
      <x:c r="I265" t="str">
        <x:v>RFA design authority</x:v>
      </x:c>
      <x:c r="J265" t="str">
        <x:f>IF(F265=1,"PASS","GAP")</x:f>
        <x:v>PASS</x:v>
      </x:c>
    </x:row>
    <x:row r="266">
      <x:c r="B266" t="str">
        <x:v>PLN-260</x:v>
      </x:c>
      <x:c r="C266" t="str">
        <x:v>PLANNING</x:v>
      </x:c>
      <x:c r="D266" t="str">
        <x:v>event</x:v>
      </x:c>
      <x:c r="E266" t="str">
        <x:v>Event Register · event 199</x:v>
      </x:c>
      <x:c r="F266" t="n">
        <x:f>Controls!$D$53</x:f>
        <x:v>1</x:v>
      </x:c>
      <x:c r="G266" t="n">
        <x:v>1</x:v>
      </x:c>
      <x:c r="H266" t="str">
        <x:v>equals</x:v>
      </x:c>
      <x:c r="I266" t="str">
        <x:v>RFA design authority</x:v>
      </x:c>
      <x:c r="J266" t="str">
        <x:f>IF(F266=1,"PASS","GAP")</x:f>
        <x:v>PASS</x:v>
      </x:c>
    </x:row>
    <x:row r="267">
      <x:c r="B267" t="str">
        <x:v>PLN-261</x:v>
      </x:c>
      <x:c r="C267" t="str">
        <x:v>PLANNING</x:v>
      </x:c>
      <x:c r="D267" t="str">
        <x:v>event</x:v>
      </x:c>
      <x:c r="E267" t="str">
        <x:v>Event Register · event 200</x:v>
      </x:c>
      <x:c r="F267" t="n">
        <x:f>Controls!$D$53</x:f>
        <x:v>1</x:v>
      </x:c>
      <x:c r="G267" t="n">
        <x:v>1</x:v>
      </x:c>
      <x:c r="H267" t="str">
        <x:v>equals</x:v>
      </x:c>
      <x:c r="I267" t="str">
        <x:v>RFA design authority</x:v>
      </x:c>
      <x:c r="J267" t="str">
        <x:f>IF(F267=1,"PASS","GAP")</x:f>
        <x:v>PASS</x:v>
      </x:c>
    </x:row>
    <x:row r="268">
      <x:c r="B268" t="str">
        <x:v>PLN-262</x:v>
      </x:c>
      <x:c r="C268" t="str">
        <x:v>PLANNING</x:v>
      </x:c>
      <x:c r="D268" t="str">
        <x:v>event</x:v>
      </x:c>
      <x:c r="E268" t="str">
        <x:v>Event Register · event 201</x:v>
      </x:c>
      <x:c r="F268" t="n">
        <x:f>Controls!$D$53</x:f>
        <x:v>1</x:v>
      </x:c>
      <x:c r="G268" t="n">
        <x:v>1</x:v>
      </x:c>
      <x:c r="H268" t="str">
        <x:v>equals</x:v>
      </x:c>
      <x:c r="I268" t="str">
        <x:v>RFA design authority</x:v>
      </x:c>
      <x:c r="J268" t="str">
        <x:f>IF(F268=1,"PASS","GAP")</x:f>
        <x:v>PASS</x:v>
      </x:c>
    </x:row>
    <x:row r="269">
      <x:c r="B269" t="str">
        <x:v>PLN-263</x:v>
      </x:c>
      <x:c r="C269" t="str">
        <x:v>PLANNING</x:v>
      </x:c>
      <x:c r="D269" t="str">
        <x:v>event</x:v>
      </x:c>
      <x:c r="E269" t="str">
        <x:v>Event Register · event 202</x:v>
      </x:c>
      <x:c r="F269" t="n">
        <x:f>Controls!$D$53</x:f>
        <x:v>1</x:v>
      </x:c>
      <x:c r="G269" t="n">
        <x:v>1</x:v>
      </x:c>
      <x:c r="H269" t="str">
        <x:v>equals</x:v>
      </x:c>
      <x:c r="I269" t="str">
        <x:v>RFA design authority</x:v>
      </x:c>
      <x:c r="J269" t="str">
        <x:f>IF(F269=1,"PASS","GAP")</x:f>
        <x:v>PASS</x:v>
      </x:c>
    </x:row>
    <x:row r="270">
      <x:c r="B270" t="str">
        <x:v>PLN-264</x:v>
      </x:c>
      <x:c r="C270" t="str">
        <x:v>PLANNING</x:v>
      </x:c>
      <x:c r="D270" t="str">
        <x:v>event</x:v>
      </x:c>
      <x:c r="E270" t="str">
        <x:v>Event Register · event 203</x:v>
      </x:c>
      <x:c r="F270" t="n">
        <x:f>Controls!$D$53</x:f>
        <x:v>1</x:v>
      </x:c>
      <x:c r="G270" t="n">
        <x:v>1</x:v>
      </x:c>
      <x:c r="H270" t="str">
        <x:v>equals</x:v>
      </x:c>
      <x:c r="I270" t="str">
        <x:v>RFA design authority</x:v>
      </x:c>
      <x:c r="J270" t="str">
        <x:f>IF(F270=1,"PASS","GAP")</x:f>
        <x:v>PASS</x:v>
      </x:c>
    </x:row>
    <x:row r="271">
      <x:c r="B271" t="str">
        <x:v>PLN-265</x:v>
      </x:c>
      <x:c r="C271" t="str">
        <x:v>PLANNING</x:v>
      </x:c>
      <x:c r="D271" t="str">
        <x:v>event</x:v>
      </x:c>
      <x:c r="E271" t="str">
        <x:v>Event Register · event 204</x:v>
      </x:c>
      <x:c r="F271" t="n">
        <x:f>Controls!$D$53</x:f>
        <x:v>1</x:v>
      </x:c>
      <x:c r="G271" t="n">
        <x:v>1</x:v>
      </x:c>
      <x:c r="H271" t="str">
        <x:v>equals</x:v>
      </x:c>
      <x:c r="I271" t="str">
        <x:v>RFA design authority</x:v>
      </x:c>
      <x:c r="J271" t="str">
        <x:f>IF(F271=1,"PASS","GAP")</x:f>
        <x:v>PASS</x:v>
      </x:c>
    </x:row>
    <x:row r="272">
      <x:c r="B272" t="str">
        <x:v>PLN-266</x:v>
      </x:c>
      <x:c r="C272" t="str">
        <x:v>PLANNING</x:v>
      </x:c>
      <x:c r="D272" t="str">
        <x:v>event</x:v>
      </x:c>
      <x:c r="E272" t="str">
        <x:v>Event Register · event 205</x:v>
      </x:c>
      <x:c r="F272" t="n">
        <x:f>Controls!$D$53</x:f>
        <x:v>1</x:v>
      </x:c>
      <x:c r="G272" t="n">
        <x:v>1</x:v>
      </x:c>
      <x:c r="H272" t="str">
        <x:v>equals</x:v>
      </x:c>
      <x:c r="I272" t="str">
        <x:v>RFA design authority</x:v>
      </x:c>
      <x:c r="J272" t="str">
        <x:f>IF(F272=1,"PASS","GAP")</x:f>
        <x:v>PASS</x:v>
      </x:c>
    </x:row>
    <x:row r="273">
      <x:c r="B273" t="str">
        <x:v>PLN-267</x:v>
      </x:c>
      <x:c r="C273" t="str">
        <x:v>PLANNING</x:v>
      </x:c>
      <x:c r="D273" t="str">
        <x:v>event</x:v>
      </x:c>
      <x:c r="E273" t="str">
        <x:v>Event Register · event 206</x:v>
      </x:c>
      <x:c r="F273" t="n">
        <x:f>Controls!$D$53</x:f>
        <x:v>1</x:v>
      </x:c>
      <x:c r="G273" t="n">
        <x:v>1</x:v>
      </x:c>
      <x:c r="H273" t="str">
        <x:v>equals</x:v>
      </x:c>
      <x:c r="I273" t="str">
        <x:v>RFA design authority</x:v>
      </x:c>
      <x:c r="J273" t="str">
        <x:f>IF(F273=1,"PASS","GAP")</x:f>
        <x:v>PASS</x:v>
      </x:c>
    </x:row>
    <x:row r="274">
      <x:c r="B274" t="str">
        <x:v>PLN-268</x:v>
      </x:c>
      <x:c r="C274" t="str">
        <x:v>PLANNING</x:v>
      </x:c>
      <x:c r="D274" t="str">
        <x:v>event</x:v>
      </x:c>
      <x:c r="E274" t="str">
        <x:v>Event Register · event 207</x:v>
      </x:c>
      <x:c r="F274" t="n">
        <x:f>Controls!$D$53</x:f>
        <x:v>1</x:v>
      </x:c>
      <x:c r="G274" t="n">
        <x:v>1</x:v>
      </x:c>
      <x:c r="H274" t="str">
        <x:v>equals</x:v>
      </x:c>
      <x:c r="I274" t="str">
        <x:v>RFA design authority</x:v>
      </x:c>
      <x:c r="J274" t="str">
        <x:f>IF(F274=1,"PASS","GAP")</x:f>
        <x:v>PASS</x:v>
      </x:c>
    </x:row>
    <x:row r="275">
      <x:c r="B275" t="str">
        <x:v>PLN-269</x:v>
      </x:c>
      <x:c r="C275" t="str">
        <x:v>PLANNING</x:v>
      </x:c>
      <x:c r="D275" t="str">
        <x:v>event</x:v>
      </x:c>
      <x:c r="E275" t="str">
        <x:v>Event Register · event 208</x:v>
      </x:c>
      <x:c r="F275" t="n">
        <x:f>Controls!$D$53</x:f>
        <x:v>1</x:v>
      </x:c>
      <x:c r="G275" t="n">
        <x:v>1</x:v>
      </x:c>
      <x:c r="H275" t="str">
        <x:v>equals</x:v>
      </x:c>
      <x:c r="I275" t="str">
        <x:v>RFA design authority</x:v>
      </x:c>
      <x:c r="J275" t="str">
        <x:f>IF(F275=1,"PASS","GAP")</x:f>
        <x:v>PASS</x:v>
      </x:c>
    </x:row>
    <x:row r="276">
      <x:c r="B276" t="str">
        <x:v>PLN-270</x:v>
      </x:c>
      <x:c r="C276" t="str">
        <x:v>PLANNING</x:v>
      </x:c>
      <x:c r="D276" t="str">
        <x:v>event</x:v>
      </x:c>
      <x:c r="E276" t="str">
        <x:v>Event Register · event 209</x:v>
      </x:c>
      <x:c r="F276" t="n">
        <x:f>Controls!$D$53</x:f>
        <x:v>1</x:v>
      </x:c>
      <x:c r="G276" t="n">
        <x:v>1</x:v>
      </x:c>
      <x:c r="H276" t="str">
        <x:v>equals</x:v>
      </x:c>
      <x:c r="I276" t="str">
        <x:v>RFA design authority</x:v>
      </x:c>
      <x:c r="J276" t="str">
        <x:f>IF(F276=1,"PASS","GAP")</x:f>
        <x:v>PASS</x:v>
      </x:c>
    </x:row>
    <x:row r="277">
      <x:c r="B277" t="str">
        <x:v>PLN-271</x:v>
      </x:c>
      <x:c r="C277" t="str">
        <x:v>PLANNING</x:v>
      </x:c>
      <x:c r="D277" t="str">
        <x:v>event</x:v>
      </x:c>
      <x:c r="E277" t="str">
        <x:v>Event Register · event 210</x:v>
      </x:c>
      <x:c r="F277" t="n">
        <x:f>Controls!$D$53</x:f>
        <x:v>1</x:v>
      </x:c>
      <x:c r="G277" t="n">
        <x:v>1</x:v>
      </x:c>
      <x:c r="H277" t="str">
        <x:v>equals</x:v>
      </x:c>
      <x:c r="I277" t="str">
        <x:v>RFA design authority</x:v>
      </x:c>
      <x:c r="J277" t="str">
        <x:f>IF(F277=1,"PASS","GAP")</x:f>
        <x:v>PASS</x:v>
      </x:c>
    </x:row>
    <x:row r="278">
      <x:c r="B278" t="str">
        <x:v>PLN-272</x:v>
      </x:c>
      <x:c r="C278" t="str">
        <x:v>PLANNING</x:v>
      </x:c>
      <x:c r="D278" t="str">
        <x:v>event</x:v>
      </x:c>
      <x:c r="E278" t="str">
        <x:v>Event Register · event 211</x:v>
      </x:c>
      <x:c r="F278" t="n">
        <x:f>Controls!$D$53</x:f>
        <x:v>1</x:v>
      </x:c>
      <x:c r="G278" t="n">
        <x:v>1</x:v>
      </x:c>
      <x:c r="H278" t="str">
        <x:v>equals</x:v>
      </x:c>
      <x:c r="I278" t="str">
        <x:v>RFA design authority</x:v>
      </x:c>
      <x:c r="J278" t="str">
        <x:f>IF(F278=1,"PASS","GAP")</x:f>
        <x:v>PASS</x:v>
      </x:c>
    </x:row>
    <x:row r="279">
      <x:c r="B279" t="str">
        <x:v>PLN-273</x:v>
      </x:c>
      <x:c r="C279" t="str">
        <x:v>PLANNING</x:v>
      </x:c>
      <x:c r="D279" t="str">
        <x:v>event</x:v>
      </x:c>
      <x:c r="E279" t="str">
        <x:v>Event Register · event 212</x:v>
      </x:c>
      <x:c r="F279" t="n">
        <x:f>Controls!$D$53</x:f>
        <x:v>1</x:v>
      </x:c>
      <x:c r="G279" t="n">
        <x:v>1</x:v>
      </x:c>
      <x:c r="H279" t="str">
        <x:v>equals</x:v>
      </x:c>
      <x:c r="I279" t="str">
        <x:v>RFA design authority</x:v>
      </x:c>
      <x:c r="J279" t="str">
        <x:f>IF(F279=1,"PASS","GAP")</x:f>
        <x:v>PASS</x:v>
      </x:c>
    </x:row>
    <x:row r="280">
      <x:c r="B280" t="str">
        <x:v>PLN-274</x:v>
      </x:c>
      <x:c r="C280" t="str">
        <x:v>PLANNING</x:v>
      </x:c>
      <x:c r="D280" t="str">
        <x:v>event</x:v>
      </x:c>
      <x:c r="E280" t="str">
        <x:v>Event Register · event 213</x:v>
      </x:c>
      <x:c r="F280" t="n">
        <x:f>Controls!$D$53</x:f>
        <x:v>1</x:v>
      </x:c>
      <x:c r="G280" t="n">
        <x:v>1</x:v>
      </x:c>
      <x:c r="H280" t="str">
        <x:v>equals</x:v>
      </x:c>
      <x:c r="I280" t="str">
        <x:v>RFA design authority</x:v>
      </x:c>
      <x:c r="J280" t="str">
        <x:f>IF(F280=1,"PASS","GAP")</x:f>
        <x:v>PASS</x:v>
      </x:c>
    </x:row>
    <x:row r="281">
      <x:c r="B281" t="str">
        <x:v>PLN-275</x:v>
      </x:c>
      <x:c r="C281" t="str">
        <x:v>PLANNING</x:v>
      </x:c>
      <x:c r="D281" t="str">
        <x:v>event</x:v>
      </x:c>
      <x:c r="E281" t="str">
        <x:v>Event Register · event 214</x:v>
      </x:c>
      <x:c r="F281" t="n">
        <x:f>Controls!$D$53</x:f>
        <x:v>1</x:v>
      </x:c>
      <x:c r="G281" t="n">
        <x:v>1</x:v>
      </x:c>
      <x:c r="H281" t="str">
        <x:v>equals</x:v>
      </x:c>
      <x:c r="I281" t="str">
        <x:v>RFA design authority</x:v>
      </x:c>
      <x:c r="J281" t="str">
        <x:f>IF(F281=1,"PASS","GAP")</x:f>
        <x:v>PASS</x:v>
      </x:c>
    </x:row>
    <x:row r="282">
      <x:c r="B282" t="str">
        <x:v>PLN-276</x:v>
      </x:c>
      <x:c r="C282" t="str">
        <x:v>PLANNING</x:v>
      </x:c>
      <x:c r="D282" t="str">
        <x:v>event</x:v>
      </x:c>
      <x:c r="E282" t="str">
        <x:v>Event Register · event 215</x:v>
      </x:c>
      <x:c r="F282" t="n">
        <x:f>Controls!$D$53</x:f>
        <x:v>1</x:v>
      </x:c>
      <x:c r="G282" t="n">
        <x:v>1</x:v>
      </x:c>
      <x:c r="H282" t="str">
        <x:v>equals</x:v>
      </x:c>
      <x:c r="I282" t="str">
        <x:v>RFA design authority</x:v>
      </x:c>
      <x:c r="J282" t="str">
        <x:f>IF(F282=1,"PASS","GAP")</x:f>
        <x:v>PASS</x:v>
      </x:c>
    </x:row>
    <x:row r="283">
      <x:c r="B283" t="str">
        <x:v>PLN-277</x:v>
      </x:c>
      <x:c r="C283" t="str">
        <x:v>PLANNING</x:v>
      </x:c>
      <x:c r="D283" t="str">
        <x:v>event</x:v>
      </x:c>
      <x:c r="E283" t="str">
        <x:v>Event Register · event 216</x:v>
      </x:c>
      <x:c r="F283" t="n">
        <x:f>Controls!$D$53</x:f>
        <x:v>1</x:v>
      </x:c>
      <x:c r="G283" t="n">
        <x:v>1</x:v>
      </x:c>
      <x:c r="H283" t="str">
        <x:v>equals</x:v>
      </x:c>
      <x:c r="I283" t="str">
        <x:v>RFA design authority</x:v>
      </x:c>
      <x:c r="J283" t="str">
        <x:f>IF(F283=1,"PASS","GAP")</x:f>
        <x:v>PASS</x:v>
      </x:c>
    </x:row>
    <x:row r="284">
      <x:c r="B284" t="str">
        <x:v>PLN-278</x:v>
      </x:c>
      <x:c r="C284" t="str">
        <x:v>PLANNING</x:v>
      </x:c>
      <x:c r="D284" t="str">
        <x:v>event</x:v>
      </x:c>
      <x:c r="E284" t="str">
        <x:v>Event Register · event 217</x:v>
      </x:c>
      <x:c r="F284" t="n">
        <x:f>Controls!$D$53</x:f>
        <x:v>1</x:v>
      </x:c>
      <x:c r="G284" t="n">
        <x:v>1</x:v>
      </x:c>
      <x:c r="H284" t="str">
        <x:v>equals</x:v>
      </x:c>
      <x:c r="I284" t="str">
        <x:v>RFA design authority</x:v>
      </x:c>
      <x:c r="J284" t="str">
        <x:f>IF(F284=1,"PASS","GAP")</x:f>
        <x:v>PASS</x:v>
      </x:c>
    </x:row>
    <x:row r="285">
      <x:c r="B285" t="str">
        <x:v>PLN-279</x:v>
      </x:c>
      <x:c r="C285" t="str">
        <x:v>PLANNING</x:v>
      </x:c>
      <x:c r="D285" t="str">
        <x:v>event</x:v>
      </x:c>
      <x:c r="E285" t="str">
        <x:v>Event Register · event 218</x:v>
      </x:c>
      <x:c r="F285" t="n">
        <x:f>Controls!$D$53</x:f>
        <x:v>1</x:v>
      </x:c>
      <x:c r="G285" t="n">
        <x:v>1</x:v>
      </x:c>
      <x:c r="H285" t="str">
        <x:v>equals</x:v>
      </x:c>
      <x:c r="I285" t="str">
        <x:v>RFA design authority</x:v>
      </x:c>
      <x:c r="J285" t="str">
        <x:f>IF(F285=1,"PASS","GAP")</x:f>
        <x:v>PASS</x:v>
      </x:c>
    </x:row>
    <x:row r="286">
      <x:c r="B286" t="str">
        <x:v>PLN-280</x:v>
      </x:c>
      <x:c r="C286" t="str">
        <x:v>PLANNING</x:v>
      </x:c>
      <x:c r="D286" t="str">
        <x:v>event</x:v>
      </x:c>
      <x:c r="E286" t="str">
        <x:v>Event Register · event 219</x:v>
      </x:c>
      <x:c r="F286" t="n">
        <x:f>Controls!$D$53</x:f>
        <x:v>1</x:v>
      </x:c>
      <x:c r="G286" t="n">
        <x:v>1</x:v>
      </x:c>
      <x:c r="H286" t="str">
        <x:v>equals</x:v>
      </x:c>
      <x:c r="I286" t="str">
        <x:v>RFA design authority</x:v>
      </x:c>
      <x:c r="J286" t="str">
        <x:f>IF(F286=1,"PASS","GAP")</x:f>
        <x:v>PASS</x:v>
      </x:c>
    </x:row>
    <x:row r="287">
      <x:c r="B287" t="str">
        <x:v>PLN-281</x:v>
      </x:c>
      <x:c r="C287" t="str">
        <x:v>PLANNING</x:v>
      </x:c>
      <x:c r="D287" t="str">
        <x:v>event</x:v>
      </x:c>
      <x:c r="E287" t="str">
        <x:v>Event Register · event 220</x:v>
      </x:c>
      <x:c r="F287" t="n">
        <x:f>Controls!$D$53</x:f>
        <x:v>1</x:v>
      </x:c>
      <x:c r="G287" t="n">
        <x:v>1</x:v>
      </x:c>
      <x:c r="H287" t="str">
        <x:v>equals</x:v>
      </x:c>
      <x:c r="I287" t="str">
        <x:v>RFA design authority</x:v>
      </x:c>
      <x:c r="J287" t="str">
        <x:f>IF(F287=1,"PASS","GAP")</x:f>
        <x:v>PASS</x:v>
      </x:c>
    </x:row>
    <x:row r="288">
      <x:c r="B288" t="str">
        <x:v>PLN-282</x:v>
      </x:c>
      <x:c r="C288" t="str">
        <x:v>PLANNING</x:v>
      </x:c>
      <x:c r="D288" t="str">
        <x:v>event</x:v>
      </x:c>
      <x:c r="E288" t="str">
        <x:v>Event Register · event 221</x:v>
      </x:c>
      <x:c r="F288" t="n">
        <x:f>Controls!$D$53</x:f>
        <x:v>1</x:v>
      </x:c>
      <x:c r="G288" t="n">
        <x:v>1</x:v>
      </x:c>
      <x:c r="H288" t="str">
        <x:v>equals</x:v>
      </x:c>
      <x:c r="I288" t="str">
        <x:v>RFA design authority</x:v>
      </x:c>
      <x:c r="J288" t="str">
        <x:f>IF(F288=1,"PASS","GAP")</x:f>
        <x:v>PASS</x:v>
      </x:c>
    </x:row>
    <x:row r="289">
      <x:c r="B289" t="str">
        <x:v>PLN-283</x:v>
      </x:c>
      <x:c r="C289" t="str">
        <x:v>PLANNING</x:v>
      </x:c>
      <x:c r="D289" t="str">
        <x:v>event</x:v>
      </x:c>
      <x:c r="E289" t="str">
        <x:v>Event Register · event 222</x:v>
      </x:c>
      <x:c r="F289" t="n">
        <x:f>Controls!$D$53</x:f>
        <x:v>1</x:v>
      </x:c>
      <x:c r="G289" t="n">
        <x:v>1</x:v>
      </x:c>
      <x:c r="H289" t="str">
        <x:v>equals</x:v>
      </x:c>
      <x:c r="I289" t="str">
        <x:v>RFA design authority</x:v>
      </x:c>
      <x:c r="J289" t="str">
        <x:f>IF(F289=1,"PASS","GAP")</x:f>
        <x:v>PASS</x:v>
      </x:c>
    </x:row>
    <x:row r="290">
      <x:c r="B290" t="str">
        <x:v>PLN-284</x:v>
      </x:c>
      <x:c r="C290" t="str">
        <x:v>PLANNING</x:v>
      </x:c>
      <x:c r="D290" t="str">
        <x:v>event</x:v>
      </x:c>
      <x:c r="E290" t="str">
        <x:v>Event Register · event 223</x:v>
      </x:c>
      <x:c r="F290" t="n">
        <x:f>Controls!$D$53</x:f>
        <x:v>1</x:v>
      </x:c>
      <x:c r="G290" t="n">
        <x:v>1</x:v>
      </x:c>
      <x:c r="H290" t="str">
        <x:v>equals</x:v>
      </x:c>
      <x:c r="I290" t="str">
        <x:v>RFA design authority</x:v>
      </x:c>
      <x:c r="J290" t="str">
        <x:f>IF(F290=1,"PASS","GAP")</x:f>
        <x:v>PASS</x:v>
      </x:c>
    </x:row>
    <x:row r="291">
      <x:c r="B291" t="str">
        <x:v>PLN-285</x:v>
      </x:c>
      <x:c r="C291" t="str">
        <x:v>PLANNING</x:v>
      </x:c>
      <x:c r="D291" t="str">
        <x:v>event</x:v>
      </x:c>
      <x:c r="E291" t="str">
        <x:v>Event Register · event 224</x:v>
      </x:c>
      <x:c r="F291" t="n">
        <x:f>Controls!$D$53</x:f>
        <x:v>1</x:v>
      </x:c>
      <x:c r="G291" t="n">
        <x:v>1</x:v>
      </x:c>
      <x:c r="H291" t="str">
        <x:v>equals</x:v>
      </x:c>
      <x:c r="I291" t="str">
        <x:v>RFA design authority</x:v>
      </x:c>
      <x:c r="J291" t="str">
        <x:f>IF(F291=1,"PASS","GAP")</x:f>
        <x:v>PASS</x:v>
      </x:c>
    </x:row>
    <x:row r="292">
      <x:c r="B292" t="str">
        <x:v>PLN-286</x:v>
      </x:c>
      <x:c r="C292" t="str">
        <x:v>PLANNING</x:v>
      </x:c>
      <x:c r="D292" t="str">
        <x:v>event</x:v>
      </x:c>
      <x:c r="E292" t="str">
        <x:v>Event Register · event 225</x:v>
      </x:c>
      <x:c r="F292" t="n">
        <x:f>Controls!$D$53</x:f>
        <x:v>1</x:v>
      </x:c>
      <x:c r="G292" t="n">
        <x:v>1</x:v>
      </x:c>
      <x:c r="H292" t="str">
        <x:v>equals</x:v>
      </x:c>
      <x:c r="I292" t="str">
        <x:v>RFA design authority</x:v>
      </x:c>
      <x:c r="J292" t="str">
        <x:f>IF(F292=1,"PASS","GAP")</x:f>
        <x:v>PASS</x:v>
      </x:c>
    </x:row>
    <x:row r="293">
      <x:c r="B293" t="str">
        <x:v>PLN-287</x:v>
      </x:c>
      <x:c r="C293" t="str">
        <x:v>PLANNING</x:v>
      </x:c>
      <x:c r="D293" t="str">
        <x:v>event</x:v>
      </x:c>
      <x:c r="E293" t="str">
        <x:v>Event Register · event 226</x:v>
      </x:c>
      <x:c r="F293" t="n">
        <x:f>Controls!$D$53</x:f>
        <x:v>1</x:v>
      </x:c>
      <x:c r="G293" t="n">
        <x:v>1</x:v>
      </x:c>
      <x:c r="H293" t="str">
        <x:v>equals</x:v>
      </x:c>
      <x:c r="I293" t="str">
        <x:v>RFA design authority</x:v>
      </x:c>
      <x:c r="J293" t="str">
        <x:f>IF(F293=1,"PASS","GAP")</x:f>
        <x:v>PASS</x:v>
      </x:c>
    </x:row>
    <x:row r="294">
      <x:c r="B294" t="str">
        <x:v>PLN-288</x:v>
      </x:c>
      <x:c r="C294" t="str">
        <x:v>PLANNING</x:v>
      </x:c>
      <x:c r="D294" t="str">
        <x:v>event</x:v>
      </x:c>
      <x:c r="E294" t="str">
        <x:v>Event Register · event 227</x:v>
      </x:c>
      <x:c r="F294" t="n">
        <x:f>Controls!$D$53</x:f>
        <x:v>1</x:v>
      </x:c>
      <x:c r="G294" t="n">
        <x:v>1</x:v>
      </x:c>
      <x:c r="H294" t="str">
        <x:v>equals</x:v>
      </x:c>
      <x:c r="I294" t="str">
        <x:v>RFA design authority</x:v>
      </x:c>
      <x:c r="J294" t="str">
        <x:f>IF(F294=1,"PASS","GAP")</x:f>
        <x:v>PASS</x:v>
      </x:c>
    </x:row>
    <x:row r="295">
      <x:c r="B295" t="str">
        <x:v>PLN-289</x:v>
      </x:c>
      <x:c r="C295" t="str">
        <x:v>PLANNING</x:v>
      </x:c>
      <x:c r="D295" t="str">
        <x:v>event</x:v>
      </x:c>
      <x:c r="E295" t="str">
        <x:v>Event Register · event 228</x:v>
      </x:c>
      <x:c r="F295" t="n">
        <x:f>Controls!$D$53</x:f>
        <x:v>1</x:v>
      </x:c>
      <x:c r="G295" t="n">
        <x:v>1</x:v>
      </x:c>
      <x:c r="H295" t="str">
        <x:v>equals</x:v>
      </x:c>
      <x:c r="I295" t="str">
        <x:v>RFA design authority</x:v>
      </x:c>
      <x:c r="J295" t="str">
        <x:f>IF(F295=1,"PASS","GAP")</x:f>
        <x:v>PASS</x:v>
      </x:c>
    </x:row>
    <x:row r="296">
      <x:c r="B296" t="str">
        <x:v>PLN-290</x:v>
      </x:c>
      <x:c r="C296" t="str">
        <x:v>PLANNING</x:v>
      </x:c>
      <x:c r="D296" t="str">
        <x:v>event</x:v>
      </x:c>
      <x:c r="E296" t="str">
        <x:v>Event Register · event 229</x:v>
      </x:c>
      <x:c r="F296" t="n">
        <x:f>Controls!$D$53</x:f>
        <x:v>1</x:v>
      </x:c>
      <x:c r="G296" t="n">
        <x:v>1</x:v>
      </x:c>
      <x:c r="H296" t="str">
        <x:v>equals</x:v>
      </x:c>
      <x:c r="I296" t="str">
        <x:v>RFA design authority</x:v>
      </x:c>
      <x:c r="J296" t="str">
        <x:f>IF(F296=1,"PASS","GAP")</x:f>
        <x:v>PASS</x:v>
      </x:c>
    </x:row>
    <x:row r="297">
      <x:c r="B297" t="str">
        <x:v>PLN-291</x:v>
      </x:c>
      <x:c r="C297" t="str">
        <x:v>PLANNING</x:v>
      </x:c>
      <x:c r="D297" t="str">
        <x:v>event</x:v>
      </x:c>
      <x:c r="E297" t="str">
        <x:v>Event Register · event 230</x:v>
      </x:c>
      <x:c r="F297" t="n">
        <x:f>Controls!$D$53</x:f>
        <x:v>1</x:v>
      </x:c>
      <x:c r="G297" t="n">
        <x:v>1</x:v>
      </x:c>
      <x:c r="H297" t="str">
        <x:v>equals</x:v>
      </x:c>
      <x:c r="I297" t="str">
        <x:v>RFA design authority</x:v>
      </x:c>
      <x:c r="J297" t="str">
        <x:f>IF(F297=1,"PASS","GAP")</x:f>
        <x:v>PASS</x:v>
      </x:c>
    </x:row>
    <x:row r="298">
      <x:c r="B298" t="str">
        <x:v>PLN-292</x:v>
      </x:c>
      <x:c r="C298" t="str">
        <x:v>PLANNING</x:v>
      </x:c>
      <x:c r="D298" t="str">
        <x:v>event</x:v>
      </x:c>
      <x:c r="E298" t="str">
        <x:v>Event Register · event 231</x:v>
      </x:c>
      <x:c r="F298" t="n">
        <x:f>Controls!$D$53</x:f>
        <x:v>1</x:v>
      </x:c>
      <x:c r="G298" t="n">
        <x:v>1</x:v>
      </x:c>
      <x:c r="H298" t="str">
        <x:v>equals</x:v>
      </x:c>
      <x:c r="I298" t="str">
        <x:v>RFA design authority</x:v>
      </x:c>
      <x:c r="J298" t="str">
        <x:f>IF(F298=1,"PASS","GAP")</x:f>
        <x:v>PASS</x:v>
      </x:c>
    </x:row>
    <x:row r="299">
      <x:c r="B299" t="str">
        <x:v>PLN-293</x:v>
      </x:c>
      <x:c r="C299" t="str">
        <x:v>PLANNING</x:v>
      </x:c>
      <x:c r="D299" t="str">
        <x:v>event</x:v>
      </x:c>
      <x:c r="E299" t="str">
        <x:v>Event Register · event 232</x:v>
      </x:c>
      <x:c r="F299" t="n">
        <x:f>Controls!$D$53</x:f>
        <x:v>1</x:v>
      </x:c>
      <x:c r="G299" t="n">
        <x:v>1</x:v>
      </x:c>
      <x:c r="H299" t="str">
        <x:v>equals</x:v>
      </x:c>
      <x:c r="I299" t="str">
        <x:v>RFA design authority</x:v>
      </x:c>
      <x:c r="J299" t="str">
        <x:f>IF(F299=1,"PASS","GAP")</x:f>
        <x:v>PASS</x:v>
      </x:c>
    </x:row>
    <x:row r="300">
      <x:c r="B300" t="str">
        <x:v>PLN-294</x:v>
      </x:c>
      <x:c r="C300" t="str">
        <x:v>PLANNING</x:v>
      </x:c>
      <x:c r="D300" t="str">
        <x:v>event</x:v>
      </x:c>
      <x:c r="E300" t="str">
        <x:v>Event Register · event 233</x:v>
      </x:c>
      <x:c r="F300" t="n">
        <x:f>Controls!$D$53</x:f>
        <x:v>1</x:v>
      </x:c>
      <x:c r="G300" t="n">
        <x:v>1</x:v>
      </x:c>
      <x:c r="H300" t="str">
        <x:v>equals</x:v>
      </x:c>
      <x:c r="I300" t="str">
        <x:v>RFA design authority</x:v>
      </x:c>
      <x:c r="J300" t="str">
        <x:f>IF(F300=1,"PASS","GAP")</x:f>
        <x:v>PASS</x:v>
      </x:c>
    </x:row>
    <x:row r="301">
      <x:c r="B301" t="str">
        <x:v>PLN-295</x:v>
      </x:c>
      <x:c r="C301" t="str">
        <x:v>PLANNING</x:v>
      </x:c>
      <x:c r="D301" t="str">
        <x:v>event</x:v>
      </x:c>
      <x:c r="E301" t="str">
        <x:v>Event Register · event 234</x:v>
      </x:c>
      <x:c r="F301" t="n">
        <x:f>Controls!$D$53</x:f>
        <x:v>1</x:v>
      </x:c>
      <x:c r="G301" t="n">
        <x:v>1</x:v>
      </x:c>
      <x:c r="H301" t="str">
        <x:v>equals</x:v>
      </x:c>
      <x:c r="I301" t="str">
        <x:v>RFA design authority</x:v>
      </x:c>
      <x:c r="J301" t="str">
        <x:f>IF(F301=1,"PASS","GAP")</x:f>
        <x:v>PASS</x:v>
      </x:c>
    </x:row>
    <x:row r="302">
      <x:c r="B302" t="str">
        <x:v>PLN-296</x:v>
      </x:c>
      <x:c r="C302" t="str">
        <x:v>PLANNING</x:v>
      </x:c>
      <x:c r="D302" t="str">
        <x:v>event</x:v>
      </x:c>
      <x:c r="E302" t="str">
        <x:v>Event Register · event 235</x:v>
      </x:c>
      <x:c r="F302" t="n">
        <x:f>Controls!$D$53</x:f>
        <x:v>1</x:v>
      </x:c>
      <x:c r="G302" t="n">
        <x:v>1</x:v>
      </x:c>
      <x:c r="H302" t="str">
        <x:v>equals</x:v>
      </x:c>
      <x:c r="I302" t="str">
        <x:v>RFA design authority</x:v>
      </x:c>
      <x:c r="J302" t="str">
        <x:f>IF(F302=1,"PASS","GAP")</x:f>
        <x:v>PASS</x:v>
      </x:c>
    </x:row>
    <x:row r="303">
      <x:c r="B303" t="str">
        <x:v>PLN-297</x:v>
      </x:c>
      <x:c r="C303" t="str">
        <x:v>PLANNING</x:v>
      </x:c>
      <x:c r="D303" t="str">
        <x:v>event</x:v>
      </x:c>
      <x:c r="E303" t="str">
        <x:v>Event Register · event 236</x:v>
      </x:c>
      <x:c r="F303" t="n">
        <x:f>Controls!$D$53</x:f>
        <x:v>1</x:v>
      </x:c>
      <x:c r="G303" t="n">
        <x:v>1</x:v>
      </x:c>
      <x:c r="H303" t="str">
        <x:v>equals</x:v>
      </x:c>
      <x:c r="I303" t="str">
        <x:v>RFA design authority</x:v>
      </x:c>
      <x:c r="J303" t="str">
        <x:f>IF(F303=1,"PASS","GAP")</x:f>
        <x:v>PASS</x:v>
      </x:c>
    </x:row>
    <x:row r="304">
      <x:c r="B304" t="str">
        <x:v>PLN-298</x:v>
      </x:c>
      <x:c r="C304" t="str">
        <x:v>PLANNING</x:v>
      </x:c>
      <x:c r="D304" t="str">
        <x:v>event</x:v>
      </x:c>
      <x:c r="E304" t="str">
        <x:v>Event Register · event 237</x:v>
      </x:c>
      <x:c r="F304" t="n">
        <x:f>Controls!$D$53</x:f>
        <x:v>1</x:v>
      </x:c>
      <x:c r="G304" t="n">
        <x:v>1</x:v>
      </x:c>
      <x:c r="H304" t="str">
        <x:v>equals</x:v>
      </x:c>
      <x:c r="I304" t="str">
        <x:v>RFA design authority</x:v>
      </x:c>
      <x:c r="J304" t="str">
        <x:f>IF(F304=1,"PASS","GAP")</x:f>
        <x:v>PASS</x:v>
      </x:c>
    </x:row>
    <x:row r="305">
      <x:c r="B305" t="str">
        <x:v>PLN-299</x:v>
      </x:c>
      <x:c r="C305" t="str">
        <x:v>PLANNING</x:v>
      </x:c>
      <x:c r="D305" t="str">
        <x:v>event</x:v>
      </x:c>
      <x:c r="E305" t="str">
        <x:v>Event Register · event 238</x:v>
      </x:c>
      <x:c r="F305" t="n">
        <x:f>Controls!$D$53</x:f>
        <x:v>1</x:v>
      </x:c>
      <x:c r="G305" t="n">
        <x:v>1</x:v>
      </x:c>
      <x:c r="H305" t="str">
        <x:v>equals</x:v>
      </x:c>
      <x:c r="I305" t="str">
        <x:v>RFA design authority</x:v>
      </x:c>
      <x:c r="J305" t="str">
        <x:f>IF(F305=1,"PASS","GAP")</x:f>
        <x:v>PASS</x:v>
      </x:c>
    </x:row>
    <x:row r="306">
      <x:c r="B306" t="str">
        <x:v>PLN-300</x:v>
      </x:c>
      <x:c r="C306" t="str">
        <x:v>PLANNING</x:v>
      </x:c>
      <x:c r="D306" t="str">
        <x:v>event</x:v>
      </x:c>
      <x:c r="E306" t="str">
        <x:v>Event Register · event 239</x:v>
      </x:c>
      <x:c r="F306" t="n">
        <x:f>Controls!$D$53</x:f>
        <x:v>1</x:v>
      </x:c>
      <x:c r="G306" t="n">
        <x:v>1</x:v>
      </x:c>
      <x:c r="H306" t="str">
        <x:v>equals</x:v>
      </x:c>
      <x:c r="I306" t="str">
        <x:v>RFA design authority</x:v>
      </x:c>
      <x:c r="J306" t="str">
        <x:f>IF(F306=1,"PASS","GAP")</x:f>
        <x:v>PASS</x:v>
      </x:c>
    </x:row>
    <x:row r="307">
      <x:c r="B307" t="str">
        <x:v>PLN-301</x:v>
      </x:c>
      <x:c r="C307" t="str">
        <x:v>PLANNING</x:v>
      </x:c>
      <x:c r="D307" t="str">
        <x:v>event</x:v>
      </x:c>
      <x:c r="E307" t="str">
        <x:v>Event Register · event 240</x:v>
      </x:c>
      <x:c r="F307" t="n">
        <x:f>Controls!$D$53</x:f>
        <x:v>1</x:v>
      </x:c>
      <x:c r="G307" t="n">
        <x:v>1</x:v>
      </x:c>
      <x:c r="H307" t="str">
        <x:v>equals</x:v>
      </x:c>
      <x:c r="I307" t="str">
        <x:v>RFA design authority</x:v>
      </x:c>
      <x:c r="J307" t="str">
        <x:f>IF(F307=1,"PASS","GAP")</x:f>
        <x:v>PASS</x:v>
      </x:c>
    </x:row>
    <x:row r="308">
      <x:c r="B308" t="str">
        <x:v>PLN-302</x:v>
      </x:c>
      <x:c r="C308" t="str">
        <x:v>PLANNING</x:v>
      </x:c>
      <x:c r="D308" t="str">
        <x:v>event</x:v>
      </x:c>
      <x:c r="E308" t="str">
        <x:v>Event Register · event 241</x:v>
      </x:c>
      <x:c r="F308" t="n">
        <x:f>Controls!$D$53</x:f>
        <x:v>1</x:v>
      </x:c>
      <x:c r="G308" t="n">
        <x:v>1</x:v>
      </x:c>
      <x:c r="H308" t="str">
        <x:v>equals</x:v>
      </x:c>
      <x:c r="I308" t="str">
        <x:v>RFA design authority</x:v>
      </x:c>
      <x:c r="J308" t="str">
        <x:f>IF(F308=1,"PASS","GAP")</x:f>
        <x:v>PASS</x:v>
      </x:c>
    </x:row>
    <x:row r="309">
      <x:c r="B309" t="str">
        <x:v>PLN-303</x:v>
      </x:c>
      <x:c r="C309" t="str">
        <x:v>PLANNING</x:v>
      </x:c>
      <x:c r="D309" t="str">
        <x:v>event</x:v>
      </x:c>
      <x:c r="E309" t="str">
        <x:v>Event Register · event 242</x:v>
      </x:c>
      <x:c r="F309" t="n">
        <x:f>Controls!$D$53</x:f>
        <x:v>1</x:v>
      </x:c>
      <x:c r="G309" t="n">
        <x:v>1</x:v>
      </x:c>
      <x:c r="H309" t="str">
        <x:v>equals</x:v>
      </x:c>
      <x:c r="I309" t="str">
        <x:v>RFA design authority</x:v>
      </x:c>
      <x:c r="J309" t="str">
        <x:f>IF(F309=1,"PASS","GAP")</x:f>
        <x:v>PASS</x:v>
      </x:c>
    </x:row>
    <x:row r="310">
      <x:c r="B310" t="str">
        <x:v>PLN-304</x:v>
      </x:c>
      <x:c r="C310" t="str">
        <x:v>PLANNING</x:v>
      </x:c>
      <x:c r="D310" t="str">
        <x:v>event</x:v>
      </x:c>
      <x:c r="E310" t="str">
        <x:v>Event Register · event 243</x:v>
      </x:c>
      <x:c r="F310" t="n">
        <x:f>Controls!$D$53</x:f>
        <x:v>1</x:v>
      </x:c>
      <x:c r="G310" t="n">
        <x:v>1</x:v>
      </x:c>
      <x:c r="H310" t="str">
        <x:v>equals</x:v>
      </x:c>
      <x:c r="I310" t="str">
        <x:v>RFA design authority</x:v>
      </x:c>
      <x:c r="J310" t="str">
        <x:f>IF(F310=1,"PASS","GAP")</x:f>
        <x:v>PASS</x:v>
      </x:c>
    </x:row>
    <x:row r="311">
      <x:c r="B311" t="str">
        <x:v>PLN-305</x:v>
      </x:c>
      <x:c r="C311" t="str">
        <x:v>PLANNING</x:v>
      </x:c>
      <x:c r="D311" t="str">
        <x:v>event</x:v>
      </x:c>
      <x:c r="E311" t="str">
        <x:v>Event Register · event 244</x:v>
      </x:c>
      <x:c r="F311" t="n">
        <x:f>Controls!$D$53</x:f>
        <x:v>1</x:v>
      </x:c>
      <x:c r="G311" t="n">
        <x:v>1</x:v>
      </x:c>
      <x:c r="H311" t="str">
        <x:v>equals</x:v>
      </x:c>
      <x:c r="I311" t="str">
        <x:v>RFA design authority</x:v>
      </x:c>
      <x:c r="J311" t="str">
        <x:f>IF(F311=1,"PASS","GAP")</x:f>
        <x:v>PASS</x:v>
      </x:c>
    </x:row>
    <x:row r="312">
      <x:c r="B312" t="str">
        <x:v>PLN-306</x:v>
      </x:c>
      <x:c r="C312" t="str">
        <x:v>PLANNING</x:v>
      </x:c>
      <x:c r="D312" t="str">
        <x:v>event</x:v>
      </x:c>
      <x:c r="E312" t="str">
        <x:v>Event Register · event 245</x:v>
      </x:c>
      <x:c r="F312" t="n">
        <x:f>Controls!$D$53</x:f>
        <x:v>1</x:v>
      </x:c>
      <x:c r="G312" t="n">
        <x:v>1</x:v>
      </x:c>
      <x:c r="H312" t="str">
        <x:v>equals</x:v>
      </x:c>
      <x:c r="I312" t="str">
        <x:v>RFA design authority</x:v>
      </x:c>
      <x:c r="J312" t="str">
        <x:f>IF(F312=1,"PASS","GAP")</x:f>
        <x:v>PASS</x:v>
      </x:c>
    </x:row>
    <x:row r="313">
      <x:c r="B313" t="str">
        <x:v>PLN-307</x:v>
      </x:c>
      <x:c r="C313" t="str">
        <x:v>PLANNING</x:v>
      </x:c>
      <x:c r="D313" t="str">
        <x:v>event</x:v>
      </x:c>
      <x:c r="E313" t="str">
        <x:v>Event Register · event 246</x:v>
      </x:c>
      <x:c r="F313" t="n">
        <x:f>Controls!$D$53</x:f>
        <x:v>1</x:v>
      </x:c>
      <x:c r="G313" t="n">
        <x:v>1</x:v>
      </x:c>
      <x:c r="H313" t="str">
        <x:v>equals</x:v>
      </x:c>
      <x:c r="I313" t="str">
        <x:v>RFA design authority</x:v>
      </x:c>
      <x:c r="J313" t="str">
        <x:f>IF(F313=1,"PASS","GAP")</x:f>
        <x:v>PASS</x:v>
      </x:c>
    </x:row>
    <x:row r="314">
      <x:c r="B314" t="str">
        <x:v>PLN-308</x:v>
      </x:c>
      <x:c r="C314" t="str">
        <x:v>PLANNING</x:v>
      </x:c>
      <x:c r="D314" t="str">
        <x:v>event</x:v>
      </x:c>
      <x:c r="E314" t="str">
        <x:v>Event Register · event 247</x:v>
      </x:c>
      <x:c r="F314" t="n">
        <x:f>Controls!$D$53</x:f>
        <x:v>1</x:v>
      </x:c>
      <x:c r="G314" t="n">
        <x:v>1</x:v>
      </x:c>
      <x:c r="H314" t="str">
        <x:v>equals</x:v>
      </x:c>
      <x:c r="I314" t="str">
        <x:v>RFA design authority</x:v>
      </x:c>
      <x:c r="J314" t="str">
        <x:f>IF(F314=1,"PASS","GAP")</x:f>
        <x:v>PASS</x:v>
      </x:c>
    </x:row>
    <x:row r="315">
      <x:c r="B315" t="str">
        <x:v>PLN-309</x:v>
      </x:c>
      <x:c r="C315" t="str">
        <x:v>PLANNING</x:v>
      </x:c>
      <x:c r="D315" t="str">
        <x:v>event</x:v>
      </x:c>
      <x:c r="E315" t="str">
        <x:v>Event Register · event 248</x:v>
      </x:c>
      <x:c r="F315" t="n">
        <x:f>Controls!$D$53</x:f>
        <x:v>1</x:v>
      </x:c>
      <x:c r="G315" t="n">
        <x:v>1</x:v>
      </x:c>
      <x:c r="H315" t="str">
        <x:v>equals</x:v>
      </x:c>
      <x:c r="I315" t="str">
        <x:v>RFA design authority</x:v>
      </x:c>
      <x:c r="J315" t="str">
        <x:f>IF(F315=1,"PASS","GAP")</x:f>
        <x:v>PASS</x:v>
      </x:c>
    </x:row>
    <x:row r="316">
      <x:c r="B316" t="str">
        <x:v>PLN-310</x:v>
      </x:c>
      <x:c r="C316" t="str">
        <x:v>PLANNING</x:v>
      </x:c>
      <x:c r="D316" t="str">
        <x:v>event</x:v>
      </x:c>
      <x:c r="E316" t="str">
        <x:v>Event Register · event 249</x:v>
      </x:c>
      <x:c r="F316" t="n">
        <x:f>Controls!$D$53</x:f>
        <x:v>1</x:v>
      </x:c>
      <x:c r="G316" t="n">
        <x:v>1</x:v>
      </x:c>
      <x:c r="H316" t="str">
        <x:v>equals</x:v>
      </x:c>
      <x:c r="I316" t="str">
        <x:v>RFA design authority</x:v>
      </x:c>
      <x:c r="J316" t="str">
        <x:f>IF(F316=1,"PASS","GAP")</x:f>
        <x:v>PASS</x:v>
      </x:c>
    </x:row>
    <x:row r="317">
      <x:c r="B317" t="str">
        <x:v>PLN-311</x:v>
      </x:c>
      <x:c r="C317" t="str">
        <x:v>PLANNING</x:v>
      </x:c>
      <x:c r="D317" t="str">
        <x:v>event</x:v>
      </x:c>
      <x:c r="E317" t="str">
        <x:v>Event Register · event 250</x:v>
      </x:c>
      <x:c r="F317" t="n">
        <x:f>Controls!$D$53</x:f>
        <x:v>1</x:v>
      </x:c>
      <x:c r="G317" t="n">
        <x:v>1</x:v>
      </x:c>
      <x:c r="H317" t="str">
        <x:v>equals</x:v>
      </x:c>
      <x:c r="I317" t="str">
        <x:v>RFA design authority</x:v>
      </x:c>
      <x:c r="J317" t="str">
        <x:f>IF(F317=1,"PASS","GAP")</x:f>
        <x:v>PASS</x:v>
      </x:c>
    </x:row>
    <x:row r="318">
      <x:c r="B318" t="str">
        <x:v>PLN-312</x:v>
      </x:c>
      <x:c r="C318" t="str">
        <x:v>PLANNING</x:v>
      </x:c>
      <x:c r="D318" t="str">
        <x:v>event</x:v>
      </x:c>
      <x:c r="E318" t="str">
        <x:v>Event Register · event 251</x:v>
      </x:c>
      <x:c r="F318" t="n">
        <x:f>Controls!$D$53</x:f>
        <x:v>1</x:v>
      </x:c>
      <x:c r="G318" t="n">
        <x:v>1</x:v>
      </x:c>
      <x:c r="H318" t="str">
        <x:v>equals</x:v>
      </x:c>
      <x:c r="I318" t="str">
        <x:v>RFA design authority</x:v>
      </x:c>
      <x:c r="J318" t="str">
        <x:f>IF(F318=1,"PASS","GAP")</x:f>
        <x:v>PASS</x:v>
      </x:c>
    </x:row>
    <x:row r="319">
      <x:c r="B319" t="str">
        <x:v>PLN-313</x:v>
      </x:c>
      <x:c r="C319" t="str">
        <x:v>PLANNING</x:v>
      </x:c>
      <x:c r="D319" t="str">
        <x:v>event</x:v>
      </x:c>
      <x:c r="E319" t="str">
        <x:v>Event Register · event 252</x:v>
      </x:c>
      <x:c r="F319" t="n">
        <x:f>Controls!$D$53</x:f>
        <x:v>1</x:v>
      </x:c>
      <x:c r="G319" t="n">
        <x:v>1</x:v>
      </x:c>
      <x:c r="H319" t="str">
        <x:v>equals</x:v>
      </x:c>
      <x:c r="I319" t="str">
        <x:v>RFA design authority</x:v>
      </x:c>
      <x:c r="J319" t="str">
        <x:f>IF(F319=1,"PASS","GAP")</x:f>
        <x:v>PASS</x:v>
      </x:c>
    </x:row>
    <x:row r="320">
      <x:c r="B320" t="str">
        <x:v>PLN-314</x:v>
      </x:c>
      <x:c r="C320" t="str">
        <x:v>PLANNING</x:v>
      </x:c>
      <x:c r="D320" t="str">
        <x:v>event</x:v>
      </x:c>
      <x:c r="E320" t="str">
        <x:v>Event Register · event 253</x:v>
      </x:c>
      <x:c r="F320" t="n">
        <x:f>Controls!$D$53</x:f>
        <x:v>1</x:v>
      </x:c>
      <x:c r="G320" t="n">
        <x:v>1</x:v>
      </x:c>
      <x:c r="H320" t="str">
        <x:v>equals</x:v>
      </x:c>
      <x:c r="I320" t="str">
        <x:v>RFA design authority</x:v>
      </x:c>
      <x:c r="J320" t="str">
        <x:f>IF(F320=1,"PASS","GAP")</x:f>
        <x:v>PASS</x:v>
      </x:c>
    </x:row>
    <x:row r="321">
      <x:c r="B321" t="str">
        <x:v>PLN-315</x:v>
      </x:c>
      <x:c r="C321" t="str">
        <x:v>PLANNING</x:v>
      </x:c>
      <x:c r="D321" t="str">
        <x:v>event</x:v>
      </x:c>
      <x:c r="E321" t="str">
        <x:v>Event Register · event 254</x:v>
      </x:c>
      <x:c r="F321" t="n">
        <x:f>Controls!$D$53</x:f>
        <x:v>1</x:v>
      </x:c>
      <x:c r="G321" t="n">
        <x:v>1</x:v>
      </x:c>
      <x:c r="H321" t="str">
        <x:v>equals</x:v>
      </x:c>
      <x:c r="I321" t="str">
        <x:v>RFA design authority</x:v>
      </x:c>
      <x:c r="J321" t="str">
        <x:f>IF(F321=1,"PASS","GAP")</x:f>
        <x:v>PASS</x:v>
      </x:c>
    </x:row>
    <x:row r="322">
      <x:c r="B322" t="str">
        <x:v>PLN-316</x:v>
      </x:c>
      <x:c r="C322" t="str">
        <x:v>PLANNING</x:v>
      </x:c>
      <x:c r="D322" t="str">
        <x:v>event</x:v>
      </x:c>
      <x:c r="E322" t="str">
        <x:v>Event Register · event 255</x:v>
      </x:c>
      <x:c r="F322" t="n">
        <x:f>Controls!$D$53</x:f>
        <x:v>1</x:v>
      </x:c>
      <x:c r="G322" t="n">
        <x:v>1</x:v>
      </x:c>
      <x:c r="H322" t="str">
        <x:v>equals</x:v>
      </x:c>
      <x:c r="I322" t="str">
        <x:v>RFA design authority</x:v>
      </x:c>
      <x:c r="J322" t="str">
        <x:f>IF(F322=1,"PASS","GAP")</x:f>
        <x:v>PASS</x:v>
      </x:c>
    </x:row>
    <x:row r="323">
      <x:c r="B323" t="str">
        <x:v>PLN-317</x:v>
      </x:c>
      <x:c r="C323" t="str">
        <x:v>PLANNING</x:v>
      </x:c>
      <x:c r="D323" t="str">
        <x:v>event</x:v>
      </x:c>
      <x:c r="E323" t="str">
        <x:v>Event Register · event 256</x:v>
      </x:c>
      <x:c r="F323" t="n">
        <x:f>Controls!$D$53</x:f>
        <x:v>1</x:v>
      </x:c>
      <x:c r="G323" t="n">
        <x:v>1</x:v>
      </x:c>
      <x:c r="H323" t="str">
        <x:v>equals</x:v>
      </x:c>
      <x:c r="I323" t="str">
        <x:v>RFA design authority</x:v>
      </x:c>
      <x:c r="J323" t="str">
        <x:f>IF(F323=1,"PASS","GAP")</x:f>
        <x:v>PASS</x:v>
      </x:c>
    </x:row>
    <x:row r="324">
      <x:c r="B324" t="str">
        <x:v>PLN-318</x:v>
      </x:c>
      <x:c r="C324" t="str">
        <x:v>PLANNING</x:v>
      </x:c>
      <x:c r="D324" t="str">
        <x:v>event</x:v>
      </x:c>
      <x:c r="E324" t="str">
        <x:v>Event Register · event 257</x:v>
      </x:c>
      <x:c r="F324" t="n">
        <x:f>Controls!$D$53</x:f>
        <x:v>1</x:v>
      </x:c>
      <x:c r="G324" t="n">
        <x:v>1</x:v>
      </x:c>
      <x:c r="H324" t="str">
        <x:v>equals</x:v>
      </x:c>
      <x:c r="I324" t="str">
        <x:v>RFA design authority</x:v>
      </x:c>
      <x:c r="J324" t="str">
        <x:f>IF(F324=1,"PASS","GAP")</x:f>
        <x:v>PASS</x:v>
      </x:c>
    </x:row>
    <x:row r="325">
      <x:c r="B325" t="str">
        <x:v>PLN-319</x:v>
      </x:c>
      <x:c r="C325" t="str">
        <x:v>PLANNING</x:v>
      </x:c>
      <x:c r="D325" t="str">
        <x:v>event</x:v>
      </x:c>
      <x:c r="E325" t="str">
        <x:v>Event Register · event 258</x:v>
      </x:c>
      <x:c r="F325" t="n">
        <x:f>Controls!$D$53</x:f>
        <x:v>1</x:v>
      </x:c>
      <x:c r="G325" t="n">
        <x:v>1</x:v>
      </x:c>
      <x:c r="H325" t="str">
        <x:v>equals</x:v>
      </x:c>
      <x:c r="I325" t="str">
        <x:v>RFA design authority</x:v>
      </x:c>
      <x:c r="J325" t="str">
        <x:f>IF(F325=1,"PASS","GAP")</x:f>
        <x:v>PASS</x:v>
      </x:c>
    </x:row>
    <x:row r="326">
      <x:c r="B326" t="str">
        <x:v>PLN-320</x:v>
      </x:c>
      <x:c r="C326" t="str">
        <x:v>PLANNING</x:v>
      </x:c>
      <x:c r="D326" t="str">
        <x:v>event</x:v>
      </x:c>
      <x:c r="E326" t="str">
        <x:v>Event Register · event 259</x:v>
      </x:c>
      <x:c r="F326" t="n">
        <x:f>Controls!$D$53</x:f>
        <x:v>1</x:v>
      </x:c>
      <x:c r="G326" t="n">
        <x:v>1</x:v>
      </x:c>
      <x:c r="H326" t="str">
        <x:v>equals</x:v>
      </x:c>
      <x:c r="I326" t="str">
        <x:v>RFA design authority</x:v>
      </x:c>
      <x:c r="J326" t="str">
        <x:f>IF(F326=1,"PASS","GAP")</x:f>
        <x:v>PASS</x:v>
      </x:c>
    </x:row>
    <x:row r="327">
      <x:c r="B327" t="str">
        <x:v>PLN-321</x:v>
      </x:c>
      <x:c r="C327" t="str">
        <x:v>PLANNING</x:v>
      </x:c>
      <x:c r="D327" t="str">
        <x:v>event</x:v>
      </x:c>
      <x:c r="E327" t="str">
        <x:v>Event Register · event 260</x:v>
      </x:c>
      <x:c r="F327" t="n">
        <x:f>Controls!$D$53</x:f>
        <x:v>1</x:v>
      </x:c>
      <x:c r="G327" t="n">
        <x:v>1</x:v>
      </x:c>
      <x:c r="H327" t="str">
        <x:v>equals</x:v>
      </x:c>
      <x:c r="I327" t="str">
        <x:v>RFA design authority</x:v>
      </x:c>
      <x:c r="J327" t="str">
        <x:f>IF(F327=1,"PASS","GAP")</x:f>
        <x:v>PASS</x:v>
      </x:c>
    </x:row>
    <x:row r="328">
      <x:c r="B328" t="str">
        <x:v>PLN-322</x:v>
      </x:c>
      <x:c r="C328" t="str">
        <x:v>PLANNING</x:v>
      </x:c>
      <x:c r="D328" t="str">
        <x:v>event</x:v>
      </x:c>
      <x:c r="E328" t="str">
        <x:v>Event Register · event 261</x:v>
      </x:c>
      <x:c r="F328" t="n">
        <x:f>Controls!$D$53</x:f>
        <x:v>1</x:v>
      </x:c>
      <x:c r="G328" t="n">
        <x:v>1</x:v>
      </x:c>
      <x:c r="H328" t="str">
        <x:v>equals</x:v>
      </x:c>
      <x:c r="I328" t="str">
        <x:v>RFA design authority</x:v>
      </x:c>
      <x:c r="J328" t="str">
        <x:f>IF(F328=1,"PASS","GAP")</x:f>
        <x:v>PASS</x:v>
      </x:c>
    </x:row>
    <x:row r="329">
      <x:c r="B329" t="str">
        <x:v>PLN-323</x:v>
      </x:c>
      <x:c r="C329" t="str">
        <x:v>PLANNING</x:v>
      </x:c>
      <x:c r="D329" t="str">
        <x:v>event</x:v>
      </x:c>
      <x:c r="E329" t="str">
        <x:v>Event Register · event 262</x:v>
      </x:c>
      <x:c r="F329" t="n">
        <x:f>Controls!$D$53</x:f>
        <x:v>1</x:v>
      </x:c>
      <x:c r="G329" t="n">
        <x:v>1</x:v>
      </x:c>
      <x:c r="H329" t="str">
        <x:v>equals</x:v>
      </x:c>
      <x:c r="I329" t="str">
        <x:v>RFA design authority</x:v>
      </x:c>
      <x:c r="J329" t="str">
        <x:f>IF(F329=1,"PASS","GAP")</x:f>
        <x:v>PASS</x:v>
      </x:c>
    </x:row>
    <x:row r="330">
      <x:c r="B330" t="str">
        <x:v>PLN-324</x:v>
      </x:c>
      <x:c r="C330" t="str">
        <x:v>PLANNING</x:v>
      </x:c>
      <x:c r="D330" t="str">
        <x:v>event</x:v>
      </x:c>
      <x:c r="E330" t="str">
        <x:v>Event Register · event 263</x:v>
      </x:c>
      <x:c r="F330" t="n">
        <x:f>Controls!$D$53</x:f>
        <x:v>1</x:v>
      </x:c>
      <x:c r="G330" t="n">
        <x:v>1</x:v>
      </x:c>
      <x:c r="H330" t="str">
        <x:v>equals</x:v>
      </x:c>
      <x:c r="I330" t="str">
        <x:v>RFA design authority</x:v>
      </x:c>
      <x:c r="J330" t="str">
        <x:f>IF(F330=1,"PASS","GAP")</x:f>
        <x:v>PASS</x:v>
      </x:c>
    </x:row>
    <x:row r="331">
      <x:c r="B331" t="str">
        <x:v>PLN-325</x:v>
      </x:c>
      <x:c r="C331" t="str">
        <x:v>PLANNING</x:v>
      </x:c>
      <x:c r="D331" t="str">
        <x:v>event</x:v>
      </x:c>
      <x:c r="E331" t="str">
        <x:v>Event Register · event 264</x:v>
      </x:c>
      <x:c r="F331" t="n">
        <x:f>Controls!$D$53</x:f>
        <x:v>1</x:v>
      </x:c>
      <x:c r="G331" t="n">
        <x:v>1</x:v>
      </x:c>
      <x:c r="H331" t="str">
        <x:v>equals</x:v>
      </x:c>
      <x:c r="I331" t="str">
        <x:v>RFA design authority</x:v>
      </x:c>
      <x:c r="J331" t="str">
        <x:f>IF(F331=1,"PASS","GAP")</x:f>
        <x:v>PASS</x:v>
      </x:c>
    </x:row>
    <x:row r="332">
      <x:c r="B332" t="str">
        <x:v>PLN-326</x:v>
      </x:c>
      <x:c r="C332" t="str">
        <x:v>PLANNING</x:v>
      </x:c>
      <x:c r="D332" t="str">
        <x:v>event</x:v>
      </x:c>
      <x:c r="E332" t="str">
        <x:v>Event Register · event 265</x:v>
      </x:c>
      <x:c r="F332" t="n">
        <x:f>Controls!$D$53</x:f>
        <x:v>1</x:v>
      </x:c>
      <x:c r="G332" t="n">
        <x:v>1</x:v>
      </x:c>
      <x:c r="H332" t="str">
        <x:v>equals</x:v>
      </x:c>
      <x:c r="I332" t="str">
        <x:v>RFA design authority</x:v>
      </x:c>
      <x:c r="J332" t="str">
        <x:f>IF(F332=1,"PASS","GAP")</x:f>
        <x:v>PASS</x:v>
      </x:c>
    </x:row>
    <x:row r="333">
      <x:c r="B333" t="str">
        <x:v>PLN-327</x:v>
      </x:c>
      <x:c r="C333" t="str">
        <x:v>PLANNING</x:v>
      </x:c>
      <x:c r="D333" t="str">
        <x:v>event</x:v>
      </x:c>
      <x:c r="E333" t="str">
        <x:v>Event Register · event 266</x:v>
      </x:c>
      <x:c r="F333" t="n">
        <x:f>Controls!$D$53</x:f>
        <x:v>1</x:v>
      </x:c>
      <x:c r="G333" t="n">
        <x:v>1</x:v>
      </x:c>
      <x:c r="H333" t="str">
        <x:v>equals</x:v>
      </x:c>
      <x:c r="I333" t="str">
        <x:v>RFA design authority</x:v>
      </x:c>
      <x:c r="J333" t="str">
        <x:f>IF(F333=1,"PASS","GAP")</x:f>
        <x:v>PASS</x:v>
      </x:c>
    </x:row>
    <x:row r="334">
      <x:c r="B334" t="str">
        <x:v>PLN-328</x:v>
      </x:c>
      <x:c r="C334" t="str">
        <x:v>PLANNING</x:v>
      </x:c>
      <x:c r="D334" t="str">
        <x:v>event</x:v>
      </x:c>
      <x:c r="E334" t="str">
        <x:v>Event Register · event 267</x:v>
      </x:c>
      <x:c r="F334" t="n">
        <x:f>Controls!$D$53</x:f>
        <x:v>1</x:v>
      </x:c>
      <x:c r="G334" t="n">
        <x:v>1</x:v>
      </x:c>
      <x:c r="H334" t="str">
        <x:v>equals</x:v>
      </x:c>
      <x:c r="I334" t="str">
        <x:v>RFA design authority</x:v>
      </x:c>
      <x:c r="J334" t="str">
        <x:f>IF(F334=1,"PASS","GAP")</x:f>
        <x:v>PASS</x:v>
      </x:c>
    </x:row>
    <x:row r="335">
      <x:c r="B335" t="str">
        <x:v>PLN-329</x:v>
      </x:c>
      <x:c r="C335" t="str">
        <x:v>PLANNING</x:v>
      </x:c>
      <x:c r="D335" t="str">
        <x:v>event</x:v>
      </x:c>
      <x:c r="E335" t="str">
        <x:v>Event Register · event 268</x:v>
      </x:c>
      <x:c r="F335" t="n">
        <x:f>Controls!$D$53</x:f>
        <x:v>1</x:v>
      </x:c>
      <x:c r="G335" t="n">
        <x:v>1</x:v>
      </x:c>
      <x:c r="H335" t="str">
        <x:v>equals</x:v>
      </x:c>
      <x:c r="I335" t="str">
        <x:v>RFA design authority</x:v>
      </x:c>
      <x:c r="J335" t="str">
        <x:f>IF(F335=1,"PASS","GAP")</x:f>
        <x:v>PASS</x:v>
      </x:c>
    </x:row>
    <x:row r="336">
      <x:c r="B336" t="str">
        <x:v>PLN-330</x:v>
      </x:c>
      <x:c r="C336" t="str">
        <x:v>PLANNING</x:v>
      </x:c>
      <x:c r="D336" t="str">
        <x:v>event</x:v>
      </x:c>
      <x:c r="E336" t="str">
        <x:v>Event Register · event 269</x:v>
      </x:c>
      <x:c r="F336" t="n">
        <x:f>Controls!$D$53</x:f>
        <x:v>1</x:v>
      </x:c>
      <x:c r="G336" t="n">
        <x:v>1</x:v>
      </x:c>
      <x:c r="H336" t="str">
        <x:v>equals</x:v>
      </x:c>
      <x:c r="I336" t="str">
        <x:v>RFA design authority</x:v>
      </x:c>
      <x:c r="J336" t="str">
        <x:f>IF(F336=1,"PASS","GAP")</x:f>
        <x:v>PASS</x:v>
      </x:c>
    </x:row>
    <x:row r="337">
      <x:c r="B337" t="str">
        <x:v>PLN-331</x:v>
      </x:c>
      <x:c r="C337" t="str">
        <x:v>PLANNING</x:v>
      </x:c>
      <x:c r="D337" t="str">
        <x:v>event</x:v>
      </x:c>
      <x:c r="E337" t="str">
        <x:v>Event Register · event 270</x:v>
      </x:c>
      <x:c r="F337" t="n">
        <x:f>Controls!$D$53</x:f>
        <x:v>1</x:v>
      </x:c>
      <x:c r="G337" t="n">
        <x:v>1</x:v>
      </x:c>
      <x:c r="H337" t="str">
        <x:v>equals</x:v>
      </x:c>
      <x:c r="I337" t="str">
        <x:v>RFA design authority</x:v>
      </x:c>
      <x:c r="J337" t="str">
        <x:f>IF(F337=1,"PASS","GAP")</x:f>
        <x:v>PASS</x:v>
      </x:c>
    </x:row>
    <x:row r="338">
      <x:c r="B338" t="str">
        <x:v>PLN-332</x:v>
      </x:c>
      <x:c r="C338" t="str">
        <x:v>PLANNING</x:v>
      </x:c>
      <x:c r="D338" t="str">
        <x:v>event</x:v>
      </x:c>
      <x:c r="E338" t="str">
        <x:v>Event Register · event 271</x:v>
      </x:c>
      <x:c r="F338" t="n">
        <x:f>Controls!$D$53</x:f>
        <x:v>1</x:v>
      </x:c>
      <x:c r="G338" t="n">
        <x:v>1</x:v>
      </x:c>
      <x:c r="H338" t="str">
        <x:v>equals</x:v>
      </x:c>
      <x:c r="I338" t="str">
        <x:v>RFA design authority</x:v>
      </x:c>
      <x:c r="J338" t="str">
        <x:f>IF(F338=1,"PASS","GAP")</x:f>
        <x:v>PASS</x:v>
      </x:c>
    </x:row>
    <x:row r="339">
      <x:c r="B339" t="str">
        <x:v>PLN-333</x:v>
      </x:c>
      <x:c r="C339" t="str">
        <x:v>PLANNING</x:v>
      </x:c>
      <x:c r="D339" t="str">
        <x:v>event</x:v>
      </x:c>
      <x:c r="E339" t="str">
        <x:v>Event Register · event 272</x:v>
      </x:c>
      <x:c r="F339" t="n">
        <x:f>Controls!$D$53</x:f>
        <x:v>1</x:v>
      </x:c>
      <x:c r="G339" t="n">
        <x:v>1</x:v>
      </x:c>
      <x:c r="H339" t="str">
        <x:v>equals</x:v>
      </x:c>
      <x:c r="I339" t="str">
        <x:v>RFA design authority</x:v>
      </x:c>
      <x:c r="J339" t="str">
        <x:f>IF(F339=1,"PASS","GAP")</x:f>
        <x:v>PASS</x:v>
      </x:c>
    </x:row>
    <x:row r="340">
      <x:c r="B340" t="str">
        <x:v>PLN-334</x:v>
      </x:c>
      <x:c r="C340" t="str">
        <x:v>PLANNING</x:v>
      </x:c>
      <x:c r="D340" t="str">
        <x:v>event</x:v>
      </x:c>
      <x:c r="E340" t="str">
        <x:v>Event Register · event 273</x:v>
      </x:c>
      <x:c r="F340" t="n">
        <x:f>Controls!$D$53</x:f>
        <x:v>1</x:v>
      </x:c>
      <x:c r="G340" t="n">
        <x:v>1</x:v>
      </x:c>
      <x:c r="H340" t="str">
        <x:v>equals</x:v>
      </x:c>
      <x:c r="I340" t="str">
        <x:v>RFA design authority</x:v>
      </x:c>
      <x:c r="J340" t="str">
        <x:f>IF(F340=1,"PASS","GAP")</x:f>
        <x:v>PASS</x:v>
      </x:c>
    </x:row>
    <x:row r="341">
      <x:c r="B341" t="str">
        <x:v>PLN-335</x:v>
      </x:c>
      <x:c r="C341" t="str">
        <x:v>PLANNING</x:v>
      </x:c>
      <x:c r="D341" t="str">
        <x:v>event</x:v>
      </x:c>
      <x:c r="E341" t="str">
        <x:v>Event Register · event 274</x:v>
      </x:c>
      <x:c r="F341" t="n">
        <x:f>Controls!$D$53</x:f>
        <x:v>1</x:v>
      </x:c>
      <x:c r="G341" t="n">
        <x:v>1</x:v>
      </x:c>
      <x:c r="H341" t="str">
        <x:v>equals</x:v>
      </x:c>
      <x:c r="I341" t="str">
        <x:v>RFA design authority</x:v>
      </x:c>
      <x:c r="J341" t="str">
        <x:f>IF(F341=1,"PASS","GAP")</x:f>
        <x:v>PASS</x:v>
      </x:c>
    </x:row>
    <x:row r="342">
      <x:c r="B342" t="str">
        <x:v>PLN-336</x:v>
      </x:c>
      <x:c r="C342" t="str">
        <x:v>PLANNING</x:v>
      </x:c>
      <x:c r="D342" t="str">
        <x:v>event</x:v>
      </x:c>
      <x:c r="E342" t="str">
        <x:v>Event Register · event 275</x:v>
      </x:c>
      <x:c r="F342" t="n">
        <x:f>Controls!$D$53</x:f>
        <x:v>1</x:v>
      </x:c>
      <x:c r="G342" t="n">
        <x:v>1</x:v>
      </x:c>
      <x:c r="H342" t="str">
        <x:v>equals</x:v>
      </x:c>
      <x:c r="I342" t="str">
        <x:v>RFA design authority</x:v>
      </x:c>
      <x:c r="J342" t="str">
        <x:f>IF(F342=1,"PASS","GAP")</x:f>
        <x:v>PASS</x:v>
      </x:c>
    </x:row>
    <x:row r="343">
      <x:c r="B343" t="str">
        <x:v>PLN-337</x:v>
      </x:c>
      <x:c r="C343" t="str">
        <x:v>PLANNING</x:v>
      </x:c>
      <x:c r="D343" t="str">
        <x:v>event</x:v>
      </x:c>
      <x:c r="E343" t="str">
        <x:v>Event Register · event 276</x:v>
      </x:c>
      <x:c r="F343" t="n">
        <x:f>Controls!$D$53</x:f>
        <x:v>1</x:v>
      </x:c>
      <x:c r="G343" t="n">
        <x:v>1</x:v>
      </x:c>
      <x:c r="H343" t="str">
        <x:v>equals</x:v>
      </x:c>
      <x:c r="I343" t="str">
        <x:v>RFA design authority</x:v>
      </x:c>
      <x:c r="J343" t="str">
        <x:f>IF(F343=1,"PASS","GAP")</x:f>
        <x:v>PASS</x:v>
      </x:c>
    </x:row>
    <x:row r="344">
      <x:c r="B344" t="str">
        <x:v>PLN-338</x:v>
      </x:c>
      <x:c r="C344" t="str">
        <x:v>PLANNING</x:v>
      </x:c>
      <x:c r="D344" t="str">
        <x:v>event</x:v>
      </x:c>
      <x:c r="E344" t="str">
        <x:v>Event Register · event 277</x:v>
      </x:c>
      <x:c r="F344" t="n">
        <x:f>Controls!$D$53</x:f>
        <x:v>1</x:v>
      </x:c>
      <x:c r="G344" t="n">
        <x:v>1</x:v>
      </x:c>
      <x:c r="H344" t="str">
        <x:v>equals</x:v>
      </x:c>
      <x:c r="I344" t="str">
        <x:v>RFA design authority</x:v>
      </x:c>
      <x:c r="J344" t="str">
        <x:f>IF(F344=1,"PASS","GAP")</x:f>
        <x:v>PASS</x:v>
      </x:c>
    </x:row>
    <x:row r="345">
      <x:c r="B345" t="str">
        <x:v>PLN-339</x:v>
      </x:c>
      <x:c r="C345" t="str">
        <x:v>PLANNING</x:v>
      </x:c>
      <x:c r="D345" t="str">
        <x:v>event</x:v>
      </x:c>
      <x:c r="E345" t="str">
        <x:v>Event Register · event 278</x:v>
      </x:c>
      <x:c r="F345" t="n">
        <x:f>Controls!$D$53</x:f>
        <x:v>1</x:v>
      </x:c>
      <x:c r="G345" t="n">
        <x:v>1</x:v>
      </x:c>
      <x:c r="H345" t="str">
        <x:v>equals</x:v>
      </x:c>
      <x:c r="I345" t="str">
        <x:v>RFA design authority</x:v>
      </x:c>
      <x:c r="J345" t="str">
        <x:f>IF(F345=1,"PASS","GAP")</x:f>
        <x:v>PASS</x:v>
      </x:c>
    </x:row>
    <x:row r="346">
      <x:c r="B346" t="str">
        <x:v>PLN-340</x:v>
      </x:c>
      <x:c r="C346" t="str">
        <x:v>PLANNING</x:v>
      </x:c>
      <x:c r="D346" t="str">
        <x:v>event</x:v>
      </x:c>
      <x:c r="E346" t="str">
        <x:v>Event Register · event 279</x:v>
      </x:c>
      <x:c r="F346" t="n">
        <x:f>Controls!$D$53</x:f>
        <x:v>1</x:v>
      </x:c>
      <x:c r="G346" t="n">
        <x:v>1</x:v>
      </x:c>
      <x:c r="H346" t="str">
        <x:v>equals</x:v>
      </x:c>
      <x:c r="I346" t="str">
        <x:v>RFA design authority</x:v>
      </x:c>
      <x:c r="J346" t="str">
        <x:f>IF(F346=1,"PASS","GAP")</x:f>
        <x:v>PASS</x:v>
      </x:c>
    </x:row>
    <x:row r="347">
      <x:c r="B347" t="str">
        <x:v>PLN-341</x:v>
      </x:c>
      <x:c r="C347" t="str">
        <x:v>PLANNING</x:v>
      </x:c>
      <x:c r="D347" t="str">
        <x:v>event</x:v>
      </x:c>
      <x:c r="E347" t="str">
        <x:v>Event Register · event 280</x:v>
      </x:c>
      <x:c r="F347" t="n">
        <x:f>Controls!$D$53</x:f>
        <x:v>1</x:v>
      </x:c>
      <x:c r="G347" t="n">
        <x:v>1</x:v>
      </x:c>
      <x:c r="H347" t="str">
        <x:v>equals</x:v>
      </x:c>
      <x:c r="I347" t="str">
        <x:v>RFA design authority</x:v>
      </x:c>
      <x:c r="J347" t="str">
        <x:f>IF(F347=1,"PASS","GAP")</x:f>
        <x:v>PASS</x:v>
      </x:c>
    </x:row>
    <x:row r="348">
      <x:c r="B348" t="str">
        <x:v>PLN-342</x:v>
      </x:c>
      <x:c r="C348" t="str">
        <x:v>PLANNING</x:v>
      </x:c>
      <x:c r="D348" t="str">
        <x:v>event</x:v>
      </x:c>
      <x:c r="E348" t="str">
        <x:v>Event Register · event 281</x:v>
      </x:c>
      <x:c r="F348" t="n">
        <x:f>Controls!$D$53</x:f>
        <x:v>1</x:v>
      </x:c>
      <x:c r="G348" t="n">
        <x:v>1</x:v>
      </x:c>
      <x:c r="H348" t="str">
        <x:v>equals</x:v>
      </x:c>
      <x:c r="I348" t="str">
        <x:v>RFA design authority</x:v>
      </x:c>
      <x:c r="J348" t="str">
        <x:f>IF(F348=1,"PASS","GAP")</x:f>
        <x:v>PASS</x:v>
      </x:c>
    </x:row>
    <x:row r="349">
      <x:c r="B349" t="str">
        <x:v>PLN-343</x:v>
      </x:c>
      <x:c r="C349" t="str">
        <x:v>PLANNING</x:v>
      </x:c>
      <x:c r="D349" t="str">
        <x:v>event</x:v>
      </x:c>
      <x:c r="E349" t="str">
        <x:v>Event Register · event 282</x:v>
      </x:c>
      <x:c r="F349" t="n">
        <x:f>Controls!$D$53</x:f>
        <x:v>1</x:v>
      </x:c>
      <x:c r="G349" t="n">
        <x:v>1</x:v>
      </x:c>
      <x:c r="H349" t="str">
        <x:v>equals</x:v>
      </x:c>
      <x:c r="I349" t="str">
        <x:v>RFA design authority</x:v>
      </x:c>
      <x:c r="J349" t="str">
        <x:f>IF(F349=1,"PASS","GAP")</x:f>
        <x:v>PASS</x:v>
      </x:c>
    </x:row>
    <x:row r="350">
      <x:c r="B350" t="str">
        <x:v>PLN-344</x:v>
      </x:c>
      <x:c r="C350" t="str">
        <x:v>PLANNING</x:v>
      </x:c>
      <x:c r="D350" t="str">
        <x:v>event</x:v>
      </x:c>
      <x:c r="E350" t="str">
        <x:v>Event Register · event 283</x:v>
      </x:c>
      <x:c r="F350" t="n">
        <x:f>Controls!$D$53</x:f>
        <x:v>1</x:v>
      </x:c>
      <x:c r="G350" t="n">
        <x:v>1</x:v>
      </x:c>
      <x:c r="H350" t="str">
        <x:v>equals</x:v>
      </x:c>
      <x:c r="I350" t="str">
        <x:v>RFA design authority</x:v>
      </x:c>
      <x:c r="J350" t="str">
        <x:f>IF(F350=1,"PASS","GAP")</x:f>
        <x:v>PASS</x:v>
      </x:c>
    </x:row>
    <x:row r="351">
      <x:c r="B351" t="str">
        <x:v>PLN-345</x:v>
      </x:c>
      <x:c r="C351" t="str">
        <x:v>PLANNING</x:v>
      </x:c>
      <x:c r="D351" t="str">
        <x:v>event</x:v>
      </x:c>
      <x:c r="E351" t="str">
        <x:v>Event Register · event 284</x:v>
      </x:c>
      <x:c r="F351" t="n">
        <x:f>Controls!$D$53</x:f>
        <x:v>1</x:v>
      </x:c>
      <x:c r="G351" t="n">
        <x:v>1</x:v>
      </x:c>
      <x:c r="H351" t="str">
        <x:v>equals</x:v>
      </x:c>
      <x:c r="I351" t="str">
        <x:v>RFA design authority</x:v>
      </x:c>
      <x:c r="J351" t="str">
        <x:f>IF(F351=1,"PASS","GAP")</x:f>
        <x:v>PASS</x:v>
      </x:c>
    </x:row>
    <x:row r="352">
      <x:c r="B352" t="str">
        <x:v>PLN-346</x:v>
      </x:c>
      <x:c r="C352" t="str">
        <x:v>PLANNING</x:v>
      </x:c>
      <x:c r="D352" t="str">
        <x:v>event</x:v>
      </x:c>
      <x:c r="E352" t="str">
        <x:v>Event Register · event 285</x:v>
      </x:c>
      <x:c r="F352" t="n">
        <x:f>Controls!$D$53</x:f>
        <x:v>1</x:v>
      </x:c>
      <x:c r="G352" t="n">
        <x:v>1</x:v>
      </x:c>
      <x:c r="H352" t="str">
        <x:v>equals</x:v>
      </x:c>
      <x:c r="I352" t="str">
        <x:v>RFA design authority</x:v>
      </x:c>
      <x:c r="J352" t="str">
        <x:f>IF(F352=1,"PASS","GAP")</x:f>
        <x:v>PASS</x:v>
      </x:c>
    </x:row>
    <x:row r="353">
      <x:c r="B353" t="str">
        <x:v>PLN-347</x:v>
      </x:c>
      <x:c r="C353" t="str">
        <x:v>PLANNING</x:v>
      </x:c>
      <x:c r="D353" t="str">
        <x:v>event</x:v>
      </x:c>
      <x:c r="E353" t="str">
        <x:v>Event Register · event 286</x:v>
      </x:c>
      <x:c r="F353" t="n">
        <x:f>Controls!$D$53</x:f>
        <x:v>1</x:v>
      </x:c>
      <x:c r="G353" t="n">
        <x:v>1</x:v>
      </x:c>
      <x:c r="H353" t="str">
        <x:v>equals</x:v>
      </x:c>
      <x:c r="I353" t="str">
        <x:v>RFA design authority</x:v>
      </x:c>
      <x:c r="J353" t="str">
        <x:f>IF(F353=1,"PASS","GAP")</x:f>
        <x:v>PASS</x:v>
      </x:c>
    </x:row>
    <x:row r="354">
      <x:c r="B354" t="str">
        <x:v>PLN-348</x:v>
      </x:c>
      <x:c r="C354" t="str">
        <x:v>PLANNING</x:v>
      </x:c>
      <x:c r="D354" t="str">
        <x:v>event</x:v>
      </x:c>
      <x:c r="E354" t="str">
        <x:v>Event Register · event 287</x:v>
      </x:c>
      <x:c r="F354" t="n">
        <x:f>Controls!$D$53</x:f>
        <x:v>1</x:v>
      </x:c>
      <x:c r="G354" t="n">
        <x:v>1</x:v>
      </x:c>
      <x:c r="H354" t="str">
        <x:v>equals</x:v>
      </x:c>
      <x:c r="I354" t="str">
        <x:v>RFA design authority</x:v>
      </x:c>
      <x:c r="J354" t="str">
        <x:f>IF(F354=1,"PASS","GAP")</x:f>
        <x:v>PASS</x:v>
      </x:c>
    </x:row>
    <x:row r="355">
      <x:c r="B355" t="str">
        <x:v>PLN-349</x:v>
      </x:c>
      <x:c r="C355" t="str">
        <x:v>PLANNING</x:v>
      </x:c>
      <x:c r="D355" t="str">
        <x:v>event</x:v>
      </x:c>
      <x:c r="E355" t="str">
        <x:v>Event Register · event 288</x:v>
      </x:c>
      <x:c r="F355" t="n">
        <x:f>Controls!$D$53</x:f>
        <x:v>1</x:v>
      </x:c>
      <x:c r="G355" t="n">
        <x:v>1</x:v>
      </x:c>
      <x:c r="H355" t="str">
        <x:v>equals</x:v>
      </x:c>
      <x:c r="I355" t="str">
        <x:v>RFA design authority</x:v>
      </x:c>
      <x:c r="J355" t="str">
        <x:f>IF(F355=1,"PASS","GAP")</x:f>
        <x:v>PASS</x:v>
      </x:c>
    </x:row>
    <x:row r="356">
      <x:c r="B356" t="str">
        <x:v>PLN-350</x:v>
      </x:c>
      <x:c r="C356" t="str">
        <x:v>PLANNING</x:v>
      </x:c>
      <x:c r="D356" t="str">
        <x:v>event</x:v>
      </x:c>
      <x:c r="E356" t="str">
        <x:v>Event Register · event 289</x:v>
      </x:c>
      <x:c r="F356" t="n">
        <x:f>Controls!$D$53</x:f>
        <x:v>1</x:v>
      </x:c>
      <x:c r="G356" t="n">
        <x:v>1</x:v>
      </x:c>
      <x:c r="H356" t="str">
        <x:v>equals</x:v>
      </x:c>
      <x:c r="I356" t="str">
        <x:v>RFA design authority</x:v>
      </x:c>
      <x:c r="J356" t="str">
        <x:f>IF(F356=1,"PASS","GAP")</x:f>
        <x:v>PASS</x:v>
      </x:c>
    </x:row>
    <x:row r="357">
      <x:c r="B357" t="str">
        <x:v>PLN-351</x:v>
      </x:c>
      <x:c r="C357" t="str">
        <x:v>PLANNING</x:v>
      </x:c>
      <x:c r="D357" t="str">
        <x:v>event</x:v>
      </x:c>
      <x:c r="E357" t="str">
        <x:v>Event Register · event 290</x:v>
      </x:c>
      <x:c r="F357" t="n">
        <x:f>Controls!$D$53</x:f>
        <x:v>1</x:v>
      </x:c>
      <x:c r="G357" t="n">
        <x:v>1</x:v>
      </x:c>
      <x:c r="H357" t="str">
        <x:v>equals</x:v>
      </x:c>
      <x:c r="I357" t="str">
        <x:v>RFA design authority</x:v>
      </x:c>
      <x:c r="J357" t="str">
        <x:f>IF(F357=1,"PASS","GAP")</x:f>
        <x:v>PASS</x:v>
      </x:c>
    </x:row>
    <x:row r="358">
      <x:c r="B358" t="str">
        <x:v>PLN-352</x:v>
      </x:c>
      <x:c r="C358" t="str">
        <x:v>PLANNING</x:v>
      </x:c>
      <x:c r="D358" t="str">
        <x:v>event</x:v>
      </x:c>
      <x:c r="E358" t="str">
        <x:v>Event Register · event 291</x:v>
      </x:c>
      <x:c r="F358" t="n">
        <x:f>Controls!$D$53</x:f>
        <x:v>1</x:v>
      </x:c>
      <x:c r="G358" t="n">
        <x:v>1</x:v>
      </x:c>
      <x:c r="H358" t="str">
        <x:v>equals</x:v>
      </x:c>
      <x:c r="I358" t="str">
        <x:v>RFA design authority</x:v>
      </x:c>
      <x:c r="J358" t="str">
        <x:f>IF(F358=1,"PASS","GAP")</x:f>
        <x:v>PASS</x:v>
      </x:c>
    </x:row>
    <x:row r="359">
      <x:c r="B359" t="str">
        <x:v>PLN-353</x:v>
      </x:c>
      <x:c r="C359" t="str">
        <x:v>PLANNING</x:v>
      </x:c>
      <x:c r="D359" t="str">
        <x:v>event</x:v>
      </x:c>
      <x:c r="E359" t="str">
        <x:v>Event Register · event 292</x:v>
      </x:c>
      <x:c r="F359" t="n">
        <x:f>Controls!$D$53</x:f>
        <x:v>1</x:v>
      </x:c>
      <x:c r="G359" t="n">
        <x:v>1</x:v>
      </x:c>
      <x:c r="H359" t="str">
        <x:v>equals</x:v>
      </x:c>
      <x:c r="I359" t="str">
        <x:v>RFA design authority</x:v>
      </x:c>
      <x:c r="J359" t="str">
        <x:f>IF(F359=1,"PASS","GAP")</x:f>
        <x:v>PASS</x:v>
      </x:c>
    </x:row>
    <x:row r="360">
      <x:c r="B360" t="str">
        <x:v>PLN-354</x:v>
      </x:c>
      <x:c r="C360" t="str">
        <x:v>PLANNING</x:v>
      </x:c>
      <x:c r="D360" t="str">
        <x:v>event</x:v>
      </x:c>
      <x:c r="E360" t="str">
        <x:v>Event Register · event 293</x:v>
      </x:c>
      <x:c r="F360" t="n">
        <x:f>Controls!$D$53</x:f>
        <x:v>1</x:v>
      </x:c>
      <x:c r="G360" t="n">
        <x:v>1</x:v>
      </x:c>
      <x:c r="H360" t="str">
        <x:v>equals</x:v>
      </x:c>
      <x:c r="I360" t="str">
        <x:v>RFA design authority</x:v>
      </x:c>
      <x:c r="J360" t="str">
        <x:f>IF(F360=1,"PASS","GAP")</x:f>
        <x:v>PASS</x:v>
      </x:c>
    </x:row>
    <x:row r="361">
      <x:c r="B361" t="str">
        <x:v>PLN-355</x:v>
      </x:c>
      <x:c r="C361" t="str">
        <x:v>PLANNING</x:v>
      </x:c>
      <x:c r="D361" t="str">
        <x:v>event</x:v>
      </x:c>
      <x:c r="E361" t="str">
        <x:v>Event Register · event 294</x:v>
      </x:c>
      <x:c r="F361" t="n">
        <x:f>Controls!$D$53</x:f>
        <x:v>1</x:v>
      </x:c>
      <x:c r="G361" t="n">
        <x:v>1</x:v>
      </x:c>
      <x:c r="H361" t="str">
        <x:v>equals</x:v>
      </x:c>
      <x:c r="I361" t="str">
        <x:v>RFA design authority</x:v>
      </x:c>
      <x:c r="J361" t="str">
        <x:f>IF(F361=1,"PASS","GAP")</x:f>
        <x:v>PASS</x:v>
      </x:c>
    </x:row>
    <x:row r="362">
      <x:c r="B362" t="str">
        <x:v>PLN-356</x:v>
      </x:c>
      <x:c r="C362" t="str">
        <x:v>PLANNING</x:v>
      </x:c>
      <x:c r="D362" t="str">
        <x:v>event</x:v>
      </x:c>
      <x:c r="E362" t="str">
        <x:v>Event Register · event 295</x:v>
      </x:c>
      <x:c r="F362" t="n">
        <x:f>Controls!$D$53</x:f>
        <x:v>1</x:v>
      </x:c>
      <x:c r="G362" t="n">
        <x:v>1</x:v>
      </x:c>
      <x:c r="H362" t="str">
        <x:v>equals</x:v>
      </x:c>
      <x:c r="I362" t="str">
        <x:v>RFA design authority</x:v>
      </x:c>
      <x:c r="J362" t="str">
        <x:f>IF(F362=1,"PASS","GAP")</x:f>
        <x:v>PASS</x:v>
      </x:c>
    </x:row>
    <x:row r="363">
      <x:c r="B363" t="str">
        <x:v>PLN-357</x:v>
      </x:c>
      <x:c r="C363" t="str">
        <x:v>PLANNING</x:v>
      </x:c>
      <x:c r="D363" t="str">
        <x:v>event</x:v>
      </x:c>
      <x:c r="E363" t="str">
        <x:v>Event Register · event 296</x:v>
      </x:c>
      <x:c r="F363" t="n">
        <x:f>Controls!$D$53</x:f>
        <x:v>1</x:v>
      </x:c>
      <x:c r="G363" t="n">
        <x:v>1</x:v>
      </x:c>
      <x:c r="H363" t="str">
        <x:v>equals</x:v>
      </x:c>
      <x:c r="I363" t="str">
        <x:v>RFA design authority</x:v>
      </x:c>
      <x:c r="J363" t="str">
        <x:f>IF(F363=1,"PASS","GAP")</x:f>
        <x:v>PASS</x:v>
      </x:c>
    </x:row>
    <x:row r="364">
      <x:c r="B364" t="str">
        <x:v>PLN-358</x:v>
      </x:c>
      <x:c r="C364" t="str">
        <x:v>PLANNING</x:v>
      </x:c>
      <x:c r="D364" t="str">
        <x:v>event</x:v>
      </x:c>
      <x:c r="E364" t="str">
        <x:v>Event Register · event 297</x:v>
      </x:c>
      <x:c r="F364" t="n">
        <x:f>Controls!$D$53</x:f>
        <x:v>1</x:v>
      </x:c>
      <x:c r="G364" t="n">
        <x:v>1</x:v>
      </x:c>
      <x:c r="H364" t="str">
        <x:v>equals</x:v>
      </x:c>
      <x:c r="I364" t="str">
        <x:v>RFA design authority</x:v>
      </x:c>
      <x:c r="J364" t="str">
        <x:f>IF(F364=1,"PASS","GAP")</x:f>
        <x:v>PASS</x:v>
      </x:c>
    </x:row>
    <x:row r="365">
      <x:c r="B365" t="str">
        <x:v>PLN-359</x:v>
      </x:c>
      <x:c r="C365" t="str">
        <x:v>PLANNING</x:v>
      </x:c>
      <x:c r="D365" t="str">
        <x:v>event</x:v>
      </x:c>
      <x:c r="E365" t="str">
        <x:v>Event Register · event 298</x:v>
      </x:c>
      <x:c r="F365" t="n">
        <x:f>Controls!$D$53</x:f>
        <x:v>1</x:v>
      </x:c>
      <x:c r="G365" t="n">
        <x:v>1</x:v>
      </x:c>
      <x:c r="H365" t="str">
        <x:v>equals</x:v>
      </x:c>
      <x:c r="I365" t="str">
        <x:v>RFA design authority</x:v>
      </x:c>
      <x:c r="J365" t="str">
        <x:f>IF(F365=1,"PASS","GAP")</x:f>
        <x:v>PASS</x:v>
      </x:c>
    </x:row>
    <x:row r="366">
      <x:c r="B366" t="str">
        <x:v>PLN-360</x:v>
      </x:c>
      <x:c r="C366" t="str">
        <x:v>PLANNING</x:v>
      </x:c>
      <x:c r="D366" t="str">
        <x:v>event</x:v>
      </x:c>
      <x:c r="E366" t="str">
        <x:v>Event Register · event 299</x:v>
      </x:c>
      <x:c r="F366" t="n">
        <x:f>Controls!$D$53</x:f>
        <x:v>1</x:v>
      </x:c>
      <x:c r="G366" t="n">
        <x:v>1</x:v>
      </x:c>
      <x:c r="H366" t="str">
        <x:v>equals</x:v>
      </x:c>
      <x:c r="I366" t="str">
        <x:v>RFA design authority</x:v>
      </x:c>
      <x:c r="J366" t="str">
        <x:f>IF(F366=1,"PASS","GAP")</x:f>
        <x:v>PASS</x:v>
      </x:c>
    </x:row>
    <x:row r="367">
      <x:c r="B367" t="str">
        <x:v>PLN-361</x:v>
      </x:c>
      <x:c r="C367" t="str">
        <x:v>PLANNING</x:v>
      </x:c>
      <x:c r="D367" t="str">
        <x:v>event</x:v>
      </x:c>
      <x:c r="E367" t="str">
        <x:v>Event Register · event 300</x:v>
      </x:c>
      <x:c r="F367" t="n">
        <x:f>Controls!$D$53</x:f>
        <x:v>1</x:v>
      </x:c>
      <x:c r="G367" t="n">
        <x:v>1</x:v>
      </x:c>
      <x:c r="H367" t="str">
        <x:v>equals</x:v>
      </x:c>
      <x:c r="I367" t="str">
        <x:v>RFA design authority</x:v>
      </x:c>
      <x:c r="J367" t="str">
        <x:f>IF(F367=1,"PASS","GAP")</x:f>
        <x:v>PASS</x:v>
      </x:c>
    </x:row>
    <x:row r="368">
      <x:c r="B368" t="str">
        <x:v>PLN-362</x:v>
      </x:c>
      <x:c r="C368" t="str">
        <x:v>PLANNING</x:v>
      </x:c>
      <x:c r="D368" t="str">
        <x:v>event</x:v>
      </x:c>
      <x:c r="E368" t="str">
        <x:v>Event Register · event 301</x:v>
      </x:c>
      <x:c r="F368" t="n">
        <x:f>Controls!$D$53</x:f>
        <x:v>1</x:v>
      </x:c>
      <x:c r="G368" t="n">
        <x:v>1</x:v>
      </x:c>
      <x:c r="H368" t="str">
        <x:v>equals</x:v>
      </x:c>
      <x:c r="I368" t="str">
        <x:v>RFA design authority</x:v>
      </x:c>
      <x:c r="J368" t="str">
        <x:f>IF(F368=1,"PASS","GAP")</x:f>
        <x:v>PASS</x:v>
      </x:c>
    </x:row>
    <x:row r="369">
      <x:c r="B369" t="str">
        <x:v>PLN-363</x:v>
      </x:c>
      <x:c r="C369" t="str">
        <x:v>PLANNING</x:v>
      </x:c>
      <x:c r="D369" t="str">
        <x:v>event</x:v>
      </x:c>
      <x:c r="E369" t="str">
        <x:v>Event Register · event 302</x:v>
      </x:c>
      <x:c r="F369" t="n">
        <x:f>Controls!$D$53</x:f>
        <x:v>1</x:v>
      </x:c>
      <x:c r="G369" t="n">
        <x:v>1</x:v>
      </x:c>
      <x:c r="H369" t="str">
        <x:v>equals</x:v>
      </x:c>
      <x:c r="I369" t="str">
        <x:v>RFA design authority</x:v>
      </x:c>
      <x:c r="J369" t="str">
        <x:f>IF(F369=1,"PASS","GAP")</x:f>
        <x:v>PASS</x:v>
      </x:c>
    </x:row>
    <x:row r="370">
      <x:c r="B370" t="str">
        <x:v>PLN-364</x:v>
      </x:c>
      <x:c r="C370" t="str">
        <x:v>PLANNING</x:v>
      </x:c>
      <x:c r="D370" t="str">
        <x:v>event</x:v>
      </x:c>
      <x:c r="E370" t="str">
        <x:v>Event Register · event 303</x:v>
      </x:c>
      <x:c r="F370" t="n">
        <x:f>Controls!$D$53</x:f>
        <x:v>1</x:v>
      </x:c>
      <x:c r="G370" t="n">
        <x:v>1</x:v>
      </x:c>
      <x:c r="H370" t="str">
        <x:v>equals</x:v>
      </x:c>
      <x:c r="I370" t="str">
        <x:v>RFA design authority</x:v>
      </x:c>
      <x:c r="J370" t="str">
        <x:f>IF(F370=1,"PASS","GAP")</x:f>
        <x:v>PASS</x:v>
      </x:c>
    </x:row>
    <x:row r="371">
      <x:c r="B371" t="str">
        <x:v>PLN-365</x:v>
      </x:c>
      <x:c r="C371" t="str">
        <x:v>PLANNING</x:v>
      </x:c>
      <x:c r="D371" t="str">
        <x:v>event</x:v>
      </x:c>
      <x:c r="E371" t="str">
        <x:v>Event Register · event 304</x:v>
      </x:c>
      <x:c r="F371" t="n">
        <x:f>Controls!$D$53</x:f>
        <x:v>1</x:v>
      </x:c>
      <x:c r="G371" t="n">
        <x:v>1</x:v>
      </x:c>
      <x:c r="H371" t="str">
        <x:v>equals</x:v>
      </x:c>
      <x:c r="I371" t="str">
        <x:v>RFA design authority</x:v>
      </x:c>
      <x:c r="J371" t="str">
        <x:f>IF(F371=1,"PASS","GAP")</x:f>
        <x:v>PASS</x:v>
      </x:c>
    </x:row>
    <x:row r="372">
      <x:c r="B372" t="str">
        <x:v>PLN-366</x:v>
      </x:c>
      <x:c r="C372" t="str">
        <x:v>PLANNING</x:v>
      </x:c>
      <x:c r="D372" t="str">
        <x:v>event</x:v>
      </x:c>
      <x:c r="E372" t="str">
        <x:v>Event Register · event 305</x:v>
      </x:c>
      <x:c r="F372" t="n">
        <x:f>Controls!$D$53</x:f>
        <x:v>1</x:v>
      </x:c>
      <x:c r="G372" t="n">
        <x:v>1</x:v>
      </x:c>
      <x:c r="H372" t="str">
        <x:v>equals</x:v>
      </x:c>
      <x:c r="I372" t="str">
        <x:v>RFA design authority</x:v>
      </x:c>
      <x:c r="J372" t="str">
        <x:f>IF(F372=1,"PASS","GAP")</x:f>
        <x:v>PASS</x:v>
      </x:c>
    </x:row>
    <x:row r="373">
      <x:c r="B373" t="str">
        <x:v>PLN-367</x:v>
      </x:c>
      <x:c r="C373" t="str">
        <x:v>PLANNING</x:v>
      </x:c>
      <x:c r="D373" t="str">
        <x:v>event</x:v>
      </x:c>
      <x:c r="E373" t="str">
        <x:v>Event Register · event 306</x:v>
      </x:c>
      <x:c r="F373" t="n">
        <x:f>Controls!$D$53</x:f>
        <x:v>1</x:v>
      </x:c>
      <x:c r="G373" t="n">
        <x:v>1</x:v>
      </x:c>
      <x:c r="H373" t="str">
        <x:v>equals</x:v>
      </x:c>
      <x:c r="I373" t="str">
        <x:v>RFA design authority</x:v>
      </x:c>
      <x:c r="J373" t="str">
        <x:f>IF(F373=1,"PASS","GAP")</x:f>
        <x:v>PASS</x:v>
      </x:c>
    </x:row>
    <x:row r="374">
      <x:c r="B374" t="str">
        <x:v>PLN-368</x:v>
      </x:c>
      <x:c r="C374" t="str">
        <x:v>PLANNING</x:v>
      </x:c>
      <x:c r="D374" t="str">
        <x:v>challenge</x:v>
      </x:c>
      <x:c r="E374" t="str">
        <x:v>Challenge Matrix · challenge 1</x:v>
      </x:c>
      <x:c r="F374" t="n">
        <x:f>Controls!$D$53</x:f>
        <x:v>1</x:v>
      </x:c>
      <x:c r="G374" t="n">
        <x:v>1</x:v>
      </x:c>
      <x:c r="H374" t="str">
        <x:v>equals</x:v>
      </x:c>
      <x:c r="I374" t="str">
        <x:v>RFA design authority</x:v>
      </x:c>
      <x:c r="J374" t="str">
        <x:f>IF(F374=1,"PASS","GAP")</x:f>
        <x:v>PASS</x:v>
      </x:c>
    </x:row>
    <x:row r="375">
      <x:c r="B375" t="str">
        <x:v>PLN-369</x:v>
      </x:c>
      <x:c r="C375" t="str">
        <x:v>PLANNING</x:v>
      </x:c>
      <x:c r="D375" t="str">
        <x:v>challenge</x:v>
      </x:c>
      <x:c r="E375" t="str">
        <x:v>Challenge Matrix · challenge 2</x:v>
      </x:c>
      <x:c r="F375" t="n">
        <x:f>Controls!$D$53</x:f>
        <x:v>1</x:v>
      </x:c>
      <x:c r="G375" t="n">
        <x:v>1</x:v>
      </x:c>
      <x:c r="H375" t="str">
        <x:v>equals</x:v>
      </x:c>
      <x:c r="I375" t="str">
        <x:v>RFA design authority</x:v>
      </x:c>
      <x:c r="J375" t="str">
        <x:f>IF(F375=1,"PASS","GAP")</x:f>
        <x:v>PASS</x:v>
      </x:c>
    </x:row>
    <x:row r="376">
      <x:c r="B376" t="str">
        <x:v>PLN-370</x:v>
      </x:c>
      <x:c r="C376" t="str">
        <x:v>PLANNING</x:v>
      </x:c>
      <x:c r="D376" t="str">
        <x:v>challenge</x:v>
      </x:c>
      <x:c r="E376" t="str">
        <x:v>Challenge Matrix · challenge 3</x:v>
      </x:c>
      <x:c r="F376" t="n">
        <x:f>Controls!$D$53</x:f>
        <x:v>1</x:v>
      </x:c>
      <x:c r="G376" t="n">
        <x:v>1</x:v>
      </x:c>
      <x:c r="H376" t="str">
        <x:v>equals</x:v>
      </x:c>
      <x:c r="I376" t="str">
        <x:v>RFA design authority</x:v>
      </x:c>
      <x:c r="J376" t="str">
        <x:f>IF(F376=1,"PASS","GAP")</x:f>
        <x:v>PASS</x:v>
      </x:c>
    </x:row>
    <x:row r="377">
      <x:c r="B377" t="str">
        <x:v>PLN-371</x:v>
      </x:c>
      <x:c r="C377" t="str">
        <x:v>PLANNING</x:v>
      </x:c>
      <x:c r="D377" t="str">
        <x:v>challenge</x:v>
      </x:c>
      <x:c r="E377" t="str">
        <x:v>Challenge Matrix · challenge 4</x:v>
      </x:c>
      <x:c r="F377" t="n">
        <x:f>Controls!$D$53</x:f>
        <x:v>1</x:v>
      </x:c>
      <x:c r="G377" t="n">
        <x:v>1</x:v>
      </x:c>
      <x:c r="H377" t="str">
        <x:v>equals</x:v>
      </x:c>
      <x:c r="I377" t="str">
        <x:v>RFA design authority</x:v>
      </x:c>
      <x:c r="J377" t="str">
        <x:f>IF(F377=1,"PASS","GAP")</x:f>
        <x:v>PASS</x:v>
      </x:c>
    </x:row>
    <x:row r="378">
      <x:c r="B378" t="str">
        <x:v>PLN-372</x:v>
      </x:c>
      <x:c r="C378" t="str">
        <x:v>PLANNING</x:v>
      </x:c>
      <x:c r="D378" t="str">
        <x:v>challenge</x:v>
      </x:c>
      <x:c r="E378" t="str">
        <x:v>Challenge Matrix · challenge 5</x:v>
      </x:c>
      <x:c r="F378" t="n">
        <x:f>Controls!$D$53</x:f>
        <x:v>1</x:v>
      </x:c>
      <x:c r="G378" t="n">
        <x:v>1</x:v>
      </x:c>
      <x:c r="H378" t="str">
        <x:v>equals</x:v>
      </x:c>
      <x:c r="I378" t="str">
        <x:v>RFA design authority</x:v>
      </x:c>
      <x:c r="J378" t="str">
        <x:f>IF(F378=1,"PASS","GAP")</x:f>
        <x:v>PASS</x:v>
      </x:c>
    </x:row>
    <x:row r="379">
      <x:c r="B379" t="str">
        <x:v>PLN-373</x:v>
      </x:c>
      <x:c r="C379" t="str">
        <x:v>PLANNING</x:v>
      </x:c>
      <x:c r="D379" t="str">
        <x:v>challenge</x:v>
      </x:c>
      <x:c r="E379" t="str">
        <x:v>Challenge Matrix · challenge 6</x:v>
      </x:c>
      <x:c r="F379" t="n">
        <x:f>Controls!$D$53</x:f>
        <x:v>1</x:v>
      </x:c>
      <x:c r="G379" t="n">
        <x:v>1</x:v>
      </x:c>
      <x:c r="H379" t="str">
        <x:v>equals</x:v>
      </x:c>
      <x:c r="I379" t="str">
        <x:v>RFA design authority</x:v>
      </x:c>
      <x:c r="J379" t="str">
        <x:f>IF(F379=1,"PASS","GAP")</x:f>
        <x:v>PASS</x:v>
      </x:c>
    </x:row>
    <x:row r="380">
      <x:c r="B380" t="str">
        <x:v>PLN-374</x:v>
      </x:c>
      <x:c r="C380" t="str">
        <x:v>PLANNING</x:v>
      </x:c>
      <x:c r="D380" t="str">
        <x:v>challenge</x:v>
      </x:c>
      <x:c r="E380" t="str">
        <x:v>Challenge Matrix · challenge 7</x:v>
      </x:c>
      <x:c r="F380" t="n">
        <x:f>Controls!$D$53</x:f>
        <x:v>1</x:v>
      </x:c>
      <x:c r="G380" t="n">
        <x:v>1</x:v>
      </x:c>
      <x:c r="H380" t="str">
        <x:v>equals</x:v>
      </x:c>
      <x:c r="I380" t="str">
        <x:v>RFA design authority</x:v>
      </x:c>
      <x:c r="J380" t="str">
        <x:f>IF(F380=1,"PASS","GAP")</x:f>
        <x:v>PASS</x:v>
      </x:c>
    </x:row>
    <x:row r="381">
      <x:c r="B381" t="str">
        <x:v>PLN-375</x:v>
      </x:c>
      <x:c r="C381" t="str">
        <x:v>PLANNING</x:v>
      </x:c>
      <x:c r="D381" t="str">
        <x:v>challenge</x:v>
      </x:c>
      <x:c r="E381" t="str">
        <x:v>Challenge Matrix · challenge 8</x:v>
      </x:c>
      <x:c r="F381" t="n">
        <x:f>Controls!$D$53</x:f>
        <x:v>1</x:v>
      </x:c>
      <x:c r="G381" t="n">
        <x:v>1</x:v>
      </x:c>
      <x:c r="H381" t="str">
        <x:v>equals</x:v>
      </x:c>
      <x:c r="I381" t="str">
        <x:v>RFA design authority</x:v>
      </x:c>
      <x:c r="J381" t="str">
        <x:f>IF(F381=1,"PASS","GAP")</x:f>
        <x:v>PASS</x:v>
      </x:c>
    </x:row>
    <x:row r="382">
      <x:c r="B382" t="str">
        <x:v>PLN-376</x:v>
      </x:c>
      <x:c r="C382" t="str">
        <x:v>PLANNING</x:v>
      </x:c>
      <x:c r="D382" t="str">
        <x:v>hydraulic case</x:v>
      </x:c>
      <x:c r="E382" t="str">
        <x:v>Hydraulic Screen · hydraulic case 1</x:v>
      </x:c>
      <x:c r="F382" t="n">
        <x:f>Controls!$D$53</x:f>
        <x:v>1</x:v>
      </x:c>
      <x:c r="G382" t="n">
        <x:v>1</x:v>
      </x:c>
      <x:c r="H382" t="str">
        <x:v>equals</x:v>
      </x:c>
      <x:c r="I382" t="str">
        <x:v>RFA design authority</x:v>
      </x:c>
      <x:c r="J382" t="str">
        <x:f>IF(F382=1,"PASS","GAP")</x:f>
        <x:v>PASS</x:v>
      </x:c>
    </x:row>
    <x:row r="383">
      <x:c r="B383" t="str">
        <x:v>PLN-377</x:v>
      </x:c>
      <x:c r="C383" t="str">
        <x:v>PLANNING</x:v>
      </x:c>
      <x:c r="D383" t="str">
        <x:v>hydraulic case</x:v>
      </x:c>
      <x:c r="E383" t="str">
        <x:v>Hydraulic Screen · hydraulic case 2</x:v>
      </x:c>
      <x:c r="F383" t="n">
        <x:f>Controls!$D$53</x:f>
        <x:v>1</x:v>
      </x:c>
      <x:c r="G383" t="n">
        <x:v>1</x:v>
      </x:c>
      <x:c r="H383" t="str">
        <x:v>equals</x:v>
      </x:c>
      <x:c r="I383" t="str">
        <x:v>RFA design authority</x:v>
      </x:c>
      <x:c r="J383" t="str">
        <x:f>IF(F383=1,"PASS","GAP")</x:f>
        <x:v>PASS</x:v>
      </x:c>
    </x:row>
    <x:row r="384">
      <x:c r="B384" t="str">
        <x:v>PLN-378</x:v>
      </x:c>
      <x:c r="C384" t="str">
        <x:v>PLANNING</x:v>
      </x:c>
      <x:c r="D384" t="str">
        <x:v>hydraulic case</x:v>
      </x:c>
      <x:c r="E384" t="str">
        <x:v>Hydraulic Screen · hydraulic case 3</x:v>
      </x:c>
      <x:c r="F384" t="n">
        <x:f>Controls!$D$53</x:f>
        <x:v>1</x:v>
      </x:c>
      <x:c r="G384" t="n">
        <x:v>1</x:v>
      </x:c>
      <x:c r="H384" t="str">
        <x:v>equals</x:v>
      </x:c>
      <x:c r="I384" t="str">
        <x:v>RFA design authority</x:v>
      </x:c>
      <x:c r="J384" t="str">
        <x:f>IF(F384=1,"PASS","GAP")</x:f>
        <x:v>PASS</x:v>
      </x:c>
    </x:row>
    <x:row r="385">
      <x:c r="B385" t="str">
        <x:v>PLN-379</x:v>
      </x:c>
      <x:c r="C385" t="str">
        <x:v>PLANNING</x:v>
      </x:c>
      <x:c r="D385" t="str">
        <x:v>hydraulic case</x:v>
      </x:c>
      <x:c r="E385" t="str">
        <x:v>Hydraulic Screen · hydraulic case 4</x:v>
      </x:c>
      <x:c r="F385" t="n">
        <x:f>Controls!$D$53</x:f>
        <x:v>1</x:v>
      </x:c>
      <x:c r="G385" t="n">
        <x:v>1</x:v>
      </x:c>
      <x:c r="H385" t="str">
        <x:v>equals</x:v>
      </x:c>
      <x:c r="I385" t="str">
        <x:v>RFA design authority</x:v>
      </x:c>
      <x:c r="J385" t="str">
        <x:f>IF(F385=1,"PASS","GAP")</x:f>
        <x:v>PASS</x:v>
      </x:c>
    </x:row>
    <x:row r="386">
      <x:c r="B386" t="str">
        <x:v>PLN-380</x:v>
      </x:c>
      <x:c r="C386" t="str">
        <x:v>PLANNING</x:v>
      </x:c>
      <x:c r="D386" t="str">
        <x:v>hydraulic case</x:v>
      </x:c>
      <x:c r="E386" t="str">
        <x:v>Hydraulic Screen · hydraulic case 5</x:v>
      </x:c>
      <x:c r="F386" t="n">
        <x:f>Controls!$D$53</x:f>
        <x:v>1</x:v>
      </x:c>
      <x:c r="G386" t="n">
        <x:v>1</x:v>
      </x:c>
      <x:c r="H386" t="str">
        <x:v>equals</x:v>
      </x:c>
      <x:c r="I386" t="str">
        <x:v>RFA design authority</x:v>
      </x:c>
      <x:c r="J386" t="str">
        <x:f>IF(F386=1,"PASS","GAP")</x:f>
        <x:v>PASS</x:v>
      </x:c>
    </x:row>
    <x:row r="387">
      <x:c r="B387" t="str">
        <x:v>PLN-381</x:v>
      </x:c>
      <x:c r="C387" t="str">
        <x:v>PLANNING</x:v>
      </x:c>
      <x:c r="D387" t="str">
        <x:v>hydraulic case</x:v>
      </x:c>
      <x:c r="E387" t="str">
        <x:v>Hydraulic Screen · hydraulic case 6</x:v>
      </x:c>
      <x:c r="F387" t="n">
        <x:f>Controls!$D$53</x:f>
        <x:v>1</x:v>
      </x:c>
      <x:c r="G387" t="n">
        <x:v>1</x:v>
      </x:c>
      <x:c r="H387" t="str">
        <x:v>equals</x:v>
      </x:c>
      <x:c r="I387" t="str">
        <x:v>RFA design authority</x:v>
      </x:c>
      <x:c r="J387" t="str">
        <x:f>IF(F387=1,"PASS","GAP")</x:f>
        <x:v>PASS</x:v>
      </x:c>
    </x:row>
    <x:row r="388">
      <x:c r="B388" t="str">
        <x:v>PLN-382</x:v>
      </x:c>
      <x:c r="C388" t="str">
        <x:v>PLANNING</x:v>
      </x:c>
      <x:c r="D388" t="str">
        <x:v>hydraulic case</x:v>
      </x:c>
      <x:c r="E388" t="str">
        <x:v>Hydraulic Screen · hydraulic case 7</x:v>
      </x:c>
      <x:c r="F388" t="n">
        <x:f>Controls!$D$53</x:f>
        <x:v>1</x:v>
      </x:c>
      <x:c r="G388" t="n">
        <x:v>1</x:v>
      </x:c>
      <x:c r="H388" t="str">
        <x:v>equals</x:v>
      </x:c>
      <x:c r="I388" t="str">
        <x:v>RFA design authority</x:v>
      </x:c>
      <x:c r="J388" t="str">
        <x:f>IF(F388=1,"PASS","GAP")</x:f>
        <x:v>PASS</x:v>
      </x:c>
    </x:row>
    <x:row r="389">
      <x:c r="B389" t="str">
        <x:v>PLN-383</x:v>
      </x:c>
      <x:c r="C389" t="str">
        <x:v>PLANNING</x:v>
      </x:c>
      <x:c r="D389" t="str">
        <x:v>hydraulic case</x:v>
      </x:c>
      <x:c r="E389" t="str">
        <x:v>Hydraulic Screen · hydraulic case 8</x:v>
      </x:c>
      <x:c r="F389" t="n">
        <x:f>Controls!$D$53</x:f>
        <x:v>1</x:v>
      </x:c>
      <x:c r="G389" t="n">
        <x:v>1</x:v>
      </x:c>
      <x:c r="H389" t="str">
        <x:v>equals</x:v>
      </x:c>
      <x:c r="I389" t="str">
        <x:v>RFA design authority</x:v>
      </x:c>
      <x:c r="J389" t="str">
        <x:f>IF(F389=1,"PASS","GAP")</x:f>
        <x:v>PASS</x:v>
      </x:c>
    </x:row>
    <x:row r="390">
      <x:c r="B390" t="str">
        <x:v>PLN-384</x:v>
      </x:c>
      <x:c r="C390" t="str">
        <x:v>PLANNING</x:v>
      </x:c>
      <x:c r="D390" t="str">
        <x:v>hydraulic case</x:v>
      </x:c>
      <x:c r="E390" t="str">
        <x:v>Hydraulic Screen · hydraulic case 9</x:v>
      </x:c>
      <x:c r="F390" t="n">
        <x:f>Controls!$D$53</x:f>
        <x:v>1</x:v>
      </x:c>
      <x:c r="G390" t="n">
        <x:v>1</x:v>
      </x:c>
      <x:c r="H390" t="str">
        <x:v>equals</x:v>
      </x:c>
      <x:c r="I390" t="str">
        <x:v>RFA design authority</x:v>
      </x:c>
      <x:c r="J390" t="str">
        <x:f>IF(F390=1,"PASS","GAP")</x:f>
        <x:v>PASS</x:v>
      </x:c>
    </x:row>
    <x:row r="391">
      <x:c r="B391" t="str">
        <x:v>PLN-385</x:v>
      </x:c>
      <x:c r="C391" t="str">
        <x:v>PLANNING</x:v>
      </x:c>
      <x:c r="D391" t="str">
        <x:v>hydraulic case</x:v>
      </x:c>
      <x:c r="E391" t="str">
        <x:v>Hydraulic Screen · hydraulic case 10</x:v>
      </x:c>
      <x:c r="F391" t="n">
        <x:f>Controls!$D$53</x:f>
        <x:v>1</x:v>
      </x:c>
      <x:c r="G391" t="n">
        <x:v>1</x:v>
      </x:c>
      <x:c r="H391" t="str">
        <x:v>equals</x:v>
      </x:c>
      <x:c r="I391" t="str">
        <x:v>RFA design authority</x:v>
      </x:c>
      <x:c r="J391" t="str">
        <x:f>IF(F391=1,"PASS","GAP")</x:f>
        <x:v>PASS</x:v>
      </x:c>
    </x:row>
    <x:row r="392">
      <x:c r="B392" t="str">
        <x:v>PLN-386</x:v>
      </x:c>
      <x:c r="C392" t="str">
        <x:v>PLANNING</x:v>
      </x:c>
      <x:c r="D392" t="str">
        <x:v>hydraulic case</x:v>
      </x:c>
      <x:c r="E392" t="str">
        <x:v>Hydraulic Screen · hydraulic case 11</x:v>
      </x:c>
      <x:c r="F392" t="n">
        <x:f>Controls!$D$53</x:f>
        <x:v>1</x:v>
      </x:c>
      <x:c r="G392" t="n">
        <x:v>1</x:v>
      </x:c>
      <x:c r="H392" t="str">
        <x:v>equals</x:v>
      </x:c>
      <x:c r="I392" t="str">
        <x:v>RFA design authority</x:v>
      </x:c>
      <x:c r="J392" t="str">
        <x:f>IF(F392=1,"PASS","GAP")</x:f>
        <x:v>PASS</x:v>
      </x:c>
    </x:row>
    <x:row r="393">
      <x:c r="B393" t="str">
        <x:v>PLN-387</x:v>
      </x:c>
      <x:c r="C393" t="str">
        <x:v>PLANNING</x:v>
      </x:c>
      <x:c r="D393" t="str">
        <x:v>hydraulic case</x:v>
      </x:c>
      <x:c r="E393" t="str">
        <x:v>Hydraulic Screen · hydraulic case 12</x:v>
      </x:c>
      <x:c r="F393" t="n">
        <x:f>Controls!$D$53</x:f>
        <x:v>1</x:v>
      </x:c>
      <x:c r="G393" t="n">
        <x:v>1</x:v>
      </x:c>
      <x:c r="H393" t="str">
        <x:v>equals</x:v>
      </x:c>
      <x:c r="I393" t="str">
        <x:v>RFA design authority</x:v>
      </x:c>
      <x:c r="J393" t="str">
        <x:f>IF(F393=1,"PASS","GAP")</x:f>
        <x:v>PASS</x:v>
      </x:c>
    </x:row>
    <x:row r="394">
      <x:c r="B394" t="str">
        <x:v>PLN-388</x:v>
      </x:c>
      <x:c r="C394" t="str">
        <x:v>PLANNING</x:v>
      </x:c>
      <x:c r="D394" t="str">
        <x:v>sensor function</x:v>
      </x:c>
      <x:c r="E394" t="str">
        <x:v>Sensor Plan · sensor function 1</x:v>
      </x:c>
      <x:c r="F394" t="n">
        <x:f>Controls!$D$53</x:f>
        <x:v>1</x:v>
      </x:c>
      <x:c r="G394" t="n">
        <x:v>1</x:v>
      </x:c>
      <x:c r="H394" t="str">
        <x:v>equals</x:v>
      </x:c>
      <x:c r="I394" t="str">
        <x:v>RFA design authority</x:v>
      </x:c>
      <x:c r="J394" t="str">
        <x:f>IF(F394=1,"PASS","GAP")</x:f>
        <x:v>PASS</x:v>
      </x:c>
    </x:row>
    <x:row r="395">
      <x:c r="B395" t="str">
        <x:v>PLN-389</x:v>
      </x:c>
      <x:c r="C395" t="str">
        <x:v>PLANNING</x:v>
      </x:c>
      <x:c r="D395" t="str">
        <x:v>sensor function</x:v>
      </x:c>
      <x:c r="E395" t="str">
        <x:v>Sensor Plan · sensor function 2</x:v>
      </x:c>
      <x:c r="F395" t="n">
        <x:f>Controls!$D$53</x:f>
        <x:v>1</x:v>
      </x:c>
      <x:c r="G395" t="n">
        <x:v>1</x:v>
      </x:c>
      <x:c r="H395" t="str">
        <x:v>equals</x:v>
      </x:c>
      <x:c r="I395" t="str">
        <x:v>RFA design authority</x:v>
      </x:c>
      <x:c r="J395" t="str">
        <x:f>IF(F395=1,"PASS","GAP")</x:f>
        <x:v>PASS</x:v>
      </x:c>
    </x:row>
    <x:row r="396">
      <x:c r="B396" t="str">
        <x:v>PLN-390</x:v>
      </x:c>
      <x:c r="C396" t="str">
        <x:v>PLANNING</x:v>
      </x:c>
      <x:c r="D396" t="str">
        <x:v>sensor function</x:v>
      </x:c>
      <x:c r="E396" t="str">
        <x:v>Sensor Plan · sensor function 3</x:v>
      </x:c>
      <x:c r="F396" t="n">
        <x:f>Controls!$D$53</x:f>
        <x:v>1</x:v>
      </x:c>
      <x:c r="G396" t="n">
        <x:v>1</x:v>
      </x:c>
      <x:c r="H396" t="str">
        <x:v>equals</x:v>
      </x:c>
      <x:c r="I396" t="str">
        <x:v>RFA design authority</x:v>
      </x:c>
      <x:c r="J396" t="str">
        <x:f>IF(F396=1,"PASS","GAP")</x:f>
        <x:v>PASS</x:v>
      </x:c>
    </x:row>
    <x:row r="397">
      <x:c r="B397" t="str">
        <x:v>PLN-391</x:v>
      </x:c>
      <x:c r="C397" t="str">
        <x:v>PLANNING</x:v>
      </x:c>
      <x:c r="D397" t="str">
        <x:v>sensor function</x:v>
      </x:c>
      <x:c r="E397" t="str">
        <x:v>Sensor Plan · sensor function 4</x:v>
      </x:c>
      <x:c r="F397" t="n">
        <x:f>Controls!$D$53</x:f>
        <x:v>1</x:v>
      </x:c>
      <x:c r="G397" t="n">
        <x:v>1</x:v>
      </x:c>
      <x:c r="H397" t="str">
        <x:v>equals</x:v>
      </x:c>
      <x:c r="I397" t="str">
        <x:v>RFA design authority</x:v>
      </x:c>
      <x:c r="J397" t="str">
        <x:f>IF(F397=1,"PASS","GAP")</x:f>
        <x:v>PASS</x:v>
      </x:c>
    </x:row>
    <x:row r="398">
      <x:c r="B398" t="str">
        <x:v>PLN-392</x:v>
      </x:c>
      <x:c r="C398" t="str">
        <x:v>PLANNING</x:v>
      </x:c>
      <x:c r="D398" t="str">
        <x:v>sensor function</x:v>
      </x:c>
      <x:c r="E398" t="str">
        <x:v>Sensor Plan · sensor function 5</x:v>
      </x:c>
      <x:c r="F398" t="n">
        <x:f>Controls!$D$53</x:f>
        <x:v>1</x:v>
      </x:c>
      <x:c r="G398" t="n">
        <x:v>1</x:v>
      </x:c>
      <x:c r="H398" t="str">
        <x:v>equals</x:v>
      </x:c>
      <x:c r="I398" t="str">
        <x:v>RFA design authority</x:v>
      </x:c>
      <x:c r="J398" t="str">
        <x:f>IF(F398=1,"PASS","GAP")</x:f>
        <x:v>PASS</x:v>
      </x:c>
    </x:row>
    <x:row r="399">
      <x:c r="B399" t="str">
        <x:v>PLN-393</x:v>
      </x:c>
      <x:c r="C399" t="str">
        <x:v>PLANNING</x:v>
      </x:c>
      <x:c r="D399" t="str">
        <x:v>sensor function</x:v>
      </x:c>
      <x:c r="E399" t="str">
        <x:v>Sensor Plan · sensor function 6</x:v>
      </x:c>
      <x:c r="F399" t="n">
        <x:f>Controls!$D$53</x:f>
        <x:v>1</x:v>
      </x:c>
      <x:c r="G399" t="n">
        <x:v>1</x:v>
      </x:c>
      <x:c r="H399" t="str">
        <x:v>equals</x:v>
      </x:c>
      <x:c r="I399" t="str">
        <x:v>RFA design authority</x:v>
      </x:c>
      <x:c r="J399" t="str">
        <x:f>IF(F399=1,"PASS","GAP")</x:f>
        <x:v>PASS</x:v>
      </x:c>
    </x:row>
    <x:row r="400">
      <x:c r="B400" t="str">
        <x:v>PLN-394</x:v>
      </x:c>
      <x:c r="C400" t="str">
        <x:v>PLANNING</x:v>
      </x:c>
      <x:c r="D400" t="str">
        <x:v>sensor function</x:v>
      </x:c>
      <x:c r="E400" t="str">
        <x:v>Sensor Plan · sensor function 7</x:v>
      </x:c>
      <x:c r="F400" t="n">
        <x:f>Controls!$D$53</x:f>
        <x:v>1</x:v>
      </x:c>
      <x:c r="G400" t="n">
        <x:v>1</x:v>
      </x:c>
      <x:c r="H400" t="str">
        <x:v>equals</x:v>
      </x:c>
      <x:c r="I400" t="str">
        <x:v>RFA design authority</x:v>
      </x:c>
      <x:c r="J400" t="str">
        <x:f>IF(F400=1,"PASS","GAP")</x:f>
        <x:v>PASS</x:v>
      </x:c>
    </x:row>
    <x:row r="401">
      <x:c r="B401" t="str">
        <x:v>PLN-395</x:v>
      </x:c>
      <x:c r="C401" t="str">
        <x:v>PLANNING</x:v>
      </x:c>
      <x:c r="D401" t="str">
        <x:v>sensor function</x:v>
      </x:c>
      <x:c r="E401" t="str">
        <x:v>Sensor Plan · sensor function 8</x:v>
      </x:c>
      <x:c r="F401" t="n">
        <x:f>Controls!$D$53</x:f>
        <x:v>1</x:v>
      </x:c>
      <x:c r="G401" t="n">
        <x:v>1</x:v>
      </x:c>
      <x:c r="H401" t="str">
        <x:v>equals</x:v>
      </x:c>
      <x:c r="I401" t="str">
        <x:v>RFA design authority</x:v>
      </x:c>
      <x:c r="J401" t="str">
        <x:f>IF(F401=1,"PASS","GAP")</x:f>
        <x:v>PASS</x:v>
      </x:c>
    </x:row>
    <x:row r="402">
      <x:c r="B402" t="str">
        <x:v>PLN-396</x:v>
      </x:c>
      <x:c r="C402" t="str">
        <x:v>PLANNING</x:v>
      </x:c>
      <x:c r="D402" t="str">
        <x:v>sensor function</x:v>
      </x:c>
      <x:c r="E402" t="str">
        <x:v>Sensor Plan · sensor function 9</x:v>
      </x:c>
      <x:c r="F402" t="n">
        <x:f>Controls!$D$53</x:f>
        <x:v>1</x:v>
      </x:c>
      <x:c r="G402" t="n">
        <x:v>1</x:v>
      </x:c>
      <x:c r="H402" t="str">
        <x:v>equals</x:v>
      </x:c>
      <x:c r="I402" t="str">
        <x:v>RFA design authority</x:v>
      </x:c>
      <x:c r="J402" t="str">
        <x:f>IF(F402=1,"PASS","GAP")</x:f>
        <x:v>PASS</x:v>
      </x:c>
    </x:row>
    <x:row r="403">
      <x:c r="B403" t="str">
        <x:v>PLN-397</x:v>
      </x:c>
      <x:c r="C403" t="str">
        <x:v>PLANNING</x:v>
      </x:c>
      <x:c r="D403" t="str">
        <x:v>sensor function</x:v>
      </x:c>
      <x:c r="E403" t="str">
        <x:v>Sensor Plan · sensor function 10</x:v>
      </x:c>
      <x:c r="F403" t="n">
        <x:f>Controls!$D$53</x:f>
        <x:v>1</x:v>
      </x:c>
      <x:c r="G403" t="n">
        <x:v>1</x:v>
      </x:c>
      <x:c r="H403" t="str">
        <x:v>equals</x:v>
      </x:c>
      <x:c r="I403" t="str">
        <x:v>RFA design authority</x:v>
      </x:c>
      <x:c r="J403" t="str">
        <x:f>IF(F403=1,"PASS","GAP")</x:f>
        <x:v>PASS</x:v>
      </x:c>
    </x:row>
    <x:row r="404">
      <x:c r="B404" t="str">
        <x:v>PLN-398</x:v>
      </x:c>
      <x:c r="C404" t="str">
        <x:v>PLANNING</x:v>
      </x:c>
      <x:c r="D404" t="str">
        <x:v>sensor function</x:v>
      </x:c>
      <x:c r="E404" t="str">
        <x:v>Sensor Plan · sensor function 11</x:v>
      </x:c>
      <x:c r="F404" t="n">
        <x:f>Controls!$D$53</x:f>
        <x:v>1</x:v>
      </x:c>
      <x:c r="G404" t="n">
        <x:v>1</x:v>
      </x:c>
      <x:c r="H404" t="str">
        <x:v>equals</x:v>
      </x:c>
      <x:c r="I404" t="str">
        <x:v>RFA design authority</x:v>
      </x:c>
      <x:c r="J404" t="str">
        <x:f>IF(F404=1,"PASS","GAP")</x:f>
        <x:v>PASS</x:v>
      </x:c>
    </x:row>
    <x:row r="405">
      <x:c r="B405" t="str">
        <x:v>PLN-399</x:v>
      </x:c>
      <x:c r="C405" t="str">
        <x:v>PLANNING</x:v>
      </x:c>
      <x:c r="D405" t="str">
        <x:v>sensor function</x:v>
      </x:c>
      <x:c r="E405" t="str">
        <x:v>Sensor Plan · sensor function 12</x:v>
      </x:c>
      <x:c r="F405" t="n">
        <x:f>Controls!$D$53</x:f>
        <x:v>1</x:v>
      </x:c>
      <x:c r="G405" t="n">
        <x:v>1</x:v>
      </x:c>
      <x:c r="H405" t="str">
        <x:v>equals</x:v>
      </x:c>
      <x:c r="I405" t="str">
        <x:v>RFA design authority</x:v>
      </x:c>
      <x:c r="J405" t="str">
        <x:f>IF(F405=1,"PASS","GAP")</x:f>
        <x:v>PASS</x:v>
      </x:c>
    </x:row>
    <x:row r="406">
      <x:c r="B406" t="str">
        <x:v>PLN-400</x:v>
      </x:c>
      <x:c r="C406" t="str">
        <x:v>PLANNING</x:v>
      </x:c>
      <x:c r="D406" t="str">
        <x:v>sensor function</x:v>
      </x:c>
      <x:c r="E406" t="str">
        <x:v>Sensor Plan · sensor function 13</x:v>
      </x:c>
      <x:c r="F406" t="n">
        <x:f>Controls!$D$53</x:f>
        <x:v>1</x:v>
      </x:c>
      <x:c r="G406" t="n">
        <x:v>1</x:v>
      </x:c>
      <x:c r="H406" t="str">
        <x:v>equals</x:v>
      </x:c>
      <x:c r="I406" t="str">
        <x:v>RFA design authority</x:v>
      </x:c>
      <x:c r="J406" t="str">
        <x:f>IF(F406=1,"PASS","GAP")</x:f>
        <x:v>PASS</x:v>
      </x:c>
    </x:row>
    <x:row r="407">
      <x:c r="B407" t="str">
        <x:v>PLN-401</x:v>
      </x:c>
      <x:c r="C407" t="str">
        <x:v>PLANNING</x:v>
      </x:c>
      <x:c r="D407" t="str">
        <x:v>sensor function</x:v>
      </x:c>
      <x:c r="E407" t="str">
        <x:v>Sensor Plan · sensor function 14</x:v>
      </x:c>
      <x:c r="F407" t="n">
        <x:f>Controls!$D$53</x:f>
        <x:v>1</x:v>
      </x:c>
      <x:c r="G407" t="n">
        <x:v>1</x:v>
      </x:c>
      <x:c r="H407" t="str">
        <x:v>equals</x:v>
      </x:c>
      <x:c r="I407" t="str">
        <x:v>RFA design authority</x:v>
      </x:c>
      <x:c r="J407" t="str">
        <x:f>IF(F407=1,"PASS","GAP")</x:f>
        <x:v>PASS</x:v>
      </x:c>
    </x:row>
    <x:row r="408">
      <x:c r="B408" t="str">
        <x:v>PLN-402</x:v>
      </x:c>
      <x:c r="C408" t="str">
        <x:v>PLANNING</x:v>
      </x:c>
      <x:c r="D408" t="str">
        <x:v>sensor function</x:v>
      </x:c>
      <x:c r="E408" t="str">
        <x:v>Sensor Plan · sensor function 15</x:v>
      </x:c>
      <x:c r="F408" t="n">
        <x:f>Controls!$D$53</x:f>
        <x:v>1</x:v>
      </x:c>
      <x:c r="G408" t="n">
        <x:v>1</x:v>
      </x:c>
      <x:c r="H408" t="str">
        <x:v>equals</x:v>
      </x:c>
      <x:c r="I408" t="str">
        <x:v>RFA design authority</x:v>
      </x:c>
      <x:c r="J408" t="str">
        <x:f>IF(F408=1,"PASS","GAP")</x:f>
        <x:v>PASS</x:v>
      </x:c>
    </x:row>
    <x:row r="409">
      <x:c r="B409" t="str">
        <x:v>PLN-403</x:v>
      </x:c>
      <x:c r="C409" t="str">
        <x:v>PLANNING</x:v>
      </x:c>
      <x:c r="D409" t="str">
        <x:v>sensor function</x:v>
      </x:c>
      <x:c r="E409" t="str">
        <x:v>Sensor Plan · sensor function 16</x:v>
      </x:c>
      <x:c r="F409" t="n">
        <x:f>Controls!$D$53</x:f>
        <x:v>1</x:v>
      </x:c>
      <x:c r="G409" t="n">
        <x:v>1</x:v>
      </x:c>
      <x:c r="H409" t="str">
        <x:v>equals</x:v>
      </x:c>
      <x:c r="I409" t="str">
        <x:v>RFA design authority</x:v>
      </x:c>
      <x:c r="J409" t="str">
        <x:f>IF(F409=1,"PASS","GAP")</x:f>
        <x:v>PASS</x:v>
      </x:c>
    </x:row>
    <x:row r="410">
      <x:c r="B410" t="str">
        <x:v>PLN-404</x:v>
      </x:c>
      <x:c r="C410" t="str">
        <x:v>PLANNING</x:v>
      </x:c>
      <x:c r="D410" t="str">
        <x:v>sensor function</x:v>
      </x:c>
      <x:c r="E410" t="str">
        <x:v>Sensor Plan · sensor function 17</x:v>
      </x:c>
      <x:c r="F410" t="n">
        <x:f>Controls!$D$53</x:f>
        <x:v>1</x:v>
      </x:c>
      <x:c r="G410" t="n">
        <x:v>1</x:v>
      </x:c>
      <x:c r="H410" t="str">
        <x:v>equals</x:v>
      </x:c>
      <x:c r="I410" t="str">
        <x:v>RFA design authority</x:v>
      </x:c>
      <x:c r="J410" t="str">
        <x:f>IF(F410=1,"PASS","GAP")</x:f>
        <x:v>PASS</x:v>
      </x:c>
    </x:row>
    <x:row r="411">
      <x:c r="B411" t="str">
        <x:v>PLN-405</x:v>
      </x:c>
      <x:c r="C411" t="str">
        <x:v>PLANNING</x:v>
      </x:c>
      <x:c r="D411" t="str">
        <x:v>sensor function</x:v>
      </x:c>
      <x:c r="E411" t="str">
        <x:v>Sensor Plan · sensor function 18</x:v>
      </x:c>
      <x:c r="F411" t="n">
        <x:f>Controls!$D$53</x:f>
        <x:v>1</x:v>
      </x:c>
      <x:c r="G411" t="n">
        <x:v>1</x:v>
      </x:c>
      <x:c r="H411" t="str">
        <x:v>equals</x:v>
      </x:c>
      <x:c r="I411" t="str">
        <x:v>RFA design authority</x:v>
      </x:c>
      <x:c r="J411" t="str">
        <x:f>IF(F411=1,"PASS","GAP")</x:f>
        <x:v>PASS</x:v>
      </x:c>
    </x:row>
    <x:row r="412">
      <x:c r="B412" t="str">
        <x:v>PLN-406</x:v>
      </x:c>
      <x:c r="C412" t="str">
        <x:v>PLANNING</x:v>
      </x:c>
      <x:c r="D412" t="str">
        <x:v>sensor function</x:v>
      </x:c>
      <x:c r="E412" t="str">
        <x:v>Sensor Plan · sensor function 19</x:v>
      </x:c>
      <x:c r="F412" t="n">
        <x:f>Controls!$D$53</x:f>
        <x:v>1</x:v>
      </x:c>
      <x:c r="G412" t="n">
        <x:v>1</x:v>
      </x:c>
      <x:c r="H412" t="str">
        <x:v>equals</x:v>
      </x:c>
      <x:c r="I412" t="str">
        <x:v>RFA design authority</x:v>
      </x:c>
      <x:c r="J412" t="str">
        <x:f>IF(F412=1,"PASS","GAP")</x:f>
        <x:v>PASS</x:v>
      </x:c>
    </x:row>
    <x:row r="413">
      <x:c r="B413" t="str">
        <x:v>PLN-407</x:v>
      </x:c>
      <x:c r="C413" t="str">
        <x:v>PLANNING</x:v>
      </x:c>
      <x:c r="D413" t="str">
        <x:v>sensor function</x:v>
      </x:c>
      <x:c r="E413" t="str">
        <x:v>Sensor Plan · sensor function 20</x:v>
      </x:c>
      <x:c r="F413" t="n">
        <x:f>Controls!$D$53</x:f>
        <x:v>1</x:v>
      </x:c>
      <x:c r="G413" t="n">
        <x:v>1</x:v>
      </x:c>
      <x:c r="H413" t="str">
        <x:v>equals</x:v>
      </x:c>
      <x:c r="I413" t="str">
        <x:v>RFA design authority</x:v>
      </x:c>
      <x:c r="J413" t="str">
        <x:f>IF(F413=1,"PASS","GAP")</x:f>
        <x:v>PASS</x:v>
      </x:c>
    </x:row>
    <x:row r="414">
      <x:c r="B414" t="str">
        <x:v>PLN-408</x:v>
      </x:c>
      <x:c r="C414" t="str">
        <x:v>PLANNING</x:v>
      </x:c>
      <x:c r="D414" t="str">
        <x:v>command</x:v>
      </x:c>
      <x:c r="E414" t="str">
        <x:v>Command Script · command 1</x:v>
      </x:c>
      <x:c r="F414" t="n">
        <x:f>Controls!$D$53</x:f>
        <x:v>1</x:v>
      </x:c>
      <x:c r="G414" t="n">
        <x:v>1</x:v>
      </x:c>
      <x:c r="H414" t="str">
        <x:v>equals</x:v>
      </x:c>
      <x:c r="I414" t="str">
        <x:v>RFA design authority</x:v>
      </x:c>
      <x:c r="J414" t="str">
        <x:f>IF(F414=1,"PASS","GAP")</x:f>
        <x:v>PASS</x:v>
      </x:c>
    </x:row>
    <x:row r="415">
      <x:c r="B415" t="str">
        <x:v>PLN-409</x:v>
      </x:c>
      <x:c r="C415" t="str">
        <x:v>PLANNING</x:v>
      </x:c>
      <x:c r="D415" t="str">
        <x:v>command</x:v>
      </x:c>
      <x:c r="E415" t="str">
        <x:v>Command Script · command 2</x:v>
      </x:c>
      <x:c r="F415" t="n">
        <x:f>Controls!$D$53</x:f>
        <x:v>1</x:v>
      </x:c>
      <x:c r="G415" t="n">
        <x:v>1</x:v>
      </x:c>
      <x:c r="H415" t="str">
        <x:v>equals</x:v>
      </x:c>
      <x:c r="I415" t="str">
        <x:v>RFA design authority</x:v>
      </x:c>
      <x:c r="J415" t="str">
        <x:f>IF(F415=1,"PASS","GAP")</x:f>
        <x:v>PASS</x:v>
      </x:c>
    </x:row>
    <x:row r="416">
      <x:c r="B416" t="str">
        <x:v>PLN-410</x:v>
      </x:c>
      <x:c r="C416" t="str">
        <x:v>PLANNING</x:v>
      </x:c>
      <x:c r="D416" t="str">
        <x:v>command</x:v>
      </x:c>
      <x:c r="E416" t="str">
        <x:v>Command Script · command 3</x:v>
      </x:c>
      <x:c r="F416" t="n">
        <x:f>Controls!$D$53</x:f>
        <x:v>1</x:v>
      </x:c>
      <x:c r="G416" t="n">
        <x:v>1</x:v>
      </x:c>
      <x:c r="H416" t="str">
        <x:v>equals</x:v>
      </x:c>
      <x:c r="I416" t="str">
        <x:v>RFA design authority</x:v>
      </x:c>
      <x:c r="J416" t="str">
        <x:f>IF(F416=1,"PASS","GAP")</x:f>
        <x:v>PASS</x:v>
      </x:c>
    </x:row>
    <x:row r="417">
      <x:c r="B417" t="str">
        <x:v>PLN-411</x:v>
      </x:c>
      <x:c r="C417" t="str">
        <x:v>PLANNING</x:v>
      </x:c>
      <x:c r="D417" t="str">
        <x:v>command</x:v>
      </x:c>
      <x:c r="E417" t="str">
        <x:v>Command Script · command 4</x:v>
      </x:c>
      <x:c r="F417" t="n">
        <x:f>Controls!$D$53</x:f>
        <x:v>1</x:v>
      </x:c>
      <x:c r="G417" t="n">
        <x:v>1</x:v>
      </x:c>
      <x:c r="H417" t="str">
        <x:v>equals</x:v>
      </x:c>
      <x:c r="I417" t="str">
        <x:v>RFA design authority</x:v>
      </x:c>
      <x:c r="J417" t="str">
        <x:f>IF(F417=1,"PASS","GAP")</x:f>
        <x:v>PASS</x:v>
      </x:c>
    </x:row>
    <x:row r="418">
      <x:c r="B418" t="str">
        <x:v>PLN-412</x:v>
      </x:c>
      <x:c r="C418" t="str">
        <x:v>PLANNING</x:v>
      </x:c>
      <x:c r="D418" t="str">
        <x:v>command</x:v>
      </x:c>
      <x:c r="E418" t="str">
        <x:v>Command Script · command 5</x:v>
      </x:c>
      <x:c r="F418" t="n">
        <x:f>Controls!$D$53</x:f>
        <x:v>1</x:v>
      </x:c>
      <x:c r="G418" t="n">
        <x:v>1</x:v>
      </x:c>
      <x:c r="H418" t="str">
        <x:v>equals</x:v>
      </x:c>
      <x:c r="I418" t="str">
        <x:v>RFA design authority</x:v>
      </x:c>
      <x:c r="J418" t="str">
        <x:f>IF(F418=1,"PASS","GAP")</x:f>
        <x:v>PASS</x:v>
      </x:c>
    </x:row>
    <x:row r="419">
      <x:c r="B419" t="str">
        <x:v>PLN-413</x:v>
      </x:c>
      <x:c r="C419" t="str">
        <x:v>PLANNING</x:v>
      </x:c>
      <x:c r="D419" t="str">
        <x:v>command</x:v>
      </x:c>
      <x:c r="E419" t="str">
        <x:v>Command Script · command 6</x:v>
      </x:c>
      <x:c r="F419" t="n">
        <x:f>Controls!$D$53</x:f>
        <x:v>1</x:v>
      </x:c>
      <x:c r="G419" t="n">
        <x:v>1</x:v>
      </x:c>
      <x:c r="H419" t="str">
        <x:v>equals</x:v>
      </x:c>
      <x:c r="I419" t="str">
        <x:v>RFA design authority</x:v>
      </x:c>
      <x:c r="J419" t="str">
        <x:f>IF(F419=1,"PASS","GAP")</x:f>
        <x:v>PASS</x:v>
      </x:c>
    </x:row>
    <x:row r="420">
      <x:c r="B420" t="str">
        <x:v>PLN-414</x:v>
      </x:c>
      <x:c r="C420" t="str">
        <x:v>PLANNING</x:v>
      </x:c>
      <x:c r="D420" t="str">
        <x:v>command</x:v>
      </x:c>
      <x:c r="E420" t="str">
        <x:v>Command Script · command 7</x:v>
      </x:c>
      <x:c r="F420" t="n">
        <x:f>Controls!$D$53</x:f>
        <x:v>1</x:v>
      </x:c>
      <x:c r="G420" t="n">
        <x:v>1</x:v>
      </x:c>
      <x:c r="H420" t="str">
        <x:v>equals</x:v>
      </x:c>
      <x:c r="I420" t="str">
        <x:v>RFA design authority</x:v>
      </x:c>
      <x:c r="J420" t="str">
        <x:f>IF(F420=1,"PASS","GAP")</x:f>
        <x:v>PASS</x:v>
      </x:c>
    </x:row>
    <x:row r="421">
      <x:c r="B421" t="str">
        <x:v>PLN-415</x:v>
      </x:c>
      <x:c r="C421" t="str">
        <x:v>PLANNING</x:v>
      </x:c>
      <x:c r="D421" t="str">
        <x:v>command</x:v>
      </x:c>
      <x:c r="E421" t="str">
        <x:v>Command Script · command 8</x:v>
      </x:c>
      <x:c r="F421" t="n">
        <x:f>Controls!$D$53</x:f>
        <x:v>1</x:v>
      </x:c>
      <x:c r="G421" t="n">
        <x:v>1</x:v>
      </x:c>
      <x:c r="H421" t="str">
        <x:v>equals</x:v>
      </x:c>
      <x:c r="I421" t="str">
        <x:v>RFA design authority</x:v>
      </x:c>
      <x:c r="J421" t="str">
        <x:f>IF(F421=1,"PASS","GAP")</x:f>
        <x:v>PASS</x:v>
      </x:c>
    </x:row>
    <x:row r="422">
      <x:c r="B422" t="str">
        <x:v>PLN-416</x:v>
      </x:c>
      <x:c r="C422" t="str">
        <x:v>PLANNING</x:v>
      </x:c>
      <x:c r="D422" t="str">
        <x:v>command</x:v>
      </x:c>
      <x:c r="E422" t="str">
        <x:v>Command Script · command 9</x:v>
      </x:c>
      <x:c r="F422" t="n">
        <x:f>Controls!$D$53</x:f>
        <x:v>1</x:v>
      </x:c>
      <x:c r="G422" t="n">
        <x:v>1</x:v>
      </x:c>
      <x:c r="H422" t="str">
        <x:v>equals</x:v>
      </x:c>
      <x:c r="I422" t="str">
        <x:v>RFA design authority</x:v>
      </x:c>
      <x:c r="J422" t="str">
        <x:f>IF(F422=1,"PASS","GAP")</x:f>
        <x:v>PASS</x:v>
      </x:c>
    </x:row>
    <x:row r="423">
      <x:c r="B423" t="str">
        <x:v>PLN-417</x:v>
      </x:c>
      <x:c r="C423" t="str">
        <x:v>PLANNING</x:v>
      </x:c>
      <x:c r="D423" t="str">
        <x:v>command</x:v>
      </x:c>
      <x:c r="E423" t="str">
        <x:v>Command Script · command 10</x:v>
      </x:c>
      <x:c r="F423" t="n">
        <x:f>Controls!$D$53</x:f>
        <x:v>1</x:v>
      </x:c>
      <x:c r="G423" t="n">
        <x:v>1</x:v>
      </x:c>
      <x:c r="H423" t="str">
        <x:v>equals</x:v>
      </x:c>
      <x:c r="I423" t="str">
        <x:v>RFA design authority</x:v>
      </x:c>
      <x:c r="J423" t="str">
        <x:f>IF(F423=1,"PASS","GAP")</x:f>
        <x:v>PASS</x:v>
      </x:c>
    </x:row>
    <x:row r="424">
      <x:c r="B424" t="str">
        <x:v>PLN-418</x:v>
      </x:c>
      <x:c r="C424" t="str">
        <x:v>PLANNING</x:v>
      </x:c>
      <x:c r="D424" t="str">
        <x:v>command</x:v>
      </x:c>
      <x:c r="E424" t="str">
        <x:v>Command Script · command 11</x:v>
      </x:c>
      <x:c r="F424" t="n">
        <x:f>Controls!$D$53</x:f>
        <x:v>1</x:v>
      </x:c>
      <x:c r="G424" t="n">
        <x:v>1</x:v>
      </x:c>
      <x:c r="H424" t="str">
        <x:v>equals</x:v>
      </x:c>
      <x:c r="I424" t="str">
        <x:v>RFA design authority</x:v>
      </x:c>
      <x:c r="J424" t="str">
        <x:f>IF(F424=1,"PASS","GAP")</x:f>
        <x:v>PASS</x:v>
      </x:c>
    </x:row>
    <x:row r="425">
      <x:c r="B425" t="str">
        <x:v>PLN-419</x:v>
      </x:c>
      <x:c r="C425" t="str">
        <x:v>PLANNING</x:v>
      </x:c>
      <x:c r="D425" t="str">
        <x:v>command</x:v>
      </x:c>
      <x:c r="E425" t="str">
        <x:v>Command Script · command 12</x:v>
      </x:c>
      <x:c r="F425" t="n">
        <x:f>Controls!$D$53</x:f>
        <x:v>1</x:v>
      </x:c>
      <x:c r="G425" t="n">
        <x:v>1</x:v>
      </x:c>
      <x:c r="H425" t="str">
        <x:v>equals</x:v>
      </x:c>
      <x:c r="I425" t="str">
        <x:v>RFA design authority</x:v>
      </x:c>
      <x:c r="J425" t="str">
        <x:f>IF(F425=1,"PASS","GAP")</x:f>
        <x:v>PASS</x:v>
      </x:c>
    </x:row>
    <x:row r="426">
      <x:c r="B426" t="str">
        <x:v>PLN-420</x:v>
      </x:c>
      <x:c r="C426" t="str">
        <x:v>PLANNING</x:v>
      </x:c>
      <x:c r="D426" t="str">
        <x:v>command</x:v>
      </x:c>
      <x:c r="E426" t="str">
        <x:v>Command Script · command 13</x:v>
      </x:c>
      <x:c r="F426" t="n">
        <x:f>Controls!$D$53</x:f>
        <x:v>1</x:v>
      </x:c>
      <x:c r="G426" t="n">
        <x:v>1</x:v>
      </x:c>
      <x:c r="H426" t="str">
        <x:v>equals</x:v>
      </x:c>
      <x:c r="I426" t="str">
        <x:v>RFA design authority</x:v>
      </x:c>
      <x:c r="J426" t="str">
        <x:f>IF(F426=1,"PASS","GAP")</x:f>
        <x:v>PASS</x:v>
      </x:c>
    </x:row>
    <x:row r="427">
      <x:c r="B427" t="str">
        <x:v>PLN-421</x:v>
      </x:c>
      <x:c r="C427" t="str">
        <x:v>PLANNING</x:v>
      </x:c>
      <x:c r="D427" t="str">
        <x:v>command</x:v>
      </x:c>
      <x:c r="E427" t="str">
        <x:v>Command Script · command 14</x:v>
      </x:c>
      <x:c r="F427" t="n">
        <x:f>Controls!$D$53</x:f>
        <x:v>1</x:v>
      </x:c>
      <x:c r="G427" t="n">
        <x:v>1</x:v>
      </x:c>
      <x:c r="H427" t="str">
        <x:v>equals</x:v>
      </x:c>
      <x:c r="I427" t="str">
        <x:v>RFA design authority</x:v>
      </x:c>
      <x:c r="J427" t="str">
        <x:f>IF(F427=1,"PASS","GAP")</x:f>
        <x:v>PASS</x:v>
      </x:c>
    </x:row>
    <x:row r="428">
      <x:c r="B428" t="str">
        <x:v>PLN-422</x:v>
      </x:c>
      <x:c r="C428" t="str">
        <x:v>PLANNING</x:v>
      </x:c>
      <x:c r="D428" t="str">
        <x:v>command</x:v>
      </x:c>
      <x:c r="E428" t="str">
        <x:v>Command Script · command 15</x:v>
      </x:c>
      <x:c r="F428" t="n">
        <x:f>Controls!$D$53</x:f>
        <x:v>1</x:v>
      </x:c>
      <x:c r="G428" t="n">
        <x:v>1</x:v>
      </x:c>
      <x:c r="H428" t="str">
        <x:v>equals</x:v>
      </x:c>
      <x:c r="I428" t="str">
        <x:v>RFA design authority</x:v>
      </x:c>
      <x:c r="J428" t="str">
        <x:f>IF(F428=1,"PASS","GAP")</x:f>
        <x:v>PASS</x:v>
      </x:c>
    </x:row>
    <x:row r="429">
      <x:c r="B429" t="str">
        <x:v>PLN-423</x:v>
      </x:c>
      <x:c r="C429" t="str">
        <x:v>PLANNING</x:v>
      </x:c>
      <x:c r="D429" t="str">
        <x:v>command</x:v>
      </x:c>
      <x:c r="E429" t="str">
        <x:v>Command Script · command 16</x:v>
      </x:c>
      <x:c r="F429" t="n">
        <x:f>Controls!$D$53</x:f>
        <x:v>1</x:v>
      </x:c>
      <x:c r="G429" t="n">
        <x:v>1</x:v>
      </x:c>
      <x:c r="H429" t="str">
        <x:v>equals</x:v>
      </x:c>
      <x:c r="I429" t="str">
        <x:v>RFA design authority</x:v>
      </x:c>
      <x:c r="J429" t="str">
        <x:f>IF(F429=1,"PASS","GAP")</x:f>
        <x:v>PASS</x:v>
      </x:c>
    </x:row>
    <x:row r="430">
      <x:c r="B430" t="str">
        <x:v>PLN-424</x:v>
      </x:c>
      <x:c r="C430" t="str">
        <x:v>PLANNING</x:v>
      </x:c>
      <x:c r="D430" t="str">
        <x:v>abort</x:v>
      </x:c>
      <x:c r="E430" t="str">
        <x:v>Abort Logic · abort 1</x:v>
      </x:c>
      <x:c r="F430" t="n">
        <x:f>Controls!$D$53</x:f>
        <x:v>1</x:v>
      </x:c>
      <x:c r="G430" t="n">
        <x:v>1</x:v>
      </x:c>
      <x:c r="H430" t="str">
        <x:v>equals</x:v>
      </x:c>
      <x:c r="I430" t="str">
        <x:v>RFA design authority</x:v>
      </x:c>
      <x:c r="J430" t="str">
        <x:f>IF(F430=1,"PASS","GAP")</x:f>
        <x:v>PASS</x:v>
      </x:c>
    </x:row>
    <x:row r="431">
      <x:c r="B431" t="str">
        <x:v>PLN-425</x:v>
      </x:c>
      <x:c r="C431" t="str">
        <x:v>PLANNING</x:v>
      </x:c>
      <x:c r="D431" t="str">
        <x:v>abort</x:v>
      </x:c>
      <x:c r="E431" t="str">
        <x:v>Abort Logic · abort 2</x:v>
      </x:c>
      <x:c r="F431" t="n">
        <x:f>Controls!$D$53</x:f>
        <x:v>1</x:v>
      </x:c>
      <x:c r="G431" t="n">
        <x:v>1</x:v>
      </x:c>
      <x:c r="H431" t="str">
        <x:v>equals</x:v>
      </x:c>
      <x:c r="I431" t="str">
        <x:v>RFA design authority</x:v>
      </x:c>
      <x:c r="J431" t="str">
        <x:f>IF(F431=1,"PASS","GAP")</x:f>
        <x:v>PASS</x:v>
      </x:c>
    </x:row>
    <x:row r="432">
      <x:c r="B432" t="str">
        <x:v>PLN-426</x:v>
      </x:c>
      <x:c r="C432" t="str">
        <x:v>PLANNING</x:v>
      </x:c>
      <x:c r="D432" t="str">
        <x:v>abort</x:v>
      </x:c>
      <x:c r="E432" t="str">
        <x:v>Abort Logic · abort 3</x:v>
      </x:c>
      <x:c r="F432" t="n">
        <x:f>Controls!$D$53</x:f>
        <x:v>1</x:v>
      </x:c>
      <x:c r="G432" t="n">
        <x:v>1</x:v>
      </x:c>
      <x:c r="H432" t="str">
        <x:v>equals</x:v>
      </x:c>
      <x:c r="I432" t="str">
        <x:v>RFA design authority</x:v>
      </x:c>
      <x:c r="J432" t="str">
        <x:f>IF(F432=1,"PASS","GAP")</x:f>
        <x:v>PASS</x:v>
      </x:c>
    </x:row>
    <x:row r="433">
      <x:c r="B433" t="str">
        <x:v>PLN-427</x:v>
      </x:c>
      <x:c r="C433" t="str">
        <x:v>PLANNING</x:v>
      </x:c>
      <x:c r="D433" t="str">
        <x:v>abort</x:v>
      </x:c>
      <x:c r="E433" t="str">
        <x:v>Abort Logic · abort 4</x:v>
      </x:c>
      <x:c r="F433" t="n">
        <x:f>Controls!$D$53</x:f>
        <x:v>1</x:v>
      </x:c>
      <x:c r="G433" t="n">
        <x:v>1</x:v>
      </x:c>
      <x:c r="H433" t="str">
        <x:v>equals</x:v>
      </x:c>
      <x:c r="I433" t="str">
        <x:v>RFA design authority</x:v>
      </x:c>
      <x:c r="J433" t="str">
        <x:f>IF(F433=1,"PASS","GAP")</x:f>
        <x:v>PASS</x:v>
      </x:c>
    </x:row>
    <x:row r="434">
      <x:c r="B434" t="str">
        <x:v>PLN-428</x:v>
      </x:c>
      <x:c r="C434" t="str">
        <x:v>PLANNING</x:v>
      </x:c>
      <x:c r="D434" t="str">
        <x:v>abort</x:v>
      </x:c>
      <x:c r="E434" t="str">
        <x:v>Abort Logic · abort 5</x:v>
      </x:c>
      <x:c r="F434" t="n">
        <x:f>Controls!$D$53</x:f>
        <x:v>1</x:v>
      </x:c>
      <x:c r="G434" t="n">
        <x:v>1</x:v>
      </x:c>
      <x:c r="H434" t="str">
        <x:v>equals</x:v>
      </x:c>
      <x:c r="I434" t="str">
        <x:v>RFA design authority</x:v>
      </x:c>
      <x:c r="J434" t="str">
        <x:f>IF(F434=1,"PASS","GAP")</x:f>
        <x:v>PASS</x:v>
      </x:c>
    </x:row>
    <x:row r="435">
      <x:c r="B435" t="str">
        <x:v>PLN-429</x:v>
      </x:c>
      <x:c r="C435" t="str">
        <x:v>PLANNING</x:v>
      </x:c>
      <x:c r="D435" t="str">
        <x:v>abort</x:v>
      </x:c>
      <x:c r="E435" t="str">
        <x:v>Abort Logic · abort 6</x:v>
      </x:c>
      <x:c r="F435" t="n">
        <x:f>Controls!$D$53</x:f>
        <x:v>1</x:v>
      </x:c>
      <x:c r="G435" t="n">
        <x:v>1</x:v>
      </x:c>
      <x:c r="H435" t="str">
        <x:v>equals</x:v>
      </x:c>
      <x:c r="I435" t="str">
        <x:v>RFA design authority</x:v>
      </x:c>
      <x:c r="J435" t="str">
        <x:f>IF(F435=1,"PASS","GAP")</x:f>
        <x:v>PASS</x:v>
      </x:c>
    </x:row>
    <x:row r="436">
      <x:c r="B436" t="str">
        <x:v>PLN-430</x:v>
      </x:c>
      <x:c r="C436" t="str">
        <x:v>PLANNING</x:v>
      </x:c>
      <x:c r="D436" t="str">
        <x:v>abort</x:v>
      </x:c>
      <x:c r="E436" t="str">
        <x:v>Abort Logic · abort 7</x:v>
      </x:c>
      <x:c r="F436" t="n">
        <x:f>Controls!$D$53</x:f>
        <x:v>1</x:v>
      </x:c>
      <x:c r="G436" t="n">
        <x:v>1</x:v>
      </x:c>
      <x:c r="H436" t="str">
        <x:v>equals</x:v>
      </x:c>
      <x:c r="I436" t="str">
        <x:v>RFA design authority</x:v>
      </x:c>
      <x:c r="J436" t="str">
        <x:f>IF(F436=1,"PASS","GAP")</x:f>
        <x:v>PASS</x:v>
      </x:c>
    </x:row>
    <x:row r="437">
      <x:c r="B437" t="str">
        <x:v>PLN-431</x:v>
      </x:c>
      <x:c r="C437" t="str">
        <x:v>PLANNING</x:v>
      </x:c>
      <x:c r="D437" t="str">
        <x:v>abort</x:v>
      </x:c>
      <x:c r="E437" t="str">
        <x:v>Abort Logic · abort 8</x:v>
      </x:c>
      <x:c r="F437" t="n">
        <x:f>Controls!$D$53</x:f>
        <x:v>1</x:v>
      </x:c>
      <x:c r="G437" t="n">
        <x:v>1</x:v>
      </x:c>
      <x:c r="H437" t="str">
        <x:v>equals</x:v>
      </x:c>
      <x:c r="I437" t="str">
        <x:v>RFA design authority</x:v>
      </x:c>
      <x:c r="J437" t="str">
        <x:f>IF(F437=1,"PASS","GAP")</x:f>
        <x:v>PASS</x:v>
      </x:c>
    </x:row>
    <x:row r="438">
      <x:c r="B438" t="str">
        <x:v>PLN-432</x:v>
      </x:c>
      <x:c r="C438" t="str">
        <x:v>PLANNING</x:v>
      </x:c>
      <x:c r="D438" t="str">
        <x:v>abort</x:v>
      </x:c>
      <x:c r="E438" t="str">
        <x:v>Abort Logic · abort 9</x:v>
      </x:c>
      <x:c r="F438" t="n">
        <x:f>Controls!$D$53</x:f>
        <x:v>1</x:v>
      </x:c>
      <x:c r="G438" t="n">
        <x:v>1</x:v>
      </x:c>
      <x:c r="H438" t="str">
        <x:v>equals</x:v>
      </x:c>
      <x:c r="I438" t="str">
        <x:v>RFA design authority</x:v>
      </x:c>
      <x:c r="J438" t="str">
        <x:f>IF(F438=1,"PASS","GAP")</x:f>
        <x:v>PASS</x:v>
      </x:c>
    </x:row>
    <x:row r="439">
      <x:c r="B439" t="str">
        <x:v>PLN-433</x:v>
      </x:c>
      <x:c r="C439" t="str">
        <x:v>PLANNING</x:v>
      </x:c>
      <x:c r="D439" t="str">
        <x:v>abort</x:v>
      </x:c>
      <x:c r="E439" t="str">
        <x:v>Abort Logic · abort 10</x:v>
      </x:c>
      <x:c r="F439" t="n">
        <x:f>Controls!$D$53</x:f>
        <x:v>1</x:v>
      </x:c>
      <x:c r="G439" t="n">
        <x:v>1</x:v>
      </x:c>
      <x:c r="H439" t="str">
        <x:v>equals</x:v>
      </x:c>
      <x:c r="I439" t="str">
        <x:v>RFA design authority</x:v>
      </x:c>
      <x:c r="J439" t="str">
        <x:f>IF(F439=1,"PASS","GAP")</x:f>
        <x:v>PASS</x:v>
      </x:c>
    </x:row>
    <x:row r="440">
      <x:c r="B440" t="str">
        <x:v>PLN-434</x:v>
      </x:c>
      <x:c r="C440" t="str">
        <x:v>PLANNING</x:v>
      </x:c>
      <x:c r="D440" t="str">
        <x:v>abort</x:v>
      </x:c>
      <x:c r="E440" t="str">
        <x:v>Abort Logic · abort 11</x:v>
      </x:c>
      <x:c r="F440" t="n">
        <x:f>Controls!$D$53</x:f>
        <x:v>1</x:v>
      </x:c>
      <x:c r="G440" t="n">
        <x:v>1</x:v>
      </x:c>
      <x:c r="H440" t="str">
        <x:v>equals</x:v>
      </x:c>
      <x:c r="I440" t="str">
        <x:v>RFA design authority</x:v>
      </x:c>
      <x:c r="J440" t="str">
        <x:f>IF(F440=1,"PASS","GAP")</x:f>
        <x:v>PASS</x:v>
      </x:c>
    </x:row>
    <x:row r="441">
      <x:c r="B441" t="str">
        <x:v>PLN-435</x:v>
      </x:c>
      <x:c r="C441" t="str">
        <x:v>PLANNING</x:v>
      </x:c>
      <x:c r="D441" t="str">
        <x:v>abort</x:v>
      </x:c>
      <x:c r="E441" t="str">
        <x:v>Abort Logic · abort 12</x:v>
      </x:c>
      <x:c r="F441" t="n">
        <x:f>Controls!$D$53</x:f>
        <x:v>1</x:v>
      </x:c>
      <x:c r="G441" t="n">
        <x:v>1</x:v>
      </x:c>
      <x:c r="H441" t="str">
        <x:v>equals</x:v>
      </x:c>
      <x:c r="I441" t="str">
        <x:v>RFA design authority</x:v>
      </x:c>
      <x:c r="J441" t="str">
        <x:f>IF(F441=1,"PASS","GAP")</x:f>
        <x:v>PASS</x:v>
      </x:c>
    </x:row>
    <x:row r="442">
      <x:c r="B442" t="str">
        <x:v>PLN-436</x:v>
      </x:c>
      <x:c r="C442" t="str">
        <x:v>PLANNING</x:v>
      </x:c>
      <x:c r="D442" t="str">
        <x:v>abort</x:v>
      </x:c>
      <x:c r="E442" t="str">
        <x:v>Abort Logic · abort 13</x:v>
      </x:c>
      <x:c r="F442" t="n">
        <x:f>Controls!$D$53</x:f>
        <x:v>1</x:v>
      </x:c>
      <x:c r="G442" t="n">
        <x:v>1</x:v>
      </x:c>
      <x:c r="H442" t="str">
        <x:v>equals</x:v>
      </x:c>
      <x:c r="I442" t="str">
        <x:v>RFA design authority</x:v>
      </x:c>
      <x:c r="J442" t="str">
        <x:f>IF(F442=1,"PASS","GAP")</x:f>
        <x:v>PASS</x:v>
      </x:c>
    </x:row>
    <x:row r="443">
      <x:c r="B443" t="str">
        <x:v>PLN-437</x:v>
      </x:c>
      <x:c r="C443" t="str">
        <x:v>PLANNING</x:v>
      </x:c>
      <x:c r="D443" t="str">
        <x:v>abort</x:v>
      </x:c>
      <x:c r="E443" t="str">
        <x:v>Abort Logic · abort 14</x:v>
      </x:c>
      <x:c r="F443" t="n">
        <x:f>Controls!$D$53</x:f>
        <x:v>1</x:v>
      </x:c>
      <x:c r="G443" t="n">
        <x:v>1</x:v>
      </x:c>
      <x:c r="H443" t="str">
        <x:v>equals</x:v>
      </x:c>
      <x:c r="I443" t="str">
        <x:v>RFA design authority</x:v>
      </x:c>
      <x:c r="J443" t="str">
        <x:f>IF(F443=1,"PASS","GAP")</x:f>
        <x:v>PASS</x:v>
      </x:c>
    </x:row>
    <x:row r="444">
      <x:c r="B444" t="str">
        <x:v>PLN-438</x:v>
      </x:c>
      <x:c r="C444" t="str">
        <x:v>PLANNING</x:v>
      </x:c>
      <x:c r="D444" t="str">
        <x:v>abort</x:v>
      </x:c>
      <x:c r="E444" t="str">
        <x:v>Abort Logic · abort 15</x:v>
      </x:c>
      <x:c r="F444" t="n">
        <x:f>Controls!$D$53</x:f>
        <x:v>1</x:v>
      </x:c>
      <x:c r="G444" t="n">
        <x:v>1</x:v>
      </x:c>
      <x:c r="H444" t="str">
        <x:v>equals</x:v>
      </x:c>
      <x:c r="I444" t="str">
        <x:v>RFA design authority</x:v>
      </x:c>
      <x:c r="J444" t="str">
        <x:f>IF(F444=1,"PASS","GAP")</x:f>
        <x:v>PASS</x:v>
      </x:c>
    </x:row>
    <x:row r="445">
      <x:c r="B445" t="str">
        <x:v>PLN-439</x:v>
      </x:c>
      <x:c r="C445" t="str">
        <x:v>PLANNING</x:v>
      </x:c>
      <x:c r="D445" t="str">
        <x:v>abort</x:v>
      </x:c>
      <x:c r="E445" t="str">
        <x:v>Abort Logic · abort 16</x:v>
      </x:c>
      <x:c r="F445" t="n">
        <x:f>Controls!$D$53</x:f>
        <x:v>1</x:v>
      </x:c>
      <x:c r="G445" t="n">
        <x:v>1</x:v>
      </x:c>
      <x:c r="H445" t="str">
        <x:v>equals</x:v>
      </x:c>
      <x:c r="I445" t="str">
        <x:v>RFA design authority</x:v>
      </x:c>
      <x:c r="J445" t="str">
        <x:f>IF(F445=1,"PASS","GAP")</x:f>
        <x:v>PASS</x:v>
      </x:c>
    </x:row>
    <x:row r="446">
      <x:c r="B446" t="str">
        <x:v>PLN-440</x:v>
      </x:c>
      <x:c r="C446" t="str">
        <x:v>PLANNING</x:v>
      </x:c>
      <x:c r="D446" t="str">
        <x:v>recovery state</x:v>
      </x:c>
      <x:c r="E446" t="str">
        <x:v>Recovery States · recovery state 1</x:v>
      </x:c>
      <x:c r="F446" t="n">
        <x:f>Controls!$D$53</x:f>
        <x:v>1</x:v>
      </x:c>
      <x:c r="G446" t="n">
        <x:v>1</x:v>
      </x:c>
      <x:c r="H446" t="str">
        <x:v>equals</x:v>
      </x:c>
      <x:c r="I446" t="str">
        <x:v>RFA design authority</x:v>
      </x:c>
      <x:c r="J446" t="str">
        <x:f>IF(F446=1,"PASS","GAP")</x:f>
        <x:v>PASS</x:v>
      </x:c>
    </x:row>
    <x:row r="447">
      <x:c r="B447" t="str">
        <x:v>PLN-441</x:v>
      </x:c>
      <x:c r="C447" t="str">
        <x:v>PLANNING</x:v>
      </x:c>
      <x:c r="D447" t="str">
        <x:v>recovery state</x:v>
      </x:c>
      <x:c r="E447" t="str">
        <x:v>Recovery States · recovery state 2</x:v>
      </x:c>
      <x:c r="F447" t="n">
        <x:f>Controls!$D$53</x:f>
        <x:v>1</x:v>
      </x:c>
      <x:c r="G447" t="n">
        <x:v>1</x:v>
      </x:c>
      <x:c r="H447" t="str">
        <x:v>equals</x:v>
      </x:c>
      <x:c r="I447" t="str">
        <x:v>RFA design authority</x:v>
      </x:c>
      <x:c r="J447" t="str">
        <x:f>IF(F447=1,"PASS","GAP")</x:f>
        <x:v>PASS</x:v>
      </x:c>
    </x:row>
    <x:row r="448">
      <x:c r="B448" t="str">
        <x:v>PLN-442</x:v>
      </x:c>
      <x:c r="C448" t="str">
        <x:v>PLANNING</x:v>
      </x:c>
      <x:c r="D448" t="str">
        <x:v>recovery state</x:v>
      </x:c>
      <x:c r="E448" t="str">
        <x:v>Recovery States · recovery state 3</x:v>
      </x:c>
      <x:c r="F448" t="n">
        <x:f>Controls!$D$53</x:f>
        <x:v>1</x:v>
      </x:c>
      <x:c r="G448" t="n">
        <x:v>1</x:v>
      </x:c>
      <x:c r="H448" t="str">
        <x:v>equals</x:v>
      </x:c>
      <x:c r="I448" t="str">
        <x:v>RFA design authority</x:v>
      </x:c>
      <x:c r="J448" t="str">
        <x:f>IF(F448=1,"PASS","GAP")</x:f>
        <x:v>PASS</x:v>
      </x:c>
    </x:row>
    <x:row r="449">
      <x:c r="B449" t="str">
        <x:v>PLN-443</x:v>
      </x:c>
      <x:c r="C449" t="str">
        <x:v>PLANNING</x:v>
      </x:c>
      <x:c r="D449" t="str">
        <x:v>recovery state</x:v>
      </x:c>
      <x:c r="E449" t="str">
        <x:v>Recovery States · recovery state 4</x:v>
      </x:c>
      <x:c r="F449" t="n">
        <x:f>Controls!$D$53</x:f>
        <x:v>1</x:v>
      </x:c>
      <x:c r="G449" t="n">
        <x:v>1</x:v>
      </x:c>
      <x:c r="H449" t="str">
        <x:v>equals</x:v>
      </x:c>
      <x:c r="I449" t="str">
        <x:v>RFA design authority</x:v>
      </x:c>
      <x:c r="J449" t="str">
        <x:f>IF(F449=1,"PASS","GAP")</x:f>
        <x:v>PASS</x:v>
      </x:c>
    </x:row>
    <x:row r="450">
      <x:c r="B450" t="str">
        <x:v>PLN-444</x:v>
      </x:c>
      <x:c r="C450" t="str">
        <x:v>PLANNING</x:v>
      </x:c>
      <x:c r="D450" t="str">
        <x:v>recovery state</x:v>
      </x:c>
      <x:c r="E450" t="str">
        <x:v>Recovery States · recovery state 5</x:v>
      </x:c>
      <x:c r="F450" t="n">
        <x:f>Controls!$D$53</x:f>
        <x:v>1</x:v>
      </x:c>
      <x:c r="G450" t="n">
        <x:v>1</x:v>
      </x:c>
      <x:c r="H450" t="str">
        <x:v>equals</x:v>
      </x:c>
      <x:c r="I450" t="str">
        <x:v>RFA design authority</x:v>
      </x:c>
      <x:c r="J450" t="str">
        <x:f>IF(F450=1,"PASS","GAP")</x:f>
        <x:v>PASS</x:v>
      </x:c>
    </x:row>
    <x:row r="451">
      <x:c r="B451" t="str">
        <x:v>PLN-445</x:v>
      </x:c>
      <x:c r="C451" t="str">
        <x:v>PLANNING</x:v>
      </x:c>
      <x:c r="D451" t="str">
        <x:v>recovery state</x:v>
      </x:c>
      <x:c r="E451" t="str">
        <x:v>Recovery States · recovery state 6</x:v>
      </x:c>
      <x:c r="F451" t="n">
        <x:f>Controls!$D$53</x:f>
        <x:v>1</x:v>
      </x:c>
      <x:c r="G451" t="n">
        <x:v>1</x:v>
      </x:c>
      <x:c r="H451" t="str">
        <x:v>equals</x:v>
      </x:c>
      <x:c r="I451" t="str">
        <x:v>RFA design authority</x:v>
      </x:c>
      <x:c r="J451" t="str">
        <x:f>IF(F451=1,"PASS","GAP")</x:f>
        <x:v>PASS</x:v>
      </x:c>
    </x:row>
    <x:row r="452">
      <x:c r="B452" t="str">
        <x:v>PLN-446</x:v>
      </x:c>
      <x:c r="C452" t="str">
        <x:v>PLANNING</x:v>
      </x:c>
      <x:c r="D452" t="str">
        <x:v>recovery state</x:v>
      </x:c>
      <x:c r="E452" t="str">
        <x:v>Recovery States · recovery state 7</x:v>
      </x:c>
      <x:c r="F452" t="n">
        <x:f>Controls!$D$53</x:f>
        <x:v>1</x:v>
      </x:c>
      <x:c r="G452" t="n">
        <x:v>1</x:v>
      </x:c>
      <x:c r="H452" t="str">
        <x:v>equals</x:v>
      </x:c>
      <x:c r="I452" t="str">
        <x:v>RFA design authority</x:v>
      </x:c>
      <x:c r="J452" t="str">
        <x:f>IF(F452=1,"PASS","GAP")</x:f>
        <x:v>PASS</x:v>
      </x:c>
    </x:row>
    <x:row r="453">
      <x:c r="B453" t="str">
        <x:v>PLN-447</x:v>
      </x:c>
      <x:c r="C453" t="str">
        <x:v>PLANNING</x:v>
      </x:c>
      <x:c r="D453" t="str">
        <x:v>recovery state</x:v>
      </x:c>
      <x:c r="E453" t="str">
        <x:v>Recovery States · recovery state 8</x:v>
      </x:c>
      <x:c r="F453" t="n">
        <x:f>Controls!$D$53</x:f>
        <x:v>1</x:v>
      </x:c>
      <x:c r="G453" t="n">
        <x:v>1</x:v>
      </x:c>
      <x:c r="H453" t="str">
        <x:v>equals</x:v>
      </x:c>
      <x:c r="I453" t="str">
        <x:v>RFA design authority</x:v>
      </x:c>
      <x:c r="J453" t="str">
        <x:f>IF(F453=1,"PASS","GAP")</x:f>
        <x:v>PASS</x:v>
      </x:c>
    </x:row>
    <x:row r="454">
      <x:c r="B454" t="str">
        <x:v>PLN-448</x:v>
      </x:c>
      <x:c r="C454" t="str">
        <x:v>PLANNING</x:v>
      </x:c>
      <x:c r="D454" t="str">
        <x:v>evidence object</x:v>
      </x:c>
      <x:c r="E454" t="str">
        <x:v>Evidence Packet · evidence object 1</x:v>
      </x:c>
      <x:c r="F454" t="n">
        <x:f>Controls!$D$53</x:f>
        <x:v>1</x:v>
      </x:c>
      <x:c r="G454" t="n">
        <x:v>1</x:v>
      </x:c>
      <x:c r="H454" t="str">
        <x:v>equals</x:v>
      </x:c>
      <x:c r="I454" t="str">
        <x:v>RFA design authority</x:v>
      </x:c>
      <x:c r="J454" t="str">
        <x:f>IF(F454=1,"PASS","GAP")</x:f>
        <x:v>PASS</x:v>
      </x:c>
    </x:row>
    <x:row r="455">
      <x:c r="B455" t="str">
        <x:v>PLN-449</x:v>
      </x:c>
      <x:c r="C455" t="str">
        <x:v>PLANNING</x:v>
      </x:c>
      <x:c r="D455" t="str">
        <x:v>evidence object</x:v>
      </x:c>
      <x:c r="E455" t="str">
        <x:v>Evidence Packet · evidence object 2</x:v>
      </x:c>
      <x:c r="F455" t="n">
        <x:f>Controls!$D$53</x:f>
        <x:v>1</x:v>
      </x:c>
      <x:c r="G455" t="n">
        <x:v>1</x:v>
      </x:c>
      <x:c r="H455" t="str">
        <x:v>equals</x:v>
      </x:c>
      <x:c r="I455" t="str">
        <x:v>RFA design authority</x:v>
      </x:c>
      <x:c r="J455" t="str">
        <x:f>IF(F455=1,"PASS","GAP")</x:f>
        <x:v>PASS</x:v>
      </x:c>
    </x:row>
    <x:row r="456">
      <x:c r="B456" t="str">
        <x:v>PLN-450</x:v>
      </x:c>
      <x:c r="C456" t="str">
        <x:v>PLANNING</x:v>
      </x:c>
      <x:c r="D456" t="str">
        <x:v>evidence object</x:v>
      </x:c>
      <x:c r="E456" t="str">
        <x:v>Evidence Packet · evidence object 3</x:v>
      </x:c>
      <x:c r="F456" t="n">
        <x:f>Controls!$D$53</x:f>
        <x:v>1</x:v>
      </x:c>
      <x:c r="G456" t="n">
        <x:v>1</x:v>
      </x:c>
      <x:c r="H456" t="str">
        <x:v>equals</x:v>
      </x:c>
      <x:c r="I456" t="str">
        <x:v>RFA design authority</x:v>
      </x:c>
      <x:c r="J456" t="str">
        <x:f>IF(F456=1,"PASS","GAP")</x:f>
        <x:v>PASS</x:v>
      </x:c>
    </x:row>
    <x:row r="457">
      <x:c r="B457" t="str">
        <x:v>PLN-451</x:v>
      </x:c>
      <x:c r="C457" t="str">
        <x:v>PLANNING</x:v>
      </x:c>
      <x:c r="D457" t="str">
        <x:v>evidence object</x:v>
      </x:c>
      <x:c r="E457" t="str">
        <x:v>Evidence Packet · evidence object 4</x:v>
      </x:c>
      <x:c r="F457" t="n">
        <x:f>Controls!$D$53</x:f>
        <x:v>1</x:v>
      </x:c>
      <x:c r="G457" t="n">
        <x:v>1</x:v>
      </x:c>
      <x:c r="H457" t="str">
        <x:v>equals</x:v>
      </x:c>
      <x:c r="I457" t="str">
        <x:v>RFA design authority</x:v>
      </x:c>
      <x:c r="J457" t="str">
        <x:f>IF(F457=1,"PASS","GAP")</x:f>
        <x:v>PASS</x:v>
      </x:c>
    </x:row>
    <x:row r="458">
      <x:c r="B458" t="str">
        <x:v>PLN-452</x:v>
      </x:c>
      <x:c r="C458" t="str">
        <x:v>PLANNING</x:v>
      </x:c>
      <x:c r="D458" t="str">
        <x:v>evidence object</x:v>
      </x:c>
      <x:c r="E458" t="str">
        <x:v>Evidence Packet · evidence object 5</x:v>
      </x:c>
      <x:c r="F458" t="n">
        <x:f>Controls!$D$53</x:f>
        <x:v>1</x:v>
      </x:c>
      <x:c r="G458" t="n">
        <x:v>1</x:v>
      </x:c>
      <x:c r="H458" t="str">
        <x:v>equals</x:v>
      </x:c>
      <x:c r="I458" t="str">
        <x:v>RFA design authority</x:v>
      </x:c>
      <x:c r="J458" t="str">
        <x:f>IF(F458=1,"PASS","GAP")</x:f>
        <x:v>PASS</x:v>
      </x:c>
    </x:row>
    <x:row r="459">
      <x:c r="B459" t="str">
        <x:v>PLN-453</x:v>
      </x:c>
      <x:c r="C459" t="str">
        <x:v>PLANNING</x:v>
      </x:c>
      <x:c r="D459" t="str">
        <x:v>evidence object</x:v>
      </x:c>
      <x:c r="E459" t="str">
        <x:v>Evidence Packet · evidence object 6</x:v>
      </x:c>
      <x:c r="F459" t="n">
        <x:f>Controls!$D$53</x:f>
        <x:v>1</x:v>
      </x:c>
      <x:c r="G459" t="n">
        <x:v>1</x:v>
      </x:c>
      <x:c r="H459" t="str">
        <x:v>equals</x:v>
      </x:c>
      <x:c r="I459" t="str">
        <x:v>RFA design authority</x:v>
      </x:c>
      <x:c r="J459" t="str">
        <x:f>IF(F459=1,"PASS","GAP")</x:f>
        <x:v>PASS</x:v>
      </x:c>
    </x:row>
    <x:row r="460">
      <x:c r="B460" t="str">
        <x:v>PLN-454</x:v>
      </x:c>
      <x:c r="C460" t="str">
        <x:v>PLANNING</x:v>
      </x:c>
      <x:c r="D460" t="str">
        <x:v>evidence object</x:v>
      </x:c>
      <x:c r="E460" t="str">
        <x:v>Evidence Packet · evidence object 7</x:v>
      </x:c>
      <x:c r="F460" t="n">
        <x:f>Controls!$D$53</x:f>
        <x:v>1</x:v>
      </x:c>
      <x:c r="G460" t="n">
        <x:v>1</x:v>
      </x:c>
      <x:c r="H460" t="str">
        <x:v>equals</x:v>
      </x:c>
      <x:c r="I460" t="str">
        <x:v>RFA design authority</x:v>
      </x:c>
      <x:c r="J460" t="str">
        <x:f>IF(F460=1,"PASS","GAP")</x:f>
        <x:v>PASS</x:v>
      </x:c>
    </x:row>
    <x:row r="461">
      <x:c r="B461" t="str">
        <x:v>PLN-455</x:v>
      </x:c>
      <x:c r="C461" t="str">
        <x:v>PLANNING</x:v>
      </x:c>
      <x:c r="D461" t="str">
        <x:v>evidence object</x:v>
      </x:c>
      <x:c r="E461" t="str">
        <x:v>Evidence Packet · evidence object 8</x:v>
      </x:c>
      <x:c r="F461" t="n">
        <x:f>Controls!$D$53</x:f>
        <x:v>1</x:v>
      </x:c>
      <x:c r="G461" t="n">
        <x:v>1</x:v>
      </x:c>
      <x:c r="H461" t="str">
        <x:v>equals</x:v>
      </x:c>
      <x:c r="I461" t="str">
        <x:v>RFA design authority</x:v>
      </x:c>
      <x:c r="J461" t="str">
        <x:f>IF(F461=1,"PASS","GAP")</x:f>
        <x:v>PASS</x:v>
      </x:c>
    </x:row>
    <x:row r="462">
      <x:c r="B462" t="str">
        <x:v>PLN-456</x:v>
      </x:c>
      <x:c r="C462" t="str">
        <x:v>PLANNING</x:v>
      </x:c>
      <x:c r="D462" t="str">
        <x:v>feature</x:v>
      </x:c>
      <x:c r="E462" t="str">
        <x:v>Feature Dictionary · feature 1</x:v>
      </x:c>
      <x:c r="F462" t="n">
        <x:f>Controls!$D$53</x:f>
        <x:v>1</x:v>
      </x:c>
      <x:c r="G462" t="n">
        <x:v>1</x:v>
      </x:c>
      <x:c r="H462" t="str">
        <x:v>equals</x:v>
      </x:c>
      <x:c r="I462" t="str">
        <x:v>RFA design authority</x:v>
      </x:c>
      <x:c r="J462" t="str">
        <x:f>IF(F462=1,"PASS","GAP")</x:f>
        <x:v>PASS</x:v>
      </x:c>
    </x:row>
    <x:row r="463">
      <x:c r="B463" t="str">
        <x:v>PLN-457</x:v>
      </x:c>
      <x:c r="C463" t="str">
        <x:v>PLANNING</x:v>
      </x:c>
      <x:c r="D463" t="str">
        <x:v>feature</x:v>
      </x:c>
      <x:c r="E463" t="str">
        <x:v>Feature Dictionary · feature 2</x:v>
      </x:c>
      <x:c r="F463" t="n">
        <x:f>Controls!$D$53</x:f>
        <x:v>1</x:v>
      </x:c>
      <x:c r="G463" t="n">
        <x:v>1</x:v>
      </x:c>
      <x:c r="H463" t="str">
        <x:v>equals</x:v>
      </x:c>
      <x:c r="I463" t="str">
        <x:v>RFA design authority</x:v>
      </x:c>
      <x:c r="J463" t="str">
        <x:f>IF(F463=1,"PASS","GAP")</x:f>
        <x:v>PASS</x:v>
      </x:c>
    </x:row>
    <x:row r="464">
      <x:c r="B464" t="str">
        <x:v>PLN-458</x:v>
      </x:c>
      <x:c r="C464" t="str">
        <x:v>PLANNING</x:v>
      </x:c>
      <x:c r="D464" t="str">
        <x:v>feature</x:v>
      </x:c>
      <x:c r="E464" t="str">
        <x:v>Feature Dictionary · feature 3</x:v>
      </x:c>
      <x:c r="F464" t="n">
        <x:f>Controls!$D$53</x:f>
        <x:v>1</x:v>
      </x:c>
      <x:c r="G464" t="n">
        <x:v>1</x:v>
      </x:c>
      <x:c r="H464" t="str">
        <x:v>equals</x:v>
      </x:c>
      <x:c r="I464" t="str">
        <x:v>RFA design authority</x:v>
      </x:c>
      <x:c r="J464" t="str">
        <x:f>IF(F464=1,"PASS","GAP")</x:f>
        <x:v>PASS</x:v>
      </x:c>
    </x:row>
    <x:row r="465">
      <x:c r="B465" t="str">
        <x:v>PLN-459</x:v>
      </x:c>
      <x:c r="C465" t="str">
        <x:v>PLANNING</x:v>
      </x:c>
      <x:c r="D465" t="str">
        <x:v>feature</x:v>
      </x:c>
      <x:c r="E465" t="str">
        <x:v>Feature Dictionary · feature 4</x:v>
      </x:c>
      <x:c r="F465" t="n">
        <x:f>Controls!$D$53</x:f>
        <x:v>1</x:v>
      </x:c>
      <x:c r="G465" t="n">
        <x:v>1</x:v>
      </x:c>
      <x:c r="H465" t="str">
        <x:v>equals</x:v>
      </x:c>
      <x:c r="I465" t="str">
        <x:v>RFA design authority</x:v>
      </x:c>
      <x:c r="J465" t="str">
        <x:f>IF(F465=1,"PASS","GAP")</x:f>
        <x:v>PASS</x:v>
      </x:c>
    </x:row>
    <x:row r="466">
      <x:c r="B466" t="str">
        <x:v>PLN-460</x:v>
      </x:c>
      <x:c r="C466" t="str">
        <x:v>PLANNING</x:v>
      </x:c>
      <x:c r="D466" t="str">
        <x:v>feature</x:v>
      </x:c>
      <x:c r="E466" t="str">
        <x:v>Feature Dictionary · feature 5</x:v>
      </x:c>
      <x:c r="F466" t="n">
        <x:f>Controls!$D$53</x:f>
        <x:v>1</x:v>
      </x:c>
      <x:c r="G466" t="n">
        <x:v>1</x:v>
      </x:c>
      <x:c r="H466" t="str">
        <x:v>equals</x:v>
      </x:c>
      <x:c r="I466" t="str">
        <x:v>RFA design authority</x:v>
      </x:c>
      <x:c r="J466" t="str">
        <x:f>IF(F466=1,"PASS","GAP")</x:f>
        <x:v>PASS</x:v>
      </x:c>
    </x:row>
    <x:row r="467">
      <x:c r="B467" t="str">
        <x:v>PLN-461</x:v>
      </x:c>
      <x:c r="C467" t="str">
        <x:v>PLANNING</x:v>
      </x:c>
      <x:c r="D467" t="str">
        <x:v>feature</x:v>
      </x:c>
      <x:c r="E467" t="str">
        <x:v>Feature Dictionary · feature 6</x:v>
      </x:c>
      <x:c r="F467" t="n">
        <x:f>Controls!$D$53</x:f>
        <x:v>1</x:v>
      </x:c>
      <x:c r="G467" t="n">
        <x:v>1</x:v>
      </x:c>
      <x:c r="H467" t="str">
        <x:v>equals</x:v>
      </x:c>
      <x:c r="I467" t="str">
        <x:v>RFA design authority</x:v>
      </x:c>
      <x:c r="J467" t="str">
        <x:f>IF(F467=1,"PASS","GAP")</x:f>
        <x:v>PASS</x:v>
      </x:c>
    </x:row>
    <x:row r="468">
      <x:c r="B468" t="str">
        <x:v>PLN-462</x:v>
      </x:c>
      <x:c r="C468" t="str">
        <x:v>PLANNING</x:v>
      </x:c>
      <x:c r="D468" t="str">
        <x:v>feature</x:v>
      </x:c>
      <x:c r="E468" t="str">
        <x:v>Feature Dictionary · feature 7</x:v>
      </x:c>
      <x:c r="F468" t="n">
        <x:f>Controls!$D$53</x:f>
        <x:v>1</x:v>
      </x:c>
      <x:c r="G468" t="n">
        <x:v>1</x:v>
      </x:c>
      <x:c r="H468" t="str">
        <x:v>equals</x:v>
      </x:c>
      <x:c r="I468" t="str">
        <x:v>RFA design authority</x:v>
      </x:c>
      <x:c r="J468" t="str">
        <x:f>IF(F468=1,"PASS","GAP")</x:f>
        <x:v>PASS</x:v>
      </x:c>
    </x:row>
    <x:row r="469">
      <x:c r="B469" t="str">
        <x:v>PLN-463</x:v>
      </x:c>
      <x:c r="C469" t="str">
        <x:v>PLANNING</x:v>
      </x:c>
      <x:c r="D469" t="str">
        <x:v>feature</x:v>
      </x:c>
      <x:c r="E469" t="str">
        <x:v>Feature Dictionary · feature 8</x:v>
      </x:c>
      <x:c r="F469" t="n">
        <x:f>Controls!$D$53</x:f>
        <x:v>1</x:v>
      </x:c>
      <x:c r="G469" t="n">
        <x:v>1</x:v>
      </x:c>
      <x:c r="H469" t="str">
        <x:v>equals</x:v>
      </x:c>
      <x:c r="I469" t="str">
        <x:v>RFA design authority</x:v>
      </x:c>
      <x:c r="J469" t="str">
        <x:f>IF(F469=1,"PASS","GAP")</x:f>
        <x:v>PASS</x:v>
      </x:c>
    </x:row>
    <x:row r="470">
      <x:c r="B470" t="str">
        <x:v>PLN-464</x:v>
      </x:c>
      <x:c r="C470" t="str">
        <x:v>PLANNING</x:v>
      </x:c>
      <x:c r="D470" t="str">
        <x:v>feature</x:v>
      </x:c>
      <x:c r="E470" t="str">
        <x:v>Feature Dictionary · feature 9</x:v>
      </x:c>
      <x:c r="F470" t="n">
        <x:f>Controls!$D$53</x:f>
        <x:v>1</x:v>
      </x:c>
      <x:c r="G470" t="n">
        <x:v>1</x:v>
      </x:c>
      <x:c r="H470" t="str">
        <x:v>equals</x:v>
      </x:c>
      <x:c r="I470" t="str">
        <x:v>RFA design authority</x:v>
      </x:c>
      <x:c r="J470" t="str">
        <x:f>IF(F470=1,"PASS","GAP")</x:f>
        <x:v>PASS</x:v>
      </x:c>
    </x:row>
    <x:row r="471">
      <x:c r="B471" t="str">
        <x:v>PLN-465</x:v>
      </x:c>
      <x:c r="C471" t="str">
        <x:v>PLANNING</x:v>
      </x:c>
      <x:c r="D471" t="str">
        <x:v>feature</x:v>
      </x:c>
      <x:c r="E471" t="str">
        <x:v>Feature Dictionary · feature 10</x:v>
      </x:c>
      <x:c r="F471" t="n">
        <x:f>Controls!$D$53</x:f>
        <x:v>1</x:v>
      </x:c>
      <x:c r="G471" t="n">
        <x:v>1</x:v>
      </x:c>
      <x:c r="H471" t="str">
        <x:v>equals</x:v>
      </x:c>
      <x:c r="I471" t="str">
        <x:v>RFA design authority</x:v>
      </x:c>
      <x:c r="J471" t="str">
        <x:f>IF(F471=1,"PASS","GAP")</x:f>
        <x:v>PASS</x:v>
      </x:c>
    </x:row>
    <x:row r="472">
      <x:c r="B472" t="str">
        <x:v>PLN-466</x:v>
      </x:c>
      <x:c r="C472" t="str">
        <x:v>PLANNING</x:v>
      </x:c>
      <x:c r="D472" t="str">
        <x:v>feature</x:v>
      </x:c>
      <x:c r="E472" t="str">
        <x:v>Feature Dictionary · feature 11</x:v>
      </x:c>
      <x:c r="F472" t="n">
        <x:f>Controls!$D$53</x:f>
        <x:v>1</x:v>
      </x:c>
      <x:c r="G472" t="n">
        <x:v>1</x:v>
      </x:c>
      <x:c r="H472" t="str">
        <x:v>equals</x:v>
      </x:c>
      <x:c r="I472" t="str">
        <x:v>RFA design authority</x:v>
      </x:c>
      <x:c r="J472" t="str">
        <x:f>IF(F472=1,"PASS","GAP")</x:f>
        <x:v>PASS</x:v>
      </x:c>
    </x:row>
    <x:row r="473">
      <x:c r="B473" t="str">
        <x:v>PLN-467</x:v>
      </x:c>
      <x:c r="C473" t="str">
        <x:v>PLANNING</x:v>
      </x:c>
      <x:c r="D473" t="str">
        <x:v>feature</x:v>
      </x:c>
      <x:c r="E473" t="str">
        <x:v>Feature Dictionary · feature 12</x:v>
      </x:c>
      <x:c r="F473" t="n">
        <x:f>Controls!$D$53</x:f>
        <x:v>1</x:v>
      </x:c>
      <x:c r="G473" t="n">
        <x:v>1</x:v>
      </x:c>
      <x:c r="H473" t="str">
        <x:v>equals</x:v>
      </x:c>
      <x:c r="I473" t="str">
        <x:v>RFA design authority</x:v>
      </x:c>
      <x:c r="J473" t="str">
        <x:f>IF(F473=1,"PASS","GAP")</x:f>
        <x:v>PASS</x:v>
      </x:c>
    </x:row>
    <x:row r="474">
      <x:c r="B474" t="str">
        <x:v>PLN-468</x:v>
      </x:c>
      <x:c r="C474" t="str">
        <x:v>PLANNING</x:v>
      </x:c>
      <x:c r="D474" t="str">
        <x:v>feature</x:v>
      </x:c>
      <x:c r="E474" t="str">
        <x:v>Feature Dictionary · feature 13</x:v>
      </x:c>
      <x:c r="F474" t="n">
        <x:f>Controls!$D$53</x:f>
        <x:v>1</x:v>
      </x:c>
      <x:c r="G474" t="n">
        <x:v>1</x:v>
      </x:c>
      <x:c r="H474" t="str">
        <x:v>equals</x:v>
      </x:c>
      <x:c r="I474" t="str">
        <x:v>RFA design authority</x:v>
      </x:c>
      <x:c r="J474" t="str">
        <x:f>IF(F474=1,"PASS","GAP")</x:f>
        <x:v>PASS</x:v>
      </x:c>
    </x:row>
    <x:row r="475">
      <x:c r="B475" t="str">
        <x:v>PLN-469</x:v>
      </x:c>
      <x:c r="C475" t="str">
        <x:v>PLANNING</x:v>
      </x:c>
      <x:c r="D475" t="str">
        <x:v>feature</x:v>
      </x:c>
      <x:c r="E475" t="str">
        <x:v>Feature Dictionary · feature 14</x:v>
      </x:c>
      <x:c r="F475" t="n">
        <x:f>Controls!$D$53</x:f>
        <x:v>1</x:v>
      </x:c>
      <x:c r="G475" t="n">
        <x:v>1</x:v>
      </x:c>
      <x:c r="H475" t="str">
        <x:v>equals</x:v>
      </x:c>
      <x:c r="I475" t="str">
        <x:v>RFA design authority</x:v>
      </x:c>
      <x:c r="J475" t="str">
        <x:f>IF(F475=1,"PASS","GAP")</x:f>
        <x:v>PASS</x:v>
      </x:c>
    </x:row>
    <x:row r="476">
      <x:c r="B476" t="str">
        <x:v>PLN-470</x:v>
      </x:c>
      <x:c r="C476" t="str">
        <x:v>PLANNING</x:v>
      </x:c>
      <x:c r="D476" t="str">
        <x:v>feature</x:v>
      </x:c>
      <x:c r="E476" t="str">
        <x:v>Feature Dictionary · feature 15</x:v>
      </x:c>
      <x:c r="F476" t="n">
        <x:f>Controls!$D$53</x:f>
        <x:v>1</x:v>
      </x:c>
      <x:c r="G476" t="n">
        <x:v>1</x:v>
      </x:c>
      <x:c r="H476" t="str">
        <x:v>equals</x:v>
      </x:c>
      <x:c r="I476" t="str">
        <x:v>RFA design authority</x:v>
      </x:c>
      <x:c r="J476" t="str">
        <x:f>IF(F476=1,"PASS","GAP")</x:f>
        <x:v>PASS</x:v>
      </x:c>
    </x:row>
    <x:row r="477">
      <x:c r="B477" t="str">
        <x:v>PLN-471</x:v>
      </x:c>
      <x:c r="C477" t="str">
        <x:v>PLANNING</x:v>
      </x:c>
      <x:c r="D477" t="str">
        <x:v>feature</x:v>
      </x:c>
      <x:c r="E477" t="str">
        <x:v>Feature Dictionary · feature 16</x:v>
      </x:c>
      <x:c r="F477" t="n">
        <x:f>Controls!$D$53</x:f>
        <x:v>1</x:v>
      </x:c>
      <x:c r="G477" t="n">
        <x:v>1</x:v>
      </x:c>
      <x:c r="H477" t="str">
        <x:v>equals</x:v>
      </x:c>
      <x:c r="I477" t="str">
        <x:v>RFA design authority</x:v>
      </x:c>
      <x:c r="J477" t="str">
        <x:f>IF(F477=1,"PASS","GAP")</x:f>
        <x:v>PASS</x:v>
      </x:c>
    </x:row>
    <x:row r="478">
      <x:c r="B478" t="str">
        <x:v>PLN-472</x:v>
      </x:c>
      <x:c r="C478" t="str">
        <x:v>PLANNING</x:v>
      </x:c>
      <x:c r="D478" t="str">
        <x:v>feature</x:v>
      </x:c>
      <x:c r="E478" t="str">
        <x:v>Feature Dictionary · feature 17</x:v>
      </x:c>
      <x:c r="F478" t="n">
        <x:f>Controls!$D$53</x:f>
        <x:v>1</x:v>
      </x:c>
      <x:c r="G478" t="n">
        <x:v>1</x:v>
      </x:c>
      <x:c r="H478" t="str">
        <x:v>equals</x:v>
      </x:c>
      <x:c r="I478" t="str">
        <x:v>RFA design authority</x:v>
      </x:c>
      <x:c r="J478" t="str">
        <x:f>IF(F478=1,"PASS","GAP")</x:f>
        <x:v>PASS</x:v>
      </x:c>
    </x:row>
    <x:row r="479">
      <x:c r="B479" t="str">
        <x:v>PLN-473</x:v>
      </x:c>
      <x:c r="C479" t="str">
        <x:v>PLANNING</x:v>
      </x:c>
      <x:c r="D479" t="str">
        <x:v>feature</x:v>
      </x:c>
      <x:c r="E479" t="str">
        <x:v>Feature Dictionary · feature 18</x:v>
      </x:c>
      <x:c r="F479" t="n">
        <x:f>Controls!$D$53</x:f>
        <x:v>1</x:v>
      </x:c>
      <x:c r="G479" t="n">
        <x:v>1</x:v>
      </x:c>
      <x:c r="H479" t="str">
        <x:v>equals</x:v>
      </x:c>
      <x:c r="I479" t="str">
        <x:v>RFA design authority</x:v>
      </x:c>
      <x:c r="J479" t="str">
        <x:f>IF(F479=1,"PASS","GAP")</x:f>
        <x:v>PASS</x:v>
      </x:c>
    </x:row>
    <x:row r="480">
      <x:c r="B480" t="str">
        <x:v>PLN-474</x:v>
      </x:c>
      <x:c r="C480" t="str">
        <x:v>PLANNING</x:v>
      </x:c>
      <x:c r="D480" t="str">
        <x:v>feature</x:v>
      </x:c>
      <x:c r="E480" t="str">
        <x:v>Feature Dictionary · feature 19</x:v>
      </x:c>
      <x:c r="F480" t="n">
        <x:f>Controls!$D$53</x:f>
        <x:v>1</x:v>
      </x:c>
      <x:c r="G480" t="n">
        <x:v>1</x:v>
      </x:c>
      <x:c r="H480" t="str">
        <x:v>equals</x:v>
      </x:c>
      <x:c r="I480" t="str">
        <x:v>RFA design authority</x:v>
      </x:c>
      <x:c r="J480" t="str">
        <x:f>IF(F480=1,"PASS","GAP")</x:f>
        <x:v>PASS</x:v>
      </x:c>
    </x:row>
    <x:row r="481">
      <x:c r="B481" t="str">
        <x:v>PLN-475</x:v>
      </x:c>
      <x:c r="C481" t="str">
        <x:v>PLANNING</x:v>
      </x:c>
      <x:c r="D481" t="str">
        <x:v>feature</x:v>
      </x:c>
      <x:c r="E481" t="str">
        <x:v>Feature Dictionary · feature 20</x:v>
      </x:c>
      <x:c r="F481" t="n">
        <x:f>Controls!$D$53</x:f>
        <x:v>1</x:v>
      </x:c>
      <x:c r="G481" t="n">
        <x:v>1</x:v>
      </x:c>
      <x:c r="H481" t="str">
        <x:v>equals</x:v>
      </x:c>
      <x:c r="I481" t="str">
        <x:v>RFA design authority</x:v>
      </x:c>
      <x:c r="J481" t="str">
        <x:f>IF(F481=1,"PASS","GAP")</x:f>
        <x:v>PASS</x:v>
      </x:c>
    </x:row>
    <x:row r="482">
      <x:c r="B482" t="str">
        <x:v>PLN-476</x:v>
      </x:c>
      <x:c r="C482" t="str">
        <x:v>PLANNING</x:v>
      </x:c>
      <x:c r="D482" t="str">
        <x:v>schedule package</x:v>
      </x:c>
      <x:c r="E482" t="str">
        <x:v>Schedule · schedule package 1</x:v>
      </x:c>
      <x:c r="F482" t="n">
        <x:f>Controls!$D$53</x:f>
        <x:v>1</x:v>
      </x:c>
      <x:c r="G482" t="n">
        <x:v>1</x:v>
      </x:c>
      <x:c r="H482" t="str">
        <x:v>equals</x:v>
      </x:c>
      <x:c r="I482" t="str">
        <x:v>RFA design authority</x:v>
      </x:c>
      <x:c r="J482" t="str">
        <x:f>IF(F482=1,"PASS","GAP")</x:f>
        <x:v>PASS</x:v>
      </x:c>
    </x:row>
    <x:row r="483">
      <x:c r="B483" t="str">
        <x:v>PLN-477</x:v>
      </x:c>
      <x:c r="C483" t="str">
        <x:v>PLANNING</x:v>
      </x:c>
      <x:c r="D483" t="str">
        <x:v>schedule package</x:v>
      </x:c>
      <x:c r="E483" t="str">
        <x:v>Schedule · schedule package 2</x:v>
      </x:c>
      <x:c r="F483" t="n">
        <x:f>Controls!$D$53</x:f>
        <x:v>1</x:v>
      </x:c>
      <x:c r="G483" t="n">
        <x:v>1</x:v>
      </x:c>
      <x:c r="H483" t="str">
        <x:v>equals</x:v>
      </x:c>
      <x:c r="I483" t="str">
        <x:v>RFA design authority</x:v>
      </x:c>
      <x:c r="J483" t="str">
        <x:f>IF(F483=1,"PASS","GAP")</x:f>
        <x:v>PASS</x:v>
      </x:c>
    </x:row>
    <x:row r="484">
      <x:c r="B484" t="str">
        <x:v>PLN-478</x:v>
      </x:c>
      <x:c r="C484" t="str">
        <x:v>PLANNING</x:v>
      </x:c>
      <x:c r="D484" t="str">
        <x:v>schedule package</x:v>
      </x:c>
      <x:c r="E484" t="str">
        <x:v>Schedule · schedule package 3</x:v>
      </x:c>
      <x:c r="F484" t="n">
        <x:f>Controls!$D$53</x:f>
        <x:v>1</x:v>
      </x:c>
      <x:c r="G484" t="n">
        <x:v>1</x:v>
      </x:c>
      <x:c r="H484" t="str">
        <x:v>equals</x:v>
      </x:c>
      <x:c r="I484" t="str">
        <x:v>RFA design authority</x:v>
      </x:c>
      <x:c r="J484" t="str">
        <x:f>IF(F484=1,"PASS","GAP")</x:f>
        <x:v>PASS</x:v>
      </x:c>
    </x:row>
    <x:row r="485">
      <x:c r="B485" t="str">
        <x:v>PLN-479</x:v>
      </x:c>
      <x:c r="C485" t="str">
        <x:v>PLANNING</x:v>
      </x:c>
      <x:c r="D485" t="str">
        <x:v>schedule package</x:v>
      </x:c>
      <x:c r="E485" t="str">
        <x:v>Schedule · schedule package 4</x:v>
      </x:c>
      <x:c r="F485" t="n">
        <x:f>Controls!$D$53</x:f>
        <x:v>1</x:v>
      </x:c>
      <x:c r="G485" t="n">
        <x:v>1</x:v>
      </x:c>
      <x:c r="H485" t="str">
        <x:v>equals</x:v>
      </x:c>
      <x:c r="I485" t="str">
        <x:v>RFA design authority</x:v>
      </x:c>
      <x:c r="J485" t="str">
        <x:f>IF(F485=1,"PASS","GAP")</x:f>
        <x:v>PASS</x:v>
      </x:c>
    </x:row>
    <x:row r="486">
      <x:c r="B486" t="str">
        <x:v>PLN-480</x:v>
      </x:c>
      <x:c r="C486" t="str">
        <x:v>PLANNING</x:v>
      </x:c>
      <x:c r="D486" t="str">
        <x:v>schedule package</x:v>
      </x:c>
      <x:c r="E486" t="str">
        <x:v>Schedule · schedule package 5</x:v>
      </x:c>
      <x:c r="F486" t="n">
        <x:f>Controls!$D$53</x:f>
        <x:v>1</x:v>
      </x:c>
      <x:c r="G486" t="n">
        <x:v>1</x:v>
      </x:c>
      <x:c r="H486" t="str">
        <x:v>equals</x:v>
      </x:c>
      <x:c r="I486" t="str">
        <x:v>RFA design authority</x:v>
      </x:c>
      <x:c r="J486" t="str">
        <x:f>IF(F486=1,"PASS","GAP")</x:f>
        <x:v>PASS</x:v>
      </x:c>
    </x:row>
    <x:row r="487">
      <x:c r="B487" t="str">
        <x:v>PLN-481</x:v>
      </x:c>
      <x:c r="C487" t="str">
        <x:v>PLANNING</x:v>
      </x:c>
      <x:c r="D487" t="str">
        <x:v>schedule package</x:v>
      </x:c>
      <x:c r="E487" t="str">
        <x:v>Schedule · schedule package 6</x:v>
      </x:c>
      <x:c r="F487" t="n">
        <x:f>Controls!$D$53</x:f>
        <x:v>1</x:v>
      </x:c>
      <x:c r="G487" t="n">
        <x:v>1</x:v>
      </x:c>
      <x:c r="H487" t="str">
        <x:v>equals</x:v>
      </x:c>
      <x:c r="I487" t="str">
        <x:v>RFA design authority</x:v>
      </x:c>
      <x:c r="J487" t="str">
        <x:f>IF(F487=1,"PASS","GAP")</x:f>
        <x:v>PASS</x:v>
      </x:c>
    </x:row>
    <x:row r="488">
      <x:c r="B488" t="str">
        <x:v>PLN-482</x:v>
      </x:c>
      <x:c r="C488" t="str">
        <x:v>PLANNING</x:v>
      </x:c>
      <x:c r="D488" t="str">
        <x:v>schedule package</x:v>
      </x:c>
      <x:c r="E488" t="str">
        <x:v>Schedule · schedule package 7</x:v>
      </x:c>
      <x:c r="F488" t="n">
        <x:f>Controls!$D$53</x:f>
        <x:v>1</x:v>
      </x:c>
      <x:c r="G488" t="n">
        <x:v>1</x:v>
      </x:c>
      <x:c r="H488" t="str">
        <x:v>equals</x:v>
      </x:c>
      <x:c r="I488" t="str">
        <x:v>RFA design authority</x:v>
      </x:c>
      <x:c r="J488" t="str">
        <x:f>IF(F488=1,"PASS","GAP")</x:f>
        <x:v>PASS</x:v>
      </x:c>
    </x:row>
    <x:row r="489">
      <x:c r="B489" t="str">
        <x:v>PLN-483</x:v>
      </x:c>
      <x:c r="C489" t="str">
        <x:v>PLANNING</x:v>
      </x:c>
      <x:c r="D489" t="str">
        <x:v>schedule package</x:v>
      </x:c>
      <x:c r="E489" t="str">
        <x:v>Schedule · schedule package 8</x:v>
      </x:c>
      <x:c r="F489" t="n">
        <x:f>Controls!$D$53</x:f>
        <x:v>1</x:v>
      </x:c>
      <x:c r="G489" t="n">
        <x:v>1</x:v>
      </x:c>
      <x:c r="H489" t="str">
        <x:v>equals</x:v>
      </x:c>
      <x:c r="I489" t="str">
        <x:v>RFA design authority</x:v>
      </x:c>
      <x:c r="J489" t="str">
        <x:f>IF(F489=1,"PASS","GAP")</x:f>
        <x:v>PASS</x:v>
      </x:c>
    </x:row>
    <x:row r="490">
      <x:c r="B490" t="str">
        <x:v>PLN-484</x:v>
      </x:c>
      <x:c r="C490" t="str">
        <x:v>PLANNING</x:v>
      </x:c>
      <x:c r="D490" t="str">
        <x:v>schedule package</x:v>
      </x:c>
      <x:c r="E490" t="str">
        <x:v>Schedule · schedule package 9</x:v>
      </x:c>
      <x:c r="F490" t="n">
        <x:f>Controls!$D$53</x:f>
        <x:v>1</x:v>
      </x:c>
      <x:c r="G490" t="n">
        <x:v>1</x:v>
      </x:c>
      <x:c r="H490" t="str">
        <x:v>equals</x:v>
      </x:c>
      <x:c r="I490" t="str">
        <x:v>RFA design authority</x:v>
      </x:c>
      <x:c r="J490" t="str">
        <x:f>IF(F490=1,"PASS","GAP")</x:f>
        <x:v>PASS</x:v>
      </x:c>
    </x:row>
    <x:row r="491">
      <x:c r="B491" t="str">
        <x:v>PLN-485</x:v>
      </x:c>
      <x:c r="C491" t="str">
        <x:v>PLANNING</x:v>
      </x:c>
      <x:c r="D491" t="str">
        <x:v>schedule package</x:v>
      </x:c>
      <x:c r="E491" t="str">
        <x:v>Schedule · schedule package 10</x:v>
      </x:c>
      <x:c r="F491" t="n">
        <x:f>Controls!$D$53</x:f>
        <x:v>1</x:v>
      </x:c>
      <x:c r="G491" t="n">
        <x:v>1</x:v>
      </x:c>
      <x:c r="H491" t="str">
        <x:v>equals</x:v>
      </x:c>
      <x:c r="I491" t="str">
        <x:v>RFA design authority</x:v>
      </x:c>
      <x:c r="J491" t="str">
        <x:f>IF(F491=1,"PASS","GAP")</x:f>
        <x:v>PASS</x:v>
      </x:c>
    </x:row>
    <x:row r="492">
      <x:c r="B492" t="str">
        <x:v>PLN-486</x:v>
      </x:c>
      <x:c r="C492" t="str">
        <x:v>PLANNING</x:v>
      </x:c>
      <x:c r="D492" t="str">
        <x:v>workforce function</x:v>
      </x:c>
      <x:c r="E492" t="str">
        <x:v>Workforce · workforce function 1</x:v>
      </x:c>
      <x:c r="F492" t="n">
        <x:f>Controls!$D$53</x:f>
        <x:v>1</x:v>
      </x:c>
      <x:c r="G492" t="n">
        <x:v>1</x:v>
      </x:c>
      <x:c r="H492" t="str">
        <x:v>equals</x:v>
      </x:c>
      <x:c r="I492" t="str">
        <x:v>RFA design authority</x:v>
      </x:c>
      <x:c r="J492" t="str">
        <x:f>IF(F492=1,"PASS","GAP")</x:f>
        <x:v>PASS</x:v>
      </x:c>
    </x:row>
    <x:row r="493">
      <x:c r="B493" t="str">
        <x:v>PLN-487</x:v>
      </x:c>
      <x:c r="C493" t="str">
        <x:v>PLANNING</x:v>
      </x:c>
      <x:c r="D493" t="str">
        <x:v>workforce function</x:v>
      </x:c>
      <x:c r="E493" t="str">
        <x:v>Workforce · workforce function 2</x:v>
      </x:c>
      <x:c r="F493" t="n">
        <x:f>Controls!$D$53</x:f>
        <x:v>1</x:v>
      </x:c>
      <x:c r="G493" t="n">
        <x:v>1</x:v>
      </x:c>
      <x:c r="H493" t="str">
        <x:v>equals</x:v>
      </x:c>
      <x:c r="I493" t="str">
        <x:v>RFA design authority</x:v>
      </x:c>
      <x:c r="J493" t="str">
        <x:f>IF(F493=1,"PASS","GAP")</x:f>
        <x:v>PASS</x:v>
      </x:c>
    </x:row>
    <x:row r="494">
      <x:c r="B494" t="str">
        <x:v>PLN-488</x:v>
      </x:c>
      <x:c r="C494" t="str">
        <x:v>PLANNING</x:v>
      </x:c>
      <x:c r="D494" t="str">
        <x:v>workforce function</x:v>
      </x:c>
      <x:c r="E494" t="str">
        <x:v>Workforce · workforce function 3</x:v>
      </x:c>
      <x:c r="F494" t="n">
        <x:f>Controls!$D$53</x:f>
        <x:v>1</x:v>
      </x:c>
      <x:c r="G494" t="n">
        <x:v>1</x:v>
      </x:c>
      <x:c r="H494" t="str">
        <x:v>equals</x:v>
      </x:c>
      <x:c r="I494" t="str">
        <x:v>RFA design authority</x:v>
      </x:c>
      <x:c r="J494" t="str">
        <x:f>IF(F494=1,"PASS","GAP")</x:f>
        <x:v>PASS</x:v>
      </x:c>
    </x:row>
    <x:row r="495">
      <x:c r="B495" t="str">
        <x:v>PLN-489</x:v>
      </x:c>
      <x:c r="C495" t="str">
        <x:v>PLANNING</x:v>
      </x:c>
      <x:c r="D495" t="str">
        <x:v>workforce function</x:v>
      </x:c>
      <x:c r="E495" t="str">
        <x:v>Workforce · workforce function 4</x:v>
      </x:c>
      <x:c r="F495" t="n">
        <x:f>Controls!$D$53</x:f>
        <x:v>1</x:v>
      </x:c>
      <x:c r="G495" t="n">
        <x:v>1</x:v>
      </x:c>
      <x:c r="H495" t="str">
        <x:v>equals</x:v>
      </x:c>
      <x:c r="I495" t="str">
        <x:v>RFA design authority</x:v>
      </x:c>
      <x:c r="J495" t="str">
        <x:f>IF(F495=1,"PASS","GAP")</x:f>
        <x:v>PASS</x:v>
      </x:c>
    </x:row>
    <x:row r="496">
      <x:c r="B496" t="str">
        <x:v>PLN-490</x:v>
      </x:c>
      <x:c r="C496" t="str">
        <x:v>PLANNING</x:v>
      </x:c>
      <x:c r="D496" t="str">
        <x:v>workforce function</x:v>
      </x:c>
      <x:c r="E496" t="str">
        <x:v>Workforce · workforce function 5</x:v>
      </x:c>
      <x:c r="F496" t="n">
        <x:f>Controls!$D$53</x:f>
        <x:v>1</x:v>
      </x:c>
      <x:c r="G496" t="n">
        <x:v>1</x:v>
      </x:c>
      <x:c r="H496" t="str">
        <x:v>equals</x:v>
      </x:c>
      <x:c r="I496" t="str">
        <x:v>RFA design authority</x:v>
      </x:c>
      <x:c r="J496" t="str">
        <x:f>IF(F496=1,"PASS","GAP")</x:f>
        <x:v>PASS</x:v>
      </x:c>
    </x:row>
    <x:row r="497">
      <x:c r="B497" t="str">
        <x:v>PLN-491</x:v>
      </x:c>
      <x:c r="C497" t="str">
        <x:v>PLANNING</x:v>
      </x:c>
      <x:c r="D497" t="str">
        <x:v>workforce function</x:v>
      </x:c>
      <x:c r="E497" t="str">
        <x:v>Workforce · workforce function 6</x:v>
      </x:c>
      <x:c r="F497" t="n">
        <x:f>Controls!$D$53</x:f>
        <x:v>1</x:v>
      </x:c>
      <x:c r="G497" t="n">
        <x:v>1</x:v>
      </x:c>
      <x:c r="H497" t="str">
        <x:v>equals</x:v>
      </x:c>
      <x:c r="I497" t="str">
        <x:v>RFA design authority</x:v>
      </x:c>
      <x:c r="J497" t="str">
        <x:f>IF(F497=1,"PASS","GAP")</x:f>
        <x:v>PASS</x:v>
      </x:c>
    </x:row>
    <x:row r="498">
      <x:c r="B498" t="str">
        <x:v>PLN-492</x:v>
      </x:c>
      <x:c r="C498" t="str">
        <x:v>PLANNING</x:v>
      </x:c>
      <x:c r="D498" t="str">
        <x:v>workforce function</x:v>
      </x:c>
      <x:c r="E498" t="str">
        <x:v>Workforce · workforce function 7</x:v>
      </x:c>
      <x:c r="F498" t="n">
        <x:f>Controls!$D$53</x:f>
        <x:v>1</x:v>
      </x:c>
      <x:c r="G498" t="n">
        <x:v>1</x:v>
      </x:c>
      <x:c r="H498" t="str">
        <x:v>equals</x:v>
      </x:c>
      <x:c r="I498" t="str">
        <x:v>RFA design authority</x:v>
      </x:c>
      <x:c r="J498" t="str">
        <x:f>IF(F498=1,"PASS","GAP")</x:f>
        <x:v>PASS</x:v>
      </x:c>
    </x:row>
    <x:row r="499">
      <x:c r="B499" t="str">
        <x:v>PLN-493</x:v>
      </x:c>
      <x:c r="C499" t="str">
        <x:v>PLANNING</x:v>
      </x:c>
      <x:c r="D499" t="str">
        <x:v>workforce function</x:v>
      </x:c>
      <x:c r="E499" t="str">
        <x:v>Workforce · workforce function 8</x:v>
      </x:c>
      <x:c r="F499" t="n">
        <x:f>Controls!$D$53</x:f>
        <x:v>1</x:v>
      </x:c>
      <x:c r="G499" t="n">
        <x:v>1</x:v>
      </x:c>
      <x:c r="H499" t="str">
        <x:v>equals</x:v>
      </x:c>
      <x:c r="I499" t="str">
        <x:v>RFA design authority</x:v>
      </x:c>
      <x:c r="J499" t="str">
        <x:f>IF(F499=1,"PASS","GAP")</x:f>
        <x:v>PASS</x:v>
      </x:c>
    </x:row>
    <x:row r="500">
      <x:c r="B500" t="str">
        <x:v>PLN-494</x:v>
      </x:c>
      <x:c r="C500" t="str">
        <x:v>PLANNING</x:v>
      </x:c>
      <x:c r="D500" t="str">
        <x:v>workforce function</x:v>
      </x:c>
      <x:c r="E500" t="str">
        <x:v>Workforce · workforce function 9</x:v>
      </x:c>
      <x:c r="F500" t="n">
        <x:f>Controls!$D$53</x:f>
        <x:v>1</x:v>
      </x:c>
      <x:c r="G500" t="n">
        <x:v>1</x:v>
      </x:c>
      <x:c r="H500" t="str">
        <x:v>equals</x:v>
      </x:c>
      <x:c r="I500" t="str">
        <x:v>RFA design authority</x:v>
      </x:c>
      <x:c r="J500" t="str">
        <x:f>IF(F500=1,"PASS","GAP")</x:f>
        <x:v>PASS</x:v>
      </x:c>
    </x:row>
    <x:row r="501">
      <x:c r="B501" t="str">
        <x:v>PLN-495</x:v>
      </x:c>
      <x:c r="C501" t="str">
        <x:v>PLANNING</x:v>
      </x:c>
      <x:c r="D501" t="str">
        <x:v>capital line</x:v>
      </x:c>
      <x:c r="E501" t="str">
        <x:v>Capital · capital line 1</x:v>
      </x:c>
      <x:c r="F501" t="n">
        <x:f>Controls!$D$53</x:f>
        <x:v>1</x:v>
      </x:c>
      <x:c r="G501" t="n">
        <x:v>1</x:v>
      </x:c>
      <x:c r="H501" t="str">
        <x:v>equals</x:v>
      </x:c>
      <x:c r="I501" t="str">
        <x:v>RFA design authority</x:v>
      </x:c>
      <x:c r="J501" t="str">
        <x:f>IF(F501=1,"PASS","GAP")</x:f>
        <x:v>PASS</x:v>
      </x:c>
    </x:row>
    <x:row r="502">
      <x:c r="B502" t="str">
        <x:v>PLN-496</x:v>
      </x:c>
      <x:c r="C502" t="str">
        <x:v>PLANNING</x:v>
      </x:c>
      <x:c r="D502" t="str">
        <x:v>capital line</x:v>
      </x:c>
      <x:c r="E502" t="str">
        <x:v>Capital · capital line 2</x:v>
      </x:c>
      <x:c r="F502" t="n">
        <x:f>Controls!$D$53</x:f>
        <x:v>1</x:v>
      </x:c>
      <x:c r="G502" t="n">
        <x:v>1</x:v>
      </x:c>
      <x:c r="H502" t="str">
        <x:v>equals</x:v>
      </x:c>
      <x:c r="I502" t="str">
        <x:v>RFA design authority</x:v>
      </x:c>
      <x:c r="J502" t="str">
        <x:f>IF(F502=1,"PASS","GAP")</x:f>
        <x:v>PASS</x:v>
      </x:c>
    </x:row>
    <x:row r="503">
      <x:c r="B503" t="str">
        <x:v>PLN-497</x:v>
      </x:c>
      <x:c r="C503" t="str">
        <x:v>PLANNING</x:v>
      </x:c>
      <x:c r="D503" t="str">
        <x:v>capital line</x:v>
      </x:c>
      <x:c r="E503" t="str">
        <x:v>Capital · capital line 3</x:v>
      </x:c>
      <x:c r="F503" t="n">
        <x:f>Controls!$D$53</x:f>
        <x:v>1</x:v>
      </x:c>
      <x:c r="G503" t="n">
        <x:v>1</x:v>
      </x:c>
      <x:c r="H503" t="str">
        <x:v>equals</x:v>
      </x:c>
      <x:c r="I503" t="str">
        <x:v>RFA design authority</x:v>
      </x:c>
      <x:c r="J503" t="str">
        <x:f>IF(F503=1,"PASS","GAP")</x:f>
        <x:v>PASS</x:v>
      </x:c>
    </x:row>
    <x:row r="504">
      <x:c r="B504" t="str">
        <x:v>PLN-498</x:v>
      </x:c>
      <x:c r="C504" t="str">
        <x:v>PLANNING</x:v>
      </x:c>
      <x:c r="D504" t="str">
        <x:v>capital line</x:v>
      </x:c>
      <x:c r="E504" t="str">
        <x:v>Capital · capital line 4</x:v>
      </x:c>
      <x:c r="F504" t="n">
        <x:f>Controls!$D$53</x:f>
        <x:v>1</x:v>
      </x:c>
      <x:c r="G504" t="n">
        <x:v>1</x:v>
      </x:c>
      <x:c r="H504" t="str">
        <x:v>equals</x:v>
      </x:c>
      <x:c r="I504" t="str">
        <x:v>RFA design authority</x:v>
      </x:c>
      <x:c r="J504" t="str">
        <x:f>IF(F504=1,"PASS","GAP")</x:f>
        <x:v>PASS</x:v>
      </x:c>
    </x:row>
    <x:row r="505">
      <x:c r="B505" t="str">
        <x:v>PLN-499</x:v>
      </x:c>
      <x:c r="C505" t="str">
        <x:v>PLANNING</x:v>
      </x:c>
      <x:c r="D505" t="str">
        <x:v>capital line</x:v>
      </x:c>
      <x:c r="E505" t="str">
        <x:v>Capital · capital line 5</x:v>
      </x:c>
      <x:c r="F505" t="n">
        <x:f>Controls!$D$53</x:f>
        <x:v>1</x:v>
      </x:c>
      <x:c r="G505" t="n">
        <x:v>1</x:v>
      </x:c>
      <x:c r="H505" t="str">
        <x:v>equals</x:v>
      </x:c>
      <x:c r="I505" t="str">
        <x:v>RFA design authority</x:v>
      </x:c>
      <x:c r="J505" t="str">
        <x:f>IF(F505=1,"PASS","GAP")</x:f>
        <x:v>PASS</x:v>
      </x:c>
    </x:row>
    <x:row r="506">
      <x:c r="B506" t="str">
        <x:v>PLN-500</x:v>
      </x:c>
      <x:c r="C506" t="str">
        <x:v>PLANNING</x:v>
      </x:c>
      <x:c r="D506" t="str">
        <x:v>capital line</x:v>
      </x:c>
      <x:c r="E506" t="str">
        <x:v>Capital · capital line 6</x:v>
      </x:c>
      <x:c r="F506" t="n">
        <x:f>Controls!$D$53</x:f>
        <x:v>1</x:v>
      </x:c>
      <x:c r="G506" t="n">
        <x:v>1</x:v>
      </x:c>
      <x:c r="H506" t="str">
        <x:v>equals</x:v>
      </x:c>
      <x:c r="I506" t="str">
        <x:v>RFA design authority</x:v>
      </x:c>
      <x:c r="J506" t="str">
        <x:f>IF(F506=1,"PASS","GAP")</x:f>
        <x:v>PASS</x:v>
      </x:c>
    </x:row>
    <x:row r="507">
      <x:c r="B507" t="str">
        <x:v>PLN-501</x:v>
      </x:c>
      <x:c r="C507" t="str">
        <x:v>PLANNING</x:v>
      </x:c>
      <x:c r="D507" t="str">
        <x:v>capital line</x:v>
      </x:c>
      <x:c r="E507" t="str">
        <x:v>Capital · capital line 7</x:v>
      </x:c>
      <x:c r="F507" t="n">
        <x:f>Controls!$D$53</x:f>
        <x:v>1</x:v>
      </x:c>
      <x:c r="G507" t="n">
        <x:v>1</x:v>
      </x:c>
      <x:c r="H507" t="str">
        <x:v>equals</x:v>
      </x:c>
      <x:c r="I507" t="str">
        <x:v>RFA design authority</x:v>
      </x:c>
      <x:c r="J507" t="str">
        <x:f>IF(F507=1,"PASS","GAP")</x:f>
        <x:v>PASS</x:v>
      </x:c>
    </x:row>
    <x:row r="508">
      <x:c r="B508" t="str">
        <x:v>PLN-502</x:v>
      </x:c>
      <x:c r="C508" t="str">
        <x:v>PLANNING</x:v>
      </x:c>
      <x:c r="D508" t="str">
        <x:v>capital line</x:v>
      </x:c>
      <x:c r="E508" t="str">
        <x:v>Capital · capital line 8</x:v>
      </x:c>
      <x:c r="F508" t="n">
        <x:f>Controls!$D$53</x:f>
        <x:v>1</x:v>
      </x:c>
      <x:c r="G508" t="n">
        <x:v>1</x:v>
      </x:c>
      <x:c r="H508" t="str">
        <x:v>equals</x:v>
      </x:c>
      <x:c r="I508" t="str">
        <x:v>RFA design authority</x:v>
      </x:c>
      <x:c r="J508" t="str">
        <x:f>IF(F508=1,"PASS","GAP")</x:f>
        <x:v>PASS</x:v>
      </x:c>
    </x:row>
    <x:row r="509">
      <x:c r="B509" t="str">
        <x:v>PLN-503</x:v>
      </x:c>
      <x:c r="C509" t="str">
        <x:v>PLANNING</x:v>
      </x:c>
      <x:c r="D509" t="str">
        <x:v>capital line</x:v>
      </x:c>
      <x:c r="E509" t="str">
        <x:v>Capital · capital line 9</x:v>
      </x:c>
      <x:c r="F509" t="n">
        <x:f>Controls!$D$53</x:f>
        <x:v>1</x:v>
      </x:c>
      <x:c r="G509" t="n">
        <x:v>1</x:v>
      </x:c>
      <x:c r="H509" t="str">
        <x:v>equals</x:v>
      </x:c>
      <x:c r="I509" t="str">
        <x:v>RFA design authority</x:v>
      </x:c>
      <x:c r="J509" t="str">
        <x:f>IF(F509=1,"PASS","GAP")</x:f>
        <x:v>PASS</x:v>
      </x:c>
    </x:row>
    <x:row r="510">
      <x:c r="B510" t="str">
        <x:v>PLN-504</x:v>
      </x:c>
      <x:c r="C510" t="str">
        <x:v>PLANNING</x:v>
      </x:c>
      <x:c r="D510" t="str">
        <x:v>capital line</x:v>
      </x:c>
      <x:c r="E510" t="str">
        <x:v>Capital · capital line 10</x:v>
      </x:c>
      <x:c r="F510" t="n">
        <x:f>Controls!$D$53</x:f>
        <x:v>1</x:v>
      </x:c>
      <x:c r="G510" t="n">
        <x:v>1</x:v>
      </x:c>
      <x:c r="H510" t="str">
        <x:v>equals</x:v>
      </x:c>
      <x:c r="I510" t="str">
        <x:v>RFA design authority</x:v>
      </x:c>
      <x:c r="J510" t="str">
        <x:f>IF(F510=1,"PASS","GAP")</x:f>
        <x:v>PASS</x:v>
      </x:c>
    </x:row>
    <x:row r="511">
      <x:c r="B511" t="str">
        <x:v>PLN-505</x:v>
      </x:c>
      <x:c r="C511" t="str">
        <x:v>PLANNING</x:v>
      </x:c>
      <x:c r="D511" t="str">
        <x:v>annual line</x:v>
      </x:c>
      <x:c r="E511" t="str">
        <x:v>Annual Support · annual line 1</x:v>
      </x:c>
      <x:c r="F511" t="n">
        <x:f>Controls!$D$53</x:f>
        <x:v>1</x:v>
      </x:c>
      <x:c r="G511" t="n">
        <x:v>1</x:v>
      </x:c>
      <x:c r="H511" t="str">
        <x:v>equals</x:v>
      </x:c>
      <x:c r="I511" t="str">
        <x:v>RFA design authority</x:v>
      </x:c>
      <x:c r="J511" t="str">
        <x:f>IF(F511=1,"PASS","GAP")</x:f>
        <x:v>PASS</x:v>
      </x:c>
    </x:row>
    <x:row r="512">
      <x:c r="B512" t="str">
        <x:v>PLN-506</x:v>
      </x:c>
      <x:c r="C512" t="str">
        <x:v>PLANNING</x:v>
      </x:c>
      <x:c r="D512" t="str">
        <x:v>annual line</x:v>
      </x:c>
      <x:c r="E512" t="str">
        <x:v>Annual Support · annual line 2</x:v>
      </x:c>
      <x:c r="F512" t="n">
        <x:f>Controls!$D$53</x:f>
        <x:v>1</x:v>
      </x:c>
      <x:c r="G512" t="n">
        <x:v>1</x:v>
      </x:c>
      <x:c r="H512" t="str">
        <x:v>equals</x:v>
      </x:c>
      <x:c r="I512" t="str">
        <x:v>RFA design authority</x:v>
      </x:c>
      <x:c r="J512" t="str">
        <x:f>IF(F512=1,"PASS","GAP")</x:f>
        <x:v>PASS</x:v>
      </x:c>
    </x:row>
    <x:row r="513">
      <x:c r="B513" t="str">
        <x:v>PLN-507</x:v>
      </x:c>
      <x:c r="C513" t="str">
        <x:v>PLANNING</x:v>
      </x:c>
      <x:c r="D513" t="str">
        <x:v>annual line</x:v>
      </x:c>
      <x:c r="E513" t="str">
        <x:v>Annual Support · annual line 3</x:v>
      </x:c>
      <x:c r="F513" t="n">
        <x:f>Controls!$D$53</x:f>
        <x:v>1</x:v>
      </x:c>
      <x:c r="G513" t="n">
        <x:v>1</x:v>
      </x:c>
      <x:c r="H513" t="str">
        <x:v>equals</x:v>
      </x:c>
      <x:c r="I513" t="str">
        <x:v>RFA design authority</x:v>
      </x:c>
      <x:c r="J513" t="str">
        <x:f>IF(F513=1,"PASS","GAP")</x:f>
        <x:v>PASS</x:v>
      </x:c>
    </x:row>
    <x:row r="514">
      <x:c r="B514" t="str">
        <x:v>PLN-508</x:v>
      </x:c>
      <x:c r="C514" t="str">
        <x:v>PLANNING</x:v>
      </x:c>
      <x:c r="D514" t="str">
        <x:v>annual line</x:v>
      </x:c>
      <x:c r="E514" t="str">
        <x:v>Annual Support · annual line 4</x:v>
      </x:c>
      <x:c r="F514" t="n">
        <x:f>Controls!$D$53</x:f>
        <x:v>1</x:v>
      </x:c>
      <x:c r="G514" t="n">
        <x:v>1</x:v>
      </x:c>
      <x:c r="H514" t="str">
        <x:v>equals</x:v>
      </x:c>
      <x:c r="I514" t="str">
        <x:v>RFA design authority</x:v>
      </x:c>
      <x:c r="J514" t="str">
        <x:f>IF(F514=1,"PASS","GAP")</x:f>
        <x:v>PASS</x:v>
      </x:c>
    </x:row>
    <x:row r="515">
      <x:c r="B515" t="str">
        <x:v>PLN-509</x:v>
      </x:c>
      <x:c r="C515" t="str">
        <x:v>PLANNING</x:v>
      </x:c>
      <x:c r="D515" t="str">
        <x:v>annual line</x:v>
      </x:c>
      <x:c r="E515" t="str">
        <x:v>Annual Support · annual line 5</x:v>
      </x:c>
      <x:c r="F515" t="n">
        <x:f>Controls!$D$53</x:f>
        <x:v>1</x:v>
      </x:c>
      <x:c r="G515" t="n">
        <x:v>1</x:v>
      </x:c>
      <x:c r="H515" t="str">
        <x:v>equals</x:v>
      </x:c>
      <x:c r="I515" t="str">
        <x:v>RFA design authority</x:v>
      </x:c>
      <x:c r="J515" t="str">
        <x:f>IF(F515=1,"PASS","GAP")</x:f>
        <x:v>PASS</x:v>
      </x:c>
    </x:row>
    <x:row r="516">
      <x:c r="B516" t="str">
        <x:v>PLN-510</x:v>
      </x:c>
      <x:c r="C516" t="str">
        <x:v>PLANNING</x:v>
      </x:c>
      <x:c r="D516" t="str">
        <x:v>annual line</x:v>
      </x:c>
      <x:c r="E516" t="str">
        <x:v>Annual Support · annual line 6</x:v>
      </x:c>
      <x:c r="F516" t="n">
        <x:f>Controls!$D$53</x:f>
        <x:v>1</x:v>
      </x:c>
      <x:c r="G516" t="n">
        <x:v>1</x:v>
      </x:c>
      <x:c r="H516" t="str">
        <x:v>equals</x:v>
      </x:c>
      <x:c r="I516" t="str">
        <x:v>RFA design authority</x:v>
      </x:c>
      <x:c r="J516" t="str">
        <x:f>IF(F516=1,"PASS","GAP")</x:f>
        <x:v>PASS</x:v>
      </x:c>
    </x:row>
    <x:row r="517">
      <x:c r="B517" t="str">
        <x:v>PLN-511</x:v>
      </x:c>
      <x:c r="C517" t="str">
        <x:v>PLANNING</x:v>
      </x:c>
      <x:c r="D517" t="str">
        <x:v>annual line</x:v>
      </x:c>
      <x:c r="E517" t="str">
        <x:v>Annual Support · annual line 7</x:v>
      </x:c>
      <x:c r="F517" t="n">
        <x:f>Controls!$D$53</x:f>
        <x:v>1</x:v>
      </x:c>
      <x:c r="G517" t="n">
        <x:v>1</x:v>
      </x:c>
      <x:c r="H517" t="str">
        <x:v>equals</x:v>
      </x:c>
      <x:c r="I517" t="str">
        <x:v>RFA design authority</x:v>
      </x:c>
      <x:c r="J517" t="str">
        <x:f>IF(F517=1,"PASS","GAP")</x:f>
        <x:v>PASS</x:v>
      </x:c>
    </x:row>
    <x:row r="518">
      <x:c r="B518" t="str">
        <x:v>PLN-512</x:v>
      </x:c>
      <x:c r="C518" t="str">
        <x:v>PLANNING</x:v>
      </x:c>
      <x:c r="D518" t="str">
        <x:v>annual line</x:v>
      </x:c>
      <x:c r="E518" t="str">
        <x:v>Annual Support · annual line 8</x:v>
      </x:c>
      <x:c r="F518" t="n">
        <x:f>Controls!$D$53</x:f>
        <x:v>1</x:v>
      </x:c>
      <x:c r="G518" t="n">
        <x:v>1</x:v>
      </x:c>
      <x:c r="H518" t="str">
        <x:v>equals</x:v>
      </x:c>
      <x:c r="I518" t="str">
        <x:v>RFA design authority</x:v>
      </x:c>
      <x:c r="J518" t="str">
        <x:f>IF(F518=1,"PASS","GAP")</x:f>
        <x:v>PASS</x:v>
      </x:c>
    </x:row>
    <x:row r="519">
      <x:c r="B519" t="str">
        <x:v>PLN-513</x:v>
      </x:c>
      <x:c r="C519" t="str">
        <x:v>PLANNING</x:v>
      </x:c>
      <x:c r="D519" t="str">
        <x:v>authority</x:v>
      </x:c>
      <x:c r="E519" t="str">
        <x:v>Authority · authority 1</x:v>
      </x:c>
      <x:c r="F519" t="n">
        <x:f>Controls!$D$53</x:f>
        <x:v>1</x:v>
      </x:c>
      <x:c r="G519" t="n">
        <x:v>1</x:v>
      </x:c>
      <x:c r="H519" t="str">
        <x:v>equals</x:v>
      </x:c>
      <x:c r="I519" t="str">
        <x:v>RFA design authority</x:v>
      </x:c>
      <x:c r="J519" t="str">
        <x:f>IF(F519=1,"PASS","GAP")</x:f>
        <x:v>PASS</x:v>
      </x:c>
    </x:row>
    <x:row r="520">
      <x:c r="B520" t="str">
        <x:v>PLN-514</x:v>
      </x:c>
      <x:c r="C520" t="str">
        <x:v>PLANNING</x:v>
      </x:c>
      <x:c r="D520" t="str">
        <x:v>authority</x:v>
      </x:c>
      <x:c r="E520" t="str">
        <x:v>Authority · authority 2</x:v>
      </x:c>
      <x:c r="F520" t="n">
        <x:f>Controls!$D$53</x:f>
        <x:v>1</x:v>
      </x:c>
      <x:c r="G520" t="n">
        <x:v>1</x:v>
      </x:c>
      <x:c r="H520" t="str">
        <x:v>equals</x:v>
      </x:c>
      <x:c r="I520" t="str">
        <x:v>RFA design authority</x:v>
      </x:c>
      <x:c r="J520" t="str">
        <x:f>IF(F520=1,"PASS","GAP")</x:f>
        <x:v>PASS</x:v>
      </x:c>
    </x:row>
    <x:row r="521">
      <x:c r="B521" t="str">
        <x:v>PLN-515</x:v>
      </x:c>
      <x:c r="C521" t="str">
        <x:v>PLANNING</x:v>
      </x:c>
      <x:c r="D521" t="str">
        <x:v>authority</x:v>
      </x:c>
      <x:c r="E521" t="str">
        <x:v>Authority · authority 3</x:v>
      </x:c>
      <x:c r="F521" t="n">
        <x:f>Controls!$D$53</x:f>
        <x:v>1</x:v>
      </x:c>
      <x:c r="G521" t="n">
        <x:v>1</x:v>
      </x:c>
      <x:c r="H521" t="str">
        <x:v>equals</x:v>
      </x:c>
      <x:c r="I521" t="str">
        <x:v>RFA design authority</x:v>
      </x:c>
      <x:c r="J521" t="str">
        <x:f>IF(F521=1,"PASS","GAP")</x:f>
        <x:v>PASS</x:v>
      </x:c>
    </x:row>
    <x:row r="522">
      <x:c r="B522" t="str">
        <x:v>PLN-516</x:v>
      </x:c>
      <x:c r="C522" t="str">
        <x:v>PLANNING</x:v>
      </x:c>
      <x:c r="D522" t="str">
        <x:v>authority</x:v>
      </x:c>
      <x:c r="E522" t="str">
        <x:v>Authority · authority 4</x:v>
      </x:c>
      <x:c r="F522" t="n">
        <x:f>Controls!$D$53</x:f>
        <x:v>1</x:v>
      </x:c>
      <x:c r="G522" t="n">
        <x:v>1</x:v>
      </x:c>
      <x:c r="H522" t="str">
        <x:v>equals</x:v>
      </x:c>
      <x:c r="I522" t="str">
        <x:v>RFA design authority</x:v>
      </x:c>
      <x:c r="J522" t="str">
        <x:f>IF(F522=1,"PASS","GAP")</x:f>
        <x:v>PASS</x:v>
      </x:c>
    </x:row>
    <x:row r="523">
      <x:c r="B523" t="str">
        <x:v>PLN-517</x:v>
      </x:c>
      <x:c r="C523" t="str">
        <x:v>PLANNING</x:v>
      </x:c>
      <x:c r="D523" t="str">
        <x:v>authority</x:v>
      </x:c>
      <x:c r="E523" t="str">
        <x:v>Authority · authority 5</x:v>
      </x:c>
      <x:c r="F523" t="n">
        <x:f>Controls!$D$53</x:f>
        <x:v>1</x:v>
      </x:c>
      <x:c r="G523" t="n">
        <x:v>1</x:v>
      </x:c>
      <x:c r="H523" t="str">
        <x:v>equals</x:v>
      </x:c>
      <x:c r="I523" t="str">
        <x:v>RFA design authority</x:v>
      </x:c>
      <x:c r="J523" t="str">
        <x:f>IF(F523=1,"PASS","GAP")</x:f>
        <x:v>PASS</x:v>
      </x:c>
    </x:row>
    <x:row r="524">
      <x:c r="B524" t="str">
        <x:v>PLN-518</x:v>
      </x:c>
      <x:c r="C524" t="str">
        <x:v>PLANNING</x:v>
      </x:c>
      <x:c r="D524" t="str">
        <x:v>authority</x:v>
      </x:c>
      <x:c r="E524" t="str">
        <x:v>Authority · authority 6</x:v>
      </x:c>
      <x:c r="F524" t="n">
        <x:f>Controls!$D$53</x:f>
        <x:v>1</x:v>
      </x:c>
      <x:c r="G524" t="n">
        <x:v>1</x:v>
      </x:c>
      <x:c r="H524" t="str">
        <x:v>equals</x:v>
      </x:c>
      <x:c r="I524" t="str">
        <x:v>RFA design authority</x:v>
      </x:c>
      <x:c r="J524" t="str">
        <x:f>IF(F524=1,"PASS","GAP")</x:f>
        <x:v>PASS</x:v>
      </x:c>
    </x:row>
    <x:row r="525">
      <x:c r="B525" t="str">
        <x:v>PLN-519</x:v>
      </x:c>
      <x:c r="C525" t="str">
        <x:v>PLANNING</x:v>
      </x:c>
      <x:c r="D525" t="str">
        <x:v>authority</x:v>
      </x:c>
      <x:c r="E525" t="str">
        <x:v>Authority · authority 7</x:v>
      </x:c>
      <x:c r="F525" t="n">
        <x:f>Controls!$D$53</x:f>
        <x:v>1</x:v>
      </x:c>
      <x:c r="G525" t="n">
        <x:v>1</x:v>
      </x:c>
      <x:c r="H525" t="str">
        <x:v>equals</x:v>
      </x:c>
      <x:c r="I525" t="str">
        <x:v>RFA design authority</x:v>
      </x:c>
      <x:c r="J525" t="str">
        <x:f>IF(F525=1,"PASS","GAP")</x:f>
        <x:v>PASS</x:v>
      </x:c>
    </x:row>
    <x:row r="526">
      <x:c r="B526" t="str">
        <x:v>PLN-520</x:v>
      </x:c>
      <x:c r="C526" t="str">
        <x:v>PLANNING</x:v>
      </x:c>
      <x:c r="D526" t="str">
        <x:v>authority</x:v>
      </x:c>
      <x:c r="E526" t="str">
        <x:v>Authority · authority 8</x:v>
      </x:c>
      <x:c r="F526" t="n">
        <x:f>Controls!$D$53</x:f>
        <x:v>1</x:v>
      </x:c>
      <x:c r="G526" t="n">
        <x:v>1</x:v>
      </x:c>
      <x:c r="H526" t="str">
        <x:v>equals</x:v>
      </x:c>
      <x:c r="I526" t="str">
        <x:v>RFA design authority</x:v>
      </x:c>
      <x:c r="J526" t="str">
        <x:f>IF(F526=1,"PASS","GAP")</x:f>
        <x:v>PASS</x:v>
      </x:c>
    </x:row>
    <x:row r="527">
      <x:c r="B527" t="str">
        <x:v>PLN-521</x:v>
      </x:c>
      <x:c r="C527" t="str">
        <x:v>PLANNING</x:v>
      </x:c>
      <x:c r="D527" t="str">
        <x:v>authority</x:v>
      </x:c>
      <x:c r="E527" t="str">
        <x:v>Authority · authority 9</x:v>
      </x:c>
      <x:c r="F527" t="n">
        <x:f>Controls!$D$53</x:f>
        <x:v>1</x:v>
      </x:c>
      <x:c r="G527" t="n">
        <x:v>1</x:v>
      </x:c>
      <x:c r="H527" t="str">
        <x:v>equals</x:v>
      </x:c>
      <x:c r="I527" t="str">
        <x:v>RFA design authority</x:v>
      </x:c>
      <x:c r="J527" t="str">
        <x:f>IF(F527=1,"PASS","GAP")</x:f>
        <x:v>PASS</x:v>
      </x:c>
    </x:row>
    <x:row r="528">
      <x:c r="B528" t="str">
        <x:v>PHY-EX-001</x:v>
      </x:c>
      <x:c r="C528" t="str">
        <x:v>PHYSICAL</x:v>
      </x:c>
      <x:c r="D528" t="str">
        <x:v>event execution</x:v>
      </x:c>
      <x:c r="E528" t="str">
        <x:v>RFA-E001</x:v>
      </x:c>
      <x:c r="F528" t="n">
        <x:f>IF('Event Register'!M7&lt;&gt;"",1,0)</x:f>
        <x:v>0</x:v>
      </x:c>
      <x:c r="G528" t="n">
        <x:v>1</x:v>
      </x:c>
      <x:c r="H528" t="str">
        <x:v>equals</x:v>
      </x:c>
      <x:c r="I528" t="str">
        <x:v>independent acceptance</x:v>
      </x:c>
      <x:c r="J528" t="str">
        <x:f>IF(F528=1,"PASS","OPEN")</x:f>
        <x:v>OPEN</x:v>
      </x:c>
    </x:row>
    <x:row r="529">
      <x:c r="B529" t="str">
        <x:v>PHY-VA-001</x:v>
      </x:c>
      <x:c r="C529" t="str">
        <x:v>PHYSICAL</x:v>
      </x:c>
      <x:c r="D529" t="str">
        <x:v>event validity</x:v>
      </x:c>
      <x:c r="E529" t="str">
        <x:v>RFA-E001</x:v>
      </x:c>
      <x:c r="F529" t="n">
        <x:f>'Event Estimator'!L7</x:f>
        <x:v>0</x:v>
      </x:c>
      <x:c r="G529" t="n">
        <x:v>1</x:v>
      </x:c>
      <x:c r="H529" t="str">
        <x:v>equals</x:v>
      </x:c>
      <x:c r="I529" t="str">
        <x:v>independent acceptance</x:v>
      </x:c>
      <x:c r="J529" t="str">
        <x:f>IF(F529=1,"PASS","OPEN")</x:f>
        <x:v>OPEN</x:v>
      </x:c>
    </x:row>
    <x:row r="530">
      <x:c r="B530" t="str">
        <x:v>PHY-OC-001</x:v>
      </x:c>
      <x:c r="C530" t="str">
        <x:v>PHYSICAL</x:v>
      </x:c>
      <x:c r="D530" t="str">
        <x:v>event outcome</x:v>
      </x:c>
      <x:c r="E530" t="str">
        <x:v>RFA-E001</x:v>
      </x:c>
      <x:c r="F530" t="n">
        <x:f>IF('Event Estimator'!M7&lt;&gt;"",1,0)</x:f>
        <x:v>0</x:v>
      </x:c>
      <x:c r="G530" t="n">
        <x:v>1</x:v>
      </x:c>
      <x:c r="H530" t="str">
        <x:v>equals</x:v>
      </x:c>
      <x:c r="I530" t="str">
        <x:v>independent acceptance</x:v>
      </x:c>
      <x:c r="J530" t="str">
        <x:f>IF(F530=1,"PASS","OPEN")</x:f>
        <x:v>OPEN</x:v>
      </x:c>
    </x:row>
    <x:row r="531">
      <x:c r="B531" t="str">
        <x:v>PHY-EX-002</x:v>
      </x:c>
      <x:c r="C531" t="str">
        <x:v>PHYSICAL</x:v>
      </x:c>
      <x:c r="D531" t="str">
        <x:v>event execution</x:v>
      </x:c>
      <x:c r="E531" t="str">
        <x:v>RFA-E002</x:v>
      </x:c>
      <x:c r="F531" t="n">
        <x:f>IF('Event Register'!M8&lt;&gt;"",1,0)</x:f>
        <x:v>0</x:v>
      </x:c>
      <x:c r="G531" t="n">
        <x:v>1</x:v>
      </x:c>
      <x:c r="H531" t="str">
        <x:v>equals</x:v>
      </x:c>
      <x:c r="I531" t="str">
        <x:v>independent acceptance</x:v>
      </x:c>
      <x:c r="J531" t="str">
        <x:f>IF(F531=1,"PASS","OPEN")</x:f>
        <x:v>OPEN</x:v>
      </x:c>
    </x:row>
    <x:row r="532">
      <x:c r="B532" t="str">
        <x:v>PHY-VA-002</x:v>
      </x:c>
      <x:c r="C532" t="str">
        <x:v>PHYSICAL</x:v>
      </x:c>
      <x:c r="D532" t="str">
        <x:v>event validity</x:v>
      </x:c>
      <x:c r="E532" t="str">
        <x:v>RFA-E002</x:v>
      </x:c>
      <x:c r="F532" t="n">
        <x:f>'Event Estimator'!L8</x:f>
        <x:v>0</x:v>
      </x:c>
      <x:c r="G532" t="n">
        <x:v>1</x:v>
      </x:c>
      <x:c r="H532" t="str">
        <x:v>equals</x:v>
      </x:c>
      <x:c r="I532" t="str">
        <x:v>independent acceptance</x:v>
      </x:c>
      <x:c r="J532" t="str">
        <x:f>IF(F532=1,"PASS","OPEN")</x:f>
        <x:v>OPEN</x:v>
      </x:c>
    </x:row>
    <x:row r="533">
      <x:c r="B533" t="str">
        <x:v>PHY-OC-002</x:v>
      </x:c>
      <x:c r="C533" t="str">
        <x:v>PHYSICAL</x:v>
      </x:c>
      <x:c r="D533" t="str">
        <x:v>event outcome</x:v>
      </x:c>
      <x:c r="E533" t="str">
        <x:v>RFA-E002</x:v>
      </x:c>
      <x:c r="F533" t="n">
        <x:f>IF('Event Estimator'!M8&lt;&gt;"",1,0)</x:f>
        <x:v>0</x:v>
      </x:c>
      <x:c r="G533" t="n">
        <x:v>1</x:v>
      </x:c>
      <x:c r="H533" t="str">
        <x:v>equals</x:v>
      </x:c>
      <x:c r="I533" t="str">
        <x:v>independent acceptance</x:v>
      </x:c>
      <x:c r="J533" t="str">
        <x:f>IF(F533=1,"PASS","OPEN")</x:f>
        <x:v>OPEN</x:v>
      </x:c>
    </x:row>
    <x:row r="534">
      <x:c r="B534" t="str">
        <x:v>PHY-EX-003</x:v>
      </x:c>
      <x:c r="C534" t="str">
        <x:v>PHYSICAL</x:v>
      </x:c>
      <x:c r="D534" t="str">
        <x:v>event execution</x:v>
      </x:c>
      <x:c r="E534" t="str">
        <x:v>RFA-E003</x:v>
      </x:c>
      <x:c r="F534" t="n">
        <x:f>IF('Event Register'!M9&lt;&gt;"",1,0)</x:f>
        <x:v>0</x:v>
      </x:c>
      <x:c r="G534" t="n">
        <x:v>1</x:v>
      </x:c>
      <x:c r="H534" t="str">
        <x:v>equals</x:v>
      </x:c>
      <x:c r="I534" t="str">
        <x:v>independent acceptance</x:v>
      </x:c>
      <x:c r="J534" t="str">
        <x:f>IF(F534=1,"PASS","OPEN")</x:f>
        <x:v>OPEN</x:v>
      </x:c>
    </x:row>
    <x:row r="535">
      <x:c r="B535" t="str">
        <x:v>PHY-VA-003</x:v>
      </x:c>
      <x:c r="C535" t="str">
        <x:v>PHYSICAL</x:v>
      </x:c>
      <x:c r="D535" t="str">
        <x:v>event validity</x:v>
      </x:c>
      <x:c r="E535" t="str">
        <x:v>RFA-E003</x:v>
      </x:c>
      <x:c r="F535" t="n">
        <x:f>'Event Estimator'!L9</x:f>
        <x:v>0</x:v>
      </x:c>
      <x:c r="G535" t="n">
        <x:v>1</x:v>
      </x:c>
      <x:c r="H535" t="str">
        <x:v>equals</x:v>
      </x:c>
      <x:c r="I535" t="str">
        <x:v>independent acceptance</x:v>
      </x:c>
      <x:c r="J535" t="str">
        <x:f>IF(F535=1,"PASS","OPEN")</x:f>
        <x:v>OPEN</x:v>
      </x:c>
    </x:row>
    <x:row r="536">
      <x:c r="B536" t="str">
        <x:v>PHY-OC-003</x:v>
      </x:c>
      <x:c r="C536" t="str">
        <x:v>PHYSICAL</x:v>
      </x:c>
      <x:c r="D536" t="str">
        <x:v>event outcome</x:v>
      </x:c>
      <x:c r="E536" t="str">
        <x:v>RFA-E003</x:v>
      </x:c>
      <x:c r="F536" t="n">
        <x:f>IF('Event Estimator'!M9&lt;&gt;"",1,0)</x:f>
        <x:v>0</x:v>
      </x:c>
      <x:c r="G536" t="n">
        <x:v>1</x:v>
      </x:c>
      <x:c r="H536" t="str">
        <x:v>equals</x:v>
      </x:c>
      <x:c r="I536" t="str">
        <x:v>independent acceptance</x:v>
      </x:c>
      <x:c r="J536" t="str">
        <x:f>IF(F536=1,"PASS","OPEN")</x:f>
        <x:v>OPEN</x:v>
      </x:c>
    </x:row>
    <x:row r="537">
      <x:c r="B537" t="str">
        <x:v>PHY-EX-004</x:v>
      </x:c>
      <x:c r="C537" t="str">
        <x:v>PHYSICAL</x:v>
      </x:c>
      <x:c r="D537" t="str">
        <x:v>event execution</x:v>
      </x:c>
      <x:c r="E537" t="str">
        <x:v>RFA-E004</x:v>
      </x:c>
      <x:c r="F537" t="n">
        <x:f>IF('Event Register'!M10&lt;&gt;"",1,0)</x:f>
        <x:v>0</x:v>
      </x:c>
      <x:c r="G537" t="n">
        <x:v>1</x:v>
      </x:c>
      <x:c r="H537" t="str">
        <x:v>equals</x:v>
      </x:c>
      <x:c r="I537" t="str">
        <x:v>independent acceptance</x:v>
      </x:c>
      <x:c r="J537" t="str">
        <x:f>IF(F537=1,"PASS","OPEN")</x:f>
        <x:v>OPEN</x:v>
      </x:c>
    </x:row>
    <x:row r="538">
      <x:c r="B538" t="str">
        <x:v>PHY-VA-004</x:v>
      </x:c>
      <x:c r="C538" t="str">
        <x:v>PHYSICAL</x:v>
      </x:c>
      <x:c r="D538" t="str">
        <x:v>event validity</x:v>
      </x:c>
      <x:c r="E538" t="str">
        <x:v>RFA-E004</x:v>
      </x:c>
      <x:c r="F538" t="n">
        <x:f>'Event Estimator'!L10</x:f>
        <x:v>0</x:v>
      </x:c>
      <x:c r="G538" t="n">
        <x:v>1</x:v>
      </x:c>
      <x:c r="H538" t="str">
        <x:v>equals</x:v>
      </x:c>
      <x:c r="I538" t="str">
        <x:v>independent acceptance</x:v>
      </x:c>
      <x:c r="J538" t="str">
        <x:f>IF(F538=1,"PASS","OPEN")</x:f>
        <x:v>OPEN</x:v>
      </x:c>
    </x:row>
    <x:row r="539">
      <x:c r="B539" t="str">
        <x:v>PHY-OC-004</x:v>
      </x:c>
      <x:c r="C539" t="str">
        <x:v>PHYSICAL</x:v>
      </x:c>
      <x:c r="D539" t="str">
        <x:v>event outcome</x:v>
      </x:c>
      <x:c r="E539" t="str">
        <x:v>RFA-E004</x:v>
      </x:c>
      <x:c r="F539" t="n">
        <x:f>IF('Event Estimator'!M10&lt;&gt;"",1,0)</x:f>
        <x:v>0</x:v>
      </x:c>
      <x:c r="G539" t="n">
        <x:v>1</x:v>
      </x:c>
      <x:c r="H539" t="str">
        <x:v>equals</x:v>
      </x:c>
      <x:c r="I539" t="str">
        <x:v>independent acceptance</x:v>
      </x:c>
      <x:c r="J539" t="str">
        <x:f>IF(F539=1,"PASS","OPEN")</x:f>
        <x:v>OPEN</x:v>
      </x:c>
    </x:row>
    <x:row r="540">
      <x:c r="B540" t="str">
        <x:v>PHY-EX-005</x:v>
      </x:c>
      <x:c r="C540" t="str">
        <x:v>PHYSICAL</x:v>
      </x:c>
      <x:c r="D540" t="str">
        <x:v>event execution</x:v>
      </x:c>
      <x:c r="E540" t="str">
        <x:v>RFA-E005</x:v>
      </x:c>
      <x:c r="F540" t="n">
        <x:f>IF('Event Register'!M11&lt;&gt;"",1,0)</x:f>
        <x:v>0</x:v>
      </x:c>
      <x:c r="G540" t="n">
        <x:v>1</x:v>
      </x:c>
      <x:c r="H540" t="str">
        <x:v>equals</x:v>
      </x:c>
      <x:c r="I540" t="str">
        <x:v>independent acceptance</x:v>
      </x:c>
      <x:c r="J540" t="str">
        <x:f>IF(F540=1,"PASS","OPEN")</x:f>
        <x:v>OPEN</x:v>
      </x:c>
    </x:row>
    <x:row r="541">
      <x:c r="B541" t="str">
        <x:v>PHY-VA-005</x:v>
      </x:c>
      <x:c r="C541" t="str">
        <x:v>PHYSICAL</x:v>
      </x:c>
      <x:c r="D541" t="str">
        <x:v>event validity</x:v>
      </x:c>
      <x:c r="E541" t="str">
        <x:v>RFA-E005</x:v>
      </x:c>
      <x:c r="F541" t="n">
        <x:f>'Event Estimator'!L11</x:f>
        <x:v>0</x:v>
      </x:c>
      <x:c r="G541" t="n">
        <x:v>1</x:v>
      </x:c>
      <x:c r="H541" t="str">
        <x:v>equals</x:v>
      </x:c>
      <x:c r="I541" t="str">
        <x:v>independent acceptance</x:v>
      </x:c>
      <x:c r="J541" t="str">
        <x:f>IF(F541=1,"PASS","OPEN")</x:f>
        <x:v>OPEN</x:v>
      </x:c>
    </x:row>
    <x:row r="542">
      <x:c r="B542" t="str">
        <x:v>PHY-OC-005</x:v>
      </x:c>
      <x:c r="C542" t="str">
        <x:v>PHYSICAL</x:v>
      </x:c>
      <x:c r="D542" t="str">
        <x:v>event outcome</x:v>
      </x:c>
      <x:c r="E542" t="str">
        <x:v>RFA-E005</x:v>
      </x:c>
      <x:c r="F542" t="n">
        <x:f>IF('Event Estimator'!M11&lt;&gt;"",1,0)</x:f>
        <x:v>0</x:v>
      </x:c>
      <x:c r="G542" t="n">
        <x:v>1</x:v>
      </x:c>
      <x:c r="H542" t="str">
        <x:v>equals</x:v>
      </x:c>
      <x:c r="I542" t="str">
        <x:v>independent acceptance</x:v>
      </x:c>
      <x:c r="J542" t="str">
        <x:f>IF(F542=1,"PASS","OPEN")</x:f>
        <x:v>OPEN</x:v>
      </x:c>
    </x:row>
    <x:row r="543">
      <x:c r="B543" t="str">
        <x:v>PHY-EX-006</x:v>
      </x:c>
      <x:c r="C543" t="str">
        <x:v>PHYSICAL</x:v>
      </x:c>
      <x:c r="D543" t="str">
        <x:v>event execution</x:v>
      </x:c>
      <x:c r="E543" t="str">
        <x:v>RFA-E006</x:v>
      </x:c>
      <x:c r="F543" t="n">
        <x:f>IF('Event Register'!M12&lt;&gt;"",1,0)</x:f>
        <x:v>0</x:v>
      </x:c>
      <x:c r="G543" t="n">
        <x:v>1</x:v>
      </x:c>
      <x:c r="H543" t="str">
        <x:v>equals</x:v>
      </x:c>
      <x:c r="I543" t="str">
        <x:v>independent acceptance</x:v>
      </x:c>
      <x:c r="J543" t="str">
        <x:f>IF(F543=1,"PASS","OPEN")</x:f>
        <x:v>OPEN</x:v>
      </x:c>
    </x:row>
    <x:row r="544">
      <x:c r="B544" t="str">
        <x:v>PHY-VA-006</x:v>
      </x:c>
      <x:c r="C544" t="str">
        <x:v>PHYSICAL</x:v>
      </x:c>
      <x:c r="D544" t="str">
        <x:v>event validity</x:v>
      </x:c>
      <x:c r="E544" t="str">
        <x:v>RFA-E006</x:v>
      </x:c>
      <x:c r="F544" t="n">
        <x:f>'Event Estimator'!L12</x:f>
        <x:v>0</x:v>
      </x:c>
      <x:c r="G544" t="n">
        <x:v>1</x:v>
      </x:c>
      <x:c r="H544" t="str">
        <x:v>equals</x:v>
      </x:c>
      <x:c r="I544" t="str">
        <x:v>independent acceptance</x:v>
      </x:c>
      <x:c r="J544" t="str">
        <x:f>IF(F544=1,"PASS","OPEN")</x:f>
        <x:v>OPEN</x:v>
      </x:c>
    </x:row>
    <x:row r="545">
      <x:c r="B545" t="str">
        <x:v>PHY-OC-006</x:v>
      </x:c>
      <x:c r="C545" t="str">
        <x:v>PHYSICAL</x:v>
      </x:c>
      <x:c r="D545" t="str">
        <x:v>event outcome</x:v>
      </x:c>
      <x:c r="E545" t="str">
        <x:v>RFA-E006</x:v>
      </x:c>
      <x:c r="F545" t="n">
        <x:f>IF('Event Estimator'!M12&lt;&gt;"",1,0)</x:f>
        <x:v>0</x:v>
      </x:c>
      <x:c r="G545" t="n">
        <x:v>1</x:v>
      </x:c>
      <x:c r="H545" t="str">
        <x:v>equals</x:v>
      </x:c>
      <x:c r="I545" t="str">
        <x:v>independent acceptance</x:v>
      </x:c>
      <x:c r="J545" t="str">
        <x:f>IF(F545=1,"PASS","OPEN")</x:f>
        <x:v>OPEN</x:v>
      </x:c>
    </x:row>
    <x:row r="546">
      <x:c r="B546" t="str">
        <x:v>PHY-EX-007</x:v>
      </x:c>
      <x:c r="C546" t="str">
        <x:v>PHYSICAL</x:v>
      </x:c>
      <x:c r="D546" t="str">
        <x:v>event execution</x:v>
      </x:c>
      <x:c r="E546" t="str">
        <x:v>RFA-E007</x:v>
      </x:c>
      <x:c r="F546" t="n">
        <x:f>IF('Event Register'!M13&lt;&gt;"",1,0)</x:f>
        <x:v>0</x:v>
      </x:c>
      <x:c r="G546" t="n">
        <x:v>1</x:v>
      </x:c>
      <x:c r="H546" t="str">
        <x:v>equals</x:v>
      </x:c>
      <x:c r="I546" t="str">
        <x:v>independent acceptance</x:v>
      </x:c>
      <x:c r="J546" t="str">
        <x:f>IF(F546=1,"PASS","OPEN")</x:f>
        <x:v>OPEN</x:v>
      </x:c>
    </x:row>
    <x:row r="547">
      <x:c r="B547" t="str">
        <x:v>PHY-VA-007</x:v>
      </x:c>
      <x:c r="C547" t="str">
        <x:v>PHYSICAL</x:v>
      </x:c>
      <x:c r="D547" t="str">
        <x:v>event validity</x:v>
      </x:c>
      <x:c r="E547" t="str">
        <x:v>RFA-E007</x:v>
      </x:c>
      <x:c r="F547" t="n">
        <x:f>'Event Estimator'!L13</x:f>
        <x:v>0</x:v>
      </x:c>
      <x:c r="G547" t="n">
        <x:v>1</x:v>
      </x:c>
      <x:c r="H547" t="str">
        <x:v>equals</x:v>
      </x:c>
      <x:c r="I547" t="str">
        <x:v>independent acceptance</x:v>
      </x:c>
      <x:c r="J547" t="str">
        <x:f>IF(F547=1,"PASS","OPEN")</x:f>
        <x:v>OPEN</x:v>
      </x:c>
    </x:row>
    <x:row r="548">
      <x:c r="B548" t="str">
        <x:v>PHY-OC-007</x:v>
      </x:c>
      <x:c r="C548" t="str">
        <x:v>PHYSICAL</x:v>
      </x:c>
      <x:c r="D548" t="str">
        <x:v>event outcome</x:v>
      </x:c>
      <x:c r="E548" t="str">
        <x:v>RFA-E007</x:v>
      </x:c>
      <x:c r="F548" t="n">
        <x:f>IF('Event Estimator'!M13&lt;&gt;"",1,0)</x:f>
        <x:v>0</x:v>
      </x:c>
      <x:c r="G548" t="n">
        <x:v>1</x:v>
      </x:c>
      <x:c r="H548" t="str">
        <x:v>equals</x:v>
      </x:c>
      <x:c r="I548" t="str">
        <x:v>independent acceptance</x:v>
      </x:c>
      <x:c r="J548" t="str">
        <x:f>IF(F548=1,"PASS","OPEN")</x:f>
        <x:v>OPEN</x:v>
      </x:c>
    </x:row>
    <x:row r="549">
      <x:c r="B549" t="str">
        <x:v>PHY-EX-008</x:v>
      </x:c>
      <x:c r="C549" t="str">
        <x:v>PHYSICAL</x:v>
      </x:c>
      <x:c r="D549" t="str">
        <x:v>event execution</x:v>
      </x:c>
      <x:c r="E549" t="str">
        <x:v>RFA-E008</x:v>
      </x:c>
      <x:c r="F549" t="n">
        <x:f>IF('Event Register'!M14&lt;&gt;"",1,0)</x:f>
        <x:v>0</x:v>
      </x:c>
      <x:c r="G549" t="n">
        <x:v>1</x:v>
      </x:c>
      <x:c r="H549" t="str">
        <x:v>equals</x:v>
      </x:c>
      <x:c r="I549" t="str">
        <x:v>independent acceptance</x:v>
      </x:c>
      <x:c r="J549" t="str">
        <x:f>IF(F549=1,"PASS","OPEN")</x:f>
        <x:v>OPEN</x:v>
      </x:c>
    </x:row>
    <x:row r="550">
      <x:c r="B550" t="str">
        <x:v>PHY-VA-008</x:v>
      </x:c>
      <x:c r="C550" t="str">
        <x:v>PHYSICAL</x:v>
      </x:c>
      <x:c r="D550" t="str">
        <x:v>event validity</x:v>
      </x:c>
      <x:c r="E550" t="str">
        <x:v>RFA-E008</x:v>
      </x:c>
      <x:c r="F550" t="n">
        <x:f>'Event Estimator'!L14</x:f>
        <x:v>0</x:v>
      </x:c>
      <x:c r="G550" t="n">
        <x:v>1</x:v>
      </x:c>
      <x:c r="H550" t="str">
        <x:v>equals</x:v>
      </x:c>
      <x:c r="I550" t="str">
        <x:v>independent acceptance</x:v>
      </x:c>
      <x:c r="J550" t="str">
        <x:f>IF(F550=1,"PASS","OPEN")</x:f>
        <x:v>OPEN</x:v>
      </x:c>
    </x:row>
    <x:row r="551">
      <x:c r="B551" t="str">
        <x:v>PHY-OC-008</x:v>
      </x:c>
      <x:c r="C551" t="str">
        <x:v>PHYSICAL</x:v>
      </x:c>
      <x:c r="D551" t="str">
        <x:v>event outcome</x:v>
      </x:c>
      <x:c r="E551" t="str">
        <x:v>RFA-E008</x:v>
      </x:c>
      <x:c r="F551" t="n">
        <x:f>IF('Event Estimator'!M14&lt;&gt;"",1,0)</x:f>
        <x:v>0</x:v>
      </x:c>
      <x:c r="G551" t="n">
        <x:v>1</x:v>
      </x:c>
      <x:c r="H551" t="str">
        <x:v>equals</x:v>
      </x:c>
      <x:c r="I551" t="str">
        <x:v>independent acceptance</x:v>
      </x:c>
      <x:c r="J551" t="str">
        <x:f>IF(F551=1,"PASS","OPEN")</x:f>
        <x:v>OPEN</x:v>
      </x:c>
    </x:row>
    <x:row r="552">
      <x:c r="B552" t="str">
        <x:v>PHY-EX-009</x:v>
      </x:c>
      <x:c r="C552" t="str">
        <x:v>PHYSICAL</x:v>
      </x:c>
      <x:c r="D552" t="str">
        <x:v>event execution</x:v>
      </x:c>
      <x:c r="E552" t="str">
        <x:v>RFA-E009</x:v>
      </x:c>
      <x:c r="F552" t="n">
        <x:f>IF('Event Register'!M15&lt;&gt;"",1,0)</x:f>
        <x:v>0</x:v>
      </x:c>
      <x:c r="G552" t="n">
        <x:v>1</x:v>
      </x:c>
      <x:c r="H552" t="str">
        <x:v>equals</x:v>
      </x:c>
      <x:c r="I552" t="str">
        <x:v>independent acceptance</x:v>
      </x:c>
      <x:c r="J552" t="str">
        <x:f>IF(F552=1,"PASS","OPEN")</x:f>
        <x:v>OPEN</x:v>
      </x:c>
    </x:row>
    <x:row r="553">
      <x:c r="B553" t="str">
        <x:v>PHY-VA-009</x:v>
      </x:c>
      <x:c r="C553" t="str">
        <x:v>PHYSICAL</x:v>
      </x:c>
      <x:c r="D553" t="str">
        <x:v>event validity</x:v>
      </x:c>
      <x:c r="E553" t="str">
        <x:v>RFA-E009</x:v>
      </x:c>
      <x:c r="F553" t="n">
        <x:f>'Event Estimator'!L15</x:f>
        <x:v>0</x:v>
      </x:c>
      <x:c r="G553" t="n">
        <x:v>1</x:v>
      </x:c>
      <x:c r="H553" t="str">
        <x:v>equals</x:v>
      </x:c>
      <x:c r="I553" t="str">
        <x:v>independent acceptance</x:v>
      </x:c>
      <x:c r="J553" t="str">
        <x:f>IF(F553=1,"PASS","OPEN")</x:f>
        <x:v>OPEN</x:v>
      </x:c>
    </x:row>
    <x:row r="554">
      <x:c r="B554" t="str">
        <x:v>PHY-OC-009</x:v>
      </x:c>
      <x:c r="C554" t="str">
        <x:v>PHYSICAL</x:v>
      </x:c>
      <x:c r="D554" t="str">
        <x:v>event outcome</x:v>
      </x:c>
      <x:c r="E554" t="str">
        <x:v>RFA-E009</x:v>
      </x:c>
      <x:c r="F554" t="n">
        <x:f>IF('Event Estimator'!M15&lt;&gt;"",1,0)</x:f>
        <x:v>0</x:v>
      </x:c>
      <x:c r="G554" t="n">
        <x:v>1</x:v>
      </x:c>
      <x:c r="H554" t="str">
        <x:v>equals</x:v>
      </x:c>
      <x:c r="I554" t="str">
        <x:v>independent acceptance</x:v>
      </x:c>
      <x:c r="J554" t="str">
        <x:f>IF(F554=1,"PASS","OPEN")</x:f>
        <x:v>OPEN</x:v>
      </x:c>
    </x:row>
    <x:row r="555">
      <x:c r="B555" t="str">
        <x:v>PHY-EX-010</x:v>
      </x:c>
      <x:c r="C555" t="str">
        <x:v>PHYSICAL</x:v>
      </x:c>
      <x:c r="D555" t="str">
        <x:v>event execution</x:v>
      </x:c>
      <x:c r="E555" t="str">
        <x:v>RFA-E010</x:v>
      </x:c>
      <x:c r="F555" t="n">
        <x:f>IF('Event Register'!M16&lt;&gt;"",1,0)</x:f>
        <x:v>0</x:v>
      </x:c>
      <x:c r="G555" t="n">
        <x:v>1</x:v>
      </x:c>
      <x:c r="H555" t="str">
        <x:v>equals</x:v>
      </x:c>
      <x:c r="I555" t="str">
        <x:v>independent acceptance</x:v>
      </x:c>
      <x:c r="J555" t="str">
        <x:f>IF(F555=1,"PASS","OPEN")</x:f>
        <x:v>OPEN</x:v>
      </x:c>
    </x:row>
    <x:row r="556">
      <x:c r="B556" t="str">
        <x:v>PHY-VA-010</x:v>
      </x:c>
      <x:c r="C556" t="str">
        <x:v>PHYSICAL</x:v>
      </x:c>
      <x:c r="D556" t="str">
        <x:v>event validity</x:v>
      </x:c>
      <x:c r="E556" t="str">
        <x:v>RFA-E010</x:v>
      </x:c>
      <x:c r="F556" t="n">
        <x:f>'Event Estimator'!L16</x:f>
        <x:v>0</x:v>
      </x:c>
      <x:c r="G556" t="n">
        <x:v>1</x:v>
      </x:c>
      <x:c r="H556" t="str">
        <x:v>equals</x:v>
      </x:c>
      <x:c r="I556" t="str">
        <x:v>independent acceptance</x:v>
      </x:c>
      <x:c r="J556" t="str">
        <x:f>IF(F556=1,"PASS","OPEN")</x:f>
        <x:v>OPEN</x:v>
      </x:c>
    </x:row>
    <x:row r="557">
      <x:c r="B557" t="str">
        <x:v>PHY-OC-010</x:v>
      </x:c>
      <x:c r="C557" t="str">
        <x:v>PHYSICAL</x:v>
      </x:c>
      <x:c r="D557" t="str">
        <x:v>event outcome</x:v>
      </x:c>
      <x:c r="E557" t="str">
        <x:v>RFA-E010</x:v>
      </x:c>
      <x:c r="F557" t="n">
        <x:f>IF('Event Estimator'!M16&lt;&gt;"",1,0)</x:f>
        <x:v>0</x:v>
      </x:c>
      <x:c r="G557" t="n">
        <x:v>1</x:v>
      </x:c>
      <x:c r="H557" t="str">
        <x:v>equals</x:v>
      </x:c>
      <x:c r="I557" t="str">
        <x:v>independent acceptance</x:v>
      </x:c>
      <x:c r="J557" t="str">
        <x:f>IF(F557=1,"PASS","OPEN")</x:f>
        <x:v>OPEN</x:v>
      </x:c>
    </x:row>
    <x:row r="558">
      <x:c r="B558" t="str">
        <x:v>PHY-EX-011</x:v>
      </x:c>
      <x:c r="C558" t="str">
        <x:v>PHYSICAL</x:v>
      </x:c>
      <x:c r="D558" t="str">
        <x:v>event execution</x:v>
      </x:c>
      <x:c r="E558" t="str">
        <x:v>RFA-E011</x:v>
      </x:c>
      <x:c r="F558" t="n">
        <x:f>IF('Event Register'!M17&lt;&gt;"",1,0)</x:f>
        <x:v>0</x:v>
      </x:c>
      <x:c r="G558" t="n">
        <x:v>1</x:v>
      </x:c>
      <x:c r="H558" t="str">
        <x:v>equals</x:v>
      </x:c>
      <x:c r="I558" t="str">
        <x:v>independent acceptance</x:v>
      </x:c>
      <x:c r="J558" t="str">
        <x:f>IF(F558=1,"PASS","OPEN")</x:f>
        <x:v>OPEN</x:v>
      </x:c>
    </x:row>
    <x:row r="559">
      <x:c r="B559" t="str">
        <x:v>PHY-VA-011</x:v>
      </x:c>
      <x:c r="C559" t="str">
        <x:v>PHYSICAL</x:v>
      </x:c>
      <x:c r="D559" t="str">
        <x:v>event validity</x:v>
      </x:c>
      <x:c r="E559" t="str">
        <x:v>RFA-E011</x:v>
      </x:c>
      <x:c r="F559" t="n">
        <x:f>'Event Estimator'!L17</x:f>
        <x:v>0</x:v>
      </x:c>
      <x:c r="G559" t="n">
        <x:v>1</x:v>
      </x:c>
      <x:c r="H559" t="str">
        <x:v>equals</x:v>
      </x:c>
      <x:c r="I559" t="str">
        <x:v>independent acceptance</x:v>
      </x:c>
      <x:c r="J559" t="str">
        <x:f>IF(F559=1,"PASS","OPEN")</x:f>
        <x:v>OPEN</x:v>
      </x:c>
    </x:row>
    <x:row r="560">
      <x:c r="B560" t="str">
        <x:v>PHY-OC-011</x:v>
      </x:c>
      <x:c r="C560" t="str">
        <x:v>PHYSICAL</x:v>
      </x:c>
      <x:c r="D560" t="str">
        <x:v>event outcome</x:v>
      </x:c>
      <x:c r="E560" t="str">
        <x:v>RFA-E011</x:v>
      </x:c>
      <x:c r="F560" t="n">
        <x:f>IF('Event Estimator'!M17&lt;&gt;"",1,0)</x:f>
        <x:v>0</x:v>
      </x:c>
      <x:c r="G560" t="n">
        <x:v>1</x:v>
      </x:c>
      <x:c r="H560" t="str">
        <x:v>equals</x:v>
      </x:c>
      <x:c r="I560" t="str">
        <x:v>independent acceptance</x:v>
      </x:c>
      <x:c r="J560" t="str">
        <x:f>IF(F560=1,"PASS","OPEN")</x:f>
        <x:v>OPEN</x:v>
      </x:c>
    </x:row>
    <x:row r="561">
      <x:c r="B561" t="str">
        <x:v>PHY-EX-012</x:v>
      </x:c>
      <x:c r="C561" t="str">
        <x:v>PHYSICAL</x:v>
      </x:c>
      <x:c r="D561" t="str">
        <x:v>event execution</x:v>
      </x:c>
      <x:c r="E561" t="str">
        <x:v>RFA-E012</x:v>
      </x:c>
      <x:c r="F561" t="n">
        <x:f>IF('Event Register'!M18&lt;&gt;"",1,0)</x:f>
        <x:v>0</x:v>
      </x:c>
      <x:c r="G561" t="n">
        <x:v>1</x:v>
      </x:c>
      <x:c r="H561" t="str">
        <x:v>equals</x:v>
      </x:c>
      <x:c r="I561" t="str">
        <x:v>independent acceptance</x:v>
      </x:c>
      <x:c r="J561" t="str">
        <x:f>IF(F561=1,"PASS","OPEN")</x:f>
        <x:v>OPEN</x:v>
      </x:c>
    </x:row>
    <x:row r="562">
      <x:c r="B562" t="str">
        <x:v>PHY-VA-012</x:v>
      </x:c>
      <x:c r="C562" t="str">
        <x:v>PHYSICAL</x:v>
      </x:c>
      <x:c r="D562" t="str">
        <x:v>event validity</x:v>
      </x:c>
      <x:c r="E562" t="str">
        <x:v>RFA-E012</x:v>
      </x:c>
      <x:c r="F562" t="n">
        <x:f>'Event Estimator'!L18</x:f>
        <x:v>0</x:v>
      </x:c>
      <x:c r="G562" t="n">
        <x:v>1</x:v>
      </x:c>
      <x:c r="H562" t="str">
        <x:v>equals</x:v>
      </x:c>
      <x:c r="I562" t="str">
        <x:v>independent acceptance</x:v>
      </x:c>
      <x:c r="J562" t="str">
        <x:f>IF(F562=1,"PASS","OPEN")</x:f>
        <x:v>OPEN</x:v>
      </x:c>
    </x:row>
    <x:row r="563">
      <x:c r="B563" t="str">
        <x:v>PHY-OC-012</x:v>
      </x:c>
      <x:c r="C563" t="str">
        <x:v>PHYSICAL</x:v>
      </x:c>
      <x:c r="D563" t="str">
        <x:v>event outcome</x:v>
      </x:c>
      <x:c r="E563" t="str">
        <x:v>RFA-E012</x:v>
      </x:c>
      <x:c r="F563" t="n">
        <x:f>IF('Event Estimator'!M18&lt;&gt;"",1,0)</x:f>
        <x:v>0</x:v>
      </x:c>
      <x:c r="G563" t="n">
        <x:v>1</x:v>
      </x:c>
      <x:c r="H563" t="str">
        <x:v>equals</x:v>
      </x:c>
      <x:c r="I563" t="str">
        <x:v>independent acceptance</x:v>
      </x:c>
      <x:c r="J563" t="str">
        <x:f>IF(F563=1,"PASS","OPEN")</x:f>
        <x:v>OPEN</x:v>
      </x:c>
    </x:row>
    <x:row r="564">
      <x:c r="B564" t="str">
        <x:v>PHY-EX-013</x:v>
      </x:c>
      <x:c r="C564" t="str">
        <x:v>PHYSICAL</x:v>
      </x:c>
      <x:c r="D564" t="str">
        <x:v>event execution</x:v>
      </x:c>
      <x:c r="E564" t="str">
        <x:v>RFA-E013</x:v>
      </x:c>
      <x:c r="F564" t="n">
        <x:f>IF('Event Register'!M19&lt;&gt;"",1,0)</x:f>
        <x:v>0</x:v>
      </x:c>
      <x:c r="G564" t="n">
        <x:v>1</x:v>
      </x:c>
      <x:c r="H564" t="str">
        <x:v>equals</x:v>
      </x:c>
      <x:c r="I564" t="str">
        <x:v>independent acceptance</x:v>
      </x:c>
      <x:c r="J564" t="str">
        <x:f>IF(F564=1,"PASS","OPEN")</x:f>
        <x:v>OPEN</x:v>
      </x:c>
    </x:row>
    <x:row r="565">
      <x:c r="B565" t="str">
        <x:v>PHY-VA-013</x:v>
      </x:c>
      <x:c r="C565" t="str">
        <x:v>PHYSICAL</x:v>
      </x:c>
      <x:c r="D565" t="str">
        <x:v>event validity</x:v>
      </x:c>
      <x:c r="E565" t="str">
        <x:v>RFA-E013</x:v>
      </x:c>
      <x:c r="F565" t="n">
        <x:f>'Event Estimator'!L19</x:f>
        <x:v>0</x:v>
      </x:c>
      <x:c r="G565" t="n">
        <x:v>1</x:v>
      </x:c>
      <x:c r="H565" t="str">
        <x:v>equals</x:v>
      </x:c>
      <x:c r="I565" t="str">
        <x:v>independent acceptance</x:v>
      </x:c>
      <x:c r="J565" t="str">
        <x:f>IF(F565=1,"PASS","OPEN")</x:f>
        <x:v>OPEN</x:v>
      </x:c>
    </x:row>
    <x:row r="566">
      <x:c r="B566" t="str">
        <x:v>PHY-OC-013</x:v>
      </x:c>
      <x:c r="C566" t="str">
        <x:v>PHYSICAL</x:v>
      </x:c>
      <x:c r="D566" t="str">
        <x:v>event outcome</x:v>
      </x:c>
      <x:c r="E566" t="str">
        <x:v>RFA-E013</x:v>
      </x:c>
      <x:c r="F566" t="n">
        <x:f>IF('Event Estimator'!M19&lt;&gt;"",1,0)</x:f>
        <x:v>0</x:v>
      </x:c>
      <x:c r="G566" t="n">
        <x:v>1</x:v>
      </x:c>
      <x:c r="H566" t="str">
        <x:v>equals</x:v>
      </x:c>
      <x:c r="I566" t="str">
        <x:v>independent acceptance</x:v>
      </x:c>
      <x:c r="J566" t="str">
        <x:f>IF(F566=1,"PASS","OPEN")</x:f>
        <x:v>OPEN</x:v>
      </x:c>
    </x:row>
    <x:row r="567">
      <x:c r="B567" t="str">
        <x:v>PHY-EX-014</x:v>
      </x:c>
      <x:c r="C567" t="str">
        <x:v>PHYSICAL</x:v>
      </x:c>
      <x:c r="D567" t="str">
        <x:v>event execution</x:v>
      </x:c>
      <x:c r="E567" t="str">
        <x:v>RFA-E014</x:v>
      </x:c>
      <x:c r="F567" t="n">
        <x:f>IF('Event Register'!M20&lt;&gt;"",1,0)</x:f>
        <x:v>0</x:v>
      </x:c>
      <x:c r="G567" t="n">
        <x:v>1</x:v>
      </x:c>
      <x:c r="H567" t="str">
        <x:v>equals</x:v>
      </x:c>
      <x:c r="I567" t="str">
        <x:v>independent acceptance</x:v>
      </x:c>
      <x:c r="J567" t="str">
        <x:f>IF(F567=1,"PASS","OPEN")</x:f>
        <x:v>OPEN</x:v>
      </x:c>
    </x:row>
    <x:row r="568">
      <x:c r="B568" t="str">
        <x:v>PHY-VA-014</x:v>
      </x:c>
      <x:c r="C568" t="str">
        <x:v>PHYSICAL</x:v>
      </x:c>
      <x:c r="D568" t="str">
        <x:v>event validity</x:v>
      </x:c>
      <x:c r="E568" t="str">
        <x:v>RFA-E014</x:v>
      </x:c>
      <x:c r="F568" t="n">
        <x:f>'Event Estimator'!L20</x:f>
        <x:v>0</x:v>
      </x:c>
      <x:c r="G568" t="n">
        <x:v>1</x:v>
      </x:c>
      <x:c r="H568" t="str">
        <x:v>equals</x:v>
      </x:c>
      <x:c r="I568" t="str">
        <x:v>independent acceptance</x:v>
      </x:c>
      <x:c r="J568" t="str">
        <x:f>IF(F568=1,"PASS","OPEN")</x:f>
        <x:v>OPEN</x:v>
      </x:c>
    </x:row>
    <x:row r="569">
      <x:c r="B569" t="str">
        <x:v>PHY-OC-014</x:v>
      </x:c>
      <x:c r="C569" t="str">
        <x:v>PHYSICAL</x:v>
      </x:c>
      <x:c r="D569" t="str">
        <x:v>event outcome</x:v>
      </x:c>
      <x:c r="E569" t="str">
        <x:v>RFA-E014</x:v>
      </x:c>
      <x:c r="F569" t="n">
        <x:f>IF('Event Estimator'!M20&lt;&gt;"",1,0)</x:f>
        <x:v>0</x:v>
      </x:c>
      <x:c r="G569" t="n">
        <x:v>1</x:v>
      </x:c>
      <x:c r="H569" t="str">
        <x:v>equals</x:v>
      </x:c>
      <x:c r="I569" t="str">
        <x:v>independent acceptance</x:v>
      </x:c>
      <x:c r="J569" t="str">
        <x:f>IF(F569=1,"PASS","OPEN")</x:f>
        <x:v>OPEN</x:v>
      </x:c>
    </x:row>
    <x:row r="570">
      <x:c r="B570" t="str">
        <x:v>PHY-EX-015</x:v>
      </x:c>
      <x:c r="C570" t="str">
        <x:v>PHYSICAL</x:v>
      </x:c>
      <x:c r="D570" t="str">
        <x:v>event execution</x:v>
      </x:c>
      <x:c r="E570" t="str">
        <x:v>RFA-E015</x:v>
      </x:c>
      <x:c r="F570" t="n">
        <x:f>IF('Event Register'!M21&lt;&gt;"",1,0)</x:f>
        <x:v>0</x:v>
      </x:c>
      <x:c r="G570" t="n">
        <x:v>1</x:v>
      </x:c>
      <x:c r="H570" t="str">
        <x:v>equals</x:v>
      </x:c>
      <x:c r="I570" t="str">
        <x:v>independent acceptance</x:v>
      </x:c>
      <x:c r="J570" t="str">
        <x:f>IF(F570=1,"PASS","OPEN")</x:f>
        <x:v>OPEN</x:v>
      </x:c>
    </x:row>
    <x:row r="571">
      <x:c r="B571" t="str">
        <x:v>PHY-VA-015</x:v>
      </x:c>
      <x:c r="C571" t="str">
        <x:v>PHYSICAL</x:v>
      </x:c>
      <x:c r="D571" t="str">
        <x:v>event validity</x:v>
      </x:c>
      <x:c r="E571" t="str">
        <x:v>RFA-E015</x:v>
      </x:c>
      <x:c r="F571" t="n">
        <x:f>'Event Estimator'!L21</x:f>
        <x:v>0</x:v>
      </x:c>
      <x:c r="G571" t="n">
        <x:v>1</x:v>
      </x:c>
      <x:c r="H571" t="str">
        <x:v>equals</x:v>
      </x:c>
      <x:c r="I571" t="str">
        <x:v>independent acceptance</x:v>
      </x:c>
      <x:c r="J571" t="str">
        <x:f>IF(F571=1,"PASS","OPEN")</x:f>
        <x:v>OPEN</x:v>
      </x:c>
    </x:row>
    <x:row r="572">
      <x:c r="B572" t="str">
        <x:v>PHY-OC-015</x:v>
      </x:c>
      <x:c r="C572" t="str">
        <x:v>PHYSICAL</x:v>
      </x:c>
      <x:c r="D572" t="str">
        <x:v>event outcome</x:v>
      </x:c>
      <x:c r="E572" t="str">
        <x:v>RFA-E015</x:v>
      </x:c>
      <x:c r="F572" t="n">
        <x:f>IF('Event Estimator'!M21&lt;&gt;"",1,0)</x:f>
        <x:v>0</x:v>
      </x:c>
      <x:c r="G572" t="n">
        <x:v>1</x:v>
      </x:c>
      <x:c r="H572" t="str">
        <x:v>equals</x:v>
      </x:c>
      <x:c r="I572" t="str">
        <x:v>independent acceptance</x:v>
      </x:c>
      <x:c r="J572" t="str">
        <x:f>IF(F572=1,"PASS","OPEN")</x:f>
        <x:v>OPEN</x:v>
      </x:c>
    </x:row>
    <x:row r="573">
      <x:c r="B573" t="str">
        <x:v>PHY-EX-016</x:v>
      </x:c>
      <x:c r="C573" t="str">
        <x:v>PHYSICAL</x:v>
      </x:c>
      <x:c r="D573" t="str">
        <x:v>event execution</x:v>
      </x:c>
      <x:c r="E573" t="str">
        <x:v>RFA-E016</x:v>
      </x:c>
      <x:c r="F573" t="n">
        <x:f>IF('Event Register'!M22&lt;&gt;"",1,0)</x:f>
        <x:v>0</x:v>
      </x:c>
      <x:c r="G573" t="n">
        <x:v>1</x:v>
      </x:c>
      <x:c r="H573" t="str">
        <x:v>equals</x:v>
      </x:c>
      <x:c r="I573" t="str">
        <x:v>independent acceptance</x:v>
      </x:c>
      <x:c r="J573" t="str">
        <x:f>IF(F573=1,"PASS","OPEN")</x:f>
        <x:v>OPEN</x:v>
      </x:c>
    </x:row>
    <x:row r="574">
      <x:c r="B574" t="str">
        <x:v>PHY-VA-016</x:v>
      </x:c>
      <x:c r="C574" t="str">
        <x:v>PHYSICAL</x:v>
      </x:c>
      <x:c r="D574" t="str">
        <x:v>event validity</x:v>
      </x:c>
      <x:c r="E574" t="str">
        <x:v>RFA-E016</x:v>
      </x:c>
      <x:c r="F574" t="n">
        <x:f>'Event Estimator'!L22</x:f>
        <x:v>0</x:v>
      </x:c>
      <x:c r="G574" t="n">
        <x:v>1</x:v>
      </x:c>
      <x:c r="H574" t="str">
        <x:v>equals</x:v>
      </x:c>
      <x:c r="I574" t="str">
        <x:v>independent acceptance</x:v>
      </x:c>
      <x:c r="J574" t="str">
        <x:f>IF(F574=1,"PASS","OPEN")</x:f>
        <x:v>OPEN</x:v>
      </x:c>
    </x:row>
    <x:row r="575">
      <x:c r="B575" t="str">
        <x:v>PHY-OC-016</x:v>
      </x:c>
      <x:c r="C575" t="str">
        <x:v>PHYSICAL</x:v>
      </x:c>
      <x:c r="D575" t="str">
        <x:v>event outcome</x:v>
      </x:c>
      <x:c r="E575" t="str">
        <x:v>RFA-E016</x:v>
      </x:c>
      <x:c r="F575" t="n">
        <x:f>IF('Event Estimator'!M22&lt;&gt;"",1,0)</x:f>
        <x:v>0</x:v>
      </x:c>
      <x:c r="G575" t="n">
        <x:v>1</x:v>
      </x:c>
      <x:c r="H575" t="str">
        <x:v>equals</x:v>
      </x:c>
      <x:c r="I575" t="str">
        <x:v>independent acceptance</x:v>
      </x:c>
      <x:c r="J575" t="str">
        <x:f>IF(F575=1,"PASS","OPEN")</x:f>
        <x:v>OPEN</x:v>
      </x:c>
    </x:row>
    <x:row r="576">
      <x:c r="B576" t="str">
        <x:v>PHY-EX-017</x:v>
      </x:c>
      <x:c r="C576" t="str">
        <x:v>PHYSICAL</x:v>
      </x:c>
      <x:c r="D576" t="str">
        <x:v>event execution</x:v>
      </x:c>
      <x:c r="E576" t="str">
        <x:v>RFA-E017</x:v>
      </x:c>
      <x:c r="F576" t="n">
        <x:f>IF('Event Register'!M23&lt;&gt;"",1,0)</x:f>
        <x:v>0</x:v>
      </x:c>
      <x:c r="G576" t="n">
        <x:v>1</x:v>
      </x:c>
      <x:c r="H576" t="str">
        <x:v>equals</x:v>
      </x:c>
      <x:c r="I576" t="str">
        <x:v>independent acceptance</x:v>
      </x:c>
      <x:c r="J576" t="str">
        <x:f>IF(F576=1,"PASS","OPEN")</x:f>
        <x:v>OPEN</x:v>
      </x:c>
    </x:row>
    <x:row r="577">
      <x:c r="B577" t="str">
        <x:v>PHY-VA-017</x:v>
      </x:c>
      <x:c r="C577" t="str">
        <x:v>PHYSICAL</x:v>
      </x:c>
      <x:c r="D577" t="str">
        <x:v>event validity</x:v>
      </x:c>
      <x:c r="E577" t="str">
        <x:v>RFA-E017</x:v>
      </x:c>
      <x:c r="F577" t="n">
        <x:f>'Event Estimator'!L23</x:f>
        <x:v>0</x:v>
      </x:c>
      <x:c r="G577" t="n">
        <x:v>1</x:v>
      </x:c>
      <x:c r="H577" t="str">
        <x:v>equals</x:v>
      </x:c>
      <x:c r="I577" t="str">
        <x:v>independent acceptance</x:v>
      </x:c>
      <x:c r="J577" t="str">
        <x:f>IF(F577=1,"PASS","OPEN")</x:f>
        <x:v>OPEN</x:v>
      </x:c>
    </x:row>
    <x:row r="578">
      <x:c r="B578" t="str">
        <x:v>PHY-OC-017</x:v>
      </x:c>
      <x:c r="C578" t="str">
        <x:v>PHYSICAL</x:v>
      </x:c>
      <x:c r="D578" t="str">
        <x:v>event outcome</x:v>
      </x:c>
      <x:c r="E578" t="str">
        <x:v>RFA-E017</x:v>
      </x:c>
      <x:c r="F578" t="n">
        <x:f>IF('Event Estimator'!M23&lt;&gt;"",1,0)</x:f>
        <x:v>0</x:v>
      </x:c>
      <x:c r="G578" t="n">
        <x:v>1</x:v>
      </x:c>
      <x:c r="H578" t="str">
        <x:v>equals</x:v>
      </x:c>
      <x:c r="I578" t="str">
        <x:v>independent acceptance</x:v>
      </x:c>
      <x:c r="J578" t="str">
        <x:f>IF(F578=1,"PASS","OPEN")</x:f>
        <x:v>OPEN</x:v>
      </x:c>
    </x:row>
    <x:row r="579">
      <x:c r="B579" t="str">
        <x:v>PHY-EX-018</x:v>
      </x:c>
      <x:c r="C579" t="str">
        <x:v>PHYSICAL</x:v>
      </x:c>
      <x:c r="D579" t="str">
        <x:v>event execution</x:v>
      </x:c>
      <x:c r="E579" t="str">
        <x:v>RFA-E018</x:v>
      </x:c>
      <x:c r="F579" t="n">
        <x:f>IF('Event Register'!M24&lt;&gt;"",1,0)</x:f>
        <x:v>0</x:v>
      </x:c>
      <x:c r="G579" t="n">
        <x:v>1</x:v>
      </x:c>
      <x:c r="H579" t="str">
        <x:v>equals</x:v>
      </x:c>
      <x:c r="I579" t="str">
        <x:v>independent acceptance</x:v>
      </x:c>
      <x:c r="J579" t="str">
        <x:f>IF(F579=1,"PASS","OPEN")</x:f>
        <x:v>OPEN</x:v>
      </x:c>
    </x:row>
    <x:row r="580">
      <x:c r="B580" t="str">
        <x:v>PHY-VA-018</x:v>
      </x:c>
      <x:c r="C580" t="str">
        <x:v>PHYSICAL</x:v>
      </x:c>
      <x:c r="D580" t="str">
        <x:v>event validity</x:v>
      </x:c>
      <x:c r="E580" t="str">
        <x:v>RFA-E018</x:v>
      </x:c>
      <x:c r="F580" t="n">
        <x:f>'Event Estimator'!L24</x:f>
        <x:v>0</x:v>
      </x:c>
      <x:c r="G580" t="n">
        <x:v>1</x:v>
      </x:c>
      <x:c r="H580" t="str">
        <x:v>equals</x:v>
      </x:c>
      <x:c r="I580" t="str">
        <x:v>independent acceptance</x:v>
      </x:c>
      <x:c r="J580" t="str">
        <x:f>IF(F580=1,"PASS","OPEN")</x:f>
        <x:v>OPEN</x:v>
      </x:c>
    </x:row>
    <x:row r="581">
      <x:c r="B581" t="str">
        <x:v>PHY-OC-018</x:v>
      </x:c>
      <x:c r="C581" t="str">
        <x:v>PHYSICAL</x:v>
      </x:c>
      <x:c r="D581" t="str">
        <x:v>event outcome</x:v>
      </x:c>
      <x:c r="E581" t="str">
        <x:v>RFA-E018</x:v>
      </x:c>
      <x:c r="F581" t="n">
        <x:f>IF('Event Estimator'!M24&lt;&gt;"",1,0)</x:f>
        <x:v>0</x:v>
      </x:c>
      <x:c r="G581" t="n">
        <x:v>1</x:v>
      </x:c>
      <x:c r="H581" t="str">
        <x:v>equals</x:v>
      </x:c>
      <x:c r="I581" t="str">
        <x:v>independent acceptance</x:v>
      </x:c>
      <x:c r="J581" t="str">
        <x:f>IF(F581=1,"PASS","OPEN")</x:f>
        <x:v>OPEN</x:v>
      </x:c>
    </x:row>
    <x:row r="582">
      <x:c r="B582" t="str">
        <x:v>PHY-EX-019</x:v>
      </x:c>
      <x:c r="C582" t="str">
        <x:v>PHYSICAL</x:v>
      </x:c>
      <x:c r="D582" t="str">
        <x:v>event execution</x:v>
      </x:c>
      <x:c r="E582" t="str">
        <x:v>RFA-E019</x:v>
      </x:c>
      <x:c r="F582" t="n">
        <x:f>IF('Event Register'!M25&lt;&gt;"",1,0)</x:f>
        <x:v>0</x:v>
      </x:c>
      <x:c r="G582" t="n">
        <x:v>1</x:v>
      </x:c>
      <x:c r="H582" t="str">
        <x:v>equals</x:v>
      </x:c>
      <x:c r="I582" t="str">
        <x:v>independent acceptance</x:v>
      </x:c>
      <x:c r="J582" t="str">
        <x:f>IF(F582=1,"PASS","OPEN")</x:f>
        <x:v>OPEN</x:v>
      </x:c>
    </x:row>
    <x:row r="583">
      <x:c r="B583" t="str">
        <x:v>PHY-VA-019</x:v>
      </x:c>
      <x:c r="C583" t="str">
        <x:v>PHYSICAL</x:v>
      </x:c>
      <x:c r="D583" t="str">
        <x:v>event validity</x:v>
      </x:c>
      <x:c r="E583" t="str">
        <x:v>RFA-E019</x:v>
      </x:c>
      <x:c r="F583" t="n">
        <x:f>'Event Estimator'!L25</x:f>
        <x:v>0</x:v>
      </x:c>
      <x:c r="G583" t="n">
        <x:v>1</x:v>
      </x:c>
      <x:c r="H583" t="str">
        <x:v>equals</x:v>
      </x:c>
      <x:c r="I583" t="str">
        <x:v>independent acceptance</x:v>
      </x:c>
      <x:c r="J583" t="str">
        <x:f>IF(F583=1,"PASS","OPEN")</x:f>
        <x:v>OPEN</x:v>
      </x:c>
    </x:row>
    <x:row r="584">
      <x:c r="B584" t="str">
        <x:v>PHY-OC-019</x:v>
      </x:c>
      <x:c r="C584" t="str">
        <x:v>PHYSICAL</x:v>
      </x:c>
      <x:c r="D584" t="str">
        <x:v>event outcome</x:v>
      </x:c>
      <x:c r="E584" t="str">
        <x:v>RFA-E019</x:v>
      </x:c>
      <x:c r="F584" t="n">
        <x:f>IF('Event Estimator'!M25&lt;&gt;"",1,0)</x:f>
        <x:v>0</x:v>
      </x:c>
      <x:c r="G584" t="n">
        <x:v>1</x:v>
      </x:c>
      <x:c r="H584" t="str">
        <x:v>equals</x:v>
      </x:c>
      <x:c r="I584" t="str">
        <x:v>independent acceptance</x:v>
      </x:c>
      <x:c r="J584" t="str">
        <x:f>IF(F584=1,"PASS","OPEN")</x:f>
        <x:v>OPEN</x:v>
      </x:c>
    </x:row>
    <x:row r="585">
      <x:c r="B585" t="str">
        <x:v>PHY-EX-020</x:v>
      </x:c>
      <x:c r="C585" t="str">
        <x:v>PHYSICAL</x:v>
      </x:c>
      <x:c r="D585" t="str">
        <x:v>event execution</x:v>
      </x:c>
      <x:c r="E585" t="str">
        <x:v>RFA-E020</x:v>
      </x:c>
      <x:c r="F585" t="n">
        <x:f>IF('Event Register'!M26&lt;&gt;"",1,0)</x:f>
        <x:v>0</x:v>
      </x:c>
      <x:c r="G585" t="n">
        <x:v>1</x:v>
      </x:c>
      <x:c r="H585" t="str">
        <x:v>equals</x:v>
      </x:c>
      <x:c r="I585" t="str">
        <x:v>independent acceptance</x:v>
      </x:c>
      <x:c r="J585" t="str">
        <x:f>IF(F585=1,"PASS","OPEN")</x:f>
        <x:v>OPEN</x:v>
      </x:c>
    </x:row>
    <x:row r="586">
      <x:c r="B586" t="str">
        <x:v>PHY-VA-020</x:v>
      </x:c>
      <x:c r="C586" t="str">
        <x:v>PHYSICAL</x:v>
      </x:c>
      <x:c r="D586" t="str">
        <x:v>event validity</x:v>
      </x:c>
      <x:c r="E586" t="str">
        <x:v>RFA-E020</x:v>
      </x:c>
      <x:c r="F586" t="n">
        <x:f>'Event Estimator'!L26</x:f>
        <x:v>0</x:v>
      </x:c>
      <x:c r="G586" t="n">
        <x:v>1</x:v>
      </x:c>
      <x:c r="H586" t="str">
        <x:v>equals</x:v>
      </x:c>
      <x:c r="I586" t="str">
        <x:v>independent acceptance</x:v>
      </x:c>
      <x:c r="J586" t="str">
        <x:f>IF(F586=1,"PASS","OPEN")</x:f>
        <x:v>OPEN</x:v>
      </x:c>
    </x:row>
    <x:row r="587">
      <x:c r="B587" t="str">
        <x:v>PHY-OC-020</x:v>
      </x:c>
      <x:c r="C587" t="str">
        <x:v>PHYSICAL</x:v>
      </x:c>
      <x:c r="D587" t="str">
        <x:v>event outcome</x:v>
      </x:c>
      <x:c r="E587" t="str">
        <x:v>RFA-E020</x:v>
      </x:c>
      <x:c r="F587" t="n">
        <x:f>IF('Event Estimator'!M26&lt;&gt;"",1,0)</x:f>
        <x:v>0</x:v>
      </x:c>
      <x:c r="G587" t="n">
        <x:v>1</x:v>
      </x:c>
      <x:c r="H587" t="str">
        <x:v>equals</x:v>
      </x:c>
      <x:c r="I587" t="str">
        <x:v>independent acceptance</x:v>
      </x:c>
      <x:c r="J587" t="str">
        <x:f>IF(F587=1,"PASS","OPEN")</x:f>
        <x:v>OPEN</x:v>
      </x:c>
    </x:row>
    <x:row r="588">
      <x:c r="B588" t="str">
        <x:v>PHY-EX-021</x:v>
      </x:c>
      <x:c r="C588" t="str">
        <x:v>PHYSICAL</x:v>
      </x:c>
      <x:c r="D588" t="str">
        <x:v>event execution</x:v>
      </x:c>
      <x:c r="E588" t="str">
        <x:v>RFA-E021</x:v>
      </x:c>
      <x:c r="F588" t="n">
        <x:f>IF('Event Register'!M27&lt;&gt;"",1,0)</x:f>
        <x:v>0</x:v>
      </x:c>
      <x:c r="G588" t="n">
        <x:v>1</x:v>
      </x:c>
      <x:c r="H588" t="str">
        <x:v>equals</x:v>
      </x:c>
      <x:c r="I588" t="str">
        <x:v>independent acceptance</x:v>
      </x:c>
      <x:c r="J588" t="str">
        <x:f>IF(F588=1,"PASS","OPEN")</x:f>
        <x:v>OPEN</x:v>
      </x:c>
    </x:row>
    <x:row r="589">
      <x:c r="B589" t="str">
        <x:v>PHY-VA-021</x:v>
      </x:c>
      <x:c r="C589" t="str">
        <x:v>PHYSICAL</x:v>
      </x:c>
      <x:c r="D589" t="str">
        <x:v>event validity</x:v>
      </x:c>
      <x:c r="E589" t="str">
        <x:v>RFA-E021</x:v>
      </x:c>
      <x:c r="F589" t="n">
        <x:f>'Event Estimator'!L27</x:f>
        <x:v>0</x:v>
      </x:c>
      <x:c r="G589" t="n">
        <x:v>1</x:v>
      </x:c>
      <x:c r="H589" t="str">
        <x:v>equals</x:v>
      </x:c>
      <x:c r="I589" t="str">
        <x:v>independent acceptance</x:v>
      </x:c>
      <x:c r="J589" t="str">
        <x:f>IF(F589=1,"PASS","OPEN")</x:f>
        <x:v>OPEN</x:v>
      </x:c>
    </x:row>
    <x:row r="590">
      <x:c r="B590" t="str">
        <x:v>PHY-OC-021</x:v>
      </x:c>
      <x:c r="C590" t="str">
        <x:v>PHYSICAL</x:v>
      </x:c>
      <x:c r="D590" t="str">
        <x:v>event outcome</x:v>
      </x:c>
      <x:c r="E590" t="str">
        <x:v>RFA-E021</x:v>
      </x:c>
      <x:c r="F590" t="n">
        <x:f>IF('Event Estimator'!M27&lt;&gt;"",1,0)</x:f>
        <x:v>0</x:v>
      </x:c>
      <x:c r="G590" t="n">
        <x:v>1</x:v>
      </x:c>
      <x:c r="H590" t="str">
        <x:v>equals</x:v>
      </x:c>
      <x:c r="I590" t="str">
        <x:v>independent acceptance</x:v>
      </x:c>
      <x:c r="J590" t="str">
        <x:f>IF(F590=1,"PASS","OPEN")</x:f>
        <x:v>OPEN</x:v>
      </x:c>
    </x:row>
    <x:row r="591">
      <x:c r="B591" t="str">
        <x:v>PHY-EX-022</x:v>
      </x:c>
      <x:c r="C591" t="str">
        <x:v>PHYSICAL</x:v>
      </x:c>
      <x:c r="D591" t="str">
        <x:v>event execution</x:v>
      </x:c>
      <x:c r="E591" t="str">
        <x:v>RFA-E022</x:v>
      </x:c>
      <x:c r="F591" t="n">
        <x:f>IF('Event Register'!M28&lt;&gt;"",1,0)</x:f>
        <x:v>0</x:v>
      </x:c>
      <x:c r="G591" t="n">
        <x:v>1</x:v>
      </x:c>
      <x:c r="H591" t="str">
        <x:v>equals</x:v>
      </x:c>
      <x:c r="I591" t="str">
        <x:v>independent acceptance</x:v>
      </x:c>
      <x:c r="J591" t="str">
        <x:f>IF(F591=1,"PASS","OPEN")</x:f>
        <x:v>OPEN</x:v>
      </x:c>
    </x:row>
    <x:row r="592">
      <x:c r="B592" t="str">
        <x:v>PHY-VA-022</x:v>
      </x:c>
      <x:c r="C592" t="str">
        <x:v>PHYSICAL</x:v>
      </x:c>
      <x:c r="D592" t="str">
        <x:v>event validity</x:v>
      </x:c>
      <x:c r="E592" t="str">
        <x:v>RFA-E022</x:v>
      </x:c>
      <x:c r="F592" t="n">
        <x:f>'Event Estimator'!L28</x:f>
        <x:v>0</x:v>
      </x:c>
      <x:c r="G592" t="n">
        <x:v>1</x:v>
      </x:c>
      <x:c r="H592" t="str">
        <x:v>equals</x:v>
      </x:c>
      <x:c r="I592" t="str">
        <x:v>independent acceptance</x:v>
      </x:c>
      <x:c r="J592" t="str">
        <x:f>IF(F592=1,"PASS","OPEN")</x:f>
        <x:v>OPEN</x:v>
      </x:c>
    </x:row>
    <x:row r="593">
      <x:c r="B593" t="str">
        <x:v>PHY-OC-022</x:v>
      </x:c>
      <x:c r="C593" t="str">
        <x:v>PHYSICAL</x:v>
      </x:c>
      <x:c r="D593" t="str">
        <x:v>event outcome</x:v>
      </x:c>
      <x:c r="E593" t="str">
        <x:v>RFA-E022</x:v>
      </x:c>
      <x:c r="F593" t="n">
        <x:f>IF('Event Estimator'!M28&lt;&gt;"",1,0)</x:f>
        <x:v>0</x:v>
      </x:c>
      <x:c r="G593" t="n">
        <x:v>1</x:v>
      </x:c>
      <x:c r="H593" t="str">
        <x:v>equals</x:v>
      </x:c>
      <x:c r="I593" t="str">
        <x:v>independent acceptance</x:v>
      </x:c>
      <x:c r="J593" t="str">
        <x:f>IF(F593=1,"PASS","OPEN")</x:f>
        <x:v>OPEN</x:v>
      </x:c>
    </x:row>
    <x:row r="594">
      <x:c r="B594" t="str">
        <x:v>PHY-EX-023</x:v>
      </x:c>
      <x:c r="C594" t="str">
        <x:v>PHYSICAL</x:v>
      </x:c>
      <x:c r="D594" t="str">
        <x:v>event execution</x:v>
      </x:c>
      <x:c r="E594" t="str">
        <x:v>RFA-E023</x:v>
      </x:c>
      <x:c r="F594" t="n">
        <x:f>IF('Event Register'!M29&lt;&gt;"",1,0)</x:f>
        <x:v>0</x:v>
      </x:c>
      <x:c r="G594" t="n">
        <x:v>1</x:v>
      </x:c>
      <x:c r="H594" t="str">
        <x:v>equals</x:v>
      </x:c>
      <x:c r="I594" t="str">
        <x:v>independent acceptance</x:v>
      </x:c>
      <x:c r="J594" t="str">
        <x:f>IF(F594=1,"PASS","OPEN")</x:f>
        <x:v>OPEN</x:v>
      </x:c>
    </x:row>
    <x:row r="595">
      <x:c r="B595" t="str">
        <x:v>PHY-VA-023</x:v>
      </x:c>
      <x:c r="C595" t="str">
        <x:v>PHYSICAL</x:v>
      </x:c>
      <x:c r="D595" t="str">
        <x:v>event validity</x:v>
      </x:c>
      <x:c r="E595" t="str">
        <x:v>RFA-E023</x:v>
      </x:c>
      <x:c r="F595" t="n">
        <x:f>'Event Estimator'!L29</x:f>
        <x:v>0</x:v>
      </x:c>
      <x:c r="G595" t="n">
        <x:v>1</x:v>
      </x:c>
      <x:c r="H595" t="str">
        <x:v>equals</x:v>
      </x:c>
      <x:c r="I595" t="str">
        <x:v>independent acceptance</x:v>
      </x:c>
      <x:c r="J595" t="str">
        <x:f>IF(F595=1,"PASS","OPEN")</x:f>
        <x:v>OPEN</x:v>
      </x:c>
    </x:row>
    <x:row r="596">
      <x:c r="B596" t="str">
        <x:v>PHY-OC-023</x:v>
      </x:c>
      <x:c r="C596" t="str">
        <x:v>PHYSICAL</x:v>
      </x:c>
      <x:c r="D596" t="str">
        <x:v>event outcome</x:v>
      </x:c>
      <x:c r="E596" t="str">
        <x:v>RFA-E023</x:v>
      </x:c>
      <x:c r="F596" t="n">
        <x:f>IF('Event Estimator'!M29&lt;&gt;"",1,0)</x:f>
        <x:v>0</x:v>
      </x:c>
      <x:c r="G596" t="n">
        <x:v>1</x:v>
      </x:c>
      <x:c r="H596" t="str">
        <x:v>equals</x:v>
      </x:c>
      <x:c r="I596" t="str">
        <x:v>independent acceptance</x:v>
      </x:c>
      <x:c r="J596" t="str">
        <x:f>IF(F596=1,"PASS","OPEN")</x:f>
        <x:v>OPEN</x:v>
      </x:c>
    </x:row>
    <x:row r="597">
      <x:c r="B597" t="str">
        <x:v>PHY-EX-024</x:v>
      </x:c>
      <x:c r="C597" t="str">
        <x:v>PHYSICAL</x:v>
      </x:c>
      <x:c r="D597" t="str">
        <x:v>event execution</x:v>
      </x:c>
      <x:c r="E597" t="str">
        <x:v>RFA-E024</x:v>
      </x:c>
      <x:c r="F597" t="n">
        <x:f>IF('Event Register'!M30&lt;&gt;"",1,0)</x:f>
        <x:v>0</x:v>
      </x:c>
      <x:c r="G597" t="n">
        <x:v>1</x:v>
      </x:c>
      <x:c r="H597" t="str">
        <x:v>equals</x:v>
      </x:c>
      <x:c r="I597" t="str">
        <x:v>independent acceptance</x:v>
      </x:c>
      <x:c r="J597" t="str">
        <x:f>IF(F597=1,"PASS","OPEN")</x:f>
        <x:v>OPEN</x:v>
      </x:c>
    </x:row>
    <x:row r="598">
      <x:c r="B598" t="str">
        <x:v>PHY-VA-024</x:v>
      </x:c>
      <x:c r="C598" t="str">
        <x:v>PHYSICAL</x:v>
      </x:c>
      <x:c r="D598" t="str">
        <x:v>event validity</x:v>
      </x:c>
      <x:c r="E598" t="str">
        <x:v>RFA-E024</x:v>
      </x:c>
      <x:c r="F598" t="n">
        <x:f>'Event Estimator'!L30</x:f>
        <x:v>0</x:v>
      </x:c>
      <x:c r="G598" t="n">
        <x:v>1</x:v>
      </x:c>
      <x:c r="H598" t="str">
        <x:v>equals</x:v>
      </x:c>
      <x:c r="I598" t="str">
        <x:v>independent acceptance</x:v>
      </x:c>
      <x:c r="J598" t="str">
        <x:f>IF(F598=1,"PASS","OPEN")</x:f>
        <x:v>OPEN</x:v>
      </x:c>
    </x:row>
    <x:row r="599">
      <x:c r="B599" t="str">
        <x:v>PHY-OC-024</x:v>
      </x:c>
      <x:c r="C599" t="str">
        <x:v>PHYSICAL</x:v>
      </x:c>
      <x:c r="D599" t="str">
        <x:v>event outcome</x:v>
      </x:c>
      <x:c r="E599" t="str">
        <x:v>RFA-E024</x:v>
      </x:c>
      <x:c r="F599" t="n">
        <x:f>IF('Event Estimator'!M30&lt;&gt;"",1,0)</x:f>
        <x:v>0</x:v>
      </x:c>
      <x:c r="G599" t="n">
        <x:v>1</x:v>
      </x:c>
      <x:c r="H599" t="str">
        <x:v>equals</x:v>
      </x:c>
      <x:c r="I599" t="str">
        <x:v>independent acceptance</x:v>
      </x:c>
      <x:c r="J599" t="str">
        <x:f>IF(F599=1,"PASS","OPEN")</x:f>
        <x:v>OPEN</x:v>
      </x:c>
    </x:row>
    <x:row r="600">
      <x:c r="B600" t="str">
        <x:v>PHY-EX-025</x:v>
      </x:c>
      <x:c r="C600" t="str">
        <x:v>PHYSICAL</x:v>
      </x:c>
      <x:c r="D600" t="str">
        <x:v>event execution</x:v>
      </x:c>
      <x:c r="E600" t="str">
        <x:v>RFA-E025</x:v>
      </x:c>
      <x:c r="F600" t="n">
        <x:f>IF('Event Register'!M31&lt;&gt;"",1,0)</x:f>
        <x:v>0</x:v>
      </x:c>
      <x:c r="G600" t="n">
        <x:v>1</x:v>
      </x:c>
      <x:c r="H600" t="str">
        <x:v>equals</x:v>
      </x:c>
      <x:c r="I600" t="str">
        <x:v>independent acceptance</x:v>
      </x:c>
      <x:c r="J600" t="str">
        <x:f>IF(F600=1,"PASS","OPEN")</x:f>
        <x:v>OPEN</x:v>
      </x:c>
    </x:row>
    <x:row r="601">
      <x:c r="B601" t="str">
        <x:v>PHY-VA-025</x:v>
      </x:c>
      <x:c r="C601" t="str">
        <x:v>PHYSICAL</x:v>
      </x:c>
      <x:c r="D601" t="str">
        <x:v>event validity</x:v>
      </x:c>
      <x:c r="E601" t="str">
        <x:v>RFA-E025</x:v>
      </x:c>
      <x:c r="F601" t="n">
        <x:f>'Event Estimator'!L31</x:f>
        <x:v>0</x:v>
      </x:c>
      <x:c r="G601" t="n">
        <x:v>1</x:v>
      </x:c>
      <x:c r="H601" t="str">
        <x:v>equals</x:v>
      </x:c>
      <x:c r="I601" t="str">
        <x:v>independent acceptance</x:v>
      </x:c>
      <x:c r="J601" t="str">
        <x:f>IF(F601=1,"PASS","OPEN")</x:f>
        <x:v>OPEN</x:v>
      </x:c>
    </x:row>
    <x:row r="602">
      <x:c r="B602" t="str">
        <x:v>PHY-OC-025</x:v>
      </x:c>
      <x:c r="C602" t="str">
        <x:v>PHYSICAL</x:v>
      </x:c>
      <x:c r="D602" t="str">
        <x:v>event outcome</x:v>
      </x:c>
      <x:c r="E602" t="str">
        <x:v>RFA-E025</x:v>
      </x:c>
      <x:c r="F602" t="n">
        <x:f>IF('Event Estimator'!M31&lt;&gt;"",1,0)</x:f>
        <x:v>0</x:v>
      </x:c>
      <x:c r="G602" t="n">
        <x:v>1</x:v>
      </x:c>
      <x:c r="H602" t="str">
        <x:v>equals</x:v>
      </x:c>
      <x:c r="I602" t="str">
        <x:v>independent acceptance</x:v>
      </x:c>
      <x:c r="J602" t="str">
        <x:f>IF(F602=1,"PASS","OPEN")</x:f>
        <x:v>OPEN</x:v>
      </x:c>
    </x:row>
    <x:row r="603">
      <x:c r="B603" t="str">
        <x:v>PHY-EX-026</x:v>
      </x:c>
      <x:c r="C603" t="str">
        <x:v>PHYSICAL</x:v>
      </x:c>
      <x:c r="D603" t="str">
        <x:v>event execution</x:v>
      </x:c>
      <x:c r="E603" t="str">
        <x:v>RFA-E026</x:v>
      </x:c>
      <x:c r="F603" t="n">
        <x:f>IF('Event Register'!M32&lt;&gt;"",1,0)</x:f>
        <x:v>0</x:v>
      </x:c>
      <x:c r="G603" t="n">
        <x:v>1</x:v>
      </x:c>
      <x:c r="H603" t="str">
        <x:v>equals</x:v>
      </x:c>
      <x:c r="I603" t="str">
        <x:v>independent acceptance</x:v>
      </x:c>
      <x:c r="J603" t="str">
        <x:f>IF(F603=1,"PASS","OPEN")</x:f>
        <x:v>OPEN</x:v>
      </x:c>
    </x:row>
    <x:row r="604">
      <x:c r="B604" t="str">
        <x:v>PHY-VA-026</x:v>
      </x:c>
      <x:c r="C604" t="str">
        <x:v>PHYSICAL</x:v>
      </x:c>
      <x:c r="D604" t="str">
        <x:v>event validity</x:v>
      </x:c>
      <x:c r="E604" t="str">
        <x:v>RFA-E026</x:v>
      </x:c>
      <x:c r="F604" t="n">
        <x:f>'Event Estimator'!L32</x:f>
        <x:v>0</x:v>
      </x:c>
      <x:c r="G604" t="n">
        <x:v>1</x:v>
      </x:c>
      <x:c r="H604" t="str">
        <x:v>equals</x:v>
      </x:c>
      <x:c r="I604" t="str">
        <x:v>independent acceptance</x:v>
      </x:c>
      <x:c r="J604" t="str">
        <x:f>IF(F604=1,"PASS","OPEN")</x:f>
        <x:v>OPEN</x:v>
      </x:c>
    </x:row>
    <x:row r="605">
      <x:c r="B605" t="str">
        <x:v>PHY-OC-026</x:v>
      </x:c>
      <x:c r="C605" t="str">
        <x:v>PHYSICAL</x:v>
      </x:c>
      <x:c r="D605" t="str">
        <x:v>event outcome</x:v>
      </x:c>
      <x:c r="E605" t="str">
        <x:v>RFA-E026</x:v>
      </x:c>
      <x:c r="F605" t="n">
        <x:f>IF('Event Estimator'!M32&lt;&gt;"",1,0)</x:f>
        <x:v>0</x:v>
      </x:c>
      <x:c r="G605" t="n">
        <x:v>1</x:v>
      </x:c>
      <x:c r="H605" t="str">
        <x:v>equals</x:v>
      </x:c>
      <x:c r="I605" t="str">
        <x:v>independent acceptance</x:v>
      </x:c>
      <x:c r="J605" t="str">
        <x:f>IF(F605=1,"PASS","OPEN")</x:f>
        <x:v>OPEN</x:v>
      </x:c>
    </x:row>
    <x:row r="606">
      <x:c r="B606" t="str">
        <x:v>PHY-EX-027</x:v>
      </x:c>
      <x:c r="C606" t="str">
        <x:v>PHYSICAL</x:v>
      </x:c>
      <x:c r="D606" t="str">
        <x:v>event execution</x:v>
      </x:c>
      <x:c r="E606" t="str">
        <x:v>RFA-E027</x:v>
      </x:c>
      <x:c r="F606" t="n">
        <x:f>IF('Event Register'!M33&lt;&gt;"",1,0)</x:f>
        <x:v>0</x:v>
      </x:c>
      <x:c r="G606" t="n">
        <x:v>1</x:v>
      </x:c>
      <x:c r="H606" t="str">
        <x:v>equals</x:v>
      </x:c>
      <x:c r="I606" t="str">
        <x:v>independent acceptance</x:v>
      </x:c>
      <x:c r="J606" t="str">
        <x:f>IF(F606=1,"PASS","OPEN")</x:f>
        <x:v>OPEN</x:v>
      </x:c>
    </x:row>
    <x:row r="607">
      <x:c r="B607" t="str">
        <x:v>PHY-VA-027</x:v>
      </x:c>
      <x:c r="C607" t="str">
        <x:v>PHYSICAL</x:v>
      </x:c>
      <x:c r="D607" t="str">
        <x:v>event validity</x:v>
      </x:c>
      <x:c r="E607" t="str">
        <x:v>RFA-E027</x:v>
      </x:c>
      <x:c r="F607" t="n">
        <x:f>'Event Estimator'!L33</x:f>
        <x:v>0</x:v>
      </x:c>
      <x:c r="G607" t="n">
        <x:v>1</x:v>
      </x:c>
      <x:c r="H607" t="str">
        <x:v>equals</x:v>
      </x:c>
      <x:c r="I607" t="str">
        <x:v>independent acceptance</x:v>
      </x:c>
      <x:c r="J607" t="str">
        <x:f>IF(F607=1,"PASS","OPEN")</x:f>
        <x:v>OPEN</x:v>
      </x:c>
    </x:row>
    <x:row r="608">
      <x:c r="B608" t="str">
        <x:v>PHY-OC-027</x:v>
      </x:c>
      <x:c r="C608" t="str">
        <x:v>PHYSICAL</x:v>
      </x:c>
      <x:c r="D608" t="str">
        <x:v>event outcome</x:v>
      </x:c>
      <x:c r="E608" t="str">
        <x:v>RFA-E027</x:v>
      </x:c>
      <x:c r="F608" t="n">
        <x:f>IF('Event Estimator'!M33&lt;&gt;"",1,0)</x:f>
        <x:v>0</x:v>
      </x:c>
      <x:c r="G608" t="n">
        <x:v>1</x:v>
      </x:c>
      <x:c r="H608" t="str">
        <x:v>equals</x:v>
      </x:c>
      <x:c r="I608" t="str">
        <x:v>independent acceptance</x:v>
      </x:c>
      <x:c r="J608" t="str">
        <x:f>IF(F608=1,"PASS","OPEN")</x:f>
        <x:v>OPEN</x:v>
      </x:c>
    </x:row>
    <x:row r="609">
      <x:c r="B609" t="str">
        <x:v>PHY-EX-028</x:v>
      </x:c>
      <x:c r="C609" t="str">
        <x:v>PHYSICAL</x:v>
      </x:c>
      <x:c r="D609" t="str">
        <x:v>event execution</x:v>
      </x:c>
      <x:c r="E609" t="str">
        <x:v>RFA-E028</x:v>
      </x:c>
      <x:c r="F609" t="n">
        <x:f>IF('Event Register'!M34&lt;&gt;"",1,0)</x:f>
        <x:v>0</x:v>
      </x:c>
      <x:c r="G609" t="n">
        <x:v>1</x:v>
      </x:c>
      <x:c r="H609" t="str">
        <x:v>equals</x:v>
      </x:c>
      <x:c r="I609" t="str">
        <x:v>independent acceptance</x:v>
      </x:c>
      <x:c r="J609" t="str">
        <x:f>IF(F609=1,"PASS","OPEN")</x:f>
        <x:v>OPEN</x:v>
      </x:c>
    </x:row>
    <x:row r="610">
      <x:c r="B610" t="str">
        <x:v>PHY-VA-028</x:v>
      </x:c>
      <x:c r="C610" t="str">
        <x:v>PHYSICAL</x:v>
      </x:c>
      <x:c r="D610" t="str">
        <x:v>event validity</x:v>
      </x:c>
      <x:c r="E610" t="str">
        <x:v>RFA-E028</x:v>
      </x:c>
      <x:c r="F610" t="n">
        <x:f>'Event Estimator'!L34</x:f>
        <x:v>0</x:v>
      </x:c>
      <x:c r="G610" t="n">
        <x:v>1</x:v>
      </x:c>
      <x:c r="H610" t="str">
        <x:v>equals</x:v>
      </x:c>
      <x:c r="I610" t="str">
        <x:v>independent acceptance</x:v>
      </x:c>
      <x:c r="J610" t="str">
        <x:f>IF(F610=1,"PASS","OPEN")</x:f>
        <x:v>OPEN</x:v>
      </x:c>
    </x:row>
    <x:row r="611">
      <x:c r="B611" t="str">
        <x:v>PHY-OC-028</x:v>
      </x:c>
      <x:c r="C611" t="str">
        <x:v>PHYSICAL</x:v>
      </x:c>
      <x:c r="D611" t="str">
        <x:v>event outcome</x:v>
      </x:c>
      <x:c r="E611" t="str">
        <x:v>RFA-E028</x:v>
      </x:c>
      <x:c r="F611" t="n">
        <x:f>IF('Event Estimator'!M34&lt;&gt;"",1,0)</x:f>
        <x:v>0</x:v>
      </x:c>
      <x:c r="G611" t="n">
        <x:v>1</x:v>
      </x:c>
      <x:c r="H611" t="str">
        <x:v>equals</x:v>
      </x:c>
      <x:c r="I611" t="str">
        <x:v>independent acceptance</x:v>
      </x:c>
      <x:c r="J611" t="str">
        <x:f>IF(F611=1,"PASS","OPEN")</x:f>
        <x:v>OPEN</x:v>
      </x:c>
    </x:row>
    <x:row r="612">
      <x:c r="B612" t="str">
        <x:v>PHY-EX-029</x:v>
      </x:c>
      <x:c r="C612" t="str">
        <x:v>PHYSICAL</x:v>
      </x:c>
      <x:c r="D612" t="str">
        <x:v>event execution</x:v>
      </x:c>
      <x:c r="E612" t="str">
        <x:v>RFA-E029</x:v>
      </x:c>
      <x:c r="F612" t="n">
        <x:f>IF('Event Register'!M35&lt;&gt;"",1,0)</x:f>
        <x:v>0</x:v>
      </x:c>
      <x:c r="G612" t="n">
        <x:v>1</x:v>
      </x:c>
      <x:c r="H612" t="str">
        <x:v>equals</x:v>
      </x:c>
      <x:c r="I612" t="str">
        <x:v>independent acceptance</x:v>
      </x:c>
      <x:c r="J612" t="str">
        <x:f>IF(F612=1,"PASS","OPEN")</x:f>
        <x:v>OPEN</x:v>
      </x:c>
    </x:row>
    <x:row r="613">
      <x:c r="B613" t="str">
        <x:v>PHY-VA-029</x:v>
      </x:c>
      <x:c r="C613" t="str">
        <x:v>PHYSICAL</x:v>
      </x:c>
      <x:c r="D613" t="str">
        <x:v>event validity</x:v>
      </x:c>
      <x:c r="E613" t="str">
        <x:v>RFA-E029</x:v>
      </x:c>
      <x:c r="F613" t="n">
        <x:f>'Event Estimator'!L35</x:f>
        <x:v>0</x:v>
      </x:c>
      <x:c r="G613" t="n">
        <x:v>1</x:v>
      </x:c>
      <x:c r="H613" t="str">
        <x:v>equals</x:v>
      </x:c>
      <x:c r="I613" t="str">
        <x:v>independent acceptance</x:v>
      </x:c>
      <x:c r="J613" t="str">
        <x:f>IF(F613=1,"PASS","OPEN")</x:f>
        <x:v>OPEN</x:v>
      </x:c>
    </x:row>
    <x:row r="614">
      <x:c r="B614" t="str">
        <x:v>PHY-OC-029</x:v>
      </x:c>
      <x:c r="C614" t="str">
        <x:v>PHYSICAL</x:v>
      </x:c>
      <x:c r="D614" t="str">
        <x:v>event outcome</x:v>
      </x:c>
      <x:c r="E614" t="str">
        <x:v>RFA-E029</x:v>
      </x:c>
      <x:c r="F614" t="n">
        <x:f>IF('Event Estimator'!M35&lt;&gt;"",1,0)</x:f>
        <x:v>0</x:v>
      </x:c>
      <x:c r="G614" t="n">
        <x:v>1</x:v>
      </x:c>
      <x:c r="H614" t="str">
        <x:v>equals</x:v>
      </x:c>
      <x:c r="I614" t="str">
        <x:v>independent acceptance</x:v>
      </x:c>
      <x:c r="J614" t="str">
        <x:f>IF(F614=1,"PASS","OPEN")</x:f>
        <x:v>OPEN</x:v>
      </x:c>
    </x:row>
    <x:row r="615">
      <x:c r="B615" t="str">
        <x:v>PHY-EX-030</x:v>
      </x:c>
      <x:c r="C615" t="str">
        <x:v>PHYSICAL</x:v>
      </x:c>
      <x:c r="D615" t="str">
        <x:v>event execution</x:v>
      </x:c>
      <x:c r="E615" t="str">
        <x:v>RFA-E030</x:v>
      </x:c>
      <x:c r="F615" t="n">
        <x:f>IF('Event Register'!M36&lt;&gt;"",1,0)</x:f>
        <x:v>0</x:v>
      </x:c>
      <x:c r="G615" t="n">
        <x:v>1</x:v>
      </x:c>
      <x:c r="H615" t="str">
        <x:v>equals</x:v>
      </x:c>
      <x:c r="I615" t="str">
        <x:v>independent acceptance</x:v>
      </x:c>
      <x:c r="J615" t="str">
        <x:f>IF(F615=1,"PASS","OPEN")</x:f>
        <x:v>OPEN</x:v>
      </x:c>
    </x:row>
    <x:row r="616">
      <x:c r="B616" t="str">
        <x:v>PHY-VA-030</x:v>
      </x:c>
      <x:c r="C616" t="str">
        <x:v>PHYSICAL</x:v>
      </x:c>
      <x:c r="D616" t="str">
        <x:v>event validity</x:v>
      </x:c>
      <x:c r="E616" t="str">
        <x:v>RFA-E030</x:v>
      </x:c>
      <x:c r="F616" t="n">
        <x:f>'Event Estimator'!L36</x:f>
        <x:v>0</x:v>
      </x:c>
      <x:c r="G616" t="n">
        <x:v>1</x:v>
      </x:c>
      <x:c r="H616" t="str">
        <x:v>equals</x:v>
      </x:c>
      <x:c r="I616" t="str">
        <x:v>independent acceptance</x:v>
      </x:c>
      <x:c r="J616" t="str">
        <x:f>IF(F616=1,"PASS","OPEN")</x:f>
        <x:v>OPEN</x:v>
      </x:c>
    </x:row>
    <x:row r="617">
      <x:c r="B617" t="str">
        <x:v>PHY-OC-030</x:v>
      </x:c>
      <x:c r="C617" t="str">
        <x:v>PHYSICAL</x:v>
      </x:c>
      <x:c r="D617" t="str">
        <x:v>event outcome</x:v>
      </x:c>
      <x:c r="E617" t="str">
        <x:v>RFA-E030</x:v>
      </x:c>
      <x:c r="F617" t="n">
        <x:f>IF('Event Estimator'!M36&lt;&gt;"",1,0)</x:f>
        <x:v>0</x:v>
      </x:c>
      <x:c r="G617" t="n">
        <x:v>1</x:v>
      </x:c>
      <x:c r="H617" t="str">
        <x:v>equals</x:v>
      </x:c>
      <x:c r="I617" t="str">
        <x:v>independent acceptance</x:v>
      </x:c>
      <x:c r="J617" t="str">
        <x:f>IF(F617=1,"PASS","OPEN")</x:f>
        <x:v>OPEN</x:v>
      </x:c>
    </x:row>
    <x:row r="618">
      <x:c r="B618" t="str">
        <x:v>PHY-EX-031</x:v>
      </x:c>
      <x:c r="C618" t="str">
        <x:v>PHYSICAL</x:v>
      </x:c>
      <x:c r="D618" t="str">
        <x:v>event execution</x:v>
      </x:c>
      <x:c r="E618" t="str">
        <x:v>RFA-E031</x:v>
      </x:c>
      <x:c r="F618" t="n">
        <x:f>IF('Event Register'!M37&lt;&gt;"",1,0)</x:f>
        <x:v>0</x:v>
      </x:c>
      <x:c r="G618" t="n">
        <x:v>1</x:v>
      </x:c>
      <x:c r="H618" t="str">
        <x:v>equals</x:v>
      </x:c>
      <x:c r="I618" t="str">
        <x:v>independent acceptance</x:v>
      </x:c>
      <x:c r="J618" t="str">
        <x:f>IF(F618=1,"PASS","OPEN")</x:f>
        <x:v>OPEN</x:v>
      </x:c>
    </x:row>
    <x:row r="619">
      <x:c r="B619" t="str">
        <x:v>PHY-VA-031</x:v>
      </x:c>
      <x:c r="C619" t="str">
        <x:v>PHYSICAL</x:v>
      </x:c>
      <x:c r="D619" t="str">
        <x:v>event validity</x:v>
      </x:c>
      <x:c r="E619" t="str">
        <x:v>RFA-E031</x:v>
      </x:c>
      <x:c r="F619" t="n">
        <x:f>'Event Estimator'!L37</x:f>
        <x:v>0</x:v>
      </x:c>
      <x:c r="G619" t="n">
        <x:v>1</x:v>
      </x:c>
      <x:c r="H619" t="str">
        <x:v>equals</x:v>
      </x:c>
      <x:c r="I619" t="str">
        <x:v>independent acceptance</x:v>
      </x:c>
      <x:c r="J619" t="str">
        <x:f>IF(F619=1,"PASS","OPEN")</x:f>
        <x:v>OPEN</x:v>
      </x:c>
    </x:row>
    <x:row r="620">
      <x:c r="B620" t="str">
        <x:v>PHY-OC-031</x:v>
      </x:c>
      <x:c r="C620" t="str">
        <x:v>PHYSICAL</x:v>
      </x:c>
      <x:c r="D620" t="str">
        <x:v>event outcome</x:v>
      </x:c>
      <x:c r="E620" t="str">
        <x:v>RFA-E031</x:v>
      </x:c>
      <x:c r="F620" t="n">
        <x:f>IF('Event Estimator'!M37&lt;&gt;"",1,0)</x:f>
        <x:v>0</x:v>
      </x:c>
      <x:c r="G620" t="n">
        <x:v>1</x:v>
      </x:c>
      <x:c r="H620" t="str">
        <x:v>equals</x:v>
      </x:c>
      <x:c r="I620" t="str">
        <x:v>independent acceptance</x:v>
      </x:c>
      <x:c r="J620" t="str">
        <x:f>IF(F620=1,"PASS","OPEN")</x:f>
        <x:v>OPEN</x:v>
      </x:c>
    </x:row>
    <x:row r="621">
      <x:c r="B621" t="str">
        <x:v>PHY-EX-032</x:v>
      </x:c>
      <x:c r="C621" t="str">
        <x:v>PHYSICAL</x:v>
      </x:c>
      <x:c r="D621" t="str">
        <x:v>event execution</x:v>
      </x:c>
      <x:c r="E621" t="str">
        <x:v>RFA-E032</x:v>
      </x:c>
      <x:c r="F621" t="n">
        <x:f>IF('Event Register'!M38&lt;&gt;"",1,0)</x:f>
        <x:v>0</x:v>
      </x:c>
      <x:c r="G621" t="n">
        <x:v>1</x:v>
      </x:c>
      <x:c r="H621" t="str">
        <x:v>equals</x:v>
      </x:c>
      <x:c r="I621" t="str">
        <x:v>independent acceptance</x:v>
      </x:c>
      <x:c r="J621" t="str">
        <x:f>IF(F621=1,"PASS","OPEN")</x:f>
        <x:v>OPEN</x:v>
      </x:c>
    </x:row>
    <x:row r="622">
      <x:c r="B622" t="str">
        <x:v>PHY-VA-032</x:v>
      </x:c>
      <x:c r="C622" t="str">
        <x:v>PHYSICAL</x:v>
      </x:c>
      <x:c r="D622" t="str">
        <x:v>event validity</x:v>
      </x:c>
      <x:c r="E622" t="str">
        <x:v>RFA-E032</x:v>
      </x:c>
      <x:c r="F622" t="n">
        <x:f>'Event Estimator'!L38</x:f>
        <x:v>0</x:v>
      </x:c>
      <x:c r="G622" t="n">
        <x:v>1</x:v>
      </x:c>
      <x:c r="H622" t="str">
        <x:v>equals</x:v>
      </x:c>
      <x:c r="I622" t="str">
        <x:v>independent acceptance</x:v>
      </x:c>
      <x:c r="J622" t="str">
        <x:f>IF(F622=1,"PASS","OPEN")</x:f>
        <x:v>OPEN</x:v>
      </x:c>
    </x:row>
    <x:row r="623">
      <x:c r="B623" t="str">
        <x:v>PHY-OC-032</x:v>
      </x:c>
      <x:c r="C623" t="str">
        <x:v>PHYSICAL</x:v>
      </x:c>
      <x:c r="D623" t="str">
        <x:v>event outcome</x:v>
      </x:c>
      <x:c r="E623" t="str">
        <x:v>RFA-E032</x:v>
      </x:c>
      <x:c r="F623" t="n">
        <x:f>IF('Event Estimator'!M38&lt;&gt;"",1,0)</x:f>
        <x:v>0</x:v>
      </x:c>
      <x:c r="G623" t="n">
        <x:v>1</x:v>
      </x:c>
      <x:c r="H623" t="str">
        <x:v>equals</x:v>
      </x:c>
      <x:c r="I623" t="str">
        <x:v>independent acceptance</x:v>
      </x:c>
      <x:c r="J623" t="str">
        <x:f>IF(F623=1,"PASS","OPEN")</x:f>
        <x:v>OPEN</x:v>
      </x:c>
    </x:row>
    <x:row r="624">
      <x:c r="B624" t="str">
        <x:v>PHY-EX-033</x:v>
      </x:c>
      <x:c r="C624" t="str">
        <x:v>PHYSICAL</x:v>
      </x:c>
      <x:c r="D624" t="str">
        <x:v>event execution</x:v>
      </x:c>
      <x:c r="E624" t="str">
        <x:v>RFA-E033</x:v>
      </x:c>
      <x:c r="F624" t="n">
        <x:f>IF('Event Register'!M39&lt;&gt;"",1,0)</x:f>
        <x:v>0</x:v>
      </x:c>
      <x:c r="G624" t="n">
        <x:v>1</x:v>
      </x:c>
      <x:c r="H624" t="str">
        <x:v>equals</x:v>
      </x:c>
      <x:c r="I624" t="str">
        <x:v>independent acceptance</x:v>
      </x:c>
      <x:c r="J624" t="str">
        <x:f>IF(F624=1,"PASS","OPEN")</x:f>
        <x:v>OPEN</x:v>
      </x:c>
    </x:row>
    <x:row r="625">
      <x:c r="B625" t="str">
        <x:v>PHY-VA-033</x:v>
      </x:c>
      <x:c r="C625" t="str">
        <x:v>PHYSICAL</x:v>
      </x:c>
      <x:c r="D625" t="str">
        <x:v>event validity</x:v>
      </x:c>
      <x:c r="E625" t="str">
        <x:v>RFA-E033</x:v>
      </x:c>
      <x:c r="F625" t="n">
        <x:f>'Event Estimator'!L39</x:f>
        <x:v>0</x:v>
      </x:c>
      <x:c r="G625" t="n">
        <x:v>1</x:v>
      </x:c>
      <x:c r="H625" t="str">
        <x:v>equals</x:v>
      </x:c>
      <x:c r="I625" t="str">
        <x:v>independent acceptance</x:v>
      </x:c>
      <x:c r="J625" t="str">
        <x:f>IF(F625=1,"PASS","OPEN")</x:f>
        <x:v>OPEN</x:v>
      </x:c>
    </x:row>
    <x:row r="626">
      <x:c r="B626" t="str">
        <x:v>PHY-OC-033</x:v>
      </x:c>
      <x:c r="C626" t="str">
        <x:v>PHYSICAL</x:v>
      </x:c>
      <x:c r="D626" t="str">
        <x:v>event outcome</x:v>
      </x:c>
      <x:c r="E626" t="str">
        <x:v>RFA-E033</x:v>
      </x:c>
      <x:c r="F626" t="n">
        <x:f>IF('Event Estimator'!M39&lt;&gt;"",1,0)</x:f>
        <x:v>0</x:v>
      </x:c>
      <x:c r="G626" t="n">
        <x:v>1</x:v>
      </x:c>
      <x:c r="H626" t="str">
        <x:v>equals</x:v>
      </x:c>
      <x:c r="I626" t="str">
        <x:v>independent acceptance</x:v>
      </x:c>
      <x:c r="J626" t="str">
        <x:f>IF(F626=1,"PASS","OPEN")</x:f>
        <x:v>OPEN</x:v>
      </x:c>
    </x:row>
    <x:row r="627">
      <x:c r="B627" t="str">
        <x:v>PHY-EX-034</x:v>
      </x:c>
      <x:c r="C627" t="str">
        <x:v>PHYSICAL</x:v>
      </x:c>
      <x:c r="D627" t="str">
        <x:v>event execution</x:v>
      </x:c>
      <x:c r="E627" t="str">
        <x:v>RFA-E034</x:v>
      </x:c>
      <x:c r="F627" t="n">
        <x:f>IF('Event Register'!M40&lt;&gt;"",1,0)</x:f>
        <x:v>0</x:v>
      </x:c>
      <x:c r="G627" t="n">
        <x:v>1</x:v>
      </x:c>
      <x:c r="H627" t="str">
        <x:v>equals</x:v>
      </x:c>
      <x:c r="I627" t="str">
        <x:v>independent acceptance</x:v>
      </x:c>
      <x:c r="J627" t="str">
        <x:f>IF(F627=1,"PASS","OPEN")</x:f>
        <x:v>OPEN</x:v>
      </x:c>
    </x:row>
    <x:row r="628">
      <x:c r="B628" t="str">
        <x:v>PHY-VA-034</x:v>
      </x:c>
      <x:c r="C628" t="str">
        <x:v>PHYSICAL</x:v>
      </x:c>
      <x:c r="D628" t="str">
        <x:v>event validity</x:v>
      </x:c>
      <x:c r="E628" t="str">
        <x:v>RFA-E034</x:v>
      </x:c>
      <x:c r="F628" t="n">
        <x:f>'Event Estimator'!L40</x:f>
        <x:v>0</x:v>
      </x:c>
      <x:c r="G628" t="n">
        <x:v>1</x:v>
      </x:c>
      <x:c r="H628" t="str">
        <x:v>equals</x:v>
      </x:c>
      <x:c r="I628" t="str">
        <x:v>independent acceptance</x:v>
      </x:c>
      <x:c r="J628" t="str">
        <x:f>IF(F628=1,"PASS","OPEN")</x:f>
        <x:v>OPEN</x:v>
      </x:c>
    </x:row>
    <x:row r="629">
      <x:c r="B629" t="str">
        <x:v>PHY-OC-034</x:v>
      </x:c>
      <x:c r="C629" t="str">
        <x:v>PHYSICAL</x:v>
      </x:c>
      <x:c r="D629" t="str">
        <x:v>event outcome</x:v>
      </x:c>
      <x:c r="E629" t="str">
        <x:v>RFA-E034</x:v>
      </x:c>
      <x:c r="F629" t="n">
        <x:f>IF('Event Estimator'!M40&lt;&gt;"",1,0)</x:f>
        <x:v>0</x:v>
      </x:c>
      <x:c r="G629" t="n">
        <x:v>1</x:v>
      </x:c>
      <x:c r="H629" t="str">
        <x:v>equals</x:v>
      </x:c>
      <x:c r="I629" t="str">
        <x:v>independent acceptance</x:v>
      </x:c>
      <x:c r="J629" t="str">
        <x:f>IF(F629=1,"PASS","OPEN")</x:f>
        <x:v>OPEN</x:v>
      </x:c>
    </x:row>
    <x:row r="630">
      <x:c r="B630" t="str">
        <x:v>PHY-EX-035</x:v>
      </x:c>
      <x:c r="C630" t="str">
        <x:v>PHYSICAL</x:v>
      </x:c>
      <x:c r="D630" t="str">
        <x:v>event execution</x:v>
      </x:c>
      <x:c r="E630" t="str">
        <x:v>RFA-E035</x:v>
      </x:c>
      <x:c r="F630" t="n">
        <x:f>IF('Event Register'!M41&lt;&gt;"",1,0)</x:f>
        <x:v>0</x:v>
      </x:c>
      <x:c r="G630" t="n">
        <x:v>1</x:v>
      </x:c>
      <x:c r="H630" t="str">
        <x:v>equals</x:v>
      </x:c>
      <x:c r="I630" t="str">
        <x:v>independent acceptance</x:v>
      </x:c>
      <x:c r="J630" t="str">
        <x:f>IF(F630=1,"PASS","OPEN")</x:f>
        <x:v>OPEN</x:v>
      </x:c>
    </x:row>
    <x:row r="631">
      <x:c r="B631" t="str">
        <x:v>PHY-VA-035</x:v>
      </x:c>
      <x:c r="C631" t="str">
        <x:v>PHYSICAL</x:v>
      </x:c>
      <x:c r="D631" t="str">
        <x:v>event validity</x:v>
      </x:c>
      <x:c r="E631" t="str">
        <x:v>RFA-E035</x:v>
      </x:c>
      <x:c r="F631" t="n">
        <x:f>'Event Estimator'!L41</x:f>
        <x:v>0</x:v>
      </x:c>
      <x:c r="G631" t="n">
        <x:v>1</x:v>
      </x:c>
      <x:c r="H631" t="str">
        <x:v>equals</x:v>
      </x:c>
      <x:c r="I631" t="str">
        <x:v>independent acceptance</x:v>
      </x:c>
      <x:c r="J631" t="str">
        <x:f>IF(F631=1,"PASS","OPEN")</x:f>
        <x:v>OPEN</x:v>
      </x:c>
    </x:row>
    <x:row r="632">
      <x:c r="B632" t="str">
        <x:v>PHY-OC-035</x:v>
      </x:c>
      <x:c r="C632" t="str">
        <x:v>PHYSICAL</x:v>
      </x:c>
      <x:c r="D632" t="str">
        <x:v>event outcome</x:v>
      </x:c>
      <x:c r="E632" t="str">
        <x:v>RFA-E035</x:v>
      </x:c>
      <x:c r="F632" t="n">
        <x:f>IF('Event Estimator'!M41&lt;&gt;"",1,0)</x:f>
        <x:v>0</x:v>
      </x:c>
      <x:c r="G632" t="n">
        <x:v>1</x:v>
      </x:c>
      <x:c r="H632" t="str">
        <x:v>equals</x:v>
      </x:c>
      <x:c r="I632" t="str">
        <x:v>independent acceptance</x:v>
      </x:c>
      <x:c r="J632" t="str">
        <x:f>IF(F632=1,"PASS","OPEN")</x:f>
        <x:v>OPEN</x:v>
      </x:c>
    </x:row>
    <x:row r="633">
      <x:c r="B633" t="str">
        <x:v>PHY-EX-036</x:v>
      </x:c>
      <x:c r="C633" t="str">
        <x:v>PHYSICAL</x:v>
      </x:c>
      <x:c r="D633" t="str">
        <x:v>event execution</x:v>
      </x:c>
      <x:c r="E633" t="str">
        <x:v>RFA-E036</x:v>
      </x:c>
      <x:c r="F633" t="n">
        <x:f>IF('Event Register'!M42&lt;&gt;"",1,0)</x:f>
        <x:v>0</x:v>
      </x:c>
      <x:c r="G633" t="n">
        <x:v>1</x:v>
      </x:c>
      <x:c r="H633" t="str">
        <x:v>equals</x:v>
      </x:c>
      <x:c r="I633" t="str">
        <x:v>independent acceptance</x:v>
      </x:c>
      <x:c r="J633" t="str">
        <x:f>IF(F633=1,"PASS","OPEN")</x:f>
        <x:v>OPEN</x:v>
      </x:c>
    </x:row>
    <x:row r="634">
      <x:c r="B634" t="str">
        <x:v>PHY-VA-036</x:v>
      </x:c>
      <x:c r="C634" t="str">
        <x:v>PHYSICAL</x:v>
      </x:c>
      <x:c r="D634" t="str">
        <x:v>event validity</x:v>
      </x:c>
      <x:c r="E634" t="str">
        <x:v>RFA-E036</x:v>
      </x:c>
      <x:c r="F634" t="n">
        <x:f>'Event Estimator'!L42</x:f>
        <x:v>0</x:v>
      </x:c>
      <x:c r="G634" t="n">
        <x:v>1</x:v>
      </x:c>
      <x:c r="H634" t="str">
        <x:v>equals</x:v>
      </x:c>
      <x:c r="I634" t="str">
        <x:v>independent acceptance</x:v>
      </x:c>
      <x:c r="J634" t="str">
        <x:f>IF(F634=1,"PASS","OPEN")</x:f>
        <x:v>OPEN</x:v>
      </x:c>
    </x:row>
    <x:row r="635">
      <x:c r="B635" t="str">
        <x:v>PHY-OC-036</x:v>
      </x:c>
      <x:c r="C635" t="str">
        <x:v>PHYSICAL</x:v>
      </x:c>
      <x:c r="D635" t="str">
        <x:v>event outcome</x:v>
      </x:c>
      <x:c r="E635" t="str">
        <x:v>RFA-E036</x:v>
      </x:c>
      <x:c r="F635" t="n">
        <x:f>IF('Event Estimator'!M42&lt;&gt;"",1,0)</x:f>
        <x:v>0</x:v>
      </x:c>
      <x:c r="G635" t="n">
        <x:v>1</x:v>
      </x:c>
      <x:c r="H635" t="str">
        <x:v>equals</x:v>
      </x:c>
      <x:c r="I635" t="str">
        <x:v>independent acceptance</x:v>
      </x:c>
      <x:c r="J635" t="str">
        <x:f>IF(F635=1,"PASS","OPEN")</x:f>
        <x:v>OPEN</x:v>
      </x:c>
    </x:row>
    <x:row r="636">
      <x:c r="B636" t="str">
        <x:v>PHY-EX-037</x:v>
      </x:c>
      <x:c r="C636" t="str">
        <x:v>PHYSICAL</x:v>
      </x:c>
      <x:c r="D636" t="str">
        <x:v>event execution</x:v>
      </x:c>
      <x:c r="E636" t="str">
        <x:v>RFA-E037</x:v>
      </x:c>
      <x:c r="F636" t="n">
        <x:f>IF('Event Register'!M43&lt;&gt;"",1,0)</x:f>
        <x:v>0</x:v>
      </x:c>
      <x:c r="G636" t="n">
        <x:v>1</x:v>
      </x:c>
      <x:c r="H636" t="str">
        <x:v>equals</x:v>
      </x:c>
      <x:c r="I636" t="str">
        <x:v>independent acceptance</x:v>
      </x:c>
      <x:c r="J636" t="str">
        <x:f>IF(F636=1,"PASS","OPEN")</x:f>
        <x:v>OPEN</x:v>
      </x:c>
    </x:row>
    <x:row r="637">
      <x:c r="B637" t="str">
        <x:v>PHY-VA-037</x:v>
      </x:c>
      <x:c r="C637" t="str">
        <x:v>PHYSICAL</x:v>
      </x:c>
      <x:c r="D637" t="str">
        <x:v>event validity</x:v>
      </x:c>
      <x:c r="E637" t="str">
        <x:v>RFA-E037</x:v>
      </x:c>
      <x:c r="F637" t="n">
        <x:f>'Event Estimator'!L43</x:f>
        <x:v>0</x:v>
      </x:c>
      <x:c r="G637" t="n">
        <x:v>1</x:v>
      </x:c>
      <x:c r="H637" t="str">
        <x:v>equals</x:v>
      </x:c>
      <x:c r="I637" t="str">
        <x:v>independent acceptance</x:v>
      </x:c>
      <x:c r="J637" t="str">
        <x:f>IF(F637=1,"PASS","OPEN")</x:f>
        <x:v>OPEN</x:v>
      </x:c>
    </x:row>
    <x:row r="638">
      <x:c r="B638" t="str">
        <x:v>PHY-OC-037</x:v>
      </x:c>
      <x:c r="C638" t="str">
        <x:v>PHYSICAL</x:v>
      </x:c>
      <x:c r="D638" t="str">
        <x:v>event outcome</x:v>
      </x:c>
      <x:c r="E638" t="str">
        <x:v>RFA-E037</x:v>
      </x:c>
      <x:c r="F638" t="n">
        <x:f>IF('Event Estimator'!M43&lt;&gt;"",1,0)</x:f>
        <x:v>0</x:v>
      </x:c>
      <x:c r="G638" t="n">
        <x:v>1</x:v>
      </x:c>
      <x:c r="H638" t="str">
        <x:v>equals</x:v>
      </x:c>
      <x:c r="I638" t="str">
        <x:v>independent acceptance</x:v>
      </x:c>
      <x:c r="J638" t="str">
        <x:f>IF(F638=1,"PASS","OPEN")</x:f>
        <x:v>OPEN</x:v>
      </x:c>
    </x:row>
    <x:row r="639">
      <x:c r="B639" t="str">
        <x:v>PHY-EX-038</x:v>
      </x:c>
      <x:c r="C639" t="str">
        <x:v>PHYSICAL</x:v>
      </x:c>
      <x:c r="D639" t="str">
        <x:v>event execution</x:v>
      </x:c>
      <x:c r="E639" t="str">
        <x:v>RFA-E038</x:v>
      </x:c>
      <x:c r="F639" t="n">
        <x:f>IF('Event Register'!M44&lt;&gt;"",1,0)</x:f>
        <x:v>0</x:v>
      </x:c>
      <x:c r="G639" t="n">
        <x:v>1</x:v>
      </x:c>
      <x:c r="H639" t="str">
        <x:v>equals</x:v>
      </x:c>
      <x:c r="I639" t="str">
        <x:v>independent acceptance</x:v>
      </x:c>
      <x:c r="J639" t="str">
        <x:f>IF(F639=1,"PASS","OPEN")</x:f>
        <x:v>OPEN</x:v>
      </x:c>
    </x:row>
    <x:row r="640">
      <x:c r="B640" t="str">
        <x:v>PHY-VA-038</x:v>
      </x:c>
      <x:c r="C640" t="str">
        <x:v>PHYSICAL</x:v>
      </x:c>
      <x:c r="D640" t="str">
        <x:v>event validity</x:v>
      </x:c>
      <x:c r="E640" t="str">
        <x:v>RFA-E038</x:v>
      </x:c>
      <x:c r="F640" t="n">
        <x:f>'Event Estimator'!L44</x:f>
        <x:v>0</x:v>
      </x:c>
      <x:c r="G640" t="n">
        <x:v>1</x:v>
      </x:c>
      <x:c r="H640" t="str">
        <x:v>equals</x:v>
      </x:c>
      <x:c r="I640" t="str">
        <x:v>independent acceptance</x:v>
      </x:c>
      <x:c r="J640" t="str">
        <x:f>IF(F640=1,"PASS","OPEN")</x:f>
        <x:v>OPEN</x:v>
      </x:c>
    </x:row>
    <x:row r="641">
      <x:c r="B641" t="str">
        <x:v>PHY-OC-038</x:v>
      </x:c>
      <x:c r="C641" t="str">
        <x:v>PHYSICAL</x:v>
      </x:c>
      <x:c r="D641" t="str">
        <x:v>event outcome</x:v>
      </x:c>
      <x:c r="E641" t="str">
        <x:v>RFA-E038</x:v>
      </x:c>
      <x:c r="F641" t="n">
        <x:f>IF('Event Estimator'!M44&lt;&gt;"",1,0)</x:f>
        <x:v>0</x:v>
      </x:c>
      <x:c r="G641" t="n">
        <x:v>1</x:v>
      </x:c>
      <x:c r="H641" t="str">
        <x:v>equals</x:v>
      </x:c>
      <x:c r="I641" t="str">
        <x:v>independent acceptance</x:v>
      </x:c>
      <x:c r="J641" t="str">
        <x:f>IF(F641=1,"PASS","OPEN")</x:f>
        <x:v>OPEN</x:v>
      </x:c>
    </x:row>
    <x:row r="642">
      <x:c r="B642" t="str">
        <x:v>PHY-EX-039</x:v>
      </x:c>
      <x:c r="C642" t="str">
        <x:v>PHYSICAL</x:v>
      </x:c>
      <x:c r="D642" t="str">
        <x:v>event execution</x:v>
      </x:c>
      <x:c r="E642" t="str">
        <x:v>RFA-E039</x:v>
      </x:c>
      <x:c r="F642" t="n">
        <x:f>IF('Event Register'!M45&lt;&gt;"",1,0)</x:f>
        <x:v>0</x:v>
      </x:c>
      <x:c r="G642" t="n">
        <x:v>1</x:v>
      </x:c>
      <x:c r="H642" t="str">
        <x:v>equals</x:v>
      </x:c>
      <x:c r="I642" t="str">
        <x:v>independent acceptance</x:v>
      </x:c>
      <x:c r="J642" t="str">
        <x:f>IF(F642=1,"PASS","OPEN")</x:f>
        <x:v>OPEN</x:v>
      </x:c>
    </x:row>
    <x:row r="643">
      <x:c r="B643" t="str">
        <x:v>PHY-VA-039</x:v>
      </x:c>
      <x:c r="C643" t="str">
        <x:v>PHYSICAL</x:v>
      </x:c>
      <x:c r="D643" t="str">
        <x:v>event validity</x:v>
      </x:c>
      <x:c r="E643" t="str">
        <x:v>RFA-E039</x:v>
      </x:c>
      <x:c r="F643" t="n">
        <x:f>'Event Estimator'!L45</x:f>
        <x:v>0</x:v>
      </x:c>
      <x:c r="G643" t="n">
        <x:v>1</x:v>
      </x:c>
      <x:c r="H643" t="str">
        <x:v>equals</x:v>
      </x:c>
      <x:c r="I643" t="str">
        <x:v>independent acceptance</x:v>
      </x:c>
      <x:c r="J643" t="str">
        <x:f>IF(F643=1,"PASS","OPEN")</x:f>
        <x:v>OPEN</x:v>
      </x:c>
    </x:row>
    <x:row r="644">
      <x:c r="B644" t="str">
        <x:v>PHY-OC-039</x:v>
      </x:c>
      <x:c r="C644" t="str">
        <x:v>PHYSICAL</x:v>
      </x:c>
      <x:c r="D644" t="str">
        <x:v>event outcome</x:v>
      </x:c>
      <x:c r="E644" t="str">
        <x:v>RFA-E039</x:v>
      </x:c>
      <x:c r="F644" t="n">
        <x:f>IF('Event Estimator'!M45&lt;&gt;"",1,0)</x:f>
        <x:v>0</x:v>
      </x:c>
      <x:c r="G644" t="n">
        <x:v>1</x:v>
      </x:c>
      <x:c r="H644" t="str">
        <x:v>equals</x:v>
      </x:c>
      <x:c r="I644" t="str">
        <x:v>independent acceptance</x:v>
      </x:c>
      <x:c r="J644" t="str">
        <x:f>IF(F644=1,"PASS","OPEN")</x:f>
        <x:v>OPEN</x:v>
      </x:c>
    </x:row>
    <x:row r="645">
      <x:c r="B645" t="str">
        <x:v>PHY-EX-040</x:v>
      </x:c>
      <x:c r="C645" t="str">
        <x:v>PHYSICAL</x:v>
      </x:c>
      <x:c r="D645" t="str">
        <x:v>event execution</x:v>
      </x:c>
      <x:c r="E645" t="str">
        <x:v>RFA-E040</x:v>
      </x:c>
      <x:c r="F645" t="n">
        <x:f>IF('Event Register'!M46&lt;&gt;"",1,0)</x:f>
        <x:v>0</x:v>
      </x:c>
      <x:c r="G645" t="n">
        <x:v>1</x:v>
      </x:c>
      <x:c r="H645" t="str">
        <x:v>equals</x:v>
      </x:c>
      <x:c r="I645" t="str">
        <x:v>independent acceptance</x:v>
      </x:c>
      <x:c r="J645" t="str">
        <x:f>IF(F645=1,"PASS","OPEN")</x:f>
        <x:v>OPEN</x:v>
      </x:c>
    </x:row>
    <x:row r="646">
      <x:c r="B646" t="str">
        <x:v>PHY-VA-040</x:v>
      </x:c>
      <x:c r="C646" t="str">
        <x:v>PHYSICAL</x:v>
      </x:c>
      <x:c r="D646" t="str">
        <x:v>event validity</x:v>
      </x:c>
      <x:c r="E646" t="str">
        <x:v>RFA-E040</x:v>
      </x:c>
      <x:c r="F646" t="n">
        <x:f>'Event Estimator'!L46</x:f>
        <x:v>0</x:v>
      </x:c>
      <x:c r="G646" t="n">
        <x:v>1</x:v>
      </x:c>
      <x:c r="H646" t="str">
        <x:v>equals</x:v>
      </x:c>
      <x:c r="I646" t="str">
        <x:v>independent acceptance</x:v>
      </x:c>
      <x:c r="J646" t="str">
        <x:f>IF(F646=1,"PASS","OPEN")</x:f>
        <x:v>OPEN</x:v>
      </x:c>
    </x:row>
    <x:row r="647">
      <x:c r="B647" t="str">
        <x:v>PHY-OC-040</x:v>
      </x:c>
      <x:c r="C647" t="str">
        <x:v>PHYSICAL</x:v>
      </x:c>
      <x:c r="D647" t="str">
        <x:v>event outcome</x:v>
      </x:c>
      <x:c r="E647" t="str">
        <x:v>RFA-E040</x:v>
      </x:c>
      <x:c r="F647" t="n">
        <x:f>IF('Event Estimator'!M46&lt;&gt;"",1,0)</x:f>
        <x:v>0</x:v>
      </x:c>
      <x:c r="G647" t="n">
        <x:v>1</x:v>
      </x:c>
      <x:c r="H647" t="str">
        <x:v>equals</x:v>
      </x:c>
      <x:c r="I647" t="str">
        <x:v>independent acceptance</x:v>
      </x:c>
      <x:c r="J647" t="str">
        <x:f>IF(F647=1,"PASS","OPEN")</x:f>
        <x:v>OPEN</x:v>
      </x:c>
    </x:row>
    <x:row r="648">
      <x:c r="B648" t="str">
        <x:v>PHY-EX-041</x:v>
      </x:c>
      <x:c r="C648" t="str">
        <x:v>PHYSICAL</x:v>
      </x:c>
      <x:c r="D648" t="str">
        <x:v>event execution</x:v>
      </x:c>
      <x:c r="E648" t="str">
        <x:v>RFA-E041</x:v>
      </x:c>
      <x:c r="F648" t="n">
        <x:f>IF('Event Register'!M47&lt;&gt;"",1,0)</x:f>
        <x:v>0</x:v>
      </x:c>
      <x:c r="G648" t="n">
        <x:v>1</x:v>
      </x:c>
      <x:c r="H648" t="str">
        <x:v>equals</x:v>
      </x:c>
      <x:c r="I648" t="str">
        <x:v>independent acceptance</x:v>
      </x:c>
      <x:c r="J648" t="str">
        <x:f>IF(F648=1,"PASS","OPEN")</x:f>
        <x:v>OPEN</x:v>
      </x:c>
    </x:row>
    <x:row r="649">
      <x:c r="B649" t="str">
        <x:v>PHY-VA-041</x:v>
      </x:c>
      <x:c r="C649" t="str">
        <x:v>PHYSICAL</x:v>
      </x:c>
      <x:c r="D649" t="str">
        <x:v>event validity</x:v>
      </x:c>
      <x:c r="E649" t="str">
        <x:v>RFA-E041</x:v>
      </x:c>
      <x:c r="F649" t="n">
        <x:f>'Event Estimator'!L47</x:f>
        <x:v>0</x:v>
      </x:c>
      <x:c r="G649" t="n">
        <x:v>1</x:v>
      </x:c>
      <x:c r="H649" t="str">
        <x:v>equals</x:v>
      </x:c>
      <x:c r="I649" t="str">
        <x:v>independent acceptance</x:v>
      </x:c>
      <x:c r="J649" t="str">
        <x:f>IF(F649=1,"PASS","OPEN")</x:f>
        <x:v>OPEN</x:v>
      </x:c>
    </x:row>
    <x:row r="650">
      <x:c r="B650" t="str">
        <x:v>PHY-OC-041</x:v>
      </x:c>
      <x:c r="C650" t="str">
        <x:v>PHYSICAL</x:v>
      </x:c>
      <x:c r="D650" t="str">
        <x:v>event outcome</x:v>
      </x:c>
      <x:c r="E650" t="str">
        <x:v>RFA-E041</x:v>
      </x:c>
      <x:c r="F650" t="n">
        <x:f>IF('Event Estimator'!M47&lt;&gt;"",1,0)</x:f>
        <x:v>0</x:v>
      </x:c>
      <x:c r="G650" t="n">
        <x:v>1</x:v>
      </x:c>
      <x:c r="H650" t="str">
        <x:v>equals</x:v>
      </x:c>
      <x:c r="I650" t="str">
        <x:v>independent acceptance</x:v>
      </x:c>
      <x:c r="J650" t="str">
        <x:f>IF(F650=1,"PASS","OPEN")</x:f>
        <x:v>OPEN</x:v>
      </x:c>
    </x:row>
    <x:row r="651">
      <x:c r="B651" t="str">
        <x:v>PHY-EX-042</x:v>
      </x:c>
      <x:c r="C651" t="str">
        <x:v>PHYSICAL</x:v>
      </x:c>
      <x:c r="D651" t="str">
        <x:v>event execution</x:v>
      </x:c>
      <x:c r="E651" t="str">
        <x:v>RFA-E042</x:v>
      </x:c>
      <x:c r="F651" t="n">
        <x:f>IF('Event Register'!M48&lt;&gt;"",1,0)</x:f>
        <x:v>0</x:v>
      </x:c>
      <x:c r="G651" t="n">
        <x:v>1</x:v>
      </x:c>
      <x:c r="H651" t="str">
        <x:v>equals</x:v>
      </x:c>
      <x:c r="I651" t="str">
        <x:v>independent acceptance</x:v>
      </x:c>
      <x:c r="J651" t="str">
        <x:f>IF(F651=1,"PASS","OPEN")</x:f>
        <x:v>OPEN</x:v>
      </x:c>
    </x:row>
    <x:row r="652">
      <x:c r="B652" t="str">
        <x:v>PHY-VA-042</x:v>
      </x:c>
      <x:c r="C652" t="str">
        <x:v>PHYSICAL</x:v>
      </x:c>
      <x:c r="D652" t="str">
        <x:v>event validity</x:v>
      </x:c>
      <x:c r="E652" t="str">
        <x:v>RFA-E042</x:v>
      </x:c>
      <x:c r="F652" t="n">
        <x:f>'Event Estimator'!L48</x:f>
        <x:v>0</x:v>
      </x:c>
      <x:c r="G652" t="n">
        <x:v>1</x:v>
      </x:c>
      <x:c r="H652" t="str">
        <x:v>equals</x:v>
      </x:c>
      <x:c r="I652" t="str">
        <x:v>independent acceptance</x:v>
      </x:c>
      <x:c r="J652" t="str">
        <x:f>IF(F652=1,"PASS","OPEN")</x:f>
        <x:v>OPEN</x:v>
      </x:c>
    </x:row>
    <x:row r="653">
      <x:c r="B653" t="str">
        <x:v>PHY-OC-042</x:v>
      </x:c>
      <x:c r="C653" t="str">
        <x:v>PHYSICAL</x:v>
      </x:c>
      <x:c r="D653" t="str">
        <x:v>event outcome</x:v>
      </x:c>
      <x:c r="E653" t="str">
        <x:v>RFA-E042</x:v>
      </x:c>
      <x:c r="F653" t="n">
        <x:f>IF('Event Estimator'!M48&lt;&gt;"",1,0)</x:f>
        <x:v>0</x:v>
      </x:c>
      <x:c r="G653" t="n">
        <x:v>1</x:v>
      </x:c>
      <x:c r="H653" t="str">
        <x:v>equals</x:v>
      </x:c>
      <x:c r="I653" t="str">
        <x:v>independent acceptance</x:v>
      </x:c>
      <x:c r="J653" t="str">
        <x:f>IF(F653=1,"PASS","OPEN")</x:f>
        <x:v>OPEN</x:v>
      </x:c>
    </x:row>
    <x:row r="654">
      <x:c r="B654" t="str">
        <x:v>PHY-EX-043</x:v>
      </x:c>
      <x:c r="C654" t="str">
        <x:v>PHYSICAL</x:v>
      </x:c>
      <x:c r="D654" t="str">
        <x:v>event execution</x:v>
      </x:c>
      <x:c r="E654" t="str">
        <x:v>RFA-E043</x:v>
      </x:c>
      <x:c r="F654" t="n">
        <x:f>IF('Event Register'!M49&lt;&gt;"",1,0)</x:f>
        <x:v>0</x:v>
      </x:c>
      <x:c r="G654" t="n">
        <x:v>1</x:v>
      </x:c>
      <x:c r="H654" t="str">
        <x:v>equals</x:v>
      </x:c>
      <x:c r="I654" t="str">
        <x:v>independent acceptance</x:v>
      </x:c>
      <x:c r="J654" t="str">
        <x:f>IF(F654=1,"PASS","OPEN")</x:f>
        <x:v>OPEN</x:v>
      </x:c>
    </x:row>
    <x:row r="655">
      <x:c r="B655" t="str">
        <x:v>PHY-VA-043</x:v>
      </x:c>
      <x:c r="C655" t="str">
        <x:v>PHYSICAL</x:v>
      </x:c>
      <x:c r="D655" t="str">
        <x:v>event validity</x:v>
      </x:c>
      <x:c r="E655" t="str">
        <x:v>RFA-E043</x:v>
      </x:c>
      <x:c r="F655" t="n">
        <x:f>'Event Estimator'!L49</x:f>
        <x:v>0</x:v>
      </x:c>
      <x:c r="G655" t="n">
        <x:v>1</x:v>
      </x:c>
      <x:c r="H655" t="str">
        <x:v>equals</x:v>
      </x:c>
      <x:c r="I655" t="str">
        <x:v>independent acceptance</x:v>
      </x:c>
      <x:c r="J655" t="str">
        <x:f>IF(F655=1,"PASS","OPEN")</x:f>
        <x:v>OPEN</x:v>
      </x:c>
    </x:row>
    <x:row r="656">
      <x:c r="B656" t="str">
        <x:v>PHY-OC-043</x:v>
      </x:c>
      <x:c r="C656" t="str">
        <x:v>PHYSICAL</x:v>
      </x:c>
      <x:c r="D656" t="str">
        <x:v>event outcome</x:v>
      </x:c>
      <x:c r="E656" t="str">
        <x:v>RFA-E043</x:v>
      </x:c>
      <x:c r="F656" t="n">
        <x:f>IF('Event Estimator'!M49&lt;&gt;"",1,0)</x:f>
        <x:v>0</x:v>
      </x:c>
      <x:c r="G656" t="n">
        <x:v>1</x:v>
      </x:c>
      <x:c r="H656" t="str">
        <x:v>equals</x:v>
      </x:c>
      <x:c r="I656" t="str">
        <x:v>independent acceptance</x:v>
      </x:c>
      <x:c r="J656" t="str">
        <x:f>IF(F656=1,"PASS","OPEN")</x:f>
        <x:v>OPEN</x:v>
      </x:c>
    </x:row>
    <x:row r="657">
      <x:c r="B657" t="str">
        <x:v>PHY-EX-044</x:v>
      </x:c>
      <x:c r="C657" t="str">
        <x:v>PHYSICAL</x:v>
      </x:c>
      <x:c r="D657" t="str">
        <x:v>event execution</x:v>
      </x:c>
      <x:c r="E657" t="str">
        <x:v>RFA-E044</x:v>
      </x:c>
      <x:c r="F657" t="n">
        <x:f>IF('Event Register'!M50&lt;&gt;"",1,0)</x:f>
        <x:v>0</x:v>
      </x:c>
      <x:c r="G657" t="n">
        <x:v>1</x:v>
      </x:c>
      <x:c r="H657" t="str">
        <x:v>equals</x:v>
      </x:c>
      <x:c r="I657" t="str">
        <x:v>independent acceptance</x:v>
      </x:c>
      <x:c r="J657" t="str">
        <x:f>IF(F657=1,"PASS","OPEN")</x:f>
        <x:v>OPEN</x:v>
      </x:c>
    </x:row>
    <x:row r="658">
      <x:c r="B658" t="str">
        <x:v>PHY-VA-044</x:v>
      </x:c>
      <x:c r="C658" t="str">
        <x:v>PHYSICAL</x:v>
      </x:c>
      <x:c r="D658" t="str">
        <x:v>event validity</x:v>
      </x:c>
      <x:c r="E658" t="str">
        <x:v>RFA-E044</x:v>
      </x:c>
      <x:c r="F658" t="n">
        <x:f>'Event Estimator'!L50</x:f>
        <x:v>0</x:v>
      </x:c>
      <x:c r="G658" t="n">
        <x:v>1</x:v>
      </x:c>
      <x:c r="H658" t="str">
        <x:v>equals</x:v>
      </x:c>
      <x:c r="I658" t="str">
        <x:v>independent acceptance</x:v>
      </x:c>
      <x:c r="J658" t="str">
        <x:f>IF(F658=1,"PASS","OPEN")</x:f>
        <x:v>OPEN</x:v>
      </x:c>
    </x:row>
    <x:row r="659">
      <x:c r="B659" t="str">
        <x:v>PHY-OC-044</x:v>
      </x:c>
      <x:c r="C659" t="str">
        <x:v>PHYSICAL</x:v>
      </x:c>
      <x:c r="D659" t="str">
        <x:v>event outcome</x:v>
      </x:c>
      <x:c r="E659" t="str">
        <x:v>RFA-E044</x:v>
      </x:c>
      <x:c r="F659" t="n">
        <x:f>IF('Event Estimator'!M50&lt;&gt;"",1,0)</x:f>
        <x:v>0</x:v>
      </x:c>
      <x:c r="G659" t="n">
        <x:v>1</x:v>
      </x:c>
      <x:c r="H659" t="str">
        <x:v>equals</x:v>
      </x:c>
      <x:c r="I659" t="str">
        <x:v>independent acceptance</x:v>
      </x:c>
      <x:c r="J659" t="str">
        <x:f>IF(F659=1,"PASS","OPEN")</x:f>
        <x:v>OPEN</x:v>
      </x:c>
    </x:row>
    <x:row r="660">
      <x:c r="B660" t="str">
        <x:v>PHY-EX-045</x:v>
      </x:c>
      <x:c r="C660" t="str">
        <x:v>PHYSICAL</x:v>
      </x:c>
      <x:c r="D660" t="str">
        <x:v>event execution</x:v>
      </x:c>
      <x:c r="E660" t="str">
        <x:v>RFA-E045</x:v>
      </x:c>
      <x:c r="F660" t="n">
        <x:f>IF('Event Register'!M51&lt;&gt;"",1,0)</x:f>
        <x:v>0</x:v>
      </x:c>
      <x:c r="G660" t="n">
        <x:v>1</x:v>
      </x:c>
      <x:c r="H660" t="str">
        <x:v>equals</x:v>
      </x:c>
      <x:c r="I660" t="str">
        <x:v>independent acceptance</x:v>
      </x:c>
      <x:c r="J660" t="str">
        <x:f>IF(F660=1,"PASS","OPEN")</x:f>
        <x:v>OPEN</x:v>
      </x:c>
    </x:row>
    <x:row r="661">
      <x:c r="B661" t="str">
        <x:v>PHY-VA-045</x:v>
      </x:c>
      <x:c r="C661" t="str">
        <x:v>PHYSICAL</x:v>
      </x:c>
      <x:c r="D661" t="str">
        <x:v>event validity</x:v>
      </x:c>
      <x:c r="E661" t="str">
        <x:v>RFA-E045</x:v>
      </x:c>
      <x:c r="F661" t="n">
        <x:f>'Event Estimator'!L51</x:f>
        <x:v>0</x:v>
      </x:c>
      <x:c r="G661" t="n">
        <x:v>1</x:v>
      </x:c>
      <x:c r="H661" t="str">
        <x:v>equals</x:v>
      </x:c>
      <x:c r="I661" t="str">
        <x:v>independent acceptance</x:v>
      </x:c>
      <x:c r="J661" t="str">
        <x:f>IF(F661=1,"PASS","OPEN")</x:f>
        <x:v>OPEN</x:v>
      </x:c>
    </x:row>
    <x:row r="662">
      <x:c r="B662" t="str">
        <x:v>PHY-OC-045</x:v>
      </x:c>
      <x:c r="C662" t="str">
        <x:v>PHYSICAL</x:v>
      </x:c>
      <x:c r="D662" t="str">
        <x:v>event outcome</x:v>
      </x:c>
      <x:c r="E662" t="str">
        <x:v>RFA-E045</x:v>
      </x:c>
      <x:c r="F662" t="n">
        <x:f>IF('Event Estimator'!M51&lt;&gt;"",1,0)</x:f>
        <x:v>0</x:v>
      </x:c>
      <x:c r="G662" t="n">
        <x:v>1</x:v>
      </x:c>
      <x:c r="H662" t="str">
        <x:v>equals</x:v>
      </x:c>
      <x:c r="I662" t="str">
        <x:v>independent acceptance</x:v>
      </x:c>
      <x:c r="J662" t="str">
        <x:f>IF(F662=1,"PASS","OPEN")</x:f>
        <x:v>OPEN</x:v>
      </x:c>
    </x:row>
    <x:row r="663">
      <x:c r="B663" t="str">
        <x:v>PHY-EX-046</x:v>
      </x:c>
      <x:c r="C663" t="str">
        <x:v>PHYSICAL</x:v>
      </x:c>
      <x:c r="D663" t="str">
        <x:v>event execution</x:v>
      </x:c>
      <x:c r="E663" t="str">
        <x:v>RFA-E046</x:v>
      </x:c>
      <x:c r="F663" t="n">
        <x:f>IF('Event Register'!M52&lt;&gt;"",1,0)</x:f>
        <x:v>0</x:v>
      </x:c>
      <x:c r="G663" t="n">
        <x:v>1</x:v>
      </x:c>
      <x:c r="H663" t="str">
        <x:v>equals</x:v>
      </x:c>
      <x:c r="I663" t="str">
        <x:v>independent acceptance</x:v>
      </x:c>
      <x:c r="J663" t="str">
        <x:f>IF(F663=1,"PASS","OPEN")</x:f>
        <x:v>OPEN</x:v>
      </x:c>
    </x:row>
    <x:row r="664">
      <x:c r="B664" t="str">
        <x:v>PHY-VA-046</x:v>
      </x:c>
      <x:c r="C664" t="str">
        <x:v>PHYSICAL</x:v>
      </x:c>
      <x:c r="D664" t="str">
        <x:v>event validity</x:v>
      </x:c>
      <x:c r="E664" t="str">
        <x:v>RFA-E046</x:v>
      </x:c>
      <x:c r="F664" t="n">
        <x:f>'Event Estimator'!L52</x:f>
        <x:v>0</x:v>
      </x:c>
      <x:c r="G664" t="n">
        <x:v>1</x:v>
      </x:c>
      <x:c r="H664" t="str">
        <x:v>equals</x:v>
      </x:c>
      <x:c r="I664" t="str">
        <x:v>independent acceptance</x:v>
      </x:c>
      <x:c r="J664" t="str">
        <x:f>IF(F664=1,"PASS","OPEN")</x:f>
        <x:v>OPEN</x:v>
      </x:c>
    </x:row>
    <x:row r="665">
      <x:c r="B665" t="str">
        <x:v>PHY-OC-046</x:v>
      </x:c>
      <x:c r="C665" t="str">
        <x:v>PHYSICAL</x:v>
      </x:c>
      <x:c r="D665" t="str">
        <x:v>event outcome</x:v>
      </x:c>
      <x:c r="E665" t="str">
        <x:v>RFA-E046</x:v>
      </x:c>
      <x:c r="F665" t="n">
        <x:f>IF('Event Estimator'!M52&lt;&gt;"",1,0)</x:f>
        <x:v>0</x:v>
      </x:c>
      <x:c r="G665" t="n">
        <x:v>1</x:v>
      </x:c>
      <x:c r="H665" t="str">
        <x:v>equals</x:v>
      </x:c>
      <x:c r="I665" t="str">
        <x:v>independent acceptance</x:v>
      </x:c>
      <x:c r="J665" t="str">
        <x:f>IF(F665=1,"PASS","OPEN")</x:f>
        <x:v>OPEN</x:v>
      </x:c>
    </x:row>
    <x:row r="666">
      <x:c r="B666" t="str">
        <x:v>PHY-EX-047</x:v>
      </x:c>
      <x:c r="C666" t="str">
        <x:v>PHYSICAL</x:v>
      </x:c>
      <x:c r="D666" t="str">
        <x:v>event execution</x:v>
      </x:c>
      <x:c r="E666" t="str">
        <x:v>RFA-E047</x:v>
      </x:c>
      <x:c r="F666" t="n">
        <x:f>IF('Event Register'!M53&lt;&gt;"",1,0)</x:f>
        <x:v>0</x:v>
      </x:c>
      <x:c r="G666" t="n">
        <x:v>1</x:v>
      </x:c>
      <x:c r="H666" t="str">
        <x:v>equals</x:v>
      </x:c>
      <x:c r="I666" t="str">
        <x:v>independent acceptance</x:v>
      </x:c>
      <x:c r="J666" t="str">
        <x:f>IF(F666=1,"PASS","OPEN")</x:f>
        <x:v>OPEN</x:v>
      </x:c>
    </x:row>
    <x:row r="667">
      <x:c r="B667" t="str">
        <x:v>PHY-VA-047</x:v>
      </x:c>
      <x:c r="C667" t="str">
        <x:v>PHYSICAL</x:v>
      </x:c>
      <x:c r="D667" t="str">
        <x:v>event validity</x:v>
      </x:c>
      <x:c r="E667" t="str">
        <x:v>RFA-E047</x:v>
      </x:c>
      <x:c r="F667" t="n">
        <x:f>'Event Estimator'!L53</x:f>
        <x:v>0</x:v>
      </x:c>
      <x:c r="G667" t="n">
        <x:v>1</x:v>
      </x:c>
      <x:c r="H667" t="str">
        <x:v>equals</x:v>
      </x:c>
      <x:c r="I667" t="str">
        <x:v>independent acceptance</x:v>
      </x:c>
      <x:c r="J667" t="str">
        <x:f>IF(F667=1,"PASS","OPEN")</x:f>
        <x:v>OPEN</x:v>
      </x:c>
    </x:row>
    <x:row r="668">
      <x:c r="B668" t="str">
        <x:v>PHY-OC-047</x:v>
      </x:c>
      <x:c r="C668" t="str">
        <x:v>PHYSICAL</x:v>
      </x:c>
      <x:c r="D668" t="str">
        <x:v>event outcome</x:v>
      </x:c>
      <x:c r="E668" t="str">
        <x:v>RFA-E047</x:v>
      </x:c>
      <x:c r="F668" t="n">
        <x:f>IF('Event Estimator'!M53&lt;&gt;"",1,0)</x:f>
        <x:v>0</x:v>
      </x:c>
      <x:c r="G668" t="n">
        <x:v>1</x:v>
      </x:c>
      <x:c r="H668" t="str">
        <x:v>equals</x:v>
      </x:c>
      <x:c r="I668" t="str">
        <x:v>independent acceptance</x:v>
      </x:c>
      <x:c r="J668" t="str">
        <x:f>IF(F668=1,"PASS","OPEN")</x:f>
        <x:v>OPEN</x:v>
      </x:c>
    </x:row>
    <x:row r="669">
      <x:c r="B669" t="str">
        <x:v>PHY-EX-048</x:v>
      </x:c>
      <x:c r="C669" t="str">
        <x:v>PHYSICAL</x:v>
      </x:c>
      <x:c r="D669" t="str">
        <x:v>event execution</x:v>
      </x:c>
      <x:c r="E669" t="str">
        <x:v>RFA-E048</x:v>
      </x:c>
      <x:c r="F669" t="n">
        <x:f>IF('Event Register'!M54&lt;&gt;"",1,0)</x:f>
        <x:v>0</x:v>
      </x:c>
      <x:c r="G669" t="n">
        <x:v>1</x:v>
      </x:c>
      <x:c r="H669" t="str">
        <x:v>equals</x:v>
      </x:c>
      <x:c r="I669" t="str">
        <x:v>independent acceptance</x:v>
      </x:c>
      <x:c r="J669" t="str">
        <x:f>IF(F669=1,"PASS","OPEN")</x:f>
        <x:v>OPEN</x:v>
      </x:c>
    </x:row>
    <x:row r="670">
      <x:c r="B670" t="str">
        <x:v>PHY-VA-048</x:v>
      </x:c>
      <x:c r="C670" t="str">
        <x:v>PHYSICAL</x:v>
      </x:c>
      <x:c r="D670" t="str">
        <x:v>event validity</x:v>
      </x:c>
      <x:c r="E670" t="str">
        <x:v>RFA-E048</x:v>
      </x:c>
      <x:c r="F670" t="n">
        <x:f>'Event Estimator'!L54</x:f>
        <x:v>0</x:v>
      </x:c>
      <x:c r="G670" t="n">
        <x:v>1</x:v>
      </x:c>
      <x:c r="H670" t="str">
        <x:v>equals</x:v>
      </x:c>
      <x:c r="I670" t="str">
        <x:v>independent acceptance</x:v>
      </x:c>
      <x:c r="J670" t="str">
        <x:f>IF(F670=1,"PASS","OPEN")</x:f>
        <x:v>OPEN</x:v>
      </x:c>
    </x:row>
    <x:row r="671">
      <x:c r="B671" t="str">
        <x:v>PHY-OC-048</x:v>
      </x:c>
      <x:c r="C671" t="str">
        <x:v>PHYSICAL</x:v>
      </x:c>
      <x:c r="D671" t="str">
        <x:v>event outcome</x:v>
      </x:c>
      <x:c r="E671" t="str">
        <x:v>RFA-E048</x:v>
      </x:c>
      <x:c r="F671" t="n">
        <x:f>IF('Event Estimator'!M54&lt;&gt;"",1,0)</x:f>
        <x:v>0</x:v>
      </x:c>
      <x:c r="G671" t="n">
        <x:v>1</x:v>
      </x:c>
      <x:c r="H671" t="str">
        <x:v>equals</x:v>
      </x:c>
      <x:c r="I671" t="str">
        <x:v>independent acceptance</x:v>
      </x:c>
      <x:c r="J671" t="str">
        <x:f>IF(F671=1,"PASS","OPEN")</x:f>
        <x:v>OPEN</x:v>
      </x:c>
    </x:row>
    <x:row r="672">
      <x:c r="B672" t="str">
        <x:v>PHY-EX-049</x:v>
      </x:c>
      <x:c r="C672" t="str">
        <x:v>PHYSICAL</x:v>
      </x:c>
      <x:c r="D672" t="str">
        <x:v>event execution</x:v>
      </x:c>
      <x:c r="E672" t="str">
        <x:v>RFA-E049</x:v>
      </x:c>
      <x:c r="F672" t="n">
        <x:f>IF('Event Register'!M55&lt;&gt;"",1,0)</x:f>
        <x:v>0</x:v>
      </x:c>
      <x:c r="G672" t="n">
        <x:v>1</x:v>
      </x:c>
      <x:c r="H672" t="str">
        <x:v>equals</x:v>
      </x:c>
      <x:c r="I672" t="str">
        <x:v>independent acceptance</x:v>
      </x:c>
      <x:c r="J672" t="str">
        <x:f>IF(F672=1,"PASS","OPEN")</x:f>
        <x:v>OPEN</x:v>
      </x:c>
    </x:row>
    <x:row r="673">
      <x:c r="B673" t="str">
        <x:v>PHY-VA-049</x:v>
      </x:c>
      <x:c r="C673" t="str">
        <x:v>PHYSICAL</x:v>
      </x:c>
      <x:c r="D673" t="str">
        <x:v>event validity</x:v>
      </x:c>
      <x:c r="E673" t="str">
        <x:v>RFA-E049</x:v>
      </x:c>
      <x:c r="F673" t="n">
        <x:f>'Event Estimator'!L55</x:f>
        <x:v>0</x:v>
      </x:c>
      <x:c r="G673" t="n">
        <x:v>1</x:v>
      </x:c>
      <x:c r="H673" t="str">
        <x:v>equals</x:v>
      </x:c>
      <x:c r="I673" t="str">
        <x:v>independent acceptance</x:v>
      </x:c>
      <x:c r="J673" t="str">
        <x:f>IF(F673=1,"PASS","OPEN")</x:f>
        <x:v>OPEN</x:v>
      </x:c>
    </x:row>
    <x:row r="674">
      <x:c r="B674" t="str">
        <x:v>PHY-OC-049</x:v>
      </x:c>
      <x:c r="C674" t="str">
        <x:v>PHYSICAL</x:v>
      </x:c>
      <x:c r="D674" t="str">
        <x:v>event outcome</x:v>
      </x:c>
      <x:c r="E674" t="str">
        <x:v>RFA-E049</x:v>
      </x:c>
      <x:c r="F674" t="n">
        <x:f>IF('Event Estimator'!M55&lt;&gt;"",1,0)</x:f>
        <x:v>0</x:v>
      </x:c>
      <x:c r="G674" t="n">
        <x:v>1</x:v>
      </x:c>
      <x:c r="H674" t="str">
        <x:v>equals</x:v>
      </x:c>
      <x:c r="I674" t="str">
        <x:v>independent acceptance</x:v>
      </x:c>
      <x:c r="J674" t="str">
        <x:f>IF(F674=1,"PASS","OPEN")</x:f>
        <x:v>OPEN</x:v>
      </x:c>
    </x:row>
    <x:row r="675">
      <x:c r="B675" t="str">
        <x:v>PHY-EX-050</x:v>
      </x:c>
      <x:c r="C675" t="str">
        <x:v>PHYSICAL</x:v>
      </x:c>
      <x:c r="D675" t="str">
        <x:v>event execution</x:v>
      </x:c>
      <x:c r="E675" t="str">
        <x:v>RFA-E050</x:v>
      </x:c>
      <x:c r="F675" t="n">
        <x:f>IF('Event Register'!M56&lt;&gt;"",1,0)</x:f>
        <x:v>0</x:v>
      </x:c>
      <x:c r="G675" t="n">
        <x:v>1</x:v>
      </x:c>
      <x:c r="H675" t="str">
        <x:v>equals</x:v>
      </x:c>
      <x:c r="I675" t="str">
        <x:v>independent acceptance</x:v>
      </x:c>
      <x:c r="J675" t="str">
        <x:f>IF(F675=1,"PASS","OPEN")</x:f>
        <x:v>OPEN</x:v>
      </x:c>
    </x:row>
    <x:row r="676">
      <x:c r="B676" t="str">
        <x:v>PHY-VA-050</x:v>
      </x:c>
      <x:c r="C676" t="str">
        <x:v>PHYSICAL</x:v>
      </x:c>
      <x:c r="D676" t="str">
        <x:v>event validity</x:v>
      </x:c>
      <x:c r="E676" t="str">
        <x:v>RFA-E050</x:v>
      </x:c>
      <x:c r="F676" t="n">
        <x:f>'Event Estimator'!L56</x:f>
        <x:v>0</x:v>
      </x:c>
      <x:c r="G676" t="n">
        <x:v>1</x:v>
      </x:c>
      <x:c r="H676" t="str">
        <x:v>equals</x:v>
      </x:c>
      <x:c r="I676" t="str">
        <x:v>independent acceptance</x:v>
      </x:c>
      <x:c r="J676" t="str">
        <x:f>IF(F676=1,"PASS","OPEN")</x:f>
        <x:v>OPEN</x:v>
      </x:c>
    </x:row>
    <x:row r="677">
      <x:c r="B677" t="str">
        <x:v>PHY-OC-050</x:v>
      </x:c>
      <x:c r="C677" t="str">
        <x:v>PHYSICAL</x:v>
      </x:c>
      <x:c r="D677" t="str">
        <x:v>event outcome</x:v>
      </x:c>
      <x:c r="E677" t="str">
        <x:v>RFA-E050</x:v>
      </x:c>
      <x:c r="F677" t="n">
        <x:f>IF('Event Estimator'!M56&lt;&gt;"",1,0)</x:f>
        <x:v>0</x:v>
      </x:c>
      <x:c r="G677" t="n">
        <x:v>1</x:v>
      </x:c>
      <x:c r="H677" t="str">
        <x:v>equals</x:v>
      </x:c>
      <x:c r="I677" t="str">
        <x:v>independent acceptance</x:v>
      </x:c>
      <x:c r="J677" t="str">
        <x:f>IF(F677=1,"PASS","OPEN")</x:f>
        <x:v>OPEN</x:v>
      </x:c>
    </x:row>
    <x:row r="678">
      <x:c r="B678" t="str">
        <x:v>PHY-EX-051</x:v>
      </x:c>
      <x:c r="C678" t="str">
        <x:v>PHYSICAL</x:v>
      </x:c>
      <x:c r="D678" t="str">
        <x:v>event execution</x:v>
      </x:c>
      <x:c r="E678" t="str">
        <x:v>RFA-E051</x:v>
      </x:c>
      <x:c r="F678" t="n">
        <x:f>IF('Event Register'!M57&lt;&gt;"",1,0)</x:f>
        <x:v>0</x:v>
      </x:c>
      <x:c r="G678" t="n">
        <x:v>1</x:v>
      </x:c>
      <x:c r="H678" t="str">
        <x:v>equals</x:v>
      </x:c>
      <x:c r="I678" t="str">
        <x:v>independent acceptance</x:v>
      </x:c>
      <x:c r="J678" t="str">
        <x:f>IF(F678=1,"PASS","OPEN")</x:f>
        <x:v>OPEN</x:v>
      </x:c>
    </x:row>
    <x:row r="679">
      <x:c r="B679" t="str">
        <x:v>PHY-VA-051</x:v>
      </x:c>
      <x:c r="C679" t="str">
        <x:v>PHYSICAL</x:v>
      </x:c>
      <x:c r="D679" t="str">
        <x:v>event validity</x:v>
      </x:c>
      <x:c r="E679" t="str">
        <x:v>RFA-E051</x:v>
      </x:c>
      <x:c r="F679" t="n">
        <x:f>'Event Estimator'!L57</x:f>
        <x:v>0</x:v>
      </x:c>
      <x:c r="G679" t="n">
        <x:v>1</x:v>
      </x:c>
      <x:c r="H679" t="str">
        <x:v>equals</x:v>
      </x:c>
      <x:c r="I679" t="str">
        <x:v>independent acceptance</x:v>
      </x:c>
      <x:c r="J679" t="str">
        <x:f>IF(F679=1,"PASS","OPEN")</x:f>
        <x:v>OPEN</x:v>
      </x:c>
    </x:row>
    <x:row r="680">
      <x:c r="B680" t="str">
        <x:v>PHY-OC-051</x:v>
      </x:c>
      <x:c r="C680" t="str">
        <x:v>PHYSICAL</x:v>
      </x:c>
      <x:c r="D680" t="str">
        <x:v>event outcome</x:v>
      </x:c>
      <x:c r="E680" t="str">
        <x:v>RFA-E051</x:v>
      </x:c>
      <x:c r="F680" t="n">
        <x:f>IF('Event Estimator'!M57&lt;&gt;"",1,0)</x:f>
        <x:v>0</x:v>
      </x:c>
      <x:c r="G680" t="n">
        <x:v>1</x:v>
      </x:c>
      <x:c r="H680" t="str">
        <x:v>equals</x:v>
      </x:c>
      <x:c r="I680" t="str">
        <x:v>independent acceptance</x:v>
      </x:c>
      <x:c r="J680" t="str">
        <x:f>IF(F680=1,"PASS","OPEN")</x:f>
        <x:v>OPEN</x:v>
      </x:c>
    </x:row>
    <x:row r="681">
      <x:c r="B681" t="str">
        <x:v>PHY-EX-052</x:v>
      </x:c>
      <x:c r="C681" t="str">
        <x:v>PHYSICAL</x:v>
      </x:c>
      <x:c r="D681" t="str">
        <x:v>event execution</x:v>
      </x:c>
      <x:c r="E681" t="str">
        <x:v>RFA-E052</x:v>
      </x:c>
      <x:c r="F681" t="n">
        <x:f>IF('Event Register'!M58&lt;&gt;"",1,0)</x:f>
        <x:v>0</x:v>
      </x:c>
      <x:c r="G681" t="n">
        <x:v>1</x:v>
      </x:c>
      <x:c r="H681" t="str">
        <x:v>equals</x:v>
      </x:c>
      <x:c r="I681" t="str">
        <x:v>independent acceptance</x:v>
      </x:c>
      <x:c r="J681" t="str">
        <x:f>IF(F681=1,"PASS","OPEN")</x:f>
        <x:v>OPEN</x:v>
      </x:c>
    </x:row>
    <x:row r="682">
      <x:c r="B682" t="str">
        <x:v>PHY-VA-052</x:v>
      </x:c>
      <x:c r="C682" t="str">
        <x:v>PHYSICAL</x:v>
      </x:c>
      <x:c r="D682" t="str">
        <x:v>event validity</x:v>
      </x:c>
      <x:c r="E682" t="str">
        <x:v>RFA-E052</x:v>
      </x:c>
      <x:c r="F682" t="n">
        <x:f>'Event Estimator'!L58</x:f>
        <x:v>0</x:v>
      </x:c>
      <x:c r="G682" t="n">
        <x:v>1</x:v>
      </x:c>
      <x:c r="H682" t="str">
        <x:v>equals</x:v>
      </x:c>
      <x:c r="I682" t="str">
        <x:v>independent acceptance</x:v>
      </x:c>
      <x:c r="J682" t="str">
        <x:f>IF(F682=1,"PASS","OPEN")</x:f>
        <x:v>OPEN</x:v>
      </x:c>
    </x:row>
    <x:row r="683">
      <x:c r="B683" t="str">
        <x:v>PHY-OC-052</x:v>
      </x:c>
      <x:c r="C683" t="str">
        <x:v>PHYSICAL</x:v>
      </x:c>
      <x:c r="D683" t="str">
        <x:v>event outcome</x:v>
      </x:c>
      <x:c r="E683" t="str">
        <x:v>RFA-E052</x:v>
      </x:c>
      <x:c r="F683" t="n">
        <x:f>IF('Event Estimator'!M58&lt;&gt;"",1,0)</x:f>
        <x:v>0</x:v>
      </x:c>
      <x:c r="G683" t="n">
        <x:v>1</x:v>
      </x:c>
      <x:c r="H683" t="str">
        <x:v>equals</x:v>
      </x:c>
      <x:c r="I683" t="str">
        <x:v>independent acceptance</x:v>
      </x:c>
      <x:c r="J683" t="str">
        <x:f>IF(F683=1,"PASS","OPEN")</x:f>
        <x:v>OPEN</x:v>
      </x:c>
    </x:row>
    <x:row r="684">
      <x:c r="B684" t="str">
        <x:v>PHY-EX-053</x:v>
      </x:c>
      <x:c r="C684" t="str">
        <x:v>PHYSICAL</x:v>
      </x:c>
      <x:c r="D684" t="str">
        <x:v>event execution</x:v>
      </x:c>
      <x:c r="E684" t="str">
        <x:v>RFA-E053</x:v>
      </x:c>
      <x:c r="F684" t="n">
        <x:f>IF('Event Register'!M59&lt;&gt;"",1,0)</x:f>
        <x:v>0</x:v>
      </x:c>
      <x:c r="G684" t="n">
        <x:v>1</x:v>
      </x:c>
      <x:c r="H684" t="str">
        <x:v>equals</x:v>
      </x:c>
      <x:c r="I684" t="str">
        <x:v>independent acceptance</x:v>
      </x:c>
      <x:c r="J684" t="str">
        <x:f>IF(F684=1,"PASS","OPEN")</x:f>
        <x:v>OPEN</x:v>
      </x:c>
    </x:row>
    <x:row r="685">
      <x:c r="B685" t="str">
        <x:v>PHY-VA-053</x:v>
      </x:c>
      <x:c r="C685" t="str">
        <x:v>PHYSICAL</x:v>
      </x:c>
      <x:c r="D685" t="str">
        <x:v>event validity</x:v>
      </x:c>
      <x:c r="E685" t="str">
        <x:v>RFA-E053</x:v>
      </x:c>
      <x:c r="F685" t="n">
        <x:f>'Event Estimator'!L59</x:f>
        <x:v>0</x:v>
      </x:c>
      <x:c r="G685" t="n">
        <x:v>1</x:v>
      </x:c>
      <x:c r="H685" t="str">
        <x:v>equals</x:v>
      </x:c>
      <x:c r="I685" t="str">
        <x:v>independent acceptance</x:v>
      </x:c>
      <x:c r="J685" t="str">
        <x:f>IF(F685=1,"PASS","OPEN")</x:f>
        <x:v>OPEN</x:v>
      </x:c>
    </x:row>
    <x:row r="686">
      <x:c r="B686" t="str">
        <x:v>PHY-OC-053</x:v>
      </x:c>
      <x:c r="C686" t="str">
        <x:v>PHYSICAL</x:v>
      </x:c>
      <x:c r="D686" t="str">
        <x:v>event outcome</x:v>
      </x:c>
      <x:c r="E686" t="str">
        <x:v>RFA-E053</x:v>
      </x:c>
      <x:c r="F686" t="n">
        <x:f>IF('Event Estimator'!M59&lt;&gt;"",1,0)</x:f>
        <x:v>0</x:v>
      </x:c>
      <x:c r="G686" t="n">
        <x:v>1</x:v>
      </x:c>
      <x:c r="H686" t="str">
        <x:v>equals</x:v>
      </x:c>
      <x:c r="I686" t="str">
        <x:v>independent acceptance</x:v>
      </x:c>
      <x:c r="J686" t="str">
        <x:f>IF(F686=1,"PASS","OPEN")</x:f>
        <x:v>OPEN</x:v>
      </x:c>
    </x:row>
    <x:row r="687">
      <x:c r="B687" t="str">
        <x:v>PHY-EX-054</x:v>
      </x:c>
      <x:c r="C687" t="str">
        <x:v>PHYSICAL</x:v>
      </x:c>
      <x:c r="D687" t="str">
        <x:v>event execution</x:v>
      </x:c>
      <x:c r="E687" t="str">
        <x:v>RFA-E054</x:v>
      </x:c>
      <x:c r="F687" t="n">
        <x:f>IF('Event Register'!M60&lt;&gt;"",1,0)</x:f>
        <x:v>0</x:v>
      </x:c>
      <x:c r="G687" t="n">
        <x:v>1</x:v>
      </x:c>
      <x:c r="H687" t="str">
        <x:v>equals</x:v>
      </x:c>
      <x:c r="I687" t="str">
        <x:v>independent acceptance</x:v>
      </x:c>
      <x:c r="J687" t="str">
        <x:f>IF(F687=1,"PASS","OPEN")</x:f>
        <x:v>OPEN</x:v>
      </x:c>
    </x:row>
    <x:row r="688">
      <x:c r="B688" t="str">
        <x:v>PHY-VA-054</x:v>
      </x:c>
      <x:c r="C688" t="str">
        <x:v>PHYSICAL</x:v>
      </x:c>
      <x:c r="D688" t="str">
        <x:v>event validity</x:v>
      </x:c>
      <x:c r="E688" t="str">
        <x:v>RFA-E054</x:v>
      </x:c>
      <x:c r="F688" t="n">
        <x:f>'Event Estimator'!L60</x:f>
        <x:v>0</x:v>
      </x:c>
      <x:c r="G688" t="n">
        <x:v>1</x:v>
      </x:c>
      <x:c r="H688" t="str">
        <x:v>equals</x:v>
      </x:c>
      <x:c r="I688" t="str">
        <x:v>independent acceptance</x:v>
      </x:c>
      <x:c r="J688" t="str">
        <x:f>IF(F688=1,"PASS","OPEN")</x:f>
        <x:v>OPEN</x:v>
      </x:c>
    </x:row>
    <x:row r="689">
      <x:c r="B689" t="str">
        <x:v>PHY-OC-054</x:v>
      </x:c>
      <x:c r="C689" t="str">
        <x:v>PHYSICAL</x:v>
      </x:c>
      <x:c r="D689" t="str">
        <x:v>event outcome</x:v>
      </x:c>
      <x:c r="E689" t="str">
        <x:v>RFA-E054</x:v>
      </x:c>
      <x:c r="F689" t="n">
        <x:f>IF('Event Estimator'!M60&lt;&gt;"",1,0)</x:f>
        <x:v>0</x:v>
      </x:c>
      <x:c r="G689" t="n">
        <x:v>1</x:v>
      </x:c>
      <x:c r="H689" t="str">
        <x:v>equals</x:v>
      </x:c>
      <x:c r="I689" t="str">
        <x:v>independent acceptance</x:v>
      </x:c>
      <x:c r="J689" t="str">
        <x:f>IF(F689=1,"PASS","OPEN")</x:f>
        <x:v>OPEN</x:v>
      </x:c>
    </x:row>
    <x:row r="690">
      <x:c r="B690" t="str">
        <x:v>PHY-EX-055</x:v>
      </x:c>
      <x:c r="C690" t="str">
        <x:v>PHYSICAL</x:v>
      </x:c>
      <x:c r="D690" t="str">
        <x:v>event execution</x:v>
      </x:c>
      <x:c r="E690" t="str">
        <x:v>RFA-E055</x:v>
      </x:c>
      <x:c r="F690" t="n">
        <x:f>IF('Event Register'!M61&lt;&gt;"",1,0)</x:f>
        <x:v>0</x:v>
      </x:c>
      <x:c r="G690" t="n">
        <x:v>1</x:v>
      </x:c>
      <x:c r="H690" t="str">
        <x:v>equals</x:v>
      </x:c>
      <x:c r="I690" t="str">
        <x:v>independent acceptance</x:v>
      </x:c>
      <x:c r="J690" t="str">
        <x:f>IF(F690=1,"PASS","OPEN")</x:f>
        <x:v>OPEN</x:v>
      </x:c>
    </x:row>
    <x:row r="691">
      <x:c r="B691" t="str">
        <x:v>PHY-VA-055</x:v>
      </x:c>
      <x:c r="C691" t="str">
        <x:v>PHYSICAL</x:v>
      </x:c>
      <x:c r="D691" t="str">
        <x:v>event validity</x:v>
      </x:c>
      <x:c r="E691" t="str">
        <x:v>RFA-E055</x:v>
      </x:c>
      <x:c r="F691" t="n">
        <x:f>'Event Estimator'!L61</x:f>
        <x:v>0</x:v>
      </x:c>
      <x:c r="G691" t="n">
        <x:v>1</x:v>
      </x:c>
      <x:c r="H691" t="str">
        <x:v>equals</x:v>
      </x:c>
      <x:c r="I691" t="str">
        <x:v>independent acceptance</x:v>
      </x:c>
      <x:c r="J691" t="str">
        <x:f>IF(F691=1,"PASS","OPEN")</x:f>
        <x:v>OPEN</x:v>
      </x:c>
    </x:row>
    <x:row r="692">
      <x:c r="B692" t="str">
        <x:v>PHY-OC-055</x:v>
      </x:c>
      <x:c r="C692" t="str">
        <x:v>PHYSICAL</x:v>
      </x:c>
      <x:c r="D692" t="str">
        <x:v>event outcome</x:v>
      </x:c>
      <x:c r="E692" t="str">
        <x:v>RFA-E055</x:v>
      </x:c>
      <x:c r="F692" t="n">
        <x:f>IF('Event Estimator'!M61&lt;&gt;"",1,0)</x:f>
        <x:v>0</x:v>
      </x:c>
      <x:c r="G692" t="n">
        <x:v>1</x:v>
      </x:c>
      <x:c r="H692" t="str">
        <x:v>equals</x:v>
      </x:c>
      <x:c r="I692" t="str">
        <x:v>independent acceptance</x:v>
      </x:c>
      <x:c r="J692" t="str">
        <x:f>IF(F692=1,"PASS","OPEN")</x:f>
        <x:v>OPEN</x:v>
      </x:c>
    </x:row>
    <x:row r="693">
      <x:c r="B693" t="str">
        <x:v>PHY-EX-056</x:v>
      </x:c>
      <x:c r="C693" t="str">
        <x:v>PHYSICAL</x:v>
      </x:c>
      <x:c r="D693" t="str">
        <x:v>event execution</x:v>
      </x:c>
      <x:c r="E693" t="str">
        <x:v>RFA-E056</x:v>
      </x:c>
      <x:c r="F693" t="n">
        <x:f>IF('Event Register'!M62&lt;&gt;"",1,0)</x:f>
        <x:v>0</x:v>
      </x:c>
      <x:c r="G693" t="n">
        <x:v>1</x:v>
      </x:c>
      <x:c r="H693" t="str">
        <x:v>equals</x:v>
      </x:c>
      <x:c r="I693" t="str">
        <x:v>independent acceptance</x:v>
      </x:c>
      <x:c r="J693" t="str">
        <x:f>IF(F693=1,"PASS","OPEN")</x:f>
        <x:v>OPEN</x:v>
      </x:c>
    </x:row>
    <x:row r="694">
      <x:c r="B694" t="str">
        <x:v>PHY-VA-056</x:v>
      </x:c>
      <x:c r="C694" t="str">
        <x:v>PHYSICAL</x:v>
      </x:c>
      <x:c r="D694" t="str">
        <x:v>event validity</x:v>
      </x:c>
      <x:c r="E694" t="str">
        <x:v>RFA-E056</x:v>
      </x:c>
      <x:c r="F694" t="n">
        <x:f>'Event Estimator'!L62</x:f>
        <x:v>0</x:v>
      </x:c>
      <x:c r="G694" t="n">
        <x:v>1</x:v>
      </x:c>
      <x:c r="H694" t="str">
        <x:v>equals</x:v>
      </x:c>
      <x:c r="I694" t="str">
        <x:v>independent acceptance</x:v>
      </x:c>
      <x:c r="J694" t="str">
        <x:f>IF(F694=1,"PASS","OPEN")</x:f>
        <x:v>OPEN</x:v>
      </x:c>
    </x:row>
    <x:row r="695">
      <x:c r="B695" t="str">
        <x:v>PHY-OC-056</x:v>
      </x:c>
      <x:c r="C695" t="str">
        <x:v>PHYSICAL</x:v>
      </x:c>
      <x:c r="D695" t="str">
        <x:v>event outcome</x:v>
      </x:c>
      <x:c r="E695" t="str">
        <x:v>RFA-E056</x:v>
      </x:c>
      <x:c r="F695" t="n">
        <x:f>IF('Event Estimator'!M62&lt;&gt;"",1,0)</x:f>
        <x:v>0</x:v>
      </x:c>
      <x:c r="G695" t="n">
        <x:v>1</x:v>
      </x:c>
      <x:c r="H695" t="str">
        <x:v>equals</x:v>
      </x:c>
      <x:c r="I695" t="str">
        <x:v>independent acceptance</x:v>
      </x:c>
      <x:c r="J695" t="str">
        <x:f>IF(F695=1,"PASS","OPEN")</x:f>
        <x:v>OPEN</x:v>
      </x:c>
    </x:row>
    <x:row r="696">
      <x:c r="B696" t="str">
        <x:v>PHY-EX-057</x:v>
      </x:c>
      <x:c r="C696" t="str">
        <x:v>PHYSICAL</x:v>
      </x:c>
      <x:c r="D696" t="str">
        <x:v>event execution</x:v>
      </x:c>
      <x:c r="E696" t="str">
        <x:v>RFA-E057</x:v>
      </x:c>
      <x:c r="F696" t="n">
        <x:f>IF('Event Register'!M63&lt;&gt;"",1,0)</x:f>
        <x:v>0</x:v>
      </x:c>
      <x:c r="G696" t="n">
        <x:v>1</x:v>
      </x:c>
      <x:c r="H696" t="str">
        <x:v>equals</x:v>
      </x:c>
      <x:c r="I696" t="str">
        <x:v>independent acceptance</x:v>
      </x:c>
      <x:c r="J696" t="str">
        <x:f>IF(F696=1,"PASS","OPEN")</x:f>
        <x:v>OPEN</x:v>
      </x:c>
    </x:row>
    <x:row r="697">
      <x:c r="B697" t="str">
        <x:v>PHY-VA-057</x:v>
      </x:c>
      <x:c r="C697" t="str">
        <x:v>PHYSICAL</x:v>
      </x:c>
      <x:c r="D697" t="str">
        <x:v>event validity</x:v>
      </x:c>
      <x:c r="E697" t="str">
        <x:v>RFA-E057</x:v>
      </x:c>
      <x:c r="F697" t="n">
        <x:f>'Event Estimator'!L63</x:f>
        <x:v>0</x:v>
      </x:c>
      <x:c r="G697" t="n">
        <x:v>1</x:v>
      </x:c>
      <x:c r="H697" t="str">
        <x:v>equals</x:v>
      </x:c>
      <x:c r="I697" t="str">
        <x:v>independent acceptance</x:v>
      </x:c>
      <x:c r="J697" t="str">
        <x:f>IF(F697=1,"PASS","OPEN")</x:f>
        <x:v>OPEN</x:v>
      </x:c>
    </x:row>
    <x:row r="698">
      <x:c r="B698" t="str">
        <x:v>PHY-OC-057</x:v>
      </x:c>
      <x:c r="C698" t="str">
        <x:v>PHYSICAL</x:v>
      </x:c>
      <x:c r="D698" t="str">
        <x:v>event outcome</x:v>
      </x:c>
      <x:c r="E698" t="str">
        <x:v>RFA-E057</x:v>
      </x:c>
      <x:c r="F698" t="n">
        <x:f>IF('Event Estimator'!M63&lt;&gt;"",1,0)</x:f>
        <x:v>0</x:v>
      </x:c>
      <x:c r="G698" t="n">
        <x:v>1</x:v>
      </x:c>
      <x:c r="H698" t="str">
        <x:v>equals</x:v>
      </x:c>
      <x:c r="I698" t="str">
        <x:v>independent acceptance</x:v>
      </x:c>
      <x:c r="J698" t="str">
        <x:f>IF(F698=1,"PASS","OPEN")</x:f>
        <x:v>OPEN</x:v>
      </x:c>
    </x:row>
    <x:row r="699">
      <x:c r="B699" t="str">
        <x:v>PHY-EX-058</x:v>
      </x:c>
      <x:c r="C699" t="str">
        <x:v>PHYSICAL</x:v>
      </x:c>
      <x:c r="D699" t="str">
        <x:v>event execution</x:v>
      </x:c>
      <x:c r="E699" t="str">
        <x:v>RFA-E058</x:v>
      </x:c>
      <x:c r="F699" t="n">
        <x:f>IF('Event Register'!M64&lt;&gt;"",1,0)</x:f>
        <x:v>0</x:v>
      </x:c>
      <x:c r="G699" t="n">
        <x:v>1</x:v>
      </x:c>
      <x:c r="H699" t="str">
        <x:v>equals</x:v>
      </x:c>
      <x:c r="I699" t="str">
        <x:v>independent acceptance</x:v>
      </x:c>
      <x:c r="J699" t="str">
        <x:f>IF(F699=1,"PASS","OPEN")</x:f>
        <x:v>OPEN</x:v>
      </x:c>
    </x:row>
    <x:row r="700">
      <x:c r="B700" t="str">
        <x:v>PHY-VA-058</x:v>
      </x:c>
      <x:c r="C700" t="str">
        <x:v>PHYSICAL</x:v>
      </x:c>
      <x:c r="D700" t="str">
        <x:v>event validity</x:v>
      </x:c>
      <x:c r="E700" t="str">
        <x:v>RFA-E058</x:v>
      </x:c>
      <x:c r="F700" t="n">
        <x:f>'Event Estimator'!L64</x:f>
        <x:v>0</x:v>
      </x:c>
      <x:c r="G700" t="n">
        <x:v>1</x:v>
      </x:c>
      <x:c r="H700" t="str">
        <x:v>equals</x:v>
      </x:c>
      <x:c r="I700" t="str">
        <x:v>independent acceptance</x:v>
      </x:c>
      <x:c r="J700" t="str">
        <x:f>IF(F700=1,"PASS","OPEN")</x:f>
        <x:v>OPEN</x:v>
      </x:c>
    </x:row>
    <x:row r="701">
      <x:c r="B701" t="str">
        <x:v>PHY-OC-058</x:v>
      </x:c>
      <x:c r="C701" t="str">
        <x:v>PHYSICAL</x:v>
      </x:c>
      <x:c r="D701" t="str">
        <x:v>event outcome</x:v>
      </x:c>
      <x:c r="E701" t="str">
        <x:v>RFA-E058</x:v>
      </x:c>
      <x:c r="F701" t="n">
        <x:f>IF('Event Estimator'!M64&lt;&gt;"",1,0)</x:f>
        <x:v>0</x:v>
      </x:c>
      <x:c r="G701" t="n">
        <x:v>1</x:v>
      </x:c>
      <x:c r="H701" t="str">
        <x:v>equals</x:v>
      </x:c>
      <x:c r="I701" t="str">
        <x:v>independent acceptance</x:v>
      </x:c>
      <x:c r="J701" t="str">
        <x:f>IF(F701=1,"PASS","OPEN")</x:f>
        <x:v>OPEN</x:v>
      </x:c>
    </x:row>
    <x:row r="702">
      <x:c r="B702" t="str">
        <x:v>PHY-EX-059</x:v>
      </x:c>
      <x:c r="C702" t="str">
        <x:v>PHYSICAL</x:v>
      </x:c>
      <x:c r="D702" t="str">
        <x:v>event execution</x:v>
      </x:c>
      <x:c r="E702" t="str">
        <x:v>RFA-E059</x:v>
      </x:c>
      <x:c r="F702" t="n">
        <x:f>IF('Event Register'!M65&lt;&gt;"",1,0)</x:f>
        <x:v>0</x:v>
      </x:c>
      <x:c r="G702" t="n">
        <x:v>1</x:v>
      </x:c>
      <x:c r="H702" t="str">
        <x:v>equals</x:v>
      </x:c>
      <x:c r="I702" t="str">
        <x:v>independent acceptance</x:v>
      </x:c>
      <x:c r="J702" t="str">
        <x:f>IF(F702=1,"PASS","OPEN")</x:f>
        <x:v>OPEN</x:v>
      </x:c>
    </x:row>
    <x:row r="703">
      <x:c r="B703" t="str">
        <x:v>PHY-VA-059</x:v>
      </x:c>
      <x:c r="C703" t="str">
        <x:v>PHYSICAL</x:v>
      </x:c>
      <x:c r="D703" t="str">
        <x:v>event validity</x:v>
      </x:c>
      <x:c r="E703" t="str">
        <x:v>RFA-E059</x:v>
      </x:c>
      <x:c r="F703" t="n">
        <x:f>'Event Estimator'!L65</x:f>
        <x:v>0</x:v>
      </x:c>
      <x:c r="G703" t="n">
        <x:v>1</x:v>
      </x:c>
      <x:c r="H703" t="str">
        <x:v>equals</x:v>
      </x:c>
      <x:c r="I703" t="str">
        <x:v>independent acceptance</x:v>
      </x:c>
      <x:c r="J703" t="str">
        <x:f>IF(F703=1,"PASS","OPEN")</x:f>
        <x:v>OPEN</x:v>
      </x:c>
    </x:row>
    <x:row r="704">
      <x:c r="B704" t="str">
        <x:v>PHY-OC-059</x:v>
      </x:c>
      <x:c r="C704" t="str">
        <x:v>PHYSICAL</x:v>
      </x:c>
      <x:c r="D704" t="str">
        <x:v>event outcome</x:v>
      </x:c>
      <x:c r="E704" t="str">
        <x:v>RFA-E059</x:v>
      </x:c>
      <x:c r="F704" t="n">
        <x:f>IF('Event Estimator'!M65&lt;&gt;"",1,0)</x:f>
        <x:v>0</x:v>
      </x:c>
      <x:c r="G704" t="n">
        <x:v>1</x:v>
      </x:c>
      <x:c r="H704" t="str">
        <x:v>equals</x:v>
      </x:c>
      <x:c r="I704" t="str">
        <x:v>independent acceptance</x:v>
      </x:c>
      <x:c r="J704" t="str">
        <x:f>IF(F704=1,"PASS","OPEN")</x:f>
        <x:v>OPEN</x:v>
      </x:c>
    </x:row>
    <x:row r="705">
      <x:c r="B705" t="str">
        <x:v>PHY-EX-060</x:v>
      </x:c>
      <x:c r="C705" t="str">
        <x:v>PHYSICAL</x:v>
      </x:c>
      <x:c r="D705" t="str">
        <x:v>event execution</x:v>
      </x:c>
      <x:c r="E705" t="str">
        <x:v>RFA-E060</x:v>
      </x:c>
      <x:c r="F705" t="n">
        <x:f>IF('Event Register'!M66&lt;&gt;"",1,0)</x:f>
        <x:v>0</x:v>
      </x:c>
      <x:c r="G705" t="n">
        <x:v>1</x:v>
      </x:c>
      <x:c r="H705" t="str">
        <x:v>equals</x:v>
      </x:c>
      <x:c r="I705" t="str">
        <x:v>independent acceptance</x:v>
      </x:c>
      <x:c r="J705" t="str">
        <x:f>IF(F705=1,"PASS","OPEN")</x:f>
        <x:v>OPEN</x:v>
      </x:c>
    </x:row>
    <x:row r="706">
      <x:c r="B706" t="str">
        <x:v>PHY-VA-060</x:v>
      </x:c>
      <x:c r="C706" t="str">
        <x:v>PHYSICAL</x:v>
      </x:c>
      <x:c r="D706" t="str">
        <x:v>event validity</x:v>
      </x:c>
      <x:c r="E706" t="str">
        <x:v>RFA-E060</x:v>
      </x:c>
      <x:c r="F706" t="n">
        <x:f>'Event Estimator'!L66</x:f>
        <x:v>0</x:v>
      </x:c>
      <x:c r="G706" t="n">
        <x:v>1</x:v>
      </x:c>
      <x:c r="H706" t="str">
        <x:v>equals</x:v>
      </x:c>
      <x:c r="I706" t="str">
        <x:v>independent acceptance</x:v>
      </x:c>
      <x:c r="J706" t="str">
        <x:f>IF(F706=1,"PASS","OPEN")</x:f>
        <x:v>OPEN</x:v>
      </x:c>
    </x:row>
    <x:row r="707">
      <x:c r="B707" t="str">
        <x:v>PHY-OC-060</x:v>
      </x:c>
      <x:c r="C707" t="str">
        <x:v>PHYSICAL</x:v>
      </x:c>
      <x:c r="D707" t="str">
        <x:v>event outcome</x:v>
      </x:c>
      <x:c r="E707" t="str">
        <x:v>RFA-E060</x:v>
      </x:c>
      <x:c r="F707" t="n">
        <x:f>IF('Event Estimator'!M66&lt;&gt;"",1,0)</x:f>
        <x:v>0</x:v>
      </x:c>
      <x:c r="G707" t="n">
        <x:v>1</x:v>
      </x:c>
      <x:c r="H707" t="str">
        <x:v>equals</x:v>
      </x:c>
      <x:c r="I707" t="str">
        <x:v>independent acceptance</x:v>
      </x:c>
      <x:c r="J707" t="str">
        <x:f>IF(F707=1,"PASS","OPEN")</x:f>
        <x:v>OPEN</x:v>
      </x:c>
    </x:row>
    <x:row r="708">
      <x:c r="B708" t="str">
        <x:v>PHY-EX-061</x:v>
      </x:c>
      <x:c r="C708" t="str">
        <x:v>PHYSICAL</x:v>
      </x:c>
      <x:c r="D708" t="str">
        <x:v>event execution</x:v>
      </x:c>
      <x:c r="E708" t="str">
        <x:v>RFA-E061</x:v>
      </x:c>
      <x:c r="F708" t="n">
        <x:f>IF('Event Register'!M67&lt;&gt;"",1,0)</x:f>
        <x:v>0</x:v>
      </x:c>
      <x:c r="G708" t="n">
        <x:v>1</x:v>
      </x:c>
      <x:c r="H708" t="str">
        <x:v>equals</x:v>
      </x:c>
      <x:c r="I708" t="str">
        <x:v>independent acceptance</x:v>
      </x:c>
      <x:c r="J708" t="str">
        <x:f>IF(F708=1,"PASS","OPEN")</x:f>
        <x:v>OPEN</x:v>
      </x:c>
    </x:row>
    <x:row r="709">
      <x:c r="B709" t="str">
        <x:v>PHY-VA-061</x:v>
      </x:c>
      <x:c r="C709" t="str">
        <x:v>PHYSICAL</x:v>
      </x:c>
      <x:c r="D709" t="str">
        <x:v>event validity</x:v>
      </x:c>
      <x:c r="E709" t="str">
        <x:v>RFA-E061</x:v>
      </x:c>
      <x:c r="F709" t="n">
        <x:f>'Event Estimator'!L67</x:f>
        <x:v>0</x:v>
      </x:c>
      <x:c r="G709" t="n">
        <x:v>1</x:v>
      </x:c>
      <x:c r="H709" t="str">
        <x:v>equals</x:v>
      </x:c>
      <x:c r="I709" t="str">
        <x:v>independent acceptance</x:v>
      </x:c>
      <x:c r="J709" t="str">
        <x:f>IF(F709=1,"PASS","OPEN")</x:f>
        <x:v>OPEN</x:v>
      </x:c>
    </x:row>
    <x:row r="710">
      <x:c r="B710" t="str">
        <x:v>PHY-OC-061</x:v>
      </x:c>
      <x:c r="C710" t="str">
        <x:v>PHYSICAL</x:v>
      </x:c>
      <x:c r="D710" t="str">
        <x:v>event outcome</x:v>
      </x:c>
      <x:c r="E710" t="str">
        <x:v>RFA-E061</x:v>
      </x:c>
      <x:c r="F710" t="n">
        <x:f>IF('Event Estimator'!M67&lt;&gt;"",1,0)</x:f>
        <x:v>0</x:v>
      </x:c>
      <x:c r="G710" t="n">
        <x:v>1</x:v>
      </x:c>
      <x:c r="H710" t="str">
        <x:v>equals</x:v>
      </x:c>
      <x:c r="I710" t="str">
        <x:v>independent acceptance</x:v>
      </x:c>
      <x:c r="J710" t="str">
        <x:f>IF(F710=1,"PASS","OPEN")</x:f>
        <x:v>OPEN</x:v>
      </x:c>
    </x:row>
    <x:row r="711">
      <x:c r="B711" t="str">
        <x:v>PHY-EX-062</x:v>
      </x:c>
      <x:c r="C711" t="str">
        <x:v>PHYSICAL</x:v>
      </x:c>
      <x:c r="D711" t="str">
        <x:v>event execution</x:v>
      </x:c>
      <x:c r="E711" t="str">
        <x:v>RFA-E062</x:v>
      </x:c>
      <x:c r="F711" t="n">
        <x:f>IF('Event Register'!M68&lt;&gt;"",1,0)</x:f>
        <x:v>0</x:v>
      </x:c>
      <x:c r="G711" t="n">
        <x:v>1</x:v>
      </x:c>
      <x:c r="H711" t="str">
        <x:v>equals</x:v>
      </x:c>
      <x:c r="I711" t="str">
        <x:v>independent acceptance</x:v>
      </x:c>
      <x:c r="J711" t="str">
        <x:f>IF(F711=1,"PASS","OPEN")</x:f>
        <x:v>OPEN</x:v>
      </x:c>
    </x:row>
    <x:row r="712">
      <x:c r="B712" t="str">
        <x:v>PHY-VA-062</x:v>
      </x:c>
      <x:c r="C712" t="str">
        <x:v>PHYSICAL</x:v>
      </x:c>
      <x:c r="D712" t="str">
        <x:v>event validity</x:v>
      </x:c>
      <x:c r="E712" t="str">
        <x:v>RFA-E062</x:v>
      </x:c>
      <x:c r="F712" t="n">
        <x:f>'Event Estimator'!L68</x:f>
        <x:v>0</x:v>
      </x:c>
      <x:c r="G712" t="n">
        <x:v>1</x:v>
      </x:c>
      <x:c r="H712" t="str">
        <x:v>equals</x:v>
      </x:c>
      <x:c r="I712" t="str">
        <x:v>independent acceptance</x:v>
      </x:c>
      <x:c r="J712" t="str">
        <x:f>IF(F712=1,"PASS","OPEN")</x:f>
        <x:v>OPEN</x:v>
      </x:c>
    </x:row>
    <x:row r="713">
      <x:c r="B713" t="str">
        <x:v>PHY-OC-062</x:v>
      </x:c>
      <x:c r="C713" t="str">
        <x:v>PHYSICAL</x:v>
      </x:c>
      <x:c r="D713" t="str">
        <x:v>event outcome</x:v>
      </x:c>
      <x:c r="E713" t="str">
        <x:v>RFA-E062</x:v>
      </x:c>
      <x:c r="F713" t="n">
        <x:f>IF('Event Estimator'!M68&lt;&gt;"",1,0)</x:f>
        <x:v>0</x:v>
      </x:c>
      <x:c r="G713" t="n">
        <x:v>1</x:v>
      </x:c>
      <x:c r="H713" t="str">
        <x:v>equals</x:v>
      </x:c>
      <x:c r="I713" t="str">
        <x:v>independent acceptance</x:v>
      </x:c>
      <x:c r="J713" t="str">
        <x:f>IF(F713=1,"PASS","OPEN")</x:f>
        <x:v>OPEN</x:v>
      </x:c>
    </x:row>
    <x:row r="714">
      <x:c r="B714" t="str">
        <x:v>PHY-EX-063</x:v>
      </x:c>
      <x:c r="C714" t="str">
        <x:v>PHYSICAL</x:v>
      </x:c>
      <x:c r="D714" t="str">
        <x:v>event execution</x:v>
      </x:c>
      <x:c r="E714" t="str">
        <x:v>RFA-E063</x:v>
      </x:c>
      <x:c r="F714" t="n">
        <x:f>IF('Event Register'!M69&lt;&gt;"",1,0)</x:f>
        <x:v>0</x:v>
      </x:c>
      <x:c r="G714" t="n">
        <x:v>1</x:v>
      </x:c>
      <x:c r="H714" t="str">
        <x:v>equals</x:v>
      </x:c>
      <x:c r="I714" t="str">
        <x:v>independent acceptance</x:v>
      </x:c>
      <x:c r="J714" t="str">
        <x:f>IF(F714=1,"PASS","OPEN")</x:f>
        <x:v>OPEN</x:v>
      </x:c>
    </x:row>
    <x:row r="715">
      <x:c r="B715" t="str">
        <x:v>PHY-VA-063</x:v>
      </x:c>
      <x:c r="C715" t="str">
        <x:v>PHYSICAL</x:v>
      </x:c>
      <x:c r="D715" t="str">
        <x:v>event validity</x:v>
      </x:c>
      <x:c r="E715" t="str">
        <x:v>RFA-E063</x:v>
      </x:c>
      <x:c r="F715" t="n">
        <x:f>'Event Estimator'!L69</x:f>
        <x:v>0</x:v>
      </x:c>
      <x:c r="G715" t="n">
        <x:v>1</x:v>
      </x:c>
      <x:c r="H715" t="str">
        <x:v>equals</x:v>
      </x:c>
      <x:c r="I715" t="str">
        <x:v>independent acceptance</x:v>
      </x:c>
      <x:c r="J715" t="str">
        <x:f>IF(F715=1,"PASS","OPEN")</x:f>
        <x:v>OPEN</x:v>
      </x:c>
    </x:row>
    <x:row r="716">
      <x:c r="B716" t="str">
        <x:v>PHY-OC-063</x:v>
      </x:c>
      <x:c r="C716" t="str">
        <x:v>PHYSICAL</x:v>
      </x:c>
      <x:c r="D716" t="str">
        <x:v>event outcome</x:v>
      </x:c>
      <x:c r="E716" t="str">
        <x:v>RFA-E063</x:v>
      </x:c>
      <x:c r="F716" t="n">
        <x:f>IF('Event Estimator'!M69&lt;&gt;"",1,0)</x:f>
        <x:v>0</x:v>
      </x:c>
      <x:c r="G716" t="n">
        <x:v>1</x:v>
      </x:c>
      <x:c r="H716" t="str">
        <x:v>equals</x:v>
      </x:c>
      <x:c r="I716" t="str">
        <x:v>independent acceptance</x:v>
      </x:c>
      <x:c r="J716" t="str">
        <x:f>IF(F716=1,"PASS","OPEN")</x:f>
        <x:v>OPEN</x:v>
      </x:c>
    </x:row>
    <x:row r="717">
      <x:c r="B717" t="str">
        <x:v>PHY-EX-064</x:v>
      </x:c>
      <x:c r="C717" t="str">
        <x:v>PHYSICAL</x:v>
      </x:c>
      <x:c r="D717" t="str">
        <x:v>event execution</x:v>
      </x:c>
      <x:c r="E717" t="str">
        <x:v>RFA-E064</x:v>
      </x:c>
      <x:c r="F717" t="n">
        <x:f>IF('Event Register'!M70&lt;&gt;"",1,0)</x:f>
        <x:v>0</x:v>
      </x:c>
      <x:c r="G717" t="n">
        <x:v>1</x:v>
      </x:c>
      <x:c r="H717" t="str">
        <x:v>equals</x:v>
      </x:c>
      <x:c r="I717" t="str">
        <x:v>independent acceptance</x:v>
      </x:c>
      <x:c r="J717" t="str">
        <x:f>IF(F717=1,"PASS","OPEN")</x:f>
        <x:v>OPEN</x:v>
      </x:c>
    </x:row>
    <x:row r="718">
      <x:c r="B718" t="str">
        <x:v>PHY-VA-064</x:v>
      </x:c>
      <x:c r="C718" t="str">
        <x:v>PHYSICAL</x:v>
      </x:c>
      <x:c r="D718" t="str">
        <x:v>event validity</x:v>
      </x:c>
      <x:c r="E718" t="str">
        <x:v>RFA-E064</x:v>
      </x:c>
      <x:c r="F718" t="n">
        <x:f>'Event Estimator'!L70</x:f>
        <x:v>0</x:v>
      </x:c>
      <x:c r="G718" t="n">
        <x:v>1</x:v>
      </x:c>
      <x:c r="H718" t="str">
        <x:v>equals</x:v>
      </x:c>
      <x:c r="I718" t="str">
        <x:v>independent acceptance</x:v>
      </x:c>
      <x:c r="J718" t="str">
        <x:f>IF(F718=1,"PASS","OPEN")</x:f>
        <x:v>OPEN</x:v>
      </x:c>
    </x:row>
    <x:row r="719">
      <x:c r="B719" t="str">
        <x:v>PHY-OC-064</x:v>
      </x:c>
      <x:c r="C719" t="str">
        <x:v>PHYSICAL</x:v>
      </x:c>
      <x:c r="D719" t="str">
        <x:v>event outcome</x:v>
      </x:c>
      <x:c r="E719" t="str">
        <x:v>RFA-E064</x:v>
      </x:c>
      <x:c r="F719" t="n">
        <x:f>IF('Event Estimator'!M70&lt;&gt;"",1,0)</x:f>
        <x:v>0</x:v>
      </x:c>
      <x:c r="G719" t="n">
        <x:v>1</x:v>
      </x:c>
      <x:c r="H719" t="str">
        <x:v>equals</x:v>
      </x:c>
      <x:c r="I719" t="str">
        <x:v>independent acceptance</x:v>
      </x:c>
      <x:c r="J719" t="str">
        <x:f>IF(F719=1,"PASS","OPEN")</x:f>
        <x:v>OPEN</x:v>
      </x:c>
    </x:row>
    <x:row r="720">
      <x:c r="B720" t="str">
        <x:v>PHY-EX-065</x:v>
      </x:c>
      <x:c r="C720" t="str">
        <x:v>PHYSICAL</x:v>
      </x:c>
      <x:c r="D720" t="str">
        <x:v>event execution</x:v>
      </x:c>
      <x:c r="E720" t="str">
        <x:v>RFA-E065</x:v>
      </x:c>
      <x:c r="F720" t="n">
        <x:f>IF('Event Register'!M71&lt;&gt;"",1,0)</x:f>
        <x:v>0</x:v>
      </x:c>
      <x:c r="G720" t="n">
        <x:v>1</x:v>
      </x:c>
      <x:c r="H720" t="str">
        <x:v>equals</x:v>
      </x:c>
      <x:c r="I720" t="str">
        <x:v>independent acceptance</x:v>
      </x:c>
      <x:c r="J720" t="str">
        <x:f>IF(F720=1,"PASS","OPEN")</x:f>
        <x:v>OPEN</x:v>
      </x:c>
    </x:row>
    <x:row r="721">
      <x:c r="B721" t="str">
        <x:v>PHY-VA-065</x:v>
      </x:c>
      <x:c r="C721" t="str">
        <x:v>PHYSICAL</x:v>
      </x:c>
      <x:c r="D721" t="str">
        <x:v>event validity</x:v>
      </x:c>
      <x:c r="E721" t="str">
        <x:v>RFA-E065</x:v>
      </x:c>
      <x:c r="F721" t="n">
        <x:f>'Event Estimator'!L71</x:f>
        <x:v>0</x:v>
      </x:c>
      <x:c r="G721" t="n">
        <x:v>1</x:v>
      </x:c>
      <x:c r="H721" t="str">
        <x:v>equals</x:v>
      </x:c>
      <x:c r="I721" t="str">
        <x:v>independent acceptance</x:v>
      </x:c>
      <x:c r="J721" t="str">
        <x:f>IF(F721=1,"PASS","OPEN")</x:f>
        <x:v>OPEN</x:v>
      </x:c>
    </x:row>
    <x:row r="722">
      <x:c r="B722" t="str">
        <x:v>PHY-OC-065</x:v>
      </x:c>
      <x:c r="C722" t="str">
        <x:v>PHYSICAL</x:v>
      </x:c>
      <x:c r="D722" t="str">
        <x:v>event outcome</x:v>
      </x:c>
      <x:c r="E722" t="str">
        <x:v>RFA-E065</x:v>
      </x:c>
      <x:c r="F722" t="n">
        <x:f>IF('Event Estimator'!M71&lt;&gt;"",1,0)</x:f>
        <x:v>0</x:v>
      </x:c>
      <x:c r="G722" t="n">
        <x:v>1</x:v>
      </x:c>
      <x:c r="H722" t="str">
        <x:v>equals</x:v>
      </x:c>
      <x:c r="I722" t="str">
        <x:v>independent acceptance</x:v>
      </x:c>
      <x:c r="J722" t="str">
        <x:f>IF(F722=1,"PASS","OPEN")</x:f>
        <x:v>OPEN</x:v>
      </x:c>
    </x:row>
    <x:row r="723">
      <x:c r="B723" t="str">
        <x:v>PHY-EX-066</x:v>
      </x:c>
      <x:c r="C723" t="str">
        <x:v>PHYSICAL</x:v>
      </x:c>
      <x:c r="D723" t="str">
        <x:v>event execution</x:v>
      </x:c>
      <x:c r="E723" t="str">
        <x:v>RFA-E066</x:v>
      </x:c>
      <x:c r="F723" t="n">
        <x:f>IF('Event Register'!M72&lt;&gt;"",1,0)</x:f>
        <x:v>0</x:v>
      </x:c>
      <x:c r="G723" t="n">
        <x:v>1</x:v>
      </x:c>
      <x:c r="H723" t="str">
        <x:v>equals</x:v>
      </x:c>
      <x:c r="I723" t="str">
        <x:v>independent acceptance</x:v>
      </x:c>
      <x:c r="J723" t="str">
        <x:f>IF(F723=1,"PASS","OPEN")</x:f>
        <x:v>OPEN</x:v>
      </x:c>
    </x:row>
    <x:row r="724">
      <x:c r="B724" t="str">
        <x:v>PHY-VA-066</x:v>
      </x:c>
      <x:c r="C724" t="str">
        <x:v>PHYSICAL</x:v>
      </x:c>
      <x:c r="D724" t="str">
        <x:v>event validity</x:v>
      </x:c>
      <x:c r="E724" t="str">
        <x:v>RFA-E066</x:v>
      </x:c>
      <x:c r="F724" t="n">
        <x:f>'Event Estimator'!L72</x:f>
        <x:v>0</x:v>
      </x:c>
      <x:c r="G724" t="n">
        <x:v>1</x:v>
      </x:c>
      <x:c r="H724" t="str">
        <x:v>equals</x:v>
      </x:c>
      <x:c r="I724" t="str">
        <x:v>independent acceptance</x:v>
      </x:c>
      <x:c r="J724" t="str">
        <x:f>IF(F724=1,"PASS","OPEN")</x:f>
        <x:v>OPEN</x:v>
      </x:c>
    </x:row>
    <x:row r="725">
      <x:c r="B725" t="str">
        <x:v>PHY-OC-066</x:v>
      </x:c>
      <x:c r="C725" t="str">
        <x:v>PHYSICAL</x:v>
      </x:c>
      <x:c r="D725" t="str">
        <x:v>event outcome</x:v>
      </x:c>
      <x:c r="E725" t="str">
        <x:v>RFA-E066</x:v>
      </x:c>
      <x:c r="F725" t="n">
        <x:f>IF('Event Estimator'!M72&lt;&gt;"",1,0)</x:f>
        <x:v>0</x:v>
      </x:c>
      <x:c r="G725" t="n">
        <x:v>1</x:v>
      </x:c>
      <x:c r="H725" t="str">
        <x:v>equals</x:v>
      </x:c>
      <x:c r="I725" t="str">
        <x:v>independent acceptance</x:v>
      </x:c>
      <x:c r="J725" t="str">
        <x:f>IF(F725=1,"PASS","OPEN")</x:f>
        <x:v>OPEN</x:v>
      </x:c>
    </x:row>
    <x:row r="726">
      <x:c r="B726" t="str">
        <x:v>PHY-EX-067</x:v>
      </x:c>
      <x:c r="C726" t="str">
        <x:v>PHYSICAL</x:v>
      </x:c>
      <x:c r="D726" t="str">
        <x:v>event execution</x:v>
      </x:c>
      <x:c r="E726" t="str">
        <x:v>RFA-E067</x:v>
      </x:c>
      <x:c r="F726" t="n">
        <x:f>IF('Event Register'!M73&lt;&gt;"",1,0)</x:f>
        <x:v>0</x:v>
      </x:c>
      <x:c r="G726" t="n">
        <x:v>1</x:v>
      </x:c>
      <x:c r="H726" t="str">
        <x:v>equals</x:v>
      </x:c>
      <x:c r="I726" t="str">
        <x:v>independent acceptance</x:v>
      </x:c>
      <x:c r="J726" t="str">
        <x:f>IF(F726=1,"PASS","OPEN")</x:f>
        <x:v>OPEN</x:v>
      </x:c>
    </x:row>
    <x:row r="727">
      <x:c r="B727" t="str">
        <x:v>PHY-VA-067</x:v>
      </x:c>
      <x:c r="C727" t="str">
        <x:v>PHYSICAL</x:v>
      </x:c>
      <x:c r="D727" t="str">
        <x:v>event validity</x:v>
      </x:c>
      <x:c r="E727" t="str">
        <x:v>RFA-E067</x:v>
      </x:c>
      <x:c r="F727" t="n">
        <x:f>'Event Estimator'!L73</x:f>
        <x:v>0</x:v>
      </x:c>
      <x:c r="G727" t="n">
        <x:v>1</x:v>
      </x:c>
      <x:c r="H727" t="str">
        <x:v>equals</x:v>
      </x:c>
      <x:c r="I727" t="str">
        <x:v>independent acceptance</x:v>
      </x:c>
      <x:c r="J727" t="str">
        <x:f>IF(F727=1,"PASS","OPEN")</x:f>
        <x:v>OPEN</x:v>
      </x:c>
    </x:row>
    <x:row r="728">
      <x:c r="B728" t="str">
        <x:v>PHY-OC-067</x:v>
      </x:c>
      <x:c r="C728" t="str">
        <x:v>PHYSICAL</x:v>
      </x:c>
      <x:c r="D728" t="str">
        <x:v>event outcome</x:v>
      </x:c>
      <x:c r="E728" t="str">
        <x:v>RFA-E067</x:v>
      </x:c>
      <x:c r="F728" t="n">
        <x:f>IF('Event Estimator'!M73&lt;&gt;"",1,0)</x:f>
        <x:v>0</x:v>
      </x:c>
      <x:c r="G728" t="n">
        <x:v>1</x:v>
      </x:c>
      <x:c r="H728" t="str">
        <x:v>equals</x:v>
      </x:c>
      <x:c r="I728" t="str">
        <x:v>independent acceptance</x:v>
      </x:c>
      <x:c r="J728" t="str">
        <x:f>IF(F728=1,"PASS","OPEN")</x:f>
        <x:v>OPEN</x:v>
      </x:c>
    </x:row>
    <x:row r="729">
      <x:c r="B729" t="str">
        <x:v>PHY-EX-068</x:v>
      </x:c>
      <x:c r="C729" t="str">
        <x:v>PHYSICAL</x:v>
      </x:c>
      <x:c r="D729" t="str">
        <x:v>event execution</x:v>
      </x:c>
      <x:c r="E729" t="str">
        <x:v>RFA-E068</x:v>
      </x:c>
      <x:c r="F729" t="n">
        <x:f>IF('Event Register'!M74&lt;&gt;"",1,0)</x:f>
        <x:v>0</x:v>
      </x:c>
      <x:c r="G729" t="n">
        <x:v>1</x:v>
      </x:c>
      <x:c r="H729" t="str">
        <x:v>equals</x:v>
      </x:c>
      <x:c r="I729" t="str">
        <x:v>independent acceptance</x:v>
      </x:c>
      <x:c r="J729" t="str">
        <x:f>IF(F729=1,"PASS","OPEN")</x:f>
        <x:v>OPEN</x:v>
      </x:c>
    </x:row>
    <x:row r="730">
      <x:c r="B730" t="str">
        <x:v>PHY-VA-068</x:v>
      </x:c>
      <x:c r="C730" t="str">
        <x:v>PHYSICAL</x:v>
      </x:c>
      <x:c r="D730" t="str">
        <x:v>event validity</x:v>
      </x:c>
      <x:c r="E730" t="str">
        <x:v>RFA-E068</x:v>
      </x:c>
      <x:c r="F730" t="n">
        <x:f>'Event Estimator'!L74</x:f>
        <x:v>0</x:v>
      </x:c>
      <x:c r="G730" t="n">
        <x:v>1</x:v>
      </x:c>
      <x:c r="H730" t="str">
        <x:v>equals</x:v>
      </x:c>
      <x:c r="I730" t="str">
        <x:v>independent acceptance</x:v>
      </x:c>
      <x:c r="J730" t="str">
        <x:f>IF(F730=1,"PASS","OPEN")</x:f>
        <x:v>OPEN</x:v>
      </x:c>
    </x:row>
    <x:row r="731">
      <x:c r="B731" t="str">
        <x:v>PHY-OC-068</x:v>
      </x:c>
      <x:c r="C731" t="str">
        <x:v>PHYSICAL</x:v>
      </x:c>
      <x:c r="D731" t="str">
        <x:v>event outcome</x:v>
      </x:c>
      <x:c r="E731" t="str">
        <x:v>RFA-E068</x:v>
      </x:c>
      <x:c r="F731" t="n">
        <x:f>IF('Event Estimator'!M74&lt;&gt;"",1,0)</x:f>
        <x:v>0</x:v>
      </x:c>
      <x:c r="G731" t="n">
        <x:v>1</x:v>
      </x:c>
      <x:c r="H731" t="str">
        <x:v>equals</x:v>
      </x:c>
      <x:c r="I731" t="str">
        <x:v>independent acceptance</x:v>
      </x:c>
      <x:c r="J731" t="str">
        <x:f>IF(F731=1,"PASS","OPEN")</x:f>
        <x:v>OPEN</x:v>
      </x:c>
    </x:row>
    <x:row r="732">
      <x:c r="B732" t="str">
        <x:v>PHY-EX-069</x:v>
      </x:c>
      <x:c r="C732" t="str">
        <x:v>PHYSICAL</x:v>
      </x:c>
      <x:c r="D732" t="str">
        <x:v>event execution</x:v>
      </x:c>
      <x:c r="E732" t="str">
        <x:v>RFA-E069</x:v>
      </x:c>
      <x:c r="F732" t="n">
        <x:f>IF('Event Register'!M75&lt;&gt;"",1,0)</x:f>
        <x:v>0</x:v>
      </x:c>
      <x:c r="G732" t="n">
        <x:v>1</x:v>
      </x:c>
      <x:c r="H732" t="str">
        <x:v>equals</x:v>
      </x:c>
      <x:c r="I732" t="str">
        <x:v>independent acceptance</x:v>
      </x:c>
      <x:c r="J732" t="str">
        <x:f>IF(F732=1,"PASS","OPEN")</x:f>
        <x:v>OPEN</x:v>
      </x:c>
    </x:row>
    <x:row r="733">
      <x:c r="B733" t="str">
        <x:v>PHY-VA-069</x:v>
      </x:c>
      <x:c r="C733" t="str">
        <x:v>PHYSICAL</x:v>
      </x:c>
      <x:c r="D733" t="str">
        <x:v>event validity</x:v>
      </x:c>
      <x:c r="E733" t="str">
        <x:v>RFA-E069</x:v>
      </x:c>
      <x:c r="F733" t="n">
        <x:f>'Event Estimator'!L75</x:f>
        <x:v>0</x:v>
      </x:c>
      <x:c r="G733" t="n">
        <x:v>1</x:v>
      </x:c>
      <x:c r="H733" t="str">
        <x:v>equals</x:v>
      </x:c>
      <x:c r="I733" t="str">
        <x:v>independent acceptance</x:v>
      </x:c>
      <x:c r="J733" t="str">
        <x:f>IF(F733=1,"PASS","OPEN")</x:f>
        <x:v>OPEN</x:v>
      </x:c>
    </x:row>
    <x:row r="734">
      <x:c r="B734" t="str">
        <x:v>PHY-OC-069</x:v>
      </x:c>
      <x:c r="C734" t="str">
        <x:v>PHYSICAL</x:v>
      </x:c>
      <x:c r="D734" t="str">
        <x:v>event outcome</x:v>
      </x:c>
      <x:c r="E734" t="str">
        <x:v>RFA-E069</x:v>
      </x:c>
      <x:c r="F734" t="n">
        <x:f>IF('Event Estimator'!M75&lt;&gt;"",1,0)</x:f>
        <x:v>0</x:v>
      </x:c>
      <x:c r="G734" t="n">
        <x:v>1</x:v>
      </x:c>
      <x:c r="H734" t="str">
        <x:v>equals</x:v>
      </x:c>
      <x:c r="I734" t="str">
        <x:v>independent acceptance</x:v>
      </x:c>
      <x:c r="J734" t="str">
        <x:f>IF(F734=1,"PASS","OPEN")</x:f>
        <x:v>OPEN</x:v>
      </x:c>
    </x:row>
    <x:row r="735">
      <x:c r="B735" t="str">
        <x:v>PHY-EX-070</x:v>
      </x:c>
      <x:c r="C735" t="str">
        <x:v>PHYSICAL</x:v>
      </x:c>
      <x:c r="D735" t="str">
        <x:v>event execution</x:v>
      </x:c>
      <x:c r="E735" t="str">
        <x:v>RFA-E070</x:v>
      </x:c>
      <x:c r="F735" t="n">
        <x:f>IF('Event Register'!M76&lt;&gt;"",1,0)</x:f>
        <x:v>0</x:v>
      </x:c>
      <x:c r="G735" t="n">
        <x:v>1</x:v>
      </x:c>
      <x:c r="H735" t="str">
        <x:v>equals</x:v>
      </x:c>
      <x:c r="I735" t="str">
        <x:v>independent acceptance</x:v>
      </x:c>
      <x:c r="J735" t="str">
        <x:f>IF(F735=1,"PASS","OPEN")</x:f>
        <x:v>OPEN</x:v>
      </x:c>
    </x:row>
    <x:row r="736">
      <x:c r="B736" t="str">
        <x:v>PHY-VA-070</x:v>
      </x:c>
      <x:c r="C736" t="str">
        <x:v>PHYSICAL</x:v>
      </x:c>
      <x:c r="D736" t="str">
        <x:v>event validity</x:v>
      </x:c>
      <x:c r="E736" t="str">
        <x:v>RFA-E070</x:v>
      </x:c>
      <x:c r="F736" t="n">
        <x:f>'Event Estimator'!L76</x:f>
        <x:v>0</x:v>
      </x:c>
      <x:c r="G736" t="n">
        <x:v>1</x:v>
      </x:c>
      <x:c r="H736" t="str">
        <x:v>equals</x:v>
      </x:c>
      <x:c r="I736" t="str">
        <x:v>independent acceptance</x:v>
      </x:c>
      <x:c r="J736" t="str">
        <x:f>IF(F736=1,"PASS","OPEN")</x:f>
        <x:v>OPEN</x:v>
      </x:c>
    </x:row>
    <x:row r="737">
      <x:c r="B737" t="str">
        <x:v>PHY-OC-070</x:v>
      </x:c>
      <x:c r="C737" t="str">
        <x:v>PHYSICAL</x:v>
      </x:c>
      <x:c r="D737" t="str">
        <x:v>event outcome</x:v>
      </x:c>
      <x:c r="E737" t="str">
        <x:v>RFA-E070</x:v>
      </x:c>
      <x:c r="F737" t="n">
        <x:f>IF('Event Estimator'!M76&lt;&gt;"",1,0)</x:f>
        <x:v>0</x:v>
      </x:c>
      <x:c r="G737" t="n">
        <x:v>1</x:v>
      </x:c>
      <x:c r="H737" t="str">
        <x:v>equals</x:v>
      </x:c>
      <x:c r="I737" t="str">
        <x:v>independent acceptance</x:v>
      </x:c>
      <x:c r="J737" t="str">
        <x:f>IF(F737=1,"PASS","OPEN")</x:f>
        <x:v>OPEN</x:v>
      </x:c>
    </x:row>
    <x:row r="738">
      <x:c r="B738" t="str">
        <x:v>PHY-EX-071</x:v>
      </x:c>
      <x:c r="C738" t="str">
        <x:v>PHYSICAL</x:v>
      </x:c>
      <x:c r="D738" t="str">
        <x:v>event execution</x:v>
      </x:c>
      <x:c r="E738" t="str">
        <x:v>RFA-E071</x:v>
      </x:c>
      <x:c r="F738" t="n">
        <x:f>IF('Event Register'!M77&lt;&gt;"",1,0)</x:f>
        <x:v>0</x:v>
      </x:c>
      <x:c r="G738" t="n">
        <x:v>1</x:v>
      </x:c>
      <x:c r="H738" t="str">
        <x:v>equals</x:v>
      </x:c>
      <x:c r="I738" t="str">
        <x:v>independent acceptance</x:v>
      </x:c>
      <x:c r="J738" t="str">
        <x:f>IF(F738=1,"PASS","OPEN")</x:f>
        <x:v>OPEN</x:v>
      </x:c>
    </x:row>
    <x:row r="739">
      <x:c r="B739" t="str">
        <x:v>PHY-VA-071</x:v>
      </x:c>
      <x:c r="C739" t="str">
        <x:v>PHYSICAL</x:v>
      </x:c>
      <x:c r="D739" t="str">
        <x:v>event validity</x:v>
      </x:c>
      <x:c r="E739" t="str">
        <x:v>RFA-E071</x:v>
      </x:c>
      <x:c r="F739" t="n">
        <x:f>'Event Estimator'!L77</x:f>
        <x:v>0</x:v>
      </x:c>
      <x:c r="G739" t="n">
        <x:v>1</x:v>
      </x:c>
      <x:c r="H739" t="str">
        <x:v>equals</x:v>
      </x:c>
      <x:c r="I739" t="str">
        <x:v>independent acceptance</x:v>
      </x:c>
      <x:c r="J739" t="str">
        <x:f>IF(F739=1,"PASS","OPEN")</x:f>
        <x:v>OPEN</x:v>
      </x:c>
    </x:row>
    <x:row r="740">
      <x:c r="B740" t="str">
        <x:v>PHY-OC-071</x:v>
      </x:c>
      <x:c r="C740" t="str">
        <x:v>PHYSICAL</x:v>
      </x:c>
      <x:c r="D740" t="str">
        <x:v>event outcome</x:v>
      </x:c>
      <x:c r="E740" t="str">
        <x:v>RFA-E071</x:v>
      </x:c>
      <x:c r="F740" t="n">
        <x:f>IF('Event Estimator'!M77&lt;&gt;"",1,0)</x:f>
        <x:v>0</x:v>
      </x:c>
      <x:c r="G740" t="n">
        <x:v>1</x:v>
      </x:c>
      <x:c r="H740" t="str">
        <x:v>equals</x:v>
      </x:c>
      <x:c r="I740" t="str">
        <x:v>independent acceptance</x:v>
      </x:c>
      <x:c r="J740" t="str">
        <x:f>IF(F740=1,"PASS","OPEN")</x:f>
        <x:v>OPEN</x:v>
      </x:c>
    </x:row>
    <x:row r="741">
      <x:c r="B741" t="str">
        <x:v>PHY-EX-072</x:v>
      </x:c>
      <x:c r="C741" t="str">
        <x:v>PHYSICAL</x:v>
      </x:c>
      <x:c r="D741" t="str">
        <x:v>event execution</x:v>
      </x:c>
      <x:c r="E741" t="str">
        <x:v>RFA-E072</x:v>
      </x:c>
      <x:c r="F741" t="n">
        <x:f>IF('Event Register'!M78&lt;&gt;"",1,0)</x:f>
        <x:v>0</x:v>
      </x:c>
      <x:c r="G741" t="n">
        <x:v>1</x:v>
      </x:c>
      <x:c r="H741" t="str">
        <x:v>equals</x:v>
      </x:c>
      <x:c r="I741" t="str">
        <x:v>independent acceptance</x:v>
      </x:c>
      <x:c r="J741" t="str">
        <x:f>IF(F741=1,"PASS","OPEN")</x:f>
        <x:v>OPEN</x:v>
      </x:c>
    </x:row>
    <x:row r="742">
      <x:c r="B742" t="str">
        <x:v>PHY-VA-072</x:v>
      </x:c>
      <x:c r="C742" t="str">
        <x:v>PHYSICAL</x:v>
      </x:c>
      <x:c r="D742" t="str">
        <x:v>event validity</x:v>
      </x:c>
      <x:c r="E742" t="str">
        <x:v>RFA-E072</x:v>
      </x:c>
      <x:c r="F742" t="n">
        <x:f>'Event Estimator'!L78</x:f>
        <x:v>0</x:v>
      </x:c>
      <x:c r="G742" t="n">
        <x:v>1</x:v>
      </x:c>
      <x:c r="H742" t="str">
        <x:v>equals</x:v>
      </x:c>
      <x:c r="I742" t="str">
        <x:v>independent acceptance</x:v>
      </x:c>
      <x:c r="J742" t="str">
        <x:f>IF(F742=1,"PASS","OPEN")</x:f>
        <x:v>OPEN</x:v>
      </x:c>
    </x:row>
    <x:row r="743">
      <x:c r="B743" t="str">
        <x:v>PHY-OC-072</x:v>
      </x:c>
      <x:c r="C743" t="str">
        <x:v>PHYSICAL</x:v>
      </x:c>
      <x:c r="D743" t="str">
        <x:v>event outcome</x:v>
      </x:c>
      <x:c r="E743" t="str">
        <x:v>RFA-E072</x:v>
      </x:c>
      <x:c r="F743" t="n">
        <x:f>IF('Event Estimator'!M78&lt;&gt;"",1,0)</x:f>
        <x:v>0</x:v>
      </x:c>
      <x:c r="G743" t="n">
        <x:v>1</x:v>
      </x:c>
      <x:c r="H743" t="str">
        <x:v>equals</x:v>
      </x:c>
      <x:c r="I743" t="str">
        <x:v>independent acceptance</x:v>
      </x:c>
      <x:c r="J743" t="str">
        <x:f>IF(F743=1,"PASS","OPEN")</x:f>
        <x:v>OPEN</x:v>
      </x:c>
    </x:row>
    <x:row r="744">
      <x:c r="B744" t="str">
        <x:v>PHY-EX-073</x:v>
      </x:c>
      <x:c r="C744" t="str">
        <x:v>PHYSICAL</x:v>
      </x:c>
      <x:c r="D744" t="str">
        <x:v>event execution</x:v>
      </x:c>
      <x:c r="E744" t="str">
        <x:v>RFA-E073</x:v>
      </x:c>
      <x:c r="F744" t="n">
        <x:f>IF('Event Register'!M79&lt;&gt;"",1,0)</x:f>
        <x:v>0</x:v>
      </x:c>
      <x:c r="G744" t="n">
        <x:v>1</x:v>
      </x:c>
      <x:c r="H744" t="str">
        <x:v>equals</x:v>
      </x:c>
      <x:c r="I744" t="str">
        <x:v>independent acceptance</x:v>
      </x:c>
      <x:c r="J744" t="str">
        <x:f>IF(F744=1,"PASS","OPEN")</x:f>
        <x:v>OPEN</x:v>
      </x:c>
    </x:row>
    <x:row r="745">
      <x:c r="B745" t="str">
        <x:v>PHY-VA-073</x:v>
      </x:c>
      <x:c r="C745" t="str">
        <x:v>PHYSICAL</x:v>
      </x:c>
      <x:c r="D745" t="str">
        <x:v>event validity</x:v>
      </x:c>
      <x:c r="E745" t="str">
        <x:v>RFA-E073</x:v>
      </x:c>
      <x:c r="F745" t="n">
        <x:f>'Event Estimator'!L79</x:f>
        <x:v>0</x:v>
      </x:c>
      <x:c r="G745" t="n">
        <x:v>1</x:v>
      </x:c>
      <x:c r="H745" t="str">
        <x:v>equals</x:v>
      </x:c>
      <x:c r="I745" t="str">
        <x:v>independent acceptance</x:v>
      </x:c>
      <x:c r="J745" t="str">
        <x:f>IF(F745=1,"PASS","OPEN")</x:f>
        <x:v>OPEN</x:v>
      </x:c>
    </x:row>
    <x:row r="746">
      <x:c r="B746" t="str">
        <x:v>PHY-OC-073</x:v>
      </x:c>
      <x:c r="C746" t="str">
        <x:v>PHYSICAL</x:v>
      </x:c>
      <x:c r="D746" t="str">
        <x:v>event outcome</x:v>
      </x:c>
      <x:c r="E746" t="str">
        <x:v>RFA-E073</x:v>
      </x:c>
      <x:c r="F746" t="n">
        <x:f>IF('Event Estimator'!M79&lt;&gt;"",1,0)</x:f>
        <x:v>0</x:v>
      </x:c>
      <x:c r="G746" t="n">
        <x:v>1</x:v>
      </x:c>
      <x:c r="H746" t="str">
        <x:v>equals</x:v>
      </x:c>
      <x:c r="I746" t="str">
        <x:v>independent acceptance</x:v>
      </x:c>
      <x:c r="J746" t="str">
        <x:f>IF(F746=1,"PASS","OPEN")</x:f>
        <x:v>OPEN</x:v>
      </x:c>
    </x:row>
    <x:row r="747">
      <x:c r="B747" t="str">
        <x:v>PHY-EX-074</x:v>
      </x:c>
      <x:c r="C747" t="str">
        <x:v>PHYSICAL</x:v>
      </x:c>
      <x:c r="D747" t="str">
        <x:v>event execution</x:v>
      </x:c>
      <x:c r="E747" t="str">
        <x:v>RFA-E074</x:v>
      </x:c>
      <x:c r="F747" t="n">
        <x:f>IF('Event Register'!M80&lt;&gt;"",1,0)</x:f>
        <x:v>0</x:v>
      </x:c>
      <x:c r="G747" t="n">
        <x:v>1</x:v>
      </x:c>
      <x:c r="H747" t="str">
        <x:v>equals</x:v>
      </x:c>
      <x:c r="I747" t="str">
        <x:v>independent acceptance</x:v>
      </x:c>
      <x:c r="J747" t="str">
        <x:f>IF(F747=1,"PASS","OPEN")</x:f>
        <x:v>OPEN</x:v>
      </x:c>
    </x:row>
    <x:row r="748">
      <x:c r="B748" t="str">
        <x:v>PHY-VA-074</x:v>
      </x:c>
      <x:c r="C748" t="str">
        <x:v>PHYSICAL</x:v>
      </x:c>
      <x:c r="D748" t="str">
        <x:v>event validity</x:v>
      </x:c>
      <x:c r="E748" t="str">
        <x:v>RFA-E074</x:v>
      </x:c>
      <x:c r="F748" t="n">
        <x:f>'Event Estimator'!L80</x:f>
        <x:v>0</x:v>
      </x:c>
      <x:c r="G748" t="n">
        <x:v>1</x:v>
      </x:c>
      <x:c r="H748" t="str">
        <x:v>equals</x:v>
      </x:c>
      <x:c r="I748" t="str">
        <x:v>independent acceptance</x:v>
      </x:c>
      <x:c r="J748" t="str">
        <x:f>IF(F748=1,"PASS","OPEN")</x:f>
        <x:v>OPEN</x:v>
      </x:c>
    </x:row>
    <x:row r="749">
      <x:c r="B749" t="str">
        <x:v>PHY-OC-074</x:v>
      </x:c>
      <x:c r="C749" t="str">
        <x:v>PHYSICAL</x:v>
      </x:c>
      <x:c r="D749" t="str">
        <x:v>event outcome</x:v>
      </x:c>
      <x:c r="E749" t="str">
        <x:v>RFA-E074</x:v>
      </x:c>
      <x:c r="F749" t="n">
        <x:f>IF('Event Estimator'!M80&lt;&gt;"",1,0)</x:f>
        <x:v>0</x:v>
      </x:c>
      <x:c r="G749" t="n">
        <x:v>1</x:v>
      </x:c>
      <x:c r="H749" t="str">
        <x:v>equals</x:v>
      </x:c>
      <x:c r="I749" t="str">
        <x:v>independent acceptance</x:v>
      </x:c>
      <x:c r="J749" t="str">
        <x:f>IF(F749=1,"PASS","OPEN")</x:f>
        <x:v>OPEN</x:v>
      </x:c>
    </x:row>
    <x:row r="750">
      <x:c r="B750" t="str">
        <x:v>PHY-EX-075</x:v>
      </x:c>
      <x:c r="C750" t="str">
        <x:v>PHYSICAL</x:v>
      </x:c>
      <x:c r="D750" t="str">
        <x:v>event execution</x:v>
      </x:c>
      <x:c r="E750" t="str">
        <x:v>RFA-E075</x:v>
      </x:c>
      <x:c r="F750" t="n">
        <x:f>IF('Event Register'!M81&lt;&gt;"",1,0)</x:f>
        <x:v>0</x:v>
      </x:c>
      <x:c r="G750" t="n">
        <x:v>1</x:v>
      </x:c>
      <x:c r="H750" t="str">
        <x:v>equals</x:v>
      </x:c>
      <x:c r="I750" t="str">
        <x:v>independent acceptance</x:v>
      </x:c>
      <x:c r="J750" t="str">
        <x:f>IF(F750=1,"PASS","OPEN")</x:f>
        <x:v>OPEN</x:v>
      </x:c>
    </x:row>
    <x:row r="751">
      <x:c r="B751" t="str">
        <x:v>PHY-VA-075</x:v>
      </x:c>
      <x:c r="C751" t="str">
        <x:v>PHYSICAL</x:v>
      </x:c>
      <x:c r="D751" t="str">
        <x:v>event validity</x:v>
      </x:c>
      <x:c r="E751" t="str">
        <x:v>RFA-E075</x:v>
      </x:c>
      <x:c r="F751" t="n">
        <x:f>'Event Estimator'!L81</x:f>
        <x:v>0</x:v>
      </x:c>
      <x:c r="G751" t="n">
        <x:v>1</x:v>
      </x:c>
      <x:c r="H751" t="str">
        <x:v>equals</x:v>
      </x:c>
      <x:c r="I751" t="str">
        <x:v>independent acceptance</x:v>
      </x:c>
      <x:c r="J751" t="str">
        <x:f>IF(F751=1,"PASS","OPEN")</x:f>
        <x:v>OPEN</x:v>
      </x:c>
    </x:row>
    <x:row r="752">
      <x:c r="B752" t="str">
        <x:v>PHY-OC-075</x:v>
      </x:c>
      <x:c r="C752" t="str">
        <x:v>PHYSICAL</x:v>
      </x:c>
      <x:c r="D752" t="str">
        <x:v>event outcome</x:v>
      </x:c>
      <x:c r="E752" t="str">
        <x:v>RFA-E075</x:v>
      </x:c>
      <x:c r="F752" t="n">
        <x:f>IF('Event Estimator'!M81&lt;&gt;"",1,0)</x:f>
        <x:v>0</x:v>
      </x:c>
      <x:c r="G752" t="n">
        <x:v>1</x:v>
      </x:c>
      <x:c r="H752" t="str">
        <x:v>equals</x:v>
      </x:c>
      <x:c r="I752" t="str">
        <x:v>independent acceptance</x:v>
      </x:c>
      <x:c r="J752" t="str">
        <x:f>IF(F752=1,"PASS","OPEN")</x:f>
        <x:v>OPEN</x:v>
      </x:c>
    </x:row>
    <x:row r="753">
      <x:c r="B753" t="str">
        <x:v>PHY-EX-076</x:v>
      </x:c>
      <x:c r="C753" t="str">
        <x:v>PHYSICAL</x:v>
      </x:c>
      <x:c r="D753" t="str">
        <x:v>event execution</x:v>
      </x:c>
      <x:c r="E753" t="str">
        <x:v>RFA-E076</x:v>
      </x:c>
      <x:c r="F753" t="n">
        <x:f>IF('Event Register'!M82&lt;&gt;"",1,0)</x:f>
        <x:v>0</x:v>
      </x:c>
      <x:c r="G753" t="n">
        <x:v>1</x:v>
      </x:c>
      <x:c r="H753" t="str">
        <x:v>equals</x:v>
      </x:c>
      <x:c r="I753" t="str">
        <x:v>independent acceptance</x:v>
      </x:c>
      <x:c r="J753" t="str">
        <x:f>IF(F753=1,"PASS","OPEN")</x:f>
        <x:v>OPEN</x:v>
      </x:c>
    </x:row>
    <x:row r="754">
      <x:c r="B754" t="str">
        <x:v>PHY-VA-076</x:v>
      </x:c>
      <x:c r="C754" t="str">
        <x:v>PHYSICAL</x:v>
      </x:c>
      <x:c r="D754" t="str">
        <x:v>event validity</x:v>
      </x:c>
      <x:c r="E754" t="str">
        <x:v>RFA-E076</x:v>
      </x:c>
      <x:c r="F754" t="n">
        <x:f>'Event Estimator'!L82</x:f>
        <x:v>0</x:v>
      </x:c>
      <x:c r="G754" t="n">
        <x:v>1</x:v>
      </x:c>
      <x:c r="H754" t="str">
        <x:v>equals</x:v>
      </x:c>
      <x:c r="I754" t="str">
        <x:v>independent acceptance</x:v>
      </x:c>
      <x:c r="J754" t="str">
        <x:f>IF(F754=1,"PASS","OPEN")</x:f>
        <x:v>OPEN</x:v>
      </x:c>
    </x:row>
    <x:row r="755">
      <x:c r="B755" t="str">
        <x:v>PHY-OC-076</x:v>
      </x:c>
      <x:c r="C755" t="str">
        <x:v>PHYSICAL</x:v>
      </x:c>
      <x:c r="D755" t="str">
        <x:v>event outcome</x:v>
      </x:c>
      <x:c r="E755" t="str">
        <x:v>RFA-E076</x:v>
      </x:c>
      <x:c r="F755" t="n">
        <x:f>IF('Event Estimator'!M82&lt;&gt;"",1,0)</x:f>
        <x:v>0</x:v>
      </x:c>
      <x:c r="G755" t="n">
        <x:v>1</x:v>
      </x:c>
      <x:c r="H755" t="str">
        <x:v>equals</x:v>
      </x:c>
      <x:c r="I755" t="str">
        <x:v>independent acceptance</x:v>
      </x:c>
      <x:c r="J755" t="str">
        <x:f>IF(F755=1,"PASS","OPEN")</x:f>
        <x:v>OPEN</x:v>
      </x:c>
    </x:row>
    <x:row r="756">
      <x:c r="B756" t="str">
        <x:v>PHY-EX-077</x:v>
      </x:c>
      <x:c r="C756" t="str">
        <x:v>PHYSICAL</x:v>
      </x:c>
      <x:c r="D756" t="str">
        <x:v>event execution</x:v>
      </x:c>
      <x:c r="E756" t="str">
        <x:v>RFA-E077</x:v>
      </x:c>
      <x:c r="F756" t="n">
        <x:f>IF('Event Register'!M83&lt;&gt;"",1,0)</x:f>
        <x:v>0</x:v>
      </x:c>
      <x:c r="G756" t="n">
        <x:v>1</x:v>
      </x:c>
      <x:c r="H756" t="str">
        <x:v>equals</x:v>
      </x:c>
      <x:c r="I756" t="str">
        <x:v>independent acceptance</x:v>
      </x:c>
      <x:c r="J756" t="str">
        <x:f>IF(F756=1,"PASS","OPEN")</x:f>
        <x:v>OPEN</x:v>
      </x:c>
    </x:row>
    <x:row r="757">
      <x:c r="B757" t="str">
        <x:v>PHY-VA-077</x:v>
      </x:c>
      <x:c r="C757" t="str">
        <x:v>PHYSICAL</x:v>
      </x:c>
      <x:c r="D757" t="str">
        <x:v>event validity</x:v>
      </x:c>
      <x:c r="E757" t="str">
        <x:v>RFA-E077</x:v>
      </x:c>
      <x:c r="F757" t="n">
        <x:f>'Event Estimator'!L83</x:f>
        <x:v>0</x:v>
      </x:c>
      <x:c r="G757" t="n">
        <x:v>1</x:v>
      </x:c>
      <x:c r="H757" t="str">
        <x:v>equals</x:v>
      </x:c>
      <x:c r="I757" t="str">
        <x:v>independent acceptance</x:v>
      </x:c>
      <x:c r="J757" t="str">
        <x:f>IF(F757=1,"PASS","OPEN")</x:f>
        <x:v>OPEN</x:v>
      </x:c>
    </x:row>
    <x:row r="758">
      <x:c r="B758" t="str">
        <x:v>PHY-OC-077</x:v>
      </x:c>
      <x:c r="C758" t="str">
        <x:v>PHYSICAL</x:v>
      </x:c>
      <x:c r="D758" t="str">
        <x:v>event outcome</x:v>
      </x:c>
      <x:c r="E758" t="str">
        <x:v>RFA-E077</x:v>
      </x:c>
      <x:c r="F758" t="n">
        <x:f>IF('Event Estimator'!M83&lt;&gt;"",1,0)</x:f>
        <x:v>0</x:v>
      </x:c>
      <x:c r="G758" t="n">
        <x:v>1</x:v>
      </x:c>
      <x:c r="H758" t="str">
        <x:v>equals</x:v>
      </x:c>
      <x:c r="I758" t="str">
        <x:v>independent acceptance</x:v>
      </x:c>
      <x:c r="J758" t="str">
        <x:f>IF(F758=1,"PASS","OPEN")</x:f>
        <x:v>OPEN</x:v>
      </x:c>
    </x:row>
    <x:row r="759">
      <x:c r="B759" t="str">
        <x:v>PHY-EX-078</x:v>
      </x:c>
      <x:c r="C759" t="str">
        <x:v>PHYSICAL</x:v>
      </x:c>
      <x:c r="D759" t="str">
        <x:v>event execution</x:v>
      </x:c>
      <x:c r="E759" t="str">
        <x:v>RFA-E078</x:v>
      </x:c>
      <x:c r="F759" t="n">
        <x:f>IF('Event Register'!M84&lt;&gt;"",1,0)</x:f>
        <x:v>0</x:v>
      </x:c>
      <x:c r="G759" t="n">
        <x:v>1</x:v>
      </x:c>
      <x:c r="H759" t="str">
        <x:v>equals</x:v>
      </x:c>
      <x:c r="I759" t="str">
        <x:v>independent acceptance</x:v>
      </x:c>
      <x:c r="J759" t="str">
        <x:f>IF(F759=1,"PASS","OPEN")</x:f>
        <x:v>OPEN</x:v>
      </x:c>
    </x:row>
    <x:row r="760">
      <x:c r="B760" t="str">
        <x:v>PHY-VA-078</x:v>
      </x:c>
      <x:c r="C760" t="str">
        <x:v>PHYSICAL</x:v>
      </x:c>
      <x:c r="D760" t="str">
        <x:v>event validity</x:v>
      </x:c>
      <x:c r="E760" t="str">
        <x:v>RFA-E078</x:v>
      </x:c>
      <x:c r="F760" t="n">
        <x:f>'Event Estimator'!L84</x:f>
        <x:v>0</x:v>
      </x:c>
      <x:c r="G760" t="n">
        <x:v>1</x:v>
      </x:c>
      <x:c r="H760" t="str">
        <x:v>equals</x:v>
      </x:c>
      <x:c r="I760" t="str">
        <x:v>independent acceptance</x:v>
      </x:c>
      <x:c r="J760" t="str">
        <x:f>IF(F760=1,"PASS","OPEN")</x:f>
        <x:v>OPEN</x:v>
      </x:c>
    </x:row>
    <x:row r="761">
      <x:c r="B761" t="str">
        <x:v>PHY-OC-078</x:v>
      </x:c>
      <x:c r="C761" t="str">
        <x:v>PHYSICAL</x:v>
      </x:c>
      <x:c r="D761" t="str">
        <x:v>event outcome</x:v>
      </x:c>
      <x:c r="E761" t="str">
        <x:v>RFA-E078</x:v>
      </x:c>
      <x:c r="F761" t="n">
        <x:f>IF('Event Estimator'!M84&lt;&gt;"",1,0)</x:f>
        <x:v>0</x:v>
      </x:c>
      <x:c r="G761" t="n">
        <x:v>1</x:v>
      </x:c>
      <x:c r="H761" t="str">
        <x:v>equals</x:v>
      </x:c>
      <x:c r="I761" t="str">
        <x:v>independent acceptance</x:v>
      </x:c>
      <x:c r="J761" t="str">
        <x:f>IF(F761=1,"PASS","OPEN")</x:f>
        <x:v>OPEN</x:v>
      </x:c>
    </x:row>
    <x:row r="762">
      <x:c r="B762" t="str">
        <x:v>PHY-EX-079</x:v>
      </x:c>
      <x:c r="C762" t="str">
        <x:v>PHYSICAL</x:v>
      </x:c>
      <x:c r="D762" t="str">
        <x:v>event execution</x:v>
      </x:c>
      <x:c r="E762" t="str">
        <x:v>RFA-E079</x:v>
      </x:c>
      <x:c r="F762" t="n">
        <x:f>IF('Event Register'!M85&lt;&gt;"",1,0)</x:f>
        <x:v>0</x:v>
      </x:c>
      <x:c r="G762" t="n">
        <x:v>1</x:v>
      </x:c>
      <x:c r="H762" t="str">
        <x:v>equals</x:v>
      </x:c>
      <x:c r="I762" t="str">
        <x:v>independent acceptance</x:v>
      </x:c>
      <x:c r="J762" t="str">
        <x:f>IF(F762=1,"PASS","OPEN")</x:f>
        <x:v>OPEN</x:v>
      </x:c>
    </x:row>
    <x:row r="763">
      <x:c r="B763" t="str">
        <x:v>PHY-VA-079</x:v>
      </x:c>
      <x:c r="C763" t="str">
        <x:v>PHYSICAL</x:v>
      </x:c>
      <x:c r="D763" t="str">
        <x:v>event validity</x:v>
      </x:c>
      <x:c r="E763" t="str">
        <x:v>RFA-E079</x:v>
      </x:c>
      <x:c r="F763" t="n">
        <x:f>'Event Estimator'!L85</x:f>
        <x:v>0</x:v>
      </x:c>
      <x:c r="G763" t="n">
        <x:v>1</x:v>
      </x:c>
      <x:c r="H763" t="str">
        <x:v>equals</x:v>
      </x:c>
      <x:c r="I763" t="str">
        <x:v>independent acceptance</x:v>
      </x:c>
      <x:c r="J763" t="str">
        <x:f>IF(F763=1,"PASS","OPEN")</x:f>
        <x:v>OPEN</x:v>
      </x:c>
    </x:row>
    <x:row r="764">
      <x:c r="B764" t="str">
        <x:v>PHY-OC-079</x:v>
      </x:c>
      <x:c r="C764" t="str">
        <x:v>PHYSICAL</x:v>
      </x:c>
      <x:c r="D764" t="str">
        <x:v>event outcome</x:v>
      </x:c>
      <x:c r="E764" t="str">
        <x:v>RFA-E079</x:v>
      </x:c>
      <x:c r="F764" t="n">
        <x:f>IF('Event Estimator'!M85&lt;&gt;"",1,0)</x:f>
        <x:v>0</x:v>
      </x:c>
      <x:c r="G764" t="n">
        <x:v>1</x:v>
      </x:c>
      <x:c r="H764" t="str">
        <x:v>equals</x:v>
      </x:c>
      <x:c r="I764" t="str">
        <x:v>independent acceptance</x:v>
      </x:c>
      <x:c r="J764" t="str">
        <x:f>IF(F764=1,"PASS","OPEN")</x:f>
        <x:v>OPEN</x:v>
      </x:c>
    </x:row>
    <x:row r="765">
      <x:c r="B765" t="str">
        <x:v>PHY-EX-080</x:v>
      </x:c>
      <x:c r="C765" t="str">
        <x:v>PHYSICAL</x:v>
      </x:c>
      <x:c r="D765" t="str">
        <x:v>event execution</x:v>
      </x:c>
      <x:c r="E765" t="str">
        <x:v>RFA-E080</x:v>
      </x:c>
      <x:c r="F765" t="n">
        <x:f>IF('Event Register'!M86&lt;&gt;"",1,0)</x:f>
        <x:v>0</x:v>
      </x:c>
      <x:c r="G765" t="n">
        <x:v>1</x:v>
      </x:c>
      <x:c r="H765" t="str">
        <x:v>equals</x:v>
      </x:c>
      <x:c r="I765" t="str">
        <x:v>independent acceptance</x:v>
      </x:c>
      <x:c r="J765" t="str">
        <x:f>IF(F765=1,"PASS","OPEN")</x:f>
        <x:v>OPEN</x:v>
      </x:c>
    </x:row>
    <x:row r="766">
      <x:c r="B766" t="str">
        <x:v>PHY-VA-080</x:v>
      </x:c>
      <x:c r="C766" t="str">
        <x:v>PHYSICAL</x:v>
      </x:c>
      <x:c r="D766" t="str">
        <x:v>event validity</x:v>
      </x:c>
      <x:c r="E766" t="str">
        <x:v>RFA-E080</x:v>
      </x:c>
      <x:c r="F766" t="n">
        <x:f>'Event Estimator'!L86</x:f>
        <x:v>0</x:v>
      </x:c>
      <x:c r="G766" t="n">
        <x:v>1</x:v>
      </x:c>
      <x:c r="H766" t="str">
        <x:v>equals</x:v>
      </x:c>
      <x:c r="I766" t="str">
        <x:v>independent acceptance</x:v>
      </x:c>
      <x:c r="J766" t="str">
        <x:f>IF(F766=1,"PASS","OPEN")</x:f>
        <x:v>OPEN</x:v>
      </x:c>
    </x:row>
    <x:row r="767">
      <x:c r="B767" t="str">
        <x:v>PHY-OC-080</x:v>
      </x:c>
      <x:c r="C767" t="str">
        <x:v>PHYSICAL</x:v>
      </x:c>
      <x:c r="D767" t="str">
        <x:v>event outcome</x:v>
      </x:c>
      <x:c r="E767" t="str">
        <x:v>RFA-E080</x:v>
      </x:c>
      <x:c r="F767" t="n">
        <x:f>IF('Event Estimator'!M86&lt;&gt;"",1,0)</x:f>
        <x:v>0</x:v>
      </x:c>
      <x:c r="G767" t="n">
        <x:v>1</x:v>
      </x:c>
      <x:c r="H767" t="str">
        <x:v>equals</x:v>
      </x:c>
      <x:c r="I767" t="str">
        <x:v>independent acceptance</x:v>
      </x:c>
      <x:c r="J767" t="str">
        <x:f>IF(F767=1,"PASS","OPEN")</x:f>
        <x:v>OPEN</x:v>
      </x:c>
    </x:row>
    <x:row r="768">
      <x:c r="B768" t="str">
        <x:v>PHY-EX-081</x:v>
      </x:c>
      <x:c r="C768" t="str">
        <x:v>PHYSICAL</x:v>
      </x:c>
      <x:c r="D768" t="str">
        <x:v>event execution</x:v>
      </x:c>
      <x:c r="E768" t="str">
        <x:v>RFA-E081</x:v>
      </x:c>
      <x:c r="F768" t="n">
        <x:f>IF('Event Register'!M87&lt;&gt;"",1,0)</x:f>
        <x:v>0</x:v>
      </x:c>
      <x:c r="G768" t="n">
        <x:v>1</x:v>
      </x:c>
      <x:c r="H768" t="str">
        <x:v>equals</x:v>
      </x:c>
      <x:c r="I768" t="str">
        <x:v>independent acceptance</x:v>
      </x:c>
      <x:c r="J768" t="str">
        <x:f>IF(F768=1,"PASS","OPEN")</x:f>
        <x:v>OPEN</x:v>
      </x:c>
    </x:row>
    <x:row r="769">
      <x:c r="B769" t="str">
        <x:v>PHY-VA-081</x:v>
      </x:c>
      <x:c r="C769" t="str">
        <x:v>PHYSICAL</x:v>
      </x:c>
      <x:c r="D769" t="str">
        <x:v>event validity</x:v>
      </x:c>
      <x:c r="E769" t="str">
        <x:v>RFA-E081</x:v>
      </x:c>
      <x:c r="F769" t="n">
        <x:f>'Event Estimator'!L87</x:f>
        <x:v>0</x:v>
      </x:c>
      <x:c r="G769" t="n">
        <x:v>1</x:v>
      </x:c>
      <x:c r="H769" t="str">
        <x:v>equals</x:v>
      </x:c>
      <x:c r="I769" t="str">
        <x:v>independent acceptance</x:v>
      </x:c>
      <x:c r="J769" t="str">
        <x:f>IF(F769=1,"PASS","OPEN")</x:f>
        <x:v>OPEN</x:v>
      </x:c>
    </x:row>
    <x:row r="770">
      <x:c r="B770" t="str">
        <x:v>PHY-OC-081</x:v>
      </x:c>
      <x:c r="C770" t="str">
        <x:v>PHYSICAL</x:v>
      </x:c>
      <x:c r="D770" t="str">
        <x:v>event outcome</x:v>
      </x:c>
      <x:c r="E770" t="str">
        <x:v>RFA-E081</x:v>
      </x:c>
      <x:c r="F770" t="n">
        <x:f>IF('Event Estimator'!M87&lt;&gt;"",1,0)</x:f>
        <x:v>0</x:v>
      </x:c>
      <x:c r="G770" t="n">
        <x:v>1</x:v>
      </x:c>
      <x:c r="H770" t="str">
        <x:v>equals</x:v>
      </x:c>
      <x:c r="I770" t="str">
        <x:v>independent acceptance</x:v>
      </x:c>
      <x:c r="J770" t="str">
        <x:f>IF(F770=1,"PASS","OPEN")</x:f>
        <x:v>OPEN</x:v>
      </x:c>
    </x:row>
    <x:row r="771">
      <x:c r="B771" t="str">
        <x:v>PHY-EX-082</x:v>
      </x:c>
      <x:c r="C771" t="str">
        <x:v>PHYSICAL</x:v>
      </x:c>
      <x:c r="D771" t="str">
        <x:v>event execution</x:v>
      </x:c>
      <x:c r="E771" t="str">
        <x:v>RFA-E082</x:v>
      </x:c>
      <x:c r="F771" t="n">
        <x:f>IF('Event Register'!M88&lt;&gt;"",1,0)</x:f>
        <x:v>0</x:v>
      </x:c>
      <x:c r="G771" t="n">
        <x:v>1</x:v>
      </x:c>
      <x:c r="H771" t="str">
        <x:v>equals</x:v>
      </x:c>
      <x:c r="I771" t="str">
        <x:v>independent acceptance</x:v>
      </x:c>
      <x:c r="J771" t="str">
        <x:f>IF(F771=1,"PASS","OPEN")</x:f>
        <x:v>OPEN</x:v>
      </x:c>
    </x:row>
    <x:row r="772">
      <x:c r="B772" t="str">
        <x:v>PHY-VA-082</x:v>
      </x:c>
      <x:c r="C772" t="str">
        <x:v>PHYSICAL</x:v>
      </x:c>
      <x:c r="D772" t="str">
        <x:v>event validity</x:v>
      </x:c>
      <x:c r="E772" t="str">
        <x:v>RFA-E082</x:v>
      </x:c>
      <x:c r="F772" t="n">
        <x:f>'Event Estimator'!L88</x:f>
        <x:v>0</x:v>
      </x:c>
      <x:c r="G772" t="n">
        <x:v>1</x:v>
      </x:c>
      <x:c r="H772" t="str">
        <x:v>equals</x:v>
      </x:c>
      <x:c r="I772" t="str">
        <x:v>independent acceptance</x:v>
      </x:c>
      <x:c r="J772" t="str">
        <x:f>IF(F772=1,"PASS","OPEN")</x:f>
        <x:v>OPEN</x:v>
      </x:c>
    </x:row>
    <x:row r="773">
      <x:c r="B773" t="str">
        <x:v>PHY-OC-082</x:v>
      </x:c>
      <x:c r="C773" t="str">
        <x:v>PHYSICAL</x:v>
      </x:c>
      <x:c r="D773" t="str">
        <x:v>event outcome</x:v>
      </x:c>
      <x:c r="E773" t="str">
        <x:v>RFA-E082</x:v>
      </x:c>
      <x:c r="F773" t="n">
        <x:f>IF('Event Estimator'!M88&lt;&gt;"",1,0)</x:f>
        <x:v>0</x:v>
      </x:c>
      <x:c r="G773" t="n">
        <x:v>1</x:v>
      </x:c>
      <x:c r="H773" t="str">
        <x:v>equals</x:v>
      </x:c>
      <x:c r="I773" t="str">
        <x:v>independent acceptance</x:v>
      </x:c>
      <x:c r="J773" t="str">
        <x:f>IF(F773=1,"PASS","OPEN")</x:f>
        <x:v>OPEN</x:v>
      </x:c>
    </x:row>
    <x:row r="774">
      <x:c r="B774" t="str">
        <x:v>PHY-EX-083</x:v>
      </x:c>
      <x:c r="C774" t="str">
        <x:v>PHYSICAL</x:v>
      </x:c>
      <x:c r="D774" t="str">
        <x:v>event execution</x:v>
      </x:c>
      <x:c r="E774" t="str">
        <x:v>RFA-E083</x:v>
      </x:c>
      <x:c r="F774" t="n">
        <x:f>IF('Event Register'!M89&lt;&gt;"",1,0)</x:f>
        <x:v>0</x:v>
      </x:c>
      <x:c r="G774" t="n">
        <x:v>1</x:v>
      </x:c>
      <x:c r="H774" t="str">
        <x:v>equals</x:v>
      </x:c>
      <x:c r="I774" t="str">
        <x:v>independent acceptance</x:v>
      </x:c>
      <x:c r="J774" t="str">
        <x:f>IF(F774=1,"PASS","OPEN")</x:f>
        <x:v>OPEN</x:v>
      </x:c>
    </x:row>
    <x:row r="775">
      <x:c r="B775" t="str">
        <x:v>PHY-VA-083</x:v>
      </x:c>
      <x:c r="C775" t="str">
        <x:v>PHYSICAL</x:v>
      </x:c>
      <x:c r="D775" t="str">
        <x:v>event validity</x:v>
      </x:c>
      <x:c r="E775" t="str">
        <x:v>RFA-E083</x:v>
      </x:c>
      <x:c r="F775" t="n">
        <x:f>'Event Estimator'!L89</x:f>
        <x:v>0</x:v>
      </x:c>
      <x:c r="G775" t="n">
        <x:v>1</x:v>
      </x:c>
      <x:c r="H775" t="str">
        <x:v>equals</x:v>
      </x:c>
      <x:c r="I775" t="str">
        <x:v>independent acceptance</x:v>
      </x:c>
      <x:c r="J775" t="str">
        <x:f>IF(F775=1,"PASS","OPEN")</x:f>
        <x:v>OPEN</x:v>
      </x:c>
    </x:row>
    <x:row r="776">
      <x:c r="B776" t="str">
        <x:v>PHY-OC-083</x:v>
      </x:c>
      <x:c r="C776" t="str">
        <x:v>PHYSICAL</x:v>
      </x:c>
      <x:c r="D776" t="str">
        <x:v>event outcome</x:v>
      </x:c>
      <x:c r="E776" t="str">
        <x:v>RFA-E083</x:v>
      </x:c>
      <x:c r="F776" t="n">
        <x:f>IF('Event Estimator'!M89&lt;&gt;"",1,0)</x:f>
        <x:v>0</x:v>
      </x:c>
      <x:c r="G776" t="n">
        <x:v>1</x:v>
      </x:c>
      <x:c r="H776" t="str">
        <x:v>equals</x:v>
      </x:c>
      <x:c r="I776" t="str">
        <x:v>independent acceptance</x:v>
      </x:c>
      <x:c r="J776" t="str">
        <x:f>IF(F776=1,"PASS","OPEN")</x:f>
        <x:v>OPEN</x:v>
      </x:c>
    </x:row>
    <x:row r="777">
      <x:c r="B777" t="str">
        <x:v>PHY-EX-084</x:v>
      </x:c>
      <x:c r="C777" t="str">
        <x:v>PHYSICAL</x:v>
      </x:c>
      <x:c r="D777" t="str">
        <x:v>event execution</x:v>
      </x:c>
      <x:c r="E777" t="str">
        <x:v>RFA-E084</x:v>
      </x:c>
      <x:c r="F777" t="n">
        <x:f>IF('Event Register'!M90&lt;&gt;"",1,0)</x:f>
        <x:v>0</x:v>
      </x:c>
      <x:c r="G777" t="n">
        <x:v>1</x:v>
      </x:c>
      <x:c r="H777" t="str">
        <x:v>equals</x:v>
      </x:c>
      <x:c r="I777" t="str">
        <x:v>independent acceptance</x:v>
      </x:c>
      <x:c r="J777" t="str">
        <x:f>IF(F777=1,"PASS","OPEN")</x:f>
        <x:v>OPEN</x:v>
      </x:c>
    </x:row>
    <x:row r="778">
      <x:c r="B778" t="str">
        <x:v>PHY-VA-084</x:v>
      </x:c>
      <x:c r="C778" t="str">
        <x:v>PHYSICAL</x:v>
      </x:c>
      <x:c r="D778" t="str">
        <x:v>event validity</x:v>
      </x:c>
      <x:c r="E778" t="str">
        <x:v>RFA-E084</x:v>
      </x:c>
      <x:c r="F778" t="n">
        <x:f>'Event Estimator'!L90</x:f>
        <x:v>0</x:v>
      </x:c>
      <x:c r="G778" t="n">
        <x:v>1</x:v>
      </x:c>
      <x:c r="H778" t="str">
        <x:v>equals</x:v>
      </x:c>
      <x:c r="I778" t="str">
        <x:v>independent acceptance</x:v>
      </x:c>
      <x:c r="J778" t="str">
        <x:f>IF(F778=1,"PASS","OPEN")</x:f>
        <x:v>OPEN</x:v>
      </x:c>
    </x:row>
    <x:row r="779">
      <x:c r="B779" t="str">
        <x:v>PHY-OC-084</x:v>
      </x:c>
      <x:c r="C779" t="str">
        <x:v>PHYSICAL</x:v>
      </x:c>
      <x:c r="D779" t="str">
        <x:v>event outcome</x:v>
      </x:c>
      <x:c r="E779" t="str">
        <x:v>RFA-E084</x:v>
      </x:c>
      <x:c r="F779" t="n">
        <x:f>IF('Event Estimator'!M90&lt;&gt;"",1,0)</x:f>
        <x:v>0</x:v>
      </x:c>
      <x:c r="G779" t="n">
        <x:v>1</x:v>
      </x:c>
      <x:c r="H779" t="str">
        <x:v>equals</x:v>
      </x:c>
      <x:c r="I779" t="str">
        <x:v>independent acceptance</x:v>
      </x:c>
      <x:c r="J779" t="str">
        <x:f>IF(F779=1,"PASS","OPEN")</x:f>
        <x:v>OPEN</x:v>
      </x:c>
    </x:row>
    <x:row r="780">
      <x:c r="B780" t="str">
        <x:v>PHY-EX-085</x:v>
      </x:c>
      <x:c r="C780" t="str">
        <x:v>PHYSICAL</x:v>
      </x:c>
      <x:c r="D780" t="str">
        <x:v>event execution</x:v>
      </x:c>
      <x:c r="E780" t="str">
        <x:v>RFA-E085</x:v>
      </x:c>
      <x:c r="F780" t="n">
        <x:f>IF('Event Register'!M91&lt;&gt;"",1,0)</x:f>
        <x:v>0</x:v>
      </x:c>
      <x:c r="G780" t="n">
        <x:v>1</x:v>
      </x:c>
      <x:c r="H780" t="str">
        <x:v>equals</x:v>
      </x:c>
      <x:c r="I780" t="str">
        <x:v>independent acceptance</x:v>
      </x:c>
      <x:c r="J780" t="str">
        <x:f>IF(F780=1,"PASS","OPEN")</x:f>
        <x:v>OPEN</x:v>
      </x:c>
    </x:row>
    <x:row r="781">
      <x:c r="B781" t="str">
        <x:v>PHY-VA-085</x:v>
      </x:c>
      <x:c r="C781" t="str">
        <x:v>PHYSICAL</x:v>
      </x:c>
      <x:c r="D781" t="str">
        <x:v>event validity</x:v>
      </x:c>
      <x:c r="E781" t="str">
        <x:v>RFA-E085</x:v>
      </x:c>
      <x:c r="F781" t="n">
        <x:f>'Event Estimator'!L91</x:f>
        <x:v>0</x:v>
      </x:c>
      <x:c r="G781" t="n">
        <x:v>1</x:v>
      </x:c>
      <x:c r="H781" t="str">
        <x:v>equals</x:v>
      </x:c>
      <x:c r="I781" t="str">
        <x:v>independent acceptance</x:v>
      </x:c>
      <x:c r="J781" t="str">
        <x:f>IF(F781=1,"PASS","OPEN")</x:f>
        <x:v>OPEN</x:v>
      </x:c>
    </x:row>
    <x:row r="782">
      <x:c r="B782" t="str">
        <x:v>PHY-OC-085</x:v>
      </x:c>
      <x:c r="C782" t="str">
        <x:v>PHYSICAL</x:v>
      </x:c>
      <x:c r="D782" t="str">
        <x:v>event outcome</x:v>
      </x:c>
      <x:c r="E782" t="str">
        <x:v>RFA-E085</x:v>
      </x:c>
      <x:c r="F782" t="n">
        <x:f>IF('Event Estimator'!M91&lt;&gt;"",1,0)</x:f>
        <x:v>0</x:v>
      </x:c>
      <x:c r="G782" t="n">
        <x:v>1</x:v>
      </x:c>
      <x:c r="H782" t="str">
        <x:v>equals</x:v>
      </x:c>
      <x:c r="I782" t="str">
        <x:v>independent acceptance</x:v>
      </x:c>
      <x:c r="J782" t="str">
        <x:f>IF(F782=1,"PASS","OPEN")</x:f>
        <x:v>OPEN</x:v>
      </x:c>
    </x:row>
    <x:row r="783">
      <x:c r="B783" t="str">
        <x:v>PHY-EX-086</x:v>
      </x:c>
      <x:c r="C783" t="str">
        <x:v>PHYSICAL</x:v>
      </x:c>
      <x:c r="D783" t="str">
        <x:v>event execution</x:v>
      </x:c>
      <x:c r="E783" t="str">
        <x:v>RFA-E086</x:v>
      </x:c>
      <x:c r="F783" t="n">
        <x:f>IF('Event Register'!M92&lt;&gt;"",1,0)</x:f>
        <x:v>0</x:v>
      </x:c>
      <x:c r="G783" t="n">
        <x:v>1</x:v>
      </x:c>
      <x:c r="H783" t="str">
        <x:v>equals</x:v>
      </x:c>
      <x:c r="I783" t="str">
        <x:v>independent acceptance</x:v>
      </x:c>
      <x:c r="J783" t="str">
        <x:f>IF(F783=1,"PASS","OPEN")</x:f>
        <x:v>OPEN</x:v>
      </x:c>
    </x:row>
    <x:row r="784">
      <x:c r="B784" t="str">
        <x:v>PHY-VA-086</x:v>
      </x:c>
      <x:c r="C784" t="str">
        <x:v>PHYSICAL</x:v>
      </x:c>
      <x:c r="D784" t="str">
        <x:v>event validity</x:v>
      </x:c>
      <x:c r="E784" t="str">
        <x:v>RFA-E086</x:v>
      </x:c>
      <x:c r="F784" t="n">
        <x:f>'Event Estimator'!L92</x:f>
        <x:v>0</x:v>
      </x:c>
      <x:c r="G784" t="n">
        <x:v>1</x:v>
      </x:c>
      <x:c r="H784" t="str">
        <x:v>equals</x:v>
      </x:c>
      <x:c r="I784" t="str">
        <x:v>independent acceptance</x:v>
      </x:c>
      <x:c r="J784" t="str">
        <x:f>IF(F784=1,"PASS","OPEN")</x:f>
        <x:v>OPEN</x:v>
      </x:c>
    </x:row>
    <x:row r="785">
      <x:c r="B785" t="str">
        <x:v>PHY-OC-086</x:v>
      </x:c>
      <x:c r="C785" t="str">
        <x:v>PHYSICAL</x:v>
      </x:c>
      <x:c r="D785" t="str">
        <x:v>event outcome</x:v>
      </x:c>
      <x:c r="E785" t="str">
        <x:v>RFA-E086</x:v>
      </x:c>
      <x:c r="F785" t="n">
        <x:f>IF('Event Estimator'!M92&lt;&gt;"",1,0)</x:f>
        <x:v>0</x:v>
      </x:c>
      <x:c r="G785" t="n">
        <x:v>1</x:v>
      </x:c>
      <x:c r="H785" t="str">
        <x:v>equals</x:v>
      </x:c>
      <x:c r="I785" t="str">
        <x:v>independent acceptance</x:v>
      </x:c>
      <x:c r="J785" t="str">
        <x:f>IF(F785=1,"PASS","OPEN")</x:f>
        <x:v>OPEN</x:v>
      </x:c>
    </x:row>
    <x:row r="786">
      <x:c r="B786" t="str">
        <x:v>PHY-EX-087</x:v>
      </x:c>
      <x:c r="C786" t="str">
        <x:v>PHYSICAL</x:v>
      </x:c>
      <x:c r="D786" t="str">
        <x:v>event execution</x:v>
      </x:c>
      <x:c r="E786" t="str">
        <x:v>RFA-E087</x:v>
      </x:c>
      <x:c r="F786" t="n">
        <x:f>IF('Event Register'!M93&lt;&gt;"",1,0)</x:f>
        <x:v>0</x:v>
      </x:c>
      <x:c r="G786" t="n">
        <x:v>1</x:v>
      </x:c>
      <x:c r="H786" t="str">
        <x:v>equals</x:v>
      </x:c>
      <x:c r="I786" t="str">
        <x:v>independent acceptance</x:v>
      </x:c>
      <x:c r="J786" t="str">
        <x:f>IF(F786=1,"PASS","OPEN")</x:f>
        <x:v>OPEN</x:v>
      </x:c>
    </x:row>
    <x:row r="787">
      <x:c r="B787" t="str">
        <x:v>PHY-VA-087</x:v>
      </x:c>
      <x:c r="C787" t="str">
        <x:v>PHYSICAL</x:v>
      </x:c>
      <x:c r="D787" t="str">
        <x:v>event validity</x:v>
      </x:c>
      <x:c r="E787" t="str">
        <x:v>RFA-E087</x:v>
      </x:c>
      <x:c r="F787" t="n">
        <x:f>'Event Estimator'!L93</x:f>
        <x:v>0</x:v>
      </x:c>
      <x:c r="G787" t="n">
        <x:v>1</x:v>
      </x:c>
      <x:c r="H787" t="str">
        <x:v>equals</x:v>
      </x:c>
      <x:c r="I787" t="str">
        <x:v>independent acceptance</x:v>
      </x:c>
      <x:c r="J787" t="str">
        <x:f>IF(F787=1,"PASS","OPEN")</x:f>
        <x:v>OPEN</x:v>
      </x:c>
    </x:row>
    <x:row r="788">
      <x:c r="B788" t="str">
        <x:v>PHY-OC-087</x:v>
      </x:c>
      <x:c r="C788" t="str">
        <x:v>PHYSICAL</x:v>
      </x:c>
      <x:c r="D788" t="str">
        <x:v>event outcome</x:v>
      </x:c>
      <x:c r="E788" t="str">
        <x:v>RFA-E087</x:v>
      </x:c>
      <x:c r="F788" t="n">
        <x:f>IF('Event Estimator'!M93&lt;&gt;"",1,0)</x:f>
        <x:v>0</x:v>
      </x:c>
      <x:c r="G788" t="n">
        <x:v>1</x:v>
      </x:c>
      <x:c r="H788" t="str">
        <x:v>equals</x:v>
      </x:c>
      <x:c r="I788" t="str">
        <x:v>independent acceptance</x:v>
      </x:c>
      <x:c r="J788" t="str">
        <x:f>IF(F788=1,"PASS","OPEN")</x:f>
        <x:v>OPEN</x:v>
      </x:c>
    </x:row>
    <x:row r="789">
      <x:c r="B789" t="str">
        <x:v>PHY-EX-088</x:v>
      </x:c>
      <x:c r="C789" t="str">
        <x:v>PHYSICAL</x:v>
      </x:c>
      <x:c r="D789" t="str">
        <x:v>event execution</x:v>
      </x:c>
      <x:c r="E789" t="str">
        <x:v>RFA-E088</x:v>
      </x:c>
      <x:c r="F789" t="n">
        <x:f>IF('Event Register'!M94&lt;&gt;"",1,0)</x:f>
        <x:v>0</x:v>
      </x:c>
      <x:c r="G789" t="n">
        <x:v>1</x:v>
      </x:c>
      <x:c r="H789" t="str">
        <x:v>equals</x:v>
      </x:c>
      <x:c r="I789" t="str">
        <x:v>independent acceptance</x:v>
      </x:c>
      <x:c r="J789" t="str">
        <x:f>IF(F789=1,"PASS","OPEN")</x:f>
        <x:v>OPEN</x:v>
      </x:c>
    </x:row>
    <x:row r="790">
      <x:c r="B790" t="str">
        <x:v>PHY-VA-088</x:v>
      </x:c>
      <x:c r="C790" t="str">
        <x:v>PHYSICAL</x:v>
      </x:c>
      <x:c r="D790" t="str">
        <x:v>event validity</x:v>
      </x:c>
      <x:c r="E790" t="str">
        <x:v>RFA-E088</x:v>
      </x:c>
      <x:c r="F790" t="n">
        <x:f>'Event Estimator'!L94</x:f>
        <x:v>0</x:v>
      </x:c>
      <x:c r="G790" t="n">
        <x:v>1</x:v>
      </x:c>
      <x:c r="H790" t="str">
        <x:v>equals</x:v>
      </x:c>
      <x:c r="I790" t="str">
        <x:v>independent acceptance</x:v>
      </x:c>
      <x:c r="J790" t="str">
        <x:f>IF(F790=1,"PASS","OPEN")</x:f>
        <x:v>OPEN</x:v>
      </x:c>
    </x:row>
    <x:row r="791">
      <x:c r="B791" t="str">
        <x:v>PHY-OC-088</x:v>
      </x:c>
      <x:c r="C791" t="str">
        <x:v>PHYSICAL</x:v>
      </x:c>
      <x:c r="D791" t="str">
        <x:v>event outcome</x:v>
      </x:c>
      <x:c r="E791" t="str">
        <x:v>RFA-E088</x:v>
      </x:c>
      <x:c r="F791" t="n">
        <x:f>IF('Event Estimator'!M94&lt;&gt;"",1,0)</x:f>
        <x:v>0</x:v>
      </x:c>
      <x:c r="G791" t="n">
        <x:v>1</x:v>
      </x:c>
      <x:c r="H791" t="str">
        <x:v>equals</x:v>
      </x:c>
      <x:c r="I791" t="str">
        <x:v>independent acceptance</x:v>
      </x:c>
      <x:c r="J791" t="str">
        <x:f>IF(F791=1,"PASS","OPEN")</x:f>
        <x:v>OPEN</x:v>
      </x:c>
    </x:row>
    <x:row r="792">
      <x:c r="B792" t="str">
        <x:v>PHY-EX-089</x:v>
      </x:c>
      <x:c r="C792" t="str">
        <x:v>PHYSICAL</x:v>
      </x:c>
      <x:c r="D792" t="str">
        <x:v>event execution</x:v>
      </x:c>
      <x:c r="E792" t="str">
        <x:v>RFA-E089</x:v>
      </x:c>
      <x:c r="F792" t="n">
        <x:f>IF('Event Register'!M95&lt;&gt;"",1,0)</x:f>
        <x:v>0</x:v>
      </x:c>
      <x:c r="G792" t="n">
        <x:v>1</x:v>
      </x:c>
      <x:c r="H792" t="str">
        <x:v>equals</x:v>
      </x:c>
      <x:c r="I792" t="str">
        <x:v>independent acceptance</x:v>
      </x:c>
      <x:c r="J792" t="str">
        <x:f>IF(F792=1,"PASS","OPEN")</x:f>
        <x:v>OPEN</x:v>
      </x:c>
    </x:row>
    <x:row r="793">
      <x:c r="B793" t="str">
        <x:v>PHY-VA-089</x:v>
      </x:c>
      <x:c r="C793" t="str">
        <x:v>PHYSICAL</x:v>
      </x:c>
      <x:c r="D793" t="str">
        <x:v>event validity</x:v>
      </x:c>
      <x:c r="E793" t="str">
        <x:v>RFA-E089</x:v>
      </x:c>
      <x:c r="F793" t="n">
        <x:f>'Event Estimator'!L95</x:f>
        <x:v>0</x:v>
      </x:c>
      <x:c r="G793" t="n">
        <x:v>1</x:v>
      </x:c>
      <x:c r="H793" t="str">
        <x:v>equals</x:v>
      </x:c>
      <x:c r="I793" t="str">
        <x:v>independent acceptance</x:v>
      </x:c>
      <x:c r="J793" t="str">
        <x:f>IF(F793=1,"PASS","OPEN")</x:f>
        <x:v>OPEN</x:v>
      </x:c>
    </x:row>
    <x:row r="794">
      <x:c r="B794" t="str">
        <x:v>PHY-OC-089</x:v>
      </x:c>
      <x:c r="C794" t="str">
        <x:v>PHYSICAL</x:v>
      </x:c>
      <x:c r="D794" t="str">
        <x:v>event outcome</x:v>
      </x:c>
      <x:c r="E794" t="str">
        <x:v>RFA-E089</x:v>
      </x:c>
      <x:c r="F794" t="n">
        <x:f>IF('Event Estimator'!M95&lt;&gt;"",1,0)</x:f>
        <x:v>0</x:v>
      </x:c>
      <x:c r="G794" t="n">
        <x:v>1</x:v>
      </x:c>
      <x:c r="H794" t="str">
        <x:v>equals</x:v>
      </x:c>
      <x:c r="I794" t="str">
        <x:v>independent acceptance</x:v>
      </x:c>
      <x:c r="J794" t="str">
        <x:f>IF(F794=1,"PASS","OPEN")</x:f>
        <x:v>OPEN</x:v>
      </x:c>
    </x:row>
    <x:row r="795">
      <x:c r="B795" t="str">
        <x:v>PHY-EX-090</x:v>
      </x:c>
      <x:c r="C795" t="str">
        <x:v>PHYSICAL</x:v>
      </x:c>
      <x:c r="D795" t="str">
        <x:v>event execution</x:v>
      </x:c>
      <x:c r="E795" t="str">
        <x:v>RFA-E090</x:v>
      </x:c>
      <x:c r="F795" t="n">
        <x:f>IF('Event Register'!M96&lt;&gt;"",1,0)</x:f>
        <x:v>0</x:v>
      </x:c>
      <x:c r="G795" t="n">
        <x:v>1</x:v>
      </x:c>
      <x:c r="H795" t="str">
        <x:v>equals</x:v>
      </x:c>
      <x:c r="I795" t="str">
        <x:v>independent acceptance</x:v>
      </x:c>
      <x:c r="J795" t="str">
        <x:f>IF(F795=1,"PASS","OPEN")</x:f>
        <x:v>OPEN</x:v>
      </x:c>
    </x:row>
    <x:row r="796">
      <x:c r="B796" t="str">
        <x:v>PHY-VA-090</x:v>
      </x:c>
      <x:c r="C796" t="str">
        <x:v>PHYSICAL</x:v>
      </x:c>
      <x:c r="D796" t="str">
        <x:v>event validity</x:v>
      </x:c>
      <x:c r="E796" t="str">
        <x:v>RFA-E090</x:v>
      </x:c>
      <x:c r="F796" t="n">
        <x:f>'Event Estimator'!L96</x:f>
        <x:v>0</x:v>
      </x:c>
      <x:c r="G796" t="n">
        <x:v>1</x:v>
      </x:c>
      <x:c r="H796" t="str">
        <x:v>equals</x:v>
      </x:c>
      <x:c r="I796" t="str">
        <x:v>independent acceptance</x:v>
      </x:c>
      <x:c r="J796" t="str">
        <x:f>IF(F796=1,"PASS","OPEN")</x:f>
        <x:v>OPEN</x:v>
      </x:c>
    </x:row>
    <x:row r="797">
      <x:c r="B797" t="str">
        <x:v>PHY-OC-090</x:v>
      </x:c>
      <x:c r="C797" t="str">
        <x:v>PHYSICAL</x:v>
      </x:c>
      <x:c r="D797" t="str">
        <x:v>event outcome</x:v>
      </x:c>
      <x:c r="E797" t="str">
        <x:v>RFA-E090</x:v>
      </x:c>
      <x:c r="F797" t="n">
        <x:f>IF('Event Estimator'!M96&lt;&gt;"",1,0)</x:f>
        <x:v>0</x:v>
      </x:c>
      <x:c r="G797" t="n">
        <x:v>1</x:v>
      </x:c>
      <x:c r="H797" t="str">
        <x:v>equals</x:v>
      </x:c>
      <x:c r="I797" t="str">
        <x:v>independent acceptance</x:v>
      </x:c>
      <x:c r="J797" t="str">
        <x:f>IF(F797=1,"PASS","OPEN")</x:f>
        <x:v>OPEN</x:v>
      </x:c>
    </x:row>
    <x:row r="798">
      <x:c r="B798" t="str">
        <x:v>PHY-EX-091</x:v>
      </x:c>
      <x:c r="C798" t="str">
        <x:v>PHYSICAL</x:v>
      </x:c>
      <x:c r="D798" t="str">
        <x:v>event execution</x:v>
      </x:c>
      <x:c r="E798" t="str">
        <x:v>RFA-E091</x:v>
      </x:c>
      <x:c r="F798" t="n">
        <x:f>IF('Event Register'!M97&lt;&gt;"",1,0)</x:f>
        <x:v>0</x:v>
      </x:c>
      <x:c r="G798" t="n">
        <x:v>1</x:v>
      </x:c>
      <x:c r="H798" t="str">
        <x:v>equals</x:v>
      </x:c>
      <x:c r="I798" t="str">
        <x:v>independent acceptance</x:v>
      </x:c>
      <x:c r="J798" t="str">
        <x:f>IF(F798=1,"PASS","OPEN")</x:f>
        <x:v>OPEN</x:v>
      </x:c>
    </x:row>
    <x:row r="799">
      <x:c r="B799" t="str">
        <x:v>PHY-VA-091</x:v>
      </x:c>
      <x:c r="C799" t="str">
        <x:v>PHYSICAL</x:v>
      </x:c>
      <x:c r="D799" t="str">
        <x:v>event validity</x:v>
      </x:c>
      <x:c r="E799" t="str">
        <x:v>RFA-E091</x:v>
      </x:c>
      <x:c r="F799" t="n">
        <x:f>'Event Estimator'!L97</x:f>
        <x:v>0</x:v>
      </x:c>
      <x:c r="G799" t="n">
        <x:v>1</x:v>
      </x:c>
      <x:c r="H799" t="str">
        <x:v>equals</x:v>
      </x:c>
      <x:c r="I799" t="str">
        <x:v>independent acceptance</x:v>
      </x:c>
      <x:c r="J799" t="str">
        <x:f>IF(F799=1,"PASS","OPEN")</x:f>
        <x:v>OPEN</x:v>
      </x:c>
    </x:row>
    <x:row r="800">
      <x:c r="B800" t="str">
        <x:v>PHY-OC-091</x:v>
      </x:c>
      <x:c r="C800" t="str">
        <x:v>PHYSICAL</x:v>
      </x:c>
      <x:c r="D800" t="str">
        <x:v>event outcome</x:v>
      </x:c>
      <x:c r="E800" t="str">
        <x:v>RFA-E091</x:v>
      </x:c>
      <x:c r="F800" t="n">
        <x:f>IF('Event Estimator'!M97&lt;&gt;"",1,0)</x:f>
        <x:v>0</x:v>
      </x:c>
      <x:c r="G800" t="n">
        <x:v>1</x:v>
      </x:c>
      <x:c r="H800" t="str">
        <x:v>equals</x:v>
      </x:c>
      <x:c r="I800" t="str">
        <x:v>independent acceptance</x:v>
      </x:c>
      <x:c r="J800" t="str">
        <x:f>IF(F800=1,"PASS","OPEN")</x:f>
        <x:v>OPEN</x:v>
      </x:c>
    </x:row>
    <x:row r="801">
      <x:c r="B801" t="str">
        <x:v>PHY-EX-092</x:v>
      </x:c>
      <x:c r="C801" t="str">
        <x:v>PHYSICAL</x:v>
      </x:c>
      <x:c r="D801" t="str">
        <x:v>event execution</x:v>
      </x:c>
      <x:c r="E801" t="str">
        <x:v>RFA-E092</x:v>
      </x:c>
      <x:c r="F801" t="n">
        <x:f>IF('Event Register'!M98&lt;&gt;"",1,0)</x:f>
        <x:v>0</x:v>
      </x:c>
      <x:c r="G801" t="n">
        <x:v>1</x:v>
      </x:c>
      <x:c r="H801" t="str">
        <x:v>equals</x:v>
      </x:c>
      <x:c r="I801" t="str">
        <x:v>independent acceptance</x:v>
      </x:c>
      <x:c r="J801" t="str">
        <x:f>IF(F801=1,"PASS","OPEN")</x:f>
        <x:v>OPEN</x:v>
      </x:c>
    </x:row>
    <x:row r="802">
      <x:c r="B802" t="str">
        <x:v>PHY-VA-092</x:v>
      </x:c>
      <x:c r="C802" t="str">
        <x:v>PHYSICAL</x:v>
      </x:c>
      <x:c r="D802" t="str">
        <x:v>event validity</x:v>
      </x:c>
      <x:c r="E802" t="str">
        <x:v>RFA-E092</x:v>
      </x:c>
      <x:c r="F802" t="n">
        <x:f>'Event Estimator'!L98</x:f>
        <x:v>0</x:v>
      </x:c>
      <x:c r="G802" t="n">
        <x:v>1</x:v>
      </x:c>
      <x:c r="H802" t="str">
        <x:v>equals</x:v>
      </x:c>
      <x:c r="I802" t="str">
        <x:v>independent acceptance</x:v>
      </x:c>
      <x:c r="J802" t="str">
        <x:f>IF(F802=1,"PASS","OPEN")</x:f>
        <x:v>OPEN</x:v>
      </x:c>
    </x:row>
    <x:row r="803">
      <x:c r="B803" t="str">
        <x:v>PHY-OC-092</x:v>
      </x:c>
      <x:c r="C803" t="str">
        <x:v>PHYSICAL</x:v>
      </x:c>
      <x:c r="D803" t="str">
        <x:v>event outcome</x:v>
      </x:c>
      <x:c r="E803" t="str">
        <x:v>RFA-E092</x:v>
      </x:c>
      <x:c r="F803" t="n">
        <x:f>IF('Event Estimator'!M98&lt;&gt;"",1,0)</x:f>
        <x:v>0</x:v>
      </x:c>
      <x:c r="G803" t="n">
        <x:v>1</x:v>
      </x:c>
      <x:c r="H803" t="str">
        <x:v>equals</x:v>
      </x:c>
      <x:c r="I803" t="str">
        <x:v>independent acceptance</x:v>
      </x:c>
      <x:c r="J803" t="str">
        <x:f>IF(F803=1,"PASS","OPEN")</x:f>
        <x:v>OPEN</x:v>
      </x:c>
    </x:row>
    <x:row r="804">
      <x:c r="B804" t="str">
        <x:v>PHY-EX-093</x:v>
      </x:c>
      <x:c r="C804" t="str">
        <x:v>PHYSICAL</x:v>
      </x:c>
      <x:c r="D804" t="str">
        <x:v>event execution</x:v>
      </x:c>
      <x:c r="E804" t="str">
        <x:v>RFA-E093</x:v>
      </x:c>
      <x:c r="F804" t="n">
        <x:f>IF('Event Register'!M99&lt;&gt;"",1,0)</x:f>
        <x:v>0</x:v>
      </x:c>
      <x:c r="G804" t="n">
        <x:v>1</x:v>
      </x:c>
      <x:c r="H804" t="str">
        <x:v>equals</x:v>
      </x:c>
      <x:c r="I804" t="str">
        <x:v>independent acceptance</x:v>
      </x:c>
      <x:c r="J804" t="str">
        <x:f>IF(F804=1,"PASS","OPEN")</x:f>
        <x:v>OPEN</x:v>
      </x:c>
    </x:row>
    <x:row r="805">
      <x:c r="B805" t="str">
        <x:v>PHY-VA-093</x:v>
      </x:c>
      <x:c r="C805" t="str">
        <x:v>PHYSICAL</x:v>
      </x:c>
      <x:c r="D805" t="str">
        <x:v>event validity</x:v>
      </x:c>
      <x:c r="E805" t="str">
        <x:v>RFA-E093</x:v>
      </x:c>
      <x:c r="F805" t="n">
        <x:f>'Event Estimator'!L99</x:f>
        <x:v>0</x:v>
      </x:c>
      <x:c r="G805" t="n">
        <x:v>1</x:v>
      </x:c>
      <x:c r="H805" t="str">
        <x:v>equals</x:v>
      </x:c>
      <x:c r="I805" t="str">
        <x:v>independent acceptance</x:v>
      </x:c>
      <x:c r="J805" t="str">
        <x:f>IF(F805=1,"PASS","OPEN")</x:f>
        <x:v>OPEN</x:v>
      </x:c>
    </x:row>
    <x:row r="806">
      <x:c r="B806" t="str">
        <x:v>PHY-OC-093</x:v>
      </x:c>
      <x:c r="C806" t="str">
        <x:v>PHYSICAL</x:v>
      </x:c>
      <x:c r="D806" t="str">
        <x:v>event outcome</x:v>
      </x:c>
      <x:c r="E806" t="str">
        <x:v>RFA-E093</x:v>
      </x:c>
      <x:c r="F806" t="n">
        <x:f>IF('Event Estimator'!M99&lt;&gt;"",1,0)</x:f>
        <x:v>0</x:v>
      </x:c>
      <x:c r="G806" t="n">
        <x:v>1</x:v>
      </x:c>
      <x:c r="H806" t="str">
        <x:v>equals</x:v>
      </x:c>
      <x:c r="I806" t="str">
        <x:v>independent acceptance</x:v>
      </x:c>
      <x:c r="J806" t="str">
        <x:f>IF(F806=1,"PASS","OPEN")</x:f>
        <x:v>OPEN</x:v>
      </x:c>
    </x:row>
    <x:row r="807">
      <x:c r="B807" t="str">
        <x:v>PHY-EX-094</x:v>
      </x:c>
      <x:c r="C807" t="str">
        <x:v>PHYSICAL</x:v>
      </x:c>
      <x:c r="D807" t="str">
        <x:v>event execution</x:v>
      </x:c>
      <x:c r="E807" t="str">
        <x:v>RFA-E094</x:v>
      </x:c>
      <x:c r="F807" t="n">
        <x:f>IF('Event Register'!M100&lt;&gt;"",1,0)</x:f>
        <x:v>0</x:v>
      </x:c>
      <x:c r="G807" t="n">
        <x:v>1</x:v>
      </x:c>
      <x:c r="H807" t="str">
        <x:v>equals</x:v>
      </x:c>
      <x:c r="I807" t="str">
        <x:v>independent acceptance</x:v>
      </x:c>
      <x:c r="J807" t="str">
        <x:f>IF(F807=1,"PASS","OPEN")</x:f>
        <x:v>OPEN</x:v>
      </x:c>
    </x:row>
    <x:row r="808">
      <x:c r="B808" t="str">
        <x:v>PHY-VA-094</x:v>
      </x:c>
      <x:c r="C808" t="str">
        <x:v>PHYSICAL</x:v>
      </x:c>
      <x:c r="D808" t="str">
        <x:v>event validity</x:v>
      </x:c>
      <x:c r="E808" t="str">
        <x:v>RFA-E094</x:v>
      </x:c>
      <x:c r="F808" t="n">
        <x:f>'Event Estimator'!L100</x:f>
        <x:v>0</x:v>
      </x:c>
      <x:c r="G808" t="n">
        <x:v>1</x:v>
      </x:c>
      <x:c r="H808" t="str">
        <x:v>equals</x:v>
      </x:c>
      <x:c r="I808" t="str">
        <x:v>independent acceptance</x:v>
      </x:c>
      <x:c r="J808" t="str">
        <x:f>IF(F808=1,"PASS","OPEN")</x:f>
        <x:v>OPEN</x:v>
      </x:c>
    </x:row>
    <x:row r="809">
      <x:c r="B809" t="str">
        <x:v>PHY-OC-094</x:v>
      </x:c>
      <x:c r="C809" t="str">
        <x:v>PHYSICAL</x:v>
      </x:c>
      <x:c r="D809" t="str">
        <x:v>event outcome</x:v>
      </x:c>
      <x:c r="E809" t="str">
        <x:v>RFA-E094</x:v>
      </x:c>
      <x:c r="F809" t="n">
        <x:f>IF('Event Estimator'!M100&lt;&gt;"",1,0)</x:f>
        <x:v>0</x:v>
      </x:c>
      <x:c r="G809" t="n">
        <x:v>1</x:v>
      </x:c>
      <x:c r="H809" t="str">
        <x:v>equals</x:v>
      </x:c>
      <x:c r="I809" t="str">
        <x:v>independent acceptance</x:v>
      </x:c>
      <x:c r="J809" t="str">
        <x:f>IF(F809=1,"PASS","OPEN")</x:f>
        <x:v>OPEN</x:v>
      </x:c>
    </x:row>
    <x:row r="810">
      <x:c r="B810" t="str">
        <x:v>PHY-EX-095</x:v>
      </x:c>
      <x:c r="C810" t="str">
        <x:v>PHYSICAL</x:v>
      </x:c>
      <x:c r="D810" t="str">
        <x:v>event execution</x:v>
      </x:c>
      <x:c r="E810" t="str">
        <x:v>RFA-E095</x:v>
      </x:c>
      <x:c r="F810" t="n">
        <x:f>IF('Event Register'!M101&lt;&gt;"",1,0)</x:f>
        <x:v>0</x:v>
      </x:c>
      <x:c r="G810" t="n">
        <x:v>1</x:v>
      </x:c>
      <x:c r="H810" t="str">
        <x:v>equals</x:v>
      </x:c>
      <x:c r="I810" t="str">
        <x:v>independent acceptance</x:v>
      </x:c>
      <x:c r="J810" t="str">
        <x:f>IF(F810=1,"PASS","OPEN")</x:f>
        <x:v>OPEN</x:v>
      </x:c>
    </x:row>
    <x:row r="811">
      <x:c r="B811" t="str">
        <x:v>PHY-VA-095</x:v>
      </x:c>
      <x:c r="C811" t="str">
        <x:v>PHYSICAL</x:v>
      </x:c>
      <x:c r="D811" t="str">
        <x:v>event validity</x:v>
      </x:c>
      <x:c r="E811" t="str">
        <x:v>RFA-E095</x:v>
      </x:c>
      <x:c r="F811" t="n">
        <x:f>'Event Estimator'!L101</x:f>
        <x:v>0</x:v>
      </x:c>
      <x:c r="G811" t="n">
        <x:v>1</x:v>
      </x:c>
      <x:c r="H811" t="str">
        <x:v>equals</x:v>
      </x:c>
      <x:c r="I811" t="str">
        <x:v>independent acceptance</x:v>
      </x:c>
      <x:c r="J811" t="str">
        <x:f>IF(F811=1,"PASS","OPEN")</x:f>
        <x:v>OPEN</x:v>
      </x:c>
    </x:row>
    <x:row r="812">
      <x:c r="B812" t="str">
        <x:v>PHY-OC-095</x:v>
      </x:c>
      <x:c r="C812" t="str">
        <x:v>PHYSICAL</x:v>
      </x:c>
      <x:c r="D812" t="str">
        <x:v>event outcome</x:v>
      </x:c>
      <x:c r="E812" t="str">
        <x:v>RFA-E095</x:v>
      </x:c>
      <x:c r="F812" t="n">
        <x:f>IF('Event Estimator'!M101&lt;&gt;"",1,0)</x:f>
        <x:v>0</x:v>
      </x:c>
      <x:c r="G812" t="n">
        <x:v>1</x:v>
      </x:c>
      <x:c r="H812" t="str">
        <x:v>equals</x:v>
      </x:c>
      <x:c r="I812" t="str">
        <x:v>independent acceptance</x:v>
      </x:c>
      <x:c r="J812" t="str">
        <x:f>IF(F812=1,"PASS","OPEN")</x:f>
        <x:v>OPEN</x:v>
      </x:c>
    </x:row>
    <x:row r="813">
      <x:c r="B813" t="str">
        <x:v>PHY-EX-096</x:v>
      </x:c>
      <x:c r="C813" t="str">
        <x:v>PHYSICAL</x:v>
      </x:c>
      <x:c r="D813" t="str">
        <x:v>event execution</x:v>
      </x:c>
      <x:c r="E813" t="str">
        <x:v>RFA-E096</x:v>
      </x:c>
      <x:c r="F813" t="n">
        <x:f>IF('Event Register'!M102&lt;&gt;"",1,0)</x:f>
        <x:v>0</x:v>
      </x:c>
      <x:c r="G813" t="n">
        <x:v>1</x:v>
      </x:c>
      <x:c r="H813" t="str">
        <x:v>equals</x:v>
      </x:c>
      <x:c r="I813" t="str">
        <x:v>independent acceptance</x:v>
      </x:c>
      <x:c r="J813" t="str">
        <x:f>IF(F813=1,"PASS","OPEN")</x:f>
        <x:v>OPEN</x:v>
      </x:c>
    </x:row>
    <x:row r="814">
      <x:c r="B814" t="str">
        <x:v>PHY-VA-096</x:v>
      </x:c>
      <x:c r="C814" t="str">
        <x:v>PHYSICAL</x:v>
      </x:c>
      <x:c r="D814" t="str">
        <x:v>event validity</x:v>
      </x:c>
      <x:c r="E814" t="str">
        <x:v>RFA-E096</x:v>
      </x:c>
      <x:c r="F814" t="n">
        <x:f>'Event Estimator'!L102</x:f>
        <x:v>0</x:v>
      </x:c>
      <x:c r="G814" t="n">
        <x:v>1</x:v>
      </x:c>
      <x:c r="H814" t="str">
        <x:v>equals</x:v>
      </x:c>
      <x:c r="I814" t="str">
        <x:v>independent acceptance</x:v>
      </x:c>
      <x:c r="J814" t="str">
        <x:f>IF(F814=1,"PASS","OPEN")</x:f>
        <x:v>OPEN</x:v>
      </x:c>
    </x:row>
    <x:row r="815">
      <x:c r="B815" t="str">
        <x:v>PHY-OC-096</x:v>
      </x:c>
      <x:c r="C815" t="str">
        <x:v>PHYSICAL</x:v>
      </x:c>
      <x:c r="D815" t="str">
        <x:v>event outcome</x:v>
      </x:c>
      <x:c r="E815" t="str">
        <x:v>RFA-E096</x:v>
      </x:c>
      <x:c r="F815" t="n">
        <x:f>IF('Event Estimator'!M102&lt;&gt;"",1,0)</x:f>
        <x:v>0</x:v>
      </x:c>
      <x:c r="G815" t="n">
        <x:v>1</x:v>
      </x:c>
      <x:c r="H815" t="str">
        <x:v>equals</x:v>
      </x:c>
      <x:c r="I815" t="str">
        <x:v>independent acceptance</x:v>
      </x:c>
      <x:c r="J815" t="str">
        <x:f>IF(F815=1,"PASS","OPEN")</x:f>
        <x:v>OPEN</x:v>
      </x:c>
    </x:row>
    <x:row r="816">
      <x:c r="B816" t="str">
        <x:v>PHY-EX-097</x:v>
      </x:c>
      <x:c r="C816" t="str">
        <x:v>PHYSICAL</x:v>
      </x:c>
      <x:c r="D816" t="str">
        <x:v>event execution</x:v>
      </x:c>
      <x:c r="E816" t="str">
        <x:v>RFA-E097</x:v>
      </x:c>
      <x:c r="F816" t="n">
        <x:f>IF('Event Register'!M103&lt;&gt;"",1,0)</x:f>
        <x:v>0</x:v>
      </x:c>
      <x:c r="G816" t="n">
        <x:v>1</x:v>
      </x:c>
      <x:c r="H816" t="str">
        <x:v>equals</x:v>
      </x:c>
      <x:c r="I816" t="str">
        <x:v>independent acceptance</x:v>
      </x:c>
      <x:c r="J816" t="str">
        <x:f>IF(F816=1,"PASS","OPEN")</x:f>
        <x:v>OPEN</x:v>
      </x:c>
    </x:row>
    <x:row r="817">
      <x:c r="B817" t="str">
        <x:v>PHY-VA-097</x:v>
      </x:c>
      <x:c r="C817" t="str">
        <x:v>PHYSICAL</x:v>
      </x:c>
      <x:c r="D817" t="str">
        <x:v>event validity</x:v>
      </x:c>
      <x:c r="E817" t="str">
        <x:v>RFA-E097</x:v>
      </x:c>
      <x:c r="F817" t="n">
        <x:f>'Event Estimator'!L103</x:f>
        <x:v>0</x:v>
      </x:c>
      <x:c r="G817" t="n">
        <x:v>1</x:v>
      </x:c>
      <x:c r="H817" t="str">
        <x:v>equals</x:v>
      </x:c>
      <x:c r="I817" t="str">
        <x:v>independent acceptance</x:v>
      </x:c>
      <x:c r="J817" t="str">
        <x:f>IF(F817=1,"PASS","OPEN")</x:f>
        <x:v>OPEN</x:v>
      </x:c>
    </x:row>
    <x:row r="818">
      <x:c r="B818" t="str">
        <x:v>PHY-OC-097</x:v>
      </x:c>
      <x:c r="C818" t="str">
        <x:v>PHYSICAL</x:v>
      </x:c>
      <x:c r="D818" t="str">
        <x:v>event outcome</x:v>
      </x:c>
      <x:c r="E818" t="str">
        <x:v>RFA-E097</x:v>
      </x:c>
      <x:c r="F818" t="n">
        <x:f>IF('Event Estimator'!M103&lt;&gt;"",1,0)</x:f>
        <x:v>0</x:v>
      </x:c>
      <x:c r="G818" t="n">
        <x:v>1</x:v>
      </x:c>
      <x:c r="H818" t="str">
        <x:v>equals</x:v>
      </x:c>
      <x:c r="I818" t="str">
        <x:v>independent acceptance</x:v>
      </x:c>
      <x:c r="J818" t="str">
        <x:f>IF(F818=1,"PASS","OPEN")</x:f>
        <x:v>OPEN</x:v>
      </x:c>
    </x:row>
    <x:row r="819">
      <x:c r="B819" t="str">
        <x:v>PHY-EX-098</x:v>
      </x:c>
      <x:c r="C819" t="str">
        <x:v>PHYSICAL</x:v>
      </x:c>
      <x:c r="D819" t="str">
        <x:v>event execution</x:v>
      </x:c>
      <x:c r="E819" t="str">
        <x:v>RFA-E098</x:v>
      </x:c>
      <x:c r="F819" t="n">
        <x:f>IF('Event Register'!M104&lt;&gt;"",1,0)</x:f>
        <x:v>0</x:v>
      </x:c>
      <x:c r="G819" t="n">
        <x:v>1</x:v>
      </x:c>
      <x:c r="H819" t="str">
        <x:v>equals</x:v>
      </x:c>
      <x:c r="I819" t="str">
        <x:v>independent acceptance</x:v>
      </x:c>
      <x:c r="J819" t="str">
        <x:f>IF(F819=1,"PASS","OPEN")</x:f>
        <x:v>OPEN</x:v>
      </x:c>
    </x:row>
    <x:row r="820">
      <x:c r="B820" t="str">
        <x:v>PHY-VA-098</x:v>
      </x:c>
      <x:c r="C820" t="str">
        <x:v>PHYSICAL</x:v>
      </x:c>
      <x:c r="D820" t="str">
        <x:v>event validity</x:v>
      </x:c>
      <x:c r="E820" t="str">
        <x:v>RFA-E098</x:v>
      </x:c>
      <x:c r="F820" t="n">
        <x:f>'Event Estimator'!L104</x:f>
        <x:v>0</x:v>
      </x:c>
      <x:c r="G820" t="n">
        <x:v>1</x:v>
      </x:c>
      <x:c r="H820" t="str">
        <x:v>equals</x:v>
      </x:c>
      <x:c r="I820" t="str">
        <x:v>independent acceptance</x:v>
      </x:c>
      <x:c r="J820" t="str">
        <x:f>IF(F820=1,"PASS","OPEN")</x:f>
        <x:v>OPEN</x:v>
      </x:c>
    </x:row>
    <x:row r="821">
      <x:c r="B821" t="str">
        <x:v>PHY-OC-098</x:v>
      </x:c>
      <x:c r="C821" t="str">
        <x:v>PHYSICAL</x:v>
      </x:c>
      <x:c r="D821" t="str">
        <x:v>event outcome</x:v>
      </x:c>
      <x:c r="E821" t="str">
        <x:v>RFA-E098</x:v>
      </x:c>
      <x:c r="F821" t="n">
        <x:f>IF('Event Estimator'!M104&lt;&gt;"",1,0)</x:f>
        <x:v>0</x:v>
      </x:c>
      <x:c r="G821" t="n">
        <x:v>1</x:v>
      </x:c>
      <x:c r="H821" t="str">
        <x:v>equals</x:v>
      </x:c>
      <x:c r="I821" t="str">
        <x:v>independent acceptance</x:v>
      </x:c>
      <x:c r="J821" t="str">
        <x:f>IF(F821=1,"PASS","OPEN")</x:f>
        <x:v>OPEN</x:v>
      </x:c>
    </x:row>
    <x:row r="822">
      <x:c r="B822" t="str">
        <x:v>PHY-EX-099</x:v>
      </x:c>
      <x:c r="C822" t="str">
        <x:v>PHYSICAL</x:v>
      </x:c>
      <x:c r="D822" t="str">
        <x:v>event execution</x:v>
      </x:c>
      <x:c r="E822" t="str">
        <x:v>RFA-E099</x:v>
      </x:c>
      <x:c r="F822" t="n">
        <x:f>IF('Event Register'!M105&lt;&gt;"",1,0)</x:f>
        <x:v>0</x:v>
      </x:c>
      <x:c r="G822" t="n">
        <x:v>1</x:v>
      </x:c>
      <x:c r="H822" t="str">
        <x:v>equals</x:v>
      </x:c>
      <x:c r="I822" t="str">
        <x:v>independent acceptance</x:v>
      </x:c>
      <x:c r="J822" t="str">
        <x:f>IF(F822=1,"PASS","OPEN")</x:f>
        <x:v>OPEN</x:v>
      </x:c>
    </x:row>
    <x:row r="823">
      <x:c r="B823" t="str">
        <x:v>PHY-VA-099</x:v>
      </x:c>
      <x:c r="C823" t="str">
        <x:v>PHYSICAL</x:v>
      </x:c>
      <x:c r="D823" t="str">
        <x:v>event validity</x:v>
      </x:c>
      <x:c r="E823" t="str">
        <x:v>RFA-E099</x:v>
      </x:c>
      <x:c r="F823" t="n">
        <x:f>'Event Estimator'!L105</x:f>
        <x:v>0</x:v>
      </x:c>
      <x:c r="G823" t="n">
        <x:v>1</x:v>
      </x:c>
      <x:c r="H823" t="str">
        <x:v>equals</x:v>
      </x:c>
      <x:c r="I823" t="str">
        <x:v>independent acceptance</x:v>
      </x:c>
      <x:c r="J823" t="str">
        <x:f>IF(F823=1,"PASS","OPEN")</x:f>
        <x:v>OPEN</x:v>
      </x:c>
    </x:row>
    <x:row r="824">
      <x:c r="B824" t="str">
        <x:v>PHY-OC-099</x:v>
      </x:c>
      <x:c r="C824" t="str">
        <x:v>PHYSICAL</x:v>
      </x:c>
      <x:c r="D824" t="str">
        <x:v>event outcome</x:v>
      </x:c>
      <x:c r="E824" t="str">
        <x:v>RFA-E099</x:v>
      </x:c>
      <x:c r="F824" t="n">
        <x:f>IF('Event Estimator'!M105&lt;&gt;"",1,0)</x:f>
        <x:v>0</x:v>
      </x:c>
      <x:c r="G824" t="n">
        <x:v>1</x:v>
      </x:c>
      <x:c r="H824" t="str">
        <x:v>equals</x:v>
      </x:c>
      <x:c r="I824" t="str">
        <x:v>independent acceptance</x:v>
      </x:c>
      <x:c r="J824" t="str">
        <x:f>IF(F824=1,"PASS","OPEN")</x:f>
        <x:v>OPEN</x:v>
      </x:c>
    </x:row>
    <x:row r="825">
      <x:c r="B825" t="str">
        <x:v>PHY-EX-100</x:v>
      </x:c>
      <x:c r="C825" t="str">
        <x:v>PHYSICAL</x:v>
      </x:c>
      <x:c r="D825" t="str">
        <x:v>event execution</x:v>
      </x:c>
      <x:c r="E825" t="str">
        <x:v>RFA-E100</x:v>
      </x:c>
      <x:c r="F825" t="n">
        <x:f>IF('Event Register'!M106&lt;&gt;"",1,0)</x:f>
        <x:v>0</x:v>
      </x:c>
      <x:c r="G825" t="n">
        <x:v>1</x:v>
      </x:c>
      <x:c r="H825" t="str">
        <x:v>equals</x:v>
      </x:c>
      <x:c r="I825" t="str">
        <x:v>independent acceptance</x:v>
      </x:c>
      <x:c r="J825" t="str">
        <x:f>IF(F825=1,"PASS","OPEN")</x:f>
        <x:v>OPEN</x:v>
      </x:c>
    </x:row>
    <x:row r="826">
      <x:c r="B826" t="str">
        <x:v>PHY-VA-100</x:v>
      </x:c>
      <x:c r="C826" t="str">
        <x:v>PHYSICAL</x:v>
      </x:c>
      <x:c r="D826" t="str">
        <x:v>event validity</x:v>
      </x:c>
      <x:c r="E826" t="str">
        <x:v>RFA-E100</x:v>
      </x:c>
      <x:c r="F826" t="n">
        <x:f>'Event Estimator'!L106</x:f>
        <x:v>0</x:v>
      </x:c>
      <x:c r="G826" t="n">
        <x:v>1</x:v>
      </x:c>
      <x:c r="H826" t="str">
        <x:v>equals</x:v>
      </x:c>
      <x:c r="I826" t="str">
        <x:v>independent acceptance</x:v>
      </x:c>
      <x:c r="J826" t="str">
        <x:f>IF(F826=1,"PASS","OPEN")</x:f>
        <x:v>OPEN</x:v>
      </x:c>
    </x:row>
    <x:row r="827">
      <x:c r="B827" t="str">
        <x:v>PHY-OC-100</x:v>
      </x:c>
      <x:c r="C827" t="str">
        <x:v>PHYSICAL</x:v>
      </x:c>
      <x:c r="D827" t="str">
        <x:v>event outcome</x:v>
      </x:c>
      <x:c r="E827" t="str">
        <x:v>RFA-E100</x:v>
      </x:c>
      <x:c r="F827" t="n">
        <x:f>IF('Event Estimator'!M106&lt;&gt;"",1,0)</x:f>
        <x:v>0</x:v>
      </x:c>
      <x:c r="G827" t="n">
        <x:v>1</x:v>
      </x:c>
      <x:c r="H827" t="str">
        <x:v>equals</x:v>
      </x:c>
      <x:c r="I827" t="str">
        <x:v>independent acceptance</x:v>
      </x:c>
      <x:c r="J827" t="str">
        <x:f>IF(F827=1,"PASS","OPEN")</x:f>
        <x:v>OPEN</x:v>
      </x:c>
    </x:row>
    <x:row r="828">
      <x:c r="B828" t="str">
        <x:v>PHY-EX-101</x:v>
      </x:c>
      <x:c r="C828" t="str">
        <x:v>PHYSICAL</x:v>
      </x:c>
      <x:c r="D828" t="str">
        <x:v>event execution</x:v>
      </x:c>
      <x:c r="E828" t="str">
        <x:v>RFA-E101</x:v>
      </x:c>
      <x:c r="F828" t="n">
        <x:f>IF('Event Register'!M107&lt;&gt;"",1,0)</x:f>
        <x:v>0</x:v>
      </x:c>
      <x:c r="G828" t="n">
        <x:v>1</x:v>
      </x:c>
      <x:c r="H828" t="str">
        <x:v>equals</x:v>
      </x:c>
      <x:c r="I828" t="str">
        <x:v>independent acceptance</x:v>
      </x:c>
      <x:c r="J828" t="str">
        <x:f>IF(F828=1,"PASS","OPEN")</x:f>
        <x:v>OPEN</x:v>
      </x:c>
    </x:row>
    <x:row r="829">
      <x:c r="B829" t="str">
        <x:v>PHY-VA-101</x:v>
      </x:c>
      <x:c r="C829" t="str">
        <x:v>PHYSICAL</x:v>
      </x:c>
      <x:c r="D829" t="str">
        <x:v>event validity</x:v>
      </x:c>
      <x:c r="E829" t="str">
        <x:v>RFA-E101</x:v>
      </x:c>
      <x:c r="F829" t="n">
        <x:f>'Event Estimator'!L107</x:f>
        <x:v>0</x:v>
      </x:c>
      <x:c r="G829" t="n">
        <x:v>1</x:v>
      </x:c>
      <x:c r="H829" t="str">
        <x:v>equals</x:v>
      </x:c>
      <x:c r="I829" t="str">
        <x:v>independent acceptance</x:v>
      </x:c>
      <x:c r="J829" t="str">
        <x:f>IF(F829=1,"PASS","OPEN")</x:f>
        <x:v>OPEN</x:v>
      </x:c>
    </x:row>
    <x:row r="830">
      <x:c r="B830" t="str">
        <x:v>PHY-OC-101</x:v>
      </x:c>
      <x:c r="C830" t="str">
        <x:v>PHYSICAL</x:v>
      </x:c>
      <x:c r="D830" t="str">
        <x:v>event outcome</x:v>
      </x:c>
      <x:c r="E830" t="str">
        <x:v>RFA-E101</x:v>
      </x:c>
      <x:c r="F830" t="n">
        <x:f>IF('Event Estimator'!M107&lt;&gt;"",1,0)</x:f>
        <x:v>0</x:v>
      </x:c>
      <x:c r="G830" t="n">
        <x:v>1</x:v>
      </x:c>
      <x:c r="H830" t="str">
        <x:v>equals</x:v>
      </x:c>
      <x:c r="I830" t="str">
        <x:v>independent acceptance</x:v>
      </x:c>
      <x:c r="J830" t="str">
        <x:f>IF(F830=1,"PASS","OPEN")</x:f>
        <x:v>OPEN</x:v>
      </x:c>
    </x:row>
    <x:row r="831">
      <x:c r="B831" t="str">
        <x:v>PHY-EX-102</x:v>
      </x:c>
      <x:c r="C831" t="str">
        <x:v>PHYSICAL</x:v>
      </x:c>
      <x:c r="D831" t="str">
        <x:v>event execution</x:v>
      </x:c>
      <x:c r="E831" t="str">
        <x:v>RFA-E102</x:v>
      </x:c>
      <x:c r="F831" t="n">
        <x:f>IF('Event Register'!M108&lt;&gt;"",1,0)</x:f>
        <x:v>0</x:v>
      </x:c>
      <x:c r="G831" t="n">
        <x:v>1</x:v>
      </x:c>
      <x:c r="H831" t="str">
        <x:v>equals</x:v>
      </x:c>
      <x:c r="I831" t="str">
        <x:v>independent acceptance</x:v>
      </x:c>
      <x:c r="J831" t="str">
        <x:f>IF(F831=1,"PASS","OPEN")</x:f>
        <x:v>OPEN</x:v>
      </x:c>
    </x:row>
    <x:row r="832">
      <x:c r="B832" t="str">
        <x:v>PHY-VA-102</x:v>
      </x:c>
      <x:c r="C832" t="str">
        <x:v>PHYSICAL</x:v>
      </x:c>
      <x:c r="D832" t="str">
        <x:v>event validity</x:v>
      </x:c>
      <x:c r="E832" t="str">
        <x:v>RFA-E102</x:v>
      </x:c>
      <x:c r="F832" t="n">
        <x:f>'Event Estimator'!L108</x:f>
        <x:v>0</x:v>
      </x:c>
      <x:c r="G832" t="n">
        <x:v>1</x:v>
      </x:c>
      <x:c r="H832" t="str">
        <x:v>equals</x:v>
      </x:c>
      <x:c r="I832" t="str">
        <x:v>independent acceptance</x:v>
      </x:c>
      <x:c r="J832" t="str">
        <x:f>IF(F832=1,"PASS","OPEN")</x:f>
        <x:v>OPEN</x:v>
      </x:c>
    </x:row>
    <x:row r="833">
      <x:c r="B833" t="str">
        <x:v>PHY-OC-102</x:v>
      </x:c>
      <x:c r="C833" t="str">
        <x:v>PHYSICAL</x:v>
      </x:c>
      <x:c r="D833" t="str">
        <x:v>event outcome</x:v>
      </x:c>
      <x:c r="E833" t="str">
        <x:v>RFA-E102</x:v>
      </x:c>
      <x:c r="F833" t="n">
        <x:f>IF('Event Estimator'!M108&lt;&gt;"",1,0)</x:f>
        <x:v>0</x:v>
      </x:c>
      <x:c r="G833" t="n">
        <x:v>1</x:v>
      </x:c>
      <x:c r="H833" t="str">
        <x:v>equals</x:v>
      </x:c>
      <x:c r="I833" t="str">
        <x:v>independent acceptance</x:v>
      </x:c>
      <x:c r="J833" t="str">
        <x:f>IF(F833=1,"PASS","OPEN")</x:f>
        <x:v>OPEN</x:v>
      </x:c>
    </x:row>
    <x:row r="834">
      <x:c r="B834" t="str">
        <x:v>PHY-EX-103</x:v>
      </x:c>
      <x:c r="C834" t="str">
        <x:v>PHYSICAL</x:v>
      </x:c>
      <x:c r="D834" t="str">
        <x:v>event execution</x:v>
      </x:c>
      <x:c r="E834" t="str">
        <x:v>RFA-E103</x:v>
      </x:c>
      <x:c r="F834" t="n">
        <x:f>IF('Event Register'!M109&lt;&gt;"",1,0)</x:f>
        <x:v>0</x:v>
      </x:c>
      <x:c r="G834" t="n">
        <x:v>1</x:v>
      </x:c>
      <x:c r="H834" t="str">
        <x:v>equals</x:v>
      </x:c>
      <x:c r="I834" t="str">
        <x:v>independent acceptance</x:v>
      </x:c>
      <x:c r="J834" t="str">
        <x:f>IF(F834=1,"PASS","OPEN")</x:f>
        <x:v>OPEN</x:v>
      </x:c>
    </x:row>
    <x:row r="835">
      <x:c r="B835" t="str">
        <x:v>PHY-VA-103</x:v>
      </x:c>
      <x:c r="C835" t="str">
        <x:v>PHYSICAL</x:v>
      </x:c>
      <x:c r="D835" t="str">
        <x:v>event validity</x:v>
      </x:c>
      <x:c r="E835" t="str">
        <x:v>RFA-E103</x:v>
      </x:c>
      <x:c r="F835" t="n">
        <x:f>'Event Estimator'!L109</x:f>
        <x:v>0</x:v>
      </x:c>
      <x:c r="G835" t="n">
        <x:v>1</x:v>
      </x:c>
      <x:c r="H835" t="str">
        <x:v>equals</x:v>
      </x:c>
      <x:c r="I835" t="str">
        <x:v>independent acceptance</x:v>
      </x:c>
      <x:c r="J835" t="str">
        <x:f>IF(F835=1,"PASS","OPEN")</x:f>
        <x:v>OPEN</x:v>
      </x:c>
    </x:row>
    <x:row r="836">
      <x:c r="B836" t="str">
        <x:v>PHY-OC-103</x:v>
      </x:c>
      <x:c r="C836" t="str">
        <x:v>PHYSICAL</x:v>
      </x:c>
      <x:c r="D836" t="str">
        <x:v>event outcome</x:v>
      </x:c>
      <x:c r="E836" t="str">
        <x:v>RFA-E103</x:v>
      </x:c>
      <x:c r="F836" t="n">
        <x:f>IF('Event Estimator'!M109&lt;&gt;"",1,0)</x:f>
        <x:v>0</x:v>
      </x:c>
      <x:c r="G836" t="n">
        <x:v>1</x:v>
      </x:c>
      <x:c r="H836" t="str">
        <x:v>equals</x:v>
      </x:c>
      <x:c r="I836" t="str">
        <x:v>independent acceptance</x:v>
      </x:c>
      <x:c r="J836" t="str">
        <x:f>IF(F836=1,"PASS","OPEN")</x:f>
        <x:v>OPEN</x:v>
      </x:c>
    </x:row>
    <x:row r="837">
      <x:c r="B837" t="str">
        <x:v>PHY-EX-104</x:v>
      </x:c>
      <x:c r="C837" t="str">
        <x:v>PHYSICAL</x:v>
      </x:c>
      <x:c r="D837" t="str">
        <x:v>event execution</x:v>
      </x:c>
      <x:c r="E837" t="str">
        <x:v>RFA-E104</x:v>
      </x:c>
      <x:c r="F837" t="n">
        <x:f>IF('Event Register'!M110&lt;&gt;"",1,0)</x:f>
        <x:v>0</x:v>
      </x:c>
      <x:c r="G837" t="n">
        <x:v>1</x:v>
      </x:c>
      <x:c r="H837" t="str">
        <x:v>equals</x:v>
      </x:c>
      <x:c r="I837" t="str">
        <x:v>independent acceptance</x:v>
      </x:c>
      <x:c r="J837" t="str">
        <x:f>IF(F837=1,"PASS","OPEN")</x:f>
        <x:v>OPEN</x:v>
      </x:c>
    </x:row>
    <x:row r="838">
      <x:c r="B838" t="str">
        <x:v>PHY-VA-104</x:v>
      </x:c>
      <x:c r="C838" t="str">
        <x:v>PHYSICAL</x:v>
      </x:c>
      <x:c r="D838" t="str">
        <x:v>event validity</x:v>
      </x:c>
      <x:c r="E838" t="str">
        <x:v>RFA-E104</x:v>
      </x:c>
      <x:c r="F838" t="n">
        <x:f>'Event Estimator'!L110</x:f>
        <x:v>0</x:v>
      </x:c>
      <x:c r="G838" t="n">
        <x:v>1</x:v>
      </x:c>
      <x:c r="H838" t="str">
        <x:v>equals</x:v>
      </x:c>
      <x:c r="I838" t="str">
        <x:v>independent acceptance</x:v>
      </x:c>
      <x:c r="J838" t="str">
        <x:f>IF(F838=1,"PASS","OPEN")</x:f>
        <x:v>OPEN</x:v>
      </x:c>
    </x:row>
    <x:row r="839">
      <x:c r="B839" t="str">
        <x:v>PHY-OC-104</x:v>
      </x:c>
      <x:c r="C839" t="str">
        <x:v>PHYSICAL</x:v>
      </x:c>
      <x:c r="D839" t="str">
        <x:v>event outcome</x:v>
      </x:c>
      <x:c r="E839" t="str">
        <x:v>RFA-E104</x:v>
      </x:c>
      <x:c r="F839" t="n">
        <x:f>IF('Event Estimator'!M110&lt;&gt;"",1,0)</x:f>
        <x:v>0</x:v>
      </x:c>
      <x:c r="G839" t="n">
        <x:v>1</x:v>
      </x:c>
      <x:c r="H839" t="str">
        <x:v>equals</x:v>
      </x:c>
      <x:c r="I839" t="str">
        <x:v>independent acceptance</x:v>
      </x:c>
      <x:c r="J839" t="str">
        <x:f>IF(F839=1,"PASS","OPEN")</x:f>
        <x:v>OPEN</x:v>
      </x:c>
    </x:row>
    <x:row r="840">
      <x:c r="B840" t="str">
        <x:v>PHY-EX-105</x:v>
      </x:c>
      <x:c r="C840" t="str">
        <x:v>PHYSICAL</x:v>
      </x:c>
      <x:c r="D840" t="str">
        <x:v>event execution</x:v>
      </x:c>
      <x:c r="E840" t="str">
        <x:v>RFA-E105</x:v>
      </x:c>
      <x:c r="F840" t="n">
        <x:f>IF('Event Register'!M111&lt;&gt;"",1,0)</x:f>
        <x:v>0</x:v>
      </x:c>
      <x:c r="G840" t="n">
        <x:v>1</x:v>
      </x:c>
      <x:c r="H840" t="str">
        <x:v>equals</x:v>
      </x:c>
      <x:c r="I840" t="str">
        <x:v>independent acceptance</x:v>
      </x:c>
      <x:c r="J840" t="str">
        <x:f>IF(F840=1,"PASS","OPEN")</x:f>
        <x:v>OPEN</x:v>
      </x:c>
    </x:row>
    <x:row r="841">
      <x:c r="B841" t="str">
        <x:v>PHY-VA-105</x:v>
      </x:c>
      <x:c r="C841" t="str">
        <x:v>PHYSICAL</x:v>
      </x:c>
      <x:c r="D841" t="str">
        <x:v>event validity</x:v>
      </x:c>
      <x:c r="E841" t="str">
        <x:v>RFA-E105</x:v>
      </x:c>
      <x:c r="F841" t="n">
        <x:f>'Event Estimator'!L111</x:f>
        <x:v>0</x:v>
      </x:c>
      <x:c r="G841" t="n">
        <x:v>1</x:v>
      </x:c>
      <x:c r="H841" t="str">
        <x:v>equals</x:v>
      </x:c>
      <x:c r="I841" t="str">
        <x:v>independent acceptance</x:v>
      </x:c>
      <x:c r="J841" t="str">
        <x:f>IF(F841=1,"PASS","OPEN")</x:f>
        <x:v>OPEN</x:v>
      </x:c>
    </x:row>
    <x:row r="842">
      <x:c r="B842" t="str">
        <x:v>PHY-OC-105</x:v>
      </x:c>
      <x:c r="C842" t="str">
        <x:v>PHYSICAL</x:v>
      </x:c>
      <x:c r="D842" t="str">
        <x:v>event outcome</x:v>
      </x:c>
      <x:c r="E842" t="str">
        <x:v>RFA-E105</x:v>
      </x:c>
      <x:c r="F842" t="n">
        <x:f>IF('Event Estimator'!M111&lt;&gt;"",1,0)</x:f>
        <x:v>0</x:v>
      </x:c>
      <x:c r="G842" t="n">
        <x:v>1</x:v>
      </x:c>
      <x:c r="H842" t="str">
        <x:v>equals</x:v>
      </x:c>
      <x:c r="I842" t="str">
        <x:v>independent acceptance</x:v>
      </x:c>
      <x:c r="J842" t="str">
        <x:f>IF(F842=1,"PASS","OPEN")</x:f>
        <x:v>OPEN</x:v>
      </x:c>
    </x:row>
    <x:row r="843">
      <x:c r="B843" t="str">
        <x:v>PHY-EX-106</x:v>
      </x:c>
      <x:c r="C843" t="str">
        <x:v>PHYSICAL</x:v>
      </x:c>
      <x:c r="D843" t="str">
        <x:v>event execution</x:v>
      </x:c>
      <x:c r="E843" t="str">
        <x:v>RFA-E106</x:v>
      </x:c>
      <x:c r="F843" t="n">
        <x:f>IF('Event Register'!M112&lt;&gt;"",1,0)</x:f>
        <x:v>0</x:v>
      </x:c>
      <x:c r="G843" t="n">
        <x:v>1</x:v>
      </x:c>
      <x:c r="H843" t="str">
        <x:v>equals</x:v>
      </x:c>
      <x:c r="I843" t="str">
        <x:v>independent acceptance</x:v>
      </x:c>
      <x:c r="J843" t="str">
        <x:f>IF(F843=1,"PASS","OPEN")</x:f>
        <x:v>OPEN</x:v>
      </x:c>
    </x:row>
    <x:row r="844">
      <x:c r="B844" t="str">
        <x:v>PHY-VA-106</x:v>
      </x:c>
      <x:c r="C844" t="str">
        <x:v>PHYSICAL</x:v>
      </x:c>
      <x:c r="D844" t="str">
        <x:v>event validity</x:v>
      </x:c>
      <x:c r="E844" t="str">
        <x:v>RFA-E106</x:v>
      </x:c>
      <x:c r="F844" t="n">
        <x:f>'Event Estimator'!L112</x:f>
        <x:v>0</x:v>
      </x:c>
      <x:c r="G844" t="n">
        <x:v>1</x:v>
      </x:c>
      <x:c r="H844" t="str">
        <x:v>equals</x:v>
      </x:c>
      <x:c r="I844" t="str">
        <x:v>independent acceptance</x:v>
      </x:c>
      <x:c r="J844" t="str">
        <x:f>IF(F844=1,"PASS","OPEN")</x:f>
        <x:v>OPEN</x:v>
      </x:c>
    </x:row>
    <x:row r="845">
      <x:c r="B845" t="str">
        <x:v>PHY-OC-106</x:v>
      </x:c>
      <x:c r="C845" t="str">
        <x:v>PHYSICAL</x:v>
      </x:c>
      <x:c r="D845" t="str">
        <x:v>event outcome</x:v>
      </x:c>
      <x:c r="E845" t="str">
        <x:v>RFA-E106</x:v>
      </x:c>
      <x:c r="F845" t="n">
        <x:f>IF('Event Estimator'!M112&lt;&gt;"",1,0)</x:f>
        <x:v>0</x:v>
      </x:c>
      <x:c r="G845" t="n">
        <x:v>1</x:v>
      </x:c>
      <x:c r="H845" t="str">
        <x:v>equals</x:v>
      </x:c>
      <x:c r="I845" t="str">
        <x:v>independent acceptance</x:v>
      </x:c>
      <x:c r="J845" t="str">
        <x:f>IF(F845=1,"PASS","OPEN")</x:f>
        <x:v>OPEN</x:v>
      </x:c>
    </x:row>
    <x:row r="846">
      <x:c r="B846" t="str">
        <x:v>PHY-EX-107</x:v>
      </x:c>
      <x:c r="C846" t="str">
        <x:v>PHYSICAL</x:v>
      </x:c>
      <x:c r="D846" t="str">
        <x:v>event execution</x:v>
      </x:c>
      <x:c r="E846" t="str">
        <x:v>RFA-E107</x:v>
      </x:c>
      <x:c r="F846" t="n">
        <x:f>IF('Event Register'!M113&lt;&gt;"",1,0)</x:f>
        <x:v>0</x:v>
      </x:c>
      <x:c r="G846" t="n">
        <x:v>1</x:v>
      </x:c>
      <x:c r="H846" t="str">
        <x:v>equals</x:v>
      </x:c>
      <x:c r="I846" t="str">
        <x:v>independent acceptance</x:v>
      </x:c>
      <x:c r="J846" t="str">
        <x:f>IF(F846=1,"PASS","OPEN")</x:f>
        <x:v>OPEN</x:v>
      </x:c>
    </x:row>
    <x:row r="847">
      <x:c r="B847" t="str">
        <x:v>PHY-VA-107</x:v>
      </x:c>
      <x:c r="C847" t="str">
        <x:v>PHYSICAL</x:v>
      </x:c>
      <x:c r="D847" t="str">
        <x:v>event validity</x:v>
      </x:c>
      <x:c r="E847" t="str">
        <x:v>RFA-E107</x:v>
      </x:c>
      <x:c r="F847" t="n">
        <x:f>'Event Estimator'!L113</x:f>
        <x:v>0</x:v>
      </x:c>
      <x:c r="G847" t="n">
        <x:v>1</x:v>
      </x:c>
      <x:c r="H847" t="str">
        <x:v>equals</x:v>
      </x:c>
      <x:c r="I847" t="str">
        <x:v>independent acceptance</x:v>
      </x:c>
      <x:c r="J847" t="str">
        <x:f>IF(F847=1,"PASS","OPEN")</x:f>
        <x:v>OPEN</x:v>
      </x:c>
    </x:row>
    <x:row r="848">
      <x:c r="B848" t="str">
        <x:v>PHY-OC-107</x:v>
      </x:c>
      <x:c r="C848" t="str">
        <x:v>PHYSICAL</x:v>
      </x:c>
      <x:c r="D848" t="str">
        <x:v>event outcome</x:v>
      </x:c>
      <x:c r="E848" t="str">
        <x:v>RFA-E107</x:v>
      </x:c>
      <x:c r="F848" t="n">
        <x:f>IF('Event Estimator'!M113&lt;&gt;"",1,0)</x:f>
        <x:v>0</x:v>
      </x:c>
      <x:c r="G848" t="n">
        <x:v>1</x:v>
      </x:c>
      <x:c r="H848" t="str">
        <x:v>equals</x:v>
      </x:c>
      <x:c r="I848" t="str">
        <x:v>independent acceptance</x:v>
      </x:c>
      <x:c r="J848" t="str">
        <x:f>IF(F848=1,"PASS","OPEN")</x:f>
        <x:v>OPEN</x:v>
      </x:c>
    </x:row>
    <x:row r="849">
      <x:c r="B849" t="str">
        <x:v>PHY-EX-108</x:v>
      </x:c>
      <x:c r="C849" t="str">
        <x:v>PHYSICAL</x:v>
      </x:c>
      <x:c r="D849" t="str">
        <x:v>event execution</x:v>
      </x:c>
      <x:c r="E849" t="str">
        <x:v>RFA-E108</x:v>
      </x:c>
      <x:c r="F849" t="n">
        <x:f>IF('Event Register'!M114&lt;&gt;"",1,0)</x:f>
        <x:v>0</x:v>
      </x:c>
      <x:c r="G849" t="n">
        <x:v>1</x:v>
      </x:c>
      <x:c r="H849" t="str">
        <x:v>equals</x:v>
      </x:c>
      <x:c r="I849" t="str">
        <x:v>independent acceptance</x:v>
      </x:c>
      <x:c r="J849" t="str">
        <x:f>IF(F849=1,"PASS","OPEN")</x:f>
        <x:v>OPEN</x:v>
      </x:c>
    </x:row>
    <x:row r="850">
      <x:c r="B850" t="str">
        <x:v>PHY-VA-108</x:v>
      </x:c>
      <x:c r="C850" t="str">
        <x:v>PHYSICAL</x:v>
      </x:c>
      <x:c r="D850" t="str">
        <x:v>event validity</x:v>
      </x:c>
      <x:c r="E850" t="str">
        <x:v>RFA-E108</x:v>
      </x:c>
      <x:c r="F850" t="n">
        <x:f>'Event Estimator'!L114</x:f>
        <x:v>0</x:v>
      </x:c>
      <x:c r="G850" t="n">
        <x:v>1</x:v>
      </x:c>
      <x:c r="H850" t="str">
        <x:v>equals</x:v>
      </x:c>
      <x:c r="I850" t="str">
        <x:v>independent acceptance</x:v>
      </x:c>
      <x:c r="J850" t="str">
        <x:f>IF(F850=1,"PASS","OPEN")</x:f>
        <x:v>OPEN</x:v>
      </x:c>
    </x:row>
    <x:row r="851">
      <x:c r="B851" t="str">
        <x:v>PHY-OC-108</x:v>
      </x:c>
      <x:c r="C851" t="str">
        <x:v>PHYSICAL</x:v>
      </x:c>
      <x:c r="D851" t="str">
        <x:v>event outcome</x:v>
      </x:c>
      <x:c r="E851" t="str">
        <x:v>RFA-E108</x:v>
      </x:c>
      <x:c r="F851" t="n">
        <x:f>IF('Event Estimator'!M114&lt;&gt;"",1,0)</x:f>
        <x:v>0</x:v>
      </x:c>
      <x:c r="G851" t="n">
        <x:v>1</x:v>
      </x:c>
      <x:c r="H851" t="str">
        <x:v>equals</x:v>
      </x:c>
      <x:c r="I851" t="str">
        <x:v>independent acceptance</x:v>
      </x:c>
      <x:c r="J851" t="str">
        <x:f>IF(F851=1,"PASS","OPEN")</x:f>
        <x:v>OPEN</x:v>
      </x:c>
    </x:row>
    <x:row r="852">
      <x:c r="B852" t="str">
        <x:v>PHY-EX-109</x:v>
      </x:c>
      <x:c r="C852" t="str">
        <x:v>PHYSICAL</x:v>
      </x:c>
      <x:c r="D852" t="str">
        <x:v>event execution</x:v>
      </x:c>
      <x:c r="E852" t="str">
        <x:v>RFA-E109</x:v>
      </x:c>
      <x:c r="F852" t="n">
        <x:f>IF('Event Register'!M115&lt;&gt;"",1,0)</x:f>
        <x:v>0</x:v>
      </x:c>
      <x:c r="G852" t="n">
        <x:v>1</x:v>
      </x:c>
      <x:c r="H852" t="str">
        <x:v>equals</x:v>
      </x:c>
      <x:c r="I852" t="str">
        <x:v>independent acceptance</x:v>
      </x:c>
      <x:c r="J852" t="str">
        <x:f>IF(F852=1,"PASS","OPEN")</x:f>
        <x:v>OPEN</x:v>
      </x:c>
    </x:row>
    <x:row r="853">
      <x:c r="B853" t="str">
        <x:v>PHY-VA-109</x:v>
      </x:c>
      <x:c r="C853" t="str">
        <x:v>PHYSICAL</x:v>
      </x:c>
      <x:c r="D853" t="str">
        <x:v>event validity</x:v>
      </x:c>
      <x:c r="E853" t="str">
        <x:v>RFA-E109</x:v>
      </x:c>
      <x:c r="F853" t="n">
        <x:f>'Event Estimator'!L115</x:f>
        <x:v>0</x:v>
      </x:c>
      <x:c r="G853" t="n">
        <x:v>1</x:v>
      </x:c>
      <x:c r="H853" t="str">
        <x:v>equals</x:v>
      </x:c>
      <x:c r="I853" t="str">
        <x:v>independent acceptance</x:v>
      </x:c>
      <x:c r="J853" t="str">
        <x:f>IF(F853=1,"PASS","OPEN")</x:f>
        <x:v>OPEN</x:v>
      </x:c>
    </x:row>
    <x:row r="854">
      <x:c r="B854" t="str">
        <x:v>PHY-OC-109</x:v>
      </x:c>
      <x:c r="C854" t="str">
        <x:v>PHYSICAL</x:v>
      </x:c>
      <x:c r="D854" t="str">
        <x:v>event outcome</x:v>
      </x:c>
      <x:c r="E854" t="str">
        <x:v>RFA-E109</x:v>
      </x:c>
      <x:c r="F854" t="n">
        <x:f>IF('Event Estimator'!M115&lt;&gt;"",1,0)</x:f>
        <x:v>0</x:v>
      </x:c>
      <x:c r="G854" t="n">
        <x:v>1</x:v>
      </x:c>
      <x:c r="H854" t="str">
        <x:v>equals</x:v>
      </x:c>
      <x:c r="I854" t="str">
        <x:v>independent acceptance</x:v>
      </x:c>
      <x:c r="J854" t="str">
        <x:f>IF(F854=1,"PASS","OPEN")</x:f>
        <x:v>OPEN</x:v>
      </x:c>
    </x:row>
    <x:row r="855">
      <x:c r="B855" t="str">
        <x:v>PHY-EX-110</x:v>
      </x:c>
      <x:c r="C855" t="str">
        <x:v>PHYSICAL</x:v>
      </x:c>
      <x:c r="D855" t="str">
        <x:v>event execution</x:v>
      </x:c>
      <x:c r="E855" t="str">
        <x:v>RFA-E110</x:v>
      </x:c>
      <x:c r="F855" t="n">
        <x:f>IF('Event Register'!M116&lt;&gt;"",1,0)</x:f>
        <x:v>0</x:v>
      </x:c>
      <x:c r="G855" t="n">
        <x:v>1</x:v>
      </x:c>
      <x:c r="H855" t="str">
        <x:v>equals</x:v>
      </x:c>
      <x:c r="I855" t="str">
        <x:v>independent acceptance</x:v>
      </x:c>
      <x:c r="J855" t="str">
        <x:f>IF(F855=1,"PASS","OPEN")</x:f>
        <x:v>OPEN</x:v>
      </x:c>
    </x:row>
    <x:row r="856">
      <x:c r="B856" t="str">
        <x:v>PHY-VA-110</x:v>
      </x:c>
      <x:c r="C856" t="str">
        <x:v>PHYSICAL</x:v>
      </x:c>
      <x:c r="D856" t="str">
        <x:v>event validity</x:v>
      </x:c>
      <x:c r="E856" t="str">
        <x:v>RFA-E110</x:v>
      </x:c>
      <x:c r="F856" t="n">
        <x:f>'Event Estimator'!L116</x:f>
        <x:v>0</x:v>
      </x:c>
      <x:c r="G856" t="n">
        <x:v>1</x:v>
      </x:c>
      <x:c r="H856" t="str">
        <x:v>equals</x:v>
      </x:c>
      <x:c r="I856" t="str">
        <x:v>independent acceptance</x:v>
      </x:c>
      <x:c r="J856" t="str">
        <x:f>IF(F856=1,"PASS","OPEN")</x:f>
        <x:v>OPEN</x:v>
      </x:c>
    </x:row>
    <x:row r="857">
      <x:c r="B857" t="str">
        <x:v>PHY-OC-110</x:v>
      </x:c>
      <x:c r="C857" t="str">
        <x:v>PHYSICAL</x:v>
      </x:c>
      <x:c r="D857" t="str">
        <x:v>event outcome</x:v>
      </x:c>
      <x:c r="E857" t="str">
        <x:v>RFA-E110</x:v>
      </x:c>
      <x:c r="F857" t="n">
        <x:f>IF('Event Estimator'!M116&lt;&gt;"",1,0)</x:f>
        <x:v>0</x:v>
      </x:c>
      <x:c r="G857" t="n">
        <x:v>1</x:v>
      </x:c>
      <x:c r="H857" t="str">
        <x:v>equals</x:v>
      </x:c>
      <x:c r="I857" t="str">
        <x:v>independent acceptance</x:v>
      </x:c>
      <x:c r="J857" t="str">
        <x:f>IF(F857=1,"PASS","OPEN")</x:f>
        <x:v>OPEN</x:v>
      </x:c>
    </x:row>
    <x:row r="858">
      <x:c r="B858" t="str">
        <x:v>PHY-EX-111</x:v>
      </x:c>
      <x:c r="C858" t="str">
        <x:v>PHYSICAL</x:v>
      </x:c>
      <x:c r="D858" t="str">
        <x:v>event execution</x:v>
      </x:c>
      <x:c r="E858" t="str">
        <x:v>RFA-E111</x:v>
      </x:c>
      <x:c r="F858" t="n">
        <x:f>IF('Event Register'!M117&lt;&gt;"",1,0)</x:f>
        <x:v>0</x:v>
      </x:c>
      <x:c r="G858" t="n">
        <x:v>1</x:v>
      </x:c>
      <x:c r="H858" t="str">
        <x:v>equals</x:v>
      </x:c>
      <x:c r="I858" t="str">
        <x:v>independent acceptance</x:v>
      </x:c>
      <x:c r="J858" t="str">
        <x:f>IF(F858=1,"PASS","OPEN")</x:f>
        <x:v>OPEN</x:v>
      </x:c>
    </x:row>
    <x:row r="859">
      <x:c r="B859" t="str">
        <x:v>PHY-VA-111</x:v>
      </x:c>
      <x:c r="C859" t="str">
        <x:v>PHYSICAL</x:v>
      </x:c>
      <x:c r="D859" t="str">
        <x:v>event validity</x:v>
      </x:c>
      <x:c r="E859" t="str">
        <x:v>RFA-E111</x:v>
      </x:c>
      <x:c r="F859" t="n">
        <x:f>'Event Estimator'!L117</x:f>
        <x:v>0</x:v>
      </x:c>
      <x:c r="G859" t="n">
        <x:v>1</x:v>
      </x:c>
      <x:c r="H859" t="str">
        <x:v>equals</x:v>
      </x:c>
      <x:c r="I859" t="str">
        <x:v>independent acceptance</x:v>
      </x:c>
      <x:c r="J859" t="str">
        <x:f>IF(F859=1,"PASS","OPEN")</x:f>
        <x:v>OPEN</x:v>
      </x:c>
    </x:row>
    <x:row r="860">
      <x:c r="B860" t="str">
        <x:v>PHY-OC-111</x:v>
      </x:c>
      <x:c r="C860" t="str">
        <x:v>PHYSICAL</x:v>
      </x:c>
      <x:c r="D860" t="str">
        <x:v>event outcome</x:v>
      </x:c>
      <x:c r="E860" t="str">
        <x:v>RFA-E111</x:v>
      </x:c>
      <x:c r="F860" t="n">
        <x:f>IF('Event Estimator'!M117&lt;&gt;"",1,0)</x:f>
        <x:v>0</x:v>
      </x:c>
      <x:c r="G860" t="n">
        <x:v>1</x:v>
      </x:c>
      <x:c r="H860" t="str">
        <x:v>equals</x:v>
      </x:c>
      <x:c r="I860" t="str">
        <x:v>independent acceptance</x:v>
      </x:c>
      <x:c r="J860" t="str">
        <x:f>IF(F860=1,"PASS","OPEN")</x:f>
        <x:v>OPEN</x:v>
      </x:c>
    </x:row>
    <x:row r="861">
      <x:c r="B861" t="str">
        <x:v>PHY-EX-112</x:v>
      </x:c>
      <x:c r="C861" t="str">
        <x:v>PHYSICAL</x:v>
      </x:c>
      <x:c r="D861" t="str">
        <x:v>event execution</x:v>
      </x:c>
      <x:c r="E861" t="str">
        <x:v>RFA-E112</x:v>
      </x:c>
      <x:c r="F861" t="n">
        <x:f>IF('Event Register'!M118&lt;&gt;"",1,0)</x:f>
        <x:v>0</x:v>
      </x:c>
      <x:c r="G861" t="n">
        <x:v>1</x:v>
      </x:c>
      <x:c r="H861" t="str">
        <x:v>equals</x:v>
      </x:c>
      <x:c r="I861" t="str">
        <x:v>independent acceptance</x:v>
      </x:c>
      <x:c r="J861" t="str">
        <x:f>IF(F861=1,"PASS","OPEN")</x:f>
        <x:v>OPEN</x:v>
      </x:c>
    </x:row>
    <x:row r="862">
      <x:c r="B862" t="str">
        <x:v>PHY-VA-112</x:v>
      </x:c>
      <x:c r="C862" t="str">
        <x:v>PHYSICAL</x:v>
      </x:c>
      <x:c r="D862" t="str">
        <x:v>event validity</x:v>
      </x:c>
      <x:c r="E862" t="str">
        <x:v>RFA-E112</x:v>
      </x:c>
      <x:c r="F862" t="n">
        <x:f>'Event Estimator'!L118</x:f>
        <x:v>0</x:v>
      </x:c>
      <x:c r="G862" t="n">
        <x:v>1</x:v>
      </x:c>
      <x:c r="H862" t="str">
        <x:v>equals</x:v>
      </x:c>
      <x:c r="I862" t="str">
        <x:v>independent acceptance</x:v>
      </x:c>
      <x:c r="J862" t="str">
        <x:f>IF(F862=1,"PASS","OPEN")</x:f>
        <x:v>OPEN</x:v>
      </x:c>
    </x:row>
    <x:row r="863">
      <x:c r="B863" t="str">
        <x:v>PHY-OC-112</x:v>
      </x:c>
      <x:c r="C863" t="str">
        <x:v>PHYSICAL</x:v>
      </x:c>
      <x:c r="D863" t="str">
        <x:v>event outcome</x:v>
      </x:c>
      <x:c r="E863" t="str">
        <x:v>RFA-E112</x:v>
      </x:c>
      <x:c r="F863" t="n">
        <x:f>IF('Event Estimator'!M118&lt;&gt;"",1,0)</x:f>
        <x:v>0</x:v>
      </x:c>
      <x:c r="G863" t="n">
        <x:v>1</x:v>
      </x:c>
      <x:c r="H863" t="str">
        <x:v>equals</x:v>
      </x:c>
      <x:c r="I863" t="str">
        <x:v>independent acceptance</x:v>
      </x:c>
      <x:c r="J863" t="str">
        <x:f>IF(F863=1,"PASS","OPEN")</x:f>
        <x:v>OPEN</x:v>
      </x:c>
    </x:row>
    <x:row r="864">
      <x:c r="B864" t="str">
        <x:v>PHY-EX-113</x:v>
      </x:c>
      <x:c r="C864" t="str">
        <x:v>PHYSICAL</x:v>
      </x:c>
      <x:c r="D864" t="str">
        <x:v>event execution</x:v>
      </x:c>
      <x:c r="E864" t="str">
        <x:v>RFA-E113</x:v>
      </x:c>
      <x:c r="F864" t="n">
        <x:f>IF('Event Register'!M119&lt;&gt;"",1,0)</x:f>
        <x:v>0</x:v>
      </x:c>
      <x:c r="G864" t="n">
        <x:v>1</x:v>
      </x:c>
      <x:c r="H864" t="str">
        <x:v>equals</x:v>
      </x:c>
      <x:c r="I864" t="str">
        <x:v>independent acceptance</x:v>
      </x:c>
      <x:c r="J864" t="str">
        <x:f>IF(F864=1,"PASS","OPEN")</x:f>
        <x:v>OPEN</x:v>
      </x:c>
    </x:row>
    <x:row r="865">
      <x:c r="B865" t="str">
        <x:v>PHY-VA-113</x:v>
      </x:c>
      <x:c r="C865" t="str">
        <x:v>PHYSICAL</x:v>
      </x:c>
      <x:c r="D865" t="str">
        <x:v>event validity</x:v>
      </x:c>
      <x:c r="E865" t="str">
        <x:v>RFA-E113</x:v>
      </x:c>
      <x:c r="F865" t="n">
        <x:f>'Event Estimator'!L119</x:f>
        <x:v>0</x:v>
      </x:c>
      <x:c r="G865" t="n">
        <x:v>1</x:v>
      </x:c>
      <x:c r="H865" t="str">
        <x:v>equals</x:v>
      </x:c>
      <x:c r="I865" t="str">
        <x:v>independent acceptance</x:v>
      </x:c>
      <x:c r="J865" t="str">
        <x:f>IF(F865=1,"PASS","OPEN")</x:f>
        <x:v>OPEN</x:v>
      </x:c>
    </x:row>
    <x:row r="866">
      <x:c r="B866" t="str">
        <x:v>PHY-OC-113</x:v>
      </x:c>
      <x:c r="C866" t="str">
        <x:v>PHYSICAL</x:v>
      </x:c>
      <x:c r="D866" t="str">
        <x:v>event outcome</x:v>
      </x:c>
      <x:c r="E866" t="str">
        <x:v>RFA-E113</x:v>
      </x:c>
      <x:c r="F866" t="n">
        <x:f>IF('Event Estimator'!M119&lt;&gt;"",1,0)</x:f>
        <x:v>0</x:v>
      </x:c>
      <x:c r="G866" t="n">
        <x:v>1</x:v>
      </x:c>
      <x:c r="H866" t="str">
        <x:v>equals</x:v>
      </x:c>
      <x:c r="I866" t="str">
        <x:v>independent acceptance</x:v>
      </x:c>
      <x:c r="J866" t="str">
        <x:f>IF(F866=1,"PASS","OPEN")</x:f>
        <x:v>OPEN</x:v>
      </x:c>
    </x:row>
    <x:row r="867">
      <x:c r="B867" t="str">
        <x:v>PHY-EX-114</x:v>
      </x:c>
      <x:c r="C867" t="str">
        <x:v>PHYSICAL</x:v>
      </x:c>
      <x:c r="D867" t="str">
        <x:v>event execution</x:v>
      </x:c>
      <x:c r="E867" t="str">
        <x:v>RFA-E114</x:v>
      </x:c>
      <x:c r="F867" t="n">
        <x:f>IF('Event Register'!M120&lt;&gt;"",1,0)</x:f>
        <x:v>0</x:v>
      </x:c>
      <x:c r="G867" t="n">
        <x:v>1</x:v>
      </x:c>
      <x:c r="H867" t="str">
        <x:v>equals</x:v>
      </x:c>
      <x:c r="I867" t="str">
        <x:v>independent acceptance</x:v>
      </x:c>
      <x:c r="J867" t="str">
        <x:f>IF(F867=1,"PASS","OPEN")</x:f>
        <x:v>OPEN</x:v>
      </x:c>
    </x:row>
    <x:row r="868">
      <x:c r="B868" t="str">
        <x:v>PHY-VA-114</x:v>
      </x:c>
      <x:c r="C868" t="str">
        <x:v>PHYSICAL</x:v>
      </x:c>
      <x:c r="D868" t="str">
        <x:v>event validity</x:v>
      </x:c>
      <x:c r="E868" t="str">
        <x:v>RFA-E114</x:v>
      </x:c>
      <x:c r="F868" t="n">
        <x:f>'Event Estimator'!L120</x:f>
        <x:v>0</x:v>
      </x:c>
      <x:c r="G868" t="n">
        <x:v>1</x:v>
      </x:c>
      <x:c r="H868" t="str">
        <x:v>equals</x:v>
      </x:c>
      <x:c r="I868" t="str">
        <x:v>independent acceptance</x:v>
      </x:c>
      <x:c r="J868" t="str">
        <x:f>IF(F868=1,"PASS","OPEN")</x:f>
        <x:v>OPEN</x:v>
      </x:c>
    </x:row>
    <x:row r="869">
      <x:c r="B869" t="str">
        <x:v>PHY-OC-114</x:v>
      </x:c>
      <x:c r="C869" t="str">
        <x:v>PHYSICAL</x:v>
      </x:c>
      <x:c r="D869" t="str">
        <x:v>event outcome</x:v>
      </x:c>
      <x:c r="E869" t="str">
        <x:v>RFA-E114</x:v>
      </x:c>
      <x:c r="F869" t="n">
        <x:f>IF('Event Estimator'!M120&lt;&gt;"",1,0)</x:f>
        <x:v>0</x:v>
      </x:c>
      <x:c r="G869" t="n">
        <x:v>1</x:v>
      </x:c>
      <x:c r="H869" t="str">
        <x:v>equals</x:v>
      </x:c>
      <x:c r="I869" t="str">
        <x:v>independent acceptance</x:v>
      </x:c>
      <x:c r="J869" t="str">
        <x:f>IF(F869=1,"PASS","OPEN")</x:f>
        <x:v>OPEN</x:v>
      </x:c>
    </x:row>
    <x:row r="870">
      <x:c r="B870" t="str">
        <x:v>PHY-EX-115</x:v>
      </x:c>
      <x:c r="C870" t="str">
        <x:v>PHYSICAL</x:v>
      </x:c>
      <x:c r="D870" t="str">
        <x:v>event execution</x:v>
      </x:c>
      <x:c r="E870" t="str">
        <x:v>RFA-E115</x:v>
      </x:c>
      <x:c r="F870" t="n">
        <x:f>IF('Event Register'!M121&lt;&gt;"",1,0)</x:f>
        <x:v>0</x:v>
      </x:c>
      <x:c r="G870" t="n">
        <x:v>1</x:v>
      </x:c>
      <x:c r="H870" t="str">
        <x:v>equals</x:v>
      </x:c>
      <x:c r="I870" t="str">
        <x:v>independent acceptance</x:v>
      </x:c>
      <x:c r="J870" t="str">
        <x:f>IF(F870=1,"PASS","OPEN")</x:f>
        <x:v>OPEN</x:v>
      </x:c>
    </x:row>
    <x:row r="871">
      <x:c r="B871" t="str">
        <x:v>PHY-VA-115</x:v>
      </x:c>
      <x:c r="C871" t="str">
        <x:v>PHYSICAL</x:v>
      </x:c>
      <x:c r="D871" t="str">
        <x:v>event validity</x:v>
      </x:c>
      <x:c r="E871" t="str">
        <x:v>RFA-E115</x:v>
      </x:c>
      <x:c r="F871" t="n">
        <x:f>'Event Estimator'!L121</x:f>
        <x:v>0</x:v>
      </x:c>
      <x:c r="G871" t="n">
        <x:v>1</x:v>
      </x:c>
      <x:c r="H871" t="str">
        <x:v>equals</x:v>
      </x:c>
      <x:c r="I871" t="str">
        <x:v>independent acceptance</x:v>
      </x:c>
      <x:c r="J871" t="str">
        <x:f>IF(F871=1,"PASS","OPEN")</x:f>
        <x:v>OPEN</x:v>
      </x:c>
    </x:row>
    <x:row r="872">
      <x:c r="B872" t="str">
        <x:v>PHY-OC-115</x:v>
      </x:c>
      <x:c r="C872" t="str">
        <x:v>PHYSICAL</x:v>
      </x:c>
      <x:c r="D872" t="str">
        <x:v>event outcome</x:v>
      </x:c>
      <x:c r="E872" t="str">
        <x:v>RFA-E115</x:v>
      </x:c>
      <x:c r="F872" t="n">
        <x:f>IF('Event Estimator'!M121&lt;&gt;"",1,0)</x:f>
        <x:v>0</x:v>
      </x:c>
      <x:c r="G872" t="n">
        <x:v>1</x:v>
      </x:c>
      <x:c r="H872" t="str">
        <x:v>equals</x:v>
      </x:c>
      <x:c r="I872" t="str">
        <x:v>independent acceptance</x:v>
      </x:c>
      <x:c r="J872" t="str">
        <x:f>IF(F872=1,"PASS","OPEN")</x:f>
        <x:v>OPEN</x:v>
      </x:c>
    </x:row>
    <x:row r="873">
      <x:c r="B873" t="str">
        <x:v>PHY-EX-116</x:v>
      </x:c>
      <x:c r="C873" t="str">
        <x:v>PHYSICAL</x:v>
      </x:c>
      <x:c r="D873" t="str">
        <x:v>event execution</x:v>
      </x:c>
      <x:c r="E873" t="str">
        <x:v>RFA-E116</x:v>
      </x:c>
      <x:c r="F873" t="n">
        <x:f>IF('Event Register'!M122&lt;&gt;"",1,0)</x:f>
        <x:v>0</x:v>
      </x:c>
      <x:c r="G873" t="n">
        <x:v>1</x:v>
      </x:c>
      <x:c r="H873" t="str">
        <x:v>equals</x:v>
      </x:c>
      <x:c r="I873" t="str">
        <x:v>independent acceptance</x:v>
      </x:c>
      <x:c r="J873" t="str">
        <x:f>IF(F873=1,"PASS","OPEN")</x:f>
        <x:v>OPEN</x:v>
      </x:c>
    </x:row>
    <x:row r="874">
      <x:c r="B874" t="str">
        <x:v>PHY-VA-116</x:v>
      </x:c>
      <x:c r="C874" t="str">
        <x:v>PHYSICAL</x:v>
      </x:c>
      <x:c r="D874" t="str">
        <x:v>event validity</x:v>
      </x:c>
      <x:c r="E874" t="str">
        <x:v>RFA-E116</x:v>
      </x:c>
      <x:c r="F874" t="n">
        <x:f>'Event Estimator'!L122</x:f>
        <x:v>0</x:v>
      </x:c>
      <x:c r="G874" t="n">
        <x:v>1</x:v>
      </x:c>
      <x:c r="H874" t="str">
        <x:v>equals</x:v>
      </x:c>
      <x:c r="I874" t="str">
        <x:v>independent acceptance</x:v>
      </x:c>
      <x:c r="J874" t="str">
        <x:f>IF(F874=1,"PASS","OPEN")</x:f>
        <x:v>OPEN</x:v>
      </x:c>
    </x:row>
    <x:row r="875">
      <x:c r="B875" t="str">
        <x:v>PHY-OC-116</x:v>
      </x:c>
      <x:c r="C875" t="str">
        <x:v>PHYSICAL</x:v>
      </x:c>
      <x:c r="D875" t="str">
        <x:v>event outcome</x:v>
      </x:c>
      <x:c r="E875" t="str">
        <x:v>RFA-E116</x:v>
      </x:c>
      <x:c r="F875" t="n">
        <x:f>IF('Event Estimator'!M122&lt;&gt;"",1,0)</x:f>
        <x:v>0</x:v>
      </x:c>
      <x:c r="G875" t="n">
        <x:v>1</x:v>
      </x:c>
      <x:c r="H875" t="str">
        <x:v>equals</x:v>
      </x:c>
      <x:c r="I875" t="str">
        <x:v>independent acceptance</x:v>
      </x:c>
      <x:c r="J875" t="str">
        <x:f>IF(F875=1,"PASS","OPEN")</x:f>
        <x:v>OPEN</x:v>
      </x:c>
    </x:row>
    <x:row r="876">
      <x:c r="B876" t="str">
        <x:v>PHY-EX-117</x:v>
      </x:c>
      <x:c r="C876" t="str">
        <x:v>PHYSICAL</x:v>
      </x:c>
      <x:c r="D876" t="str">
        <x:v>event execution</x:v>
      </x:c>
      <x:c r="E876" t="str">
        <x:v>RFA-E117</x:v>
      </x:c>
      <x:c r="F876" t="n">
        <x:f>IF('Event Register'!M123&lt;&gt;"",1,0)</x:f>
        <x:v>0</x:v>
      </x:c>
      <x:c r="G876" t="n">
        <x:v>1</x:v>
      </x:c>
      <x:c r="H876" t="str">
        <x:v>equals</x:v>
      </x:c>
      <x:c r="I876" t="str">
        <x:v>independent acceptance</x:v>
      </x:c>
      <x:c r="J876" t="str">
        <x:f>IF(F876=1,"PASS","OPEN")</x:f>
        <x:v>OPEN</x:v>
      </x:c>
    </x:row>
    <x:row r="877">
      <x:c r="B877" t="str">
        <x:v>PHY-VA-117</x:v>
      </x:c>
      <x:c r="C877" t="str">
        <x:v>PHYSICAL</x:v>
      </x:c>
      <x:c r="D877" t="str">
        <x:v>event validity</x:v>
      </x:c>
      <x:c r="E877" t="str">
        <x:v>RFA-E117</x:v>
      </x:c>
      <x:c r="F877" t="n">
        <x:f>'Event Estimator'!L123</x:f>
        <x:v>0</x:v>
      </x:c>
      <x:c r="G877" t="n">
        <x:v>1</x:v>
      </x:c>
      <x:c r="H877" t="str">
        <x:v>equals</x:v>
      </x:c>
      <x:c r="I877" t="str">
        <x:v>independent acceptance</x:v>
      </x:c>
      <x:c r="J877" t="str">
        <x:f>IF(F877=1,"PASS","OPEN")</x:f>
        <x:v>OPEN</x:v>
      </x:c>
    </x:row>
    <x:row r="878">
      <x:c r="B878" t="str">
        <x:v>PHY-OC-117</x:v>
      </x:c>
      <x:c r="C878" t="str">
        <x:v>PHYSICAL</x:v>
      </x:c>
      <x:c r="D878" t="str">
        <x:v>event outcome</x:v>
      </x:c>
      <x:c r="E878" t="str">
        <x:v>RFA-E117</x:v>
      </x:c>
      <x:c r="F878" t="n">
        <x:f>IF('Event Estimator'!M123&lt;&gt;"",1,0)</x:f>
        <x:v>0</x:v>
      </x:c>
      <x:c r="G878" t="n">
        <x:v>1</x:v>
      </x:c>
      <x:c r="H878" t="str">
        <x:v>equals</x:v>
      </x:c>
      <x:c r="I878" t="str">
        <x:v>independent acceptance</x:v>
      </x:c>
      <x:c r="J878" t="str">
        <x:f>IF(F878=1,"PASS","OPEN")</x:f>
        <x:v>OPEN</x:v>
      </x:c>
    </x:row>
    <x:row r="879">
      <x:c r="B879" t="str">
        <x:v>PHY-EX-118</x:v>
      </x:c>
      <x:c r="C879" t="str">
        <x:v>PHYSICAL</x:v>
      </x:c>
      <x:c r="D879" t="str">
        <x:v>event execution</x:v>
      </x:c>
      <x:c r="E879" t="str">
        <x:v>RFA-E118</x:v>
      </x:c>
      <x:c r="F879" t="n">
        <x:f>IF('Event Register'!M124&lt;&gt;"",1,0)</x:f>
        <x:v>0</x:v>
      </x:c>
      <x:c r="G879" t="n">
        <x:v>1</x:v>
      </x:c>
      <x:c r="H879" t="str">
        <x:v>equals</x:v>
      </x:c>
      <x:c r="I879" t="str">
        <x:v>independent acceptance</x:v>
      </x:c>
      <x:c r="J879" t="str">
        <x:f>IF(F879=1,"PASS","OPEN")</x:f>
        <x:v>OPEN</x:v>
      </x:c>
    </x:row>
    <x:row r="880">
      <x:c r="B880" t="str">
        <x:v>PHY-VA-118</x:v>
      </x:c>
      <x:c r="C880" t="str">
        <x:v>PHYSICAL</x:v>
      </x:c>
      <x:c r="D880" t="str">
        <x:v>event validity</x:v>
      </x:c>
      <x:c r="E880" t="str">
        <x:v>RFA-E118</x:v>
      </x:c>
      <x:c r="F880" t="n">
        <x:f>'Event Estimator'!L124</x:f>
        <x:v>0</x:v>
      </x:c>
      <x:c r="G880" t="n">
        <x:v>1</x:v>
      </x:c>
      <x:c r="H880" t="str">
        <x:v>equals</x:v>
      </x:c>
      <x:c r="I880" t="str">
        <x:v>independent acceptance</x:v>
      </x:c>
      <x:c r="J880" t="str">
        <x:f>IF(F880=1,"PASS","OPEN")</x:f>
        <x:v>OPEN</x:v>
      </x:c>
    </x:row>
    <x:row r="881">
      <x:c r="B881" t="str">
        <x:v>PHY-OC-118</x:v>
      </x:c>
      <x:c r="C881" t="str">
        <x:v>PHYSICAL</x:v>
      </x:c>
      <x:c r="D881" t="str">
        <x:v>event outcome</x:v>
      </x:c>
      <x:c r="E881" t="str">
        <x:v>RFA-E118</x:v>
      </x:c>
      <x:c r="F881" t="n">
        <x:f>IF('Event Estimator'!M124&lt;&gt;"",1,0)</x:f>
        <x:v>0</x:v>
      </x:c>
      <x:c r="G881" t="n">
        <x:v>1</x:v>
      </x:c>
      <x:c r="H881" t="str">
        <x:v>equals</x:v>
      </x:c>
      <x:c r="I881" t="str">
        <x:v>independent acceptance</x:v>
      </x:c>
      <x:c r="J881" t="str">
        <x:f>IF(F881=1,"PASS","OPEN")</x:f>
        <x:v>OPEN</x:v>
      </x:c>
    </x:row>
    <x:row r="882">
      <x:c r="B882" t="str">
        <x:v>PHY-EX-119</x:v>
      </x:c>
      <x:c r="C882" t="str">
        <x:v>PHYSICAL</x:v>
      </x:c>
      <x:c r="D882" t="str">
        <x:v>event execution</x:v>
      </x:c>
      <x:c r="E882" t="str">
        <x:v>RFA-E119</x:v>
      </x:c>
      <x:c r="F882" t="n">
        <x:f>IF('Event Register'!M125&lt;&gt;"",1,0)</x:f>
        <x:v>0</x:v>
      </x:c>
      <x:c r="G882" t="n">
        <x:v>1</x:v>
      </x:c>
      <x:c r="H882" t="str">
        <x:v>equals</x:v>
      </x:c>
      <x:c r="I882" t="str">
        <x:v>independent acceptance</x:v>
      </x:c>
      <x:c r="J882" t="str">
        <x:f>IF(F882=1,"PASS","OPEN")</x:f>
        <x:v>OPEN</x:v>
      </x:c>
    </x:row>
    <x:row r="883">
      <x:c r="B883" t="str">
        <x:v>PHY-VA-119</x:v>
      </x:c>
      <x:c r="C883" t="str">
        <x:v>PHYSICAL</x:v>
      </x:c>
      <x:c r="D883" t="str">
        <x:v>event validity</x:v>
      </x:c>
      <x:c r="E883" t="str">
        <x:v>RFA-E119</x:v>
      </x:c>
      <x:c r="F883" t="n">
        <x:f>'Event Estimator'!L125</x:f>
        <x:v>0</x:v>
      </x:c>
      <x:c r="G883" t="n">
        <x:v>1</x:v>
      </x:c>
      <x:c r="H883" t="str">
        <x:v>equals</x:v>
      </x:c>
      <x:c r="I883" t="str">
        <x:v>independent acceptance</x:v>
      </x:c>
      <x:c r="J883" t="str">
        <x:f>IF(F883=1,"PASS","OPEN")</x:f>
        <x:v>OPEN</x:v>
      </x:c>
    </x:row>
    <x:row r="884">
      <x:c r="B884" t="str">
        <x:v>PHY-OC-119</x:v>
      </x:c>
      <x:c r="C884" t="str">
        <x:v>PHYSICAL</x:v>
      </x:c>
      <x:c r="D884" t="str">
        <x:v>event outcome</x:v>
      </x:c>
      <x:c r="E884" t="str">
        <x:v>RFA-E119</x:v>
      </x:c>
      <x:c r="F884" t="n">
        <x:f>IF('Event Estimator'!M125&lt;&gt;"",1,0)</x:f>
        <x:v>0</x:v>
      </x:c>
      <x:c r="G884" t="n">
        <x:v>1</x:v>
      </x:c>
      <x:c r="H884" t="str">
        <x:v>equals</x:v>
      </x:c>
      <x:c r="I884" t="str">
        <x:v>independent acceptance</x:v>
      </x:c>
      <x:c r="J884" t="str">
        <x:f>IF(F884=1,"PASS","OPEN")</x:f>
        <x:v>OPEN</x:v>
      </x:c>
    </x:row>
    <x:row r="885">
      <x:c r="B885" t="str">
        <x:v>PHY-EX-120</x:v>
      </x:c>
      <x:c r="C885" t="str">
        <x:v>PHYSICAL</x:v>
      </x:c>
      <x:c r="D885" t="str">
        <x:v>event execution</x:v>
      </x:c>
      <x:c r="E885" t="str">
        <x:v>RFA-E120</x:v>
      </x:c>
      <x:c r="F885" t="n">
        <x:f>IF('Event Register'!M126&lt;&gt;"",1,0)</x:f>
        <x:v>0</x:v>
      </x:c>
      <x:c r="G885" t="n">
        <x:v>1</x:v>
      </x:c>
      <x:c r="H885" t="str">
        <x:v>equals</x:v>
      </x:c>
      <x:c r="I885" t="str">
        <x:v>independent acceptance</x:v>
      </x:c>
      <x:c r="J885" t="str">
        <x:f>IF(F885=1,"PASS","OPEN")</x:f>
        <x:v>OPEN</x:v>
      </x:c>
    </x:row>
    <x:row r="886">
      <x:c r="B886" t="str">
        <x:v>PHY-VA-120</x:v>
      </x:c>
      <x:c r="C886" t="str">
        <x:v>PHYSICAL</x:v>
      </x:c>
      <x:c r="D886" t="str">
        <x:v>event validity</x:v>
      </x:c>
      <x:c r="E886" t="str">
        <x:v>RFA-E120</x:v>
      </x:c>
      <x:c r="F886" t="n">
        <x:f>'Event Estimator'!L126</x:f>
        <x:v>0</x:v>
      </x:c>
      <x:c r="G886" t="n">
        <x:v>1</x:v>
      </x:c>
      <x:c r="H886" t="str">
        <x:v>equals</x:v>
      </x:c>
      <x:c r="I886" t="str">
        <x:v>independent acceptance</x:v>
      </x:c>
      <x:c r="J886" t="str">
        <x:f>IF(F886=1,"PASS","OPEN")</x:f>
        <x:v>OPEN</x:v>
      </x:c>
    </x:row>
    <x:row r="887">
      <x:c r="B887" t="str">
        <x:v>PHY-OC-120</x:v>
      </x:c>
      <x:c r="C887" t="str">
        <x:v>PHYSICAL</x:v>
      </x:c>
      <x:c r="D887" t="str">
        <x:v>event outcome</x:v>
      </x:c>
      <x:c r="E887" t="str">
        <x:v>RFA-E120</x:v>
      </x:c>
      <x:c r="F887" t="n">
        <x:f>IF('Event Estimator'!M126&lt;&gt;"",1,0)</x:f>
        <x:v>0</x:v>
      </x:c>
      <x:c r="G887" t="n">
        <x:v>1</x:v>
      </x:c>
      <x:c r="H887" t="str">
        <x:v>equals</x:v>
      </x:c>
      <x:c r="I887" t="str">
        <x:v>independent acceptance</x:v>
      </x:c>
      <x:c r="J887" t="str">
        <x:f>IF(F887=1,"PASS","OPEN")</x:f>
        <x:v>OPEN</x:v>
      </x:c>
    </x:row>
    <x:row r="888">
      <x:c r="B888" t="str">
        <x:v>PHY-EX-121</x:v>
      </x:c>
      <x:c r="C888" t="str">
        <x:v>PHYSICAL</x:v>
      </x:c>
      <x:c r="D888" t="str">
        <x:v>event execution</x:v>
      </x:c>
      <x:c r="E888" t="str">
        <x:v>RFA-E121</x:v>
      </x:c>
      <x:c r="F888" t="n">
        <x:f>IF('Event Register'!M127&lt;&gt;"",1,0)</x:f>
        <x:v>0</x:v>
      </x:c>
      <x:c r="G888" t="n">
        <x:v>1</x:v>
      </x:c>
      <x:c r="H888" t="str">
        <x:v>equals</x:v>
      </x:c>
      <x:c r="I888" t="str">
        <x:v>independent acceptance</x:v>
      </x:c>
      <x:c r="J888" t="str">
        <x:f>IF(F888=1,"PASS","OPEN")</x:f>
        <x:v>OPEN</x:v>
      </x:c>
    </x:row>
    <x:row r="889">
      <x:c r="B889" t="str">
        <x:v>PHY-VA-121</x:v>
      </x:c>
      <x:c r="C889" t="str">
        <x:v>PHYSICAL</x:v>
      </x:c>
      <x:c r="D889" t="str">
        <x:v>event validity</x:v>
      </x:c>
      <x:c r="E889" t="str">
        <x:v>RFA-E121</x:v>
      </x:c>
      <x:c r="F889" t="n">
        <x:f>'Event Estimator'!L127</x:f>
        <x:v>0</x:v>
      </x:c>
      <x:c r="G889" t="n">
        <x:v>1</x:v>
      </x:c>
      <x:c r="H889" t="str">
        <x:v>equals</x:v>
      </x:c>
      <x:c r="I889" t="str">
        <x:v>independent acceptance</x:v>
      </x:c>
      <x:c r="J889" t="str">
        <x:f>IF(F889=1,"PASS","OPEN")</x:f>
        <x:v>OPEN</x:v>
      </x:c>
    </x:row>
    <x:row r="890">
      <x:c r="B890" t="str">
        <x:v>PHY-OC-121</x:v>
      </x:c>
      <x:c r="C890" t="str">
        <x:v>PHYSICAL</x:v>
      </x:c>
      <x:c r="D890" t="str">
        <x:v>event outcome</x:v>
      </x:c>
      <x:c r="E890" t="str">
        <x:v>RFA-E121</x:v>
      </x:c>
      <x:c r="F890" t="n">
        <x:f>IF('Event Estimator'!M127&lt;&gt;"",1,0)</x:f>
        <x:v>0</x:v>
      </x:c>
      <x:c r="G890" t="n">
        <x:v>1</x:v>
      </x:c>
      <x:c r="H890" t="str">
        <x:v>equals</x:v>
      </x:c>
      <x:c r="I890" t="str">
        <x:v>independent acceptance</x:v>
      </x:c>
      <x:c r="J890" t="str">
        <x:f>IF(F890=1,"PASS","OPEN")</x:f>
        <x:v>OPEN</x:v>
      </x:c>
    </x:row>
    <x:row r="891">
      <x:c r="B891" t="str">
        <x:v>PHY-EX-122</x:v>
      </x:c>
      <x:c r="C891" t="str">
        <x:v>PHYSICAL</x:v>
      </x:c>
      <x:c r="D891" t="str">
        <x:v>event execution</x:v>
      </x:c>
      <x:c r="E891" t="str">
        <x:v>RFA-E122</x:v>
      </x:c>
      <x:c r="F891" t="n">
        <x:f>IF('Event Register'!M128&lt;&gt;"",1,0)</x:f>
        <x:v>0</x:v>
      </x:c>
      <x:c r="G891" t="n">
        <x:v>1</x:v>
      </x:c>
      <x:c r="H891" t="str">
        <x:v>equals</x:v>
      </x:c>
      <x:c r="I891" t="str">
        <x:v>independent acceptance</x:v>
      </x:c>
      <x:c r="J891" t="str">
        <x:f>IF(F891=1,"PASS","OPEN")</x:f>
        <x:v>OPEN</x:v>
      </x:c>
    </x:row>
    <x:row r="892">
      <x:c r="B892" t="str">
        <x:v>PHY-VA-122</x:v>
      </x:c>
      <x:c r="C892" t="str">
        <x:v>PHYSICAL</x:v>
      </x:c>
      <x:c r="D892" t="str">
        <x:v>event validity</x:v>
      </x:c>
      <x:c r="E892" t="str">
        <x:v>RFA-E122</x:v>
      </x:c>
      <x:c r="F892" t="n">
        <x:f>'Event Estimator'!L128</x:f>
        <x:v>0</x:v>
      </x:c>
      <x:c r="G892" t="n">
        <x:v>1</x:v>
      </x:c>
      <x:c r="H892" t="str">
        <x:v>equals</x:v>
      </x:c>
      <x:c r="I892" t="str">
        <x:v>independent acceptance</x:v>
      </x:c>
      <x:c r="J892" t="str">
        <x:f>IF(F892=1,"PASS","OPEN")</x:f>
        <x:v>OPEN</x:v>
      </x:c>
    </x:row>
    <x:row r="893">
      <x:c r="B893" t="str">
        <x:v>PHY-OC-122</x:v>
      </x:c>
      <x:c r="C893" t="str">
        <x:v>PHYSICAL</x:v>
      </x:c>
      <x:c r="D893" t="str">
        <x:v>event outcome</x:v>
      </x:c>
      <x:c r="E893" t="str">
        <x:v>RFA-E122</x:v>
      </x:c>
      <x:c r="F893" t="n">
        <x:f>IF('Event Estimator'!M128&lt;&gt;"",1,0)</x:f>
        <x:v>0</x:v>
      </x:c>
      <x:c r="G893" t="n">
        <x:v>1</x:v>
      </x:c>
      <x:c r="H893" t="str">
        <x:v>equals</x:v>
      </x:c>
      <x:c r="I893" t="str">
        <x:v>independent acceptance</x:v>
      </x:c>
      <x:c r="J893" t="str">
        <x:f>IF(F893=1,"PASS","OPEN")</x:f>
        <x:v>OPEN</x:v>
      </x:c>
    </x:row>
    <x:row r="894">
      <x:c r="B894" t="str">
        <x:v>PHY-EX-123</x:v>
      </x:c>
      <x:c r="C894" t="str">
        <x:v>PHYSICAL</x:v>
      </x:c>
      <x:c r="D894" t="str">
        <x:v>event execution</x:v>
      </x:c>
      <x:c r="E894" t="str">
        <x:v>RFA-E123</x:v>
      </x:c>
      <x:c r="F894" t="n">
        <x:f>IF('Event Register'!M129&lt;&gt;"",1,0)</x:f>
        <x:v>0</x:v>
      </x:c>
      <x:c r="G894" t="n">
        <x:v>1</x:v>
      </x:c>
      <x:c r="H894" t="str">
        <x:v>equals</x:v>
      </x:c>
      <x:c r="I894" t="str">
        <x:v>independent acceptance</x:v>
      </x:c>
      <x:c r="J894" t="str">
        <x:f>IF(F894=1,"PASS","OPEN")</x:f>
        <x:v>OPEN</x:v>
      </x:c>
    </x:row>
    <x:row r="895">
      <x:c r="B895" t="str">
        <x:v>PHY-VA-123</x:v>
      </x:c>
      <x:c r="C895" t="str">
        <x:v>PHYSICAL</x:v>
      </x:c>
      <x:c r="D895" t="str">
        <x:v>event validity</x:v>
      </x:c>
      <x:c r="E895" t="str">
        <x:v>RFA-E123</x:v>
      </x:c>
      <x:c r="F895" t="n">
        <x:f>'Event Estimator'!L129</x:f>
        <x:v>0</x:v>
      </x:c>
      <x:c r="G895" t="n">
        <x:v>1</x:v>
      </x:c>
      <x:c r="H895" t="str">
        <x:v>equals</x:v>
      </x:c>
      <x:c r="I895" t="str">
        <x:v>independent acceptance</x:v>
      </x:c>
      <x:c r="J895" t="str">
        <x:f>IF(F895=1,"PASS","OPEN")</x:f>
        <x:v>OPEN</x:v>
      </x:c>
    </x:row>
    <x:row r="896">
      <x:c r="B896" t="str">
        <x:v>PHY-OC-123</x:v>
      </x:c>
      <x:c r="C896" t="str">
        <x:v>PHYSICAL</x:v>
      </x:c>
      <x:c r="D896" t="str">
        <x:v>event outcome</x:v>
      </x:c>
      <x:c r="E896" t="str">
        <x:v>RFA-E123</x:v>
      </x:c>
      <x:c r="F896" t="n">
        <x:f>IF('Event Estimator'!M129&lt;&gt;"",1,0)</x:f>
        <x:v>0</x:v>
      </x:c>
      <x:c r="G896" t="n">
        <x:v>1</x:v>
      </x:c>
      <x:c r="H896" t="str">
        <x:v>equals</x:v>
      </x:c>
      <x:c r="I896" t="str">
        <x:v>independent acceptance</x:v>
      </x:c>
      <x:c r="J896" t="str">
        <x:f>IF(F896=1,"PASS","OPEN")</x:f>
        <x:v>OPEN</x:v>
      </x:c>
    </x:row>
    <x:row r="897">
      <x:c r="B897" t="str">
        <x:v>PHY-EX-124</x:v>
      </x:c>
      <x:c r="C897" t="str">
        <x:v>PHYSICAL</x:v>
      </x:c>
      <x:c r="D897" t="str">
        <x:v>event execution</x:v>
      </x:c>
      <x:c r="E897" t="str">
        <x:v>RFA-E124</x:v>
      </x:c>
      <x:c r="F897" t="n">
        <x:f>IF('Event Register'!M130&lt;&gt;"",1,0)</x:f>
        <x:v>0</x:v>
      </x:c>
      <x:c r="G897" t="n">
        <x:v>1</x:v>
      </x:c>
      <x:c r="H897" t="str">
        <x:v>equals</x:v>
      </x:c>
      <x:c r="I897" t="str">
        <x:v>independent acceptance</x:v>
      </x:c>
      <x:c r="J897" t="str">
        <x:f>IF(F897=1,"PASS","OPEN")</x:f>
        <x:v>OPEN</x:v>
      </x:c>
    </x:row>
    <x:row r="898">
      <x:c r="B898" t="str">
        <x:v>PHY-VA-124</x:v>
      </x:c>
      <x:c r="C898" t="str">
        <x:v>PHYSICAL</x:v>
      </x:c>
      <x:c r="D898" t="str">
        <x:v>event validity</x:v>
      </x:c>
      <x:c r="E898" t="str">
        <x:v>RFA-E124</x:v>
      </x:c>
      <x:c r="F898" t="n">
        <x:f>'Event Estimator'!L130</x:f>
        <x:v>0</x:v>
      </x:c>
      <x:c r="G898" t="n">
        <x:v>1</x:v>
      </x:c>
      <x:c r="H898" t="str">
        <x:v>equals</x:v>
      </x:c>
      <x:c r="I898" t="str">
        <x:v>independent acceptance</x:v>
      </x:c>
      <x:c r="J898" t="str">
        <x:f>IF(F898=1,"PASS","OPEN")</x:f>
        <x:v>OPEN</x:v>
      </x:c>
    </x:row>
    <x:row r="899">
      <x:c r="B899" t="str">
        <x:v>PHY-OC-124</x:v>
      </x:c>
      <x:c r="C899" t="str">
        <x:v>PHYSICAL</x:v>
      </x:c>
      <x:c r="D899" t="str">
        <x:v>event outcome</x:v>
      </x:c>
      <x:c r="E899" t="str">
        <x:v>RFA-E124</x:v>
      </x:c>
      <x:c r="F899" t="n">
        <x:f>IF('Event Estimator'!M130&lt;&gt;"",1,0)</x:f>
        <x:v>0</x:v>
      </x:c>
      <x:c r="G899" t="n">
        <x:v>1</x:v>
      </x:c>
      <x:c r="H899" t="str">
        <x:v>equals</x:v>
      </x:c>
      <x:c r="I899" t="str">
        <x:v>independent acceptance</x:v>
      </x:c>
      <x:c r="J899" t="str">
        <x:f>IF(F899=1,"PASS","OPEN")</x:f>
        <x:v>OPEN</x:v>
      </x:c>
    </x:row>
    <x:row r="900">
      <x:c r="B900" t="str">
        <x:v>PHY-EX-125</x:v>
      </x:c>
      <x:c r="C900" t="str">
        <x:v>PHYSICAL</x:v>
      </x:c>
      <x:c r="D900" t="str">
        <x:v>event execution</x:v>
      </x:c>
      <x:c r="E900" t="str">
        <x:v>RFA-E125</x:v>
      </x:c>
      <x:c r="F900" t="n">
        <x:f>IF('Event Register'!M131&lt;&gt;"",1,0)</x:f>
        <x:v>0</x:v>
      </x:c>
      <x:c r="G900" t="n">
        <x:v>1</x:v>
      </x:c>
      <x:c r="H900" t="str">
        <x:v>equals</x:v>
      </x:c>
      <x:c r="I900" t="str">
        <x:v>independent acceptance</x:v>
      </x:c>
      <x:c r="J900" t="str">
        <x:f>IF(F900=1,"PASS","OPEN")</x:f>
        <x:v>OPEN</x:v>
      </x:c>
    </x:row>
    <x:row r="901">
      <x:c r="B901" t="str">
        <x:v>PHY-VA-125</x:v>
      </x:c>
      <x:c r="C901" t="str">
        <x:v>PHYSICAL</x:v>
      </x:c>
      <x:c r="D901" t="str">
        <x:v>event validity</x:v>
      </x:c>
      <x:c r="E901" t="str">
        <x:v>RFA-E125</x:v>
      </x:c>
      <x:c r="F901" t="n">
        <x:f>'Event Estimator'!L131</x:f>
        <x:v>0</x:v>
      </x:c>
      <x:c r="G901" t="n">
        <x:v>1</x:v>
      </x:c>
      <x:c r="H901" t="str">
        <x:v>equals</x:v>
      </x:c>
      <x:c r="I901" t="str">
        <x:v>independent acceptance</x:v>
      </x:c>
      <x:c r="J901" t="str">
        <x:f>IF(F901=1,"PASS","OPEN")</x:f>
        <x:v>OPEN</x:v>
      </x:c>
    </x:row>
    <x:row r="902">
      <x:c r="B902" t="str">
        <x:v>PHY-OC-125</x:v>
      </x:c>
      <x:c r="C902" t="str">
        <x:v>PHYSICAL</x:v>
      </x:c>
      <x:c r="D902" t="str">
        <x:v>event outcome</x:v>
      </x:c>
      <x:c r="E902" t="str">
        <x:v>RFA-E125</x:v>
      </x:c>
      <x:c r="F902" t="n">
        <x:f>IF('Event Estimator'!M131&lt;&gt;"",1,0)</x:f>
        <x:v>0</x:v>
      </x:c>
      <x:c r="G902" t="n">
        <x:v>1</x:v>
      </x:c>
      <x:c r="H902" t="str">
        <x:v>equals</x:v>
      </x:c>
      <x:c r="I902" t="str">
        <x:v>independent acceptance</x:v>
      </x:c>
      <x:c r="J902" t="str">
        <x:f>IF(F902=1,"PASS","OPEN")</x:f>
        <x:v>OPEN</x:v>
      </x:c>
    </x:row>
    <x:row r="903">
      <x:c r="B903" t="str">
        <x:v>PHY-EX-126</x:v>
      </x:c>
      <x:c r="C903" t="str">
        <x:v>PHYSICAL</x:v>
      </x:c>
      <x:c r="D903" t="str">
        <x:v>event execution</x:v>
      </x:c>
      <x:c r="E903" t="str">
        <x:v>RFA-E126</x:v>
      </x:c>
      <x:c r="F903" t="n">
        <x:f>IF('Event Register'!M132&lt;&gt;"",1,0)</x:f>
        <x:v>0</x:v>
      </x:c>
      <x:c r="G903" t="n">
        <x:v>1</x:v>
      </x:c>
      <x:c r="H903" t="str">
        <x:v>equals</x:v>
      </x:c>
      <x:c r="I903" t="str">
        <x:v>independent acceptance</x:v>
      </x:c>
      <x:c r="J903" t="str">
        <x:f>IF(F903=1,"PASS","OPEN")</x:f>
        <x:v>OPEN</x:v>
      </x:c>
    </x:row>
    <x:row r="904">
      <x:c r="B904" t="str">
        <x:v>PHY-VA-126</x:v>
      </x:c>
      <x:c r="C904" t="str">
        <x:v>PHYSICAL</x:v>
      </x:c>
      <x:c r="D904" t="str">
        <x:v>event validity</x:v>
      </x:c>
      <x:c r="E904" t="str">
        <x:v>RFA-E126</x:v>
      </x:c>
      <x:c r="F904" t="n">
        <x:f>'Event Estimator'!L132</x:f>
        <x:v>0</x:v>
      </x:c>
      <x:c r="G904" t="n">
        <x:v>1</x:v>
      </x:c>
      <x:c r="H904" t="str">
        <x:v>equals</x:v>
      </x:c>
      <x:c r="I904" t="str">
        <x:v>independent acceptance</x:v>
      </x:c>
      <x:c r="J904" t="str">
        <x:f>IF(F904=1,"PASS","OPEN")</x:f>
        <x:v>OPEN</x:v>
      </x:c>
    </x:row>
    <x:row r="905">
      <x:c r="B905" t="str">
        <x:v>PHY-OC-126</x:v>
      </x:c>
      <x:c r="C905" t="str">
        <x:v>PHYSICAL</x:v>
      </x:c>
      <x:c r="D905" t="str">
        <x:v>event outcome</x:v>
      </x:c>
      <x:c r="E905" t="str">
        <x:v>RFA-E126</x:v>
      </x:c>
      <x:c r="F905" t="n">
        <x:f>IF('Event Estimator'!M132&lt;&gt;"",1,0)</x:f>
        <x:v>0</x:v>
      </x:c>
      <x:c r="G905" t="n">
        <x:v>1</x:v>
      </x:c>
      <x:c r="H905" t="str">
        <x:v>equals</x:v>
      </x:c>
      <x:c r="I905" t="str">
        <x:v>independent acceptance</x:v>
      </x:c>
      <x:c r="J905" t="str">
        <x:f>IF(F905=1,"PASS","OPEN")</x:f>
        <x:v>OPEN</x:v>
      </x:c>
    </x:row>
    <x:row r="906">
      <x:c r="B906" t="str">
        <x:v>PHY-EX-127</x:v>
      </x:c>
      <x:c r="C906" t="str">
        <x:v>PHYSICAL</x:v>
      </x:c>
      <x:c r="D906" t="str">
        <x:v>event execution</x:v>
      </x:c>
      <x:c r="E906" t="str">
        <x:v>RFA-E127</x:v>
      </x:c>
      <x:c r="F906" t="n">
        <x:f>IF('Event Register'!M133&lt;&gt;"",1,0)</x:f>
        <x:v>0</x:v>
      </x:c>
      <x:c r="G906" t="n">
        <x:v>1</x:v>
      </x:c>
      <x:c r="H906" t="str">
        <x:v>equals</x:v>
      </x:c>
      <x:c r="I906" t="str">
        <x:v>independent acceptance</x:v>
      </x:c>
      <x:c r="J906" t="str">
        <x:f>IF(F906=1,"PASS","OPEN")</x:f>
        <x:v>OPEN</x:v>
      </x:c>
    </x:row>
    <x:row r="907">
      <x:c r="B907" t="str">
        <x:v>PHY-VA-127</x:v>
      </x:c>
      <x:c r="C907" t="str">
        <x:v>PHYSICAL</x:v>
      </x:c>
      <x:c r="D907" t="str">
        <x:v>event validity</x:v>
      </x:c>
      <x:c r="E907" t="str">
        <x:v>RFA-E127</x:v>
      </x:c>
      <x:c r="F907" t="n">
        <x:f>'Event Estimator'!L133</x:f>
        <x:v>0</x:v>
      </x:c>
      <x:c r="G907" t="n">
        <x:v>1</x:v>
      </x:c>
      <x:c r="H907" t="str">
        <x:v>equals</x:v>
      </x:c>
      <x:c r="I907" t="str">
        <x:v>independent acceptance</x:v>
      </x:c>
      <x:c r="J907" t="str">
        <x:f>IF(F907=1,"PASS","OPEN")</x:f>
        <x:v>OPEN</x:v>
      </x:c>
    </x:row>
    <x:row r="908">
      <x:c r="B908" t="str">
        <x:v>PHY-OC-127</x:v>
      </x:c>
      <x:c r="C908" t="str">
        <x:v>PHYSICAL</x:v>
      </x:c>
      <x:c r="D908" t="str">
        <x:v>event outcome</x:v>
      </x:c>
      <x:c r="E908" t="str">
        <x:v>RFA-E127</x:v>
      </x:c>
      <x:c r="F908" t="n">
        <x:f>IF('Event Estimator'!M133&lt;&gt;"",1,0)</x:f>
        <x:v>0</x:v>
      </x:c>
      <x:c r="G908" t="n">
        <x:v>1</x:v>
      </x:c>
      <x:c r="H908" t="str">
        <x:v>equals</x:v>
      </x:c>
      <x:c r="I908" t="str">
        <x:v>independent acceptance</x:v>
      </x:c>
      <x:c r="J908" t="str">
        <x:f>IF(F908=1,"PASS","OPEN")</x:f>
        <x:v>OPEN</x:v>
      </x:c>
    </x:row>
    <x:row r="909">
      <x:c r="B909" t="str">
        <x:v>PHY-EX-128</x:v>
      </x:c>
      <x:c r="C909" t="str">
        <x:v>PHYSICAL</x:v>
      </x:c>
      <x:c r="D909" t="str">
        <x:v>event execution</x:v>
      </x:c>
      <x:c r="E909" t="str">
        <x:v>RFA-E128</x:v>
      </x:c>
      <x:c r="F909" t="n">
        <x:f>IF('Event Register'!M134&lt;&gt;"",1,0)</x:f>
        <x:v>0</x:v>
      </x:c>
      <x:c r="G909" t="n">
        <x:v>1</x:v>
      </x:c>
      <x:c r="H909" t="str">
        <x:v>equals</x:v>
      </x:c>
      <x:c r="I909" t="str">
        <x:v>independent acceptance</x:v>
      </x:c>
      <x:c r="J909" t="str">
        <x:f>IF(F909=1,"PASS","OPEN")</x:f>
        <x:v>OPEN</x:v>
      </x:c>
    </x:row>
    <x:row r="910">
      <x:c r="B910" t="str">
        <x:v>PHY-VA-128</x:v>
      </x:c>
      <x:c r="C910" t="str">
        <x:v>PHYSICAL</x:v>
      </x:c>
      <x:c r="D910" t="str">
        <x:v>event validity</x:v>
      </x:c>
      <x:c r="E910" t="str">
        <x:v>RFA-E128</x:v>
      </x:c>
      <x:c r="F910" t="n">
        <x:f>'Event Estimator'!L134</x:f>
        <x:v>0</x:v>
      </x:c>
      <x:c r="G910" t="n">
        <x:v>1</x:v>
      </x:c>
      <x:c r="H910" t="str">
        <x:v>equals</x:v>
      </x:c>
      <x:c r="I910" t="str">
        <x:v>independent acceptance</x:v>
      </x:c>
      <x:c r="J910" t="str">
        <x:f>IF(F910=1,"PASS","OPEN")</x:f>
        <x:v>OPEN</x:v>
      </x:c>
    </x:row>
    <x:row r="911">
      <x:c r="B911" t="str">
        <x:v>PHY-OC-128</x:v>
      </x:c>
      <x:c r="C911" t="str">
        <x:v>PHYSICAL</x:v>
      </x:c>
      <x:c r="D911" t="str">
        <x:v>event outcome</x:v>
      </x:c>
      <x:c r="E911" t="str">
        <x:v>RFA-E128</x:v>
      </x:c>
      <x:c r="F911" t="n">
        <x:f>IF('Event Estimator'!M134&lt;&gt;"",1,0)</x:f>
        <x:v>0</x:v>
      </x:c>
      <x:c r="G911" t="n">
        <x:v>1</x:v>
      </x:c>
      <x:c r="H911" t="str">
        <x:v>equals</x:v>
      </x:c>
      <x:c r="I911" t="str">
        <x:v>independent acceptance</x:v>
      </x:c>
      <x:c r="J911" t="str">
        <x:f>IF(F911=1,"PASS","OPEN")</x:f>
        <x:v>OPEN</x:v>
      </x:c>
    </x:row>
    <x:row r="912">
      <x:c r="B912" t="str">
        <x:v>PHY-EX-129</x:v>
      </x:c>
      <x:c r="C912" t="str">
        <x:v>PHYSICAL</x:v>
      </x:c>
      <x:c r="D912" t="str">
        <x:v>event execution</x:v>
      </x:c>
      <x:c r="E912" t="str">
        <x:v>RFA-E129</x:v>
      </x:c>
      <x:c r="F912" t="n">
        <x:f>IF('Event Register'!M135&lt;&gt;"",1,0)</x:f>
        <x:v>0</x:v>
      </x:c>
      <x:c r="G912" t="n">
        <x:v>1</x:v>
      </x:c>
      <x:c r="H912" t="str">
        <x:v>equals</x:v>
      </x:c>
      <x:c r="I912" t="str">
        <x:v>independent acceptance</x:v>
      </x:c>
      <x:c r="J912" t="str">
        <x:f>IF(F912=1,"PASS","OPEN")</x:f>
        <x:v>OPEN</x:v>
      </x:c>
    </x:row>
    <x:row r="913">
      <x:c r="B913" t="str">
        <x:v>PHY-VA-129</x:v>
      </x:c>
      <x:c r="C913" t="str">
        <x:v>PHYSICAL</x:v>
      </x:c>
      <x:c r="D913" t="str">
        <x:v>event validity</x:v>
      </x:c>
      <x:c r="E913" t="str">
        <x:v>RFA-E129</x:v>
      </x:c>
      <x:c r="F913" t="n">
        <x:f>'Event Estimator'!L135</x:f>
        <x:v>0</x:v>
      </x:c>
      <x:c r="G913" t="n">
        <x:v>1</x:v>
      </x:c>
      <x:c r="H913" t="str">
        <x:v>equals</x:v>
      </x:c>
      <x:c r="I913" t="str">
        <x:v>independent acceptance</x:v>
      </x:c>
      <x:c r="J913" t="str">
        <x:f>IF(F913=1,"PASS","OPEN")</x:f>
        <x:v>OPEN</x:v>
      </x:c>
    </x:row>
    <x:row r="914">
      <x:c r="B914" t="str">
        <x:v>PHY-OC-129</x:v>
      </x:c>
      <x:c r="C914" t="str">
        <x:v>PHYSICAL</x:v>
      </x:c>
      <x:c r="D914" t="str">
        <x:v>event outcome</x:v>
      </x:c>
      <x:c r="E914" t="str">
        <x:v>RFA-E129</x:v>
      </x:c>
      <x:c r="F914" t="n">
        <x:f>IF('Event Estimator'!M135&lt;&gt;"",1,0)</x:f>
        <x:v>0</x:v>
      </x:c>
      <x:c r="G914" t="n">
        <x:v>1</x:v>
      </x:c>
      <x:c r="H914" t="str">
        <x:v>equals</x:v>
      </x:c>
      <x:c r="I914" t="str">
        <x:v>independent acceptance</x:v>
      </x:c>
      <x:c r="J914" t="str">
        <x:f>IF(F914=1,"PASS","OPEN")</x:f>
        <x:v>OPEN</x:v>
      </x:c>
    </x:row>
    <x:row r="915">
      <x:c r="B915" t="str">
        <x:v>PHY-EX-130</x:v>
      </x:c>
      <x:c r="C915" t="str">
        <x:v>PHYSICAL</x:v>
      </x:c>
      <x:c r="D915" t="str">
        <x:v>event execution</x:v>
      </x:c>
      <x:c r="E915" t="str">
        <x:v>RFA-E130</x:v>
      </x:c>
      <x:c r="F915" t="n">
        <x:f>IF('Event Register'!M136&lt;&gt;"",1,0)</x:f>
        <x:v>0</x:v>
      </x:c>
      <x:c r="G915" t="n">
        <x:v>1</x:v>
      </x:c>
      <x:c r="H915" t="str">
        <x:v>equals</x:v>
      </x:c>
      <x:c r="I915" t="str">
        <x:v>independent acceptance</x:v>
      </x:c>
      <x:c r="J915" t="str">
        <x:f>IF(F915=1,"PASS","OPEN")</x:f>
        <x:v>OPEN</x:v>
      </x:c>
    </x:row>
    <x:row r="916">
      <x:c r="B916" t="str">
        <x:v>PHY-VA-130</x:v>
      </x:c>
      <x:c r="C916" t="str">
        <x:v>PHYSICAL</x:v>
      </x:c>
      <x:c r="D916" t="str">
        <x:v>event validity</x:v>
      </x:c>
      <x:c r="E916" t="str">
        <x:v>RFA-E130</x:v>
      </x:c>
      <x:c r="F916" t="n">
        <x:f>'Event Estimator'!L136</x:f>
        <x:v>0</x:v>
      </x:c>
      <x:c r="G916" t="n">
        <x:v>1</x:v>
      </x:c>
      <x:c r="H916" t="str">
        <x:v>equals</x:v>
      </x:c>
      <x:c r="I916" t="str">
        <x:v>independent acceptance</x:v>
      </x:c>
      <x:c r="J916" t="str">
        <x:f>IF(F916=1,"PASS","OPEN")</x:f>
        <x:v>OPEN</x:v>
      </x:c>
    </x:row>
    <x:row r="917">
      <x:c r="B917" t="str">
        <x:v>PHY-OC-130</x:v>
      </x:c>
      <x:c r="C917" t="str">
        <x:v>PHYSICAL</x:v>
      </x:c>
      <x:c r="D917" t="str">
        <x:v>event outcome</x:v>
      </x:c>
      <x:c r="E917" t="str">
        <x:v>RFA-E130</x:v>
      </x:c>
      <x:c r="F917" t="n">
        <x:f>IF('Event Estimator'!M136&lt;&gt;"",1,0)</x:f>
        <x:v>0</x:v>
      </x:c>
      <x:c r="G917" t="n">
        <x:v>1</x:v>
      </x:c>
      <x:c r="H917" t="str">
        <x:v>equals</x:v>
      </x:c>
      <x:c r="I917" t="str">
        <x:v>independent acceptance</x:v>
      </x:c>
      <x:c r="J917" t="str">
        <x:f>IF(F917=1,"PASS","OPEN")</x:f>
        <x:v>OPEN</x:v>
      </x:c>
    </x:row>
    <x:row r="918">
      <x:c r="B918" t="str">
        <x:v>PHY-EX-131</x:v>
      </x:c>
      <x:c r="C918" t="str">
        <x:v>PHYSICAL</x:v>
      </x:c>
      <x:c r="D918" t="str">
        <x:v>event execution</x:v>
      </x:c>
      <x:c r="E918" t="str">
        <x:v>RFA-E131</x:v>
      </x:c>
      <x:c r="F918" t="n">
        <x:f>IF('Event Register'!M137&lt;&gt;"",1,0)</x:f>
        <x:v>0</x:v>
      </x:c>
      <x:c r="G918" t="n">
        <x:v>1</x:v>
      </x:c>
      <x:c r="H918" t="str">
        <x:v>equals</x:v>
      </x:c>
      <x:c r="I918" t="str">
        <x:v>independent acceptance</x:v>
      </x:c>
      <x:c r="J918" t="str">
        <x:f>IF(F918=1,"PASS","OPEN")</x:f>
        <x:v>OPEN</x:v>
      </x:c>
    </x:row>
    <x:row r="919">
      <x:c r="B919" t="str">
        <x:v>PHY-VA-131</x:v>
      </x:c>
      <x:c r="C919" t="str">
        <x:v>PHYSICAL</x:v>
      </x:c>
      <x:c r="D919" t="str">
        <x:v>event validity</x:v>
      </x:c>
      <x:c r="E919" t="str">
        <x:v>RFA-E131</x:v>
      </x:c>
      <x:c r="F919" t="n">
        <x:f>'Event Estimator'!L137</x:f>
        <x:v>0</x:v>
      </x:c>
      <x:c r="G919" t="n">
        <x:v>1</x:v>
      </x:c>
      <x:c r="H919" t="str">
        <x:v>equals</x:v>
      </x:c>
      <x:c r="I919" t="str">
        <x:v>independent acceptance</x:v>
      </x:c>
      <x:c r="J919" t="str">
        <x:f>IF(F919=1,"PASS","OPEN")</x:f>
        <x:v>OPEN</x:v>
      </x:c>
    </x:row>
    <x:row r="920">
      <x:c r="B920" t="str">
        <x:v>PHY-OC-131</x:v>
      </x:c>
      <x:c r="C920" t="str">
        <x:v>PHYSICAL</x:v>
      </x:c>
      <x:c r="D920" t="str">
        <x:v>event outcome</x:v>
      </x:c>
      <x:c r="E920" t="str">
        <x:v>RFA-E131</x:v>
      </x:c>
      <x:c r="F920" t="n">
        <x:f>IF('Event Estimator'!M137&lt;&gt;"",1,0)</x:f>
        <x:v>0</x:v>
      </x:c>
      <x:c r="G920" t="n">
        <x:v>1</x:v>
      </x:c>
      <x:c r="H920" t="str">
        <x:v>equals</x:v>
      </x:c>
      <x:c r="I920" t="str">
        <x:v>independent acceptance</x:v>
      </x:c>
      <x:c r="J920" t="str">
        <x:f>IF(F920=1,"PASS","OPEN")</x:f>
        <x:v>OPEN</x:v>
      </x:c>
    </x:row>
    <x:row r="921">
      <x:c r="B921" t="str">
        <x:v>PHY-EX-132</x:v>
      </x:c>
      <x:c r="C921" t="str">
        <x:v>PHYSICAL</x:v>
      </x:c>
      <x:c r="D921" t="str">
        <x:v>event execution</x:v>
      </x:c>
      <x:c r="E921" t="str">
        <x:v>RFA-E132</x:v>
      </x:c>
      <x:c r="F921" t="n">
        <x:f>IF('Event Register'!M138&lt;&gt;"",1,0)</x:f>
        <x:v>0</x:v>
      </x:c>
      <x:c r="G921" t="n">
        <x:v>1</x:v>
      </x:c>
      <x:c r="H921" t="str">
        <x:v>equals</x:v>
      </x:c>
      <x:c r="I921" t="str">
        <x:v>independent acceptance</x:v>
      </x:c>
      <x:c r="J921" t="str">
        <x:f>IF(F921=1,"PASS","OPEN")</x:f>
        <x:v>OPEN</x:v>
      </x:c>
    </x:row>
    <x:row r="922">
      <x:c r="B922" t="str">
        <x:v>PHY-VA-132</x:v>
      </x:c>
      <x:c r="C922" t="str">
        <x:v>PHYSICAL</x:v>
      </x:c>
      <x:c r="D922" t="str">
        <x:v>event validity</x:v>
      </x:c>
      <x:c r="E922" t="str">
        <x:v>RFA-E132</x:v>
      </x:c>
      <x:c r="F922" t="n">
        <x:f>'Event Estimator'!L138</x:f>
        <x:v>0</x:v>
      </x:c>
      <x:c r="G922" t="n">
        <x:v>1</x:v>
      </x:c>
      <x:c r="H922" t="str">
        <x:v>equals</x:v>
      </x:c>
      <x:c r="I922" t="str">
        <x:v>independent acceptance</x:v>
      </x:c>
      <x:c r="J922" t="str">
        <x:f>IF(F922=1,"PASS","OPEN")</x:f>
        <x:v>OPEN</x:v>
      </x:c>
    </x:row>
    <x:row r="923">
      <x:c r="B923" t="str">
        <x:v>PHY-OC-132</x:v>
      </x:c>
      <x:c r="C923" t="str">
        <x:v>PHYSICAL</x:v>
      </x:c>
      <x:c r="D923" t="str">
        <x:v>event outcome</x:v>
      </x:c>
      <x:c r="E923" t="str">
        <x:v>RFA-E132</x:v>
      </x:c>
      <x:c r="F923" t="n">
        <x:f>IF('Event Estimator'!M138&lt;&gt;"",1,0)</x:f>
        <x:v>0</x:v>
      </x:c>
      <x:c r="G923" t="n">
        <x:v>1</x:v>
      </x:c>
      <x:c r="H923" t="str">
        <x:v>equals</x:v>
      </x:c>
      <x:c r="I923" t="str">
        <x:v>independent acceptance</x:v>
      </x:c>
      <x:c r="J923" t="str">
        <x:f>IF(F923=1,"PASS","OPEN")</x:f>
        <x:v>OPEN</x:v>
      </x:c>
    </x:row>
    <x:row r="924">
      <x:c r="B924" t="str">
        <x:v>PHY-EX-133</x:v>
      </x:c>
      <x:c r="C924" t="str">
        <x:v>PHYSICAL</x:v>
      </x:c>
      <x:c r="D924" t="str">
        <x:v>event execution</x:v>
      </x:c>
      <x:c r="E924" t="str">
        <x:v>RFA-E133</x:v>
      </x:c>
      <x:c r="F924" t="n">
        <x:f>IF('Event Register'!M139&lt;&gt;"",1,0)</x:f>
        <x:v>0</x:v>
      </x:c>
      <x:c r="G924" t="n">
        <x:v>1</x:v>
      </x:c>
      <x:c r="H924" t="str">
        <x:v>equals</x:v>
      </x:c>
      <x:c r="I924" t="str">
        <x:v>independent acceptance</x:v>
      </x:c>
      <x:c r="J924" t="str">
        <x:f>IF(F924=1,"PASS","OPEN")</x:f>
        <x:v>OPEN</x:v>
      </x:c>
    </x:row>
    <x:row r="925">
      <x:c r="B925" t="str">
        <x:v>PHY-VA-133</x:v>
      </x:c>
      <x:c r="C925" t="str">
        <x:v>PHYSICAL</x:v>
      </x:c>
      <x:c r="D925" t="str">
        <x:v>event validity</x:v>
      </x:c>
      <x:c r="E925" t="str">
        <x:v>RFA-E133</x:v>
      </x:c>
      <x:c r="F925" t="n">
        <x:f>'Event Estimator'!L139</x:f>
        <x:v>0</x:v>
      </x:c>
      <x:c r="G925" t="n">
        <x:v>1</x:v>
      </x:c>
      <x:c r="H925" t="str">
        <x:v>equals</x:v>
      </x:c>
      <x:c r="I925" t="str">
        <x:v>independent acceptance</x:v>
      </x:c>
      <x:c r="J925" t="str">
        <x:f>IF(F925=1,"PASS","OPEN")</x:f>
        <x:v>OPEN</x:v>
      </x:c>
    </x:row>
    <x:row r="926">
      <x:c r="B926" t="str">
        <x:v>PHY-OC-133</x:v>
      </x:c>
      <x:c r="C926" t="str">
        <x:v>PHYSICAL</x:v>
      </x:c>
      <x:c r="D926" t="str">
        <x:v>event outcome</x:v>
      </x:c>
      <x:c r="E926" t="str">
        <x:v>RFA-E133</x:v>
      </x:c>
      <x:c r="F926" t="n">
        <x:f>IF('Event Estimator'!M139&lt;&gt;"",1,0)</x:f>
        <x:v>0</x:v>
      </x:c>
      <x:c r="G926" t="n">
        <x:v>1</x:v>
      </x:c>
      <x:c r="H926" t="str">
        <x:v>equals</x:v>
      </x:c>
      <x:c r="I926" t="str">
        <x:v>independent acceptance</x:v>
      </x:c>
      <x:c r="J926" t="str">
        <x:f>IF(F926=1,"PASS","OPEN")</x:f>
        <x:v>OPEN</x:v>
      </x:c>
    </x:row>
    <x:row r="927">
      <x:c r="B927" t="str">
        <x:v>PHY-EX-134</x:v>
      </x:c>
      <x:c r="C927" t="str">
        <x:v>PHYSICAL</x:v>
      </x:c>
      <x:c r="D927" t="str">
        <x:v>event execution</x:v>
      </x:c>
      <x:c r="E927" t="str">
        <x:v>RFA-E134</x:v>
      </x:c>
      <x:c r="F927" t="n">
        <x:f>IF('Event Register'!M140&lt;&gt;"",1,0)</x:f>
        <x:v>0</x:v>
      </x:c>
      <x:c r="G927" t="n">
        <x:v>1</x:v>
      </x:c>
      <x:c r="H927" t="str">
        <x:v>equals</x:v>
      </x:c>
      <x:c r="I927" t="str">
        <x:v>independent acceptance</x:v>
      </x:c>
      <x:c r="J927" t="str">
        <x:f>IF(F927=1,"PASS","OPEN")</x:f>
        <x:v>OPEN</x:v>
      </x:c>
    </x:row>
    <x:row r="928">
      <x:c r="B928" t="str">
        <x:v>PHY-VA-134</x:v>
      </x:c>
      <x:c r="C928" t="str">
        <x:v>PHYSICAL</x:v>
      </x:c>
      <x:c r="D928" t="str">
        <x:v>event validity</x:v>
      </x:c>
      <x:c r="E928" t="str">
        <x:v>RFA-E134</x:v>
      </x:c>
      <x:c r="F928" t="n">
        <x:f>'Event Estimator'!L140</x:f>
        <x:v>0</x:v>
      </x:c>
      <x:c r="G928" t="n">
        <x:v>1</x:v>
      </x:c>
      <x:c r="H928" t="str">
        <x:v>equals</x:v>
      </x:c>
      <x:c r="I928" t="str">
        <x:v>independent acceptance</x:v>
      </x:c>
      <x:c r="J928" t="str">
        <x:f>IF(F928=1,"PASS","OPEN")</x:f>
        <x:v>OPEN</x:v>
      </x:c>
    </x:row>
    <x:row r="929">
      <x:c r="B929" t="str">
        <x:v>PHY-OC-134</x:v>
      </x:c>
      <x:c r="C929" t="str">
        <x:v>PHYSICAL</x:v>
      </x:c>
      <x:c r="D929" t="str">
        <x:v>event outcome</x:v>
      </x:c>
      <x:c r="E929" t="str">
        <x:v>RFA-E134</x:v>
      </x:c>
      <x:c r="F929" t="n">
        <x:f>IF('Event Estimator'!M140&lt;&gt;"",1,0)</x:f>
        <x:v>0</x:v>
      </x:c>
      <x:c r="G929" t="n">
        <x:v>1</x:v>
      </x:c>
      <x:c r="H929" t="str">
        <x:v>equals</x:v>
      </x:c>
      <x:c r="I929" t="str">
        <x:v>independent acceptance</x:v>
      </x:c>
      <x:c r="J929" t="str">
        <x:f>IF(F929=1,"PASS","OPEN")</x:f>
        <x:v>OPEN</x:v>
      </x:c>
    </x:row>
    <x:row r="930">
      <x:c r="B930" t="str">
        <x:v>PHY-EX-135</x:v>
      </x:c>
      <x:c r="C930" t="str">
        <x:v>PHYSICAL</x:v>
      </x:c>
      <x:c r="D930" t="str">
        <x:v>event execution</x:v>
      </x:c>
      <x:c r="E930" t="str">
        <x:v>RFA-E135</x:v>
      </x:c>
      <x:c r="F930" t="n">
        <x:f>IF('Event Register'!M141&lt;&gt;"",1,0)</x:f>
        <x:v>0</x:v>
      </x:c>
      <x:c r="G930" t="n">
        <x:v>1</x:v>
      </x:c>
      <x:c r="H930" t="str">
        <x:v>equals</x:v>
      </x:c>
      <x:c r="I930" t="str">
        <x:v>independent acceptance</x:v>
      </x:c>
      <x:c r="J930" t="str">
        <x:f>IF(F930=1,"PASS","OPEN")</x:f>
        <x:v>OPEN</x:v>
      </x:c>
    </x:row>
    <x:row r="931">
      <x:c r="B931" t="str">
        <x:v>PHY-VA-135</x:v>
      </x:c>
      <x:c r="C931" t="str">
        <x:v>PHYSICAL</x:v>
      </x:c>
      <x:c r="D931" t="str">
        <x:v>event validity</x:v>
      </x:c>
      <x:c r="E931" t="str">
        <x:v>RFA-E135</x:v>
      </x:c>
      <x:c r="F931" t="n">
        <x:f>'Event Estimator'!L141</x:f>
        <x:v>0</x:v>
      </x:c>
      <x:c r="G931" t="n">
        <x:v>1</x:v>
      </x:c>
      <x:c r="H931" t="str">
        <x:v>equals</x:v>
      </x:c>
      <x:c r="I931" t="str">
        <x:v>independent acceptance</x:v>
      </x:c>
      <x:c r="J931" t="str">
        <x:f>IF(F931=1,"PASS","OPEN")</x:f>
        <x:v>OPEN</x:v>
      </x:c>
    </x:row>
    <x:row r="932">
      <x:c r="B932" t="str">
        <x:v>PHY-OC-135</x:v>
      </x:c>
      <x:c r="C932" t="str">
        <x:v>PHYSICAL</x:v>
      </x:c>
      <x:c r="D932" t="str">
        <x:v>event outcome</x:v>
      </x:c>
      <x:c r="E932" t="str">
        <x:v>RFA-E135</x:v>
      </x:c>
      <x:c r="F932" t="n">
        <x:f>IF('Event Estimator'!M141&lt;&gt;"",1,0)</x:f>
        <x:v>0</x:v>
      </x:c>
      <x:c r="G932" t="n">
        <x:v>1</x:v>
      </x:c>
      <x:c r="H932" t="str">
        <x:v>equals</x:v>
      </x:c>
      <x:c r="I932" t="str">
        <x:v>independent acceptance</x:v>
      </x:c>
      <x:c r="J932" t="str">
        <x:f>IF(F932=1,"PASS","OPEN")</x:f>
        <x:v>OPEN</x:v>
      </x:c>
    </x:row>
    <x:row r="933">
      <x:c r="B933" t="str">
        <x:v>PHY-EX-136</x:v>
      </x:c>
      <x:c r="C933" t="str">
        <x:v>PHYSICAL</x:v>
      </x:c>
      <x:c r="D933" t="str">
        <x:v>event execution</x:v>
      </x:c>
      <x:c r="E933" t="str">
        <x:v>RFA-E136</x:v>
      </x:c>
      <x:c r="F933" t="n">
        <x:f>IF('Event Register'!M142&lt;&gt;"",1,0)</x:f>
        <x:v>0</x:v>
      </x:c>
      <x:c r="G933" t="n">
        <x:v>1</x:v>
      </x:c>
      <x:c r="H933" t="str">
        <x:v>equals</x:v>
      </x:c>
      <x:c r="I933" t="str">
        <x:v>independent acceptance</x:v>
      </x:c>
      <x:c r="J933" t="str">
        <x:f>IF(F933=1,"PASS","OPEN")</x:f>
        <x:v>OPEN</x:v>
      </x:c>
    </x:row>
    <x:row r="934">
      <x:c r="B934" t="str">
        <x:v>PHY-VA-136</x:v>
      </x:c>
      <x:c r="C934" t="str">
        <x:v>PHYSICAL</x:v>
      </x:c>
      <x:c r="D934" t="str">
        <x:v>event validity</x:v>
      </x:c>
      <x:c r="E934" t="str">
        <x:v>RFA-E136</x:v>
      </x:c>
      <x:c r="F934" t="n">
        <x:f>'Event Estimator'!L142</x:f>
        <x:v>0</x:v>
      </x:c>
      <x:c r="G934" t="n">
        <x:v>1</x:v>
      </x:c>
      <x:c r="H934" t="str">
        <x:v>equals</x:v>
      </x:c>
      <x:c r="I934" t="str">
        <x:v>independent acceptance</x:v>
      </x:c>
      <x:c r="J934" t="str">
        <x:f>IF(F934=1,"PASS","OPEN")</x:f>
        <x:v>OPEN</x:v>
      </x:c>
    </x:row>
    <x:row r="935">
      <x:c r="B935" t="str">
        <x:v>PHY-OC-136</x:v>
      </x:c>
      <x:c r="C935" t="str">
        <x:v>PHYSICAL</x:v>
      </x:c>
      <x:c r="D935" t="str">
        <x:v>event outcome</x:v>
      </x:c>
      <x:c r="E935" t="str">
        <x:v>RFA-E136</x:v>
      </x:c>
      <x:c r="F935" t="n">
        <x:f>IF('Event Estimator'!M142&lt;&gt;"",1,0)</x:f>
        <x:v>0</x:v>
      </x:c>
      <x:c r="G935" t="n">
        <x:v>1</x:v>
      </x:c>
      <x:c r="H935" t="str">
        <x:v>equals</x:v>
      </x:c>
      <x:c r="I935" t="str">
        <x:v>independent acceptance</x:v>
      </x:c>
      <x:c r="J935" t="str">
        <x:f>IF(F935=1,"PASS","OPEN")</x:f>
        <x:v>OPEN</x:v>
      </x:c>
    </x:row>
    <x:row r="936">
      <x:c r="B936" t="str">
        <x:v>PHY-EX-137</x:v>
      </x:c>
      <x:c r="C936" t="str">
        <x:v>PHYSICAL</x:v>
      </x:c>
      <x:c r="D936" t="str">
        <x:v>event execution</x:v>
      </x:c>
      <x:c r="E936" t="str">
        <x:v>RFA-E137</x:v>
      </x:c>
      <x:c r="F936" t="n">
        <x:f>IF('Event Register'!M143&lt;&gt;"",1,0)</x:f>
        <x:v>0</x:v>
      </x:c>
      <x:c r="G936" t="n">
        <x:v>1</x:v>
      </x:c>
      <x:c r="H936" t="str">
        <x:v>equals</x:v>
      </x:c>
      <x:c r="I936" t="str">
        <x:v>independent acceptance</x:v>
      </x:c>
      <x:c r="J936" t="str">
        <x:f>IF(F936=1,"PASS","OPEN")</x:f>
        <x:v>OPEN</x:v>
      </x:c>
    </x:row>
    <x:row r="937">
      <x:c r="B937" t="str">
        <x:v>PHY-VA-137</x:v>
      </x:c>
      <x:c r="C937" t="str">
        <x:v>PHYSICAL</x:v>
      </x:c>
      <x:c r="D937" t="str">
        <x:v>event validity</x:v>
      </x:c>
      <x:c r="E937" t="str">
        <x:v>RFA-E137</x:v>
      </x:c>
      <x:c r="F937" t="n">
        <x:f>'Event Estimator'!L143</x:f>
        <x:v>0</x:v>
      </x:c>
      <x:c r="G937" t="n">
        <x:v>1</x:v>
      </x:c>
      <x:c r="H937" t="str">
        <x:v>equals</x:v>
      </x:c>
      <x:c r="I937" t="str">
        <x:v>independent acceptance</x:v>
      </x:c>
      <x:c r="J937" t="str">
        <x:f>IF(F937=1,"PASS","OPEN")</x:f>
        <x:v>OPEN</x:v>
      </x:c>
    </x:row>
    <x:row r="938">
      <x:c r="B938" t="str">
        <x:v>PHY-OC-137</x:v>
      </x:c>
      <x:c r="C938" t="str">
        <x:v>PHYSICAL</x:v>
      </x:c>
      <x:c r="D938" t="str">
        <x:v>event outcome</x:v>
      </x:c>
      <x:c r="E938" t="str">
        <x:v>RFA-E137</x:v>
      </x:c>
      <x:c r="F938" t="n">
        <x:f>IF('Event Estimator'!M143&lt;&gt;"",1,0)</x:f>
        <x:v>0</x:v>
      </x:c>
      <x:c r="G938" t="n">
        <x:v>1</x:v>
      </x:c>
      <x:c r="H938" t="str">
        <x:v>equals</x:v>
      </x:c>
      <x:c r="I938" t="str">
        <x:v>independent acceptance</x:v>
      </x:c>
      <x:c r="J938" t="str">
        <x:f>IF(F938=1,"PASS","OPEN")</x:f>
        <x:v>OPEN</x:v>
      </x:c>
    </x:row>
    <x:row r="939">
      <x:c r="B939" t="str">
        <x:v>PHY-EX-138</x:v>
      </x:c>
      <x:c r="C939" t="str">
        <x:v>PHYSICAL</x:v>
      </x:c>
      <x:c r="D939" t="str">
        <x:v>event execution</x:v>
      </x:c>
      <x:c r="E939" t="str">
        <x:v>RFA-E138</x:v>
      </x:c>
      <x:c r="F939" t="n">
        <x:f>IF('Event Register'!M144&lt;&gt;"",1,0)</x:f>
        <x:v>0</x:v>
      </x:c>
      <x:c r="G939" t="n">
        <x:v>1</x:v>
      </x:c>
      <x:c r="H939" t="str">
        <x:v>equals</x:v>
      </x:c>
      <x:c r="I939" t="str">
        <x:v>independent acceptance</x:v>
      </x:c>
      <x:c r="J939" t="str">
        <x:f>IF(F939=1,"PASS","OPEN")</x:f>
        <x:v>OPEN</x:v>
      </x:c>
    </x:row>
    <x:row r="940">
      <x:c r="B940" t="str">
        <x:v>PHY-VA-138</x:v>
      </x:c>
      <x:c r="C940" t="str">
        <x:v>PHYSICAL</x:v>
      </x:c>
      <x:c r="D940" t="str">
        <x:v>event validity</x:v>
      </x:c>
      <x:c r="E940" t="str">
        <x:v>RFA-E138</x:v>
      </x:c>
      <x:c r="F940" t="n">
        <x:f>'Event Estimator'!L144</x:f>
        <x:v>0</x:v>
      </x:c>
      <x:c r="G940" t="n">
        <x:v>1</x:v>
      </x:c>
      <x:c r="H940" t="str">
        <x:v>equals</x:v>
      </x:c>
      <x:c r="I940" t="str">
        <x:v>independent acceptance</x:v>
      </x:c>
      <x:c r="J940" t="str">
        <x:f>IF(F940=1,"PASS","OPEN")</x:f>
        <x:v>OPEN</x:v>
      </x:c>
    </x:row>
    <x:row r="941">
      <x:c r="B941" t="str">
        <x:v>PHY-OC-138</x:v>
      </x:c>
      <x:c r="C941" t="str">
        <x:v>PHYSICAL</x:v>
      </x:c>
      <x:c r="D941" t="str">
        <x:v>event outcome</x:v>
      </x:c>
      <x:c r="E941" t="str">
        <x:v>RFA-E138</x:v>
      </x:c>
      <x:c r="F941" t="n">
        <x:f>IF('Event Estimator'!M144&lt;&gt;"",1,0)</x:f>
        <x:v>0</x:v>
      </x:c>
      <x:c r="G941" t="n">
        <x:v>1</x:v>
      </x:c>
      <x:c r="H941" t="str">
        <x:v>equals</x:v>
      </x:c>
      <x:c r="I941" t="str">
        <x:v>independent acceptance</x:v>
      </x:c>
      <x:c r="J941" t="str">
        <x:f>IF(F941=1,"PASS","OPEN")</x:f>
        <x:v>OPEN</x:v>
      </x:c>
    </x:row>
    <x:row r="942">
      <x:c r="B942" t="str">
        <x:v>PHY-EX-139</x:v>
      </x:c>
      <x:c r="C942" t="str">
        <x:v>PHYSICAL</x:v>
      </x:c>
      <x:c r="D942" t="str">
        <x:v>event execution</x:v>
      </x:c>
      <x:c r="E942" t="str">
        <x:v>RFA-E139</x:v>
      </x:c>
      <x:c r="F942" t="n">
        <x:f>IF('Event Register'!M145&lt;&gt;"",1,0)</x:f>
        <x:v>0</x:v>
      </x:c>
      <x:c r="G942" t="n">
        <x:v>1</x:v>
      </x:c>
      <x:c r="H942" t="str">
        <x:v>equals</x:v>
      </x:c>
      <x:c r="I942" t="str">
        <x:v>independent acceptance</x:v>
      </x:c>
      <x:c r="J942" t="str">
        <x:f>IF(F942=1,"PASS","OPEN")</x:f>
        <x:v>OPEN</x:v>
      </x:c>
    </x:row>
    <x:row r="943">
      <x:c r="B943" t="str">
        <x:v>PHY-VA-139</x:v>
      </x:c>
      <x:c r="C943" t="str">
        <x:v>PHYSICAL</x:v>
      </x:c>
      <x:c r="D943" t="str">
        <x:v>event validity</x:v>
      </x:c>
      <x:c r="E943" t="str">
        <x:v>RFA-E139</x:v>
      </x:c>
      <x:c r="F943" t="n">
        <x:f>'Event Estimator'!L145</x:f>
        <x:v>0</x:v>
      </x:c>
      <x:c r="G943" t="n">
        <x:v>1</x:v>
      </x:c>
      <x:c r="H943" t="str">
        <x:v>equals</x:v>
      </x:c>
      <x:c r="I943" t="str">
        <x:v>independent acceptance</x:v>
      </x:c>
      <x:c r="J943" t="str">
        <x:f>IF(F943=1,"PASS","OPEN")</x:f>
        <x:v>OPEN</x:v>
      </x:c>
    </x:row>
    <x:row r="944">
      <x:c r="B944" t="str">
        <x:v>PHY-OC-139</x:v>
      </x:c>
      <x:c r="C944" t="str">
        <x:v>PHYSICAL</x:v>
      </x:c>
      <x:c r="D944" t="str">
        <x:v>event outcome</x:v>
      </x:c>
      <x:c r="E944" t="str">
        <x:v>RFA-E139</x:v>
      </x:c>
      <x:c r="F944" t="n">
        <x:f>IF('Event Estimator'!M145&lt;&gt;"",1,0)</x:f>
        <x:v>0</x:v>
      </x:c>
      <x:c r="G944" t="n">
        <x:v>1</x:v>
      </x:c>
      <x:c r="H944" t="str">
        <x:v>equals</x:v>
      </x:c>
      <x:c r="I944" t="str">
        <x:v>independent acceptance</x:v>
      </x:c>
      <x:c r="J944" t="str">
        <x:f>IF(F944=1,"PASS","OPEN")</x:f>
        <x:v>OPEN</x:v>
      </x:c>
    </x:row>
    <x:row r="945">
      <x:c r="B945" t="str">
        <x:v>PHY-EX-140</x:v>
      </x:c>
      <x:c r="C945" t="str">
        <x:v>PHYSICAL</x:v>
      </x:c>
      <x:c r="D945" t="str">
        <x:v>event execution</x:v>
      </x:c>
      <x:c r="E945" t="str">
        <x:v>RFA-E140</x:v>
      </x:c>
      <x:c r="F945" t="n">
        <x:f>IF('Event Register'!M146&lt;&gt;"",1,0)</x:f>
        <x:v>0</x:v>
      </x:c>
      <x:c r="G945" t="n">
        <x:v>1</x:v>
      </x:c>
      <x:c r="H945" t="str">
        <x:v>equals</x:v>
      </x:c>
      <x:c r="I945" t="str">
        <x:v>independent acceptance</x:v>
      </x:c>
      <x:c r="J945" t="str">
        <x:f>IF(F945=1,"PASS","OPEN")</x:f>
        <x:v>OPEN</x:v>
      </x:c>
    </x:row>
    <x:row r="946">
      <x:c r="B946" t="str">
        <x:v>PHY-VA-140</x:v>
      </x:c>
      <x:c r="C946" t="str">
        <x:v>PHYSICAL</x:v>
      </x:c>
      <x:c r="D946" t="str">
        <x:v>event validity</x:v>
      </x:c>
      <x:c r="E946" t="str">
        <x:v>RFA-E140</x:v>
      </x:c>
      <x:c r="F946" t="n">
        <x:f>'Event Estimator'!L146</x:f>
        <x:v>0</x:v>
      </x:c>
      <x:c r="G946" t="n">
        <x:v>1</x:v>
      </x:c>
      <x:c r="H946" t="str">
        <x:v>equals</x:v>
      </x:c>
      <x:c r="I946" t="str">
        <x:v>independent acceptance</x:v>
      </x:c>
      <x:c r="J946" t="str">
        <x:f>IF(F946=1,"PASS","OPEN")</x:f>
        <x:v>OPEN</x:v>
      </x:c>
    </x:row>
    <x:row r="947">
      <x:c r="B947" t="str">
        <x:v>PHY-OC-140</x:v>
      </x:c>
      <x:c r="C947" t="str">
        <x:v>PHYSICAL</x:v>
      </x:c>
      <x:c r="D947" t="str">
        <x:v>event outcome</x:v>
      </x:c>
      <x:c r="E947" t="str">
        <x:v>RFA-E140</x:v>
      </x:c>
      <x:c r="F947" t="n">
        <x:f>IF('Event Estimator'!M146&lt;&gt;"",1,0)</x:f>
        <x:v>0</x:v>
      </x:c>
      <x:c r="G947" t="n">
        <x:v>1</x:v>
      </x:c>
      <x:c r="H947" t="str">
        <x:v>equals</x:v>
      </x:c>
      <x:c r="I947" t="str">
        <x:v>independent acceptance</x:v>
      </x:c>
      <x:c r="J947" t="str">
        <x:f>IF(F947=1,"PASS","OPEN")</x:f>
        <x:v>OPEN</x:v>
      </x:c>
    </x:row>
    <x:row r="948">
      <x:c r="B948" t="str">
        <x:v>PHY-EX-141</x:v>
      </x:c>
      <x:c r="C948" t="str">
        <x:v>PHYSICAL</x:v>
      </x:c>
      <x:c r="D948" t="str">
        <x:v>event execution</x:v>
      </x:c>
      <x:c r="E948" t="str">
        <x:v>RFA-E141</x:v>
      </x:c>
      <x:c r="F948" t="n">
        <x:f>IF('Event Register'!M147&lt;&gt;"",1,0)</x:f>
        <x:v>0</x:v>
      </x:c>
      <x:c r="G948" t="n">
        <x:v>1</x:v>
      </x:c>
      <x:c r="H948" t="str">
        <x:v>equals</x:v>
      </x:c>
      <x:c r="I948" t="str">
        <x:v>independent acceptance</x:v>
      </x:c>
      <x:c r="J948" t="str">
        <x:f>IF(F948=1,"PASS","OPEN")</x:f>
        <x:v>OPEN</x:v>
      </x:c>
    </x:row>
    <x:row r="949">
      <x:c r="B949" t="str">
        <x:v>PHY-VA-141</x:v>
      </x:c>
      <x:c r="C949" t="str">
        <x:v>PHYSICAL</x:v>
      </x:c>
      <x:c r="D949" t="str">
        <x:v>event validity</x:v>
      </x:c>
      <x:c r="E949" t="str">
        <x:v>RFA-E141</x:v>
      </x:c>
      <x:c r="F949" t="n">
        <x:f>'Event Estimator'!L147</x:f>
        <x:v>0</x:v>
      </x:c>
      <x:c r="G949" t="n">
        <x:v>1</x:v>
      </x:c>
      <x:c r="H949" t="str">
        <x:v>equals</x:v>
      </x:c>
      <x:c r="I949" t="str">
        <x:v>independent acceptance</x:v>
      </x:c>
      <x:c r="J949" t="str">
        <x:f>IF(F949=1,"PASS","OPEN")</x:f>
        <x:v>OPEN</x:v>
      </x:c>
    </x:row>
    <x:row r="950">
      <x:c r="B950" t="str">
        <x:v>PHY-OC-141</x:v>
      </x:c>
      <x:c r="C950" t="str">
        <x:v>PHYSICAL</x:v>
      </x:c>
      <x:c r="D950" t="str">
        <x:v>event outcome</x:v>
      </x:c>
      <x:c r="E950" t="str">
        <x:v>RFA-E141</x:v>
      </x:c>
      <x:c r="F950" t="n">
        <x:f>IF('Event Estimator'!M147&lt;&gt;"",1,0)</x:f>
        <x:v>0</x:v>
      </x:c>
      <x:c r="G950" t="n">
        <x:v>1</x:v>
      </x:c>
      <x:c r="H950" t="str">
        <x:v>equals</x:v>
      </x:c>
      <x:c r="I950" t="str">
        <x:v>independent acceptance</x:v>
      </x:c>
      <x:c r="J950" t="str">
        <x:f>IF(F950=1,"PASS","OPEN")</x:f>
        <x:v>OPEN</x:v>
      </x:c>
    </x:row>
    <x:row r="951">
      <x:c r="B951" t="str">
        <x:v>PHY-EX-142</x:v>
      </x:c>
      <x:c r="C951" t="str">
        <x:v>PHYSICAL</x:v>
      </x:c>
      <x:c r="D951" t="str">
        <x:v>event execution</x:v>
      </x:c>
      <x:c r="E951" t="str">
        <x:v>RFA-E142</x:v>
      </x:c>
      <x:c r="F951" t="n">
        <x:f>IF('Event Register'!M148&lt;&gt;"",1,0)</x:f>
        <x:v>0</x:v>
      </x:c>
      <x:c r="G951" t="n">
        <x:v>1</x:v>
      </x:c>
      <x:c r="H951" t="str">
        <x:v>equals</x:v>
      </x:c>
      <x:c r="I951" t="str">
        <x:v>independent acceptance</x:v>
      </x:c>
      <x:c r="J951" t="str">
        <x:f>IF(F951=1,"PASS","OPEN")</x:f>
        <x:v>OPEN</x:v>
      </x:c>
    </x:row>
    <x:row r="952">
      <x:c r="B952" t="str">
        <x:v>PHY-VA-142</x:v>
      </x:c>
      <x:c r="C952" t="str">
        <x:v>PHYSICAL</x:v>
      </x:c>
      <x:c r="D952" t="str">
        <x:v>event validity</x:v>
      </x:c>
      <x:c r="E952" t="str">
        <x:v>RFA-E142</x:v>
      </x:c>
      <x:c r="F952" t="n">
        <x:f>'Event Estimator'!L148</x:f>
        <x:v>0</x:v>
      </x:c>
      <x:c r="G952" t="n">
        <x:v>1</x:v>
      </x:c>
      <x:c r="H952" t="str">
        <x:v>equals</x:v>
      </x:c>
      <x:c r="I952" t="str">
        <x:v>independent acceptance</x:v>
      </x:c>
      <x:c r="J952" t="str">
        <x:f>IF(F952=1,"PASS","OPEN")</x:f>
        <x:v>OPEN</x:v>
      </x:c>
    </x:row>
    <x:row r="953">
      <x:c r="B953" t="str">
        <x:v>PHY-OC-142</x:v>
      </x:c>
      <x:c r="C953" t="str">
        <x:v>PHYSICAL</x:v>
      </x:c>
      <x:c r="D953" t="str">
        <x:v>event outcome</x:v>
      </x:c>
      <x:c r="E953" t="str">
        <x:v>RFA-E142</x:v>
      </x:c>
      <x:c r="F953" t="n">
        <x:f>IF('Event Estimator'!M148&lt;&gt;"",1,0)</x:f>
        <x:v>0</x:v>
      </x:c>
      <x:c r="G953" t="n">
        <x:v>1</x:v>
      </x:c>
      <x:c r="H953" t="str">
        <x:v>equals</x:v>
      </x:c>
      <x:c r="I953" t="str">
        <x:v>independent acceptance</x:v>
      </x:c>
      <x:c r="J953" t="str">
        <x:f>IF(F953=1,"PASS","OPEN")</x:f>
        <x:v>OPEN</x:v>
      </x:c>
    </x:row>
    <x:row r="954">
      <x:c r="B954" t="str">
        <x:v>PHY-EX-143</x:v>
      </x:c>
      <x:c r="C954" t="str">
        <x:v>PHYSICAL</x:v>
      </x:c>
      <x:c r="D954" t="str">
        <x:v>event execution</x:v>
      </x:c>
      <x:c r="E954" t="str">
        <x:v>RFA-E143</x:v>
      </x:c>
      <x:c r="F954" t="n">
        <x:f>IF('Event Register'!M149&lt;&gt;"",1,0)</x:f>
        <x:v>0</x:v>
      </x:c>
      <x:c r="G954" t="n">
        <x:v>1</x:v>
      </x:c>
      <x:c r="H954" t="str">
        <x:v>equals</x:v>
      </x:c>
      <x:c r="I954" t="str">
        <x:v>independent acceptance</x:v>
      </x:c>
      <x:c r="J954" t="str">
        <x:f>IF(F954=1,"PASS","OPEN")</x:f>
        <x:v>OPEN</x:v>
      </x:c>
    </x:row>
    <x:row r="955">
      <x:c r="B955" t="str">
        <x:v>PHY-VA-143</x:v>
      </x:c>
      <x:c r="C955" t="str">
        <x:v>PHYSICAL</x:v>
      </x:c>
      <x:c r="D955" t="str">
        <x:v>event validity</x:v>
      </x:c>
      <x:c r="E955" t="str">
        <x:v>RFA-E143</x:v>
      </x:c>
      <x:c r="F955" t="n">
        <x:f>'Event Estimator'!L149</x:f>
        <x:v>0</x:v>
      </x:c>
      <x:c r="G955" t="n">
        <x:v>1</x:v>
      </x:c>
      <x:c r="H955" t="str">
        <x:v>equals</x:v>
      </x:c>
      <x:c r="I955" t="str">
        <x:v>independent acceptance</x:v>
      </x:c>
      <x:c r="J955" t="str">
        <x:f>IF(F955=1,"PASS","OPEN")</x:f>
        <x:v>OPEN</x:v>
      </x:c>
    </x:row>
    <x:row r="956">
      <x:c r="B956" t="str">
        <x:v>PHY-OC-143</x:v>
      </x:c>
      <x:c r="C956" t="str">
        <x:v>PHYSICAL</x:v>
      </x:c>
      <x:c r="D956" t="str">
        <x:v>event outcome</x:v>
      </x:c>
      <x:c r="E956" t="str">
        <x:v>RFA-E143</x:v>
      </x:c>
      <x:c r="F956" t="n">
        <x:f>IF('Event Estimator'!M149&lt;&gt;"",1,0)</x:f>
        <x:v>0</x:v>
      </x:c>
      <x:c r="G956" t="n">
        <x:v>1</x:v>
      </x:c>
      <x:c r="H956" t="str">
        <x:v>equals</x:v>
      </x:c>
      <x:c r="I956" t="str">
        <x:v>independent acceptance</x:v>
      </x:c>
      <x:c r="J956" t="str">
        <x:f>IF(F956=1,"PASS","OPEN")</x:f>
        <x:v>OPEN</x:v>
      </x:c>
    </x:row>
    <x:row r="957">
      <x:c r="B957" t="str">
        <x:v>PHY-EX-144</x:v>
      </x:c>
      <x:c r="C957" t="str">
        <x:v>PHYSICAL</x:v>
      </x:c>
      <x:c r="D957" t="str">
        <x:v>event execution</x:v>
      </x:c>
      <x:c r="E957" t="str">
        <x:v>RFA-E144</x:v>
      </x:c>
      <x:c r="F957" t="n">
        <x:f>IF('Event Register'!M150&lt;&gt;"",1,0)</x:f>
        <x:v>0</x:v>
      </x:c>
      <x:c r="G957" t="n">
        <x:v>1</x:v>
      </x:c>
      <x:c r="H957" t="str">
        <x:v>equals</x:v>
      </x:c>
      <x:c r="I957" t="str">
        <x:v>independent acceptance</x:v>
      </x:c>
      <x:c r="J957" t="str">
        <x:f>IF(F957=1,"PASS","OPEN")</x:f>
        <x:v>OPEN</x:v>
      </x:c>
    </x:row>
    <x:row r="958">
      <x:c r="B958" t="str">
        <x:v>PHY-VA-144</x:v>
      </x:c>
      <x:c r="C958" t="str">
        <x:v>PHYSICAL</x:v>
      </x:c>
      <x:c r="D958" t="str">
        <x:v>event validity</x:v>
      </x:c>
      <x:c r="E958" t="str">
        <x:v>RFA-E144</x:v>
      </x:c>
      <x:c r="F958" t="n">
        <x:f>'Event Estimator'!L150</x:f>
        <x:v>0</x:v>
      </x:c>
      <x:c r="G958" t="n">
        <x:v>1</x:v>
      </x:c>
      <x:c r="H958" t="str">
        <x:v>equals</x:v>
      </x:c>
      <x:c r="I958" t="str">
        <x:v>independent acceptance</x:v>
      </x:c>
      <x:c r="J958" t="str">
        <x:f>IF(F958=1,"PASS","OPEN")</x:f>
        <x:v>OPEN</x:v>
      </x:c>
    </x:row>
    <x:row r="959">
      <x:c r="B959" t="str">
        <x:v>PHY-OC-144</x:v>
      </x:c>
      <x:c r="C959" t="str">
        <x:v>PHYSICAL</x:v>
      </x:c>
      <x:c r="D959" t="str">
        <x:v>event outcome</x:v>
      </x:c>
      <x:c r="E959" t="str">
        <x:v>RFA-E144</x:v>
      </x:c>
      <x:c r="F959" t="n">
        <x:f>IF('Event Estimator'!M150&lt;&gt;"",1,0)</x:f>
        <x:v>0</x:v>
      </x:c>
      <x:c r="G959" t="n">
        <x:v>1</x:v>
      </x:c>
      <x:c r="H959" t="str">
        <x:v>equals</x:v>
      </x:c>
      <x:c r="I959" t="str">
        <x:v>independent acceptance</x:v>
      </x:c>
      <x:c r="J959" t="str">
        <x:f>IF(F959=1,"PASS","OPEN")</x:f>
        <x:v>OPEN</x:v>
      </x:c>
    </x:row>
    <x:row r="960">
      <x:c r="B960" t="str">
        <x:v>PHY-EX-145</x:v>
      </x:c>
      <x:c r="C960" t="str">
        <x:v>PHYSICAL</x:v>
      </x:c>
      <x:c r="D960" t="str">
        <x:v>event execution</x:v>
      </x:c>
      <x:c r="E960" t="str">
        <x:v>RFA-E145</x:v>
      </x:c>
      <x:c r="F960" t="n">
        <x:f>IF('Event Register'!M151&lt;&gt;"",1,0)</x:f>
        <x:v>0</x:v>
      </x:c>
      <x:c r="G960" t="n">
        <x:v>1</x:v>
      </x:c>
      <x:c r="H960" t="str">
        <x:v>equals</x:v>
      </x:c>
      <x:c r="I960" t="str">
        <x:v>independent acceptance</x:v>
      </x:c>
      <x:c r="J960" t="str">
        <x:f>IF(F960=1,"PASS","OPEN")</x:f>
        <x:v>OPEN</x:v>
      </x:c>
    </x:row>
    <x:row r="961">
      <x:c r="B961" t="str">
        <x:v>PHY-VA-145</x:v>
      </x:c>
      <x:c r="C961" t="str">
        <x:v>PHYSICAL</x:v>
      </x:c>
      <x:c r="D961" t="str">
        <x:v>event validity</x:v>
      </x:c>
      <x:c r="E961" t="str">
        <x:v>RFA-E145</x:v>
      </x:c>
      <x:c r="F961" t="n">
        <x:f>'Event Estimator'!L151</x:f>
        <x:v>0</x:v>
      </x:c>
      <x:c r="G961" t="n">
        <x:v>1</x:v>
      </x:c>
      <x:c r="H961" t="str">
        <x:v>equals</x:v>
      </x:c>
      <x:c r="I961" t="str">
        <x:v>independent acceptance</x:v>
      </x:c>
      <x:c r="J961" t="str">
        <x:f>IF(F961=1,"PASS","OPEN")</x:f>
        <x:v>OPEN</x:v>
      </x:c>
    </x:row>
    <x:row r="962">
      <x:c r="B962" t="str">
        <x:v>PHY-OC-145</x:v>
      </x:c>
      <x:c r="C962" t="str">
        <x:v>PHYSICAL</x:v>
      </x:c>
      <x:c r="D962" t="str">
        <x:v>event outcome</x:v>
      </x:c>
      <x:c r="E962" t="str">
        <x:v>RFA-E145</x:v>
      </x:c>
      <x:c r="F962" t="n">
        <x:f>IF('Event Estimator'!M151&lt;&gt;"",1,0)</x:f>
        <x:v>0</x:v>
      </x:c>
      <x:c r="G962" t="n">
        <x:v>1</x:v>
      </x:c>
      <x:c r="H962" t="str">
        <x:v>equals</x:v>
      </x:c>
      <x:c r="I962" t="str">
        <x:v>independent acceptance</x:v>
      </x:c>
      <x:c r="J962" t="str">
        <x:f>IF(F962=1,"PASS","OPEN")</x:f>
        <x:v>OPEN</x:v>
      </x:c>
    </x:row>
    <x:row r="963">
      <x:c r="B963" t="str">
        <x:v>PHY-EX-146</x:v>
      </x:c>
      <x:c r="C963" t="str">
        <x:v>PHYSICAL</x:v>
      </x:c>
      <x:c r="D963" t="str">
        <x:v>event execution</x:v>
      </x:c>
      <x:c r="E963" t="str">
        <x:v>RFA-E146</x:v>
      </x:c>
      <x:c r="F963" t="n">
        <x:f>IF('Event Register'!M152&lt;&gt;"",1,0)</x:f>
        <x:v>0</x:v>
      </x:c>
      <x:c r="G963" t="n">
        <x:v>1</x:v>
      </x:c>
      <x:c r="H963" t="str">
        <x:v>equals</x:v>
      </x:c>
      <x:c r="I963" t="str">
        <x:v>independent acceptance</x:v>
      </x:c>
      <x:c r="J963" t="str">
        <x:f>IF(F963=1,"PASS","OPEN")</x:f>
        <x:v>OPEN</x:v>
      </x:c>
    </x:row>
    <x:row r="964">
      <x:c r="B964" t="str">
        <x:v>PHY-VA-146</x:v>
      </x:c>
      <x:c r="C964" t="str">
        <x:v>PHYSICAL</x:v>
      </x:c>
      <x:c r="D964" t="str">
        <x:v>event validity</x:v>
      </x:c>
      <x:c r="E964" t="str">
        <x:v>RFA-E146</x:v>
      </x:c>
      <x:c r="F964" t="n">
        <x:f>'Event Estimator'!L152</x:f>
        <x:v>0</x:v>
      </x:c>
      <x:c r="G964" t="n">
        <x:v>1</x:v>
      </x:c>
      <x:c r="H964" t="str">
        <x:v>equals</x:v>
      </x:c>
      <x:c r="I964" t="str">
        <x:v>independent acceptance</x:v>
      </x:c>
      <x:c r="J964" t="str">
        <x:f>IF(F964=1,"PASS","OPEN")</x:f>
        <x:v>OPEN</x:v>
      </x:c>
    </x:row>
    <x:row r="965">
      <x:c r="B965" t="str">
        <x:v>PHY-OC-146</x:v>
      </x:c>
      <x:c r="C965" t="str">
        <x:v>PHYSICAL</x:v>
      </x:c>
      <x:c r="D965" t="str">
        <x:v>event outcome</x:v>
      </x:c>
      <x:c r="E965" t="str">
        <x:v>RFA-E146</x:v>
      </x:c>
      <x:c r="F965" t="n">
        <x:f>IF('Event Estimator'!M152&lt;&gt;"",1,0)</x:f>
        <x:v>0</x:v>
      </x:c>
      <x:c r="G965" t="n">
        <x:v>1</x:v>
      </x:c>
      <x:c r="H965" t="str">
        <x:v>equals</x:v>
      </x:c>
      <x:c r="I965" t="str">
        <x:v>independent acceptance</x:v>
      </x:c>
      <x:c r="J965" t="str">
        <x:f>IF(F965=1,"PASS","OPEN")</x:f>
        <x:v>OPEN</x:v>
      </x:c>
    </x:row>
    <x:row r="966">
      <x:c r="B966" t="str">
        <x:v>PHY-EX-147</x:v>
      </x:c>
      <x:c r="C966" t="str">
        <x:v>PHYSICAL</x:v>
      </x:c>
      <x:c r="D966" t="str">
        <x:v>event execution</x:v>
      </x:c>
      <x:c r="E966" t="str">
        <x:v>RFA-E147</x:v>
      </x:c>
      <x:c r="F966" t="n">
        <x:f>IF('Event Register'!M153&lt;&gt;"",1,0)</x:f>
        <x:v>0</x:v>
      </x:c>
      <x:c r="G966" t="n">
        <x:v>1</x:v>
      </x:c>
      <x:c r="H966" t="str">
        <x:v>equals</x:v>
      </x:c>
      <x:c r="I966" t="str">
        <x:v>independent acceptance</x:v>
      </x:c>
      <x:c r="J966" t="str">
        <x:f>IF(F966=1,"PASS","OPEN")</x:f>
        <x:v>OPEN</x:v>
      </x:c>
    </x:row>
    <x:row r="967">
      <x:c r="B967" t="str">
        <x:v>PHY-VA-147</x:v>
      </x:c>
      <x:c r="C967" t="str">
        <x:v>PHYSICAL</x:v>
      </x:c>
      <x:c r="D967" t="str">
        <x:v>event validity</x:v>
      </x:c>
      <x:c r="E967" t="str">
        <x:v>RFA-E147</x:v>
      </x:c>
      <x:c r="F967" t="n">
        <x:f>'Event Estimator'!L153</x:f>
        <x:v>0</x:v>
      </x:c>
      <x:c r="G967" t="n">
        <x:v>1</x:v>
      </x:c>
      <x:c r="H967" t="str">
        <x:v>equals</x:v>
      </x:c>
      <x:c r="I967" t="str">
        <x:v>independent acceptance</x:v>
      </x:c>
      <x:c r="J967" t="str">
        <x:f>IF(F967=1,"PASS","OPEN")</x:f>
        <x:v>OPEN</x:v>
      </x:c>
    </x:row>
    <x:row r="968">
      <x:c r="B968" t="str">
        <x:v>PHY-OC-147</x:v>
      </x:c>
      <x:c r="C968" t="str">
        <x:v>PHYSICAL</x:v>
      </x:c>
      <x:c r="D968" t="str">
        <x:v>event outcome</x:v>
      </x:c>
      <x:c r="E968" t="str">
        <x:v>RFA-E147</x:v>
      </x:c>
      <x:c r="F968" t="n">
        <x:f>IF('Event Estimator'!M153&lt;&gt;"",1,0)</x:f>
        <x:v>0</x:v>
      </x:c>
      <x:c r="G968" t="n">
        <x:v>1</x:v>
      </x:c>
      <x:c r="H968" t="str">
        <x:v>equals</x:v>
      </x:c>
      <x:c r="I968" t="str">
        <x:v>independent acceptance</x:v>
      </x:c>
      <x:c r="J968" t="str">
        <x:f>IF(F968=1,"PASS","OPEN")</x:f>
        <x:v>OPEN</x:v>
      </x:c>
    </x:row>
    <x:row r="969">
      <x:c r="B969" t="str">
        <x:v>PHY-EX-148</x:v>
      </x:c>
      <x:c r="C969" t="str">
        <x:v>PHYSICAL</x:v>
      </x:c>
      <x:c r="D969" t="str">
        <x:v>event execution</x:v>
      </x:c>
      <x:c r="E969" t="str">
        <x:v>RFA-E148</x:v>
      </x:c>
      <x:c r="F969" t="n">
        <x:f>IF('Event Register'!M154&lt;&gt;"",1,0)</x:f>
        <x:v>0</x:v>
      </x:c>
      <x:c r="G969" t="n">
        <x:v>1</x:v>
      </x:c>
      <x:c r="H969" t="str">
        <x:v>equals</x:v>
      </x:c>
      <x:c r="I969" t="str">
        <x:v>independent acceptance</x:v>
      </x:c>
      <x:c r="J969" t="str">
        <x:f>IF(F969=1,"PASS","OPEN")</x:f>
        <x:v>OPEN</x:v>
      </x:c>
    </x:row>
    <x:row r="970">
      <x:c r="B970" t="str">
        <x:v>PHY-VA-148</x:v>
      </x:c>
      <x:c r="C970" t="str">
        <x:v>PHYSICAL</x:v>
      </x:c>
      <x:c r="D970" t="str">
        <x:v>event validity</x:v>
      </x:c>
      <x:c r="E970" t="str">
        <x:v>RFA-E148</x:v>
      </x:c>
      <x:c r="F970" t="n">
        <x:f>'Event Estimator'!L154</x:f>
        <x:v>0</x:v>
      </x:c>
      <x:c r="G970" t="n">
        <x:v>1</x:v>
      </x:c>
      <x:c r="H970" t="str">
        <x:v>equals</x:v>
      </x:c>
      <x:c r="I970" t="str">
        <x:v>independent acceptance</x:v>
      </x:c>
      <x:c r="J970" t="str">
        <x:f>IF(F970=1,"PASS","OPEN")</x:f>
        <x:v>OPEN</x:v>
      </x:c>
    </x:row>
    <x:row r="971">
      <x:c r="B971" t="str">
        <x:v>PHY-OC-148</x:v>
      </x:c>
      <x:c r="C971" t="str">
        <x:v>PHYSICAL</x:v>
      </x:c>
      <x:c r="D971" t="str">
        <x:v>event outcome</x:v>
      </x:c>
      <x:c r="E971" t="str">
        <x:v>RFA-E148</x:v>
      </x:c>
      <x:c r="F971" t="n">
        <x:f>IF('Event Estimator'!M154&lt;&gt;"",1,0)</x:f>
        <x:v>0</x:v>
      </x:c>
      <x:c r="G971" t="n">
        <x:v>1</x:v>
      </x:c>
      <x:c r="H971" t="str">
        <x:v>equals</x:v>
      </x:c>
      <x:c r="I971" t="str">
        <x:v>independent acceptance</x:v>
      </x:c>
      <x:c r="J971" t="str">
        <x:f>IF(F971=1,"PASS","OPEN")</x:f>
        <x:v>OPEN</x:v>
      </x:c>
    </x:row>
    <x:row r="972">
      <x:c r="B972" t="str">
        <x:v>PHY-EX-149</x:v>
      </x:c>
      <x:c r="C972" t="str">
        <x:v>PHYSICAL</x:v>
      </x:c>
      <x:c r="D972" t="str">
        <x:v>event execution</x:v>
      </x:c>
      <x:c r="E972" t="str">
        <x:v>RFA-E149</x:v>
      </x:c>
      <x:c r="F972" t="n">
        <x:f>IF('Event Register'!M155&lt;&gt;"",1,0)</x:f>
        <x:v>0</x:v>
      </x:c>
      <x:c r="G972" t="n">
        <x:v>1</x:v>
      </x:c>
      <x:c r="H972" t="str">
        <x:v>equals</x:v>
      </x:c>
      <x:c r="I972" t="str">
        <x:v>independent acceptance</x:v>
      </x:c>
      <x:c r="J972" t="str">
        <x:f>IF(F972=1,"PASS","OPEN")</x:f>
        <x:v>OPEN</x:v>
      </x:c>
    </x:row>
    <x:row r="973">
      <x:c r="B973" t="str">
        <x:v>PHY-VA-149</x:v>
      </x:c>
      <x:c r="C973" t="str">
        <x:v>PHYSICAL</x:v>
      </x:c>
      <x:c r="D973" t="str">
        <x:v>event validity</x:v>
      </x:c>
      <x:c r="E973" t="str">
        <x:v>RFA-E149</x:v>
      </x:c>
      <x:c r="F973" t="n">
        <x:f>'Event Estimator'!L155</x:f>
        <x:v>0</x:v>
      </x:c>
      <x:c r="G973" t="n">
        <x:v>1</x:v>
      </x:c>
      <x:c r="H973" t="str">
        <x:v>equals</x:v>
      </x:c>
      <x:c r="I973" t="str">
        <x:v>independent acceptance</x:v>
      </x:c>
      <x:c r="J973" t="str">
        <x:f>IF(F973=1,"PASS","OPEN")</x:f>
        <x:v>OPEN</x:v>
      </x:c>
    </x:row>
    <x:row r="974">
      <x:c r="B974" t="str">
        <x:v>PHY-OC-149</x:v>
      </x:c>
      <x:c r="C974" t="str">
        <x:v>PHYSICAL</x:v>
      </x:c>
      <x:c r="D974" t="str">
        <x:v>event outcome</x:v>
      </x:c>
      <x:c r="E974" t="str">
        <x:v>RFA-E149</x:v>
      </x:c>
      <x:c r="F974" t="n">
        <x:f>IF('Event Estimator'!M155&lt;&gt;"",1,0)</x:f>
        <x:v>0</x:v>
      </x:c>
      <x:c r="G974" t="n">
        <x:v>1</x:v>
      </x:c>
      <x:c r="H974" t="str">
        <x:v>equals</x:v>
      </x:c>
      <x:c r="I974" t="str">
        <x:v>independent acceptance</x:v>
      </x:c>
      <x:c r="J974" t="str">
        <x:f>IF(F974=1,"PASS","OPEN")</x:f>
        <x:v>OPEN</x:v>
      </x:c>
    </x:row>
    <x:row r="975">
      <x:c r="B975" t="str">
        <x:v>PHY-EX-150</x:v>
      </x:c>
      <x:c r="C975" t="str">
        <x:v>PHYSICAL</x:v>
      </x:c>
      <x:c r="D975" t="str">
        <x:v>event execution</x:v>
      </x:c>
      <x:c r="E975" t="str">
        <x:v>RFA-E150</x:v>
      </x:c>
      <x:c r="F975" t="n">
        <x:f>IF('Event Register'!M156&lt;&gt;"",1,0)</x:f>
        <x:v>0</x:v>
      </x:c>
      <x:c r="G975" t="n">
        <x:v>1</x:v>
      </x:c>
      <x:c r="H975" t="str">
        <x:v>equals</x:v>
      </x:c>
      <x:c r="I975" t="str">
        <x:v>independent acceptance</x:v>
      </x:c>
      <x:c r="J975" t="str">
        <x:f>IF(F975=1,"PASS","OPEN")</x:f>
        <x:v>OPEN</x:v>
      </x:c>
    </x:row>
    <x:row r="976">
      <x:c r="B976" t="str">
        <x:v>PHY-VA-150</x:v>
      </x:c>
      <x:c r="C976" t="str">
        <x:v>PHYSICAL</x:v>
      </x:c>
      <x:c r="D976" t="str">
        <x:v>event validity</x:v>
      </x:c>
      <x:c r="E976" t="str">
        <x:v>RFA-E150</x:v>
      </x:c>
      <x:c r="F976" t="n">
        <x:f>'Event Estimator'!L156</x:f>
        <x:v>0</x:v>
      </x:c>
      <x:c r="G976" t="n">
        <x:v>1</x:v>
      </x:c>
      <x:c r="H976" t="str">
        <x:v>equals</x:v>
      </x:c>
      <x:c r="I976" t="str">
        <x:v>independent acceptance</x:v>
      </x:c>
      <x:c r="J976" t="str">
        <x:f>IF(F976=1,"PASS","OPEN")</x:f>
        <x:v>OPEN</x:v>
      </x:c>
    </x:row>
    <x:row r="977">
      <x:c r="B977" t="str">
        <x:v>PHY-OC-150</x:v>
      </x:c>
      <x:c r="C977" t="str">
        <x:v>PHYSICAL</x:v>
      </x:c>
      <x:c r="D977" t="str">
        <x:v>event outcome</x:v>
      </x:c>
      <x:c r="E977" t="str">
        <x:v>RFA-E150</x:v>
      </x:c>
      <x:c r="F977" t="n">
        <x:f>IF('Event Estimator'!M156&lt;&gt;"",1,0)</x:f>
        <x:v>0</x:v>
      </x:c>
      <x:c r="G977" t="n">
        <x:v>1</x:v>
      </x:c>
      <x:c r="H977" t="str">
        <x:v>equals</x:v>
      </x:c>
      <x:c r="I977" t="str">
        <x:v>independent acceptance</x:v>
      </x:c>
      <x:c r="J977" t="str">
        <x:f>IF(F977=1,"PASS","OPEN")</x:f>
        <x:v>OPEN</x:v>
      </x:c>
    </x:row>
    <x:row r="978">
      <x:c r="B978" t="str">
        <x:v>PHY-EX-151</x:v>
      </x:c>
      <x:c r="C978" t="str">
        <x:v>PHYSICAL</x:v>
      </x:c>
      <x:c r="D978" t="str">
        <x:v>event execution</x:v>
      </x:c>
      <x:c r="E978" t="str">
        <x:v>RFA-E151</x:v>
      </x:c>
      <x:c r="F978" t="n">
        <x:f>IF('Event Register'!M157&lt;&gt;"",1,0)</x:f>
        <x:v>0</x:v>
      </x:c>
      <x:c r="G978" t="n">
        <x:v>1</x:v>
      </x:c>
      <x:c r="H978" t="str">
        <x:v>equals</x:v>
      </x:c>
      <x:c r="I978" t="str">
        <x:v>independent acceptance</x:v>
      </x:c>
      <x:c r="J978" t="str">
        <x:f>IF(F978=1,"PASS","OPEN")</x:f>
        <x:v>OPEN</x:v>
      </x:c>
    </x:row>
    <x:row r="979">
      <x:c r="B979" t="str">
        <x:v>PHY-VA-151</x:v>
      </x:c>
      <x:c r="C979" t="str">
        <x:v>PHYSICAL</x:v>
      </x:c>
      <x:c r="D979" t="str">
        <x:v>event validity</x:v>
      </x:c>
      <x:c r="E979" t="str">
        <x:v>RFA-E151</x:v>
      </x:c>
      <x:c r="F979" t="n">
        <x:f>'Event Estimator'!L157</x:f>
        <x:v>0</x:v>
      </x:c>
      <x:c r="G979" t="n">
        <x:v>1</x:v>
      </x:c>
      <x:c r="H979" t="str">
        <x:v>equals</x:v>
      </x:c>
      <x:c r="I979" t="str">
        <x:v>independent acceptance</x:v>
      </x:c>
      <x:c r="J979" t="str">
        <x:f>IF(F979=1,"PASS","OPEN")</x:f>
        <x:v>OPEN</x:v>
      </x:c>
    </x:row>
    <x:row r="980">
      <x:c r="B980" t="str">
        <x:v>PHY-OC-151</x:v>
      </x:c>
      <x:c r="C980" t="str">
        <x:v>PHYSICAL</x:v>
      </x:c>
      <x:c r="D980" t="str">
        <x:v>event outcome</x:v>
      </x:c>
      <x:c r="E980" t="str">
        <x:v>RFA-E151</x:v>
      </x:c>
      <x:c r="F980" t="n">
        <x:f>IF('Event Estimator'!M157&lt;&gt;"",1,0)</x:f>
        <x:v>0</x:v>
      </x:c>
      <x:c r="G980" t="n">
        <x:v>1</x:v>
      </x:c>
      <x:c r="H980" t="str">
        <x:v>equals</x:v>
      </x:c>
      <x:c r="I980" t="str">
        <x:v>independent acceptance</x:v>
      </x:c>
      <x:c r="J980" t="str">
        <x:f>IF(F980=1,"PASS","OPEN")</x:f>
        <x:v>OPEN</x:v>
      </x:c>
    </x:row>
    <x:row r="981">
      <x:c r="B981" t="str">
        <x:v>PHY-EX-152</x:v>
      </x:c>
      <x:c r="C981" t="str">
        <x:v>PHYSICAL</x:v>
      </x:c>
      <x:c r="D981" t="str">
        <x:v>event execution</x:v>
      </x:c>
      <x:c r="E981" t="str">
        <x:v>RFA-E152</x:v>
      </x:c>
      <x:c r="F981" t="n">
        <x:f>IF('Event Register'!M158&lt;&gt;"",1,0)</x:f>
        <x:v>0</x:v>
      </x:c>
      <x:c r="G981" t="n">
        <x:v>1</x:v>
      </x:c>
      <x:c r="H981" t="str">
        <x:v>equals</x:v>
      </x:c>
      <x:c r="I981" t="str">
        <x:v>independent acceptance</x:v>
      </x:c>
      <x:c r="J981" t="str">
        <x:f>IF(F981=1,"PASS","OPEN")</x:f>
        <x:v>OPEN</x:v>
      </x:c>
    </x:row>
    <x:row r="982">
      <x:c r="B982" t="str">
        <x:v>PHY-VA-152</x:v>
      </x:c>
      <x:c r="C982" t="str">
        <x:v>PHYSICAL</x:v>
      </x:c>
      <x:c r="D982" t="str">
        <x:v>event validity</x:v>
      </x:c>
      <x:c r="E982" t="str">
        <x:v>RFA-E152</x:v>
      </x:c>
      <x:c r="F982" t="n">
        <x:f>'Event Estimator'!L158</x:f>
        <x:v>0</x:v>
      </x:c>
      <x:c r="G982" t="n">
        <x:v>1</x:v>
      </x:c>
      <x:c r="H982" t="str">
        <x:v>equals</x:v>
      </x:c>
      <x:c r="I982" t="str">
        <x:v>independent acceptance</x:v>
      </x:c>
      <x:c r="J982" t="str">
        <x:f>IF(F982=1,"PASS","OPEN")</x:f>
        <x:v>OPEN</x:v>
      </x:c>
    </x:row>
    <x:row r="983">
      <x:c r="B983" t="str">
        <x:v>PHY-OC-152</x:v>
      </x:c>
      <x:c r="C983" t="str">
        <x:v>PHYSICAL</x:v>
      </x:c>
      <x:c r="D983" t="str">
        <x:v>event outcome</x:v>
      </x:c>
      <x:c r="E983" t="str">
        <x:v>RFA-E152</x:v>
      </x:c>
      <x:c r="F983" t="n">
        <x:f>IF('Event Estimator'!M158&lt;&gt;"",1,0)</x:f>
        <x:v>0</x:v>
      </x:c>
      <x:c r="G983" t="n">
        <x:v>1</x:v>
      </x:c>
      <x:c r="H983" t="str">
        <x:v>equals</x:v>
      </x:c>
      <x:c r="I983" t="str">
        <x:v>independent acceptance</x:v>
      </x:c>
      <x:c r="J983" t="str">
        <x:f>IF(F983=1,"PASS","OPEN")</x:f>
        <x:v>OPEN</x:v>
      </x:c>
    </x:row>
    <x:row r="984">
      <x:c r="B984" t="str">
        <x:v>PHY-EX-153</x:v>
      </x:c>
      <x:c r="C984" t="str">
        <x:v>PHYSICAL</x:v>
      </x:c>
      <x:c r="D984" t="str">
        <x:v>event execution</x:v>
      </x:c>
      <x:c r="E984" t="str">
        <x:v>RFA-E153</x:v>
      </x:c>
      <x:c r="F984" t="n">
        <x:f>IF('Event Register'!M159&lt;&gt;"",1,0)</x:f>
        <x:v>0</x:v>
      </x:c>
      <x:c r="G984" t="n">
        <x:v>1</x:v>
      </x:c>
      <x:c r="H984" t="str">
        <x:v>equals</x:v>
      </x:c>
      <x:c r="I984" t="str">
        <x:v>independent acceptance</x:v>
      </x:c>
      <x:c r="J984" t="str">
        <x:f>IF(F984=1,"PASS","OPEN")</x:f>
        <x:v>OPEN</x:v>
      </x:c>
    </x:row>
    <x:row r="985">
      <x:c r="B985" t="str">
        <x:v>PHY-VA-153</x:v>
      </x:c>
      <x:c r="C985" t="str">
        <x:v>PHYSICAL</x:v>
      </x:c>
      <x:c r="D985" t="str">
        <x:v>event validity</x:v>
      </x:c>
      <x:c r="E985" t="str">
        <x:v>RFA-E153</x:v>
      </x:c>
      <x:c r="F985" t="n">
        <x:f>'Event Estimator'!L159</x:f>
        <x:v>0</x:v>
      </x:c>
      <x:c r="G985" t="n">
        <x:v>1</x:v>
      </x:c>
      <x:c r="H985" t="str">
        <x:v>equals</x:v>
      </x:c>
      <x:c r="I985" t="str">
        <x:v>independent acceptance</x:v>
      </x:c>
      <x:c r="J985" t="str">
        <x:f>IF(F985=1,"PASS","OPEN")</x:f>
        <x:v>OPEN</x:v>
      </x:c>
    </x:row>
    <x:row r="986">
      <x:c r="B986" t="str">
        <x:v>PHY-OC-153</x:v>
      </x:c>
      <x:c r="C986" t="str">
        <x:v>PHYSICAL</x:v>
      </x:c>
      <x:c r="D986" t="str">
        <x:v>event outcome</x:v>
      </x:c>
      <x:c r="E986" t="str">
        <x:v>RFA-E153</x:v>
      </x:c>
      <x:c r="F986" t="n">
        <x:f>IF('Event Estimator'!M159&lt;&gt;"",1,0)</x:f>
        <x:v>0</x:v>
      </x:c>
      <x:c r="G986" t="n">
        <x:v>1</x:v>
      </x:c>
      <x:c r="H986" t="str">
        <x:v>equals</x:v>
      </x:c>
      <x:c r="I986" t="str">
        <x:v>independent acceptance</x:v>
      </x:c>
      <x:c r="J986" t="str">
        <x:f>IF(F986=1,"PASS","OPEN")</x:f>
        <x:v>OPEN</x:v>
      </x:c>
    </x:row>
    <x:row r="987">
      <x:c r="B987" t="str">
        <x:v>PHY-EX-154</x:v>
      </x:c>
      <x:c r="C987" t="str">
        <x:v>PHYSICAL</x:v>
      </x:c>
      <x:c r="D987" t="str">
        <x:v>event execution</x:v>
      </x:c>
      <x:c r="E987" t="str">
        <x:v>RFA-E154</x:v>
      </x:c>
      <x:c r="F987" t="n">
        <x:f>IF('Event Register'!M160&lt;&gt;"",1,0)</x:f>
        <x:v>0</x:v>
      </x:c>
      <x:c r="G987" t="n">
        <x:v>1</x:v>
      </x:c>
      <x:c r="H987" t="str">
        <x:v>equals</x:v>
      </x:c>
      <x:c r="I987" t="str">
        <x:v>independent acceptance</x:v>
      </x:c>
      <x:c r="J987" t="str">
        <x:f>IF(F987=1,"PASS","OPEN")</x:f>
        <x:v>OPEN</x:v>
      </x:c>
    </x:row>
    <x:row r="988">
      <x:c r="B988" t="str">
        <x:v>PHY-VA-154</x:v>
      </x:c>
      <x:c r="C988" t="str">
        <x:v>PHYSICAL</x:v>
      </x:c>
      <x:c r="D988" t="str">
        <x:v>event validity</x:v>
      </x:c>
      <x:c r="E988" t="str">
        <x:v>RFA-E154</x:v>
      </x:c>
      <x:c r="F988" t="n">
        <x:f>'Event Estimator'!L160</x:f>
        <x:v>0</x:v>
      </x:c>
      <x:c r="G988" t="n">
        <x:v>1</x:v>
      </x:c>
      <x:c r="H988" t="str">
        <x:v>equals</x:v>
      </x:c>
      <x:c r="I988" t="str">
        <x:v>independent acceptance</x:v>
      </x:c>
      <x:c r="J988" t="str">
        <x:f>IF(F988=1,"PASS","OPEN")</x:f>
        <x:v>OPEN</x:v>
      </x:c>
    </x:row>
    <x:row r="989">
      <x:c r="B989" t="str">
        <x:v>PHY-OC-154</x:v>
      </x:c>
      <x:c r="C989" t="str">
        <x:v>PHYSICAL</x:v>
      </x:c>
      <x:c r="D989" t="str">
        <x:v>event outcome</x:v>
      </x:c>
      <x:c r="E989" t="str">
        <x:v>RFA-E154</x:v>
      </x:c>
      <x:c r="F989" t="n">
        <x:f>IF('Event Estimator'!M160&lt;&gt;"",1,0)</x:f>
        <x:v>0</x:v>
      </x:c>
      <x:c r="G989" t="n">
        <x:v>1</x:v>
      </x:c>
      <x:c r="H989" t="str">
        <x:v>equals</x:v>
      </x:c>
      <x:c r="I989" t="str">
        <x:v>independent acceptance</x:v>
      </x:c>
      <x:c r="J989" t="str">
        <x:f>IF(F989=1,"PASS","OPEN")</x:f>
        <x:v>OPEN</x:v>
      </x:c>
    </x:row>
    <x:row r="990">
      <x:c r="B990" t="str">
        <x:v>PHY-EX-155</x:v>
      </x:c>
      <x:c r="C990" t="str">
        <x:v>PHYSICAL</x:v>
      </x:c>
      <x:c r="D990" t="str">
        <x:v>event execution</x:v>
      </x:c>
      <x:c r="E990" t="str">
        <x:v>RFA-E155</x:v>
      </x:c>
      <x:c r="F990" t="n">
        <x:f>IF('Event Register'!M161&lt;&gt;"",1,0)</x:f>
        <x:v>0</x:v>
      </x:c>
      <x:c r="G990" t="n">
        <x:v>1</x:v>
      </x:c>
      <x:c r="H990" t="str">
        <x:v>equals</x:v>
      </x:c>
      <x:c r="I990" t="str">
        <x:v>independent acceptance</x:v>
      </x:c>
      <x:c r="J990" t="str">
        <x:f>IF(F990=1,"PASS","OPEN")</x:f>
        <x:v>OPEN</x:v>
      </x:c>
    </x:row>
    <x:row r="991">
      <x:c r="B991" t="str">
        <x:v>PHY-VA-155</x:v>
      </x:c>
      <x:c r="C991" t="str">
        <x:v>PHYSICAL</x:v>
      </x:c>
      <x:c r="D991" t="str">
        <x:v>event validity</x:v>
      </x:c>
      <x:c r="E991" t="str">
        <x:v>RFA-E155</x:v>
      </x:c>
      <x:c r="F991" t="n">
        <x:f>'Event Estimator'!L161</x:f>
        <x:v>0</x:v>
      </x:c>
      <x:c r="G991" t="n">
        <x:v>1</x:v>
      </x:c>
      <x:c r="H991" t="str">
        <x:v>equals</x:v>
      </x:c>
      <x:c r="I991" t="str">
        <x:v>independent acceptance</x:v>
      </x:c>
      <x:c r="J991" t="str">
        <x:f>IF(F991=1,"PASS","OPEN")</x:f>
        <x:v>OPEN</x:v>
      </x:c>
    </x:row>
    <x:row r="992">
      <x:c r="B992" t="str">
        <x:v>PHY-OC-155</x:v>
      </x:c>
      <x:c r="C992" t="str">
        <x:v>PHYSICAL</x:v>
      </x:c>
      <x:c r="D992" t="str">
        <x:v>event outcome</x:v>
      </x:c>
      <x:c r="E992" t="str">
        <x:v>RFA-E155</x:v>
      </x:c>
      <x:c r="F992" t="n">
        <x:f>IF('Event Estimator'!M161&lt;&gt;"",1,0)</x:f>
        <x:v>0</x:v>
      </x:c>
      <x:c r="G992" t="n">
        <x:v>1</x:v>
      </x:c>
      <x:c r="H992" t="str">
        <x:v>equals</x:v>
      </x:c>
      <x:c r="I992" t="str">
        <x:v>independent acceptance</x:v>
      </x:c>
      <x:c r="J992" t="str">
        <x:f>IF(F992=1,"PASS","OPEN")</x:f>
        <x:v>OPEN</x:v>
      </x:c>
    </x:row>
    <x:row r="993">
      <x:c r="B993" t="str">
        <x:v>PHY-EX-156</x:v>
      </x:c>
      <x:c r="C993" t="str">
        <x:v>PHYSICAL</x:v>
      </x:c>
      <x:c r="D993" t="str">
        <x:v>event execution</x:v>
      </x:c>
      <x:c r="E993" t="str">
        <x:v>RFA-E156</x:v>
      </x:c>
      <x:c r="F993" t="n">
        <x:f>IF('Event Register'!M162&lt;&gt;"",1,0)</x:f>
        <x:v>0</x:v>
      </x:c>
      <x:c r="G993" t="n">
        <x:v>1</x:v>
      </x:c>
      <x:c r="H993" t="str">
        <x:v>equals</x:v>
      </x:c>
      <x:c r="I993" t="str">
        <x:v>independent acceptance</x:v>
      </x:c>
      <x:c r="J993" t="str">
        <x:f>IF(F993=1,"PASS","OPEN")</x:f>
        <x:v>OPEN</x:v>
      </x:c>
    </x:row>
    <x:row r="994">
      <x:c r="B994" t="str">
        <x:v>PHY-VA-156</x:v>
      </x:c>
      <x:c r="C994" t="str">
        <x:v>PHYSICAL</x:v>
      </x:c>
      <x:c r="D994" t="str">
        <x:v>event validity</x:v>
      </x:c>
      <x:c r="E994" t="str">
        <x:v>RFA-E156</x:v>
      </x:c>
      <x:c r="F994" t="n">
        <x:f>'Event Estimator'!L162</x:f>
        <x:v>0</x:v>
      </x:c>
      <x:c r="G994" t="n">
        <x:v>1</x:v>
      </x:c>
      <x:c r="H994" t="str">
        <x:v>equals</x:v>
      </x:c>
      <x:c r="I994" t="str">
        <x:v>independent acceptance</x:v>
      </x:c>
      <x:c r="J994" t="str">
        <x:f>IF(F994=1,"PASS","OPEN")</x:f>
        <x:v>OPEN</x:v>
      </x:c>
    </x:row>
    <x:row r="995">
      <x:c r="B995" t="str">
        <x:v>PHY-OC-156</x:v>
      </x:c>
      <x:c r="C995" t="str">
        <x:v>PHYSICAL</x:v>
      </x:c>
      <x:c r="D995" t="str">
        <x:v>event outcome</x:v>
      </x:c>
      <x:c r="E995" t="str">
        <x:v>RFA-E156</x:v>
      </x:c>
      <x:c r="F995" t="n">
        <x:f>IF('Event Estimator'!M162&lt;&gt;"",1,0)</x:f>
        <x:v>0</x:v>
      </x:c>
      <x:c r="G995" t="n">
        <x:v>1</x:v>
      </x:c>
      <x:c r="H995" t="str">
        <x:v>equals</x:v>
      </x:c>
      <x:c r="I995" t="str">
        <x:v>independent acceptance</x:v>
      </x:c>
      <x:c r="J995" t="str">
        <x:f>IF(F995=1,"PASS","OPEN")</x:f>
        <x:v>OPEN</x:v>
      </x:c>
    </x:row>
    <x:row r="996">
      <x:c r="B996" t="str">
        <x:v>PHY-EX-157</x:v>
      </x:c>
      <x:c r="C996" t="str">
        <x:v>PHYSICAL</x:v>
      </x:c>
      <x:c r="D996" t="str">
        <x:v>event execution</x:v>
      </x:c>
      <x:c r="E996" t="str">
        <x:v>RFA-E157</x:v>
      </x:c>
      <x:c r="F996" t="n">
        <x:f>IF('Event Register'!M163&lt;&gt;"",1,0)</x:f>
        <x:v>0</x:v>
      </x:c>
      <x:c r="G996" t="n">
        <x:v>1</x:v>
      </x:c>
      <x:c r="H996" t="str">
        <x:v>equals</x:v>
      </x:c>
      <x:c r="I996" t="str">
        <x:v>independent acceptance</x:v>
      </x:c>
      <x:c r="J996" t="str">
        <x:f>IF(F996=1,"PASS","OPEN")</x:f>
        <x:v>OPEN</x:v>
      </x:c>
    </x:row>
    <x:row r="997">
      <x:c r="B997" t="str">
        <x:v>PHY-VA-157</x:v>
      </x:c>
      <x:c r="C997" t="str">
        <x:v>PHYSICAL</x:v>
      </x:c>
      <x:c r="D997" t="str">
        <x:v>event validity</x:v>
      </x:c>
      <x:c r="E997" t="str">
        <x:v>RFA-E157</x:v>
      </x:c>
      <x:c r="F997" t="n">
        <x:f>'Event Estimator'!L163</x:f>
        <x:v>0</x:v>
      </x:c>
      <x:c r="G997" t="n">
        <x:v>1</x:v>
      </x:c>
      <x:c r="H997" t="str">
        <x:v>equals</x:v>
      </x:c>
      <x:c r="I997" t="str">
        <x:v>independent acceptance</x:v>
      </x:c>
      <x:c r="J997" t="str">
        <x:f>IF(F997=1,"PASS","OPEN")</x:f>
        <x:v>OPEN</x:v>
      </x:c>
    </x:row>
    <x:row r="998">
      <x:c r="B998" t="str">
        <x:v>PHY-OC-157</x:v>
      </x:c>
      <x:c r="C998" t="str">
        <x:v>PHYSICAL</x:v>
      </x:c>
      <x:c r="D998" t="str">
        <x:v>event outcome</x:v>
      </x:c>
      <x:c r="E998" t="str">
        <x:v>RFA-E157</x:v>
      </x:c>
      <x:c r="F998" t="n">
        <x:f>IF('Event Estimator'!M163&lt;&gt;"",1,0)</x:f>
        <x:v>0</x:v>
      </x:c>
      <x:c r="G998" t="n">
        <x:v>1</x:v>
      </x:c>
      <x:c r="H998" t="str">
        <x:v>equals</x:v>
      </x:c>
      <x:c r="I998" t="str">
        <x:v>independent acceptance</x:v>
      </x:c>
      <x:c r="J998" t="str">
        <x:f>IF(F998=1,"PASS","OPEN")</x:f>
        <x:v>OPEN</x:v>
      </x:c>
    </x:row>
    <x:row r="999">
      <x:c r="B999" t="str">
        <x:v>PHY-EX-158</x:v>
      </x:c>
      <x:c r="C999" t="str">
        <x:v>PHYSICAL</x:v>
      </x:c>
      <x:c r="D999" t="str">
        <x:v>event execution</x:v>
      </x:c>
      <x:c r="E999" t="str">
        <x:v>RFA-E158</x:v>
      </x:c>
      <x:c r="F999" t="n">
        <x:f>IF('Event Register'!M164&lt;&gt;"",1,0)</x:f>
        <x:v>0</x:v>
      </x:c>
      <x:c r="G999" t="n">
        <x:v>1</x:v>
      </x:c>
      <x:c r="H999" t="str">
        <x:v>equals</x:v>
      </x:c>
      <x:c r="I999" t="str">
        <x:v>independent acceptance</x:v>
      </x:c>
      <x:c r="J999" t="str">
        <x:f>IF(F999=1,"PASS","OPEN")</x:f>
        <x:v>OPEN</x:v>
      </x:c>
    </x:row>
    <x:row r="1000">
      <x:c r="B1000" t="str">
        <x:v>PHY-VA-158</x:v>
      </x:c>
      <x:c r="C1000" t="str">
        <x:v>PHYSICAL</x:v>
      </x:c>
      <x:c r="D1000" t="str">
        <x:v>event validity</x:v>
      </x:c>
      <x:c r="E1000" t="str">
        <x:v>RFA-E158</x:v>
      </x:c>
      <x:c r="F1000" t="n">
        <x:f>'Event Estimator'!L164</x:f>
        <x:v>0</x:v>
      </x:c>
      <x:c r="G1000" t="n">
        <x:v>1</x:v>
      </x:c>
      <x:c r="H1000" t="str">
        <x:v>equals</x:v>
      </x:c>
      <x:c r="I1000" t="str">
        <x:v>independent acceptance</x:v>
      </x:c>
      <x:c r="J1000" t="str">
        <x:f>IF(F1000=1,"PASS","OPEN")</x:f>
        <x:v>OPEN</x:v>
      </x:c>
    </x:row>
    <x:row r="1001">
      <x:c r="B1001" t="str">
        <x:v>PHY-OC-158</x:v>
      </x:c>
      <x:c r="C1001" t="str">
        <x:v>PHYSICAL</x:v>
      </x:c>
      <x:c r="D1001" t="str">
        <x:v>event outcome</x:v>
      </x:c>
      <x:c r="E1001" t="str">
        <x:v>RFA-E158</x:v>
      </x:c>
      <x:c r="F1001" t="n">
        <x:f>IF('Event Estimator'!M164&lt;&gt;"",1,0)</x:f>
        <x:v>0</x:v>
      </x:c>
      <x:c r="G1001" t="n">
        <x:v>1</x:v>
      </x:c>
      <x:c r="H1001" t="str">
        <x:v>equals</x:v>
      </x:c>
      <x:c r="I1001" t="str">
        <x:v>independent acceptance</x:v>
      </x:c>
      <x:c r="J1001" t="str">
        <x:f>IF(F1001=1,"PASS","OPEN")</x:f>
        <x:v>OPEN</x:v>
      </x:c>
    </x:row>
    <x:row r="1002">
      <x:c r="B1002" t="str">
        <x:v>PHY-EX-159</x:v>
      </x:c>
      <x:c r="C1002" t="str">
        <x:v>PHYSICAL</x:v>
      </x:c>
      <x:c r="D1002" t="str">
        <x:v>event execution</x:v>
      </x:c>
      <x:c r="E1002" t="str">
        <x:v>RFA-E159</x:v>
      </x:c>
      <x:c r="F1002" t="n">
        <x:f>IF('Event Register'!M165&lt;&gt;"",1,0)</x:f>
        <x:v>0</x:v>
      </x:c>
      <x:c r="G1002" t="n">
        <x:v>1</x:v>
      </x:c>
      <x:c r="H1002" t="str">
        <x:v>equals</x:v>
      </x:c>
      <x:c r="I1002" t="str">
        <x:v>independent acceptance</x:v>
      </x:c>
      <x:c r="J1002" t="str">
        <x:f>IF(F1002=1,"PASS","OPEN")</x:f>
        <x:v>OPEN</x:v>
      </x:c>
    </x:row>
    <x:row r="1003">
      <x:c r="B1003" t="str">
        <x:v>PHY-VA-159</x:v>
      </x:c>
      <x:c r="C1003" t="str">
        <x:v>PHYSICAL</x:v>
      </x:c>
      <x:c r="D1003" t="str">
        <x:v>event validity</x:v>
      </x:c>
      <x:c r="E1003" t="str">
        <x:v>RFA-E159</x:v>
      </x:c>
      <x:c r="F1003" t="n">
        <x:f>'Event Estimator'!L165</x:f>
        <x:v>0</x:v>
      </x:c>
      <x:c r="G1003" t="n">
        <x:v>1</x:v>
      </x:c>
      <x:c r="H1003" t="str">
        <x:v>equals</x:v>
      </x:c>
      <x:c r="I1003" t="str">
        <x:v>independent acceptance</x:v>
      </x:c>
      <x:c r="J1003" t="str">
        <x:f>IF(F1003=1,"PASS","OPEN")</x:f>
        <x:v>OPEN</x:v>
      </x:c>
    </x:row>
    <x:row r="1004">
      <x:c r="B1004" t="str">
        <x:v>PHY-OC-159</x:v>
      </x:c>
      <x:c r="C1004" t="str">
        <x:v>PHYSICAL</x:v>
      </x:c>
      <x:c r="D1004" t="str">
        <x:v>event outcome</x:v>
      </x:c>
      <x:c r="E1004" t="str">
        <x:v>RFA-E159</x:v>
      </x:c>
      <x:c r="F1004" t="n">
        <x:f>IF('Event Estimator'!M165&lt;&gt;"",1,0)</x:f>
        <x:v>0</x:v>
      </x:c>
      <x:c r="G1004" t="n">
        <x:v>1</x:v>
      </x:c>
      <x:c r="H1004" t="str">
        <x:v>equals</x:v>
      </x:c>
      <x:c r="I1004" t="str">
        <x:v>independent acceptance</x:v>
      </x:c>
      <x:c r="J1004" t="str">
        <x:f>IF(F1004=1,"PASS","OPEN")</x:f>
        <x:v>OPEN</x:v>
      </x:c>
    </x:row>
    <x:row r="1005">
      <x:c r="B1005" t="str">
        <x:v>PHY-EX-160</x:v>
      </x:c>
      <x:c r="C1005" t="str">
        <x:v>PHYSICAL</x:v>
      </x:c>
      <x:c r="D1005" t="str">
        <x:v>event execution</x:v>
      </x:c>
      <x:c r="E1005" t="str">
        <x:v>RFA-E160</x:v>
      </x:c>
      <x:c r="F1005" t="n">
        <x:f>IF('Event Register'!M166&lt;&gt;"",1,0)</x:f>
        <x:v>0</x:v>
      </x:c>
      <x:c r="G1005" t="n">
        <x:v>1</x:v>
      </x:c>
      <x:c r="H1005" t="str">
        <x:v>equals</x:v>
      </x:c>
      <x:c r="I1005" t="str">
        <x:v>independent acceptance</x:v>
      </x:c>
      <x:c r="J1005" t="str">
        <x:f>IF(F1005=1,"PASS","OPEN")</x:f>
        <x:v>OPEN</x:v>
      </x:c>
    </x:row>
    <x:row r="1006">
      <x:c r="B1006" t="str">
        <x:v>PHY-VA-160</x:v>
      </x:c>
      <x:c r="C1006" t="str">
        <x:v>PHYSICAL</x:v>
      </x:c>
      <x:c r="D1006" t="str">
        <x:v>event validity</x:v>
      </x:c>
      <x:c r="E1006" t="str">
        <x:v>RFA-E160</x:v>
      </x:c>
      <x:c r="F1006" t="n">
        <x:f>'Event Estimator'!L166</x:f>
        <x:v>0</x:v>
      </x:c>
      <x:c r="G1006" t="n">
        <x:v>1</x:v>
      </x:c>
      <x:c r="H1006" t="str">
        <x:v>equals</x:v>
      </x:c>
      <x:c r="I1006" t="str">
        <x:v>independent acceptance</x:v>
      </x:c>
      <x:c r="J1006" t="str">
        <x:f>IF(F1006=1,"PASS","OPEN")</x:f>
        <x:v>OPEN</x:v>
      </x:c>
    </x:row>
    <x:row r="1007">
      <x:c r="B1007" t="str">
        <x:v>PHY-OC-160</x:v>
      </x:c>
      <x:c r="C1007" t="str">
        <x:v>PHYSICAL</x:v>
      </x:c>
      <x:c r="D1007" t="str">
        <x:v>event outcome</x:v>
      </x:c>
      <x:c r="E1007" t="str">
        <x:v>RFA-E160</x:v>
      </x:c>
      <x:c r="F1007" t="n">
        <x:f>IF('Event Estimator'!M166&lt;&gt;"",1,0)</x:f>
        <x:v>0</x:v>
      </x:c>
      <x:c r="G1007" t="n">
        <x:v>1</x:v>
      </x:c>
      <x:c r="H1007" t="str">
        <x:v>equals</x:v>
      </x:c>
      <x:c r="I1007" t="str">
        <x:v>independent acceptance</x:v>
      </x:c>
      <x:c r="J1007" t="str">
        <x:f>IF(F1007=1,"PASS","OPEN")</x:f>
        <x:v>OPEN</x:v>
      </x:c>
    </x:row>
    <x:row r="1008">
      <x:c r="B1008" t="str">
        <x:v>PHY-EX-161</x:v>
      </x:c>
      <x:c r="C1008" t="str">
        <x:v>PHYSICAL</x:v>
      </x:c>
      <x:c r="D1008" t="str">
        <x:v>event execution</x:v>
      </x:c>
      <x:c r="E1008" t="str">
        <x:v>RFA-E161</x:v>
      </x:c>
      <x:c r="F1008" t="n">
        <x:f>IF('Event Register'!M167&lt;&gt;"",1,0)</x:f>
        <x:v>0</x:v>
      </x:c>
      <x:c r="G1008" t="n">
        <x:v>1</x:v>
      </x:c>
      <x:c r="H1008" t="str">
        <x:v>equals</x:v>
      </x:c>
      <x:c r="I1008" t="str">
        <x:v>independent acceptance</x:v>
      </x:c>
      <x:c r="J1008" t="str">
        <x:f>IF(F1008=1,"PASS","OPEN")</x:f>
        <x:v>OPEN</x:v>
      </x:c>
    </x:row>
    <x:row r="1009">
      <x:c r="B1009" t="str">
        <x:v>PHY-VA-161</x:v>
      </x:c>
      <x:c r="C1009" t="str">
        <x:v>PHYSICAL</x:v>
      </x:c>
      <x:c r="D1009" t="str">
        <x:v>event validity</x:v>
      </x:c>
      <x:c r="E1009" t="str">
        <x:v>RFA-E161</x:v>
      </x:c>
      <x:c r="F1009" t="n">
        <x:f>'Event Estimator'!L167</x:f>
        <x:v>0</x:v>
      </x:c>
      <x:c r="G1009" t="n">
        <x:v>1</x:v>
      </x:c>
      <x:c r="H1009" t="str">
        <x:v>equals</x:v>
      </x:c>
      <x:c r="I1009" t="str">
        <x:v>independent acceptance</x:v>
      </x:c>
      <x:c r="J1009" t="str">
        <x:f>IF(F1009=1,"PASS","OPEN")</x:f>
        <x:v>OPEN</x:v>
      </x:c>
    </x:row>
    <x:row r="1010">
      <x:c r="B1010" t="str">
        <x:v>PHY-OC-161</x:v>
      </x:c>
      <x:c r="C1010" t="str">
        <x:v>PHYSICAL</x:v>
      </x:c>
      <x:c r="D1010" t="str">
        <x:v>event outcome</x:v>
      </x:c>
      <x:c r="E1010" t="str">
        <x:v>RFA-E161</x:v>
      </x:c>
      <x:c r="F1010" t="n">
        <x:f>IF('Event Estimator'!M167&lt;&gt;"",1,0)</x:f>
        <x:v>0</x:v>
      </x:c>
      <x:c r="G1010" t="n">
        <x:v>1</x:v>
      </x:c>
      <x:c r="H1010" t="str">
        <x:v>equals</x:v>
      </x:c>
      <x:c r="I1010" t="str">
        <x:v>independent acceptance</x:v>
      </x:c>
      <x:c r="J1010" t="str">
        <x:f>IF(F1010=1,"PASS","OPEN")</x:f>
        <x:v>OPEN</x:v>
      </x:c>
    </x:row>
    <x:row r="1011">
      <x:c r="B1011" t="str">
        <x:v>PHY-EX-162</x:v>
      </x:c>
      <x:c r="C1011" t="str">
        <x:v>PHYSICAL</x:v>
      </x:c>
      <x:c r="D1011" t="str">
        <x:v>event execution</x:v>
      </x:c>
      <x:c r="E1011" t="str">
        <x:v>RFA-E162</x:v>
      </x:c>
      <x:c r="F1011" t="n">
        <x:f>IF('Event Register'!M168&lt;&gt;"",1,0)</x:f>
        <x:v>0</x:v>
      </x:c>
      <x:c r="G1011" t="n">
        <x:v>1</x:v>
      </x:c>
      <x:c r="H1011" t="str">
        <x:v>equals</x:v>
      </x:c>
      <x:c r="I1011" t="str">
        <x:v>independent acceptance</x:v>
      </x:c>
      <x:c r="J1011" t="str">
        <x:f>IF(F1011=1,"PASS","OPEN")</x:f>
        <x:v>OPEN</x:v>
      </x:c>
    </x:row>
    <x:row r="1012">
      <x:c r="B1012" t="str">
        <x:v>PHY-VA-162</x:v>
      </x:c>
      <x:c r="C1012" t="str">
        <x:v>PHYSICAL</x:v>
      </x:c>
      <x:c r="D1012" t="str">
        <x:v>event validity</x:v>
      </x:c>
      <x:c r="E1012" t="str">
        <x:v>RFA-E162</x:v>
      </x:c>
      <x:c r="F1012" t="n">
        <x:f>'Event Estimator'!L168</x:f>
        <x:v>0</x:v>
      </x:c>
      <x:c r="G1012" t="n">
        <x:v>1</x:v>
      </x:c>
      <x:c r="H1012" t="str">
        <x:v>equals</x:v>
      </x:c>
      <x:c r="I1012" t="str">
        <x:v>independent acceptance</x:v>
      </x:c>
      <x:c r="J1012" t="str">
        <x:f>IF(F1012=1,"PASS","OPEN")</x:f>
        <x:v>OPEN</x:v>
      </x:c>
    </x:row>
    <x:row r="1013">
      <x:c r="B1013" t="str">
        <x:v>PHY-OC-162</x:v>
      </x:c>
      <x:c r="C1013" t="str">
        <x:v>PHYSICAL</x:v>
      </x:c>
      <x:c r="D1013" t="str">
        <x:v>event outcome</x:v>
      </x:c>
      <x:c r="E1013" t="str">
        <x:v>RFA-E162</x:v>
      </x:c>
      <x:c r="F1013" t="n">
        <x:f>IF('Event Estimator'!M168&lt;&gt;"",1,0)</x:f>
        <x:v>0</x:v>
      </x:c>
      <x:c r="G1013" t="n">
        <x:v>1</x:v>
      </x:c>
      <x:c r="H1013" t="str">
        <x:v>equals</x:v>
      </x:c>
      <x:c r="I1013" t="str">
        <x:v>independent acceptance</x:v>
      </x:c>
      <x:c r="J1013" t="str">
        <x:f>IF(F1013=1,"PASS","OPEN")</x:f>
        <x:v>OPEN</x:v>
      </x:c>
    </x:row>
    <x:row r="1014">
      <x:c r="B1014" t="str">
        <x:v>PHY-EX-163</x:v>
      </x:c>
      <x:c r="C1014" t="str">
        <x:v>PHYSICAL</x:v>
      </x:c>
      <x:c r="D1014" t="str">
        <x:v>event execution</x:v>
      </x:c>
      <x:c r="E1014" t="str">
        <x:v>RFA-E163</x:v>
      </x:c>
      <x:c r="F1014" t="n">
        <x:f>IF('Event Register'!M169&lt;&gt;"",1,0)</x:f>
        <x:v>0</x:v>
      </x:c>
      <x:c r="G1014" t="n">
        <x:v>1</x:v>
      </x:c>
      <x:c r="H1014" t="str">
        <x:v>equals</x:v>
      </x:c>
      <x:c r="I1014" t="str">
        <x:v>independent acceptance</x:v>
      </x:c>
      <x:c r="J1014" t="str">
        <x:f>IF(F1014=1,"PASS","OPEN")</x:f>
        <x:v>OPEN</x:v>
      </x:c>
    </x:row>
    <x:row r="1015">
      <x:c r="B1015" t="str">
        <x:v>PHY-VA-163</x:v>
      </x:c>
      <x:c r="C1015" t="str">
        <x:v>PHYSICAL</x:v>
      </x:c>
      <x:c r="D1015" t="str">
        <x:v>event validity</x:v>
      </x:c>
      <x:c r="E1015" t="str">
        <x:v>RFA-E163</x:v>
      </x:c>
      <x:c r="F1015" t="n">
        <x:f>'Event Estimator'!L169</x:f>
        <x:v>0</x:v>
      </x:c>
      <x:c r="G1015" t="n">
        <x:v>1</x:v>
      </x:c>
      <x:c r="H1015" t="str">
        <x:v>equals</x:v>
      </x:c>
      <x:c r="I1015" t="str">
        <x:v>independent acceptance</x:v>
      </x:c>
      <x:c r="J1015" t="str">
        <x:f>IF(F1015=1,"PASS","OPEN")</x:f>
        <x:v>OPEN</x:v>
      </x:c>
    </x:row>
    <x:row r="1016">
      <x:c r="B1016" t="str">
        <x:v>PHY-OC-163</x:v>
      </x:c>
      <x:c r="C1016" t="str">
        <x:v>PHYSICAL</x:v>
      </x:c>
      <x:c r="D1016" t="str">
        <x:v>event outcome</x:v>
      </x:c>
      <x:c r="E1016" t="str">
        <x:v>RFA-E163</x:v>
      </x:c>
      <x:c r="F1016" t="n">
        <x:f>IF('Event Estimator'!M169&lt;&gt;"",1,0)</x:f>
        <x:v>0</x:v>
      </x:c>
      <x:c r="G1016" t="n">
        <x:v>1</x:v>
      </x:c>
      <x:c r="H1016" t="str">
        <x:v>equals</x:v>
      </x:c>
      <x:c r="I1016" t="str">
        <x:v>independent acceptance</x:v>
      </x:c>
      <x:c r="J1016" t="str">
        <x:f>IF(F1016=1,"PASS","OPEN")</x:f>
        <x:v>OPEN</x:v>
      </x:c>
    </x:row>
    <x:row r="1017">
      <x:c r="B1017" t="str">
        <x:v>PHY-EX-164</x:v>
      </x:c>
      <x:c r="C1017" t="str">
        <x:v>PHYSICAL</x:v>
      </x:c>
      <x:c r="D1017" t="str">
        <x:v>event execution</x:v>
      </x:c>
      <x:c r="E1017" t="str">
        <x:v>RFA-E164</x:v>
      </x:c>
      <x:c r="F1017" t="n">
        <x:f>IF('Event Register'!M170&lt;&gt;"",1,0)</x:f>
        <x:v>0</x:v>
      </x:c>
      <x:c r="G1017" t="n">
        <x:v>1</x:v>
      </x:c>
      <x:c r="H1017" t="str">
        <x:v>equals</x:v>
      </x:c>
      <x:c r="I1017" t="str">
        <x:v>independent acceptance</x:v>
      </x:c>
      <x:c r="J1017" t="str">
        <x:f>IF(F1017=1,"PASS","OPEN")</x:f>
        <x:v>OPEN</x:v>
      </x:c>
    </x:row>
    <x:row r="1018">
      <x:c r="B1018" t="str">
        <x:v>PHY-VA-164</x:v>
      </x:c>
      <x:c r="C1018" t="str">
        <x:v>PHYSICAL</x:v>
      </x:c>
      <x:c r="D1018" t="str">
        <x:v>event validity</x:v>
      </x:c>
      <x:c r="E1018" t="str">
        <x:v>RFA-E164</x:v>
      </x:c>
      <x:c r="F1018" t="n">
        <x:f>'Event Estimator'!L170</x:f>
        <x:v>0</x:v>
      </x:c>
      <x:c r="G1018" t="n">
        <x:v>1</x:v>
      </x:c>
      <x:c r="H1018" t="str">
        <x:v>equals</x:v>
      </x:c>
      <x:c r="I1018" t="str">
        <x:v>independent acceptance</x:v>
      </x:c>
      <x:c r="J1018" t="str">
        <x:f>IF(F1018=1,"PASS","OPEN")</x:f>
        <x:v>OPEN</x:v>
      </x:c>
    </x:row>
    <x:row r="1019">
      <x:c r="B1019" t="str">
        <x:v>PHY-OC-164</x:v>
      </x:c>
      <x:c r="C1019" t="str">
        <x:v>PHYSICAL</x:v>
      </x:c>
      <x:c r="D1019" t="str">
        <x:v>event outcome</x:v>
      </x:c>
      <x:c r="E1019" t="str">
        <x:v>RFA-E164</x:v>
      </x:c>
      <x:c r="F1019" t="n">
        <x:f>IF('Event Estimator'!M170&lt;&gt;"",1,0)</x:f>
        <x:v>0</x:v>
      </x:c>
      <x:c r="G1019" t="n">
        <x:v>1</x:v>
      </x:c>
      <x:c r="H1019" t="str">
        <x:v>equals</x:v>
      </x:c>
      <x:c r="I1019" t="str">
        <x:v>independent acceptance</x:v>
      </x:c>
      <x:c r="J1019" t="str">
        <x:f>IF(F1019=1,"PASS","OPEN")</x:f>
        <x:v>OPEN</x:v>
      </x:c>
    </x:row>
    <x:row r="1020">
      <x:c r="B1020" t="str">
        <x:v>PHY-EX-165</x:v>
      </x:c>
      <x:c r="C1020" t="str">
        <x:v>PHYSICAL</x:v>
      </x:c>
      <x:c r="D1020" t="str">
        <x:v>event execution</x:v>
      </x:c>
      <x:c r="E1020" t="str">
        <x:v>RFA-E165</x:v>
      </x:c>
      <x:c r="F1020" t="n">
        <x:f>IF('Event Register'!M171&lt;&gt;"",1,0)</x:f>
        <x:v>0</x:v>
      </x:c>
      <x:c r="G1020" t="n">
        <x:v>1</x:v>
      </x:c>
      <x:c r="H1020" t="str">
        <x:v>equals</x:v>
      </x:c>
      <x:c r="I1020" t="str">
        <x:v>independent acceptance</x:v>
      </x:c>
      <x:c r="J1020" t="str">
        <x:f>IF(F1020=1,"PASS","OPEN")</x:f>
        <x:v>OPEN</x:v>
      </x:c>
    </x:row>
    <x:row r="1021">
      <x:c r="B1021" t="str">
        <x:v>PHY-VA-165</x:v>
      </x:c>
      <x:c r="C1021" t="str">
        <x:v>PHYSICAL</x:v>
      </x:c>
      <x:c r="D1021" t="str">
        <x:v>event validity</x:v>
      </x:c>
      <x:c r="E1021" t="str">
        <x:v>RFA-E165</x:v>
      </x:c>
      <x:c r="F1021" t="n">
        <x:f>'Event Estimator'!L171</x:f>
        <x:v>0</x:v>
      </x:c>
      <x:c r="G1021" t="n">
        <x:v>1</x:v>
      </x:c>
      <x:c r="H1021" t="str">
        <x:v>equals</x:v>
      </x:c>
      <x:c r="I1021" t="str">
        <x:v>independent acceptance</x:v>
      </x:c>
      <x:c r="J1021" t="str">
        <x:f>IF(F1021=1,"PASS","OPEN")</x:f>
        <x:v>OPEN</x:v>
      </x:c>
    </x:row>
    <x:row r="1022">
      <x:c r="B1022" t="str">
        <x:v>PHY-OC-165</x:v>
      </x:c>
      <x:c r="C1022" t="str">
        <x:v>PHYSICAL</x:v>
      </x:c>
      <x:c r="D1022" t="str">
        <x:v>event outcome</x:v>
      </x:c>
      <x:c r="E1022" t="str">
        <x:v>RFA-E165</x:v>
      </x:c>
      <x:c r="F1022" t="n">
        <x:f>IF('Event Estimator'!M171&lt;&gt;"",1,0)</x:f>
        <x:v>0</x:v>
      </x:c>
      <x:c r="G1022" t="n">
        <x:v>1</x:v>
      </x:c>
      <x:c r="H1022" t="str">
        <x:v>equals</x:v>
      </x:c>
      <x:c r="I1022" t="str">
        <x:v>independent acceptance</x:v>
      </x:c>
      <x:c r="J1022" t="str">
        <x:f>IF(F1022=1,"PASS","OPEN")</x:f>
        <x:v>OPEN</x:v>
      </x:c>
    </x:row>
    <x:row r="1023">
      <x:c r="B1023" t="str">
        <x:v>PHY-EX-166</x:v>
      </x:c>
      <x:c r="C1023" t="str">
        <x:v>PHYSICAL</x:v>
      </x:c>
      <x:c r="D1023" t="str">
        <x:v>event execution</x:v>
      </x:c>
      <x:c r="E1023" t="str">
        <x:v>RFA-E166</x:v>
      </x:c>
      <x:c r="F1023" t="n">
        <x:f>IF('Event Register'!M172&lt;&gt;"",1,0)</x:f>
        <x:v>0</x:v>
      </x:c>
      <x:c r="G1023" t="n">
        <x:v>1</x:v>
      </x:c>
      <x:c r="H1023" t="str">
        <x:v>equals</x:v>
      </x:c>
      <x:c r="I1023" t="str">
        <x:v>independent acceptance</x:v>
      </x:c>
      <x:c r="J1023" t="str">
        <x:f>IF(F1023=1,"PASS","OPEN")</x:f>
        <x:v>OPEN</x:v>
      </x:c>
    </x:row>
    <x:row r="1024">
      <x:c r="B1024" t="str">
        <x:v>PHY-VA-166</x:v>
      </x:c>
      <x:c r="C1024" t="str">
        <x:v>PHYSICAL</x:v>
      </x:c>
      <x:c r="D1024" t="str">
        <x:v>event validity</x:v>
      </x:c>
      <x:c r="E1024" t="str">
        <x:v>RFA-E166</x:v>
      </x:c>
      <x:c r="F1024" t="n">
        <x:f>'Event Estimator'!L172</x:f>
        <x:v>0</x:v>
      </x:c>
      <x:c r="G1024" t="n">
        <x:v>1</x:v>
      </x:c>
      <x:c r="H1024" t="str">
        <x:v>equals</x:v>
      </x:c>
      <x:c r="I1024" t="str">
        <x:v>independent acceptance</x:v>
      </x:c>
      <x:c r="J1024" t="str">
        <x:f>IF(F1024=1,"PASS","OPEN")</x:f>
        <x:v>OPEN</x:v>
      </x:c>
    </x:row>
    <x:row r="1025">
      <x:c r="B1025" t="str">
        <x:v>PHY-OC-166</x:v>
      </x:c>
      <x:c r="C1025" t="str">
        <x:v>PHYSICAL</x:v>
      </x:c>
      <x:c r="D1025" t="str">
        <x:v>event outcome</x:v>
      </x:c>
      <x:c r="E1025" t="str">
        <x:v>RFA-E166</x:v>
      </x:c>
      <x:c r="F1025" t="n">
        <x:f>IF('Event Estimator'!M172&lt;&gt;"",1,0)</x:f>
        <x:v>0</x:v>
      </x:c>
      <x:c r="G1025" t="n">
        <x:v>1</x:v>
      </x:c>
      <x:c r="H1025" t="str">
        <x:v>equals</x:v>
      </x:c>
      <x:c r="I1025" t="str">
        <x:v>independent acceptance</x:v>
      </x:c>
      <x:c r="J1025" t="str">
        <x:f>IF(F1025=1,"PASS","OPEN")</x:f>
        <x:v>OPEN</x:v>
      </x:c>
    </x:row>
    <x:row r="1026">
      <x:c r="B1026" t="str">
        <x:v>PHY-EX-167</x:v>
      </x:c>
      <x:c r="C1026" t="str">
        <x:v>PHYSICAL</x:v>
      </x:c>
      <x:c r="D1026" t="str">
        <x:v>event execution</x:v>
      </x:c>
      <x:c r="E1026" t="str">
        <x:v>RFA-E167</x:v>
      </x:c>
      <x:c r="F1026" t="n">
        <x:f>IF('Event Register'!M173&lt;&gt;"",1,0)</x:f>
        <x:v>0</x:v>
      </x:c>
      <x:c r="G1026" t="n">
        <x:v>1</x:v>
      </x:c>
      <x:c r="H1026" t="str">
        <x:v>equals</x:v>
      </x:c>
      <x:c r="I1026" t="str">
        <x:v>independent acceptance</x:v>
      </x:c>
      <x:c r="J1026" t="str">
        <x:f>IF(F1026=1,"PASS","OPEN")</x:f>
        <x:v>OPEN</x:v>
      </x:c>
    </x:row>
    <x:row r="1027">
      <x:c r="B1027" t="str">
        <x:v>PHY-VA-167</x:v>
      </x:c>
      <x:c r="C1027" t="str">
        <x:v>PHYSICAL</x:v>
      </x:c>
      <x:c r="D1027" t="str">
        <x:v>event validity</x:v>
      </x:c>
      <x:c r="E1027" t="str">
        <x:v>RFA-E167</x:v>
      </x:c>
      <x:c r="F1027" t="n">
        <x:f>'Event Estimator'!L173</x:f>
        <x:v>0</x:v>
      </x:c>
      <x:c r="G1027" t="n">
        <x:v>1</x:v>
      </x:c>
      <x:c r="H1027" t="str">
        <x:v>equals</x:v>
      </x:c>
      <x:c r="I1027" t="str">
        <x:v>independent acceptance</x:v>
      </x:c>
      <x:c r="J1027" t="str">
        <x:f>IF(F1027=1,"PASS","OPEN")</x:f>
        <x:v>OPEN</x:v>
      </x:c>
    </x:row>
    <x:row r="1028">
      <x:c r="B1028" t="str">
        <x:v>PHY-OC-167</x:v>
      </x:c>
      <x:c r="C1028" t="str">
        <x:v>PHYSICAL</x:v>
      </x:c>
      <x:c r="D1028" t="str">
        <x:v>event outcome</x:v>
      </x:c>
      <x:c r="E1028" t="str">
        <x:v>RFA-E167</x:v>
      </x:c>
      <x:c r="F1028" t="n">
        <x:f>IF('Event Estimator'!M173&lt;&gt;"",1,0)</x:f>
        <x:v>0</x:v>
      </x:c>
      <x:c r="G1028" t="n">
        <x:v>1</x:v>
      </x:c>
      <x:c r="H1028" t="str">
        <x:v>equals</x:v>
      </x:c>
      <x:c r="I1028" t="str">
        <x:v>independent acceptance</x:v>
      </x:c>
      <x:c r="J1028" t="str">
        <x:f>IF(F1028=1,"PASS","OPEN")</x:f>
        <x:v>OPEN</x:v>
      </x:c>
    </x:row>
    <x:row r="1029">
      <x:c r="B1029" t="str">
        <x:v>PHY-EX-168</x:v>
      </x:c>
      <x:c r="C1029" t="str">
        <x:v>PHYSICAL</x:v>
      </x:c>
      <x:c r="D1029" t="str">
        <x:v>event execution</x:v>
      </x:c>
      <x:c r="E1029" t="str">
        <x:v>RFA-E168</x:v>
      </x:c>
      <x:c r="F1029" t="n">
        <x:f>IF('Event Register'!M174&lt;&gt;"",1,0)</x:f>
        <x:v>0</x:v>
      </x:c>
      <x:c r="G1029" t="n">
        <x:v>1</x:v>
      </x:c>
      <x:c r="H1029" t="str">
        <x:v>equals</x:v>
      </x:c>
      <x:c r="I1029" t="str">
        <x:v>independent acceptance</x:v>
      </x:c>
      <x:c r="J1029" t="str">
        <x:f>IF(F1029=1,"PASS","OPEN")</x:f>
        <x:v>OPEN</x:v>
      </x:c>
    </x:row>
    <x:row r="1030">
      <x:c r="B1030" t="str">
        <x:v>PHY-VA-168</x:v>
      </x:c>
      <x:c r="C1030" t="str">
        <x:v>PHYSICAL</x:v>
      </x:c>
      <x:c r="D1030" t="str">
        <x:v>event validity</x:v>
      </x:c>
      <x:c r="E1030" t="str">
        <x:v>RFA-E168</x:v>
      </x:c>
      <x:c r="F1030" t="n">
        <x:f>'Event Estimator'!L174</x:f>
        <x:v>0</x:v>
      </x:c>
      <x:c r="G1030" t="n">
        <x:v>1</x:v>
      </x:c>
      <x:c r="H1030" t="str">
        <x:v>equals</x:v>
      </x:c>
      <x:c r="I1030" t="str">
        <x:v>independent acceptance</x:v>
      </x:c>
      <x:c r="J1030" t="str">
        <x:f>IF(F1030=1,"PASS","OPEN")</x:f>
        <x:v>OPEN</x:v>
      </x:c>
    </x:row>
    <x:row r="1031">
      <x:c r="B1031" t="str">
        <x:v>PHY-OC-168</x:v>
      </x:c>
      <x:c r="C1031" t="str">
        <x:v>PHYSICAL</x:v>
      </x:c>
      <x:c r="D1031" t="str">
        <x:v>event outcome</x:v>
      </x:c>
      <x:c r="E1031" t="str">
        <x:v>RFA-E168</x:v>
      </x:c>
      <x:c r="F1031" t="n">
        <x:f>IF('Event Estimator'!M174&lt;&gt;"",1,0)</x:f>
        <x:v>0</x:v>
      </x:c>
      <x:c r="G1031" t="n">
        <x:v>1</x:v>
      </x:c>
      <x:c r="H1031" t="str">
        <x:v>equals</x:v>
      </x:c>
      <x:c r="I1031" t="str">
        <x:v>independent acceptance</x:v>
      </x:c>
      <x:c r="J1031" t="str">
        <x:f>IF(F1031=1,"PASS","OPEN")</x:f>
        <x:v>OPEN</x:v>
      </x:c>
    </x:row>
    <x:row r="1032">
      <x:c r="B1032" t="str">
        <x:v>PHY-EX-169</x:v>
      </x:c>
      <x:c r="C1032" t="str">
        <x:v>PHYSICAL</x:v>
      </x:c>
      <x:c r="D1032" t="str">
        <x:v>event execution</x:v>
      </x:c>
      <x:c r="E1032" t="str">
        <x:v>RFA-E169</x:v>
      </x:c>
      <x:c r="F1032" t="n">
        <x:f>IF('Event Register'!M175&lt;&gt;"",1,0)</x:f>
        <x:v>0</x:v>
      </x:c>
      <x:c r="G1032" t="n">
        <x:v>1</x:v>
      </x:c>
      <x:c r="H1032" t="str">
        <x:v>equals</x:v>
      </x:c>
      <x:c r="I1032" t="str">
        <x:v>independent acceptance</x:v>
      </x:c>
      <x:c r="J1032" t="str">
        <x:f>IF(F1032=1,"PASS","OPEN")</x:f>
        <x:v>OPEN</x:v>
      </x:c>
    </x:row>
    <x:row r="1033">
      <x:c r="B1033" t="str">
        <x:v>PHY-VA-169</x:v>
      </x:c>
      <x:c r="C1033" t="str">
        <x:v>PHYSICAL</x:v>
      </x:c>
      <x:c r="D1033" t="str">
        <x:v>event validity</x:v>
      </x:c>
      <x:c r="E1033" t="str">
        <x:v>RFA-E169</x:v>
      </x:c>
      <x:c r="F1033" t="n">
        <x:f>'Event Estimator'!L175</x:f>
        <x:v>0</x:v>
      </x:c>
      <x:c r="G1033" t="n">
        <x:v>1</x:v>
      </x:c>
      <x:c r="H1033" t="str">
        <x:v>equals</x:v>
      </x:c>
      <x:c r="I1033" t="str">
        <x:v>independent acceptance</x:v>
      </x:c>
      <x:c r="J1033" t="str">
        <x:f>IF(F1033=1,"PASS","OPEN")</x:f>
        <x:v>OPEN</x:v>
      </x:c>
    </x:row>
    <x:row r="1034">
      <x:c r="B1034" t="str">
        <x:v>PHY-OC-169</x:v>
      </x:c>
      <x:c r="C1034" t="str">
        <x:v>PHYSICAL</x:v>
      </x:c>
      <x:c r="D1034" t="str">
        <x:v>event outcome</x:v>
      </x:c>
      <x:c r="E1034" t="str">
        <x:v>RFA-E169</x:v>
      </x:c>
      <x:c r="F1034" t="n">
        <x:f>IF('Event Estimator'!M175&lt;&gt;"",1,0)</x:f>
        <x:v>0</x:v>
      </x:c>
      <x:c r="G1034" t="n">
        <x:v>1</x:v>
      </x:c>
      <x:c r="H1034" t="str">
        <x:v>equals</x:v>
      </x:c>
      <x:c r="I1034" t="str">
        <x:v>independent acceptance</x:v>
      </x:c>
      <x:c r="J1034" t="str">
        <x:f>IF(F1034=1,"PASS","OPEN")</x:f>
        <x:v>OPEN</x:v>
      </x:c>
    </x:row>
    <x:row r="1035">
      <x:c r="B1035" t="str">
        <x:v>PHY-EX-170</x:v>
      </x:c>
      <x:c r="C1035" t="str">
        <x:v>PHYSICAL</x:v>
      </x:c>
      <x:c r="D1035" t="str">
        <x:v>event execution</x:v>
      </x:c>
      <x:c r="E1035" t="str">
        <x:v>RFA-E170</x:v>
      </x:c>
      <x:c r="F1035" t="n">
        <x:f>IF('Event Register'!M176&lt;&gt;"",1,0)</x:f>
        <x:v>0</x:v>
      </x:c>
      <x:c r="G1035" t="n">
        <x:v>1</x:v>
      </x:c>
      <x:c r="H1035" t="str">
        <x:v>equals</x:v>
      </x:c>
      <x:c r="I1035" t="str">
        <x:v>independent acceptance</x:v>
      </x:c>
      <x:c r="J1035" t="str">
        <x:f>IF(F1035=1,"PASS","OPEN")</x:f>
        <x:v>OPEN</x:v>
      </x:c>
    </x:row>
    <x:row r="1036">
      <x:c r="B1036" t="str">
        <x:v>PHY-VA-170</x:v>
      </x:c>
      <x:c r="C1036" t="str">
        <x:v>PHYSICAL</x:v>
      </x:c>
      <x:c r="D1036" t="str">
        <x:v>event validity</x:v>
      </x:c>
      <x:c r="E1036" t="str">
        <x:v>RFA-E170</x:v>
      </x:c>
      <x:c r="F1036" t="n">
        <x:f>'Event Estimator'!L176</x:f>
        <x:v>0</x:v>
      </x:c>
      <x:c r="G1036" t="n">
        <x:v>1</x:v>
      </x:c>
      <x:c r="H1036" t="str">
        <x:v>equals</x:v>
      </x:c>
      <x:c r="I1036" t="str">
        <x:v>independent acceptance</x:v>
      </x:c>
      <x:c r="J1036" t="str">
        <x:f>IF(F1036=1,"PASS","OPEN")</x:f>
        <x:v>OPEN</x:v>
      </x:c>
    </x:row>
    <x:row r="1037">
      <x:c r="B1037" t="str">
        <x:v>PHY-OC-170</x:v>
      </x:c>
      <x:c r="C1037" t="str">
        <x:v>PHYSICAL</x:v>
      </x:c>
      <x:c r="D1037" t="str">
        <x:v>event outcome</x:v>
      </x:c>
      <x:c r="E1037" t="str">
        <x:v>RFA-E170</x:v>
      </x:c>
      <x:c r="F1037" t="n">
        <x:f>IF('Event Estimator'!M176&lt;&gt;"",1,0)</x:f>
        <x:v>0</x:v>
      </x:c>
      <x:c r="G1037" t="n">
        <x:v>1</x:v>
      </x:c>
      <x:c r="H1037" t="str">
        <x:v>equals</x:v>
      </x:c>
      <x:c r="I1037" t="str">
        <x:v>independent acceptance</x:v>
      </x:c>
      <x:c r="J1037" t="str">
        <x:f>IF(F1037=1,"PASS","OPEN")</x:f>
        <x:v>OPEN</x:v>
      </x:c>
    </x:row>
    <x:row r="1038">
      <x:c r="B1038" t="str">
        <x:v>PHY-EX-171</x:v>
      </x:c>
      <x:c r="C1038" t="str">
        <x:v>PHYSICAL</x:v>
      </x:c>
      <x:c r="D1038" t="str">
        <x:v>event execution</x:v>
      </x:c>
      <x:c r="E1038" t="str">
        <x:v>RFA-E171</x:v>
      </x:c>
      <x:c r="F1038" t="n">
        <x:f>IF('Event Register'!M177&lt;&gt;"",1,0)</x:f>
        <x:v>0</x:v>
      </x:c>
      <x:c r="G1038" t="n">
        <x:v>1</x:v>
      </x:c>
      <x:c r="H1038" t="str">
        <x:v>equals</x:v>
      </x:c>
      <x:c r="I1038" t="str">
        <x:v>independent acceptance</x:v>
      </x:c>
      <x:c r="J1038" t="str">
        <x:f>IF(F1038=1,"PASS","OPEN")</x:f>
        <x:v>OPEN</x:v>
      </x:c>
    </x:row>
    <x:row r="1039">
      <x:c r="B1039" t="str">
        <x:v>PHY-VA-171</x:v>
      </x:c>
      <x:c r="C1039" t="str">
        <x:v>PHYSICAL</x:v>
      </x:c>
      <x:c r="D1039" t="str">
        <x:v>event validity</x:v>
      </x:c>
      <x:c r="E1039" t="str">
        <x:v>RFA-E171</x:v>
      </x:c>
      <x:c r="F1039" t="n">
        <x:f>'Event Estimator'!L177</x:f>
        <x:v>0</x:v>
      </x:c>
      <x:c r="G1039" t="n">
        <x:v>1</x:v>
      </x:c>
      <x:c r="H1039" t="str">
        <x:v>equals</x:v>
      </x:c>
      <x:c r="I1039" t="str">
        <x:v>independent acceptance</x:v>
      </x:c>
      <x:c r="J1039" t="str">
        <x:f>IF(F1039=1,"PASS","OPEN")</x:f>
        <x:v>OPEN</x:v>
      </x:c>
    </x:row>
    <x:row r="1040">
      <x:c r="B1040" t="str">
        <x:v>PHY-OC-171</x:v>
      </x:c>
      <x:c r="C1040" t="str">
        <x:v>PHYSICAL</x:v>
      </x:c>
      <x:c r="D1040" t="str">
        <x:v>event outcome</x:v>
      </x:c>
      <x:c r="E1040" t="str">
        <x:v>RFA-E171</x:v>
      </x:c>
      <x:c r="F1040" t="n">
        <x:f>IF('Event Estimator'!M177&lt;&gt;"",1,0)</x:f>
        <x:v>0</x:v>
      </x:c>
      <x:c r="G1040" t="n">
        <x:v>1</x:v>
      </x:c>
      <x:c r="H1040" t="str">
        <x:v>equals</x:v>
      </x:c>
      <x:c r="I1040" t="str">
        <x:v>independent acceptance</x:v>
      </x:c>
      <x:c r="J1040" t="str">
        <x:f>IF(F1040=1,"PASS","OPEN")</x:f>
        <x:v>OPEN</x:v>
      </x:c>
    </x:row>
    <x:row r="1041">
      <x:c r="B1041" t="str">
        <x:v>PHY-EX-172</x:v>
      </x:c>
      <x:c r="C1041" t="str">
        <x:v>PHYSICAL</x:v>
      </x:c>
      <x:c r="D1041" t="str">
        <x:v>event execution</x:v>
      </x:c>
      <x:c r="E1041" t="str">
        <x:v>RFA-E172</x:v>
      </x:c>
      <x:c r="F1041" t="n">
        <x:f>IF('Event Register'!M178&lt;&gt;"",1,0)</x:f>
        <x:v>0</x:v>
      </x:c>
      <x:c r="G1041" t="n">
        <x:v>1</x:v>
      </x:c>
      <x:c r="H1041" t="str">
        <x:v>equals</x:v>
      </x:c>
      <x:c r="I1041" t="str">
        <x:v>independent acceptance</x:v>
      </x:c>
      <x:c r="J1041" t="str">
        <x:f>IF(F1041=1,"PASS","OPEN")</x:f>
        <x:v>OPEN</x:v>
      </x:c>
    </x:row>
    <x:row r="1042">
      <x:c r="B1042" t="str">
        <x:v>PHY-VA-172</x:v>
      </x:c>
      <x:c r="C1042" t="str">
        <x:v>PHYSICAL</x:v>
      </x:c>
      <x:c r="D1042" t="str">
        <x:v>event validity</x:v>
      </x:c>
      <x:c r="E1042" t="str">
        <x:v>RFA-E172</x:v>
      </x:c>
      <x:c r="F1042" t="n">
        <x:f>'Event Estimator'!L178</x:f>
        <x:v>0</x:v>
      </x:c>
      <x:c r="G1042" t="n">
        <x:v>1</x:v>
      </x:c>
      <x:c r="H1042" t="str">
        <x:v>equals</x:v>
      </x:c>
      <x:c r="I1042" t="str">
        <x:v>independent acceptance</x:v>
      </x:c>
      <x:c r="J1042" t="str">
        <x:f>IF(F1042=1,"PASS","OPEN")</x:f>
        <x:v>OPEN</x:v>
      </x:c>
    </x:row>
    <x:row r="1043">
      <x:c r="B1043" t="str">
        <x:v>PHY-OC-172</x:v>
      </x:c>
      <x:c r="C1043" t="str">
        <x:v>PHYSICAL</x:v>
      </x:c>
      <x:c r="D1043" t="str">
        <x:v>event outcome</x:v>
      </x:c>
      <x:c r="E1043" t="str">
        <x:v>RFA-E172</x:v>
      </x:c>
      <x:c r="F1043" t="n">
        <x:f>IF('Event Estimator'!M178&lt;&gt;"",1,0)</x:f>
        <x:v>0</x:v>
      </x:c>
      <x:c r="G1043" t="n">
        <x:v>1</x:v>
      </x:c>
      <x:c r="H1043" t="str">
        <x:v>equals</x:v>
      </x:c>
      <x:c r="I1043" t="str">
        <x:v>independent acceptance</x:v>
      </x:c>
      <x:c r="J1043" t="str">
        <x:f>IF(F1043=1,"PASS","OPEN")</x:f>
        <x:v>OPEN</x:v>
      </x:c>
    </x:row>
    <x:row r="1044">
      <x:c r="B1044" t="str">
        <x:v>PHY-EX-173</x:v>
      </x:c>
      <x:c r="C1044" t="str">
        <x:v>PHYSICAL</x:v>
      </x:c>
      <x:c r="D1044" t="str">
        <x:v>event execution</x:v>
      </x:c>
      <x:c r="E1044" t="str">
        <x:v>RFA-E173</x:v>
      </x:c>
      <x:c r="F1044" t="n">
        <x:f>IF('Event Register'!M179&lt;&gt;"",1,0)</x:f>
        <x:v>0</x:v>
      </x:c>
      <x:c r="G1044" t="n">
        <x:v>1</x:v>
      </x:c>
      <x:c r="H1044" t="str">
        <x:v>equals</x:v>
      </x:c>
      <x:c r="I1044" t="str">
        <x:v>independent acceptance</x:v>
      </x:c>
      <x:c r="J1044" t="str">
        <x:f>IF(F1044=1,"PASS","OPEN")</x:f>
        <x:v>OPEN</x:v>
      </x:c>
    </x:row>
    <x:row r="1045">
      <x:c r="B1045" t="str">
        <x:v>PHY-VA-173</x:v>
      </x:c>
      <x:c r="C1045" t="str">
        <x:v>PHYSICAL</x:v>
      </x:c>
      <x:c r="D1045" t="str">
        <x:v>event validity</x:v>
      </x:c>
      <x:c r="E1045" t="str">
        <x:v>RFA-E173</x:v>
      </x:c>
      <x:c r="F1045" t="n">
        <x:f>'Event Estimator'!L179</x:f>
        <x:v>0</x:v>
      </x:c>
      <x:c r="G1045" t="n">
        <x:v>1</x:v>
      </x:c>
      <x:c r="H1045" t="str">
        <x:v>equals</x:v>
      </x:c>
      <x:c r="I1045" t="str">
        <x:v>independent acceptance</x:v>
      </x:c>
      <x:c r="J1045" t="str">
        <x:f>IF(F1045=1,"PASS","OPEN")</x:f>
        <x:v>OPEN</x:v>
      </x:c>
    </x:row>
    <x:row r="1046">
      <x:c r="B1046" t="str">
        <x:v>PHY-OC-173</x:v>
      </x:c>
      <x:c r="C1046" t="str">
        <x:v>PHYSICAL</x:v>
      </x:c>
      <x:c r="D1046" t="str">
        <x:v>event outcome</x:v>
      </x:c>
      <x:c r="E1046" t="str">
        <x:v>RFA-E173</x:v>
      </x:c>
      <x:c r="F1046" t="n">
        <x:f>IF('Event Estimator'!M179&lt;&gt;"",1,0)</x:f>
        <x:v>0</x:v>
      </x:c>
      <x:c r="G1046" t="n">
        <x:v>1</x:v>
      </x:c>
      <x:c r="H1046" t="str">
        <x:v>equals</x:v>
      </x:c>
      <x:c r="I1046" t="str">
        <x:v>independent acceptance</x:v>
      </x:c>
      <x:c r="J1046" t="str">
        <x:f>IF(F1046=1,"PASS","OPEN")</x:f>
        <x:v>OPEN</x:v>
      </x:c>
    </x:row>
    <x:row r="1047">
      <x:c r="B1047" t="str">
        <x:v>PHY-EX-174</x:v>
      </x:c>
      <x:c r="C1047" t="str">
        <x:v>PHYSICAL</x:v>
      </x:c>
      <x:c r="D1047" t="str">
        <x:v>event execution</x:v>
      </x:c>
      <x:c r="E1047" t="str">
        <x:v>RFA-E174</x:v>
      </x:c>
      <x:c r="F1047" t="n">
        <x:f>IF('Event Register'!M180&lt;&gt;"",1,0)</x:f>
        <x:v>0</x:v>
      </x:c>
      <x:c r="G1047" t="n">
        <x:v>1</x:v>
      </x:c>
      <x:c r="H1047" t="str">
        <x:v>equals</x:v>
      </x:c>
      <x:c r="I1047" t="str">
        <x:v>independent acceptance</x:v>
      </x:c>
      <x:c r="J1047" t="str">
        <x:f>IF(F1047=1,"PASS","OPEN")</x:f>
        <x:v>OPEN</x:v>
      </x:c>
    </x:row>
    <x:row r="1048">
      <x:c r="B1048" t="str">
        <x:v>PHY-VA-174</x:v>
      </x:c>
      <x:c r="C1048" t="str">
        <x:v>PHYSICAL</x:v>
      </x:c>
      <x:c r="D1048" t="str">
        <x:v>event validity</x:v>
      </x:c>
      <x:c r="E1048" t="str">
        <x:v>RFA-E174</x:v>
      </x:c>
      <x:c r="F1048" t="n">
        <x:f>'Event Estimator'!L180</x:f>
        <x:v>0</x:v>
      </x:c>
      <x:c r="G1048" t="n">
        <x:v>1</x:v>
      </x:c>
      <x:c r="H1048" t="str">
        <x:v>equals</x:v>
      </x:c>
      <x:c r="I1048" t="str">
        <x:v>independent acceptance</x:v>
      </x:c>
      <x:c r="J1048" t="str">
        <x:f>IF(F1048=1,"PASS","OPEN")</x:f>
        <x:v>OPEN</x:v>
      </x:c>
    </x:row>
    <x:row r="1049">
      <x:c r="B1049" t="str">
        <x:v>PHY-OC-174</x:v>
      </x:c>
      <x:c r="C1049" t="str">
        <x:v>PHYSICAL</x:v>
      </x:c>
      <x:c r="D1049" t="str">
        <x:v>event outcome</x:v>
      </x:c>
      <x:c r="E1049" t="str">
        <x:v>RFA-E174</x:v>
      </x:c>
      <x:c r="F1049" t="n">
        <x:f>IF('Event Estimator'!M180&lt;&gt;"",1,0)</x:f>
        <x:v>0</x:v>
      </x:c>
      <x:c r="G1049" t="n">
        <x:v>1</x:v>
      </x:c>
      <x:c r="H1049" t="str">
        <x:v>equals</x:v>
      </x:c>
      <x:c r="I1049" t="str">
        <x:v>independent acceptance</x:v>
      </x:c>
      <x:c r="J1049" t="str">
        <x:f>IF(F1049=1,"PASS","OPEN")</x:f>
        <x:v>OPEN</x:v>
      </x:c>
    </x:row>
    <x:row r="1050">
      <x:c r="B1050" t="str">
        <x:v>PHY-EX-175</x:v>
      </x:c>
      <x:c r="C1050" t="str">
        <x:v>PHYSICAL</x:v>
      </x:c>
      <x:c r="D1050" t="str">
        <x:v>event execution</x:v>
      </x:c>
      <x:c r="E1050" t="str">
        <x:v>RFA-E175</x:v>
      </x:c>
      <x:c r="F1050" t="n">
        <x:f>IF('Event Register'!M181&lt;&gt;"",1,0)</x:f>
        <x:v>0</x:v>
      </x:c>
      <x:c r="G1050" t="n">
        <x:v>1</x:v>
      </x:c>
      <x:c r="H1050" t="str">
        <x:v>equals</x:v>
      </x:c>
      <x:c r="I1050" t="str">
        <x:v>independent acceptance</x:v>
      </x:c>
      <x:c r="J1050" t="str">
        <x:f>IF(F1050=1,"PASS","OPEN")</x:f>
        <x:v>OPEN</x:v>
      </x:c>
    </x:row>
    <x:row r="1051">
      <x:c r="B1051" t="str">
        <x:v>PHY-VA-175</x:v>
      </x:c>
      <x:c r="C1051" t="str">
        <x:v>PHYSICAL</x:v>
      </x:c>
      <x:c r="D1051" t="str">
        <x:v>event validity</x:v>
      </x:c>
      <x:c r="E1051" t="str">
        <x:v>RFA-E175</x:v>
      </x:c>
      <x:c r="F1051" t="n">
        <x:f>'Event Estimator'!L181</x:f>
        <x:v>0</x:v>
      </x:c>
      <x:c r="G1051" t="n">
        <x:v>1</x:v>
      </x:c>
      <x:c r="H1051" t="str">
        <x:v>equals</x:v>
      </x:c>
      <x:c r="I1051" t="str">
        <x:v>independent acceptance</x:v>
      </x:c>
      <x:c r="J1051" t="str">
        <x:f>IF(F1051=1,"PASS","OPEN")</x:f>
        <x:v>OPEN</x:v>
      </x:c>
    </x:row>
    <x:row r="1052">
      <x:c r="B1052" t="str">
        <x:v>PHY-OC-175</x:v>
      </x:c>
      <x:c r="C1052" t="str">
        <x:v>PHYSICAL</x:v>
      </x:c>
      <x:c r="D1052" t="str">
        <x:v>event outcome</x:v>
      </x:c>
      <x:c r="E1052" t="str">
        <x:v>RFA-E175</x:v>
      </x:c>
      <x:c r="F1052" t="n">
        <x:f>IF('Event Estimator'!M181&lt;&gt;"",1,0)</x:f>
        <x:v>0</x:v>
      </x:c>
      <x:c r="G1052" t="n">
        <x:v>1</x:v>
      </x:c>
      <x:c r="H1052" t="str">
        <x:v>equals</x:v>
      </x:c>
      <x:c r="I1052" t="str">
        <x:v>independent acceptance</x:v>
      </x:c>
      <x:c r="J1052" t="str">
        <x:f>IF(F1052=1,"PASS","OPEN")</x:f>
        <x:v>OPEN</x:v>
      </x:c>
    </x:row>
    <x:row r="1053">
      <x:c r="B1053" t="str">
        <x:v>PHY-EX-176</x:v>
      </x:c>
      <x:c r="C1053" t="str">
        <x:v>PHYSICAL</x:v>
      </x:c>
      <x:c r="D1053" t="str">
        <x:v>event execution</x:v>
      </x:c>
      <x:c r="E1053" t="str">
        <x:v>RFA-E176</x:v>
      </x:c>
      <x:c r="F1053" t="n">
        <x:f>IF('Event Register'!M182&lt;&gt;"",1,0)</x:f>
        <x:v>0</x:v>
      </x:c>
      <x:c r="G1053" t="n">
        <x:v>1</x:v>
      </x:c>
      <x:c r="H1053" t="str">
        <x:v>equals</x:v>
      </x:c>
      <x:c r="I1053" t="str">
        <x:v>independent acceptance</x:v>
      </x:c>
      <x:c r="J1053" t="str">
        <x:f>IF(F1053=1,"PASS","OPEN")</x:f>
        <x:v>OPEN</x:v>
      </x:c>
    </x:row>
    <x:row r="1054">
      <x:c r="B1054" t="str">
        <x:v>PHY-VA-176</x:v>
      </x:c>
      <x:c r="C1054" t="str">
        <x:v>PHYSICAL</x:v>
      </x:c>
      <x:c r="D1054" t="str">
        <x:v>event validity</x:v>
      </x:c>
      <x:c r="E1054" t="str">
        <x:v>RFA-E176</x:v>
      </x:c>
      <x:c r="F1054" t="n">
        <x:f>'Event Estimator'!L182</x:f>
        <x:v>0</x:v>
      </x:c>
      <x:c r="G1054" t="n">
        <x:v>1</x:v>
      </x:c>
      <x:c r="H1054" t="str">
        <x:v>equals</x:v>
      </x:c>
      <x:c r="I1054" t="str">
        <x:v>independent acceptance</x:v>
      </x:c>
      <x:c r="J1054" t="str">
        <x:f>IF(F1054=1,"PASS","OPEN")</x:f>
        <x:v>OPEN</x:v>
      </x:c>
    </x:row>
    <x:row r="1055">
      <x:c r="B1055" t="str">
        <x:v>PHY-OC-176</x:v>
      </x:c>
      <x:c r="C1055" t="str">
        <x:v>PHYSICAL</x:v>
      </x:c>
      <x:c r="D1055" t="str">
        <x:v>event outcome</x:v>
      </x:c>
      <x:c r="E1055" t="str">
        <x:v>RFA-E176</x:v>
      </x:c>
      <x:c r="F1055" t="n">
        <x:f>IF('Event Estimator'!M182&lt;&gt;"",1,0)</x:f>
        <x:v>0</x:v>
      </x:c>
      <x:c r="G1055" t="n">
        <x:v>1</x:v>
      </x:c>
      <x:c r="H1055" t="str">
        <x:v>equals</x:v>
      </x:c>
      <x:c r="I1055" t="str">
        <x:v>independent acceptance</x:v>
      </x:c>
      <x:c r="J1055" t="str">
        <x:f>IF(F1055=1,"PASS","OPEN")</x:f>
        <x:v>OPEN</x:v>
      </x:c>
    </x:row>
    <x:row r="1056">
      <x:c r="B1056" t="str">
        <x:v>PHY-EX-177</x:v>
      </x:c>
      <x:c r="C1056" t="str">
        <x:v>PHYSICAL</x:v>
      </x:c>
      <x:c r="D1056" t="str">
        <x:v>event execution</x:v>
      </x:c>
      <x:c r="E1056" t="str">
        <x:v>RFA-E177</x:v>
      </x:c>
      <x:c r="F1056" t="n">
        <x:f>IF('Event Register'!M183&lt;&gt;"",1,0)</x:f>
        <x:v>0</x:v>
      </x:c>
      <x:c r="G1056" t="n">
        <x:v>1</x:v>
      </x:c>
      <x:c r="H1056" t="str">
        <x:v>equals</x:v>
      </x:c>
      <x:c r="I1056" t="str">
        <x:v>independent acceptance</x:v>
      </x:c>
      <x:c r="J1056" t="str">
        <x:f>IF(F1056=1,"PASS","OPEN")</x:f>
        <x:v>OPEN</x:v>
      </x:c>
    </x:row>
    <x:row r="1057">
      <x:c r="B1057" t="str">
        <x:v>PHY-VA-177</x:v>
      </x:c>
      <x:c r="C1057" t="str">
        <x:v>PHYSICAL</x:v>
      </x:c>
      <x:c r="D1057" t="str">
        <x:v>event validity</x:v>
      </x:c>
      <x:c r="E1057" t="str">
        <x:v>RFA-E177</x:v>
      </x:c>
      <x:c r="F1057" t="n">
        <x:f>'Event Estimator'!L183</x:f>
        <x:v>0</x:v>
      </x:c>
      <x:c r="G1057" t="n">
        <x:v>1</x:v>
      </x:c>
      <x:c r="H1057" t="str">
        <x:v>equals</x:v>
      </x:c>
      <x:c r="I1057" t="str">
        <x:v>independent acceptance</x:v>
      </x:c>
      <x:c r="J1057" t="str">
        <x:f>IF(F1057=1,"PASS","OPEN")</x:f>
        <x:v>OPEN</x:v>
      </x:c>
    </x:row>
    <x:row r="1058">
      <x:c r="B1058" t="str">
        <x:v>PHY-OC-177</x:v>
      </x:c>
      <x:c r="C1058" t="str">
        <x:v>PHYSICAL</x:v>
      </x:c>
      <x:c r="D1058" t="str">
        <x:v>event outcome</x:v>
      </x:c>
      <x:c r="E1058" t="str">
        <x:v>RFA-E177</x:v>
      </x:c>
      <x:c r="F1058" t="n">
        <x:f>IF('Event Estimator'!M183&lt;&gt;"",1,0)</x:f>
        <x:v>0</x:v>
      </x:c>
      <x:c r="G1058" t="n">
        <x:v>1</x:v>
      </x:c>
      <x:c r="H1058" t="str">
        <x:v>equals</x:v>
      </x:c>
      <x:c r="I1058" t="str">
        <x:v>independent acceptance</x:v>
      </x:c>
      <x:c r="J1058" t="str">
        <x:f>IF(F1058=1,"PASS","OPEN")</x:f>
        <x:v>OPEN</x:v>
      </x:c>
    </x:row>
    <x:row r="1059">
      <x:c r="B1059" t="str">
        <x:v>PHY-EX-178</x:v>
      </x:c>
      <x:c r="C1059" t="str">
        <x:v>PHYSICAL</x:v>
      </x:c>
      <x:c r="D1059" t="str">
        <x:v>event execution</x:v>
      </x:c>
      <x:c r="E1059" t="str">
        <x:v>RFA-E178</x:v>
      </x:c>
      <x:c r="F1059" t="n">
        <x:f>IF('Event Register'!M184&lt;&gt;"",1,0)</x:f>
        <x:v>0</x:v>
      </x:c>
      <x:c r="G1059" t="n">
        <x:v>1</x:v>
      </x:c>
      <x:c r="H1059" t="str">
        <x:v>equals</x:v>
      </x:c>
      <x:c r="I1059" t="str">
        <x:v>independent acceptance</x:v>
      </x:c>
      <x:c r="J1059" t="str">
        <x:f>IF(F1059=1,"PASS","OPEN")</x:f>
        <x:v>OPEN</x:v>
      </x:c>
    </x:row>
    <x:row r="1060">
      <x:c r="B1060" t="str">
        <x:v>PHY-VA-178</x:v>
      </x:c>
      <x:c r="C1060" t="str">
        <x:v>PHYSICAL</x:v>
      </x:c>
      <x:c r="D1060" t="str">
        <x:v>event validity</x:v>
      </x:c>
      <x:c r="E1060" t="str">
        <x:v>RFA-E178</x:v>
      </x:c>
      <x:c r="F1060" t="n">
        <x:f>'Event Estimator'!L184</x:f>
        <x:v>0</x:v>
      </x:c>
      <x:c r="G1060" t="n">
        <x:v>1</x:v>
      </x:c>
      <x:c r="H1060" t="str">
        <x:v>equals</x:v>
      </x:c>
      <x:c r="I1060" t="str">
        <x:v>independent acceptance</x:v>
      </x:c>
      <x:c r="J1060" t="str">
        <x:f>IF(F1060=1,"PASS","OPEN")</x:f>
        <x:v>OPEN</x:v>
      </x:c>
    </x:row>
    <x:row r="1061">
      <x:c r="B1061" t="str">
        <x:v>PHY-OC-178</x:v>
      </x:c>
      <x:c r="C1061" t="str">
        <x:v>PHYSICAL</x:v>
      </x:c>
      <x:c r="D1061" t="str">
        <x:v>event outcome</x:v>
      </x:c>
      <x:c r="E1061" t="str">
        <x:v>RFA-E178</x:v>
      </x:c>
      <x:c r="F1061" t="n">
        <x:f>IF('Event Estimator'!M184&lt;&gt;"",1,0)</x:f>
        <x:v>0</x:v>
      </x:c>
      <x:c r="G1061" t="n">
        <x:v>1</x:v>
      </x:c>
      <x:c r="H1061" t="str">
        <x:v>equals</x:v>
      </x:c>
      <x:c r="I1061" t="str">
        <x:v>independent acceptance</x:v>
      </x:c>
      <x:c r="J1061" t="str">
        <x:f>IF(F1061=1,"PASS","OPEN")</x:f>
        <x:v>OPEN</x:v>
      </x:c>
    </x:row>
    <x:row r="1062">
      <x:c r="B1062" t="str">
        <x:v>PHY-EX-179</x:v>
      </x:c>
      <x:c r="C1062" t="str">
        <x:v>PHYSICAL</x:v>
      </x:c>
      <x:c r="D1062" t="str">
        <x:v>event execution</x:v>
      </x:c>
      <x:c r="E1062" t="str">
        <x:v>RFA-E179</x:v>
      </x:c>
      <x:c r="F1062" t="n">
        <x:f>IF('Event Register'!M185&lt;&gt;"",1,0)</x:f>
        <x:v>0</x:v>
      </x:c>
      <x:c r="G1062" t="n">
        <x:v>1</x:v>
      </x:c>
      <x:c r="H1062" t="str">
        <x:v>equals</x:v>
      </x:c>
      <x:c r="I1062" t="str">
        <x:v>independent acceptance</x:v>
      </x:c>
      <x:c r="J1062" t="str">
        <x:f>IF(F1062=1,"PASS","OPEN")</x:f>
        <x:v>OPEN</x:v>
      </x:c>
    </x:row>
    <x:row r="1063">
      <x:c r="B1063" t="str">
        <x:v>PHY-VA-179</x:v>
      </x:c>
      <x:c r="C1063" t="str">
        <x:v>PHYSICAL</x:v>
      </x:c>
      <x:c r="D1063" t="str">
        <x:v>event validity</x:v>
      </x:c>
      <x:c r="E1063" t="str">
        <x:v>RFA-E179</x:v>
      </x:c>
      <x:c r="F1063" t="n">
        <x:f>'Event Estimator'!L185</x:f>
        <x:v>0</x:v>
      </x:c>
      <x:c r="G1063" t="n">
        <x:v>1</x:v>
      </x:c>
      <x:c r="H1063" t="str">
        <x:v>equals</x:v>
      </x:c>
      <x:c r="I1063" t="str">
        <x:v>independent acceptance</x:v>
      </x:c>
      <x:c r="J1063" t="str">
        <x:f>IF(F1063=1,"PASS","OPEN")</x:f>
        <x:v>OPEN</x:v>
      </x:c>
    </x:row>
    <x:row r="1064">
      <x:c r="B1064" t="str">
        <x:v>PHY-OC-179</x:v>
      </x:c>
      <x:c r="C1064" t="str">
        <x:v>PHYSICAL</x:v>
      </x:c>
      <x:c r="D1064" t="str">
        <x:v>event outcome</x:v>
      </x:c>
      <x:c r="E1064" t="str">
        <x:v>RFA-E179</x:v>
      </x:c>
      <x:c r="F1064" t="n">
        <x:f>IF('Event Estimator'!M185&lt;&gt;"",1,0)</x:f>
        <x:v>0</x:v>
      </x:c>
      <x:c r="G1064" t="n">
        <x:v>1</x:v>
      </x:c>
      <x:c r="H1064" t="str">
        <x:v>equals</x:v>
      </x:c>
      <x:c r="I1064" t="str">
        <x:v>independent acceptance</x:v>
      </x:c>
      <x:c r="J1064" t="str">
        <x:f>IF(F1064=1,"PASS","OPEN")</x:f>
        <x:v>OPEN</x:v>
      </x:c>
    </x:row>
    <x:row r="1065">
      <x:c r="B1065" t="str">
        <x:v>PHY-EX-180</x:v>
      </x:c>
      <x:c r="C1065" t="str">
        <x:v>PHYSICAL</x:v>
      </x:c>
      <x:c r="D1065" t="str">
        <x:v>event execution</x:v>
      </x:c>
      <x:c r="E1065" t="str">
        <x:v>RFA-E180</x:v>
      </x:c>
      <x:c r="F1065" t="n">
        <x:f>IF('Event Register'!M186&lt;&gt;"",1,0)</x:f>
        <x:v>0</x:v>
      </x:c>
      <x:c r="G1065" t="n">
        <x:v>1</x:v>
      </x:c>
      <x:c r="H1065" t="str">
        <x:v>equals</x:v>
      </x:c>
      <x:c r="I1065" t="str">
        <x:v>independent acceptance</x:v>
      </x:c>
      <x:c r="J1065" t="str">
        <x:f>IF(F1065=1,"PASS","OPEN")</x:f>
        <x:v>OPEN</x:v>
      </x:c>
    </x:row>
    <x:row r="1066">
      <x:c r="B1066" t="str">
        <x:v>PHY-VA-180</x:v>
      </x:c>
      <x:c r="C1066" t="str">
        <x:v>PHYSICAL</x:v>
      </x:c>
      <x:c r="D1066" t="str">
        <x:v>event validity</x:v>
      </x:c>
      <x:c r="E1066" t="str">
        <x:v>RFA-E180</x:v>
      </x:c>
      <x:c r="F1066" t="n">
        <x:f>'Event Estimator'!L186</x:f>
        <x:v>0</x:v>
      </x:c>
      <x:c r="G1066" t="n">
        <x:v>1</x:v>
      </x:c>
      <x:c r="H1066" t="str">
        <x:v>equals</x:v>
      </x:c>
      <x:c r="I1066" t="str">
        <x:v>independent acceptance</x:v>
      </x:c>
      <x:c r="J1066" t="str">
        <x:f>IF(F1066=1,"PASS","OPEN")</x:f>
        <x:v>OPEN</x:v>
      </x:c>
    </x:row>
    <x:row r="1067">
      <x:c r="B1067" t="str">
        <x:v>PHY-OC-180</x:v>
      </x:c>
      <x:c r="C1067" t="str">
        <x:v>PHYSICAL</x:v>
      </x:c>
      <x:c r="D1067" t="str">
        <x:v>event outcome</x:v>
      </x:c>
      <x:c r="E1067" t="str">
        <x:v>RFA-E180</x:v>
      </x:c>
      <x:c r="F1067" t="n">
        <x:f>IF('Event Estimator'!M186&lt;&gt;"",1,0)</x:f>
        <x:v>0</x:v>
      </x:c>
      <x:c r="G1067" t="n">
        <x:v>1</x:v>
      </x:c>
      <x:c r="H1067" t="str">
        <x:v>equals</x:v>
      </x:c>
      <x:c r="I1067" t="str">
        <x:v>independent acceptance</x:v>
      </x:c>
      <x:c r="J1067" t="str">
        <x:f>IF(F1067=1,"PASS","OPEN")</x:f>
        <x:v>OPEN</x:v>
      </x:c>
    </x:row>
    <x:row r="1068">
      <x:c r="B1068" t="str">
        <x:v>PHY-EX-181</x:v>
      </x:c>
      <x:c r="C1068" t="str">
        <x:v>PHYSICAL</x:v>
      </x:c>
      <x:c r="D1068" t="str">
        <x:v>event execution</x:v>
      </x:c>
      <x:c r="E1068" t="str">
        <x:v>RFA-E181</x:v>
      </x:c>
      <x:c r="F1068" t="n">
        <x:f>IF('Event Register'!M187&lt;&gt;"",1,0)</x:f>
        <x:v>0</x:v>
      </x:c>
      <x:c r="G1068" t="n">
        <x:v>1</x:v>
      </x:c>
      <x:c r="H1068" t="str">
        <x:v>equals</x:v>
      </x:c>
      <x:c r="I1068" t="str">
        <x:v>independent acceptance</x:v>
      </x:c>
      <x:c r="J1068" t="str">
        <x:f>IF(F1068=1,"PASS","OPEN")</x:f>
        <x:v>OPEN</x:v>
      </x:c>
    </x:row>
    <x:row r="1069">
      <x:c r="B1069" t="str">
        <x:v>PHY-VA-181</x:v>
      </x:c>
      <x:c r="C1069" t="str">
        <x:v>PHYSICAL</x:v>
      </x:c>
      <x:c r="D1069" t="str">
        <x:v>event validity</x:v>
      </x:c>
      <x:c r="E1069" t="str">
        <x:v>RFA-E181</x:v>
      </x:c>
      <x:c r="F1069" t="n">
        <x:f>'Event Estimator'!L187</x:f>
        <x:v>0</x:v>
      </x:c>
      <x:c r="G1069" t="n">
        <x:v>1</x:v>
      </x:c>
      <x:c r="H1069" t="str">
        <x:v>equals</x:v>
      </x:c>
      <x:c r="I1069" t="str">
        <x:v>independent acceptance</x:v>
      </x:c>
      <x:c r="J1069" t="str">
        <x:f>IF(F1069=1,"PASS","OPEN")</x:f>
        <x:v>OPEN</x:v>
      </x:c>
    </x:row>
    <x:row r="1070">
      <x:c r="B1070" t="str">
        <x:v>PHY-OC-181</x:v>
      </x:c>
      <x:c r="C1070" t="str">
        <x:v>PHYSICAL</x:v>
      </x:c>
      <x:c r="D1070" t="str">
        <x:v>event outcome</x:v>
      </x:c>
      <x:c r="E1070" t="str">
        <x:v>RFA-E181</x:v>
      </x:c>
      <x:c r="F1070" t="n">
        <x:f>IF('Event Estimator'!M187&lt;&gt;"",1,0)</x:f>
        <x:v>0</x:v>
      </x:c>
      <x:c r="G1070" t="n">
        <x:v>1</x:v>
      </x:c>
      <x:c r="H1070" t="str">
        <x:v>equals</x:v>
      </x:c>
      <x:c r="I1070" t="str">
        <x:v>independent acceptance</x:v>
      </x:c>
      <x:c r="J1070" t="str">
        <x:f>IF(F1070=1,"PASS","OPEN")</x:f>
        <x:v>OPEN</x:v>
      </x:c>
    </x:row>
    <x:row r="1071">
      <x:c r="B1071" t="str">
        <x:v>PHY-EX-182</x:v>
      </x:c>
      <x:c r="C1071" t="str">
        <x:v>PHYSICAL</x:v>
      </x:c>
      <x:c r="D1071" t="str">
        <x:v>event execution</x:v>
      </x:c>
      <x:c r="E1071" t="str">
        <x:v>RFA-E182</x:v>
      </x:c>
      <x:c r="F1071" t="n">
        <x:f>IF('Event Register'!M188&lt;&gt;"",1,0)</x:f>
        <x:v>0</x:v>
      </x:c>
      <x:c r="G1071" t="n">
        <x:v>1</x:v>
      </x:c>
      <x:c r="H1071" t="str">
        <x:v>equals</x:v>
      </x:c>
      <x:c r="I1071" t="str">
        <x:v>independent acceptance</x:v>
      </x:c>
      <x:c r="J1071" t="str">
        <x:f>IF(F1071=1,"PASS","OPEN")</x:f>
        <x:v>OPEN</x:v>
      </x:c>
    </x:row>
    <x:row r="1072">
      <x:c r="B1072" t="str">
        <x:v>PHY-VA-182</x:v>
      </x:c>
      <x:c r="C1072" t="str">
        <x:v>PHYSICAL</x:v>
      </x:c>
      <x:c r="D1072" t="str">
        <x:v>event validity</x:v>
      </x:c>
      <x:c r="E1072" t="str">
        <x:v>RFA-E182</x:v>
      </x:c>
      <x:c r="F1072" t="n">
        <x:f>'Event Estimator'!L188</x:f>
        <x:v>0</x:v>
      </x:c>
      <x:c r="G1072" t="n">
        <x:v>1</x:v>
      </x:c>
      <x:c r="H1072" t="str">
        <x:v>equals</x:v>
      </x:c>
      <x:c r="I1072" t="str">
        <x:v>independent acceptance</x:v>
      </x:c>
      <x:c r="J1072" t="str">
        <x:f>IF(F1072=1,"PASS","OPEN")</x:f>
        <x:v>OPEN</x:v>
      </x:c>
    </x:row>
    <x:row r="1073">
      <x:c r="B1073" t="str">
        <x:v>PHY-OC-182</x:v>
      </x:c>
      <x:c r="C1073" t="str">
        <x:v>PHYSICAL</x:v>
      </x:c>
      <x:c r="D1073" t="str">
        <x:v>event outcome</x:v>
      </x:c>
      <x:c r="E1073" t="str">
        <x:v>RFA-E182</x:v>
      </x:c>
      <x:c r="F1073" t="n">
        <x:f>IF('Event Estimator'!M188&lt;&gt;"",1,0)</x:f>
        <x:v>0</x:v>
      </x:c>
      <x:c r="G1073" t="n">
        <x:v>1</x:v>
      </x:c>
      <x:c r="H1073" t="str">
        <x:v>equals</x:v>
      </x:c>
      <x:c r="I1073" t="str">
        <x:v>independent acceptance</x:v>
      </x:c>
      <x:c r="J1073" t="str">
        <x:f>IF(F1073=1,"PASS","OPEN")</x:f>
        <x:v>OPEN</x:v>
      </x:c>
    </x:row>
    <x:row r="1074">
      <x:c r="B1074" t="str">
        <x:v>PHY-EX-183</x:v>
      </x:c>
      <x:c r="C1074" t="str">
        <x:v>PHYSICAL</x:v>
      </x:c>
      <x:c r="D1074" t="str">
        <x:v>event execution</x:v>
      </x:c>
      <x:c r="E1074" t="str">
        <x:v>RFA-E183</x:v>
      </x:c>
      <x:c r="F1074" t="n">
        <x:f>IF('Event Register'!M189&lt;&gt;"",1,0)</x:f>
        <x:v>0</x:v>
      </x:c>
      <x:c r="G1074" t="n">
        <x:v>1</x:v>
      </x:c>
      <x:c r="H1074" t="str">
        <x:v>equals</x:v>
      </x:c>
      <x:c r="I1074" t="str">
        <x:v>independent acceptance</x:v>
      </x:c>
      <x:c r="J1074" t="str">
        <x:f>IF(F1074=1,"PASS","OPEN")</x:f>
        <x:v>OPEN</x:v>
      </x:c>
    </x:row>
    <x:row r="1075">
      <x:c r="B1075" t="str">
        <x:v>PHY-VA-183</x:v>
      </x:c>
      <x:c r="C1075" t="str">
        <x:v>PHYSICAL</x:v>
      </x:c>
      <x:c r="D1075" t="str">
        <x:v>event validity</x:v>
      </x:c>
      <x:c r="E1075" t="str">
        <x:v>RFA-E183</x:v>
      </x:c>
      <x:c r="F1075" t="n">
        <x:f>'Event Estimator'!L189</x:f>
        <x:v>0</x:v>
      </x:c>
      <x:c r="G1075" t="n">
        <x:v>1</x:v>
      </x:c>
      <x:c r="H1075" t="str">
        <x:v>equals</x:v>
      </x:c>
      <x:c r="I1075" t="str">
        <x:v>independent acceptance</x:v>
      </x:c>
      <x:c r="J1075" t="str">
        <x:f>IF(F1075=1,"PASS","OPEN")</x:f>
        <x:v>OPEN</x:v>
      </x:c>
    </x:row>
    <x:row r="1076">
      <x:c r="B1076" t="str">
        <x:v>PHY-OC-183</x:v>
      </x:c>
      <x:c r="C1076" t="str">
        <x:v>PHYSICAL</x:v>
      </x:c>
      <x:c r="D1076" t="str">
        <x:v>event outcome</x:v>
      </x:c>
      <x:c r="E1076" t="str">
        <x:v>RFA-E183</x:v>
      </x:c>
      <x:c r="F1076" t="n">
        <x:f>IF('Event Estimator'!M189&lt;&gt;"",1,0)</x:f>
        <x:v>0</x:v>
      </x:c>
      <x:c r="G1076" t="n">
        <x:v>1</x:v>
      </x:c>
      <x:c r="H1076" t="str">
        <x:v>equals</x:v>
      </x:c>
      <x:c r="I1076" t="str">
        <x:v>independent acceptance</x:v>
      </x:c>
      <x:c r="J1076" t="str">
        <x:f>IF(F1076=1,"PASS","OPEN")</x:f>
        <x:v>OPEN</x:v>
      </x:c>
    </x:row>
    <x:row r="1077">
      <x:c r="B1077" t="str">
        <x:v>PHY-EX-184</x:v>
      </x:c>
      <x:c r="C1077" t="str">
        <x:v>PHYSICAL</x:v>
      </x:c>
      <x:c r="D1077" t="str">
        <x:v>event execution</x:v>
      </x:c>
      <x:c r="E1077" t="str">
        <x:v>RFA-E184</x:v>
      </x:c>
      <x:c r="F1077" t="n">
        <x:f>IF('Event Register'!M190&lt;&gt;"",1,0)</x:f>
        <x:v>0</x:v>
      </x:c>
      <x:c r="G1077" t="n">
        <x:v>1</x:v>
      </x:c>
      <x:c r="H1077" t="str">
        <x:v>equals</x:v>
      </x:c>
      <x:c r="I1077" t="str">
        <x:v>independent acceptance</x:v>
      </x:c>
      <x:c r="J1077" t="str">
        <x:f>IF(F1077=1,"PASS","OPEN")</x:f>
        <x:v>OPEN</x:v>
      </x:c>
    </x:row>
    <x:row r="1078">
      <x:c r="B1078" t="str">
        <x:v>PHY-VA-184</x:v>
      </x:c>
      <x:c r="C1078" t="str">
        <x:v>PHYSICAL</x:v>
      </x:c>
      <x:c r="D1078" t="str">
        <x:v>event validity</x:v>
      </x:c>
      <x:c r="E1078" t="str">
        <x:v>RFA-E184</x:v>
      </x:c>
      <x:c r="F1078" t="n">
        <x:f>'Event Estimator'!L190</x:f>
        <x:v>0</x:v>
      </x:c>
      <x:c r="G1078" t="n">
        <x:v>1</x:v>
      </x:c>
      <x:c r="H1078" t="str">
        <x:v>equals</x:v>
      </x:c>
      <x:c r="I1078" t="str">
        <x:v>independent acceptance</x:v>
      </x:c>
      <x:c r="J1078" t="str">
        <x:f>IF(F1078=1,"PASS","OPEN")</x:f>
        <x:v>OPEN</x:v>
      </x:c>
    </x:row>
    <x:row r="1079">
      <x:c r="B1079" t="str">
        <x:v>PHY-OC-184</x:v>
      </x:c>
      <x:c r="C1079" t="str">
        <x:v>PHYSICAL</x:v>
      </x:c>
      <x:c r="D1079" t="str">
        <x:v>event outcome</x:v>
      </x:c>
      <x:c r="E1079" t="str">
        <x:v>RFA-E184</x:v>
      </x:c>
      <x:c r="F1079" t="n">
        <x:f>IF('Event Estimator'!M190&lt;&gt;"",1,0)</x:f>
        <x:v>0</x:v>
      </x:c>
      <x:c r="G1079" t="n">
        <x:v>1</x:v>
      </x:c>
      <x:c r="H1079" t="str">
        <x:v>equals</x:v>
      </x:c>
      <x:c r="I1079" t="str">
        <x:v>independent acceptance</x:v>
      </x:c>
      <x:c r="J1079" t="str">
        <x:f>IF(F1079=1,"PASS","OPEN")</x:f>
        <x:v>OPEN</x:v>
      </x:c>
    </x:row>
    <x:row r="1080">
      <x:c r="B1080" t="str">
        <x:v>PHY-EX-185</x:v>
      </x:c>
      <x:c r="C1080" t="str">
        <x:v>PHYSICAL</x:v>
      </x:c>
      <x:c r="D1080" t="str">
        <x:v>event execution</x:v>
      </x:c>
      <x:c r="E1080" t="str">
        <x:v>RFA-E185</x:v>
      </x:c>
      <x:c r="F1080" t="n">
        <x:f>IF('Event Register'!M191&lt;&gt;"",1,0)</x:f>
        <x:v>0</x:v>
      </x:c>
      <x:c r="G1080" t="n">
        <x:v>1</x:v>
      </x:c>
      <x:c r="H1080" t="str">
        <x:v>equals</x:v>
      </x:c>
      <x:c r="I1080" t="str">
        <x:v>independent acceptance</x:v>
      </x:c>
      <x:c r="J1080" t="str">
        <x:f>IF(F1080=1,"PASS","OPEN")</x:f>
        <x:v>OPEN</x:v>
      </x:c>
    </x:row>
    <x:row r="1081">
      <x:c r="B1081" t="str">
        <x:v>PHY-VA-185</x:v>
      </x:c>
      <x:c r="C1081" t="str">
        <x:v>PHYSICAL</x:v>
      </x:c>
      <x:c r="D1081" t="str">
        <x:v>event validity</x:v>
      </x:c>
      <x:c r="E1081" t="str">
        <x:v>RFA-E185</x:v>
      </x:c>
      <x:c r="F1081" t="n">
        <x:f>'Event Estimator'!L191</x:f>
        <x:v>0</x:v>
      </x:c>
      <x:c r="G1081" t="n">
        <x:v>1</x:v>
      </x:c>
      <x:c r="H1081" t="str">
        <x:v>equals</x:v>
      </x:c>
      <x:c r="I1081" t="str">
        <x:v>independent acceptance</x:v>
      </x:c>
      <x:c r="J1081" t="str">
        <x:f>IF(F1081=1,"PASS","OPEN")</x:f>
        <x:v>OPEN</x:v>
      </x:c>
    </x:row>
    <x:row r="1082">
      <x:c r="B1082" t="str">
        <x:v>PHY-OC-185</x:v>
      </x:c>
      <x:c r="C1082" t="str">
        <x:v>PHYSICAL</x:v>
      </x:c>
      <x:c r="D1082" t="str">
        <x:v>event outcome</x:v>
      </x:c>
      <x:c r="E1082" t="str">
        <x:v>RFA-E185</x:v>
      </x:c>
      <x:c r="F1082" t="n">
        <x:f>IF('Event Estimator'!M191&lt;&gt;"",1,0)</x:f>
        <x:v>0</x:v>
      </x:c>
      <x:c r="G1082" t="n">
        <x:v>1</x:v>
      </x:c>
      <x:c r="H1082" t="str">
        <x:v>equals</x:v>
      </x:c>
      <x:c r="I1082" t="str">
        <x:v>independent acceptance</x:v>
      </x:c>
      <x:c r="J1082" t="str">
        <x:f>IF(F1082=1,"PASS","OPEN")</x:f>
        <x:v>OPEN</x:v>
      </x:c>
    </x:row>
    <x:row r="1083">
      <x:c r="B1083" t="str">
        <x:v>PHY-EX-186</x:v>
      </x:c>
      <x:c r="C1083" t="str">
        <x:v>PHYSICAL</x:v>
      </x:c>
      <x:c r="D1083" t="str">
        <x:v>event execution</x:v>
      </x:c>
      <x:c r="E1083" t="str">
        <x:v>RFA-E186</x:v>
      </x:c>
      <x:c r="F1083" t="n">
        <x:f>IF('Event Register'!M192&lt;&gt;"",1,0)</x:f>
        <x:v>0</x:v>
      </x:c>
      <x:c r="G1083" t="n">
        <x:v>1</x:v>
      </x:c>
      <x:c r="H1083" t="str">
        <x:v>equals</x:v>
      </x:c>
      <x:c r="I1083" t="str">
        <x:v>independent acceptance</x:v>
      </x:c>
      <x:c r="J1083" t="str">
        <x:f>IF(F1083=1,"PASS","OPEN")</x:f>
        <x:v>OPEN</x:v>
      </x:c>
    </x:row>
    <x:row r="1084">
      <x:c r="B1084" t="str">
        <x:v>PHY-VA-186</x:v>
      </x:c>
      <x:c r="C1084" t="str">
        <x:v>PHYSICAL</x:v>
      </x:c>
      <x:c r="D1084" t="str">
        <x:v>event validity</x:v>
      </x:c>
      <x:c r="E1084" t="str">
        <x:v>RFA-E186</x:v>
      </x:c>
      <x:c r="F1084" t="n">
        <x:f>'Event Estimator'!L192</x:f>
        <x:v>0</x:v>
      </x:c>
      <x:c r="G1084" t="n">
        <x:v>1</x:v>
      </x:c>
      <x:c r="H1084" t="str">
        <x:v>equals</x:v>
      </x:c>
      <x:c r="I1084" t="str">
        <x:v>independent acceptance</x:v>
      </x:c>
      <x:c r="J1084" t="str">
        <x:f>IF(F1084=1,"PASS","OPEN")</x:f>
        <x:v>OPEN</x:v>
      </x:c>
    </x:row>
    <x:row r="1085">
      <x:c r="B1085" t="str">
        <x:v>PHY-OC-186</x:v>
      </x:c>
      <x:c r="C1085" t="str">
        <x:v>PHYSICAL</x:v>
      </x:c>
      <x:c r="D1085" t="str">
        <x:v>event outcome</x:v>
      </x:c>
      <x:c r="E1085" t="str">
        <x:v>RFA-E186</x:v>
      </x:c>
      <x:c r="F1085" t="n">
        <x:f>IF('Event Estimator'!M192&lt;&gt;"",1,0)</x:f>
        <x:v>0</x:v>
      </x:c>
      <x:c r="G1085" t="n">
        <x:v>1</x:v>
      </x:c>
      <x:c r="H1085" t="str">
        <x:v>equals</x:v>
      </x:c>
      <x:c r="I1085" t="str">
        <x:v>independent acceptance</x:v>
      </x:c>
      <x:c r="J1085" t="str">
        <x:f>IF(F1085=1,"PASS","OPEN")</x:f>
        <x:v>OPEN</x:v>
      </x:c>
    </x:row>
    <x:row r="1086">
      <x:c r="B1086" t="str">
        <x:v>PHY-EX-187</x:v>
      </x:c>
      <x:c r="C1086" t="str">
        <x:v>PHYSICAL</x:v>
      </x:c>
      <x:c r="D1086" t="str">
        <x:v>event execution</x:v>
      </x:c>
      <x:c r="E1086" t="str">
        <x:v>RFA-E187</x:v>
      </x:c>
      <x:c r="F1086" t="n">
        <x:f>IF('Event Register'!M193&lt;&gt;"",1,0)</x:f>
        <x:v>0</x:v>
      </x:c>
      <x:c r="G1086" t="n">
        <x:v>1</x:v>
      </x:c>
      <x:c r="H1086" t="str">
        <x:v>equals</x:v>
      </x:c>
      <x:c r="I1086" t="str">
        <x:v>independent acceptance</x:v>
      </x:c>
      <x:c r="J1086" t="str">
        <x:f>IF(F1086=1,"PASS","OPEN")</x:f>
        <x:v>OPEN</x:v>
      </x:c>
    </x:row>
    <x:row r="1087">
      <x:c r="B1087" t="str">
        <x:v>PHY-VA-187</x:v>
      </x:c>
      <x:c r="C1087" t="str">
        <x:v>PHYSICAL</x:v>
      </x:c>
      <x:c r="D1087" t="str">
        <x:v>event validity</x:v>
      </x:c>
      <x:c r="E1087" t="str">
        <x:v>RFA-E187</x:v>
      </x:c>
      <x:c r="F1087" t="n">
        <x:f>'Event Estimator'!L193</x:f>
        <x:v>0</x:v>
      </x:c>
      <x:c r="G1087" t="n">
        <x:v>1</x:v>
      </x:c>
      <x:c r="H1087" t="str">
        <x:v>equals</x:v>
      </x:c>
      <x:c r="I1087" t="str">
        <x:v>independent acceptance</x:v>
      </x:c>
      <x:c r="J1087" t="str">
        <x:f>IF(F1087=1,"PASS","OPEN")</x:f>
        <x:v>OPEN</x:v>
      </x:c>
    </x:row>
    <x:row r="1088">
      <x:c r="B1088" t="str">
        <x:v>PHY-OC-187</x:v>
      </x:c>
      <x:c r="C1088" t="str">
        <x:v>PHYSICAL</x:v>
      </x:c>
      <x:c r="D1088" t="str">
        <x:v>event outcome</x:v>
      </x:c>
      <x:c r="E1088" t="str">
        <x:v>RFA-E187</x:v>
      </x:c>
      <x:c r="F1088" t="n">
        <x:f>IF('Event Estimator'!M193&lt;&gt;"",1,0)</x:f>
        <x:v>0</x:v>
      </x:c>
      <x:c r="G1088" t="n">
        <x:v>1</x:v>
      </x:c>
      <x:c r="H1088" t="str">
        <x:v>equals</x:v>
      </x:c>
      <x:c r="I1088" t="str">
        <x:v>independent acceptance</x:v>
      </x:c>
      <x:c r="J1088" t="str">
        <x:f>IF(F1088=1,"PASS","OPEN")</x:f>
        <x:v>OPEN</x:v>
      </x:c>
    </x:row>
    <x:row r="1089">
      <x:c r="B1089" t="str">
        <x:v>PHY-EX-188</x:v>
      </x:c>
      <x:c r="C1089" t="str">
        <x:v>PHYSICAL</x:v>
      </x:c>
      <x:c r="D1089" t="str">
        <x:v>event execution</x:v>
      </x:c>
      <x:c r="E1089" t="str">
        <x:v>RFA-E188</x:v>
      </x:c>
      <x:c r="F1089" t="n">
        <x:f>IF('Event Register'!M194&lt;&gt;"",1,0)</x:f>
        <x:v>0</x:v>
      </x:c>
      <x:c r="G1089" t="n">
        <x:v>1</x:v>
      </x:c>
      <x:c r="H1089" t="str">
        <x:v>equals</x:v>
      </x:c>
      <x:c r="I1089" t="str">
        <x:v>independent acceptance</x:v>
      </x:c>
      <x:c r="J1089" t="str">
        <x:f>IF(F1089=1,"PASS","OPEN")</x:f>
        <x:v>OPEN</x:v>
      </x:c>
    </x:row>
    <x:row r="1090">
      <x:c r="B1090" t="str">
        <x:v>PHY-VA-188</x:v>
      </x:c>
      <x:c r="C1090" t="str">
        <x:v>PHYSICAL</x:v>
      </x:c>
      <x:c r="D1090" t="str">
        <x:v>event validity</x:v>
      </x:c>
      <x:c r="E1090" t="str">
        <x:v>RFA-E188</x:v>
      </x:c>
      <x:c r="F1090" t="n">
        <x:f>'Event Estimator'!L194</x:f>
        <x:v>0</x:v>
      </x:c>
      <x:c r="G1090" t="n">
        <x:v>1</x:v>
      </x:c>
      <x:c r="H1090" t="str">
        <x:v>equals</x:v>
      </x:c>
      <x:c r="I1090" t="str">
        <x:v>independent acceptance</x:v>
      </x:c>
      <x:c r="J1090" t="str">
        <x:f>IF(F1090=1,"PASS","OPEN")</x:f>
        <x:v>OPEN</x:v>
      </x:c>
    </x:row>
    <x:row r="1091">
      <x:c r="B1091" t="str">
        <x:v>PHY-OC-188</x:v>
      </x:c>
      <x:c r="C1091" t="str">
        <x:v>PHYSICAL</x:v>
      </x:c>
      <x:c r="D1091" t="str">
        <x:v>event outcome</x:v>
      </x:c>
      <x:c r="E1091" t="str">
        <x:v>RFA-E188</x:v>
      </x:c>
      <x:c r="F1091" t="n">
        <x:f>IF('Event Estimator'!M194&lt;&gt;"",1,0)</x:f>
        <x:v>0</x:v>
      </x:c>
      <x:c r="G1091" t="n">
        <x:v>1</x:v>
      </x:c>
      <x:c r="H1091" t="str">
        <x:v>equals</x:v>
      </x:c>
      <x:c r="I1091" t="str">
        <x:v>independent acceptance</x:v>
      </x:c>
      <x:c r="J1091" t="str">
        <x:f>IF(F1091=1,"PASS","OPEN")</x:f>
        <x:v>OPEN</x:v>
      </x:c>
    </x:row>
    <x:row r="1092">
      <x:c r="B1092" t="str">
        <x:v>PHY-EX-189</x:v>
      </x:c>
      <x:c r="C1092" t="str">
        <x:v>PHYSICAL</x:v>
      </x:c>
      <x:c r="D1092" t="str">
        <x:v>event execution</x:v>
      </x:c>
      <x:c r="E1092" t="str">
        <x:v>RFA-E189</x:v>
      </x:c>
      <x:c r="F1092" t="n">
        <x:f>IF('Event Register'!M195&lt;&gt;"",1,0)</x:f>
        <x:v>0</x:v>
      </x:c>
      <x:c r="G1092" t="n">
        <x:v>1</x:v>
      </x:c>
      <x:c r="H1092" t="str">
        <x:v>equals</x:v>
      </x:c>
      <x:c r="I1092" t="str">
        <x:v>independent acceptance</x:v>
      </x:c>
      <x:c r="J1092" t="str">
        <x:f>IF(F1092=1,"PASS","OPEN")</x:f>
        <x:v>OPEN</x:v>
      </x:c>
    </x:row>
    <x:row r="1093">
      <x:c r="B1093" t="str">
        <x:v>PHY-VA-189</x:v>
      </x:c>
      <x:c r="C1093" t="str">
        <x:v>PHYSICAL</x:v>
      </x:c>
      <x:c r="D1093" t="str">
        <x:v>event validity</x:v>
      </x:c>
      <x:c r="E1093" t="str">
        <x:v>RFA-E189</x:v>
      </x:c>
      <x:c r="F1093" t="n">
        <x:f>'Event Estimator'!L195</x:f>
        <x:v>0</x:v>
      </x:c>
      <x:c r="G1093" t="n">
        <x:v>1</x:v>
      </x:c>
      <x:c r="H1093" t="str">
        <x:v>equals</x:v>
      </x:c>
      <x:c r="I1093" t="str">
        <x:v>independent acceptance</x:v>
      </x:c>
      <x:c r="J1093" t="str">
        <x:f>IF(F1093=1,"PASS","OPEN")</x:f>
        <x:v>OPEN</x:v>
      </x:c>
    </x:row>
    <x:row r="1094">
      <x:c r="B1094" t="str">
        <x:v>PHY-OC-189</x:v>
      </x:c>
      <x:c r="C1094" t="str">
        <x:v>PHYSICAL</x:v>
      </x:c>
      <x:c r="D1094" t="str">
        <x:v>event outcome</x:v>
      </x:c>
      <x:c r="E1094" t="str">
        <x:v>RFA-E189</x:v>
      </x:c>
      <x:c r="F1094" t="n">
        <x:f>IF('Event Estimator'!M195&lt;&gt;"",1,0)</x:f>
        <x:v>0</x:v>
      </x:c>
      <x:c r="G1094" t="n">
        <x:v>1</x:v>
      </x:c>
      <x:c r="H1094" t="str">
        <x:v>equals</x:v>
      </x:c>
      <x:c r="I1094" t="str">
        <x:v>independent acceptance</x:v>
      </x:c>
      <x:c r="J1094" t="str">
        <x:f>IF(F1094=1,"PASS","OPEN")</x:f>
        <x:v>OPEN</x:v>
      </x:c>
    </x:row>
    <x:row r="1095">
      <x:c r="B1095" t="str">
        <x:v>PHY-EX-190</x:v>
      </x:c>
      <x:c r="C1095" t="str">
        <x:v>PHYSICAL</x:v>
      </x:c>
      <x:c r="D1095" t="str">
        <x:v>event execution</x:v>
      </x:c>
      <x:c r="E1095" t="str">
        <x:v>RFA-E190</x:v>
      </x:c>
      <x:c r="F1095" t="n">
        <x:f>IF('Event Register'!M196&lt;&gt;"",1,0)</x:f>
        <x:v>0</x:v>
      </x:c>
      <x:c r="G1095" t="n">
        <x:v>1</x:v>
      </x:c>
      <x:c r="H1095" t="str">
        <x:v>equals</x:v>
      </x:c>
      <x:c r="I1095" t="str">
        <x:v>independent acceptance</x:v>
      </x:c>
      <x:c r="J1095" t="str">
        <x:f>IF(F1095=1,"PASS","OPEN")</x:f>
        <x:v>OPEN</x:v>
      </x:c>
    </x:row>
    <x:row r="1096">
      <x:c r="B1096" t="str">
        <x:v>PHY-VA-190</x:v>
      </x:c>
      <x:c r="C1096" t="str">
        <x:v>PHYSICAL</x:v>
      </x:c>
      <x:c r="D1096" t="str">
        <x:v>event validity</x:v>
      </x:c>
      <x:c r="E1096" t="str">
        <x:v>RFA-E190</x:v>
      </x:c>
      <x:c r="F1096" t="n">
        <x:f>'Event Estimator'!L196</x:f>
        <x:v>0</x:v>
      </x:c>
      <x:c r="G1096" t="n">
        <x:v>1</x:v>
      </x:c>
      <x:c r="H1096" t="str">
        <x:v>equals</x:v>
      </x:c>
      <x:c r="I1096" t="str">
        <x:v>independent acceptance</x:v>
      </x:c>
      <x:c r="J1096" t="str">
        <x:f>IF(F1096=1,"PASS","OPEN")</x:f>
        <x:v>OPEN</x:v>
      </x:c>
    </x:row>
    <x:row r="1097">
      <x:c r="B1097" t="str">
        <x:v>PHY-OC-190</x:v>
      </x:c>
      <x:c r="C1097" t="str">
        <x:v>PHYSICAL</x:v>
      </x:c>
      <x:c r="D1097" t="str">
        <x:v>event outcome</x:v>
      </x:c>
      <x:c r="E1097" t="str">
        <x:v>RFA-E190</x:v>
      </x:c>
      <x:c r="F1097" t="n">
        <x:f>IF('Event Estimator'!M196&lt;&gt;"",1,0)</x:f>
        <x:v>0</x:v>
      </x:c>
      <x:c r="G1097" t="n">
        <x:v>1</x:v>
      </x:c>
      <x:c r="H1097" t="str">
        <x:v>equals</x:v>
      </x:c>
      <x:c r="I1097" t="str">
        <x:v>independent acceptance</x:v>
      </x:c>
      <x:c r="J1097" t="str">
        <x:f>IF(F1097=1,"PASS","OPEN")</x:f>
        <x:v>OPEN</x:v>
      </x:c>
    </x:row>
    <x:row r="1098">
      <x:c r="B1098" t="str">
        <x:v>PHY-EX-191</x:v>
      </x:c>
      <x:c r="C1098" t="str">
        <x:v>PHYSICAL</x:v>
      </x:c>
      <x:c r="D1098" t="str">
        <x:v>event execution</x:v>
      </x:c>
      <x:c r="E1098" t="str">
        <x:v>RFA-E191</x:v>
      </x:c>
      <x:c r="F1098" t="n">
        <x:f>IF('Event Register'!M197&lt;&gt;"",1,0)</x:f>
        <x:v>0</x:v>
      </x:c>
      <x:c r="G1098" t="n">
        <x:v>1</x:v>
      </x:c>
      <x:c r="H1098" t="str">
        <x:v>equals</x:v>
      </x:c>
      <x:c r="I1098" t="str">
        <x:v>independent acceptance</x:v>
      </x:c>
      <x:c r="J1098" t="str">
        <x:f>IF(F1098=1,"PASS","OPEN")</x:f>
        <x:v>OPEN</x:v>
      </x:c>
    </x:row>
    <x:row r="1099">
      <x:c r="B1099" t="str">
        <x:v>PHY-VA-191</x:v>
      </x:c>
      <x:c r="C1099" t="str">
        <x:v>PHYSICAL</x:v>
      </x:c>
      <x:c r="D1099" t="str">
        <x:v>event validity</x:v>
      </x:c>
      <x:c r="E1099" t="str">
        <x:v>RFA-E191</x:v>
      </x:c>
      <x:c r="F1099" t="n">
        <x:f>'Event Estimator'!L197</x:f>
        <x:v>0</x:v>
      </x:c>
      <x:c r="G1099" t="n">
        <x:v>1</x:v>
      </x:c>
      <x:c r="H1099" t="str">
        <x:v>equals</x:v>
      </x:c>
      <x:c r="I1099" t="str">
        <x:v>independent acceptance</x:v>
      </x:c>
      <x:c r="J1099" t="str">
        <x:f>IF(F1099=1,"PASS","OPEN")</x:f>
        <x:v>OPEN</x:v>
      </x:c>
    </x:row>
    <x:row r="1100">
      <x:c r="B1100" t="str">
        <x:v>PHY-OC-191</x:v>
      </x:c>
      <x:c r="C1100" t="str">
        <x:v>PHYSICAL</x:v>
      </x:c>
      <x:c r="D1100" t="str">
        <x:v>event outcome</x:v>
      </x:c>
      <x:c r="E1100" t="str">
        <x:v>RFA-E191</x:v>
      </x:c>
      <x:c r="F1100" t="n">
        <x:f>IF('Event Estimator'!M197&lt;&gt;"",1,0)</x:f>
        <x:v>0</x:v>
      </x:c>
      <x:c r="G1100" t="n">
        <x:v>1</x:v>
      </x:c>
      <x:c r="H1100" t="str">
        <x:v>equals</x:v>
      </x:c>
      <x:c r="I1100" t="str">
        <x:v>independent acceptance</x:v>
      </x:c>
      <x:c r="J1100" t="str">
        <x:f>IF(F1100=1,"PASS","OPEN")</x:f>
        <x:v>OPEN</x:v>
      </x:c>
    </x:row>
    <x:row r="1101">
      <x:c r="B1101" t="str">
        <x:v>PHY-EX-192</x:v>
      </x:c>
      <x:c r="C1101" t="str">
        <x:v>PHYSICAL</x:v>
      </x:c>
      <x:c r="D1101" t="str">
        <x:v>event execution</x:v>
      </x:c>
      <x:c r="E1101" t="str">
        <x:v>RFA-E192</x:v>
      </x:c>
      <x:c r="F1101" t="n">
        <x:f>IF('Event Register'!M198&lt;&gt;"",1,0)</x:f>
        <x:v>0</x:v>
      </x:c>
      <x:c r="G1101" t="n">
        <x:v>1</x:v>
      </x:c>
      <x:c r="H1101" t="str">
        <x:v>equals</x:v>
      </x:c>
      <x:c r="I1101" t="str">
        <x:v>independent acceptance</x:v>
      </x:c>
      <x:c r="J1101" t="str">
        <x:f>IF(F1101=1,"PASS","OPEN")</x:f>
        <x:v>OPEN</x:v>
      </x:c>
    </x:row>
    <x:row r="1102">
      <x:c r="B1102" t="str">
        <x:v>PHY-VA-192</x:v>
      </x:c>
      <x:c r="C1102" t="str">
        <x:v>PHYSICAL</x:v>
      </x:c>
      <x:c r="D1102" t="str">
        <x:v>event validity</x:v>
      </x:c>
      <x:c r="E1102" t="str">
        <x:v>RFA-E192</x:v>
      </x:c>
      <x:c r="F1102" t="n">
        <x:f>'Event Estimator'!L198</x:f>
        <x:v>0</x:v>
      </x:c>
      <x:c r="G1102" t="n">
        <x:v>1</x:v>
      </x:c>
      <x:c r="H1102" t="str">
        <x:v>equals</x:v>
      </x:c>
      <x:c r="I1102" t="str">
        <x:v>independent acceptance</x:v>
      </x:c>
      <x:c r="J1102" t="str">
        <x:f>IF(F1102=1,"PASS","OPEN")</x:f>
        <x:v>OPEN</x:v>
      </x:c>
    </x:row>
    <x:row r="1103">
      <x:c r="B1103" t="str">
        <x:v>PHY-OC-192</x:v>
      </x:c>
      <x:c r="C1103" t="str">
        <x:v>PHYSICAL</x:v>
      </x:c>
      <x:c r="D1103" t="str">
        <x:v>event outcome</x:v>
      </x:c>
      <x:c r="E1103" t="str">
        <x:v>RFA-E192</x:v>
      </x:c>
      <x:c r="F1103" t="n">
        <x:f>IF('Event Estimator'!M198&lt;&gt;"",1,0)</x:f>
        <x:v>0</x:v>
      </x:c>
      <x:c r="G1103" t="n">
        <x:v>1</x:v>
      </x:c>
      <x:c r="H1103" t="str">
        <x:v>equals</x:v>
      </x:c>
      <x:c r="I1103" t="str">
        <x:v>independent acceptance</x:v>
      </x:c>
      <x:c r="J1103" t="str">
        <x:f>IF(F1103=1,"PASS","OPEN")</x:f>
        <x:v>OPEN</x:v>
      </x:c>
    </x:row>
    <x:row r="1104">
      <x:c r="B1104" t="str">
        <x:v>PHY-EX-193</x:v>
      </x:c>
      <x:c r="C1104" t="str">
        <x:v>PHYSICAL</x:v>
      </x:c>
      <x:c r="D1104" t="str">
        <x:v>event execution</x:v>
      </x:c>
      <x:c r="E1104" t="str">
        <x:v>RFA-E193</x:v>
      </x:c>
      <x:c r="F1104" t="n">
        <x:f>IF('Event Register'!M199&lt;&gt;"",1,0)</x:f>
        <x:v>0</x:v>
      </x:c>
      <x:c r="G1104" t="n">
        <x:v>1</x:v>
      </x:c>
      <x:c r="H1104" t="str">
        <x:v>equals</x:v>
      </x:c>
      <x:c r="I1104" t="str">
        <x:v>independent acceptance</x:v>
      </x:c>
      <x:c r="J1104" t="str">
        <x:f>IF(F1104=1,"PASS","OPEN")</x:f>
        <x:v>OPEN</x:v>
      </x:c>
    </x:row>
    <x:row r="1105">
      <x:c r="B1105" t="str">
        <x:v>PHY-VA-193</x:v>
      </x:c>
      <x:c r="C1105" t="str">
        <x:v>PHYSICAL</x:v>
      </x:c>
      <x:c r="D1105" t="str">
        <x:v>event validity</x:v>
      </x:c>
      <x:c r="E1105" t="str">
        <x:v>RFA-E193</x:v>
      </x:c>
      <x:c r="F1105" t="n">
        <x:f>'Event Estimator'!L199</x:f>
        <x:v>0</x:v>
      </x:c>
      <x:c r="G1105" t="n">
        <x:v>1</x:v>
      </x:c>
      <x:c r="H1105" t="str">
        <x:v>equals</x:v>
      </x:c>
      <x:c r="I1105" t="str">
        <x:v>independent acceptance</x:v>
      </x:c>
      <x:c r="J1105" t="str">
        <x:f>IF(F1105=1,"PASS","OPEN")</x:f>
        <x:v>OPEN</x:v>
      </x:c>
    </x:row>
    <x:row r="1106">
      <x:c r="B1106" t="str">
        <x:v>PHY-OC-193</x:v>
      </x:c>
      <x:c r="C1106" t="str">
        <x:v>PHYSICAL</x:v>
      </x:c>
      <x:c r="D1106" t="str">
        <x:v>event outcome</x:v>
      </x:c>
      <x:c r="E1106" t="str">
        <x:v>RFA-E193</x:v>
      </x:c>
      <x:c r="F1106" t="n">
        <x:f>IF('Event Estimator'!M199&lt;&gt;"",1,0)</x:f>
        <x:v>0</x:v>
      </x:c>
      <x:c r="G1106" t="n">
        <x:v>1</x:v>
      </x:c>
      <x:c r="H1106" t="str">
        <x:v>equals</x:v>
      </x:c>
      <x:c r="I1106" t="str">
        <x:v>independent acceptance</x:v>
      </x:c>
      <x:c r="J1106" t="str">
        <x:f>IF(F1106=1,"PASS","OPEN")</x:f>
        <x:v>OPEN</x:v>
      </x:c>
    </x:row>
    <x:row r="1107">
      <x:c r="B1107" t="str">
        <x:v>PHY-EX-194</x:v>
      </x:c>
      <x:c r="C1107" t="str">
        <x:v>PHYSICAL</x:v>
      </x:c>
      <x:c r="D1107" t="str">
        <x:v>event execution</x:v>
      </x:c>
      <x:c r="E1107" t="str">
        <x:v>RFA-E194</x:v>
      </x:c>
      <x:c r="F1107" t="n">
        <x:f>IF('Event Register'!M200&lt;&gt;"",1,0)</x:f>
        <x:v>0</x:v>
      </x:c>
      <x:c r="G1107" t="n">
        <x:v>1</x:v>
      </x:c>
      <x:c r="H1107" t="str">
        <x:v>equals</x:v>
      </x:c>
      <x:c r="I1107" t="str">
        <x:v>independent acceptance</x:v>
      </x:c>
      <x:c r="J1107" t="str">
        <x:f>IF(F1107=1,"PASS","OPEN")</x:f>
        <x:v>OPEN</x:v>
      </x:c>
    </x:row>
    <x:row r="1108">
      <x:c r="B1108" t="str">
        <x:v>PHY-VA-194</x:v>
      </x:c>
      <x:c r="C1108" t="str">
        <x:v>PHYSICAL</x:v>
      </x:c>
      <x:c r="D1108" t="str">
        <x:v>event validity</x:v>
      </x:c>
      <x:c r="E1108" t="str">
        <x:v>RFA-E194</x:v>
      </x:c>
      <x:c r="F1108" t="n">
        <x:f>'Event Estimator'!L200</x:f>
        <x:v>0</x:v>
      </x:c>
      <x:c r="G1108" t="n">
        <x:v>1</x:v>
      </x:c>
      <x:c r="H1108" t="str">
        <x:v>equals</x:v>
      </x:c>
      <x:c r="I1108" t="str">
        <x:v>independent acceptance</x:v>
      </x:c>
      <x:c r="J1108" t="str">
        <x:f>IF(F1108=1,"PASS","OPEN")</x:f>
        <x:v>OPEN</x:v>
      </x:c>
    </x:row>
    <x:row r="1109">
      <x:c r="B1109" t="str">
        <x:v>PHY-OC-194</x:v>
      </x:c>
      <x:c r="C1109" t="str">
        <x:v>PHYSICAL</x:v>
      </x:c>
      <x:c r="D1109" t="str">
        <x:v>event outcome</x:v>
      </x:c>
      <x:c r="E1109" t="str">
        <x:v>RFA-E194</x:v>
      </x:c>
      <x:c r="F1109" t="n">
        <x:f>IF('Event Estimator'!M200&lt;&gt;"",1,0)</x:f>
        <x:v>0</x:v>
      </x:c>
      <x:c r="G1109" t="n">
        <x:v>1</x:v>
      </x:c>
      <x:c r="H1109" t="str">
        <x:v>equals</x:v>
      </x:c>
      <x:c r="I1109" t="str">
        <x:v>independent acceptance</x:v>
      </x:c>
      <x:c r="J1109" t="str">
        <x:f>IF(F1109=1,"PASS","OPEN")</x:f>
        <x:v>OPEN</x:v>
      </x:c>
    </x:row>
    <x:row r="1110">
      <x:c r="B1110" t="str">
        <x:v>PHY-EX-195</x:v>
      </x:c>
      <x:c r="C1110" t="str">
        <x:v>PHYSICAL</x:v>
      </x:c>
      <x:c r="D1110" t="str">
        <x:v>event execution</x:v>
      </x:c>
      <x:c r="E1110" t="str">
        <x:v>RFA-E195</x:v>
      </x:c>
      <x:c r="F1110" t="n">
        <x:f>IF('Event Register'!M201&lt;&gt;"",1,0)</x:f>
        <x:v>0</x:v>
      </x:c>
      <x:c r="G1110" t="n">
        <x:v>1</x:v>
      </x:c>
      <x:c r="H1110" t="str">
        <x:v>equals</x:v>
      </x:c>
      <x:c r="I1110" t="str">
        <x:v>independent acceptance</x:v>
      </x:c>
      <x:c r="J1110" t="str">
        <x:f>IF(F1110=1,"PASS","OPEN")</x:f>
        <x:v>OPEN</x:v>
      </x:c>
    </x:row>
    <x:row r="1111">
      <x:c r="B1111" t="str">
        <x:v>PHY-VA-195</x:v>
      </x:c>
      <x:c r="C1111" t="str">
        <x:v>PHYSICAL</x:v>
      </x:c>
      <x:c r="D1111" t="str">
        <x:v>event validity</x:v>
      </x:c>
      <x:c r="E1111" t="str">
        <x:v>RFA-E195</x:v>
      </x:c>
      <x:c r="F1111" t="n">
        <x:f>'Event Estimator'!L201</x:f>
        <x:v>0</x:v>
      </x:c>
      <x:c r="G1111" t="n">
        <x:v>1</x:v>
      </x:c>
      <x:c r="H1111" t="str">
        <x:v>equals</x:v>
      </x:c>
      <x:c r="I1111" t="str">
        <x:v>independent acceptance</x:v>
      </x:c>
      <x:c r="J1111" t="str">
        <x:f>IF(F1111=1,"PASS","OPEN")</x:f>
        <x:v>OPEN</x:v>
      </x:c>
    </x:row>
    <x:row r="1112">
      <x:c r="B1112" t="str">
        <x:v>PHY-OC-195</x:v>
      </x:c>
      <x:c r="C1112" t="str">
        <x:v>PHYSICAL</x:v>
      </x:c>
      <x:c r="D1112" t="str">
        <x:v>event outcome</x:v>
      </x:c>
      <x:c r="E1112" t="str">
        <x:v>RFA-E195</x:v>
      </x:c>
      <x:c r="F1112" t="n">
        <x:f>IF('Event Estimator'!M201&lt;&gt;"",1,0)</x:f>
        <x:v>0</x:v>
      </x:c>
      <x:c r="G1112" t="n">
        <x:v>1</x:v>
      </x:c>
      <x:c r="H1112" t="str">
        <x:v>equals</x:v>
      </x:c>
      <x:c r="I1112" t="str">
        <x:v>independent acceptance</x:v>
      </x:c>
      <x:c r="J1112" t="str">
        <x:f>IF(F1112=1,"PASS","OPEN")</x:f>
        <x:v>OPEN</x:v>
      </x:c>
    </x:row>
    <x:row r="1113">
      <x:c r="B1113" t="str">
        <x:v>PHY-EX-196</x:v>
      </x:c>
      <x:c r="C1113" t="str">
        <x:v>PHYSICAL</x:v>
      </x:c>
      <x:c r="D1113" t="str">
        <x:v>event execution</x:v>
      </x:c>
      <x:c r="E1113" t="str">
        <x:v>RFA-E196</x:v>
      </x:c>
      <x:c r="F1113" t="n">
        <x:f>IF('Event Register'!M202&lt;&gt;"",1,0)</x:f>
        <x:v>0</x:v>
      </x:c>
      <x:c r="G1113" t="n">
        <x:v>1</x:v>
      </x:c>
      <x:c r="H1113" t="str">
        <x:v>equals</x:v>
      </x:c>
      <x:c r="I1113" t="str">
        <x:v>independent acceptance</x:v>
      </x:c>
      <x:c r="J1113" t="str">
        <x:f>IF(F1113=1,"PASS","OPEN")</x:f>
        <x:v>OPEN</x:v>
      </x:c>
    </x:row>
    <x:row r="1114">
      <x:c r="B1114" t="str">
        <x:v>PHY-VA-196</x:v>
      </x:c>
      <x:c r="C1114" t="str">
        <x:v>PHYSICAL</x:v>
      </x:c>
      <x:c r="D1114" t="str">
        <x:v>event validity</x:v>
      </x:c>
      <x:c r="E1114" t="str">
        <x:v>RFA-E196</x:v>
      </x:c>
      <x:c r="F1114" t="n">
        <x:f>'Event Estimator'!L202</x:f>
        <x:v>0</x:v>
      </x:c>
      <x:c r="G1114" t="n">
        <x:v>1</x:v>
      </x:c>
      <x:c r="H1114" t="str">
        <x:v>equals</x:v>
      </x:c>
      <x:c r="I1114" t="str">
        <x:v>independent acceptance</x:v>
      </x:c>
      <x:c r="J1114" t="str">
        <x:f>IF(F1114=1,"PASS","OPEN")</x:f>
        <x:v>OPEN</x:v>
      </x:c>
    </x:row>
    <x:row r="1115">
      <x:c r="B1115" t="str">
        <x:v>PHY-OC-196</x:v>
      </x:c>
      <x:c r="C1115" t="str">
        <x:v>PHYSICAL</x:v>
      </x:c>
      <x:c r="D1115" t="str">
        <x:v>event outcome</x:v>
      </x:c>
      <x:c r="E1115" t="str">
        <x:v>RFA-E196</x:v>
      </x:c>
      <x:c r="F1115" t="n">
        <x:f>IF('Event Estimator'!M202&lt;&gt;"",1,0)</x:f>
        <x:v>0</x:v>
      </x:c>
      <x:c r="G1115" t="n">
        <x:v>1</x:v>
      </x:c>
      <x:c r="H1115" t="str">
        <x:v>equals</x:v>
      </x:c>
      <x:c r="I1115" t="str">
        <x:v>independent acceptance</x:v>
      </x:c>
      <x:c r="J1115" t="str">
        <x:f>IF(F1115=1,"PASS","OPEN")</x:f>
        <x:v>OPEN</x:v>
      </x:c>
    </x:row>
    <x:row r="1116">
      <x:c r="B1116" t="str">
        <x:v>PHY-EX-197</x:v>
      </x:c>
      <x:c r="C1116" t="str">
        <x:v>PHYSICAL</x:v>
      </x:c>
      <x:c r="D1116" t="str">
        <x:v>event execution</x:v>
      </x:c>
      <x:c r="E1116" t="str">
        <x:v>RFA-E197</x:v>
      </x:c>
      <x:c r="F1116" t="n">
        <x:f>IF('Event Register'!M203&lt;&gt;"",1,0)</x:f>
        <x:v>0</x:v>
      </x:c>
      <x:c r="G1116" t="n">
        <x:v>1</x:v>
      </x:c>
      <x:c r="H1116" t="str">
        <x:v>equals</x:v>
      </x:c>
      <x:c r="I1116" t="str">
        <x:v>independent acceptance</x:v>
      </x:c>
      <x:c r="J1116" t="str">
        <x:f>IF(F1116=1,"PASS","OPEN")</x:f>
        <x:v>OPEN</x:v>
      </x:c>
    </x:row>
    <x:row r="1117">
      <x:c r="B1117" t="str">
        <x:v>PHY-VA-197</x:v>
      </x:c>
      <x:c r="C1117" t="str">
        <x:v>PHYSICAL</x:v>
      </x:c>
      <x:c r="D1117" t="str">
        <x:v>event validity</x:v>
      </x:c>
      <x:c r="E1117" t="str">
        <x:v>RFA-E197</x:v>
      </x:c>
      <x:c r="F1117" t="n">
        <x:f>'Event Estimator'!L203</x:f>
        <x:v>0</x:v>
      </x:c>
      <x:c r="G1117" t="n">
        <x:v>1</x:v>
      </x:c>
      <x:c r="H1117" t="str">
        <x:v>equals</x:v>
      </x:c>
      <x:c r="I1117" t="str">
        <x:v>independent acceptance</x:v>
      </x:c>
      <x:c r="J1117" t="str">
        <x:f>IF(F1117=1,"PASS","OPEN")</x:f>
        <x:v>OPEN</x:v>
      </x:c>
    </x:row>
    <x:row r="1118">
      <x:c r="B1118" t="str">
        <x:v>PHY-OC-197</x:v>
      </x:c>
      <x:c r="C1118" t="str">
        <x:v>PHYSICAL</x:v>
      </x:c>
      <x:c r="D1118" t="str">
        <x:v>event outcome</x:v>
      </x:c>
      <x:c r="E1118" t="str">
        <x:v>RFA-E197</x:v>
      </x:c>
      <x:c r="F1118" t="n">
        <x:f>IF('Event Estimator'!M203&lt;&gt;"",1,0)</x:f>
        <x:v>0</x:v>
      </x:c>
      <x:c r="G1118" t="n">
        <x:v>1</x:v>
      </x:c>
      <x:c r="H1118" t="str">
        <x:v>equals</x:v>
      </x:c>
      <x:c r="I1118" t="str">
        <x:v>independent acceptance</x:v>
      </x:c>
      <x:c r="J1118" t="str">
        <x:f>IF(F1118=1,"PASS","OPEN")</x:f>
        <x:v>OPEN</x:v>
      </x:c>
    </x:row>
    <x:row r="1119">
      <x:c r="B1119" t="str">
        <x:v>PHY-EX-198</x:v>
      </x:c>
      <x:c r="C1119" t="str">
        <x:v>PHYSICAL</x:v>
      </x:c>
      <x:c r="D1119" t="str">
        <x:v>event execution</x:v>
      </x:c>
      <x:c r="E1119" t="str">
        <x:v>RFA-E198</x:v>
      </x:c>
      <x:c r="F1119" t="n">
        <x:f>IF('Event Register'!M204&lt;&gt;"",1,0)</x:f>
        <x:v>0</x:v>
      </x:c>
      <x:c r="G1119" t="n">
        <x:v>1</x:v>
      </x:c>
      <x:c r="H1119" t="str">
        <x:v>equals</x:v>
      </x:c>
      <x:c r="I1119" t="str">
        <x:v>independent acceptance</x:v>
      </x:c>
      <x:c r="J1119" t="str">
        <x:f>IF(F1119=1,"PASS","OPEN")</x:f>
        <x:v>OPEN</x:v>
      </x:c>
    </x:row>
    <x:row r="1120">
      <x:c r="B1120" t="str">
        <x:v>PHY-VA-198</x:v>
      </x:c>
      <x:c r="C1120" t="str">
        <x:v>PHYSICAL</x:v>
      </x:c>
      <x:c r="D1120" t="str">
        <x:v>event validity</x:v>
      </x:c>
      <x:c r="E1120" t="str">
        <x:v>RFA-E198</x:v>
      </x:c>
      <x:c r="F1120" t="n">
        <x:f>'Event Estimator'!L204</x:f>
        <x:v>0</x:v>
      </x:c>
      <x:c r="G1120" t="n">
        <x:v>1</x:v>
      </x:c>
      <x:c r="H1120" t="str">
        <x:v>equals</x:v>
      </x:c>
      <x:c r="I1120" t="str">
        <x:v>independent acceptance</x:v>
      </x:c>
      <x:c r="J1120" t="str">
        <x:f>IF(F1120=1,"PASS","OPEN")</x:f>
        <x:v>OPEN</x:v>
      </x:c>
    </x:row>
    <x:row r="1121">
      <x:c r="B1121" t="str">
        <x:v>PHY-OC-198</x:v>
      </x:c>
      <x:c r="C1121" t="str">
        <x:v>PHYSICAL</x:v>
      </x:c>
      <x:c r="D1121" t="str">
        <x:v>event outcome</x:v>
      </x:c>
      <x:c r="E1121" t="str">
        <x:v>RFA-E198</x:v>
      </x:c>
      <x:c r="F1121" t="n">
        <x:f>IF('Event Estimator'!M204&lt;&gt;"",1,0)</x:f>
        <x:v>0</x:v>
      </x:c>
      <x:c r="G1121" t="n">
        <x:v>1</x:v>
      </x:c>
      <x:c r="H1121" t="str">
        <x:v>equals</x:v>
      </x:c>
      <x:c r="I1121" t="str">
        <x:v>independent acceptance</x:v>
      </x:c>
      <x:c r="J1121" t="str">
        <x:f>IF(F1121=1,"PASS","OPEN")</x:f>
        <x:v>OPEN</x:v>
      </x:c>
    </x:row>
    <x:row r="1122">
      <x:c r="B1122" t="str">
        <x:v>PHY-EX-199</x:v>
      </x:c>
      <x:c r="C1122" t="str">
        <x:v>PHYSICAL</x:v>
      </x:c>
      <x:c r="D1122" t="str">
        <x:v>event execution</x:v>
      </x:c>
      <x:c r="E1122" t="str">
        <x:v>RFA-E199</x:v>
      </x:c>
      <x:c r="F1122" t="n">
        <x:f>IF('Event Register'!M205&lt;&gt;"",1,0)</x:f>
        <x:v>0</x:v>
      </x:c>
      <x:c r="G1122" t="n">
        <x:v>1</x:v>
      </x:c>
      <x:c r="H1122" t="str">
        <x:v>equals</x:v>
      </x:c>
      <x:c r="I1122" t="str">
        <x:v>independent acceptance</x:v>
      </x:c>
      <x:c r="J1122" t="str">
        <x:f>IF(F1122=1,"PASS","OPEN")</x:f>
        <x:v>OPEN</x:v>
      </x:c>
    </x:row>
    <x:row r="1123">
      <x:c r="B1123" t="str">
        <x:v>PHY-VA-199</x:v>
      </x:c>
      <x:c r="C1123" t="str">
        <x:v>PHYSICAL</x:v>
      </x:c>
      <x:c r="D1123" t="str">
        <x:v>event validity</x:v>
      </x:c>
      <x:c r="E1123" t="str">
        <x:v>RFA-E199</x:v>
      </x:c>
      <x:c r="F1123" t="n">
        <x:f>'Event Estimator'!L205</x:f>
        <x:v>0</x:v>
      </x:c>
      <x:c r="G1123" t="n">
        <x:v>1</x:v>
      </x:c>
      <x:c r="H1123" t="str">
        <x:v>equals</x:v>
      </x:c>
      <x:c r="I1123" t="str">
        <x:v>independent acceptance</x:v>
      </x:c>
      <x:c r="J1123" t="str">
        <x:f>IF(F1123=1,"PASS","OPEN")</x:f>
        <x:v>OPEN</x:v>
      </x:c>
    </x:row>
    <x:row r="1124">
      <x:c r="B1124" t="str">
        <x:v>PHY-OC-199</x:v>
      </x:c>
      <x:c r="C1124" t="str">
        <x:v>PHYSICAL</x:v>
      </x:c>
      <x:c r="D1124" t="str">
        <x:v>event outcome</x:v>
      </x:c>
      <x:c r="E1124" t="str">
        <x:v>RFA-E199</x:v>
      </x:c>
      <x:c r="F1124" t="n">
        <x:f>IF('Event Estimator'!M205&lt;&gt;"",1,0)</x:f>
        <x:v>0</x:v>
      </x:c>
      <x:c r="G1124" t="n">
        <x:v>1</x:v>
      </x:c>
      <x:c r="H1124" t="str">
        <x:v>equals</x:v>
      </x:c>
      <x:c r="I1124" t="str">
        <x:v>independent acceptance</x:v>
      </x:c>
      <x:c r="J1124" t="str">
        <x:f>IF(F1124=1,"PASS","OPEN")</x:f>
        <x:v>OPEN</x:v>
      </x:c>
    </x:row>
    <x:row r="1125">
      <x:c r="B1125" t="str">
        <x:v>PHY-EX-200</x:v>
      </x:c>
      <x:c r="C1125" t="str">
        <x:v>PHYSICAL</x:v>
      </x:c>
      <x:c r="D1125" t="str">
        <x:v>event execution</x:v>
      </x:c>
      <x:c r="E1125" t="str">
        <x:v>RFA-E200</x:v>
      </x:c>
      <x:c r="F1125" t="n">
        <x:f>IF('Event Register'!M206&lt;&gt;"",1,0)</x:f>
        <x:v>0</x:v>
      </x:c>
      <x:c r="G1125" t="n">
        <x:v>1</x:v>
      </x:c>
      <x:c r="H1125" t="str">
        <x:v>equals</x:v>
      </x:c>
      <x:c r="I1125" t="str">
        <x:v>independent acceptance</x:v>
      </x:c>
      <x:c r="J1125" t="str">
        <x:f>IF(F1125=1,"PASS","OPEN")</x:f>
        <x:v>OPEN</x:v>
      </x:c>
    </x:row>
    <x:row r="1126">
      <x:c r="B1126" t="str">
        <x:v>PHY-VA-200</x:v>
      </x:c>
      <x:c r="C1126" t="str">
        <x:v>PHYSICAL</x:v>
      </x:c>
      <x:c r="D1126" t="str">
        <x:v>event validity</x:v>
      </x:c>
      <x:c r="E1126" t="str">
        <x:v>RFA-E200</x:v>
      </x:c>
      <x:c r="F1126" t="n">
        <x:f>'Event Estimator'!L206</x:f>
        <x:v>0</x:v>
      </x:c>
      <x:c r="G1126" t="n">
        <x:v>1</x:v>
      </x:c>
      <x:c r="H1126" t="str">
        <x:v>equals</x:v>
      </x:c>
      <x:c r="I1126" t="str">
        <x:v>independent acceptance</x:v>
      </x:c>
      <x:c r="J1126" t="str">
        <x:f>IF(F1126=1,"PASS","OPEN")</x:f>
        <x:v>OPEN</x:v>
      </x:c>
    </x:row>
    <x:row r="1127">
      <x:c r="B1127" t="str">
        <x:v>PHY-OC-200</x:v>
      </x:c>
      <x:c r="C1127" t="str">
        <x:v>PHYSICAL</x:v>
      </x:c>
      <x:c r="D1127" t="str">
        <x:v>event outcome</x:v>
      </x:c>
      <x:c r="E1127" t="str">
        <x:v>RFA-E200</x:v>
      </x:c>
      <x:c r="F1127" t="n">
        <x:f>IF('Event Estimator'!M206&lt;&gt;"",1,0)</x:f>
        <x:v>0</x:v>
      </x:c>
      <x:c r="G1127" t="n">
        <x:v>1</x:v>
      </x:c>
      <x:c r="H1127" t="str">
        <x:v>equals</x:v>
      </x:c>
      <x:c r="I1127" t="str">
        <x:v>independent acceptance</x:v>
      </x:c>
      <x:c r="J1127" t="str">
        <x:f>IF(F1127=1,"PASS","OPEN")</x:f>
        <x:v>OPEN</x:v>
      </x:c>
    </x:row>
    <x:row r="1128">
      <x:c r="B1128" t="str">
        <x:v>PHY-EX-201</x:v>
      </x:c>
      <x:c r="C1128" t="str">
        <x:v>PHYSICAL</x:v>
      </x:c>
      <x:c r="D1128" t="str">
        <x:v>event execution</x:v>
      </x:c>
      <x:c r="E1128" t="str">
        <x:v>RFA-E201</x:v>
      </x:c>
      <x:c r="F1128" t="n">
        <x:f>IF('Event Register'!M207&lt;&gt;"",1,0)</x:f>
        <x:v>0</x:v>
      </x:c>
      <x:c r="G1128" t="n">
        <x:v>1</x:v>
      </x:c>
      <x:c r="H1128" t="str">
        <x:v>equals</x:v>
      </x:c>
      <x:c r="I1128" t="str">
        <x:v>independent acceptance</x:v>
      </x:c>
      <x:c r="J1128" t="str">
        <x:f>IF(F1128=1,"PASS","OPEN")</x:f>
        <x:v>OPEN</x:v>
      </x:c>
    </x:row>
    <x:row r="1129">
      <x:c r="B1129" t="str">
        <x:v>PHY-VA-201</x:v>
      </x:c>
      <x:c r="C1129" t="str">
        <x:v>PHYSICAL</x:v>
      </x:c>
      <x:c r="D1129" t="str">
        <x:v>event validity</x:v>
      </x:c>
      <x:c r="E1129" t="str">
        <x:v>RFA-E201</x:v>
      </x:c>
      <x:c r="F1129" t="n">
        <x:f>'Event Estimator'!L207</x:f>
        <x:v>0</x:v>
      </x:c>
      <x:c r="G1129" t="n">
        <x:v>1</x:v>
      </x:c>
      <x:c r="H1129" t="str">
        <x:v>equals</x:v>
      </x:c>
      <x:c r="I1129" t="str">
        <x:v>independent acceptance</x:v>
      </x:c>
      <x:c r="J1129" t="str">
        <x:f>IF(F1129=1,"PASS","OPEN")</x:f>
        <x:v>OPEN</x:v>
      </x:c>
    </x:row>
    <x:row r="1130">
      <x:c r="B1130" t="str">
        <x:v>PHY-OC-201</x:v>
      </x:c>
      <x:c r="C1130" t="str">
        <x:v>PHYSICAL</x:v>
      </x:c>
      <x:c r="D1130" t="str">
        <x:v>event outcome</x:v>
      </x:c>
      <x:c r="E1130" t="str">
        <x:v>RFA-E201</x:v>
      </x:c>
      <x:c r="F1130" t="n">
        <x:f>IF('Event Estimator'!M207&lt;&gt;"",1,0)</x:f>
        <x:v>0</x:v>
      </x:c>
      <x:c r="G1130" t="n">
        <x:v>1</x:v>
      </x:c>
      <x:c r="H1130" t="str">
        <x:v>equals</x:v>
      </x:c>
      <x:c r="I1130" t="str">
        <x:v>independent acceptance</x:v>
      </x:c>
      <x:c r="J1130" t="str">
        <x:f>IF(F1130=1,"PASS","OPEN")</x:f>
        <x:v>OPEN</x:v>
      </x:c>
    </x:row>
    <x:row r="1131">
      <x:c r="B1131" t="str">
        <x:v>PHY-EX-202</x:v>
      </x:c>
      <x:c r="C1131" t="str">
        <x:v>PHYSICAL</x:v>
      </x:c>
      <x:c r="D1131" t="str">
        <x:v>event execution</x:v>
      </x:c>
      <x:c r="E1131" t="str">
        <x:v>RFA-E202</x:v>
      </x:c>
      <x:c r="F1131" t="n">
        <x:f>IF('Event Register'!M208&lt;&gt;"",1,0)</x:f>
        <x:v>0</x:v>
      </x:c>
      <x:c r="G1131" t="n">
        <x:v>1</x:v>
      </x:c>
      <x:c r="H1131" t="str">
        <x:v>equals</x:v>
      </x:c>
      <x:c r="I1131" t="str">
        <x:v>independent acceptance</x:v>
      </x:c>
      <x:c r="J1131" t="str">
        <x:f>IF(F1131=1,"PASS","OPEN")</x:f>
        <x:v>OPEN</x:v>
      </x:c>
    </x:row>
    <x:row r="1132">
      <x:c r="B1132" t="str">
        <x:v>PHY-VA-202</x:v>
      </x:c>
      <x:c r="C1132" t="str">
        <x:v>PHYSICAL</x:v>
      </x:c>
      <x:c r="D1132" t="str">
        <x:v>event validity</x:v>
      </x:c>
      <x:c r="E1132" t="str">
        <x:v>RFA-E202</x:v>
      </x:c>
      <x:c r="F1132" t="n">
        <x:f>'Event Estimator'!L208</x:f>
        <x:v>0</x:v>
      </x:c>
      <x:c r="G1132" t="n">
        <x:v>1</x:v>
      </x:c>
      <x:c r="H1132" t="str">
        <x:v>equals</x:v>
      </x:c>
      <x:c r="I1132" t="str">
        <x:v>independent acceptance</x:v>
      </x:c>
      <x:c r="J1132" t="str">
        <x:f>IF(F1132=1,"PASS","OPEN")</x:f>
        <x:v>OPEN</x:v>
      </x:c>
    </x:row>
    <x:row r="1133">
      <x:c r="B1133" t="str">
        <x:v>PHY-OC-202</x:v>
      </x:c>
      <x:c r="C1133" t="str">
        <x:v>PHYSICAL</x:v>
      </x:c>
      <x:c r="D1133" t="str">
        <x:v>event outcome</x:v>
      </x:c>
      <x:c r="E1133" t="str">
        <x:v>RFA-E202</x:v>
      </x:c>
      <x:c r="F1133" t="n">
        <x:f>IF('Event Estimator'!M208&lt;&gt;"",1,0)</x:f>
        <x:v>0</x:v>
      </x:c>
      <x:c r="G1133" t="n">
        <x:v>1</x:v>
      </x:c>
      <x:c r="H1133" t="str">
        <x:v>equals</x:v>
      </x:c>
      <x:c r="I1133" t="str">
        <x:v>independent acceptance</x:v>
      </x:c>
      <x:c r="J1133" t="str">
        <x:f>IF(F1133=1,"PASS","OPEN")</x:f>
        <x:v>OPEN</x:v>
      </x:c>
    </x:row>
    <x:row r="1134">
      <x:c r="B1134" t="str">
        <x:v>PHY-EX-203</x:v>
      </x:c>
      <x:c r="C1134" t="str">
        <x:v>PHYSICAL</x:v>
      </x:c>
      <x:c r="D1134" t="str">
        <x:v>event execution</x:v>
      </x:c>
      <x:c r="E1134" t="str">
        <x:v>RFA-E203</x:v>
      </x:c>
      <x:c r="F1134" t="n">
        <x:f>IF('Event Register'!M209&lt;&gt;"",1,0)</x:f>
        <x:v>0</x:v>
      </x:c>
      <x:c r="G1134" t="n">
        <x:v>1</x:v>
      </x:c>
      <x:c r="H1134" t="str">
        <x:v>equals</x:v>
      </x:c>
      <x:c r="I1134" t="str">
        <x:v>independent acceptance</x:v>
      </x:c>
      <x:c r="J1134" t="str">
        <x:f>IF(F1134=1,"PASS","OPEN")</x:f>
        <x:v>OPEN</x:v>
      </x:c>
    </x:row>
    <x:row r="1135">
      <x:c r="B1135" t="str">
        <x:v>PHY-VA-203</x:v>
      </x:c>
      <x:c r="C1135" t="str">
        <x:v>PHYSICAL</x:v>
      </x:c>
      <x:c r="D1135" t="str">
        <x:v>event validity</x:v>
      </x:c>
      <x:c r="E1135" t="str">
        <x:v>RFA-E203</x:v>
      </x:c>
      <x:c r="F1135" t="n">
        <x:f>'Event Estimator'!L209</x:f>
        <x:v>0</x:v>
      </x:c>
      <x:c r="G1135" t="n">
        <x:v>1</x:v>
      </x:c>
      <x:c r="H1135" t="str">
        <x:v>equals</x:v>
      </x:c>
      <x:c r="I1135" t="str">
        <x:v>independent acceptance</x:v>
      </x:c>
      <x:c r="J1135" t="str">
        <x:f>IF(F1135=1,"PASS","OPEN")</x:f>
        <x:v>OPEN</x:v>
      </x:c>
    </x:row>
    <x:row r="1136">
      <x:c r="B1136" t="str">
        <x:v>PHY-OC-203</x:v>
      </x:c>
      <x:c r="C1136" t="str">
        <x:v>PHYSICAL</x:v>
      </x:c>
      <x:c r="D1136" t="str">
        <x:v>event outcome</x:v>
      </x:c>
      <x:c r="E1136" t="str">
        <x:v>RFA-E203</x:v>
      </x:c>
      <x:c r="F1136" t="n">
        <x:f>IF('Event Estimator'!M209&lt;&gt;"",1,0)</x:f>
        <x:v>0</x:v>
      </x:c>
      <x:c r="G1136" t="n">
        <x:v>1</x:v>
      </x:c>
      <x:c r="H1136" t="str">
        <x:v>equals</x:v>
      </x:c>
      <x:c r="I1136" t="str">
        <x:v>independent acceptance</x:v>
      </x:c>
      <x:c r="J1136" t="str">
        <x:f>IF(F1136=1,"PASS","OPEN")</x:f>
        <x:v>OPEN</x:v>
      </x:c>
    </x:row>
    <x:row r="1137">
      <x:c r="B1137" t="str">
        <x:v>PHY-EX-204</x:v>
      </x:c>
      <x:c r="C1137" t="str">
        <x:v>PHYSICAL</x:v>
      </x:c>
      <x:c r="D1137" t="str">
        <x:v>event execution</x:v>
      </x:c>
      <x:c r="E1137" t="str">
        <x:v>RFA-E204</x:v>
      </x:c>
      <x:c r="F1137" t="n">
        <x:f>IF('Event Register'!M210&lt;&gt;"",1,0)</x:f>
        <x:v>0</x:v>
      </x:c>
      <x:c r="G1137" t="n">
        <x:v>1</x:v>
      </x:c>
      <x:c r="H1137" t="str">
        <x:v>equals</x:v>
      </x:c>
      <x:c r="I1137" t="str">
        <x:v>independent acceptance</x:v>
      </x:c>
      <x:c r="J1137" t="str">
        <x:f>IF(F1137=1,"PASS","OPEN")</x:f>
        <x:v>OPEN</x:v>
      </x:c>
    </x:row>
    <x:row r="1138">
      <x:c r="B1138" t="str">
        <x:v>PHY-VA-204</x:v>
      </x:c>
      <x:c r="C1138" t="str">
        <x:v>PHYSICAL</x:v>
      </x:c>
      <x:c r="D1138" t="str">
        <x:v>event validity</x:v>
      </x:c>
      <x:c r="E1138" t="str">
        <x:v>RFA-E204</x:v>
      </x:c>
      <x:c r="F1138" t="n">
        <x:f>'Event Estimator'!L210</x:f>
        <x:v>0</x:v>
      </x:c>
      <x:c r="G1138" t="n">
        <x:v>1</x:v>
      </x:c>
      <x:c r="H1138" t="str">
        <x:v>equals</x:v>
      </x:c>
      <x:c r="I1138" t="str">
        <x:v>independent acceptance</x:v>
      </x:c>
      <x:c r="J1138" t="str">
        <x:f>IF(F1138=1,"PASS","OPEN")</x:f>
        <x:v>OPEN</x:v>
      </x:c>
    </x:row>
    <x:row r="1139">
      <x:c r="B1139" t="str">
        <x:v>PHY-OC-204</x:v>
      </x:c>
      <x:c r="C1139" t="str">
        <x:v>PHYSICAL</x:v>
      </x:c>
      <x:c r="D1139" t="str">
        <x:v>event outcome</x:v>
      </x:c>
      <x:c r="E1139" t="str">
        <x:v>RFA-E204</x:v>
      </x:c>
      <x:c r="F1139" t="n">
        <x:f>IF('Event Estimator'!M210&lt;&gt;"",1,0)</x:f>
        <x:v>0</x:v>
      </x:c>
      <x:c r="G1139" t="n">
        <x:v>1</x:v>
      </x:c>
      <x:c r="H1139" t="str">
        <x:v>equals</x:v>
      </x:c>
      <x:c r="I1139" t="str">
        <x:v>independent acceptance</x:v>
      </x:c>
      <x:c r="J1139" t="str">
        <x:f>IF(F1139=1,"PASS","OPEN")</x:f>
        <x:v>OPEN</x:v>
      </x:c>
    </x:row>
    <x:row r="1140">
      <x:c r="B1140" t="str">
        <x:v>PHY-EX-205</x:v>
      </x:c>
      <x:c r="C1140" t="str">
        <x:v>PHYSICAL</x:v>
      </x:c>
      <x:c r="D1140" t="str">
        <x:v>event execution</x:v>
      </x:c>
      <x:c r="E1140" t="str">
        <x:v>RFA-E205</x:v>
      </x:c>
      <x:c r="F1140" t="n">
        <x:f>IF('Event Register'!M211&lt;&gt;"",1,0)</x:f>
        <x:v>0</x:v>
      </x:c>
      <x:c r="G1140" t="n">
        <x:v>1</x:v>
      </x:c>
      <x:c r="H1140" t="str">
        <x:v>equals</x:v>
      </x:c>
      <x:c r="I1140" t="str">
        <x:v>independent acceptance</x:v>
      </x:c>
      <x:c r="J1140" t="str">
        <x:f>IF(F1140=1,"PASS","OPEN")</x:f>
        <x:v>OPEN</x:v>
      </x:c>
    </x:row>
    <x:row r="1141">
      <x:c r="B1141" t="str">
        <x:v>PHY-VA-205</x:v>
      </x:c>
      <x:c r="C1141" t="str">
        <x:v>PHYSICAL</x:v>
      </x:c>
      <x:c r="D1141" t="str">
        <x:v>event validity</x:v>
      </x:c>
      <x:c r="E1141" t="str">
        <x:v>RFA-E205</x:v>
      </x:c>
      <x:c r="F1141" t="n">
        <x:f>'Event Estimator'!L211</x:f>
        <x:v>0</x:v>
      </x:c>
      <x:c r="G1141" t="n">
        <x:v>1</x:v>
      </x:c>
      <x:c r="H1141" t="str">
        <x:v>equals</x:v>
      </x:c>
      <x:c r="I1141" t="str">
        <x:v>independent acceptance</x:v>
      </x:c>
      <x:c r="J1141" t="str">
        <x:f>IF(F1141=1,"PASS","OPEN")</x:f>
        <x:v>OPEN</x:v>
      </x:c>
    </x:row>
    <x:row r="1142">
      <x:c r="B1142" t="str">
        <x:v>PHY-OC-205</x:v>
      </x:c>
      <x:c r="C1142" t="str">
        <x:v>PHYSICAL</x:v>
      </x:c>
      <x:c r="D1142" t="str">
        <x:v>event outcome</x:v>
      </x:c>
      <x:c r="E1142" t="str">
        <x:v>RFA-E205</x:v>
      </x:c>
      <x:c r="F1142" t="n">
        <x:f>IF('Event Estimator'!M211&lt;&gt;"",1,0)</x:f>
        <x:v>0</x:v>
      </x:c>
      <x:c r="G1142" t="n">
        <x:v>1</x:v>
      </x:c>
      <x:c r="H1142" t="str">
        <x:v>equals</x:v>
      </x:c>
      <x:c r="I1142" t="str">
        <x:v>independent acceptance</x:v>
      </x:c>
      <x:c r="J1142" t="str">
        <x:f>IF(F1142=1,"PASS","OPEN")</x:f>
        <x:v>OPEN</x:v>
      </x:c>
    </x:row>
    <x:row r="1143">
      <x:c r="B1143" t="str">
        <x:v>PHY-EX-206</x:v>
      </x:c>
      <x:c r="C1143" t="str">
        <x:v>PHYSICAL</x:v>
      </x:c>
      <x:c r="D1143" t="str">
        <x:v>event execution</x:v>
      </x:c>
      <x:c r="E1143" t="str">
        <x:v>RFA-E206</x:v>
      </x:c>
      <x:c r="F1143" t="n">
        <x:f>IF('Event Register'!M212&lt;&gt;"",1,0)</x:f>
        <x:v>0</x:v>
      </x:c>
      <x:c r="G1143" t="n">
        <x:v>1</x:v>
      </x:c>
      <x:c r="H1143" t="str">
        <x:v>equals</x:v>
      </x:c>
      <x:c r="I1143" t="str">
        <x:v>independent acceptance</x:v>
      </x:c>
      <x:c r="J1143" t="str">
        <x:f>IF(F1143=1,"PASS","OPEN")</x:f>
        <x:v>OPEN</x:v>
      </x:c>
    </x:row>
    <x:row r="1144">
      <x:c r="B1144" t="str">
        <x:v>PHY-VA-206</x:v>
      </x:c>
      <x:c r="C1144" t="str">
        <x:v>PHYSICAL</x:v>
      </x:c>
      <x:c r="D1144" t="str">
        <x:v>event validity</x:v>
      </x:c>
      <x:c r="E1144" t="str">
        <x:v>RFA-E206</x:v>
      </x:c>
      <x:c r="F1144" t="n">
        <x:f>'Event Estimator'!L212</x:f>
        <x:v>0</x:v>
      </x:c>
      <x:c r="G1144" t="n">
        <x:v>1</x:v>
      </x:c>
      <x:c r="H1144" t="str">
        <x:v>equals</x:v>
      </x:c>
      <x:c r="I1144" t="str">
        <x:v>independent acceptance</x:v>
      </x:c>
      <x:c r="J1144" t="str">
        <x:f>IF(F1144=1,"PASS","OPEN")</x:f>
        <x:v>OPEN</x:v>
      </x:c>
    </x:row>
    <x:row r="1145">
      <x:c r="B1145" t="str">
        <x:v>PHY-OC-206</x:v>
      </x:c>
      <x:c r="C1145" t="str">
        <x:v>PHYSICAL</x:v>
      </x:c>
      <x:c r="D1145" t="str">
        <x:v>event outcome</x:v>
      </x:c>
      <x:c r="E1145" t="str">
        <x:v>RFA-E206</x:v>
      </x:c>
      <x:c r="F1145" t="n">
        <x:f>IF('Event Estimator'!M212&lt;&gt;"",1,0)</x:f>
        <x:v>0</x:v>
      </x:c>
      <x:c r="G1145" t="n">
        <x:v>1</x:v>
      </x:c>
      <x:c r="H1145" t="str">
        <x:v>equals</x:v>
      </x:c>
      <x:c r="I1145" t="str">
        <x:v>independent acceptance</x:v>
      </x:c>
      <x:c r="J1145" t="str">
        <x:f>IF(F1145=1,"PASS","OPEN")</x:f>
        <x:v>OPEN</x:v>
      </x:c>
    </x:row>
    <x:row r="1146">
      <x:c r="B1146" t="str">
        <x:v>PHY-EX-207</x:v>
      </x:c>
      <x:c r="C1146" t="str">
        <x:v>PHYSICAL</x:v>
      </x:c>
      <x:c r="D1146" t="str">
        <x:v>event execution</x:v>
      </x:c>
      <x:c r="E1146" t="str">
        <x:v>RFA-E207</x:v>
      </x:c>
      <x:c r="F1146" t="n">
        <x:f>IF('Event Register'!M213&lt;&gt;"",1,0)</x:f>
        <x:v>0</x:v>
      </x:c>
      <x:c r="G1146" t="n">
        <x:v>1</x:v>
      </x:c>
      <x:c r="H1146" t="str">
        <x:v>equals</x:v>
      </x:c>
      <x:c r="I1146" t="str">
        <x:v>independent acceptance</x:v>
      </x:c>
      <x:c r="J1146" t="str">
        <x:f>IF(F1146=1,"PASS","OPEN")</x:f>
        <x:v>OPEN</x:v>
      </x:c>
    </x:row>
    <x:row r="1147">
      <x:c r="B1147" t="str">
        <x:v>PHY-VA-207</x:v>
      </x:c>
      <x:c r="C1147" t="str">
        <x:v>PHYSICAL</x:v>
      </x:c>
      <x:c r="D1147" t="str">
        <x:v>event validity</x:v>
      </x:c>
      <x:c r="E1147" t="str">
        <x:v>RFA-E207</x:v>
      </x:c>
      <x:c r="F1147" t="n">
        <x:f>'Event Estimator'!L213</x:f>
        <x:v>0</x:v>
      </x:c>
      <x:c r="G1147" t="n">
        <x:v>1</x:v>
      </x:c>
      <x:c r="H1147" t="str">
        <x:v>equals</x:v>
      </x:c>
      <x:c r="I1147" t="str">
        <x:v>independent acceptance</x:v>
      </x:c>
      <x:c r="J1147" t="str">
        <x:f>IF(F1147=1,"PASS","OPEN")</x:f>
        <x:v>OPEN</x:v>
      </x:c>
    </x:row>
    <x:row r="1148">
      <x:c r="B1148" t="str">
        <x:v>PHY-OC-207</x:v>
      </x:c>
      <x:c r="C1148" t="str">
        <x:v>PHYSICAL</x:v>
      </x:c>
      <x:c r="D1148" t="str">
        <x:v>event outcome</x:v>
      </x:c>
      <x:c r="E1148" t="str">
        <x:v>RFA-E207</x:v>
      </x:c>
      <x:c r="F1148" t="n">
        <x:f>IF('Event Estimator'!M213&lt;&gt;"",1,0)</x:f>
        <x:v>0</x:v>
      </x:c>
      <x:c r="G1148" t="n">
        <x:v>1</x:v>
      </x:c>
      <x:c r="H1148" t="str">
        <x:v>equals</x:v>
      </x:c>
      <x:c r="I1148" t="str">
        <x:v>independent acceptance</x:v>
      </x:c>
      <x:c r="J1148" t="str">
        <x:f>IF(F1148=1,"PASS","OPEN")</x:f>
        <x:v>OPEN</x:v>
      </x:c>
    </x:row>
    <x:row r="1149">
      <x:c r="B1149" t="str">
        <x:v>PHY-EX-208</x:v>
      </x:c>
      <x:c r="C1149" t="str">
        <x:v>PHYSICAL</x:v>
      </x:c>
      <x:c r="D1149" t="str">
        <x:v>event execution</x:v>
      </x:c>
      <x:c r="E1149" t="str">
        <x:v>RFA-E208</x:v>
      </x:c>
      <x:c r="F1149" t="n">
        <x:f>IF('Event Register'!M214&lt;&gt;"",1,0)</x:f>
        <x:v>0</x:v>
      </x:c>
      <x:c r="G1149" t="n">
        <x:v>1</x:v>
      </x:c>
      <x:c r="H1149" t="str">
        <x:v>equals</x:v>
      </x:c>
      <x:c r="I1149" t="str">
        <x:v>independent acceptance</x:v>
      </x:c>
      <x:c r="J1149" t="str">
        <x:f>IF(F1149=1,"PASS","OPEN")</x:f>
        <x:v>OPEN</x:v>
      </x:c>
    </x:row>
    <x:row r="1150">
      <x:c r="B1150" t="str">
        <x:v>PHY-VA-208</x:v>
      </x:c>
      <x:c r="C1150" t="str">
        <x:v>PHYSICAL</x:v>
      </x:c>
      <x:c r="D1150" t="str">
        <x:v>event validity</x:v>
      </x:c>
      <x:c r="E1150" t="str">
        <x:v>RFA-E208</x:v>
      </x:c>
      <x:c r="F1150" t="n">
        <x:f>'Event Estimator'!L214</x:f>
        <x:v>0</x:v>
      </x:c>
      <x:c r="G1150" t="n">
        <x:v>1</x:v>
      </x:c>
      <x:c r="H1150" t="str">
        <x:v>equals</x:v>
      </x:c>
      <x:c r="I1150" t="str">
        <x:v>independent acceptance</x:v>
      </x:c>
      <x:c r="J1150" t="str">
        <x:f>IF(F1150=1,"PASS","OPEN")</x:f>
        <x:v>OPEN</x:v>
      </x:c>
    </x:row>
    <x:row r="1151">
      <x:c r="B1151" t="str">
        <x:v>PHY-OC-208</x:v>
      </x:c>
      <x:c r="C1151" t="str">
        <x:v>PHYSICAL</x:v>
      </x:c>
      <x:c r="D1151" t="str">
        <x:v>event outcome</x:v>
      </x:c>
      <x:c r="E1151" t="str">
        <x:v>RFA-E208</x:v>
      </x:c>
      <x:c r="F1151" t="n">
        <x:f>IF('Event Estimator'!M214&lt;&gt;"",1,0)</x:f>
        <x:v>0</x:v>
      </x:c>
      <x:c r="G1151" t="n">
        <x:v>1</x:v>
      </x:c>
      <x:c r="H1151" t="str">
        <x:v>equals</x:v>
      </x:c>
      <x:c r="I1151" t="str">
        <x:v>independent acceptance</x:v>
      </x:c>
      <x:c r="J1151" t="str">
        <x:f>IF(F1151=1,"PASS","OPEN")</x:f>
        <x:v>OPEN</x:v>
      </x:c>
    </x:row>
    <x:row r="1152">
      <x:c r="B1152" t="str">
        <x:v>PHY-EX-209</x:v>
      </x:c>
      <x:c r="C1152" t="str">
        <x:v>PHYSICAL</x:v>
      </x:c>
      <x:c r="D1152" t="str">
        <x:v>event execution</x:v>
      </x:c>
      <x:c r="E1152" t="str">
        <x:v>RFA-E209</x:v>
      </x:c>
      <x:c r="F1152" t="n">
        <x:f>IF('Event Register'!M215&lt;&gt;"",1,0)</x:f>
        <x:v>0</x:v>
      </x:c>
      <x:c r="G1152" t="n">
        <x:v>1</x:v>
      </x:c>
      <x:c r="H1152" t="str">
        <x:v>equals</x:v>
      </x:c>
      <x:c r="I1152" t="str">
        <x:v>independent acceptance</x:v>
      </x:c>
      <x:c r="J1152" t="str">
        <x:f>IF(F1152=1,"PASS","OPEN")</x:f>
        <x:v>OPEN</x:v>
      </x:c>
    </x:row>
    <x:row r="1153">
      <x:c r="B1153" t="str">
        <x:v>PHY-VA-209</x:v>
      </x:c>
      <x:c r="C1153" t="str">
        <x:v>PHYSICAL</x:v>
      </x:c>
      <x:c r="D1153" t="str">
        <x:v>event validity</x:v>
      </x:c>
      <x:c r="E1153" t="str">
        <x:v>RFA-E209</x:v>
      </x:c>
      <x:c r="F1153" t="n">
        <x:f>'Event Estimator'!L215</x:f>
        <x:v>0</x:v>
      </x:c>
      <x:c r="G1153" t="n">
        <x:v>1</x:v>
      </x:c>
      <x:c r="H1153" t="str">
        <x:v>equals</x:v>
      </x:c>
      <x:c r="I1153" t="str">
        <x:v>independent acceptance</x:v>
      </x:c>
      <x:c r="J1153" t="str">
        <x:f>IF(F1153=1,"PASS","OPEN")</x:f>
        <x:v>OPEN</x:v>
      </x:c>
    </x:row>
    <x:row r="1154">
      <x:c r="B1154" t="str">
        <x:v>PHY-OC-209</x:v>
      </x:c>
      <x:c r="C1154" t="str">
        <x:v>PHYSICAL</x:v>
      </x:c>
      <x:c r="D1154" t="str">
        <x:v>event outcome</x:v>
      </x:c>
      <x:c r="E1154" t="str">
        <x:v>RFA-E209</x:v>
      </x:c>
      <x:c r="F1154" t="n">
        <x:f>IF('Event Estimator'!M215&lt;&gt;"",1,0)</x:f>
        <x:v>0</x:v>
      </x:c>
      <x:c r="G1154" t="n">
        <x:v>1</x:v>
      </x:c>
      <x:c r="H1154" t="str">
        <x:v>equals</x:v>
      </x:c>
      <x:c r="I1154" t="str">
        <x:v>independent acceptance</x:v>
      </x:c>
      <x:c r="J1154" t="str">
        <x:f>IF(F1154=1,"PASS","OPEN")</x:f>
        <x:v>OPEN</x:v>
      </x:c>
    </x:row>
    <x:row r="1155">
      <x:c r="B1155" t="str">
        <x:v>PHY-EX-210</x:v>
      </x:c>
      <x:c r="C1155" t="str">
        <x:v>PHYSICAL</x:v>
      </x:c>
      <x:c r="D1155" t="str">
        <x:v>event execution</x:v>
      </x:c>
      <x:c r="E1155" t="str">
        <x:v>RFA-E210</x:v>
      </x:c>
      <x:c r="F1155" t="n">
        <x:f>IF('Event Register'!M216&lt;&gt;"",1,0)</x:f>
        <x:v>0</x:v>
      </x:c>
      <x:c r="G1155" t="n">
        <x:v>1</x:v>
      </x:c>
      <x:c r="H1155" t="str">
        <x:v>equals</x:v>
      </x:c>
      <x:c r="I1155" t="str">
        <x:v>independent acceptance</x:v>
      </x:c>
      <x:c r="J1155" t="str">
        <x:f>IF(F1155=1,"PASS","OPEN")</x:f>
        <x:v>OPEN</x:v>
      </x:c>
    </x:row>
    <x:row r="1156">
      <x:c r="B1156" t="str">
        <x:v>PHY-VA-210</x:v>
      </x:c>
      <x:c r="C1156" t="str">
        <x:v>PHYSICAL</x:v>
      </x:c>
      <x:c r="D1156" t="str">
        <x:v>event validity</x:v>
      </x:c>
      <x:c r="E1156" t="str">
        <x:v>RFA-E210</x:v>
      </x:c>
      <x:c r="F1156" t="n">
        <x:f>'Event Estimator'!L216</x:f>
        <x:v>0</x:v>
      </x:c>
      <x:c r="G1156" t="n">
        <x:v>1</x:v>
      </x:c>
      <x:c r="H1156" t="str">
        <x:v>equals</x:v>
      </x:c>
      <x:c r="I1156" t="str">
        <x:v>independent acceptance</x:v>
      </x:c>
      <x:c r="J1156" t="str">
        <x:f>IF(F1156=1,"PASS","OPEN")</x:f>
        <x:v>OPEN</x:v>
      </x:c>
    </x:row>
    <x:row r="1157">
      <x:c r="B1157" t="str">
        <x:v>PHY-OC-210</x:v>
      </x:c>
      <x:c r="C1157" t="str">
        <x:v>PHYSICAL</x:v>
      </x:c>
      <x:c r="D1157" t="str">
        <x:v>event outcome</x:v>
      </x:c>
      <x:c r="E1157" t="str">
        <x:v>RFA-E210</x:v>
      </x:c>
      <x:c r="F1157" t="n">
        <x:f>IF('Event Estimator'!M216&lt;&gt;"",1,0)</x:f>
        <x:v>0</x:v>
      </x:c>
      <x:c r="G1157" t="n">
        <x:v>1</x:v>
      </x:c>
      <x:c r="H1157" t="str">
        <x:v>equals</x:v>
      </x:c>
      <x:c r="I1157" t="str">
        <x:v>independent acceptance</x:v>
      </x:c>
      <x:c r="J1157" t="str">
        <x:f>IF(F1157=1,"PASS","OPEN")</x:f>
        <x:v>OPEN</x:v>
      </x:c>
    </x:row>
    <x:row r="1158">
      <x:c r="B1158" t="str">
        <x:v>PHY-EX-211</x:v>
      </x:c>
      <x:c r="C1158" t="str">
        <x:v>PHYSICAL</x:v>
      </x:c>
      <x:c r="D1158" t="str">
        <x:v>event execution</x:v>
      </x:c>
      <x:c r="E1158" t="str">
        <x:v>RFA-E211</x:v>
      </x:c>
      <x:c r="F1158" t="n">
        <x:f>IF('Event Register'!M217&lt;&gt;"",1,0)</x:f>
        <x:v>0</x:v>
      </x:c>
      <x:c r="G1158" t="n">
        <x:v>1</x:v>
      </x:c>
      <x:c r="H1158" t="str">
        <x:v>equals</x:v>
      </x:c>
      <x:c r="I1158" t="str">
        <x:v>independent acceptance</x:v>
      </x:c>
      <x:c r="J1158" t="str">
        <x:f>IF(F1158=1,"PASS","OPEN")</x:f>
        <x:v>OPEN</x:v>
      </x:c>
    </x:row>
    <x:row r="1159">
      <x:c r="B1159" t="str">
        <x:v>PHY-VA-211</x:v>
      </x:c>
      <x:c r="C1159" t="str">
        <x:v>PHYSICAL</x:v>
      </x:c>
      <x:c r="D1159" t="str">
        <x:v>event validity</x:v>
      </x:c>
      <x:c r="E1159" t="str">
        <x:v>RFA-E211</x:v>
      </x:c>
      <x:c r="F1159" t="n">
        <x:f>'Event Estimator'!L217</x:f>
        <x:v>0</x:v>
      </x:c>
      <x:c r="G1159" t="n">
        <x:v>1</x:v>
      </x:c>
      <x:c r="H1159" t="str">
        <x:v>equals</x:v>
      </x:c>
      <x:c r="I1159" t="str">
        <x:v>independent acceptance</x:v>
      </x:c>
      <x:c r="J1159" t="str">
        <x:f>IF(F1159=1,"PASS","OPEN")</x:f>
        <x:v>OPEN</x:v>
      </x:c>
    </x:row>
    <x:row r="1160">
      <x:c r="B1160" t="str">
        <x:v>PHY-OC-211</x:v>
      </x:c>
      <x:c r="C1160" t="str">
        <x:v>PHYSICAL</x:v>
      </x:c>
      <x:c r="D1160" t="str">
        <x:v>event outcome</x:v>
      </x:c>
      <x:c r="E1160" t="str">
        <x:v>RFA-E211</x:v>
      </x:c>
      <x:c r="F1160" t="n">
        <x:f>IF('Event Estimator'!M217&lt;&gt;"",1,0)</x:f>
        <x:v>0</x:v>
      </x:c>
      <x:c r="G1160" t="n">
        <x:v>1</x:v>
      </x:c>
      <x:c r="H1160" t="str">
        <x:v>equals</x:v>
      </x:c>
      <x:c r="I1160" t="str">
        <x:v>independent acceptance</x:v>
      </x:c>
      <x:c r="J1160" t="str">
        <x:f>IF(F1160=1,"PASS","OPEN")</x:f>
        <x:v>OPEN</x:v>
      </x:c>
    </x:row>
    <x:row r="1161">
      <x:c r="B1161" t="str">
        <x:v>PHY-EX-212</x:v>
      </x:c>
      <x:c r="C1161" t="str">
        <x:v>PHYSICAL</x:v>
      </x:c>
      <x:c r="D1161" t="str">
        <x:v>event execution</x:v>
      </x:c>
      <x:c r="E1161" t="str">
        <x:v>RFA-E212</x:v>
      </x:c>
      <x:c r="F1161" t="n">
        <x:f>IF('Event Register'!M218&lt;&gt;"",1,0)</x:f>
        <x:v>0</x:v>
      </x:c>
      <x:c r="G1161" t="n">
        <x:v>1</x:v>
      </x:c>
      <x:c r="H1161" t="str">
        <x:v>equals</x:v>
      </x:c>
      <x:c r="I1161" t="str">
        <x:v>independent acceptance</x:v>
      </x:c>
      <x:c r="J1161" t="str">
        <x:f>IF(F1161=1,"PASS","OPEN")</x:f>
        <x:v>OPEN</x:v>
      </x:c>
    </x:row>
    <x:row r="1162">
      <x:c r="B1162" t="str">
        <x:v>PHY-VA-212</x:v>
      </x:c>
      <x:c r="C1162" t="str">
        <x:v>PHYSICAL</x:v>
      </x:c>
      <x:c r="D1162" t="str">
        <x:v>event validity</x:v>
      </x:c>
      <x:c r="E1162" t="str">
        <x:v>RFA-E212</x:v>
      </x:c>
      <x:c r="F1162" t="n">
        <x:f>'Event Estimator'!L218</x:f>
        <x:v>0</x:v>
      </x:c>
      <x:c r="G1162" t="n">
        <x:v>1</x:v>
      </x:c>
      <x:c r="H1162" t="str">
        <x:v>equals</x:v>
      </x:c>
      <x:c r="I1162" t="str">
        <x:v>independent acceptance</x:v>
      </x:c>
      <x:c r="J1162" t="str">
        <x:f>IF(F1162=1,"PASS","OPEN")</x:f>
        <x:v>OPEN</x:v>
      </x:c>
    </x:row>
    <x:row r="1163">
      <x:c r="B1163" t="str">
        <x:v>PHY-OC-212</x:v>
      </x:c>
      <x:c r="C1163" t="str">
        <x:v>PHYSICAL</x:v>
      </x:c>
      <x:c r="D1163" t="str">
        <x:v>event outcome</x:v>
      </x:c>
      <x:c r="E1163" t="str">
        <x:v>RFA-E212</x:v>
      </x:c>
      <x:c r="F1163" t="n">
        <x:f>IF('Event Estimator'!M218&lt;&gt;"",1,0)</x:f>
        <x:v>0</x:v>
      </x:c>
      <x:c r="G1163" t="n">
        <x:v>1</x:v>
      </x:c>
      <x:c r="H1163" t="str">
        <x:v>equals</x:v>
      </x:c>
      <x:c r="I1163" t="str">
        <x:v>independent acceptance</x:v>
      </x:c>
      <x:c r="J1163" t="str">
        <x:f>IF(F1163=1,"PASS","OPEN")</x:f>
        <x:v>OPEN</x:v>
      </x:c>
    </x:row>
    <x:row r="1164">
      <x:c r="B1164" t="str">
        <x:v>PHY-EX-213</x:v>
      </x:c>
      <x:c r="C1164" t="str">
        <x:v>PHYSICAL</x:v>
      </x:c>
      <x:c r="D1164" t="str">
        <x:v>event execution</x:v>
      </x:c>
      <x:c r="E1164" t="str">
        <x:v>RFA-E213</x:v>
      </x:c>
      <x:c r="F1164" t="n">
        <x:f>IF('Event Register'!M219&lt;&gt;"",1,0)</x:f>
        <x:v>0</x:v>
      </x:c>
      <x:c r="G1164" t="n">
        <x:v>1</x:v>
      </x:c>
      <x:c r="H1164" t="str">
        <x:v>equals</x:v>
      </x:c>
      <x:c r="I1164" t="str">
        <x:v>independent acceptance</x:v>
      </x:c>
      <x:c r="J1164" t="str">
        <x:f>IF(F1164=1,"PASS","OPEN")</x:f>
        <x:v>OPEN</x:v>
      </x:c>
    </x:row>
    <x:row r="1165">
      <x:c r="B1165" t="str">
        <x:v>PHY-VA-213</x:v>
      </x:c>
      <x:c r="C1165" t="str">
        <x:v>PHYSICAL</x:v>
      </x:c>
      <x:c r="D1165" t="str">
        <x:v>event validity</x:v>
      </x:c>
      <x:c r="E1165" t="str">
        <x:v>RFA-E213</x:v>
      </x:c>
      <x:c r="F1165" t="n">
        <x:f>'Event Estimator'!L219</x:f>
        <x:v>0</x:v>
      </x:c>
      <x:c r="G1165" t="n">
        <x:v>1</x:v>
      </x:c>
      <x:c r="H1165" t="str">
        <x:v>equals</x:v>
      </x:c>
      <x:c r="I1165" t="str">
        <x:v>independent acceptance</x:v>
      </x:c>
      <x:c r="J1165" t="str">
        <x:f>IF(F1165=1,"PASS","OPEN")</x:f>
        <x:v>OPEN</x:v>
      </x:c>
    </x:row>
    <x:row r="1166">
      <x:c r="B1166" t="str">
        <x:v>PHY-OC-213</x:v>
      </x:c>
      <x:c r="C1166" t="str">
        <x:v>PHYSICAL</x:v>
      </x:c>
      <x:c r="D1166" t="str">
        <x:v>event outcome</x:v>
      </x:c>
      <x:c r="E1166" t="str">
        <x:v>RFA-E213</x:v>
      </x:c>
      <x:c r="F1166" t="n">
        <x:f>IF('Event Estimator'!M219&lt;&gt;"",1,0)</x:f>
        <x:v>0</x:v>
      </x:c>
      <x:c r="G1166" t="n">
        <x:v>1</x:v>
      </x:c>
      <x:c r="H1166" t="str">
        <x:v>equals</x:v>
      </x:c>
      <x:c r="I1166" t="str">
        <x:v>independent acceptance</x:v>
      </x:c>
      <x:c r="J1166" t="str">
        <x:f>IF(F1166=1,"PASS","OPEN")</x:f>
        <x:v>OPEN</x:v>
      </x:c>
    </x:row>
    <x:row r="1167">
      <x:c r="B1167" t="str">
        <x:v>PHY-EX-214</x:v>
      </x:c>
      <x:c r="C1167" t="str">
        <x:v>PHYSICAL</x:v>
      </x:c>
      <x:c r="D1167" t="str">
        <x:v>event execution</x:v>
      </x:c>
      <x:c r="E1167" t="str">
        <x:v>RFA-E214</x:v>
      </x:c>
      <x:c r="F1167" t="n">
        <x:f>IF('Event Register'!M220&lt;&gt;"",1,0)</x:f>
        <x:v>0</x:v>
      </x:c>
      <x:c r="G1167" t="n">
        <x:v>1</x:v>
      </x:c>
      <x:c r="H1167" t="str">
        <x:v>equals</x:v>
      </x:c>
      <x:c r="I1167" t="str">
        <x:v>independent acceptance</x:v>
      </x:c>
      <x:c r="J1167" t="str">
        <x:f>IF(F1167=1,"PASS","OPEN")</x:f>
        <x:v>OPEN</x:v>
      </x:c>
    </x:row>
    <x:row r="1168">
      <x:c r="B1168" t="str">
        <x:v>PHY-VA-214</x:v>
      </x:c>
      <x:c r="C1168" t="str">
        <x:v>PHYSICAL</x:v>
      </x:c>
      <x:c r="D1168" t="str">
        <x:v>event validity</x:v>
      </x:c>
      <x:c r="E1168" t="str">
        <x:v>RFA-E214</x:v>
      </x:c>
      <x:c r="F1168" t="n">
        <x:f>'Event Estimator'!L220</x:f>
        <x:v>0</x:v>
      </x:c>
      <x:c r="G1168" t="n">
        <x:v>1</x:v>
      </x:c>
      <x:c r="H1168" t="str">
        <x:v>equals</x:v>
      </x:c>
      <x:c r="I1168" t="str">
        <x:v>independent acceptance</x:v>
      </x:c>
      <x:c r="J1168" t="str">
        <x:f>IF(F1168=1,"PASS","OPEN")</x:f>
        <x:v>OPEN</x:v>
      </x:c>
    </x:row>
    <x:row r="1169">
      <x:c r="B1169" t="str">
        <x:v>PHY-OC-214</x:v>
      </x:c>
      <x:c r="C1169" t="str">
        <x:v>PHYSICAL</x:v>
      </x:c>
      <x:c r="D1169" t="str">
        <x:v>event outcome</x:v>
      </x:c>
      <x:c r="E1169" t="str">
        <x:v>RFA-E214</x:v>
      </x:c>
      <x:c r="F1169" t="n">
        <x:f>IF('Event Estimator'!M220&lt;&gt;"",1,0)</x:f>
        <x:v>0</x:v>
      </x:c>
      <x:c r="G1169" t="n">
        <x:v>1</x:v>
      </x:c>
      <x:c r="H1169" t="str">
        <x:v>equals</x:v>
      </x:c>
      <x:c r="I1169" t="str">
        <x:v>independent acceptance</x:v>
      </x:c>
      <x:c r="J1169" t="str">
        <x:f>IF(F1169=1,"PASS","OPEN")</x:f>
        <x:v>OPEN</x:v>
      </x:c>
    </x:row>
    <x:row r="1170">
      <x:c r="B1170" t="str">
        <x:v>PHY-EX-215</x:v>
      </x:c>
      <x:c r="C1170" t="str">
        <x:v>PHYSICAL</x:v>
      </x:c>
      <x:c r="D1170" t="str">
        <x:v>event execution</x:v>
      </x:c>
      <x:c r="E1170" t="str">
        <x:v>RFA-E215</x:v>
      </x:c>
      <x:c r="F1170" t="n">
        <x:f>IF('Event Register'!M221&lt;&gt;"",1,0)</x:f>
        <x:v>0</x:v>
      </x:c>
      <x:c r="G1170" t="n">
        <x:v>1</x:v>
      </x:c>
      <x:c r="H1170" t="str">
        <x:v>equals</x:v>
      </x:c>
      <x:c r="I1170" t="str">
        <x:v>independent acceptance</x:v>
      </x:c>
      <x:c r="J1170" t="str">
        <x:f>IF(F1170=1,"PASS","OPEN")</x:f>
        <x:v>OPEN</x:v>
      </x:c>
    </x:row>
    <x:row r="1171">
      <x:c r="B1171" t="str">
        <x:v>PHY-VA-215</x:v>
      </x:c>
      <x:c r="C1171" t="str">
        <x:v>PHYSICAL</x:v>
      </x:c>
      <x:c r="D1171" t="str">
        <x:v>event validity</x:v>
      </x:c>
      <x:c r="E1171" t="str">
        <x:v>RFA-E215</x:v>
      </x:c>
      <x:c r="F1171" t="n">
        <x:f>'Event Estimator'!L221</x:f>
        <x:v>0</x:v>
      </x:c>
      <x:c r="G1171" t="n">
        <x:v>1</x:v>
      </x:c>
      <x:c r="H1171" t="str">
        <x:v>equals</x:v>
      </x:c>
      <x:c r="I1171" t="str">
        <x:v>independent acceptance</x:v>
      </x:c>
      <x:c r="J1171" t="str">
        <x:f>IF(F1171=1,"PASS","OPEN")</x:f>
        <x:v>OPEN</x:v>
      </x:c>
    </x:row>
    <x:row r="1172">
      <x:c r="B1172" t="str">
        <x:v>PHY-OC-215</x:v>
      </x:c>
      <x:c r="C1172" t="str">
        <x:v>PHYSICAL</x:v>
      </x:c>
      <x:c r="D1172" t="str">
        <x:v>event outcome</x:v>
      </x:c>
      <x:c r="E1172" t="str">
        <x:v>RFA-E215</x:v>
      </x:c>
      <x:c r="F1172" t="n">
        <x:f>IF('Event Estimator'!M221&lt;&gt;"",1,0)</x:f>
        <x:v>0</x:v>
      </x:c>
      <x:c r="G1172" t="n">
        <x:v>1</x:v>
      </x:c>
      <x:c r="H1172" t="str">
        <x:v>equals</x:v>
      </x:c>
      <x:c r="I1172" t="str">
        <x:v>independent acceptance</x:v>
      </x:c>
      <x:c r="J1172" t="str">
        <x:f>IF(F1172=1,"PASS","OPEN")</x:f>
        <x:v>OPEN</x:v>
      </x:c>
    </x:row>
    <x:row r="1173">
      <x:c r="B1173" t="str">
        <x:v>PHY-EX-216</x:v>
      </x:c>
      <x:c r="C1173" t="str">
        <x:v>PHYSICAL</x:v>
      </x:c>
      <x:c r="D1173" t="str">
        <x:v>event execution</x:v>
      </x:c>
      <x:c r="E1173" t="str">
        <x:v>RFA-E216</x:v>
      </x:c>
      <x:c r="F1173" t="n">
        <x:f>IF('Event Register'!M222&lt;&gt;"",1,0)</x:f>
        <x:v>0</x:v>
      </x:c>
      <x:c r="G1173" t="n">
        <x:v>1</x:v>
      </x:c>
      <x:c r="H1173" t="str">
        <x:v>equals</x:v>
      </x:c>
      <x:c r="I1173" t="str">
        <x:v>independent acceptance</x:v>
      </x:c>
      <x:c r="J1173" t="str">
        <x:f>IF(F1173=1,"PASS","OPEN")</x:f>
        <x:v>OPEN</x:v>
      </x:c>
    </x:row>
    <x:row r="1174">
      <x:c r="B1174" t="str">
        <x:v>PHY-VA-216</x:v>
      </x:c>
      <x:c r="C1174" t="str">
        <x:v>PHYSICAL</x:v>
      </x:c>
      <x:c r="D1174" t="str">
        <x:v>event validity</x:v>
      </x:c>
      <x:c r="E1174" t="str">
        <x:v>RFA-E216</x:v>
      </x:c>
      <x:c r="F1174" t="n">
        <x:f>'Event Estimator'!L222</x:f>
        <x:v>0</x:v>
      </x:c>
      <x:c r="G1174" t="n">
        <x:v>1</x:v>
      </x:c>
      <x:c r="H1174" t="str">
        <x:v>equals</x:v>
      </x:c>
      <x:c r="I1174" t="str">
        <x:v>independent acceptance</x:v>
      </x:c>
      <x:c r="J1174" t="str">
        <x:f>IF(F1174=1,"PASS","OPEN")</x:f>
        <x:v>OPEN</x:v>
      </x:c>
    </x:row>
    <x:row r="1175">
      <x:c r="B1175" t="str">
        <x:v>PHY-OC-216</x:v>
      </x:c>
      <x:c r="C1175" t="str">
        <x:v>PHYSICAL</x:v>
      </x:c>
      <x:c r="D1175" t="str">
        <x:v>event outcome</x:v>
      </x:c>
      <x:c r="E1175" t="str">
        <x:v>RFA-E216</x:v>
      </x:c>
      <x:c r="F1175" t="n">
        <x:f>IF('Event Estimator'!M222&lt;&gt;"",1,0)</x:f>
        <x:v>0</x:v>
      </x:c>
      <x:c r="G1175" t="n">
        <x:v>1</x:v>
      </x:c>
      <x:c r="H1175" t="str">
        <x:v>equals</x:v>
      </x:c>
      <x:c r="I1175" t="str">
        <x:v>independent acceptance</x:v>
      </x:c>
      <x:c r="J1175" t="str">
        <x:f>IF(F1175=1,"PASS","OPEN")</x:f>
        <x:v>OPEN</x:v>
      </x:c>
    </x:row>
    <x:row r="1176">
      <x:c r="B1176" t="str">
        <x:v>PHY-EX-217</x:v>
      </x:c>
      <x:c r="C1176" t="str">
        <x:v>PHYSICAL</x:v>
      </x:c>
      <x:c r="D1176" t="str">
        <x:v>event execution</x:v>
      </x:c>
      <x:c r="E1176" t="str">
        <x:v>RFA-E217</x:v>
      </x:c>
      <x:c r="F1176" t="n">
        <x:f>IF('Event Register'!M223&lt;&gt;"",1,0)</x:f>
        <x:v>0</x:v>
      </x:c>
      <x:c r="G1176" t="n">
        <x:v>1</x:v>
      </x:c>
      <x:c r="H1176" t="str">
        <x:v>equals</x:v>
      </x:c>
      <x:c r="I1176" t="str">
        <x:v>independent acceptance</x:v>
      </x:c>
      <x:c r="J1176" t="str">
        <x:f>IF(F1176=1,"PASS","OPEN")</x:f>
        <x:v>OPEN</x:v>
      </x:c>
    </x:row>
    <x:row r="1177">
      <x:c r="B1177" t="str">
        <x:v>PHY-VA-217</x:v>
      </x:c>
      <x:c r="C1177" t="str">
        <x:v>PHYSICAL</x:v>
      </x:c>
      <x:c r="D1177" t="str">
        <x:v>event validity</x:v>
      </x:c>
      <x:c r="E1177" t="str">
        <x:v>RFA-E217</x:v>
      </x:c>
      <x:c r="F1177" t="n">
        <x:f>'Event Estimator'!L223</x:f>
        <x:v>0</x:v>
      </x:c>
      <x:c r="G1177" t="n">
        <x:v>1</x:v>
      </x:c>
      <x:c r="H1177" t="str">
        <x:v>equals</x:v>
      </x:c>
      <x:c r="I1177" t="str">
        <x:v>independent acceptance</x:v>
      </x:c>
      <x:c r="J1177" t="str">
        <x:f>IF(F1177=1,"PASS","OPEN")</x:f>
        <x:v>OPEN</x:v>
      </x:c>
    </x:row>
    <x:row r="1178">
      <x:c r="B1178" t="str">
        <x:v>PHY-OC-217</x:v>
      </x:c>
      <x:c r="C1178" t="str">
        <x:v>PHYSICAL</x:v>
      </x:c>
      <x:c r="D1178" t="str">
        <x:v>event outcome</x:v>
      </x:c>
      <x:c r="E1178" t="str">
        <x:v>RFA-E217</x:v>
      </x:c>
      <x:c r="F1178" t="n">
        <x:f>IF('Event Estimator'!M223&lt;&gt;"",1,0)</x:f>
        <x:v>0</x:v>
      </x:c>
      <x:c r="G1178" t="n">
        <x:v>1</x:v>
      </x:c>
      <x:c r="H1178" t="str">
        <x:v>equals</x:v>
      </x:c>
      <x:c r="I1178" t="str">
        <x:v>independent acceptance</x:v>
      </x:c>
      <x:c r="J1178" t="str">
        <x:f>IF(F1178=1,"PASS","OPEN")</x:f>
        <x:v>OPEN</x:v>
      </x:c>
    </x:row>
    <x:row r="1179">
      <x:c r="B1179" t="str">
        <x:v>PHY-EX-218</x:v>
      </x:c>
      <x:c r="C1179" t="str">
        <x:v>PHYSICAL</x:v>
      </x:c>
      <x:c r="D1179" t="str">
        <x:v>event execution</x:v>
      </x:c>
      <x:c r="E1179" t="str">
        <x:v>RFA-E218</x:v>
      </x:c>
      <x:c r="F1179" t="n">
        <x:f>IF('Event Register'!M224&lt;&gt;"",1,0)</x:f>
        <x:v>0</x:v>
      </x:c>
      <x:c r="G1179" t="n">
        <x:v>1</x:v>
      </x:c>
      <x:c r="H1179" t="str">
        <x:v>equals</x:v>
      </x:c>
      <x:c r="I1179" t="str">
        <x:v>independent acceptance</x:v>
      </x:c>
      <x:c r="J1179" t="str">
        <x:f>IF(F1179=1,"PASS","OPEN")</x:f>
        <x:v>OPEN</x:v>
      </x:c>
    </x:row>
    <x:row r="1180">
      <x:c r="B1180" t="str">
        <x:v>PHY-VA-218</x:v>
      </x:c>
      <x:c r="C1180" t="str">
        <x:v>PHYSICAL</x:v>
      </x:c>
      <x:c r="D1180" t="str">
        <x:v>event validity</x:v>
      </x:c>
      <x:c r="E1180" t="str">
        <x:v>RFA-E218</x:v>
      </x:c>
      <x:c r="F1180" t="n">
        <x:f>'Event Estimator'!L224</x:f>
        <x:v>0</x:v>
      </x:c>
      <x:c r="G1180" t="n">
        <x:v>1</x:v>
      </x:c>
      <x:c r="H1180" t="str">
        <x:v>equals</x:v>
      </x:c>
      <x:c r="I1180" t="str">
        <x:v>independent acceptance</x:v>
      </x:c>
      <x:c r="J1180" t="str">
        <x:f>IF(F1180=1,"PASS","OPEN")</x:f>
        <x:v>OPEN</x:v>
      </x:c>
    </x:row>
    <x:row r="1181">
      <x:c r="B1181" t="str">
        <x:v>PHY-OC-218</x:v>
      </x:c>
      <x:c r="C1181" t="str">
        <x:v>PHYSICAL</x:v>
      </x:c>
      <x:c r="D1181" t="str">
        <x:v>event outcome</x:v>
      </x:c>
      <x:c r="E1181" t="str">
        <x:v>RFA-E218</x:v>
      </x:c>
      <x:c r="F1181" t="n">
        <x:f>IF('Event Estimator'!M224&lt;&gt;"",1,0)</x:f>
        <x:v>0</x:v>
      </x:c>
      <x:c r="G1181" t="n">
        <x:v>1</x:v>
      </x:c>
      <x:c r="H1181" t="str">
        <x:v>equals</x:v>
      </x:c>
      <x:c r="I1181" t="str">
        <x:v>independent acceptance</x:v>
      </x:c>
      <x:c r="J1181" t="str">
        <x:f>IF(F1181=1,"PASS","OPEN")</x:f>
        <x:v>OPEN</x:v>
      </x:c>
    </x:row>
    <x:row r="1182">
      <x:c r="B1182" t="str">
        <x:v>PHY-EX-219</x:v>
      </x:c>
      <x:c r="C1182" t="str">
        <x:v>PHYSICAL</x:v>
      </x:c>
      <x:c r="D1182" t="str">
        <x:v>event execution</x:v>
      </x:c>
      <x:c r="E1182" t="str">
        <x:v>RFA-E219</x:v>
      </x:c>
      <x:c r="F1182" t="n">
        <x:f>IF('Event Register'!M225&lt;&gt;"",1,0)</x:f>
        <x:v>0</x:v>
      </x:c>
      <x:c r="G1182" t="n">
        <x:v>1</x:v>
      </x:c>
      <x:c r="H1182" t="str">
        <x:v>equals</x:v>
      </x:c>
      <x:c r="I1182" t="str">
        <x:v>independent acceptance</x:v>
      </x:c>
      <x:c r="J1182" t="str">
        <x:f>IF(F1182=1,"PASS","OPEN")</x:f>
        <x:v>OPEN</x:v>
      </x:c>
    </x:row>
    <x:row r="1183">
      <x:c r="B1183" t="str">
        <x:v>PHY-VA-219</x:v>
      </x:c>
      <x:c r="C1183" t="str">
        <x:v>PHYSICAL</x:v>
      </x:c>
      <x:c r="D1183" t="str">
        <x:v>event validity</x:v>
      </x:c>
      <x:c r="E1183" t="str">
        <x:v>RFA-E219</x:v>
      </x:c>
      <x:c r="F1183" t="n">
        <x:f>'Event Estimator'!L225</x:f>
        <x:v>0</x:v>
      </x:c>
      <x:c r="G1183" t="n">
        <x:v>1</x:v>
      </x:c>
      <x:c r="H1183" t="str">
        <x:v>equals</x:v>
      </x:c>
      <x:c r="I1183" t="str">
        <x:v>independent acceptance</x:v>
      </x:c>
      <x:c r="J1183" t="str">
        <x:f>IF(F1183=1,"PASS","OPEN")</x:f>
        <x:v>OPEN</x:v>
      </x:c>
    </x:row>
    <x:row r="1184">
      <x:c r="B1184" t="str">
        <x:v>PHY-OC-219</x:v>
      </x:c>
      <x:c r="C1184" t="str">
        <x:v>PHYSICAL</x:v>
      </x:c>
      <x:c r="D1184" t="str">
        <x:v>event outcome</x:v>
      </x:c>
      <x:c r="E1184" t="str">
        <x:v>RFA-E219</x:v>
      </x:c>
      <x:c r="F1184" t="n">
        <x:f>IF('Event Estimator'!M225&lt;&gt;"",1,0)</x:f>
        <x:v>0</x:v>
      </x:c>
      <x:c r="G1184" t="n">
        <x:v>1</x:v>
      </x:c>
      <x:c r="H1184" t="str">
        <x:v>equals</x:v>
      </x:c>
      <x:c r="I1184" t="str">
        <x:v>independent acceptance</x:v>
      </x:c>
      <x:c r="J1184" t="str">
        <x:f>IF(F1184=1,"PASS","OPEN")</x:f>
        <x:v>OPEN</x:v>
      </x:c>
    </x:row>
    <x:row r="1185">
      <x:c r="B1185" t="str">
        <x:v>PHY-EX-220</x:v>
      </x:c>
      <x:c r="C1185" t="str">
        <x:v>PHYSICAL</x:v>
      </x:c>
      <x:c r="D1185" t="str">
        <x:v>event execution</x:v>
      </x:c>
      <x:c r="E1185" t="str">
        <x:v>RFA-E220</x:v>
      </x:c>
      <x:c r="F1185" t="n">
        <x:f>IF('Event Register'!M226&lt;&gt;"",1,0)</x:f>
        <x:v>0</x:v>
      </x:c>
      <x:c r="G1185" t="n">
        <x:v>1</x:v>
      </x:c>
      <x:c r="H1185" t="str">
        <x:v>equals</x:v>
      </x:c>
      <x:c r="I1185" t="str">
        <x:v>independent acceptance</x:v>
      </x:c>
      <x:c r="J1185" t="str">
        <x:f>IF(F1185=1,"PASS","OPEN")</x:f>
        <x:v>OPEN</x:v>
      </x:c>
    </x:row>
    <x:row r="1186">
      <x:c r="B1186" t="str">
        <x:v>PHY-VA-220</x:v>
      </x:c>
      <x:c r="C1186" t="str">
        <x:v>PHYSICAL</x:v>
      </x:c>
      <x:c r="D1186" t="str">
        <x:v>event validity</x:v>
      </x:c>
      <x:c r="E1186" t="str">
        <x:v>RFA-E220</x:v>
      </x:c>
      <x:c r="F1186" t="n">
        <x:f>'Event Estimator'!L226</x:f>
        <x:v>0</x:v>
      </x:c>
      <x:c r="G1186" t="n">
        <x:v>1</x:v>
      </x:c>
      <x:c r="H1186" t="str">
        <x:v>equals</x:v>
      </x:c>
      <x:c r="I1186" t="str">
        <x:v>independent acceptance</x:v>
      </x:c>
      <x:c r="J1186" t="str">
        <x:f>IF(F1186=1,"PASS","OPEN")</x:f>
        <x:v>OPEN</x:v>
      </x:c>
    </x:row>
    <x:row r="1187">
      <x:c r="B1187" t="str">
        <x:v>PHY-OC-220</x:v>
      </x:c>
      <x:c r="C1187" t="str">
        <x:v>PHYSICAL</x:v>
      </x:c>
      <x:c r="D1187" t="str">
        <x:v>event outcome</x:v>
      </x:c>
      <x:c r="E1187" t="str">
        <x:v>RFA-E220</x:v>
      </x:c>
      <x:c r="F1187" t="n">
        <x:f>IF('Event Estimator'!M226&lt;&gt;"",1,0)</x:f>
        <x:v>0</x:v>
      </x:c>
      <x:c r="G1187" t="n">
        <x:v>1</x:v>
      </x:c>
      <x:c r="H1187" t="str">
        <x:v>equals</x:v>
      </x:c>
      <x:c r="I1187" t="str">
        <x:v>independent acceptance</x:v>
      </x:c>
      <x:c r="J1187" t="str">
        <x:f>IF(F1187=1,"PASS","OPEN")</x:f>
        <x:v>OPEN</x:v>
      </x:c>
    </x:row>
    <x:row r="1188">
      <x:c r="B1188" t="str">
        <x:v>PHY-EX-221</x:v>
      </x:c>
      <x:c r="C1188" t="str">
        <x:v>PHYSICAL</x:v>
      </x:c>
      <x:c r="D1188" t="str">
        <x:v>event execution</x:v>
      </x:c>
      <x:c r="E1188" t="str">
        <x:v>RFA-E221</x:v>
      </x:c>
      <x:c r="F1188" t="n">
        <x:f>IF('Event Register'!M227&lt;&gt;"",1,0)</x:f>
        <x:v>0</x:v>
      </x:c>
      <x:c r="G1188" t="n">
        <x:v>1</x:v>
      </x:c>
      <x:c r="H1188" t="str">
        <x:v>equals</x:v>
      </x:c>
      <x:c r="I1188" t="str">
        <x:v>independent acceptance</x:v>
      </x:c>
      <x:c r="J1188" t="str">
        <x:f>IF(F1188=1,"PASS","OPEN")</x:f>
        <x:v>OPEN</x:v>
      </x:c>
    </x:row>
    <x:row r="1189">
      <x:c r="B1189" t="str">
        <x:v>PHY-VA-221</x:v>
      </x:c>
      <x:c r="C1189" t="str">
        <x:v>PHYSICAL</x:v>
      </x:c>
      <x:c r="D1189" t="str">
        <x:v>event validity</x:v>
      </x:c>
      <x:c r="E1189" t="str">
        <x:v>RFA-E221</x:v>
      </x:c>
      <x:c r="F1189" t="n">
        <x:f>'Event Estimator'!L227</x:f>
        <x:v>0</x:v>
      </x:c>
      <x:c r="G1189" t="n">
        <x:v>1</x:v>
      </x:c>
      <x:c r="H1189" t="str">
        <x:v>equals</x:v>
      </x:c>
      <x:c r="I1189" t="str">
        <x:v>independent acceptance</x:v>
      </x:c>
      <x:c r="J1189" t="str">
        <x:f>IF(F1189=1,"PASS","OPEN")</x:f>
        <x:v>OPEN</x:v>
      </x:c>
    </x:row>
    <x:row r="1190">
      <x:c r="B1190" t="str">
        <x:v>PHY-OC-221</x:v>
      </x:c>
      <x:c r="C1190" t="str">
        <x:v>PHYSICAL</x:v>
      </x:c>
      <x:c r="D1190" t="str">
        <x:v>event outcome</x:v>
      </x:c>
      <x:c r="E1190" t="str">
        <x:v>RFA-E221</x:v>
      </x:c>
      <x:c r="F1190" t="n">
        <x:f>IF('Event Estimator'!M227&lt;&gt;"",1,0)</x:f>
        <x:v>0</x:v>
      </x:c>
      <x:c r="G1190" t="n">
        <x:v>1</x:v>
      </x:c>
      <x:c r="H1190" t="str">
        <x:v>equals</x:v>
      </x:c>
      <x:c r="I1190" t="str">
        <x:v>independent acceptance</x:v>
      </x:c>
      <x:c r="J1190" t="str">
        <x:f>IF(F1190=1,"PASS","OPEN")</x:f>
        <x:v>OPEN</x:v>
      </x:c>
    </x:row>
    <x:row r="1191">
      <x:c r="B1191" t="str">
        <x:v>PHY-EX-222</x:v>
      </x:c>
      <x:c r="C1191" t="str">
        <x:v>PHYSICAL</x:v>
      </x:c>
      <x:c r="D1191" t="str">
        <x:v>event execution</x:v>
      </x:c>
      <x:c r="E1191" t="str">
        <x:v>RFA-E222</x:v>
      </x:c>
      <x:c r="F1191" t="n">
        <x:f>IF('Event Register'!M228&lt;&gt;"",1,0)</x:f>
        <x:v>0</x:v>
      </x:c>
      <x:c r="G1191" t="n">
        <x:v>1</x:v>
      </x:c>
      <x:c r="H1191" t="str">
        <x:v>equals</x:v>
      </x:c>
      <x:c r="I1191" t="str">
        <x:v>independent acceptance</x:v>
      </x:c>
      <x:c r="J1191" t="str">
        <x:f>IF(F1191=1,"PASS","OPEN")</x:f>
        <x:v>OPEN</x:v>
      </x:c>
    </x:row>
    <x:row r="1192">
      <x:c r="B1192" t="str">
        <x:v>PHY-VA-222</x:v>
      </x:c>
      <x:c r="C1192" t="str">
        <x:v>PHYSICAL</x:v>
      </x:c>
      <x:c r="D1192" t="str">
        <x:v>event validity</x:v>
      </x:c>
      <x:c r="E1192" t="str">
        <x:v>RFA-E222</x:v>
      </x:c>
      <x:c r="F1192" t="n">
        <x:f>'Event Estimator'!L228</x:f>
        <x:v>0</x:v>
      </x:c>
      <x:c r="G1192" t="n">
        <x:v>1</x:v>
      </x:c>
      <x:c r="H1192" t="str">
        <x:v>equals</x:v>
      </x:c>
      <x:c r="I1192" t="str">
        <x:v>independent acceptance</x:v>
      </x:c>
      <x:c r="J1192" t="str">
        <x:f>IF(F1192=1,"PASS","OPEN")</x:f>
        <x:v>OPEN</x:v>
      </x:c>
    </x:row>
    <x:row r="1193">
      <x:c r="B1193" t="str">
        <x:v>PHY-OC-222</x:v>
      </x:c>
      <x:c r="C1193" t="str">
        <x:v>PHYSICAL</x:v>
      </x:c>
      <x:c r="D1193" t="str">
        <x:v>event outcome</x:v>
      </x:c>
      <x:c r="E1193" t="str">
        <x:v>RFA-E222</x:v>
      </x:c>
      <x:c r="F1193" t="n">
        <x:f>IF('Event Estimator'!M228&lt;&gt;"",1,0)</x:f>
        <x:v>0</x:v>
      </x:c>
      <x:c r="G1193" t="n">
        <x:v>1</x:v>
      </x:c>
      <x:c r="H1193" t="str">
        <x:v>equals</x:v>
      </x:c>
      <x:c r="I1193" t="str">
        <x:v>independent acceptance</x:v>
      </x:c>
      <x:c r="J1193" t="str">
        <x:f>IF(F1193=1,"PASS","OPEN")</x:f>
        <x:v>OPEN</x:v>
      </x:c>
    </x:row>
    <x:row r="1194">
      <x:c r="B1194" t="str">
        <x:v>PHY-EX-223</x:v>
      </x:c>
      <x:c r="C1194" t="str">
        <x:v>PHYSICAL</x:v>
      </x:c>
      <x:c r="D1194" t="str">
        <x:v>event execution</x:v>
      </x:c>
      <x:c r="E1194" t="str">
        <x:v>RFA-E223</x:v>
      </x:c>
      <x:c r="F1194" t="n">
        <x:f>IF('Event Register'!M229&lt;&gt;"",1,0)</x:f>
        <x:v>0</x:v>
      </x:c>
      <x:c r="G1194" t="n">
        <x:v>1</x:v>
      </x:c>
      <x:c r="H1194" t="str">
        <x:v>equals</x:v>
      </x:c>
      <x:c r="I1194" t="str">
        <x:v>independent acceptance</x:v>
      </x:c>
      <x:c r="J1194" t="str">
        <x:f>IF(F1194=1,"PASS","OPEN")</x:f>
        <x:v>OPEN</x:v>
      </x:c>
    </x:row>
    <x:row r="1195">
      <x:c r="B1195" t="str">
        <x:v>PHY-VA-223</x:v>
      </x:c>
      <x:c r="C1195" t="str">
        <x:v>PHYSICAL</x:v>
      </x:c>
      <x:c r="D1195" t="str">
        <x:v>event validity</x:v>
      </x:c>
      <x:c r="E1195" t="str">
        <x:v>RFA-E223</x:v>
      </x:c>
      <x:c r="F1195" t="n">
        <x:f>'Event Estimator'!L229</x:f>
        <x:v>0</x:v>
      </x:c>
      <x:c r="G1195" t="n">
        <x:v>1</x:v>
      </x:c>
      <x:c r="H1195" t="str">
        <x:v>equals</x:v>
      </x:c>
      <x:c r="I1195" t="str">
        <x:v>independent acceptance</x:v>
      </x:c>
      <x:c r="J1195" t="str">
        <x:f>IF(F1195=1,"PASS","OPEN")</x:f>
        <x:v>OPEN</x:v>
      </x:c>
    </x:row>
    <x:row r="1196">
      <x:c r="B1196" t="str">
        <x:v>PHY-OC-223</x:v>
      </x:c>
      <x:c r="C1196" t="str">
        <x:v>PHYSICAL</x:v>
      </x:c>
      <x:c r="D1196" t="str">
        <x:v>event outcome</x:v>
      </x:c>
      <x:c r="E1196" t="str">
        <x:v>RFA-E223</x:v>
      </x:c>
      <x:c r="F1196" t="n">
        <x:f>IF('Event Estimator'!M229&lt;&gt;"",1,0)</x:f>
        <x:v>0</x:v>
      </x:c>
      <x:c r="G1196" t="n">
        <x:v>1</x:v>
      </x:c>
      <x:c r="H1196" t="str">
        <x:v>equals</x:v>
      </x:c>
      <x:c r="I1196" t="str">
        <x:v>independent acceptance</x:v>
      </x:c>
      <x:c r="J1196" t="str">
        <x:f>IF(F1196=1,"PASS","OPEN")</x:f>
        <x:v>OPEN</x:v>
      </x:c>
    </x:row>
    <x:row r="1197">
      <x:c r="B1197" t="str">
        <x:v>PHY-EX-224</x:v>
      </x:c>
      <x:c r="C1197" t="str">
        <x:v>PHYSICAL</x:v>
      </x:c>
      <x:c r="D1197" t="str">
        <x:v>event execution</x:v>
      </x:c>
      <x:c r="E1197" t="str">
        <x:v>RFA-E224</x:v>
      </x:c>
      <x:c r="F1197" t="n">
        <x:f>IF('Event Register'!M230&lt;&gt;"",1,0)</x:f>
        <x:v>0</x:v>
      </x:c>
      <x:c r="G1197" t="n">
        <x:v>1</x:v>
      </x:c>
      <x:c r="H1197" t="str">
        <x:v>equals</x:v>
      </x:c>
      <x:c r="I1197" t="str">
        <x:v>independent acceptance</x:v>
      </x:c>
      <x:c r="J1197" t="str">
        <x:f>IF(F1197=1,"PASS","OPEN")</x:f>
        <x:v>OPEN</x:v>
      </x:c>
    </x:row>
    <x:row r="1198">
      <x:c r="B1198" t="str">
        <x:v>PHY-VA-224</x:v>
      </x:c>
      <x:c r="C1198" t="str">
        <x:v>PHYSICAL</x:v>
      </x:c>
      <x:c r="D1198" t="str">
        <x:v>event validity</x:v>
      </x:c>
      <x:c r="E1198" t="str">
        <x:v>RFA-E224</x:v>
      </x:c>
      <x:c r="F1198" t="n">
        <x:f>'Event Estimator'!L230</x:f>
        <x:v>0</x:v>
      </x:c>
      <x:c r="G1198" t="n">
        <x:v>1</x:v>
      </x:c>
      <x:c r="H1198" t="str">
        <x:v>equals</x:v>
      </x:c>
      <x:c r="I1198" t="str">
        <x:v>independent acceptance</x:v>
      </x:c>
      <x:c r="J1198" t="str">
        <x:f>IF(F1198=1,"PASS","OPEN")</x:f>
        <x:v>OPEN</x:v>
      </x:c>
    </x:row>
    <x:row r="1199">
      <x:c r="B1199" t="str">
        <x:v>PHY-OC-224</x:v>
      </x:c>
      <x:c r="C1199" t="str">
        <x:v>PHYSICAL</x:v>
      </x:c>
      <x:c r="D1199" t="str">
        <x:v>event outcome</x:v>
      </x:c>
      <x:c r="E1199" t="str">
        <x:v>RFA-E224</x:v>
      </x:c>
      <x:c r="F1199" t="n">
        <x:f>IF('Event Estimator'!M230&lt;&gt;"",1,0)</x:f>
        <x:v>0</x:v>
      </x:c>
      <x:c r="G1199" t="n">
        <x:v>1</x:v>
      </x:c>
      <x:c r="H1199" t="str">
        <x:v>equals</x:v>
      </x:c>
      <x:c r="I1199" t="str">
        <x:v>independent acceptance</x:v>
      </x:c>
      <x:c r="J1199" t="str">
        <x:f>IF(F1199=1,"PASS","OPEN")</x:f>
        <x:v>OPEN</x:v>
      </x:c>
    </x:row>
    <x:row r="1200">
      <x:c r="B1200" t="str">
        <x:v>PHY-EX-225</x:v>
      </x:c>
      <x:c r="C1200" t="str">
        <x:v>PHYSICAL</x:v>
      </x:c>
      <x:c r="D1200" t="str">
        <x:v>event execution</x:v>
      </x:c>
      <x:c r="E1200" t="str">
        <x:v>RFA-E225</x:v>
      </x:c>
      <x:c r="F1200" t="n">
        <x:f>IF('Event Register'!M231&lt;&gt;"",1,0)</x:f>
        <x:v>0</x:v>
      </x:c>
      <x:c r="G1200" t="n">
        <x:v>1</x:v>
      </x:c>
      <x:c r="H1200" t="str">
        <x:v>equals</x:v>
      </x:c>
      <x:c r="I1200" t="str">
        <x:v>independent acceptance</x:v>
      </x:c>
      <x:c r="J1200" t="str">
        <x:f>IF(F1200=1,"PASS","OPEN")</x:f>
        <x:v>OPEN</x:v>
      </x:c>
    </x:row>
    <x:row r="1201">
      <x:c r="B1201" t="str">
        <x:v>PHY-VA-225</x:v>
      </x:c>
      <x:c r="C1201" t="str">
        <x:v>PHYSICAL</x:v>
      </x:c>
      <x:c r="D1201" t="str">
        <x:v>event validity</x:v>
      </x:c>
      <x:c r="E1201" t="str">
        <x:v>RFA-E225</x:v>
      </x:c>
      <x:c r="F1201" t="n">
        <x:f>'Event Estimator'!L231</x:f>
        <x:v>0</x:v>
      </x:c>
      <x:c r="G1201" t="n">
        <x:v>1</x:v>
      </x:c>
      <x:c r="H1201" t="str">
        <x:v>equals</x:v>
      </x:c>
      <x:c r="I1201" t="str">
        <x:v>independent acceptance</x:v>
      </x:c>
      <x:c r="J1201" t="str">
        <x:f>IF(F1201=1,"PASS","OPEN")</x:f>
        <x:v>OPEN</x:v>
      </x:c>
    </x:row>
    <x:row r="1202">
      <x:c r="B1202" t="str">
        <x:v>PHY-OC-225</x:v>
      </x:c>
      <x:c r="C1202" t="str">
        <x:v>PHYSICAL</x:v>
      </x:c>
      <x:c r="D1202" t="str">
        <x:v>event outcome</x:v>
      </x:c>
      <x:c r="E1202" t="str">
        <x:v>RFA-E225</x:v>
      </x:c>
      <x:c r="F1202" t="n">
        <x:f>IF('Event Estimator'!M231&lt;&gt;"",1,0)</x:f>
        <x:v>0</x:v>
      </x:c>
      <x:c r="G1202" t="n">
        <x:v>1</x:v>
      </x:c>
      <x:c r="H1202" t="str">
        <x:v>equals</x:v>
      </x:c>
      <x:c r="I1202" t="str">
        <x:v>independent acceptance</x:v>
      </x:c>
      <x:c r="J1202" t="str">
        <x:f>IF(F1202=1,"PASS","OPEN")</x:f>
        <x:v>OPEN</x:v>
      </x:c>
    </x:row>
    <x:row r="1203">
      <x:c r="B1203" t="str">
        <x:v>PHY-EX-226</x:v>
      </x:c>
      <x:c r="C1203" t="str">
        <x:v>PHYSICAL</x:v>
      </x:c>
      <x:c r="D1203" t="str">
        <x:v>event execution</x:v>
      </x:c>
      <x:c r="E1203" t="str">
        <x:v>RFA-E226</x:v>
      </x:c>
      <x:c r="F1203" t="n">
        <x:f>IF('Event Register'!M232&lt;&gt;"",1,0)</x:f>
        <x:v>0</x:v>
      </x:c>
      <x:c r="G1203" t="n">
        <x:v>1</x:v>
      </x:c>
      <x:c r="H1203" t="str">
        <x:v>equals</x:v>
      </x:c>
      <x:c r="I1203" t="str">
        <x:v>independent acceptance</x:v>
      </x:c>
      <x:c r="J1203" t="str">
        <x:f>IF(F1203=1,"PASS","OPEN")</x:f>
        <x:v>OPEN</x:v>
      </x:c>
    </x:row>
    <x:row r="1204">
      <x:c r="B1204" t="str">
        <x:v>PHY-VA-226</x:v>
      </x:c>
      <x:c r="C1204" t="str">
        <x:v>PHYSICAL</x:v>
      </x:c>
      <x:c r="D1204" t="str">
        <x:v>event validity</x:v>
      </x:c>
      <x:c r="E1204" t="str">
        <x:v>RFA-E226</x:v>
      </x:c>
      <x:c r="F1204" t="n">
        <x:f>'Event Estimator'!L232</x:f>
        <x:v>0</x:v>
      </x:c>
      <x:c r="G1204" t="n">
        <x:v>1</x:v>
      </x:c>
      <x:c r="H1204" t="str">
        <x:v>equals</x:v>
      </x:c>
      <x:c r="I1204" t="str">
        <x:v>independent acceptance</x:v>
      </x:c>
      <x:c r="J1204" t="str">
        <x:f>IF(F1204=1,"PASS","OPEN")</x:f>
        <x:v>OPEN</x:v>
      </x:c>
    </x:row>
    <x:row r="1205">
      <x:c r="B1205" t="str">
        <x:v>PHY-OC-226</x:v>
      </x:c>
      <x:c r="C1205" t="str">
        <x:v>PHYSICAL</x:v>
      </x:c>
      <x:c r="D1205" t="str">
        <x:v>event outcome</x:v>
      </x:c>
      <x:c r="E1205" t="str">
        <x:v>RFA-E226</x:v>
      </x:c>
      <x:c r="F1205" t="n">
        <x:f>IF('Event Estimator'!M232&lt;&gt;"",1,0)</x:f>
        <x:v>0</x:v>
      </x:c>
      <x:c r="G1205" t="n">
        <x:v>1</x:v>
      </x:c>
      <x:c r="H1205" t="str">
        <x:v>equals</x:v>
      </x:c>
      <x:c r="I1205" t="str">
        <x:v>independent acceptance</x:v>
      </x:c>
      <x:c r="J1205" t="str">
        <x:f>IF(F1205=1,"PASS","OPEN")</x:f>
        <x:v>OPEN</x:v>
      </x:c>
    </x:row>
    <x:row r="1206">
      <x:c r="B1206" t="str">
        <x:v>PHY-EX-227</x:v>
      </x:c>
      <x:c r="C1206" t="str">
        <x:v>PHYSICAL</x:v>
      </x:c>
      <x:c r="D1206" t="str">
        <x:v>event execution</x:v>
      </x:c>
      <x:c r="E1206" t="str">
        <x:v>RFA-E227</x:v>
      </x:c>
      <x:c r="F1206" t="n">
        <x:f>IF('Event Register'!M233&lt;&gt;"",1,0)</x:f>
        <x:v>0</x:v>
      </x:c>
      <x:c r="G1206" t="n">
        <x:v>1</x:v>
      </x:c>
      <x:c r="H1206" t="str">
        <x:v>equals</x:v>
      </x:c>
      <x:c r="I1206" t="str">
        <x:v>independent acceptance</x:v>
      </x:c>
      <x:c r="J1206" t="str">
        <x:f>IF(F1206=1,"PASS","OPEN")</x:f>
        <x:v>OPEN</x:v>
      </x:c>
    </x:row>
    <x:row r="1207">
      <x:c r="B1207" t="str">
        <x:v>PHY-VA-227</x:v>
      </x:c>
      <x:c r="C1207" t="str">
        <x:v>PHYSICAL</x:v>
      </x:c>
      <x:c r="D1207" t="str">
        <x:v>event validity</x:v>
      </x:c>
      <x:c r="E1207" t="str">
        <x:v>RFA-E227</x:v>
      </x:c>
      <x:c r="F1207" t="n">
        <x:f>'Event Estimator'!L233</x:f>
        <x:v>0</x:v>
      </x:c>
      <x:c r="G1207" t="n">
        <x:v>1</x:v>
      </x:c>
      <x:c r="H1207" t="str">
        <x:v>equals</x:v>
      </x:c>
      <x:c r="I1207" t="str">
        <x:v>independent acceptance</x:v>
      </x:c>
      <x:c r="J1207" t="str">
        <x:f>IF(F1207=1,"PASS","OPEN")</x:f>
        <x:v>OPEN</x:v>
      </x:c>
    </x:row>
    <x:row r="1208">
      <x:c r="B1208" t="str">
        <x:v>PHY-OC-227</x:v>
      </x:c>
      <x:c r="C1208" t="str">
        <x:v>PHYSICAL</x:v>
      </x:c>
      <x:c r="D1208" t="str">
        <x:v>event outcome</x:v>
      </x:c>
      <x:c r="E1208" t="str">
        <x:v>RFA-E227</x:v>
      </x:c>
      <x:c r="F1208" t="n">
        <x:f>IF('Event Estimator'!M233&lt;&gt;"",1,0)</x:f>
        <x:v>0</x:v>
      </x:c>
      <x:c r="G1208" t="n">
        <x:v>1</x:v>
      </x:c>
      <x:c r="H1208" t="str">
        <x:v>equals</x:v>
      </x:c>
      <x:c r="I1208" t="str">
        <x:v>independent acceptance</x:v>
      </x:c>
      <x:c r="J1208" t="str">
        <x:f>IF(F1208=1,"PASS","OPEN")</x:f>
        <x:v>OPEN</x:v>
      </x:c>
    </x:row>
    <x:row r="1209">
      <x:c r="B1209" t="str">
        <x:v>PHY-EX-228</x:v>
      </x:c>
      <x:c r="C1209" t="str">
        <x:v>PHYSICAL</x:v>
      </x:c>
      <x:c r="D1209" t="str">
        <x:v>event execution</x:v>
      </x:c>
      <x:c r="E1209" t="str">
        <x:v>RFA-E228</x:v>
      </x:c>
      <x:c r="F1209" t="n">
        <x:f>IF('Event Register'!M234&lt;&gt;"",1,0)</x:f>
        <x:v>0</x:v>
      </x:c>
      <x:c r="G1209" t="n">
        <x:v>1</x:v>
      </x:c>
      <x:c r="H1209" t="str">
        <x:v>equals</x:v>
      </x:c>
      <x:c r="I1209" t="str">
        <x:v>independent acceptance</x:v>
      </x:c>
      <x:c r="J1209" t="str">
        <x:f>IF(F1209=1,"PASS","OPEN")</x:f>
        <x:v>OPEN</x:v>
      </x:c>
    </x:row>
    <x:row r="1210">
      <x:c r="B1210" t="str">
        <x:v>PHY-VA-228</x:v>
      </x:c>
      <x:c r="C1210" t="str">
        <x:v>PHYSICAL</x:v>
      </x:c>
      <x:c r="D1210" t="str">
        <x:v>event validity</x:v>
      </x:c>
      <x:c r="E1210" t="str">
        <x:v>RFA-E228</x:v>
      </x:c>
      <x:c r="F1210" t="n">
        <x:f>'Event Estimator'!L234</x:f>
        <x:v>0</x:v>
      </x:c>
      <x:c r="G1210" t="n">
        <x:v>1</x:v>
      </x:c>
      <x:c r="H1210" t="str">
        <x:v>equals</x:v>
      </x:c>
      <x:c r="I1210" t="str">
        <x:v>independent acceptance</x:v>
      </x:c>
      <x:c r="J1210" t="str">
        <x:f>IF(F1210=1,"PASS","OPEN")</x:f>
        <x:v>OPEN</x:v>
      </x:c>
    </x:row>
    <x:row r="1211">
      <x:c r="B1211" t="str">
        <x:v>PHY-OC-228</x:v>
      </x:c>
      <x:c r="C1211" t="str">
        <x:v>PHYSICAL</x:v>
      </x:c>
      <x:c r="D1211" t="str">
        <x:v>event outcome</x:v>
      </x:c>
      <x:c r="E1211" t="str">
        <x:v>RFA-E228</x:v>
      </x:c>
      <x:c r="F1211" t="n">
        <x:f>IF('Event Estimator'!M234&lt;&gt;"",1,0)</x:f>
        <x:v>0</x:v>
      </x:c>
      <x:c r="G1211" t="n">
        <x:v>1</x:v>
      </x:c>
      <x:c r="H1211" t="str">
        <x:v>equals</x:v>
      </x:c>
      <x:c r="I1211" t="str">
        <x:v>independent acceptance</x:v>
      </x:c>
      <x:c r="J1211" t="str">
        <x:f>IF(F1211=1,"PASS","OPEN")</x:f>
        <x:v>OPEN</x:v>
      </x:c>
    </x:row>
    <x:row r="1212">
      <x:c r="B1212" t="str">
        <x:v>PHY-EX-229</x:v>
      </x:c>
      <x:c r="C1212" t="str">
        <x:v>PHYSICAL</x:v>
      </x:c>
      <x:c r="D1212" t="str">
        <x:v>event execution</x:v>
      </x:c>
      <x:c r="E1212" t="str">
        <x:v>RFA-E229</x:v>
      </x:c>
      <x:c r="F1212" t="n">
        <x:f>IF('Event Register'!M235&lt;&gt;"",1,0)</x:f>
        <x:v>0</x:v>
      </x:c>
      <x:c r="G1212" t="n">
        <x:v>1</x:v>
      </x:c>
      <x:c r="H1212" t="str">
        <x:v>equals</x:v>
      </x:c>
      <x:c r="I1212" t="str">
        <x:v>independent acceptance</x:v>
      </x:c>
      <x:c r="J1212" t="str">
        <x:f>IF(F1212=1,"PASS","OPEN")</x:f>
        <x:v>OPEN</x:v>
      </x:c>
    </x:row>
    <x:row r="1213">
      <x:c r="B1213" t="str">
        <x:v>PHY-VA-229</x:v>
      </x:c>
      <x:c r="C1213" t="str">
        <x:v>PHYSICAL</x:v>
      </x:c>
      <x:c r="D1213" t="str">
        <x:v>event validity</x:v>
      </x:c>
      <x:c r="E1213" t="str">
        <x:v>RFA-E229</x:v>
      </x:c>
      <x:c r="F1213" t="n">
        <x:f>'Event Estimator'!L235</x:f>
        <x:v>0</x:v>
      </x:c>
      <x:c r="G1213" t="n">
        <x:v>1</x:v>
      </x:c>
      <x:c r="H1213" t="str">
        <x:v>equals</x:v>
      </x:c>
      <x:c r="I1213" t="str">
        <x:v>independent acceptance</x:v>
      </x:c>
      <x:c r="J1213" t="str">
        <x:f>IF(F1213=1,"PASS","OPEN")</x:f>
        <x:v>OPEN</x:v>
      </x:c>
    </x:row>
    <x:row r="1214">
      <x:c r="B1214" t="str">
        <x:v>PHY-OC-229</x:v>
      </x:c>
      <x:c r="C1214" t="str">
        <x:v>PHYSICAL</x:v>
      </x:c>
      <x:c r="D1214" t="str">
        <x:v>event outcome</x:v>
      </x:c>
      <x:c r="E1214" t="str">
        <x:v>RFA-E229</x:v>
      </x:c>
      <x:c r="F1214" t="n">
        <x:f>IF('Event Estimator'!M235&lt;&gt;"",1,0)</x:f>
        <x:v>0</x:v>
      </x:c>
      <x:c r="G1214" t="n">
        <x:v>1</x:v>
      </x:c>
      <x:c r="H1214" t="str">
        <x:v>equals</x:v>
      </x:c>
      <x:c r="I1214" t="str">
        <x:v>independent acceptance</x:v>
      </x:c>
      <x:c r="J1214" t="str">
        <x:f>IF(F1214=1,"PASS","OPEN")</x:f>
        <x:v>OPEN</x:v>
      </x:c>
    </x:row>
    <x:row r="1215">
      <x:c r="B1215" t="str">
        <x:v>PHY-EX-230</x:v>
      </x:c>
      <x:c r="C1215" t="str">
        <x:v>PHYSICAL</x:v>
      </x:c>
      <x:c r="D1215" t="str">
        <x:v>event execution</x:v>
      </x:c>
      <x:c r="E1215" t="str">
        <x:v>RFA-E230</x:v>
      </x:c>
      <x:c r="F1215" t="n">
        <x:f>IF('Event Register'!M236&lt;&gt;"",1,0)</x:f>
        <x:v>0</x:v>
      </x:c>
      <x:c r="G1215" t="n">
        <x:v>1</x:v>
      </x:c>
      <x:c r="H1215" t="str">
        <x:v>equals</x:v>
      </x:c>
      <x:c r="I1215" t="str">
        <x:v>independent acceptance</x:v>
      </x:c>
      <x:c r="J1215" t="str">
        <x:f>IF(F1215=1,"PASS","OPEN")</x:f>
        <x:v>OPEN</x:v>
      </x:c>
    </x:row>
    <x:row r="1216">
      <x:c r="B1216" t="str">
        <x:v>PHY-VA-230</x:v>
      </x:c>
      <x:c r="C1216" t="str">
        <x:v>PHYSICAL</x:v>
      </x:c>
      <x:c r="D1216" t="str">
        <x:v>event validity</x:v>
      </x:c>
      <x:c r="E1216" t="str">
        <x:v>RFA-E230</x:v>
      </x:c>
      <x:c r="F1216" t="n">
        <x:f>'Event Estimator'!L236</x:f>
        <x:v>0</x:v>
      </x:c>
      <x:c r="G1216" t="n">
        <x:v>1</x:v>
      </x:c>
      <x:c r="H1216" t="str">
        <x:v>equals</x:v>
      </x:c>
      <x:c r="I1216" t="str">
        <x:v>independent acceptance</x:v>
      </x:c>
      <x:c r="J1216" t="str">
        <x:f>IF(F1216=1,"PASS","OPEN")</x:f>
        <x:v>OPEN</x:v>
      </x:c>
    </x:row>
    <x:row r="1217">
      <x:c r="B1217" t="str">
        <x:v>PHY-OC-230</x:v>
      </x:c>
      <x:c r="C1217" t="str">
        <x:v>PHYSICAL</x:v>
      </x:c>
      <x:c r="D1217" t="str">
        <x:v>event outcome</x:v>
      </x:c>
      <x:c r="E1217" t="str">
        <x:v>RFA-E230</x:v>
      </x:c>
      <x:c r="F1217" t="n">
        <x:f>IF('Event Estimator'!M236&lt;&gt;"",1,0)</x:f>
        <x:v>0</x:v>
      </x:c>
      <x:c r="G1217" t="n">
        <x:v>1</x:v>
      </x:c>
      <x:c r="H1217" t="str">
        <x:v>equals</x:v>
      </x:c>
      <x:c r="I1217" t="str">
        <x:v>independent acceptance</x:v>
      </x:c>
      <x:c r="J1217" t="str">
        <x:f>IF(F1217=1,"PASS","OPEN")</x:f>
        <x:v>OPEN</x:v>
      </x:c>
    </x:row>
    <x:row r="1218">
      <x:c r="B1218" t="str">
        <x:v>PHY-EX-231</x:v>
      </x:c>
      <x:c r="C1218" t="str">
        <x:v>PHYSICAL</x:v>
      </x:c>
      <x:c r="D1218" t="str">
        <x:v>event execution</x:v>
      </x:c>
      <x:c r="E1218" t="str">
        <x:v>RFA-E231</x:v>
      </x:c>
      <x:c r="F1218" t="n">
        <x:f>IF('Event Register'!M237&lt;&gt;"",1,0)</x:f>
        <x:v>0</x:v>
      </x:c>
      <x:c r="G1218" t="n">
        <x:v>1</x:v>
      </x:c>
      <x:c r="H1218" t="str">
        <x:v>equals</x:v>
      </x:c>
      <x:c r="I1218" t="str">
        <x:v>independent acceptance</x:v>
      </x:c>
      <x:c r="J1218" t="str">
        <x:f>IF(F1218=1,"PASS","OPEN")</x:f>
        <x:v>OPEN</x:v>
      </x:c>
    </x:row>
    <x:row r="1219">
      <x:c r="B1219" t="str">
        <x:v>PHY-VA-231</x:v>
      </x:c>
      <x:c r="C1219" t="str">
        <x:v>PHYSICAL</x:v>
      </x:c>
      <x:c r="D1219" t="str">
        <x:v>event validity</x:v>
      </x:c>
      <x:c r="E1219" t="str">
        <x:v>RFA-E231</x:v>
      </x:c>
      <x:c r="F1219" t="n">
        <x:f>'Event Estimator'!L237</x:f>
        <x:v>0</x:v>
      </x:c>
      <x:c r="G1219" t="n">
        <x:v>1</x:v>
      </x:c>
      <x:c r="H1219" t="str">
        <x:v>equals</x:v>
      </x:c>
      <x:c r="I1219" t="str">
        <x:v>independent acceptance</x:v>
      </x:c>
      <x:c r="J1219" t="str">
        <x:f>IF(F1219=1,"PASS","OPEN")</x:f>
        <x:v>OPEN</x:v>
      </x:c>
    </x:row>
    <x:row r="1220">
      <x:c r="B1220" t="str">
        <x:v>PHY-OC-231</x:v>
      </x:c>
      <x:c r="C1220" t="str">
        <x:v>PHYSICAL</x:v>
      </x:c>
      <x:c r="D1220" t="str">
        <x:v>event outcome</x:v>
      </x:c>
      <x:c r="E1220" t="str">
        <x:v>RFA-E231</x:v>
      </x:c>
      <x:c r="F1220" t="n">
        <x:f>IF('Event Estimator'!M237&lt;&gt;"",1,0)</x:f>
        <x:v>0</x:v>
      </x:c>
      <x:c r="G1220" t="n">
        <x:v>1</x:v>
      </x:c>
      <x:c r="H1220" t="str">
        <x:v>equals</x:v>
      </x:c>
      <x:c r="I1220" t="str">
        <x:v>independent acceptance</x:v>
      </x:c>
      <x:c r="J1220" t="str">
        <x:f>IF(F1220=1,"PASS","OPEN")</x:f>
        <x:v>OPEN</x:v>
      </x:c>
    </x:row>
    <x:row r="1221">
      <x:c r="B1221" t="str">
        <x:v>PHY-EX-232</x:v>
      </x:c>
      <x:c r="C1221" t="str">
        <x:v>PHYSICAL</x:v>
      </x:c>
      <x:c r="D1221" t="str">
        <x:v>event execution</x:v>
      </x:c>
      <x:c r="E1221" t="str">
        <x:v>RFA-E232</x:v>
      </x:c>
      <x:c r="F1221" t="n">
        <x:f>IF('Event Register'!M238&lt;&gt;"",1,0)</x:f>
        <x:v>0</x:v>
      </x:c>
      <x:c r="G1221" t="n">
        <x:v>1</x:v>
      </x:c>
      <x:c r="H1221" t="str">
        <x:v>equals</x:v>
      </x:c>
      <x:c r="I1221" t="str">
        <x:v>independent acceptance</x:v>
      </x:c>
      <x:c r="J1221" t="str">
        <x:f>IF(F1221=1,"PASS","OPEN")</x:f>
        <x:v>OPEN</x:v>
      </x:c>
    </x:row>
    <x:row r="1222">
      <x:c r="B1222" t="str">
        <x:v>PHY-VA-232</x:v>
      </x:c>
      <x:c r="C1222" t="str">
        <x:v>PHYSICAL</x:v>
      </x:c>
      <x:c r="D1222" t="str">
        <x:v>event validity</x:v>
      </x:c>
      <x:c r="E1222" t="str">
        <x:v>RFA-E232</x:v>
      </x:c>
      <x:c r="F1222" t="n">
        <x:f>'Event Estimator'!L238</x:f>
        <x:v>0</x:v>
      </x:c>
      <x:c r="G1222" t="n">
        <x:v>1</x:v>
      </x:c>
      <x:c r="H1222" t="str">
        <x:v>equals</x:v>
      </x:c>
      <x:c r="I1222" t="str">
        <x:v>independent acceptance</x:v>
      </x:c>
      <x:c r="J1222" t="str">
        <x:f>IF(F1222=1,"PASS","OPEN")</x:f>
        <x:v>OPEN</x:v>
      </x:c>
    </x:row>
    <x:row r="1223">
      <x:c r="B1223" t="str">
        <x:v>PHY-OC-232</x:v>
      </x:c>
      <x:c r="C1223" t="str">
        <x:v>PHYSICAL</x:v>
      </x:c>
      <x:c r="D1223" t="str">
        <x:v>event outcome</x:v>
      </x:c>
      <x:c r="E1223" t="str">
        <x:v>RFA-E232</x:v>
      </x:c>
      <x:c r="F1223" t="n">
        <x:f>IF('Event Estimator'!M238&lt;&gt;"",1,0)</x:f>
        <x:v>0</x:v>
      </x:c>
      <x:c r="G1223" t="n">
        <x:v>1</x:v>
      </x:c>
      <x:c r="H1223" t="str">
        <x:v>equals</x:v>
      </x:c>
      <x:c r="I1223" t="str">
        <x:v>independent acceptance</x:v>
      </x:c>
      <x:c r="J1223" t="str">
        <x:f>IF(F1223=1,"PASS","OPEN")</x:f>
        <x:v>OPEN</x:v>
      </x:c>
    </x:row>
    <x:row r="1224">
      <x:c r="B1224" t="str">
        <x:v>PHY-EX-233</x:v>
      </x:c>
      <x:c r="C1224" t="str">
        <x:v>PHYSICAL</x:v>
      </x:c>
      <x:c r="D1224" t="str">
        <x:v>event execution</x:v>
      </x:c>
      <x:c r="E1224" t="str">
        <x:v>RFA-E233</x:v>
      </x:c>
      <x:c r="F1224" t="n">
        <x:f>IF('Event Register'!M239&lt;&gt;"",1,0)</x:f>
        <x:v>0</x:v>
      </x:c>
      <x:c r="G1224" t="n">
        <x:v>1</x:v>
      </x:c>
      <x:c r="H1224" t="str">
        <x:v>equals</x:v>
      </x:c>
      <x:c r="I1224" t="str">
        <x:v>independent acceptance</x:v>
      </x:c>
      <x:c r="J1224" t="str">
        <x:f>IF(F1224=1,"PASS","OPEN")</x:f>
        <x:v>OPEN</x:v>
      </x:c>
    </x:row>
    <x:row r="1225">
      <x:c r="B1225" t="str">
        <x:v>PHY-VA-233</x:v>
      </x:c>
      <x:c r="C1225" t="str">
        <x:v>PHYSICAL</x:v>
      </x:c>
      <x:c r="D1225" t="str">
        <x:v>event validity</x:v>
      </x:c>
      <x:c r="E1225" t="str">
        <x:v>RFA-E233</x:v>
      </x:c>
      <x:c r="F1225" t="n">
        <x:f>'Event Estimator'!L239</x:f>
        <x:v>0</x:v>
      </x:c>
      <x:c r="G1225" t="n">
        <x:v>1</x:v>
      </x:c>
      <x:c r="H1225" t="str">
        <x:v>equals</x:v>
      </x:c>
      <x:c r="I1225" t="str">
        <x:v>independent acceptance</x:v>
      </x:c>
      <x:c r="J1225" t="str">
        <x:f>IF(F1225=1,"PASS","OPEN")</x:f>
        <x:v>OPEN</x:v>
      </x:c>
    </x:row>
    <x:row r="1226">
      <x:c r="B1226" t="str">
        <x:v>PHY-OC-233</x:v>
      </x:c>
      <x:c r="C1226" t="str">
        <x:v>PHYSICAL</x:v>
      </x:c>
      <x:c r="D1226" t="str">
        <x:v>event outcome</x:v>
      </x:c>
      <x:c r="E1226" t="str">
        <x:v>RFA-E233</x:v>
      </x:c>
      <x:c r="F1226" t="n">
        <x:f>IF('Event Estimator'!M239&lt;&gt;"",1,0)</x:f>
        <x:v>0</x:v>
      </x:c>
      <x:c r="G1226" t="n">
        <x:v>1</x:v>
      </x:c>
      <x:c r="H1226" t="str">
        <x:v>equals</x:v>
      </x:c>
      <x:c r="I1226" t="str">
        <x:v>independent acceptance</x:v>
      </x:c>
      <x:c r="J1226" t="str">
        <x:f>IF(F1226=1,"PASS","OPEN")</x:f>
        <x:v>OPEN</x:v>
      </x:c>
    </x:row>
    <x:row r="1227">
      <x:c r="B1227" t="str">
        <x:v>PHY-EX-234</x:v>
      </x:c>
      <x:c r="C1227" t="str">
        <x:v>PHYSICAL</x:v>
      </x:c>
      <x:c r="D1227" t="str">
        <x:v>event execution</x:v>
      </x:c>
      <x:c r="E1227" t="str">
        <x:v>RFA-E234</x:v>
      </x:c>
      <x:c r="F1227" t="n">
        <x:f>IF('Event Register'!M240&lt;&gt;"",1,0)</x:f>
        <x:v>0</x:v>
      </x:c>
      <x:c r="G1227" t="n">
        <x:v>1</x:v>
      </x:c>
      <x:c r="H1227" t="str">
        <x:v>equals</x:v>
      </x:c>
      <x:c r="I1227" t="str">
        <x:v>independent acceptance</x:v>
      </x:c>
      <x:c r="J1227" t="str">
        <x:f>IF(F1227=1,"PASS","OPEN")</x:f>
        <x:v>OPEN</x:v>
      </x:c>
    </x:row>
    <x:row r="1228">
      <x:c r="B1228" t="str">
        <x:v>PHY-VA-234</x:v>
      </x:c>
      <x:c r="C1228" t="str">
        <x:v>PHYSICAL</x:v>
      </x:c>
      <x:c r="D1228" t="str">
        <x:v>event validity</x:v>
      </x:c>
      <x:c r="E1228" t="str">
        <x:v>RFA-E234</x:v>
      </x:c>
      <x:c r="F1228" t="n">
        <x:f>'Event Estimator'!L240</x:f>
        <x:v>0</x:v>
      </x:c>
      <x:c r="G1228" t="n">
        <x:v>1</x:v>
      </x:c>
      <x:c r="H1228" t="str">
        <x:v>equals</x:v>
      </x:c>
      <x:c r="I1228" t="str">
        <x:v>independent acceptance</x:v>
      </x:c>
      <x:c r="J1228" t="str">
        <x:f>IF(F1228=1,"PASS","OPEN")</x:f>
        <x:v>OPEN</x:v>
      </x:c>
    </x:row>
    <x:row r="1229">
      <x:c r="B1229" t="str">
        <x:v>PHY-OC-234</x:v>
      </x:c>
      <x:c r="C1229" t="str">
        <x:v>PHYSICAL</x:v>
      </x:c>
      <x:c r="D1229" t="str">
        <x:v>event outcome</x:v>
      </x:c>
      <x:c r="E1229" t="str">
        <x:v>RFA-E234</x:v>
      </x:c>
      <x:c r="F1229" t="n">
        <x:f>IF('Event Estimator'!M240&lt;&gt;"",1,0)</x:f>
        <x:v>0</x:v>
      </x:c>
      <x:c r="G1229" t="n">
        <x:v>1</x:v>
      </x:c>
      <x:c r="H1229" t="str">
        <x:v>equals</x:v>
      </x:c>
      <x:c r="I1229" t="str">
        <x:v>independent acceptance</x:v>
      </x:c>
      <x:c r="J1229" t="str">
        <x:f>IF(F1229=1,"PASS","OPEN")</x:f>
        <x:v>OPEN</x:v>
      </x:c>
    </x:row>
    <x:row r="1230">
      <x:c r="B1230" t="str">
        <x:v>PHY-EX-235</x:v>
      </x:c>
      <x:c r="C1230" t="str">
        <x:v>PHYSICAL</x:v>
      </x:c>
      <x:c r="D1230" t="str">
        <x:v>event execution</x:v>
      </x:c>
      <x:c r="E1230" t="str">
        <x:v>RFA-E235</x:v>
      </x:c>
      <x:c r="F1230" t="n">
        <x:f>IF('Event Register'!M241&lt;&gt;"",1,0)</x:f>
        <x:v>0</x:v>
      </x:c>
      <x:c r="G1230" t="n">
        <x:v>1</x:v>
      </x:c>
      <x:c r="H1230" t="str">
        <x:v>equals</x:v>
      </x:c>
      <x:c r="I1230" t="str">
        <x:v>independent acceptance</x:v>
      </x:c>
      <x:c r="J1230" t="str">
        <x:f>IF(F1230=1,"PASS","OPEN")</x:f>
        <x:v>OPEN</x:v>
      </x:c>
    </x:row>
    <x:row r="1231">
      <x:c r="B1231" t="str">
        <x:v>PHY-VA-235</x:v>
      </x:c>
      <x:c r="C1231" t="str">
        <x:v>PHYSICAL</x:v>
      </x:c>
      <x:c r="D1231" t="str">
        <x:v>event validity</x:v>
      </x:c>
      <x:c r="E1231" t="str">
        <x:v>RFA-E235</x:v>
      </x:c>
      <x:c r="F1231" t="n">
        <x:f>'Event Estimator'!L241</x:f>
        <x:v>0</x:v>
      </x:c>
      <x:c r="G1231" t="n">
        <x:v>1</x:v>
      </x:c>
      <x:c r="H1231" t="str">
        <x:v>equals</x:v>
      </x:c>
      <x:c r="I1231" t="str">
        <x:v>independent acceptance</x:v>
      </x:c>
      <x:c r="J1231" t="str">
        <x:f>IF(F1231=1,"PASS","OPEN")</x:f>
        <x:v>OPEN</x:v>
      </x:c>
    </x:row>
    <x:row r="1232">
      <x:c r="B1232" t="str">
        <x:v>PHY-OC-235</x:v>
      </x:c>
      <x:c r="C1232" t="str">
        <x:v>PHYSICAL</x:v>
      </x:c>
      <x:c r="D1232" t="str">
        <x:v>event outcome</x:v>
      </x:c>
      <x:c r="E1232" t="str">
        <x:v>RFA-E235</x:v>
      </x:c>
      <x:c r="F1232" t="n">
        <x:f>IF('Event Estimator'!M241&lt;&gt;"",1,0)</x:f>
        <x:v>0</x:v>
      </x:c>
      <x:c r="G1232" t="n">
        <x:v>1</x:v>
      </x:c>
      <x:c r="H1232" t="str">
        <x:v>equals</x:v>
      </x:c>
      <x:c r="I1232" t="str">
        <x:v>independent acceptance</x:v>
      </x:c>
      <x:c r="J1232" t="str">
        <x:f>IF(F1232=1,"PASS","OPEN")</x:f>
        <x:v>OPEN</x:v>
      </x:c>
    </x:row>
    <x:row r="1233">
      <x:c r="B1233" t="str">
        <x:v>PHY-EX-236</x:v>
      </x:c>
      <x:c r="C1233" t="str">
        <x:v>PHYSICAL</x:v>
      </x:c>
      <x:c r="D1233" t="str">
        <x:v>event execution</x:v>
      </x:c>
      <x:c r="E1233" t="str">
        <x:v>RFA-E236</x:v>
      </x:c>
      <x:c r="F1233" t="n">
        <x:f>IF('Event Register'!M242&lt;&gt;"",1,0)</x:f>
        <x:v>0</x:v>
      </x:c>
      <x:c r="G1233" t="n">
        <x:v>1</x:v>
      </x:c>
      <x:c r="H1233" t="str">
        <x:v>equals</x:v>
      </x:c>
      <x:c r="I1233" t="str">
        <x:v>independent acceptance</x:v>
      </x:c>
      <x:c r="J1233" t="str">
        <x:f>IF(F1233=1,"PASS","OPEN")</x:f>
        <x:v>OPEN</x:v>
      </x:c>
    </x:row>
    <x:row r="1234">
      <x:c r="B1234" t="str">
        <x:v>PHY-VA-236</x:v>
      </x:c>
      <x:c r="C1234" t="str">
        <x:v>PHYSICAL</x:v>
      </x:c>
      <x:c r="D1234" t="str">
        <x:v>event validity</x:v>
      </x:c>
      <x:c r="E1234" t="str">
        <x:v>RFA-E236</x:v>
      </x:c>
      <x:c r="F1234" t="n">
        <x:f>'Event Estimator'!L242</x:f>
        <x:v>0</x:v>
      </x:c>
      <x:c r="G1234" t="n">
        <x:v>1</x:v>
      </x:c>
      <x:c r="H1234" t="str">
        <x:v>equals</x:v>
      </x:c>
      <x:c r="I1234" t="str">
        <x:v>independent acceptance</x:v>
      </x:c>
      <x:c r="J1234" t="str">
        <x:f>IF(F1234=1,"PASS","OPEN")</x:f>
        <x:v>OPEN</x:v>
      </x:c>
    </x:row>
    <x:row r="1235">
      <x:c r="B1235" t="str">
        <x:v>PHY-OC-236</x:v>
      </x:c>
      <x:c r="C1235" t="str">
        <x:v>PHYSICAL</x:v>
      </x:c>
      <x:c r="D1235" t="str">
        <x:v>event outcome</x:v>
      </x:c>
      <x:c r="E1235" t="str">
        <x:v>RFA-E236</x:v>
      </x:c>
      <x:c r="F1235" t="n">
        <x:f>IF('Event Estimator'!M242&lt;&gt;"",1,0)</x:f>
        <x:v>0</x:v>
      </x:c>
      <x:c r="G1235" t="n">
        <x:v>1</x:v>
      </x:c>
      <x:c r="H1235" t="str">
        <x:v>equals</x:v>
      </x:c>
      <x:c r="I1235" t="str">
        <x:v>independent acceptance</x:v>
      </x:c>
      <x:c r="J1235" t="str">
        <x:f>IF(F1235=1,"PASS","OPEN")</x:f>
        <x:v>OPEN</x:v>
      </x:c>
    </x:row>
    <x:row r="1236">
      <x:c r="B1236" t="str">
        <x:v>PHY-EX-237</x:v>
      </x:c>
      <x:c r="C1236" t="str">
        <x:v>PHYSICAL</x:v>
      </x:c>
      <x:c r="D1236" t="str">
        <x:v>event execution</x:v>
      </x:c>
      <x:c r="E1236" t="str">
        <x:v>RFA-E237</x:v>
      </x:c>
      <x:c r="F1236" t="n">
        <x:f>IF('Event Register'!M243&lt;&gt;"",1,0)</x:f>
        <x:v>0</x:v>
      </x:c>
      <x:c r="G1236" t="n">
        <x:v>1</x:v>
      </x:c>
      <x:c r="H1236" t="str">
        <x:v>equals</x:v>
      </x:c>
      <x:c r="I1236" t="str">
        <x:v>independent acceptance</x:v>
      </x:c>
      <x:c r="J1236" t="str">
        <x:f>IF(F1236=1,"PASS","OPEN")</x:f>
        <x:v>OPEN</x:v>
      </x:c>
    </x:row>
    <x:row r="1237">
      <x:c r="B1237" t="str">
        <x:v>PHY-VA-237</x:v>
      </x:c>
      <x:c r="C1237" t="str">
        <x:v>PHYSICAL</x:v>
      </x:c>
      <x:c r="D1237" t="str">
        <x:v>event validity</x:v>
      </x:c>
      <x:c r="E1237" t="str">
        <x:v>RFA-E237</x:v>
      </x:c>
      <x:c r="F1237" t="n">
        <x:f>'Event Estimator'!L243</x:f>
        <x:v>0</x:v>
      </x:c>
      <x:c r="G1237" t="n">
        <x:v>1</x:v>
      </x:c>
      <x:c r="H1237" t="str">
        <x:v>equals</x:v>
      </x:c>
      <x:c r="I1237" t="str">
        <x:v>independent acceptance</x:v>
      </x:c>
      <x:c r="J1237" t="str">
        <x:f>IF(F1237=1,"PASS","OPEN")</x:f>
        <x:v>OPEN</x:v>
      </x:c>
    </x:row>
    <x:row r="1238">
      <x:c r="B1238" t="str">
        <x:v>PHY-OC-237</x:v>
      </x:c>
      <x:c r="C1238" t="str">
        <x:v>PHYSICAL</x:v>
      </x:c>
      <x:c r="D1238" t="str">
        <x:v>event outcome</x:v>
      </x:c>
      <x:c r="E1238" t="str">
        <x:v>RFA-E237</x:v>
      </x:c>
      <x:c r="F1238" t="n">
        <x:f>IF('Event Estimator'!M243&lt;&gt;"",1,0)</x:f>
        <x:v>0</x:v>
      </x:c>
      <x:c r="G1238" t="n">
        <x:v>1</x:v>
      </x:c>
      <x:c r="H1238" t="str">
        <x:v>equals</x:v>
      </x:c>
      <x:c r="I1238" t="str">
        <x:v>independent acceptance</x:v>
      </x:c>
      <x:c r="J1238" t="str">
        <x:f>IF(F1238=1,"PASS","OPEN")</x:f>
        <x:v>OPEN</x:v>
      </x:c>
    </x:row>
    <x:row r="1239">
      <x:c r="B1239" t="str">
        <x:v>PHY-EX-238</x:v>
      </x:c>
      <x:c r="C1239" t="str">
        <x:v>PHYSICAL</x:v>
      </x:c>
      <x:c r="D1239" t="str">
        <x:v>event execution</x:v>
      </x:c>
      <x:c r="E1239" t="str">
        <x:v>RFA-E238</x:v>
      </x:c>
      <x:c r="F1239" t="n">
        <x:f>IF('Event Register'!M244&lt;&gt;"",1,0)</x:f>
        <x:v>0</x:v>
      </x:c>
      <x:c r="G1239" t="n">
        <x:v>1</x:v>
      </x:c>
      <x:c r="H1239" t="str">
        <x:v>equals</x:v>
      </x:c>
      <x:c r="I1239" t="str">
        <x:v>independent acceptance</x:v>
      </x:c>
      <x:c r="J1239" t="str">
        <x:f>IF(F1239=1,"PASS","OPEN")</x:f>
        <x:v>OPEN</x:v>
      </x:c>
    </x:row>
    <x:row r="1240">
      <x:c r="B1240" t="str">
        <x:v>PHY-VA-238</x:v>
      </x:c>
      <x:c r="C1240" t="str">
        <x:v>PHYSICAL</x:v>
      </x:c>
      <x:c r="D1240" t="str">
        <x:v>event validity</x:v>
      </x:c>
      <x:c r="E1240" t="str">
        <x:v>RFA-E238</x:v>
      </x:c>
      <x:c r="F1240" t="n">
        <x:f>'Event Estimator'!L244</x:f>
        <x:v>0</x:v>
      </x:c>
      <x:c r="G1240" t="n">
        <x:v>1</x:v>
      </x:c>
      <x:c r="H1240" t="str">
        <x:v>equals</x:v>
      </x:c>
      <x:c r="I1240" t="str">
        <x:v>independent acceptance</x:v>
      </x:c>
      <x:c r="J1240" t="str">
        <x:f>IF(F1240=1,"PASS","OPEN")</x:f>
        <x:v>OPEN</x:v>
      </x:c>
    </x:row>
    <x:row r="1241">
      <x:c r="B1241" t="str">
        <x:v>PHY-OC-238</x:v>
      </x:c>
      <x:c r="C1241" t="str">
        <x:v>PHYSICAL</x:v>
      </x:c>
      <x:c r="D1241" t="str">
        <x:v>event outcome</x:v>
      </x:c>
      <x:c r="E1241" t="str">
        <x:v>RFA-E238</x:v>
      </x:c>
      <x:c r="F1241" t="n">
        <x:f>IF('Event Estimator'!M244&lt;&gt;"",1,0)</x:f>
        <x:v>0</x:v>
      </x:c>
      <x:c r="G1241" t="n">
        <x:v>1</x:v>
      </x:c>
      <x:c r="H1241" t="str">
        <x:v>equals</x:v>
      </x:c>
      <x:c r="I1241" t="str">
        <x:v>independent acceptance</x:v>
      </x:c>
      <x:c r="J1241" t="str">
        <x:f>IF(F1241=1,"PASS","OPEN")</x:f>
        <x:v>OPEN</x:v>
      </x:c>
    </x:row>
    <x:row r="1242">
      <x:c r="B1242" t="str">
        <x:v>PHY-EX-239</x:v>
      </x:c>
      <x:c r="C1242" t="str">
        <x:v>PHYSICAL</x:v>
      </x:c>
      <x:c r="D1242" t="str">
        <x:v>event execution</x:v>
      </x:c>
      <x:c r="E1242" t="str">
        <x:v>RFA-E239</x:v>
      </x:c>
      <x:c r="F1242" t="n">
        <x:f>IF('Event Register'!M245&lt;&gt;"",1,0)</x:f>
        <x:v>0</x:v>
      </x:c>
      <x:c r="G1242" t="n">
        <x:v>1</x:v>
      </x:c>
      <x:c r="H1242" t="str">
        <x:v>equals</x:v>
      </x:c>
      <x:c r="I1242" t="str">
        <x:v>independent acceptance</x:v>
      </x:c>
      <x:c r="J1242" t="str">
        <x:f>IF(F1242=1,"PASS","OPEN")</x:f>
        <x:v>OPEN</x:v>
      </x:c>
    </x:row>
    <x:row r="1243">
      <x:c r="B1243" t="str">
        <x:v>PHY-VA-239</x:v>
      </x:c>
      <x:c r="C1243" t="str">
        <x:v>PHYSICAL</x:v>
      </x:c>
      <x:c r="D1243" t="str">
        <x:v>event validity</x:v>
      </x:c>
      <x:c r="E1243" t="str">
        <x:v>RFA-E239</x:v>
      </x:c>
      <x:c r="F1243" t="n">
        <x:f>'Event Estimator'!L245</x:f>
        <x:v>0</x:v>
      </x:c>
      <x:c r="G1243" t="n">
        <x:v>1</x:v>
      </x:c>
      <x:c r="H1243" t="str">
        <x:v>equals</x:v>
      </x:c>
      <x:c r="I1243" t="str">
        <x:v>independent acceptance</x:v>
      </x:c>
      <x:c r="J1243" t="str">
        <x:f>IF(F1243=1,"PASS","OPEN")</x:f>
        <x:v>OPEN</x:v>
      </x:c>
    </x:row>
    <x:row r="1244">
      <x:c r="B1244" t="str">
        <x:v>PHY-OC-239</x:v>
      </x:c>
      <x:c r="C1244" t="str">
        <x:v>PHYSICAL</x:v>
      </x:c>
      <x:c r="D1244" t="str">
        <x:v>event outcome</x:v>
      </x:c>
      <x:c r="E1244" t="str">
        <x:v>RFA-E239</x:v>
      </x:c>
      <x:c r="F1244" t="n">
        <x:f>IF('Event Estimator'!M245&lt;&gt;"",1,0)</x:f>
        <x:v>0</x:v>
      </x:c>
      <x:c r="G1244" t="n">
        <x:v>1</x:v>
      </x:c>
      <x:c r="H1244" t="str">
        <x:v>equals</x:v>
      </x:c>
      <x:c r="I1244" t="str">
        <x:v>independent acceptance</x:v>
      </x:c>
      <x:c r="J1244" t="str">
        <x:f>IF(F1244=1,"PASS","OPEN")</x:f>
        <x:v>OPEN</x:v>
      </x:c>
    </x:row>
    <x:row r="1245">
      <x:c r="B1245" t="str">
        <x:v>PHY-EX-240</x:v>
      </x:c>
      <x:c r="C1245" t="str">
        <x:v>PHYSICAL</x:v>
      </x:c>
      <x:c r="D1245" t="str">
        <x:v>event execution</x:v>
      </x:c>
      <x:c r="E1245" t="str">
        <x:v>RFA-E240</x:v>
      </x:c>
      <x:c r="F1245" t="n">
        <x:f>IF('Event Register'!M246&lt;&gt;"",1,0)</x:f>
        <x:v>0</x:v>
      </x:c>
      <x:c r="G1245" t="n">
        <x:v>1</x:v>
      </x:c>
      <x:c r="H1245" t="str">
        <x:v>equals</x:v>
      </x:c>
      <x:c r="I1245" t="str">
        <x:v>independent acceptance</x:v>
      </x:c>
      <x:c r="J1245" t="str">
        <x:f>IF(F1245=1,"PASS","OPEN")</x:f>
        <x:v>OPEN</x:v>
      </x:c>
    </x:row>
    <x:row r="1246">
      <x:c r="B1246" t="str">
        <x:v>PHY-VA-240</x:v>
      </x:c>
      <x:c r="C1246" t="str">
        <x:v>PHYSICAL</x:v>
      </x:c>
      <x:c r="D1246" t="str">
        <x:v>event validity</x:v>
      </x:c>
      <x:c r="E1246" t="str">
        <x:v>RFA-E240</x:v>
      </x:c>
      <x:c r="F1246" t="n">
        <x:f>'Event Estimator'!L246</x:f>
        <x:v>0</x:v>
      </x:c>
      <x:c r="G1246" t="n">
        <x:v>1</x:v>
      </x:c>
      <x:c r="H1246" t="str">
        <x:v>equals</x:v>
      </x:c>
      <x:c r="I1246" t="str">
        <x:v>independent acceptance</x:v>
      </x:c>
      <x:c r="J1246" t="str">
        <x:f>IF(F1246=1,"PASS","OPEN")</x:f>
        <x:v>OPEN</x:v>
      </x:c>
    </x:row>
    <x:row r="1247">
      <x:c r="B1247" t="str">
        <x:v>PHY-OC-240</x:v>
      </x:c>
      <x:c r="C1247" t="str">
        <x:v>PHYSICAL</x:v>
      </x:c>
      <x:c r="D1247" t="str">
        <x:v>event outcome</x:v>
      </x:c>
      <x:c r="E1247" t="str">
        <x:v>RFA-E240</x:v>
      </x:c>
      <x:c r="F1247" t="n">
        <x:f>IF('Event Estimator'!M246&lt;&gt;"",1,0)</x:f>
        <x:v>0</x:v>
      </x:c>
      <x:c r="G1247" t="n">
        <x:v>1</x:v>
      </x:c>
      <x:c r="H1247" t="str">
        <x:v>equals</x:v>
      </x:c>
      <x:c r="I1247" t="str">
        <x:v>independent acceptance</x:v>
      </x:c>
      <x:c r="J1247" t="str">
        <x:f>IF(F1247=1,"PASS","OPEN")</x:f>
        <x:v>OPEN</x:v>
      </x:c>
    </x:row>
    <x:row r="1248">
      <x:c r="B1248" t="str">
        <x:v>PHY-EX-241</x:v>
      </x:c>
      <x:c r="C1248" t="str">
        <x:v>PHYSICAL</x:v>
      </x:c>
      <x:c r="D1248" t="str">
        <x:v>event execution</x:v>
      </x:c>
      <x:c r="E1248" t="str">
        <x:v>RFA-E241</x:v>
      </x:c>
      <x:c r="F1248" t="n">
        <x:f>IF('Event Register'!M247&lt;&gt;"",1,0)</x:f>
        <x:v>0</x:v>
      </x:c>
      <x:c r="G1248" t="n">
        <x:v>1</x:v>
      </x:c>
      <x:c r="H1248" t="str">
        <x:v>equals</x:v>
      </x:c>
      <x:c r="I1248" t="str">
        <x:v>independent acceptance</x:v>
      </x:c>
      <x:c r="J1248" t="str">
        <x:f>IF(F1248=1,"PASS","OPEN")</x:f>
        <x:v>OPEN</x:v>
      </x:c>
    </x:row>
    <x:row r="1249">
      <x:c r="B1249" t="str">
        <x:v>PHY-VA-241</x:v>
      </x:c>
      <x:c r="C1249" t="str">
        <x:v>PHYSICAL</x:v>
      </x:c>
      <x:c r="D1249" t="str">
        <x:v>event validity</x:v>
      </x:c>
      <x:c r="E1249" t="str">
        <x:v>RFA-E241</x:v>
      </x:c>
      <x:c r="F1249" t="n">
        <x:f>'Event Estimator'!L247</x:f>
        <x:v>0</x:v>
      </x:c>
      <x:c r="G1249" t="n">
        <x:v>1</x:v>
      </x:c>
      <x:c r="H1249" t="str">
        <x:v>equals</x:v>
      </x:c>
      <x:c r="I1249" t="str">
        <x:v>independent acceptance</x:v>
      </x:c>
      <x:c r="J1249" t="str">
        <x:f>IF(F1249=1,"PASS","OPEN")</x:f>
        <x:v>OPEN</x:v>
      </x:c>
    </x:row>
    <x:row r="1250">
      <x:c r="B1250" t="str">
        <x:v>PHY-OC-241</x:v>
      </x:c>
      <x:c r="C1250" t="str">
        <x:v>PHYSICAL</x:v>
      </x:c>
      <x:c r="D1250" t="str">
        <x:v>event outcome</x:v>
      </x:c>
      <x:c r="E1250" t="str">
        <x:v>RFA-E241</x:v>
      </x:c>
      <x:c r="F1250" t="n">
        <x:f>IF('Event Estimator'!M247&lt;&gt;"",1,0)</x:f>
        <x:v>0</x:v>
      </x:c>
      <x:c r="G1250" t="n">
        <x:v>1</x:v>
      </x:c>
      <x:c r="H1250" t="str">
        <x:v>equals</x:v>
      </x:c>
      <x:c r="I1250" t="str">
        <x:v>independent acceptance</x:v>
      </x:c>
      <x:c r="J1250" t="str">
        <x:f>IF(F1250=1,"PASS","OPEN")</x:f>
        <x:v>OPEN</x:v>
      </x:c>
    </x:row>
    <x:row r="1251">
      <x:c r="B1251" t="str">
        <x:v>PHY-EX-242</x:v>
      </x:c>
      <x:c r="C1251" t="str">
        <x:v>PHYSICAL</x:v>
      </x:c>
      <x:c r="D1251" t="str">
        <x:v>event execution</x:v>
      </x:c>
      <x:c r="E1251" t="str">
        <x:v>RFA-E242</x:v>
      </x:c>
      <x:c r="F1251" t="n">
        <x:f>IF('Event Register'!M248&lt;&gt;"",1,0)</x:f>
        <x:v>0</x:v>
      </x:c>
      <x:c r="G1251" t="n">
        <x:v>1</x:v>
      </x:c>
      <x:c r="H1251" t="str">
        <x:v>equals</x:v>
      </x:c>
      <x:c r="I1251" t="str">
        <x:v>independent acceptance</x:v>
      </x:c>
      <x:c r="J1251" t="str">
        <x:f>IF(F1251=1,"PASS","OPEN")</x:f>
        <x:v>OPEN</x:v>
      </x:c>
    </x:row>
    <x:row r="1252">
      <x:c r="B1252" t="str">
        <x:v>PHY-VA-242</x:v>
      </x:c>
      <x:c r="C1252" t="str">
        <x:v>PHYSICAL</x:v>
      </x:c>
      <x:c r="D1252" t="str">
        <x:v>event validity</x:v>
      </x:c>
      <x:c r="E1252" t="str">
        <x:v>RFA-E242</x:v>
      </x:c>
      <x:c r="F1252" t="n">
        <x:f>'Event Estimator'!L248</x:f>
        <x:v>0</x:v>
      </x:c>
      <x:c r="G1252" t="n">
        <x:v>1</x:v>
      </x:c>
      <x:c r="H1252" t="str">
        <x:v>equals</x:v>
      </x:c>
      <x:c r="I1252" t="str">
        <x:v>independent acceptance</x:v>
      </x:c>
      <x:c r="J1252" t="str">
        <x:f>IF(F1252=1,"PASS","OPEN")</x:f>
        <x:v>OPEN</x:v>
      </x:c>
    </x:row>
    <x:row r="1253">
      <x:c r="B1253" t="str">
        <x:v>PHY-OC-242</x:v>
      </x:c>
      <x:c r="C1253" t="str">
        <x:v>PHYSICAL</x:v>
      </x:c>
      <x:c r="D1253" t="str">
        <x:v>event outcome</x:v>
      </x:c>
      <x:c r="E1253" t="str">
        <x:v>RFA-E242</x:v>
      </x:c>
      <x:c r="F1253" t="n">
        <x:f>IF('Event Estimator'!M248&lt;&gt;"",1,0)</x:f>
        <x:v>0</x:v>
      </x:c>
      <x:c r="G1253" t="n">
        <x:v>1</x:v>
      </x:c>
      <x:c r="H1253" t="str">
        <x:v>equals</x:v>
      </x:c>
      <x:c r="I1253" t="str">
        <x:v>independent acceptance</x:v>
      </x:c>
      <x:c r="J1253" t="str">
        <x:f>IF(F1253=1,"PASS","OPEN")</x:f>
        <x:v>OPEN</x:v>
      </x:c>
    </x:row>
    <x:row r="1254">
      <x:c r="B1254" t="str">
        <x:v>PHY-EX-243</x:v>
      </x:c>
      <x:c r="C1254" t="str">
        <x:v>PHYSICAL</x:v>
      </x:c>
      <x:c r="D1254" t="str">
        <x:v>event execution</x:v>
      </x:c>
      <x:c r="E1254" t="str">
        <x:v>RFA-E243</x:v>
      </x:c>
      <x:c r="F1254" t="n">
        <x:f>IF('Event Register'!M249&lt;&gt;"",1,0)</x:f>
        <x:v>0</x:v>
      </x:c>
      <x:c r="G1254" t="n">
        <x:v>1</x:v>
      </x:c>
      <x:c r="H1254" t="str">
        <x:v>equals</x:v>
      </x:c>
      <x:c r="I1254" t="str">
        <x:v>independent acceptance</x:v>
      </x:c>
      <x:c r="J1254" t="str">
        <x:f>IF(F1254=1,"PASS","OPEN")</x:f>
        <x:v>OPEN</x:v>
      </x:c>
    </x:row>
    <x:row r="1255">
      <x:c r="B1255" t="str">
        <x:v>PHY-VA-243</x:v>
      </x:c>
      <x:c r="C1255" t="str">
        <x:v>PHYSICAL</x:v>
      </x:c>
      <x:c r="D1255" t="str">
        <x:v>event validity</x:v>
      </x:c>
      <x:c r="E1255" t="str">
        <x:v>RFA-E243</x:v>
      </x:c>
      <x:c r="F1255" t="n">
        <x:f>'Event Estimator'!L249</x:f>
        <x:v>0</x:v>
      </x:c>
      <x:c r="G1255" t="n">
        <x:v>1</x:v>
      </x:c>
      <x:c r="H1255" t="str">
        <x:v>equals</x:v>
      </x:c>
      <x:c r="I1255" t="str">
        <x:v>independent acceptance</x:v>
      </x:c>
      <x:c r="J1255" t="str">
        <x:f>IF(F1255=1,"PASS","OPEN")</x:f>
        <x:v>OPEN</x:v>
      </x:c>
    </x:row>
    <x:row r="1256">
      <x:c r="B1256" t="str">
        <x:v>PHY-OC-243</x:v>
      </x:c>
      <x:c r="C1256" t="str">
        <x:v>PHYSICAL</x:v>
      </x:c>
      <x:c r="D1256" t="str">
        <x:v>event outcome</x:v>
      </x:c>
      <x:c r="E1256" t="str">
        <x:v>RFA-E243</x:v>
      </x:c>
      <x:c r="F1256" t="n">
        <x:f>IF('Event Estimator'!M249&lt;&gt;"",1,0)</x:f>
        <x:v>0</x:v>
      </x:c>
      <x:c r="G1256" t="n">
        <x:v>1</x:v>
      </x:c>
      <x:c r="H1256" t="str">
        <x:v>equals</x:v>
      </x:c>
      <x:c r="I1256" t="str">
        <x:v>independent acceptance</x:v>
      </x:c>
      <x:c r="J1256" t="str">
        <x:f>IF(F1256=1,"PASS","OPEN")</x:f>
        <x:v>OPEN</x:v>
      </x:c>
    </x:row>
    <x:row r="1257">
      <x:c r="B1257" t="str">
        <x:v>PHY-EX-244</x:v>
      </x:c>
      <x:c r="C1257" t="str">
        <x:v>PHYSICAL</x:v>
      </x:c>
      <x:c r="D1257" t="str">
        <x:v>event execution</x:v>
      </x:c>
      <x:c r="E1257" t="str">
        <x:v>RFA-E244</x:v>
      </x:c>
      <x:c r="F1257" t="n">
        <x:f>IF('Event Register'!M250&lt;&gt;"",1,0)</x:f>
        <x:v>0</x:v>
      </x:c>
      <x:c r="G1257" t="n">
        <x:v>1</x:v>
      </x:c>
      <x:c r="H1257" t="str">
        <x:v>equals</x:v>
      </x:c>
      <x:c r="I1257" t="str">
        <x:v>independent acceptance</x:v>
      </x:c>
      <x:c r="J1257" t="str">
        <x:f>IF(F1257=1,"PASS","OPEN")</x:f>
        <x:v>OPEN</x:v>
      </x:c>
    </x:row>
    <x:row r="1258">
      <x:c r="B1258" t="str">
        <x:v>PHY-VA-244</x:v>
      </x:c>
      <x:c r="C1258" t="str">
        <x:v>PHYSICAL</x:v>
      </x:c>
      <x:c r="D1258" t="str">
        <x:v>event validity</x:v>
      </x:c>
      <x:c r="E1258" t="str">
        <x:v>RFA-E244</x:v>
      </x:c>
      <x:c r="F1258" t="n">
        <x:f>'Event Estimator'!L250</x:f>
        <x:v>0</x:v>
      </x:c>
      <x:c r="G1258" t="n">
        <x:v>1</x:v>
      </x:c>
      <x:c r="H1258" t="str">
        <x:v>equals</x:v>
      </x:c>
      <x:c r="I1258" t="str">
        <x:v>independent acceptance</x:v>
      </x:c>
      <x:c r="J1258" t="str">
        <x:f>IF(F1258=1,"PASS","OPEN")</x:f>
        <x:v>OPEN</x:v>
      </x:c>
    </x:row>
    <x:row r="1259">
      <x:c r="B1259" t="str">
        <x:v>PHY-OC-244</x:v>
      </x:c>
      <x:c r="C1259" t="str">
        <x:v>PHYSICAL</x:v>
      </x:c>
      <x:c r="D1259" t="str">
        <x:v>event outcome</x:v>
      </x:c>
      <x:c r="E1259" t="str">
        <x:v>RFA-E244</x:v>
      </x:c>
      <x:c r="F1259" t="n">
        <x:f>IF('Event Estimator'!M250&lt;&gt;"",1,0)</x:f>
        <x:v>0</x:v>
      </x:c>
      <x:c r="G1259" t="n">
        <x:v>1</x:v>
      </x:c>
      <x:c r="H1259" t="str">
        <x:v>equals</x:v>
      </x:c>
      <x:c r="I1259" t="str">
        <x:v>independent acceptance</x:v>
      </x:c>
      <x:c r="J1259" t="str">
        <x:f>IF(F1259=1,"PASS","OPEN")</x:f>
        <x:v>OPEN</x:v>
      </x:c>
    </x:row>
    <x:row r="1260">
      <x:c r="B1260" t="str">
        <x:v>PHY-EX-245</x:v>
      </x:c>
      <x:c r="C1260" t="str">
        <x:v>PHYSICAL</x:v>
      </x:c>
      <x:c r="D1260" t="str">
        <x:v>event execution</x:v>
      </x:c>
      <x:c r="E1260" t="str">
        <x:v>RFA-E245</x:v>
      </x:c>
      <x:c r="F1260" t="n">
        <x:f>IF('Event Register'!M251&lt;&gt;"",1,0)</x:f>
        <x:v>0</x:v>
      </x:c>
      <x:c r="G1260" t="n">
        <x:v>1</x:v>
      </x:c>
      <x:c r="H1260" t="str">
        <x:v>equals</x:v>
      </x:c>
      <x:c r="I1260" t="str">
        <x:v>independent acceptance</x:v>
      </x:c>
      <x:c r="J1260" t="str">
        <x:f>IF(F1260=1,"PASS","OPEN")</x:f>
        <x:v>OPEN</x:v>
      </x:c>
    </x:row>
    <x:row r="1261">
      <x:c r="B1261" t="str">
        <x:v>PHY-VA-245</x:v>
      </x:c>
      <x:c r="C1261" t="str">
        <x:v>PHYSICAL</x:v>
      </x:c>
      <x:c r="D1261" t="str">
        <x:v>event validity</x:v>
      </x:c>
      <x:c r="E1261" t="str">
        <x:v>RFA-E245</x:v>
      </x:c>
      <x:c r="F1261" t="n">
        <x:f>'Event Estimator'!L251</x:f>
        <x:v>0</x:v>
      </x:c>
      <x:c r="G1261" t="n">
        <x:v>1</x:v>
      </x:c>
      <x:c r="H1261" t="str">
        <x:v>equals</x:v>
      </x:c>
      <x:c r="I1261" t="str">
        <x:v>independent acceptance</x:v>
      </x:c>
      <x:c r="J1261" t="str">
        <x:f>IF(F1261=1,"PASS","OPEN")</x:f>
        <x:v>OPEN</x:v>
      </x:c>
    </x:row>
    <x:row r="1262">
      <x:c r="B1262" t="str">
        <x:v>PHY-OC-245</x:v>
      </x:c>
      <x:c r="C1262" t="str">
        <x:v>PHYSICAL</x:v>
      </x:c>
      <x:c r="D1262" t="str">
        <x:v>event outcome</x:v>
      </x:c>
      <x:c r="E1262" t="str">
        <x:v>RFA-E245</x:v>
      </x:c>
      <x:c r="F1262" t="n">
        <x:f>IF('Event Estimator'!M251&lt;&gt;"",1,0)</x:f>
        <x:v>0</x:v>
      </x:c>
      <x:c r="G1262" t="n">
        <x:v>1</x:v>
      </x:c>
      <x:c r="H1262" t="str">
        <x:v>equals</x:v>
      </x:c>
      <x:c r="I1262" t="str">
        <x:v>independent acceptance</x:v>
      </x:c>
      <x:c r="J1262" t="str">
        <x:f>IF(F1262=1,"PASS","OPEN")</x:f>
        <x:v>OPEN</x:v>
      </x:c>
    </x:row>
    <x:row r="1263">
      <x:c r="B1263" t="str">
        <x:v>PHY-EX-246</x:v>
      </x:c>
      <x:c r="C1263" t="str">
        <x:v>PHYSICAL</x:v>
      </x:c>
      <x:c r="D1263" t="str">
        <x:v>event execution</x:v>
      </x:c>
      <x:c r="E1263" t="str">
        <x:v>RFA-E246</x:v>
      </x:c>
      <x:c r="F1263" t="n">
        <x:f>IF('Event Register'!M252&lt;&gt;"",1,0)</x:f>
        <x:v>0</x:v>
      </x:c>
      <x:c r="G1263" t="n">
        <x:v>1</x:v>
      </x:c>
      <x:c r="H1263" t="str">
        <x:v>equals</x:v>
      </x:c>
      <x:c r="I1263" t="str">
        <x:v>independent acceptance</x:v>
      </x:c>
      <x:c r="J1263" t="str">
        <x:f>IF(F1263=1,"PASS","OPEN")</x:f>
        <x:v>OPEN</x:v>
      </x:c>
    </x:row>
    <x:row r="1264">
      <x:c r="B1264" t="str">
        <x:v>PHY-VA-246</x:v>
      </x:c>
      <x:c r="C1264" t="str">
        <x:v>PHYSICAL</x:v>
      </x:c>
      <x:c r="D1264" t="str">
        <x:v>event validity</x:v>
      </x:c>
      <x:c r="E1264" t="str">
        <x:v>RFA-E246</x:v>
      </x:c>
      <x:c r="F1264" t="n">
        <x:f>'Event Estimator'!L252</x:f>
        <x:v>0</x:v>
      </x:c>
      <x:c r="G1264" t="n">
        <x:v>1</x:v>
      </x:c>
      <x:c r="H1264" t="str">
        <x:v>equals</x:v>
      </x:c>
      <x:c r="I1264" t="str">
        <x:v>independent acceptance</x:v>
      </x:c>
      <x:c r="J1264" t="str">
        <x:f>IF(F1264=1,"PASS","OPEN")</x:f>
        <x:v>OPEN</x:v>
      </x:c>
    </x:row>
    <x:row r="1265">
      <x:c r="B1265" t="str">
        <x:v>PHY-OC-246</x:v>
      </x:c>
      <x:c r="C1265" t="str">
        <x:v>PHYSICAL</x:v>
      </x:c>
      <x:c r="D1265" t="str">
        <x:v>event outcome</x:v>
      </x:c>
      <x:c r="E1265" t="str">
        <x:v>RFA-E246</x:v>
      </x:c>
      <x:c r="F1265" t="n">
        <x:f>IF('Event Estimator'!M252&lt;&gt;"",1,0)</x:f>
        <x:v>0</x:v>
      </x:c>
      <x:c r="G1265" t="n">
        <x:v>1</x:v>
      </x:c>
      <x:c r="H1265" t="str">
        <x:v>equals</x:v>
      </x:c>
      <x:c r="I1265" t="str">
        <x:v>independent acceptance</x:v>
      </x:c>
      <x:c r="J1265" t="str">
        <x:f>IF(F1265=1,"PASS","OPEN")</x:f>
        <x:v>OPEN</x:v>
      </x:c>
    </x:row>
    <x:row r="1266">
      <x:c r="B1266" t="str">
        <x:v>PHY-EX-247</x:v>
      </x:c>
      <x:c r="C1266" t="str">
        <x:v>PHYSICAL</x:v>
      </x:c>
      <x:c r="D1266" t="str">
        <x:v>event execution</x:v>
      </x:c>
      <x:c r="E1266" t="str">
        <x:v>RFA-E247</x:v>
      </x:c>
      <x:c r="F1266" t="n">
        <x:f>IF('Event Register'!M253&lt;&gt;"",1,0)</x:f>
        <x:v>0</x:v>
      </x:c>
      <x:c r="G1266" t="n">
        <x:v>1</x:v>
      </x:c>
      <x:c r="H1266" t="str">
        <x:v>equals</x:v>
      </x:c>
      <x:c r="I1266" t="str">
        <x:v>independent acceptance</x:v>
      </x:c>
      <x:c r="J1266" t="str">
        <x:f>IF(F1266=1,"PASS","OPEN")</x:f>
        <x:v>OPEN</x:v>
      </x:c>
    </x:row>
    <x:row r="1267">
      <x:c r="B1267" t="str">
        <x:v>PHY-VA-247</x:v>
      </x:c>
      <x:c r="C1267" t="str">
        <x:v>PHYSICAL</x:v>
      </x:c>
      <x:c r="D1267" t="str">
        <x:v>event validity</x:v>
      </x:c>
      <x:c r="E1267" t="str">
        <x:v>RFA-E247</x:v>
      </x:c>
      <x:c r="F1267" t="n">
        <x:f>'Event Estimator'!L253</x:f>
        <x:v>0</x:v>
      </x:c>
      <x:c r="G1267" t="n">
        <x:v>1</x:v>
      </x:c>
      <x:c r="H1267" t="str">
        <x:v>equals</x:v>
      </x:c>
      <x:c r="I1267" t="str">
        <x:v>independent acceptance</x:v>
      </x:c>
      <x:c r="J1267" t="str">
        <x:f>IF(F1267=1,"PASS","OPEN")</x:f>
        <x:v>OPEN</x:v>
      </x:c>
    </x:row>
    <x:row r="1268">
      <x:c r="B1268" t="str">
        <x:v>PHY-OC-247</x:v>
      </x:c>
      <x:c r="C1268" t="str">
        <x:v>PHYSICAL</x:v>
      </x:c>
      <x:c r="D1268" t="str">
        <x:v>event outcome</x:v>
      </x:c>
      <x:c r="E1268" t="str">
        <x:v>RFA-E247</x:v>
      </x:c>
      <x:c r="F1268" t="n">
        <x:f>IF('Event Estimator'!M253&lt;&gt;"",1,0)</x:f>
        <x:v>0</x:v>
      </x:c>
      <x:c r="G1268" t="n">
        <x:v>1</x:v>
      </x:c>
      <x:c r="H1268" t="str">
        <x:v>equals</x:v>
      </x:c>
      <x:c r="I1268" t="str">
        <x:v>independent acceptance</x:v>
      </x:c>
      <x:c r="J1268" t="str">
        <x:f>IF(F1268=1,"PASS","OPEN")</x:f>
        <x:v>OPEN</x:v>
      </x:c>
    </x:row>
    <x:row r="1269">
      <x:c r="B1269" t="str">
        <x:v>PHY-EX-248</x:v>
      </x:c>
      <x:c r="C1269" t="str">
        <x:v>PHYSICAL</x:v>
      </x:c>
      <x:c r="D1269" t="str">
        <x:v>event execution</x:v>
      </x:c>
      <x:c r="E1269" t="str">
        <x:v>RFA-E248</x:v>
      </x:c>
      <x:c r="F1269" t="n">
        <x:f>IF('Event Register'!M254&lt;&gt;"",1,0)</x:f>
        <x:v>0</x:v>
      </x:c>
      <x:c r="G1269" t="n">
        <x:v>1</x:v>
      </x:c>
      <x:c r="H1269" t="str">
        <x:v>equals</x:v>
      </x:c>
      <x:c r="I1269" t="str">
        <x:v>independent acceptance</x:v>
      </x:c>
      <x:c r="J1269" t="str">
        <x:f>IF(F1269=1,"PASS","OPEN")</x:f>
        <x:v>OPEN</x:v>
      </x:c>
    </x:row>
    <x:row r="1270">
      <x:c r="B1270" t="str">
        <x:v>PHY-VA-248</x:v>
      </x:c>
      <x:c r="C1270" t="str">
        <x:v>PHYSICAL</x:v>
      </x:c>
      <x:c r="D1270" t="str">
        <x:v>event validity</x:v>
      </x:c>
      <x:c r="E1270" t="str">
        <x:v>RFA-E248</x:v>
      </x:c>
      <x:c r="F1270" t="n">
        <x:f>'Event Estimator'!L254</x:f>
        <x:v>0</x:v>
      </x:c>
      <x:c r="G1270" t="n">
        <x:v>1</x:v>
      </x:c>
      <x:c r="H1270" t="str">
        <x:v>equals</x:v>
      </x:c>
      <x:c r="I1270" t="str">
        <x:v>independent acceptance</x:v>
      </x:c>
      <x:c r="J1270" t="str">
        <x:f>IF(F1270=1,"PASS","OPEN")</x:f>
        <x:v>OPEN</x:v>
      </x:c>
    </x:row>
    <x:row r="1271">
      <x:c r="B1271" t="str">
        <x:v>PHY-OC-248</x:v>
      </x:c>
      <x:c r="C1271" t="str">
        <x:v>PHYSICAL</x:v>
      </x:c>
      <x:c r="D1271" t="str">
        <x:v>event outcome</x:v>
      </x:c>
      <x:c r="E1271" t="str">
        <x:v>RFA-E248</x:v>
      </x:c>
      <x:c r="F1271" t="n">
        <x:f>IF('Event Estimator'!M254&lt;&gt;"",1,0)</x:f>
        <x:v>0</x:v>
      </x:c>
      <x:c r="G1271" t="n">
        <x:v>1</x:v>
      </x:c>
      <x:c r="H1271" t="str">
        <x:v>equals</x:v>
      </x:c>
      <x:c r="I1271" t="str">
        <x:v>independent acceptance</x:v>
      </x:c>
      <x:c r="J1271" t="str">
        <x:f>IF(F1271=1,"PASS","OPEN")</x:f>
        <x:v>OPEN</x:v>
      </x:c>
    </x:row>
    <x:row r="1272">
      <x:c r="B1272" t="str">
        <x:v>PHY-EX-249</x:v>
      </x:c>
      <x:c r="C1272" t="str">
        <x:v>PHYSICAL</x:v>
      </x:c>
      <x:c r="D1272" t="str">
        <x:v>event execution</x:v>
      </x:c>
      <x:c r="E1272" t="str">
        <x:v>RFA-E249</x:v>
      </x:c>
      <x:c r="F1272" t="n">
        <x:f>IF('Event Register'!M255&lt;&gt;"",1,0)</x:f>
        <x:v>0</x:v>
      </x:c>
      <x:c r="G1272" t="n">
        <x:v>1</x:v>
      </x:c>
      <x:c r="H1272" t="str">
        <x:v>equals</x:v>
      </x:c>
      <x:c r="I1272" t="str">
        <x:v>independent acceptance</x:v>
      </x:c>
      <x:c r="J1272" t="str">
        <x:f>IF(F1272=1,"PASS","OPEN")</x:f>
        <x:v>OPEN</x:v>
      </x:c>
    </x:row>
    <x:row r="1273">
      <x:c r="B1273" t="str">
        <x:v>PHY-VA-249</x:v>
      </x:c>
      <x:c r="C1273" t="str">
        <x:v>PHYSICAL</x:v>
      </x:c>
      <x:c r="D1273" t="str">
        <x:v>event validity</x:v>
      </x:c>
      <x:c r="E1273" t="str">
        <x:v>RFA-E249</x:v>
      </x:c>
      <x:c r="F1273" t="n">
        <x:f>'Event Estimator'!L255</x:f>
        <x:v>0</x:v>
      </x:c>
      <x:c r="G1273" t="n">
        <x:v>1</x:v>
      </x:c>
      <x:c r="H1273" t="str">
        <x:v>equals</x:v>
      </x:c>
      <x:c r="I1273" t="str">
        <x:v>independent acceptance</x:v>
      </x:c>
      <x:c r="J1273" t="str">
        <x:f>IF(F1273=1,"PASS","OPEN")</x:f>
        <x:v>OPEN</x:v>
      </x:c>
    </x:row>
    <x:row r="1274">
      <x:c r="B1274" t="str">
        <x:v>PHY-OC-249</x:v>
      </x:c>
      <x:c r="C1274" t="str">
        <x:v>PHYSICAL</x:v>
      </x:c>
      <x:c r="D1274" t="str">
        <x:v>event outcome</x:v>
      </x:c>
      <x:c r="E1274" t="str">
        <x:v>RFA-E249</x:v>
      </x:c>
      <x:c r="F1274" t="n">
        <x:f>IF('Event Estimator'!M255&lt;&gt;"",1,0)</x:f>
        <x:v>0</x:v>
      </x:c>
      <x:c r="G1274" t="n">
        <x:v>1</x:v>
      </x:c>
      <x:c r="H1274" t="str">
        <x:v>equals</x:v>
      </x:c>
      <x:c r="I1274" t="str">
        <x:v>independent acceptance</x:v>
      </x:c>
      <x:c r="J1274" t="str">
        <x:f>IF(F1274=1,"PASS","OPEN")</x:f>
        <x:v>OPEN</x:v>
      </x:c>
    </x:row>
    <x:row r="1275">
      <x:c r="B1275" t="str">
        <x:v>PHY-EX-250</x:v>
      </x:c>
      <x:c r="C1275" t="str">
        <x:v>PHYSICAL</x:v>
      </x:c>
      <x:c r="D1275" t="str">
        <x:v>event execution</x:v>
      </x:c>
      <x:c r="E1275" t="str">
        <x:v>RFA-E250</x:v>
      </x:c>
      <x:c r="F1275" t="n">
        <x:f>IF('Event Register'!M256&lt;&gt;"",1,0)</x:f>
        <x:v>0</x:v>
      </x:c>
      <x:c r="G1275" t="n">
        <x:v>1</x:v>
      </x:c>
      <x:c r="H1275" t="str">
        <x:v>equals</x:v>
      </x:c>
      <x:c r="I1275" t="str">
        <x:v>independent acceptance</x:v>
      </x:c>
      <x:c r="J1275" t="str">
        <x:f>IF(F1275=1,"PASS","OPEN")</x:f>
        <x:v>OPEN</x:v>
      </x:c>
    </x:row>
    <x:row r="1276">
      <x:c r="B1276" t="str">
        <x:v>PHY-VA-250</x:v>
      </x:c>
      <x:c r="C1276" t="str">
        <x:v>PHYSICAL</x:v>
      </x:c>
      <x:c r="D1276" t="str">
        <x:v>event validity</x:v>
      </x:c>
      <x:c r="E1276" t="str">
        <x:v>RFA-E250</x:v>
      </x:c>
      <x:c r="F1276" t="n">
        <x:f>'Event Estimator'!L256</x:f>
        <x:v>0</x:v>
      </x:c>
      <x:c r="G1276" t="n">
        <x:v>1</x:v>
      </x:c>
      <x:c r="H1276" t="str">
        <x:v>equals</x:v>
      </x:c>
      <x:c r="I1276" t="str">
        <x:v>independent acceptance</x:v>
      </x:c>
      <x:c r="J1276" t="str">
        <x:f>IF(F1276=1,"PASS","OPEN")</x:f>
        <x:v>OPEN</x:v>
      </x:c>
    </x:row>
    <x:row r="1277">
      <x:c r="B1277" t="str">
        <x:v>PHY-OC-250</x:v>
      </x:c>
      <x:c r="C1277" t="str">
        <x:v>PHYSICAL</x:v>
      </x:c>
      <x:c r="D1277" t="str">
        <x:v>event outcome</x:v>
      </x:c>
      <x:c r="E1277" t="str">
        <x:v>RFA-E250</x:v>
      </x:c>
      <x:c r="F1277" t="n">
        <x:f>IF('Event Estimator'!M256&lt;&gt;"",1,0)</x:f>
        <x:v>0</x:v>
      </x:c>
      <x:c r="G1277" t="n">
        <x:v>1</x:v>
      </x:c>
      <x:c r="H1277" t="str">
        <x:v>equals</x:v>
      </x:c>
      <x:c r="I1277" t="str">
        <x:v>independent acceptance</x:v>
      </x:c>
      <x:c r="J1277" t="str">
        <x:f>IF(F1277=1,"PASS","OPEN")</x:f>
        <x:v>OPEN</x:v>
      </x:c>
    </x:row>
    <x:row r="1278">
      <x:c r="B1278" t="str">
        <x:v>PHY-EX-251</x:v>
      </x:c>
      <x:c r="C1278" t="str">
        <x:v>PHYSICAL</x:v>
      </x:c>
      <x:c r="D1278" t="str">
        <x:v>event execution</x:v>
      </x:c>
      <x:c r="E1278" t="str">
        <x:v>RFA-E251</x:v>
      </x:c>
      <x:c r="F1278" t="n">
        <x:f>IF('Event Register'!M257&lt;&gt;"",1,0)</x:f>
        <x:v>0</x:v>
      </x:c>
      <x:c r="G1278" t="n">
        <x:v>1</x:v>
      </x:c>
      <x:c r="H1278" t="str">
        <x:v>equals</x:v>
      </x:c>
      <x:c r="I1278" t="str">
        <x:v>independent acceptance</x:v>
      </x:c>
      <x:c r="J1278" t="str">
        <x:f>IF(F1278=1,"PASS","OPEN")</x:f>
        <x:v>OPEN</x:v>
      </x:c>
    </x:row>
    <x:row r="1279">
      <x:c r="B1279" t="str">
        <x:v>PHY-VA-251</x:v>
      </x:c>
      <x:c r="C1279" t="str">
        <x:v>PHYSICAL</x:v>
      </x:c>
      <x:c r="D1279" t="str">
        <x:v>event validity</x:v>
      </x:c>
      <x:c r="E1279" t="str">
        <x:v>RFA-E251</x:v>
      </x:c>
      <x:c r="F1279" t="n">
        <x:f>'Event Estimator'!L257</x:f>
        <x:v>0</x:v>
      </x:c>
      <x:c r="G1279" t="n">
        <x:v>1</x:v>
      </x:c>
      <x:c r="H1279" t="str">
        <x:v>equals</x:v>
      </x:c>
      <x:c r="I1279" t="str">
        <x:v>independent acceptance</x:v>
      </x:c>
      <x:c r="J1279" t="str">
        <x:f>IF(F1279=1,"PASS","OPEN")</x:f>
        <x:v>OPEN</x:v>
      </x:c>
    </x:row>
    <x:row r="1280">
      <x:c r="B1280" t="str">
        <x:v>PHY-OC-251</x:v>
      </x:c>
      <x:c r="C1280" t="str">
        <x:v>PHYSICAL</x:v>
      </x:c>
      <x:c r="D1280" t="str">
        <x:v>event outcome</x:v>
      </x:c>
      <x:c r="E1280" t="str">
        <x:v>RFA-E251</x:v>
      </x:c>
      <x:c r="F1280" t="n">
        <x:f>IF('Event Estimator'!M257&lt;&gt;"",1,0)</x:f>
        <x:v>0</x:v>
      </x:c>
      <x:c r="G1280" t="n">
        <x:v>1</x:v>
      </x:c>
      <x:c r="H1280" t="str">
        <x:v>equals</x:v>
      </x:c>
      <x:c r="I1280" t="str">
        <x:v>independent acceptance</x:v>
      </x:c>
      <x:c r="J1280" t="str">
        <x:f>IF(F1280=1,"PASS","OPEN")</x:f>
        <x:v>OPEN</x:v>
      </x:c>
    </x:row>
    <x:row r="1281">
      <x:c r="B1281" t="str">
        <x:v>PHY-EX-252</x:v>
      </x:c>
      <x:c r="C1281" t="str">
        <x:v>PHYSICAL</x:v>
      </x:c>
      <x:c r="D1281" t="str">
        <x:v>event execution</x:v>
      </x:c>
      <x:c r="E1281" t="str">
        <x:v>RFA-E252</x:v>
      </x:c>
      <x:c r="F1281" t="n">
        <x:f>IF('Event Register'!M258&lt;&gt;"",1,0)</x:f>
        <x:v>0</x:v>
      </x:c>
      <x:c r="G1281" t="n">
        <x:v>1</x:v>
      </x:c>
      <x:c r="H1281" t="str">
        <x:v>equals</x:v>
      </x:c>
      <x:c r="I1281" t="str">
        <x:v>independent acceptance</x:v>
      </x:c>
      <x:c r="J1281" t="str">
        <x:f>IF(F1281=1,"PASS","OPEN")</x:f>
        <x:v>OPEN</x:v>
      </x:c>
    </x:row>
    <x:row r="1282">
      <x:c r="B1282" t="str">
        <x:v>PHY-VA-252</x:v>
      </x:c>
      <x:c r="C1282" t="str">
        <x:v>PHYSICAL</x:v>
      </x:c>
      <x:c r="D1282" t="str">
        <x:v>event validity</x:v>
      </x:c>
      <x:c r="E1282" t="str">
        <x:v>RFA-E252</x:v>
      </x:c>
      <x:c r="F1282" t="n">
        <x:f>'Event Estimator'!L258</x:f>
        <x:v>0</x:v>
      </x:c>
      <x:c r="G1282" t="n">
        <x:v>1</x:v>
      </x:c>
      <x:c r="H1282" t="str">
        <x:v>equals</x:v>
      </x:c>
      <x:c r="I1282" t="str">
        <x:v>independent acceptance</x:v>
      </x:c>
      <x:c r="J1282" t="str">
        <x:f>IF(F1282=1,"PASS","OPEN")</x:f>
        <x:v>OPEN</x:v>
      </x:c>
    </x:row>
    <x:row r="1283">
      <x:c r="B1283" t="str">
        <x:v>PHY-OC-252</x:v>
      </x:c>
      <x:c r="C1283" t="str">
        <x:v>PHYSICAL</x:v>
      </x:c>
      <x:c r="D1283" t="str">
        <x:v>event outcome</x:v>
      </x:c>
      <x:c r="E1283" t="str">
        <x:v>RFA-E252</x:v>
      </x:c>
      <x:c r="F1283" t="n">
        <x:f>IF('Event Estimator'!M258&lt;&gt;"",1,0)</x:f>
        <x:v>0</x:v>
      </x:c>
      <x:c r="G1283" t="n">
        <x:v>1</x:v>
      </x:c>
      <x:c r="H1283" t="str">
        <x:v>equals</x:v>
      </x:c>
      <x:c r="I1283" t="str">
        <x:v>independent acceptance</x:v>
      </x:c>
      <x:c r="J1283" t="str">
        <x:f>IF(F1283=1,"PASS","OPEN")</x:f>
        <x:v>OPEN</x:v>
      </x:c>
    </x:row>
    <x:row r="1284">
      <x:c r="B1284" t="str">
        <x:v>PHY-EX-253</x:v>
      </x:c>
      <x:c r="C1284" t="str">
        <x:v>PHYSICAL</x:v>
      </x:c>
      <x:c r="D1284" t="str">
        <x:v>event execution</x:v>
      </x:c>
      <x:c r="E1284" t="str">
        <x:v>RFA-E253</x:v>
      </x:c>
      <x:c r="F1284" t="n">
        <x:f>IF('Event Register'!M259&lt;&gt;"",1,0)</x:f>
        <x:v>0</x:v>
      </x:c>
      <x:c r="G1284" t="n">
        <x:v>1</x:v>
      </x:c>
      <x:c r="H1284" t="str">
        <x:v>equals</x:v>
      </x:c>
      <x:c r="I1284" t="str">
        <x:v>independent acceptance</x:v>
      </x:c>
      <x:c r="J1284" t="str">
        <x:f>IF(F1284=1,"PASS","OPEN")</x:f>
        <x:v>OPEN</x:v>
      </x:c>
    </x:row>
    <x:row r="1285">
      <x:c r="B1285" t="str">
        <x:v>PHY-VA-253</x:v>
      </x:c>
      <x:c r="C1285" t="str">
        <x:v>PHYSICAL</x:v>
      </x:c>
      <x:c r="D1285" t="str">
        <x:v>event validity</x:v>
      </x:c>
      <x:c r="E1285" t="str">
        <x:v>RFA-E253</x:v>
      </x:c>
      <x:c r="F1285" t="n">
        <x:f>'Event Estimator'!L259</x:f>
        <x:v>0</x:v>
      </x:c>
      <x:c r="G1285" t="n">
        <x:v>1</x:v>
      </x:c>
      <x:c r="H1285" t="str">
        <x:v>equals</x:v>
      </x:c>
      <x:c r="I1285" t="str">
        <x:v>independent acceptance</x:v>
      </x:c>
      <x:c r="J1285" t="str">
        <x:f>IF(F1285=1,"PASS","OPEN")</x:f>
        <x:v>OPEN</x:v>
      </x:c>
    </x:row>
    <x:row r="1286">
      <x:c r="B1286" t="str">
        <x:v>PHY-OC-253</x:v>
      </x:c>
      <x:c r="C1286" t="str">
        <x:v>PHYSICAL</x:v>
      </x:c>
      <x:c r="D1286" t="str">
        <x:v>event outcome</x:v>
      </x:c>
      <x:c r="E1286" t="str">
        <x:v>RFA-E253</x:v>
      </x:c>
      <x:c r="F1286" t="n">
        <x:f>IF('Event Estimator'!M259&lt;&gt;"",1,0)</x:f>
        <x:v>0</x:v>
      </x:c>
      <x:c r="G1286" t="n">
        <x:v>1</x:v>
      </x:c>
      <x:c r="H1286" t="str">
        <x:v>equals</x:v>
      </x:c>
      <x:c r="I1286" t="str">
        <x:v>independent acceptance</x:v>
      </x:c>
      <x:c r="J1286" t="str">
        <x:f>IF(F1286=1,"PASS","OPEN")</x:f>
        <x:v>OPEN</x:v>
      </x:c>
    </x:row>
    <x:row r="1287">
      <x:c r="B1287" t="str">
        <x:v>PHY-EX-254</x:v>
      </x:c>
      <x:c r="C1287" t="str">
        <x:v>PHYSICAL</x:v>
      </x:c>
      <x:c r="D1287" t="str">
        <x:v>event execution</x:v>
      </x:c>
      <x:c r="E1287" t="str">
        <x:v>RFA-E254</x:v>
      </x:c>
      <x:c r="F1287" t="n">
        <x:f>IF('Event Register'!M260&lt;&gt;"",1,0)</x:f>
        <x:v>0</x:v>
      </x:c>
      <x:c r="G1287" t="n">
        <x:v>1</x:v>
      </x:c>
      <x:c r="H1287" t="str">
        <x:v>equals</x:v>
      </x:c>
      <x:c r="I1287" t="str">
        <x:v>independent acceptance</x:v>
      </x:c>
      <x:c r="J1287" t="str">
        <x:f>IF(F1287=1,"PASS","OPEN")</x:f>
        <x:v>OPEN</x:v>
      </x:c>
    </x:row>
    <x:row r="1288">
      <x:c r="B1288" t="str">
        <x:v>PHY-VA-254</x:v>
      </x:c>
      <x:c r="C1288" t="str">
        <x:v>PHYSICAL</x:v>
      </x:c>
      <x:c r="D1288" t="str">
        <x:v>event validity</x:v>
      </x:c>
      <x:c r="E1288" t="str">
        <x:v>RFA-E254</x:v>
      </x:c>
      <x:c r="F1288" t="n">
        <x:f>'Event Estimator'!L260</x:f>
        <x:v>0</x:v>
      </x:c>
      <x:c r="G1288" t="n">
        <x:v>1</x:v>
      </x:c>
      <x:c r="H1288" t="str">
        <x:v>equals</x:v>
      </x:c>
      <x:c r="I1288" t="str">
        <x:v>independent acceptance</x:v>
      </x:c>
      <x:c r="J1288" t="str">
        <x:f>IF(F1288=1,"PASS","OPEN")</x:f>
        <x:v>OPEN</x:v>
      </x:c>
    </x:row>
    <x:row r="1289">
      <x:c r="B1289" t="str">
        <x:v>PHY-OC-254</x:v>
      </x:c>
      <x:c r="C1289" t="str">
        <x:v>PHYSICAL</x:v>
      </x:c>
      <x:c r="D1289" t="str">
        <x:v>event outcome</x:v>
      </x:c>
      <x:c r="E1289" t="str">
        <x:v>RFA-E254</x:v>
      </x:c>
      <x:c r="F1289" t="n">
        <x:f>IF('Event Estimator'!M260&lt;&gt;"",1,0)</x:f>
        <x:v>0</x:v>
      </x:c>
      <x:c r="G1289" t="n">
        <x:v>1</x:v>
      </x:c>
      <x:c r="H1289" t="str">
        <x:v>equals</x:v>
      </x:c>
      <x:c r="I1289" t="str">
        <x:v>independent acceptance</x:v>
      </x:c>
      <x:c r="J1289" t="str">
        <x:f>IF(F1289=1,"PASS","OPEN")</x:f>
        <x:v>OPEN</x:v>
      </x:c>
    </x:row>
    <x:row r="1290">
      <x:c r="B1290" t="str">
        <x:v>PHY-EX-255</x:v>
      </x:c>
      <x:c r="C1290" t="str">
        <x:v>PHYSICAL</x:v>
      </x:c>
      <x:c r="D1290" t="str">
        <x:v>event execution</x:v>
      </x:c>
      <x:c r="E1290" t="str">
        <x:v>RFA-E255</x:v>
      </x:c>
      <x:c r="F1290" t="n">
        <x:f>IF('Event Register'!M261&lt;&gt;"",1,0)</x:f>
        <x:v>0</x:v>
      </x:c>
      <x:c r="G1290" t="n">
        <x:v>1</x:v>
      </x:c>
      <x:c r="H1290" t="str">
        <x:v>equals</x:v>
      </x:c>
      <x:c r="I1290" t="str">
        <x:v>independent acceptance</x:v>
      </x:c>
      <x:c r="J1290" t="str">
        <x:f>IF(F1290=1,"PASS","OPEN")</x:f>
        <x:v>OPEN</x:v>
      </x:c>
    </x:row>
    <x:row r="1291">
      <x:c r="B1291" t="str">
        <x:v>PHY-VA-255</x:v>
      </x:c>
      <x:c r="C1291" t="str">
        <x:v>PHYSICAL</x:v>
      </x:c>
      <x:c r="D1291" t="str">
        <x:v>event validity</x:v>
      </x:c>
      <x:c r="E1291" t="str">
        <x:v>RFA-E255</x:v>
      </x:c>
      <x:c r="F1291" t="n">
        <x:f>'Event Estimator'!L261</x:f>
        <x:v>0</x:v>
      </x:c>
      <x:c r="G1291" t="n">
        <x:v>1</x:v>
      </x:c>
      <x:c r="H1291" t="str">
        <x:v>equals</x:v>
      </x:c>
      <x:c r="I1291" t="str">
        <x:v>independent acceptance</x:v>
      </x:c>
      <x:c r="J1291" t="str">
        <x:f>IF(F1291=1,"PASS","OPEN")</x:f>
        <x:v>OPEN</x:v>
      </x:c>
    </x:row>
    <x:row r="1292">
      <x:c r="B1292" t="str">
        <x:v>PHY-OC-255</x:v>
      </x:c>
      <x:c r="C1292" t="str">
        <x:v>PHYSICAL</x:v>
      </x:c>
      <x:c r="D1292" t="str">
        <x:v>event outcome</x:v>
      </x:c>
      <x:c r="E1292" t="str">
        <x:v>RFA-E255</x:v>
      </x:c>
      <x:c r="F1292" t="n">
        <x:f>IF('Event Estimator'!M261&lt;&gt;"",1,0)</x:f>
        <x:v>0</x:v>
      </x:c>
      <x:c r="G1292" t="n">
        <x:v>1</x:v>
      </x:c>
      <x:c r="H1292" t="str">
        <x:v>equals</x:v>
      </x:c>
      <x:c r="I1292" t="str">
        <x:v>independent acceptance</x:v>
      </x:c>
      <x:c r="J1292" t="str">
        <x:f>IF(F1292=1,"PASS","OPEN")</x:f>
        <x:v>OPEN</x:v>
      </x:c>
    </x:row>
    <x:row r="1293">
      <x:c r="B1293" t="str">
        <x:v>PHY-EX-256</x:v>
      </x:c>
      <x:c r="C1293" t="str">
        <x:v>PHYSICAL</x:v>
      </x:c>
      <x:c r="D1293" t="str">
        <x:v>event execution</x:v>
      </x:c>
      <x:c r="E1293" t="str">
        <x:v>RFA-E256</x:v>
      </x:c>
      <x:c r="F1293" t="n">
        <x:f>IF('Event Register'!M262&lt;&gt;"",1,0)</x:f>
        <x:v>0</x:v>
      </x:c>
      <x:c r="G1293" t="n">
        <x:v>1</x:v>
      </x:c>
      <x:c r="H1293" t="str">
        <x:v>equals</x:v>
      </x:c>
      <x:c r="I1293" t="str">
        <x:v>independent acceptance</x:v>
      </x:c>
      <x:c r="J1293" t="str">
        <x:f>IF(F1293=1,"PASS","OPEN")</x:f>
        <x:v>OPEN</x:v>
      </x:c>
    </x:row>
    <x:row r="1294">
      <x:c r="B1294" t="str">
        <x:v>PHY-VA-256</x:v>
      </x:c>
      <x:c r="C1294" t="str">
        <x:v>PHYSICAL</x:v>
      </x:c>
      <x:c r="D1294" t="str">
        <x:v>event validity</x:v>
      </x:c>
      <x:c r="E1294" t="str">
        <x:v>RFA-E256</x:v>
      </x:c>
      <x:c r="F1294" t="n">
        <x:f>'Event Estimator'!L262</x:f>
        <x:v>0</x:v>
      </x:c>
      <x:c r="G1294" t="n">
        <x:v>1</x:v>
      </x:c>
      <x:c r="H1294" t="str">
        <x:v>equals</x:v>
      </x:c>
      <x:c r="I1294" t="str">
        <x:v>independent acceptance</x:v>
      </x:c>
      <x:c r="J1294" t="str">
        <x:f>IF(F1294=1,"PASS","OPEN")</x:f>
        <x:v>OPEN</x:v>
      </x:c>
    </x:row>
    <x:row r="1295">
      <x:c r="B1295" t="str">
        <x:v>PHY-OC-256</x:v>
      </x:c>
      <x:c r="C1295" t="str">
        <x:v>PHYSICAL</x:v>
      </x:c>
      <x:c r="D1295" t="str">
        <x:v>event outcome</x:v>
      </x:c>
      <x:c r="E1295" t="str">
        <x:v>RFA-E256</x:v>
      </x:c>
      <x:c r="F1295" t="n">
        <x:f>IF('Event Estimator'!M262&lt;&gt;"",1,0)</x:f>
        <x:v>0</x:v>
      </x:c>
      <x:c r="G1295" t="n">
        <x:v>1</x:v>
      </x:c>
      <x:c r="H1295" t="str">
        <x:v>equals</x:v>
      </x:c>
      <x:c r="I1295" t="str">
        <x:v>independent acceptance</x:v>
      </x:c>
      <x:c r="J1295" t="str">
        <x:f>IF(F1295=1,"PASS","OPEN")</x:f>
        <x:v>OPEN</x:v>
      </x:c>
    </x:row>
    <x:row r="1296">
      <x:c r="B1296" t="str">
        <x:v>PHY-EX-257</x:v>
      </x:c>
      <x:c r="C1296" t="str">
        <x:v>PHYSICAL</x:v>
      </x:c>
      <x:c r="D1296" t="str">
        <x:v>event execution</x:v>
      </x:c>
      <x:c r="E1296" t="str">
        <x:v>RFA-E257</x:v>
      </x:c>
      <x:c r="F1296" t="n">
        <x:f>IF('Event Register'!M263&lt;&gt;"",1,0)</x:f>
        <x:v>0</x:v>
      </x:c>
      <x:c r="G1296" t="n">
        <x:v>1</x:v>
      </x:c>
      <x:c r="H1296" t="str">
        <x:v>equals</x:v>
      </x:c>
      <x:c r="I1296" t="str">
        <x:v>independent acceptance</x:v>
      </x:c>
      <x:c r="J1296" t="str">
        <x:f>IF(F1296=1,"PASS","OPEN")</x:f>
        <x:v>OPEN</x:v>
      </x:c>
    </x:row>
    <x:row r="1297">
      <x:c r="B1297" t="str">
        <x:v>PHY-VA-257</x:v>
      </x:c>
      <x:c r="C1297" t="str">
        <x:v>PHYSICAL</x:v>
      </x:c>
      <x:c r="D1297" t="str">
        <x:v>event validity</x:v>
      </x:c>
      <x:c r="E1297" t="str">
        <x:v>RFA-E257</x:v>
      </x:c>
      <x:c r="F1297" t="n">
        <x:f>'Event Estimator'!L263</x:f>
        <x:v>0</x:v>
      </x:c>
      <x:c r="G1297" t="n">
        <x:v>1</x:v>
      </x:c>
      <x:c r="H1297" t="str">
        <x:v>equals</x:v>
      </x:c>
      <x:c r="I1297" t="str">
        <x:v>independent acceptance</x:v>
      </x:c>
      <x:c r="J1297" t="str">
        <x:f>IF(F1297=1,"PASS","OPEN")</x:f>
        <x:v>OPEN</x:v>
      </x:c>
    </x:row>
    <x:row r="1298">
      <x:c r="B1298" t="str">
        <x:v>PHY-OC-257</x:v>
      </x:c>
      <x:c r="C1298" t="str">
        <x:v>PHYSICAL</x:v>
      </x:c>
      <x:c r="D1298" t="str">
        <x:v>event outcome</x:v>
      </x:c>
      <x:c r="E1298" t="str">
        <x:v>RFA-E257</x:v>
      </x:c>
      <x:c r="F1298" t="n">
        <x:f>IF('Event Estimator'!M263&lt;&gt;"",1,0)</x:f>
        <x:v>0</x:v>
      </x:c>
      <x:c r="G1298" t="n">
        <x:v>1</x:v>
      </x:c>
      <x:c r="H1298" t="str">
        <x:v>equals</x:v>
      </x:c>
      <x:c r="I1298" t="str">
        <x:v>independent acceptance</x:v>
      </x:c>
      <x:c r="J1298" t="str">
        <x:f>IF(F1298=1,"PASS","OPEN")</x:f>
        <x:v>OPEN</x:v>
      </x:c>
    </x:row>
    <x:row r="1299">
      <x:c r="B1299" t="str">
        <x:v>PHY-EX-258</x:v>
      </x:c>
      <x:c r="C1299" t="str">
        <x:v>PHYSICAL</x:v>
      </x:c>
      <x:c r="D1299" t="str">
        <x:v>event execution</x:v>
      </x:c>
      <x:c r="E1299" t="str">
        <x:v>RFA-E258</x:v>
      </x:c>
      <x:c r="F1299" t="n">
        <x:f>IF('Event Register'!M264&lt;&gt;"",1,0)</x:f>
        <x:v>0</x:v>
      </x:c>
      <x:c r="G1299" t="n">
        <x:v>1</x:v>
      </x:c>
      <x:c r="H1299" t="str">
        <x:v>equals</x:v>
      </x:c>
      <x:c r="I1299" t="str">
        <x:v>independent acceptance</x:v>
      </x:c>
      <x:c r="J1299" t="str">
        <x:f>IF(F1299=1,"PASS","OPEN")</x:f>
        <x:v>OPEN</x:v>
      </x:c>
    </x:row>
    <x:row r="1300">
      <x:c r="B1300" t="str">
        <x:v>PHY-VA-258</x:v>
      </x:c>
      <x:c r="C1300" t="str">
        <x:v>PHYSICAL</x:v>
      </x:c>
      <x:c r="D1300" t="str">
        <x:v>event validity</x:v>
      </x:c>
      <x:c r="E1300" t="str">
        <x:v>RFA-E258</x:v>
      </x:c>
      <x:c r="F1300" t="n">
        <x:f>'Event Estimator'!L264</x:f>
        <x:v>0</x:v>
      </x:c>
      <x:c r="G1300" t="n">
        <x:v>1</x:v>
      </x:c>
      <x:c r="H1300" t="str">
        <x:v>equals</x:v>
      </x:c>
      <x:c r="I1300" t="str">
        <x:v>independent acceptance</x:v>
      </x:c>
      <x:c r="J1300" t="str">
        <x:f>IF(F1300=1,"PASS","OPEN")</x:f>
        <x:v>OPEN</x:v>
      </x:c>
    </x:row>
    <x:row r="1301">
      <x:c r="B1301" t="str">
        <x:v>PHY-OC-258</x:v>
      </x:c>
      <x:c r="C1301" t="str">
        <x:v>PHYSICAL</x:v>
      </x:c>
      <x:c r="D1301" t="str">
        <x:v>event outcome</x:v>
      </x:c>
      <x:c r="E1301" t="str">
        <x:v>RFA-E258</x:v>
      </x:c>
      <x:c r="F1301" t="n">
        <x:f>IF('Event Estimator'!M264&lt;&gt;"",1,0)</x:f>
        <x:v>0</x:v>
      </x:c>
      <x:c r="G1301" t="n">
        <x:v>1</x:v>
      </x:c>
      <x:c r="H1301" t="str">
        <x:v>equals</x:v>
      </x:c>
      <x:c r="I1301" t="str">
        <x:v>independent acceptance</x:v>
      </x:c>
      <x:c r="J1301" t="str">
        <x:f>IF(F1301=1,"PASS","OPEN")</x:f>
        <x:v>OPEN</x:v>
      </x:c>
    </x:row>
    <x:row r="1302">
      <x:c r="B1302" t="str">
        <x:v>PHY-EX-259</x:v>
      </x:c>
      <x:c r="C1302" t="str">
        <x:v>PHYSICAL</x:v>
      </x:c>
      <x:c r="D1302" t="str">
        <x:v>event execution</x:v>
      </x:c>
      <x:c r="E1302" t="str">
        <x:v>RFA-E259</x:v>
      </x:c>
      <x:c r="F1302" t="n">
        <x:f>IF('Event Register'!M265&lt;&gt;"",1,0)</x:f>
        <x:v>0</x:v>
      </x:c>
      <x:c r="G1302" t="n">
        <x:v>1</x:v>
      </x:c>
      <x:c r="H1302" t="str">
        <x:v>equals</x:v>
      </x:c>
      <x:c r="I1302" t="str">
        <x:v>independent acceptance</x:v>
      </x:c>
      <x:c r="J1302" t="str">
        <x:f>IF(F1302=1,"PASS","OPEN")</x:f>
        <x:v>OPEN</x:v>
      </x:c>
    </x:row>
    <x:row r="1303">
      <x:c r="B1303" t="str">
        <x:v>PHY-VA-259</x:v>
      </x:c>
      <x:c r="C1303" t="str">
        <x:v>PHYSICAL</x:v>
      </x:c>
      <x:c r="D1303" t="str">
        <x:v>event validity</x:v>
      </x:c>
      <x:c r="E1303" t="str">
        <x:v>RFA-E259</x:v>
      </x:c>
      <x:c r="F1303" t="n">
        <x:f>'Event Estimator'!L265</x:f>
        <x:v>0</x:v>
      </x:c>
      <x:c r="G1303" t="n">
        <x:v>1</x:v>
      </x:c>
      <x:c r="H1303" t="str">
        <x:v>equals</x:v>
      </x:c>
      <x:c r="I1303" t="str">
        <x:v>independent acceptance</x:v>
      </x:c>
      <x:c r="J1303" t="str">
        <x:f>IF(F1303=1,"PASS","OPEN")</x:f>
        <x:v>OPEN</x:v>
      </x:c>
    </x:row>
    <x:row r="1304">
      <x:c r="B1304" t="str">
        <x:v>PHY-OC-259</x:v>
      </x:c>
      <x:c r="C1304" t="str">
        <x:v>PHYSICAL</x:v>
      </x:c>
      <x:c r="D1304" t="str">
        <x:v>event outcome</x:v>
      </x:c>
      <x:c r="E1304" t="str">
        <x:v>RFA-E259</x:v>
      </x:c>
      <x:c r="F1304" t="n">
        <x:f>IF('Event Estimator'!M265&lt;&gt;"",1,0)</x:f>
        <x:v>0</x:v>
      </x:c>
      <x:c r="G1304" t="n">
        <x:v>1</x:v>
      </x:c>
      <x:c r="H1304" t="str">
        <x:v>equals</x:v>
      </x:c>
      <x:c r="I1304" t="str">
        <x:v>independent acceptance</x:v>
      </x:c>
      <x:c r="J1304" t="str">
        <x:f>IF(F1304=1,"PASS","OPEN")</x:f>
        <x:v>OPEN</x:v>
      </x:c>
    </x:row>
    <x:row r="1305">
      <x:c r="B1305" t="str">
        <x:v>PHY-EX-260</x:v>
      </x:c>
      <x:c r="C1305" t="str">
        <x:v>PHYSICAL</x:v>
      </x:c>
      <x:c r="D1305" t="str">
        <x:v>event execution</x:v>
      </x:c>
      <x:c r="E1305" t="str">
        <x:v>RFA-E260</x:v>
      </x:c>
      <x:c r="F1305" t="n">
        <x:f>IF('Event Register'!M266&lt;&gt;"",1,0)</x:f>
        <x:v>0</x:v>
      </x:c>
      <x:c r="G1305" t="n">
        <x:v>1</x:v>
      </x:c>
      <x:c r="H1305" t="str">
        <x:v>equals</x:v>
      </x:c>
      <x:c r="I1305" t="str">
        <x:v>independent acceptance</x:v>
      </x:c>
      <x:c r="J1305" t="str">
        <x:f>IF(F1305=1,"PASS","OPEN")</x:f>
        <x:v>OPEN</x:v>
      </x:c>
    </x:row>
    <x:row r="1306">
      <x:c r="B1306" t="str">
        <x:v>PHY-VA-260</x:v>
      </x:c>
      <x:c r="C1306" t="str">
        <x:v>PHYSICAL</x:v>
      </x:c>
      <x:c r="D1306" t="str">
        <x:v>event validity</x:v>
      </x:c>
      <x:c r="E1306" t="str">
        <x:v>RFA-E260</x:v>
      </x:c>
      <x:c r="F1306" t="n">
        <x:f>'Event Estimator'!L266</x:f>
        <x:v>0</x:v>
      </x:c>
      <x:c r="G1306" t="n">
        <x:v>1</x:v>
      </x:c>
      <x:c r="H1306" t="str">
        <x:v>equals</x:v>
      </x:c>
      <x:c r="I1306" t="str">
        <x:v>independent acceptance</x:v>
      </x:c>
      <x:c r="J1306" t="str">
        <x:f>IF(F1306=1,"PASS","OPEN")</x:f>
        <x:v>OPEN</x:v>
      </x:c>
    </x:row>
    <x:row r="1307">
      <x:c r="B1307" t="str">
        <x:v>PHY-OC-260</x:v>
      </x:c>
      <x:c r="C1307" t="str">
        <x:v>PHYSICAL</x:v>
      </x:c>
      <x:c r="D1307" t="str">
        <x:v>event outcome</x:v>
      </x:c>
      <x:c r="E1307" t="str">
        <x:v>RFA-E260</x:v>
      </x:c>
      <x:c r="F1307" t="n">
        <x:f>IF('Event Estimator'!M266&lt;&gt;"",1,0)</x:f>
        <x:v>0</x:v>
      </x:c>
      <x:c r="G1307" t="n">
        <x:v>1</x:v>
      </x:c>
      <x:c r="H1307" t="str">
        <x:v>equals</x:v>
      </x:c>
      <x:c r="I1307" t="str">
        <x:v>independent acceptance</x:v>
      </x:c>
      <x:c r="J1307" t="str">
        <x:f>IF(F1307=1,"PASS","OPEN")</x:f>
        <x:v>OPEN</x:v>
      </x:c>
    </x:row>
    <x:row r="1308">
      <x:c r="B1308" t="str">
        <x:v>PHY-EX-261</x:v>
      </x:c>
      <x:c r="C1308" t="str">
        <x:v>PHYSICAL</x:v>
      </x:c>
      <x:c r="D1308" t="str">
        <x:v>event execution</x:v>
      </x:c>
      <x:c r="E1308" t="str">
        <x:v>RFA-E261</x:v>
      </x:c>
      <x:c r="F1308" t="n">
        <x:f>IF('Event Register'!M267&lt;&gt;"",1,0)</x:f>
        <x:v>0</x:v>
      </x:c>
      <x:c r="G1308" t="n">
        <x:v>1</x:v>
      </x:c>
      <x:c r="H1308" t="str">
        <x:v>equals</x:v>
      </x:c>
      <x:c r="I1308" t="str">
        <x:v>independent acceptance</x:v>
      </x:c>
      <x:c r="J1308" t="str">
        <x:f>IF(F1308=1,"PASS","OPEN")</x:f>
        <x:v>OPEN</x:v>
      </x:c>
    </x:row>
    <x:row r="1309">
      <x:c r="B1309" t="str">
        <x:v>PHY-VA-261</x:v>
      </x:c>
      <x:c r="C1309" t="str">
        <x:v>PHYSICAL</x:v>
      </x:c>
      <x:c r="D1309" t="str">
        <x:v>event validity</x:v>
      </x:c>
      <x:c r="E1309" t="str">
        <x:v>RFA-E261</x:v>
      </x:c>
      <x:c r="F1309" t="n">
        <x:f>'Event Estimator'!L267</x:f>
        <x:v>0</x:v>
      </x:c>
      <x:c r="G1309" t="n">
        <x:v>1</x:v>
      </x:c>
      <x:c r="H1309" t="str">
        <x:v>equals</x:v>
      </x:c>
      <x:c r="I1309" t="str">
        <x:v>independent acceptance</x:v>
      </x:c>
      <x:c r="J1309" t="str">
        <x:f>IF(F1309=1,"PASS","OPEN")</x:f>
        <x:v>OPEN</x:v>
      </x:c>
    </x:row>
    <x:row r="1310">
      <x:c r="B1310" t="str">
        <x:v>PHY-OC-261</x:v>
      </x:c>
      <x:c r="C1310" t="str">
        <x:v>PHYSICAL</x:v>
      </x:c>
      <x:c r="D1310" t="str">
        <x:v>event outcome</x:v>
      </x:c>
      <x:c r="E1310" t="str">
        <x:v>RFA-E261</x:v>
      </x:c>
      <x:c r="F1310" t="n">
        <x:f>IF('Event Estimator'!M267&lt;&gt;"",1,0)</x:f>
        <x:v>0</x:v>
      </x:c>
      <x:c r="G1310" t="n">
        <x:v>1</x:v>
      </x:c>
      <x:c r="H1310" t="str">
        <x:v>equals</x:v>
      </x:c>
      <x:c r="I1310" t="str">
        <x:v>independent acceptance</x:v>
      </x:c>
      <x:c r="J1310" t="str">
        <x:f>IF(F1310=1,"PASS","OPEN")</x:f>
        <x:v>OPEN</x:v>
      </x:c>
    </x:row>
    <x:row r="1311">
      <x:c r="B1311" t="str">
        <x:v>PHY-EX-262</x:v>
      </x:c>
      <x:c r="C1311" t="str">
        <x:v>PHYSICAL</x:v>
      </x:c>
      <x:c r="D1311" t="str">
        <x:v>event execution</x:v>
      </x:c>
      <x:c r="E1311" t="str">
        <x:v>RFA-E262</x:v>
      </x:c>
      <x:c r="F1311" t="n">
        <x:f>IF('Event Register'!M268&lt;&gt;"",1,0)</x:f>
        <x:v>0</x:v>
      </x:c>
      <x:c r="G1311" t="n">
        <x:v>1</x:v>
      </x:c>
      <x:c r="H1311" t="str">
        <x:v>equals</x:v>
      </x:c>
      <x:c r="I1311" t="str">
        <x:v>independent acceptance</x:v>
      </x:c>
      <x:c r="J1311" t="str">
        <x:f>IF(F1311=1,"PASS","OPEN")</x:f>
        <x:v>OPEN</x:v>
      </x:c>
    </x:row>
    <x:row r="1312">
      <x:c r="B1312" t="str">
        <x:v>PHY-VA-262</x:v>
      </x:c>
      <x:c r="C1312" t="str">
        <x:v>PHYSICAL</x:v>
      </x:c>
      <x:c r="D1312" t="str">
        <x:v>event validity</x:v>
      </x:c>
      <x:c r="E1312" t="str">
        <x:v>RFA-E262</x:v>
      </x:c>
      <x:c r="F1312" t="n">
        <x:f>'Event Estimator'!L268</x:f>
        <x:v>0</x:v>
      </x:c>
      <x:c r="G1312" t="n">
        <x:v>1</x:v>
      </x:c>
      <x:c r="H1312" t="str">
        <x:v>equals</x:v>
      </x:c>
      <x:c r="I1312" t="str">
        <x:v>independent acceptance</x:v>
      </x:c>
      <x:c r="J1312" t="str">
        <x:f>IF(F1312=1,"PASS","OPEN")</x:f>
        <x:v>OPEN</x:v>
      </x:c>
    </x:row>
    <x:row r="1313">
      <x:c r="B1313" t="str">
        <x:v>PHY-OC-262</x:v>
      </x:c>
      <x:c r="C1313" t="str">
        <x:v>PHYSICAL</x:v>
      </x:c>
      <x:c r="D1313" t="str">
        <x:v>event outcome</x:v>
      </x:c>
      <x:c r="E1313" t="str">
        <x:v>RFA-E262</x:v>
      </x:c>
      <x:c r="F1313" t="n">
        <x:f>IF('Event Estimator'!M268&lt;&gt;"",1,0)</x:f>
        <x:v>0</x:v>
      </x:c>
      <x:c r="G1313" t="n">
        <x:v>1</x:v>
      </x:c>
      <x:c r="H1313" t="str">
        <x:v>equals</x:v>
      </x:c>
      <x:c r="I1313" t="str">
        <x:v>independent acceptance</x:v>
      </x:c>
      <x:c r="J1313" t="str">
        <x:f>IF(F1313=1,"PASS","OPEN")</x:f>
        <x:v>OPEN</x:v>
      </x:c>
    </x:row>
    <x:row r="1314">
      <x:c r="B1314" t="str">
        <x:v>PHY-EX-263</x:v>
      </x:c>
      <x:c r="C1314" t="str">
        <x:v>PHYSICAL</x:v>
      </x:c>
      <x:c r="D1314" t="str">
        <x:v>event execution</x:v>
      </x:c>
      <x:c r="E1314" t="str">
        <x:v>RFA-E263</x:v>
      </x:c>
      <x:c r="F1314" t="n">
        <x:f>IF('Event Register'!M269&lt;&gt;"",1,0)</x:f>
        <x:v>0</x:v>
      </x:c>
      <x:c r="G1314" t="n">
        <x:v>1</x:v>
      </x:c>
      <x:c r="H1314" t="str">
        <x:v>equals</x:v>
      </x:c>
      <x:c r="I1314" t="str">
        <x:v>independent acceptance</x:v>
      </x:c>
      <x:c r="J1314" t="str">
        <x:f>IF(F1314=1,"PASS","OPEN")</x:f>
        <x:v>OPEN</x:v>
      </x:c>
    </x:row>
    <x:row r="1315">
      <x:c r="B1315" t="str">
        <x:v>PHY-VA-263</x:v>
      </x:c>
      <x:c r="C1315" t="str">
        <x:v>PHYSICAL</x:v>
      </x:c>
      <x:c r="D1315" t="str">
        <x:v>event validity</x:v>
      </x:c>
      <x:c r="E1315" t="str">
        <x:v>RFA-E263</x:v>
      </x:c>
      <x:c r="F1315" t="n">
        <x:f>'Event Estimator'!L269</x:f>
        <x:v>0</x:v>
      </x:c>
      <x:c r="G1315" t="n">
        <x:v>1</x:v>
      </x:c>
      <x:c r="H1315" t="str">
        <x:v>equals</x:v>
      </x:c>
      <x:c r="I1315" t="str">
        <x:v>independent acceptance</x:v>
      </x:c>
      <x:c r="J1315" t="str">
        <x:f>IF(F1315=1,"PASS","OPEN")</x:f>
        <x:v>OPEN</x:v>
      </x:c>
    </x:row>
    <x:row r="1316">
      <x:c r="B1316" t="str">
        <x:v>PHY-OC-263</x:v>
      </x:c>
      <x:c r="C1316" t="str">
        <x:v>PHYSICAL</x:v>
      </x:c>
      <x:c r="D1316" t="str">
        <x:v>event outcome</x:v>
      </x:c>
      <x:c r="E1316" t="str">
        <x:v>RFA-E263</x:v>
      </x:c>
      <x:c r="F1316" t="n">
        <x:f>IF('Event Estimator'!M269&lt;&gt;"",1,0)</x:f>
        <x:v>0</x:v>
      </x:c>
      <x:c r="G1316" t="n">
        <x:v>1</x:v>
      </x:c>
      <x:c r="H1316" t="str">
        <x:v>equals</x:v>
      </x:c>
      <x:c r="I1316" t="str">
        <x:v>independent acceptance</x:v>
      </x:c>
      <x:c r="J1316" t="str">
        <x:f>IF(F1316=1,"PASS","OPEN")</x:f>
        <x:v>OPEN</x:v>
      </x:c>
    </x:row>
    <x:row r="1317">
      <x:c r="B1317" t="str">
        <x:v>PHY-EX-264</x:v>
      </x:c>
      <x:c r="C1317" t="str">
        <x:v>PHYSICAL</x:v>
      </x:c>
      <x:c r="D1317" t="str">
        <x:v>event execution</x:v>
      </x:c>
      <x:c r="E1317" t="str">
        <x:v>RFA-E264</x:v>
      </x:c>
      <x:c r="F1317" t="n">
        <x:f>IF('Event Register'!M270&lt;&gt;"",1,0)</x:f>
        <x:v>0</x:v>
      </x:c>
      <x:c r="G1317" t="n">
        <x:v>1</x:v>
      </x:c>
      <x:c r="H1317" t="str">
        <x:v>equals</x:v>
      </x:c>
      <x:c r="I1317" t="str">
        <x:v>independent acceptance</x:v>
      </x:c>
      <x:c r="J1317" t="str">
        <x:f>IF(F1317=1,"PASS","OPEN")</x:f>
        <x:v>OPEN</x:v>
      </x:c>
    </x:row>
    <x:row r="1318">
      <x:c r="B1318" t="str">
        <x:v>PHY-VA-264</x:v>
      </x:c>
      <x:c r="C1318" t="str">
        <x:v>PHYSICAL</x:v>
      </x:c>
      <x:c r="D1318" t="str">
        <x:v>event validity</x:v>
      </x:c>
      <x:c r="E1318" t="str">
        <x:v>RFA-E264</x:v>
      </x:c>
      <x:c r="F1318" t="n">
        <x:f>'Event Estimator'!L270</x:f>
        <x:v>0</x:v>
      </x:c>
      <x:c r="G1318" t="n">
        <x:v>1</x:v>
      </x:c>
      <x:c r="H1318" t="str">
        <x:v>equals</x:v>
      </x:c>
      <x:c r="I1318" t="str">
        <x:v>independent acceptance</x:v>
      </x:c>
      <x:c r="J1318" t="str">
        <x:f>IF(F1318=1,"PASS","OPEN")</x:f>
        <x:v>OPEN</x:v>
      </x:c>
    </x:row>
    <x:row r="1319">
      <x:c r="B1319" t="str">
        <x:v>PHY-OC-264</x:v>
      </x:c>
      <x:c r="C1319" t="str">
        <x:v>PHYSICAL</x:v>
      </x:c>
      <x:c r="D1319" t="str">
        <x:v>event outcome</x:v>
      </x:c>
      <x:c r="E1319" t="str">
        <x:v>RFA-E264</x:v>
      </x:c>
      <x:c r="F1319" t="n">
        <x:f>IF('Event Estimator'!M270&lt;&gt;"",1,0)</x:f>
        <x:v>0</x:v>
      </x:c>
      <x:c r="G1319" t="n">
        <x:v>1</x:v>
      </x:c>
      <x:c r="H1319" t="str">
        <x:v>equals</x:v>
      </x:c>
      <x:c r="I1319" t="str">
        <x:v>independent acceptance</x:v>
      </x:c>
      <x:c r="J1319" t="str">
        <x:f>IF(F1319=1,"PASS","OPEN")</x:f>
        <x:v>OPEN</x:v>
      </x:c>
    </x:row>
    <x:row r="1320">
      <x:c r="B1320" t="str">
        <x:v>PHY-EX-265</x:v>
      </x:c>
      <x:c r="C1320" t="str">
        <x:v>PHYSICAL</x:v>
      </x:c>
      <x:c r="D1320" t="str">
        <x:v>event execution</x:v>
      </x:c>
      <x:c r="E1320" t="str">
        <x:v>RFA-E265</x:v>
      </x:c>
      <x:c r="F1320" t="n">
        <x:f>IF('Event Register'!M271&lt;&gt;"",1,0)</x:f>
        <x:v>0</x:v>
      </x:c>
      <x:c r="G1320" t="n">
        <x:v>1</x:v>
      </x:c>
      <x:c r="H1320" t="str">
        <x:v>equals</x:v>
      </x:c>
      <x:c r="I1320" t="str">
        <x:v>independent acceptance</x:v>
      </x:c>
      <x:c r="J1320" t="str">
        <x:f>IF(F1320=1,"PASS","OPEN")</x:f>
        <x:v>OPEN</x:v>
      </x:c>
    </x:row>
    <x:row r="1321">
      <x:c r="B1321" t="str">
        <x:v>PHY-VA-265</x:v>
      </x:c>
      <x:c r="C1321" t="str">
        <x:v>PHYSICAL</x:v>
      </x:c>
      <x:c r="D1321" t="str">
        <x:v>event validity</x:v>
      </x:c>
      <x:c r="E1321" t="str">
        <x:v>RFA-E265</x:v>
      </x:c>
      <x:c r="F1321" t="n">
        <x:f>'Event Estimator'!L271</x:f>
        <x:v>0</x:v>
      </x:c>
      <x:c r="G1321" t="n">
        <x:v>1</x:v>
      </x:c>
      <x:c r="H1321" t="str">
        <x:v>equals</x:v>
      </x:c>
      <x:c r="I1321" t="str">
        <x:v>independent acceptance</x:v>
      </x:c>
      <x:c r="J1321" t="str">
        <x:f>IF(F1321=1,"PASS","OPEN")</x:f>
        <x:v>OPEN</x:v>
      </x:c>
    </x:row>
    <x:row r="1322">
      <x:c r="B1322" t="str">
        <x:v>PHY-OC-265</x:v>
      </x:c>
      <x:c r="C1322" t="str">
        <x:v>PHYSICAL</x:v>
      </x:c>
      <x:c r="D1322" t="str">
        <x:v>event outcome</x:v>
      </x:c>
      <x:c r="E1322" t="str">
        <x:v>RFA-E265</x:v>
      </x:c>
      <x:c r="F1322" t="n">
        <x:f>IF('Event Estimator'!M271&lt;&gt;"",1,0)</x:f>
        <x:v>0</x:v>
      </x:c>
      <x:c r="G1322" t="n">
        <x:v>1</x:v>
      </x:c>
      <x:c r="H1322" t="str">
        <x:v>equals</x:v>
      </x:c>
      <x:c r="I1322" t="str">
        <x:v>independent acceptance</x:v>
      </x:c>
      <x:c r="J1322" t="str">
        <x:f>IF(F1322=1,"PASS","OPEN")</x:f>
        <x:v>OPEN</x:v>
      </x:c>
    </x:row>
    <x:row r="1323">
      <x:c r="B1323" t="str">
        <x:v>PHY-EX-266</x:v>
      </x:c>
      <x:c r="C1323" t="str">
        <x:v>PHYSICAL</x:v>
      </x:c>
      <x:c r="D1323" t="str">
        <x:v>event execution</x:v>
      </x:c>
      <x:c r="E1323" t="str">
        <x:v>RFA-E266</x:v>
      </x:c>
      <x:c r="F1323" t="n">
        <x:f>IF('Event Register'!M272&lt;&gt;"",1,0)</x:f>
        <x:v>0</x:v>
      </x:c>
      <x:c r="G1323" t="n">
        <x:v>1</x:v>
      </x:c>
      <x:c r="H1323" t="str">
        <x:v>equals</x:v>
      </x:c>
      <x:c r="I1323" t="str">
        <x:v>independent acceptance</x:v>
      </x:c>
      <x:c r="J1323" t="str">
        <x:f>IF(F1323=1,"PASS","OPEN")</x:f>
        <x:v>OPEN</x:v>
      </x:c>
    </x:row>
    <x:row r="1324">
      <x:c r="B1324" t="str">
        <x:v>PHY-VA-266</x:v>
      </x:c>
      <x:c r="C1324" t="str">
        <x:v>PHYSICAL</x:v>
      </x:c>
      <x:c r="D1324" t="str">
        <x:v>event validity</x:v>
      </x:c>
      <x:c r="E1324" t="str">
        <x:v>RFA-E266</x:v>
      </x:c>
      <x:c r="F1324" t="n">
        <x:f>'Event Estimator'!L272</x:f>
        <x:v>0</x:v>
      </x:c>
      <x:c r="G1324" t="n">
        <x:v>1</x:v>
      </x:c>
      <x:c r="H1324" t="str">
        <x:v>equals</x:v>
      </x:c>
      <x:c r="I1324" t="str">
        <x:v>independent acceptance</x:v>
      </x:c>
      <x:c r="J1324" t="str">
        <x:f>IF(F1324=1,"PASS","OPEN")</x:f>
        <x:v>OPEN</x:v>
      </x:c>
    </x:row>
    <x:row r="1325">
      <x:c r="B1325" t="str">
        <x:v>PHY-OC-266</x:v>
      </x:c>
      <x:c r="C1325" t="str">
        <x:v>PHYSICAL</x:v>
      </x:c>
      <x:c r="D1325" t="str">
        <x:v>event outcome</x:v>
      </x:c>
      <x:c r="E1325" t="str">
        <x:v>RFA-E266</x:v>
      </x:c>
      <x:c r="F1325" t="n">
        <x:f>IF('Event Estimator'!M272&lt;&gt;"",1,0)</x:f>
        <x:v>0</x:v>
      </x:c>
      <x:c r="G1325" t="n">
        <x:v>1</x:v>
      </x:c>
      <x:c r="H1325" t="str">
        <x:v>equals</x:v>
      </x:c>
      <x:c r="I1325" t="str">
        <x:v>independent acceptance</x:v>
      </x:c>
      <x:c r="J1325" t="str">
        <x:f>IF(F1325=1,"PASS","OPEN")</x:f>
        <x:v>OPEN</x:v>
      </x:c>
    </x:row>
    <x:row r="1326">
      <x:c r="B1326" t="str">
        <x:v>PHY-EX-267</x:v>
      </x:c>
      <x:c r="C1326" t="str">
        <x:v>PHYSICAL</x:v>
      </x:c>
      <x:c r="D1326" t="str">
        <x:v>event execution</x:v>
      </x:c>
      <x:c r="E1326" t="str">
        <x:v>RFA-E267</x:v>
      </x:c>
      <x:c r="F1326" t="n">
        <x:f>IF('Event Register'!M273&lt;&gt;"",1,0)</x:f>
        <x:v>0</x:v>
      </x:c>
      <x:c r="G1326" t="n">
        <x:v>1</x:v>
      </x:c>
      <x:c r="H1326" t="str">
        <x:v>equals</x:v>
      </x:c>
      <x:c r="I1326" t="str">
        <x:v>independent acceptance</x:v>
      </x:c>
      <x:c r="J1326" t="str">
        <x:f>IF(F1326=1,"PASS","OPEN")</x:f>
        <x:v>OPEN</x:v>
      </x:c>
    </x:row>
    <x:row r="1327">
      <x:c r="B1327" t="str">
        <x:v>PHY-VA-267</x:v>
      </x:c>
      <x:c r="C1327" t="str">
        <x:v>PHYSICAL</x:v>
      </x:c>
      <x:c r="D1327" t="str">
        <x:v>event validity</x:v>
      </x:c>
      <x:c r="E1327" t="str">
        <x:v>RFA-E267</x:v>
      </x:c>
      <x:c r="F1327" t="n">
        <x:f>'Event Estimator'!L273</x:f>
        <x:v>0</x:v>
      </x:c>
      <x:c r="G1327" t="n">
        <x:v>1</x:v>
      </x:c>
      <x:c r="H1327" t="str">
        <x:v>equals</x:v>
      </x:c>
      <x:c r="I1327" t="str">
        <x:v>independent acceptance</x:v>
      </x:c>
      <x:c r="J1327" t="str">
        <x:f>IF(F1327=1,"PASS","OPEN")</x:f>
        <x:v>OPEN</x:v>
      </x:c>
    </x:row>
    <x:row r="1328">
      <x:c r="B1328" t="str">
        <x:v>PHY-OC-267</x:v>
      </x:c>
      <x:c r="C1328" t="str">
        <x:v>PHYSICAL</x:v>
      </x:c>
      <x:c r="D1328" t="str">
        <x:v>event outcome</x:v>
      </x:c>
      <x:c r="E1328" t="str">
        <x:v>RFA-E267</x:v>
      </x:c>
      <x:c r="F1328" t="n">
        <x:f>IF('Event Estimator'!M273&lt;&gt;"",1,0)</x:f>
        <x:v>0</x:v>
      </x:c>
      <x:c r="G1328" t="n">
        <x:v>1</x:v>
      </x:c>
      <x:c r="H1328" t="str">
        <x:v>equals</x:v>
      </x:c>
      <x:c r="I1328" t="str">
        <x:v>independent acceptance</x:v>
      </x:c>
      <x:c r="J1328" t="str">
        <x:f>IF(F1328=1,"PASS","OPEN")</x:f>
        <x:v>OPEN</x:v>
      </x:c>
    </x:row>
    <x:row r="1329">
      <x:c r="B1329" t="str">
        <x:v>PHY-EX-268</x:v>
      </x:c>
      <x:c r="C1329" t="str">
        <x:v>PHYSICAL</x:v>
      </x:c>
      <x:c r="D1329" t="str">
        <x:v>event execution</x:v>
      </x:c>
      <x:c r="E1329" t="str">
        <x:v>RFA-E268</x:v>
      </x:c>
      <x:c r="F1329" t="n">
        <x:f>IF('Event Register'!M274&lt;&gt;"",1,0)</x:f>
        <x:v>0</x:v>
      </x:c>
      <x:c r="G1329" t="n">
        <x:v>1</x:v>
      </x:c>
      <x:c r="H1329" t="str">
        <x:v>equals</x:v>
      </x:c>
      <x:c r="I1329" t="str">
        <x:v>independent acceptance</x:v>
      </x:c>
      <x:c r="J1329" t="str">
        <x:f>IF(F1329=1,"PASS","OPEN")</x:f>
        <x:v>OPEN</x:v>
      </x:c>
    </x:row>
    <x:row r="1330">
      <x:c r="B1330" t="str">
        <x:v>PHY-VA-268</x:v>
      </x:c>
      <x:c r="C1330" t="str">
        <x:v>PHYSICAL</x:v>
      </x:c>
      <x:c r="D1330" t="str">
        <x:v>event validity</x:v>
      </x:c>
      <x:c r="E1330" t="str">
        <x:v>RFA-E268</x:v>
      </x:c>
      <x:c r="F1330" t="n">
        <x:f>'Event Estimator'!L274</x:f>
        <x:v>0</x:v>
      </x:c>
      <x:c r="G1330" t="n">
        <x:v>1</x:v>
      </x:c>
      <x:c r="H1330" t="str">
        <x:v>equals</x:v>
      </x:c>
      <x:c r="I1330" t="str">
        <x:v>independent acceptance</x:v>
      </x:c>
      <x:c r="J1330" t="str">
        <x:f>IF(F1330=1,"PASS","OPEN")</x:f>
        <x:v>OPEN</x:v>
      </x:c>
    </x:row>
    <x:row r="1331">
      <x:c r="B1331" t="str">
        <x:v>PHY-OC-268</x:v>
      </x:c>
      <x:c r="C1331" t="str">
        <x:v>PHYSICAL</x:v>
      </x:c>
      <x:c r="D1331" t="str">
        <x:v>event outcome</x:v>
      </x:c>
      <x:c r="E1331" t="str">
        <x:v>RFA-E268</x:v>
      </x:c>
      <x:c r="F1331" t="n">
        <x:f>IF('Event Estimator'!M274&lt;&gt;"",1,0)</x:f>
        <x:v>0</x:v>
      </x:c>
      <x:c r="G1331" t="n">
        <x:v>1</x:v>
      </x:c>
      <x:c r="H1331" t="str">
        <x:v>equals</x:v>
      </x:c>
      <x:c r="I1331" t="str">
        <x:v>independent acceptance</x:v>
      </x:c>
      <x:c r="J1331" t="str">
        <x:f>IF(F1331=1,"PASS","OPEN")</x:f>
        <x:v>OPEN</x:v>
      </x:c>
    </x:row>
    <x:row r="1332">
      <x:c r="B1332" t="str">
        <x:v>PHY-EX-269</x:v>
      </x:c>
      <x:c r="C1332" t="str">
        <x:v>PHYSICAL</x:v>
      </x:c>
      <x:c r="D1332" t="str">
        <x:v>event execution</x:v>
      </x:c>
      <x:c r="E1332" t="str">
        <x:v>RFA-E269</x:v>
      </x:c>
      <x:c r="F1332" t="n">
        <x:f>IF('Event Register'!M275&lt;&gt;"",1,0)</x:f>
        <x:v>0</x:v>
      </x:c>
      <x:c r="G1332" t="n">
        <x:v>1</x:v>
      </x:c>
      <x:c r="H1332" t="str">
        <x:v>equals</x:v>
      </x:c>
      <x:c r="I1332" t="str">
        <x:v>independent acceptance</x:v>
      </x:c>
      <x:c r="J1332" t="str">
        <x:f>IF(F1332=1,"PASS","OPEN")</x:f>
        <x:v>OPEN</x:v>
      </x:c>
    </x:row>
    <x:row r="1333">
      <x:c r="B1333" t="str">
        <x:v>PHY-VA-269</x:v>
      </x:c>
      <x:c r="C1333" t="str">
        <x:v>PHYSICAL</x:v>
      </x:c>
      <x:c r="D1333" t="str">
        <x:v>event validity</x:v>
      </x:c>
      <x:c r="E1333" t="str">
        <x:v>RFA-E269</x:v>
      </x:c>
      <x:c r="F1333" t="n">
        <x:f>'Event Estimator'!L275</x:f>
        <x:v>0</x:v>
      </x:c>
      <x:c r="G1333" t="n">
        <x:v>1</x:v>
      </x:c>
      <x:c r="H1333" t="str">
        <x:v>equals</x:v>
      </x:c>
      <x:c r="I1333" t="str">
        <x:v>independent acceptance</x:v>
      </x:c>
      <x:c r="J1333" t="str">
        <x:f>IF(F1333=1,"PASS","OPEN")</x:f>
        <x:v>OPEN</x:v>
      </x:c>
    </x:row>
    <x:row r="1334">
      <x:c r="B1334" t="str">
        <x:v>PHY-OC-269</x:v>
      </x:c>
      <x:c r="C1334" t="str">
        <x:v>PHYSICAL</x:v>
      </x:c>
      <x:c r="D1334" t="str">
        <x:v>event outcome</x:v>
      </x:c>
      <x:c r="E1334" t="str">
        <x:v>RFA-E269</x:v>
      </x:c>
      <x:c r="F1334" t="n">
        <x:f>IF('Event Estimator'!M275&lt;&gt;"",1,0)</x:f>
        <x:v>0</x:v>
      </x:c>
      <x:c r="G1334" t="n">
        <x:v>1</x:v>
      </x:c>
      <x:c r="H1334" t="str">
        <x:v>equals</x:v>
      </x:c>
      <x:c r="I1334" t="str">
        <x:v>independent acceptance</x:v>
      </x:c>
      <x:c r="J1334" t="str">
        <x:f>IF(F1334=1,"PASS","OPEN")</x:f>
        <x:v>OPEN</x:v>
      </x:c>
    </x:row>
    <x:row r="1335">
      <x:c r="B1335" t="str">
        <x:v>PHY-EX-270</x:v>
      </x:c>
      <x:c r="C1335" t="str">
        <x:v>PHYSICAL</x:v>
      </x:c>
      <x:c r="D1335" t="str">
        <x:v>event execution</x:v>
      </x:c>
      <x:c r="E1335" t="str">
        <x:v>RFA-E270</x:v>
      </x:c>
      <x:c r="F1335" t="n">
        <x:f>IF('Event Register'!M276&lt;&gt;"",1,0)</x:f>
        <x:v>0</x:v>
      </x:c>
      <x:c r="G1335" t="n">
        <x:v>1</x:v>
      </x:c>
      <x:c r="H1335" t="str">
        <x:v>equals</x:v>
      </x:c>
      <x:c r="I1335" t="str">
        <x:v>independent acceptance</x:v>
      </x:c>
      <x:c r="J1335" t="str">
        <x:f>IF(F1335=1,"PASS","OPEN")</x:f>
        <x:v>OPEN</x:v>
      </x:c>
    </x:row>
    <x:row r="1336">
      <x:c r="B1336" t="str">
        <x:v>PHY-VA-270</x:v>
      </x:c>
      <x:c r="C1336" t="str">
        <x:v>PHYSICAL</x:v>
      </x:c>
      <x:c r="D1336" t="str">
        <x:v>event validity</x:v>
      </x:c>
      <x:c r="E1336" t="str">
        <x:v>RFA-E270</x:v>
      </x:c>
      <x:c r="F1336" t="n">
        <x:f>'Event Estimator'!L276</x:f>
        <x:v>0</x:v>
      </x:c>
      <x:c r="G1336" t="n">
        <x:v>1</x:v>
      </x:c>
      <x:c r="H1336" t="str">
        <x:v>equals</x:v>
      </x:c>
      <x:c r="I1336" t="str">
        <x:v>independent acceptance</x:v>
      </x:c>
      <x:c r="J1336" t="str">
        <x:f>IF(F1336=1,"PASS","OPEN")</x:f>
        <x:v>OPEN</x:v>
      </x:c>
    </x:row>
    <x:row r="1337">
      <x:c r="B1337" t="str">
        <x:v>PHY-OC-270</x:v>
      </x:c>
      <x:c r="C1337" t="str">
        <x:v>PHYSICAL</x:v>
      </x:c>
      <x:c r="D1337" t="str">
        <x:v>event outcome</x:v>
      </x:c>
      <x:c r="E1337" t="str">
        <x:v>RFA-E270</x:v>
      </x:c>
      <x:c r="F1337" t="n">
        <x:f>IF('Event Estimator'!M276&lt;&gt;"",1,0)</x:f>
        <x:v>0</x:v>
      </x:c>
      <x:c r="G1337" t="n">
        <x:v>1</x:v>
      </x:c>
      <x:c r="H1337" t="str">
        <x:v>equals</x:v>
      </x:c>
      <x:c r="I1337" t="str">
        <x:v>independent acceptance</x:v>
      </x:c>
      <x:c r="J1337" t="str">
        <x:f>IF(F1337=1,"PASS","OPEN")</x:f>
        <x:v>OPEN</x:v>
      </x:c>
    </x:row>
    <x:row r="1338">
      <x:c r="B1338" t="str">
        <x:v>PHY-EX-271</x:v>
      </x:c>
      <x:c r="C1338" t="str">
        <x:v>PHYSICAL</x:v>
      </x:c>
      <x:c r="D1338" t="str">
        <x:v>event execution</x:v>
      </x:c>
      <x:c r="E1338" t="str">
        <x:v>RFA-E271</x:v>
      </x:c>
      <x:c r="F1338" t="n">
        <x:f>IF('Event Register'!M277&lt;&gt;"",1,0)</x:f>
        <x:v>0</x:v>
      </x:c>
      <x:c r="G1338" t="n">
        <x:v>1</x:v>
      </x:c>
      <x:c r="H1338" t="str">
        <x:v>equals</x:v>
      </x:c>
      <x:c r="I1338" t="str">
        <x:v>independent acceptance</x:v>
      </x:c>
      <x:c r="J1338" t="str">
        <x:f>IF(F1338=1,"PASS","OPEN")</x:f>
        <x:v>OPEN</x:v>
      </x:c>
    </x:row>
    <x:row r="1339">
      <x:c r="B1339" t="str">
        <x:v>PHY-VA-271</x:v>
      </x:c>
      <x:c r="C1339" t="str">
        <x:v>PHYSICAL</x:v>
      </x:c>
      <x:c r="D1339" t="str">
        <x:v>event validity</x:v>
      </x:c>
      <x:c r="E1339" t="str">
        <x:v>RFA-E271</x:v>
      </x:c>
      <x:c r="F1339" t="n">
        <x:f>'Event Estimator'!L277</x:f>
        <x:v>0</x:v>
      </x:c>
      <x:c r="G1339" t="n">
        <x:v>1</x:v>
      </x:c>
      <x:c r="H1339" t="str">
        <x:v>equals</x:v>
      </x:c>
      <x:c r="I1339" t="str">
        <x:v>independent acceptance</x:v>
      </x:c>
      <x:c r="J1339" t="str">
        <x:f>IF(F1339=1,"PASS","OPEN")</x:f>
        <x:v>OPEN</x:v>
      </x:c>
    </x:row>
    <x:row r="1340">
      <x:c r="B1340" t="str">
        <x:v>PHY-OC-271</x:v>
      </x:c>
      <x:c r="C1340" t="str">
        <x:v>PHYSICAL</x:v>
      </x:c>
      <x:c r="D1340" t="str">
        <x:v>event outcome</x:v>
      </x:c>
      <x:c r="E1340" t="str">
        <x:v>RFA-E271</x:v>
      </x:c>
      <x:c r="F1340" t="n">
        <x:f>IF('Event Estimator'!M277&lt;&gt;"",1,0)</x:f>
        <x:v>0</x:v>
      </x:c>
      <x:c r="G1340" t="n">
        <x:v>1</x:v>
      </x:c>
      <x:c r="H1340" t="str">
        <x:v>equals</x:v>
      </x:c>
      <x:c r="I1340" t="str">
        <x:v>independent acceptance</x:v>
      </x:c>
      <x:c r="J1340" t="str">
        <x:f>IF(F1340=1,"PASS","OPEN")</x:f>
        <x:v>OPEN</x:v>
      </x:c>
    </x:row>
    <x:row r="1341">
      <x:c r="B1341" t="str">
        <x:v>PHY-EX-272</x:v>
      </x:c>
      <x:c r="C1341" t="str">
        <x:v>PHYSICAL</x:v>
      </x:c>
      <x:c r="D1341" t="str">
        <x:v>event execution</x:v>
      </x:c>
      <x:c r="E1341" t="str">
        <x:v>RFA-E272</x:v>
      </x:c>
      <x:c r="F1341" t="n">
        <x:f>IF('Event Register'!M278&lt;&gt;"",1,0)</x:f>
        <x:v>0</x:v>
      </x:c>
      <x:c r="G1341" t="n">
        <x:v>1</x:v>
      </x:c>
      <x:c r="H1341" t="str">
        <x:v>equals</x:v>
      </x:c>
      <x:c r="I1341" t="str">
        <x:v>independent acceptance</x:v>
      </x:c>
      <x:c r="J1341" t="str">
        <x:f>IF(F1341=1,"PASS","OPEN")</x:f>
        <x:v>OPEN</x:v>
      </x:c>
    </x:row>
    <x:row r="1342">
      <x:c r="B1342" t="str">
        <x:v>PHY-VA-272</x:v>
      </x:c>
      <x:c r="C1342" t="str">
        <x:v>PHYSICAL</x:v>
      </x:c>
      <x:c r="D1342" t="str">
        <x:v>event validity</x:v>
      </x:c>
      <x:c r="E1342" t="str">
        <x:v>RFA-E272</x:v>
      </x:c>
      <x:c r="F1342" t="n">
        <x:f>'Event Estimator'!L278</x:f>
        <x:v>0</x:v>
      </x:c>
      <x:c r="G1342" t="n">
        <x:v>1</x:v>
      </x:c>
      <x:c r="H1342" t="str">
        <x:v>equals</x:v>
      </x:c>
      <x:c r="I1342" t="str">
        <x:v>independent acceptance</x:v>
      </x:c>
      <x:c r="J1342" t="str">
        <x:f>IF(F1342=1,"PASS","OPEN")</x:f>
        <x:v>OPEN</x:v>
      </x:c>
    </x:row>
    <x:row r="1343">
      <x:c r="B1343" t="str">
        <x:v>PHY-OC-272</x:v>
      </x:c>
      <x:c r="C1343" t="str">
        <x:v>PHYSICAL</x:v>
      </x:c>
      <x:c r="D1343" t="str">
        <x:v>event outcome</x:v>
      </x:c>
      <x:c r="E1343" t="str">
        <x:v>RFA-E272</x:v>
      </x:c>
      <x:c r="F1343" t="n">
        <x:f>IF('Event Estimator'!M278&lt;&gt;"",1,0)</x:f>
        <x:v>0</x:v>
      </x:c>
      <x:c r="G1343" t="n">
        <x:v>1</x:v>
      </x:c>
      <x:c r="H1343" t="str">
        <x:v>equals</x:v>
      </x:c>
      <x:c r="I1343" t="str">
        <x:v>independent acceptance</x:v>
      </x:c>
      <x:c r="J1343" t="str">
        <x:f>IF(F1343=1,"PASS","OPEN")</x:f>
        <x:v>OPEN</x:v>
      </x:c>
    </x:row>
    <x:row r="1344">
      <x:c r="B1344" t="str">
        <x:v>PHY-EX-273</x:v>
      </x:c>
      <x:c r="C1344" t="str">
        <x:v>PHYSICAL</x:v>
      </x:c>
      <x:c r="D1344" t="str">
        <x:v>event execution</x:v>
      </x:c>
      <x:c r="E1344" t="str">
        <x:v>RFA-E273</x:v>
      </x:c>
      <x:c r="F1344" t="n">
        <x:f>IF('Event Register'!M279&lt;&gt;"",1,0)</x:f>
        <x:v>0</x:v>
      </x:c>
      <x:c r="G1344" t="n">
        <x:v>1</x:v>
      </x:c>
      <x:c r="H1344" t="str">
        <x:v>equals</x:v>
      </x:c>
      <x:c r="I1344" t="str">
        <x:v>independent acceptance</x:v>
      </x:c>
      <x:c r="J1344" t="str">
        <x:f>IF(F1344=1,"PASS","OPEN")</x:f>
        <x:v>OPEN</x:v>
      </x:c>
    </x:row>
    <x:row r="1345">
      <x:c r="B1345" t="str">
        <x:v>PHY-VA-273</x:v>
      </x:c>
      <x:c r="C1345" t="str">
        <x:v>PHYSICAL</x:v>
      </x:c>
      <x:c r="D1345" t="str">
        <x:v>event validity</x:v>
      </x:c>
      <x:c r="E1345" t="str">
        <x:v>RFA-E273</x:v>
      </x:c>
      <x:c r="F1345" t="n">
        <x:f>'Event Estimator'!L279</x:f>
        <x:v>0</x:v>
      </x:c>
      <x:c r="G1345" t="n">
        <x:v>1</x:v>
      </x:c>
      <x:c r="H1345" t="str">
        <x:v>equals</x:v>
      </x:c>
      <x:c r="I1345" t="str">
        <x:v>independent acceptance</x:v>
      </x:c>
      <x:c r="J1345" t="str">
        <x:f>IF(F1345=1,"PASS","OPEN")</x:f>
        <x:v>OPEN</x:v>
      </x:c>
    </x:row>
    <x:row r="1346">
      <x:c r="B1346" t="str">
        <x:v>PHY-OC-273</x:v>
      </x:c>
      <x:c r="C1346" t="str">
        <x:v>PHYSICAL</x:v>
      </x:c>
      <x:c r="D1346" t="str">
        <x:v>event outcome</x:v>
      </x:c>
      <x:c r="E1346" t="str">
        <x:v>RFA-E273</x:v>
      </x:c>
      <x:c r="F1346" t="n">
        <x:f>IF('Event Estimator'!M279&lt;&gt;"",1,0)</x:f>
        <x:v>0</x:v>
      </x:c>
      <x:c r="G1346" t="n">
        <x:v>1</x:v>
      </x:c>
      <x:c r="H1346" t="str">
        <x:v>equals</x:v>
      </x:c>
      <x:c r="I1346" t="str">
        <x:v>independent acceptance</x:v>
      </x:c>
      <x:c r="J1346" t="str">
        <x:f>IF(F1346=1,"PASS","OPEN")</x:f>
        <x:v>OPEN</x:v>
      </x:c>
    </x:row>
    <x:row r="1347">
      <x:c r="B1347" t="str">
        <x:v>PHY-EX-274</x:v>
      </x:c>
      <x:c r="C1347" t="str">
        <x:v>PHYSICAL</x:v>
      </x:c>
      <x:c r="D1347" t="str">
        <x:v>event execution</x:v>
      </x:c>
      <x:c r="E1347" t="str">
        <x:v>RFA-E274</x:v>
      </x:c>
      <x:c r="F1347" t="n">
        <x:f>IF('Event Register'!M280&lt;&gt;"",1,0)</x:f>
        <x:v>0</x:v>
      </x:c>
      <x:c r="G1347" t="n">
        <x:v>1</x:v>
      </x:c>
      <x:c r="H1347" t="str">
        <x:v>equals</x:v>
      </x:c>
      <x:c r="I1347" t="str">
        <x:v>independent acceptance</x:v>
      </x:c>
      <x:c r="J1347" t="str">
        <x:f>IF(F1347=1,"PASS","OPEN")</x:f>
        <x:v>OPEN</x:v>
      </x:c>
    </x:row>
    <x:row r="1348">
      <x:c r="B1348" t="str">
        <x:v>PHY-VA-274</x:v>
      </x:c>
      <x:c r="C1348" t="str">
        <x:v>PHYSICAL</x:v>
      </x:c>
      <x:c r="D1348" t="str">
        <x:v>event validity</x:v>
      </x:c>
      <x:c r="E1348" t="str">
        <x:v>RFA-E274</x:v>
      </x:c>
      <x:c r="F1348" t="n">
        <x:f>'Event Estimator'!L280</x:f>
        <x:v>0</x:v>
      </x:c>
      <x:c r="G1348" t="n">
        <x:v>1</x:v>
      </x:c>
      <x:c r="H1348" t="str">
        <x:v>equals</x:v>
      </x:c>
      <x:c r="I1348" t="str">
        <x:v>independent acceptance</x:v>
      </x:c>
      <x:c r="J1348" t="str">
        <x:f>IF(F1348=1,"PASS","OPEN")</x:f>
        <x:v>OPEN</x:v>
      </x:c>
    </x:row>
    <x:row r="1349">
      <x:c r="B1349" t="str">
        <x:v>PHY-OC-274</x:v>
      </x:c>
      <x:c r="C1349" t="str">
        <x:v>PHYSICAL</x:v>
      </x:c>
      <x:c r="D1349" t="str">
        <x:v>event outcome</x:v>
      </x:c>
      <x:c r="E1349" t="str">
        <x:v>RFA-E274</x:v>
      </x:c>
      <x:c r="F1349" t="n">
        <x:f>IF('Event Estimator'!M280&lt;&gt;"",1,0)</x:f>
        <x:v>0</x:v>
      </x:c>
      <x:c r="G1349" t="n">
        <x:v>1</x:v>
      </x:c>
      <x:c r="H1349" t="str">
        <x:v>equals</x:v>
      </x:c>
      <x:c r="I1349" t="str">
        <x:v>independent acceptance</x:v>
      </x:c>
      <x:c r="J1349" t="str">
        <x:f>IF(F1349=1,"PASS","OPEN")</x:f>
        <x:v>OPEN</x:v>
      </x:c>
    </x:row>
    <x:row r="1350">
      <x:c r="B1350" t="str">
        <x:v>PHY-EX-275</x:v>
      </x:c>
      <x:c r="C1350" t="str">
        <x:v>PHYSICAL</x:v>
      </x:c>
      <x:c r="D1350" t="str">
        <x:v>event execution</x:v>
      </x:c>
      <x:c r="E1350" t="str">
        <x:v>RFA-E275</x:v>
      </x:c>
      <x:c r="F1350" t="n">
        <x:f>IF('Event Register'!M281&lt;&gt;"",1,0)</x:f>
        <x:v>0</x:v>
      </x:c>
      <x:c r="G1350" t="n">
        <x:v>1</x:v>
      </x:c>
      <x:c r="H1350" t="str">
        <x:v>equals</x:v>
      </x:c>
      <x:c r="I1350" t="str">
        <x:v>independent acceptance</x:v>
      </x:c>
      <x:c r="J1350" t="str">
        <x:f>IF(F1350=1,"PASS","OPEN")</x:f>
        <x:v>OPEN</x:v>
      </x:c>
    </x:row>
    <x:row r="1351">
      <x:c r="B1351" t="str">
        <x:v>PHY-VA-275</x:v>
      </x:c>
      <x:c r="C1351" t="str">
        <x:v>PHYSICAL</x:v>
      </x:c>
      <x:c r="D1351" t="str">
        <x:v>event validity</x:v>
      </x:c>
      <x:c r="E1351" t="str">
        <x:v>RFA-E275</x:v>
      </x:c>
      <x:c r="F1351" t="n">
        <x:f>'Event Estimator'!L281</x:f>
        <x:v>0</x:v>
      </x:c>
      <x:c r="G1351" t="n">
        <x:v>1</x:v>
      </x:c>
      <x:c r="H1351" t="str">
        <x:v>equals</x:v>
      </x:c>
      <x:c r="I1351" t="str">
        <x:v>independent acceptance</x:v>
      </x:c>
      <x:c r="J1351" t="str">
        <x:f>IF(F1351=1,"PASS","OPEN")</x:f>
        <x:v>OPEN</x:v>
      </x:c>
    </x:row>
    <x:row r="1352">
      <x:c r="B1352" t="str">
        <x:v>PHY-OC-275</x:v>
      </x:c>
      <x:c r="C1352" t="str">
        <x:v>PHYSICAL</x:v>
      </x:c>
      <x:c r="D1352" t="str">
        <x:v>event outcome</x:v>
      </x:c>
      <x:c r="E1352" t="str">
        <x:v>RFA-E275</x:v>
      </x:c>
      <x:c r="F1352" t="n">
        <x:f>IF('Event Estimator'!M281&lt;&gt;"",1,0)</x:f>
        <x:v>0</x:v>
      </x:c>
      <x:c r="G1352" t="n">
        <x:v>1</x:v>
      </x:c>
      <x:c r="H1352" t="str">
        <x:v>equals</x:v>
      </x:c>
      <x:c r="I1352" t="str">
        <x:v>independent acceptance</x:v>
      </x:c>
      <x:c r="J1352" t="str">
        <x:f>IF(F1352=1,"PASS","OPEN")</x:f>
        <x:v>OPEN</x:v>
      </x:c>
    </x:row>
    <x:row r="1353">
      <x:c r="B1353" t="str">
        <x:v>PHY-EX-276</x:v>
      </x:c>
      <x:c r="C1353" t="str">
        <x:v>PHYSICAL</x:v>
      </x:c>
      <x:c r="D1353" t="str">
        <x:v>event execution</x:v>
      </x:c>
      <x:c r="E1353" t="str">
        <x:v>RFA-E276</x:v>
      </x:c>
      <x:c r="F1353" t="n">
        <x:f>IF('Event Register'!M282&lt;&gt;"",1,0)</x:f>
        <x:v>0</x:v>
      </x:c>
      <x:c r="G1353" t="n">
        <x:v>1</x:v>
      </x:c>
      <x:c r="H1353" t="str">
        <x:v>equals</x:v>
      </x:c>
      <x:c r="I1353" t="str">
        <x:v>independent acceptance</x:v>
      </x:c>
      <x:c r="J1353" t="str">
        <x:f>IF(F1353=1,"PASS","OPEN")</x:f>
        <x:v>OPEN</x:v>
      </x:c>
    </x:row>
    <x:row r="1354">
      <x:c r="B1354" t="str">
        <x:v>PHY-VA-276</x:v>
      </x:c>
      <x:c r="C1354" t="str">
        <x:v>PHYSICAL</x:v>
      </x:c>
      <x:c r="D1354" t="str">
        <x:v>event validity</x:v>
      </x:c>
      <x:c r="E1354" t="str">
        <x:v>RFA-E276</x:v>
      </x:c>
      <x:c r="F1354" t="n">
        <x:f>'Event Estimator'!L282</x:f>
        <x:v>0</x:v>
      </x:c>
      <x:c r="G1354" t="n">
        <x:v>1</x:v>
      </x:c>
      <x:c r="H1354" t="str">
        <x:v>equals</x:v>
      </x:c>
      <x:c r="I1354" t="str">
        <x:v>independent acceptance</x:v>
      </x:c>
      <x:c r="J1354" t="str">
        <x:f>IF(F1354=1,"PASS","OPEN")</x:f>
        <x:v>OPEN</x:v>
      </x:c>
    </x:row>
    <x:row r="1355">
      <x:c r="B1355" t="str">
        <x:v>PHY-OC-276</x:v>
      </x:c>
      <x:c r="C1355" t="str">
        <x:v>PHYSICAL</x:v>
      </x:c>
      <x:c r="D1355" t="str">
        <x:v>event outcome</x:v>
      </x:c>
      <x:c r="E1355" t="str">
        <x:v>RFA-E276</x:v>
      </x:c>
      <x:c r="F1355" t="n">
        <x:f>IF('Event Estimator'!M282&lt;&gt;"",1,0)</x:f>
        <x:v>0</x:v>
      </x:c>
      <x:c r="G1355" t="n">
        <x:v>1</x:v>
      </x:c>
      <x:c r="H1355" t="str">
        <x:v>equals</x:v>
      </x:c>
      <x:c r="I1355" t="str">
        <x:v>independent acceptance</x:v>
      </x:c>
      <x:c r="J1355" t="str">
        <x:f>IF(F1355=1,"PASS","OPEN")</x:f>
        <x:v>OPEN</x:v>
      </x:c>
    </x:row>
    <x:row r="1356">
      <x:c r="B1356" t="str">
        <x:v>PHY-EX-277</x:v>
      </x:c>
      <x:c r="C1356" t="str">
        <x:v>PHYSICAL</x:v>
      </x:c>
      <x:c r="D1356" t="str">
        <x:v>event execution</x:v>
      </x:c>
      <x:c r="E1356" t="str">
        <x:v>RFA-E277</x:v>
      </x:c>
      <x:c r="F1356" t="n">
        <x:f>IF('Event Register'!M283&lt;&gt;"",1,0)</x:f>
        <x:v>0</x:v>
      </x:c>
      <x:c r="G1356" t="n">
        <x:v>1</x:v>
      </x:c>
      <x:c r="H1356" t="str">
        <x:v>equals</x:v>
      </x:c>
      <x:c r="I1356" t="str">
        <x:v>independent acceptance</x:v>
      </x:c>
      <x:c r="J1356" t="str">
        <x:f>IF(F1356=1,"PASS","OPEN")</x:f>
        <x:v>OPEN</x:v>
      </x:c>
    </x:row>
    <x:row r="1357">
      <x:c r="B1357" t="str">
        <x:v>PHY-VA-277</x:v>
      </x:c>
      <x:c r="C1357" t="str">
        <x:v>PHYSICAL</x:v>
      </x:c>
      <x:c r="D1357" t="str">
        <x:v>event validity</x:v>
      </x:c>
      <x:c r="E1357" t="str">
        <x:v>RFA-E277</x:v>
      </x:c>
      <x:c r="F1357" t="n">
        <x:f>'Event Estimator'!L283</x:f>
        <x:v>0</x:v>
      </x:c>
      <x:c r="G1357" t="n">
        <x:v>1</x:v>
      </x:c>
      <x:c r="H1357" t="str">
        <x:v>equals</x:v>
      </x:c>
      <x:c r="I1357" t="str">
        <x:v>independent acceptance</x:v>
      </x:c>
      <x:c r="J1357" t="str">
        <x:f>IF(F1357=1,"PASS","OPEN")</x:f>
        <x:v>OPEN</x:v>
      </x:c>
    </x:row>
    <x:row r="1358">
      <x:c r="B1358" t="str">
        <x:v>PHY-OC-277</x:v>
      </x:c>
      <x:c r="C1358" t="str">
        <x:v>PHYSICAL</x:v>
      </x:c>
      <x:c r="D1358" t="str">
        <x:v>event outcome</x:v>
      </x:c>
      <x:c r="E1358" t="str">
        <x:v>RFA-E277</x:v>
      </x:c>
      <x:c r="F1358" t="n">
        <x:f>IF('Event Estimator'!M283&lt;&gt;"",1,0)</x:f>
        <x:v>0</x:v>
      </x:c>
      <x:c r="G1358" t="n">
        <x:v>1</x:v>
      </x:c>
      <x:c r="H1358" t="str">
        <x:v>equals</x:v>
      </x:c>
      <x:c r="I1358" t="str">
        <x:v>independent acceptance</x:v>
      </x:c>
      <x:c r="J1358" t="str">
        <x:f>IF(F1358=1,"PASS","OPEN")</x:f>
        <x:v>OPEN</x:v>
      </x:c>
    </x:row>
    <x:row r="1359">
      <x:c r="B1359" t="str">
        <x:v>PHY-EX-278</x:v>
      </x:c>
      <x:c r="C1359" t="str">
        <x:v>PHYSICAL</x:v>
      </x:c>
      <x:c r="D1359" t="str">
        <x:v>event execution</x:v>
      </x:c>
      <x:c r="E1359" t="str">
        <x:v>RFA-E278</x:v>
      </x:c>
      <x:c r="F1359" t="n">
        <x:f>IF('Event Register'!M284&lt;&gt;"",1,0)</x:f>
        <x:v>0</x:v>
      </x:c>
      <x:c r="G1359" t="n">
        <x:v>1</x:v>
      </x:c>
      <x:c r="H1359" t="str">
        <x:v>equals</x:v>
      </x:c>
      <x:c r="I1359" t="str">
        <x:v>independent acceptance</x:v>
      </x:c>
      <x:c r="J1359" t="str">
        <x:f>IF(F1359=1,"PASS","OPEN")</x:f>
        <x:v>OPEN</x:v>
      </x:c>
    </x:row>
    <x:row r="1360">
      <x:c r="B1360" t="str">
        <x:v>PHY-VA-278</x:v>
      </x:c>
      <x:c r="C1360" t="str">
        <x:v>PHYSICAL</x:v>
      </x:c>
      <x:c r="D1360" t="str">
        <x:v>event validity</x:v>
      </x:c>
      <x:c r="E1360" t="str">
        <x:v>RFA-E278</x:v>
      </x:c>
      <x:c r="F1360" t="n">
        <x:f>'Event Estimator'!L284</x:f>
        <x:v>0</x:v>
      </x:c>
      <x:c r="G1360" t="n">
        <x:v>1</x:v>
      </x:c>
      <x:c r="H1360" t="str">
        <x:v>equals</x:v>
      </x:c>
      <x:c r="I1360" t="str">
        <x:v>independent acceptance</x:v>
      </x:c>
      <x:c r="J1360" t="str">
        <x:f>IF(F1360=1,"PASS","OPEN")</x:f>
        <x:v>OPEN</x:v>
      </x:c>
    </x:row>
    <x:row r="1361">
      <x:c r="B1361" t="str">
        <x:v>PHY-OC-278</x:v>
      </x:c>
      <x:c r="C1361" t="str">
        <x:v>PHYSICAL</x:v>
      </x:c>
      <x:c r="D1361" t="str">
        <x:v>event outcome</x:v>
      </x:c>
      <x:c r="E1361" t="str">
        <x:v>RFA-E278</x:v>
      </x:c>
      <x:c r="F1361" t="n">
        <x:f>IF('Event Estimator'!M284&lt;&gt;"",1,0)</x:f>
        <x:v>0</x:v>
      </x:c>
      <x:c r="G1361" t="n">
        <x:v>1</x:v>
      </x:c>
      <x:c r="H1361" t="str">
        <x:v>equals</x:v>
      </x:c>
      <x:c r="I1361" t="str">
        <x:v>independent acceptance</x:v>
      </x:c>
      <x:c r="J1361" t="str">
        <x:f>IF(F1361=1,"PASS","OPEN")</x:f>
        <x:v>OPEN</x:v>
      </x:c>
    </x:row>
    <x:row r="1362">
      <x:c r="B1362" t="str">
        <x:v>PHY-EX-279</x:v>
      </x:c>
      <x:c r="C1362" t="str">
        <x:v>PHYSICAL</x:v>
      </x:c>
      <x:c r="D1362" t="str">
        <x:v>event execution</x:v>
      </x:c>
      <x:c r="E1362" t="str">
        <x:v>RFA-E279</x:v>
      </x:c>
      <x:c r="F1362" t="n">
        <x:f>IF('Event Register'!M285&lt;&gt;"",1,0)</x:f>
        <x:v>0</x:v>
      </x:c>
      <x:c r="G1362" t="n">
        <x:v>1</x:v>
      </x:c>
      <x:c r="H1362" t="str">
        <x:v>equals</x:v>
      </x:c>
      <x:c r="I1362" t="str">
        <x:v>independent acceptance</x:v>
      </x:c>
      <x:c r="J1362" t="str">
        <x:f>IF(F1362=1,"PASS","OPEN")</x:f>
        <x:v>OPEN</x:v>
      </x:c>
    </x:row>
    <x:row r="1363">
      <x:c r="B1363" t="str">
        <x:v>PHY-VA-279</x:v>
      </x:c>
      <x:c r="C1363" t="str">
        <x:v>PHYSICAL</x:v>
      </x:c>
      <x:c r="D1363" t="str">
        <x:v>event validity</x:v>
      </x:c>
      <x:c r="E1363" t="str">
        <x:v>RFA-E279</x:v>
      </x:c>
      <x:c r="F1363" t="n">
        <x:f>'Event Estimator'!L285</x:f>
        <x:v>0</x:v>
      </x:c>
      <x:c r="G1363" t="n">
        <x:v>1</x:v>
      </x:c>
      <x:c r="H1363" t="str">
        <x:v>equals</x:v>
      </x:c>
      <x:c r="I1363" t="str">
        <x:v>independent acceptance</x:v>
      </x:c>
      <x:c r="J1363" t="str">
        <x:f>IF(F1363=1,"PASS","OPEN")</x:f>
        <x:v>OPEN</x:v>
      </x:c>
    </x:row>
    <x:row r="1364">
      <x:c r="B1364" t="str">
        <x:v>PHY-OC-279</x:v>
      </x:c>
      <x:c r="C1364" t="str">
        <x:v>PHYSICAL</x:v>
      </x:c>
      <x:c r="D1364" t="str">
        <x:v>event outcome</x:v>
      </x:c>
      <x:c r="E1364" t="str">
        <x:v>RFA-E279</x:v>
      </x:c>
      <x:c r="F1364" t="n">
        <x:f>IF('Event Estimator'!M285&lt;&gt;"",1,0)</x:f>
        <x:v>0</x:v>
      </x:c>
      <x:c r="G1364" t="n">
        <x:v>1</x:v>
      </x:c>
      <x:c r="H1364" t="str">
        <x:v>equals</x:v>
      </x:c>
      <x:c r="I1364" t="str">
        <x:v>independent acceptance</x:v>
      </x:c>
      <x:c r="J1364" t="str">
        <x:f>IF(F1364=1,"PASS","OPEN")</x:f>
        <x:v>OPEN</x:v>
      </x:c>
    </x:row>
    <x:row r="1365">
      <x:c r="B1365" t="str">
        <x:v>PHY-EX-280</x:v>
      </x:c>
      <x:c r="C1365" t="str">
        <x:v>PHYSICAL</x:v>
      </x:c>
      <x:c r="D1365" t="str">
        <x:v>event execution</x:v>
      </x:c>
      <x:c r="E1365" t="str">
        <x:v>RFA-E280</x:v>
      </x:c>
      <x:c r="F1365" t="n">
        <x:f>IF('Event Register'!M286&lt;&gt;"",1,0)</x:f>
        <x:v>0</x:v>
      </x:c>
      <x:c r="G1365" t="n">
        <x:v>1</x:v>
      </x:c>
      <x:c r="H1365" t="str">
        <x:v>equals</x:v>
      </x:c>
      <x:c r="I1365" t="str">
        <x:v>independent acceptance</x:v>
      </x:c>
      <x:c r="J1365" t="str">
        <x:f>IF(F1365=1,"PASS","OPEN")</x:f>
        <x:v>OPEN</x:v>
      </x:c>
    </x:row>
    <x:row r="1366">
      <x:c r="B1366" t="str">
        <x:v>PHY-VA-280</x:v>
      </x:c>
      <x:c r="C1366" t="str">
        <x:v>PHYSICAL</x:v>
      </x:c>
      <x:c r="D1366" t="str">
        <x:v>event validity</x:v>
      </x:c>
      <x:c r="E1366" t="str">
        <x:v>RFA-E280</x:v>
      </x:c>
      <x:c r="F1366" t="n">
        <x:f>'Event Estimator'!L286</x:f>
        <x:v>0</x:v>
      </x:c>
      <x:c r="G1366" t="n">
        <x:v>1</x:v>
      </x:c>
      <x:c r="H1366" t="str">
        <x:v>equals</x:v>
      </x:c>
      <x:c r="I1366" t="str">
        <x:v>independent acceptance</x:v>
      </x:c>
      <x:c r="J1366" t="str">
        <x:f>IF(F1366=1,"PASS","OPEN")</x:f>
        <x:v>OPEN</x:v>
      </x:c>
    </x:row>
    <x:row r="1367">
      <x:c r="B1367" t="str">
        <x:v>PHY-OC-280</x:v>
      </x:c>
      <x:c r="C1367" t="str">
        <x:v>PHYSICAL</x:v>
      </x:c>
      <x:c r="D1367" t="str">
        <x:v>event outcome</x:v>
      </x:c>
      <x:c r="E1367" t="str">
        <x:v>RFA-E280</x:v>
      </x:c>
      <x:c r="F1367" t="n">
        <x:f>IF('Event Estimator'!M286&lt;&gt;"",1,0)</x:f>
        <x:v>0</x:v>
      </x:c>
      <x:c r="G1367" t="n">
        <x:v>1</x:v>
      </x:c>
      <x:c r="H1367" t="str">
        <x:v>equals</x:v>
      </x:c>
      <x:c r="I1367" t="str">
        <x:v>independent acceptance</x:v>
      </x:c>
      <x:c r="J1367" t="str">
        <x:f>IF(F1367=1,"PASS","OPEN")</x:f>
        <x:v>OPEN</x:v>
      </x:c>
    </x:row>
    <x:row r="1368">
      <x:c r="B1368" t="str">
        <x:v>PHY-EX-281</x:v>
      </x:c>
      <x:c r="C1368" t="str">
        <x:v>PHYSICAL</x:v>
      </x:c>
      <x:c r="D1368" t="str">
        <x:v>event execution</x:v>
      </x:c>
      <x:c r="E1368" t="str">
        <x:v>RFA-E281</x:v>
      </x:c>
      <x:c r="F1368" t="n">
        <x:f>IF('Event Register'!M287&lt;&gt;"",1,0)</x:f>
        <x:v>0</x:v>
      </x:c>
      <x:c r="G1368" t="n">
        <x:v>1</x:v>
      </x:c>
      <x:c r="H1368" t="str">
        <x:v>equals</x:v>
      </x:c>
      <x:c r="I1368" t="str">
        <x:v>independent acceptance</x:v>
      </x:c>
      <x:c r="J1368" t="str">
        <x:f>IF(F1368=1,"PASS","OPEN")</x:f>
        <x:v>OPEN</x:v>
      </x:c>
    </x:row>
    <x:row r="1369">
      <x:c r="B1369" t="str">
        <x:v>PHY-VA-281</x:v>
      </x:c>
      <x:c r="C1369" t="str">
        <x:v>PHYSICAL</x:v>
      </x:c>
      <x:c r="D1369" t="str">
        <x:v>event validity</x:v>
      </x:c>
      <x:c r="E1369" t="str">
        <x:v>RFA-E281</x:v>
      </x:c>
      <x:c r="F1369" t="n">
        <x:f>'Event Estimator'!L287</x:f>
        <x:v>0</x:v>
      </x:c>
      <x:c r="G1369" t="n">
        <x:v>1</x:v>
      </x:c>
      <x:c r="H1369" t="str">
        <x:v>equals</x:v>
      </x:c>
      <x:c r="I1369" t="str">
        <x:v>independent acceptance</x:v>
      </x:c>
      <x:c r="J1369" t="str">
        <x:f>IF(F1369=1,"PASS","OPEN")</x:f>
        <x:v>OPEN</x:v>
      </x:c>
    </x:row>
    <x:row r="1370">
      <x:c r="B1370" t="str">
        <x:v>PHY-OC-281</x:v>
      </x:c>
      <x:c r="C1370" t="str">
        <x:v>PHYSICAL</x:v>
      </x:c>
      <x:c r="D1370" t="str">
        <x:v>event outcome</x:v>
      </x:c>
      <x:c r="E1370" t="str">
        <x:v>RFA-E281</x:v>
      </x:c>
      <x:c r="F1370" t="n">
        <x:f>IF('Event Estimator'!M287&lt;&gt;"",1,0)</x:f>
        <x:v>0</x:v>
      </x:c>
      <x:c r="G1370" t="n">
        <x:v>1</x:v>
      </x:c>
      <x:c r="H1370" t="str">
        <x:v>equals</x:v>
      </x:c>
      <x:c r="I1370" t="str">
        <x:v>independent acceptance</x:v>
      </x:c>
      <x:c r="J1370" t="str">
        <x:f>IF(F1370=1,"PASS","OPEN")</x:f>
        <x:v>OPEN</x:v>
      </x:c>
    </x:row>
    <x:row r="1371">
      <x:c r="B1371" t="str">
        <x:v>PHY-EX-282</x:v>
      </x:c>
      <x:c r="C1371" t="str">
        <x:v>PHYSICAL</x:v>
      </x:c>
      <x:c r="D1371" t="str">
        <x:v>event execution</x:v>
      </x:c>
      <x:c r="E1371" t="str">
        <x:v>RFA-E282</x:v>
      </x:c>
      <x:c r="F1371" t="n">
        <x:f>IF('Event Register'!M288&lt;&gt;"",1,0)</x:f>
        <x:v>0</x:v>
      </x:c>
      <x:c r="G1371" t="n">
        <x:v>1</x:v>
      </x:c>
      <x:c r="H1371" t="str">
        <x:v>equals</x:v>
      </x:c>
      <x:c r="I1371" t="str">
        <x:v>independent acceptance</x:v>
      </x:c>
      <x:c r="J1371" t="str">
        <x:f>IF(F1371=1,"PASS","OPEN")</x:f>
        <x:v>OPEN</x:v>
      </x:c>
    </x:row>
    <x:row r="1372">
      <x:c r="B1372" t="str">
        <x:v>PHY-VA-282</x:v>
      </x:c>
      <x:c r="C1372" t="str">
        <x:v>PHYSICAL</x:v>
      </x:c>
      <x:c r="D1372" t="str">
        <x:v>event validity</x:v>
      </x:c>
      <x:c r="E1372" t="str">
        <x:v>RFA-E282</x:v>
      </x:c>
      <x:c r="F1372" t="n">
        <x:f>'Event Estimator'!L288</x:f>
        <x:v>0</x:v>
      </x:c>
      <x:c r="G1372" t="n">
        <x:v>1</x:v>
      </x:c>
      <x:c r="H1372" t="str">
        <x:v>equals</x:v>
      </x:c>
      <x:c r="I1372" t="str">
        <x:v>independent acceptance</x:v>
      </x:c>
      <x:c r="J1372" t="str">
        <x:f>IF(F1372=1,"PASS","OPEN")</x:f>
        <x:v>OPEN</x:v>
      </x:c>
    </x:row>
    <x:row r="1373">
      <x:c r="B1373" t="str">
        <x:v>PHY-OC-282</x:v>
      </x:c>
      <x:c r="C1373" t="str">
        <x:v>PHYSICAL</x:v>
      </x:c>
      <x:c r="D1373" t="str">
        <x:v>event outcome</x:v>
      </x:c>
      <x:c r="E1373" t="str">
        <x:v>RFA-E282</x:v>
      </x:c>
      <x:c r="F1373" t="n">
        <x:f>IF('Event Estimator'!M288&lt;&gt;"",1,0)</x:f>
        <x:v>0</x:v>
      </x:c>
      <x:c r="G1373" t="n">
        <x:v>1</x:v>
      </x:c>
      <x:c r="H1373" t="str">
        <x:v>equals</x:v>
      </x:c>
      <x:c r="I1373" t="str">
        <x:v>independent acceptance</x:v>
      </x:c>
      <x:c r="J1373" t="str">
        <x:f>IF(F1373=1,"PASS","OPEN")</x:f>
        <x:v>OPEN</x:v>
      </x:c>
    </x:row>
    <x:row r="1374">
      <x:c r="B1374" t="str">
        <x:v>PHY-EX-283</x:v>
      </x:c>
      <x:c r="C1374" t="str">
        <x:v>PHYSICAL</x:v>
      </x:c>
      <x:c r="D1374" t="str">
        <x:v>event execution</x:v>
      </x:c>
      <x:c r="E1374" t="str">
        <x:v>RFA-E283</x:v>
      </x:c>
      <x:c r="F1374" t="n">
        <x:f>IF('Event Register'!M289&lt;&gt;"",1,0)</x:f>
        <x:v>0</x:v>
      </x:c>
      <x:c r="G1374" t="n">
        <x:v>1</x:v>
      </x:c>
      <x:c r="H1374" t="str">
        <x:v>equals</x:v>
      </x:c>
      <x:c r="I1374" t="str">
        <x:v>independent acceptance</x:v>
      </x:c>
      <x:c r="J1374" t="str">
        <x:f>IF(F1374=1,"PASS","OPEN")</x:f>
        <x:v>OPEN</x:v>
      </x:c>
    </x:row>
    <x:row r="1375">
      <x:c r="B1375" t="str">
        <x:v>PHY-VA-283</x:v>
      </x:c>
      <x:c r="C1375" t="str">
        <x:v>PHYSICAL</x:v>
      </x:c>
      <x:c r="D1375" t="str">
        <x:v>event validity</x:v>
      </x:c>
      <x:c r="E1375" t="str">
        <x:v>RFA-E283</x:v>
      </x:c>
      <x:c r="F1375" t="n">
        <x:f>'Event Estimator'!L289</x:f>
        <x:v>0</x:v>
      </x:c>
      <x:c r="G1375" t="n">
        <x:v>1</x:v>
      </x:c>
      <x:c r="H1375" t="str">
        <x:v>equals</x:v>
      </x:c>
      <x:c r="I1375" t="str">
        <x:v>independent acceptance</x:v>
      </x:c>
      <x:c r="J1375" t="str">
        <x:f>IF(F1375=1,"PASS","OPEN")</x:f>
        <x:v>OPEN</x:v>
      </x:c>
    </x:row>
    <x:row r="1376">
      <x:c r="B1376" t="str">
        <x:v>PHY-OC-283</x:v>
      </x:c>
      <x:c r="C1376" t="str">
        <x:v>PHYSICAL</x:v>
      </x:c>
      <x:c r="D1376" t="str">
        <x:v>event outcome</x:v>
      </x:c>
      <x:c r="E1376" t="str">
        <x:v>RFA-E283</x:v>
      </x:c>
      <x:c r="F1376" t="n">
        <x:f>IF('Event Estimator'!M289&lt;&gt;"",1,0)</x:f>
        <x:v>0</x:v>
      </x:c>
      <x:c r="G1376" t="n">
        <x:v>1</x:v>
      </x:c>
      <x:c r="H1376" t="str">
        <x:v>equals</x:v>
      </x:c>
      <x:c r="I1376" t="str">
        <x:v>independent acceptance</x:v>
      </x:c>
      <x:c r="J1376" t="str">
        <x:f>IF(F1376=1,"PASS","OPEN")</x:f>
        <x:v>OPEN</x:v>
      </x:c>
    </x:row>
    <x:row r="1377">
      <x:c r="B1377" t="str">
        <x:v>PHY-EX-284</x:v>
      </x:c>
      <x:c r="C1377" t="str">
        <x:v>PHYSICAL</x:v>
      </x:c>
      <x:c r="D1377" t="str">
        <x:v>event execution</x:v>
      </x:c>
      <x:c r="E1377" t="str">
        <x:v>RFA-E284</x:v>
      </x:c>
      <x:c r="F1377" t="n">
        <x:f>IF('Event Register'!M290&lt;&gt;"",1,0)</x:f>
        <x:v>0</x:v>
      </x:c>
      <x:c r="G1377" t="n">
        <x:v>1</x:v>
      </x:c>
      <x:c r="H1377" t="str">
        <x:v>equals</x:v>
      </x:c>
      <x:c r="I1377" t="str">
        <x:v>independent acceptance</x:v>
      </x:c>
      <x:c r="J1377" t="str">
        <x:f>IF(F1377=1,"PASS","OPEN")</x:f>
        <x:v>OPEN</x:v>
      </x:c>
    </x:row>
    <x:row r="1378">
      <x:c r="B1378" t="str">
        <x:v>PHY-VA-284</x:v>
      </x:c>
      <x:c r="C1378" t="str">
        <x:v>PHYSICAL</x:v>
      </x:c>
      <x:c r="D1378" t="str">
        <x:v>event validity</x:v>
      </x:c>
      <x:c r="E1378" t="str">
        <x:v>RFA-E284</x:v>
      </x:c>
      <x:c r="F1378" t="n">
        <x:f>'Event Estimator'!L290</x:f>
        <x:v>0</x:v>
      </x:c>
      <x:c r="G1378" t="n">
        <x:v>1</x:v>
      </x:c>
      <x:c r="H1378" t="str">
        <x:v>equals</x:v>
      </x:c>
      <x:c r="I1378" t="str">
        <x:v>independent acceptance</x:v>
      </x:c>
      <x:c r="J1378" t="str">
        <x:f>IF(F1378=1,"PASS","OPEN")</x:f>
        <x:v>OPEN</x:v>
      </x:c>
    </x:row>
    <x:row r="1379">
      <x:c r="B1379" t="str">
        <x:v>PHY-OC-284</x:v>
      </x:c>
      <x:c r="C1379" t="str">
        <x:v>PHYSICAL</x:v>
      </x:c>
      <x:c r="D1379" t="str">
        <x:v>event outcome</x:v>
      </x:c>
      <x:c r="E1379" t="str">
        <x:v>RFA-E284</x:v>
      </x:c>
      <x:c r="F1379" t="n">
        <x:f>IF('Event Estimator'!M290&lt;&gt;"",1,0)</x:f>
        <x:v>0</x:v>
      </x:c>
      <x:c r="G1379" t="n">
        <x:v>1</x:v>
      </x:c>
      <x:c r="H1379" t="str">
        <x:v>equals</x:v>
      </x:c>
      <x:c r="I1379" t="str">
        <x:v>independent acceptance</x:v>
      </x:c>
      <x:c r="J1379" t="str">
        <x:f>IF(F1379=1,"PASS","OPEN")</x:f>
        <x:v>OPEN</x:v>
      </x:c>
    </x:row>
    <x:row r="1380">
      <x:c r="B1380" t="str">
        <x:v>PHY-EX-285</x:v>
      </x:c>
      <x:c r="C1380" t="str">
        <x:v>PHYSICAL</x:v>
      </x:c>
      <x:c r="D1380" t="str">
        <x:v>event execution</x:v>
      </x:c>
      <x:c r="E1380" t="str">
        <x:v>RFA-E285</x:v>
      </x:c>
      <x:c r="F1380" t="n">
        <x:f>IF('Event Register'!M291&lt;&gt;"",1,0)</x:f>
        <x:v>0</x:v>
      </x:c>
      <x:c r="G1380" t="n">
        <x:v>1</x:v>
      </x:c>
      <x:c r="H1380" t="str">
        <x:v>equals</x:v>
      </x:c>
      <x:c r="I1380" t="str">
        <x:v>independent acceptance</x:v>
      </x:c>
      <x:c r="J1380" t="str">
        <x:f>IF(F1380=1,"PASS","OPEN")</x:f>
        <x:v>OPEN</x:v>
      </x:c>
    </x:row>
    <x:row r="1381">
      <x:c r="B1381" t="str">
        <x:v>PHY-VA-285</x:v>
      </x:c>
      <x:c r="C1381" t="str">
        <x:v>PHYSICAL</x:v>
      </x:c>
      <x:c r="D1381" t="str">
        <x:v>event validity</x:v>
      </x:c>
      <x:c r="E1381" t="str">
        <x:v>RFA-E285</x:v>
      </x:c>
      <x:c r="F1381" t="n">
        <x:f>'Event Estimator'!L291</x:f>
        <x:v>0</x:v>
      </x:c>
      <x:c r="G1381" t="n">
        <x:v>1</x:v>
      </x:c>
      <x:c r="H1381" t="str">
        <x:v>equals</x:v>
      </x:c>
      <x:c r="I1381" t="str">
        <x:v>independent acceptance</x:v>
      </x:c>
      <x:c r="J1381" t="str">
        <x:f>IF(F1381=1,"PASS","OPEN")</x:f>
        <x:v>OPEN</x:v>
      </x:c>
    </x:row>
    <x:row r="1382">
      <x:c r="B1382" t="str">
        <x:v>PHY-OC-285</x:v>
      </x:c>
      <x:c r="C1382" t="str">
        <x:v>PHYSICAL</x:v>
      </x:c>
      <x:c r="D1382" t="str">
        <x:v>event outcome</x:v>
      </x:c>
      <x:c r="E1382" t="str">
        <x:v>RFA-E285</x:v>
      </x:c>
      <x:c r="F1382" t="n">
        <x:f>IF('Event Estimator'!M291&lt;&gt;"",1,0)</x:f>
        <x:v>0</x:v>
      </x:c>
      <x:c r="G1382" t="n">
        <x:v>1</x:v>
      </x:c>
      <x:c r="H1382" t="str">
        <x:v>equals</x:v>
      </x:c>
      <x:c r="I1382" t="str">
        <x:v>independent acceptance</x:v>
      </x:c>
      <x:c r="J1382" t="str">
        <x:f>IF(F1382=1,"PASS","OPEN")</x:f>
        <x:v>OPEN</x:v>
      </x:c>
    </x:row>
    <x:row r="1383">
      <x:c r="B1383" t="str">
        <x:v>PHY-EX-286</x:v>
      </x:c>
      <x:c r="C1383" t="str">
        <x:v>PHYSICAL</x:v>
      </x:c>
      <x:c r="D1383" t="str">
        <x:v>event execution</x:v>
      </x:c>
      <x:c r="E1383" t="str">
        <x:v>RFA-E286</x:v>
      </x:c>
      <x:c r="F1383" t="n">
        <x:f>IF('Event Register'!M292&lt;&gt;"",1,0)</x:f>
        <x:v>0</x:v>
      </x:c>
      <x:c r="G1383" t="n">
        <x:v>1</x:v>
      </x:c>
      <x:c r="H1383" t="str">
        <x:v>equals</x:v>
      </x:c>
      <x:c r="I1383" t="str">
        <x:v>independent acceptance</x:v>
      </x:c>
      <x:c r="J1383" t="str">
        <x:f>IF(F1383=1,"PASS","OPEN")</x:f>
        <x:v>OPEN</x:v>
      </x:c>
    </x:row>
    <x:row r="1384">
      <x:c r="B1384" t="str">
        <x:v>PHY-VA-286</x:v>
      </x:c>
      <x:c r="C1384" t="str">
        <x:v>PHYSICAL</x:v>
      </x:c>
      <x:c r="D1384" t="str">
        <x:v>event validity</x:v>
      </x:c>
      <x:c r="E1384" t="str">
        <x:v>RFA-E286</x:v>
      </x:c>
      <x:c r="F1384" t="n">
        <x:f>'Event Estimator'!L292</x:f>
        <x:v>0</x:v>
      </x:c>
      <x:c r="G1384" t="n">
        <x:v>1</x:v>
      </x:c>
      <x:c r="H1384" t="str">
        <x:v>equals</x:v>
      </x:c>
      <x:c r="I1384" t="str">
        <x:v>independent acceptance</x:v>
      </x:c>
      <x:c r="J1384" t="str">
        <x:f>IF(F1384=1,"PASS","OPEN")</x:f>
        <x:v>OPEN</x:v>
      </x:c>
    </x:row>
    <x:row r="1385">
      <x:c r="B1385" t="str">
        <x:v>PHY-OC-286</x:v>
      </x:c>
      <x:c r="C1385" t="str">
        <x:v>PHYSICAL</x:v>
      </x:c>
      <x:c r="D1385" t="str">
        <x:v>event outcome</x:v>
      </x:c>
      <x:c r="E1385" t="str">
        <x:v>RFA-E286</x:v>
      </x:c>
      <x:c r="F1385" t="n">
        <x:f>IF('Event Estimator'!M292&lt;&gt;"",1,0)</x:f>
        <x:v>0</x:v>
      </x:c>
      <x:c r="G1385" t="n">
        <x:v>1</x:v>
      </x:c>
      <x:c r="H1385" t="str">
        <x:v>equals</x:v>
      </x:c>
      <x:c r="I1385" t="str">
        <x:v>independent acceptance</x:v>
      </x:c>
      <x:c r="J1385" t="str">
        <x:f>IF(F1385=1,"PASS","OPEN")</x:f>
        <x:v>OPEN</x:v>
      </x:c>
    </x:row>
    <x:row r="1386">
      <x:c r="B1386" t="str">
        <x:v>PHY-EX-287</x:v>
      </x:c>
      <x:c r="C1386" t="str">
        <x:v>PHYSICAL</x:v>
      </x:c>
      <x:c r="D1386" t="str">
        <x:v>event execution</x:v>
      </x:c>
      <x:c r="E1386" t="str">
        <x:v>RFA-E287</x:v>
      </x:c>
      <x:c r="F1386" t="n">
        <x:f>IF('Event Register'!M293&lt;&gt;"",1,0)</x:f>
        <x:v>0</x:v>
      </x:c>
      <x:c r="G1386" t="n">
        <x:v>1</x:v>
      </x:c>
      <x:c r="H1386" t="str">
        <x:v>equals</x:v>
      </x:c>
      <x:c r="I1386" t="str">
        <x:v>independent acceptance</x:v>
      </x:c>
      <x:c r="J1386" t="str">
        <x:f>IF(F1386=1,"PASS","OPEN")</x:f>
        <x:v>OPEN</x:v>
      </x:c>
    </x:row>
    <x:row r="1387">
      <x:c r="B1387" t="str">
        <x:v>PHY-VA-287</x:v>
      </x:c>
      <x:c r="C1387" t="str">
        <x:v>PHYSICAL</x:v>
      </x:c>
      <x:c r="D1387" t="str">
        <x:v>event validity</x:v>
      </x:c>
      <x:c r="E1387" t="str">
        <x:v>RFA-E287</x:v>
      </x:c>
      <x:c r="F1387" t="n">
        <x:f>'Event Estimator'!L293</x:f>
        <x:v>0</x:v>
      </x:c>
      <x:c r="G1387" t="n">
        <x:v>1</x:v>
      </x:c>
      <x:c r="H1387" t="str">
        <x:v>equals</x:v>
      </x:c>
      <x:c r="I1387" t="str">
        <x:v>independent acceptance</x:v>
      </x:c>
      <x:c r="J1387" t="str">
        <x:f>IF(F1387=1,"PASS","OPEN")</x:f>
        <x:v>OPEN</x:v>
      </x:c>
    </x:row>
    <x:row r="1388">
      <x:c r="B1388" t="str">
        <x:v>PHY-OC-287</x:v>
      </x:c>
      <x:c r="C1388" t="str">
        <x:v>PHYSICAL</x:v>
      </x:c>
      <x:c r="D1388" t="str">
        <x:v>event outcome</x:v>
      </x:c>
      <x:c r="E1388" t="str">
        <x:v>RFA-E287</x:v>
      </x:c>
      <x:c r="F1388" t="n">
        <x:f>IF('Event Estimator'!M293&lt;&gt;"",1,0)</x:f>
        <x:v>0</x:v>
      </x:c>
      <x:c r="G1388" t="n">
        <x:v>1</x:v>
      </x:c>
      <x:c r="H1388" t="str">
        <x:v>equals</x:v>
      </x:c>
      <x:c r="I1388" t="str">
        <x:v>independent acceptance</x:v>
      </x:c>
      <x:c r="J1388" t="str">
        <x:f>IF(F1388=1,"PASS","OPEN")</x:f>
        <x:v>OPEN</x:v>
      </x:c>
    </x:row>
    <x:row r="1389">
      <x:c r="B1389" t="str">
        <x:v>PHY-EX-288</x:v>
      </x:c>
      <x:c r="C1389" t="str">
        <x:v>PHYSICAL</x:v>
      </x:c>
      <x:c r="D1389" t="str">
        <x:v>event execution</x:v>
      </x:c>
      <x:c r="E1389" t="str">
        <x:v>RFA-E288</x:v>
      </x:c>
      <x:c r="F1389" t="n">
        <x:f>IF('Event Register'!M294&lt;&gt;"",1,0)</x:f>
        <x:v>0</x:v>
      </x:c>
      <x:c r="G1389" t="n">
        <x:v>1</x:v>
      </x:c>
      <x:c r="H1389" t="str">
        <x:v>equals</x:v>
      </x:c>
      <x:c r="I1389" t="str">
        <x:v>independent acceptance</x:v>
      </x:c>
      <x:c r="J1389" t="str">
        <x:f>IF(F1389=1,"PASS","OPEN")</x:f>
        <x:v>OPEN</x:v>
      </x:c>
    </x:row>
    <x:row r="1390">
      <x:c r="B1390" t="str">
        <x:v>PHY-VA-288</x:v>
      </x:c>
      <x:c r="C1390" t="str">
        <x:v>PHYSICAL</x:v>
      </x:c>
      <x:c r="D1390" t="str">
        <x:v>event validity</x:v>
      </x:c>
      <x:c r="E1390" t="str">
        <x:v>RFA-E288</x:v>
      </x:c>
      <x:c r="F1390" t="n">
        <x:f>'Event Estimator'!L294</x:f>
        <x:v>0</x:v>
      </x:c>
      <x:c r="G1390" t="n">
        <x:v>1</x:v>
      </x:c>
      <x:c r="H1390" t="str">
        <x:v>equals</x:v>
      </x:c>
      <x:c r="I1390" t="str">
        <x:v>independent acceptance</x:v>
      </x:c>
      <x:c r="J1390" t="str">
        <x:f>IF(F1390=1,"PASS","OPEN")</x:f>
        <x:v>OPEN</x:v>
      </x:c>
    </x:row>
    <x:row r="1391">
      <x:c r="B1391" t="str">
        <x:v>PHY-OC-288</x:v>
      </x:c>
      <x:c r="C1391" t="str">
        <x:v>PHYSICAL</x:v>
      </x:c>
      <x:c r="D1391" t="str">
        <x:v>event outcome</x:v>
      </x:c>
      <x:c r="E1391" t="str">
        <x:v>RFA-E288</x:v>
      </x:c>
      <x:c r="F1391" t="n">
        <x:f>IF('Event Estimator'!M294&lt;&gt;"",1,0)</x:f>
        <x:v>0</x:v>
      </x:c>
      <x:c r="G1391" t="n">
        <x:v>1</x:v>
      </x:c>
      <x:c r="H1391" t="str">
        <x:v>equals</x:v>
      </x:c>
      <x:c r="I1391" t="str">
        <x:v>independent acceptance</x:v>
      </x:c>
      <x:c r="J1391" t="str">
        <x:f>IF(F1391=1,"PASS","OPEN")</x:f>
        <x:v>OPEN</x:v>
      </x:c>
    </x:row>
    <x:row r="1392">
      <x:c r="B1392" t="str">
        <x:v>PHY-EX-289</x:v>
      </x:c>
      <x:c r="C1392" t="str">
        <x:v>PHYSICAL</x:v>
      </x:c>
      <x:c r="D1392" t="str">
        <x:v>event execution</x:v>
      </x:c>
      <x:c r="E1392" t="str">
        <x:v>RFA-E289</x:v>
      </x:c>
      <x:c r="F1392" t="n">
        <x:f>IF('Event Register'!M295&lt;&gt;"",1,0)</x:f>
        <x:v>0</x:v>
      </x:c>
      <x:c r="G1392" t="n">
        <x:v>1</x:v>
      </x:c>
      <x:c r="H1392" t="str">
        <x:v>equals</x:v>
      </x:c>
      <x:c r="I1392" t="str">
        <x:v>independent acceptance</x:v>
      </x:c>
      <x:c r="J1392" t="str">
        <x:f>IF(F1392=1,"PASS","OPEN")</x:f>
        <x:v>OPEN</x:v>
      </x:c>
    </x:row>
    <x:row r="1393">
      <x:c r="B1393" t="str">
        <x:v>PHY-VA-289</x:v>
      </x:c>
      <x:c r="C1393" t="str">
        <x:v>PHYSICAL</x:v>
      </x:c>
      <x:c r="D1393" t="str">
        <x:v>event validity</x:v>
      </x:c>
      <x:c r="E1393" t="str">
        <x:v>RFA-E289</x:v>
      </x:c>
      <x:c r="F1393" t="n">
        <x:f>'Event Estimator'!L295</x:f>
        <x:v>0</x:v>
      </x:c>
      <x:c r="G1393" t="n">
        <x:v>1</x:v>
      </x:c>
      <x:c r="H1393" t="str">
        <x:v>equals</x:v>
      </x:c>
      <x:c r="I1393" t="str">
        <x:v>independent acceptance</x:v>
      </x:c>
      <x:c r="J1393" t="str">
        <x:f>IF(F1393=1,"PASS","OPEN")</x:f>
        <x:v>OPEN</x:v>
      </x:c>
    </x:row>
    <x:row r="1394">
      <x:c r="B1394" t="str">
        <x:v>PHY-OC-289</x:v>
      </x:c>
      <x:c r="C1394" t="str">
        <x:v>PHYSICAL</x:v>
      </x:c>
      <x:c r="D1394" t="str">
        <x:v>event outcome</x:v>
      </x:c>
      <x:c r="E1394" t="str">
        <x:v>RFA-E289</x:v>
      </x:c>
      <x:c r="F1394" t="n">
        <x:f>IF('Event Estimator'!M295&lt;&gt;"",1,0)</x:f>
        <x:v>0</x:v>
      </x:c>
      <x:c r="G1394" t="n">
        <x:v>1</x:v>
      </x:c>
      <x:c r="H1394" t="str">
        <x:v>equals</x:v>
      </x:c>
      <x:c r="I1394" t="str">
        <x:v>independent acceptance</x:v>
      </x:c>
      <x:c r="J1394" t="str">
        <x:f>IF(F1394=1,"PASS","OPEN")</x:f>
        <x:v>OPEN</x:v>
      </x:c>
    </x:row>
    <x:row r="1395">
      <x:c r="B1395" t="str">
        <x:v>PHY-EX-290</x:v>
      </x:c>
      <x:c r="C1395" t="str">
        <x:v>PHYSICAL</x:v>
      </x:c>
      <x:c r="D1395" t="str">
        <x:v>event execution</x:v>
      </x:c>
      <x:c r="E1395" t="str">
        <x:v>RFA-E290</x:v>
      </x:c>
      <x:c r="F1395" t="n">
        <x:f>IF('Event Register'!M296&lt;&gt;"",1,0)</x:f>
        <x:v>0</x:v>
      </x:c>
      <x:c r="G1395" t="n">
        <x:v>1</x:v>
      </x:c>
      <x:c r="H1395" t="str">
        <x:v>equals</x:v>
      </x:c>
      <x:c r="I1395" t="str">
        <x:v>independent acceptance</x:v>
      </x:c>
      <x:c r="J1395" t="str">
        <x:f>IF(F1395=1,"PASS","OPEN")</x:f>
        <x:v>OPEN</x:v>
      </x:c>
    </x:row>
    <x:row r="1396">
      <x:c r="B1396" t="str">
        <x:v>PHY-VA-290</x:v>
      </x:c>
      <x:c r="C1396" t="str">
        <x:v>PHYSICAL</x:v>
      </x:c>
      <x:c r="D1396" t="str">
        <x:v>event validity</x:v>
      </x:c>
      <x:c r="E1396" t="str">
        <x:v>RFA-E290</x:v>
      </x:c>
      <x:c r="F1396" t="n">
        <x:f>'Event Estimator'!L296</x:f>
        <x:v>0</x:v>
      </x:c>
      <x:c r="G1396" t="n">
        <x:v>1</x:v>
      </x:c>
      <x:c r="H1396" t="str">
        <x:v>equals</x:v>
      </x:c>
      <x:c r="I1396" t="str">
        <x:v>independent acceptance</x:v>
      </x:c>
      <x:c r="J1396" t="str">
        <x:f>IF(F1396=1,"PASS","OPEN")</x:f>
        <x:v>OPEN</x:v>
      </x:c>
    </x:row>
    <x:row r="1397">
      <x:c r="B1397" t="str">
        <x:v>PHY-OC-290</x:v>
      </x:c>
      <x:c r="C1397" t="str">
        <x:v>PHYSICAL</x:v>
      </x:c>
      <x:c r="D1397" t="str">
        <x:v>event outcome</x:v>
      </x:c>
      <x:c r="E1397" t="str">
        <x:v>RFA-E290</x:v>
      </x:c>
      <x:c r="F1397" t="n">
        <x:f>IF('Event Estimator'!M296&lt;&gt;"",1,0)</x:f>
        <x:v>0</x:v>
      </x:c>
      <x:c r="G1397" t="n">
        <x:v>1</x:v>
      </x:c>
      <x:c r="H1397" t="str">
        <x:v>equals</x:v>
      </x:c>
      <x:c r="I1397" t="str">
        <x:v>independent acceptance</x:v>
      </x:c>
      <x:c r="J1397" t="str">
        <x:f>IF(F1397=1,"PASS","OPEN")</x:f>
        <x:v>OPEN</x:v>
      </x:c>
    </x:row>
    <x:row r="1398">
      <x:c r="B1398" t="str">
        <x:v>PHY-EX-291</x:v>
      </x:c>
      <x:c r="C1398" t="str">
        <x:v>PHYSICAL</x:v>
      </x:c>
      <x:c r="D1398" t="str">
        <x:v>event execution</x:v>
      </x:c>
      <x:c r="E1398" t="str">
        <x:v>RFA-E291</x:v>
      </x:c>
      <x:c r="F1398" t="n">
        <x:f>IF('Event Register'!M297&lt;&gt;"",1,0)</x:f>
        <x:v>0</x:v>
      </x:c>
      <x:c r="G1398" t="n">
        <x:v>1</x:v>
      </x:c>
      <x:c r="H1398" t="str">
        <x:v>equals</x:v>
      </x:c>
      <x:c r="I1398" t="str">
        <x:v>independent acceptance</x:v>
      </x:c>
      <x:c r="J1398" t="str">
        <x:f>IF(F1398=1,"PASS","OPEN")</x:f>
        <x:v>OPEN</x:v>
      </x:c>
    </x:row>
    <x:row r="1399">
      <x:c r="B1399" t="str">
        <x:v>PHY-VA-291</x:v>
      </x:c>
      <x:c r="C1399" t="str">
        <x:v>PHYSICAL</x:v>
      </x:c>
      <x:c r="D1399" t="str">
        <x:v>event validity</x:v>
      </x:c>
      <x:c r="E1399" t="str">
        <x:v>RFA-E291</x:v>
      </x:c>
      <x:c r="F1399" t="n">
        <x:f>'Event Estimator'!L297</x:f>
        <x:v>0</x:v>
      </x:c>
      <x:c r="G1399" t="n">
        <x:v>1</x:v>
      </x:c>
      <x:c r="H1399" t="str">
        <x:v>equals</x:v>
      </x:c>
      <x:c r="I1399" t="str">
        <x:v>independent acceptance</x:v>
      </x:c>
      <x:c r="J1399" t="str">
        <x:f>IF(F1399=1,"PASS","OPEN")</x:f>
        <x:v>OPEN</x:v>
      </x:c>
    </x:row>
    <x:row r="1400">
      <x:c r="B1400" t="str">
        <x:v>PHY-OC-291</x:v>
      </x:c>
      <x:c r="C1400" t="str">
        <x:v>PHYSICAL</x:v>
      </x:c>
      <x:c r="D1400" t="str">
        <x:v>event outcome</x:v>
      </x:c>
      <x:c r="E1400" t="str">
        <x:v>RFA-E291</x:v>
      </x:c>
      <x:c r="F1400" t="n">
        <x:f>IF('Event Estimator'!M297&lt;&gt;"",1,0)</x:f>
        <x:v>0</x:v>
      </x:c>
      <x:c r="G1400" t="n">
        <x:v>1</x:v>
      </x:c>
      <x:c r="H1400" t="str">
        <x:v>equals</x:v>
      </x:c>
      <x:c r="I1400" t="str">
        <x:v>independent acceptance</x:v>
      </x:c>
      <x:c r="J1400" t="str">
        <x:f>IF(F1400=1,"PASS","OPEN")</x:f>
        <x:v>OPEN</x:v>
      </x:c>
    </x:row>
    <x:row r="1401">
      <x:c r="B1401" t="str">
        <x:v>PHY-EX-292</x:v>
      </x:c>
      <x:c r="C1401" t="str">
        <x:v>PHYSICAL</x:v>
      </x:c>
      <x:c r="D1401" t="str">
        <x:v>event execution</x:v>
      </x:c>
      <x:c r="E1401" t="str">
        <x:v>RFA-E292</x:v>
      </x:c>
      <x:c r="F1401" t="n">
        <x:f>IF('Event Register'!M298&lt;&gt;"",1,0)</x:f>
        <x:v>0</x:v>
      </x:c>
      <x:c r="G1401" t="n">
        <x:v>1</x:v>
      </x:c>
      <x:c r="H1401" t="str">
        <x:v>equals</x:v>
      </x:c>
      <x:c r="I1401" t="str">
        <x:v>independent acceptance</x:v>
      </x:c>
      <x:c r="J1401" t="str">
        <x:f>IF(F1401=1,"PASS","OPEN")</x:f>
        <x:v>OPEN</x:v>
      </x:c>
    </x:row>
    <x:row r="1402">
      <x:c r="B1402" t="str">
        <x:v>PHY-VA-292</x:v>
      </x:c>
      <x:c r="C1402" t="str">
        <x:v>PHYSICAL</x:v>
      </x:c>
      <x:c r="D1402" t="str">
        <x:v>event validity</x:v>
      </x:c>
      <x:c r="E1402" t="str">
        <x:v>RFA-E292</x:v>
      </x:c>
      <x:c r="F1402" t="n">
        <x:f>'Event Estimator'!L298</x:f>
        <x:v>0</x:v>
      </x:c>
      <x:c r="G1402" t="n">
        <x:v>1</x:v>
      </x:c>
      <x:c r="H1402" t="str">
        <x:v>equals</x:v>
      </x:c>
      <x:c r="I1402" t="str">
        <x:v>independent acceptance</x:v>
      </x:c>
      <x:c r="J1402" t="str">
        <x:f>IF(F1402=1,"PASS","OPEN")</x:f>
        <x:v>OPEN</x:v>
      </x:c>
    </x:row>
    <x:row r="1403">
      <x:c r="B1403" t="str">
        <x:v>PHY-OC-292</x:v>
      </x:c>
      <x:c r="C1403" t="str">
        <x:v>PHYSICAL</x:v>
      </x:c>
      <x:c r="D1403" t="str">
        <x:v>event outcome</x:v>
      </x:c>
      <x:c r="E1403" t="str">
        <x:v>RFA-E292</x:v>
      </x:c>
      <x:c r="F1403" t="n">
        <x:f>IF('Event Estimator'!M298&lt;&gt;"",1,0)</x:f>
        <x:v>0</x:v>
      </x:c>
      <x:c r="G1403" t="n">
        <x:v>1</x:v>
      </x:c>
      <x:c r="H1403" t="str">
        <x:v>equals</x:v>
      </x:c>
      <x:c r="I1403" t="str">
        <x:v>independent acceptance</x:v>
      </x:c>
      <x:c r="J1403" t="str">
        <x:f>IF(F1403=1,"PASS","OPEN")</x:f>
        <x:v>OPEN</x:v>
      </x:c>
    </x:row>
    <x:row r="1404">
      <x:c r="B1404" t="str">
        <x:v>PHY-EX-293</x:v>
      </x:c>
      <x:c r="C1404" t="str">
        <x:v>PHYSICAL</x:v>
      </x:c>
      <x:c r="D1404" t="str">
        <x:v>event execution</x:v>
      </x:c>
      <x:c r="E1404" t="str">
        <x:v>RFA-E293</x:v>
      </x:c>
      <x:c r="F1404" t="n">
        <x:f>IF('Event Register'!M299&lt;&gt;"",1,0)</x:f>
        <x:v>0</x:v>
      </x:c>
      <x:c r="G1404" t="n">
        <x:v>1</x:v>
      </x:c>
      <x:c r="H1404" t="str">
        <x:v>equals</x:v>
      </x:c>
      <x:c r="I1404" t="str">
        <x:v>independent acceptance</x:v>
      </x:c>
      <x:c r="J1404" t="str">
        <x:f>IF(F1404=1,"PASS","OPEN")</x:f>
        <x:v>OPEN</x:v>
      </x:c>
    </x:row>
    <x:row r="1405">
      <x:c r="B1405" t="str">
        <x:v>PHY-VA-293</x:v>
      </x:c>
      <x:c r="C1405" t="str">
        <x:v>PHYSICAL</x:v>
      </x:c>
      <x:c r="D1405" t="str">
        <x:v>event validity</x:v>
      </x:c>
      <x:c r="E1405" t="str">
        <x:v>RFA-E293</x:v>
      </x:c>
      <x:c r="F1405" t="n">
        <x:f>'Event Estimator'!L299</x:f>
        <x:v>0</x:v>
      </x:c>
      <x:c r="G1405" t="n">
        <x:v>1</x:v>
      </x:c>
      <x:c r="H1405" t="str">
        <x:v>equals</x:v>
      </x:c>
      <x:c r="I1405" t="str">
        <x:v>independent acceptance</x:v>
      </x:c>
      <x:c r="J1405" t="str">
        <x:f>IF(F1405=1,"PASS","OPEN")</x:f>
        <x:v>OPEN</x:v>
      </x:c>
    </x:row>
    <x:row r="1406">
      <x:c r="B1406" t="str">
        <x:v>PHY-OC-293</x:v>
      </x:c>
      <x:c r="C1406" t="str">
        <x:v>PHYSICAL</x:v>
      </x:c>
      <x:c r="D1406" t="str">
        <x:v>event outcome</x:v>
      </x:c>
      <x:c r="E1406" t="str">
        <x:v>RFA-E293</x:v>
      </x:c>
      <x:c r="F1406" t="n">
        <x:f>IF('Event Estimator'!M299&lt;&gt;"",1,0)</x:f>
        <x:v>0</x:v>
      </x:c>
      <x:c r="G1406" t="n">
        <x:v>1</x:v>
      </x:c>
      <x:c r="H1406" t="str">
        <x:v>equals</x:v>
      </x:c>
      <x:c r="I1406" t="str">
        <x:v>independent acceptance</x:v>
      </x:c>
      <x:c r="J1406" t="str">
        <x:f>IF(F1406=1,"PASS","OPEN")</x:f>
        <x:v>OPEN</x:v>
      </x:c>
    </x:row>
    <x:row r="1407">
      <x:c r="B1407" t="str">
        <x:v>PHY-EX-294</x:v>
      </x:c>
      <x:c r="C1407" t="str">
        <x:v>PHYSICAL</x:v>
      </x:c>
      <x:c r="D1407" t="str">
        <x:v>event execution</x:v>
      </x:c>
      <x:c r="E1407" t="str">
        <x:v>RFA-E294</x:v>
      </x:c>
      <x:c r="F1407" t="n">
        <x:f>IF('Event Register'!M300&lt;&gt;"",1,0)</x:f>
        <x:v>0</x:v>
      </x:c>
      <x:c r="G1407" t="n">
        <x:v>1</x:v>
      </x:c>
      <x:c r="H1407" t="str">
        <x:v>equals</x:v>
      </x:c>
      <x:c r="I1407" t="str">
        <x:v>independent acceptance</x:v>
      </x:c>
      <x:c r="J1407" t="str">
        <x:f>IF(F1407=1,"PASS","OPEN")</x:f>
        <x:v>OPEN</x:v>
      </x:c>
    </x:row>
    <x:row r="1408">
      <x:c r="B1408" t="str">
        <x:v>PHY-VA-294</x:v>
      </x:c>
      <x:c r="C1408" t="str">
        <x:v>PHYSICAL</x:v>
      </x:c>
      <x:c r="D1408" t="str">
        <x:v>event validity</x:v>
      </x:c>
      <x:c r="E1408" t="str">
        <x:v>RFA-E294</x:v>
      </x:c>
      <x:c r="F1408" t="n">
        <x:f>'Event Estimator'!L300</x:f>
        <x:v>0</x:v>
      </x:c>
      <x:c r="G1408" t="n">
        <x:v>1</x:v>
      </x:c>
      <x:c r="H1408" t="str">
        <x:v>equals</x:v>
      </x:c>
      <x:c r="I1408" t="str">
        <x:v>independent acceptance</x:v>
      </x:c>
      <x:c r="J1408" t="str">
        <x:f>IF(F1408=1,"PASS","OPEN")</x:f>
        <x:v>OPEN</x:v>
      </x:c>
    </x:row>
    <x:row r="1409">
      <x:c r="B1409" t="str">
        <x:v>PHY-OC-294</x:v>
      </x:c>
      <x:c r="C1409" t="str">
        <x:v>PHYSICAL</x:v>
      </x:c>
      <x:c r="D1409" t="str">
        <x:v>event outcome</x:v>
      </x:c>
      <x:c r="E1409" t="str">
        <x:v>RFA-E294</x:v>
      </x:c>
      <x:c r="F1409" t="n">
        <x:f>IF('Event Estimator'!M300&lt;&gt;"",1,0)</x:f>
        <x:v>0</x:v>
      </x:c>
      <x:c r="G1409" t="n">
        <x:v>1</x:v>
      </x:c>
      <x:c r="H1409" t="str">
        <x:v>equals</x:v>
      </x:c>
      <x:c r="I1409" t="str">
        <x:v>independent acceptance</x:v>
      </x:c>
      <x:c r="J1409" t="str">
        <x:f>IF(F1409=1,"PASS","OPEN")</x:f>
        <x:v>OPEN</x:v>
      </x:c>
    </x:row>
    <x:row r="1410">
      <x:c r="B1410" t="str">
        <x:v>PHY-EX-295</x:v>
      </x:c>
      <x:c r="C1410" t="str">
        <x:v>PHYSICAL</x:v>
      </x:c>
      <x:c r="D1410" t="str">
        <x:v>event execution</x:v>
      </x:c>
      <x:c r="E1410" t="str">
        <x:v>RFA-E295</x:v>
      </x:c>
      <x:c r="F1410" t="n">
        <x:f>IF('Event Register'!M301&lt;&gt;"",1,0)</x:f>
        <x:v>0</x:v>
      </x:c>
      <x:c r="G1410" t="n">
        <x:v>1</x:v>
      </x:c>
      <x:c r="H1410" t="str">
        <x:v>equals</x:v>
      </x:c>
      <x:c r="I1410" t="str">
        <x:v>independent acceptance</x:v>
      </x:c>
      <x:c r="J1410" t="str">
        <x:f>IF(F1410=1,"PASS","OPEN")</x:f>
        <x:v>OPEN</x:v>
      </x:c>
    </x:row>
    <x:row r="1411">
      <x:c r="B1411" t="str">
        <x:v>PHY-VA-295</x:v>
      </x:c>
      <x:c r="C1411" t="str">
        <x:v>PHYSICAL</x:v>
      </x:c>
      <x:c r="D1411" t="str">
        <x:v>event validity</x:v>
      </x:c>
      <x:c r="E1411" t="str">
        <x:v>RFA-E295</x:v>
      </x:c>
      <x:c r="F1411" t="n">
        <x:f>'Event Estimator'!L301</x:f>
        <x:v>0</x:v>
      </x:c>
      <x:c r="G1411" t="n">
        <x:v>1</x:v>
      </x:c>
      <x:c r="H1411" t="str">
        <x:v>equals</x:v>
      </x:c>
      <x:c r="I1411" t="str">
        <x:v>independent acceptance</x:v>
      </x:c>
      <x:c r="J1411" t="str">
        <x:f>IF(F1411=1,"PASS","OPEN")</x:f>
        <x:v>OPEN</x:v>
      </x:c>
    </x:row>
    <x:row r="1412">
      <x:c r="B1412" t="str">
        <x:v>PHY-OC-295</x:v>
      </x:c>
      <x:c r="C1412" t="str">
        <x:v>PHYSICAL</x:v>
      </x:c>
      <x:c r="D1412" t="str">
        <x:v>event outcome</x:v>
      </x:c>
      <x:c r="E1412" t="str">
        <x:v>RFA-E295</x:v>
      </x:c>
      <x:c r="F1412" t="n">
        <x:f>IF('Event Estimator'!M301&lt;&gt;"",1,0)</x:f>
        <x:v>0</x:v>
      </x:c>
      <x:c r="G1412" t="n">
        <x:v>1</x:v>
      </x:c>
      <x:c r="H1412" t="str">
        <x:v>equals</x:v>
      </x:c>
      <x:c r="I1412" t="str">
        <x:v>independent acceptance</x:v>
      </x:c>
      <x:c r="J1412" t="str">
        <x:f>IF(F1412=1,"PASS","OPEN")</x:f>
        <x:v>OPEN</x:v>
      </x:c>
    </x:row>
    <x:row r="1413">
      <x:c r="B1413" t="str">
        <x:v>PHY-EX-296</x:v>
      </x:c>
      <x:c r="C1413" t="str">
        <x:v>PHYSICAL</x:v>
      </x:c>
      <x:c r="D1413" t="str">
        <x:v>event execution</x:v>
      </x:c>
      <x:c r="E1413" t="str">
        <x:v>RFA-E296</x:v>
      </x:c>
      <x:c r="F1413" t="n">
        <x:f>IF('Event Register'!M302&lt;&gt;"",1,0)</x:f>
        <x:v>0</x:v>
      </x:c>
      <x:c r="G1413" t="n">
        <x:v>1</x:v>
      </x:c>
      <x:c r="H1413" t="str">
        <x:v>equals</x:v>
      </x:c>
      <x:c r="I1413" t="str">
        <x:v>independent acceptance</x:v>
      </x:c>
      <x:c r="J1413" t="str">
        <x:f>IF(F1413=1,"PASS","OPEN")</x:f>
        <x:v>OPEN</x:v>
      </x:c>
    </x:row>
    <x:row r="1414">
      <x:c r="B1414" t="str">
        <x:v>PHY-VA-296</x:v>
      </x:c>
      <x:c r="C1414" t="str">
        <x:v>PHYSICAL</x:v>
      </x:c>
      <x:c r="D1414" t="str">
        <x:v>event validity</x:v>
      </x:c>
      <x:c r="E1414" t="str">
        <x:v>RFA-E296</x:v>
      </x:c>
      <x:c r="F1414" t="n">
        <x:f>'Event Estimator'!L302</x:f>
        <x:v>0</x:v>
      </x:c>
      <x:c r="G1414" t="n">
        <x:v>1</x:v>
      </x:c>
      <x:c r="H1414" t="str">
        <x:v>equals</x:v>
      </x:c>
      <x:c r="I1414" t="str">
        <x:v>independent acceptance</x:v>
      </x:c>
      <x:c r="J1414" t="str">
        <x:f>IF(F1414=1,"PASS","OPEN")</x:f>
        <x:v>OPEN</x:v>
      </x:c>
    </x:row>
    <x:row r="1415">
      <x:c r="B1415" t="str">
        <x:v>PHY-OC-296</x:v>
      </x:c>
      <x:c r="C1415" t="str">
        <x:v>PHYSICAL</x:v>
      </x:c>
      <x:c r="D1415" t="str">
        <x:v>event outcome</x:v>
      </x:c>
      <x:c r="E1415" t="str">
        <x:v>RFA-E296</x:v>
      </x:c>
      <x:c r="F1415" t="n">
        <x:f>IF('Event Estimator'!M302&lt;&gt;"",1,0)</x:f>
        <x:v>0</x:v>
      </x:c>
      <x:c r="G1415" t="n">
        <x:v>1</x:v>
      </x:c>
      <x:c r="H1415" t="str">
        <x:v>equals</x:v>
      </x:c>
      <x:c r="I1415" t="str">
        <x:v>independent acceptance</x:v>
      </x:c>
      <x:c r="J1415" t="str">
        <x:f>IF(F1415=1,"PASS","OPEN")</x:f>
        <x:v>OPEN</x:v>
      </x:c>
    </x:row>
    <x:row r="1416">
      <x:c r="B1416" t="str">
        <x:v>PHY-EX-297</x:v>
      </x:c>
      <x:c r="C1416" t="str">
        <x:v>PHYSICAL</x:v>
      </x:c>
      <x:c r="D1416" t="str">
        <x:v>event execution</x:v>
      </x:c>
      <x:c r="E1416" t="str">
        <x:v>RFA-E297</x:v>
      </x:c>
      <x:c r="F1416" t="n">
        <x:f>IF('Event Register'!M303&lt;&gt;"",1,0)</x:f>
        <x:v>0</x:v>
      </x:c>
      <x:c r="G1416" t="n">
        <x:v>1</x:v>
      </x:c>
      <x:c r="H1416" t="str">
        <x:v>equals</x:v>
      </x:c>
      <x:c r="I1416" t="str">
        <x:v>independent acceptance</x:v>
      </x:c>
      <x:c r="J1416" t="str">
        <x:f>IF(F1416=1,"PASS","OPEN")</x:f>
        <x:v>OPEN</x:v>
      </x:c>
    </x:row>
    <x:row r="1417">
      <x:c r="B1417" t="str">
        <x:v>PHY-VA-297</x:v>
      </x:c>
      <x:c r="C1417" t="str">
        <x:v>PHYSICAL</x:v>
      </x:c>
      <x:c r="D1417" t="str">
        <x:v>event validity</x:v>
      </x:c>
      <x:c r="E1417" t="str">
        <x:v>RFA-E297</x:v>
      </x:c>
      <x:c r="F1417" t="n">
        <x:f>'Event Estimator'!L303</x:f>
        <x:v>0</x:v>
      </x:c>
      <x:c r="G1417" t="n">
        <x:v>1</x:v>
      </x:c>
      <x:c r="H1417" t="str">
        <x:v>equals</x:v>
      </x:c>
      <x:c r="I1417" t="str">
        <x:v>independent acceptance</x:v>
      </x:c>
      <x:c r="J1417" t="str">
        <x:f>IF(F1417=1,"PASS","OPEN")</x:f>
        <x:v>OPEN</x:v>
      </x:c>
    </x:row>
    <x:row r="1418">
      <x:c r="B1418" t="str">
        <x:v>PHY-OC-297</x:v>
      </x:c>
      <x:c r="C1418" t="str">
        <x:v>PHYSICAL</x:v>
      </x:c>
      <x:c r="D1418" t="str">
        <x:v>event outcome</x:v>
      </x:c>
      <x:c r="E1418" t="str">
        <x:v>RFA-E297</x:v>
      </x:c>
      <x:c r="F1418" t="n">
        <x:f>IF('Event Estimator'!M303&lt;&gt;"",1,0)</x:f>
        <x:v>0</x:v>
      </x:c>
      <x:c r="G1418" t="n">
        <x:v>1</x:v>
      </x:c>
      <x:c r="H1418" t="str">
        <x:v>equals</x:v>
      </x:c>
      <x:c r="I1418" t="str">
        <x:v>independent acceptance</x:v>
      </x:c>
      <x:c r="J1418" t="str">
        <x:f>IF(F1418=1,"PASS","OPEN")</x:f>
        <x:v>OPEN</x:v>
      </x:c>
    </x:row>
    <x:row r="1419">
      <x:c r="B1419" t="str">
        <x:v>PHY-EX-298</x:v>
      </x:c>
      <x:c r="C1419" t="str">
        <x:v>PHYSICAL</x:v>
      </x:c>
      <x:c r="D1419" t="str">
        <x:v>event execution</x:v>
      </x:c>
      <x:c r="E1419" t="str">
        <x:v>RFA-E298</x:v>
      </x:c>
      <x:c r="F1419" t="n">
        <x:f>IF('Event Register'!M304&lt;&gt;"",1,0)</x:f>
        <x:v>0</x:v>
      </x:c>
      <x:c r="G1419" t="n">
        <x:v>1</x:v>
      </x:c>
      <x:c r="H1419" t="str">
        <x:v>equals</x:v>
      </x:c>
      <x:c r="I1419" t="str">
        <x:v>independent acceptance</x:v>
      </x:c>
      <x:c r="J1419" t="str">
        <x:f>IF(F1419=1,"PASS","OPEN")</x:f>
        <x:v>OPEN</x:v>
      </x:c>
    </x:row>
    <x:row r="1420">
      <x:c r="B1420" t="str">
        <x:v>PHY-VA-298</x:v>
      </x:c>
      <x:c r="C1420" t="str">
        <x:v>PHYSICAL</x:v>
      </x:c>
      <x:c r="D1420" t="str">
        <x:v>event validity</x:v>
      </x:c>
      <x:c r="E1420" t="str">
        <x:v>RFA-E298</x:v>
      </x:c>
      <x:c r="F1420" t="n">
        <x:f>'Event Estimator'!L304</x:f>
        <x:v>0</x:v>
      </x:c>
      <x:c r="G1420" t="n">
        <x:v>1</x:v>
      </x:c>
      <x:c r="H1420" t="str">
        <x:v>equals</x:v>
      </x:c>
      <x:c r="I1420" t="str">
        <x:v>independent acceptance</x:v>
      </x:c>
      <x:c r="J1420" t="str">
        <x:f>IF(F1420=1,"PASS","OPEN")</x:f>
        <x:v>OPEN</x:v>
      </x:c>
    </x:row>
    <x:row r="1421">
      <x:c r="B1421" t="str">
        <x:v>PHY-OC-298</x:v>
      </x:c>
      <x:c r="C1421" t="str">
        <x:v>PHYSICAL</x:v>
      </x:c>
      <x:c r="D1421" t="str">
        <x:v>event outcome</x:v>
      </x:c>
      <x:c r="E1421" t="str">
        <x:v>RFA-E298</x:v>
      </x:c>
      <x:c r="F1421" t="n">
        <x:f>IF('Event Estimator'!M304&lt;&gt;"",1,0)</x:f>
        <x:v>0</x:v>
      </x:c>
      <x:c r="G1421" t="n">
        <x:v>1</x:v>
      </x:c>
      <x:c r="H1421" t="str">
        <x:v>equals</x:v>
      </x:c>
      <x:c r="I1421" t="str">
        <x:v>independent acceptance</x:v>
      </x:c>
      <x:c r="J1421" t="str">
        <x:f>IF(F1421=1,"PASS","OPEN")</x:f>
        <x:v>OPEN</x:v>
      </x:c>
    </x:row>
    <x:row r="1422">
      <x:c r="B1422" t="str">
        <x:v>PHY-EX-299</x:v>
      </x:c>
      <x:c r="C1422" t="str">
        <x:v>PHYSICAL</x:v>
      </x:c>
      <x:c r="D1422" t="str">
        <x:v>event execution</x:v>
      </x:c>
      <x:c r="E1422" t="str">
        <x:v>RFA-E299</x:v>
      </x:c>
      <x:c r="F1422" t="n">
        <x:f>IF('Event Register'!M305&lt;&gt;"",1,0)</x:f>
        <x:v>0</x:v>
      </x:c>
      <x:c r="G1422" t="n">
        <x:v>1</x:v>
      </x:c>
      <x:c r="H1422" t="str">
        <x:v>equals</x:v>
      </x:c>
      <x:c r="I1422" t="str">
        <x:v>independent acceptance</x:v>
      </x:c>
      <x:c r="J1422" t="str">
        <x:f>IF(F1422=1,"PASS","OPEN")</x:f>
        <x:v>OPEN</x:v>
      </x:c>
    </x:row>
    <x:row r="1423">
      <x:c r="B1423" t="str">
        <x:v>PHY-VA-299</x:v>
      </x:c>
      <x:c r="C1423" t="str">
        <x:v>PHYSICAL</x:v>
      </x:c>
      <x:c r="D1423" t="str">
        <x:v>event validity</x:v>
      </x:c>
      <x:c r="E1423" t="str">
        <x:v>RFA-E299</x:v>
      </x:c>
      <x:c r="F1423" t="n">
        <x:f>'Event Estimator'!L305</x:f>
        <x:v>0</x:v>
      </x:c>
      <x:c r="G1423" t="n">
        <x:v>1</x:v>
      </x:c>
      <x:c r="H1423" t="str">
        <x:v>equals</x:v>
      </x:c>
      <x:c r="I1423" t="str">
        <x:v>independent acceptance</x:v>
      </x:c>
      <x:c r="J1423" t="str">
        <x:f>IF(F1423=1,"PASS","OPEN")</x:f>
        <x:v>OPEN</x:v>
      </x:c>
    </x:row>
    <x:row r="1424">
      <x:c r="B1424" t="str">
        <x:v>PHY-OC-299</x:v>
      </x:c>
      <x:c r="C1424" t="str">
        <x:v>PHYSICAL</x:v>
      </x:c>
      <x:c r="D1424" t="str">
        <x:v>event outcome</x:v>
      </x:c>
      <x:c r="E1424" t="str">
        <x:v>RFA-E299</x:v>
      </x:c>
      <x:c r="F1424" t="n">
        <x:f>IF('Event Estimator'!M305&lt;&gt;"",1,0)</x:f>
        <x:v>0</x:v>
      </x:c>
      <x:c r="G1424" t="n">
        <x:v>1</x:v>
      </x:c>
      <x:c r="H1424" t="str">
        <x:v>equals</x:v>
      </x:c>
      <x:c r="I1424" t="str">
        <x:v>independent acceptance</x:v>
      </x:c>
      <x:c r="J1424" t="str">
        <x:f>IF(F1424=1,"PASS","OPEN")</x:f>
        <x:v>OPEN</x:v>
      </x:c>
    </x:row>
    <x:row r="1425">
      <x:c r="B1425" t="str">
        <x:v>PHY-EX-300</x:v>
      </x:c>
      <x:c r="C1425" t="str">
        <x:v>PHYSICAL</x:v>
      </x:c>
      <x:c r="D1425" t="str">
        <x:v>event execution</x:v>
      </x:c>
      <x:c r="E1425" t="str">
        <x:v>RFA-E300</x:v>
      </x:c>
      <x:c r="F1425" t="n">
        <x:f>IF('Event Register'!M306&lt;&gt;"",1,0)</x:f>
        <x:v>0</x:v>
      </x:c>
      <x:c r="G1425" t="n">
        <x:v>1</x:v>
      </x:c>
      <x:c r="H1425" t="str">
        <x:v>equals</x:v>
      </x:c>
      <x:c r="I1425" t="str">
        <x:v>independent acceptance</x:v>
      </x:c>
      <x:c r="J1425" t="str">
        <x:f>IF(F1425=1,"PASS","OPEN")</x:f>
        <x:v>OPEN</x:v>
      </x:c>
    </x:row>
    <x:row r="1426">
      <x:c r="B1426" t="str">
        <x:v>PHY-VA-300</x:v>
      </x:c>
      <x:c r="C1426" t="str">
        <x:v>PHYSICAL</x:v>
      </x:c>
      <x:c r="D1426" t="str">
        <x:v>event validity</x:v>
      </x:c>
      <x:c r="E1426" t="str">
        <x:v>RFA-E300</x:v>
      </x:c>
      <x:c r="F1426" t="n">
        <x:f>'Event Estimator'!L306</x:f>
        <x:v>0</x:v>
      </x:c>
      <x:c r="G1426" t="n">
        <x:v>1</x:v>
      </x:c>
      <x:c r="H1426" t="str">
        <x:v>equals</x:v>
      </x:c>
      <x:c r="I1426" t="str">
        <x:v>independent acceptance</x:v>
      </x:c>
      <x:c r="J1426" t="str">
        <x:f>IF(F1426=1,"PASS","OPEN")</x:f>
        <x:v>OPEN</x:v>
      </x:c>
    </x:row>
    <x:row r="1427">
      <x:c r="B1427" t="str">
        <x:v>PHY-OC-300</x:v>
      </x:c>
      <x:c r="C1427" t="str">
        <x:v>PHYSICAL</x:v>
      </x:c>
      <x:c r="D1427" t="str">
        <x:v>event outcome</x:v>
      </x:c>
      <x:c r="E1427" t="str">
        <x:v>RFA-E300</x:v>
      </x:c>
      <x:c r="F1427" t="n">
        <x:f>IF('Event Estimator'!M306&lt;&gt;"",1,0)</x:f>
        <x:v>0</x:v>
      </x:c>
      <x:c r="G1427" t="n">
        <x:v>1</x:v>
      </x:c>
      <x:c r="H1427" t="str">
        <x:v>equals</x:v>
      </x:c>
      <x:c r="I1427" t="str">
        <x:v>independent acceptance</x:v>
      </x:c>
      <x:c r="J1427" t="str">
        <x:f>IF(F1427=1,"PASS","OPEN")</x:f>
        <x:v>OPEN</x:v>
      </x:c>
    </x:row>
    <x:row r="1428">
      <x:c r="B1428" t="str">
        <x:v>PHY-EX-301</x:v>
      </x:c>
      <x:c r="C1428" t="str">
        <x:v>PHYSICAL</x:v>
      </x:c>
      <x:c r="D1428" t="str">
        <x:v>event execution</x:v>
      </x:c>
      <x:c r="E1428" t="str">
        <x:v>RFA-E301</x:v>
      </x:c>
      <x:c r="F1428" t="n">
        <x:f>IF('Event Register'!M307&lt;&gt;"",1,0)</x:f>
        <x:v>0</x:v>
      </x:c>
      <x:c r="G1428" t="n">
        <x:v>1</x:v>
      </x:c>
      <x:c r="H1428" t="str">
        <x:v>equals</x:v>
      </x:c>
      <x:c r="I1428" t="str">
        <x:v>independent acceptance</x:v>
      </x:c>
      <x:c r="J1428" t="str">
        <x:f>IF(F1428=1,"PASS","OPEN")</x:f>
        <x:v>OPEN</x:v>
      </x:c>
    </x:row>
    <x:row r="1429">
      <x:c r="B1429" t="str">
        <x:v>PHY-VA-301</x:v>
      </x:c>
      <x:c r="C1429" t="str">
        <x:v>PHYSICAL</x:v>
      </x:c>
      <x:c r="D1429" t="str">
        <x:v>event validity</x:v>
      </x:c>
      <x:c r="E1429" t="str">
        <x:v>RFA-E301</x:v>
      </x:c>
      <x:c r="F1429" t="n">
        <x:f>'Event Estimator'!L307</x:f>
        <x:v>0</x:v>
      </x:c>
      <x:c r="G1429" t="n">
        <x:v>1</x:v>
      </x:c>
      <x:c r="H1429" t="str">
        <x:v>equals</x:v>
      </x:c>
      <x:c r="I1429" t="str">
        <x:v>independent acceptance</x:v>
      </x:c>
      <x:c r="J1429" t="str">
        <x:f>IF(F1429=1,"PASS","OPEN")</x:f>
        <x:v>OPEN</x:v>
      </x:c>
    </x:row>
    <x:row r="1430">
      <x:c r="B1430" t="str">
        <x:v>PHY-OC-301</x:v>
      </x:c>
      <x:c r="C1430" t="str">
        <x:v>PHYSICAL</x:v>
      </x:c>
      <x:c r="D1430" t="str">
        <x:v>event outcome</x:v>
      </x:c>
      <x:c r="E1430" t="str">
        <x:v>RFA-E301</x:v>
      </x:c>
      <x:c r="F1430" t="n">
        <x:f>IF('Event Estimator'!M307&lt;&gt;"",1,0)</x:f>
        <x:v>0</x:v>
      </x:c>
      <x:c r="G1430" t="n">
        <x:v>1</x:v>
      </x:c>
      <x:c r="H1430" t="str">
        <x:v>equals</x:v>
      </x:c>
      <x:c r="I1430" t="str">
        <x:v>independent acceptance</x:v>
      </x:c>
      <x:c r="J1430" t="str">
        <x:f>IF(F1430=1,"PASS","OPEN")</x:f>
        <x:v>OPEN</x:v>
      </x:c>
    </x:row>
    <x:row r="1431">
      <x:c r="B1431" t="str">
        <x:v>PHY-EX-302</x:v>
      </x:c>
      <x:c r="C1431" t="str">
        <x:v>PHYSICAL</x:v>
      </x:c>
      <x:c r="D1431" t="str">
        <x:v>event execution</x:v>
      </x:c>
      <x:c r="E1431" t="str">
        <x:v>RFA-E302</x:v>
      </x:c>
      <x:c r="F1431" t="n">
        <x:f>IF('Event Register'!M308&lt;&gt;"",1,0)</x:f>
        <x:v>0</x:v>
      </x:c>
      <x:c r="G1431" t="n">
        <x:v>1</x:v>
      </x:c>
      <x:c r="H1431" t="str">
        <x:v>equals</x:v>
      </x:c>
      <x:c r="I1431" t="str">
        <x:v>independent acceptance</x:v>
      </x:c>
      <x:c r="J1431" t="str">
        <x:f>IF(F1431=1,"PASS","OPEN")</x:f>
        <x:v>OPEN</x:v>
      </x:c>
    </x:row>
    <x:row r="1432">
      <x:c r="B1432" t="str">
        <x:v>PHY-VA-302</x:v>
      </x:c>
      <x:c r="C1432" t="str">
        <x:v>PHYSICAL</x:v>
      </x:c>
      <x:c r="D1432" t="str">
        <x:v>event validity</x:v>
      </x:c>
      <x:c r="E1432" t="str">
        <x:v>RFA-E302</x:v>
      </x:c>
      <x:c r="F1432" t="n">
        <x:f>'Event Estimator'!L308</x:f>
        <x:v>0</x:v>
      </x:c>
      <x:c r="G1432" t="n">
        <x:v>1</x:v>
      </x:c>
      <x:c r="H1432" t="str">
        <x:v>equals</x:v>
      </x:c>
      <x:c r="I1432" t="str">
        <x:v>independent acceptance</x:v>
      </x:c>
      <x:c r="J1432" t="str">
        <x:f>IF(F1432=1,"PASS","OPEN")</x:f>
        <x:v>OPEN</x:v>
      </x:c>
    </x:row>
    <x:row r="1433">
      <x:c r="B1433" t="str">
        <x:v>PHY-OC-302</x:v>
      </x:c>
      <x:c r="C1433" t="str">
        <x:v>PHYSICAL</x:v>
      </x:c>
      <x:c r="D1433" t="str">
        <x:v>event outcome</x:v>
      </x:c>
      <x:c r="E1433" t="str">
        <x:v>RFA-E302</x:v>
      </x:c>
      <x:c r="F1433" t="n">
        <x:f>IF('Event Estimator'!M308&lt;&gt;"",1,0)</x:f>
        <x:v>0</x:v>
      </x:c>
      <x:c r="G1433" t="n">
        <x:v>1</x:v>
      </x:c>
      <x:c r="H1433" t="str">
        <x:v>equals</x:v>
      </x:c>
      <x:c r="I1433" t="str">
        <x:v>independent acceptance</x:v>
      </x:c>
      <x:c r="J1433" t="str">
        <x:f>IF(F1433=1,"PASS","OPEN")</x:f>
        <x:v>OPEN</x:v>
      </x:c>
    </x:row>
    <x:row r="1434">
      <x:c r="B1434" t="str">
        <x:v>PHY-EX-303</x:v>
      </x:c>
      <x:c r="C1434" t="str">
        <x:v>PHYSICAL</x:v>
      </x:c>
      <x:c r="D1434" t="str">
        <x:v>event execution</x:v>
      </x:c>
      <x:c r="E1434" t="str">
        <x:v>RFA-E303</x:v>
      </x:c>
      <x:c r="F1434" t="n">
        <x:f>IF('Event Register'!M309&lt;&gt;"",1,0)</x:f>
        <x:v>0</x:v>
      </x:c>
      <x:c r="G1434" t="n">
        <x:v>1</x:v>
      </x:c>
      <x:c r="H1434" t="str">
        <x:v>equals</x:v>
      </x:c>
      <x:c r="I1434" t="str">
        <x:v>independent acceptance</x:v>
      </x:c>
      <x:c r="J1434" t="str">
        <x:f>IF(F1434=1,"PASS","OPEN")</x:f>
        <x:v>OPEN</x:v>
      </x:c>
    </x:row>
    <x:row r="1435">
      <x:c r="B1435" t="str">
        <x:v>PHY-VA-303</x:v>
      </x:c>
      <x:c r="C1435" t="str">
        <x:v>PHYSICAL</x:v>
      </x:c>
      <x:c r="D1435" t="str">
        <x:v>event validity</x:v>
      </x:c>
      <x:c r="E1435" t="str">
        <x:v>RFA-E303</x:v>
      </x:c>
      <x:c r="F1435" t="n">
        <x:f>'Event Estimator'!L309</x:f>
        <x:v>0</x:v>
      </x:c>
      <x:c r="G1435" t="n">
        <x:v>1</x:v>
      </x:c>
      <x:c r="H1435" t="str">
        <x:v>equals</x:v>
      </x:c>
      <x:c r="I1435" t="str">
        <x:v>independent acceptance</x:v>
      </x:c>
      <x:c r="J1435" t="str">
        <x:f>IF(F1435=1,"PASS","OPEN")</x:f>
        <x:v>OPEN</x:v>
      </x:c>
    </x:row>
    <x:row r="1436">
      <x:c r="B1436" t="str">
        <x:v>PHY-OC-303</x:v>
      </x:c>
      <x:c r="C1436" t="str">
        <x:v>PHYSICAL</x:v>
      </x:c>
      <x:c r="D1436" t="str">
        <x:v>event outcome</x:v>
      </x:c>
      <x:c r="E1436" t="str">
        <x:v>RFA-E303</x:v>
      </x:c>
      <x:c r="F1436" t="n">
        <x:f>IF('Event Estimator'!M309&lt;&gt;"",1,0)</x:f>
        <x:v>0</x:v>
      </x:c>
      <x:c r="G1436" t="n">
        <x:v>1</x:v>
      </x:c>
      <x:c r="H1436" t="str">
        <x:v>equals</x:v>
      </x:c>
      <x:c r="I1436" t="str">
        <x:v>independent acceptance</x:v>
      </x:c>
      <x:c r="J1436" t="str">
        <x:f>IF(F1436=1,"PASS","OPEN")</x:f>
        <x:v>OPEN</x:v>
      </x:c>
    </x:row>
    <x:row r="1437">
      <x:c r="B1437" t="str">
        <x:v>PHY-EX-304</x:v>
      </x:c>
      <x:c r="C1437" t="str">
        <x:v>PHYSICAL</x:v>
      </x:c>
      <x:c r="D1437" t="str">
        <x:v>event execution</x:v>
      </x:c>
      <x:c r="E1437" t="str">
        <x:v>RFA-E304</x:v>
      </x:c>
      <x:c r="F1437" t="n">
        <x:f>IF('Event Register'!M310&lt;&gt;"",1,0)</x:f>
        <x:v>0</x:v>
      </x:c>
      <x:c r="G1437" t="n">
        <x:v>1</x:v>
      </x:c>
      <x:c r="H1437" t="str">
        <x:v>equals</x:v>
      </x:c>
      <x:c r="I1437" t="str">
        <x:v>independent acceptance</x:v>
      </x:c>
      <x:c r="J1437" t="str">
        <x:f>IF(F1437=1,"PASS","OPEN")</x:f>
        <x:v>OPEN</x:v>
      </x:c>
    </x:row>
    <x:row r="1438">
      <x:c r="B1438" t="str">
        <x:v>PHY-VA-304</x:v>
      </x:c>
      <x:c r="C1438" t="str">
        <x:v>PHYSICAL</x:v>
      </x:c>
      <x:c r="D1438" t="str">
        <x:v>event validity</x:v>
      </x:c>
      <x:c r="E1438" t="str">
        <x:v>RFA-E304</x:v>
      </x:c>
      <x:c r="F1438" t="n">
        <x:f>'Event Estimator'!L310</x:f>
        <x:v>0</x:v>
      </x:c>
      <x:c r="G1438" t="n">
        <x:v>1</x:v>
      </x:c>
      <x:c r="H1438" t="str">
        <x:v>equals</x:v>
      </x:c>
      <x:c r="I1438" t="str">
        <x:v>independent acceptance</x:v>
      </x:c>
      <x:c r="J1438" t="str">
        <x:f>IF(F1438=1,"PASS","OPEN")</x:f>
        <x:v>OPEN</x:v>
      </x:c>
    </x:row>
    <x:row r="1439">
      <x:c r="B1439" t="str">
        <x:v>PHY-OC-304</x:v>
      </x:c>
      <x:c r="C1439" t="str">
        <x:v>PHYSICAL</x:v>
      </x:c>
      <x:c r="D1439" t="str">
        <x:v>event outcome</x:v>
      </x:c>
      <x:c r="E1439" t="str">
        <x:v>RFA-E304</x:v>
      </x:c>
      <x:c r="F1439" t="n">
        <x:f>IF('Event Estimator'!M310&lt;&gt;"",1,0)</x:f>
        <x:v>0</x:v>
      </x:c>
      <x:c r="G1439" t="n">
        <x:v>1</x:v>
      </x:c>
      <x:c r="H1439" t="str">
        <x:v>equals</x:v>
      </x:c>
      <x:c r="I1439" t="str">
        <x:v>independent acceptance</x:v>
      </x:c>
      <x:c r="J1439" t="str">
        <x:f>IF(F1439=1,"PASS","OPEN")</x:f>
        <x:v>OPEN</x:v>
      </x:c>
    </x:row>
    <x:row r="1440">
      <x:c r="B1440" t="str">
        <x:v>PHY-EX-305</x:v>
      </x:c>
      <x:c r="C1440" t="str">
        <x:v>PHYSICAL</x:v>
      </x:c>
      <x:c r="D1440" t="str">
        <x:v>event execution</x:v>
      </x:c>
      <x:c r="E1440" t="str">
        <x:v>RFA-E305</x:v>
      </x:c>
      <x:c r="F1440" t="n">
        <x:f>IF('Event Register'!M311&lt;&gt;"",1,0)</x:f>
        <x:v>0</x:v>
      </x:c>
      <x:c r="G1440" t="n">
        <x:v>1</x:v>
      </x:c>
      <x:c r="H1440" t="str">
        <x:v>equals</x:v>
      </x:c>
      <x:c r="I1440" t="str">
        <x:v>independent acceptance</x:v>
      </x:c>
      <x:c r="J1440" t="str">
        <x:f>IF(F1440=1,"PASS","OPEN")</x:f>
        <x:v>OPEN</x:v>
      </x:c>
    </x:row>
    <x:row r="1441">
      <x:c r="B1441" t="str">
        <x:v>PHY-VA-305</x:v>
      </x:c>
      <x:c r="C1441" t="str">
        <x:v>PHYSICAL</x:v>
      </x:c>
      <x:c r="D1441" t="str">
        <x:v>event validity</x:v>
      </x:c>
      <x:c r="E1441" t="str">
        <x:v>RFA-E305</x:v>
      </x:c>
      <x:c r="F1441" t="n">
        <x:f>'Event Estimator'!L311</x:f>
        <x:v>0</x:v>
      </x:c>
      <x:c r="G1441" t="n">
        <x:v>1</x:v>
      </x:c>
      <x:c r="H1441" t="str">
        <x:v>equals</x:v>
      </x:c>
      <x:c r="I1441" t="str">
        <x:v>independent acceptance</x:v>
      </x:c>
      <x:c r="J1441" t="str">
        <x:f>IF(F1441=1,"PASS","OPEN")</x:f>
        <x:v>OPEN</x:v>
      </x:c>
    </x:row>
    <x:row r="1442">
      <x:c r="B1442" t="str">
        <x:v>PHY-OC-305</x:v>
      </x:c>
      <x:c r="C1442" t="str">
        <x:v>PHYSICAL</x:v>
      </x:c>
      <x:c r="D1442" t="str">
        <x:v>event outcome</x:v>
      </x:c>
      <x:c r="E1442" t="str">
        <x:v>RFA-E305</x:v>
      </x:c>
      <x:c r="F1442" t="n">
        <x:f>IF('Event Estimator'!M311&lt;&gt;"",1,0)</x:f>
        <x:v>0</x:v>
      </x:c>
      <x:c r="G1442" t="n">
        <x:v>1</x:v>
      </x:c>
      <x:c r="H1442" t="str">
        <x:v>equals</x:v>
      </x:c>
      <x:c r="I1442" t="str">
        <x:v>independent acceptance</x:v>
      </x:c>
      <x:c r="J1442" t="str">
        <x:f>IF(F1442=1,"PASS","OPEN")</x:f>
        <x:v>OPEN</x:v>
      </x:c>
    </x:row>
    <x:row r="1443">
      <x:c r="B1443" t="str">
        <x:v>PHY-EX-306</x:v>
      </x:c>
      <x:c r="C1443" t="str">
        <x:v>PHYSICAL</x:v>
      </x:c>
      <x:c r="D1443" t="str">
        <x:v>event execution</x:v>
      </x:c>
      <x:c r="E1443" t="str">
        <x:v>RFA-E306</x:v>
      </x:c>
      <x:c r="F1443" t="n">
        <x:f>IF('Event Register'!M312&lt;&gt;"",1,0)</x:f>
        <x:v>0</x:v>
      </x:c>
      <x:c r="G1443" t="n">
        <x:v>1</x:v>
      </x:c>
      <x:c r="H1443" t="str">
        <x:v>equals</x:v>
      </x:c>
      <x:c r="I1443" t="str">
        <x:v>independent acceptance</x:v>
      </x:c>
      <x:c r="J1443" t="str">
        <x:f>IF(F1443=1,"PASS","OPEN")</x:f>
        <x:v>OPEN</x:v>
      </x:c>
    </x:row>
    <x:row r="1444">
      <x:c r="B1444" t="str">
        <x:v>PHY-VA-306</x:v>
      </x:c>
      <x:c r="C1444" t="str">
        <x:v>PHYSICAL</x:v>
      </x:c>
      <x:c r="D1444" t="str">
        <x:v>event validity</x:v>
      </x:c>
      <x:c r="E1444" t="str">
        <x:v>RFA-E306</x:v>
      </x:c>
      <x:c r="F1444" t="n">
        <x:f>'Event Estimator'!L312</x:f>
        <x:v>0</x:v>
      </x:c>
      <x:c r="G1444" t="n">
        <x:v>1</x:v>
      </x:c>
      <x:c r="H1444" t="str">
        <x:v>equals</x:v>
      </x:c>
      <x:c r="I1444" t="str">
        <x:v>independent acceptance</x:v>
      </x:c>
      <x:c r="J1444" t="str">
        <x:f>IF(F1444=1,"PASS","OPEN")</x:f>
        <x:v>OPEN</x:v>
      </x:c>
    </x:row>
    <x:row r="1445">
      <x:c r="B1445" t="str">
        <x:v>PHY-OC-306</x:v>
      </x:c>
      <x:c r="C1445" t="str">
        <x:v>PHYSICAL</x:v>
      </x:c>
      <x:c r="D1445" t="str">
        <x:v>event outcome</x:v>
      </x:c>
      <x:c r="E1445" t="str">
        <x:v>RFA-E306</x:v>
      </x:c>
      <x:c r="F1445" t="n">
        <x:f>IF('Event Estimator'!M312&lt;&gt;"",1,0)</x:f>
        <x:v>0</x:v>
      </x:c>
      <x:c r="G1445" t="n">
        <x:v>1</x:v>
      </x:c>
      <x:c r="H1445" t="str">
        <x:v>equals</x:v>
      </x:c>
      <x:c r="I1445" t="str">
        <x:v>independent acceptance</x:v>
      </x:c>
      <x:c r="J1445" t="str">
        <x:f>IF(F1445=1,"PASS","OPEN")</x:f>
        <x:v>OPEN</x:v>
      </x:c>
    </x:row>
    <x:row r="1446">
      <x:c r="B1446" t="str">
        <x:v>PHY-SF-01</x:v>
      </x:c>
      <x:c r="C1446" t="str">
        <x:v>PHYSICAL</x:v>
      </x:c>
      <x:c r="D1446" t="str">
        <x:v>sensor acceptance</x:v>
      </x:c>
      <x:c r="E1446" t="str">
        <x:v>SF-01</x:v>
      </x:c>
      <x:c r="F1446" t="n">
        <x:f>IF('Sensor Plan'!G7&lt;&gt;"",1,0)</x:f>
        <x:v>0</x:v>
      </x:c>
      <x:c r="G1446" t="n">
        <x:v>1</x:v>
      </x:c>
      <x:c r="H1446" t="str">
        <x:v>equals</x:v>
      </x:c>
      <x:c r="I1446" t="str">
        <x:v>independent acceptance</x:v>
      </x:c>
      <x:c r="J1446" t="str">
        <x:f>IF(F1446=1,"PASS","OPEN")</x:f>
        <x:v>OPEN</x:v>
      </x:c>
    </x:row>
    <x:row r="1447">
      <x:c r="B1447" t="str">
        <x:v>PHY-SF-02</x:v>
      </x:c>
      <x:c r="C1447" t="str">
        <x:v>PHYSICAL</x:v>
      </x:c>
      <x:c r="D1447" t="str">
        <x:v>sensor acceptance</x:v>
      </x:c>
      <x:c r="E1447" t="str">
        <x:v>SF-02</x:v>
      </x:c>
      <x:c r="F1447" t="n">
        <x:f>IF('Sensor Plan'!G8&lt;&gt;"",1,0)</x:f>
        <x:v>0</x:v>
      </x:c>
      <x:c r="G1447" t="n">
        <x:v>1</x:v>
      </x:c>
      <x:c r="H1447" t="str">
        <x:v>equals</x:v>
      </x:c>
      <x:c r="I1447" t="str">
        <x:v>independent acceptance</x:v>
      </x:c>
      <x:c r="J1447" t="str">
        <x:f>IF(F1447=1,"PASS","OPEN")</x:f>
        <x:v>OPEN</x:v>
      </x:c>
    </x:row>
    <x:row r="1448">
      <x:c r="B1448" t="str">
        <x:v>PHY-SF-03</x:v>
      </x:c>
      <x:c r="C1448" t="str">
        <x:v>PHYSICAL</x:v>
      </x:c>
      <x:c r="D1448" t="str">
        <x:v>sensor acceptance</x:v>
      </x:c>
      <x:c r="E1448" t="str">
        <x:v>SF-03</x:v>
      </x:c>
      <x:c r="F1448" t="n">
        <x:f>IF('Sensor Plan'!G9&lt;&gt;"",1,0)</x:f>
        <x:v>0</x:v>
      </x:c>
      <x:c r="G1448" t="n">
        <x:v>1</x:v>
      </x:c>
      <x:c r="H1448" t="str">
        <x:v>equals</x:v>
      </x:c>
      <x:c r="I1448" t="str">
        <x:v>independent acceptance</x:v>
      </x:c>
      <x:c r="J1448" t="str">
        <x:f>IF(F1448=1,"PASS","OPEN")</x:f>
        <x:v>OPEN</x:v>
      </x:c>
    </x:row>
    <x:row r="1449">
      <x:c r="B1449" t="str">
        <x:v>PHY-SF-04</x:v>
      </x:c>
      <x:c r="C1449" t="str">
        <x:v>PHYSICAL</x:v>
      </x:c>
      <x:c r="D1449" t="str">
        <x:v>sensor acceptance</x:v>
      </x:c>
      <x:c r="E1449" t="str">
        <x:v>SF-04</x:v>
      </x:c>
      <x:c r="F1449" t="n">
        <x:f>IF('Sensor Plan'!G10&lt;&gt;"",1,0)</x:f>
        <x:v>0</x:v>
      </x:c>
      <x:c r="G1449" t="n">
        <x:v>1</x:v>
      </x:c>
      <x:c r="H1449" t="str">
        <x:v>equals</x:v>
      </x:c>
      <x:c r="I1449" t="str">
        <x:v>independent acceptance</x:v>
      </x:c>
      <x:c r="J1449" t="str">
        <x:f>IF(F1449=1,"PASS","OPEN")</x:f>
        <x:v>OPEN</x:v>
      </x:c>
    </x:row>
    <x:row r="1450">
      <x:c r="B1450" t="str">
        <x:v>PHY-SF-05</x:v>
      </x:c>
      <x:c r="C1450" t="str">
        <x:v>PHYSICAL</x:v>
      </x:c>
      <x:c r="D1450" t="str">
        <x:v>sensor acceptance</x:v>
      </x:c>
      <x:c r="E1450" t="str">
        <x:v>SF-05</x:v>
      </x:c>
      <x:c r="F1450" t="n">
        <x:f>IF('Sensor Plan'!G11&lt;&gt;"",1,0)</x:f>
        <x:v>0</x:v>
      </x:c>
      <x:c r="G1450" t="n">
        <x:v>1</x:v>
      </x:c>
      <x:c r="H1450" t="str">
        <x:v>equals</x:v>
      </x:c>
      <x:c r="I1450" t="str">
        <x:v>independent acceptance</x:v>
      </x:c>
      <x:c r="J1450" t="str">
        <x:f>IF(F1450=1,"PASS","OPEN")</x:f>
        <x:v>OPEN</x:v>
      </x:c>
    </x:row>
    <x:row r="1451">
      <x:c r="B1451" t="str">
        <x:v>PHY-SF-06</x:v>
      </x:c>
      <x:c r="C1451" t="str">
        <x:v>PHYSICAL</x:v>
      </x:c>
      <x:c r="D1451" t="str">
        <x:v>sensor acceptance</x:v>
      </x:c>
      <x:c r="E1451" t="str">
        <x:v>SF-06</x:v>
      </x:c>
      <x:c r="F1451" t="n">
        <x:f>IF('Sensor Plan'!G12&lt;&gt;"",1,0)</x:f>
        <x:v>0</x:v>
      </x:c>
      <x:c r="G1451" t="n">
        <x:v>1</x:v>
      </x:c>
      <x:c r="H1451" t="str">
        <x:v>equals</x:v>
      </x:c>
      <x:c r="I1451" t="str">
        <x:v>independent acceptance</x:v>
      </x:c>
      <x:c r="J1451" t="str">
        <x:f>IF(F1451=1,"PASS","OPEN")</x:f>
        <x:v>OPEN</x:v>
      </x:c>
    </x:row>
    <x:row r="1452">
      <x:c r="B1452" t="str">
        <x:v>PHY-SF-07</x:v>
      </x:c>
      <x:c r="C1452" t="str">
        <x:v>PHYSICAL</x:v>
      </x:c>
      <x:c r="D1452" t="str">
        <x:v>sensor acceptance</x:v>
      </x:c>
      <x:c r="E1452" t="str">
        <x:v>SF-07</x:v>
      </x:c>
      <x:c r="F1452" t="n">
        <x:f>IF('Sensor Plan'!G13&lt;&gt;"",1,0)</x:f>
        <x:v>0</x:v>
      </x:c>
      <x:c r="G1452" t="n">
        <x:v>1</x:v>
      </x:c>
      <x:c r="H1452" t="str">
        <x:v>equals</x:v>
      </x:c>
      <x:c r="I1452" t="str">
        <x:v>independent acceptance</x:v>
      </x:c>
      <x:c r="J1452" t="str">
        <x:f>IF(F1452=1,"PASS","OPEN")</x:f>
        <x:v>OPEN</x:v>
      </x:c>
    </x:row>
    <x:row r="1453">
      <x:c r="B1453" t="str">
        <x:v>PHY-SF-08</x:v>
      </x:c>
      <x:c r="C1453" t="str">
        <x:v>PHYSICAL</x:v>
      </x:c>
      <x:c r="D1453" t="str">
        <x:v>sensor acceptance</x:v>
      </x:c>
      <x:c r="E1453" t="str">
        <x:v>SF-08</x:v>
      </x:c>
      <x:c r="F1453" t="n">
        <x:f>IF('Sensor Plan'!G14&lt;&gt;"",1,0)</x:f>
        <x:v>0</x:v>
      </x:c>
      <x:c r="G1453" t="n">
        <x:v>1</x:v>
      </x:c>
      <x:c r="H1453" t="str">
        <x:v>equals</x:v>
      </x:c>
      <x:c r="I1453" t="str">
        <x:v>independent acceptance</x:v>
      </x:c>
      <x:c r="J1453" t="str">
        <x:f>IF(F1453=1,"PASS","OPEN")</x:f>
        <x:v>OPEN</x:v>
      </x:c>
    </x:row>
    <x:row r="1454">
      <x:c r="B1454" t="str">
        <x:v>PHY-SF-09</x:v>
      </x:c>
      <x:c r="C1454" t="str">
        <x:v>PHYSICAL</x:v>
      </x:c>
      <x:c r="D1454" t="str">
        <x:v>sensor acceptance</x:v>
      </x:c>
      <x:c r="E1454" t="str">
        <x:v>SF-09</x:v>
      </x:c>
      <x:c r="F1454" t="n">
        <x:f>IF('Sensor Plan'!G15&lt;&gt;"",1,0)</x:f>
        <x:v>0</x:v>
      </x:c>
      <x:c r="G1454" t="n">
        <x:v>1</x:v>
      </x:c>
      <x:c r="H1454" t="str">
        <x:v>equals</x:v>
      </x:c>
      <x:c r="I1454" t="str">
        <x:v>independent acceptance</x:v>
      </x:c>
      <x:c r="J1454" t="str">
        <x:f>IF(F1454=1,"PASS","OPEN")</x:f>
        <x:v>OPEN</x:v>
      </x:c>
    </x:row>
    <x:row r="1455">
      <x:c r="B1455" t="str">
        <x:v>PHY-SF-10</x:v>
      </x:c>
      <x:c r="C1455" t="str">
        <x:v>PHYSICAL</x:v>
      </x:c>
      <x:c r="D1455" t="str">
        <x:v>sensor acceptance</x:v>
      </x:c>
      <x:c r="E1455" t="str">
        <x:v>SF-10</x:v>
      </x:c>
      <x:c r="F1455" t="n">
        <x:f>IF('Sensor Plan'!G16&lt;&gt;"",1,0)</x:f>
        <x:v>0</x:v>
      </x:c>
      <x:c r="G1455" t="n">
        <x:v>1</x:v>
      </x:c>
      <x:c r="H1455" t="str">
        <x:v>equals</x:v>
      </x:c>
      <x:c r="I1455" t="str">
        <x:v>independent acceptance</x:v>
      </x:c>
      <x:c r="J1455" t="str">
        <x:f>IF(F1455=1,"PASS","OPEN")</x:f>
        <x:v>OPEN</x:v>
      </x:c>
    </x:row>
    <x:row r="1456">
      <x:c r="B1456" t="str">
        <x:v>PHY-SF-11</x:v>
      </x:c>
      <x:c r="C1456" t="str">
        <x:v>PHYSICAL</x:v>
      </x:c>
      <x:c r="D1456" t="str">
        <x:v>sensor acceptance</x:v>
      </x:c>
      <x:c r="E1456" t="str">
        <x:v>SF-11</x:v>
      </x:c>
      <x:c r="F1456" t="n">
        <x:f>IF('Sensor Plan'!G17&lt;&gt;"",1,0)</x:f>
        <x:v>0</x:v>
      </x:c>
      <x:c r="G1456" t="n">
        <x:v>1</x:v>
      </x:c>
      <x:c r="H1456" t="str">
        <x:v>equals</x:v>
      </x:c>
      <x:c r="I1456" t="str">
        <x:v>independent acceptance</x:v>
      </x:c>
      <x:c r="J1456" t="str">
        <x:f>IF(F1456=1,"PASS","OPEN")</x:f>
        <x:v>OPEN</x:v>
      </x:c>
    </x:row>
    <x:row r="1457">
      <x:c r="B1457" t="str">
        <x:v>PHY-SF-12</x:v>
      </x:c>
      <x:c r="C1457" t="str">
        <x:v>PHYSICAL</x:v>
      </x:c>
      <x:c r="D1457" t="str">
        <x:v>sensor acceptance</x:v>
      </x:c>
      <x:c r="E1457" t="str">
        <x:v>SF-12</x:v>
      </x:c>
      <x:c r="F1457" t="n">
        <x:f>IF('Sensor Plan'!G18&lt;&gt;"",1,0)</x:f>
        <x:v>0</x:v>
      </x:c>
      <x:c r="G1457" t="n">
        <x:v>1</x:v>
      </x:c>
      <x:c r="H1457" t="str">
        <x:v>equals</x:v>
      </x:c>
      <x:c r="I1457" t="str">
        <x:v>independent acceptance</x:v>
      </x:c>
      <x:c r="J1457" t="str">
        <x:f>IF(F1457=1,"PASS","OPEN")</x:f>
        <x:v>OPEN</x:v>
      </x:c>
    </x:row>
    <x:row r="1458">
      <x:c r="B1458" t="str">
        <x:v>PHY-SF-13</x:v>
      </x:c>
      <x:c r="C1458" t="str">
        <x:v>PHYSICAL</x:v>
      </x:c>
      <x:c r="D1458" t="str">
        <x:v>sensor acceptance</x:v>
      </x:c>
      <x:c r="E1458" t="str">
        <x:v>SF-13</x:v>
      </x:c>
      <x:c r="F1458" t="n">
        <x:f>IF('Sensor Plan'!G19&lt;&gt;"",1,0)</x:f>
        <x:v>0</x:v>
      </x:c>
      <x:c r="G1458" t="n">
        <x:v>1</x:v>
      </x:c>
      <x:c r="H1458" t="str">
        <x:v>equals</x:v>
      </x:c>
      <x:c r="I1458" t="str">
        <x:v>independent acceptance</x:v>
      </x:c>
      <x:c r="J1458" t="str">
        <x:f>IF(F1458=1,"PASS","OPEN")</x:f>
        <x:v>OPEN</x:v>
      </x:c>
    </x:row>
    <x:row r="1459">
      <x:c r="B1459" t="str">
        <x:v>PHY-SF-14</x:v>
      </x:c>
      <x:c r="C1459" t="str">
        <x:v>PHYSICAL</x:v>
      </x:c>
      <x:c r="D1459" t="str">
        <x:v>sensor acceptance</x:v>
      </x:c>
      <x:c r="E1459" t="str">
        <x:v>SF-14</x:v>
      </x:c>
      <x:c r="F1459" t="n">
        <x:f>IF('Sensor Plan'!G20&lt;&gt;"",1,0)</x:f>
        <x:v>0</x:v>
      </x:c>
      <x:c r="G1459" t="n">
        <x:v>1</x:v>
      </x:c>
      <x:c r="H1459" t="str">
        <x:v>equals</x:v>
      </x:c>
      <x:c r="I1459" t="str">
        <x:v>independent acceptance</x:v>
      </x:c>
      <x:c r="J1459" t="str">
        <x:f>IF(F1459=1,"PASS","OPEN")</x:f>
        <x:v>OPEN</x:v>
      </x:c>
    </x:row>
    <x:row r="1460">
      <x:c r="B1460" t="str">
        <x:v>PHY-SF-15</x:v>
      </x:c>
      <x:c r="C1460" t="str">
        <x:v>PHYSICAL</x:v>
      </x:c>
      <x:c r="D1460" t="str">
        <x:v>sensor acceptance</x:v>
      </x:c>
      <x:c r="E1460" t="str">
        <x:v>SF-15</x:v>
      </x:c>
      <x:c r="F1460" t="n">
        <x:f>IF('Sensor Plan'!G21&lt;&gt;"",1,0)</x:f>
        <x:v>0</x:v>
      </x:c>
      <x:c r="G1460" t="n">
        <x:v>1</x:v>
      </x:c>
      <x:c r="H1460" t="str">
        <x:v>equals</x:v>
      </x:c>
      <x:c r="I1460" t="str">
        <x:v>independent acceptance</x:v>
      </x:c>
      <x:c r="J1460" t="str">
        <x:f>IF(F1460=1,"PASS","OPEN")</x:f>
        <x:v>OPEN</x:v>
      </x:c>
    </x:row>
    <x:row r="1461">
      <x:c r="B1461" t="str">
        <x:v>PHY-SF-16</x:v>
      </x:c>
      <x:c r="C1461" t="str">
        <x:v>PHYSICAL</x:v>
      </x:c>
      <x:c r="D1461" t="str">
        <x:v>sensor acceptance</x:v>
      </x:c>
      <x:c r="E1461" t="str">
        <x:v>SF-16</x:v>
      </x:c>
      <x:c r="F1461" t="n">
        <x:f>IF('Sensor Plan'!G22&lt;&gt;"",1,0)</x:f>
        <x:v>0</x:v>
      </x:c>
      <x:c r="G1461" t="n">
        <x:v>1</x:v>
      </x:c>
      <x:c r="H1461" t="str">
        <x:v>equals</x:v>
      </x:c>
      <x:c r="I1461" t="str">
        <x:v>independent acceptance</x:v>
      </x:c>
      <x:c r="J1461" t="str">
        <x:f>IF(F1461=1,"PASS","OPEN")</x:f>
        <x:v>OPEN</x:v>
      </x:c>
    </x:row>
    <x:row r="1462">
      <x:c r="B1462" t="str">
        <x:v>PHY-SF-17</x:v>
      </x:c>
      <x:c r="C1462" t="str">
        <x:v>PHYSICAL</x:v>
      </x:c>
      <x:c r="D1462" t="str">
        <x:v>sensor acceptance</x:v>
      </x:c>
      <x:c r="E1462" t="str">
        <x:v>SF-17</x:v>
      </x:c>
      <x:c r="F1462" t="n">
        <x:f>IF('Sensor Plan'!G23&lt;&gt;"",1,0)</x:f>
        <x:v>0</x:v>
      </x:c>
      <x:c r="G1462" t="n">
        <x:v>1</x:v>
      </x:c>
      <x:c r="H1462" t="str">
        <x:v>equals</x:v>
      </x:c>
      <x:c r="I1462" t="str">
        <x:v>independent acceptance</x:v>
      </x:c>
      <x:c r="J1462" t="str">
        <x:f>IF(F1462=1,"PASS","OPEN")</x:f>
        <x:v>OPEN</x:v>
      </x:c>
    </x:row>
    <x:row r="1463">
      <x:c r="B1463" t="str">
        <x:v>PHY-SF-18</x:v>
      </x:c>
      <x:c r="C1463" t="str">
        <x:v>PHYSICAL</x:v>
      </x:c>
      <x:c r="D1463" t="str">
        <x:v>sensor acceptance</x:v>
      </x:c>
      <x:c r="E1463" t="str">
        <x:v>SF-18</x:v>
      </x:c>
      <x:c r="F1463" t="n">
        <x:f>IF('Sensor Plan'!G24&lt;&gt;"",1,0)</x:f>
        <x:v>0</x:v>
      </x:c>
      <x:c r="G1463" t="n">
        <x:v>1</x:v>
      </x:c>
      <x:c r="H1463" t="str">
        <x:v>equals</x:v>
      </x:c>
      <x:c r="I1463" t="str">
        <x:v>independent acceptance</x:v>
      </x:c>
      <x:c r="J1463" t="str">
        <x:f>IF(F1463=1,"PASS","OPEN")</x:f>
        <x:v>OPEN</x:v>
      </x:c>
    </x:row>
    <x:row r="1464">
      <x:c r="B1464" t="str">
        <x:v>PHY-SF-19</x:v>
      </x:c>
      <x:c r="C1464" t="str">
        <x:v>PHYSICAL</x:v>
      </x:c>
      <x:c r="D1464" t="str">
        <x:v>sensor acceptance</x:v>
      </x:c>
      <x:c r="E1464" t="str">
        <x:v>SF-19</x:v>
      </x:c>
      <x:c r="F1464" t="n">
        <x:f>IF('Sensor Plan'!G25&lt;&gt;"",1,0)</x:f>
        <x:v>0</x:v>
      </x:c>
      <x:c r="G1464" t="n">
        <x:v>1</x:v>
      </x:c>
      <x:c r="H1464" t="str">
        <x:v>equals</x:v>
      </x:c>
      <x:c r="I1464" t="str">
        <x:v>independent acceptance</x:v>
      </x:c>
      <x:c r="J1464" t="str">
        <x:f>IF(F1464=1,"PASS","OPEN")</x:f>
        <x:v>OPEN</x:v>
      </x:c>
    </x:row>
    <x:row r="1465">
      <x:c r="B1465" t="str">
        <x:v>PHY-SF-20</x:v>
      </x:c>
      <x:c r="C1465" t="str">
        <x:v>PHYSICAL</x:v>
      </x:c>
      <x:c r="D1465" t="str">
        <x:v>sensor acceptance</x:v>
      </x:c>
      <x:c r="E1465" t="str">
        <x:v>SF-20</x:v>
      </x:c>
      <x:c r="F1465" t="n">
        <x:f>IF('Sensor Plan'!G26&lt;&gt;"",1,0)</x:f>
        <x:v>0</x:v>
      </x:c>
      <x:c r="G1465" t="n">
        <x:v>1</x:v>
      </x:c>
      <x:c r="H1465" t="str">
        <x:v>equals</x:v>
      </x:c>
      <x:c r="I1465" t="str">
        <x:v>independent acceptance</x:v>
      </x:c>
      <x:c r="J1465" t="str">
        <x:f>IF(F1465=1,"PASS","OPEN")</x:f>
        <x:v>OPEN</x:v>
      </x:c>
    </x:row>
    <x:row r="1466">
      <x:c r="B1466" t="str">
        <x:v>PHY-AM-01</x:v>
      </x:c>
      <x:c r="C1466" t="str">
        <x:v>PHYSICAL</x:v>
      </x:c>
      <x:c r="D1466" t="str">
        <x:v>method qualification</x:v>
      </x:c>
      <x:c r="E1466" t="str">
        <x:v>AM-00</x:v>
      </x:c>
      <x:c r="F1466" t="n">
        <x:f>'Method Matrix'!I7</x:f>
        <x:v>0</x:v>
      </x:c>
      <x:c r="G1466" t="n">
        <x:v>1</x:v>
      </x:c>
      <x:c r="H1466" t="str">
        <x:v>equals</x:v>
      </x:c>
      <x:c r="I1466" t="str">
        <x:v>independent acceptance</x:v>
      </x:c>
      <x:c r="J1466" t="str">
        <x:f>IF(F1466=1,"PASS","OPEN")</x:f>
        <x:v>OPEN</x:v>
      </x:c>
    </x:row>
    <x:row r="1467">
      <x:c r="B1467" t="str">
        <x:v>PHY-AM-02</x:v>
      </x:c>
      <x:c r="C1467" t="str">
        <x:v>PHYSICAL</x:v>
      </x:c>
      <x:c r="D1467" t="str">
        <x:v>method qualification</x:v>
      </x:c>
      <x:c r="E1467" t="str">
        <x:v>AM-01</x:v>
      </x:c>
      <x:c r="F1467" t="n">
        <x:f>'Method Matrix'!I8</x:f>
        <x:v>0</x:v>
      </x:c>
      <x:c r="G1467" t="n">
        <x:v>1</x:v>
      </x:c>
      <x:c r="H1467" t="str">
        <x:v>equals</x:v>
      </x:c>
      <x:c r="I1467" t="str">
        <x:v>independent acceptance</x:v>
      </x:c>
      <x:c r="J1467" t="str">
        <x:f>IF(F1467=1,"PASS","OPEN")</x:f>
        <x:v>OPEN</x:v>
      </x:c>
    </x:row>
    <x:row r="1468">
      <x:c r="B1468" t="str">
        <x:v>PHY-AM-03</x:v>
      </x:c>
      <x:c r="C1468" t="str">
        <x:v>PHYSICAL</x:v>
      </x:c>
      <x:c r="D1468" t="str">
        <x:v>method qualification</x:v>
      </x:c>
      <x:c r="E1468" t="str">
        <x:v>AM-02</x:v>
      </x:c>
      <x:c r="F1468" t="n">
        <x:f>'Method Matrix'!I9</x:f>
        <x:v>0</x:v>
      </x:c>
      <x:c r="G1468" t="n">
        <x:v>1</x:v>
      </x:c>
      <x:c r="H1468" t="str">
        <x:v>equals</x:v>
      </x:c>
      <x:c r="I1468" t="str">
        <x:v>independent acceptance</x:v>
      </x:c>
      <x:c r="J1468" t="str">
        <x:f>IF(F1468=1,"PASS","OPEN")</x:f>
        <x:v>OPEN</x:v>
      </x:c>
    </x:row>
    <x:row r="1469">
      <x:c r="B1469" t="str">
        <x:v>PHY-AM-04</x:v>
      </x:c>
      <x:c r="C1469" t="str">
        <x:v>PHYSICAL</x:v>
      </x:c>
      <x:c r="D1469" t="str">
        <x:v>method qualification</x:v>
      </x:c>
      <x:c r="E1469" t="str">
        <x:v>AM-03</x:v>
      </x:c>
      <x:c r="F1469" t="n">
        <x:f>'Method Matrix'!I10</x:f>
        <x:v>0</x:v>
      </x:c>
      <x:c r="G1469" t="n">
        <x:v>1</x:v>
      </x:c>
      <x:c r="H1469" t="str">
        <x:v>equals</x:v>
      </x:c>
      <x:c r="I1469" t="str">
        <x:v>independent acceptance</x:v>
      </x:c>
      <x:c r="J1469" t="str">
        <x:f>IF(F1469=1,"PASS","OPEN")</x:f>
        <x:v>OPEN</x:v>
      </x:c>
    </x:row>
    <x:row r="1470">
      <x:c r="B1470" t="str">
        <x:v>PHY-AM-05</x:v>
      </x:c>
      <x:c r="C1470" t="str">
        <x:v>PHYSICAL</x:v>
      </x:c>
      <x:c r="D1470" t="str">
        <x:v>method qualification</x:v>
      </x:c>
      <x:c r="E1470" t="str">
        <x:v>AM-04</x:v>
      </x:c>
      <x:c r="F1470" t="n">
        <x:f>'Method Matrix'!I11</x:f>
        <x:v>0</x:v>
      </x:c>
      <x:c r="G1470" t="n">
        <x:v>1</x:v>
      </x:c>
      <x:c r="H1470" t="str">
        <x:v>equals</x:v>
      </x:c>
      <x:c r="I1470" t="str">
        <x:v>independent acceptance</x:v>
      </x:c>
      <x:c r="J1470" t="str">
        <x:f>IF(F1470=1,"PASS","OPEN")</x:f>
        <x:v>OPEN</x:v>
      </x:c>
    </x:row>
    <x:row r="1471">
      <x:c r="B1471" t="str">
        <x:v>PHY-AM-06</x:v>
      </x:c>
      <x:c r="C1471" t="str">
        <x:v>PHYSICAL</x:v>
      </x:c>
      <x:c r="D1471" t="str">
        <x:v>method qualification</x:v>
      </x:c>
      <x:c r="E1471" t="str">
        <x:v>AM-05</x:v>
      </x:c>
      <x:c r="F1471" t="n">
        <x:f>'Method Matrix'!I12</x:f>
        <x:v>0</x:v>
      </x:c>
      <x:c r="G1471" t="n">
        <x:v>1</x:v>
      </x:c>
      <x:c r="H1471" t="str">
        <x:v>equals</x:v>
      </x:c>
      <x:c r="I1471" t="str">
        <x:v>independent acceptance</x:v>
      </x:c>
      <x:c r="J1471" t="str">
        <x:f>IF(F1471=1,"PASS","OPEN")</x:f>
        <x:v>OPEN</x:v>
      </x:c>
    </x:row>
    <x:row r="1472">
      <x:c r="B1472" t="str">
        <x:v>PHY-AM-07</x:v>
      </x:c>
      <x:c r="C1472" t="str">
        <x:v>PHYSICAL</x:v>
      </x:c>
      <x:c r="D1472" t="str">
        <x:v>method qualification</x:v>
      </x:c>
      <x:c r="E1472" t="str">
        <x:v>AM-06</x:v>
      </x:c>
      <x:c r="F1472" t="n">
        <x:f>'Method Matrix'!I13</x:f>
        <x:v>0</x:v>
      </x:c>
      <x:c r="G1472" t="n">
        <x:v>1</x:v>
      </x:c>
      <x:c r="H1472" t="str">
        <x:v>equals</x:v>
      </x:c>
      <x:c r="I1472" t="str">
        <x:v>independent acceptance</x:v>
      </x:c>
      <x:c r="J1472" t="str">
        <x:f>IF(F1472=1,"PASS","OPEN")</x:f>
        <x:v>OPEN</x:v>
      </x:c>
    </x:row>
    <x:row r="1473">
      <x:c r="B1473" t="str">
        <x:v>PHY-AM-08</x:v>
      </x:c>
      <x:c r="C1473" t="str">
        <x:v>PHYSICAL</x:v>
      </x:c>
      <x:c r="D1473" t="str">
        <x:v>method qualification</x:v>
      </x:c>
      <x:c r="E1473" t="str">
        <x:v>AM-07</x:v>
      </x:c>
      <x:c r="F1473" t="n">
        <x:f>'Method Matrix'!I14</x:f>
        <x:v>0</x:v>
      </x:c>
      <x:c r="G1473" t="n">
        <x:v>1</x:v>
      </x:c>
      <x:c r="H1473" t="str">
        <x:v>equals</x:v>
      </x:c>
      <x:c r="I1473" t="str">
        <x:v>independent acceptance</x:v>
      </x:c>
      <x:c r="J1473" t="str">
        <x:f>IF(F1473=1,"PASS","OPEN")</x:f>
        <x:v>OPEN</x:v>
      </x:c>
    </x:row>
    <x:row r="1474">
      <x:c r="B1474" t="str">
        <x:v>PHY-AM-09</x:v>
      </x:c>
      <x:c r="C1474" t="str">
        <x:v>PHYSICAL</x:v>
      </x:c>
      <x:c r="D1474" t="str">
        <x:v>method qualification</x:v>
      </x:c>
      <x:c r="E1474" t="str">
        <x:v>AM-08</x:v>
      </x:c>
      <x:c r="F1474" t="n">
        <x:f>'Method Matrix'!I15</x:f>
        <x:v>0</x:v>
      </x:c>
      <x:c r="G1474" t="n">
        <x:v>1</x:v>
      </x:c>
      <x:c r="H1474" t="str">
        <x:v>equals</x:v>
      </x:c>
      <x:c r="I1474" t="str">
        <x:v>independent acceptance</x:v>
      </x:c>
      <x:c r="J1474" t="str">
        <x:f>IF(F1474=1,"PASS","OPEN")</x:f>
        <x:v>OPEN</x:v>
      </x:c>
    </x:row>
    <x:row r="1475">
      <x:c r="B1475" t="str">
        <x:v>PHY-AM-10</x:v>
      </x:c>
      <x:c r="C1475" t="str">
        <x:v>PHYSICAL</x:v>
      </x:c>
      <x:c r="D1475" t="str">
        <x:v>method qualification</x:v>
      </x:c>
      <x:c r="E1475" t="str">
        <x:v>AM-09</x:v>
      </x:c>
      <x:c r="F1475" t="n">
        <x:f>'Method Matrix'!I16</x:f>
        <x:v>0</x:v>
      </x:c>
      <x:c r="G1475" t="n">
        <x:v>1</x:v>
      </x:c>
      <x:c r="H1475" t="str">
        <x:v>equals</x:v>
      </x:c>
      <x:c r="I1475" t="str">
        <x:v>independent acceptance</x:v>
      </x:c>
      <x:c r="J1475" t="str">
        <x:f>IF(F1475=1,"PASS","OPEN")</x:f>
        <x:v>OPEN</x:v>
      </x:c>
    </x:row>
    <x:row r="1476">
      <x:c r="B1476" t="str">
        <x:v>PHY-PR-001</x:v>
      </x:c>
      <x:c r="C1476" t="str">
        <x:v>PHYSICAL</x:v>
      </x:c>
      <x:c r="D1476" t="str">
        <x:v>pair disposition</x:v>
      </x:c>
      <x:c r="E1476" t="str">
        <x:v>RFA-P001</x:v>
      </x:c>
      <x:c r="F1476" t="str">
        <x:f>'Pair Estimator'!N7</x:f>
        <x:v>OPEN</x:v>
      </x:c>
      <x:c r="G1476" t="n">
        <x:v>1</x:v>
      </x:c>
      <x:c r="H1476" t="str">
        <x:v>equals</x:v>
      </x:c>
      <x:c r="I1476" t="str">
        <x:v>independent acceptance</x:v>
      </x:c>
      <x:c r="J1476" t="str">
        <x:f>IF(F1476=1,"PASS","OPEN")</x:f>
        <x:v>OPEN</x:v>
      </x:c>
    </x:row>
    <x:row r="1477">
      <x:c r="B1477" t="str">
        <x:v>PHY-PR-002</x:v>
      </x:c>
      <x:c r="C1477" t="str">
        <x:v>PHYSICAL</x:v>
      </x:c>
      <x:c r="D1477" t="str">
        <x:v>pair disposition</x:v>
      </x:c>
      <x:c r="E1477" t="str">
        <x:v>RFA-P002</x:v>
      </x:c>
      <x:c r="F1477" t="str">
        <x:f>'Pair Estimator'!N8</x:f>
        <x:v>OPEN</x:v>
      </x:c>
      <x:c r="G1477" t="n">
        <x:v>1</x:v>
      </x:c>
      <x:c r="H1477" t="str">
        <x:v>equals</x:v>
      </x:c>
      <x:c r="I1477" t="str">
        <x:v>independent acceptance</x:v>
      </x:c>
      <x:c r="J1477" t="str">
        <x:f>IF(F1477=1,"PASS","OPEN")</x:f>
        <x:v>OPEN</x:v>
      </x:c>
    </x:row>
    <x:row r="1478">
      <x:c r="B1478" t="str">
        <x:v>PHY-PR-003</x:v>
      </x:c>
      <x:c r="C1478" t="str">
        <x:v>PHYSICAL</x:v>
      </x:c>
      <x:c r="D1478" t="str">
        <x:v>pair disposition</x:v>
      </x:c>
      <x:c r="E1478" t="str">
        <x:v>RFA-P003</x:v>
      </x:c>
      <x:c r="F1478" t="str">
        <x:f>'Pair Estimator'!N9</x:f>
        <x:v>OPEN</x:v>
      </x:c>
      <x:c r="G1478" t="n">
        <x:v>1</x:v>
      </x:c>
      <x:c r="H1478" t="str">
        <x:v>equals</x:v>
      </x:c>
      <x:c r="I1478" t="str">
        <x:v>independent acceptance</x:v>
      </x:c>
      <x:c r="J1478" t="str">
        <x:f>IF(F1478=1,"PASS","OPEN")</x:f>
        <x:v>OPEN</x:v>
      </x:c>
    </x:row>
    <x:row r="1479">
      <x:c r="B1479" t="str">
        <x:v>PHY-PR-004</x:v>
      </x:c>
      <x:c r="C1479" t="str">
        <x:v>PHYSICAL</x:v>
      </x:c>
      <x:c r="D1479" t="str">
        <x:v>pair disposition</x:v>
      </x:c>
      <x:c r="E1479" t="str">
        <x:v>RFA-P004</x:v>
      </x:c>
      <x:c r="F1479" t="str">
        <x:f>'Pair Estimator'!N10</x:f>
        <x:v>OPEN</x:v>
      </x:c>
      <x:c r="G1479" t="n">
        <x:v>1</x:v>
      </x:c>
      <x:c r="H1479" t="str">
        <x:v>equals</x:v>
      </x:c>
      <x:c r="I1479" t="str">
        <x:v>independent acceptance</x:v>
      </x:c>
      <x:c r="J1479" t="str">
        <x:f>IF(F1479=1,"PASS","OPEN")</x:f>
        <x:v>OPEN</x:v>
      </x:c>
    </x:row>
    <x:row r="1480">
      <x:c r="B1480" t="str">
        <x:v>PHY-PR-005</x:v>
      </x:c>
      <x:c r="C1480" t="str">
        <x:v>PHYSICAL</x:v>
      </x:c>
      <x:c r="D1480" t="str">
        <x:v>pair disposition</x:v>
      </x:c>
      <x:c r="E1480" t="str">
        <x:v>RFA-P005</x:v>
      </x:c>
      <x:c r="F1480" t="str">
        <x:f>'Pair Estimator'!N11</x:f>
        <x:v>OPEN</x:v>
      </x:c>
      <x:c r="G1480" t="n">
        <x:v>1</x:v>
      </x:c>
      <x:c r="H1480" t="str">
        <x:v>equals</x:v>
      </x:c>
      <x:c r="I1480" t="str">
        <x:v>independent acceptance</x:v>
      </x:c>
      <x:c r="J1480" t="str">
        <x:f>IF(F1480=1,"PASS","OPEN")</x:f>
        <x:v>OPEN</x:v>
      </x:c>
    </x:row>
    <x:row r="1481">
      <x:c r="B1481" t="str">
        <x:v>PHY-PR-006</x:v>
      </x:c>
      <x:c r="C1481" t="str">
        <x:v>PHYSICAL</x:v>
      </x:c>
      <x:c r="D1481" t="str">
        <x:v>pair disposition</x:v>
      </x:c>
      <x:c r="E1481" t="str">
        <x:v>RFA-P006</x:v>
      </x:c>
      <x:c r="F1481" t="str">
        <x:f>'Pair Estimator'!N12</x:f>
        <x:v>OPEN</x:v>
      </x:c>
      <x:c r="G1481" t="n">
        <x:v>1</x:v>
      </x:c>
      <x:c r="H1481" t="str">
        <x:v>equals</x:v>
      </x:c>
      <x:c r="I1481" t="str">
        <x:v>independent acceptance</x:v>
      </x:c>
      <x:c r="J1481" t="str">
        <x:f>IF(F1481=1,"PASS","OPEN")</x:f>
        <x:v>OPEN</x:v>
      </x:c>
    </x:row>
    <x:row r="1482">
      <x:c r="B1482" t="str">
        <x:v>PHY-PR-007</x:v>
      </x:c>
      <x:c r="C1482" t="str">
        <x:v>PHYSICAL</x:v>
      </x:c>
      <x:c r="D1482" t="str">
        <x:v>pair disposition</x:v>
      </x:c>
      <x:c r="E1482" t="str">
        <x:v>RFA-P007</x:v>
      </x:c>
      <x:c r="F1482" t="str">
        <x:f>'Pair Estimator'!N13</x:f>
        <x:v>OPEN</x:v>
      </x:c>
      <x:c r="G1482" t="n">
        <x:v>1</x:v>
      </x:c>
      <x:c r="H1482" t="str">
        <x:v>equals</x:v>
      </x:c>
      <x:c r="I1482" t="str">
        <x:v>independent acceptance</x:v>
      </x:c>
      <x:c r="J1482" t="str">
        <x:f>IF(F1482=1,"PASS","OPEN")</x:f>
        <x:v>OPEN</x:v>
      </x:c>
    </x:row>
    <x:row r="1483">
      <x:c r="B1483" t="str">
        <x:v>PHY-PR-008</x:v>
      </x:c>
      <x:c r="C1483" t="str">
        <x:v>PHYSICAL</x:v>
      </x:c>
      <x:c r="D1483" t="str">
        <x:v>pair disposition</x:v>
      </x:c>
      <x:c r="E1483" t="str">
        <x:v>RFA-P008</x:v>
      </x:c>
      <x:c r="F1483" t="str">
        <x:f>'Pair Estimator'!N14</x:f>
        <x:v>OPEN</x:v>
      </x:c>
      <x:c r="G1483" t="n">
        <x:v>1</x:v>
      </x:c>
      <x:c r="H1483" t="str">
        <x:v>equals</x:v>
      </x:c>
      <x:c r="I1483" t="str">
        <x:v>independent acceptance</x:v>
      </x:c>
      <x:c r="J1483" t="str">
        <x:f>IF(F1483=1,"PASS","OPEN")</x:f>
        <x:v>OPEN</x:v>
      </x:c>
    </x:row>
    <x:row r="1484">
      <x:c r="B1484" t="str">
        <x:v>PHY-PR-009</x:v>
      </x:c>
      <x:c r="C1484" t="str">
        <x:v>PHYSICAL</x:v>
      </x:c>
      <x:c r="D1484" t="str">
        <x:v>pair disposition</x:v>
      </x:c>
      <x:c r="E1484" t="str">
        <x:v>RFA-P009</x:v>
      </x:c>
      <x:c r="F1484" t="str">
        <x:f>'Pair Estimator'!N15</x:f>
        <x:v>OPEN</x:v>
      </x:c>
      <x:c r="G1484" t="n">
        <x:v>1</x:v>
      </x:c>
      <x:c r="H1484" t="str">
        <x:v>equals</x:v>
      </x:c>
      <x:c r="I1484" t="str">
        <x:v>independent acceptance</x:v>
      </x:c>
      <x:c r="J1484" t="str">
        <x:f>IF(F1484=1,"PASS","OPEN")</x:f>
        <x:v>OPEN</x:v>
      </x:c>
    </x:row>
    <x:row r="1485">
      <x:c r="B1485" t="str">
        <x:v>PHY-PR-010</x:v>
      </x:c>
      <x:c r="C1485" t="str">
        <x:v>PHYSICAL</x:v>
      </x:c>
      <x:c r="D1485" t="str">
        <x:v>pair disposition</x:v>
      </x:c>
      <x:c r="E1485" t="str">
        <x:v>RFA-P010</x:v>
      </x:c>
      <x:c r="F1485" t="str">
        <x:f>'Pair Estimator'!N16</x:f>
        <x:v>OPEN</x:v>
      </x:c>
      <x:c r="G1485" t="n">
        <x:v>1</x:v>
      </x:c>
      <x:c r="H1485" t="str">
        <x:v>equals</x:v>
      </x:c>
      <x:c r="I1485" t="str">
        <x:v>independent acceptance</x:v>
      </x:c>
      <x:c r="J1485" t="str">
        <x:f>IF(F1485=1,"PASS","OPEN")</x:f>
        <x:v>OPEN</x:v>
      </x:c>
    </x:row>
    <x:row r="1486">
      <x:c r="B1486" t="str">
        <x:v>PHY-PR-011</x:v>
      </x:c>
      <x:c r="C1486" t="str">
        <x:v>PHYSICAL</x:v>
      </x:c>
      <x:c r="D1486" t="str">
        <x:v>pair disposition</x:v>
      </x:c>
      <x:c r="E1486" t="str">
        <x:v>RFA-P011</x:v>
      </x:c>
      <x:c r="F1486" t="str">
        <x:f>'Pair Estimator'!N17</x:f>
        <x:v>OPEN</x:v>
      </x:c>
      <x:c r="G1486" t="n">
        <x:v>1</x:v>
      </x:c>
      <x:c r="H1486" t="str">
        <x:v>equals</x:v>
      </x:c>
      <x:c r="I1486" t="str">
        <x:v>independent acceptance</x:v>
      </x:c>
      <x:c r="J1486" t="str">
        <x:f>IF(F1486=1,"PASS","OPEN")</x:f>
        <x:v>OPEN</x:v>
      </x:c>
    </x:row>
    <x:row r="1487">
      <x:c r="B1487" t="str">
        <x:v>PHY-PR-012</x:v>
      </x:c>
      <x:c r="C1487" t="str">
        <x:v>PHYSICAL</x:v>
      </x:c>
      <x:c r="D1487" t="str">
        <x:v>pair disposition</x:v>
      </x:c>
      <x:c r="E1487" t="str">
        <x:v>RFA-P012</x:v>
      </x:c>
      <x:c r="F1487" t="str">
        <x:f>'Pair Estimator'!N18</x:f>
        <x:v>OPEN</x:v>
      </x:c>
      <x:c r="G1487" t="n">
        <x:v>1</x:v>
      </x:c>
      <x:c r="H1487" t="str">
        <x:v>equals</x:v>
      </x:c>
      <x:c r="I1487" t="str">
        <x:v>independent acceptance</x:v>
      </x:c>
      <x:c r="J1487" t="str">
        <x:f>IF(F1487=1,"PASS","OPEN")</x:f>
        <x:v>OPEN</x:v>
      </x:c>
    </x:row>
    <x:row r="1488">
      <x:c r="B1488" t="str">
        <x:v>PHY-PR-013</x:v>
      </x:c>
      <x:c r="C1488" t="str">
        <x:v>PHYSICAL</x:v>
      </x:c>
      <x:c r="D1488" t="str">
        <x:v>pair disposition</x:v>
      </x:c>
      <x:c r="E1488" t="str">
        <x:v>RFA-P013</x:v>
      </x:c>
      <x:c r="F1488" t="str">
        <x:f>'Pair Estimator'!N19</x:f>
        <x:v>OPEN</x:v>
      </x:c>
      <x:c r="G1488" t="n">
        <x:v>1</x:v>
      </x:c>
      <x:c r="H1488" t="str">
        <x:v>equals</x:v>
      </x:c>
      <x:c r="I1488" t="str">
        <x:v>independent acceptance</x:v>
      </x:c>
      <x:c r="J1488" t="str">
        <x:f>IF(F1488=1,"PASS","OPEN")</x:f>
        <x:v>OPEN</x:v>
      </x:c>
    </x:row>
    <x:row r="1489">
      <x:c r="B1489" t="str">
        <x:v>PHY-PR-014</x:v>
      </x:c>
      <x:c r="C1489" t="str">
        <x:v>PHYSICAL</x:v>
      </x:c>
      <x:c r="D1489" t="str">
        <x:v>pair disposition</x:v>
      </x:c>
      <x:c r="E1489" t="str">
        <x:v>RFA-P014</x:v>
      </x:c>
      <x:c r="F1489" t="str">
        <x:f>'Pair Estimator'!N20</x:f>
        <x:v>OPEN</x:v>
      </x:c>
      <x:c r="G1489" t="n">
        <x:v>1</x:v>
      </x:c>
      <x:c r="H1489" t="str">
        <x:v>equals</x:v>
      </x:c>
      <x:c r="I1489" t="str">
        <x:v>independent acceptance</x:v>
      </x:c>
      <x:c r="J1489" t="str">
        <x:f>IF(F1489=1,"PASS","OPEN")</x:f>
        <x:v>OPEN</x:v>
      </x:c>
    </x:row>
    <x:row r="1490">
      <x:c r="B1490" t="str">
        <x:v>PHY-PR-015</x:v>
      </x:c>
      <x:c r="C1490" t="str">
        <x:v>PHYSICAL</x:v>
      </x:c>
      <x:c r="D1490" t="str">
        <x:v>pair disposition</x:v>
      </x:c>
      <x:c r="E1490" t="str">
        <x:v>RFA-P015</x:v>
      </x:c>
      <x:c r="F1490" t="str">
        <x:f>'Pair Estimator'!N21</x:f>
        <x:v>OPEN</x:v>
      </x:c>
      <x:c r="G1490" t="n">
        <x:v>1</x:v>
      </x:c>
      <x:c r="H1490" t="str">
        <x:v>equals</x:v>
      </x:c>
      <x:c r="I1490" t="str">
        <x:v>independent acceptance</x:v>
      </x:c>
      <x:c r="J1490" t="str">
        <x:f>IF(F1490=1,"PASS","OPEN")</x:f>
        <x:v>OPEN</x:v>
      </x:c>
    </x:row>
    <x:row r="1491">
      <x:c r="B1491" t="str">
        <x:v>PHY-PR-016</x:v>
      </x:c>
      <x:c r="C1491" t="str">
        <x:v>PHYSICAL</x:v>
      </x:c>
      <x:c r="D1491" t="str">
        <x:v>pair disposition</x:v>
      </x:c>
      <x:c r="E1491" t="str">
        <x:v>RFA-P016</x:v>
      </x:c>
      <x:c r="F1491" t="str">
        <x:f>'Pair Estimator'!N22</x:f>
        <x:v>OPEN</x:v>
      </x:c>
      <x:c r="G1491" t="n">
        <x:v>1</x:v>
      </x:c>
      <x:c r="H1491" t="str">
        <x:v>equals</x:v>
      </x:c>
      <x:c r="I1491" t="str">
        <x:v>independent acceptance</x:v>
      </x:c>
      <x:c r="J1491" t="str">
        <x:f>IF(F1491=1,"PASS","OPEN")</x:f>
        <x:v>OPEN</x:v>
      </x:c>
    </x:row>
    <x:row r="1492">
      <x:c r="B1492" t="str">
        <x:v>PHY-PR-017</x:v>
      </x:c>
      <x:c r="C1492" t="str">
        <x:v>PHYSICAL</x:v>
      </x:c>
      <x:c r="D1492" t="str">
        <x:v>pair disposition</x:v>
      </x:c>
      <x:c r="E1492" t="str">
        <x:v>RFA-P017</x:v>
      </x:c>
      <x:c r="F1492" t="str">
        <x:f>'Pair Estimator'!N23</x:f>
        <x:v>OPEN</x:v>
      </x:c>
      <x:c r="G1492" t="n">
        <x:v>1</x:v>
      </x:c>
      <x:c r="H1492" t="str">
        <x:v>equals</x:v>
      </x:c>
      <x:c r="I1492" t="str">
        <x:v>independent acceptance</x:v>
      </x:c>
      <x:c r="J1492" t="str">
        <x:f>IF(F1492=1,"PASS","OPEN")</x:f>
        <x:v>OPEN</x:v>
      </x:c>
    </x:row>
    <x:row r="1493">
      <x:c r="B1493" t="str">
        <x:v>PHY-PR-018</x:v>
      </x:c>
      <x:c r="C1493" t="str">
        <x:v>PHYSICAL</x:v>
      </x:c>
      <x:c r="D1493" t="str">
        <x:v>pair disposition</x:v>
      </x:c>
      <x:c r="E1493" t="str">
        <x:v>RFA-P018</x:v>
      </x:c>
      <x:c r="F1493" t="str">
        <x:f>'Pair Estimator'!N24</x:f>
        <x:v>OPEN</x:v>
      </x:c>
      <x:c r="G1493" t="n">
        <x:v>1</x:v>
      </x:c>
      <x:c r="H1493" t="str">
        <x:v>equals</x:v>
      </x:c>
      <x:c r="I1493" t="str">
        <x:v>independent acceptance</x:v>
      </x:c>
      <x:c r="J1493" t="str">
        <x:f>IF(F1493=1,"PASS","OPEN")</x:f>
        <x:v>OPEN</x:v>
      </x:c>
    </x:row>
    <x:row r="1494">
      <x:c r="B1494" t="str">
        <x:v>PHY-PR-019</x:v>
      </x:c>
      <x:c r="C1494" t="str">
        <x:v>PHYSICAL</x:v>
      </x:c>
      <x:c r="D1494" t="str">
        <x:v>pair disposition</x:v>
      </x:c>
      <x:c r="E1494" t="str">
        <x:v>RFA-P019</x:v>
      </x:c>
      <x:c r="F1494" t="str">
        <x:f>'Pair Estimator'!N25</x:f>
        <x:v>OPEN</x:v>
      </x:c>
      <x:c r="G1494" t="n">
        <x:v>1</x:v>
      </x:c>
      <x:c r="H1494" t="str">
        <x:v>equals</x:v>
      </x:c>
      <x:c r="I1494" t="str">
        <x:v>independent acceptance</x:v>
      </x:c>
      <x:c r="J1494" t="str">
        <x:f>IF(F1494=1,"PASS","OPEN")</x:f>
        <x:v>OPEN</x:v>
      </x:c>
    </x:row>
    <x:row r="1495">
      <x:c r="B1495" t="str">
        <x:v>PHY-PR-020</x:v>
      </x:c>
      <x:c r="C1495" t="str">
        <x:v>PHYSICAL</x:v>
      </x:c>
      <x:c r="D1495" t="str">
        <x:v>pair disposition</x:v>
      </x:c>
      <x:c r="E1495" t="str">
        <x:v>RFA-P020</x:v>
      </x:c>
      <x:c r="F1495" t="str">
        <x:f>'Pair Estimator'!N26</x:f>
        <x:v>OPEN</x:v>
      </x:c>
      <x:c r="G1495" t="n">
        <x:v>1</x:v>
      </x:c>
      <x:c r="H1495" t="str">
        <x:v>equals</x:v>
      </x:c>
      <x:c r="I1495" t="str">
        <x:v>independent acceptance</x:v>
      </x:c>
      <x:c r="J1495" t="str">
        <x:f>IF(F1495=1,"PASS","OPEN")</x:f>
        <x:v>OPEN</x:v>
      </x:c>
    </x:row>
    <x:row r="1496">
      <x:c r="B1496" t="str">
        <x:v>PHY-PR-021</x:v>
      </x:c>
      <x:c r="C1496" t="str">
        <x:v>PHYSICAL</x:v>
      </x:c>
      <x:c r="D1496" t="str">
        <x:v>pair disposition</x:v>
      </x:c>
      <x:c r="E1496" t="str">
        <x:v>RFA-P021</x:v>
      </x:c>
      <x:c r="F1496" t="str">
        <x:f>'Pair Estimator'!N27</x:f>
        <x:v>OPEN</x:v>
      </x:c>
      <x:c r="G1496" t="n">
        <x:v>1</x:v>
      </x:c>
      <x:c r="H1496" t="str">
        <x:v>equals</x:v>
      </x:c>
      <x:c r="I1496" t="str">
        <x:v>independent acceptance</x:v>
      </x:c>
      <x:c r="J1496" t="str">
        <x:f>IF(F1496=1,"PASS","OPEN")</x:f>
        <x:v>OPEN</x:v>
      </x:c>
    </x:row>
    <x:row r="1497">
      <x:c r="B1497" t="str">
        <x:v>PHY-PR-022</x:v>
      </x:c>
      <x:c r="C1497" t="str">
        <x:v>PHYSICAL</x:v>
      </x:c>
      <x:c r="D1497" t="str">
        <x:v>pair disposition</x:v>
      </x:c>
      <x:c r="E1497" t="str">
        <x:v>RFA-P022</x:v>
      </x:c>
      <x:c r="F1497" t="str">
        <x:f>'Pair Estimator'!N28</x:f>
        <x:v>OPEN</x:v>
      </x:c>
      <x:c r="G1497" t="n">
        <x:v>1</x:v>
      </x:c>
      <x:c r="H1497" t="str">
        <x:v>equals</x:v>
      </x:c>
      <x:c r="I1497" t="str">
        <x:v>independent acceptance</x:v>
      </x:c>
      <x:c r="J1497" t="str">
        <x:f>IF(F1497=1,"PASS","OPEN")</x:f>
        <x:v>OPEN</x:v>
      </x:c>
    </x:row>
    <x:row r="1498">
      <x:c r="B1498" t="str">
        <x:v>PHY-PR-023</x:v>
      </x:c>
      <x:c r="C1498" t="str">
        <x:v>PHYSICAL</x:v>
      </x:c>
      <x:c r="D1498" t="str">
        <x:v>pair disposition</x:v>
      </x:c>
      <x:c r="E1498" t="str">
        <x:v>RFA-P023</x:v>
      </x:c>
      <x:c r="F1498" t="str">
        <x:f>'Pair Estimator'!N29</x:f>
        <x:v>OPEN</x:v>
      </x:c>
      <x:c r="G1498" t="n">
        <x:v>1</x:v>
      </x:c>
      <x:c r="H1498" t="str">
        <x:v>equals</x:v>
      </x:c>
      <x:c r="I1498" t="str">
        <x:v>independent acceptance</x:v>
      </x:c>
      <x:c r="J1498" t="str">
        <x:f>IF(F1498=1,"PASS","OPEN")</x:f>
        <x:v>OPEN</x:v>
      </x:c>
    </x:row>
    <x:row r="1499">
      <x:c r="B1499" t="str">
        <x:v>PHY-PR-024</x:v>
      </x:c>
      <x:c r="C1499" t="str">
        <x:v>PHYSICAL</x:v>
      </x:c>
      <x:c r="D1499" t="str">
        <x:v>pair disposition</x:v>
      </x:c>
      <x:c r="E1499" t="str">
        <x:v>RFA-P024</x:v>
      </x:c>
      <x:c r="F1499" t="str">
        <x:f>'Pair Estimator'!N30</x:f>
        <x:v>OPEN</x:v>
      </x:c>
      <x:c r="G1499" t="n">
        <x:v>1</x:v>
      </x:c>
      <x:c r="H1499" t="str">
        <x:v>equals</x:v>
      </x:c>
      <x:c r="I1499" t="str">
        <x:v>independent acceptance</x:v>
      </x:c>
      <x:c r="J1499" t="str">
        <x:f>IF(F1499=1,"PASS","OPEN")</x:f>
        <x:v>OPEN</x:v>
      </x:c>
    </x:row>
    <x:row r="1500">
      <x:c r="B1500" t="str">
        <x:v>PHY-PR-025</x:v>
      </x:c>
      <x:c r="C1500" t="str">
        <x:v>PHYSICAL</x:v>
      </x:c>
      <x:c r="D1500" t="str">
        <x:v>pair disposition</x:v>
      </x:c>
      <x:c r="E1500" t="str">
        <x:v>RFA-P025</x:v>
      </x:c>
      <x:c r="F1500" t="str">
        <x:f>'Pair Estimator'!N31</x:f>
        <x:v>OPEN</x:v>
      </x:c>
      <x:c r="G1500" t="n">
        <x:v>1</x:v>
      </x:c>
      <x:c r="H1500" t="str">
        <x:v>equals</x:v>
      </x:c>
      <x:c r="I1500" t="str">
        <x:v>independent acceptance</x:v>
      </x:c>
      <x:c r="J1500" t="str">
        <x:f>IF(F1500=1,"PASS","OPEN")</x:f>
        <x:v>OPEN</x:v>
      </x:c>
    </x:row>
    <x:row r="1501">
      <x:c r="B1501" t="str">
        <x:v>PHY-PR-026</x:v>
      </x:c>
      <x:c r="C1501" t="str">
        <x:v>PHYSICAL</x:v>
      </x:c>
      <x:c r="D1501" t="str">
        <x:v>pair disposition</x:v>
      </x:c>
      <x:c r="E1501" t="str">
        <x:v>RFA-P026</x:v>
      </x:c>
      <x:c r="F1501" t="str">
        <x:f>'Pair Estimator'!N32</x:f>
        <x:v>OPEN</x:v>
      </x:c>
      <x:c r="G1501" t="n">
        <x:v>1</x:v>
      </x:c>
      <x:c r="H1501" t="str">
        <x:v>equals</x:v>
      </x:c>
      <x:c r="I1501" t="str">
        <x:v>independent acceptance</x:v>
      </x:c>
      <x:c r="J1501" t="str">
        <x:f>IF(F1501=1,"PASS","OPEN")</x:f>
        <x:v>OPEN</x:v>
      </x:c>
    </x:row>
    <x:row r="1502">
      <x:c r="B1502" t="str">
        <x:v>PHY-PR-027</x:v>
      </x:c>
      <x:c r="C1502" t="str">
        <x:v>PHYSICAL</x:v>
      </x:c>
      <x:c r="D1502" t="str">
        <x:v>pair disposition</x:v>
      </x:c>
      <x:c r="E1502" t="str">
        <x:v>RFA-P027</x:v>
      </x:c>
      <x:c r="F1502" t="str">
        <x:f>'Pair Estimator'!N33</x:f>
        <x:v>OPEN</x:v>
      </x:c>
      <x:c r="G1502" t="n">
        <x:v>1</x:v>
      </x:c>
      <x:c r="H1502" t="str">
        <x:v>equals</x:v>
      </x:c>
      <x:c r="I1502" t="str">
        <x:v>independent acceptance</x:v>
      </x:c>
      <x:c r="J1502" t="str">
        <x:f>IF(F1502=1,"PASS","OPEN")</x:f>
        <x:v>OPEN</x:v>
      </x:c>
    </x:row>
    <x:row r="1503">
      <x:c r="B1503" t="str">
        <x:v>PHY-PR-028</x:v>
      </x:c>
      <x:c r="C1503" t="str">
        <x:v>PHYSICAL</x:v>
      </x:c>
      <x:c r="D1503" t="str">
        <x:v>pair disposition</x:v>
      </x:c>
      <x:c r="E1503" t="str">
        <x:v>RFA-P028</x:v>
      </x:c>
      <x:c r="F1503" t="str">
        <x:f>'Pair Estimator'!N34</x:f>
        <x:v>OPEN</x:v>
      </x:c>
      <x:c r="G1503" t="n">
        <x:v>1</x:v>
      </x:c>
      <x:c r="H1503" t="str">
        <x:v>equals</x:v>
      </x:c>
      <x:c r="I1503" t="str">
        <x:v>independent acceptance</x:v>
      </x:c>
      <x:c r="J1503" t="str">
        <x:f>IF(F1503=1,"PASS","OPEN")</x:f>
        <x:v>OPEN</x:v>
      </x:c>
    </x:row>
    <x:row r="1504">
      <x:c r="B1504" t="str">
        <x:v>PHY-PR-029</x:v>
      </x:c>
      <x:c r="C1504" t="str">
        <x:v>PHYSICAL</x:v>
      </x:c>
      <x:c r="D1504" t="str">
        <x:v>pair disposition</x:v>
      </x:c>
      <x:c r="E1504" t="str">
        <x:v>RFA-P029</x:v>
      </x:c>
      <x:c r="F1504" t="str">
        <x:f>'Pair Estimator'!N35</x:f>
        <x:v>OPEN</x:v>
      </x:c>
      <x:c r="G1504" t="n">
        <x:v>1</x:v>
      </x:c>
      <x:c r="H1504" t="str">
        <x:v>equals</x:v>
      </x:c>
      <x:c r="I1504" t="str">
        <x:v>independent acceptance</x:v>
      </x:c>
      <x:c r="J1504" t="str">
        <x:f>IF(F1504=1,"PASS","OPEN")</x:f>
        <x:v>OPEN</x:v>
      </x:c>
    </x:row>
    <x:row r="1505">
      <x:c r="B1505" t="str">
        <x:v>PHY-PR-030</x:v>
      </x:c>
      <x:c r="C1505" t="str">
        <x:v>PHYSICAL</x:v>
      </x:c>
      <x:c r="D1505" t="str">
        <x:v>pair disposition</x:v>
      </x:c>
      <x:c r="E1505" t="str">
        <x:v>RFA-P030</x:v>
      </x:c>
      <x:c r="F1505" t="str">
        <x:f>'Pair Estimator'!N36</x:f>
        <x:v>OPEN</x:v>
      </x:c>
      <x:c r="G1505" t="n">
        <x:v>1</x:v>
      </x:c>
      <x:c r="H1505" t="str">
        <x:v>equals</x:v>
      </x:c>
      <x:c r="I1505" t="str">
        <x:v>independent acceptance</x:v>
      </x:c>
      <x:c r="J1505" t="str">
        <x:f>IF(F1505=1,"PASS","OPEN")</x:f>
        <x:v>OPEN</x:v>
      </x:c>
    </x:row>
    <x:row r="1506">
      <x:c r="B1506" t="str">
        <x:v>PHY-PR-031</x:v>
      </x:c>
      <x:c r="C1506" t="str">
        <x:v>PHYSICAL</x:v>
      </x:c>
      <x:c r="D1506" t="str">
        <x:v>pair disposition</x:v>
      </x:c>
      <x:c r="E1506" t="str">
        <x:v>RFA-P031</x:v>
      </x:c>
      <x:c r="F1506" t="str">
        <x:f>'Pair Estimator'!N37</x:f>
        <x:v>OPEN</x:v>
      </x:c>
      <x:c r="G1506" t="n">
        <x:v>1</x:v>
      </x:c>
      <x:c r="H1506" t="str">
        <x:v>equals</x:v>
      </x:c>
      <x:c r="I1506" t="str">
        <x:v>independent acceptance</x:v>
      </x:c>
      <x:c r="J1506" t="str">
        <x:f>IF(F1506=1,"PASS","OPEN")</x:f>
        <x:v>OPEN</x:v>
      </x:c>
    </x:row>
    <x:row r="1507">
      <x:c r="B1507" t="str">
        <x:v>PHY-PR-032</x:v>
      </x:c>
      <x:c r="C1507" t="str">
        <x:v>PHYSICAL</x:v>
      </x:c>
      <x:c r="D1507" t="str">
        <x:v>pair disposition</x:v>
      </x:c>
      <x:c r="E1507" t="str">
        <x:v>RFA-P032</x:v>
      </x:c>
      <x:c r="F1507" t="str">
        <x:f>'Pair Estimator'!N38</x:f>
        <x:v>OPEN</x:v>
      </x:c>
      <x:c r="G1507" t="n">
        <x:v>1</x:v>
      </x:c>
      <x:c r="H1507" t="str">
        <x:v>equals</x:v>
      </x:c>
      <x:c r="I1507" t="str">
        <x:v>independent acceptance</x:v>
      </x:c>
      <x:c r="J1507" t="str">
        <x:f>IF(F1507=1,"PASS","OPEN")</x:f>
        <x:v>OPEN</x:v>
      </x:c>
    </x:row>
    <x:row r="1508">
      <x:c r="B1508" t="str">
        <x:v>PHY-PR-033</x:v>
      </x:c>
      <x:c r="C1508" t="str">
        <x:v>PHYSICAL</x:v>
      </x:c>
      <x:c r="D1508" t="str">
        <x:v>pair disposition</x:v>
      </x:c>
      <x:c r="E1508" t="str">
        <x:v>RFA-P033</x:v>
      </x:c>
      <x:c r="F1508" t="str">
        <x:f>'Pair Estimator'!N39</x:f>
        <x:v>OPEN</x:v>
      </x:c>
      <x:c r="G1508" t="n">
        <x:v>1</x:v>
      </x:c>
      <x:c r="H1508" t="str">
        <x:v>equals</x:v>
      </x:c>
      <x:c r="I1508" t="str">
        <x:v>independent acceptance</x:v>
      </x:c>
      <x:c r="J1508" t="str">
        <x:f>IF(F1508=1,"PASS","OPEN")</x:f>
        <x:v>OPEN</x:v>
      </x:c>
    </x:row>
    <x:row r="1509">
      <x:c r="B1509" t="str">
        <x:v>PHY-PR-034</x:v>
      </x:c>
      <x:c r="C1509" t="str">
        <x:v>PHYSICAL</x:v>
      </x:c>
      <x:c r="D1509" t="str">
        <x:v>pair disposition</x:v>
      </x:c>
      <x:c r="E1509" t="str">
        <x:v>RFA-P034</x:v>
      </x:c>
      <x:c r="F1509" t="str">
        <x:f>'Pair Estimator'!N40</x:f>
        <x:v>OPEN</x:v>
      </x:c>
      <x:c r="G1509" t="n">
        <x:v>1</x:v>
      </x:c>
      <x:c r="H1509" t="str">
        <x:v>equals</x:v>
      </x:c>
      <x:c r="I1509" t="str">
        <x:v>independent acceptance</x:v>
      </x:c>
      <x:c r="J1509" t="str">
        <x:f>IF(F1509=1,"PASS","OPEN")</x:f>
        <x:v>OPEN</x:v>
      </x:c>
    </x:row>
    <x:row r="1510">
      <x:c r="B1510" t="str">
        <x:v>PHY-PR-035</x:v>
      </x:c>
      <x:c r="C1510" t="str">
        <x:v>PHYSICAL</x:v>
      </x:c>
      <x:c r="D1510" t="str">
        <x:v>pair disposition</x:v>
      </x:c>
      <x:c r="E1510" t="str">
        <x:v>RFA-P035</x:v>
      </x:c>
      <x:c r="F1510" t="str">
        <x:f>'Pair Estimator'!N41</x:f>
        <x:v>OPEN</x:v>
      </x:c>
      <x:c r="G1510" t="n">
        <x:v>1</x:v>
      </x:c>
      <x:c r="H1510" t="str">
        <x:v>equals</x:v>
      </x:c>
      <x:c r="I1510" t="str">
        <x:v>independent acceptance</x:v>
      </x:c>
      <x:c r="J1510" t="str">
        <x:f>IF(F1510=1,"PASS","OPEN")</x:f>
        <x:v>OPEN</x:v>
      </x:c>
    </x:row>
    <x:row r="1511">
      <x:c r="B1511" t="str">
        <x:v>PHY-PR-036</x:v>
      </x:c>
      <x:c r="C1511" t="str">
        <x:v>PHYSICAL</x:v>
      </x:c>
      <x:c r="D1511" t="str">
        <x:v>pair disposition</x:v>
      </x:c>
      <x:c r="E1511" t="str">
        <x:v>RFA-P036</x:v>
      </x:c>
      <x:c r="F1511" t="str">
        <x:f>'Pair Estimator'!N42</x:f>
        <x:v>OPEN</x:v>
      </x:c>
      <x:c r="G1511" t="n">
        <x:v>1</x:v>
      </x:c>
      <x:c r="H1511" t="str">
        <x:v>equals</x:v>
      </x:c>
      <x:c r="I1511" t="str">
        <x:v>independent acceptance</x:v>
      </x:c>
      <x:c r="J1511" t="str">
        <x:f>IF(F1511=1,"PASS","OPEN")</x:f>
        <x:v>OPEN</x:v>
      </x:c>
    </x:row>
    <x:row r="1512">
      <x:c r="B1512" t="str">
        <x:v>PHY-PR-037</x:v>
      </x:c>
      <x:c r="C1512" t="str">
        <x:v>PHYSICAL</x:v>
      </x:c>
      <x:c r="D1512" t="str">
        <x:v>pair disposition</x:v>
      </x:c>
      <x:c r="E1512" t="str">
        <x:v>RFA-P037</x:v>
      </x:c>
      <x:c r="F1512" t="str">
        <x:f>'Pair Estimator'!N43</x:f>
        <x:v>OPEN</x:v>
      </x:c>
      <x:c r="G1512" t="n">
        <x:v>1</x:v>
      </x:c>
      <x:c r="H1512" t="str">
        <x:v>equals</x:v>
      </x:c>
      <x:c r="I1512" t="str">
        <x:v>independent acceptance</x:v>
      </x:c>
      <x:c r="J1512" t="str">
        <x:f>IF(F1512=1,"PASS","OPEN")</x:f>
        <x:v>OPEN</x:v>
      </x:c>
    </x:row>
    <x:row r="1513">
      <x:c r="B1513" t="str">
        <x:v>PHY-PR-038</x:v>
      </x:c>
      <x:c r="C1513" t="str">
        <x:v>PHYSICAL</x:v>
      </x:c>
      <x:c r="D1513" t="str">
        <x:v>pair disposition</x:v>
      </x:c>
      <x:c r="E1513" t="str">
        <x:v>RFA-P038</x:v>
      </x:c>
      <x:c r="F1513" t="str">
        <x:f>'Pair Estimator'!N44</x:f>
        <x:v>OPEN</x:v>
      </x:c>
      <x:c r="G1513" t="n">
        <x:v>1</x:v>
      </x:c>
      <x:c r="H1513" t="str">
        <x:v>equals</x:v>
      </x:c>
      <x:c r="I1513" t="str">
        <x:v>independent acceptance</x:v>
      </x:c>
      <x:c r="J1513" t="str">
        <x:f>IF(F1513=1,"PASS","OPEN")</x:f>
        <x:v>OPEN</x:v>
      </x:c>
    </x:row>
    <x:row r="1514">
      <x:c r="B1514" t="str">
        <x:v>PHY-PR-039</x:v>
      </x:c>
      <x:c r="C1514" t="str">
        <x:v>PHYSICAL</x:v>
      </x:c>
      <x:c r="D1514" t="str">
        <x:v>pair disposition</x:v>
      </x:c>
      <x:c r="E1514" t="str">
        <x:v>RFA-P039</x:v>
      </x:c>
      <x:c r="F1514" t="str">
        <x:f>'Pair Estimator'!N45</x:f>
        <x:v>OPEN</x:v>
      </x:c>
      <x:c r="G1514" t="n">
        <x:v>1</x:v>
      </x:c>
      <x:c r="H1514" t="str">
        <x:v>equals</x:v>
      </x:c>
      <x:c r="I1514" t="str">
        <x:v>independent acceptance</x:v>
      </x:c>
      <x:c r="J1514" t="str">
        <x:f>IF(F1514=1,"PASS","OPEN")</x:f>
        <x:v>OPEN</x:v>
      </x:c>
    </x:row>
    <x:row r="1515">
      <x:c r="B1515" t="str">
        <x:v>PHY-PR-040</x:v>
      </x:c>
      <x:c r="C1515" t="str">
        <x:v>PHYSICAL</x:v>
      </x:c>
      <x:c r="D1515" t="str">
        <x:v>pair disposition</x:v>
      </x:c>
      <x:c r="E1515" t="str">
        <x:v>RFA-P040</x:v>
      </x:c>
      <x:c r="F1515" t="str">
        <x:f>'Pair Estimator'!N46</x:f>
        <x:v>OPEN</x:v>
      </x:c>
      <x:c r="G1515" t="n">
        <x:v>1</x:v>
      </x:c>
      <x:c r="H1515" t="str">
        <x:v>equals</x:v>
      </x:c>
      <x:c r="I1515" t="str">
        <x:v>independent acceptance</x:v>
      </x:c>
      <x:c r="J1515" t="str">
        <x:f>IF(F1515=1,"PASS","OPEN")</x:f>
        <x:v>OPEN</x:v>
      </x:c>
    </x:row>
    <x:row r="1516">
      <x:c r="B1516" t="str">
        <x:v>PHY-PR-041</x:v>
      </x:c>
      <x:c r="C1516" t="str">
        <x:v>PHYSICAL</x:v>
      </x:c>
      <x:c r="D1516" t="str">
        <x:v>pair disposition</x:v>
      </x:c>
      <x:c r="E1516" t="str">
        <x:v>RFA-P041</x:v>
      </x:c>
      <x:c r="F1516" t="str">
        <x:f>'Pair Estimator'!N47</x:f>
        <x:v>OPEN</x:v>
      </x:c>
      <x:c r="G1516" t="n">
        <x:v>1</x:v>
      </x:c>
      <x:c r="H1516" t="str">
        <x:v>equals</x:v>
      </x:c>
      <x:c r="I1516" t="str">
        <x:v>independent acceptance</x:v>
      </x:c>
      <x:c r="J1516" t="str">
        <x:f>IF(F1516=1,"PASS","OPEN")</x:f>
        <x:v>OPEN</x:v>
      </x:c>
    </x:row>
    <x:row r="1517">
      <x:c r="B1517" t="str">
        <x:v>PHY-PR-042</x:v>
      </x:c>
      <x:c r="C1517" t="str">
        <x:v>PHYSICAL</x:v>
      </x:c>
      <x:c r="D1517" t="str">
        <x:v>pair disposition</x:v>
      </x:c>
      <x:c r="E1517" t="str">
        <x:v>RFA-P042</x:v>
      </x:c>
      <x:c r="F1517" t="str">
        <x:f>'Pair Estimator'!N48</x:f>
        <x:v>OPEN</x:v>
      </x:c>
      <x:c r="G1517" t="n">
        <x:v>1</x:v>
      </x:c>
      <x:c r="H1517" t="str">
        <x:v>equals</x:v>
      </x:c>
      <x:c r="I1517" t="str">
        <x:v>independent acceptance</x:v>
      </x:c>
      <x:c r="J1517" t="str">
        <x:f>IF(F1517=1,"PASS","OPEN")</x:f>
        <x:v>OPEN</x:v>
      </x:c>
    </x:row>
    <x:row r="1518">
      <x:c r="B1518" t="str">
        <x:v>PHY-PR-043</x:v>
      </x:c>
      <x:c r="C1518" t="str">
        <x:v>PHYSICAL</x:v>
      </x:c>
      <x:c r="D1518" t="str">
        <x:v>pair disposition</x:v>
      </x:c>
      <x:c r="E1518" t="str">
        <x:v>RFA-P043</x:v>
      </x:c>
      <x:c r="F1518" t="str">
        <x:f>'Pair Estimator'!N49</x:f>
        <x:v>OPEN</x:v>
      </x:c>
      <x:c r="G1518" t="n">
        <x:v>1</x:v>
      </x:c>
      <x:c r="H1518" t="str">
        <x:v>equals</x:v>
      </x:c>
      <x:c r="I1518" t="str">
        <x:v>independent acceptance</x:v>
      </x:c>
      <x:c r="J1518" t="str">
        <x:f>IF(F1518=1,"PASS","OPEN")</x:f>
        <x:v>OPEN</x:v>
      </x:c>
    </x:row>
    <x:row r="1519">
      <x:c r="B1519" t="str">
        <x:v>PHY-PR-044</x:v>
      </x:c>
      <x:c r="C1519" t="str">
        <x:v>PHYSICAL</x:v>
      </x:c>
      <x:c r="D1519" t="str">
        <x:v>pair disposition</x:v>
      </x:c>
      <x:c r="E1519" t="str">
        <x:v>RFA-P044</x:v>
      </x:c>
      <x:c r="F1519" t="str">
        <x:f>'Pair Estimator'!N50</x:f>
        <x:v>OPEN</x:v>
      </x:c>
      <x:c r="G1519" t="n">
        <x:v>1</x:v>
      </x:c>
      <x:c r="H1519" t="str">
        <x:v>equals</x:v>
      </x:c>
      <x:c r="I1519" t="str">
        <x:v>independent acceptance</x:v>
      </x:c>
      <x:c r="J1519" t="str">
        <x:f>IF(F1519=1,"PASS","OPEN")</x:f>
        <x:v>OPEN</x:v>
      </x:c>
    </x:row>
    <x:row r="1520">
      <x:c r="B1520" t="str">
        <x:v>PHY-PR-045</x:v>
      </x:c>
      <x:c r="C1520" t="str">
        <x:v>PHYSICAL</x:v>
      </x:c>
      <x:c r="D1520" t="str">
        <x:v>pair disposition</x:v>
      </x:c>
      <x:c r="E1520" t="str">
        <x:v>RFA-P045</x:v>
      </x:c>
      <x:c r="F1520" t="str">
        <x:f>'Pair Estimator'!N51</x:f>
        <x:v>OPEN</x:v>
      </x:c>
      <x:c r="G1520" t="n">
        <x:v>1</x:v>
      </x:c>
      <x:c r="H1520" t="str">
        <x:v>equals</x:v>
      </x:c>
      <x:c r="I1520" t="str">
        <x:v>independent acceptance</x:v>
      </x:c>
      <x:c r="J1520" t="str">
        <x:f>IF(F1520=1,"PASS","OPEN")</x:f>
        <x:v>OPEN</x:v>
      </x:c>
    </x:row>
    <x:row r="1521">
      <x:c r="B1521" t="str">
        <x:v>PHY-PR-046</x:v>
      </x:c>
      <x:c r="C1521" t="str">
        <x:v>PHYSICAL</x:v>
      </x:c>
      <x:c r="D1521" t="str">
        <x:v>pair disposition</x:v>
      </x:c>
      <x:c r="E1521" t="str">
        <x:v>RFA-P046</x:v>
      </x:c>
      <x:c r="F1521" t="str">
        <x:f>'Pair Estimator'!N52</x:f>
        <x:v>OPEN</x:v>
      </x:c>
      <x:c r="G1521" t="n">
        <x:v>1</x:v>
      </x:c>
      <x:c r="H1521" t="str">
        <x:v>equals</x:v>
      </x:c>
      <x:c r="I1521" t="str">
        <x:v>independent acceptance</x:v>
      </x:c>
      <x:c r="J1521" t="str">
        <x:f>IF(F1521=1,"PASS","OPEN")</x:f>
        <x:v>OPEN</x:v>
      </x:c>
    </x:row>
    <x:row r="1522">
      <x:c r="B1522" t="str">
        <x:v>PHY-PR-047</x:v>
      </x:c>
      <x:c r="C1522" t="str">
        <x:v>PHYSICAL</x:v>
      </x:c>
      <x:c r="D1522" t="str">
        <x:v>pair disposition</x:v>
      </x:c>
      <x:c r="E1522" t="str">
        <x:v>RFA-P047</x:v>
      </x:c>
      <x:c r="F1522" t="str">
        <x:f>'Pair Estimator'!N53</x:f>
        <x:v>OPEN</x:v>
      </x:c>
      <x:c r="G1522" t="n">
        <x:v>1</x:v>
      </x:c>
      <x:c r="H1522" t="str">
        <x:v>equals</x:v>
      </x:c>
      <x:c r="I1522" t="str">
        <x:v>independent acceptance</x:v>
      </x:c>
      <x:c r="J1522" t="str">
        <x:f>IF(F1522=1,"PASS","OPEN")</x:f>
        <x:v>OPEN</x:v>
      </x:c>
    </x:row>
    <x:row r="1523">
      <x:c r="B1523" t="str">
        <x:v>PHY-PR-048</x:v>
      </x:c>
      <x:c r="C1523" t="str">
        <x:v>PHYSICAL</x:v>
      </x:c>
      <x:c r="D1523" t="str">
        <x:v>pair disposition</x:v>
      </x:c>
      <x:c r="E1523" t="str">
        <x:v>RFA-P048</x:v>
      </x:c>
      <x:c r="F1523" t="str">
        <x:f>'Pair Estimator'!N54</x:f>
        <x:v>OPEN</x:v>
      </x:c>
      <x:c r="G1523" t="n">
        <x:v>1</x:v>
      </x:c>
      <x:c r="H1523" t="str">
        <x:v>equals</x:v>
      </x:c>
      <x:c r="I1523" t="str">
        <x:v>independent acceptance</x:v>
      </x:c>
      <x:c r="J1523" t="str">
        <x:f>IF(F1523=1,"PASS","OPEN")</x:f>
        <x:v>OPEN</x:v>
      </x:c>
    </x:row>
    <x:row r="1524">
      <x:c r="B1524" t="str">
        <x:v>PHY-PR-049</x:v>
      </x:c>
      <x:c r="C1524" t="str">
        <x:v>PHYSICAL</x:v>
      </x:c>
      <x:c r="D1524" t="str">
        <x:v>pair disposition</x:v>
      </x:c>
      <x:c r="E1524" t="str">
        <x:v>RFA-P049</x:v>
      </x:c>
      <x:c r="F1524" t="str">
        <x:f>'Pair Estimator'!N55</x:f>
        <x:v>OPEN</x:v>
      </x:c>
      <x:c r="G1524" t="n">
        <x:v>1</x:v>
      </x:c>
      <x:c r="H1524" t="str">
        <x:v>equals</x:v>
      </x:c>
      <x:c r="I1524" t="str">
        <x:v>independent acceptance</x:v>
      </x:c>
      <x:c r="J1524" t="str">
        <x:f>IF(F1524=1,"PASS","OPEN")</x:f>
        <x:v>OPEN</x:v>
      </x:c>
    </x:row>
    <x:row r="1525">
      <x:c r="B1525" t="str">
        <x:v>PHY-PR-050</x:v>
      </x:c>
      <x:c r="C1525" t="str">
        <x:v>PHYSICAL</x:v>
      </x:c>
      <x:c r="D1525" t="str">
        <x:v>pair disposition</x:v>
      </x:c>
      <x:c r="E1525" t="str">
        <x:v>RFA-P050</x:v>
      </x:c>
      <x:c r="F1525" t="str">
        <x:f>'Pair Estimator'!N56</x:f>
        <x:v>OPEN</x:v>
      </x:c>
      <x:c r="G1525" t="n">
        <x:v>1</x:v>
      </x:c>
      <x:c r="H1525" t="str">
        <x:v>equals</x:v>
      </x:c>
      <x:c r="I1525" t="str">
        <x:v>independent acceptance</x:v>
      </x:c>
      <x:c r="J1525" t="str">
        <x:f>IF(F1525=1,"PASS","OPEN")</x:f>
        <x:v>OPEN</x:v>
      </x:c>
    </x:row>
    <x:row r="1526">
      <x:c r="B1526" t="str">
        <x:v>PHY-PR-051</x:v>
      </x:c>
      <x:c r="C1526" t="str">
        <x:v>PHYSICAL</x:v>
      </x:c>
      <x:c r="D1526" t="str">
        <x:v>pair disposition</x:v>
      </x:c>
      <x:c r="E1526" t="str">
        <x:v>RFA-P051</x:v>
      </x:c>
      <x:c r="F1526" t="str">
        <x:f>'Pair Estimator'!N57</x:f>
        <x:v>OPEN</x:v>
      </x:c>
      <x:c r="G1526" t="n">
        <x:v>1</x:v>
      </x:c>
      <x:c r="H1526" t="str">
        <x:v>equals</x:v>
      </x:c>
      <x:c r="I1526" t="str">
        <x:v>independent acceptance</x:v>
      </x:c>
      <x:c r="J1526" t="str">
        <x:f>IF(F1526=1,"PASS","OPEN")</x:f>
        <x:v>OPEN</x:v>
      </x:c>
    </x:row>
    <x:row r="1527">
      <x:c r="B1527" t="str">
        <x:v>PHY-PR-052</x:v>
      </x:c>
      <x:c r="C1527" t="str">
        <x:v>PHYSICAL</x:v>
      </x:c>
      <x:c r="D1527" t="str">
        <x:v>pair disposition</x:v>
      </x:c>
      <x:c r="E1527" t="str">
        <x:v>RFA-P052</x:v>
      </x:c>
      <x:c r="F1527" t="str">
        <x:f>'Pair Estimator'!N58</x:f>
        <x:v>OPEN</x:v>
      </x:c>
      <x:c r="G1527" t="n">
        <x:v>1</x:v>
      </x:c>
      <x:c r="H1527" t="str">
        <x:v>equals</x:v>
      </x:c>
      <x:c r="I1527" t="str">
        <x:v>independent acceptance</x:v>
      </x:c>
      <x:c r="J1527" t="str">
        <x:f>IF(F1527=1,"PASS","OPEN")</x:f>
        <x:v>OPEN</x:v>
      </x:c>
    </x:row>
    <x:row r="1528">
      <x:c r="B1528" t="str">
        <x:v>PHY-PR-053</x:v>
      </x:c>
      <x:c r="C1528" t="str">
        <x:v>PHYSICAL</x:v>
      </x:c>
      <x:c r="D1528" t="str">
        <x:v>pair disposition</x:v>
      </x:c>
      <x:c r="E1528" t="str">
        <x:v>RFA-P053</x:v>
      </x:c>
      <x:c r="F1528" t="str">
        <x:f>'Pair Estimator'!N59</x:f>
        <x:v>OPEN</x:v>
      </x:c>
      <x:c r="G1528" t="n">
        <x:v>1</x:v>
      </x:c>
      <x:c r="H1528" t="str">
        <x:v>equals</x:v>
      </x:c>
      <x:c r="I1528" t="str">
        <x:v>independent acceptance</x:v>
      </x:c>
      <x:c r="J1528" t="str">
        <x:f>IF(F1528=1,"PASS","OPEN")</x:f>
        <x:v>OPEN</x:v>
      </x:c>
    </x:row>
    <x:row r="1529">
      <x:c r="B1529" t="str">
        <x:v>PHY-PR-054</x:v>
      </x:c>
      <x:c r="C1529" t="str">
        <x:v>PHYSICAL</x:v>
      </x:c>
      <x:c r="D1529" t="str">
        <x:v>pair disposition</x:v>
      </x:c>
      <x:c r="E1529" t="str">
        <x:v>RFA-P054</x:v>
      </x:c>
      <x:c r="F1529" t="str">
        <x:f>'Pair Estimator'!N60</x:f>
        <x:v>OPEN</x:v>
      </x:c>
      <x:c r="G1529" t="n">
        <x:v>1</x:v>
      </x:c>
      <x:c r="H1529" t="str">
        <x:v>equals</x:v>
      </x:c>
      <x:c r="I1529" t="str">
        <x:v>independent acceptance</x:v>
      </x:c>
      <x:c r="J1529" t="str">
        <x:f>IF(F1529=1,"PASS","OPEN")</x:f>
        <x:v>OPEN</x:v>
      </x:c>
    </x:row>
    <x:row r="1530">
      <x:c r="B1530" t="str">
        <x:v>PHY-PR-055</x:v>
      </x:c>
      <x:c r="C1530" t="str">
        <x:v>PHYSICAL</x:v>
      </x:c>
      <x:c r="D1530" t="str">
        <x:v>pair disposition</x:v>
      </x:c>
      <x:c r="E1530" t="str">
        <x:v>RFA-P055</x:v>
      </x:c>
      <x:c r="F1530" t="str">
        <x:f>'Pair Estimator'!N61</x:f>
        <x:v>OPEN</x:v>
      </x:c>
      <x:c r="G1530" t="n">
        <x:v>1</x:v>
      </x:c>
      <x:c r="H1530" t="str">
        <x:v>equals</x:v>
      </x:c>
      <x:c r="I1530" t="str">
        <x:v>independent acceptance</x:v>
      </x:c>
      <x:c r="J1530" t="str">
        <x:f>IF(F1530=1,"PASS","OPEN")</x:f>
        <x:v>OPEN</x:v>
      </x:c>
    </x:row>
    <x:row r="1531">
      <x:c r="B1531" t="str">
        <x:v>PHY-PR-056</x:v>
      </x:c>
      <x:c r="C1531" t="str">
        <x:v>PHYSICAL</x:v>
      </x:c>
      <x:c r="D1531" t="str">
        <x:v>pair disposition</x:v>
      </x:c>
      <x:c r="E1531" t="str">
        <x:v>RFA-P056</x:v>
      </x:c>
      <x:c r="F1531" t="str">
        <x:f>'Pair Estimator'!N62</x:f>
        <x:v>OPEN</x:v>
      </x:c>
      <x:c r="G1531" t="n">
        <x:v>1</x:v>
      </x:c>
      <x:c r="H1531" t="str">
        <x:v>equals</x:v>
      </x:c>
      <x:c r="I1531" t="str">
        <x:v>independent acceptance</x:v>
      </x:c>
      <x:c r="J1531" t="str">
        <x:f>IF(F1531=1,"PASS","OPEN")</x:f>
        <x:v>OPEN</x:v>
      </x:c>
    </x:row>
    <x:row r="1532">
      <x:c r="B1532" t="str">
        <x:v>PHY-PR-057</x:v>
      </x:c>
      <x:c r="C1532" t="str">
        <x:v>PHYSICAL</x:v>
      </x:c>
      <x:c r="D1532" t="str">
        <x:v>pair disposition</x:v>
      </x:c>
      <x:c r="E1532" t="str">
        <x:v>RFA-P057</x:v>
      </x:c>
      <x:c r="F1532" t="str">
        <x:f>'Pair Estimator'!N63</x:f>
        <x:v>OPEN</x:v>
      </x:c>
      <x:c r="G1532" t="n">
        <x:v>1</x:v>
      </x:c>
      <x:c r="H1532" t="str">
        <x:v>equals</x:v>
      </x:c>
      <x:c r="I1532" t="str">
        <x:v>independent acceptance</x:v>
      </x:c>
      <x:c r="J1532" t="str">
        <x:f>IF(F1532=1,"PASS","OPEN")</x:f>
        <x:v>OPEN</x:v>
      </x:c>
    </x:row>
    <x:row r="1533">
      <x:c r="B1533" t="str">
        <x:v>PHY-PR-058</x:v>
      </x:c>
      <x:c r="C1533" t="str">
        <x:v>PHYSICAL</x:v>
      </x:c>
      <x:c r="D1533" t="str">
        <x:v>pair disposition</x:v>
      </x:c>
      <x:c r="E1533" t="str">
        <x:v>RFA-P058</x:v>
      </x:c>
      <x:c r="F1533" t="str">
        <x:f>'Pair Estimator'!N64</x:f>
        <x:v>OPEN</x:v>
      </x:c>
      <x:c r="G1533" t="n">
        <x:v>1</x:v>
      </x:c>
      <x:c r="H1533" t="str">
        <x:v>equals</x:v>
      </x:c>
      <x:c r="I1533" t="str">
        <x:v>independent acceptance</x:v>
      </x:c>
      <x:c r="J1533" t="str">
        <x:f>IF(F1533=1,"PASS","OPEN")</x:f>
        <x:v>OPEN</x:v>
      </x:c>
    </x:row>
    <x:row r="1534">
      <x:c r="B1534" t="str">
        <x:v>PHY-PR-059</x:v>
      </x:c>
      <x:c r="C1534" t="str">
        <x:v>PHYSICAL</x:v>
      </x:c>
      <x:c r="D1534" t="str">
        <x:v>pair disposition</x:v>
      </x:c>
      <x:c r="E1534" t="str">
        <x:v>RFA-P059</x:v>
      </x:c>
      <x:c r="F1534" t="str">
        <x:f>'Pair Estimator'!N65</x:f>
        <x:v>OPEN</x:v>
      </x:c>
      <x:c r="G1534" t="n">
        <x:v>1</x:v>
      </x:c>
      <x:c r="H1534" t="str">
        <x:v>equals</x:v>
      </x:c>
      <x:c r="I1534" t="str">
        <x:v>independent acceptance</x:v>
      </x:c>
      <x:c r="J1534" t="str">
        <x:f>IF(F1534=1,"PASS","OPEN")</x:f>
        <x:v>OPEN</x:v>
      </x:c>
    </x:row>
    <x:row r="1535">
      <x:c r="B1535" t="str">
        <x:v>PHY-PR-060</x:v>
      </x:c>
      <x:c r="C1535" t="str">
        <x:v>PHYSICAL</x:v>
      </x:c>
      <x:c r="D1535" t="str">
        <x:v>pair disposition</x:v>
      </x:c>
      <x:c r="E1535" t="str">
        <x:v>RFA-P060</x:v>
      </x:c>
      <x:c r="F1535" t="str">
        <x:f>'Pair Estimator'!N66</x:f>
        <x:v>OPEN</x:v>
      </x:c>
      <x:c r="G1535" t="n">
        <x:v>1</x:v>
      </x:c>
      <x:c r="H1535" t="str">
        <x:v>equals</x:v>
      </x:c>
      <x:c r="I1535" t="str">
        <x:v>independent acceptance</x:v>
      </x:c>
      <x:c r="J1535" t="str">
        <x:f>IF(F1535=1,"PASS","OPEN")</x:f>
        <x:v>OPEN</x:v>
      </x:c>
    </x:row>
    <x:row r="1536">
      <x:c r="B1536" t="str">
        <x:v>PHY-PR-061</x:v>
      </x:c>
      <x:c r="C1536" t="str">
        <x:v>PHYSICAL</x:v>
      </x:c>
      <x:c r="D1536" t="str">
        <x:v>pair disposition</x:v>
      </x:c>
      <x:c r="E1536" t="str">
        <x:v>RFA-P061</x:v>
      </x:c>
      <x:c r="F1536" t="str">
        <x:f>'Pair Estimator'!N67</x:f>
        <x:v>OPEN</x:v>
      </x:c>
      <x:c r="G1536" t="n">
        <x:v>1</x:v>
      </x:c>
      <x:c r="H1536" t="str">
        <x:v>equals</x:v>
      </x:c>
      <x:c r="I1536" t="str">
        <x:v>independent acceptance</x:v>
      </x:c>
      <x:c r="J1536" t="str">
        <x:f>IF(F1536=1,"PASS","OPEN")</x:f>
        <x:v>OPEN</x:v>
      </x:c>
    </x:row>
    <x:row r="1537">
      <x:c r="B1537" t="str">
        <x:v>PHY-PR-062</x:v>
      </x:c>
      <x:c r="C1537" t="str">
        <x:v>PHYSICAL</x:v>
      </x:c>
      <x:c r="D1537" t="str">
        <x:v>pair disposition</x:v>
      </x:c>
      <x:c r="E1537" t="str">
        <x:v>RFA-P062</x:v>
      </x:c>
      <x:c r="F1537" t="str">
        <x:f>'Pair Estimator'!N68</x:f>
        <x:v>OPEN</x:v>
      </x:c>
      <x:c r="G1537" t="n">
        <x:v>1</x:v>
      </x:c>
      <x:c r="H1537" t="str">
        <x:v>equals</x:v>
      </x:c>
      <x:c r="I1537" t="str">
        <x:v>independent acceptance</x:v>
      </x:c>
      <x:c r="J1537" t="str">
        <x:f>IF(F1537=1,"PASS","OPEN")</x:f>
        <x:v>OPEN</x:v>
      </x:c>
    </x:row>
    <x:row r="1538">
      <x:c r="B1538" t="str">
        <x:v>PHY-PR-063</x:v>
      </x:c>
      <x:c r="C1538" t="str">
        <x:v>PHYSICAL</x:v>
      </x:c>
      <x:c r="D1538" t="str">
        <x:v>pair disposition</x:v>
      </x:c>
      <x:c r="E1538" t="str">
        <x:v>RFA-P063</x:v>
      </x:c>
      <x:c r="F1538" t="str">
        <x:f>'Pair Estimator'!N69</x:f>
        <x:v>OPEN</x:v>
      </x:c>
      <x:c r="G1538" t="n">
        <x:v>1</x:v>
      </x:c>
      <x:c r="H1538" t="str">
        <x:v>equals</x:v>
      </x:c>
      <x:c r="I1538" t="str">
        <x:v>independent acceptance</x:v>
      </x:c>
      <x:c r="J1538" t="str">
        <x:f>IF(F1538=1,"PASS","OPEN")</x:f>
        <x:v>OPEN</x:v>
      </x:c>
    </x:row>
    <x:row r="1539">
      <x:c r="B1539" t="str">
        <x:v>PHY-PR-064</x:v>
      </x:c>
      <x:c r="C1539" t="str">
        <x:v>PHYSICAL</x:v>
      </x:c>
      <x:c r="D1539" t="str">
        <x:v>pair disposition</x:v>
      </x:c>
      <x:c r="E1539" t="str">
        <x:v>RFA-P064</x:v>
      </x:c>
      <x:c r="F1539" t="str">
        <x:f>'Pair Estimator'!N70</x:f>
        <x:v>OPEN</x:v>
      </x:c>
      <x:c r="G1539" t="n">
        <x:v>1</x:v>
      </x:c>
      <x:c r="H1539" t="str">
        <x:v>equals</x:v>
      </x:c>
      <x:c r="I1539" t="str">
        <x:v>independent acceptance</x:v>
      </x:c>
      <x:c r="J1539" t="str">
        <x:f>IF(F1539=1,"PASS","OPEN")</x:f>
        <x:v>OPEN</x:v>
      </x:c>
    </x:row>
    <x:row r="1540">
      <x:c r="B1540" t="str">
        <x:v>PHY-PR-065</x:v>
      </x:c>
      <x:c r="C1540" t="str">
        <x:v>PHYSICAL</x:v>
      </x:c>
      <x:c r="D1540" t="str">
        <x:v>pair disposition</x:v>
      </x:c>
      <x:c r="E1540" t="str">
        <x:v>RFA-P065</x:v>
      </x:c>
      <x:c r="F1540" t="str">
        <x:f>'Pair Estimator'!N71</x:f>
        <x:v>OPEN</x:v>
      </x:c>
      <x:c r="G1540" t="n">
        <x:v>1</x:v>
      </x:c>
      <x:c r="H1540" t="str">
        <x:v>equals</x:v>
      </x:c>
      <x:c r="I1540" t="str">
        <x:v>independent acceptance</x:v>
      </x:c>
      <x:c r="J1540" t="str">
        <x:f>IF(F1540=1,"PASS","OPEN")</x:f>
        <x:v>OPEN</x:v>
      </x:c>
    </x:row>
    <x:row r="1541">
      <x:c r="B1541" t="str">
        <x:v>PHY-PR-066</x:v>
      </x:c>
      <x:c r="C1541" t="str">
        <x:v>PHYSICAL</x:v>
      </x:c>
      <x:c r="D1541" t="str">
        <x:v>pair disposition</x:v>
      </x:c>
      <x:c r="E1541" t="str">
        <x:v>RFA-P066</x:v>
      </x:c>
      <x:c r="F1541" t="str">
        <x:f>'Pair Estimator'!N72</x:f>
        <x:v>OPEN</x:v>
      </x:c>
      <x:c r="G1541" t="n">
        <x:v>1</x:v>
      </x:c>
      <x:c r="H1541" t="str">
        <x:v>equals</x:v>
      </x:c>
      <x:c r="I1541" t="str">
        <x:v>independent acceptance</x:v>
      </x:c>
      <x:c r="J1541" t="str">
        <x:f>IF(F1541=1,"PASS","OPEN")</x:f>
        <x:v>OPEN</x:v>
      </x:c>
    </x:row>
    <x:row r="1542">
      <x:c r="B1542" t="str">
        <x:v>PHY-PR-067</x:v>
      </x:c>
      <x:c r="C1542" t="str">
        <x:v>PHYSICAL</x:v>
      </x:c>
      <x:c r="D1542" t="str">
        <x:v>pair disposition</x:v>
      </x:c>
      <x:c r="E1542" t="str">
        <x:v>RFA-P067</x:v>
      </x:c>
      <x:c r="F1542" t="str">
        <x:f>'Pair Estimator'!N73</x:f>
        <x:v>OPEN</x:v>
      </x:c>
      <x:c r="G1542" t="n">
        <x:v>1</x:v>
      </x:c>
      <x:c r="H1542" t="str">
        <x:v>equals</x:v>
      </x:c>
      <x:c r="I1542" t="str">
        <x:v>independent acceptance</x:v>
      </x:c>
      <x:c r="J1542" t="str">
        <x:f>IF(F1542=1,"PASS","OPEN")</x:f>
        <x:v>OPEN</x:v>
      </x:c>
    </x:row>
    <x:row r="1543">
      <x:c r="B1543" t="str">
        <x:v>PHY-PR-068</x:v>
      </x:c>
      <x:c r="C1543" t="str">
        <x:v>PHYSICAL</x:v>
      </x:c>
      <x:c r="D1543" t="str">
        <x:v>pair disposition</x:v>
      </x:c>
      <x:c r="E1543" t="str">
        <x:v>RFA-P068</x:v>
      </x:c>
      <x:c r="F1543" t="str">
        <x:f>'Pair Estimator'!N74</x:f>
        <x:v>OPEN</x:v>
      </x:c>
      <x:c r="G1543" t="n">
        <x:v>1</x:v>
      </x:c>
      <x:c r="H1543" t="str">
        <x:v>equals</x:v>
      </x:c>
      <x:c r="I1543" t="str">
        <x:v>independent acceptance</x:v>
      </x:c>
      <x:c r="J1543" t="str">
        <x:f>IF(F1543=1,"PASS","OPEN")</x:f>
        <x:v>OPEN</x:v>
      </x:c>
    </x:row>
    <x:row r="1544">
      <x:c r="B1544" t="str">
        <x:v>PHY-PR-069</x:v>
      </x:c>
      <x:c r="C1544" t="str">
        <x:v>PHYSICAL</x:v>
      </x:c>
      <x:c r="D1544" t="str">
        <x:v>pair disposition</x:v>
      </x:c>
      <x:c r="E1544" t="str">
        <x:v>RFA-P069</x:v>
      </x:c>
      <x:c r="F1544" t="str">
        <x:f>'Pair Estimator'!N75</x:f>
        <x:v>OPEN</x:v>
      </x:c>
      <x:c r="G1544" t="n">
        <x:v>1</x:v>
      </x:c>
      <x:c r="H1544" t="str">
        <x:v>equals</x:v>
      </x:c>
      <x:c r="I1544" t="str">
        <x:v>independent acceptance</x:v>
      </x:c>
      <x:c r="J1544" t="str">
        <x:f>IF(F1544=1,"PASS","OPEN")</x:f>
        <x:v>OPEN</x:v>
      </x:c>
    </x:row>
    <x:row r="1545">
      <x:c r="B1545" t="str">
        <x:v>PHY-PR-070</x:v>
      </x:c>
      <x:c r="C1545" t="str">
        <x:v>PHYSICAL</x:v>
      </x:c>
      <x:c r="D1545" t="str">
        <x:v>pair disposition</x:v>
      </x:c>
      <x:c r="E1545" t="str">
        <x:v>RFA-P070</x:v>
      </x:c>
      <x:c r="F1545" t="str">
        <x:f>'Pair Estimator'!N76</x:f>
        <x:v>OPEN</x:v>
      </x:c>
      <x:c r="G1545" t="n">
        <x:v>1</x:v>
      </x:c>
      <x:c r="H1545" t="str">
        <x:v>equals</x:v>
      </x:c>
      <x:c r="I1545" t="str">
        <x:v>independent acceptance</x:v>
      </x:c>
      <x:c r="J1545" t="str">
        <x:f>IF(F1545=1,"PASS","OPEN")</x:f>
        <x:v>OPEN</x:v>
      </x:c>
    </x:row>
    <x:row r="1546">
      <x:c r="B1546" t="str">
        <x:v>PHY-PR-071</x:v>
      </x:c>
      <x:c r="C1546" t="str">
        <x:v>PHYSICAL</x:v>
      </x:c>
      <x:c r="D1546" t="str">
        <x:v>pair disposition</x:v>
      </x:c>
      <x:c r="E1546" t="str">
        <x:v>RFA-P071</x:v>
      </x:c>
      <x:c r="F1546" t="str">
        <x:f>'Pair Estimator'!N77</x:f>
        <x:v>OPEN</x:v>
      </x:c>
      <x:c r="G1546" t="n">
        <x:v>1</x:v>
      </x:c>
      <x:c r="H1546" t="str">
        <x:v>equals</x:v>
      </x:c>
      <x:c r="I1546" t="str">
        <x:v>independent acceptance</x:v>
      </x:c>
      <x:c r="J1546" t="str">
        <x:f>IF(F1546=1,"PASS","OPEN")</x:f>
        <x:v>OPEN</x:v>
      </x:c>
    </x:row>
    <x:row r="1547">
      <x:c r="B1547" t="str">
        <x:v>PHY-PR-072</x:v>
      </x:c>
      <x:c r="C1547" t="str">
        <x:v>PHYSICAL</x:v>
      </x:c>
      <x:c r="D1547" t="str">
        <x:v>pair disposition</x:v>
      </x:c>
      <x:c r="E1547" t="str">
        <x:v>RFA-P072</x:v>
      </x:c>
      <x:c r="F1547" t="str">
        <x:f>'Pair Estimator'!N78</x:f>
        <x:v>OPEN</x:v>
      </x:c>
      <x:c r="G1547" t="n">
        <x:v>1</x:v>
      </x:c>
      <x:c r="H1547" t="str">
        <x:v>equals</x:v>
      </x:c>
      <x:c r="I1547" t="str">
        <x:v>independent acceptance</x:v>
      </x:c>
      <x:c r="J1547" t="str">
        <x:f>IF(F1547=1,"PASS","OPEN")</x:f>
        <x:v>OPEN</x:v>
      </x:c>
    </x:row>
    <x:row r="1548">
      <x:c r="B1548" t="str">
        <x:v>PHY-PR-073</x:v>
      </x:c>
      <x:c r="C1548" t="str">
        <x:v>PHYSICAL</x:v>
      </x:c>
      <x:c r="D1548" t="str">
        <x:v>pair disposition</x:v>
      </x:c>
      <x:c r="E1548" t="str">
        <x:v>RFA-P073</x:v>
      </x:c>
      <x:c r="F1548" t="str">
        <x:f>'Pair Estimator'!N79</x:f>
        <x:v>OPEN</x:v>
      </x:c>
      <x:c r="G1548" t="n">
        <x:v>1</x:v>
      </x:c>
      <x:c r="H1548" t="str">
        <x:v>equals</x:v>
      </x:c>
      <x:c r="I1548" t="str">
        <x:v>independent acceptance</x:v>
      </x:c>
      <x:c r="J1548" t="str">
        <x:f>IF(F1548=1,"PASS","OPEN")</x:f>
        <x:v>OPEN</x:v>
      </x:c>
    </x:row>
    <x:row r="1549">
      <x:c r="B1549" t="str">
        <x:v>PHY-PR-074</x:v>
      </x:c>
      <x:c r="C1549" t="str">
        <x:v>PHYSICAL</x:v>
      </x:c>
      <x:c r="D1549" t="str">
        <x:v>pair disposition</x:v>
      </x:c>
      <x:c r="E1549" t="str">
        <x:v>RFA-P074</x:v>
      </x:c>
      <x:c r="F1549" t="str">
        <x:f>'Pair Estimator'!N80</x:f>
        <x:v>OPEN</x:v>
      </x:c>
      <x:c r="G1549" t="n">
        <x:v>1</x:v>
      </x:c>
      <x:c r="H1549" t="str">
        <x:v>equals</x:v>
      </x:c>
      <x:c r="I1549" t="str">
        <x:v>independent acceptance</x:v>
      </x:c>
      <x:c r="J1549" t="str">
        <x:f>IF(F1549=1,"PASS","OPEN")</x:f>
        <x:v>OPEN</x:v>
      </x:c>
    </x:row>
    <x:row r="1550">
      <x:c r="B1550" t="str">
        <x:v>PHY-PR-075</x:v>
      </x:c>
      <x:c r="C1550" t="str">
        <x:v>PHYSICAL</x:v>
      </x:c>
      <x:c r="D1550" t="str">
        <x:v>pair disposition</x:v>
      </x:c>
      <x:c r="E1550" t="str">
        <x:v>RFA-P075</x:v>
      </x:c>
      <x:c r="F1550" t="str">
        <x:f>'Pair Estimator'!N81</x:f>
        <x:v>OPEN</x:v>
      </x:c>
      <x:c r="G1550" t="n">
        <x:v>1</x:v>
      </x:c>
      <x:c r="H1550" t="str">
        <x:v>equals</x:v>
      </x:c>
      <x:c r="I1550" t="str">
        <x:v>independent acceptance</x:v>
      </x:c>
      <x:c r="J1550" t="str">
        <x:f>IF(F1550=1,"PASS","OPEN")</x:f>
        <x:v>OPEN</x:v>
      </x:c>
    </x:row>
    <x:row r="1551">
      <x:c r="B1551" t="str">
        <x:v>PHY-PR-076</x:v>
      </x:c>
      <x:c r="C1551" t="str">
        <x:v>PHYSICAL</x:v>
      </x:c>
      <x:c r="D1551" t="str">
        <x:v>pair disposition</x:v>
      </x:c>
      <x:c r="E1551" t="str">
        <x:v>RFA-P076</x:v>
      </x:c>
      <x:c r="F1551" t="str">
        <x:f>'Pair Estimator'!N82</x:f>
        <x:v>OPEN</x:v>
      </x:c>
      <x:c r="G1551" t="n">
        <x:v>1</x:v>
      </x:c>
      <x:c r="H1551" t="str">
        <x:v>equals</x:v>
      </x:c>
      <x:c r="I1551" t="str">
        <x:v>independent acceptance</x:v>
      </x:c>
      <x:c r="J1551" t="str">
        <x:f>IF(F1551=1,"PASS","OPEN")</x:f>
        <x:v>OPEN</x:v>
      </x:c>
    </x:row>
    <x:row r="1552">
      <x:c r="B1552" t="str">
        <x:v>PHY-PR-077</x:v>
      </x:c>
      <x:c r="C1552" t="str">
        <x:v>PHYSICAL</x:v>
      </x:c>
      <x:c r="D1552" t="str">
        <x:v>pair disposition</x:v>
      </x:c>
      <x:c r="E1552" t="str">
        <x:v>RFA-P077</x:v>
      </x:c>
      <x:c r="F1552" t="str">
        <x:f>'Pair Estimator'!N83</x:f>
        <x:v>OPEN</x:v>
      </x:c>
      <x:c r="G1552" t="n">
        <x:v>1</x:v>
      </x:c>
      <x:c r="H1552" t="str">
        <x:v>equals</x:v>
      </x:c>
      <x:c r="I1552" t="str">
        <x:v>independent acceptance</x:v>
      </x:c>
      <x:c r="J1552" t="str">
        <x:f>IF(F1552=1,"PASS","OPEN")</x:f>
        <x:v>OPEN</x:v>
      </x:c>
    </x:row>
    <x:row r="1553">
      <x:c r="B1553" t="str">
        <x:v>PHY-PR-078</x:v>
      </x:c>
      <x:c r="C1553" t="str">
        <x:v>PHYSICAL</x:v>
      </x:c>
      <x:c r="D1553" t="str">
        <x:v>pair disposition</x:v>
      </x:c>
      <x:c r="E1553" t="str">
        <x:v>RFA-P078</x:v>
      </x:c>
      <x:c r="F1553" t="str">
        <x:f>'Pair Estimator'!N84</x:f>
        <x:v>OPEN</x:v>
      </x:c>
      <x:c r="G1553" t="n">
        <x:v>1</x:v>
      </x:c>
      <x:c r="H1553" t="str">
        <x:v>equals</x:v>
      </x:c>
      <x:c r="I1553" t="str">
        <x:v>independent acceptance</x:v>
      </x:c>
      <x:c r="J1553" t="str">
        <x:f>IF(F1553=1,"PASS","OPEN")</x:f>
        <x:v>OPEN</x:v>
      </x:c>
    </x:row>
    <x:row r="1554">
      <x:c r="B1554" t="str">
        <x:v>PHY-PR-079</x:v>
      </x:c>
      <x:c r="C1554" t="str">
        <x:v>PHYSICAL</x:v>
      </x:c>
      <x:c r="D1554" t="str">
        <x:v>pair disposition</x:v>
      </x:c>
      <x:c r="E1554" t="str">
        <x:v>RFA-P079</x:v>
      </x:c>
      <x:c r="F1554" t="str">
        <x:f>'Pair Estimator'!N85</x:f>
        <x:v>OPEN</x:v>
      </x:c>
      <x:c r="G1554" t="n">
        <x:v>1</x:v>
      </x:c>
      <x:c r="H1554" t="str">
        <x:v>equals</x:v>
      </x:c>
      <x:c r="I1554" t="str">
        <x:v>independent acceptance</x:v>
      </x:c>
      <x:c r="J1554" t="str">
        <x:f>IF(F1554=1,"PASS","OPEN")</x:f>
        <x:v>OPEN</x:v>
      </x:c>
    </x:row>
    <x:row r="1555">
      <x:c r="B1555" t="str">
        <x:v>PHY-PR-080</x:v>
      </x:c>
      <x:c r="C1555" t="str">
        <x:v>PHYSICAL</x:v>
      </x:c>
      <x:c r="D1555" t="str">
        <x:v>pair disposition</x:v>
      </x:c>
      <x:c r="E1555" t="str">
        <x:v>RFA-P080</x:v>
      </x:c>
      <x:c r="F1555" t="str">
        <x:f>'Pair Estimator'!N86</x:f>
        <x:v>OPEN</x:v>
      </x:c>
      <x:c r="G1555" t="n">
        <x:v>1</x:v>
      </x:c>
      <x:c r="H1555" t="str">
        <x:v>equals</x:v>
      </x:c>
      <x:c r="I1555" t="str">
        <x:v>independent acceptance</x:v>
      </x:c>
      <x:c r="J1555" t="str">
        <x:f>IF(F1555=1,"PASS","OPEN")</x:f>
        <x:v>OPEN</x:v>
      </x:c>
    </x:row>
    <x:row r="1556">
      <x:c r="B1556" t="str">
        <x:v>PHY-PR-081</x:v>
      </x:c>
      <x:c r="C1556" t="str">
        <x:v>PHYSICAL</x:v>
      </x:c>
      <x:c r="D1556" t="str">
        <x:v>pair disposition</x:v>
      </x:c>
      <x:c r="E1556" t="str">
        <x:v>RFA-P081</x:v>
      </x:c>
      <x:c r="F1556" t="str">
        <x:f>'Pair Estimator'!N87</x:f>
        <x:v>OPEN</x:v>
      </x:c>
      <x:c r="G1556" t="n">
        <x:v>1</x:v>
      </x:c>
      <x:c r="H1556" t="str">
        <x:v>equals</x:v>
      </x:c>
      <x:c r="I1556" t="str">
        <x:v>independent acceptance</x:v>
      </x:c>
      <x:c r="J1556" t="str">
        <x:f>IF(F1556=1,"PASS","OPEN")</x:f>
        <x:v>OPEN</x:v>
      </x:c>
    </x:row>
    <x:row r="1557">
      <x:c r="B1557" t="str">
        <x:v>PHY-PR-082</x:v>
      </x:c>
      <x:c r="C1557" t="str">
        <x:v>PHYSICAL</x:v>
      </x:c>
      <x:c r="D1557" t="str">
        <x:v>pair disposition</x:v>
      </x:c>
      <x:c r="E1557" t="str">
        <x:v>RFA-P082</x:v>
      </x:c>
      <x:c r="F1557" t="str">
        <x:f>'Pair Estimator'!N88</x:f>
        <x:v>OPEN</x:v>
      </x:c>
      <x:c r="G1557" t="n">
        <x:v>1</x:v>
      </x:c>
      <x:c r="H1557" t="str">
        <x:v>equals</x:v>
      </x:c>
      <x:c r="I1557" t="str">
        <x:v>independent acceptance</x:v>
      </x:c>
      <x:c r="J1557" t="str">
        <x:f>IF(F1557=1,"PASS","OPEN")</x:f>
        <x:v>OPEN</x:v>
      </x:c>
    </x:row>
    <x:row r="1558">
      <x:c r="B1558" t="str">
        <x:v>PHY-PR-083</x:v>
      </x:c>
      <x:c r="C1558" t="str">
        <x:v>PHYSICAL</x:v>
      </x:c>
      <x:c r="D1558" t="str">
        <x:v>pair disposition</x:v>
      </x:c>
      <x:c r="E1558" t="str">
        <x:v>RFA-P083</x:v>
      </x:c>
      <x:c r="F1558" t="str">
        <x:f>'Pair Estimator'!N89</x:f>
        <x:v>OPEN</x:v>
      </x:c>
      <x:c r="G1558" t="n">
        <x:v>1</x:v>
      </x:c>
      <x:c r="H1558" t="str">
        <x:v>equals</x:v>
      </x:c>
      <x:c r="I1558" t="str">
        <x:v>independent acceptance</x:v>
      </x:c>
      <x:c r="J1558" t="str">
        <x:f>IF(F1558=1,"PASS","OPEN")</x:f>
        <x:v>OPEN</x:v>
      </x:c>
    </x:row>
    <x:row r="1559">
      <x:c r="B1559" t="str">
        <x:v>PHY-PR-084</x:v>
      </x:c>
      <x:c r="C1559" t="str">
        <x:v>PHYSICAL</x:v>
      </x:c>
      <x:c r="D1559" t="str">
        <x:v>pair disposition</x:v>
      </x:c>
      <x:c r="E1559" t="str">
        <x:v>RFA-P084</x:v>
      </x:c>
      <x:c r="F1559" t="str">
        <x:f>'Pair Estimator'!N90</x:f>
        <x:v>OPEN</x:v>
      </x:c>
      <x:c r="G1559" t="n">
        <x:v>1</x:v>
      </x:c>
      <x:c r="H1559" t="str">
        <x:v>equals</x:v>
      </x:c>
      <x:c r="I1559" t="str">
        <x:v>independent acceptance</x:v>
      </x:c>
      <x:c r="J1559" t="str">
        <x:f>IF(F1559=1,"PASS","OPEN")</x:f>
        <x:v>OPEN</x:v>
      </x:c>
    </x:row>
    <x:row r="1560">
      <x:c r="B1560" t="str">
        <x:v>PHY-PR-085</x:v>
      </x:c>
      <x:c r="C1560" t="str">
        <x:v>PHYSICAL</x:v>
      </x:c>
      <x:c r="D1560" t="str">
        <x:v>pair disposition</x:v>
      </x:c>
      <x:c r="E1560" t="str">
        <x:v>RFA-P085</x:v>
      </x:c>
      <x:c r="F1560" t="str">
        <x:f>'Pair Estimator'!N91</x:f>
        <x:v>OPEN</x:v>
      </x:c>
      <x:c r="G1560" t="n">
        <x:v>1</x:v>
      </x:c>
      <x:c r="H1560" t="str">
        <x:v>equals</x:v>
      </x:c>
      <x:c r="I1560" t="str">
        <x:v>independent acceptance</x:v>
      </x:c>
      <x:c r="J1560" t="str">
        <x:f>IF(F1560=1,"PASS","OPEN")</x:f>
        <x:v>OPEN</x:v>
      </x:c>
    </x:row>
    <x:row r="1561">
      <x:c r="B1561" t="str">
        <x:v>PHY-PR-086</x:v>
      </x:c>
      <x:c r="C1561" t="str">
        <x:v>PHYSICAL</x:v>
      </x:c>
      <x:c r="D1561" t="str">
        <x:v>pair disposition</x:v>
      </x:c>
      <x:c r="E1561" t="str">
        <x:v>RFA-P086</x:v>
      </x:c>
      <x:c r="F1561" t="str">
        <x:f>'Pair Estimator'!N92</x:f>
        <x:v>OPEN</x:v>
      </x:c>
      <x:c r="G1561" t="n">
        <x:v>1</x:v>
      </x:c>
      <x:c r="H1561" t="str">
        <x:v>equals</x:v>
      </x:c>
      <x:c r="I1561" t="str">
        <x:v>independent acceptance</x:v>
      </x:c>
      <x:c r="J1561" t="str">
        <x:f>IF(F1561=1,"PASS","OPEN")</x:f>
        <x:v>OPEN</x:v>
      </x:c>
    </x:row>
    <x:row r="1562">
      <x:c r="B1562" t="str">
        <x:v>PHY-PR-087</x:v>
      </x:c>
      <x:c r="C1562" t="str">
        <x:v>PHYSICAL</x:v>
      </x:c>
      <x:c r="D1562" t="str">
        <x:v>pair disposition</x:v>
      </x:c>
      <x:c r="E1562" t="str">
        <x:v>RFA-P087</x:v>
      </x:c>
      <x:c r="F1562" t="str">
        <x:f>'Pair Estimator'!N93</x:f>
        <x:v>OPEN</x:v>
      </x:c>
      <x:c r="G1562" t="n">
        <x:v>1</x:v>
      </x:c>
      <x:c r="H1562" t="str">
        <x:v>equals</x:v>
      </x:c>
      <x:c r="I1562" t="str">
        <x:v>independent acceptance</x:v>
      </x:c>
      <x:c r="J1562" t="str">
        <x:f>IF(F1562=1,"PASS","OPEN")</x:f>
        <x:v>OPEN</x:v>
      </x:c>
    </x:row>
    <x:row r="1563">
      <x:c r="B1563" t="str">
        <x:v>PHY-PR-088</x:v>
      </x:c>
      <x:c r="C1563" t="str">
        <x:v>PHYSICAL</x:v>
      </x:c>
      <x:c r="D1563" t="str">
        <x:v>pair disposition</x:v>
      </x:c>
      <x:c r="E1563" t="str">
        <x:v>RFA-P088</x:v>
      </x:c>
      <x:c r="F1563" t="str">
        <x:f>'Pair Estimator'!N94</x:f>
        <x:v>OPEN</x:v>
      </x:c>
      <x:c r="G1563" t="n">
        <x:v>1</x:v>
      </x:c>
      <x:c r="H1563" t="str">
        <x:v>equals</x:v>
      </x:c>
      <x:c r="I1563" t="str">
        <x:v>independent acceptance</x:v>
      </x:c>
      <x:c r="J1563" t="str">
        <x:f>IF(F1563=1,"PASS","OPEN")</x:f>
        <x:v>OPEN</x:v>
      </x:c>
    </x:row>
    <x:row r="1564">
      <x:c r="B1564" t="str">
        <x:v>PHY-PR-089</x:v>
      </x:c>
      <x:c r="C1564" t="str">
        <x:v>PHYSICAL</x:v>
      </x:c>
      <x:c r="D1564" t="str">
        <x:v>pair disposition</x:v>
      </x:c>
      <x:c r="E1564" t="str">
        <x:v>RFA-P089</x:v>
      </x:c>
      <x:c r="F1564" t="str">
        <x:f>'Pair Estimator'!N95</x:f>
        <x:v>OPEN</x:v>
      </x:c>
      <x:c r="G1564" t="n">
        <x:v>1</x:v>
      </x:c>
      <x:c r="H1564" t="str">
        <x:v>equals</x:v>
      </x:c>
      <x:c r="I1564" t="str">
        <x:v>independent acceptance</x:v>
      </x:c>
      <x:c r="J1564" t="str">
        <x:f>IF(F1564=1,"PASS","OPEN")</x:f>
        <x:v>OPEN</x:v>
      </x:c>
    </x:row>
    <x:row r="1565">
      <x:c r="B1565" t="str">
        <x:v>PHY-PR-090</x:v>
      </x:c>
      <x:c r="C1565" t="str">
        <x:v>PHYSICAL</x:v>
      </x:c>
      <x:c r="D1565" t="str">
        <x:v>pair disposition</x:v>
      </x:c>
      <x:c r="E1565" t="str">
        <x:v>RFA-P090</x:v>
      </x:c>
      <x:c r="F1565" t="str">
        <x:f>'Pair Estimator'!N96</x:f>
        <x:v>OPEN</x:v>
      </x:c>
      <x:c r="G1565" t="n">
        <x:v>1</x:v>
      </x:c>
      <x:c r="H1565" t="str">
        <x:v>equals</x:v>
      </x:c>
      <x:c r="I1565" t="str">
        <x:v>independent acceptance</x:v>
      </x:c>
      <x:c r="J1565" t="str">
        <x:f>IF(F1565=1,"PASS","OPEN")</x:f>
        <x:v>OPEN</x:v>
      </x:c>
    </x:row>
    <x:row r="1566">
      <x:c r="B1566" t="str">
        <x:v>PHY-PR-091</x:v>
      </x:c>
      <x:c r="C1566" t="str">
        <x:v>PHYSICAL</x:v>
      </x:c>
      <x:c r="D1566" t="str">
        <x:v>pair disposition</x:v>
      </x:c>
      <x:c r="E1566" t="str">
        <x:v>RFA-P091</x:v>
      </x:c>
      <x:c r="F1566" t="str">
        <x:f>'Pair Estimator'!N97</x:f>
        <x:v>OPEN</x:v>
      </x:c>
      <x:c r="G1566" t="n">
        <x:v>1</x:v>
      </x:c>
      <x:c r="H1566" t="str">
        <x:v>equals</x:v>
      </x:c>
      <x:c r="I1566" t="str">
        <x:v>independent acceptance</x:v>
      </x:c>
      <x:c r="J1566" t="str">
        <x:f>IF(F1566=1,"PASS","OPEN")</x:f>
        <x:v>OPEN</x:v>
      </x:c>
    </x:row>
    <x:row r="1567">
      <x:c r="B1567" t="str">
        <x:v>PHY-PR-092</x:v>
      </x:c>
      <x:c r="C1567" t="str">
        <x:v>PHYSICAL</x:v>
      </x:c>
      <x:c r="D1567" t="str">
        <x:v>pair disposition</x:v>
      </x:c>
      <x:c r="E1567" t="str">
        <x:v>RFA-P092</x:v>
      </x:c>
      <x:c r="F1567" t="str">
        <x:f>'Pair Estimator'!N98</x:f>
        <x:v>OPEN</x:v>
      </x:c>
      <x:c r="G1567" t="n">
        <x:v>1</x:v>
      </x:c>
      <x:c r="H1567" t="str">
        <x:v>equals</x:v>
      </x:c>
      <x:c r="I1567" t="str">
        <x:v>independent acceptance</x:v>
      </x:c>
      <x:c r="J1567" t="str">
        <x:f>IF(F1567=1,"PASS","OPEN")</x:f>
        <x:v>OPEN</x:v>
      </x:c>
    </x:row>
    <x:row r="1568">
      <x:c r="B1568" t="str">
        <x:v>PHY-PR-093</x:v>
      </x:c>
      <x:c r="C1568" t="str">
        <x:v>PHYSICAL</x:v>
      </x:c>
      <x:c r="D1568" t="str">
        <x:v>pair disposition</x:v>
      </x:c>
      <x:c r="E1568" t="str">
        <x:v>RFA-P093</x:v>
      </x:c>
      <x:c r="F1568" t="str">
        <x:f>'Pair Estimator'!N99</x:f>
        <x:v>OPEN</x:v>
      </x:c>
      <x:c r="G1568" t="n">
        <x:v>1</x:v>
      </x:c>
      <x:c r="H1568" t="str">
        <x:v>equals</x:v>
      </x:c>
      <x:c r="I1568" t="str">
        <x:v>independent acceptance</x:v>
      </x:c>
      <x:c r="J1568" t="str">
        <x:f>IF(F1568=1,"PASS","OPEN")</x:f>
        <x:v>OPEN</x:v>
      </x:c>
    </x:row>
    <x:row r="1569">
      <x:c r="B1569" t="str">
        <x:v>PHY-PR-094</x:v>
      </x:c>
      <x:c r="C1569" t="str">
        <x:v>PHYSICAL</x:v>
      </x:c>
      <x:c r="D1569" t="str">
        <x:v>pair disposition</x:v>
      </x:c>
      <x:c r="E1569" t="str">
        <x:v>RFA-P094</x:v>
      </x:c>
      <x:c r="F1569" t="str">
        <x:f>'Pair Estimator'!N100</x:f>
        <x:v>OPEN</x:v>
      </x:c>
      <x:c r="G1569" t="n">
        <x:v>1</x:v>
      </x:c>
      <x:c r="H1569" t="str">
        <x:v>equals</x:v>
      </x:c>
      <x:c r="I1569" t="str">
        <x:v>independent acceptance</x:v>
      </x:c>
      <x:c r="J1569" t="str">
        <x:f>IF(F1569=1,"PASS","OPEN")</x:f>
        <x:v>OPEN</x:v>
      </x:c>
    </x:row>
    <x:row r="1570">
      <x:c r="B1570" t="str">
        <x:v>PHY-PR-095</x:v>
      </x:c>
      <x:c r="C1570" t="str">
        <x:v>PHYSICAL</x:v>
      </x:c>
      <x:c r="D1570" t="str">
        <x:v>pair disposition</x:v>
      </x:c>
      <x:c r="E1570" t="str">
        <x:v>RFA-P095</x:v>
      </x:c>
      <x:c r="F1570" t="str">
        <x:f>'Pair Estimator'!N101</x:f>
        <x:v>OPEN</x:v>
      </x:c>
      <x:c r="G1570" t="n">
        <x:v>1</x:v>
      </x:c>
      <x:c r="H1570" t="str">
        <x:v>equals</x:v>
      </x:c>
      <x:c r="I1570" t="str">
        <x:v>independent acceptance</x:v>
      </x:c>
      <x:c r="J1570" t="str">
        <x:f>IF(F1570=1,"PASS","OPEN")</x:f>
        <x:v>OPEN</x:v>
      </x:c>
    </x:row>
    <x:row r="1571">
      <x:c r="B1571" t="str">
        <x:v>PHY-PR-096</x:v>
      </x:c>
      <x:c r="C1571" t="str">
        <x:v>PHYSICAL</x:v>
      </x:c>
      <x:c r="D1571" t="str">
        <x:v>pair disposition</x:v>
      </x:c>
      <x:c r="E1571" t="str">
        <x:v>RFA-P096</x:v>
      </x:c>
      <x:c r="F1571" t="str">
        <x:f>'Pair Estimator'!N102</x:f>
        <x:v>OPEN</x:v>
      </x:c>
      <x:c r="G1571" t="n">
        <x:v>1</x:v>
      </x:c>
      <x:c r="H1571" t="str">
        <x:v>equals</x:v>
      </x:c>
      <x:c r="I1571" t="str">
        <x:v>independent acceptance</x:v>
      </x:c>
      <x:c r="J1571" t="str">
        <x:f>IF(F1571=1,"PASS","OPEN")</x:f>
        <x:v>OPEN</x:v>
      </x:c>
    </x:row>
    <x:row r="1572">
      <x:c r="B1572" t="str">
        <x:v>PHY-RT-01</x:v>
      </x:c>
      <x:c r="C1572" t="str">
        <x:v>PHYSICAL</x:v>
      </x:c>
      <x:c r="D1572" t="str">
        <x:v>root disposition</x:v>
      </x:c>
      <x:c r="E1572" t="str">
        <x:v>AF-1-BA A01</x:v>
      </x:c>
      <x:c r="F1572" t="n">
        <x:f>'Root Estimator'!K7</x:f>
        <x:v>0</x:v>
      </x:c>
      <x:c r="G1572" t="n">
        <x:v>1</x:v>
      </x:c>
      <x:c r="H1572" t="str">
        <x:v>equals</x:v>
      </x:c>
      <x:c r="I1572" t="str">
        <x:v>independent acceptance</x:v>
      </x:c>
      <x:c r="J1572" t="str">
        <x:f>IF(F1572=1,"PASS","OPEN")</x:f>
        <x:v>OPEN</x:v>
      </x:c>
    </x:row>
    <x:row r="1573">
      <x:c r="B1573" t="str">
        <x:v>PHY-RT-02</x:v>
      </x:c>
      <x:c r="C1573" t="str">
        <x:v>PHYSICAL</x:v>
      </x:c>
      <x:c r="D1573" t="str">
        <x:v>root disposition</x:v>
      </x:c>
      <x:c r="E1573" t="str">
        <x:v>AF-1-BA A02</x:v>
      </x:c>
      <x:c r="F1573" t="n">
        <x:f>'Root Estimator'!K8</x:f>
        <x:v>0</x:v>
      </x:c>
      <x:c r="G1573" t="n">
        <x:v>1</x:v>
      </x:c>
      <x:c r="H1573" t="str">
        <x:v>equals</x:v>
      </x:c>
      <x:c r="I1573" t="str">
        <x:v>independent acceptance</x:v>
      </x:c>
      <x:c r="J1573" t="str">
        <x:f>IF(F1573=1,"PASS","OPEN")</x:f>
        <x:v>OPEN</x:v>
      </x:c>
    </x:row>
    <x:row r="1574">
      <x:c r="B1574" t="str">
        <x:v>PHY-RT-03</x:v>
      </x:c>
      <x:c r="C1574" t="str">
        <x:v>PHYSICAL</x:v>
      </x:c>
      <x:c r="D1574" t="str">
        <x:v>root disposition</x:v>
      </x:c>
      <x:c r="E1574" t="str">
        <x:v>AF-1-BA A03</x:v>
      </x:c>
      <x:c r="F1574" t="n">
        <x:f>'Root Estimator'!K9</x:f>
        <x:v>0</x:v>
      </x:c>
      <x:c r="G1574" t="n">
        <x:v>1</x:v>
      </x:c>
      <x:c r="H1574" t="str">
        <x:v>equals</x:v>
      </x:c>
      <x:c r="I1574" t="str">
        <x:v>independent acceptance</x:v>
      </x:c>
      <x:c r="J1574" t="str">
        <x:f>IF(F1574=1,"PASS","OPEN")</x:f>
        <x:v>OPEN</x:v>
      </x:c>
    </x:row>
    <x:row r="1575">
      <x:c r="B1575" t="str">
        <x:v>PHY-RT-04</x:v>
      </x:c>
      <x:c r="C1575" t="str">
        <x:v>PHYSICAL</x:v>
      </x:c>
      <x:c r="D1575" t="str">
        <x:v>root disposition</x:v>
      </x:c>
      <x:c r="E1575" t="str">
        <x:v>AF-1-BA A04</x:v>
      </x:c>
      <x:c r="F1575" t="n">
        <x:f>'Root Estimator'!K10</x:f>
        <x:v>0</x:v>
      </x:c>
      <x:c r="G1575" t="n">
        <x:v>1</x:v>
      </x:c>
      <x:c r="H1575" t="str">
        <x:v>equals</x:v>
      </x:c>
      <x:c r="I1575" t="str">
        <x:v>independent acceptance</x:v>
      </x:c>
      <x:c r="J1575" t="str">
        <x:f>IF(F1575=1,"PASS","OPEN")</x:f>
        <x:v>OPEN</x:v>
      </x:c>
    </x:row>
    <x:row r="1576">
      <x:c r="B1576" t="str">
        <x:v>PHY-RT-05</x:v>
      </x:c>
      <x:c r="C1576" t="str">
        <x:v>PHYSICAL</x:v>
      </x:c>
      <x:c r="D1576" t="str">
        <x:v>root disposition</x:v>
      </x:c>
      <x:c r="E1576" t="str">
        <x:v>AF-1-BA A05</x:v>
      </x:c>
      <x:c r="F1576" t="n">
        <x:f>'Root Estimator'!K11</x:f>
        <x:v>0</x:v>
      </x:c>
      <x:c r="G1576" t="n">
        <x:v>1</x:v>
      </x:c>
      <x:c r="H1576" t="str">
        <x:v>equals</x:v>
      </x:c>
      <x:c r="I1576" t="str">
        <x:v>independent acceptance</x:v>
      </x:c>
      <x:c r="J1576" t="str">
        <x:f>IF(F1576=1,"PASS","OPEN")</x:f>
        <x:v>OPEN</x:v>
      </x:c>
    </x:row>
    <x:row r="1577">
      <x:c r="B1577" t="str">
        <x:v>PHY-RT-06</x:v>
      </x:c>
      <x:c r="C1577" t="str">
        <x:v>PHYSICAL</x:v>
      </x:c>
      <x:c r="D1577" t="str">
        <x:v>root disposition</x:v>
      </x:c>
      <x:c r="E1577" t="str">
        <x:v>AF-1-BA A06</x:v>
      </x:c>
      <x:c r="F1577" t="n">
        <x:f>'Root Estimator'!K12</x:f>
        <x:v>0</x:v>
      </x:c>
      <x:c r="G1577" t="n">
        <x:v>1</x:v>
      </x:c>
      <x:c r="H1577" t="str">
        <x:v>equals</x:v>
      </x:c>
      <x:c r="I1577" t="str">
        <x:v>independent acceptance</x:v>
      </x:c>
      <x:c r="J1577" t="str">
        <x:f>IF(F1577=1,"PASS","OPEN")</x:f>
        <x:v>OPEN</x:v>
      </x:c>
    </x:row>
    <x:row r="1578">
      <x:c r="B1578" t="str">
        <x:v>PHY-RT-07</x:v>
      </x:c>
      <x:c r="C1578" t="str">
        <x:v>PHYSICAL</x:v>
      </x:c>
      <x:c r="D1578" t="str">
        <x:v>root disposition</x:v>
      </x:c>
      <x:c r="E1578" t="str">
        <x:v>AF-1-BA A07</x:v>
      </x:c>
      <x:c r="F1578" t="n">
        <x:f>'Root Estimator'!K13</x:f>
        <x:v>0</x:v>
      </x:c>
      <x:c r="G1578" t="n">
        <x:v>1</x:v>
      </x:c>
      <x:c r="H1578" t="str">
        <x:v>equals</x:v>
      </x:c>
      <x:c r="I1578" t="str">
        <x:v>independent acceptance</x:v>
      </x:c>
      <x:c r="J1578" t="str">
        <x:f>IF(F1578=1,"PASS","OPEN")</x:f>
        <x:v>OPEN</x:v>
      </x:c>
    </x:row>
    <x:row r="1579">
      <x:c r="B1579" t="str">
        <x:v>PHY-RT-08</x:v>
      </x:c>
      <x:c r="C1579" t="str">
        <x:v>PHYSICAL</x:v>
      </x:c>
      <x:c r="D1579" t="str">
        <x:v>root disposition</x:v>
      </x:c>
      <x:c r="E1579" t="str">
        <x:v>AF-1-BA A08</x:v>
      </x:c>
      <x:c r="F1579" t="n">
        <x:f>'Root Estimator'!K14</x:f>
        <x:v>0</x:v>
      </x:c>
      <x:c r="G1579" t="n">
        <x:v>1</x:v>
      </x:c>
      <x:c r="H1579" t="str">
        <x:v>equals</x:v>
      </x:c>
      <x:c r="I1579" t="str">
        <x:v>independent acceptance</x:v>
      </x:c>
      <x:c r="J1579" t="str">
        <x:f>IF(F1579=1,"PASS","OPEN")</x:f>
        <x:v>OPEN</x:v>
      </x:c>
    </x:row>
    <x:row r="1580">
      <x:c r="B1580" t="str">
        <x:v>PHY-RT-09</x:v>
      </x:c>
      <x:c r="C1580" t="str">
        <x:v>PHYSICAL</x:v>
      </x:c>
      <x:c r="D1580" t="str">
        <x:v>root disposition</x:v>
      </x:c>
      <x:c r="E1580" t="str">
        <x:v>AF-1-BB A01</x:v>
      </x:c>
      <x:c r="F1580" t="n">
        <x:f>'Root Estimator'!K15</x:f>
        <x:v>0</x:v>
      </x:c>
      <x:c r="G1580" t="n">
        <x:v>1</x:v>
      </x:c>
      <x:c r="H1580" t="str">
        <x:v>equals</x:v>
      </x:c>
      <x:c r="I1580" t="str">
        <x:v>independent acceptance</x:v>
      </x:c>
      <x:c r="J1580" t="str">
        <x:f>IF(F1580=1,"PASS","OPEN")</x:f>
        <x:v>OPEN</x:v>
      </x:c>
    </x:row>
    <x:row r="1581">
      <x:c r="B1581" t="str">
        <x:v>PHY-RT-10</x:v>
      </x:c>
      <x:c r="C1581" t="str">
        <x:v>PHYSICAL</x:v>
      </x:c>
      <x:c r="D1581" t="str">
        <x:v>root disposition</x:v>
      </x:c>
      <x:c r="E1581" t="str">
        <x:v>AF-1-BB A02</x:v>
      </x:c>
      <x:c r="F1581" t="n">
        <x:f>'Root Estimator'!K16</x:f>
        <x:v>0</x:v>
      </x:c>
      <x:c r="G1581" t="n">
        <x:v>1</x:v>
      </x:c>
      <x:c r="H1581" t="str">
        <x:v>equals</x:v>
      </x:c>
      <x:c r="I1581" t="str">
        <x:v>independent acceptance</x:v>
      </x:c>
      <x:c r="J1581" t="str">
        <x:f>IF(F1581=1,"PASS","OPEN")</x:f>
        <x:v>OPEN</x:v>
      </x:c>
    </x:row>
    <x:row r="1582">
      <x:c r="B1582" t="str">
        <x:v>PHY-RT-11</x:v>
      </x:c>
      <x:c r="C1582" t="str">
        <x:v>PHYSICAL</x:v>
      </x:c>
      <x:c r="D1582" t="str">
        <x:v>root disposition</x:v>
      </x:c>
      <x:c r="E1582" t="str">
        <x:v>AF-1-BB A03</x:v>
      </x:c>
      <x:c r="F1582" t="n">
        <x:f>'Root Estimator'!K17</x:f>
        <x:v>0</x:v>
      </x:c>
      <x:c r="G1582" t="n">
        <x:v>1</x:v>
      </x:c>
      <x:c r="H1582" t="str">
        <x:v>equals</x:v>
      </x:c>
      <x:c r="I1582" t="str">
        <x:v>independent acceptance</x:v>
      </x:c>
      <x:c r="J1582" t="str">
        <x:f>IF(F1582=1,"PASS","OPEN")</x:f>
        <x:v>OPEN</x:v>
      </x:c>
    </x:row>
    <x:row r="1583">
      <x:c r="B1583" t="str">
        <x:v>PHY-RT-12</x:v>
      </x:c>
      <x:c r="C1583" t="str">
        <x:v>PHYSICAL</x:v>
      </x:c>
      <x:c r="D1583" t="str">
        <x:v>root disposition</x:v>
      </x:c>
      <x:c r="E1583" t="str">
        <x:v>AF-1-BB A04</x:v>
      </x:c>
      <x:c r="F1583" t="n">
        <x:f>'Root Estimator'!K18</x:f>
        <x:v>0</x:v>
      </x:c>
      <x:c r="G1583" t="n">
        <x:v>1</x:v>
      </x:c>
      <x:c r="H1583" t="str">
        <x:v>equals</x:v>
      </x:c>
      <x:c r="I1583" t="str">
        <x:v>independent acceptance</x:v>
      </x:c>
      <x:c r="J1583" t="str">
        <x:f>IF(F1583=1,"PASS","OPEN")</x:f>
        <x:v>OPEN</x:v>
      </x:c>
    </x:row>
    <x:row r="1584">
      <x:c r="B1584" t="str">
        <x:v>PHY-RT-13</x:v>
      </x:c>
      <x:c r="C1584" t="str">
        <x:v>PHYSICAL</x:v>
      </x:c>
      <x:c r="D1584" t="str">
        <x:v>root disposition</x:v>
      </x:c>
      <x:c r="E1584" t="str">
        <x:v>AF-1-BB A05</x:v>
      </x:c>
      <x:c r="F1584" t="n">
        <x:f>'Root Estimator'!K19</x:f>
        <x:v>0</x:v>
      </x:c>
      <x:c r="G1584" t="n">
        <x:v>1</x:v>
      </x:c>
      <x:c r="H1584" t="str">
        <x:v>equals</x:v>
      </x:c>
      <x:c r="I1584" t="str">
        <x:v>independent acceptance</x:v>
      </x:c>
      <x:c r="J1584" t="str">
        <x:f>IF(F1584=1,"PASS","OPEN")</x:f>
        <x:v>OPEN</x:v>
      </x:c>
    </x:row>
    <x:row r="1585">
      <x:c r="B1585" t="str">
        <x:v>PHY-RT-14</x:v>
      </x:c>
      <x:c r="C1585" t="str">
        <x:v>PHYSICAL</x:v>
      </x:c>
      <x:c r="D1585" t="str">
        <x:v>root disposition</x:v>
      </x:c>
      <x:c r="E1585" t="str">
        <x:v>AF-1-BB A06</x:v>
      </x:c>
      <x:c r="F1585" t="n">
        <x:f>'Root Estimator'!K20</x:f>
        <x:v>0</x:v>
      </x:c>
      <x:c r="G1585" t="n">
        <x:v>1</x:v>
      </x:c>
      <x:c r="H1585" t="str">
        <x:v>equals</x:v>
      </x:c>
      <x:c r="I1585" t="str">
        <x:v>independent acceptance</x:v>
      </x:c>
      <x:c r="J1585" t="str">
        <x:f>IF(F1585=1,"PASS","OPEN")</x:f>
        <x:v>OPEN</x:v>
      </x:c>
    </x:row>
    <x:row r="1586">
      <x:c r="B1586" t="str">
        <x:v>PHY-RT-15</x:v>
      </x:c>
      <x:c r="C1586" t="str">
        <x:v>PHYSICAL</x:v>
      </x:c>
      <x:c r="D1586" t="str">
        <x:v>root disposition</x:v>
      </x:c>
      <x:c r="E1586" t="str">
        <x:v>AF-1-BB A07</x:v>
      </x:c>
      <x:c r="F1586" t="n">
        <x:f>'Root Estimator'!K21</x:f>
        <x:v>0</x:v>
      </x:c>
      <x:c r="G1586" t="n">
        <x:v>1</x:v>
      </x:c>
      <x:c r="H1586" t="str">
        <x:v>equals</x:v>
      </x:c>
      <x:c r="I1586" t="str">
        <x:v>independent acceptance</x:v>
      </x:c>
      <x:c r="J1586" t="str">
        <x:f>IF(F1586=1,"PASS","OPEN")</x:f>
        <x:v>OPEN</x:v>
      </x:c>
    </x:row>
    <x:row r="1587">
      <x:c r="B1587" t="str">
        <x:v>PHY-RT-16</x:v>
      </x:c>
      <x:c r="C1587" t="str">
        <x:v>PHYSICAL</x:v>
      </x:c>
      <x:c r="D1587" t="str">
        <x:v>root disposition</x:v>
      </x:c>
      <x:c r="E1587" t="str">
        <x:v>AF-1-BB A08</x:v>
      </x:c>
      <x:c r="F1587" t="n">
        <x:f>'Root Estimator'!K22</x:f>
        <x:v>0</x:v>
      </x:c>
      <x:c r="G1587" t="n">
        <x:v>1</x:v>
      </x:c>
      <x:c r="H1587" t="str">
        <x:v>equals</x:v>
      </x:c>
      <x:c r="I1587" t="str">
        <x:v>independent acceptance</x:v>
      </x:c>
      <x:c r="J1587" t="str">
        <x:f>IF(F1587=1,"PASS","OPEN")</x:f>
        <x:v>OPEN</x:v>
      </x:c>
    </x:row>
    <x:row r="1588">
      <x:c r="B1588" t="str">
        <x:v>PHY-RT-17</x:v>
      </x:c>
      <x:c r="C1588" t="str">
        <x:v>PHYSICAL</x:v>
      </x:c>
      <x:c r="D1588" t="str">
        <x:v>root disposition</x:v>
      </x:c>
      <x:c r="E1588" t="str">
        <x:v>AF-2-BA A01</x:v>
      </x:c>
      <x:c r="F1588" t="n">
        <x:f>'Root Estimator'!K23</x:f>
        <x:v>0</x:v>
      </x:c>
      <x:c r="G1588" t="n">
        <x:v>1</x:v>
      </x:c>
      <x:c r="H1588" t="str">
        <x:v>equals</x:v>
      </x:c>
      <x:c r="I1588" t="str">
        <x:v>independent acceptance</x:v>
      </x:c>
      <x:c r="J1588" t="str">
        <x:f>IF(F1588=1,"PASS","OPEN")</x:f>
        <x:v>OPEN</x:v>
      </x:c>
    </x:row>
    <x:row r="1589">
      <x:c r="B1589" t="str">
        <x:v>PHY-RT-18</x:v>
      </x:c>
      <x:c r="C1589" t="str">
        <x:v>PHYSICAL</x:v>
      </x:c>
      <x:c r="D1589" t="str">
        <x:v>root disposition</x:v>
      </x:c>
      <x:c r="E1589" t="str">
        <x:v>AF-2-BA A02</x:v>
      </x:c>
      <x:c r="F1589" t="n">
        <x:f>'Root Estimator'!K24</x:f>
        <x:v>0</x:v>
      </x:c>
      <x:c r="G1589" t="n">
        <x:v>1</x:v>
      </x:c>
      <x:c r="H1589" t="str">
        <x:v>equals</x:v>
      </x:c>
      <x:c r="I1589" t="str">
        <x:v>independent acceptance</x:v>
      </x:c>
      <x:c r="J1589" t="str">
        <x:f>IF(F1589=1,"PASS","OPEN")</x:f>
        <x:v>OPEN</x:v>
      </x:c>
    </x:row>
    <x:row r="1590">
      <x:c r="B1590" t="str">
        <x:v>PHY-RT-19</x:v>
      </x:c>
      <x:c r="C1590" t="str">
        <x:v>PHYSICAL</x:v>
      </x:c>
      <x:c r="D1590" t="str">
        <x:v>root disposition</x:v>
      </x:c>
      <x:c r="E1590" t="str">
        <x:v>AF-2-BA A03</x:v>
      </x:c>
      <x:c r="F1590" t="n">
        <x:f>'Root Estimator'!K25</x:f>
        <x:v>0</x:v>
      </x:c>
      <x:c r="G1590" t="n">
        <x:v>1</x:v>
      </x:c>
      <x:c r="H1590" t="str">
        <x:v>equals</x:v>
      </x:c>
      <x:c r="I1590" t="str">
        <x:v>independent acceptance</x:v>
      </x:c>
      <x:c r="J1590" t="str">
        <x:f>IF(F1590=1,"PASS","OPEN")</x:f>
        <x:v>OPEN</x:v>
      </x:c>
    </x:row>
    <x:row r="1591">
      <x:c r="B1591" t="str">
        <x:v>PHY-RT-20</x:v>
      </x:c>
      <x:c r="C1591" t="str">
        <x:v>PHYSICAL</x:v>
      </x:c>
      <x:c r="D1591" t="str">
        <x:v>root disposition</x:v>
      </x:c>
      <x:c r="E1591" t="str">
        <x:v>AF-2-BA A04</x:v>
      </x:c>
      <x:c r="F1591" t="n">
        <x:f>'Root Estimator'!K26</x:f>
        <x:v>0</x:v>
      </x:c>
      <x:c r="G1591" t="n">
        <x:v>1</x:v>
      </x:c>
      <x:c r="H1591" t="str">
        <x:v>equals</x:v>
      </x:c>
      <x:c r="I1591" t="str">
        <x:v>independent acceptance</x:v>
      </x:c>
      <x:c r="J1591" t="str">
        <x:f>IF(F1591=1,"PASS","OPEN")</x:f>
        <x:v>OPEN</x:v>
      </x:c>
    </x:row>
    <x:row r="1592">
      <x:c r="B1592" t="str">
        <x:v>PHY-RT-21</x:v>
      </x:c>
      <x:c r="C1592" t="str">
        <x:v>PHYSICAL</x:v>
      </x:c>
      <x:c r="D1592" t="str">
        <x:v>root disposition</x:v>
      </x:c>
      <x:c r="E1592" t="str">
        <x:v>AF-2-BA A05</x:v>
      </x:c>
      <x:c r="F1592" t="n">
        <x:f>'Root Estimator'!K27</x:f>
        <x:v>0</x:v>
      </x:c>
      <x:c r="G1592" t="n">
        <x:v>1</x:v>
      </x:c>
      <x:c r="H1592" t="str">
        <x:v>equals</x:v>
      </x:c>
      <x:c r="I1592" t="str">
        <x:v>independent acceptance</x:v>
      </x:c>
      <x:c r="J1592" t="str">
        <x:f>IF(F1592=1,"PASS","OPEN")</x:f>
        <x:v>OPEN</x:v>
      </x:c>
    </x:row>
    <x:row r="1593">
      <x:c r="B1593" t="str">
        <x:v>PHY-RT-22</x:v>
      </x:c>
      <x:c r="C1593" t="str">
        <x:v>PHYSICAL</x:v>
      </x:c>
      <x:c r="D1593" t="str">
        <x:v>root disposition</x:v>
      </x:c>
      <x:c r="E1593" t="str">
        <x:v>AF-2-BA A06</x:v>
      </x:c>
      <x:c r="F1593" t="n">
        <x:f>'Root Estimator'!K28</x:f>
        <x:v>0</x:v>
      </x:c>
      <x:c r="G1593" t="n">
        <x:v>1</x:v>
      </x:c>
      <x:c r="H1593" t="str">
        <x:v>equals</x:v>
      </x:c>
      <x:c r="I1593" t="str">
        <x:v>independent acceptance</x:v>
      </x:c>
      <x:c r="J1593" t="str">
        <x:f>IF(F1593=1,"PASS","OPEN")</x:f>
        <x:v>OPEN</x:v>
      </x:c>
    </x:row>
    <x:row r="1594">
      <x:c r="B1594" t="str">
        <x:v>PHY-RT-23</x:v>
      </x:c>
      <x:c r="C1594" t="str">
        <x:v>PHYSICAL</x:v>
      </x:c>
      <x:c r="D1594" t="str">
        <x:v>root disposition</x:v>
      </x:c>
      <x:c r="E1594" t="str">
        <x:v>AF-2-BA A07</x:v>
      </x:c>
      <x:c r="F1594" t="n">
        <x:f>'Root Estimator'!K29</x:f>
        <x:v>0</x:v>
      </x:c>
      <x:c r="G1594" t="n">
        <x:v>1</x:v>
      </x:c>
      <x:c r="H1594" t="str">
        <x:v>equals</x:v>
      </x:c>
      <x:c r="I1594" t="str">
        <x:v>independent acceptance</x:v>
      </x:c>
      <x:c r="J1594" t="str">
        <x:f>IF(F1594=1,"PASS","OPEN")</x:f>
        <x:v>OPEN</x:v>
      </x:c>
    </x:row>
    <x:row r="1595">
      <x:c r="B1595" t="str">
        <x:v>PHY-RT-24</x:v>
      </x:c>
      <x:c r="C1595" t="str">
        <x:v>PHYSICAL</x:v>
      </x:c>
      <x:c r="D1595" t="str">
        <x:v>root disposition</x:v>
      </x:c>
      <x:c r="E1595" t="str">
        <x:v>AF-2-BA A08</x:v>
      </x:c>
      <x:c r="F1595" t="n">
        <x:f>'Root Estimator'!K30</x:f>
        <x:v>0</x:v>
      </x:c>
      <x:c r="G1595" t="n">
        <x:v>1</x:v>
      </x:c>
      <x:c r="H1595" t="str">
        <x:v>equals</x:v>
      </x:c>
      <x:c r="I1595" t="str">
        <x:v>independent acceptance</x:v>
      </x:c>
      <x:c r="J1595" t="str">
        <x:f>IF(F1595=1,"PASS","OPEN")</x:f>
        <x:v>OPEN</x:v>
      </x:c>
    </x:row>
    <x:row r="1596">
      <x:c r="B1596" t="str">
        <x:v>PHY-RT-25</x:v>
      </x:c>
      <x:c r="C1596" t="str">
        <x:v>PHYSICAL</x:v>
      </x:c>
      <x:c r="D1596" t="str">
        <x:v>root disposition</x:v>
      </x:c>
      <x:c r="E1596" t="str">
        <x:v>AF-2-BB A01</x:v>
      </x:c>
      <x:c r="F1596" t="n">
        <x:f>'Root Estimator'!K31</x:f>
        <x:v>0</x:v>
      </x:c>
      <x:c r="G1596" t="n">
        <x:v>1</x:v>
      </x:c>
      <x:c r="H1596" t="str">
        <x:v>equals</x:v>
      </x:c>
      <x:c r="I1596" t="str">
        <x:v>independent acceptance</x:v>
      </x:c>
      <x:c r="J1596" t="str">
        <x:f>IF(F1596=1,"PASS","OPEN")</x:f>
        <x:v>OPEN</x:v>
      </x:c>
    </x:row>
    <x:row r="1597">
      <x:c r="B1597" t="str">
        <x:v>PHY-RT-26</x:v>
      </x:c>
      <x:c r="C1597" t="str">
        <x:v>PHYSICAL</x:v>
      </x:c>
      <x:c r="D1597" t="str">
        <x:v>root disposition</x:v>
      </x:c>
      <x:c r="E1597" t="str">
        <x:v>AF-2-BB A02</x:v>
      </x:c>
      <x:c r="F1597" t="n">
        <x:f>'Root Estimator'!K32</x:f>
        <x:v>0</x:v>
      </x:c>
      <x:c r="G1597" t="n">
        <x:v>1</x:v>
      </x:c>
      <x:c r="H1597" t="str">
        <x:v>equals</x:v>
      </x:c>
      <x:c r="I1597" t="str">
        <x:v>independent acceptance</x:v>
      </x:c>
      <x:c r="J1597" t="str">
        <x:f>IF(F1597=1,"PASS","OPEN")</x:f>
        <x:v>OPEN</x:v>
      </x:c>
    </x:row>
    <x:row r="1598">
      <x:c r="B1598" t="str">
        <x:v>PHY-RT-27</x:v>
      </x:c>
      <x:c r="C1598" t="str">
        <x:v>PHYSICAL</x:v>
      </x:c>
      <x:c r="D1598" t="str">
        <x:v>root disposition</x:v>
      </x:c>
      <x:c r="E1598" t="str">
        <x:v>AF-2-BB A03</x:v>
      </x:c>
      <x:c r="F1598" t="n">
        <x:f>'Root Estimator'!K33</x:f>
        <x:v>0</x:v>
      </x:c>
      <x:c r="G1598" t="n">
        <x:v>1</x:v>
      </x:c>
      <x:c r="H1598" t="str">
        <x:v>equals</x:v>
      </x:c>
      <x:c r="I1598" t="str">
        <x:v>independent acceptance</x:v>
      </x:c>
      <x:c r="J1598" t="str">
        <x:f>IF(F1598=1,"PASS","OPEN")</x:f>
        <x:v>OPEN</x:v>
      </x:c>
    </x:row>
    <x:row r="1599">
      <x:c r="B1599" t="str">
        <x:v>PHY-RT-28</x:v>
      </x:c>
      <x:c r="C1599" t="str">
        <x:v>PHYSICAL</x:v>
      </x:c>
      <x:c r="D1599" t="str">
        <x:v>root disposition</x:v>
      </x:c>
      <x:c r="E1599" t="str">
        <x:v>AF-2-BB A04</x:v>
      </x:c>
      <x:c r="F1599" t="n">
        <x:f>'Root Estimator'!K34</x:f>
        <x:v>0</x:v>
      </x:c>
      <x:c r="G1599" t="n">
        <x:v>1</x:v>
      </x:c>
      <x:c r="H1599" t="str">
        <x:v>equals</x:v>
      </x:c>
      <x:c r="I1599" t="str">
        <x:v>independent acceptance</x:v>
      </x:c>
      <x:c r="J1599" t="str">
        <x:f>IF(F1599=1,"PASS","OPEN")</x:f>
        <x:v>OPEN</x:v>
      </x:c>
    </x:row>
    <x:row r="1600">
      <x:c r="B1600" t="str">
        <x:v>PHY-RT-29</x:v>
      </x:c>
      <x:c r="C1600" t="str">
        <x:v>PHYSICAL</x:v>
      </x:c>
      <x:c r="D1600" t="str">
        <x:v>root disposition</x:v>
      </x:c>
      <x:c r="E1600" t="str">
        <x:v>AF-2-BB A05</x:v>
      </x:c>
      <x:c r="F1600" t="n">
        <x:f>'Root Estimator'!K35</x:f>
        <x:v>0</x:v>
      </x:c>
      <x:c r="G1600" t="n">
        <x:v>1</x:v>
      </x:c>
      <x:c r="H1600" t="str">
        <x:v>equals</x:v>
      </x:c>
      <x:c r="I1600" t="str">
        <x:v>independent acceptance</x:v>
      </x:c>
      <x:c r="J1600" t="str">
        <x:f>IF(F1600=1,"PASS","OPEN")</x:f>
        <x:v>OPEN</x:v>
      </x:c>
    </x:row>
    <x:row r="1601">
      <x:c r="B1601" t="str">
        <x:v>PHY-RT-30</x:v>
      </x:c>
      <x:c r="C1601" t="str">
        <x:v>PHYSICAL</x:v>
      </x:c>
      <x:c r="D1601" t="str">
        <x:v>root disposition</x:v>
      </x:c>
      <x:c r="E1601" t="str">
        <x:v>AF-2-BB A06</x:v>
      </x:c>
      <x:c r="F1601" t="n">
        <x:f>'Root Estimator'!K36</x:f>
        <x:v>0</x:v>
      </x:c>
      <x:c r="G1601" t="n">
        <x:v>1</x:v>
      </x:c>
      <x:c r="H1601" t="str">
        <x:v>equals</x:v>
      </x:c>
      <x:c r="I1601" t="str">
        <x:v>independent acceptance</x:v>
      </x:c>
      <x:c r="J1601" t="str">
        <x:f>IF(F1601=1,"PASS","OPEN")</x:f>
        <x:v>OPEN</x:v>
      </x:c>
    </x:row>
    <x:row r="1602">
      <x:c r="B1602" t="str">
        <x:v>PHY-RT-31</x:v>
      </x:c>
      <x:c r="C1602" t="str">
        <x:v>PHYSICAL</x:v>
      </x:c>
      <x:c r="D1602" t="str">
        <x:v>root disposition</x:v>
      </x:c>
      <x:c r="E1602" t="str">
        <x:v>AF-2-BB A07</x:v>
      </x:c>
      <x:c r="F1602" t="n">
        <x:f>'Root Estimator'!K37</x:f>
        <x:v>0</x:v>
      </x:c>
      <x:c r="G1602" t="n">
        <x:v>1</x:v>
      </x:c>
      <x:c r="H1602" t="str">
        <x:v>equals</x:v>
      </x:c>
      <x:c r="I1602" t="str">
        <x:v>independent acceptance</x:v>
      </x:c>
      <x:c r="J1602" t="str">
        <x:f>IF(F1602=1,"PASS","OPEN")</x:f>
        <x:v>OPEN</x:v>
      </x:c>
    </x:row>
    <x:row r="1603">
      <x:c r="B1603" t="str">
        <x:v>PHY-RT-32</x:v>
      </x:c>
      <x:c r="C1603" t="str">
        <x:v>PHYSICAL</x:v>
      </x:c>
      <x:c r="D1603" t="str">
        <x:v>root disposition</x:v>
      </x:c>
      <x:c r="E1603" t="str">
        <x:v>AF-2-BB A08</x:v>
      </x:c>
      <x:c r="F1603" t="n">
        <x:f>'Root Estimator'!K38</x:f>
        <x:v>0</x:v>
      </x:c>
      <x:c r="G1603" t="n">
        <x:v>1</x:v>
      </x:c>
      <x:c r="H1603" t="str">
        <x:v>equals</x:v>
      </x:c>
      <x:c r="I1603" t="str">
        <x:v>independent acceptance</x:v>
      </x:c>
      <x:c r="J1603" t="str">
        <x:f>IF(F1603=1,"PASS","OPEN")</x:f>
        <x:v>OPEN</x:v>
      </x:c>
    </x:row>
    <x:row r="1604">
      <x:c r="B1604" t="str">
        <x:v>PHY-RT-33</x:v>
      </x:c>
      <x:c r="C1604" t="str">
        <x:v>PHYSICAL</x:v>
      </x:c>
      <x:c r="D1604" t="str">
        <x:v>root disposition</x:v>
      </x:c>
      <x:c r="E1604" t="str">
        <x:v>AF-3-BA A01</x:v>
      </x:c>
      <x:c r="F1604" t="n">
        <x:f>'Root Estimator'!K39</x:f>
        <x:v>0</x:v>
      </x:c>
      <x:c r="G1604" t="n">
        <x:v>1</x:v>
      </x:c>
      <x:c r="H1604" t="str">
        <x:v>equals</x:v>
      </x:c>
      <x:c r="I1604" t="str">
        <x:v>independent acceptance</x:v>
      </x:c>
      <x:c r="J1604" t="str">
        <x:f>IF(F1604=1,"PASS","OPEN")</x:f>
        <x:v>OPEN</x:v>
      </x:c>
    </x:row>
    <x:row r="1605">
      <x:c r="B1605" t="str">
        <x:v>PHY-RT-34</x:v>
      </x:c>
      <x:c r="C1605" t="str">
        <x:v>PHYSICAL</x:v>
      </x:c>
      <x:c r="D1605" t="str">
        <x:v>root disposition</x:v>
      </x:c>
      <x:c r="E1605" t="str">
        <x:v>AF-3-BA A02</x:v>
      </x:c>
      <x:c r="F1605" t="n">
        <x:f>'Root Estimator'!K40</x:f>
        <x:v>0</x:v>
      </x:c>
      <x:c r="G1605" t="n">
        <x:v>1</x:v>
      </x:c>
      <x:c r="H1605" t="str">
        <x:v>equals</x:v>
      </x:c>
      <x:c r="I1605" t="str">
        <x:v>independent acceptance</x:v>
      </x:c>
      <x:c r="J1605" t="str">
        <x:f>IF(F1605=1,"PASS","OPEN")</x:f>
        <x:v>OPEN</x:v>
      </x:c>
    </x:row>
    <x:row r="1606">
      <x:c r="B1606" t="str">
        <x:v>PHY-RT-35</x:v>
      </x:c>
      <x:c r="C1606" t="str">
        <x:v>PHYSICAL</x:v>
      </x:c>
      <x:c r="D1606" t="str">
        <x:v>root disposition</x:v>
      </x:c>
      <x:c r="E1606" t="str">
        <x:v>AF-3-BA A03</x:v>
      </x:c>
      <x:c r="F1606" t="n">
        <x:f>'Root Estimator'!K41</x:f>
        <x:v>0</x:v>
      </x:c>
      <x:c r="G1606" t="n">
        <x:v>1</x:v>
      </x:c>
      <x:c r="H1606" t="str">
        <x:v>equals</x:v>
      </x:c>
      <x:c r="I1606" t="str">
        <x:v>independent acceptance</x:v>
      </x:c>
      <x:c r="J1606" t="str">
        <x:f>IF(F1606=1,"PASS","OPEN")</x:f>
        <x:v>OPEN</x:v>
      </x:c>
    </x:row>
    <x:row r="1607">
      <x:c r="B1607" t="str">
        <x:v>PHY-RT-36</x:v>
      </x:c>
      <x:c r="C1607" t="str">
        <x:v>PHYSICAL</x:v>
      </x:c>
      <x:c r="D1607" t="str">
        <x:v>root disposition</x:v>
      </x:c>
      <x:c r="E1607" t="str">
        <x:v>AF-3-BA A04</x:v>
      </x:c>
      <x:c r="F1607" t="n">
        <x:f>'Root Estimator'!K42</x:f>
        <x:v>0</x:v>
      </x:c>
      <x:c r="G1607" t="n">
        <x:v>1</x:v>
      </x:c>
      <x:c r="H1607" t="str">
        <x:v>equals</x:v>
      </x:c>
      <x:c r="I1607" t="str">
        <x:v>independent acceptance</x:v>
      </x:c>
      <x:c r="J1607" t="str">
        <x:f>IF(F1607=1,"PASS","OPEN")</x:f>
        <x:v>OPEN</x:v>
      </x:c>
    </x:row>
    <x:row r="1608">
      <x:c r="B1608" t="str">
        <x:v>PHY-RT-37</x:v>
      </x:c>
      <x:c r="C1608" t="str">
        <x:v>PHYSICAL</x:v>
      </x:c>
      <x:c r="D1608" t="str">
        <x:v>root disposition</x:v>
      </x:c>
      <x:c r="E1608" t="str">
        <x:v>AF-3-BA A05</x:v>
      </x:c>
      <x:c r="F1608" t="n">
        <x:f>'Root Estimator'!K43</x:f>
        <x:v>0</x:v>
      </x:c>
      <x:c r="G1608" t="n">
        <x:v>1</x:v>
      </x:c>
      <x:c r="H1608" t="str">
        <x:v>equals</x:v>
      </x:c>
      <x:c r="I1608" t="str">
        <x:v>independent acceptance</x:v>
      </x:c>
      <x:c r="J1608" t="str">
        <x:f>IF(F1608=1,"PASS","OPEN")</x:f>
        <x:v>OPEN</x:v>
      </x:c>
    </x:row>
    <x:row r="1609">
      <x:c r="B1609" t="str">
        <x:v>PHY-RT-38</x:v>
      </x:c>
      <x:c r="C1609" t="str">
        <x:v>PHYSICAL</x:v>
      </x:c>
      <x:c r="D1609" t="str">
        <x:v>root disposition</x:v>
      </x:c>
      <x:c r="E1609" t="str">
        <x:v>AF-3-BA A06</x:v>
      </x:c>
      <x:c r="F1609" t="n">
        <x:f>'Root Estimator'!K44</x:f>
        <x:v>0</x:v>
      </x:c>
      <x:c r="G1609" t="n">
        <x:v>1</x:v>
      </x:c>
      <x:c r="H1609" t="str">
        <x:v>equals</x:v>
      </x:c>
      <x:c r="I1609" t="str">
        <x:v>independent acceptance</x:v>
      </x:c>
      <x:c r="J1609" t="str">
        <x:f>IF(F1609=1,"PASS","OPEN")</x:f>
        <x:v>OPEN</x:v>
      </x:c>
    </x:row>
    <x:row r="1610">
      <x:c r="B1610" t="str">
        <x:v>PHY-RT-39</x:v>
      </x:c>
      <x:c r="C1610" t="str">
        <x:v>PHYSICAL</x:v>
      </x:c>
      <x:c r="D1610" t="str">
        <x:v>root disposition</x:v>
      </x:c>
      <x:c r="E1610" t="str">
        <x:v>AF-3-BA A07</x:v>
      </x:c>
      <x:c r="F1610" t="n">
        <x:f>'Root Estimator'!K45</x:f>
        <x:v>0</x:v>
      </x:c>
      <x:c r="G1610" t="n">
        <x:v>1</x:v>
      </x:c>
      <x:c r="H1610" t="str">
        <x:v>equals</x:v>
      </x:c>
      <x:c r="I1610" t="str">
        <x:v>independent acceptance</x:v>
      </x:c>
      <x:c r="J1610" t="str">
        <x:f>IF(F1610=1,"PASS","OPEN")</x:f>
        <x:v>OPEN</x:v>
      </x:c>
    </x:row>
    <x:row r="1611">
      <x:c r="B1611" t="str">
        <x:v>PHY-RT-40</x:v>
      </x:c>
      <x:c r="C1611" t="str">
        <x:v>PHYSICAL</x:v>
      </x:c>
      <x:c r="D1611" t="str">
        <x:v>root disposition</x:v>
      </x:c>
      <x:c r="E1611" t="str">
        <x:v>AF-3-BA A08</x:v>
      </x:c>
      <x:c r="F1611" t="n">
        <x:f>'Root Estimator'!K46</x:f>
        <x:v>0</x:v>
      </x:c>
      <x:c r="G1611" t="n">
        <x:v>1</x:v>
      </x:c>
      <x:c r="H1611" t="str">
        <x:v>equals</x:v>
      </x:c>
      <x:c r="I1611" t="str">
        <x:v>independent acceptance</x:v>
      </x:c>
      <x:c r="J1611" t="str">
        <x:f>IF(F1611=1,"PASS","OPEN")</x:f>
        <x:v>OPEN</x:v>
      </x:c>
    </x:row>
    <x:row r="1612">
      <x:c r="B1612" t="str">
        <x:v>PHY-RT-41</x:v>
      </x:c>
      <x:c r="C1612" t="str">
        <x:v>PHYSICAL</x:v>
      </x:c>
      <x:c r="D1612" t="str">
        <x:v>root disposition</x:v>
      </x:c>
      <x:c r="E1612" t="str">
        <x:v>AF-3-BB A01</x:v>
      </x:c>
      <x:c r="F1612" t="n">
        <x:f>'Root Estimator'!K47</x:f>
        <x:v>0</x:v>
      </x:c>
      <x:c r="G1612" t="n">
        <x:v>1</x:v>
      </x:c>
      <x:c r="H1612" t="str">
        <x:v>equals</x:v>
      </x:c>
      <x:c r="I1612" t="str">
        <x:v>independent acceptance</x:v>
      </x:c>
      <x:c r="J1612" t="str">
        <x:f>IF(F1612=1,"PASS","OPEN")</x:f>
        <x:v>OPEN</x:v>
      </x:c>
    </x:row>
    <x:row r="1613">
      <x:c r="B1613" t="str">
        <x:v>PHY-RT-42</x:v>
      </x:c>
      <x:c r="C1613" t="str">
        <x:v>PHYSICAL</x:v>
      </x:c>
      <x:c r="D1613" t="str">
        <x:v>root disposition</x:v>
      </x:c>
      <x:c r="E1613" t="str">
        <x:v>AF-3-BB A02</x:v>
      </x:c>
      <x:c r="F1613" t="n">
        <x:f>'Root Estimator'!K48</x:f>
        <x:v>0</x:v>
      </x:c>
      <x:c r="G1613" t="n">
        <x:v>1</x:v>
      </x:c>
      <x:c r="H1613" t="str">
        <x:v>equals</x:v>
      </x:c>
      <x:c r="I1613" t="str">
        <x:v>independent acceptance</x:v>
      </x:c>
      <x:c r="J1613" t="str">
        <x:f>IF(F1613=1,"PASS","OPEN")</x:f>
        <x:v>OPEN</x:v>
      </x:c>
    </x:row>
    <x:row r="1614">
      <x:c r="B1614" t="str">
        <x:v>PHY-RT-43</x:v>
      </x:c>
      <x:c r="C1614" t="str">
        <x:v>PHYSICAL</x:v>
      </x:c>
      <x:c r="D1614" t="str">
        <x:v>root disposition</x:v>
      </x:c>
      <x:c r="E1614" t="str">
        <x:v>AF-3-BB A03</x:v>
      </x:c>
      <x:c r="F1614" t="n">
        <x:f>'Root Estimator'!K49</x:f>
        <x:v>0</x:v>
      </x:c>
      <x:c r="G1614" t="n">
        <x:v>1</x:v>
      </x:c>
      <x:c r="H1614" t="str">
        <x:v>equals</x:v>
      </x:c>
      <x:c r="I1614" t="str">
        <x:v>independent acceptance</x:v>
      </x:c>
      <x:c r="J1614" t="str">
        <x:f>IF(F1614=1,"PASS","OPEN")</x:f>
        <x:v>OPEN</x:v>
      </x:c>
    </x:row>
    <x:row r="1615">
      <x:c r="B1615" t="str">
        <x:v>PHY-RT-44</x:v>
      </x:c>
      <x:c r="C1615" t="str">
        <x:v>PHYSICAL</x:v>
      </x:c>
      <x:c r="D1615" t="str">
        <x:v>root disposition</x:v>
      </x:c>
      <x:c r="E1615" t="str">
        <x:v>AF-3-BB A04</x:v>
      </x:c>
      <x:c r="F1615" t="n">
        <x:f>'Root Estimator'!K50</x:f>
        <x:v>0</x:v>
      </x:c>
      <x:c r="G1615" t="n">
        <x:v>1</x:v>
      </x:c>
      <x:c r="H1615" t="str">
        <x:v>equals</x:v>
      </x:c>
      <x:c r="I1615" t="str">
        <x:v>independent acceptance</x:v>
      </x:c>
      <x:c r="J1615" t="str">
        <x:f>IF(F1615=1,"PASS","OPEN")</x:f>
        <x:v>OPEN</x:v>
      </x:c>
    </x:row>
    <x:row r="1616">
      <x:c r="B1616" t="str">
        <x:v>PHY-RT-45</x:v>
      </x:c>
      <x:c r="C1616" t="str">
        <x:v>PHYSICAL</x:v>
      </x:c>
      <x:c r="D1616" t="str">
        <x:v>root disposition</x:v>
      </x:c>
      <x:c r="E1616" t="str">
        <x:v>AF-3-BB A05</x:v>
      </x:c>
      <x:c r="F1616" t="n">
        <x:f>'Root Estimator'!K51</x:f>
        <x:v>0</x:v>
      </x:c>
      <x:c r="G1616" t="n">
        <x:v>1</x:v>
      </x:c>
      <x:c r="H1616" t="str">
        <x:v>equals</x:v>
      </x:c>
      <x:c r="I1616" t="str">
        <x:v>independent acceptance</x:v>
      </x:c>
      <x:c r="J1616" t="str">
        <x:f>IF(F1616=1,"PASS","OPEN")</x:f>
        <x:v>OPEN</x:v>
      </x:c>
    </x:row>
    <x:row r="1617">
      <x:c r="B1617" t="str">
        <x:v>PHY-RT-46</x:v>
      </x:c>
      <x:c r="C1617" t="str">
        <x:v>PHYSICAL</x:v>
      </x:c>
      <x:c r="D1617" t="str">
        <x:v>root disposition</x:v>
      </x:c>
      <x:c r="E1617" t="str">
        <x:v>AF-3-BB A06</x:v>
      </x:c>
      <x:c r="F1617" t="n">
        <x:f>'Root Estimator'!K52</x:f>
        <x:v>0</x:v>
      </x:c>
      <x:c r="G1617" t="n">
        <x:v>1</x:v>
      </x:c>
      <x:c r="H1617" t="str">
        <x:v>equals</x:v>
      </x:c>
      <x:c r="I1617" t="str">
        <x:v>independent acceptance</x:v>
      </x:c>
      <x:c r="J1617" t="str">
        <x:f>IF(F1617=1,"PASS","OPEN")</x:f>
        <x:v>OPEN</x:v>
      </x:c>
    </x:row>
    <x:row r="1618">
      <x:c r="B1618" t="str">
        <x:v>PHY-RT-47</x:v>
      </x:c>
      <x:c r="C1618" t="str">
        <x:v>PHYSICAL</x:v>
      </x:c>
      <x:c r="D1618" t="str">
        <x:v>root disposition</x:v>
      </x:c>
      <x:c r="E1618" t="str">
        <x:v>AF-3-BB A07</x:v>
      </x:c>
      <x:c r="F1618" t="n">
        <x:f>'Root Estimator'!K53</x:f>
        <x:v>0</x:v>
      </x:c>
      <x:c r="G1618" t="n">
        <x:v>1</x:v>
      </x:c>
      <x:c r="H1618" t="str">
        <x:v>equals</x:v>
      </x:c>
      <x:c r="I1618" t="str">
        <x:v>independent acceptance</x:v>
      </x:c>
      <x:c r="J1618" t="str">
        <x:f>IF(F1618=1,"PASS","OPEN")</x:f>
        <x:v>OPEN</x:v>
      </x:c>
    </x:row>
    <x:row r="1619">
      <x:c r="B1619" t="str">
        <x:v>PHY-RT-48</x:v>
      </x:c>
      <x:c r="C1619" t="str">
        <x:v>PHYSICAL</x:v>
      </x:c>
      <x:c r="D1619" t="str">
        <x:v>root disposition</x:v>
      </x:c>
      <x:c r="E1619" t="str">
        <x:v>AF-3-BB A08</x:v>
      </x:c>
      <x:c r="F1619" t="n">
        <x:f>'Root Estimator'!K54</x:f>
        <x:v>0</x:v>
      </x:c>
      <x:c r="G1619" t="n">
        <x:v>1</x:v>
      </x:c>
      <x:c r="H1619" t="str">
        <x:v>equals</x:v>
      </x:c>
      <x:c r="I1619" t="str">
        <x:v>independent acceptance</x:v>
      </x:c>
      <x:c r="J1619" t="str">
        <x:f>IF(F1619=1,"PASS","OPEN")</x:f>
        <x:v>OPEN</x:v>
      </x:c>
    </x:row>
    <x:row r="1620">
      <x:c r="B1620" t="str">
        <x:v>PHY-CD-01</x:v>
      </x:c>
      <x:c r="C1620" t="str">
        <x:v>PHYSICAL</x:v>
      </x:c>
      <x:c r="D1620" t="str">
        <x:v>candidate disposition</x:v>
      </x:c>
      <x:c r="E1620" t="str">
        <x:v>AF-1 A01</x:v>
      </x:c>
      <x:c r="F1620" t="n">
        <x:f>'Candidate Estimator'!K7</x:f>
        <x:v>0</x:v>
      </x:c>
      <x:c r="G1620" t="n">
        <x:v>1</x:v>
      </x:c>
      <x:c r="H1620" t="str">
        <x:v>equals</x:v>
      </x:c>
      <x:c r="I1620" t="str">
        <x:v>independent acceptance</x:v>
      </x:c>
      <x:c r="J1620" t="str">
        <x:f>IF(F1620=1,"PASS","OPEN")</x:f>
        <x:v>OPEN</x:v>
      </x:c>
    </x:row>
    <x:row r="1621">
      <x:c r="B1621" t="str">
        <x:v>PHY-CD-02</x:v>
      </x:c>
      <x:c r="C1621" t="str">
        <x:v>PHYSICAL</x:v>
      </x:c>
      <x:c r="D1621" t="str">
        <x:v>candidate disposition</x:v>
      </x:c>
      <x:c r="E1621" t="str">
        <x:v>AF-1 A02</x:v>
      </x:c>
      <x:c r="F1621" t="n">
        <x:f>'Candidate Estimator'!K8</x:f>
        <x:v>0</x:v>
      </x:c>
      <x:c r="G1621" t="n">
        <x:v>1</x:v>
      </x:c>
      <x:c r="H1621" t="str">
        <x:v>equals</x:v>
      </x:c>
      <x:c r="I1621" t="str">
        <x:v>independent acceptance</x:v>
      </x:c>
      <x:c r="J1621" t="str">
        <x:f>IF(F1621=1,"PASS","OPEN")</x:f>
        <x:v>OPEN</x:v>
      </x:c>
    </x:row>
    <x:row r="1622">
      <x:c r="B1622" t="str">
        <x:v>PHY-CD-03</x:v>
      </x:c>
      <x:c r="C1622" t="str">
        <x:v>PHYSICAL</x:v>
      </x:c>
      <x:c r="D1622" t="str">
        <x:v>candidate disposition</x:v>
      </x:c>
      <x:c r="E1622" t="str">
        <x:v>AF-1 A03</x:v>
      </x:c>
      <x:c r="F1622" t="n">
        <x:f>'Candidate Estimator'!K9</x:f>
        <x:v>0</x:v>
      </x:c>
      <x:c r="G1622" t="n">
        <x:v>1</x:v>
      </x:c>
      <x:c r="H1622" t="str">
        <x:v>equals</x:v>
      </x:c>
      <x:c r="I1622" t="str">
        <x:v>independent acceptance</x:v>
      </x:c>
      <x:c r="J1622" t="str">
        <x:f>IF(F1622=1,"PASS","OPEN")</x:f>
        <x:v>OPEN</x:v>
      </x:c>
    </x:row>
    <x:row r="1623">
      <x:c r="B1623" t="str">
        <x:v>PHY-CD-04</x:v>
      </x:c>
      <x:c r="C1623" t="str">
        <x:v>PHYSICAL</x:v>
      </x:c>
      <x:c r="D1623" t="str">
        <x:v>candidate disposition</x:v>
      </x:c>
      <x:c r="E1623" t="str">
        <x:v>AF-1 A04</x:v>
      </x:c>
      <x:c r="F1623" t="n">
        <x:f>'Candidate Estimator'!K10</x:f>
        <x:v>0</x:v>
      </x:c>
      <x:c r="G1623" t="n">
        <x:v>1</x:v>
      </x:c>
      <x:c r="H1623" t="str">
        <x:v>equals</x:v>
      </x:c>
      <x:c r="I1623" t="str">
        <x:v>independent acceptance</x:v>
      </x:c>
      <x:c r="J1623" t="str">
        <x:f>IF(F1623=1,"PASS","OPEN")</x:f>
        <x:v>OPEN</x:v>
      </x:c>
    </x:row>
    <x:row r="1624">
      <x:c r="B1624" t="str">
        <x:v>PHY-CD-05</x:v>
      </x:c>
      <x:c r="C1624" t="str">
        <x:v>PHYSICAL</x:v>
      </x:c>
      <x:c r="D1624" t="str">
        <x:v>candidate disposition</x:v>
      </x:c>
      <x:c r="E1624" t="str">
        <x:v>AF-1 A05</x:v>
      </x:c>
      <x:c r="F1624" t="n">
        <x:f>'Candidate Estimator'!K11</x:f>
        <x:v>0</x:v>
      </x:c>
      <x:c r="G1624" t="n">
        <x:v>1</x:v>
      </x:c>
      <x:c r="H1624" t="str">
        <x:v>equals</x:v>
      </x:c>
      <x:c r="I1624" t="str">
        <x:v>independent acceptance</x:v>
      </x:c>
      <x:c r="J1624" t="str">
        <x:f>IF(F1624=1,"PASS","OPEN")</x:f>
        <x:v>OPEN</x:v>
      </x:c>
    </x:row>
    <x:row r="1625">
      <x:c r="B1625" t="str">
        <x:v>PHY-CD-06</x:v>
      </x:c>
      <x:c r="C1625" t="str">
        <x:v>PHYSICAL</x:v>
      </x:c>
      <x:c r="D1625" t="str">
        <x:v>candidate disposition</x:v>
      </x:c>
      <x:c r="E1625" t="str">
        <x:v>AF-1 A06</x:v>
      </x:c>
      <x:c r="F1625" t="n">
        <x:f>'Candidate Estimator'!K12</x:f>
        <x:v>0</x:v>
      </x:c>
      <x:c r="G1625" t="n">
        <x:v>1</x:v>
      </x:c>
      <x:c r="H1625" t="str">
        <x:v>equals</x:v>
      </x:c>
      <x:c r="I1625" t="str">
        <x:v>independent acceptance</x:v>
      </x:c>
      <x:c r="J1625" t="str">
        <x:f>IF(F1625=1,"PASS","OPEN")</x:f>
        <x:v>OPEN</x:v>
      </x:c>
    </x:row>
    <x:row r="1626">
      <x:c r="B1626" t="str">
        <x:v>PHY-CD-07</x:v>
      </x:c>
      <x:c r="C1626" t="str">
        <x:v>PHYSICAL</x:v>
      </x:c>
      <x:c r="D1626" t="str">
        <x:v>candidate disposition</x:v>
      </x:c>
      <x:c r="E1626" t="str">
        <x:v>AF-1 A07</x:v>
      </x:c>
      <x:c r="F1626" t="n">
        <x:f>'Candidate Estimator'!K13</x:f>
        <x:v>0</x:v>
      </x:c>
      <x:c r="G1626" t="n">
        <x:v>1</x:v>
      </x:c>
      <x:c r="H1626" t="str">
        <x:v>equals</x:v>
      </x:c>
      <x:c r="I1626" t="str">
        <x:v>independent acceptance</x:v>
      </x:c>
      <x:c r="J1626" t="str">
        <x:f>IF(F1626=1,"PASS","OPEN")</x:f>
        <x:v>OPEN</x:v>
      </x:c>
    </x:row>
    <x:row r="1627">
      <x:c r="B1627" t="str">
        <x:v>PHY-CD-08</x:v>
      </x:c>
      <x:c r="C1627" t="str">
        <x:v>PHYSICAL</x:v>
      </x:c>
      <x:c r="D1627" t="str">
        <x:v>candidate disposition</x:v>
      </x:c>
      <x:c r="E1627" t="str">
        <x:v>AF-1 A08</x:v>
      </x:c>
      <x:c r="F1627" t="n">
        <x:f>'Candidate Estimator'!K14</x:f>
        <x:v>0</x:v>
      </x:c>
      <x:c r="G1627" t="n">
        <x:v>1</x:v>
      </x:c>
      <x:c r="H1627" t="str">
        <x:v>equals</x:v>
      </x:c>
      <x:c r="I1627" t="str">
        <x:v>independent acceptance</x:v>
      </x:c>
      <x:c r="J1627" t="str">
        <x:f>IF(F1627=1,"PASS","OPEN")</x:f>
        <x:v>OPEN</x:v>
      </x:c>
    </x:row>
    <x:row r="1628">
      <x:c r="B1628" t="str">
        <x:v>PHY-CD-09</x:v>
      </x:c>
      <x:c r="C1628" t="str">
        <x:v>PHYSICAL</x:v>
      </x:c>
      <x:c r="D1628" t="str">
        <x:v>candidate disposition</x:v>
      </x:c>
      <x:c r="E1628" t="str">
        <x:v>AF-2 A01</x:v>
      </x:c>
      <x:c r="F1628" t="n">
        <x:f>'Candidate Estimator'!K15</x:f>
        <x:v>0</x:v>
      </x:c>
      <x:c r="G1628" t="n">
        <x:v>1</x:v>
      </x:c>
      <x:c r="H1628" t="str">
        <x:v>equals</x:v>
      </x:c>
      <x:c r="I1628" t="str">
        <x:v>independent acceptance</x:v>
      </x:c>
      <x:c r="J1628" t="str">
        <x:f>IF(F1628=1,"PASS","OPEN")</x:f>
        <x:v>OPEN</x:v>
      </x:c>
    </x:row>
    <x:row r="1629">
      <x:c r="B1629" t="str">
        <x:v>PHY-CD-10</x:v>
      </x:c>
      <x:c r="C1629" t="str">
        <x:v>PHYSICAL</x:v>
      </x:c>
      <x:c r="D1629" t="str">
        <x:v>candidate disposition</x:v>
      </x:c>
      <x:c r="E1629" t="str">
        <x:v>AF-2 A02</x:v>
      </x:c>
      <x:c r="F1629" t="n">
        <x:f>'Candidate Estimator'!K16</x:f>
        <x:v>0</x:v>
      </x:c>
      <x:c r="G1629" t="n">
        <x:v>1</x:v>
      </x:c>
      <x:c r="H1629" t="str">
        <x:v>equals</x:v>
      </x:c>
      <x:c r="I1629" t="str">
        <x:v>independent acceptance</x:v>
      </x:c>
      <x:c r="J1629" t="str">
        <x:f>IF(F1629=1,"PASS","OPEN")</x:f>
        <x:v>OPEN</x:v>
      </x:c>
    </x:row>
    <x:row r="1630">
      <x:c r="B1630" t="str">
        <x:v>PHY-CD-11</x:v>
      </x:c>
      <x:c r="C1630" t="str">
        <x:v>PHYSICAL</x:v>
      </x:c>
      <x:c r="D1630" t="str">
        <x:v>candidate disposition</x:v>
      </x:c>
      <x:c r="E1630" t="str">
        <x:v>AF-2 A03</x:v>
      </x:c>
      <x:c r="F1630" t="n">
        <x:f>'Candidate Estimator'!K17</x:f>
        <x:v>0</x:v>
      </x:c>
      <x:c r="G1630" t="n">
        <x:v>1</x:v>
      </x:c>
      <x:c r="H1630" t="str">
        <x:v>equals</x:v>
      </x:c>
      <x:c r="I1630" t="str">
        <x:v>independent acceptance</x:v>
      </x:c>
      <x:c r="J1630" t="str">
        <x:f>IF(F1630=1,"PASS","OPEN")</x:f>
        <x:v>OPEN</x:v>
      </x:c>
    </x:row>
    <x:row r="1631">
      <x:c r="B1631" t="str">
        <x:v>PHY-CD-12</x:v>
      </x:c>
      <x:c r="C1631" t="str">
        <x:v>PHYSICAL</x:v>
      </x:c>
      <x:c r="D1631" t="str">
        <x:v>candidate disposition</x:v>
      </x:c>
      <x:c r="E1631" t="str">
        <x:v>AF-2 A04</x:v>
      </x:c>
      <x:c r="F1631" t="n">
        <x:f>'Candidate Estimator'!K18</x:f>
        <x:v>0</x:v>
      </x:c>
      <x:c r="G1631" t="n">
        <x:v>1</x:v>
      </x:c>
      <x:c r="H1631" t="str">
        <x:v>equals</x:v>
      </x:c>
      <x:c r="I1631" t="str">
        <x:v>independent acceptance</x:v>
      </x:c>
      <x:c r="J1631" t="str">
        <x:f>IF(F1631=1,"PASS","OPEN")</x:f>
        <x:v>OPEN</x:v>
      </x:c>
    </x:row>
    <x:row r="1632">
      <x:c r="B1632" t="str">
        <x:v>PHY-CD-13</x:v>
      </x:c>
      <x:c r="C1632" t="str">
        <x:v>PHYSICAL</x:v>
      </x:c>
      <x:c r="D1632" t="str">
        <x:v>candidate disposition</x:v>
      </x:c>
      <x:c r="E1632" t="str">
        <x:v>AF-2 A05</x:v>
      </x:c>
      <x:c r="F1632" t="n">
        <x:f>'Candidate Estimator'!K19</x:f>
        <x:v>0</x:v>
      </x:c>
      <x:c r="G1632" t="n">
        <x:v>1</x:v>
      </x:c>
      <x:c r="H1632" t="str">
        <x:v>equals</x:v>
      </x:c>
      <x:c r="I1632" t="str">
        <x:v>independent acceptance</x:v>
      </x:c>
      <x:c r="J1632" t="str">
        <x:f>IF(F1632=1,"PASS","OPEN")</x:f>
        <x:v>OPEN</x:v>
      </x:c>
    </x:row>
    <x:row r="1633">
      <x:c r="B1633" t="str">
        <x:v>PHY-CD-14</x:v>
      </x:c>
      <x:c r="C1633" t="str">
        <x:v>PHYSICAL</x:v>
      </x:c>
      <x:c r="D1633" t="str">
        <x:v>candidate disposition</x:v>
      </x:c>
      <x:c r="E1633" t="str">
        <x:v>AF-2 A06</x:v>
      </x:c>
      <x:c r="F1633" t="n">
        <x:f>'Candidate Estimator'!K20</x:f>
        <x:v>0</x:v>
      </x:c>
      <x:c r="G1633" t="n">
        <x:v>1</x:v>
      </x:c>
      <x:c r="H1633" t="str">
        <x:v>equals</x:v>
      </x:c>
      <x:c r="I1633" t="str">
        <x:v>independent acceptance</x:v>
      </x:c>
      <x:c r="J1633" t="str">
        <x:f>IF(F1633=1,"PASS","OPEN")</x:f>
        <x:v>OPEN</x:v>
      </x:c>
    </x:row>
    <x:row r="1634">
      <x:c r="B1634" t="str">
        <x:v>PHY-CD-15</x:v>
      </x:c>
      <x:c r="C1634" t="str">
        <x:v>PHYSICAL</x:v>
      </x:c>
      <x:c r="D1634" t="str">
        <x:v>candidate disposition</x:v>
      </x:c>
      <x:c r="E1634" t="str">
        <x:v>AF-2 A07</x:v>
      </x:c>
      <x:c r="F1634" t="n">
        <x:f>'Candidate Estimator'!K21</x:f>
        <x:v>0</x:v>
      </x:c>
      <x:c r="G1634" t="n">
        <x:v>1</x:v>
      </x:c>
      <x:c r="H1634" t="str">
        <x:v>equals</x:v>
      </x:c>
      <x:c r="I1634" t="str">
        <x:v>independent acceptance</x:v>
      </x:c>
      <x:c r="J1634" t="str">
        <x:f>IF(F1634=1,"PASS","OPEN")</x:f>
        <x:v>OPEN</x:v>
      </x:c>
    </x:row>
    <x:row r="1635">
      <x:c r="B1635" t="str">
        <x:v>PHY-CD-16</x:v>
      </x:c>
      <x:c r="C1635" t="str">
        <x:v>PHYSICAL</x:v>
      </x:c>
      <x:c r="D1635" t="str">
        <x:v>candidate disposition</x:v>
      </x:c>
      <x:c r="E1635" t="str">
        <x:v>AF-2 A08</x:v>
      </x:c>
      <x:c r="F1635" t="n">
        <x:f>'Candidate Estimator'!K22</x:f>
        <x:v>0</x:v>
      </x:c>
      <x:c r="G1635" t="n">
        <x:v>1</x:v>
      </x:c>
      <x:c r="H1635" t="str">
        <x:v>equals</x:v>
      </x:c>
      <x:c r="I1635" t="str">
        <x:v>independent acceptance</x:v>
      </x:c>
      <x:c r="J1635" t="str">
        <x:f>IF(F1635=1,"PASS","OPEN")</x:f>
        <x:v>OPEN</x:v>
      </x:c>
    </x:row>
    <x:row r="1636">
      <x:c r="B1636" t="str">
        <x:v>PHY-CD-17</x:v>
      </x:c>
      <x:c r="C1636" t="str">
        <x:v>PHYSICAL</x:v>
      </x:c>
      <x:c r="D1636" t="str">
        <x:v>candidate disposition</x:v>
      </x:c>
      <x:c r="E1636" t="str">
        <x:v>AF-3 A01</x:v>
      </x:c>
      <x:c r="F1636" t="n">
        <x:f>'Candidate Estimator'!K23</x:f>
        <x:v>0</x:v>
      </x:c>
      <x:c r="G1636" t="n">
        <x:v>1</x:v>
      </x:c>
      <x:c r="H1636" t="str">
        <x:v>equals</x:v>
      </x:c>
      <x:c r="I1636" t="str">
        <x:v>independent acceptance</x:v>
      </x:c>
      <x:c r="J1636" t="str">
        <x:f>IF(F1636=1,"PASS","OPEN")</x:f>
        <x:v>OPEN</x:v>
      </x:c>
    </x:row>
    <x:row r="1637">
      <x:c r="B1637" t="str">
        <x:v>PHY-CD-18</x:v>
      </x:c>
      <x:c r="C1637" t="str">
        <x:v>PHYSICAL</x:v>
      </x:c>
      <x:c r="D1637" t="str">
        <x:v>candidate disposition</x:v>
      </x:c>
      <x:c r="E1637" t="str">
        <x:v>AF-3 A02</x:v>
      </x:c>
      <x:c r="F1637" t="n">
        <x:f>'Candidate Estimator'!K24</x:f>
        <x:v>0</x:v>
      </x:c>
      <x:c r="G1637" t="n">
        <x:v>1</x:v>
      </x:c>
      <x:c r="H1637" t="str">
        <x:v>equals</x:v>
      </x:c>
      <x:c r="I1637" t="str">
        <x:v>independent acceptance</x:v>
      </x:c>
      <x:c r="J1637" t="str">
        <x:f>IF(F1637=1,"PASS","OPEN")</x:f>
        <x:v>OPEN</x:v>
      </x:c>
    </x:row>
    <x:row r="1638">
      <x:c r="B1638" t="str">
        <x:v>PHY-CD-19</x:v>
      </x:c>
      <x:c r="C1638" t="str">
        <x:v>PHYSICAL</x:v>
      </x:c>
      <x:c r="D1638" t="str">
        <x:v>candidate disposition</x:v>
      </x:c>
      <x:c r="E1638" t="str">
        <x:v>AF-3 A03</x:v>
      </x:c>
      <x:c r="F1638" t="n">
        <x:f>'Candidate Estimator'!K25</x:f>
        <x:v>0</x:v>
      </x:c>
      <x:c r="G1638" t="n">
        <x:v>1</x:v>
      </x:c>
      <x:c r="H1638" t="str">
        <x:v>equals</x:v>
      </x:c>
      <x:c r="I1638" t="str">
        <x:v>independent acceptance</x:v>
      </x:c>
      <x:c r="J1638" t="str">
        <x:f>IF(F1638=1,"PASS","OPEN")</x:f>
        <x:v>OPEN</x:v>
      </x:c>
    </x:row>
    <x:row r="1639">
      <x:c r="B1639" t="str">
        <x:v>PHY-CD-20</x:v>
      </x:c>
      <x:c r="C1639" t="str">
        <x:v>PHYSICAL</x:v>
      </x:c>
      <x:c r="D1639" t="str">
        <x:v>candidate disposition</x:v>
      </x:c>
      <x:c r="E1639" t="str">
        <x:v>AF-3 A04</x:v>
      </x:c>
      <x:c r="F1639" t="n">
        <x:f>'Candidate Estimator'!K26</x:f>
        <x:v>0</x:v>
      </x:c>
      <x:c r="G1639" t="n">
        <x:v>1</x:v>
      </x:c>
      <x:c r="H1639" t="str">
        <x:v>equals</x:v>
      </x:c>
      <x:c r="I1639" t="str">
        <x:v>independent acceptance</x:v>
      </x:c>
      <x:c r="J1639" t="str">
        <x:f>IF(F1639=1,"PASS","OPEN")</x:f>
        <x:v>OPEN</x:v>
      </x:c>
    </x:row>
    <x:row r="1640">
      <x:c r="B1640" t="str">
        <x:v>PHY-CD-21</x:v>
      </x:c>
      <x:c r="C1640" t="str">
        <x:v>PHYSICAL</x:v>
      </x:c>
      <x:c r="D1640" t="str">
        <x:v>candidate disposition</x:v>
      </x:c>
      <x:c r="E1640" t="str">
        <x:v>AF-3 A05</x:v>
      </x:c>
      <x:c r="F1640" t="n">
        <x:f>'Candidate Estimator'!K27</x:f>
        <x:v>0</x:v>
      </x:c>
      <x:c r="G1640" t="n">
        <x:v>1</x:v>
      </x:c>
      <x:c r="H1640" t="str">
        <x:v>equals</x:v>
      </x:c>
      <x:c r="I1640" t="str">
        <x:v>independent acceptance</x:v>
      </x:c>
      <x:c r="J1640" t="str">
        <x:f>IF(F1640=1,"PASS","OPEN")</x:f>
        <x:v>OPEN</x:v>
      </x:c>
    </x:row>
    <x:row r="1641">
      <x:c r="B1641" t="str">
        <x:v>PHY-CD-22</x:v>
      </x:c>
      <x:c r="C1641" t="str">
        <x:v>PHYSICAL</x:v>
      </x:c>
      <x:c r="D1641" t="str">
        <x:v>candidate disposition</x:v>
      </x:c>
      <x:c r="E1641" t="str">
        <x:v>AF-3 A06</x:v>
      </x:c>
      <x:c r="F1641" t="n">
        <x:f>'Candidate Estimator'!K28</x:f>
        <x:v>0</x:v>
      </x:c>
      <x:c r="G1641" t="n">
        <x:v>1</x:v>
      </x:c>
      <x:c r="H1641" t="str">
        <x:v>equals</x:v>
      </x:c>
      <x:c r="I1641" t="str">
        <x:v>independent acceptance</x:v>
      </x:c>
      <x:c r="J1641" t="str">
        <x:f>IF(F1641=1,"PASS","OPEN")</x:f>
        <x:v>OPEN</x:v>
      </x:c>
    </x:row>
    <x:row r="1642">
      <x:c r="B1642" t="str">
        <x:v>PHY-CD-23</x:v>
      </x:c>
      <x:c r="C1642" t="str">
        <x:v>PHYSICAL</x:v>
      </x:c>
      <x:c r="D1642" t="str">
        <x:v>candidate disposition</x:v>
      </x:c>
      <x:c r="E1642" t="str">
        <x:v>AF-3 A07</x:v>
      </x:c>
      <x:c r="F1642" t="n">
        <x:f>'Candidate Estimator'!K29</x:f>
        <x:v>0</x:v>
      </x:c>
      <x:c r="G1642" t="n">
        <x:v>1</x:v>
      </x:c>
      <x:c r="H1642" t="str">
        <x:v>equals</x:v>
      </x:c>
      <x:c r="I1642" t="str">
        <x:v>independent acceptance</x:v>
      </x:c>
      <x:c r="J1642" t="str">
        <x:f>IF(F1642=1,"PASS","OPEN")</x:f>
        <x:v>OPEN</x:v>
      </x:c>
    </x:row>
    <x:row r="1643">
      <x:c r="B1643" t="str">
        <x:v>PHY-CD-24</x:v>
      </x:c>
      <x:c r="C1643" t="str">
        <x:v>PHYSICAL</x:v>
      </x:c>
      <x:c r="D1643" t="str">
        <x:v>candidate disposition</x:v>
      </x:c>
      <x:c r="E1643" t="str">
        <x:v>AF-3 A08</x:v>
      </x:c>
      <x:c r="F1643" t="n">
        <x:f>'Candidate Estimator'!K30</x:f>
        <x:v>0</x:v>
      </x:c>
      <x:c r="G1643" t="n">
        <x:v>1</x:v>
      </x:c>
      <x:c r="H1643" t="str">
        <x:v>equals</x:v>
      </x:c>
      <x:c r="I1643" t="str">
        <x:v>independent acceptance</x:v>
      </x:c>
      <x:c r="J1643" t="str">
        <x:f>IF(F1643=1,"PASS","OPEN")</x:f>
        <x:v>OPEN</x:v>
      </x:c>
    </x:row>
    <x:row r="1644">
      <x:c r="B1644" t="str">
        <x:v>PHY-RE-01</x:v>
      </x:c>
      <x:c r="C1644" t="str">
        <x:v>PHYSICAL</x:v>
      </x:c>
      <x:c r="D1644" t="str">
        <x:v>recovery acceptance</x:v>
      </x:c>
      <x:c r="E1644" t="str">
        <x:v>RE-01</x:v>
      </x:c>
      <x:c r="F1644" t="n">
        <x:f>'Recovery States'!F7</x:f>
        <x:v>0</x:v>
      </x:c>
      <x:c r="G1644" t="n">
        <x:v>1</x:v>
      </x:c>
      <x:c r="H1644" t="str">
        <x:v>equals</x:v>
      </x:c>
      <x:c r="I1644" t="str">
        <x:v>independent acceptance</x:v>
      </x:c>
      <x:c r="J1644" t="str">
        <x:f>IF(F1644=1,"PASS","OPEN")</x:f>
        <x:v>OPEN</x:v>
      </x:c>
    </x:row>
    <x:row r="1645">
      <x:c r="B1645" t="str">
        <x:v>PHY-RE-02</x:v>
      </x:c>
      <x:c r="C1645" t="str">
        <x:v>PHYSICAL</x:v>
      </x:c>
      <x:c r="D1645" t="str">
        <x:v>recovery acceptance</x:v>
      </x:c>
      <x:c r="E1645" t="str">
        <x:v>RE-02</x:v>
      </x:c>
      <x:c r="F1645" t="n">
        <x:f>'Recovery States'!F8</x:f>
        <x:v>0</x:v>
      </x:c>
      <x:c r="G1645" t="n">
        <x:v>1</x:v>
      </x:c>
      <x:c r="H1645" t="str">
        <x:v>equals</x:v>
      </x:c>
      <x:c r="I1645" t="str">
        <x:v>independent acceptance</x:v>
      </x:c>
      <x:c r="J1645" t="str">
        <x:f>IF(F1645=1,"PASS","OPEN")</x:f>
        <x:v>OPEN</x:v>
      </x:c>
    </x:row>
    <x:row r="1646">
      <x:c r="B1646" t="str">
        <x:v>PHY-RE-03</x:v>
      </x:c>
      <x:c r="C1646" t="str">
        <x:v>PHYSICAL</x:v>
      </x:c>
      <x:c r="D1646" t="str">
        <x:v>recovery acceptance</x:v>
      </x:c>
      <x:c r="E1646" t="str">
        <x:v>RE-03</x:v>
      </x:c>
      <x:c r="F1646" t="n">
        <x:f>'Recovery States'!F9</x:f>
        <x:v>0</x:v>
      </x:c>
      <x:c r="G1646" t="n">
        <x:v>1</x:v>
      </x:c>
      <x:c r="H1646" t="str">
        <x:v>equals</x:v>
      </x:c>
      <x:c r="I1646" t="str">
        <x:v>independent acceptance</x:v>
      </x:c>
      <x:c r="J1646" t="str">
        <x:f>IF(F1646=1,"PASS","OPEN")</x:f>
        <x:v>OPEN</x:v>
      </x:c>
    </x:row>
    <x:row r="1647">
      <x:c r="B1647" t="str">
        <x:v>PHY-RE-04</x:v>
      </x:c>
      <x:c r="C1647" t="str">
        <x:v>PHYSICAL</x:v>
      </x:c>
      <x:c r="D1647" t="str">
        <x:v>recovery acceptance</x:v>
      </x:c>
      <x:c r="E1647" t="str">
        <x:v>RE-04</x:v>
      </x:c>
      <x:c r="F1647" t="n">
        <x:f>'Recovery States'!F10</x:f>
        <x:v>0</x:v>
      </x:c>
      <x:c r="G1647" t="n">
        <x:v>1</x:v>
      </x:c>
      <x:c r="H1647" t="str">
        <x:v>equals</x:v>
      </x:c>
      <x:c r="I1647" t="str">
        <x:v>independent acceptance</x:v>
      </x:c>
      <x:c r="J1647" t="str">
        <x:f>IF(F1647=1,"PASS","OPEN")</x:f>
        <x:v>OPEN</x:v>
      </x:c>
    </x:row>
    <x:row r="1648">
      <x:c r="B1648" t="str">
        <x:v>PHY-RE-05</x:v>
      </x:c>
      <x:c r="C1648" t="str">
        <x:v>PHYSICAL</x:v>
      </x:c>
      <x:c r="D1648" t="str">
        <x:v>recovery acceptance</x:v>
      </x:c>
      <x:c r="E1648" t="str">
        <x:v>RE-05</x:v>
      </x:c>
      <x:c r="F1648" t="n">
        <x:f>'Recovery States'!F11</x:f>
        <x:v>0</x:v>
      </x:c>
      <x:c r="G1648" t="n">
        <x:v>1</x:v>
      </x:c>
      <x:c r="H1648" t="str">
        <x:v>equals</x:v>
      </x:c>
      <x:c r="I1648" t="str">
        <x:v>independent acceptance</x:v>
      </x:c>
      <x:c r="J1648" t="str">
        <x:f>IF(F1648=1,"PASS","OPEN")</x:f>
        <x:v>OPEN</x:v>
      </x:c>
    </x:row>
    <x:row r="1649">
      <x:c r="B1649" t="str">
        <x:v>PHY-RE-06</x:v>
      </x:c>
      <x:c r="C1649" t="str">
        <x:v>PHYSICAL</x:v>
      </x:c>
      <x:c r="D1649" t="str">
        <x:v>recovery acceptance</x:v>
      </x:c>
      <x:c r="E1649" t="str">
        <x:v>RE-06</x:v>
      </x:c>
      <x:c r="F1649" t="n">
        <x:f>'Recovery States'!F12</x:f>
        <x:v>0</x:v>
      </x:c>
      <x:c r="G1649" t="n">
        <x:v>1</x:v>
      </x:c>
      <x:c r="H1649" t="str">
        <x:v>equals</x:v>
      </x:c>
      <x:c r="I1649" t="str">
        <x:v>independent acceptance</x:v>
      </x:c>
      <x:c r="J1649" t="str">
        <x:f>IF(F1649=1,"PASS","OPEN")</x:f>
        <x:v>OPEN</x:v>
      </x:c>
    </x:row>
    <x:row r="1650">
      <x:c r="B1650" t="str">
        <x:v>PHY-RE-07</x:v>
      </x:c>
      <x:c r="C1650" t="str">
        <x:v>PHYSICAL</x:v>
      </x:c>
      <x:c r="D1650" t="str">
        <x:v>recovery acceptance</x:v>
      </x:c>
      <x:c r="E1650" t="str">
        <x:v>RE-07</x:v>
      </x:c>
      <x:c r="F1650" t="n">
        <x:f>'Recovery States'!F13</x:f>
        <x:v>0</x:v>
      </x:c>
      <x:c r="G1650" t="n">
        <x:v>1</x:v>
      </x:c>
      <x:c r="H1650" t="str">
        <x:v>equals</x:v>
      </x:c>
      <x:c r="I1650" t="str">
        <x:v>independent acceptance</x:v>
      </x:c>
      <x:c r="J1650" t="str">
        <x:f>IF(F1650=1,"PASS","OPEN")</x:f>
        <x:v>OPEN</x:v>
      </x:c>
    </x:row>
    <x:row r="1651">
      <x:c r="B1651" t="str">
        <x:v>PHY-RE-08</x:v>
      </x:c>
      <x:c r="C1651" t="str">
        <x:v>PHYSICAL</x:v>
      </x:c>
      <x:c r="D1651" t="str">
        <x:v>recovery acceptance</x:v>
      </x:c>
      <x:c r="E1651" t="str">
        <x:v>RE-08</x:v>
      </x:c>
      <x:c r="F1651" t="n">
        <x:f>'Recovery States'!F14</x:f>
        <x:v>0</x:v>
      </x:c>
      <x:c r="G1651" t="n">
        <x:v>1</x:v>
      </x:c>
      <x:c r="H1651" t="str">
        <x:v>equals</x:v>
      </x:c>
      <x:c r="I1651" t="str">
        <x:v>independent acceptance</x:v>
      </x:c>
      <x:c r="J1651" t="str">
        <x:f>IF(F1651=1,"PASS","OPEN")</x:f>
        <x:v>OPEN</x:v>
      </x:c>
    </x:row>
    <x:row r="1652">
      <x:c r="B1652" t="str">
        <x:v>DWN-01</x:v>
      </x:c>
      <x:c r="C1652" t="str">
        <x:v>DOWNSTREAM</x:v>
      </x:c>
      <x:c r="D1652" t="str">
        <x:v>water-only execution</x:v>
      </x:c>
      <x:c r="E1652" t="str">
        <x:v>method and safety authority</x:v>
      </x:c>
      <x:c r="F1652" t="n">
        <x:f>Controls!$D$55</x:f>
        <x:v>0</x:v>
      </x:c>
      <x:c r="G1652" t="n">
        <x:v>1</x:v>
      </x:c>
      <x:c r="H1652" t="str">
        <x:v>equals</x:v>
      </x:c>
      <x:c r="I1652" t="str">
        <x:v>separate authority</x:v>
      </x:c>
      <x:c r="J1652" t="str">
        <x:f>IF(F1652=1,"PASS","BLOCKED")</x:f>
        <x:v>BLOCKED</x:v>
      </x:c>
    </x:row>
    <x:row r="1653">
      <x:c r="B1653" t="str">
        <x:v>DWN-02</x:v>
      </x:c>
      <x:c r="C1653" t="str">
        <x:v>DOWNSTREAM</x:v>
      </x:c>
      <x:c r="D1653" t="str">
        <x:v>surrogate execution</x:v>
      </x:c>
      <x:c r="E1653" t="str">
        <x:v>source and safety authority</x:v>
      </x:c>
      <x:c r="F1653" t="n">
        <x:f>Controls!$D$56</x:f>
        <x:v>0</x:v>
      </x:c>
      <x:c r="G1653" t="n">
        <x:v>1</x:v>
      </x:c>
      <x:c r="H1653" t="str">
        <x:v>equals</x:v>
      </x:c>
      <x:c r="I1653" t="str">
        <x:v>separate authority</x:v>
      </x:c>
      <x:c r="J1653" t="str">
        <x:f>IF(F1653=1,"PASS","BLOCKED")</x:f>
        <x:v>BLOCKED</x:v>
      </x:c>
    </x:row>
    <x:row r="1654">
      <x:c r="B1654" t="str">
        <x:v>DWN-03</x:v>
      </x:c>
      <x:c r="C1654" t="str">
        <x:v>DOWNSTREAM</x:v>
      </x:c>
      <x:c r="D1654" t="str">
        <x:v>quarter-source execution</x:v>
      </x:c>
      <x:c r="E1654" t="str">
        <x:v>source-release authority</x:v>
      </x:c>
      <x:c r="F1654" t="n">
        <x:f>Controls!$D$57</x:f>
        <x:v>0</x:v>
      </x:c>
      <x:c r="G1654" t="n">
        <x:v>1</x:v>
      </x:c>
      <x:c r="H1654" t="str">
        <x:v>equals</x:v>
      </x:c>
      <x:c r="I1654" t="str">
        <x:v>separate authority</x:v>
      </x:c>
      <x:c r="J1654" t="str">
        <x:f>IF(F1654=1,"PASS","BLOCKED")</x:f>
        <x:v>BLOCKED</x:v>
      </x:c>
    </x:row>
    <x:row r="1655">
      <x:c r="B1655" t="str">
        <x:v>DWN-04</x:v>
      </x:c>
      <x:c r="C1655" t="str">
        <x:v>DOWNSTREAM</x:v>
      </x:c>
      <x:c r="D1655" t="str">
        <x:v>full-source fire execution</x:v>
      </x:c>
      <x:c r="E1655" t="str">
        <x:v>source and fire authority</x:v>
      </x:c>
      <x:c r="F1655" t="n">
        <x:f>Controls!$D$58</x:f>
        <x:v>0</x:v>
      </x:c>
      <x:c r="G1655" t="n">
        <x:v>1</x:v>
      </x:c>
      <x:c r="H1655" t="str">
        <x:v>equals</x:v>
      </x:c>
      <x:c r="I1655" t="str">
        <x:v>separate authority</x:v>
      </x:c>
      <x:c r="J1655" t="str">
        <x:f>IF(F1655=1,"PASS","BLOCKED")</x:f>
        <x:v>BLOCKED</x:v>
      </x:c>
    </x:row>
    <x:row r="1656">
      <x:c r="B1656" t="str">
        <x:v>DWN-05</x:v>
      </x:c>
      <x:c r="C1656" t="str">
        <x:v>DOWNSTREAM</x:v>
      </x:c>
      <x:c r="D1656" t="str">
        <x:v>destructive execution</x:v>
      </x:c>
      <x:c r="E1656" t="str">
        <x:v>destructive-test authority</x:v>
      </x:c>
      <x:c r="F1656" t="n">
        <x:f>Controls!$D$59</x:f>
        <x:v>0</x:v>
      </x:c>
      <x:c r="G1656" t="n">
        <x:v>1</x:v>
      </x:c>
      <x:c r="H1656" t="str">
        <x:v>equals</x:v>
      </x:c>
      <x:c r="I1656" t="str">
        <x:v>separate authority</x:v>
      </x:c>
      <x:c r="J1656" t="str">
        <x:f>IF(F1656=1,"PASS","BLOCKED")</x:f>
        <x:v>BLOCKED</x:v>
      </x:c>
    </x:row>
    <x:row r="1657">
      <x:c r="B1657" t="str">
        <x:v>DWN-06</x:v>
      </x:c>
      <x:c r="C1657" t="str">
        <x:v>DOWNSTREAM</x:v>
      </x:c>
      <x:c r="D1657" t="str">
        <x:v>candidate selection</x:v>
      </x:c>
      <x:c r="E1657" t="str">
        <x:v>independent selection authority</x:v>
      </x:c>
      <x:c r="F1657" t="n">
        <x:f>Controls!$D$60</x:f>
        <x:v>0</x:v>
      </x:c>
      <x:c r="G1657" t="n">
        <x:v>1</x:v>
      </x:c>
      <x:c r="H1657" t="str">
        <x:v>equals</x:v>
      </x:c>
      <x:c r="I1657" t="str">
        <x:v>separate authority</x:v>
      </x:c>
      <x:c r="J1657" t="str">
        <x:f>IF(F1657=1,"PASS","BLOCKED")</x:f>
        <x:v>BLOCKED</x:v>
      </x:c>
    </x:row>
    <x:row r="1658">
      <x:c r="B1658" t="str">
        <x:v>DWN-07</x:v>
      </x:c>
      <x:c r="C1658" t="str">
        <x:v>DOWNSTREAM</x:v>
      </x:c>
      <x:c r="D1658" t="str">
        <x:v>Root A freeze</x:v>
      </x:c>
      <x:c r="E1658" t="str">
        <x:v>configuration authority</x:v>
      </x:c>
      <x:c r="F1658" t="n">
        <x:f>Controls!$D$61</x:f>
        <x:v>0</x:v>
      </x:c>
      <x:c r="G1658" t="n">
        <x:v>1</x:v>
      </x:c>
      <x:c r="H1658" t="str">
        <x:v>equals</x:v>
      </x:c>
      <x:c r="I1658" t="str">
        <x:v>separate authority</x:v>
      </x:c>
      <x:c r="J1658" t="str">
        <x:f>IF(F1658=1,"PASS","BLOCKED")</x:f>
        <x:v>BLOCKED</x:v>
      </x:c>
    </x:row>
    <x:row r="1659">
      <x:c r="B1659" t="str">
        <x:v>DWN-08</x:v>
      </x:c>
      <x:c r="C1659" t="str">
        <x:v>DOWNSTREAM</x:v>
      </x:c>
      <x:c r="D1659" t="str">
        <x:v>production</x:v>
      </x:c>
      <x:c r="E1659" t="str">
        <x:v>Department acquisition authority</x:v>
      </x:c>
      <x:c r="F1659" t="n">
        <x:f>Controls!$D$62</x:f>
        <x:v>0</x:v>
      </x:c>
      <x:c r="G1659" t="n">
        <x:v>1</x:v>
      </x:c>
      <x:c r="H1659" t="str">
        <x:v>equals</x:v>
      </x:c>
      <x:c r="I1659" t="str">
        <x:v>separate authority</x:v>
      </x:c>
      <x:c r="J1659" t="str">
        <x:f>IF(F1659=1,"PASS","BLOCKED")</x:f>
        <x:v>BLOCKED</x:v>
      </x:c>
    </x:row>
    <x:row r="1660">
      <x:c r="B1660" t="str">
        <x:v>DWN-09</x:v>
      </x:c>
      <x:c r="C1660" t="str">
        <x:v>DOWNSTREAM</x:v>
      </x:c>
      <x:c r="D1660" t="str">
        <x:v>exterior rendering</x:v>
      </x:c>
      <x:c r="E1660" t="str">
        <x:v>research-program authority</x:v>
      </x:c>
      <x:c r="F1660" t="n">
        <x:f>Controls!$D$63</x:f>
        <x:v>0</x:v>
      </x:c>
      <x:c r="G1660" t="n">
        <x:v>1</x:v>
      </x:c>
      <x:c r="H1660" t="str">
        <x:v>equals</x:v>
      </x:c>
      <x:c r="I1660" t="str">
        <x:v>separate authority</x:v>
      </x:c>
      <x:c r="J1660" t="str">
        <x:f>IF(F1660=1,"PASS","BLOCKED")</x:f>
        <x:v>BLOCKED</x:v>
      </x:c>
    </x:row>
  </x:sheetData>
  <x:conditionalFormatting sqref="J7:J1660">
    <x:cfRule type="containsText" dxfId="128" priority="1" operator="containsText" text="FAIL"/>
    <x:cfRule type="containsText" dxfId="129" priority="2" operator="containsText" text="BLOCKED"/>
    <x:cfRule type="containsText" dxfId="130" priority="3" operator="containsText" text="REOPEN"/>
    <x:cfRule type="containsText" dxfId="131" priority="4" operator="containsText" text="OVERFLOW"/>
    <x:cfRule type="containsText" dxfId="132" priority="5" operator="containsText" text="OPEN"/>
    <x:cfRule type="containsText" dxfId="133" priority="6" operator="containsText" text="GAP"/>
    <x:cfRule type="containsText" dxfId="134" priority="7" operator="containsText" text="PASS"/>
    <x:cfRule type="containsText" dxfId="135" priority="8" operator="containsText" text="INVALID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49" hidden="0" customWidth="1"/>
    <x:col min="5" max="5" width="19" hidden="0" customWidth="1"/>
    <x:col min="6" max="6" width="19" hidden="0" customWidth="1"/>
    <x:col min="7" max="7" width="12" hidden="0" customWidth="1"/>
    <x:col min="8" max="8" width="14" hidden="0" customWidth="1"/>
  </x:cols>
  <x:sheetData>
    <x:row r="2">
      <x:c r="B2" s="1" t="str">
        <x:v>Terminal-observer audit</x:v>
      </x:c>
    </x:row>
    <x:row r="3">
      <x:c r="B3" s="2" t="str">
        <x:v>Twenty-four headline invariants and 1,654 release states observe source rows.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Audit ID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Expected</x:v>
      </x:c>
      <x:c r="G6" s="7" t="str">
        <x:v>Comparator</x:v>
      </x:c>
      <x:c r="H6" s="7" t="str">
        <x:v>State</x:v>
      </x:c>
    </x:row>
    <x:row r="7">
      <x:c r="B7" t="str">
        <x:v>H01</x:v>
      </x:c>
      <x:c r="C7" t="str">
        <x:v>HEADLINE</x:v>
      </x:c>
      <x:c r="D7" t="str">
        <x:v>candidate architectures</x:v>
      </x:c>
      <x:c r="E7" t="n">
        <x:f>COUNTA('Candidate Matrix'!B7:B9)</x:f>
        <x:v>3</x:v>
      </x:c>
      <x:c r="F7" t="n">
        <x:v>3</x:v>
      </x:c>
      <x:c r="G7" t="str">
        <x:v>equals</x:v>
      </x:c>
      <x:c r="H7" t="str">
        <x:f>IF(ABS(E7-F7)&lt;0.01,"PASS","FAIL")</x:f>
        <x:v>PASS</x:v>
      </x:c>
    </x:row>
    <x:row r="8">
      <x:c r="B8" t="str">
        <x:v>H02</x:v>
      </x:c>
      <x:c r="C8" t="str">
        <x:v>HEADLINE</x:v>
      </x:c>
      <x:c r="D8" t="str">
        <x:v>article bank</x:v>
      </x:c>
      <x:c r="E8" t="n">
        <x:f>COUNTA('Article Bank'!B7:B54)</x:f>
        <x:v>48</x:v>
      </x:c>
      <x:c r="F8" t="n">
        <x:v>48</x:v>
      </x:c>
      <x:c r="G8" t="str">
        <x:v>equals</x:v>
      </x:c>
      <x:c r="H8" t="str">
        <x:f>IF(ABS(E8-F8)&lt;0.01,"PASS","FAIL")</x:f>
        <x:v>PASS</x:v>
      </x:c>
    </x:row>
    <x:row r="9">
      <x:c r="B9" t="str">
        <x:v>H03</x:v>
      </x:c>
      <x:c r="C9" t="str">
        <x:v>HEADLINE</x:v>
      </x:c>
      <x:c r="D9" t="str">
        <x:v>method families</x:v>
      </x:c>
      <x:c r="E9" t="n">
        <x:f>COUNTA('Method Matrix'!B7:B16)</x:f>
        <x:v>10</x:v>
      </x:c>
      <x:c r="F9" t="n">
        <x:v>10</x:v>
      </x:c>
      <x:c r="G9" t="str">
        <x:v>equals</x:v>
      </x:c>
      <x:c r="H9" t="str">
        <x:f>IF(ABS(E9-F9)&lt;0.01,"PASS","FAIL")</x:f>
        <x:v>PASS</x:v>
      </x:c>
    </x:row>
    <x:row r="10">
      <x:c r="B10" t="str">
        <x:v>H04</x:v>
      </x:c>
      <x:c r="C10" t="str">
        <x:v>HEADLINE</x:v>
      </x:c>
      <x:c r="D10" t="str">
        <x:v>campaign events</x:v>
      </x:c>
      <x:c r="E10" t="n">
        <x:f>COUNTA('Event Register'!B7:B312)</x:f>
        <x:v>306</x:v>
      </x:c>
      <x:c r="F10" t="n">
        <x:v>306</x:v>
      </x:c>
      <x:c r="G10" t="str">
        <x:v>equals</x:v>
      </x:c>
      <x:c r="H10" t="str">
        <x:f>IF(ABS(E10-F10)&lt;0.01,"PASS","FAIL")</x:f>
        <x:v>PASS</x:v>
      </x:c>
    </x:row>
    <x:row r="11">
      <x:c r="B11" t="str">
        <x:v>H05</x:v>
      </x:c>
      <x:c r="C11" t="str">
        <x:v>HEADLINE</x:v>
      </x:c>
      <x:c r="D11" t="str">
        <x:v>matched pairs</x:v>
      </x:c>
      <x:c r="E11" t="n">
        <x:f>COUNTA('Pair Register'!B7:B102)</x:f>
        <x:v>96</x:v>
      </x:c>
      <x:c r="F11" t="n">
        <x:v>96</x:v>
      </x:c>
      <x:c r="G11" t="str">
        <x:v>equals</x:v>
      </x:c>
      <x:c r="H11" t="str">
        <x:f>IF(ABS(E11-F11)&lt;0.01,"PASS","FAIL")</x:f>
        <x:v>PASS</x:v>
      </x:c>
    </x:row>
    <x:row r="12">
      <x:c r="B12" t="str">
        <x:v>H06</x:v>
      </x:c>
      <x:c r="C12" t="str">
        <x:v>HEADLINE</x:v>
      </x:c>
      <x:c r="D12" t="str">
        <x:v>challenges</x:v>
      </x:c>
      <x:c r="E12" t="n">
        <x:f>COUNTA('Challenge Matrix'!B7:B14)</x:f>
        <x:v>8</x:v>
      </x:c>
      <x:c r="F12" t="n">
        <x:v>8</x:v>
      </x:c>
      <x:c r="G12" t="str">
        <x:v>equals</x:v>
      </x:c>
      <x:c r="H12" t="str">
        <x:f>IF(ABS(E12-F12)&lt;0.01,"PASS","FAIL")</x:f>
        <x:v>PASS</x:v>
      </x:c>
    </x:row>
    <x:row r="13">
      <x:c r="B13" t="str">
        <x:v>H07</x:v>
      </x:c>
      <x:c r="C13" t="str">
        <x:v>HEADLINE</x:v>
      </x:c>
      <x:c r="D13" t="str">
        <x:v>hydraulic cases</x:v>
      </x:c>
      <x:c r="E13" t="n">
        <x:f>COUNTA('Hydraulic Screen'!B7:B18)</x:f>
        <x:v>12</x:v>
      </x:c>
      <x:c r="F13" t="n">
        <x:v>12</x:v>
      </x:c>
      <x:c r="G13" t="str">
        <x:v>equals</x:v>
      </x:c>
      <x:c r="H13" t="str">
        <x:f>IF(ABS(E13-F13)&lt;0.01,"PASS","FAIL")</x:f>
        <x:v>PASS</x:v>
      </x:c>
    </x:row>
    <x:row r="14">
      <x:c r="B14" t="str">
        <x:v>H08</x:v>
      </x:c>
      <x:c r="C14" t="str">
        <x:v>HEADLINE</x:v>
      </x:c>
      <x:c r="D14" t="str">
        <x:v>measurement functions</x:v>
      </x:c>
      <x:c r="E14" t="n">
        <x:f>COUNTA('Sensor Plan'!B7:B26)</x:f>
        <x:v>20</x:v>
      </x:c>
      <x:c r="F14" t="n">
        <x:v>20</x:v>
      </x:c>
      <x:c r="G14" t="str">
        <x:v>equals</x:v>
      </x:c>
      <x:c r="H14" t="str">
        <x:f>IF(ABS(E14-F14)&lt;0.01,"PASS","FAIL")</x:f>
        <x:v>PASS</x:v>
      </x:c>
    </x:row>
    <x:row r="15">
      <x:c r="B15" t="str">
        <x:v>H09</x:v>
      </x:c>
      <x:c r="C15" t="str">
        <x:v>HEADLINE</x:v>
      </x:c>
      <x:c r="D15" t="str">
        <x:v>sensor channels</x:v>
      </x:c>
      <x:c r="E15" t="n">
        <x:f>'Sensor Plan'!D28</x:f>
        <x:v>480</x:v>
      </x:c>
      <x:c r="F15" t="n">
        <x:v>480</x:v>
      </x:c>
      <x:c r="G15" t="str">
        <x:v>equals</x:v>
      </x:c>
      <x:c r="H15" t="str">
        <x:f>IF(ABS(E15-F15)&lt;0.01,"PASS","FAIL")</x:f>
        <x:v>PASS</x:v>
      </x:c>
    </x:row>
    <x:row r="16">
      <x:c r="B16" t="str">
        <x:v>H10</x:v>
      </x:c>
      <x:c r="C16" t="str">
        <x:v>HEADLINE</x:v>
      </x:c>
      <x:c r="D16" t="str">
        <x:v>commands</x:v>
      </x:c>
      <x:c r="E16" t="n">
        <x:f>COUNTA('Command Script'!B7:B22)</x:f>
        <x:v>16</x:v>
      </x:c>
      <x:c r="F16" t="n">
        <x:v>16</x:v>
      </x:c>
      <x:c r="G16" t="str">
        <x:v>equals</x:v>
      </x:c>
      <x:c r="H16" t="str">
        <x:f>IF(ABS(E16-F16)&lt;0.01,"PASS","FAIL")</x:f>
        <x:v>PASS</x:v>
      </x:c>
    </x:row>
    <x:row r="17">
      <x:c r="B17" t="str">
        <x:v>H11</x:v>
      </x:c>
      <x:c r="C17" t="str">
        <x:v>HEADLINE</x:v>
      </x:c>
      <x:c r="D17" t="str">
        <x:v>abort channels</x:v>
      </x:c>
      <x:c r="E17" t="n">
        <x:f>COUNTA('Abort Logic'!B7:B22)</x:f>
        <x:v>16</x:v>
      </x:c>
      <x:c r="F17" t="n">
        <x:v>16</x:v>
      </x:c>
      <x:c r="G17" t="str">
        <x:v>equals</x:v>
      </x:c>
      <x:c r="H17" t="str">
        <x:f>IF(ABS(E17-F17)&lt;0.01,"PASS","FAIL")</x:f>
        <x:v>PASS</x:v>
      </x:c>
    </x:row>
    <x:row r="18">
      <x:c r="B18" t="str">
        <x:v>H12</x:v>
      </x:c>
      <x:c r="C18" t="str">
        <x:v>HEADLINE</x:v>
      </x:c>
      <x:c r="D18" t="str">
        <x:v>recovery states</x:v>
      </x:c>
      <x:c r="E18" t="n">
        <x:f>COUNTA('Recovery States'!B7:B14)</x:f>
        <x:v>8</x:v>
      </x:c>
      <x:c r="F18" t="n">
        <x:v>8</x:v>
      </x:c>
      <x:c r="G18" t="str">
        <x:v>equals</x:v>
      </x:c>
      <x:c r="H18" t="str">
        <x:f>IF(ABS(E18-F18)&lt;0.01,"PASS","FAIL")</x:f>
        <x:v>PASS</x:v>
      </x:c>
    </x:row>
    <x:row r="19">
      <x:c r="B19" t="str">
        <x:v>H13</x:v>
      </x:c>
      <x:c r="C19" t="str">
        <x:v>HEADLINE</x:v>
      </x:c>
      <x:c r="D19" t="str">
        <x:v>features</x:v>
      </x:c>
      <x:c r="E19" t="n">
        <x:f>COUNTA('Feature Dictionary'!B7:B26)</x:f>
        <x:v>20</x:v>
      </x:c>
      <x:c r="F19" t="n">
        <x:v>20</x:v>
      </x:c>
      <x:c r="G19" t="str">
        <x:v>equals</x:v>
      </x:c>
      <x:c r="H19" t="str">
        <x:f>IF(ABS(E19-F19)&lt;0.01,"PASS","FAIL")</x:f>
        <x:v>PASS</x:v>
      </x:c>
    </x:row>
    <x:row r="20">
      <x:c r="B20" t="str">
        <x:v>H14</x:v>
      </x:c>
      <x:c r="C20" t="str">
        <x:v>HEADLINE</x:v>
      </x:c>
      <x:c r="D20" t="str">
        <x:v>workforce</x:v>
      </x:c>
      <x:c r="E20" t="n">
        <x:f>Workforce!D18</x:f>
        <x:v>462</x:v>
      </x:c>
      <x:c r="F20" t="n">
        <x:v>462</x:v>
      </x:c>
      <x:c r="G20" t="str">
        <x:v>equals</x:v>
      </x:c>
      <x:c r="H20" t="str">
        <x:f>IF(ABS(E20-F20)&lt;0.01,"PASS","FAIL")</x:f>
        <x:v>PASS</x:v>
      </x:c>
    </x:row>
    <x:row r="21">
      <x:c r="B21" t="str">
        <x:v>H15</x:v>
      </x:c>
      <x:c r="C21" t="str">
        <x:v>HEADLINE</x:v>
      </x:c>
      <x:c r="D21" t="str">
        <x:v>capital</x:v>
      </x:c>
      <x:c r="E21" t="n">
        <x:f>Capital!F18</x:f>
        <x:v>1080</x:v>
      </x:c>
      <x:c r="F21" t="n">
        <x:v>1080</x:v>
      </x:c>
      <x:c r="G21" t="str">
        <x:v>equals</x:v>
      </x:c>
      <x:c r="H21" t="str">
        <x:f>IF(ABS(E21-F21)&lt;0.01,"PASS","FAIL")</x:f>
        <x:v>PASS</x:v>
      </x:c>
    </x:row>
    <x:row r="22">
      <x:c r="B22" t="str">
        <x:v>H16</x:v>
      </x:c>
      <x:c r="C22" t="str">
        <x:v>HEADLINE</x:v>
      </x:c>
      <x:c r="D22" t="str">
        <x:v>annual support</x:v>
      </x:c>
      <x:c r="E22" t="n">
        <x:f>'Annual Support'!F16</x:f>
        <x:v>178</x:v>
      </x:c>
      <x:c r="F22" t="n">
        <x:v>178</x:v>
      </x:c>
      <x:c r="G22" t="str">
        <x:v>equals</x:v>
      </x:c>
      <x:c r="H22" t="str">
        <x:f>IF(ABS(E22-F22)&lt;0.01,"PASS","FAIL")</x:f>
        <x:v>PASS</x:v>
      </x:c>
    </x:row>
    <x:row r="23">
      <x:c r="B23" t="str">
        <x:v>H17</x:v>
      </x:c>
      <x:c r="C23" t="str">
        <x:v>HEADLINE</x:v>
      </x:c>
      <x:c r="D23" t="str">
        <x:v>program exposure</x:v>
      </x:c>
      <x:c r="E23" t="n">
        <x:f>'Portfolio Boundary'!C19</x:f>
        <x:v>1703</x:v>
      </x:c>
      <x:c r="F23" t="n">
        <x:v>1703</x:v>
      </x:c>
      <x:c r="G23" t="str">
        <x:v>equals</x:v>
      </x:c>
      <x:c r="H23" t="str">
        <x:f>IF(ABS(E23-F23)&lt;0.01,"PASS","FAIL")</x:f>
        <x:v>PASS</x:v>
      </x:c>
    </x:row>
    <x:row r="24">
      <x:c r="B24" t="str">
        <x:v>H18</x:v>
      </x:c>
      <x:c r="C24" t="str">
        <x:v>HEADLINE</x:v>
      </x:c>
      <x:c r="D24" t="str">
        <x:v>net-new capital</x:v>
      </x:c>
      <x:c r="E24" t="n">
        <x:f>'Portfolio Boundary'!C13</x:f>
        <x:v>760</x:v>
      </x:c>
      <x:c r="F24" t="n">
        <x:v>760</x:v>
      </x:c>
      <x:c r="G24" t="str">
        <x:v>equals</x:v>
      </x:c>
      <x:c r="H24" t="str">
        <x:f>IF(ABS(E24-F24)&lt;0.01,"PASS","FAIL")</x:f>
        <x:v>PASS</x:v>
      </x:c>
    </x:row>
    <x:row r="25">
      <x:c r="B25" t="str">
        <x:v>H19</x:v>
      </x:c>
      <x:c r="C25" t="str">
        <x:v>HEADLINE</x:v>
      </x:c>
      <x:c r="D25" t="str">
        <x:v>net-new annual</x:v>
      </x:c>
      <x:c r="E25" t="n">
        <x:f>'Portfolio Boundary'!D13</x:f>
        <x:v>68</x:v>
      </x:c>
      <x:c r="F25" t="n">
        <x:v>68</x:v>
      </x:c>
      <x:c r="G25" t="str">
        <x:v>equals</x:v>
      </x:c>
      <x:c r="H25" t="str">
        <x:f>IF(ABS(E25-F25)&lt;0.01,"PASS","FAIL")</x:f>
        <x:v>PASS</x:v>
      </x:c>
    </x:row>
    <x:row r="26">
      <x:c r="B26" t="str">
        <x:v>H20</x:v>
      </x:c>
      <x:c r="C26" t="str">
        <x:v>HEADLINE</x:v>
      </x:c>
      <x:c r="D26" t="str">
        <x:v>BRD-9R capital</x:v>
      </x:c>
      <x:c r="E26" t="n">
        <x:f>'Portfolio Boundary'!C16</x:f>
        <x:v>2195</x:v>
      </x:c>
      <x:c r="F26" t="n">
        <x:v>2195</x:v>
      </x:c>
      <x:c r="G26" t="str">
        <x:v>equals</x:v>
      </x:c>
      <x:c r="H26" t="str">
        <x:f>IF(ABS(E26-F26)&lt;0.01,"PASS","FAIL")</x:f>
        <x:v>PASS</x:v>
      </x:c>
    </x:row>
    <x:row r="27">
      <x:c r="B27" t="str">
        <x:v>H21</x:v>
      </x:c>
      <x:c r="C27" t="str">
        <x:v>HEADLINE</x:v>
      </x:c>
      <x:c r="D27" t="str">
        <x:v>BRD-9R annual</x:v>
      </x:c>
      <x:c r="E27" t="n">
        <x:f>'Portfolio Boundary'!D16</x:f>
        <x:v>372</x:v>
      </x:c>
      <x:c r="F27" t="n">
        <x:v>372</x:v>
      </x:c>
      <x:c r="G27" t="str">
        <x:v>equals</x:v>
      </x:c>
      <x:c r="H27" t="str">
        <x:f>IF(ABS(E27-F27)&lt;0.01,"PASS","FAIL")</x:f>
        <x:v>PASS</x:v>
      </x:c>
    </x:row>
    <x:row r="28">
      <x:c r="B28" t="str">
        <x:v>H22</x:v>
      </x:c>
      <x:c r="C28" t="str">
        <x:v>HEADLINE</x:v>
      </x:c>
      <x:c r="D28" t="str">
        <x:v>planning gates</x:v>
      </x:c>
      <x:c r="E28" t="n">
        <x:f>COUNTIF('Release Gates'!C7:C1660,"PLANNING")</x:f>
        <x:v>521</x:v>
      </x:c>
      <x:c r="F28" t="n">
        <x:v>521</x:v>
      </x:c>
      <x:c r="G28" t="str">
        <x:v>equals</x:v>
      </x:c>
      <x:c r="H28" t="str">
        <x:f>IF(ABS(E28-F28)&lt;0.01,"PASS","FAIL")</x:f>
        <x:v>PASS</x:v>
      </x:c>
    </x:row>
    <x:row r="29">
      <x:c r="B29" t="str">
        <x:v>H23</x:v>
      </x:c>
      <x:c r="C29" t="str">
        <x:v>HEADLINE</x:v>
      </x:c>
      <x:c r="D29" t="str">
        <x:v>physical gates</x:v>
      </x:c>
      <x:c r="E29" t="n">
        <x:f>COUNTIF('Release Gates'!C7:C1660,"PHYSICAL")</x:f>
        <x:v>1124</x:v>
      </x:c>
      <x:c r="F29" t="n">
        <x:v>1124</x:v>
      </x:c>
      <x:c r="G29" t="str">
        <x:v>equals</x:v>
      </x:c>
      <x:c r="H29" t="str">
        <x:f>IF(ABS(E29-F29)&lt;0.01,"PASS","FAIL")</x:f>
        <x:v>PASS</x:v>
      </x:c>
    </x:row>
    <x:row r="30">
      <x:c r="B30" t="str">
        <x:v>H24</x:v>
      </x:c>
      <x:c r="C30" t="str">
        <x:v>HEADLINE</x:v>
      </x:c>
      <x:c r="D30" t="str">
        <x:v>downstream gates</x:v>
      </x:c>
      <x:c r="E30" t="n">
        <x:f>COUNTIF('Release Gates'!C7:C1660,"DOWNSTREAM")</x:f>
        <x:v>9</x:v>
      </x:c>
      <x:c r="F30" t="n">
        <x:v>9</x:v>
      </x:c>
      <x:c r="G30" t="str">
        <x:v>equals</x:v>
      </x:c>
      <x:c r="H30" t="str">
        <x:f>IF(ABS(E30-F30)&lt;0.01,"PASS","FAIL")</x:f>
        <x:v>PASS</x:v>
      </x:c>
    </x:row>
    <x:row r="31">
      <x:c r="B31" t="str">
        <x:v>A-0001</x:v>
      </x:c>
      <x:c r="C31" t="str">
        <x:v>GATE</x:v>
      </x:c>
      <x:c r="D31" t="str">
        <x:v>release ledger mirrors governing state</x:v>
      </x:c>
      <x:c r="E31" t="str">
        <x:f>'Release Gates'!J7</x:f>
        <x:v>PASS</x:v>
      </x:c>
      <x:c r="F31" t="str">
        <x:f>IF('Release Gates'!C7="PLANNING","PASS",IF('Release Gates'!C7="PHYSICAL","OPEN","BLOCKED"))</x:f>
        <x:v>PASS</x:v>
      </x:c>
      <x:c r="G31" t="str">
        <x:v>equals</x:v>
      </x:c>
      <x:c r="H31" t="str">
        <x:f>IF(E31=F31,"PASS","FAIL")</x:f>
        <x:v>PASS</x:v>
      </x:c>
    </x:row>
    <x:row r="32">
      <x:c r="B32" t="str">
        <x:v>A-0002</x:v>
      </x:c>
      <x:c r="C32" t="str">
        <x:v>GATE</x:v>
      </x:c>
      <x:c r="D32" t="str">
        <x:v>release ledger mirrors governing state</x:v>
      </x:c>
      <x:c r="E32" t="str">
        <x:f>'Release Gates'!J8</x:f>
        <x:v>PASS</x:v>
      </x:c>
      <x:c r="F32" t="str">
        <x:f>IF('Release Gates'!C8="PLANNING","PASS",IF('Release Gates'!C8="PHYSICAL","OPEN","BLOCKED"))</x:f>
        <x:v>PASS</x:v>
      </x:c>
      <x:c r="G32" t="str">
        <x:v>equals</x:v>
      </x:c>
      <x:c r="H32" t="str">
        <x:f>IF(E32=F32,"PASS","FAIL")</x:f>
        <x:v>PASS</x:v>
      </x:c>
    </x:row>
    <x:row r="33">
      <x:c r="B33" t="str">
        <x:v>A-0003</x:v>
      </x:c>
      <x:c r="C33" t="str">
        <x:v>GATE</x:v>
      </x:c>
      <x:c r="D33" t="str">
        <x:v>release ledger mirrors governing state</x:v>
      </x:c>
      <x:c r="E33" t="str">
        <x:f>'Release Gates'!J9</x:f>
        <x:v>PASS</x:v>
      </x:c>
      <x:c r="F33" t="str">
        <x:f>IF('Release Gates'!C9="PLANNING","PASS",IF('Release Gates'!C9="PHYSICAL","OPEN","BLOCKED"))</x:f>
        <x:v>PASS</x:v>
      </x:c>
      <x:c r="G33" t="str">
        <x:v>equals</x:v>
      </x:c>
      <x:c r="H33" t="str">
        <x:f>IF(E33=F33,"PASS","FAIL")</x:f>
        <x:v>PASS</x:v>
      </x:c>
    </x:row>
    <x:row r="34">
      <x:c r="B34" t="str">
        <x:v>A-0004</x:v>
      </x:c>
      <x:c r="C34" t="str">
        <x:v>GATE</x:v>
      </x:c>
      <x:c r="D34" t="str">
        <x:v>release ledger mirrors governing state</x:v>
      </x:c>
      <x:c r="E34" t="str">
        <x:f>'Release Gates'!J10</x:f>
        <x:v>PASS</x:v>
      </x:c>
      <x:c r="F34" t="str">
        <x:f>IF('Release Gates'!C10="PLANNING","PASS",IF('Release Gates'!C10="PHYSICAL","OPEN","BLOCKED"))</x:f>
        <x:v>PASS</x:v>
      </x:c>
      <x:c r="G34" t="str">
        <x:v>equals</x:v>
      </x:c>
      <x:c r="H34" t="str">
        <x:f>IF(E34=F34,"PASS","FAIL")</x:f>
        <x:v>PASS</x:v>
      </x:c>
    </x:row>
    <x:row r="35">
      <x:c r="B35" t="str">
        <x:v>A-0005</x:v>
      </x:c>
      <x:c r="C35" t="str">
        <x:v>GATE</x:v>
      </x:c>
      <x:c r="D35" t="str">
        <x:v>release ledger mirrors governing state</x:v>
      </x:c>
      <x:c r="E35" t="str">
        <x:f>'Release Gates'!J11</x:f>
        <x:v>PASS</x:v>
      </x:c>
      <x:c r="F35" t="str">
        <x:f>IF('Release Gates'!C11="PLANNING","PASS",IF('Release Gates'!C11="PHYSICAL","OPEN","BLOCKED"))</x:f>
        <x:v>PASS</x:v>
      </x:c>
      <x:c r="G35" t="str">
        <x:v>equals</x:v>
      </x:c>
      <x:c r="H35" t="str">
        <x:f>IF(E35=F35,"PASS","FAIL")</x:f>
        <x:v>PASS</x:v>
      </x:c>
    </x:row>
    <x:row r="36">
      <x:c r="B36" t="str">
        <x:v>A-0006</x:v>
      </x:c>
      <x:c r="C36" t="str">
        <x:v>GATE</x:v>
      </x:c>
      <x:c r="D36" t="str">
        <x:v>release ledger mirrors governing state</x:v>
      </x:c>
      <x:c r="E36" t="str">
        <x:f>'Release Gates'!J12</x:f>
        <x:v>PASS</x:v>
      </x:c>
      <x:c r="F36" t="str">
        <x:f>IF('Release Gates'!C12="PLANNING","PASS",IF('Release Gates'!C12="PHYSICAL","OPEN","BLOCKED"))</x:f>
        <x:v>PASS</x:v>
      </x:c>
      <x:c r="G36" t="str">
        <x:v>equals</x:v>
      </x:c>
      <x:c r="H36" t="str">
        <x:f>IF(E36=F36,"PASS","FAIL")</x:f>
        <x:v>PASS</x:v>
      </x:c>
    </x:row>
    <x:row r="37">
      <x:c r="B37" t="str">
        <x:v>A-0007</x:v>
      </x:c>
      <x:c r="C37" t="str">
        <x:v>GATE</x:v>
      </x:c>
      <x:c r="D37" t="str">
        <x:v>release ledger mirrors governing state</x:v>
      </x:c>
      <x:c r="E37" t="str">
        <x:f>'Release Gates'!J13</x:f>
        <x:v>PASS</x:v>
      </x:c>
      <x:c r="F37" t="str">
        <x:f>IF('Release Gates'!C13="PLANNING","PASS",IF('Release Gates'!C13="PHYSICAL","OPEN","BLOCKED"))</x:f>
        <x:v>PASS</x:v>
      </x:c>
      <x:c r="G37" t="str">
        <x:v>equals</x:v>
      </x:c>
      <x:c r="H37" t="str">
        <x:f>IF(E37=F37,"PASS","FAIL")</x:f>
        <x:v>PASS</x:v>
      </x:c>
    </x:row>
    <x:row r="38">
      <x:c r="B38" t="str">
        <x:v>A-0008</x:v>
      </x:c>
      <x:c r="C38" t="str">
        <x:v>GATE</x:v>
      </x:c>
      <x:c r="D38" t="str">
        <x:v>release ledger mirrors governing state</x:v>
      </x:c>
      <x:c r="E38" t="str">
        <x:f>'Release Gates'!J14</x:f>
        <x:v>PASS</x:v>
      </x:c>
      <x:c r="F38" t="str">
        <x:f>IF('Release Gates'!C14="PLANNING","PASS",IF('Release Gates'!C14="PHYSICAL","OPEN","BLOCKED"))</x:f>
        <x:v>PASS</x:v>
      </x:c>
      <x:c r="G38" t="str">
        <x:v>equals</x:v>
      </x:c>
      <x:c r="H38" t="str">
        <x:f>IF(E38=F38,"PASS","FAIL")</x:f>
        <x:v>PASS</x:v>
      </x:c>
    </x:row>
    <x:row r="39">
      <x:c r="B39" t="str">
        <x:v>A-0009</x:v>
      </x:c>
      <x:c r="C39" t="str">
        <x:v>GATE</x:v>
      </x:c>
      <x:c r="D39" t="str">
        <x:v>release ledger mirrors governing state</x:v>
      </x:c>
      <x:c r="E39" t="str">
        <x:f>'Release Gates'!J15</x:f>
        <x:v>PASS</x:v>
      </x:c>
      <x:c r="F39" t="str">
        <x:f>IF('Release Gates'!C15="PLANNING","PASS",IF('Release Gates'!C15="PHYSICAL","OPEN","BLOCKED"))</x:f>
        <x:v>PASS</x:v>
      </x:c>
      <x:c r="G39" t="str">
        <x:v>equals</x:v>
      </x:c>
      <x:c r="H39" t="str">
        <x:f>IF(E39=F39,"PASS","FAIL")</x:f>
        <x:v>PASS</x:v>
      </x:c>
    </x:row>
    <x:row r="40">
      <x:c r="B40" t="str">
        <x:v>A-0010</x:v>
      </x:c>
      <x:c r="C40" t="str">
        <x:v>GATE</x:v>
      </x:c>
      <x:c r="D40" t="str">
        <x:v>release ledger mirrors governing state</x:v>
      </x:c>
      <x:c r="E40" t="str">
        <x:f>'Release Gates'!J16</x:f>
        <x:v>PASS</x:v>
      </x:c>
      <x:c r="F40" t="str">
        <x:f>IF('Release Gates'!C16="PLANNING","PASS",IF('Release Gates'!C16="PHYSICAL","OPEN","BLOCKED"))</x:f>
        <x:v>PASS</x:v>
      </x:c>
      <x:c r="G40" t="str">
        <x:v>equals</x:v>
      </x:c>
      <x:c r="H40" t="str">
        <x:f>IF(E40=F40,"PASS","FAIL")</x:f>
        <x:v>PASS</x:v>
      </x:c>
    </x:row>
    <x:row r="41">
      <x:c r="B41" t="str">
        <x:v>A-0011</x:v>
      </x:c>
      <x:c r="C41" t="str">
        <x:v>GATE</x:v>
      </x:c>
      <x:c r="D41" t="str">
        <x:v>release ledger mirrors governing state</x:v>
      </x:c>
      <x:c r="E41" t="str">
        <x:f>'Release Gates'!J17</x:f>
        <x:v>PASS</x:v>
      </x:c>
      <x:c r="F41" t="str">
        <x:f>IF('Release Gates'!C17="PLANNING","PASS",IF('Release Gates'!C17="PHYSICAL","OPEN","BLOCKED"))</x:f>
        <x:v>PASS</x:v>
      </x:c>
      <x:c r="G41" t="str">
        <x:v>equals</x:v>
      </x:c>
      <x:c r="H41" t="str">
        <x:f>IF(E41=F41,"PASS","FAIL")</x:f>
        <x:v>PASS</x:v>
      </x:c>
    </x:row>
    <x:row r="42">
      <x:c r="B42" t="str">
        <x:v>A-0012</x:v>
      </x:c>
      <x:c r="C42" t="str">
        <x:v>GATE</x:v>
      </x:c>
      <x:c r="D42" t="str">
        <x:v>release ledger mirrors governing state</x:v>
      </x:c>
      <x:c r="E42" t="str">
        <x:f>'Release Gates'!J18</x:f>
        <x:v>PASS</x:v>
      </x:c>
      <x:c r="F42" t="str">
        <x:f>IF('Release Gates'!C18="PLANNING","PASS",IF('Release Gates'!C18="PHYSICAL","OPEN","BLOCKED"))</x:f>
        <x:v>PASS</x:v>
      </x:c>
      <x:c r="G42" t="str">
        <x:v>equals</x:v>
      </x:c>
      <x:c r="H42" t="str">
        <x:f>IF(E42=F42,"PASS","FAIL")</x:f>
        <x:v>PASS</x:v>
      </x:c>
    </x:row>
    <x:row r="43">
      <x:c r="B43" t="str">
        <x:v>A-0013</x:v>
      </x:c>
      <x:c r="C43" t="str">
        <x:v>GATE</x:v>
      </x:c>
      <x:c r="D43" t="str">
        <x:v>release ledger mirrors governing state</x:v>
      </x:c>
      <x:c r="E43" t="str">
        <x:f>'Release Gates'!J19</x:f>
        <x:v>PASS</x:v>
      </x:c>
      <x:c r="F43" t="str">
        <x:f>IF('Release Gates'!C19="PLANNING","PASS",IF('Release Gates'!C19="PHYSICAL","OPEN","BLOCKED"))</x:f>
        <x:v>PASS</x:v>
      </x:c>
      <x:c r="G43" t="str">
        <x:v>equals</x:v>
      </x:c>
      <x:c r="H43" t="str">
        <x:f>IF(E43=F43,"PASS","FAIL")</x:f>
        <x:v>PASS</x:v>
      </x:c>
    </x:row>
    <x:row r="44">
      <x:c r="B44" t="str">
        <x:v>A-0014</x:v>
      </x:c>
      <x:c r="C44" t="str">
        <x:v>GATE</x:v>
      </x:c>
      <x:c r="D44" t="str">
        <x:v>release ledger mirrors governing state</x:v>
      </x:c>
      <x:c r="E44" t="str">
        <x:f>'Release Gates'!J20</x:f>
        <x:v>PASS</x:v>
      </x:c>
      <x:c r="F44" t="str">
        <x:f>IF('Release Gates'!C20="PLANNING","PASS",IF('Release Gates'!C20="PHYSICAL","OPEN","BLOCKED"))</x:f>
        <x:v>PASS</x:v>
      </x:c>
      <x:c r="G44" t="str">
        <x:v>equals</x:v>
      </x:c>
      <x:c r="H44" t="str">
        <x:f>IF(E44=F44,"PASS","FAIL")</x:f>
        <x:v>PASS</x:v>
      </x:c>
    </x:row>
    <x:row r="45">
      <x:c r="B45" t="str">
        <x:v>A-0015</x:v>
      </x:c>
      <x:c r="C45" t="str">
        <x:v>GATE</x:v>
      </x:c>
      <x:c r="D45" t="str">
        <x:v>release ledger mirrors governing state</x:v>
      </x:c>
      <x:c r="E45" t="str">
        <x:f>'Release Gates'!J21</x:f>
        <x:v>PASS</x:v>
      </x:c>
      <x:c r="F45" t="str">
        <x:f>IF('Release Gates'!C21="PLANNING","PASS",IF('Release Gates'!C21="PHYSICAL","OPEN","BLOCKED"))</x:f>
        <x:v>PASS</x:v>
      </x:c>
      <x:c r="G45" t="str">
        <x:v>equals</x:v>
      </x:c>
      <x:c r="H45" t="str">
        <x:f>IF(E45=F45,"PASS","FAIL")</x:f>
        <x:v>PASS</x:v>
      </x:c>
    </x:row>
    <x:row r="46">
      <x:c r="B46" t="str">
        <x:v>A-0016</x:v>
      </x:c>
      <x:c r="C46" t="str">
        <x:v>GATE</x:v>
      </x:c>
      <x:c r="D46" t="str">
        <x:v>release ledger mirrors governing state</x:v>
      </x:c>
      <x:c r="E46" t="str">
        <x:f>'Release Gates'!J22</x:f>
        <x:v>PASS</x:v>
      </x:c>
      <x:c r="F46" t="str">
        <x:f>IF('Release Gates'!C22="PLANNING","PASS",IF('Release Gates'!C22="PHYSICAL","OPEN","BLOCKED"))</x:f>
        <x:v>PASS</x:v>
      </x:c>
      <x:c r="G46" t="str">
        <x:v>equals</x:v>
      </x:c>
      <x:c r="H46" t="str">
        <x:f>IF(E46=F46,"PASS","FAIL")</x:f>
        <x:v>PASS</x:v>
      </x:c>
    </x:row>
    <x:row r="47">
      <x:c r="B47" t="str">
        <x:v>A-0017</x:v>
      </x:c>
      <x:c r="C47" t="str">
        <x:v>GATE</x:v>
      </x:c>
      <x:c r="D47" t="str">
        <x:v>release ledger mirrors governing state</x:v>
      </x:c>
      <x:c r="E47" t="str">
        <x:f>'Release Gates'!J23</x:f>
        <x:v>PASS</x:v>
      </x:c>
      <x:c r="F47" t="str">
        <x:f>IF('Release Gates'!C23="PLANNING","PASS",IF('Release Gates'!C23="PHYSICAL","OPEN","BLOCKED"))</x:f>
        <x:v>PASS</x:v>
      </x:c>
      <x:c r="G47" t="str">
        <x:v>equals</x:v>
      </x:c>
      <x:c r="H47" t="str">
        <x:f>IF(E47=F47,"PASS","FAIL")</x:f>
        <x:v>PASS</x:v>
      </x:c>
    </x:row>
    <x:row r="48">
      <x:c r="B48" t="str">
        <x:v>A-0018</x:v>
      </x:c>
      <x:c r="C48" t="str">
        <x:v>GATE</x:v>
      </x:c>
      <x:c r="D48" t="str">
        <x:v>release ledger mirrors governing state</x:v>
      </x:c>
      <x:c r="E48" t="str">
        <x:f>'Release Gates'!J24</x:f>
        <x:v>PASS</x:v>
      </x:c>
      <x:c r="F48" t="str">
        <x:f>IF('Release Gates'!C24="PLANNING","PASS",IF('Release Gates'!C24="PHYSICAL","OPEN","BLOCKED"))</x:f>
        <x:v>PASS</x:v>
      </x:c>
      <x:c r="G48" t="str">
        <x:v>equals</x:v>
      </x:c>
      <x:c r="H48" t="str">
        <x:f>IF(E48=F48,"PASS","FAIL")</x:f>
        <x:v>PASS</x:v>
      </x:c>
    </x:row>
    <x:row r="49">
      <x:c r="B49" t="str">
        <x:v>A-0019</x:v>
      </x:c>
      <x:c r="C49" t="str">
        <x:v>GATE</x:v>
      </x:c>
      <x:c r="D49" t="str">
        <x:v>release ledger mirrors governing state</x:v>
      </x:c>
      <x:c r="E49" t="str">
        <x:f>'Release Gates'!J25</x:f>
        <x:v>PASS</x:v>
      </x:c>
      <x:c r="F49" t="str">
        <x:f>IF('Release Gates'!C25="PLANNING","PASS",IF('Release Gates'!C25="PHYSICAL","OPEN","BLOCKED"))</x:f>
        <x:v>PASS</x:v>
      </x:c>
      <x:c r="G49" t="str">
        <x:v>equals</x:v>
      </x:c>
      <x:c r="H49" t="str">
        <x:f>IF(E49=F49,"PASS","FAIL")</x:f>
        <x:v>PASS</x:v>
      </x:c>
    </x:row>
    <x:row r="50">
      <x:c r="B50" t="str">
        <x:v>A-0020</x:v>
      </x:c>
      <x:c r="C50" t="str">
        <x:v>GATE</x:v>
      </x:c>
      <x:c r="D50" t="str">
        <x:v>release ledger mirrors governing state</x:v>
      </x:c>
      <x:c r="E50" t="str">
        <x:f>'Release Gates'!J26</x:f>
        <x:v>PASS</x:v>
      </x:c>
      <x:c r="F50" t="str">
        <x:f>IF('Release Gates'!C26="PLANNING","PASS",IF('Release Gates'!C26="PHYSICAL","OPEN","BLOCKED"))</x:f>
        <x:v>PASS</x:v>
      </x:c>
      <x:c r="G50" t="str">
        <x:v>equals</x:v>
      </x:c>
      <x:c r="H50" t="str">
        <x:f>IF(E50=F50,"PASS","FAIL")</x:f>
        <x:v>PASS</x:v>
      </x:c>
    </x:row>
    <x:row r="51">
      <x:c r="B51" t="str">
        <x:v>A-0021</x:v>
      </x:c>
      <x:c r="C51" t="str">
        <x:v>GATE</x:v>
      </x:c>
      <x:c r="D51" t="str">
        <x:v>release ledger mirrors governing state</x:v>
      </x:c>
      <x:c r="E51" t="str">
        <x:f>'Release Gates'!J27</x:f>
        <x:v>PASS</x:v>
      </x:c>
      <x:c r="F51" t="str">
        <x:f>IF('Release Gates'!C27="PLANNING","PASS",IF('Release Gates'!C27="PHYSICAL","OPEN","BLOCKED"))</x:f>
        <x:v>PASS</x:v>
      </x:c>
      <x:c r="G51" t="str">
        <x:v>equals</x:v>
      </x:c>
      <x:c r="H51" t="str">
        <x:f>IF(E51=F51,"PASS","FAIL")</x:f>
        <x:v>PASS</x:v>
      </x:c>
    </x:row>
    <x:row r="52">
      <x:c r="B52" t="str">
        <x:v>A-0022</x:v>
      </x:c>
      <x:c r="C52" t="str">
        <x:v>GATE</x:v>
      </x:c>
      <x:c r="D52" t="str">
        <x:v>release ledger mirrors governing state</x:v>
      </x:c>
      <x:c r="E52" t="str">
        <x:f>'Release Gates'!J28</x:f>
        <x:v>PASS</x:v>
      </x:c>
      <x:c r="F52" t="str">
        <x:f>IF('Release Gates'!C28="PLANNING","PASS",IF('Release Gates'!C28="PHYSICAL","OPEN","BLOCKED"))</x:f>
        <x:v>PASS</x:v>
      </x:c>
      <x:c r="G52" t="str">
        <x:v>equals</x:v>
      </x:c>
      <x:c r="H52" t="str">
        <x:f>IF(E52=F52,"PASS","FAIL")</x:f>
        <x:v>PASS</x:v>
      </x:c>
    </x:row>
    <x:row r="53">
      <x:c r="B53" t="str">
        <x:v>A-0023</x:v>
      </x:c>
      <x:c r="C53" t="str">
        <x:v>GATE</x:v>
      </x:c>
      <x:c r="D53" t="str">
        <x:v>release ledger mirrors governing state</x:v>
      </x:c>
      <x:c r="E53" t="str">
        <x:f>'Release Gates'!J29</x:f>
        <x:v>PASS</x:v>
      </x:c>
      <x:c r="F53" t="str">
        <x:f>IF('Release Gates'!C29="PLANNING","PASS",IF('Release Gates'!C29="PHYSICAL","OPEN","BLOCKED"))</x:f>
        <x:v>PASS</x:v>
      </x:c>
      <x:c r="G53" t="str">
        <x:v>equals</x:v>
      </x:c>
      <x:c r="H53" t="str">
        <x:f>IF(E53=F53,"PASS","FAIL")</x:f>
        <x:v>PASS</x:v>
      </x:c>
    </x:row>
    <x:row r="54">
      <x:c r="B54" t="str">
        <x:v>A-0024</x:v>
      </x:c>
      <x:c r="C54" t="str">
        <x:v>GATE</x:v>
      </x:c>
      <x:c r="D54" t="str">
        <x:v>release ledger mirrors governing state</x:v>
      </x:c>
      <x:c r="E54" t="str">
        <x:f>'Release Gates'!J30</x:f>
        <x:v>PASS</x:v>
      </x:c>
      <x:c r="F54" t="str">
        <x:f>IF('Release Gates'!C30="PLANNING","PASS",IF('Release Gates'!C30="PHYSICAL","OPEN","BLOCKED"))</x:f>
        <x:v>PASS</x:v>
      </x:c>
      <x:c r="G54" t="str">
        <x:v>equals</x:v>
      </x:c>
      <x:c r="H54" t="str">
        <x:f>IF(E54=F54,"PASS","FAIL")</x:f>
        <x:v>PASS</x:v>
      </x:c>
    </x:row>
    <x:row r="55">
      <x:c r="B55" t="str">
        <x:v>A-0025</x:v>
      </x:c>
      <x:c r="C55" t="str">
        <x:v>GATE</x:v>
      </x:c>
      <x:c r="D55" t="str">
        <x:v>release ledger mirrors governing state</x:v>
      </x:c>
      <x:c r="E55" t="str">
        <x:f>'Release Gates'!J31</x:f>
        <x:v>PASS</x:v>
      </x:c>
      <x:c r="F55" t="str">
        <x:f>IF('Release Gates'!C31="PLANNING","PASS",IF('Release Gates'!C31="PHYSICAL","OPEN","BLOCKED"))</x:f>
        <x:v>PASS</x:v>
      </x:c>
      <x:c r="G55" t="str">
        <x:v>equals</x:v>
      </x:c>
      <x:c r="H55" t="str">
        <x:f>IF(E55=F55,"PASS","FAIL")</x:f>
        <x:v>PASS</x:v>
      </x:c>
    </x:row>
    <x:row r="56">
      <x:c r="B56" t="str">
        <x:v>A-0026</x:v>
      </x:c>
      <x:c r="C56" t="str">
        <x:v>GATE</x:v>
      </x:c>
      <x:c r="D56" t="str">
        <x:v>release ledger mirrors governing state</x:v>
      </x:c>
      <x:c r="E56" t="str">
        <x:f>'Release Gates'!J32</x:f>
        <x:v>PASS</x:v>
      </x:c>
      <x:c r="F56" t="str">
        <x:f>IF('Release Gates'!C32="PLANNING","PASS",IF('Release Gates'!C32="PHYSICAL","OPEN","BLOCKED"))</x:f>
        <x:v>PASS</x:v>
      </x:c>
      <x:c r="G56" t="str">
        <x:v>equals</x:v>
      </x:c>
      <x:c r="H56" t="str">
        <x:f>IF(E56=F56,"PASS","FAIL")</x:f>
        <x:v>PASS</x:v>
      </x:c>
    </x:row>
    <x:row r="57">
      <x:c r="B57" t="str">
        <x:v>A-0027</x:v>
      </x:c>
      <x:c r="C57" t="str">
        <x:v>GATE</x:v>
      </x:c>
      <x:c r="D57" t="str">
        <x:v>release ledger mirrors governing state</x:v>
      </x:c>
      <x:c r="E57" t="str">
        <x:f>'Release Gates'!J33</x:f>
        <x:v>PASS</x:v>
      </x:c>
      <x:c r="F57" t="str">
        <x:f>IF('Release Gates'!C33="PLANNING","PASS",IF('Release Gates'!C33="PHYSICAL","OPEN","BLOCKED"))</x:f>
        <x:v>PASS</x:v>
      </x:c>
      <x:c r="G57" t="str">
        <x:v>equals</x:v>
      </x:c>
      <x:c r="H57" t="str">
        <x:f>IF(E57=F57,"PASS","FAIL")</x:f>
        <x:v>PASS</x:v>
      </x:c>
    </x:row>
    <x:row r="58">
      <x:c r="B58" t="str">
        <x:v>A-0028</x:v>
      </x:c>
      <x:c r="C58" t="str">
        <x:v>GATE</x:v>
      </x:c>
      <x:c r="D58" t="str">
        <x:v>release ledger mirrors governing state</x:v>
      </x:c>
      <x:c r="E58" t="str">
        <x:f>'Release Gates'!J34</x:f>
        <x:v>PASS</x:v>
      </x:c>
      <x:c r="F58" t="str">
        <x:f>IF('Release Gates'!C34="PLANNING","PASS",IF('Release Gates'!C34="PHYSICAL","OPEN","BLOCKED"))</x:f>
        <x:v>PASS</x:v>
      </x:c>
      <x:c r="G58" t="str">
        <x:v>equals</x:v>
      </x:c>
      <x:c r="H58" t="str">
        <x:f>IF(E58=F58,"PASS","FAIL")</x:f>
        <x:v>PASS</x:v>
      </x:c>
    </x:row>
    <x:row r="59">
      <x:c r="B59" t="str">
        <x:v>A-0029</x:v>
      </x:c>
      <x:c r="C59" t="str">
        <x:v>GATE</x:v>
      </x:c>
      <x:c r="D59" t="str">
        <x:v>release ledger mirrors governing state</x:v>
      </x:c>
      <x:c r="E59" t="str">
        <x:f>'Release Gates'!J35</x:f>
        <x:v>PASS</x:v>
      </x:c>
      <x:c r="F59" t="str">
        <x:f>IF('Release Gates'!C35="PLANNING","PASS",IF('Release Gates'!C35="PHYSICAL","OPEN","BLOCKED"))</x:f>
        <x:v>PASS</x:v>
      </x:c>
      <x:c r="G59" t="str">
        <x:v>equals</x:v>
      </x:c>
      <x:c r="H59" t="str">
        <x:f>IF(E59=F59,"PASS","FAIL")</x:f>
        <x:v>PASS</x:v>
      </x:c>
    </x:row>
    <x:row r="60">
      <x:c r="B60" t="str">
        <x:v>A-0030</x:v>
      </x:c>
      <x:c r="C60" t="str">
        <x:v>GATE</x:v>
      </x:c>
      <x:c r="D60" t="str">
        <x:v>release ledger mirrors governing state</x:v>
      </x:c>
      <x:c r="E60" t="str">
        <x:f>'Release Gates'!J36</x:f>
        <x:v>PASS</x:v>
      </x:c>
      <x:c r="F60" t="str">
        <x:f>IF('Release Gates'!C36="PLANNING","PASS",IF('Release Gates'!C36="PHYSICAL","OPEN","BLOCKED"))</x:f>
        <x:v>PASS</x:v>
      </x:c>
      <x:c r="G60" t="str">
        <x:v>equals</x:v>
      </x:c>
      <x:c r="H60" t="str">
        <x:f>IF(E60=F60,"PASS","FAIL")</x:f>
        <x:v>PASS</x:v>
      </x:c>
    </x:row>
    <x:row r="61">
      <x:c r="B61" t="str">
        <x:v>A-0031</x:v>
      </x:c>
      <x:c r="C61" t="str">
        <x:v>GATE</x:v>
      </x:c>
      <x:c r="D61" t="str">
        <x:v>release ledger mirrors governing state</x:v>
      </x:c>
      <x:c r="E61" t="str">
        <x:f>'Release Gates'!J37</x:f>
        <x:v>PASS</x:v>
      </x:c>
      <x:c r="F61" t="str">
        <x:f>IF('Release Gates'!C37="PLANNING","PASS",IF('Release Gates'!C37="PHYSICAL","OPEN","BLOCKED"))</x:f>
        <x:v>PASS</x:v>
      </x:c>
      <x:c r="G61" t="str">
        <x:v>equals</x:v>
      </x:c>
      <x:c r="H61" t="str">
        <x:f>IF(E61=F61,"PASS","FAIL")</x:f>
        <x:v>PASS</x:v>
      </x:c>
    </x:row>
    <x:row r="62">
      <x:c r="B62" t="str">
        <x:v>A-0032</x:v>
      </x:c>
      <x:c r="C62" t="str">
        <x:v>GATE</x:v>
      </x:c>
      <x:c r="D62" t="str">
        <x:v>release ledger mirrors governing state</x:v>
      </x:c>
      <x:c r="E62" t="str">
        <x:f>'Release Gates'!J38</x:f>
        <x:v>PASS</x:v>
      </x:c>
      <x:c r="F62" t="str">
        <x:f>IF('Release Gates'!C38="PLANNING","PASS",IF('Release Gates'!C38="PHYSICAL","OPEN","BLOCKED"))</x:f>
        <x:v>PASS</x:v>
      </x:c>
      <x:c r="G62" t="str">
        <x:v>equals</x:v>
      </x:c>
      <x:c r="H62" t="str">
        <x:f>IF(E62=F62,"PASS","FAIL")</x:f>
        <x:v>PASS</x:v>
      </x:c>
    </x:row>
    <x:row r="63">
      <x:c r="B63" t="str">
        <x:v>A-0033</x:v>
      </x:c>
      <x:c r="C63" t="str">
        <x:v>GATE</x:v>
      </x:c>
      <x:c r="D63" t="str">
        <x:v>release ledger mirrors governing state</x:v>
      </x:c>
      <x:c r="E63" t="str">
        <x:f>'Release Gates'!J39</x:f>
        <x:v>PASS</x:v>
      </x:c>
      <x:c r="F63" t="str">
        <x:f>IF('Release Gates'!C39="PLANNING","PASS",IF('Release Gates'!C39="PHYSICAL","OPEN","BLOCKED"))</x:f>
        <x:v>PASS</x:v>
      </x:c>
      <x:c r="G63" t="str">
        <x:v>equals</x:v>
      </x:c>
      <x:c r="H63" t="str">
        <x:f>IF(E63=F63,"PASS","FAIL")</x:f>
        <x:v>PASS</x:v>
      </x:c>
    </x:row>
    <x:row r="64">
      <x:c r="B64" t="str">
        <x:v>A-0034</x:v>
      </x:c>
      <x:c r="C64" t="str">
        <x:v>GATE</x:v>
      </x:c>
      <x:c r="D64" t="str">
        <x:v>release ledger mirrors governing state</x:v>
      </x:c>
      <x:c r="E64" t="str">
        <x:f>'Release Gates'!J40</x:f>
        <x:v>PASS</x:v>
      </x:c>
      <x:c r="F64" t="str">
        <x:f>IF('Release Gates'!C40="PLANNING","PASS",IF('Release Gates'!C40="PHYSICAL","OPEN","BLOCKED"))</x:f>
        <x:v>PASS</x:v>
      </x:c>
      <x:c r="G64" t="str">
        <x:v>equals</x:v>
      </x:c>
      <x:c r="H64" t="str">
        <x:f>IF(E64=F64,"PASS","FAIL")</x:f>
        <x:v>PASS</x:v>
      </x:c>
    </x:row>
    <x:row r="65">
      <x:c r="B65" t="str">
        <x:v>A-0035</x:v>
      </x:c>
      <x:c r="C65" t="str">
        <x:v>GATE</x:v>
      </x:c>
      <x:c r="D65" t="str">
        <x:v>release ledger mirrors governing state</x:v>
      </x:c>
      <x:c r="E65" t="str">
        <x:f>'Release Gates'!J41</x:f>
        <x:v>PASS</x:v>
      </x:c>
      <x:c r="F65" t="str">
        <x:f>IF('Release Gates'!C41="PLANNING","PASS",IF('Release Gates'!C41="PHYSICAL","OPEN","BLOCKED"))</x:f>
        <x:v>PASS</x:v>
      </x:c>
      <x:c r="G65" t="str">
        <x:v>equals</x:v>
      </x:c>
      <x:c r="H65" t="str">
        <x:f>IF(E65=F65,"PASS","FAIL")</x:f>
        <x:v>PASS</x:v>
      </x:c>
    </x:row>
    <x:row r="66">
      <x:c r="B66" t="str">
        <x:v>A-0036</x:v>
      </x:c>
      <x:c r="C66" t="str">
        <x:v>GATE</x:v>
      </x:c>
      <x:c r="D66" t="str">
        <x:v>release ledger mirrors governing state</x:v>
      </x:c>
      <x:c r="E66" t="str">
        <x:f>'Release Gates'!J42</x:f>
        <x:v>PASS</x:v>
      </x:c>
      <x:c r="F66" t="str">
        <x:f>IF('Release Gates'!C42="PLANNING","PASS",IF('Release Gates'!C42="PHYSICAL","OPEN","BLOCKED"))</x:f>
        <x:v>PASS</x:v>
      </x:c>
      <x:c r="G66" t="str">
        <x:v>equals</x:v>
      </x:c>
      <x:c r="H66" t="str">
        <x:f>IF(E66=F66,"PASS","FAIL")</x:f>
        <x:v>PASS</x:v>
      </x:c>
    </x:row>
    <x:row r="67">
      <x:c r="B67" t="str">
        <x:v>A-0037</x:v>
      </x:c>
      <x:c r="C67" t="str">
        <x:v>GATE</x:v>
      </x:c>
      <x:c r="D67" t="str">
        <x:v>release ledger mirrors governing state</x:v>
      </x:c>
      <x:c r="E67" t="str">
        <x:f>'Release Gates'!J43</x:f>
        <x:v>PASS</x:v>
      </x:c>
      <x:c r="F67" t="str">
        <x:f>IF('Release Gates'!C43="PLANNING","PASS",IF('Release Gates'!C43="PHYSICAL","OPEN","BLOCKED"))</x:f>
        <x:v>PASS</x:v>
      </x:c>
      <x:c r="G67" t="str">
        <x:v>equals</x:v>
      </x:c>
      <x:c r="H67" t="str">
        <x:f>IF(E67=F67,"PASS","FAIL")</x:f>
        <x:v>PASS</x:v>
      </x:c>
    </x:row>
    <x:row r="68">
      <x:c r="B68" t="str">
        <x:v>A-0038</x:v>
      </x:c>
      <x:c r="C68" t="str">
        <x:v>GATE</x:v>
      </x:c>
      <x:c r="D68" t="str">
        <x:v>release ledger mirrors governing state</x:v>
      </x:c>
      <x:c r="E68" t="str">
        <x:f>'Release Gates'!J44</x:f>
        <x:v>PASS</x:v>
      </x:c>
      <x:c r="F68" t="str">
        <x:f>IF('Release Gates'!C44="PLANNING","PASS",IF('Release Gates'!C44="PHYSICAL","OPEN","BLOCKED"))</x:f>
        <x:v>PASS</x:v>
      </x:c>
      <x:c r="G68" t="str">
        <x:v>equals</x:v>
      </x:c>
      <x:c r="H68" t="str">
        <x:f>IF(E68=F68,"PASS","FAIL")</x:f>
        <x:v>PASS</x:v>
      </x:c>
    </x:row>
    <x:row r="69">
      <x:c r="B69" t="str">
        <x:v>A-0039</x:v>
      </x:c>
      <x:c r="C69" t="str">
        <x:v>GATE</x:v>
      </x:c>
      <x:c r="D69" t="str">
        <x:v>release ledger mirrors governing state</x:v>
      </x:c>
      <x:c r="E69" t="str">
        <x:f>'Release Gates'!J45</x:f>
        <x:v>PASS</x:v>
      </x:c>
      <x:c r="F69" t="str">
        <x:f>IF('Release Gates'!C45="PLANNING","PASS",IF('Release Gates'!C45="PHYSICAL","OPEN","BLOCKED"))</x:f>
        <x:v>PASS</x:v>
      </x:c>
      <x:c r="G69" t="str">
        <x:v>equals</x:v>
      </x:c>
      <x:c r="H69" t="str">
        <x:f>IF(E69=F69,"PASS","FAIL")</x:f>
        <x:v>PASS</x:v>
      </x:c>
    </x:row>
    <x:row r="70">
      <x:c r="B70" t="str">
        <x:v>A-0040</x:v>
      </x:c>
      <x:c r="C70" t="str">
        <x:v>GATE</x:v>
      </x:c>
      <x:c r="D70" t="str">
        <x:v>release ledger mirrors governing state</x:v>
      </x:c>
      <x:c r="E70" t="str">
        <x:f>'Release Gates'!J46</x:f>
        <x:v>PASS</x:v>
      </x:c>
      <x:c r="F70" t="str">
        <x:f>IF('Release Gates'!C46="PLANNING","PASS",IF('Release Gates'!C46="PHYSICAL","OPEN","BLOCKED"))</x:f>
        <x:v>PASS</x:v>
      </x:c>
      <x:c r="G70" t="str">
        <x:v>equals</x:v>
      </x:c>
      <x:c r="H70" t="str">
        <x:f>IF(E70=F70,"PASS","FAIL")</x:f>
        <x:v>PASS</x:v>
      </x:c>
    </x:row>
    <x:row r="71">
      <x:c r="B71" t="str">
        <x:v>A-0041</x:v>
      </x:c>
      <x:c r="C71" t="str">
        <x:v>GATE</x:v>
      </x:c>
      <x:c r="D71" t="str">
        <x:v>release ledger mirrors governing state</x:v>
      </x:c>
      <x:c r="E71" t="str">
        <x:f>'Release Gates'!J47</x:f>
        <x:v>PASS</x:v>
      </x:c>
      <x:c r="F71" t="str">
        <x:f>IF('Release Gates'!C47="PLANNING","PASS",IF('Release Gates'!C47="PHYSICAL","OPEN","BLOCKED"))</x:f>
        <x:v>PASS</x:v>
      </x:c>
      <x:c r="G71" t="str">
        <x:v>equals</x:v>
      </x:c>
      <x:c r="H71" t="str">
        <x:f>IF(E71=F71,"PASS","FAIL")</x:f>
        <x:v>PASS</x:v>
      </x:c>
    </x:row>
    <x:row r="72">
      <x:c r="B72" t="str">
        <x:v>A-0042</x:v>
      </x:c>
      <x:c r="C72" t="str">
        <x:v>GATE</x:v>
      </x:c>
      <x:c r="D72" t="str">
        <x:v>release ledger mirrors governing state</x:v>
      </x:c>
      <x:c r="E72" t="str">
        <x:f>'Release Gates'!J48</x:f>
        <x:v>PASS</x:v>
      </x:c>
      <x:c r="F72" t="str">
        <x:f>IF('Release Gates'!C48="PLANNING","PASS",IF('Release Gates'!C48="PHYSICAL","OPEN","BLOCKED"))</x:f>
        <x:v>PASS</x:v>
      </x:c>
      <x:c r="G72" t="str">
        <x:v>equals</x:v>
      </x:c>
      <x:c r="H72" t="str">
        <x:f>IF(E72=F72,"PASS","FAIL")</x:f>
        <x:v>PASS</x:v>
      </x:c>
    </x:row>
    <x:row r="73">
      <x:c r="B73" t="str">
        <x:v>A-0043</x:v>
      </x:c>
      <x:c r="C73" t="str">
        <x:v>GATE</x:v>
      </x:c>
      <x:c r="D73" t="str">
        <x:v>release ledger mirrors governing state</x:v>
      </x:c>
      <x:c r="E73" t="str">
        <x:f>'Release Gates'!J49</x:f>
        <x:v>PASS</x:v>
      </x:c>
      <x:c r="F73" t="str">
        <x:f>IF('Release Gates'!C49="PLANNING","PASS",IF('Release Gates'!C49="PHYSICAL","OPEN","BLOCKED"))</x:f>
        <x:v>PASS</x:v>
      </x:c>
      <x:c r="G73" t="str">
        <x:v>equals</x:v>
      </x:c>
      <x:c r="H73" t="str">
        <x:f>IF(E73=F73,"PASS","FAIL")</x:f>
        <x:v>PASS</x:v>
      </x:c>
    </x:row>
    <x:row r="74">
      <x:c r="B74" t="str">
        <x:v>A-0044</x:v>
      </x:c>
      <x:c r="C74" t="str">
        <x:v>GATE</x:v>
      </x:c>
      <x:c r="D74" t="str">
        <x:v>release ledger mirrors governing state</x:v>
      </x:c>
      <x:c r="E74" t="str">
        <x:f>'Release Gates'!J50</x:f>
        <x:v>PASS</x:v>
      </x:c>
      <x:c r="F74" t="str">
        <x:f>IF('Release Gates'!C50="PLANNING","PASS",IF('Release Gates'!C50="PHYSICAL","OPEN","BLOCKED"))</x:f>
        <x:v>PASS</x:v>
      </x:c>
      <x:c r="G74" t="str">
        <x:v>equals</x:v>
      </x:c>
      <x:c r="H74" t="str">
        <x:f>IF(E74=F74,"PASS","FAIL")</x:f>
        <x:v>PASS</x:v>
      </x:c>
    </x:row>
    <x:row r="75">
      <x:c r="B75" t="str">
        <x:v>A-0045</x:v>
      </x:c>
      <x:c r="C75" t="str">
        <x:v>GATE</x:v>
      </x:c>
      <x:c r="D75" t="str">
        <x:v>release ledger mirrors governing state</x:v>
      </x:c>
      <x:c r="E75" t="str">
        <x:f>'Release Gates'!J51</x:f>
        <x:v>PASS</x:v>
      </x:c>
      <x:c r="F75" t="str">
        <x:f>IF('Release Gates'!C51="PLANNING","PASS",IF('Release Gates'!C51="PHYSICAL","OPEN","BLOCKED"))</x:f>
        <x:v>PASS</x:v>
      </x:c>
      <x:c r="G75" t="str">
        <x:v>equals</x:v>
      </x:c>
      <x:c r="H75" t="str">
        <x:f>IF(E75=F75,"PASS","FAIL")</x:f>
        <x:v>PASS</x:v>
      </x:c>
    </x:row>
    <x:row r="76">
      <x:c r="B76" t="str">
        <x:v>A-0046</x:v>
      </x:c>
      <x:c r="C76" t="str">
        <x:v>GATE</x:v>
      </x:c>
      <x:c r="D76" t="str">
        <x:v>release ledger mirrors governing state</x:v>
      </x:c>
      <x:c r="E76" t="str">
        <x:f>'Release Gates'!J52</x:f>
        <x:v>PASS</x:v>
      </x:c>
      <x:c r="F76" t="str">
        <x:f>IF('Release Gates'!C52="PLANNING","PASS",IF('Release Gates'!C52="PHYSICAL","OPEN","BLOCKED"))</x:f>
        <x:v>PASS</x:v>
      </x:c>
      <x:c r="G76" t="str">
        <x:v>equals</x:v>
      </x:c>
      <x:c r="H76" t="str">
        <x:f>IF(E76=F76,"PASS","FAIL")</x:f>
        <x:v>PASS</x:v>
      </x:c>
    </x:row>
    <x:row r="77">
      <x:c r="B77" t="str">
        <x:v>A-0047</x:v>
      </x:c>
      <x:c r="C77" t="str">
        <x:v>GATE</x:v>
      </x:c>
      <x:c r="D77" t="str">
        <x:v>release ledger mirrors governing state</x:v>
      </x:c>
      <x:c r="E77" t="str">
        <x:f>'Release Gates'!J53</x:f>
        <x:v>PASS</x:v>
      </x:c>
      <x:c r="F77" t="str">
        <x:f>IF('Release Gates'!C53="PLANNING","PASS",IF('Release Gates'!C53="PHYSICAL","OPEN","BLOCKED"))</x:f>
        <x:v>PASS</x:v>
      </x:c>
      <x:c r="G77" t="str">
        <x:v>equals</x:v>
      </x:c>
      <x:c r="H77" t="str">
        <x:f>IF(E77=F77,"PASS","FAIL")</x:f>
        <x:v>PASS</x:v>
      </x:c>
    </x:row>
    <x:row r="78">
      <x:c r="B78" t="str">
        <x:v>A-0048</x:v>
      </x:c>
      <x:c r="C78" t="str">
        <x:v>GATE</x:v>
      </x:c>
      <x:c r="D78" t="str">
        <x:v>release ledger mirrors governing state</x:v>
      </x:c>
      <x:c r="E78" t="str">
        <x:f>'Release Gates'!J54</x:f>
        <x:v>PASS</x:v>
      </x:c>
      <x:c r="F78" t="str">
        <x:f>IF('Release Gates'!C54="PLANNING","PASS",IF('Release Gates'!C54="PHYSICAL","OPEN","BLOCKED"))</x:f>
        <x:v>PASS</x:v>
      </x:c>
      <x:c r="G78" t="str">
        <x:v>equals</x:v>
      </x:c>
      <x:c r="H78" t="str">
        <x:f>IF(E78=F78,"PASS","FAIL")</x:f>
        <x:v>PASS</x:v>
      </x:c>
    </x:row>
    <x:row r="79">
      <x:c r="B79" t="str">
        <x:v>A-0049</x:v>
      </x:c>
      <x:c r="C79" t="str">
        <x:v>GATE</x:v>
      </x:c>
      <x:c r="D79" t="str">
        <x:v>release ledger mirrors governing state</x:v>
      </x:c>
      <x:c r="E79" t="str">
        <x:f>'Release Gates'!J55</x:f>
        <x:v>PASS</x:v>
      </x:c>
      <x:c r="F79" t="str">
        <x:f>IF('Release Gates'!C55="PLANNING","PASS",IF('Release Gates'!C55="PHYSICAL","OPEN","BLOCKED"))</x:f>
        <x:v>PASS</x:v>
      </x:c>
      <x:c r="G79" t="str">
        <x:v>equals</x:v>
      </x:c>
      <x:c r="H79" t="str">
        <x:f>IF(E79=F79,"PASS","FAIL")</x:f>
        <x:v>PASS</x:v>
      </x:c>
    </x:row>
    <x:row r="80">
      <x:c r="B80" t="str">
        <x:v>A-0050</x:v>
      </x:c>
      <x:c r="C80" t="str">
        <x:v>GATE</x:v>
      </x:c>
      <x:c r="D80" t="str">
        <x:v>release ledger mirrors governing state</x:v>
      </x:c>
      <x:c r="E80" t="str">
        <x:f>'Release Gates'!J56</x:f>
        <x:v>PASS</x:v>
      </x:c>
      <x:c r="F80" t="str">
        <x:f>IF('Release Gates'!C56="PLANNING","PASS",IF('Release Gates'!C56="PHYSICAL","OPEN","BLOCKED"))</x:f>
        <x:v>PASS</x:v>
      </x:c>
      <x:c r="G80" t="str">
        <x:v>equals</x:v>
      </x:c>
      <x:c r="H80" t="str">
        <x:f>IF(E80=F80,"PASS","FAIL")</x:f>
        <x:v>PASS</x:v>
      </x:c>
    </x:row>
    <x:row r="81">
      <x:c r="B81" t="str">
        <x:v>A-0051</x:v>
      </x:c>
      <x:c r="C81" t="str">
        <x:v>GATE</x:v>
      </x:c>
      <x:c r="D81" t="str">
        <x:v>release ledger mirrors governing state</x:v>
      </x:c>
      <x:c r="E81" t="str">
        <x:f>'Release Gates'!J57</x:f>
        <x:v>PASS</x:v>
      </x:c>
      <x:c r="F81" t="str">
        <x:f>IF('Release Gates'!C57="PLANNING","PASS",IF('Release Gates'!C57="PHYSICAL","OPEN","BLOCKED"))</x:f>
        <x:v>PASS</x:v>
      </x:c>
      <x:c r="G81" t="str">
        <x:v>equals</x:v>
      </x:c>
      <x:c r="H81" t="str">
        <x:f>IF(E81=F81,"PASS","FAIL")</x:f>
        <x:v>PASS</x:v>
      </x:c>
    </x:row>
    <x:row r="82">
      <x:c r="B82" t="str">
        <x:v>A-0052</x:v>
      </x:c>
      <x:c r="C82" t="str">
        <x:v>GATE</x:v>
      </x:c>
      <x:c r="D82" t="str">
        <x:v>release ledger mirrors governing state</x:v>
      </x:c>
      <x:c r="E82" t="str">
        <x:f>'Release Gates'!J58</x:f>
        <x:v>PASS</x:v>
      </x:c>
      <x:c r="F82" t="str">
        <x:f>IF('Release Gates'!C58="PLANNING","PASS",IF('Release Gates'!C58="PHYSICAL","OPEN","BLOCKED"))</x:f>
        <x:v>PASS</x:v>
      </x:c>
      <x:c r="G82" t="str">
        <x:v>equals</x:v>
      </x:c>
      <x:c r="H82" t="str">
        <x:f>IF(E82=F82,"PASS","FAIL")</x:f>
        <x:v>PASS</x:v>
      </x:c>
    </x:row>
    <x:row r="83">
      <x:c r="B83" t="str">
        <x:v>A-0053</x:v>
      </x:c>
      <x:c r="C83" t="str">
        <x:v>GATE</x:v>
      </x:c>
      <x:c r="D83" t="str">
        <x:v>release ledger mirrors governing state</x:v>
      </x:c>
      <x:c r="E83" t="str">
        <x:f>'Release Gates'!J59</x:f>
        <x:v>PASS</x:v>
      </x:c>
      <x:c r="F83" t="str">
        <x:f>IF('Release Gates'!C59="PLANNING","PASS",IF('Release Gates'!C59="PHYSICAL","OPEN","BLOCKED"))</x:f>
        <x:v>PASS</x:v>
      </x:c>
      <x:c r="G83" t="str">
        <x:v>equals</x:v>
      </x:c>
      <x:c r="H83" t="str">
        <x:f>IF(E83=F83,"PASS","FAIL")</x:f>
        <x:v>PASS</x:v>
      </x:c>
    </x:row>
    <x:row r="84">
      <x:c r="B84" t="str">
        <x:v>A-0054</x:v>
      </x:c>
      <x:c r="C84" t="str">
        <x:v>GATE</x:v>
      </x:c>
      <x:c r="D84" t="str">
        <x:v>release ledger mirrors governing state</x:v>
      </x:c>
      <x:c r="E84" t="str">
        <x:f>'Release Gates'!J60</x:f>
        <x:v>PASS</x:v>
      </x:c>
      <x:c r="F84" t="str">
        <x:f>IF('Release Gates'!C60="PLANNING","PASS",IF('Release Gates'!C60="PHYSICAL","OPEN","BLOCKED"))</x:f>
        <x:v>PASS</x:v>
      </x:c>
      <x:c r="G84" t="str">
        <x:v>equals</x:v>
      </x:c>
      <x:c r="H84" t="str">
        <x:f>IF(E84=F84,"PASS","FAIL")</x:f>
        <x:v>PASS</x:v>
      </x:c>
    </x:row>
    <x:row r="85">
      <x:c r="B85" t="str">
        <x:v>A-0055</x:v>
      </x:c>
      <x:c r="C85" t="str">
        <x:v>GATE</x:v>
      </x:c>
      <x:c r="D85" t="str">
        <x:v>release ledger mirrors governing state</x:v>
      </x:c>
      <x:c r="E85" t="str">
        <x:f>'Release Gates'!J61</x:f>
        <x:v>PASS</x:v>
      </x:c>
      <x:c r="F85" t="str">
        <x:f>IF('Release Gates'!C61="PLANNING","PASS",IF('Release Gates'!C61="PHYSICAL","OPEN","BLOCKED"))</x:f>
        <x:v>PASS</x:v>
      </x:c>
      <x:c r="G85" t="str">
        <x:v>equals</x:v>
      </x:c>
      <x:c r="H85" t="str">
        <x:f>IF(E85=F85,"PASS","FAIL")</x:f>
        <x:v>PASS</x:v>
      </x:c>
    </x:row>
    <x:row r="86">
      <x:c r="B86" t="str">
        <x:v>A-0056</x:v>
      </x:c>
      <x:c r="C86" t="str">
        <x:v>GATE</x:v>
      </x:c>
      <x:c r="D86" t="str">
        <x:v>release ledger mirrors governing state</x:v>
      </x:c>
      <x:c r="E86" t="str">
        <x:f>'Release Gates'!J62</x:f>
        <x:v>PASS</x:v>
      </x:c>
      <x:c r="F86" t="str">
        <x:f>IF('Release Gates'!C62="PLANNING","PASS",IF('Release Gates'!C62="PHYSICAL","OPEN","BLOCKED"))</x:f>
        <x:v>PASS</x:v>
      </x:c>
      <x:c r="G86" t="str">
        <x:v>equals</x:v>
      </x:c>
      <x:c r="H86" t="str">
        <x:f>IF(E86=F86,"PASS","FAIL")</x:f>
        <x:v>PASS</x:v>
      </x:c>
    </x:row>
    <x:row r="87">
      <x:c r="B87" t="str">
        <x:v>A-0057</x:v>
      </x:c>
      <x:c r="C87" t="str">
        <x:v>GATE</x:v>
      </x:c>
      <x:c r="D87" t="str">
        <x:v>release ledger mirrors governing state</x:v>
      </x:c>
      <x:c r="E87" t="str">
        <x:f>'Release Gates'!J63</x:f>
        <x:v>PASS</x:v>
      </x:c>
      <x:c r="F87" t="str">
        <x:f>IF('Release Gates'!C63="PLANNING","PASS",IF('Release Gates'!C63="PHYSICAL","OPEN","BLOCKED"))</x:f>
        <x:v>PASS</x:v>
      </x:c>
      <x:c r="G87" t="str">
        <x:v>equals</x:v>
      </x:c>
      <x:c r="H87" t="str">
        <x:f>IF(E87=F87,"PASS","FAIL")</x:f>
        <x:v>PASS</x:v>
      </x:c>
    </x:row>
    <x:row r="88">
      <x:c r="B88" t="str">
        <x:v>A-0058</x:v>
      </x:c>
      <x:c r="C88" t="str">
        <x:v>GATE</x:v>
      </x:c>
      <x:c r="D88" t="str">
        <x:v>release ledger mirrors governing state</x:v>
      </x:c>
      <x:c r="E88" t="str">
        <x:f>'Release Gates'!J64</x:f>
        <x:v>PASS</x:v>
      </x:c>
      <x:c r="F88" t="str">
        <x:f>IF('Release Gates'!C64="PLANNING","PASS",IF('Release Gates'!C64="PHYSICAL","OPEN","BLOCKED"))</x:f>
        <x:v>PASS</x:v>
      </x:c>
      <x:c r="G88" t="str">
        <x:v>equals</x:v>
      </x:c>
      <x:c r="H88" t="str">
        <x:f>IF(E88=F88,"PASS","FAIL")</x:f>
        <x:v>PASS</x:v>
      </x:c>
    </x:row>
    <x:row r="89">
      <x:c r="B89" t="str">
        <x:v>A-0059</x:v>
      </x:c>
      <x:c r="C89" t="str">
        <x:v>GATE</x:v>
      </x:c>
      <x:c r="D89" t="str">
        <x:v>release ledger mirrors governing state</x:v>
      </x:c>
      <x:c r="E89" t="str">
        <x:f>'Release Gates'!J65</x:f>
        <x:v>PASS</x:v>
      </x:c>
      <x:c r="F89" t="str">
        <x:f>IF('Release Gates'!C65="PLANNING","PASS",IF('Release Gates'!C65="PHYSICAL","OPEN","BLOCKED"))</x:f>
        <x:v>PASS</x:v>
      </x:c>
      <x:c r="G89" t="str">
        <x:v>equals</x:v>
      </x:c>
      <x:c r="H89" t="str">
        <x:f>IF(E89=F89,"PASS","FAIL")</x:f>
        <x:v>PASS</x:v>
      </x:c>
    </x:row>
    <x:row r="90">
      <x:c r="B90" t="str">
        <x:v>A-0060</x:v>
      </x:c>
      <x:c r="C90" t="str">
        <x:v>GATE</x:v>
      </x:c>
      <x:c r="D90" t="str">
        <x:v>release ledger mirrors governing state</x:v>
      </x:c>
      <x:c r="E90" t="str">
        <x:f>'Release Gates'!J66</x:f>
        <x:v>PASS</x:v>
      </x:c>
      <x:c r="F90" t="str">
        <x:f>IF('Release Gates'!C66="PLANNING","PASS",IF('Release Gates'!C66="PHYSICAL","OPEN","BLOCKED"))</x:f>
        <x:v>PASS</x:v>
      </x:c>
      <x:c r="G90" t="str">
        <x:v>equals</x:v>
      </x:c>
      <x:c r="H90" t="str">
        <x:f>IF(E90=F90,"PASS","FAIL")</x:f>
        <x:v>PASS</x:v>
      </x:c>
    </x:row>
    <x:row r="91">
      <x:c r="B91" t="str">
        <x:v>A-0061</x:v>
      </x:c>
      <x:c r="C91" t="str">
        <x:v>GATE</x:v>
      </x:c>
      <x:c r="D91" t="str">
        <x:v>release ledger mirrors governing state</x:v>
      </x:c>
      <x:c r="E91" t="str">
        <x:f>'Release Gates'!J67</x:f>
        <x:v>PASS</x:v>
      </x:c>
      <x:c r="F91" t="str">
        <x:f>IF('Release Gates'!C67="PLANNING","PASS",IF('Release Gates'!C67="PHYSICAL","OPEN","BLOCKED"))</x:f>
        <x:v>PASS</x:v>
      </x:c>
      <x:c r="G91" t="str">
        <x:v>equals</x:v>
      </x:c>
      <x:c r="H91" t="str">
        <x:f>IF(E91=F91,"PASS","FAIL")</x:f>
        <x:v>PASS</x:v>
      </x:c>
    </x:row>
    <x:row r="92">
      <x:c r="B92" t="str">
        <x:v>A-0062</x:v>
      </x:c>
      <x:c r="C92" t="str">
        <x:v>GATE</x:v>
      </x:c>
      <x:c r="D92" t="str">
        <x:v>release ledger mirrors governing state</x:v>
      </x:c>
      <x:c r="E92" t="str">
        <x:f>'Release Gates'!J68</x:f>
        <x:v>PASS</x:v>
      </x:c>
      <x:c r="F92" t="str">
        <x:f>IF('Release Gates'!C68="PLANNING","PASS",IF('Release Gates'!C68="PHYSICAL","OPEN","BLOCKED"))</x:f>
        <x:v>PASS</x:v>
      </x:c>
      <x:c r="G92" t="str">
        <x:v>equals</x:v>
      </x:c>
      <x:c r="H92" t="str">
        <x:f>IF(E92=F92,"PASS","FAIL")</x:f>
        <x:v>PASS</x:v>
      </x:c>
    </x:row>
    <x:row r="93">
      <x:c r="B93" t="str">
        <x:v>A-0063</x:v>
      </x:c>
      <x:c r="C93" t="str">
        <x:v>GATE</x:v>
      </x:c>
      <x:c r="D93" t="str">
        <x:v>release ledger mirrors governing state</x:v>
      </x:c>
      <x:c r="E93" t="str">
        <x:f>'Release Gates'!J69</x:f>
        <x:v>PASS</x:v>
      </x:c>
      <x:c r="F93" t="str">
        <x:f>IF('Release Gates'!C69="PLANNING","PASS",IF('Release Gates'!C69="PHYSICAL","OPEN","BLOCKED"))</x:f>
        <x:v>PASS</x:v>
      </x:c>
      <x:c r="G93" t="str">
        <x:v>equals</x:v>
      </x:c>
      <x:c r="H93" t="str">
        <x:f>IF(E93=F93,"PASS","FAIL")</x:f>
        <x:v>PASS</x:v>
      </x:c>
    </x:row>
    <x:row r="94">
      <x:c r="B94" t="str">
        <x:v>A-0064</x:v>
      </x:c>
      <x:c r="C94" t="str">
        <x:v>GATE</x:v>
      </x:c>
      <x:c r="D94" t="str">
        <x:v>release ledger mirrors governing state</x:v>
      </x:c>
      <x:c r="E94" t="str">
        <x:f>'Release Gates'!J70</x:f>
        <x:v>PASS</x:v>
      </x:c>
      <x:c r="F94" t="str">
        <x:f>IF('Release Gates'!C70="PLANNING","PASS",IF('Release Gates'!C70="PHYSICAL","OPEN","BLOCKED"))</x:f>
        <x:v>PASS</x:v>
      </x:c>
      <x:c r="G94" t="str">
        <x:v>equals</x:v>
      </x:c>
      <x:c r="H94" t="str">
        <x:f>IF(E94=F94,"PASS","FAIL")</x:f>
        <x:v>PASS</x:v>
      </x:c>
    </x:row>
    <x:row r="95">
      <x:c r="B95" t="str">
        <x:v>A-0065</x:v>
      </x:c>
      <x:c r="C95" t="str">
        <x:v>GATE</x:v>
      </x:c>
      <x:c r="D95" t="str">
        <x:v>release ledger mirrors governing state</x:v>
      </x:c>
      <x:c r="E95" t="str">
        <x:f>'Release Gates'!J71</x:f>
        <x:v>PASS</x:v>
      </x:c>
      <x:c r="F95" t="str">
        <x:f>IF('Release Gates'!C71="PLANNING","PASS",IF('Release Gates'!C71="PHYSICAL","OPEN","BLOCKED"))</x:f>
        <x:v>PASS</x:v>
      </x:c>
      <x:c r="G95" t="str">
        <x:v>equals</x:v>
      </x:c>
      <x:c r="H95" t="str">
        <x:f>IF(E95=F95,"PASS","FAIL")</x:f>
        <x:v>PASS</x:v>
      </x:c>
    </x:row>
    <x:row r="96">
      <x:c r="B96" t="str">
        <x:v>A-0066</x:v>
      </x:c>
      <x:c r="C96" t="str">
        <x:v>GATE</x:v>
      </x:c>
      <x:c r="D96" t="str">
        <x:v>release ledger mirrors governing state</x:v>
      </x:c>
      <x:c r="E96" t="str">
        <x:f>'Release Gates'!J72</x:f>
        <x:v>PASS</x:v>
      </x:c>
      <x:c r="F96" t="str">
        <x:f>IF('Release Gates'!C72="PLANNING","PASS",IF('Release Gates'!C72="PHYSICAL","OPEN","BLOCKED"))</x:f>
        <x:v>PASS</x:v>
      </x:c>
      <x:c r="G96" t="str">
        <x:v>equals</x:v>
      </x:c>
      <x:c r="H96" t="str">
        <x:f>IF(E96=F96,"PASS","FAIL")</x:f>
        <x:v>PASS</x:v>
      </x:c>
    </x:row>
    <x:row r="97">
      <x:c r="B97" t="str">
        <x:v>A-0067</x:v>
      </x:c>
      <x:c r="C97" t="str">
        <x:v>GATE</x:v>
      </x:c>
      <x:c r="D97" t="str">
        <x:v>release ledger mirrors governing state</x:v>
      </x:c>
      <x:c r="E97" t="str">
        <x:f>'Release Gates'!J73</x:f>
        <x:v>PASS</x:v>
      </x:c>
      <x:c r="F97" t="str">
        <x:f>IF('Release Gates'!C73="PLANNING","PASS",IF('Release Gates'!C73="PHYSICAL","OPEN","BLOCKED"))</x:f>
        <x:v>PASS</x:v>
      </x:c>
      <x:c r="G97" t="str">
        <x:v>equals</x:v>
      </x:c>
      <x:c r="H97" t="str">
        <x:f>IF(E97=F97,"PASS","FAIL")</x:f>
        <x:v>PASS</x:v>
      </x:c>
    </x:row>
    <x:row r="98">
      <x:c r="B98" t="str">
        <x:v>A-0068</x:v>
      </x:c>
      <x:c r="C98" t="str">
        <x:v>GATE</x:v>
      </x:c>
      <x:c r="D98" t="str">
        <x:v>release ledger mirrors governing state</x:v>
      </x:c>
      <x:c r="E98" t="str">
        <x:f>'Release Gates'!J74</x:f>
        <x:v>PASS</x:v>
      </x:c>
      <x:c r="F98" t="str">
        <x:f>IF('Release Gates'!C74="PLANNING","PASS",IF('Release Gates'!C74="PHYSICAL","OPEN","BLOCKED"))</x:f>
        <x:v>PASS</x:v>
      </x:c>
      <x:c r="G98" t="str">
        <x:v>equals</x:v>
      </x:c>
      <x:c r="H98" t="str">
        <x:f>IF(E98=F98,"PASS","FAIL")</x:f>
        <x:v>PASS</x:v>
      </x:c>
    </x:row>
    <x:row r="99">
      <x:c r="B99" t="str">
        <x:v>A-0069</x:v>
      </x:c>
      <x:c r="C99" t="str">
        <x:v>GATE</x:v>
      </x:c>
      <x:c r="D99" t="str">
        <x:v>release ledger mirrors governing state</x:v>
      </x:c>
      <x:c r="E99" t="str">
        <x:f>'Release Gates'!J75</x:f>
        <x:v>PASS</x:v>
      </x:c>
      <x:c r="F99" t="str">
        <x:f>IF('Release Gates'!C75="PLANNING","PASS",IF('Release Gates'!C75="PHYSICAL","OPEN","BLOCKED"))</x:f>
        <x:v>PASS</x:v>
      </x:c>
      <x:c r="G99" t="str">
        <x:v>equals</x:v>
      </x:c>
      <x:c r="H99" t="str">
        <x:f>IF(E99=F99,"PASS","FAIL")</x:f>
        <x:v>PASS</x:v>
      </x:c>
    </x:row>
    <x:row r="100">
      <x:c r="B100" t="str">
        <x:v>A-0070</x:v>
      </x:c>
      <x:c r="C100" t="str">
        <x:v>GATE</x:v>
      </x:c>
      <x:c r="D100" t="str">
        <x:v>release ledger mirrors governing state</x:v>
      </x:c>
      <x:c r="E100" t="str">
        <x:f>'Release Gates'!J76</x:f>
        <x:v>PASS</x:v>
      </x:c>
      <x:c r="F100" t="str">
        <x:f>IF('Release Gates'!C76="PLANNING","PASS",IF('Release Gates'!C76="PHYSICAL","OPEN","BLOCKED"))</x:f>
        <x:v>PASS</x:v>
      </x:c>
      <x:c r="G100" t="str">
        <x:v>equals</x:v>
      </x:c>
      <x:c r="H100" t="str">
        <x:f>IF(E100=F100,"PASS","FAIL")</x:f>
        <x:v>PASS</x:v>
      </x:c>
    </x:row>
    <x:row r="101">
      <x:c r="B101" t="str">
        <x:v>A-0071</x:v>
      </x:c>
      <x:c r="C101" t="str">
        <x:v>GATE</x:v>
      </x:c>
      <x:c r="D101" t="str">
        <x:v>release ledger mirrors governing state</x:v>
      </x:c>
      <x:c r="E101" t="str">
        <x:f>'Release Gates'!J77</x:f>
        <x:v>PASS</x:v>
      </x:c>
      <x:c r="F101" t="str">
        <x:f>IF('Release Gates'!C77="PLANNING","PASS",IF('Release Gates'!C77="PHYSICAL","OPEN","BLOCKED"))</x:f>
        <x:v>PASS</x:v>
      </x:c>
      <x:c r="G101" t="str">
        <x:v>equals</x:v>
      </x:c>
      <x:c r="H101" t="str">
        <x:f>IF(E101=F101,"PASS","FAIL")</x:f>
        <x:v>PASS</x:v>
      </x:c>
    </x:row>
    <x:row r="102">
      <x:c r="B102" t="str">
        <x:v>A-0072</x:v>
      </x:c>
      <x:c r="C102" t="str">
        <x:v>GATE</x:v>
      </x:c>
      <x:c r="D102" t="str">
        <x:v>release ledger mirrors governing state</x:v>
      </x:c>
      <x:c r="E102" t="str">
        <x:f>'Release Gates'!J78</x:f>
        <x:v>PASS</x:v>
      </x:c>
      <x:c r="F102" t="str">
        <x:f>IF('Release Gates'!C78="PLANNING","PASS",IF('Release Gates'!C78="PHYSICAL","OPEN","BLOCKED"))</x:f>
        <x:v>PASS</x:v>
      </x:c>
      <x:c r="G102" t="str">
        <x:v>equals</x:v>
      </x:c>
      <x:c r="H102" t="str">
        <x:f>IF(E102=F102,"PASS","FAIL")</x:f>
        <x:v>PASS</x:v>
      </x:c>
    </x:row>
    <x:row r="103">
      <x:c r="B103" t="str">
        <x:v>A-0073</x:v>
      </x:c>
      <x:c r="C103" t="str">
        <x:v>GATE</x:v>
      </x:c>
      <x:c r="D103" t="str">
        <x:v>release ledger mirrors governing state</x:v>
      </x:c>
      <x:c r="E103" t="str">
        <x:f>'Release Gates'!J79</x:f>
        <x:v>PASS</x:v>
      </x:c>
      <x:c r="F103" t="str">
        <x:f>IF('Release Gates'!C79="PLANNING","PASS",IF('Release Gates'!C79="PHYSICAL","OPEN","BLOCKED"))</x:f>
        <x:v>PASS</x:v>
      </x:c>
      <x:c r="G103" t="str">
        <x:v>equals</x:v>
      </x:c>
      <x:c r="H103" t="str">
        <x:f>IF(E103=F103,"PASS","FAIL")</x:f>
        <x:v>PASS</x:v>
      </x:c>
    </x:row>
    <x:row r="104">
      <x:c r="B104" t="str">
        <x:v>A-0074</x:v>
      </x:c>
      <x:c r="C104" t="str">
        <x:v>GATE</x:v>
      </x:c>
      <x:c r="D104" t="str">
        <x:v>release ledger mirrors governing state</x:v>
      </x:c>
      <x:c r="E104" t="str">
        <x:f>'Release Gates'!J80</x:f>
        <x:v>PASS</x:v>
      </x:c>
      <x:c r="F104" t="str">
        <x:f>IF('Release Gates'!C80="PLANNING","PASS",IF('Release Gates'!C80="PHYSICAL","OPEN","BLOCKED"))</x:f>
        <x:v>PASS</x:v>
      </x:c>
      <x:c r="G104" t="str">
        <x:v>equals</x:v>
      </x:c>
      <x:c r="H104" t="str">
        <x:f>IF(E104=F104,"PASS","FAIL")</x:f>
        <x:v>PASS</x:v>
      </x:c>
    </x:row>
    <x:row r="105">
      <x:c r="B105" t="str">
        <x:v>A-0075</x:v>
      </x:c>
      <x:c r="C105" t="str">
        <x:v>GATE</x:v>
      </x:c>
      <x:c r="D105" t="str">
        <x:v>release ledger mirrors governing state</x:v>
      </x:c>
      <x:c r="E105" t="str">
        <x:f>'Release Gates'!J81</x:f>
        <x:v>PASS</x:v>
      </x:c>
      <x:c r="F105" t="str">
        <x:f>IF('Release Gates'!C81="PLANNING","PASS",IF('Release Gates'!C81="PHYSICAL","OPEN","BLOCKED"))</x:f>
        <x:v>PASS</x:v>
      </x:c>
      <x:c r="G105" t="str">
        <x:v>equals</x:v>
      </x:c>
      <x:c r="H105" t="str">
        <x:f>IF(E105=F105,"PASS","FAIL")</x:f>
        <x:v>PASS</x:v>
      </x:c>
    </x:row>
    <x:row r="106">
      <x:c r="B106" t="str">
        <x:v>A-0076</x:v>
      </x:c>
      <x:c r="C106" t="str">
        <x:v>GATE</x:v>
      </x:c>
      <x:c r="D106" t="str">
        <x:v>release ledger mirrors governing state</x:v>
      </x:c>
      <x:c r="E106" t="str">
        <x:f>'Release Gates'!J82</x:f>
        <x:v>PASS</x:v>
      </x:c>
      <x:c r="F106" t="str">
        <x:f>IF('Release Gates'!C82="PLANNING","PASS",IF('Release Gates'!C82="PHYSICAL","OPEN","BLOCKED"))</x:f>
        <x:v>PASS</x:v>
      </x:c>
      <x:c r="G106" t="str">
        <x:v>equals</x:v>
      </x:c>
      <x:c r="H106" t="str">
        <x:f>IF(E106=F106,"PASS","FAIL")</x:f>
        <x:v>PASS</x:v>
      </x:c>
    </x:row>
    <x:row r="107">
      <x:c r="B107" t="str">
        <x:v>A-0077</x:v>
      </x:c>
      <x:c r="C107" t="str">
        <x:v>GATE</x:v>
      </x:c>
      <x:c r="D107" t="str">
        <x:v>release ledger mirrors governing state</x:v>
      </x:c>
      <x:c r="E107" t="str">
        <x:f>'Release Gates'!J83</x:f>
        <x:v>PASS</x:v>
      </x:c>
      <x:c r="F107" t="str">
        <x:f>IF('Release Gates'!C83="PLANNING","PASS",IF('Release Gates'!C83="PHYSICAL","OPEN","BLOCKED"))</x:f>
        <x:v>PASS</x:v>
      </x:c>
      <x:c r="G107" t="str">
        <x:v>equals</x:v>
      </x:c>
      <x:c r="H107" t="str">
        <x:f>IF(E107=F107,"PASS","FAIL")</x:f>
        <x:v>PASS</x:v>
      </x:c>
    </x:row>
    <x:row r="108">
      <x:c r="B108" t="str">
        <x:v>A-0078</x:v>
      </x:c>
      <x:c r="C108" t="str">
        <x:v>GATE</x:v>
      </x:c>
      <x:c r="D108" t="str">
        <x:v>release ledger mirrors governing state</x:v>
      </x:c>
      <x:c r="E108" t="str">
        <x:f>'Release Gates'!J84</x:f>
        <x:v>PASS</x:v>
      </x:c>
      <x:c r="F108" t="str">
        <x:f>IF('Release Gates'!C84="PLANNING","PASS",IF('Release Gates'!C84="PHYSICAL","OPEN","BLOCKED"))</x:f>
        <x:v>PASS</x:v>
      </x:c>
      <x:c r="G108" t="str">
        <x:v>equals</x:v>
      </x:c>
      <x:c r="H108" t="str">
        <x:f>IF(E108=F108,"PASS","FAIL")</x:f>
        <x:v>PASS</x:v>
      </x:c>
    </x:row>
    <x:row r="109">
      <x:c r="B109" t="str">
        <x:v>A-0079</x:v>
      </x:c>
      <x:c r="C109" t="str">
        <x:v>GATE</x:v>
      </x:c>
      <x:c r="D109" t="str">
        <x:v>release ledger mirrors governing state</x:v>
      </x:c>
      <x:c r="E109" t="str">
        <x:f>'Release Gates'!J85</x:f>
        <x:v>PASS</x:v>
      </x:c>
      <x:c r="F109" t="str">
        <x:f>IF('Release Gates'!C85="PLANNING","PASS",IF('Release Gates'!C85="PHYSICAL","OPEN","BLOCKED"))</x:f>
        <x:v>PASS</x:v>
      </x:c>
      <x:c r="G109" t="str">
        <x:v>equals</x:v>
      </x:c>
      <x:c r="H109" t="str">
        <x:f>IF(E109=F109,"PASS","FAIL")</x:f>
        <x:v>PASS</x:v>
      </x:c>
    </x:row>
    <x:row r="110">
      <x:c r="B110" t="str">
        <x:v>A-0080</x:v>
      </x:c>
      <x:c r="C110" t="str">
        <x:v>GATE</x:v>
      </x:c>
      <x:c r="D110" t="str">
        <x:v>release ledger mirrors governing state</x:v>
      </x:c>
      <x:c r="E110" t="str">
        <x:f>'Release Gates'!J86</x:f>
        <x:v>PASS</x:v>
      </x:c>
      <x:c r="F110" t="str">
        <x:f>IF('Release Gates'!C86="PLANNING","PASS",IF('Release Gates'!C86="PHYSICAL","OPEN","BLOCKED"))</x:f>
        <x:v>PASS</x:v>
      </x:c>
      <x:c r="G110" t="str">
        <x:v>equals</x:v>
      </x:c>
      <x:c r="H110" t="str">
        <x:f>IF(E110=F110,"PASS","FAIL")</x:f>
        <x:v>PASS</x:v>
      </x:c>
    </x:row>
    <x:row r="111">
      <x:c r="B111" t="str">
        <x:v>A-0081</x:v>
      </x:c>
      <x:c r="C111" t="str">
        <x:v>GATE</x:v>
      </x:c>
      <x:c r="D111" t="str">
        <x:v>release ledger mirrors governing state</x:v>
      </x:c>
      <x:c r="E111" t="str">
        <x:f>'Release Gates'!J87</x:f>
        <x:v>PASS</x:v>
      </x:c>
      <x:c r="F111" t="str">
        <x:f>IF('Release Gates'!C87="PLANNING","PASS",IF('Release Gates'!C87="PHYSICAL","OPEN","BLOCKED"))</x:f>
        <x:v>PASS</x:v>
      </x:c>
      <x:c r="G111" t="str">
        <x:v>equals</x:v>
      </x:c>
      <x:c r="H111" t="str">
        <x:f>IF(E111=F111,"PASS","FAIL")</x:f>
        <x:v>PASS</x:v>
      </x:c>
    </x:row>
    <x:row r="112">
      <x:c r="B112" t="str">
        <x:v>A-0082</x:v>
      </x:c>
      <x:c r="C112" t="str">
        <x:v>GATE</x:v>
      </x:c>
      <x:c r="D112" t="str">
        <x:v>release ledger mirrors governing state</x:v>
      </x:c>
      <x:c r="E112" t="str">
        <x:f>'Release Gates'!J88</x:f>
        <x:v>PASS</x:v>
      </x:c>
      <x:c r="F112" t="str">
        <x:f>IF('Release Gates'!C88="PLANNING","PASS",IF('Release Gates'!C88="PHYSICAL","OPEN","BLOCKED"))</x:f>
        <x:v>PASS</x:v>
      </x:c>
      <x:c r="G112" t="str">
        <x:v>equals</x:v>
      </x:c>
      <x:c r="H112" t="str">
        <x:f>IF(E112=F112,"PASS","FAIL")</x:f>
        <x:v>PASS</x:v>
      </x:c>
    </x:row>
    <x:row r="113">
      <x:c r="B113" t="str">
        <x:v>A-0083</x:v>
      </x:c>
      <x:c r="C113" t="str">
        <x:v>GATE</x:v>
      </x:c>
      <x:c r="D113" t="str">
        <x:v>release ledger mirrors governing state</x:v>
      </x:c>
      <x:c r="E113" t="str">
        <x:f>'Release Gates'!J89</x:f>
        <x:v>PASS</x:v>
      </x:c>
      <x:c r="F113" t="str">
        <x:f>IF('Release Gates'!C89="PLANNING","PASS",IF('Release Gates'!C89="PHYSICAL","OPEN","BLOCKED"))</x:f>
        <x:v>PASS</x:v>
      </x:c>
      <x:c r="G113" t="str">
        <x:v>equals</x:v>
      </x:c>
      <x:c r="H113" t="str">
        <x:f>IF(E113=F113,"PASS","FAIL")</x:f>
        <x:v>PASS</x:v>
      </x:c>
    </x:row>
    <x:row r="114">
      <x:c r="B114" t="str">
        <x:v>A-0084</x:v>
      </x:c>
      <x:c r="C114" t="str">
        <x:v>GATE</x:v>
      </x:c>
      <x:c r="D114" t="str">
        <x:v>release ledger mirrors governing state</x:v>
      </x:c>
      <x:c r="E114" t="str">
        <x:f>'Release Gates'!J90</x:f>
        <x:v>PASS</x:v>
      </x:c>
      <x:c r="F114" t="str">
        <x:f>IF('Release Gates'!C90="PLANNING","PASS",IF('Release Gates'!C90="PHYSICAL","OPEN","BLOCKED"))</x:f>
        <x:v>PASS</x:v>
      </x:c>
      <x:c r="G114" t="str">
        <x:v>equals</x:v>
      </x:c>
      <x:c r="H114" t="str">
        <x:f>IF(E114=F114,"PASS","FAIL")</x:f>
        <x:v>PASS</x:v>
      </x:c>
    </x:row>
    <x:row r="115">
      <x:c r="B115" t="str">
        <x:v>A-0085</x:v>
      </x:c>
      <x:c r="C115" t="str">
        <x:v>GATE</x:v>
      </x:c>
      <x:c r="D115" t="str">
        <x:v>release ledger mirrors governing state</x:v>
      </x:c>
      <x:c r="E115" t="str">
        <x:f>'Release Gates'!J91</x:f>
        <x:v>PASS</x:v>
      </x:c>
      <x:c r="F115" t="str">
        <x:f>IF('Release Gates'!C91="PLANNING","PASS",IF('Release Gates'!C91="PHYSICAL","OPEN","BLOCKED"))</x:f>
        <x:v>PASS</x:v>
      </x:c>
      <x:c r="G115" t="str">
        <x:v>equals</x:v>
      </x:c>
      <x:c r="H115" t="str">
        <x:f>IF(E115=F115,"PASS","FAIL")</x:f>
        <x:v>PASS</x:v>
      </x:c>
    </x:row>
    <x:row r="116">
      <x:c r="B116" t="str">
        <x:v>A-0086</x:v>
      </x:c>
      <x:c r="C116" t="str">
        <x:v>GATE</x:v>
      </x:c>
      <x:c r="D116" t="str">
        <x:v>release ledger mirrors governing state</x:v>
      </x:c>
      <x:c r="E116" t="str">
        <x:f>'Release Gates'!J92</x:f>
        <x:v>PASS</x:v>
      </x:c>
      <x:c r="F116" t="str">
        <x:f>IF('Release Gates'!C92="PLANNING","PASS",IF('Release Gates'!C92="PHYSICAL","OPEN","BLOCKED"))</x:f>
        <x:v>PASS</x:v>
      </x:c>
      <x:c r="G116" t="str">
        <x:v>equals</x:v>
      </x:c>
      <x:c r="H116" t="str">
        <x:f>IF(E116=F116,"PASS","FAIL")</x:f>
        <x:v>PASS</x:v>
      </x:c>
    </x:row>
    <x:row r="117">
      <x:c r="B117" t="str">
        <x:v>A-0087</x:v>
      </x:c>
      <x:c r="C117" t="str">
        <x:v>GATE</x:v>
      </x:c>
      <x:c r="D117" t="str">
        <x:v>release ledger mirrors governing state</x:v>
      </x:c>
      <x:c r="E117" t="str">
        <x:f>'Release Gates'!J93</x:f>
        <x:v>PASS</x:v>
      </x:c>
      <x:c r="F117" t="str">
        <x:f>IF('Release Gates'!C93="PLANNING","PASS",IF('Release Gates'!C93="PHYSICAL","OPEN","BLOCKED"))</x:f>
        <x:v>PASS</x:v>
      </x:c>
      <x:c r="G117" t="str">
        <x:v>equals</x:v>
      </x:c>
      <x:c r="H117" t="str">
        <x:f>IF(E117=F117,"PASS","FAIL")</x:f>
        <x:v>PASS</x:v>
      </x:c>
    </x:row>
    <x:row r="118">
      <x:c r="B118" t="str">
        <x:v>A-0088</x:v>
      </x:c>
      <x:c r="C118" t="str">
        <x:v>GATE</x:v>
      </x:c>
      <x:c r="D118" t="str">
        <x:v>release ledger mirrors governing state</x:v>
      </x:c>
      <x:c r="E118" t="str">
        <x:f>'Release Gates'!J94</x:f>
        <x:v>PASS</x:v>
      </x:c>
      <x:c r="F118" t="str">
        <x:f>IF('Release Gates'!C94="PLANNING","PASS",IF('Release Gates'!C94="PHYSICAL","OPEN","BLOCKED"))</x:f>
        <x:v>PASS</x:v>
      </x:c>
      <x:c r="G118" t="str">
        <x:v>equals</x:v>
      </x:c>
      <x:c r="H118" t="str">
        <x:f>IF(E118=F118,"PASS","FAIL")</x:f>
        <x:v>PASS</x:v>
      </x:c>
    </x:row>
    <x:row r="119">
      <x:c r="B119" t="str">
        <x:v>A-0089</x:v>
      </x:c>
      <x:c r="C119" t="str">
        <x:v>GATE</x:v>
      </x:c>
      <x:c r="D119" t="str">
        <x:v>release ledger mirrors governing state</x:v>
      </x:c>
      <x:c r="E119" t="str">
        <x:f>'Release Gates'!J95</x:f>
        <x:v>PASS</x:v>
      </x:c>
      <x:c r="F119" t="str">
        <x:f>IF('Release Gates'!C95="PLANNING","PASS",IF('Release Gates'!C95="PHYSICAL","OPEN","BLOCKED"))</x:f>
        <x:v>PASS</x:v>
      </x:c>
      <x:c r="G119" t="str">
        <x:v>equals</x:v>
      </x:c>
      <x:c r="H119" t="str">
        <x:f>IF(E119=F119,"PASS","FAIL")</x:f>
        <x:v>PASS</x:v>
      </x:c>
    </x:row>
    <x:row r="120">
      <x:c r="B120" t="str">
        <x:v>A-0090</x:v>
      </x:c>
      <x:c r="C120" t="str">
        <x:v>GATE</x:v>
      </x:c>
      <x:c r="D120" t="str">
        <x:v>release ledger mirrors governing state</x:v>
      </x:c>
      <x:c r="E120" t="str">
        <x:f>'Release Gates'!J96</x:f>
        <x:v>PASS</x:v>
      </x:c>
      <x:c r="F120" t="str">
        <x:f>IF('Release Gates'!C96="PLANNING","PASS",IF('Release Gates'!C96="PHYSICAL","OPEN","BLOCKED"))</x:f>
        <x:v>PASS</x:v>
      </x:c>
      <x:c r="G120" t="str">
        <x:v>equals</x:v>
      </x:c>
      <x:c r="H120" t="str">
        <x:f>IF(E120=F120,"PASS","FAIL")</x:f>
        <x:v>PASS</x:v>
      </x:c>
    </x:row>
    <x:row r="121">
      <x:c r="B121" t="str">
        <x:v>A-0091</x:v>
      </x:c>
      <x:c r="C121" t="str">
        <x:v>GATE</x:v>
      </x:c>
      <x:c r="D121" t="str">
        <x:v>release ledger mirrors governing state</x:v>
      </x:c>
      <x:c r="E121" t="str">
        <x:f>'Release Gates'!J97</x:f>
        <x:v>PASS</x:v>
      </x:c>
      <x:c r="F121" t="str">
        <x:f>IF('Release Gates'!C97="PLANNING","PASS",IF('Release Gates'!C97="PHYSICAL","OPEN","BLOCKED"))</x:f>
        <x:v>PASS</x:v>
      </x:c>
      <x:c r="G121" t="str">
        <x:v>equals</x:v>
      </x:c>
      <x:c r="H121" t="str">
        <x:f>IF(E121=F121,"PASS","FAIL")</x:f>
        <x:v>PASS</x:v>
      </x:c>
    </x:row>
    <x:row r="122">
      <x:c r="B122" t="str">
        <x:v>A-0092</x:v>
      </x:c>
      <x:c r="C122" t="str">
        <x:v>GATE</x:v>
      </x:c>
      <x:c r="D122" t="str">
        <x:v>release ledger mirrors governing state</x:v>
      </x:c>
      <x:c r="E122" t="str">
        <x:f>'Release Gates'!J98</x:f>
        <x:v>PASS</x:v>
      </x:c>
      <x:c r="F122" t="str">
        <x:f>IF('Release Gates'!C98="PLANNING","PASS",IF('Release Gates'!C98="PHYSICAL","OPEN","BLOCKED"))</x:f>
        <x:v>PASS</x:v>
      </x:c>
      <x:c r="G122" t="str">
        <x:v>equals</x:v>
      </x:c>
      <x:c r="H122" t="str">
        <x:f>IF(E122=F122,"PASS","FAIL")</x:f>
        <x:v>PASS</x:v>
      </x:c>
    </x:row>
    <x:row r="123">
      <x:c r="B123" t="str">
        <x:v>A-0093</x:v>
      </x:c>
      <x:c r="C123" t="str">
        <x:v>GATE</x:v>
      </x:c>
      <x:c r="D123" t="str">
        <x:v>release ledger mirrors governing state</x:v>
      </x:c>
      <x:c r="E123" t="str">
        <x:f>'Release Gates'!J99</x:f>
        <x:v>PASS</x:v>
      </x:c>
      <x:c r="F123" t="str">
        <x:f>IF('Release Gates'!C99="PLANNING","PASS",IF('Release Gates'!C99="PHYSICAL","OPEN","BLOCKED"))</x:f>
        <x:v>PASS</x:v>
      </x:c>
      <x:c r="G123" t="str">
        <x:v>equals</x:v>
      </x:c>
      <x:c r="H123" t="str">
        <x:f>IF(E123=F123,"PASS","FAIL")</x:f>
        <x:v>PASS</x:v>
      </x:c>
    </x:row>
    <x:row r="124">
      <x:c r="B124" t="str">
        <x:v>A-0094</x:v>
      </x:c>
      <x:c r="C124" t="str">
        <x:v>GATE</x:v>
      </x:c>
      <x:c r="D124" t="str">
        <x:v>release ledger mirrors governing state</x:v>
      </x:c>
      <x:c r="E124" t="str">
        <x:f>'Release Gates'!J100</x:f>
        <x:v>PASS</x:v>
      </x:c>
      <x:c r="F124" t="str">
        <x:f>IF('Release Gates'!C100="PLANNING","PASS",IF('Release Gates'!C100="PHYSICAL","OPEN","BLOCKED"))</x:f>
        <x:v>PASS</x:v>
      </x:c>
      <x:c r="G124" t="str">
        <x:v>equals</x:v>
      </x:c>
      <x:c r="H124" t="str">
        <x:f>IF(E124=F124,"PASS","FAIL")</x:f>
        <x:v>PASS</x:v>
      </x:c>
    </x:row>
    <x:row r="125">
      <x:c r="B125" t="str">
        <x:v>A-0095</x:v>
      </x:c>
      <x:c r="C125" t="str">
        <x:v>GATE</x:v>
      </x:c>
      <x:c r="D125" t="str">
        <x:v>release ledger mirrors governing state</x:v>
      </x:c>
      <x:c r="E125" t="str">
        <x:f>'Release Gates'!J101</x:f>
        <x:v>PASS</x:v>
      </x:c>
      <x:c r="F125" t="str">
        <x:f>IF('Release Gates'!C101="PLANNING","PASS",IF('Release Gates'!C101="PHYSICAL","OPEN","BLOCKED"))</x:f>
        <x:v>PASS</x:v>
      </x:c>
      <x:c r="G125" t="str">
        <x:v>equals</x:v>
      </x:c>
      <x:c r="H125" t="str">
        <x:f>IF(E125=F125,"PASS","FAIL")</x:f>
        <x:v>PASS</x:v>
      </x:c>
    </x:row>
    <x:row r="126">
      <x:c r="B126" t="str">
        <x:v>A-0096</x:v>
      </x:c>
      <x:c r="C126" t="str">
        <x:v>GATE</x:v>
      </x:c>
      <x:c r="D126" t="str">
        <x:v>release ledger mirrors governing state</x:v>
      </x:c>
      <x:c r="E126" t="str">
        <x:f>'Release Gates'!J102</x:f>
        <x:v>PASS</x:v>
      </x:c>
      <x:c r="F126" t="str">
        <x:f>IF('Release Gates'!C102="PLANNING","PASS",IF('Release Gates'!C102="PHYSICAL","OPEN","BLOCKED"))</x:f>
        <x:v>PASS</x:v>
      </x:c>
      <x:c r="G126" t="str">
        <x:v>equals</x:v>
      </x:c>
      <x:c r="H126" t="str">
        <x:f>IF(E126=F126,"PASS","FAIL")</x:f>
        <x:v>PASS</x:v>
      </x:c>
    </x:row>
    <x:row r="127">
      <x:c r="B127" t="str">
        <x:v>A-0097</x:v>
      </x:c>
      <x:c r="C127" t="str">
        <x:v>GATE</x:v>
      </x:c>
      <x:c r="D127" t="str">
        <x:v>release ledger mirrors governing state</x:v>
      </x:c>
      <x:c r="E127" t="str">
        <x:f>'Release Gates'!J103</x:f>
        <x:v>PASS</x:v>
      </x:c>
      <x:c r="F127" t="str">
        <x:f>IF('Release Gates'!C103="PLANNING","PASS",IF('Release Gates'!C103="PHYSICAL","OPEN","BLOCKED"))</x:f>
        <x:v>PASS</x:v>
      </x:c>
      <x:c r="G127" t="str">
        <x:v>equals</x:v>
      </x:c>
      <x:c r="H127" t="str">
        <x:f>IF(E127=F127,"PASS","FAIL")</x:f>
        <x:v>PASS</x:v>
      </x:c>
    </x:row>
    <x:row r="128">
      <x:c r="B128" t="str">
        <x:v>A-0098</x:v>
      </x:c>
      <x:c r="C128" t="str">
        <x:v>GATE</x:v>
      </x:c>
      <x:c r="D128" t="str">
        <x:v>release ledger mirrors governing state</x:v>
      </x:c>
      <x:c r="E128" t="str">
        <x:f>'Release Gates'!J104</x:f>
        <x:v>PASS</x:v>
      </x:c>
      <x:c r="F128" t="str">
        <x:f>IF('Release Gates'!C104="PLANNING","PASS",IF('Release Gates'!C104="PHYSICAL","OPEN","BLOCKED"))</x:f>
        <x:v>PASS</x:v>
      </x:c>
      <x:c r="G128" t="str">
        <x:v>equals</x:v>
      </x:c>
      <x:c r="H128" t="str">
        <x:f>IF(E128=F128,"PASS","FAIL")</x:f>
        <x:v>PASS</x:v>
      </x:c>
    </x:row>
    <x:row r="129">
      <x:c r="B129" t="str">
        <x:v>A-0099</x:v>
      </x:c>
      <x:c r="C129" t="str">
        <x:v>GATE</x:v>
      </x:c>
      <x:c r="D129" t="str">
        <x:v>release ledger mirrors governing state</x:v>
      </x:c>
      <x:c r="E129" t="str">
        <x:f>'Release Gates'!J105</x:f>
        <x:v>PASS</x:v>
      </x:c>
      <x:c r="F129" t="str">
        <x:f>IF('Release Gates'!C105="PLANNING","PASS",IF('Release Gates'!C105="PHYSICAL","OPEN","BLOCKED"))</x:f>
        <x:v>PASS</x:v>
      </x:c>
      <x:c r="G129" t="str">
        <x:v>equals</x:v>
      </x:c>
      <x:c r="H129" t="str">
        <x:f>IF(E129=F129,"PASS","FAIL")</x:f>
        <x:v>PASS</x:v>
      </x:c>
    </x:row>
    <x:row r="130">
      <x:c r="B130" t="str">
        <x:v>A-0100</x:v>
      </x:c>
      <x:c r="C130" t="str">
        <x:v>GATE</x:v>
      </x:c>
      <x:c r="D130" t="str">
        <x:v>release ledger mirrors governing state</x:v>
      </x:c>
      <x:c r="E130" t="str">
        <x:f>'Release Gates'!J106</x:f>
        <x:v>PASS</x:v>
      </x:c>
      <x:c r="F130" t="str">
        <x:f>IF('Release Gates'!C106="PLANNING","PASS",IF('Release Gates'!C106="PHYSICAL","OPEN","BLOCKED"))</x:f>
        <x:v>PASS</x:v>
      </x:c>
      <x:c r="G130" t="str">
        <x:v>equals</x:v>
      </x:c>
      <x:c r="H130" t="str">
        <x:f>IF(E130=F130,"PASS","FAIL")</x:f>
        <x:v>PASS</x:v>
      </x:c>
    </x:row>
    <x:row r="131">
      <x:c r="B131" t="str">
        <x:v>A-0101</x:v>
      </x:c>
      <x:c r="C131" t="str">
        <x:v>GATE</x:v>
      </x:c>
      <x:c r="D131" t="str">
        <x:v>release ledger mirrors governing state</x:v>
      </x:c>
      <x:c r="E131" t="str">
        <x:f>'Release Gates'!J107</x:f>
        <x:v>PASS</x:v>
      </x:c>
      <x:c r="F131" t="str">
        <x:f>IF('Release Gates'!C107="PLANNING","PASS",IF('Release Gates'!C107="PHYSICAL","OPEN","BLOCKED"))</x:f>
        <x:v>PASS</x:v>
      </x:c>
      <x:c r="G131" t="str">
        <x:v>equals</x:v>
      </x:c>
      <x:c r="H131" t="str">
        <x:f>IF(E131=F131,"PASS","FAIL")</x:f>
        <x:v>PASS</x:v>
      </x:c>
    </x:row>
    <x:row r="132">
      <x:c r="B132" t="str">
        <x:v>A-0102</x:v>
      </x:c>
      <x:c r="C132" t="str">
        <x:v>GATE</x:v>
      </x:c>
      <x:c r="D132" t="str">
        <x:v>release ledger mirrors governing state</x:v>
      </x:c>
      <x:c r="E132" t="str">
        <x:f>'Release Gates'!J108</x:f>
        <x:v>PASS</x:v>
      </x:c>
      <x:c r="F132" t="str">
        <x:f>IF('Release Gates'!C108="PLANNING","PASS",IF('Release Gates'!C108="PHYSICAL","OPEN","BLOCKED"))</x:f>
        <x:v>PASS</x:v>
      </x:c>
      <x:c r="G132" t="str">
        <x:v>equals</x:v>
      </x:c>
      <x:c r="H132" t="str">
        <x:f>IF(E132=F132,"PASS","FAIL")</x:f>
        <x:v>PASS</x:v>
      </x:c>
    </x:row>
    <x:row r="133">
      <x:c r="B133" t="str">
        <x:v>A-0103</x:v>
      </x:c>
      <x:c r="C133" t="str">
        <x:v>GATE</x:v>
      </x:c>
      <x:c r="D133" t="str">
        <x:v>release ledger mirrors governing state</x:v>
      </x:c>
      <x:c r="E133" t="str">
        <x:f>'Release Gates'!J109</x:f>
        <x:v>PASS</x:v>
      </x:c>
      <x:c r="F133" t="str">
        <x:f>IF('Release Gates'!C109="PLANNING","PASS",IF('Release Gates'!C109="PHYSICAL","OPEN","BLOCKED"))</x:f>
        <x:v>PASS</x:v>
      </x:c>
      <x:c r="G133" t="str">
        <x:v>equals</x:v>
      </x:c>
      <x:c r="H133" t="str">
        <x:f>IF(E133=F133,"PASS","FAIL")</x:f>
        <x:v>PASS</x:v>
      </x:c>
    </x:row>
    <x:row r="134">
      <x:c r="B134" t="str">
        <x:v>A-0104</x:v>
      </x:c>
      <x:c r="C134" t="str">
        <x:v>GATE</x:v>
      </x:c>
      <x:c r="D134" t="str">
        <x:v>release ledger mirrors governing state</x:v>
      </x:c>
      <x:c r="E134" t="str">
        <x:f>'Release Gates'!J110</x:f>
        <x:v>PASS</x:v>
      </x:c>
      <x:c r="F134" t="str">
        <x:f>IF('Release Gates'!C110="PLANNING","PASS",IF('Release Gates'!C110="PHYSICAL","OPEN","BLOCKED"))</x:f>
        <x:v>PASS</x:v>
      </x:c>
      <x:c r="G134" t="str">
        <x:v>equals</x:v>
      </x:c>
      <x:c r="H134" t="str">
        <x:f>IF(E134=F134,"PASS","FAIL")</x:f>
        <x:v>PASS</x:v>
      </x:c>
    </x:row>
    <x:row r="135">
      <x:c r="B135" t="str">
        <x:v>A-0105</x:v>
      </x:c>
      <x:c r="C135" t="str">
        <x:v>GATE</x:v>
      </x:c>
      <x:c r="D135" t="str">
        <x:v>release ledger mirrors governing state</x:v>
      </x:c>
      <x:c r="E135" t="str">
        <x:f>'Release Gates'!J111</x:f>
        <x:v>PASS</x:v>
      </x:c>
      <x:c r="F135" t="str">
        <x:f>IF('Release Gates'!C111="PLANNING","PASS",IF('Release Gates'!C111="PHYSICAL","OPEN","BLOCKED"))</x:f>
        <x:v>PASS</x:v>
      </x:c>
      <x:c r="G135" t="str">
        <x:v>equals</x:v>
      </x:c>
      <x:c r="H135" t="str">
        <x:f>IF(E135=F135,"PASS","FAIL")</x:f>
        <x:v>PASS</x:v>
      </x:c>
    </x:row>
    <x:row r="136">
      <x:c r="B136" t="str">
        <x:v>A-0106</x:v>
      </x:c>
      <x:c r="C136" t="str">
        <x:v>GATE</x:v>
      </x:c>
      <x:c r="D136" t="str">
        <x:v>release ledger mirrors governing state</x:v>
      </x:c>
      <x:c r="E136" t="str">
        <x:f>'Release Gates'!J112</x:f>
        <x:v>PASS</x:v>
      </x:c>
      <x:c r="F136" t="str">
        <x:f>IF('Release Gates'!C112="PLANNING","PASS",IF('Release Gates'!C112="PHYSICAL","OPEN","BLOCKED"))</x:f>
        <x:v>PASS</x:v>
      </x:c>
      <x:c r="G136" t="str">
        <x:v>equals</x:v>
      </x:c>
      <x:c r="H136" t="str">
        <x:f>IF(E136=F136,"PASS","FAIL")</x:f>
        <x:v>PASS</x:v>
      </x:c>
    </x:row>
    <x:row r="137">
      <x:c r="B137" t="str">
        <x:v>A-0107</x:v>
      </x:c>
      <x:c r="C137" t="str">
        <x:v>GATE</x:v>
      </x:c>
      <x:c r="D137" t="str">
        <x:v>release ledger mirrors governing state</x:v>
      </x:c>
      <x:c r="E137" t="str">
        <x:f>'Release Gates'!J113</x:f>
        <x:v>PASS</x:v>
      </x:c>
      <x:c r="F137" t="str">
        <x:f>IF('Release Gates'!C113="PLANNING","PASS",IF('Release Gates'!C113="PHYSICAL","OPEN","BLOCKED"))</x:f>
        <x:v>PASS</x:v>
      </x:c>
      <x:c r="G137" t="str">
        <x:v>equals</x:v>
      </x:c>
      <x:c r="H137" t="str">
        <x:f>IF(E137=F137,"PASS","FAIL")</x:f>
        <x:v>PASS</x:v>
      </x:c>
    </x:row>
    <x:row r="138">
      <x:c r="B138" t="str">
        <x:v>A-0108</x:v>
      </x:c>
      <x:c r="C138" t="str">
        <x:v>GATE</x:v>
      </x:c>
      <x:c r="D138" t="str">
        <x:v>release ledger mirrors governing state</x:v>
      </x:c>
      <x:c r="E138" t="str">
        <x:f>'Release Gates'!J114</x:f>
        <x:v>PASS</x:v>
      </x:c>
      <x:c r="F138" t="str">
        <x:f>IF('Release Gates'!C114="PLANNING","PASS",IF('Release Gates'!C114="PHYSICAL","OPEN","BLOCKED"))</x:f>
        <x:v>PASS</x:v>
      </x:c>
      <x:c r="G138" t="str">
        <x:v>equals</x:v>
      </x:c>
      <x:c r="H138" t="str">
        <x:f>IF(E138=F138,"PASS","FAIL")</x:f>
        <x:v>PASS</x:v>
      </x:c>
    </x:row>
    <x:row r="139">
      <x:c r="B139" t="str">
        <x:v>A-0109</x:v>
      </x:c>
      <x:c r="C139" t="str">
        <x:v>GATE</x:v>
      </x:c>
      <x:c r="D139" t="str">
        <x:v>release ledger mirrors governing state</x:v>
      </x:c>
      <x:c r="E139" t="str">
        <x:f>'Release Gates'!J115</x:f>
        <x:v>PASS</x:v>
      </x:c>
      <x:c r="F139" t="str">
        <x:f>IF('Release Gates'!C115="PLANNING","PASS",IF('Release Gates'!C115="PHYSICAL","OPEN","BLOCKED"))</x:f>
        <x:v>PASS</x:v>
      </x:c>
      <x:c r="G139" t="str">
        <x:v>equals</x:v>
      </x:c>
      <x:c r="H139" t="str">
        <x:f>IF(E139=F139,"PASS","FAIL")</x:f>
        <x:v>PASS</x:v>
      </x:c>
    </x:row>
    <x:row r="140">
      <x:c r="B140" t="str">
        <x:v>A-0110</x:v>
      </x:c>
      <x:c r="C140" t="str">
        <x:v>GATE</x:v>
      </x:c>
      <x:c r="D140" t="str">
        <x:v>release ledger mirrors governing state</x:v>
      </x:c>
      <x:c r="E140" t="str">
        <x:f>'Release Gates'!J116</x:f>
        <x:v>PASS</x:v>
      </x:c>
      <x:c r="F140" t="str">
        <x:f>IF('Release Gates'!C116="PLANNING","PASS",IF('Release Gates'!C116="PHYSICAL","OPEN","BLOCKED"))</x:f>
        <x:v>PASS</x:v>
      </x:c>
      <x:c r="G140" t="str">
        <x:v>equals</x:v>
      </x:c>
      <x:c r="H140" t="str">
        <x:f>IF(E140=F140,"PASS","FAIL")</x:f>
        <x:v>PASS</x:v>
      </x:c>
    </x:row>
    <x:row r="141">
      <x:c r="B141" t="str">
        <x:v>A-0111</x:v>
      </x:c>
      <x:c r="C141" t="str">
        <x:v>GATE</x:v>
      </x:c>
      <x:c r="D141" t="str">
        <x:v>release ledger mirrors governing state</x:v>
      </x:c>
      <x:c r="E141" t="str">
        <x:f>'Release Gates'!J117</x:f>
        <x:v>PASS</x:v>
      </x:c>
      <x:c r="F141" t="str">
        <x:f>IF('Release Gates'!C117="PLANNING","PASS",IF('Release Gates'!C117="PHYSICAL","OPEN","BLOCKED"))</x:f>
        <x:v>PASS</x:v>
      </x:c>
      <x:c r="G141" t="str">
        <x:v>equals</x:v>
      </x:c>
      <x:c r="H141" t="str">
        <x:f>IF(E141=F141,"PASS","FAIL")</x:f>
        <x:v>PASS</x:v>
      </x:c>
    </x:row>
    <x:row r="142">
      <x:c r="B142" t="str">
        <x:v>A-0112</x:v>
      </x:c>
      <x:c r="C142" t="str">
        <x:v>GATE</x:v>
      </x:c>
      <x:c r="D142" t="str">
        <x:v>release ledger mirrors governing state</x:v>
      </x:c>
      <x:c r="E142" t="str">
        <x:f>'Release Gates'!J118</x:f>
        <x:v>PASS</x:v>
      </x:c>
      <x:c r="F142" t="str">
        <x:f>IF('Release Gates'!C118="PLANNING","PASS",IF('Release Gates'!C118="PHYSICAL","OPEN","BLOCKED"))</x:f>
        <x:v>PASS</x:v>
      </x:c>
      <x:c r="G142" t="str">
        <x:v>equals</x:v>
      </x:c>
      <x:c r="H142" t="str">
        <x:f>IF(E142=F142,"PASS","FAIL")</x:f>
        <x:v>PASS</x:v>
      </x:c>
    </x:row>
    <x:row r="143">
      <x:c r="B143" t="str">
        <x:v>A-0113</x:v>
      </x:c>
      <x:c r="C143" t="str">
        <x:v>GATE</x:v>
      </x:c>
      <x:c r="D143" t="str">
        <x:v>release ledger mirrors governing state</x:v>
      </x:c>
      <x:c r="E143" t="str">
        <x:f>'Release Gates'!J119</x:f>
        <x:v>PASS</x:v>
      </x:c>
      <x:c r="F143" t="str">
        <x:f>IF('Release Gates'!C119="PLANNING","PASS",IF('Release Gates'!C119="PHYSICAL","OPEN","BLOCKED"))</x:f>
        <x:v>PASS</x:v>
      </x:c>
      <x:c r="G143" t="str">
        <x:v>equals</x:v>
      </x:c>
      <x:c r="H143" t="str">
        <x:f>IF(E143=F143,"PASS","FAIL")</x:f>
        <x:v>PASS</x:v>
      </x:c>
    </x:row>
    <x:row r="144">
      <x:c r="B144" t="str">
        <x:v>A-0114</x:v>
      </x:c>
      <x:c r="C144" t="str">
        <x:v>GATE</x:v>
      </x:c>
      <x:c r="D144" t="str">
        <x:v>release ledger mirrors governing state</x:v>
      </x:c>
      <x:c r="E144" t="str">
        <x:f>'Release Gates'!J120</x:f>
        <x:v>PASS</x:v>
      </x:c>
      <x:c r="F144" t="str">
        <x:f>IF('Release Gates'!C120="PLANNING","PASS",IF('Release Gates'!C120="PHYSICAL","OPEN","BLOCKED"))</x:f>
        <x:v>PASS</x:v>
      </x:c>
      <x:c r="G144" t="str">
        <x:v>equals</x:v>
      </x:c>
      <x:c r="H144" t="str">
        <x:f>IF(E144=F144,"PASS","FAIL")</x:f>
        <x:v>PASS</x:v>
      </x:c>
    </x:row>
    <x:row r="145">
      <x:c r="B145" t="str">
        <x:v>A-0115</x:v>
      </x:c>
      <x:c r="C145" t="str">
        <x:v>GATE</x:v>
      </x:c>
      <x:c r="D145" t="str">
        <x:v>release ledger mirrors governing state</x:v>
      </x:c>
      <x:c r="E145" t="str">
        <x:f>'Release Gates'!J121</x:f>
        <x:v>PASS</x:v>
      </x:c>
      <x:c r="F145" t="str">
        <x:f>IF('Release Gates'!C121="PLANNING","PASS",IF('Release Gates'!C121="PHYSICAL","OPEN","BLOCKED"))</x:f>
        <x:v>PASS</x:v>
      </x:c>
      <x:c r="G145" t="str">
        <x:v>equals</x:v>
      </x:c>
      <x:c r="H145" t="str">
        <x:f>IF(E145=F145,"PASS","FAIL")</x:f>
        <x:v>PASS</x:v>
      </x:c>
    </x:row>
    <x:row r="146">
      <x:c r="B146" t="str">
        <x:v>A-0116</x:v>
      </x:c>
      <x:c r="C146" t="str">
        <x:v>GATE</x:v>
      </x:c>
      <x:c r="D146" t="str">
        <x:v>release ledger mirrors governing state</x:v>
      </x:c>
      <x:c r="E146" t="str">
        <x:f>'Release Gates'!J122</x:f>
        <x:v>PASS</x:v>
      </x:c>
      <x:c r="F146" t="str">
        <x:f>IF('Release Gates'!C122="PLANNING","PASS",IF('Release Gates'!C122="PHYSICAL","OPEN","BLOCKED"))</x:f>
        <x:v>PASS</x:v>
      </x:c>
      <x:c r="G146" t="str">
        <x:v>equals</x:v>
      </x:c>
      <x:c r="H146" t="str">
        <x:f>IF(E146=F146,"PASS","FAIL")</x:f>
        <x:v>PASS</x:v>
      </x:c>
    </x:row>
    <x:row r="147">
      <x:c r="B147" t="str">
        <x:v>A-0117</x:v>
      </x:c>
      <x:c r="C147" t="str">
        <x:v>GATE</x:v>
      </x:c>
      <x:c r="D147" t="str">
        <x:v>release ledger mirrors governing state</x:v>
      </x:c>
      <x:c r="E147" t="str">
        <x:f>'Release Gates'!J123</x:f>
        <x:v>PASS</x:v>
      </x:c>
      <x:c r="F147" t="str">
        <x:f>IF('Release Gates'!C123="PLANNING","PASS",IF('Release Gates'!C123="PHYSICAL","OPEN","BLOCKED"))</x:f>
        <x:v>PASS</x:v>
      </x:c>
      <x:c r="G147" t="str">
        <x:v>equals</x:v>
      </x:c>
      <x:c r="H147" t="str">
        <x:f>IF(E147=F147,"PASS","FAIL")</x:f>
        <x:v>PASS</x:v>
      </x:c>
    </x:row>
    <x:row r="148">
      <x:c r="B148" t="str">
        <x:v>A-0118</x:v>
      </x:c>
      <x:c r="C148" t="str">
        <x:v>GATE</x:v>
      </x:c>
      <x:c r="D148" t="str">
        <x:v>release ledger mirrors governing state</x:v>
      </x:c>
      <x:c r="E148" t="str">
        <x:f>'Release Gates'!J124</x:f>
        <x:v>PASS</x:v>
      </x:c>
      <x:c r="F148" t="str">
        <x:f>IF('Release Gates'!C124="PLANNING","PASS",IF('Release Gates'!C124="PHYSICAL","OPEN","BLOCKED"))</x:f>
        <x:v>PASS</x:v>
      </x:c>
      <x:c r="G148" t="str">
        <x:v>equals</x:v>
      </x:c>
      <x:c r="H148" t="str">
        <x:f>IF(E148=F148,"PASS","FAIL")</x:f>
        <x:v>PASS</x:v>
      </x:c>
    </x:row>
    <x:row r="149">
      <x:c r="B149" t="str">
        <x:v>A-0119</x:v>
      </x:c>
      <x:c r="C149" t="str">
        <x:v>GATE</x:v>
      </x:c>
      <x:c r="D149" t="str">
        <x:v>release ledger mirrors governing state</x:v>
      </x:c>
      <x:c r="E149" t="str">
        <x:f>'Release Gates'!J125</x:f>
        <x:v>PASS</x:v>
      </x:c>
      <x:c r="F149" t="str">
        <x:f>IF('Release Gates'!C125="PLANNING","PASS",IF('Release Gates'!C125="PHYSICAL","OPEN","BLOCKED"))</x:f>
        <x:v>PASS</x:v>
      </x:c>
      <x:c r="G149" t="str">
        <x:v>equals</x:v>
      </x:c>
      <x:c r="H149" t="str">
        <x:f>IF(E149=F149,"PASS","FAIL")</x:f>
        <x:v>PASS</x:v>
      </x:c>
    </x:row>
    <x:row r="150">
      <x:c r="B150" t="str">
        <x:v>A-0120</x:v>
      </x:c>
      <x:c r="C150" t="str">
        <x:v>GATE</x:v>
      </x:c>
      <x:c r="D150" t="str">
        <x:v>release ledger mirrors governing state</x:v>
      </x:c>
      <x:c r="E150" t="str">
        <x:f>'Release Gates'!J126</x:f>
        <x:v>PASS</x:v>
      </x:c>
      <x:c r="F150" t="str">
        <x:f>IF('Release Gates'!C126="PLANNING","PASS",IF('Release Gates'!C126="PHYSICAL","OPEN","BLOCKED"))</x:f>
        <x:v>PASS</x:v>
      </x:c>
      <x:c r="G150" t="str">
        <x:v>equals</x:v>
      </x:c>
      <x:c r="H150" t="str">
        <x:f>IF(E150=F150,"PASS","FAIL")</x:f>
        <x:v>PASS</x:v>
      </x:c>
    </x:row>
    <x:row r="151">
      <x:c r="B151" t="str">
        <x:v>A-0121</x:v>
      </x:c>
      <x:c r="C151" t="str">
        <x:v>GATE</x:v>
      </x:c>
      <x:c r="D151" t="str">
        <x:v>release ledger mirrors governing state</x:v>
      </x:c>
      <x:c r="E151" t="str">
        <x:f>'Release Gates'!J127</x:f>
        <x:v>PASS</x:v>
      </x:c>
      <x:c r="F151" t="str">
        <x:f>IF('Release Gates'!C127="PLANNING","PASS",IF('Release Gates'!C127="PHYSICAL","OPEN","BLOCKED"))</x:f>
        <x:v>PASS</x:v>
      </x:c>
      <x:c r="G151" t="str">
        <x:v>equals</x:v>
      </x:c>
      <x:c r="H151" t="str">
        <x:f>IF(E151=F151,"PASS","FAIL")</x:f>
        <x:v>PASS</x:v>
      </x:c>
    </x:row>
    <x:row r="152">
      <x:c r="B152" t="str">
        <x:v>A-0122</x:v>
      </x:c>
      <x:c r="C152" t="str">
        <x:v>GATE</x:v>
      </x:c>
      <x:c r="D152" t="str">
        <x:v>release ledger mirrors governing state</x:v>
      </x:c>
      <x:c r="E152" t="str">
        <x:f>'Release Gates'!J128</x:f>
        <x:v>PASS</x:v>
      </x:c>
      <x:c r="F152" t="str">
        <x:f>IF('Release Gates'!C128="PLANNING","PASS",IF('Release Gates'!C128="PHYSICAL","OPEN","BLOCKED"))</x:f>
        <x:v>PASS</x:v>
      </x:c>
      <x:c r="G152" t="str">
        <x:v>equals</x:v>
      </x:c>
      <x:c r="H152" t="str">
        <x:f>IF(E152=F152,"PASS","FAIL")</x:f>
        <x:v>PASS</x:v>
      </x:c>
    </x:row>
    <x:row r="153">
      <x:c r="B153" t="str">
        <x:v>A-0123</x:v>
      </x:c>
      <x:c r="C153" t="str">
        <x:v>GATE</x:v>
      </x:c>
      <x:c r="D153" t="str">
        <x:v>release ledger mirrors governing state</x:v>
      </x:c>
      <x:c r="E153" t="str">
        <x:f>'Release Gates'!J129</x:f>
        <x:v>PASS</x:v>
      </x:c>
      <x:c r="F153" t="str">
        <x:f>IF('Release Gates'!C129="PLANNING","PASS",IF('Release Gates'!C129="PHYSICAL","OPEN","BLOCKED"))</x:f>
        <x:v>PASS</x:v>
      </x:c>
      <x:c r="G153" t="str">
        <x:v>equals</x:v>
      </x:c>
      <x:c r="H153" t="str">
        <x:f>IF(E153=F153,"PASS","FAIL")</x:f>
        <x:v>PASS</x:v>
      </x:c>
    </x:row>
    <x:row r="154">
      <x:c r="B154" t="str">
        <x:v>A-0124</x:v>
      </x:c>
      <x:c r="C154" t="str">
        <x:v>GATE</x:v>
      </x:c>
      <x:c r="D154" t="str">
        <x:v>release ledger mirrors governing state</x:v>
      </x:c>
      <x:c r="E154" t="str">
        <x:f>'Release Gates'!J130</x:f>
        <x:v>PASS</x:v>
      </x:c>
      <x:c r="F154" t="str">
        <x:f>IF('Release Gates'!C130="PLANNING","PASS",IF('Release Gates'!C130="PHYSICAL","OPEN","BLOCKED"))</x:f>
        <x:v>PASS</x:v>
      </x:c>
      <x:c r="G154" t="str">
        <x:v>equals</x:v>
      </x:c>
      <x:c r="H154" t="str">
        <x:f>IF(E154=F154,"PASS","FAIL")</x:f>
        <x:v>PASS</x:v>
      </x:c>
    </x:row>
    <x:row r="155">
      <x:c r="B155" t="str">
        <x:v>A-0125</x:v>
      </x:c>
      <x:c r="C155" t="str">
        <x:v>GATE</x:v>
      </x:c>
      <x:c r="D155" t="str">
        <x:v>release ledger mirrors governing state</x:v>
      </x:c>
      <x:c r="E155" t="str">
        <x:f>'Release Gates'!J131</x:f>
        <x:v>PASS</x:v>
      </x:c>
      <x:c r="F155" t="str">
        <x:f>IF('Release Gates'!C131="PLANNING","PASS",IF('Release Gates'!C131="PHYSICAL","OPEN","BLOCKED"))</x:f>
        <x:v>PASS</x:v>
      </x:c>
      <x:c r="G155" t="str">
        <x:v>equals</x:v>
      </x:c>
      <x:c r="H155" t="str">
        <x:f>IF(E155=F155,"PASS","FAIL")</x:f>
        <x:v>PASS</x:v>
      </x:c>
    </x:row>
    <x:row r="156">
      <x:c r="B156" t="str">
        <x:v>A-0126</x:v>
      </x:c>
      <x:c r="C156" t="str">
        <x:v>GATE</x:v>
      </x:c>
      <x:c r="D156" t="str">
        <x:v>release ledger mirrors governing state</x:v>
      </x:c>
      <x:c r="E156" t="str">
        <x:f>'Release Gates'!J132</x:f>
        <x:v>PASS</x:v>
      </x:c>
      <x:c r="F156" t="str">
        <x:f>IF('Release Gates'!C132="PLANNING","PASS",IF('Release Gates'!C132="PHYSICAL","OPEN","BLOCKED"))</x:f>
        <x:v>PASS</x:v>
      </x:c>
      <x:c r="G156" t="str">
        <x:v>equals</x:v>
      </x:c>
      <x:c r="H156" t="str">
        <x:f>IF(E156=F156,"PASS","FAIL")</x:f>
        <x:v>PASS</x:v>
      </x:c>
    </x:row>
    <x:row r="157">
      <x:c r="B157" t="str">
        <x:v>A-0127</x:v>
      </x:c>
      <x:c r="C157" t="str">
        <x:v>GATE</x:v>
      </x:c>
      <x:c r="D157" t="str">
        <x:v>release ledger mirrors governing state</x:v>
      </x:c>
      <x:c r="E157" t="str">
        <x:f>'Release Gates'!J133</x:f>
        <x:v>PASS</x:v>
      </x:c>
      <x:c r="F157" t="str">
        <x:f>IF('Release Gates'!C133="PLANNING","PASS",IF('Release Gates'!C133="PHYSICAL","OPEN","BLOCKED"))</x:f>
        <x:v>PASS</x:v>
      </x:c>
      <x:c r="G157" t="str">
        <x:v>equals</x:v>
      </x:c>
      <x:c r="H157" t="str">
        <x:f>IF(E157=F157,"PASS","FAIL")</x:f>
        <x:v>PASS</x:v>
      </x:c>
    </x:row>
    <x:row r="158">
      <x:c r="B158" t="str">
        <x:v>A-0128</x:v>
      </x:c>
      <x:c r="C158" t="str">
        <x:v>GATE</x:v>
      </x:c>
      <x:c r="D158" t="str">
        <x:v>release ledger mirrors governing state</x:v>
      </x:c>
      <x:c r="E158" t="str">
        <x:f>'Release Gates'!J134</x:f>
        <x:v>PASS</x:v>
      </x:c>
      <x:c r="F158" t="str">
        <x:f>IF('Release Gates'!C134="PLANNING","PASS",IF('Release Gates'!C134="PHYSICAL","OPEN","BLOCKED"))</x:f>
        <x:v>PASS</x:v>
      </x:c>
      <x:c r="G158" t="str">
        <x:v>equals</x:v>
      </x:c>
      <x:c r="H158" t="str">
        <x:f>IF(E158=F158,"PASS","FAIL")</x:f>
        <x:v>PASS</x:v>
      </x:c>
    </x:row>
    <x:row r="159">
      <x:c r="B159" t="str">
        <x:v>A-0129</x:v>
      </x:c>
      <x:c r="C159" t="str">
        <x:v>GATE</x:v>
      </x:c>
      <x:c r="D159" t="str">
        <x:v>release ledger mirrors governing state</x:v>
      </x:c>
      <x:c r="E159" t="str">
        <x:f>'Release Gates'!J135</x:f>
        <x:v>PASS</x:v>
      </x:c>
      <x:c r="F159" t="str">
        <x:f>IF('Release Gates'!C135="PLANNING","PASS",IF('Release Gates'!C135="PHYSICAL","OPEN","BLOCKED"))</x:f>
        <x:v>PASS</x:v>
      </x:c>
      <x:c r="G159" t="str">
        <x:v>equals</x:v>
      </x:c>
      <x:c r="H159" t="str">
        <x:f>IF(E159=F159,"PASS","FAIL")</x:f>
        <x:v>PASS</x:v>
      </x:c>
    </x:row>
    <x:row r="160">
      <x:c r="B160" t="str">
        <x:v>A-0130</x:v>
      </x:c>
      <x:c r="C160" t="str">
        <x:v>GATE</x:v>
      </x:c>
      <x:c r="D160" t="str">
        <x:v>release ledger mirrors governing state</x:v>
      </x:c>
      <x:c r="E160" t="str">
        <x:f>'Release Gates'!J136</x:f>
        <x:v>PASS</x:v>
      </x:c>
      <x:c r="F160" t="str">
        <x:f>IF('Release Gates'!C136="PLANNING","PASS",IF('Release Gates'!C136="PHYSICAL","OPEN","BLOCKED"))</x:f>
        <x:v>PASS</x:v>
      </x:c>
      <x:c r="G160" t="str">
        <x:v>equals</x:v>
      </x:c>
      <x:c r="H160" t="str">
        <x:f>IF(E160=F160,"PASS","FAIL")</x:f>
        <x:v>PASS</x:v>
      </x:c>
    </x:row>
    <x:row r="161">
      <x:c r="B161" t="str">
        <x:v>A-0131</x:v>
      </x:c>
      <x:c r="C161" t="str">
        <x:v>GATE</x:v>
      </x:c>
      <x:c r="D161" t="str">
        <x:v>release ledger mirrors governing state</x:v>
      </x:c>
      <x:c r="E161" t="str">
        <x:f>'Release Gates'!J137</x:f>
        <x:v>PASS</x:v>
      </x:c>
      <x:c r="F161" t="str">
        <x:f>IF('Release Gates'!C137="PLANNING","PASS",IF('Release Gates'!C137="PHYSICAL","OPEN","BLOCKED"))</x:f>
        <x:v>PASS</x:v>
      </x:c>
      <x:c r="G161" t="str">
        <x:v>equals</x:v>
      </x:c>
      <x:c r="H161" t="str">
        <x:f>IF(E161=F161,"PASS","FAIL")</x:f>
        <x:v>PASS</x:v>
      </x:c>
    </x:row>
    <x:row r="162">
      <x:c r="B162" t="str">
        <x:v>A-0132</x:v>
      </x:c>
      <x:c r="C162" t="str">
        <x:v>GATE</x:v>
      </x:c>
      <x:c r="D162" t="str">
        <x:v>release ledger mirrors governing state</x:v>
      </x:c>
      <x:c r="E162" t="str">
        <x:f>'Release Gates'!J138</x:f>
        <x:v>PASS</x:v>
      </x:c>
      <x:c r="F162" t="str">
        <x:f>IF('Release Gates'!C138="PLANNING","PASS",IF('Release Gates'!C138="PHYSICAL","OPEN","BLOCKED"))</x:f>
        <x:v>PASS</x:v>
      </x:c>
      <x:c r="G162" t="str">
        <x:v>equals</x:v>
      </x:c>
      <x:c r="H162" t="str">
        <x:f>IF(E162=F162,"PASS","FAIL")</x:f>
        <x:v>PASS</x:v>
      </x:c>
    </x:row>
    <x:row r="163">
      <x:c r="B163" t="str">
        <x:v>A-0133</x:v>
      </x:c>
      <x:c r="C163" t="str">
        <x:v>GATE</x:v>
      </x:c>
      <x:c r="D163" t="str">
        <x:v>release ledger mirrors governing state</x:v>
      </x:c>
      <x:c r="E163" t="str">
        <x:f>'Release Gates'!J139</x:f>
        <x:v>PASS</x:v>
      </x:c>
      <x:c r="F163" t="str">
        <x:f>IF('Release Gates'!C139="PLANNING","PASS",IF('Release Gates'!C139="PHYSICAL","OPEN","BLOCKED"))</x:f>
        <x:v>PASS</x:v>
      </x:c>
      <x:c r="G163" t="str">
        <x:v>equals</x:v>
      </x:c>
      <x:c r="H163" t="str">
        <x:f>IF(E163=F163,"PASS","FAIL")</x:f>
        <x:v>PASS</x:v>
      </x:c>
    </x:row>
    <x:row r="164">
      <x:c r="B164" t="str">
        <x:v>A-0134</x:v>
      </x:c>
      <x:c r="C164" t="str">
        <x:v>GATE</x:v>
      </x:c>
      <x:c r="D164" t="str">
        <x:v>release ledger mirrors governing state</x:v>
      </x:c>
      <x:c r="E164" t="str">
        <x:f>'Release Gates'!J140</x:f>
        <x:v>PASS</x:v>
      </x:c>
      <x:c r="F164" t="str">
        <x:f>IF('Release Gates'!C140="PLANNING","PASS",IF('Release Gates'!C140="PHYSICAL","OPEN","BLOCKED"))</x:f>
        <x:v>PASS</x:v>
      </x:c>
      <x:c r="G164" t="str">
        <x:v>equals</x:v>
      </x:c>
      <x:c r="H164" t="str">
        <x:f>IF(E164=F164,"PASS","FAIL")</x:f>
        <x:v>PASS</x:v>
      </x:c>
    </x:row>
    <x:row r="165">
      <x:c r="B165" t="str">
        <x:v>A-0135</x:v>
      </x:c>
      <x:c r="C165" t="str">
        <x:v>GATE</x:v>
      </x:c>
      <x:c r="D165" t="str">
        <x:v>release ledger mirrors governing state</x:v>
      </x:c>
      <x:c r="E165" t="str">
        <x:f>'Release Gates'!J141</x:f>
        <x:v>PASS</x:v>
      </x:c>
      <x:c r="F165" t="str">
        <x:f>IF('Release Gates'!C141="PLANNING","PASS",IF('Release Gates'!C141="PHYSICAL","OPEN","BLOCKED"))</x:f>
        <x:v>PASS</x:v>
      </x:c>
      <x:c r="G165" t="str">
        <x:v>equals</x:v>
      </x:c>
      <x:c r="H165" t="str">
        <x:f>IF(E165=F165,"PASS","FAIL")</x:f>
        <x:v>PASS</x:v>
      </x:c>
    </x:row>
    <x:row r="166">
      <x:c r="B166" t="str">
        <x:v>A-0136</x:v>
      </x:c>
      <x:c r="C166" t="str">
        <x:v>GATE</x:v>
      </x:c>
      <x:c r="D166" t="str">
        <x:v>release ledger mirrors governing state</x:v>
      </x:c>
      <x:c r="E166" t="str">
        <x:f>'Release Gates'!J142</x:f>
        <x:v>PASS</x:v>
      </x:c>
      <x:c r="F166" t="str">
        <x:f>IF('Release Gates'!C142="PLANNING","PASS",IF('Release Gates'!C142="PHYSICAL","OPEN","BLOCKED"))</x:f>
        <x:v>PASS</x:v>
      </x:c>
      <x:c r="G166" t="str">
        <x:v>equals</x:v>
      </x:c>
      <x:c r="H166" t="str">
        <x:f>IF(E166=F166,"PASS","FAIL")</x:f>
        <x:v>PASS</x:v>
      </x:c>
    </x:row>
    <x:row r="167">
      <x:c r="B167" t="str">
        <x:v>A-0137</x:v>
      </x:c>
      <x:c r="C167" t="str">
        <x:v>GATE</x:v>
      </x:c>
      <x:c r="D167" t="str">
        <x:v>release ledger mirrors governing state</x:v>
      </x:c>
      <x:c r="E167" t="str">
        <x:f>'Release Gates'!J143</x:f>
        <x:v>PASS</x:v>
      </x:c>
      <x:c r="F167" t="str">
        <x:f>IF('Release Gates'!C143="PLANNING","PASS",IF('Release Gates'!C143="PHYSICAL","OPEN","BLOCKED"))</x:f>
        <x:v>PASS</x:v>
      </x:c>
      <x:c r="G167" t="str">
        <x:v>equals</x:v>
      </x:c>
      <x:c r="H167" t="str">
        <x:f>IF(E167=F167,"PASS","FAIL")</x:f>
        <x:v>PASS</x:v>
      </x:c>
    </x:row>
    <x:row r="168">
      <x:c r="B168" t="str">
        <x:v>A-0138</x:v>
      </x:c>
      <x:c r="C168" t="str">
        <x:v>GATE</x:v>
      </x:c>
      <x:c r="D168" t="str">
        <x:v>release ledger mirrors governing state</x:v>
      </x:c>
      <x:c r="E168" t="str">
        <x:f>'Release Gates'!J144</x:f>
        <x:v>PASS</x:v>
      </x:c>
      <x:c r="F168" t="str">
        <x:f>IF('Release Gates'!C144="PLANNING","PASS",IF('Release Gates'!C144="PHYSICAL","OPEN","BLOCKED"))</x:f>
        <x:v>PASS</x:v>
      </x:c>
      <x:c r="G168" t="str">
        <x:v>equals</x:v>
      </x:c>
      <x:c r="H168" t="str">
        <x:f>IF(E168=F168,"PASS","FAIL")</x:f>
        <x:v>PASS</x:v>
      </x:c>
    </x:row>
    <x:row r="169">
      <x:c r="B169" t="str">
        <x:v>A-0139</x:v>
      </x:c>
      <x:c r="C169" t="str">
        <x:v>GATE</x:v>
      </x:c>
      <x:c r="D169" t="str">
        <x:v>release ledger mirrors governing state</x:v>
      </x:c>
      <x:c r="E169" t="str">
        <x:f>'Release Gates'!J145</x:f>
        <x:v>PASS</x:v>
      </x:c>
      <x:c r="F169" t="str">
        <x:f>IF('Release Gates'!C145="PLANNING","PASS",IF('Release Gates'!C145="PHYSICAL","OPEN","BLOCKED"))</x:f>
        <x:v>PASS</x:v>
      </x:c>
      <x:c r="G169" t="str">
        <x:v>equals</x:v>
      </x:c>
      <x:c r="H169" t="str">
        <x:f>IF(E169=F169,"PASS","FAIL")</x:f>
        <x:v>PASS</x:v>
      </x:c>
    </x:row>
    <x:row r="170">
      <x:c r="B170" t="str">
        <x:v>A-0140</x:v>
      </x:c>
      <x:c r="C170" t="str">
        <x:v>GATE</x:v>
      </x:c>
      <x:c r="D170" t="str">
        <x:v>release ledger mirrors governing state</x:v>
      </x:c>
      <x:c r="E170" t="str">
        <x:f>'Release Gates'!J146</x:f>
        <x:v>PASS</x:v>
      </x:c>
      <x:c r="F170" t="str">
        <x:f>IF('Release Gates'!C146="PLANNING","PASS",IF('Release Gates'!C146="PHYSICAL","OPEN","BLOCKED"))</x:f>
        <x:v>PASS</x:v>
      </x:c>
      <x:c r="G170" t="str">
        <x:v>equals</x:v>
      </x:c>
      <x:c r="H170" t="str">
        <x:f>IF(E170=F170,"PASS","FAIL")</x:f>
        <x:v>PASS</x:v>
      </x:c>
    </x:row>
    <x:row r="171">
      <x:c r="B171" t="str">
        <x:v>A-0141</x:v>
      </x:c>
      <x:c r="C171" t="str">
        <x:v>GATE</x:v>
      </x:c>
      <x:c r="D171" t="str">
        <x:v>release ledger mirrors governing state</x:v>
      </x:c>
      <x:c r="E171" t="str">
        <x:f>'Release Gates'!J147</x:f>
        <x:v>PASS</x:v>
      </x:c>
      <x:c r="F171" t="str">
        <x:f>IF('Release Gates'!C147="PLANNING","PASS",IF('Release Gates'!C147="PHYSICAL","OPEN","BLOCKED"))</x:f>
        <x:v>PASS</x:v>
      </x:c>
      <x:c r="G171" t="str">
        <x:v>equals</x:v>
      </x:c>
      <x:c r="H171" t="str">
        <x:f>IF(E171=F171,"PASS","FAIL")</x:f>
        <x:v>PASS</x:v>
      </x:c>
    </x:row>
    <x:row r="172">
      <x:c r="B172" t="str">
        <x:v>A-0142</x:v>
      </x:c>
      <x:c r="C172" t="str">
        <x:v>GATE</x:v>
      </x:c>
      <x:c r="D172" t="str">
        <x:v>release ledger mirrors governing state</x:v>
      </x:c>
      <x:c r="E172" t="str">
        <x:f>'Release Gates'!J148</x:f>
        <x:v>PASS</x:v>
      </x:c>
      <x:c r="F172" t="str">
        <x:f>IF('Release Gates'!C148="PLANNING","PASS",IF('Release Gates'!C148="PHYSICAL","OPEN","BLOCKED"))</x:f>
        <x:v>PASS</x:v>
      </x:c>
      <x:c r="G172" t="str">
        <x:v>equals</x:v>
      </x:c>
      <x:c r="H172" t="str">
        <x:f>IF(E172=F172,"PASS","FAIL")</x:f>
        <x:v>PASS</x:v>
      </x:c>
    </x:row>
    <x:row r="173">
      <x:c r="B173" t="str">
        <x:v>A-0143</x:v>
      </x:c>
      <x:c r="C173" t="str">
        <x:v>GATE</x:v>
      </x:c>
      <x:c r="D173" t="str">
        <x:v>release ledger mirrors governing state</x:v>
      </x:c>
      <x:c r="E173" t="str">
        <x:f>'Release Gates'!J149</x:f>
        <x:v>PASS</x:v>
      </x:c>
      <x:c r="F173" t="str">
        <x:f>IF('Release Gates'!C149="PLANNING","PASS",IF('Release Gates'!C149="PHYSICAL","OPEN","BLOCKED"))</x:f>
        <x:v>PASS</x:v>
      </x:c>
      <x:c r="G173" t="str">
        <x:v>equals</x:v>
      </x:c>
      <x:c r="H173" t="str">
        <x:f>IF(E173=F173,"PASS","FAIL")</x:f>
        <x:v>PASS</x:v>
      </x:c>
    </x:row>
    <x:row r="174">
      <x:c r="B174" t="str">
        <x:v>A-0144</x:v>
      </x:c>
      <x:c r="C174" t="str">
        <x:v>GATE</x:v>
      </x:c>
      <x:c r="D174" t="str">
        <x:v>release ledger mirrors governing state</x:v>
      </x:c>
      <x:c r="E174" t="str">
        <x:f>'Release Gates'!J150</x:f>
        <x:v>PASS</x:v>
      </x:c>
      <x:c r="F174" t="str">
        <x:f>IF('Release Gates'!C150="PLANNING","PASS",IF('Release Gates'!C150="PHYSICAL","OPEN","BLOCKED"))</x:f>
        <x:v>PASS</x:v>
      </x:c>
      <x:c r="G174" t="str">
        <x:v>equals</x:v>
      </x:c>
      <x:c r="H174" t="str">
        <x:f>IF(E174=F174,"PASS","FAIL")</x:f>
        <x:v>PASS</x:v>
      </x:c>
    </x:row>
    <x:row r="175">
      <x:c r="B175" t="str">
        <x:v>A-0145</x:v>
      </x:c>
      <x:c r="C175" t="str">
        <x:v>GATE</x:v>
      </x:c>
      <x:c r="D175" t="str">
        <x:v>release ledger mirrors governing state</x:v>
      </x:c>
      <x:c r="E175" t="str">
        <x:f>'Release Gates'!J151</x:f>
        <x:v>PASS</x:v>
      </x:c>
      <x:c r="F175" t="str">
        <x:f>IF('Release Gates'!C151="PLANNING","PASS",IF('Release Gates'!C151="PHYSICAL","OPEN","BLOCKED"))</x:f>
        <x:v>PASS</x:v>
      </x:c>
      <x:c r="G175" t="str">
        <x:v>equals</x:v>
      </x:c>
      <x:c r="H175" t="str">
        <x:f>IF(E175=F175,"PASS","FAIL")</x:f>
        <x:v>PASS</x:v>
      </x:c>
    </x:row>
    <x:row r="176">
      <x:c r="B176" t="str">
        <x:v>A-0146</x:v>
      </x:c>
      <x:c r="C176" t="str">
        <x:v>GATE</x:v>
      </x:c>
      <x:c r="D176" t="str">
        <x:v>release ledger mirrors governing state</x:v>
      </x:c>
      <x:c r="E176" t="str">
        <x:f>'Release Gates'!J152</x:f>
        <x:v>PASS</x:v>
      </x:c>
      <x:c r="F176" t="str">
        <x:f>IF('Release Gates'!C152="PLANNING","PASS",IF('Release Gates'!C152="PHYSICAL","OPEN","BLOCKED"))</x:f>
        <x:v>PASS</x:v>
      </x:c>
      <x:c r="G176" t="str">
        <x:v>equals</x:v>
      </x:c>
      <x:c r="H176" t="str">
        <x:f>IF(E176=F176,"PASS","FAIL")</x:f>
        <x:v>PASS</x:v>
      </x:c>
    </x:row>
    <x:row r="177">
      <x:c r="B177" t="str">
        <x:v>A-0147</x:v>
      </x:c>
      <x:c r="C177" t="str">
        <x:v>GATE</x:v>
      </x:c>
      <x:c r="D177" t="str">
        <x:v>release ledger mirrors governing state</x:v>
      </x:c>
      <x:c r="E177" t="str">
        <x:f>'Release Gates'!J153</x:f>
        <x:v>PASS</x:v>
      </x:c>
      <x:c r="F177" t="str">
        <x:f>IF('Release Gates'!C153="PLANNING","PASS",IF('Release Gates'!C153="PHYSICAL","OPEN","BLOCKED"))</x:f>
        <x:v>PASS</x:v>
      </x:c>
      <x:c r="G177" t="str">
        <x:v>equals</x:v>
      </x:c>
      <x:c r="H177" t="str">
        <x:f>IF(E177=F177,"PASS","FAIL")</x:f>
        <x:v>PASS</x:v>
      </x:c>
    </x:row>
    <x:row r="178">
      <x:c r="B178" t="str">
        <x:v>A-0148</x:v>
      </x:c>
      <x:c r="C178" t="str">
        <x:v>GATE</x:v>
      </x:c>
      <x:c r="D178" t="str">
        <x:v>release ledger mirrors governing state</x:v>
      </x:c>
      <x:c r="E178" t="str">
        <x:f>'Release Gates'!J154</x:f>
        <x:v>PASS</x:v>
      </x:c>
      <x:c r="F178" t="str">
        <x:f>IF('Release Gates'!C154="PLANNING","PASS",IF('Release Gates'!C154="PHYSICAL","OPEN","BLOCKED"))</x:f>
        <x:v>PASS</x:v>
      </x:c>
      <x:c r="G178" t="str">
        <x:v>equals</x:v>
      </x:c>
      <x:c r="H178" t="str">
        <x:f>IF(E178=F178,"PASS","FAIL")</x:f>
        <x:v>PASS</x:v>
      </x:c>
    </x:row>
    <x:row r="179">
      <x:c r="B179" t="str">
        <x:v>A-0149</x:v>
      </x:c>
      <x:c r="C179" t="str">
        <x:v>GATE</x:v>
      </x:c>
      <x:c r="D179" t="str">
        <x:v>release ledger mirrors governing state</x:v>
      </x:c>
      <x:c r="E179" t="str">
        <x:f>'Release Gates'!J155</x:f>
        <x:v>PASS</x:v>
      </x:c>
      <x:c r="F179" t="str">
        <x:f>IF('Release Gates'!C155="PLANNING","PASS",IF('Release Gates'!C155="PHYSICAL","OPEN","BLOCKED"))</x:f>
        <x:v>PASS</x:v>
      </x:c>
      <x:c r="G179" t="str">
        <x:v>equals</x:v>
      </x:c>
      <x:c r="H179" t="str">
        <x:f>IF(E179=F179,"PASS","FAIL")</x:f>
        <x:v>PASS</x:v>
      </x:c>
    </x:row>
    <x:row r="180">
      <x:c r="B180" t="str">
        <x:v>A-0150</x:v>
      </x:c>
      <x:c r="C180" t="str">
        <x:v>GATE</x:v>
      </x:c>
      <x:c r="D180" t="str">
        <x:v>release ledger mirrors governing state</x:v>
      </x:c>
      <x:c r="E180" t="str">
        <x:f>'Release Gates'!J156</x:f>
        <x:v>PASS</x:v>
      </x:c>
      <x:c r="F180" t="str">
        <x:f>IF('Release Gates'!C156="PLANNING","PASS",IF('Release Gates'!C156="PHYSICAL","OPEN","BLOCKED"))</x:f>
        <x:v>PASS</x:v>
      </x:c>
      <x:c r="G180" t="str">
        <x:v>equals</x:v>
      </x:c>
      <x:c r="H180" t="str">
        <x:f>IF(E180=F180,"PASS","FAIL")</x:f>
        <x:v>PASS</x:v>
      </x:c>
    </x:row>
    <x:row r="181">
      <x:c r="B181" t="str">
        <x:v>A-0151</x:v>
      </x:c>
      <x:c r="C181" t="str">
        <x:v>GATE</x:v>
      </x:c>
      <x:c r="D181" t="str">
        <x:v>release ledger mirrors governing state</x:v>
      </x:c>
      <x:c r="E181" t="str">
        <x:f>'Release Gates'!J157</x:f>
        <x:v>PASS</x:v>
      </x:c>
      <x:c r="F181" t="str">
        <x:f>IF('Release Gates'!C157="PLANNING","PASS",IF('Release Gates'!C157="PHYSICAL","OPEN","BLOCKED"))</x:f>
        <x:v>PASS</x:v>
      </x:c>
      <x:c r="G181" t="str">
        <x:v>equals</x:v>
      </x:c>
      <x:c r="H181" t="str">
        <x:f>IF(E181=F181,"PASS","FAIL")</x:f>
        <x:v>PASS</x:v>
      </x:c>
    </x:row>
    <x:row r="182">
      <x:c r="B182" t="str">
        <x:v>A-0152</x:v>
      </x:c>
      <x:c r="C182" t="str">
        <x:v>GATE</x:v>
      </x:c>
      <x:c r="D182" t="str">
        <x:v>release ledger mirrors governing state</x:v>
      </x:c>
      <x:c r="E182" t="str">
        <x:f>'Release Gates'!J158</x:f>
        <x:v>PASS</x:v>
      </x:c>
      <x:c r="F182" t="str">
        <x:f>IF('Release Gates'!C158="PLANNING","PASS",IF('Release Gates'!C158="PHYSICAL","OPEN","BLOCKED"))</x:f>
        <x:v>PASS</x:v>
      </x:c>
      <x:c r="G182" t="str">
        <x:v>equals</x:v>
      </x:c>
      <x:c r="H182" t="str">
        <x:f>IF(E182=F182,"PASS","FAIL")</x:f>
        <x:v>PASS</x:v>
      </x:c>
    </x:row>
    <x:row r="183">
      <x:c r="B183" t="str">
        <x:v>A-0153</x:v>
      </x:c>
      <x:c r="C183" t="str">
        <x:v>GATE</x:v>
      </x:c>
      <x:c r="D183" t="str">
        <x:v>release ledger mirrors governing state</x:v>
      </x:c>
      <x:c r="E183" t="str">
        <x:f>'Release Gates'!J159</x:f>
        <x:v>PASS</x:v>
      </x:c>
      <x:c r="F183" t="str">
        <x:f>IF('Release Gates'!C159="PLANNING","PASS",IF('Release Gates'!C159="PHYSICAL","OPEN","BLOCKED"))</x:f>
        <x:v>PASS</x:v>
      </x:c>
      <x:c r="G183" t="str">
        <x:v>equals</x:v>
      </x:c>
      <x:c r="H183" t="str">
        <x:f>IF(E183=F183,"PASS","FAIL")</x:f>
        <x:v>PASS</x:v>
      </x:c>
    </x:row>
    <x:row r="184">
      <x:c r="B184" t="str">
        <x:v>A-0154</x:v>
      </x:c>
      <x:c r="C184" t="str">
        <x:v>GATE</x:v>
      </x:c>
      <x:c r="D184" t="str">
        <x:v>release ledger mirrors governing state</x:v>
      </x:c>
      <x:c r="E184" t="str">
        <x:f>'Release Gates'!J160</x:f>
        <x:v>PASS</x:v>
      </x:c>
      <x:c r="F184" t="str">
        <x:f>IF('Release Gates'!C160="PLANNING","PASS",IF('Release Gates'!C160="PHYSICAL","OPEN","BLOCKED"))</x:f>
        <x:v>PASS</x:v>
      </x:c>
      <x:c r="G184" t="str">
        <x:v>equals</x:v>
      </x:c>
      <x:c r="H184" t="str">
        <x:f>IF(E184=F184,"PASS","FAIL")</x:f>
        <x:v>PASS</x:v>
      </x:c>
    </x:row>
    <x:row r="185">
      <x:c r="B185" t="str">
        <x:v>A-0155</x:v>
      </x:c>
      <x:c r="C185" t="str">
        <x:v>GATE</x:v>
      </x:c>
      <x:c r="D185" t="str">
        <x:v>release ledger mirrors governing state</x:v>
      </x:c>
      <x:c r="E185" t="str">
        <x:f>'Release Gates'!J161</x:f>
        <x:v>PASS</x:v>
      </x:c>
      <x:c r="F185" t="str">
        <x:f>IF('Release Gates'!C161="PLANNING","PASS",IF('Release Gates'!C161="PHYSICAL","OPEN","BLOCKED"))</x:f>
        <x:v>PASS</x:v>
      </x:c>
      <x:c r="G185" t="str">
        <x:v>equals</x:v>
      </x:c>
      <x:c r="H185" t="str">
        <x:f>IF(E185=F185,"PASS","FAIL")</x:f>
        <x:v>PASS</x:v>
      </x:c>
    </x:row>
    <x:row r="186">
      <x:c r="B186" t="str">
        <x:v>A-0156</x:v>
      </x:c>
      <x:c r="C186" t="str">
        <x:v>GATE</x:v>
      </x:c>
      <x:c r="D186" t="str">
        <x:v>release ledger mirrors governing state</x:v>
      </x:c>
      <x:c r="E186" t="str">
        <x:f>'Release Gates'!J162</x:f>
        <x:v>PASS</x:v>
      </x:c>
      <x:c r="F186" t="str">
        <x:f>IF('Release Gates'!C162="PLANNING","PASS",IF('Release Gates'!C162="PHYSICAL","OPEN","BLOCKED"))</x:f>
        <x:v>PASS</x:v>
      </x:c>
      <x:c r="G186" t="str">
        <x:v>equals</x:v>
      </x:c>
      <x:c r="H186" t="str">
        <x:f>IF(E186=F186,"PASS","FAIL")</x:f>
        <x:v>PASS</x:v>
      </x:c>
    </x:row>
    <x:row r="187">
      <x:c r="B187" t="str">
        <x:v>A-0157</x:v>
      </x:c>
      <x:c r="C187" t="str">
        <x:v>GATE</x:v>
      </x:c>
      <x:c r="D187" t="str">
        <x:v>release ledger mirrors governing state</x:v>
      </x:c>
      <x:c r="E187" t="str">
        <x:f>'Release Gates'!J163</x:f>
        <x:v>PASS</x:v>
      </x:c>
      <x:c r="F187" t="str">
        <x:f>IF('Release Gates'!C163="PLANNING","PASS",IF('Release Gates'!C163="PHYSICAL","OPEN","BLOCKED"))</x:f>
        <x:v>PASS</x:v>
      </x:c>
      <x:c r="G187" t="str">
        <x:v>equals</x:v>
      </x:c>
      <x:c r="H187" t="str">
        <x:f>IF(E187=F187,"PASS","FAIL")</x:f>
        <x:v>PASS</x:v>
      </x:c>
    </x:row>
    <x:row r="188">
      <x:c r="B188" t="str">
        <x:v>A-0158</x:v>
      </x:c>
      <x:c r="C188" t="str">
        <x:v>GATE</x:v>
      </x:c>
      <x:c r="D188" t="str">
        <x:v>release ledger mirrors governing state</x:v>
      </x:c>
      <x:c r="E188" t="str">
        <x:f>'Release Gates'!J164</x:f>
        <x:v>PASS</x:v>
      </x:c>
      <x:c r="F188" t="str">
        <x:f>IF('Release Gates'!C164="PLANNING","PASS",IF('Release Gates'!C164="PHYSICAL","OPEN","BLOCKED"))</x:f>
        <x:v>PASS</x:v>
      </x:c>
      <x:c r="G188" t="str">
        <x:v>equals</x:v>
      </x:c>
      <x:c r="H188" t="str">
        <x:f>IF(E188=F188,"PASS","FAIL")</x:f>
        <x:v>PASS</x:v>
      </x:c>
    </x:row>
    <x:row r="189">
      <x:c r="B189" t="str">
        <x:v>A-0159</x:v>
      </x:c>
      <x:c r="C189" t="str">
        <x:v>GATE</x:v>
      </x:c>
      <x:c r="D189" t="str">
        <x:v>release ledger mirrors governing state</x:v>
      </x:c>
      <x:c r="E189" t="str">
        <x:f>'Release Gates'!J165</x:f>
        <x:v>PASS</x:v>
      </x:c>
      <x:c r="F189" t="str">
        <x:f>IF('Release Gates'!C165="PLANNING","PASS",IF('Release Gates'!C165="PHYSICAL","OPEN","BLOCKED"))</x:f>
        <x:v>PASS</x:v>
      </x:c>
      <x:c r="G189" t="str">
        <x:v>equals</x:v>
      </x:c>
      <x:c r="H189" t="str">
        <x:f>IF(E189=F189,"PASS","FAIL")</x:f>
        <x:v>PASS</x:v>
      </x:c>
    </x:row>
    <x:row r="190">
      <x:c r="B190" t="str">
        <x:v>A-0160</x:v>
      </x:c>
      <x:c r="C190" t="str">
        <x:v>GATE</x:v>
      </x:c>
      <x:c r="D190" t="str">
        <x:v>release ledger mirrors governing state</x:v>
      </x:c>
      <x:c r="E190" t="str">
        <x:f>'Release Gates'!J166</x:f>
        <x:v>PASS</x:v>
      </x:c>
      <x:c r="F190" t="str">
        <x:f>IF('Release Gates'!C166="PLANNING","PASS",IF('Release Gates'!C166="PHYSICAL","OPEN","BLOCKED"))</x:f>
        <x:v>PASS</x:v>
      </x:c>
      <x:c r="G190" t="str">
        <x:v>equals</x:v>
      </x:c>
      <x:c r="H190" t="str">
        <x:f>IF(E190=F190,"PASS","FAIL")</x:f>
        <x:v>PASS</x:v>
      </x:c>
    </x:row>
    <x:row r="191">
      <x:c r="B191" t="str">
        <x:v>A-0161</x:v>
      </x:c>
      <x:c r="C191" t="str">
        <x:v>GATE</x:v>
      </x:c>
      <x:c r="D191" t="str">
        <x:v>release ledger mirrors governing state</x:v>
      </x:c>
      <x:c r="E191" t="str">
        <x:f>'Release Gates'!J167</x:f>
        <x:v>PASS</x:v>
      </x:c>
      <x:c r="F191" t="str">
        <x:f>IF('Release Gates'!C167="PLANNING","PASS",IF('Release Gates'!C167="PHYSICAL","OPEN","BLOCKED"))</x:f>
        <x:v>PASS</x:v>
      </x:c>
      <x:c r="G191" t="str">
        <x:v>equals</x:v>
      </x:c>
      <x:c r="H191" t="str">
        <x:f>IF(E191=F191,"PASS","FAIL")</x:f>
        <x:v>PASS</x:v>
      </x:c>
    </x:row>
    <x:row r="192">
      <x:c r="B192" t="str">
        <x:v>A-0162</x:v>
      </x:c>
      <x:c r="C192" t="str">
        <x:v>GATE</x:v>
      </x:c>
      <x:c r="D192" t="str">
        <x:v>release ledger mirrors governing state</x:v>
      </x:c>
      <x:c r="E192" t="str">
        <x:f>'Release Gates'!J168</x:f>
        <x:v>PASS</x:v>
      </x:c>
      <x:c r="F192" t="str">
        <x:f>IF('Release Gates'!C168="PLANNING","PASS",IF('Release Gates'!C168="PHYSICAL","OPEN","BLOCKED"))</x:f>
        <x:v>PASS</x:v>
      </x:c>
      <x:c r="G192" t="str">
        <x:v>equals</x:v>
      </x:c>
      <x:c r="H192" t="str">
        <x:f>IF(E192=F192,"PASS","FAIL")</x:f>
        <x:v>PASS</x:v>
      </x:c>
    </x:row>
    <x:row r="193">
      <x:c r="B193" t="str">
        <x:v>A-0163</x:v>
      </x:c>
      <x:c r="C193" t="str">
        <x:v>GATE</x:v>
      </x:c>
      <x:c r="D193" t="str">
        <x:v>release ledger mirrors governing state</x:v>
      </x:c>
      <x:c r="E193" t="str">
        <x:f>'Release Gates'!J169</x:f>
        <x:v>PASS</x:v>
      </x:c>
      <x:c r="F193" t="str">
        <x:f>IF('Release Gates'!C169="PLANNING","PASS",IF('Release Gates'!C169="PHYSICAL","OPEN","BLOCKED"))</x:f>
        <x:v>PASS</x:v>
      </x:c>
      <x:c r="G193" t="str">
        <x:v>equals</x:v>
      </x:c>
      <x:c r="H193" t="str">
        <x:f>IF(E193=F193,"PASS","FAIL")</x:f>
        <x:v>PASS</x:v>
      </x:c>
    </x:row>
    <x:row r="194">
      <x:c r="B194" t="str">
        <x:v>A-0164</x:v>
      </x:c>
      <x:c r="C194" t="str">
        <x:v>GATE</x:v>
      </x:c>
      <x:c r="D194" t="str">
        <x:v>release ledger mirrors governing state</x:v>
      </x:c>
      <x:c r="E194" t="str">
        <x:f>'Release Gates'!J170</x:f>
        <x:v>PASS</x:v>
      </x:c>
      <x:c r="F194" t="str">
        <x:f>IF('Release Gates'!C170="PLANNING","PASS",IF('Release Gates'!C170="PHYSICAL","OPEN","BLOCKED"))</x:f>
        <x:v>PASS</x:v>
      </x:c>
      <x:c r="G194" t="str">
        <x:v>equals</x:v>
      </x:c>
      <x:c r="H194" t="str">
        <x:f>IF(E194=F194,"PASS","FAIL")</x:f>
        <x:v>PASS</x:v>
      </x:c>
    </x:row>
    <x:row r="195">
      <x:c r="B195" t="str">
        <x:v>A-0165</x:v>
      </x:c>
      <x:c r="C195" t="str">
        <x:v>GATE</x:v>
      </x:c>
      <x:c r="D195" t="str">
        <x:v>release ledger mirrors governing state</x:v>
      </x:c>
      <x:c r="E195" t="str">
        <x:f>'Release Gates'!J171</x:f>
        <x:v>PASS</x:v>
      </x:c>
      <x:c r="F195" t="str">
        <x:f>IF('Release Gates'!C171="PLANNING","PASS",IF('Release Gates'!C171="PHYSICAL","OPEN","BLOCKED"))</x:f>
        <x:v>PASS</x:v>
      </x:c>
      <x:c r="G195" t="str">
        <x:v>equals</x:v>
      </x:c>
      <x:c r="H195" t="str">
        <x:f>IF(E195=F195,"PASS","FAIL")</x:f>
        <x:v>PASS</x:v>
      </x:c>
    </x:row>
    <x:row r="196">
      <x:c r="B196" t="str">
        <x:v>A-0166</x:v>
      </x:c>
      <x:c r="C196" t="str">
        <x:v>GATE</x:v>
      </x:c>
      <x:c r="D196" t="str">
        <x:v>release ledger mirrors governing state</x:v>
      </x:c>
      <x:c r="E196" t="str">
        <x:f>'Release Gates'!J172</x:f>
        <x:v>PASS</x:v>
      </x:c>
      <x:c r="F196" t="str">
        <x:f>IF('Release Gates'!C172="PLANNING","PASS",IF('Release Gates'!C172="PHYSICAL","OPEN","BLOCKED"))</x:f>
        <x:v>PASS</x:v>
      </x:c>
      <x:c r="G196" t="str">
        <x:v>equals</x:v>
      </x:c>
      <x:c r="H196" t="str">
        <x:f>IF(E196=F196,"PASS","FAIL")</x:f>
        <x:v>PASS</x:v>
      </x:c>
    </x:row>
    <x:row r="197">
      <x:c r="B197" t="str">
        <x:v>A-0167</x:v>
      </x:c>
      <x:c r="C197" t="str">
        <x:v>GATE</x:v>
      </x:c>
      <x:c r="D197" t="str">
        <x:v>release ledger mirrors governing state</x:v>
      </x:c>
      <x:c r="E197" t="str">
        <x:f>'Release Gates'!J173</x:f>
        <x:v>PASS</x:v>
      </x:c>
      <x:c r="F197" t="str">
        <x:f>IF('Release Gates'!C173="PLANNING","PASS",IF('Release Gates'!C173="PHYSICAL","OPEN","BLOCKED"))</x:f>
        <x:v>PASS</x:v>
      </x:c>
      <x:c r="G197" t="str">
        <x:v>equals</x:v>
      </x:c>
      <x:c r="H197" t="str">
        <x:f>IF(E197=F197,"PASS","FAIL")</x:f>
        <x:v>PASS</x:v>
      </x:c>
    </x:row>
    <x:row r="198">
      <x:c r="B198" t="str">
        <x:v>A-0168</x:v>
      </x:c>
      <x:c r="C198" t="str">
        <x:v>GATE</x:v>
      </x:c>
      <x:c r="D198" t="str">
        <x:v>release ledger mirrors governing state</x:v>
      </x:c>
      <x:c r="E198" t="str">
        <x:f>'Release Gates'!J174</x:f>
        <x:v>PASS</x:v>
      </x:c>
      <x:c r="F198" t="str">
        <x:f>IF('Release Gates'!C174="PLANNING","PASS",IF('Release Gates'!C174="PHYSICAL","OPEN","BLOCKED"))</x:f>
        <x:v>PASS</x:v>
      </x:c>
      <x:c r="G198" t="str">
        <x:v>equals</x:v>
      </x:c>
      <x:c r="H198" t="str">
        <x:f>IF(E198=F198,"PASS","FAIL")</x:f>
        <x:v>PASS</x:v>
      </x:c>
    </x:row>
    <x:row r="199">
      <x:c r="B199" t="str">
        <x:v>A-0169</x:v>
      </x:c>
      <x:c r="C199" t="str">
        <x:v>GATE</x:v>
      </x:c>
      <x:c r="D199" t="str">
        <x:v>release ledger mirrors governing state</x:v>
      </x:c>
      <x:c r="E199" t="str">
        <x:f>'Release Gates'!J175</x:f>
        <x:v>PASS</x:v>
      </x:c>
      <x:c r="F199" t="str">
        <x:f>IF('Release Gates'!C175="PLANNING","PASS",IF('Release Gates'!C175="PHYSICAL","OPEN","BLOCKED"))</x:f>
        <x:v>PASS</x:v>
      </x:c>
      <x:c r="G199" t="str">
        <x:v>equals</x:v>
      </x:c>
      <x:c r="H199" t="str">
        <x:f>IF(E199=F199,"PASS","FAIL")</x:f>
        <x:v>PASS</x:v>
      </x:c>
    </x:row>
    <x:row r="200">
      <x:c r="B200" t="str">
        <x:v>A-0170</x:v>
      </x:c>
      <x:c r="C200" t="str">
        <x:v>GATE</x:v>
      </x:c>
      <x:c r="D200" t="str">
        <x:v>release ledger mirrors governing state</x:v>
      </x:c>
      <x:c r="E200" t="str">
        <x:f>'Release Gates'!J176</x:f>
        <x:v>PASS</x:v>
      </x:c>
      <x:c r="F200" t="str">
        <x:f>IF('Release Gates'!C176="PLANNING","PASS",IF('Release Gates'!C176="PHYSICAL","OPEN","BLOCKED"))</x:f>
        <x:v>PASS</x:v>
      </x:c>
      <x:c r="G200" t="str">
        <x:v>equals</x:v>
      </x:c>
      <x:c r="H200" t="str">
        <x:f>IF(E200=F200,"PASS","FAIL")</x:f>
        <x:v>PASS</x:v>
      </x:c>
    </x:row>
    <x:row r="201">
      <x:c r="B201" t="str">
        <x:v>A-0171</x:v>
      </x:c>
      <x:c r="C201" t="str">
        <x:v>GATE</x:v>
      </x:c>
      <x:c r="D201" t="str">
        <x:v>release ledger mirrors governing state</x:v>
      </x:c>
      <x:c r="E201" t="str">
        <x:f>'Release Gates'!J177</x:f>
        <x:v>PASS</x:v>
      </x:c>
      <x:c r="F201" t="str">
        <x:f>IF('Release Gates'!C177="PLANNING","PASS",IF('Release Gates'!C177="PHYSICAL","OPEN","BLOCKED"))</x:f>
        <x:v>PASS</x:v>
      </x:c>
      <x:c r="G201" t="str">
        <x:v>equals</x:v>
      </x:c>
      <x:c r="H201" t="str">
        <x:f>IF(E201=F201,"PASS","FAIL")</x:f>
        <x:v>PASS</x:v>
      </x:c>
    </x:row>
    <x:row r="202">
      <x:c r="B202" t="str">
        <x:v>A-0172</x:v>
      </x:c>
      <x:c r="C202" t="str">
        <x:v>GATE</x:v>
      </x:c>
      <x:c r="D202" t="str">
        <x:v>release ledger mirrors governing state</x:v>
      </x:c>
      <x:c r="E202" t="str">
        <x:f>'Release Gates'!J178</x:f>
        <x:v>PASS</x:v>
      </x:c>
      <x:c r="F202" t="str">
        <x:f>IF('Release Gates'!C178="PLANNING","PASS",IF('Release Gates'!C178="PHYSICAL","OPEN","BLOCKED"))</x:f>
        <x:v>PASS</x:v>
      </x:c>
      <x:c r="G202" t="str">
        <x:v>equals</x:v>
      </x:c>
      <x:c r="H202" t="str">
        <x:f>IF(E202=F202,"PASS","FAIL")</x:f>
        <x:v>PASS</x:v>
      </x:c>
    </x:row>
    <x:row r="203">
      <x:c r="B203" t="str">
        <x:v>A-0173</x:v>
      </x:c>
      <x:c r="C203" t="str">
        <x:v>GATE</x:v>
      </x:c>
      <x:c r="D203" t="str">
        <x:v>release ledger mirrors governing state</x:v>
      </x:c>
      <x:c r="E203" t="str">
        <x:f>'Release Gates'!J179</x:f>
        <x:v>PASS</x:v>
      </x:c>
      <x:c r="F203" t="str">
        <x:f>IF('Release Gates'!C179="PLANNING","PASS",IF('Release Gates'!C179="PHYSICAL","OPEN","BLOCKED"))</x:f>
        <x:v>PASS</x:v>
      </x:c>
      <x:c r="G203" t="str">
        <x:v>equals</x:v>
      </x:c>
      <x:c r="H203" t="str">
        <x:f>IF(E203=F203,"PASS","FAIL")</x:f>
        <x:v>PASS</x:v>
      </x:c>
    </x:row>
    <x:row r="204">
      <x:c r="B204" t="str">
        <x:v>A-0174</x:v>
      </x:c>
      <x:c r="C204" t="str">
        <x:v>GATE</x:v>
      </x:c>
      <x:c r="D204" t="str">
        <x:v>release ledger mirrors governing state</x:v>
      </x:c>
      <x:c r="E204" t="str">
        <x:f>'Release Gates'!J180</x:f>
        <x:v>PASS</x:v>
      </x:c>
      <x:c r="F204" t="str">
        <x:f>IF('Release Gates'!C180="PLANNING","PASS",IF('Release Gates'!C180="PHYSICAL","OPEN","BLOCKED"))</x:f>
        <x:v>PASS</x:v>
      </x:c>
      <x:c r="G204" t="str">
        <x:v>equals</x:v>
      </x:c>
      <x:c r="H204" t="str">
        <x:f>IF(E204=F204,"PASS","FAIL")</x:f>
        <x:v>PASS</x:v>
      </x:c>
    </x:row>
    <x:row r="205">
      <x:c r="B205" t="str">
        <x:v>A-0175</x:v>
      </x:c>
      <x:c r="C205" t="str">
        <x:v>GATE</x:v>
      </x:c>
      <x:c r="D205" t="str">
        <x:v>release ledger mirrors governing state</x:v>
      </x:c>
      <x:c r="E205" t="str">
        <x:f>'Release Gates'!J181</x:f>
        <x:v>PASS</x:v>
      </x:c>
      <x:c r="F205" t="str">
        <x:f>IF('Release Gates'!C181="PLANNING","PASS",IF('Release Gates'!C181="PHYSICAL","OPEN","BLOCKED"))</x:f>
        <x:v>PASS</x:v>
      </x:c>
      <x:c r="G205" t="str">
        <x:v>equals</x:v>
      </x:c>
      <x:c r="H205" t="str">
        <x:f>IF(E205=F205,"PASS","FAIL")</x:f>
        <x:v>PASS</x:v>
      </x:c>
    </x:row>
    <x:row r="206">
      <x:c r="B206" t="str">
        <x:v>A-0176</x:v>
      </x:c>
      <x:c r="C206" t="str">
        <x:v>GATE</x:v>
      </x:c>
      <x:c r="D206" t="str">
        <x:v>release ledger mirrors governing state</x:v>
      </x:c>
      <x:c r="E206" t="str">
        <x:f>'Release Gates'!J182</x:f>
        <x:v>PASS</x:v>
      </x:c>
      <x:c r="F206" t="str">
        <x:f>IF('Release Gates'!C182="PLANNING","PASS",IF('Release Gates'!C182="PHYSICAL","OPEN","BLOCKED"))</x:f>
        <x:v>PASS</x:v>
      </x:c>
      <x:c r="G206" t="str">
        <x:v>equals</x:v>
      </x:c>
      <x:c r="H206" t="str">
        <x:f>IF(E206=F206,"PASS","FAIL")</x:f>
        <x:v>PASS</x:v>
      </x:c>
    </x:row>
    <x:row r="207">
      <x:c r="B207" t="str">
        <x:v>A-0177</x:v>
      </x:c>
      <x:c r="C207" t="str">
        <x:v>GATE</x:v>
      </x:c>
      <x:c r="D207" t="str">
        <x:v>release ledger mirrors governing state</x:v>
      </x:c>
      <x:c r="E207" t="str">
        <x:f>'Release Gates'!J183</x:f>
        <x:v>PASS</x:v>
      </x:c>
      <x:c r="F207" t="str">
        <x:f>IF('Release Gates'!C183="PLANNING","PASS",IF('Release Gates'!C183="PHYSICAL","OPEN","BLOCKED"))</x:f>
        <x:v>PASS</x:v>
      </x:c>
      <x:c r="G207" t="str">
        <x:v>equals</x:v>
      </x:c>
      <x:c r="H207" t="str">
        <x:f>IF(E207=F207,"PASS","FAIL")</x:f>
        <x:v>PASS</x:v>
      </x:c>
    </x:row>
    <x:row r="208">
      <x:c r="B208" t="str">
        <x:v>A-0178</x:v>
      </x:c>
      <x:c r="C208" t="str">
        <x:v>GATE</x:v>
      </x:c>
      <x:c r="D208" t="str">
        <x:v>release ledger mirrors governing state</x:v>
      </x:c>
      <x:c r="E208" t="str">
        <x:f>'Release Gates'!J184</x:f>
        <x:v>PASS</x:v>
      </x:c>
      <x:c r="F208" t="str">
        <x:f>IF('Release Gates'!C184="PLANNING","PASS",IF('Release Gates'!C184="PHYSICAL","OPEN","BLOCKED"))</x:f>
        <x:v>PASS</x:v>
      </x:c>
      <x:c r="G208" t="str">
        <x:v>equals</x:v>
      </x:c>
      <x:c r="H208" t="str">
        <x:f>IF(E208=F208,"PASS","FAIL")</x:f>
        <x:v>PASS</x:v>
      </x:c>
    </x:row>
    <x:row r="209">
      <x:c r="B209" t="str">
        <x:v>A-0179</x:v>
      </x:c>
      <x:c r="C209" t="str">
        <x:v>GATE</x:v>
      </x:c>
      <x:c r="D209" t="str">
        <x:v>release ledger mirrors governing state</x:v>
      </x:c>
      <x:c r="E209" t="str">
        <x:f>'Release Gates'!J185</x:f>
        <x:v>PASS</x:v>
      </x:c>
      <x:c r="F209" t="str">
        <x:f>IF('Release Gates'!C185="PLANNING","PASS",IF('Release Gates'!C185="PHYSICAL","OPEN","BLOCKED"))</x:f>
        <x:v>PASS</x:v>
      </x:c>
      <x:c r="G209" t="str">
        <x:v>equals</x:v>
      </x:c>
      <x:c r="H209" t="str">
        <x:f>IF(E209=F209,"PASS","FAIL")</x:f>
        <x:v>PASS</x:v>
      </x:c>
    </x:row>
    <x:row r="210">
      <x:c r="B210" t="str">
        <x:v>A-0180</x:v>
      </x:c>
      <x:c r="C210" t="str">
        <x:v>GATE</x:v>
      </x:c>
      <x:c r="D210" t="str">
        <x:v>release ledger mirrors governing state</x:v>
      </x:c>
      <x:c r="E210" t="str">
        <x:f>'Release Gates'!J186</x:f>
        <x:v>PASS</x:v>
      </x:c>
      <x:c r="F210" t="str">
        <x:f>IF('Release Gates'!C186="PLANNING","PASS",IF('Release Gates'!C186="PHYSICAL","OPEN","BLOCKED"))</x:f>
        <x:v>PASS</x:v>
      </x:c>
      <x:c r="G210" t="str">
        <x:v>equals</x:v>
      </x:c>
      <x:c r="H210" t="str">
        <x:f>IF(E210=F210,"PASS","FAIL")</x:f>
        <x:v>PASS</x:v>
      </x:c>
    </x:row>
    <x:row r="211">
      <x:c r="B211" t="str">
        <x:v>A-0181</x:v>
      </x:c>
      <x:c r="C211" t="str">
        <x:v>GATE</x:v>
      </x:c>
      <x:c r="D211" t="str">
        <x:v>release ledger mirrors governing state</x:v>
      </x:c>
      <x:c r="E211" t="str">
        <x:f>'Release Gates'!J187</x:f>
        <x:v>PASS</x:v>
      </x:c>
      <x:c r="F211" t="str">
        <x:f>IF('Release Gates'!C187="PLANNING","PASS",IF('Release Gates'!C187="PHYSICAL","OPEN","BLOCKED"))</x:f>
        <x:v>PASS</x:v>
      </x:c>
      <x:c r="G211" t="str">
        <x:v>equals</x:v>
      </x:c>
      <x:c r="H211" t="str">
        <x:f>IF(E211=F211,"PASS","FAIL")</x:f>
        <x:v>PASS</x:v>
      </x:c>
    </x:row>
    <x:row r="212">
      <x:c r="B212" t="str">
        <x:v>A-0182</x:v>
      </x:c>
      <x:c r="C212" t="str">
        <x:v>GATE</x:v>
      </x:c>
      <x:c r="D212" t="str">
        <x:v>release ledger mirrors governing state</x:v>
      </x:c>
      <x:c r="E212" t="str">
        <x:f>'Release Gates'!J188</x:f>
        <x:v>PASS</x:v>
      </x:c>
      <x:c r="F212" t="str">
        <x:f>IF('Release Gates'!C188="PLANNING","PASS",IF('Release Gates'!C188="PHYSICAL","OPEN","BLOCKED"))</x:f>
        <x:v>PASS</x:v>
      </x:c>
      <x:c r="G212" t="str">
        <x:v>equals</x:v>
      </x:c>
      <x:c r="H212" t="str">
        <x:f>IF(E212=F212,"PASS","FAIL")</x:f>
        <x:v>PASS</x:v>
      </x:c>
    </x:row>
    <x:row r="213">
      <x:c r="B213" t="str">
        <x:v>A-0183</x:v>
      </x:c>
      <x:c r="C213" t="str">
        <x:v>GATE</x:v>
      </x:c>
      <x:c r="D213" t="str">
        <x:v>release ledger mirrors governing state</x:v>
      </x:c>
      <x:c r="E213" t="str">
        <x:f>'Release Gates'!J189</x:f>
        <x:v>PASS</x:v>
      </x:c>
      <x:c r="F213" t="str">
        <x:f>IF('Release Gates'!C189="PLANNING","PASS",IF('Release Gates'!C189="PHYSICAL","OPEN","BLOCKED"))</x:f>
        <x:v>PASS</x:v>
      </x:c>
      <x:c r="G213" t="str">
        <x:v>equals</x:v>
      </x:c>
      <x:c r="H213" t="str">
        <x:f>IF(E213=F213,"PASS","FAIL")</x:f>
        <x:v>PASS</x:v>
      </x:c>
    </x:row>
    <x:row r="214">
      <x:c r="B214" t="str">
        <x:v>A-0184</x:v>
      </x:c>
      <x:c r="C214" t="str">
        <x:v>GATE</x:v>
      </x:c>
      <x:c r="D214" t="str">
        <x:v>release ledger mirrors governing state</x:v>
      </x:c>
      <x:c r="E214" t="str">
        <x:f>'Release Gates'!J190</x:f>
        <x:v>PASS</x:v>
      </x:c>
      <x:c r="F214" t="str">
        <x:f>IF('Release Gates'!C190="PLANNING","PASS",IF('Release Gates'!C190="PHYSICAL","OPEN","BLOCKED"))</x:f>
        <x:v>PASS</x:v>
      </x:c>
      <x:c r="G214" t="str">
        <x:v>equals</x:v>
      </x:c>
      <x:c r="H214" t="str">
        <x:f>IF(E214=F214,"PASS","FAIL")</x:f>
        <x:v>PASS</x:v>
      </x:c>
    </x:row>
    <x:row r="215">
      <x:c r="B215" t="str">
        <x:v>A-0185</x:v>
      </x:c>
      <x:c r="C215" t="str">
        <x:v>GATE</x:v>
      </x:c>
      <x:c r="D215" t="str">
        <x:v>release ledger mirrors governing state</x:v>
      </x:c>
      <x:c r="E215" t="str">
        <x:f>'Release Gates'!J191</x:f>
        <x:v>PASS</x:v>
      </x:c>
      <x:c r="F215" t="str">
        <x:f>IF('Release Gates'!C191="PLANNING","PASS",IF('Release Gates'!C191="PHYSICAL","OPEN","BLOCKED"))</x:f>
        <x:v>PASS</x:v>
      </x:c>
      <x:c r="G215" t="str">
        <x:v>equals</x:v>
      </x:c>
      <x:c r="H215" t="str">
        <x:f>IF(E215=F215,"PASS","FAIL")</x:f>
        <x:v>PASS</x:v>
      </x:c>
    </x:row>
    <x:row r="216">
      <x:c r="B216" t="str">
        <x:v>A-0186</x:v>
      </x:c>
      <x:c r="C216" t="str">
        <x:v>GATE</x:v>
      </x:c>
      <x:c r="D216" t="str">
        <x:v>release ledger mirrors governing state</x:v>
      </x:c>
      <x:c r="E216" t="str">
        <x:f>'Release Gates'!J192</x:f>
        <x:v>PASS</x:v>
      </x:c>
      <x:c r="F216" t="str">
        <x:f>IF('Release Gates'!C192="PLANNING","PASS",IF('Release Gates'!C192="PHYSICAL","OPEN","BLOCKED"))</x:f>
        <x:v>PASS</x:v>
      </x:c>
      <x:c r="G216" t="str">
        <x:v>equals</x:v>
      </x:c>
      <x:c r="H216" t="str">
        <x:f>IF(E216=F216,"PASS","FAIL")</x:f>
        <x:v>PASS</x:v>
      </x:c>
    </x:row>
    <x:row r="217">
      <x:c r="B217" t="str">
        <x:v>A-0187</x:v>
      </x:c>
      <x:c r="C217" t="str">
        <x:v>GATE</x:v>
      </x:c>
      <x:c r="D217" t="str">
        <x:v>release ledger mirrors governing state</x:v>
      </x:c>
      <x:c r="E217" t="str">
        <x:f>'Release Gates'!J193</x:f>
        <x:v>PASS</x:v>
      </x:c>
      <x:c r="F217" t="str">
        <x:f>IF('Release Gates'!C193="PLANNING","PASS",IF('Release Gates'!C193="PHYSICAL","OPEN","BLOCKED"))</x:f>
        <x:v>PASS</x:v>
      </x:c>
      <x:c r="G217" t="str">
        <x:v>equals</x:v>
      </x:c>
      <x:c r="H217" t="str">
        <x:f>IF(E217=F217,"PASS","FAIL")</x:f>
        <x:v>PASS</x:v>
      </x:c>
    </x:row>
    <x:row r="218">
      <x:c r="B218" t="str">
        <x:v>A-0188</x:v>
      </x:c>
      <x:c r="C218" t="str">
        <x:v>GATE</x:v>
      </x:c>
      <x:c r="D218" t="str">
        <x:v>release ledger mirrors governing state</x:v>
      </x:c>
      <x:c r="E218" t="str">
        <x:f>'Release Gates'!J194</x:f>
        <x:v>PASS</x:v>
      </x:c>
      <x:c r="F218" t="str">
        <x:f>IF('Release Gates'!C194="PLANNING","PASS",IF('Release Gates'!C194="PHYSICAL","OPEN","BLOCKED"))</x:f>
        <x:v>PASS</x:v>
      </x:c>
      <x:c r="G218" t="str">
        <x:v>equals</x:v>
      </x:c>
      <x:c r="H218" t="str">
        <x:f>IF(E218=F218,"PASS","FAIL")</x:f>
        <x:v>PASS</x:v>
      </x:c>
    </x:row>
    <x:row r="219">
      <x:c r="B219" t="str">
        <x:v>A-0189</x:v>
      </x:c>
      <x:c r="C219" t="str">
        <x:v>GATE</x:v>
      </x:c>
      <x:c r="D219" t="str">
        <x:v>release ledger mirrors governing state</x:v>
      </x:c>
      <x:c r="E219" t="str">
        <x:f>'Release Gates'!J195</x:f>
        <x:v>PASS</x:v>
      </x:c>
      <x:c r="F219" t="str">
        <x:f>IF('Release Gates'!C195="PLANNING","PASS",IF('Release Gates'!C195="PHYSICAL","OPEN","BLOCKED"))</x:f>
        <x:v>PASS</x:v>
      </x:c>
      <x:c r="G219" t="str">
        <x:v>equals</x:v>
      </x:c>
      <x:c r="H219" t="str">
        <x:f>IF(E219=F219,"PASS","FAIL")</x:f>
        <x:v>PASS</x:v>
      </x:c>
    </x:row>
    <x:row r="220">
      <x:c r="B220" t="str">
        <x:v>A-0190</x:v>
      </x:c>
      <x:c r="C220" t="str">
        <x:v>GATE</x:v>
      </x:c>
      <x:c r="D220" t="str">
        <x:v>release ledger mirrors governing state</x:v>
      </x:c>
      <x:c r="E220" t="str">
        <x:f>'Release Gates'!J196</x:f>
        <x:v>PASS</x:v>
      </x:c>
      <x:c r="F220" t="str">
        <x:f>IF('Release Gates'!C196="PLANNING","PASS",IF('Release Gates'!C196="PHYSICAL","OPEN","BLOCKED"))</x:f>
        <x:v>PASS</x:v>
      </x:c>
      <x:c r="G220" t="str">
        <x:v>equals</x:v>
      </x:c>
      <x:c r="H220" t="str">
        <x:f>IF(E220=F220,"PASS","FAIL")</x:f>
        <x:v>PASS</x:v>
      </x:c>
    </x:row>
    <x:row r="221">
      <x:c r="B221" t="str">
        <x:v>A-0191</x:v>
      </x:c>
      <x:c r="C221" t="str">
        <x:v>GATE</x:v>
      </x:c>
      <x:c r="D221" t="str">
        <x:v>release ledger mirrors governing state</x:v>
      </x:c>
      <x:c r="E221" t="str">
        <x:f>'Release Gates'!J197</x:f>
        <x:v>PASS</x:v>
      </x:c>
      <x:c r="F221" t="str">
        <x:f>IF('Release Gates'!C197="PLANNING","PASS",IF('Release Gates'!C197="PHYSICAL","OPEN","BLOCKED"))</x:f>
        <x:v>PASS</x:v>
      </x:c>
      <x:c r="G221" t="str">
        <x:v>equals</x:v>
      </x:c>
      <x:c r="H221" t="str">
        <x:f>IF(E221=F221,"PASS","FAIL")</x:f>
        <x:v>PASS</x:v>
      </x:c>
    </x:row>
    <x:row r="222">
      <x:c r="B222" t="str">
        <x:v>A-0192</x:v>
      </x:c>
      <x:c r="C222" t="str">
        <x:v>GATE</x:v>
      </x:c>
      <x:c r="D222" t="str">
        <x:v>release ledger mirrors governing state</x:v>
      </x:c>
      <x:c r="E222" t="str">
        <x:f>'Release Gates'!J198</x:f>
        <x:v>PASS</x:v>
      </x:c>
      <x:c r="F222" t="str">
        <x:f>IF('Release Gates'!C198="PLANNING","PASS",IF('Release Gates'!C198="PHYSICAL","OPEN","BLOCKED"))</x:f>
        <x:v>PASS</x:v>
      </x:c>
      <x:c r="G222" t="str">
        <x:v>equals</x:v>
      </x:c>
      <x:c r="H222" t="str">
        <x:f>IF(E222=F222,"PASS","FAIL")</x:f>
        <x:v>PASS</x:v>
      </x:c>
    </x:row>
    <x:row r="223">
      <x:c r="B223" t="str">
        <x:v>A-0193</x:v>
      </x:c>
      <x:c r="C223" t="str">
        <x:v>GATE</x:v>
      </x:c>
      <x:c r="D223" t="str">
        <x:v>release ledger mirrors governing state</x:v>
      </x:c>
      <x:c r="E223" t="str">
        <x:f>'Release Gates'!J199</x:f>
        <x:v>PASS</x:v>
      </x:c>
      <x:c r="F223" t="str">
        <x:f>IF('Release Gates'!C199="PLANNING","PASS",IF('Release Gates'!C199="PHYSICAL","OPEN","BLOCKED"))</x:f>
        <x:v>PASS</x:v>
      </x:c>
      <x:c r="G223" t="str">
        <x:v>equals</x:v>
      </x:c>
      <x:c r="H223" t="str">
        <x:f>IF(E223=F223,"PASS","FAIL")</x:f>
        <x:v>PASS</x:v>
      </x:c>
    </x:row>
    <x:row r="224">
      <x:c r="B224" t="str">
        <x:v>A-0194</x:v>
      </x:c>
      <x:c r="C224" t="str">
        <x:v>GATE</x:v>
      </x:c>
      <x:c r="D224" t="str">
        <x:v>release ledger mirrors governing state</x:v>
      </x:c>
      <x:c r="E224" t="str">
        <x:f>'Release Gates'!J200</x:f>
        <x:v>PASS</x:v>
      </x:c>
      <x:c r="F224" t="str">
        <x:f>IF('Release Gates'!C200="PLANNING","PASS",IF('Release Gates'!C200="PHYSICAL","OPEN","BLOCKED"))</x:f>
        <x:v>PASS</x:v>
      </x:c>
      <x:c r="G224" t="str">
        <x:v>equals</x:v>
      </x:c>
      <x:c r="H224" t="str">
        <x:f>IF(E224=F224,"PASS","FAIL")</x:f>
        <x:v>PASS</x:v>
      </x:c>
    </x:row>
    <x:row r="225">
      <x:c r="B225" t="str">
        <x:v>A-0195</x:v>
      </x:c>
      <x:c r="C225" t="str">
        <x:v>GATE</x:v>
      </x:c>
      <x:c r="D225" t="str">
        <x:v>release ledger mirrors governing state</x:v>
      </x:c>
      <x:c r="E225" t="str">
        <x:f>'Release Gates'!J201</x:f>
        <x:v>PASS</x:v>
      </x:c>
      <x:c r="F225" t="str">
        <x:f>IF('Release Gates'!C201="PLANNING","PASS",IF('Release Gates'!C201="PHYSICAL","OPEN","BLOCKED"))</x:f>
        <x:v>PASS</x:v>
      </x:c>
      <x:c r="G225" t="str">
        <x:v>equals</x:v>
      </x:c>
      <x:c r="H225" t="str">
        <x:f>IF(E225=F225,"PASS","FAIL")</x:f>
        <x:v>PASS</x:v>
      </x:c>
    </x:row>
    <x:row r="226">
      <x:c r="B226" t="str">
        <x:v>A-0196</x:v>
      </x:c>
      <x:c r="C226" t="str">
        <x:v>GATE</x:v>
      </x:c>
      <x:c r="D226" t="str">
        <x:v>release ledger mirrors governing state</x:v>
      </x:c>
      <x:c r="E226" t="str">
        <x:f>'Release Gates'!J202</x:f>
        <x:v>PASS</x:v>
      </x:c>
      <x:c r="F226" t="str">
        <x:f>IF('Release Gates'!C202="PLANNING","PASS",IF('Release Gates'!C202="PHYSICAL","OPEN","BLOCKED"))</x:f>
        <x:v>PASS</x:v>
      </x:c>
      <x:c r="G226" t="str">
        <x:v>equals</x:v>
      </x:c>
      <x:c r="H226" t="str">
        <x:f>IF(E226=F226,"PASS","FAIL")</x:f>
        <x:v>PASS</x:v>
      </x:c>
    </x:row>
    <x:row r="227">
      <x:c r="B227" t="str">
        <x:v>A-0197</x:v>
      </x:c>
      <x:c r="C227" t="str">
        <x:v>GATE</x:v>
      </x:c>
      <x:c r="D227" t="str">
        <x:v>release ledger mirrors governing state</x:v>
      </x:c>
      <x:c r="E227" t="str">
        <x:f>'Release Gates'!J203</x:f>
        <x:v>PASS</x:v>
      </x:c>
      <x:c r="F227" t="str">
        <x:f>IF('Release Gates'!C203="PLANNING","PASS",IF('Release Gates'!C203="PHYSICAL","OPEN","BLOCKED"))</x:f>
        <x:v>PASS</x:v>
      </x:c>
      <x:c r="G227" t="str">
        <x:v>equals</x:v>
      </x:c>
      <x:c r="H227" t="str">
        <x:f>IF(E227=F227,"PASS","FAIL")</x:f>
        <x:v>PASS</x:v>
      </x:c>
    </x:row>
    <x:row r="228">
      <x:c r="B228" t="str">
        <x:v>A-0198</x:v>
      </x:c>
      <x:c r="C228" t="str">
        <x:v>GATE</x:v>
      </x:c>
      <x:c r="D228" t="str">
        <x:v>release ledger mirrors governing state</x:v>
      </x:c>
      <x:c r="E228" t="str">
        <x:f>'Release Gates'!J204</x:f>
        <x:v>PASS</x:v>
      </x:c>
      <x:c r="F228" t="str">
        <x:f>IF('Release Gates'!C204="PLANNING","PASS",IF('Release Gates'!C204="PHYSICAL","OPEN","BLOCKED"))</x:f>
        <x:v>PASS</x:v>
      </x:c>
      <x:c r="G228" t="str">
        <x:v>equals</x:v>
      </x:c>
      <x:c r="H228" t="str">
        <x:f>IF(E228=F228,"PASS","FAIL")</x:f>
        <x:v>PASS</x:v>
      </x:c>
    </x:row>
    <x:row r="229">
      <x:c r="B229" t="str">
        <x:v>A-0199</x:v>
      </x:c>
      <x:c r="C229" t="str">
        <x:v>GATE</x:v>
      </x:c>
      <x:c r="D229" t="str">
        <x:v>release ledger mirrors governing state</x:v>
      </x:c>
      <x:c r="E229" t="str">
        <x:f>'Release Gates'!J205</x:f>
        <x:v>PASS</x:v>
      </x:c>
      <x:c r="F229" t="str">
        <x:f>IF('Release Gates'!C205="PLANNING","PASS",IF('Release Gates'!C205="PHYSICAL","OPEN","BLOCKED"))</x:f>
        <x:v>PASS</x:v>
      </x:c>
      <x:c r="G229" t="str">
        <x:v>equals</x:v>
      </x:c>
      <x:c r="H229" t="str">
        <x:f>IF(E229=F229,"PASS","FAIL")</x:f>
        <x:v>PASS</x:v>
      </x:c>
    </x:row>
    <x:row r="230">
      <x:c r="B230" t="str">
        <x:v>A-0200</x:v>
      </x:c>
      <x:c r="C230" t="str">
        <x:v>GATE</x:v>
      </x:c>
      <x:c r="D230" t="str">
        <x:v>release ledger mirrors governing state</x:v>
      </x:c>
      <x:c r="E230" t="str">
        <x:f>'Release Gates'!J206</x:f>
        <x:v>PASS</x:v>
      </x:c>
      <x:c r="F230" t="str">
        <x:f>IF('Release Gates'!C206="PLANNING","PASS",IF('Release Gates'!C206="PHYSICAL","OPEN","BLOCKED"))</x:f>
        <x:v>PASS</x:v>
      </x:c>
      <x:c r="G230" t="str">
        <x:v>equals</x:v>
      </x:c>
      <x:c r="H230" t="str">
        <x:f>IF(E230=F230,"PASS","FAIL")</x:f>
        <x:v>PASS</x:v>
      </x:c>
    </x:row>
    <x:row r="231">
      <x:c r="B231" t="str">
        <x:v>A-0201</x:v>
      </x:c>
      <x:c r="C231" t="str">
        <x:v>GATE</x:v>
      </x:c>
      <x:c r="D231" t="str">
        <x:v>release ledger mirrors governing state</x:v>
      </x:c>
      <x:c r="E231" t="str">
        <x:f>'Release Gates'!J207</x:f>
        <x:v>PASS</x:v>
      </x:c>
      <x:c r="F231" t="str">
        <x:f>IF('Release Gates'!C207="PLANNING","PASS",IF('Release Gates'!C207="PHYSICAL","OPEN","BLOCKED"))</x:f>
        <x:v>PASS</x:v>
      </x:c>
      <x:c r="G231" t="str">
        <x:v>equals</x:v>
      </x:c>
      <x:c r="H231" t="str">
        <x:f>IF(E231=F231,"PASS","FAIL")</x:f>
        <x:v>PASS</x:v>
      </x:c>
    </x:row>
    <x:row r="232">
      <x:c r="B232" t="str">
        <x:v>A-0202</x:v>
      </x:c>
      <x:c r="C232" t="str">
        <x:v>GATE</x:v>
      </x:c>
      <x:c r="D232" t="str">
        <x:v>release ledger mirrors governing state</x:v>
      </x:c>
      <x:c r="E232" t="str">
        <x:f>'Release Gates'!J208</x:f>
        <x:v>PASS</x:v>
      </x:c>
      <x:c r="F232" t="str">
        <x:f>IF('Release Gates'!C208="PLANNING","PASS",IF('Release Gates'!C208="PHYSICAL","OPEN","BLOCKED"))</x:f>
        <x:v>PASS</x:v>
      </x:c>
      <x:c r="G232" t="str">
        <x:v>equals</x:v>
      </x:c>
      <x:c r="H232" t="str">
        <x:f>IF(E232=F232,"PASS","FAIL")</x:f>
        <x:v>PASS</x:v>
      </x:c>
    </x:row>
    <x:row r="233">
      <x:c r="B233" t="str">
        <x:v>A-0203</x:v>
      </x:c>
      <x:c r="C233" t="str">
        <x:v>GATE</x:v>
      </x:c>
      <x:c r="D233" t="str">
        <x:v>release ledger mirrors governing state</x:v>
      </x:c>
      <x:c r="E233" t="str">
        <x:f>'Release Gates'!J209</x:f>
        <x:v>PASS</x:v>
      </x:c>
      <x:c r="F233" t="str">
        <x:f>IF('Release Gates'!C209="PLANNING","PASS",IF('Release Gates'!C209="PHYSICAL","OPEN","BLOCKED"))</x:f>
        <x:v>PASS</x:v>
      </x:c>
      <x:c r="G233" t="str">
        <x:v>equals</x:v>
      </x:c>
      <x:c r="H233" t="str">
        <x:f>IF(E233=F233,"PASS","FAIL")</x:f>
        <x:v>PASS</x:v>
      </x:c>
    </x:row>
    <x:row r="234">
      <x:c r="B234" t="str">
        <x:v>A-0204</x:v>
      </x:c>
      <x:c r="C234" t="str">
        <x:v>GATE</x:v>
      </x:c>
      <x:c r="D234" t="str">
        <x:v>release ledger mirrors governing state</x:v>
      </x:c>
      <x:c r="E234" t="str">
        <x:f>'Release Gates'!J210</x:f>
        <x:v>PASS</x:v>
      </x:c>
      <x:c r="F234" t="str">
        <x:f>IF('Release Gates'!C210="PLANNING","PASS",IF('Release Gates'!C210="PHYSICAL","OPEN","BLOCKED"))</x:f>
        <x:v>PASS</x:v>
      </x:c>
      <x:c r="G234" t="str">
        <x:v>equals</x:v>
      </x:c>
      <x:c r="H234" t="str">
        <x:f>IF(E234=F234,"PASS","FAIL")</x:f>
        <x:v>PASS</x:v>
      </x:c>
    </x:row>
    <x:row r="235">
      <x:c r="B235" t="str">
        <x:v>A-0205</x:v>
      </x:c>
      <x:c r="C235" t="str">
        <x:v>GATE</x:v>
      </x:c>
      <x:c r="D235" t="str">
        <x:v>release ledger mirrors governing state</x:v>
      </x:c>
      <x:c r="E235" t="str">
        <x:f>'Release Gates'!J211</x:f>
        <x:v>PASS</x:v>
      </x:c>
      <x:c r="F235" t="str">
        <x:f>IF('Release Gates'!C211="PLANNING","PASS",IF('Release Gates'!C211="PHYSICAL","OPEN","BLOCKED"))</x:f>
        <x:v>PASS</x:v>
      </x:c>
      <x:c r="G235" t="str">
        <x:v>equals</x:v>
      </x:c>
      <x:c r="H235" t="str">
        <x:f>IF(E235=F235,"PASS","FAIL")</x:f>
        <x:v>PASS</x:v>
      </x:c>
    </x:row>
    <x:row r="236">
      <x:c r="B236" t="str">
        <x:v>A-0206</x:v>
      </x:c>
      <x:c r="C236" t="str">
        <x:v>GATE</x:v>
      </x:c>
      <x:c r="D236" t="str">
        <x:v>release ledger mirrors governing state</x:v>
      </x:c>
      <x:c r="E236" t="str">
        <x:f>'Release Gates'!J212</x:f>
        <x:v>PASS</x:v>
      </x:c>
      <x:c r="F236" t="str">
        <x:f>IF('Release Gates'!C212="PLANNING","PASS",IF('Release Gates'!C212="PHYSICAL","OPEN","BLOCKED"))</x:f>
        <x:v>PASS</x:v>
      </x:c>
      <x:c r="G236" t="str">
        <x:v>equals</x:v>
      </x:c>
      <x:c r="H236" t="str">
        <x:f>IF(E236=F236,"PASS","FAIL")</x:f>
        <x:v>PASS</x:v>
      </x:c>
    </x:row>
    <x:row r="237">
      <x:c r="B237" t="str">
        <x:v>A-0207</x:v>
      </x:c>
      <x:c r="C237" t="str">
        <x:v>GATE</x:v>
      </x:c>
      <x:c r="D237" t="str">
        <x:v>release ledger mirrors governing state</x:v>
      </x:c>
      <x:c r="E237" t="str">
        <x:f>'Release Gates'!J213</x:f>
        <x:v>PASS</x:v>
      </x:c>
      <x:c r="F237" t="str">
        <x:f>IF('Release Gates'!C213="PLANNING","PASS",IF('Release Gates'!C213="PHYSICAL","OPEN","BLOCKED"))</x:f>
        <x:v>PASS</x:v>
      </x:c>
      <x:c r="G237" t="str">
        <x:v>equals</x:v>
      </x:c>
      <x:c r="H237" t="str">
        <x:f>IF(E237=F237,"PASS","FAIL")</x:f>
        <x:v>PASS</x:v>
      </x:c>
    </x:row>
    <x:row r="238">
      <x:c r="B238" t="str">
        <x:v>A-0208</x:v>
      </x:c>
      <x:c r="C238" t="str">
        <x:v>GATE</x:v>
      </x:c>
      <x:c r="D238" t="str">
        <x:v>release ledger mirrors governing state</x:v>
      </x:c>
      <x:c r="E238" t="str">
        <x:f>'Release Gates'!J214</x:f>
        <x:v>PASS</x:v>
      </x:c>
      <x:c r="F238" t="str">
        <x:f>IF('Release Gates'!C214="PLANNING","PASS",IF('Release Gates'!C214="PHYSICAL","OPEN","BLOCKED"))</x:f>
        <x:v>PASS</x:v>
      </x:c>
      <x:c r="G238" t="str">
        <x:v>equals</x:v>
      </x:c>
      <x:c r="H238" t="str">
        <x:f>IF(E238=F238,"PASS","FAIL")</x:f>
        <x:v>PASS</x:v>
      </x:c>
    </x:row>
    <x:row r="239">
      <x:c r="B239" t="str">
        <x:v>A-0209</x:v>
      </x:c>
      <x:c r="C239" t="str">
        <x:v>GATE</x:v>
      </x:c>
      <x:c r="D239" t="str">
        <x:v>release ledger mirrors governing state</x:v>
      </x:c>
      <x:c r="E239" t="str">
        <x:f>'Release Gates'!J215</x:f>
        <x:v>PASS</x:v>
      </x:c>
      <x:c r="F239" t="str">
        <x:f>IF('Release Gates'!C215="PLANNING","PASS",IF('Release Gates'!C215="PHYSICAL","OPEN","BLOCKED"))</x:f>
        <x:v>PASS</x:v>
      </x:c>
      <x:c r="G239" t="str">
        <x:v>equals</x:v>
      </x:c>
      <x:c r="H239" t="str">
        <x:f>IF(E239=F239,"PASS","FAIL")</x:f>
        <x:v>PASS</x:v>
      </x:c>
    </x:row>
    <x:row r="240">
      <x:c r="B240" t="str">
        <x:v>A-0210</x:v>
      </x:c>
      <x:c r="C240" t="str">
        <x:v>GATE</x:v>
      </x:c>
      <x:c r="D240" t="str">
        <x:v>release ledger mirrors governing state</x:v>
      </x:c>
      <x:c r="E240" t="str">
        <x:f>'Release Gates'!J216</x:f>
        <x:v>PASS</x:v>
      </x:c>
      <x:c r="F240" t="str">
        <x:f>IF('Release Gates'!C216="PLANNING","PASS",IF('Release Gates'!C216="PHYSICAL","OPEN","BLOCKED"))</x:f>
        <x:v>PASS</x:v>
      </x:c>
      <x:c r="G240" t="str">
        <x:v>equals</x:v>
      </x:c>
      <x:c r="H240" t="str">
        <x:f>IF(E240=F240,"PASS","FAIL")</x:f>
        <x:v>PASS</x:v>
      </x:c>
    </x:row>
    <x:row r="241">
      <x:c r="B241" t="str">
        <x:v>A-0211</x:v>
      </x:c>
      <x:c r="C241" t="str">
        <x:v>GATE</x:v>
      </x:c>
      <x:c r="D241" t="str">
        <x:v>release ledger mirrors governing state</x:v>
      </x:c>
      <x:c r="E241" t="str">
        <x:f>'Release Gates'!J217</x:f>
        <x:v>PASS</x:v>
      </x:c>
      <x:c r="F241" t="str">
        <x:f>IF('Release Gates'!C217="PLANNING","PASS",IF('Release Gates'!C217="PHYSICAL","OPEN","BLOCKED"))</x:f>
        <x:v>PASS</x:v>
      </x:c>
      <x:c r="G241" t="str">
        <x:v>equals</x:v>
      </x:c>
      <x:c r="H241" t="str">
        <x:f>IF(E241=F241,"PASS","FAIL")</x:f>
        <x:v>PASS</x:v>
      </x:c>
    </x:row>
    <x:row r="242">
      <x:c r="B242" t="str">
        <x:v>A-0212</x:v>
      </x:c>
      <x:c r="C242" t="str">
        <x:v>GATE</x:v>
      </x:c>
      <x:c r="D242" t="str">
        <x:v>release ledger mirrors governing state</x:v>
      </x:c>
      <x:c r="E242" t="str">
        <x:f>'Release Gates'!J218</x:f>
        <x:v>PASS</x:v>
      </x:c>
      <x:c r="F242" t="str">
        <x:f>IF('Release Gates'!C218="PLANNING","PASS",IF('Release Gates'!C218="PHYSICAL","OPEN","BLOCKED"))</x:f>
        <x:v>PASS</x:v>
      </x:c>
      <x:c r="G242" t="str">
        <x:v>equals</x:v>
      </x:c>
      <x:c r="H242" t="str">
        <x:f>IF(E242=F242,"PASS","FAIL")</x:f>
        <x:v>PASS</x:v>
      </x:c>
    </x:row>
    <x:row r="243">
      <x:c r="B243" t="str">
        <x:v>A-0213</x:v>
      </x:c>
      <x:c r="C243" t="str">
        <x:v>GATE</x:v>
      </x:c>
      <x:c r="D243" t="str">
        <x:v>release ledger mirrors governing state</x:v>
      </x:c>
      <x:c r="E243" t="str">
        <x:f>'Release Gates'!J219</x:f>
        <x:v>PASS</x:v>
      </x:c>
      <x:c r="F243" t="str">
        <x:f>IF('Release Gates'!C219="PLANNING","PASS",IF('Release Gates'!C219="PHYSICAL","OPEN","BLOCKED"))</x:f>
        <x:v>PASS</x:v>
      </x:c>
      <x:c r="G243" t="str">
        <x:v>equals</x:v>
      </x:c>
      <x:c r="H243" t="str">
        <x:f>IF(E243=F243,"PASS","FAIL")</x:f>
        <x:v>PASS</x:v>
      </x:c>
    </x:row>
    <x:row r="244">
      <x:c r="B244" t="str">
        <x:v>A-0214</x:v>
      </x:c>
      <x:c r="C244" t="str">
        <x:v>GATE</x:v>
      </x:c>
      <x:c r="D244" t="str">
        <x:v>release ledger mirrors governing state</x:v>
      </x:c>
      <x:c r="E244" t="str">
        <x:f>'Release Gates'!J220</x:f>
        <x:v>PASS</x:v>
      </x:c>
      <x:c r="F244" t="str">
        <x:f>IF('Release Gates'!C220="PLANNING","PASS",IF('Release Gates'!C220="PHYSICAL","OPEN","BLOCKED"))</x:f>
        <x:v>PASS</x:v>
      </x:c>
      <x:c r="G244" t="str">
        <x:v>equals</x:v>
      </x:c>
      <x:c r="H244" t="str">
        <x:f>IF(E244=F244,"PASS","FAIL")</x:f>
        <x:v>PASS</x:v>
      </x:c>
    </x:row>
    <x:row r="245">
      <x:c r="B245" t="str">
        <x:v>A-0215</x:v>
      </x:c>
      <x:c r="C245" t="str">
        <x:v>GATE</x:v>
      </x:c>
      <x:c r="D245" t="str">
        <x:v>release ledger mirrors governing state</x:v>
      </x:c>
      <x:c r="E245" t="str">
        <x:f>'Release Gates'!J221</x:f>
        <x:v>PASS</x:v>
      </x:c>
      <x:c r="F245" t="str">
        <x:f>IF('Release Gates'!C221="PLANNING","PASS",IF('Release Gates'!C221="PHYSICAL","OPEN","BLOCKED"))</x:f>
        <x:v>PASS</x:v>
      </x:c>
      <x:c r="G245" t="str">
        <x:v>equals</x:v>
      </x:c>
      <x:c r="H245" t="str">
        <x:f>IF(E245=F245,"PASS","FAIL")</x:f>
        <x:v>PASS</x:v>
      </x:c>
    </x:row>
    <x:row r="246">
      <x:c r="B246" t="str">
        <x:v>A-0216</x:v>
      </x:c>
      <x:c r="C246" t="str">
        <x:v>GATE</x:v>
      </x:c>
      <x:c r="D246" t="str">
        <x:v>release ledger mirrors governing state</x:v>
      </x:c>
      <x:c r="E246" t="str">
        <x:f>'Release Gates'!J222</x:f>
        <x:v>PASS</x:v>
      </x:c>
      <x:c r="F246" t="str">
        <x:f>IF('Release Gates'!C222="PLANNING","PASS",IF('Release Gates'!C222="PHYSICAL","OPEN","BLOCKED"))</x:f>
        <x:v>PASS</x:v>
      </x:c>
      <x:c r="G246" t="str">
        <x:v>equals</x:v>
      </x:c>
      <x:c r="H246" t="str">
        <x:f>IF(E246=F246,"PASS","FAIL")</x:f>
        <x:v>PASS</x:v>
      </x:c>
    </x:row>
    <x:row r="247">
      <x:c r="B247" t="str">
        <x:v>A-0217</x:v>
      </x:c>
      <x:c r="C247" t="str">
        <x:v>GATE</x:v>
      </x:c>
      <x:c r="D247" t="str">
        <x:v>release ledger mirrors governing state</x:v>
      </x:c>
      <x:c r="E247" t="str">
        <x:f>'Release Gates'!J223</x:f>
        <x:v>PASS</x:v>
      </x:c>
      <x:c r="F247" t="str">
        <x:f>IF('Release Gates'!C223="PLANNING","PASS",IF('Release Gates'!C223="PHYSICAL","OPEN","BLOCKED"))</x:f>
        <x:v>PASS</x:v>
      </x:c>
      <x:c r="G247" t="str">
        <x:v>equals</x:v>
      </x:c>
      <x:c r="H247" t="str">
        <x:f>IF(E247=F247,"PASS","FAIL")</x:f>
        <x:v>PASS</x:v>
      </x:c>
    </x:row>
    <x:row r="248">
      <x:c r="B248" t="str">
        <x:v>A-0218</x:v>
      </x:c>
      <x:c r="C248" t="str">
        <x:v>GATE</x:v>
      </x:c>
      <x:c r="D248" t="str">
        <x:v>release ledger mirrors governing state</x:v>
      </x:c>
      <x:c r="E248" t="str">
        <x:f>'Release Gates'!J224</x:f>
        <x:v>PASS</x:v>
      </x:c>
      <x:c r="F248" t="str">
        <x:f>IF('Release Gates'!C224="PLANNING","PASS",IF('Release Gates'!C224="PHYSICAL","OPEN","BLOCKED"))</x:f>
        <x:v>PASS</x:v>
      </x:c>
      <x:c r="G248" t="str">
        <x:v>equals</x:v>
      </x:c>
      <x:c r="H248" t="str">
        <x:f>IF(E248=F248,"PASS","FAIL")</x:f>
        <x:v>PASS</x:v>
      </x:c>
    </x:row>
    <x:row r="249">
      <x:c r="B249" t="str">
        <x:v>A-0219</x:v>
      </x:c>
      <x:c r="C249" t="str">
        <x:v>GATE</x:v>
      </x:c>
      <x:c r="D249" t="str">
        <x:v>release ledger mirrors governing state</x:v>
      </x:c>
      <x:c r="E249" t="str">
        <x:f>'Release Gates'!J225</x:f>
        <x:v>PASS</x:v>
      </x:c>
      <x:c r="F249" t="str">
        <x:f>IF('Release Gates'!C225="PLANNING","PASS",IF('Release Gates'!C225="PHYSICAL","OPEN","BLOCKED"))</x:f>
        <x:v>PASS</x:v>
      </x:c>
      <x:c r="G249" t="str">
        <x:v>equals</x:v>
      </x:c>
      <x:c r="H249" t="str">
        <x:f>IF(E249=F249,"PASS","FAIL")</x:f>
        <x:v>PASS</x:v>
      </x:c>
    </x:row>
    <x:row r="250">
      <x:c r="B250" t="str">
        <x:v>A-0220</x:v>
      </x:c>
      <x:c r="C250" t="str">
        <x:v>GATE</x:v>
      </x:c>
      <x:c r="D250" t="str">
        <x:v>release ledger mirrors governing state</x:v>
      </x:c>
      <x:c r="E250" t="str">
        <x:f>'Release Gates'!J226</x:f>
        <x:v>PASS</x:v>
      </x:c>
      <x:c r="F250" t="str">
        <x:f>IF('Release Gates'!C226="PLANNING","PASS",IF('Release Gates'!C226="PHYSICAL","OPEN","BLOCKED"))</x:f>
        <x:v>PASS</x:v>
      </x:c>
      <x:c r="G250" t="str">
        <x:v>equals</x:v>
      </x:c>
      <x:c r="H250" t="str">
        <x:f>IF(E250=F250,"PASS","FAIL")</x:f>
        <x:v>PASS</x:v>
      </x:c>
    </x:row>
    <x:row r="251">
      <x:c r="B251" t="str">
        <x:v>A-0221</x:v>
      </x:c>
      <x:c r="C251" t="str">
        <x:v>GATE</x:v>
      </x:c>
      <x:c r="D251" t="str">
        <x:v>release ledger mirrors governing state</x:v>
      </x:c>
      <x:c r="E251" t="str">
        <x:f>'Release Gates'!J227</x:f>
        <x:v>PASS</x:v>
      </x:c>
      <x:c r="F251" t="str">
        <x:f>IF('Release Gates'!C227="PLANNING","PASS",IF('Release Gates'!C227="PHYSICAL","OPEN","BLOCKED"))</x:f>
        <x:v>PASS</x:v>
      </x:c>
      <x:c r="G251" t="str">
        <x:v>equals</x:v>
      </x:c>
      <x:c r="H251" t="str">
        <x:f>IF(E251=F251,"PASS","FAIL")</x:f>
        <x:v>PASS</x:v>
      </x:c>
    </x:row>
    <x:row r="252">
      <x:c r="B252" t="str">
        <x:v>A-0222</x:v>
      </x:c>
      <x:c r="C252" t="str">
        <x:v>GATE</x:v>
      </x:c>
      <x:c r="D252" t="str">
        <x:v>release ledger mirrors governing state</x:v>
      </x:c>
      <x:c r="E252" t="str">
        <x:f>'Release Gates'!J228</x:f>
        <x:v>PASS</x:v>
      </x:c>
      <x:c r="F252" t="str">
        <x:f>IF('Release Gates'!C228="PLANNING","PASS",IF('Release Gates'!C228="PHYSICAL","OPEN","BLOCKED"))</x:f>
        <x:v>PASS</x:v>
      </x:c>
      <x:c r="G252" t="str">
        <x:v>equals</x:v>
      </x:c>
      <x:c r="H252" t="str">
        <x:f>IF(E252=F252,"PASS","FAIL")</x:f>
        <x:v>PASS</x:v>
      </x:c>
    </x:row>
    <x:row r="253">
      <x:c r="B253" t="str">
        <x:v>A-0223</x:v>
      </x:c>
      <x:c r="C253" t="str">
        <x:v>GATE</x:v>
      </x:c>
      <x:c r="D253" t="str">
        <x:v>release ledger mirrors governing state</x:v>
      </x:c>
      <x:c r="E253" t="str">
        <x:f>'Release Gates'!J229</x:f>
        <x:v>PASS</x:v>
      </x:c>
      <x:c r="F253" t="str">
        <x:f>IF('Release Gates'!C229="PLANNING","PASS",IF('Release Gates'!C229="PHYSICAL","OPEN","BLOCKED"))</x:f>
        <x:v>PASS</x:v>
      </x:c>
      <x:c r="G253" t="str">
        <x:v>equals</x:v>
      </x:c>
      <x:c r="H253" t="str">
        <x:f>IF(E253=F253,"PASS","FAIL")</x:f>
        <x:v>PASS</x:v>
      </x:c>
    </x:row>
    <x:row r="254">
      <x:c r="B254" t="str">
        <x:v>A-0224</x:v>
      </x:c>
      <x:c r="C254" t="str">
        <x:v>GATE</x:v>
      </x:c>
      <x:c r="D254" t="str">
        <x:v>release ledger mirrors governing state</x:v>
      </x:c>
      <x:c r="E254" t="str">
        <x:f>'Release Gates'!J230</x:f>
        <x:v>PASS</x:v>
      </x:c>
      <x:c r="F254" t="str">
        <x:f>IF('Release Gates'!C230="PLANNING","PASS",IF('Release Gates'!C230="PHYSICAL","OPEN","BLOCKED"))</x:f>
        <x:v>PASS</x:v>
      </x:c>
      <x:c r="G254" t="str">
        <x:v>equals</x:v>
      </x:c>
      <x:c r="H254" t="str">
        <x:f>IF(E254=F254,"PASS","FAIL")</x:f>
        <x:v>PASS</x:v>
      </x:c>
    </x:row>
    <x:row r="255">
      <x:c r="B255" t="str">
        <x:v>A-0225</x:v>
      </x:c>
      <x:c r="C255" t="str">
        <x:v>GATE</x:v>
      </x:c>
      <x:c r="D255" t="str">
        <x:v>release ledger mirrors governing state</x:v>
      </x:c>
      <x:c r="E255" t="str">
        <x:f>'Release Gates'!J231</x:f>
        <x:v>PASS</x:v>
      </x:c>
      <x:c r="F255" t="str">
        <x:f>IF('Release Gates'!C231="PLANNING","PASS",IF('Release Gates'!C231="PHYSICAL","OPEN","BLOCKED"))</x:f>
        <x:v>PASS</x:v>
      </x:c>
      <x:c r="G255" t="str">
        <x:v>equals</x:v>
      </x:c>
      <x:c r="H255" t="str">
        <x:f>IF(E255=F255,"PASS","FAIL")</x:f>
        <x:v>PASS</x:v>
      </x:c>
    </x:row>
    <x:row r="256">
      <x:c r="B256" t="str">
        <x:v>A-0226</x:v>
      </x:c>
      <x:c r="C256" t="str">
        <x:v>GATE</x:v>
      </x:c>
      <x:c r="D256" t="str">
        <x:v>release ledger mirrors governing state</x:v>
      </x:c>
      <x:c r="E256" t="str">
        <x:f>'Release Gates'!J232</x:f>
        <x:v>PASS</x:v>
      </x:c>
      <x:c r="F256" t="str">
        <x:f>IF('Release Gates'!C232="PLANNING","PASS",IF('Release Gates'!C232="PHYSICAL","OPEN","BLOCKED"))</x:f>
        <x:v>PASS</x:v>
      </x:c>
      <x:c r="G256" t="str">
        <x:v>equals</x:v>
      </x:c>
      <x:c r="H256" t="str">
        <x:f>IF(E256=F256,"PASS","FAIL")</x:f>
        <x:v>PASS</x:v>
      </x:c>
    </x:row>
    <x:row r="257">
      <x:c r="B257" t="str">
        <x:v>A-0227</x:v>
      </x:c>
      <x:c r="C257" t="str">
        <x:v>GATE</x:v>
      </x:c>
      <x:c r="D257" t="str">
        <x:v>release ledger mirrors governing state</x:v>
      </x:c>
      <x:c r="E257" t="str">
        <x:f>'Release Gates'!J233</x:f>
        <x:v>PASS</x:v>
      </x:c>
      <x:c r="F257" t="str">
        <x:f>IF('Release Gates'!C233="PLANNING","PASS",IF('Release Gates'!C233="PHYSICAL","OPEN","BLOCKED"))</x:f>
        <x:v>PASS</x:v>
      </x:c>
      <x:c r="G257" t="str">
        <x:v>equals</x:v>
      </x:c>
      <x:c r="H257" t="str">
        <x:f>IF(E257=F257,"PASS","FAIL")</x:f>
        <x:v>PASS</x:v>
      </x:c>
    </x:row>
    <x:row r="258">
      <x:c r="B258" t="str">
        <x:v>A-0228</x:v>
      </x:c>
      <x:c r="C258" t="str">
        <x:v>GATE</x:v>
      </x:c>
      <x:c r="D258" t="str">
        <x:v>release ledger mirrors governing state</x:v>
      </x:c>
      <x:c r="E258" t="str">
        <x:f>'Release Gates'!J234</x:f>
        <x:v>PASS</x:v>
      </x:c>
      <x:c r="F258" t="str">
        <x:f>IF('Release Gates'!C234="PLANNING","PASS",IF('Release Gates'!C234="PHYSICAL","OPEN","BLOCKED"))</x:f>
        <x:v>PASS</x:v>
      </x:c>
      <x:c r="G258" t="str">
        <x:v>equals</x:v>
      </x:c>
      <x:c r="H258" t="str">
        <x:f>IF(E258=F258,"PASS","FAIL")</x:f>
        <x:v>PASS</x:v>
      </x:c>
    </x:row>
    <x:row r="259">
      <x:c r="B259" t="str">
        <x:v>A-0229</x:v>
      </x:c>
      <x:c r="C259" t="str">
        <x:v>GATE</x:v>
      </x:c>
      <x:c r="D259" t="str">
        <x:v>release ledger mirrors governing state</x:v>
      </x:c>
      <x:c r="E259" t="str">
        <x:f>'Release Gates'!J235</x:f>
        <x:v>PASS</x:v>
      </x:c>
      <x:c r="F259" t="str">
        <x:f>IF('Release Gates'!C235="PLANNING","PASS",IF('Release Gates'!C235="PHYSICAL","OPEN","BLOCKED"))</x:f>
        <x:v>PASS</x:v>
      </x:c>
      <x:c r="G259" t="str">
        <x:v>equals</x:v>
      </x:c>
      <x:c r="H259" t="str">
        <x:f>IF(E259=F259,"PASS","FAIL")</x:f>
        <x:v>PASS</x:v>
      </x:c>
    </x:row>
    <x:row r="260">
      <x:c r="B260" t="str">
        <x:v>A-0230</x:v>
      </x:c>
      <x:c r="C260" t="str">
        <x:v>GATE</x:v>
      </x:c>
      <x:c r="D260" t="str">
        <x:v>release ledger mirrors governing state</x:v>
      </x:c>
      <x:c r="E260" t="str">
        <x:f>'Release Gates'!J236</x:f>
        <x:v>PASS</x:v>
      </x:c>
      <x:c r="F260" t="str">
        <x:f>IF('Release Gates'!C236="PLANNING","PASS",IF('Release Gates'!C236="PHYSICAL","OPEN","BLOCKED"))</x:f>
        <x:v>PASS</x:v>
      </x:c>
      <x:c r="G260" t="str">
        <x:v>equals</x:v>
      </x:c>
      <x:c r="H260" t="str">
        <x:f>IF(E260=F260,"PASS","FAIL")</x:f>
        <x:v>PASS</x:v>
      </x:c>
    </x:row>
    <x:row r="261">
      <x:c r="B261" t="str">
        <x:v>A-0231</x:v>
      </x:c>
      <x:c r="C261" t="str">
        <x:v>GATE</x:v>
      </x:c>
      <x:c r="D261" t="str">
        <x:v>release ledger mirrors governing state</x:v>
      </x:c>
      <x:c r="E261" t="str">
        <x:f>'Release Gates'!J237</x:f>
        <x:v>PASS</x:v>
      </x:c>
      <x:c r="F261" t="str">
        <x:f>IF('Release Gates'!C237="PLANNING","PASS",IF('Release Gates'!C237="PHYSICAL","OPEN","BLOCKED"))</x:f>
        <x:v>PASS</x:v>
      </x:c>
      <x:c r="G261" t="str">
        <x:v>equals</x:v>
      </x:c>
      <x:c r="H261" t="str">
        <x:f>IF(E261=F261,"PASS","FAIL")</x:f>
        <x:v>PASS</x:v>
      </x:c>
    </x:row>
    <x:row r="262">
      <x:c r="B262" t="str">
        <x:v>A-0232</x:v>
      </x:c>
      <x:c r="C262" t="str">
        <x:v>GATE</x:v>
      </x:c>
      <x:c r="D262" t="str">
        <x:v>release ledger mirrors governing state</x:v>
      </x:c>
      <x:c r="E262" t="str">
        <x:f>'Release Gates'!J238</x:f>
        <x:v>PASS</x:v>
      </x:c>
      <x:c r="F262" t="str">
        <x:f>IF('Release Gates'!C238="PLANNING","PASS",IF('Release Gates'!C238="PHYSICAL","OPEN","BLOCKED"))</x:f>
        <x:v>PASS</x:v>
      </x:c>
      <x:c r="G262" t="str">
        <x:v>equals</x:v>
      </x:c>
      <x:c r="H262" t="str">
        <x:f>IF(E262=F262,"PASS","FAIL")</x:f>
        <x:v>PASS</x:v>
      </x:c>
    </x:row>
    <x:row r="263">
      <x:c r="B263" t="str">
        <x:v>A-0233</x:v>
      </x:c>
      <x:c r="C263" t="str">
        <x:v>GATE</x:v>
      </x:c>
      <x:c r="D263" t="str">
        <x:v>release ledger mirrors governing state</x:v>
      </x:c>
      <x:c r="E263" t="str">
        <x:f>'Release Gates'!J239</x:f>
        <x:v>PASS</x:v>
      </x:c>
      <x:c r="F263" t="str">
        <x:f>IF('Release Gates'!C239="PLANNING","PASS",IF('Release Gates'!C239="PHYSICAL","OPEN","BLOCKED"))</x:f>
        <x:v>PASS</x:v>
      </x:c>
      <x:c r="G263" t="str">
        <x:v>equals</x:v>
      </x:c>
      <x:c r="H263" t="str">
        <x:f>IF(E263=F263,"PASS","FAIL")</x:f>
        <x:v>PASS</x:v>
      </x:c>
    </x:row>
    <x:row r="264">
      <x:c r="B264" t="str">
        <x:v>A-0234</x:v>
      </x:c>
      <x:c r="C264" t="str">
        <x:v>GATE</x:v>
      </x:c>
      <x:c r="D264" t="str">
        <x:v>release ledger mirrors governing state</x:v>
      </x:c>
      <x:c r="E264" t="str">
        <x:f>'Release Gates'!J240</x:f>
        <x:v>PASS</x:v>
      </x:c>
      <x:c r="F264" t="str">
        <x:f>IF('Release Gates'!C240="PLANNING","PASS",IF('Release Gates'!C240="PHYSICAL","OPEN","BLOCKED"))</x:f>
        <x:v>PASS</x:v>
      </x:c>
      <x:c r="G264" t="str">
        <x:v>equals</x:v>
      </x:c>
      <x:c r="H264" t="str">
        <x:f>IF(E264=F264,"PASS","FAIL")</x:f>
        <x:v>PASS</x:v>
      </x:c>
    </x:row>
    <x:row r="265">
      <x:c r="B265" t="str">
        <x:v>A-0235</x:v>
      </x:c>
      <x:c r="C265" t="str">
        <x:v>GATE</x:v>
      </x:c>
      <x:c r="D265" t="str">
        <x:v>release ledger mirrors governing state</x:v>
      </x:c>
      <x:c r="E265" t="str">
        <x:f>'Release Gates'!J241</x:f>
        <x:v>PASS</x:v>
      </x:c>
      <x:c r="F265" t="str">
        <x:f>IF('Release Gates'!C241="PLANNING","PASS",IF('Release Gates'!C241="PHYSICAL","OPEN","BLOCKED"))</x:f>
        <x:v>PASS</x:v>
      </x:c>
      <x:c r="G265" t="str">
        <x:v>equals</x:v>
      </x:c>
      <x:c r="H265" t="str">
        <x:f>IF(E265=F265,"PASS","FAIL")</x:f>
        <x:v>PASS</x:v>
      </x:c>
    </x:row>
    <x:row r="266">
      <x:c r="B266" t="str">
        <x:v>A-0236</x:v>
      </x:c>
      <x:c r="C266" t="str">
        <x:v>GATE</x:v>
      </x:c>
      <x:c r="D266" t="str">
        <x:v>release ledger mirrors governing state</x:v>
      </x:c>
      <x:c r="E266" t="str">
        <x:f>'Release Gates'!J242</x:f>
        <x:v>PASS</x:v>
      </x:c>
      <x:c r="F266" t="str">
        <x:f>IF('Release Gates'!C242="PLANNING","PASS",IF('Release Gates'!C242="PHYSICAL","OPEN","BLOCKED"))</x:f>
        <x:v>PASS</x:v>
      </x:c>
      <x:c r="G266" t="str">
        <x:v>equals</x:v>
      </x:c>
      <x:c r="H266" t="str">
        <x:f>IF(E266=F266,"PASS","FAIL")</x:f>
        <x:v>PASS</x:v>
      </x:c>
    </x:row>
    <x:row r="267">
      <x:c r="B267" t="str">
        <x:v>A-0237</x:v>
      </x:c>
      <x:c r="C267" t="str">
        <x:v>GATE</x:v>
      </x:c>
      <x:c r="D267" t="str">
        <x:v>release ledger mirrors governing state</x:v>
      </x:c>
      <x:c r="E267" t="str">
        <x:f>'Release Gates'!J243</x:f>
        <x:v>PASS</x:v>
      </x:c>
      <x:c r="F267" t="str">
        <x:f>IF('Release Gates'!C243="PLANNING","PASS",IF('Release Gates'!C243="PHYSICAL","OPEN","BLOCKED"))</x:f>
        <x:v>PASS</x:v>
      </x:c>
      <x:c r="G267" t="str">
        <x:v>equals</x:v>
      </x:c>
      <x:c r="H267" t="str">
        <x:f>IF(E267=F267,"PASS","FAIL")</x:f>
        <x:v>PASS</x:v>
      </x:c>
    </x:row>
    <x:row r="268">
      <x:c r="B268" t="str">
        <x:v>A-0238</x:v>
      </x:c>
      <x:c r="C268" t="str">
        <x:v>GATE</x:v>
      </x:c>
      <x:c r="D268" t="str">
        <x:v>release ledger mirrors governing state</x:v>
      </x:c>
      <x:c r="E268" t="str">
        <x:f>'Release Gates'!J244</x:f>
        <x:v>PASS</x:v>
      </x:c>
      <x:c r="F268" t="str">
        <x:f>IF('Release Gates'!C244="PLANNING","PASS",IF('Release Gates'!C244="PHYSICAL","OPEN","BLOCKED"))</x:f>
        <x:v>PASS</x:v>
      </x:c>
      <x:c r="G268" t="str">
        <x:v>equals</x:v>
      </x:c>
      <x:c r="H268" t="str">
        <x:f>IF(E268=F268,"PASS","FAIL")</x:f>
        <x:v>PASS</x:v>
      </x:c>
    </x:row>
    <x:row r="269">
      <x:c r="B269" t="str">
        <x:v>A-0239</x:v>
      </x:c>
      <x:c r="C269" t="str">
        <x:v>GATE</x:v>
      </x:c>
      <x:c r="D269" t="str">
        <x:v>release ledger mirrors governing state</x:v>
      </x:c>
      <x:c r="E269" t="str">
        <x:f>'Release Gates'!J245</x:f>
        <x:v>PASS</x:v>
      </x:c>
      <x:c r="F269" t="str">
        <x:f>IF('Release Gates'!C245="PLANNING","PASS",IF('Release Gates'!C245="PHYSICAL","OPEN","BLOCKED"))</x:f>
        <x:v>PASS</x:v>
      </x:c>
      <x:c r="G269" t="str">
        <x:v>equals</x:v>
      </x:c>
      <x:c r="H269" t="str">
        <x:f>IF(E269=F269,"PASS","FAIL")</x:f>
        <x:v>PASS</x:v>
      </x:c>
    </x:row>
    <x:row r="270">
      <x:c r="B270" t="str">
        <x:v>A-0240</x:v>
      </x:c>
      <x:c r="C270" t="str">
        <x:v>GATE</x:v>
      </x:c>
      <x:c r="D270" t="str">
        <x:v>release ledger mirrors governing state</x:v>
      </x:c>
      <x:c r="E270" t="str">
        <x:f>'Release Gates'!J246</x:f>
        <x:v>PASS</x:v>
      </x:c>
      <x:c r="F270" t="str">
        <x:f>IF('Release Gates'!C246="PLANNING","PASS",IF('Release Gates'!C246="PHYSICAL","OPEN","BLOCKED"))</x:f>
        <x:v>PASS</x:v>
      </x:c>
      <x:c r="G270" t="str">
        <x:v>equals</x:v>
      </x:c>
      <x:c r="H270" t="str">
        <x:f>IF(E270=F270,"PASS","FAIL")</x:f>
        <x:v>PASS</x:v>
      </x:c>
    </x:row>
    <x:row r="271">
      <x:c r="B271" t="str">
        <x:v>A-0241</x:v>
      </x:c>
      <x:c r="C271" t="str">
        <x:v>GATE</x:v>
      </x:c>
      <x:c r="D271" t="str">
        <x:v>release ledger mirrors governing state</x:v>
      </x:c>
      <x:c r="E271" t="str">
        <x:f>'Release Gates'!J247</x:f>
        <x:v>PASS</x:v>
      </x:c>
      <x:c r="F271" t="str">
        <x:f>IF('Release Gates'!C247="PLANNING","PASS",IF('Release Gates'!C247="PHYSICAL","OPEN","BLOCKED"))</x:f>
        <x:v>PASS</x:v>
      </x:c>
      <x:c r="G271" t="str">
        <x:v>equals</x:v>
      </x:c>
      <x:c r="H271" t="str">
        <x:f>IF(E271=F271,"PASS","FAIL")</x:f>
        <x:v>PASS</x:v>
      </x:c>
    </x:row>
    <x:row r="272">
      <x:c r="B272" t="str">
        <x:v>A-0242</x:v>
      </x:c>
      <x:c r="C272" t="str">
        <x:v>GATE</x:v>
      </x:c>
      <x:c r="D272" t="str">
        <x:v>release ledger mirrors governing state</x:v>
      </x:c>
      <x:c r="E272" t="str">
        <x:f>'Release Gates'!J248</x:f>
        <x:v>PASS</x:v>
      </x:c>
      <x:c r="F272" t="str">
        <x:f>IF('Release Gates'!C248="PLANNING","PASS",IF('Release Gates'!C248="PHYSICAL","OPEN","BLOCKED"))</x:f>
        <x:v>PASS</x:v>
      </x:c>
      <x:c r="G272" t="str">
        <x:v>equals</x:v>
      </x:c>
      <x:c r="H272" t="str">
        <x:f>IF(E272=F272,"PASS","FAIL")</x:f>
        <x:v>PASS</x:v>
      </x:c>
    </x:row>
    <x:row r="273">
      <x:c r="B273" t="str">
        <x:v>A-0243</x:v>
      </x:c>
      <x:c r="C273" t="str">
        <x:v>GATE</x:v>
      </x:c>
      <x:c r="D273" t="str">
        <x:v>release ledger mirrors governing state</x:v>
      </x:c>
      <x:c r="E273" t="str">
        <x:f>'Release Gates'!J249</x:f>
        <x:v>PASS</x:v>
      </x:c>
      <x:c r="F273" t="str">
        <x:f>IF('Release Gates'!C249="PLANNING","PASS",IF('Release Gates'!C249="PHYSICAL","OPEN","BLOCKED"))</x:f>
        <x:v>PASS</x:v>
      </x:c>
      <x:c r="G273" t="str">
        <x:v>equals</x:v>
      </x:c>
      <x:c r="H273" t="str">
        <x:f>IF(E273=F273,"PASS","FAIL")</x:f>
        <x:v>PASS</x:v>
      </x:c>
    </x:row>
    <x:row r="274">
      <x:c r="B274" t="str">
        <x:v>A-0244</x:v>
      </x:c>
      <x:c r="C274" t="str">
        <x:v>GATE</x:v>
      </x:c>
      <x:c r="D274" t="str">
        <x:v>release ledger mirrors governing state</x:v>
      </x:c>
      <x:c r="E274" t="str">
        <x:f>'Release Gates'!J250</x:f>
        <x:v>PASS</x:v>
      </x:c>
      <x:c r="F274" t="str">
        <x:f>IF('Release Gates'!C250="PLANNING","PASS",IF('Release Gates'!C250="PHYSICAL","OPEN","BLOCKED"))</x:f>
        <x:v>PASS</x:v>
      </x:c>
      <x:c r="G274" t="str">
        <x:v>equals</x:v>
      </x:c>
      <x:c r="H274" t="str">
        <x:f>IF(E274=F274,"PASS","FAIL")</x:f>
        <x:v>PASS</x:v>
      </x:c>
    </x:row>
    <x:row r="275">
      <x:c r="B275" t="str">
        <x:v>A-0245</x:v>
      </x:c>
      <x:c r="C275" t="str">
        <x:v>GATE</x:v>
      </x:c>
      <x:c r="D275" t="str">
        <x:v>release ledger mirrors governing state</x:v>
      </x:c>
      <x:c r="E275" t="str">
        <x:f>'Release Gates'!J251</x:f>
        <x:v>PASS</x:v>
      </x:c>
      <x:c r="F275" t="str">
        <x:f>IF('Release Gates'!C251="PLANNING","PASS",IF('Release Gates'!C251="PHYSICAL","OPEN","BLOCKED"))</x:f>
        <x:v>PASS</x:v>
      </x:c>
      <x:c r="G275" t="str">
        <x:v>equals</x:v>
      </x:c>
      <x:c r="H275" t="str">
        <x:f>IF(E275=F275,"PASS","FAIL")</x:f>
        <x:v>PASS</x:v>
      </x:c>
    </x:row>
    <x:row r="276">
      <x:c r="B276" t="str">
        <x:v>A-0246</x:v>
      </x:c>
      <x:c r="C276" t="str">
        <x:v>GATE</x:v>
      </x:c>
      <x:c r="D276" t="str">
        <x:v>release ledger mirrors governing state</x:v>
      </x:c>
      <x:c r="E276" t="str">
        <x:f>'Release Gates'!J252</x:f>
        <x:v>PASS</x:v>
      </x:c>
      <x:c r="F276" t="str">
        <x:f>IF('Release Gates'!C252="PLANNING","PASS",IF('Release Gates'!C252="PHYSICAL","OPEN","BLOCKED"))</x:f>
        <x:v>PASS</x:v>
      </x:c>
      <x:c r="G276" t="str">
        <x:v>equals</x:v>
      </x:c>
      <x:c r="H276" t="str">
        <x:f>IF(E276=F276,"PASS","FAIL")</x:f>
        <x:v>PASS</x:v>
      </x:c>
    </x:row>
    <x:row r="277">
      <x:c r="B277" t="str">
        <x:v>A-0247</x:v>
      </x:c>
      <x:c r="C277" t="str">
        <x:v>GATE</x:v>
      </x:c>
      <x:c r="D277" t="str">
        <x:v>release ledger mirrors governing state</x:v>
      </x:c>
      <x:c r="E277" t="str">
        <x:f>'Release Gates'!J253</x:f>
        <x:v>PASS</x:v>
      </x:c>
      <x:c r="F277" t="str">
        <x:f>IF('Release Gates'!C253="PLANNING","PASS",IF('Release Gates'!C253="PHYSICAL","OPEN","BLOCKED"))</x:f>
        <x:v>PASS</x:v>
      </x:c>
      <x:c r="G277" t="str">
        <x:v>equals</x:v>
      </x:c>
      <x:c r="H277" t="str">
        <x:f>IF(E277=F277,"PASS","FAIL")</x:f>
        <x:v>PASS</x:v>
      </x:c>
    </x:row>
    <x:row r="278">
      <x:c r="B278" t="str">
        <x:v>A-0248</x:v>
      </x:c>
      <x:c r="C278" t="str">
        <x:v>GATE</x:v>
      </x:c>
      <x:c r="D278" t="str">
        <x:v>release ledger mirrors governing state</x:v>
      </x:c>
      <x:c r="E278" t="str">
        <x:f>'Release Gates'!J254</x:f>
        <x:v>PASS</x:v>
      </x:c>
      <x:c r="F278" t="str">
        <x:f>IF('Release Gates'!C254="PLANNING","PASS",IF('Release Gates'!C254="PHYSICAL","OPEN","BLOCKED"))</x:f>
        <x:v>PASS</x:v>
      </x:c>
      <x:c r="G278" t="str">
        <x:v>equals</x:v>
      </x:c>
      <x:c r="H278" t="str">
        <x:f>IF(E278=F278,"PASS","FAIL")</x:f>
        <x:v>PASS</x:v>
      </x:c>
    </x:row>
    <x:row r="279">
      <x:c r="B279" t="str">
        <x:v>A-0249</x:v>
      </x:c>
      <x:c r="C279" t="str">
        <x:v>GATE</x:v>
      </x:c>
      <x:c r="D279" t="str">
        <x:v>release ledger mirrors governing state</x:v>
      </x:c>
      <x:c r="E279" t="str">
        <x:f>'Release Gates'!J255</x:f>
        <x:v>PASS</x:v>
      </x:c>
      <x:c r="F279" t="str">
        <x:f>IF('Release Gates'!C255="PLANNING","PASS",IF('Release Gates'!C255="PHYSICAL","OPEN","BLOCKED"))</x:f>
        <x:v>PASS</x:v>
      </x:c>
      <x:c r="G279" t="str">
        <x:v>equals</x:v>
      </x:c>
      <x:c r="H279" t="str">
        <x:f>IF(E279=F279,"PASS","FAIL")</x:f>
        <x:v>PASS</x:v>
      </x:c>
    </x:row>
    <x:row r="280">
      <x:c r="B280" t="str">
        <x:v>A-0250</x:v>
      </x:c>
      <x:c r="C280" t="str">
        <x:v>GATE</x:v>
      </x:c>
      <x:c r="D280" t="str">
        <x:v>release ledger mirrors governing state</x:v>
      </x:c>
      <x:c r="E280" t="str">
        <x:f>'Release Gates'!J256</x:f>
        <x:v>PASS</x:v>
      </x:c>
      <x:c r="F280" t="str">
        <x:f>IF('Release Gates'!C256="PLANNING","PASS",IF('Release Gates'!C256="PHYSICAL","OPEN","BLOCKED"))</x:f>
        <x:v>PASS</x:v>
      </x:c>
      <x:c r="G280" t="str">
        <x:v>equals</x:v>
      </x:c>
      <x:c r="H280" t="str">
        <x:f>IF(E280=F280,"PASS","FAIL")</x:f>
        <x:v>PASS</x:v>
      </x:c>
    </x:row>
    <x:row r="281">
      <x:c r="B281" t="str">
        <x:v>A-0251</x:v>
      </x:c>
      <x:c r="C281" t="str">
        <x:v>GATE</x:v>
      </x:c>
      <x:c r="D281" t="str">
        <x:v>release ledger mirrors governing state</x:v>
      </x:c>
      <x:c r="E281" t="str">
        <x:f>'Release Gates'!J257</x:f>
        <x:v>PASS</x:v>
      </x:c>
      <x:c r="F281" t="str">
        <x:f>IF('Release Gates'!C257="PLANNING","PASS",IF('Release Gates'!C257="PHYSICAL","OPEN","BLOCKED"))</x:f>
        <x:v>PASS</x:v>
      </x:c>
      <x:c r="G281" t="str">
        <x:v>equals</x:v>
      </x:c>
      <x:c r="H281" t="str">
        <x:f>IF(E281=F281,"PASS","FAIL")</x:f>
        <x:v>PASS</x:v>
      </x:c>
    </x:row>
    <x:row r="282">
      <x:c r="B282" t="str">
        <x:v>A-0252</x:v>
      </x:c>
      <x:c r="C282" t="str">
        <x:v>GATE</x:v>
      </x:c>
      <x:c r="D282" t="str">
        <x:v>release ledger mirrors governing state</x:v>
      </x:c>
      <x:c r="E282" t="str">
        <x:f>'Release Gates'!J258</x:f>
        <x:v>PASS</x:v>
      </x:c>
      <x:c r="F282" t="str">
        <x:f>IF('Release Gates'!C258="PLANNING","PASS",IF('Release Gates'!C258="PHYSICAL","OPEN","BLOCKED"))</x:f>
        <x:v>PASS</x:v>
      </x:c>
      <x:c r="G282" t="str">
        <x:v>equals</x:v>
      </x:c>
      <x:c r="H282" t="str">
        <x:f>IF(E282=F282,"PASS","FAIL")</x:f>
        <x:v>PASS</x:v>
      </x:c>
    </x:row>
    <x:row r="283">
      <x:c r="B283" t="str">
        <x:v>A-0253</x:v>
      </x:c>
      <x:c r="C283" t="str">
        <x:v>GATE</x:v>
      </x:c>
      <x:c r="D283" t="str">
        <x:v>release ledger mirrors governing state</x:v>
      </x:c>
      <x:c r="E283" t="str">
        <x:f>'Release Gates'!J259</x:f>
        <x:v>PASS</x:v>
      </x:c>
      <x:c r="F283" t="str">
        <x:f>IF('Release Gates'!C259="PLANNING","PASS",IF('Release Gates'!C259="PHYSICAL","OPEN","BLOCKED"))</x:f>
        <x:v>PASS</x:v>
      </x:c>
      <x:c r="G283" t="str">
        <x:v>equals</x:v>
      </x:c>
      <x:c r="H283" t="str">
        <x:f>IF(E283=F283,"PASS","FAIL")</x:f>
        <x:v>PASS</x:v>
      </x:c>
    </x:row>
    <x:row r="284">
      <x:c r="B284" t="str">
        <x:v>A-0254</x:v>
      </x:c>
      <x:c r="C284" t="str">
        <x:v>GATE</x:v>
      </x:c>
      <x:c r="D284" t="str">
        <x:v>release ledger mirrors governing state</x:v>
      </x:c>
      <x:c r="E284" t="str">
        <x:f>'Release Gates'!J260</x:f>
        <x:v>PASS</x:v>
      </x:c>
      <x:c r="F284" t="str">
        <x:f>IF('Release Gates'!C260="PLANNING","PASS",IF('Release Gates'!C260="PHYSICAL","OPEN","BLOCKED"))</x:f>
        <x:v>PASS</x:v>
      </x:c>
      <x:c r="G284" t="str">
        <x:v>equals</x:v>
      </x:c>
      <x:c r="H284" t="str">
        <x:f>IF(E284=F284,"PASS","FAIL")</x:f>
        <x:v>PASS</x:v>
      </x:c>
    </x:row>
    <x:row r="285">
      <x:c r="B285" t="str">
        <x:v>A-0255</x:v>
      </x:c>
      <x:c r="C285" t="str">
        <x:v>GATE</x:v>
      </x:c>
      <x:c r="D285" t="str">
        <x:v>release ledger mirrors governing state</x:v>
      </x:c>
      <x:c r="E285" t="str">
        <x:f>'Release Gates'!J261</x:f>
        <x:v>PASS</x:v>
      </x:c>
      <x:c r="F285" t="str">
        <x:f>IF('Release Gates'!C261="PLANNING","PASS",IF('Release Gates'!C261="PHYSICAL","OPEN","BLOCKED"))</x:f>
        <x:v>PASS</x:v>
      </x:c>
      <x:c r="G285" t="str">
        <x:v>equals</x:v>
      </x:c>
      <x:c r="H285" t="str">
        <x:f>IF(E285=F285,"PASS","FAIL")</x:f>
        <x:v>PASS</x:v>
      </x:c>
    </x:row>
    <x:row r="286">
      <x:c r="B286" t="str">
        <x:v>A-0256</x:v>
      </x:c>
      <x:c r="C286" t="str">
        <x:v>GATE</x:v>
      </x:c>
      <x:c r="D286" t="str">
        <x:v>release ledger mirrors governing state</x:v>
      </x:c>
      <x:c r="E286" t="str">
        <x:f>'Release Gates'!J262</x:f>
        <x:v>PASS</x:v>
      </x:c>
      <x:c r="F286" t="str">
        <x:f>IF('Release Gates'!C262="PLANNING","PASS",IF('Release Gates'!C262="PHYSICAL","OPEN","BLOCKED"))</x:f>
        <x:v>PASS</x:v>
      </x:c>
      <x:c r="G286" t="str">
        <x:v>equals</x:v>
      </x:c>
      <x:c r="H286" t="str">
        <x:f>IF(E286=F286,"PASS","FAIL")</x:f>
        <x:v>PASS</x:v>
      </x:c>
    </x:row>
    <x:row r="287">
      <x:c r="B287" t="str">
        <x:v>A-0257</x:v>
      </x:c>
      <x:c r="C287" t="str">
        <x:v>GATE</x:v>
      </x:c>
      <x:c r="D287" t="str">
        <x:v>release ledger mirrors governing state</x:v>
      </x:c>
      <x:c r="E287" t="str">
        <x:f>'Release Gates'!J263</x:f>
        <x:v>PASS</x:v>
      </x:c>
      <x:c r="F287" t="str">
        <x:f>IF('Release Gates'!C263="PLANNING","PASS",IF('Release Gates'!C263="PHYSICAL","OPEN","BLOCKED"))</x:f>
        <x:v>PASS</x:v>
      </x:c>
      <x:c r="G287" t="str">
        <x:v>equals</x:v>
      </x:c>
      <x:c r="H287" t="str">
        <x:f>IF(E287=F287,"PASS","FAIL")</x:f>
        <x:v>PASS</x:v>
      </x:c>
    </x:row>
    <x:row r="288">
      <x:c r="B288" t="str">
        <x:v>A-0258</x:v>
      </x:c>
      <x:c r="C288" t="str">
        <x:v>GATE</x:v>
      </x:c>
      <x:c r="D288" t="str">
        <x:v>release ledger mirrors governing state</x:v>
      </x:c>
      <x:c r="E288" t="str">
        <x:f>'Release Gates'!J264</x:f>
        <x:v>PASS</x:v>
      </x:c>
      <x:c r="F288" t="str">
        <x:f>IF('Release Gates'!C264="PLANNING","PASS",IF('Release Gates'!C264="PHYSICAL","OPEN","BLOCKED"))</x:f>
        <x:v>PASS</x:v>
      </x:c>
      <x:c r="G288" t="str">
        <x:v>equals</x:v>
      </x:c>
      <x:c r="H288" t="str">
        <x:f>IF(E288=F288,"PASS","FAIL")</x:f>
        <x:v>PASS</x:v>
      </x:c>
    </x:row>
    <x:row r="289">
      <x:c r="B289" t="str">
        <x:v>A-0259</x:v>
      </x:c>
      <x:c r="C289" t="str">
        <x:v>GATE</x:v>
      </x:c>
      <x:c r="D289" t="str">
        <x:v>release ledger mirrors governing state</x:v>
      </x:c>
      <x:c r="E289" t="str">
        <x:f>'Release Gates'!J265</x:f>
        <x:v>PASS</x:v>
      </x:c>
      <x:c r="F289" t="str">
        <x:f>IF('Release Gates'!C265="PLANNING","PASS",IF('Release Gates'!C265="PHYSICAL","OPEN","BLOCKED"))</x:f>
        <x:v>PASS</x:v>
      </x:c>
      <x:c r="G289" t="str">
        <x:v>equals</x:v>
      </x:c>
      <x:c r="H289" t="str">
        <x:f>IF(E289=F289,"PASS","FAIL")</x:f>
        <x:v>PASS</x:v>
      </x:c>
    </x:row>
    <x:row r="290">
      <x:c r="B290" t="str">
        <x:v>A-0260</x:v>
      </x:c>
      <x:c r="C290" t="str">
        <x:v>GATE</x:v>
      </x:c>
      <x:c r="D290" t="str">
        <x:v>release ledger mirrors governing state</x:v>
      </x:c>
      <x:c r="E290" t="str">
        <x:f>'Release Gates'!J266</x:f>
        <x:v>PASS</x:v>
      </x:c>
      <x:c r="F290" t="str">
        <x:f>IF('Release Gates'!C266="PLANNING","PASS",IF('Release Gates'!C266="PHYSICAL","OPEN","BLOCKED"))</x:f>
        <x:v>PASS</x:v>
      </x:c>
      <x:c r="G290" t="str">
        <x:v>equals</x:v>
      </x:c>
      <x:c r="H290" t="str">
        <x:f>IF(E290=F290,"PASS","FAIL")</x:f>
        <x:v>PASS</x:v>
      </x:c>
    </x:row>
    <x:row r="291">
      <x:c r="B291" t="str">
        <x:v>A-0261</x:v>
      </x:c>
      <x:c r="C291" t="str">
        <x:v>GATE</x:v>
      </x:c>
      <x:c r="D291" t="str">
        <x:v>release ledger mirrors governing state</x:v>
      </x:c>
      <x:c r="E291" t="str">
        <x:f>'Release Gates'!J267</x:f>
        <x:v>PASS</x:v>
      </x:c>
      <x:c r="F291" t="str">
        <x:f>IF('Release Gates'!C267="PLANNING","PASS",IF('Release Gates'!C267="PHYSICAL","OPEN","BLOCKED"))</x:f>
        <x:v>PASS</x:v>
      </x:c>
      <x:c r="G291" t="str">
        <x:v>equals</x:v>
      </x:c>
      <x:c r="H291" t="str">
        <x:f>IF(E291=F291,"PASS","FAIL")</x:f>
        <x:v>PASS</x:v>
      </x:c>
    </x:row>
    <x:row r="292">
      <x:c r="B292" t="str">
        <x:v>A-0262</x:v>
      </x:c>
      <x:c r="C292" t="str">
        <x:v>GATE</x:v>
      </x:c>
      <x:c r="D292" t="str">
        <x:v>release ledger mirrors governing state</x:v>
      </x:c>
      <x:c r="E292" t="str">
        <x:f>'Release Gates'!J268</x:f>
        <x:v>PASS</x:v>
      </x:c>
      <x:c r="F292" t="str">
        <x:f>IF('Release Gates'!C268="PLANNING","PASS",IF('Release Gates'!C268="PHYSICAL","OPEN","BLOCKED"))</x:f>
        <x:v>PASS</x:v>
      </x:c>
      <x:c r="G292" t="str">
        <x:v>equals</x:v>
      </x:c>
      <x:c r="H292" t="str">
        <x:f>IF(E292=F292,"PASS","FAIL")</x:f>
        <x:v>PASS</x:v>
      </x:c>
    </x:row>
    <x:row r="293">
      <x:c r="B293" t="str">
        <x:v>A-0263</x:v>
      </x:c>
      <x:c r="C293" t="str">
        <x:v>GATE</x:v>
      </x:c>
      <x:c r="D293" t="str">
        <x:v>release ledger mirrors governing state</x:v>
      </x:c>
      <x:c r="E293" t="str">
        <x:f>'Release Gates'!J269</x:f>
        <x:v>PASS</x:v>
      </x:c>
      <x:c r="F293" t="str">
        <x:f>IF('Release Gates'!C269="PLANNING","PASS",IF('Release Gates'!C269="PHYSICAL","OPEN","BLOCKED"))</x:f>
        <x:v>PASS</x:v>
      </x:c>
      <x:c r="G293" t="str">
        <x:v>equals</x:v>
      </x:c>
      <x:c r="H293" t="str">
        <x:f>IF(E293=F293,"PASS","FAIL")</x:f>
        <x:v>PASS</x:v>
      </x:c>
    </x:row>
    <x:row r="294">
      <x:c r="B294" t="str">
        <x:v>A-0264</x:v>
      </x:c>
      <x:c r="C294" t="str">
        <x:v>GATE</x:v>
      </x:c>
      <x:c r="D294" t="str">
        <x:v>release ledger mirrors governing state</x:v>
      </x:c>
      <x:c r="E294" t="str">
        <x:f>'Release Gates'!J270</x:f>
        <x:v>PASS</x:v>
      </x:c>
      <x:c r="F294" t="str">
        <x:f>IF('Release Gates'!C270="PLANNING","PASS",IF('Release Gates'!C270="PHYSICAL","OPEN","BLOCKED"))</x:f>
        <x:v>PASS</x:v>
      </x:c>
      <x:c r="G294" t="str">
        <x:v>equals</x:v>
      </x:c>
      <x:c r="H294" t="str">
        <x:f>IF(E294=F294,"PASS","FAIL")</x:f>
        <x:v>PASS</x:v>
      </x:c>
    </x:row>
    <x:row r="295">
      <x:c r="B295" t="str">
        <x:v>A-0265</x:v>
      </x:c>
      <x:c r="C295" t="str">
        <x:v>GATE</x:v>
      </x:c>
      <x:c r="D295" t="str">
        <x:v>release ledger mirrors governing state</x:v>
      </x:c>
      <x:c r="E295" t="str">
        <x:f>'Release Gates'!J271</x:f>
        <x:v>PASS</x:v>
      </x:c>
      <x:c r="F295" t="str">
        <x:f>IF('Release Gates'!C271="PLANNING","PASS",IF('Release Gates'!C271="PHYSICAL","OPEN","BLOCKED"))</x:f>
        <x:v>PASS</x:v>
      </x:c>
      <x:c r="G295" t="str">
        <x:v>equals</x:v>
      </x:c>
      <x:c r="H295" t="str">
        <x:f>IF(E295=F295,"PASS","FAIL")</x:f>
        <x:v>PASS</x:v>
      </x:c>
    </x:row>
    <x:row r="296">
      <x:c r="B296" t="str">
        <x:v>A-0266</x:v>
      </x:c>
      <x:c r="C296" t="str">
        <x:v>GATE</x:v>
      </x:c>
      <x:c r="D296" t="str">
        <x:v>release ledger mirrors governing state</x:v>
      </x:c>
      <x:c r="E296" t="str">
        <x:f>'Release Gates'!J272</x:f>
        <x:v>PASS</x:v>
      </x:c>
      <x:c r="F296" t="str">
        <x:f>IF('Release Gates'!C272="PLANNING","PASS",IF('Release Gates'!C272="PHYSICAL","OPEN","BLOCKED"))</x:f>
        <x:v>PASS</x:v>
      </x:c>
      <x:c r="G296" t="str">
        <x:v>equals</x:v>
      </x:c>
      <x:c r="H296" t="str">
        <x:f>IF(E296=F296,"PASS","FAIL")</x:f>
        <x:v>PASS</x:v>
      </x:c>
    </x:row>
    <x:row r="297">
      <x:c r="B297" t="str">
        <x:v>A-0267</x:v>
      </x:c>
      <x:c r="C297" t="str">
        <x:v>GATE</x:v>
      </x:c>
      <x:c r="D297" t="str">
        <x:v>release ledger mirrors governing state</x:v>
      </x:c>
      <x:c r="E297" t="str">
        <x:f>'Release Gates'!J273</x:f>
        <x:v>PASS</x:v>
      </x:c>
      <x:c r="F297" t="str">
        <x:f>IF('Release Gates'!C273="PLANNING","PASS",IF('Release Gates'!C273="PHYSICAL","OPEN","BLOCKED"))</x:f>
        <x:v>PASS</x:v>
      </x:c>
      <x:c r="G297" t="str">
        <x:v>equals</x:v>
      </x:c>
      <x:c r="H297" t="str">
        <x:f>IF(E297=F297,"PASS","FAIL")</x:f>
        <x:v>PASS</x:v>
      </x:c>
    </x:row>
    <x:row r="298">
      <x:c r="B298" t="str">
        <x:v>A-0268</x:v>
      </x:c>
      <x:c r="C298" t="str">
        <x:v>GATE</x:v>
      </x:c>
      <x:c r="D298" t="str">
        <x:v>release ledger mirrors governing state</x:v>
      </x:c>
      <x:c r="E298" t="str">
        <x:f>'Release Gates'!J274</x:f>
        <x:v>PASS</x:v>
      </x:c>
      <x:c r="F298" t="str">
        <x:f>IF('Release Gates'!C274="PLANNING","PASS",IF('Release Gates'!C274="PHYSICAL","OPEN","BLOCKED"))</x:f>
        <x:v>PASS</x:v>
      </x:c>
      <x:c r="G298" t="str">
        <x:v>equals</x:v>
      </x:c>
      <x:c r="H298" t="str">
        <x:f>IF(E298=F298,"PASS","FAIL")</x:f>
        <x:v>PASS</x:v>
      </x:c>
    </x:row>
    <x:row r="299">
      <x:c r="B299" t="str">
        <x:v>A-0269</x:v>
      </x:c>
      <x:c r="C299" t="str">
        <x:v>GATE</x:v>
      </x:c>
      <x:c r="D299" t="str">
        <x:v>release ledger mirrors governing state</x:v>
      </x:c>
      <x:c r="E299" t="str">
        <x:f>'Release Gates'!J275</x:f>
        <x:v>PASS</x:v>
      </x:c>
      <x:c r="F299" t="str">
        <x:f>IF('Release Gates'!C275="PLANNING","PASS",IF('Release Gates'!C275="PHYSICAL","OPEN","BLOCKED"))</x:f>
        <x:v>PASS</x:v>
      </x:c>
      <x:c r="G299" t="str">
        <x:v>equals</x:v>
      </x:c>
      <x:c r="H299" t="str">
        <x:f>IF(E299=F299,"PASS","FAIL")</x:f>
        <x:v>PASS</x:v>
      </x:c>
    </x:row>
    <x:row r="300">
      <x:c r="B300" t="str">
        <x:v>A-0270</x:v>
      </x:c>
      <x:c r="C300" t="str">
        <x:v>GATE</x:v>
      </x:c>
      <x:c r="D300" t="str">
        <x:v>release ledger mirrors governing state</x:v>
      </x:c>
      <x:c r="E300" t="str">
        <x:f>'Release Gates'!J276</x:f>
        <x:v>PASS</x:v>
      </x:c>
      <x:c r="F300" t="str">
        <x:f>IF('Release Gates'!C276="PLANNING","PASS",IF('Release Gates'!C276="PHYSICAL","OPEN","BLOCKED"))</x:f>
        <x:v>PASS</x:v>
      </x:c>
      <x:c r="G300" t="str">
        <x:v>equals</x:v>
      </x:c>
      <x:c r="H300" t="str">
        <x:f>IF(E300=F300,"PASS","FAIL")</x:f>
        <x:v>PASS</x:v>
      </x:c>
    </x:row>
    <x:row r="301">
      <x:c r="B301" t="str">
        <x:v>A-0271</x:v>
      </x:c>
      <x:c r="C301" t="str">
        <x:v>GATE</x:v>
      </x:c>
      <x:c r="D301" t="str">
        <x:v>release ledger mirrors governing state</x:v>
      </x:c>
      <x:c r="E301" t="str">
        <x:f>'Release Gates'!J277</x:f>
        <x:v>PASS</x:v>
      </x:c>
      <x:c r="F301" t="str">
        <x:f>IF('Release Gates'!C277="PLANNING","PASS",IF('Release Gates'!C277="PHYSICAL","OPEN","BLOCKED"))</x:f>
        <x:v>PASS</x:v>
      </x:c>
      <x:c r="G301" t="str">
        <x:v>equals</x:v>
      </x:c>
      <x:c r="H301" t="str">
        <x:f>IF(E301=F301,"PASS","FAIL")</x:f>
        <x:v>PASS</x:v>
      </x:c>
    </x:row>
    <x:row r="302">
      <x:c r="B302" t="str">
        <x:v>A-0272</x:v>
      </x:c>
      <x:c r="C302" t="str">
        <x:v>GATE</x:v>
      </x:c>
      <x:c r="D302" t="str">
        <x:v>release ledger mirrors governing state</x:v>
      </x:c>
      <x:c r="E302" t="str">
        <x:f>'Release Gates'!J278</x:f>
        <x:v>PASS</x:v>
      </x:c>
      <x:c r="F302" t="str">
        <x:f>IF('Release Gates'!C278="PLANNING","PASS",IF('Release Gates'!C278="PHYSICAL","OPEN","BLOCKED"))</x:f>
        <x:v>PASS</x:v>
      </x:c>
      <x:c r="G302" t="str">
        <x:v>equals</x:v>
      </x:c>
      <x:c r="H302" t="str">
        <x:f>IF(E302=F302,"PASS","FAIL")</x:f>
        <x:v>PASS</x:v>
      </x:c>
    </x:row>
    <x:row r="303">
      <x:c r="B303" t="str">
        <x:v>A-0273</x:v>
      </x:c>
      <x:c r="C303" t="str">
        <x:v>GATE</x:v>
      </x:c>
      <x:c r="D303" t="str">
        <x:v>release ledger mirrors governing state</x:v>
      </x:c>
      <x:c r="E303" t="str">
        <x:f>'Release Gates'!J279</x:f>
        <x:v>PASS</x:v>
      </x:c>
      <x:c r="F303" t="str">
        <x:f>IF('Release Gates'!C279="PLANNING","PASS",IF('Release Gates'!C279="PHYSICAL","OPEN","BLOCKED"))</x:f>
        <x:v>PASS</x:v>
      </x:c>
      <x:c r="G303" t="str">
        <x:v>equals</x:v>
      </x:c>
      <x:c r="H303" t="str">
        <x:f>IF(E303=F303,"PASS","FAIL")</x:f>
        <x:v>PASS</x:v>
      </x:c>
    </x:row>
    <x:row r="304">
      <x:c r="B304" t="str">
        <x:v>A-0274</x:v>
      </x:c>
      <x:c r="C304" t="str">
        <x:v>GATE</x:v>
      </x:c>
      <x:c r="D304" t="str">
        <x:v>release ledger mirrors governing state</x:v>
      </x:c>
      <x:c r="E304" t="str">
        <x:f>'Release Gates'!J280</x:f>
        <x:v>PASS</x:v>
      </x:c>
      <x:c r="F304" t="str">
        <x:f>IF('Release Gates'!C280="PLANNING","PASS",IF('Release Gates'!C280="PHYSICAL","OPEN","BLOCKED"))</x:f>
        <x:v>PASS</x:v>
      </x:c>
      <x:c r="G304" t="str">
        <x:v>equals</x:v>
      </x:c>
      <x:c r="H304" t="str">
        <x:f>IF(E304=F304,"PASS","FAIL")</x:f>
        <x:v>PASS</x:v>
      </x:c>
    </x:row>
    <x:row r="305">
      <x:c r="B305" t="str">
        <x:v>A-0275</x:v>
      </x:c>
      <x:c r="C305" t="str">
        <x:v>GATE</x:v>
      </x:c>
      <x:c r="D305" t="str">
        <x:v>release ledger mirrors governing state</x:v>
      </x:c>
      <x:c r="E305" t="str">
        <x:f>'Release Gates'!J281</x:f>
        <x:v>PASS</x:v>
      </x:c>
      <x:c r="F305" t="str">
        <x:f>IF('Release Gates'!C281="PLANNING","PASS",IF('Release Gates'!C281="PHYSICAL","OPEN","BLOCKED"))</x:f>
        <x:v>PASS</x:v>
      </x:c>
      <x:c r="G305" t="str">
        <x:v>equals</x:v>
      </x:c>
      <x:c r="H305" t="str">
        <x:f>IF(E305=F305,"PASS","FAIL")</x:f>
        <x:v>PASS</x:v>
      </x:c>
    </x:row>
    <x:row r="306">
      <x:c r="B306" t="str">
        <x:v>A-0276</x:v>
      </x:c>
      <x:c r="C306" t="str">
        <x:v>GATE</x:v>
      </x:c>
      <x:c r="D306" t="str">
        <x:v>release ledger mirrors governing state</x:v>
      </x:c>
      <x:c r="E306" t="str">
        <x:f>'Release Gates'!J282</x:f>
        <x:v>PASS</x:v>
      </x:c>
      <x:c r="F306" t="str">
        <x:f>IF('Release Gates'!C282="PLANNING","PASS",IF('Release Gates'!C282="PHYSICAL","OPEN","BLOCKED"))</x:f>
        <x:v>PASS</x:v>
      </x:c>
      <x:c r="G306" t="str">
        <x:v>equals</x:v>
      </x:c>
      <x:c r="H306" t="str">
        <x:f>IF(E306=F306,"PASS","FAIL")</x:f>
        <x:v>PASS</x:v>
      </x:c>
    </x:row>
    <x:row r="307">
      <x:c r="B307" t="str">
        <x:v>A-0277</x:v>
      </x:c>
      <x:c r="C307" t="str">
        <x:v>GATE</x:v>
      </x:c>
      <x:c r="D307" t="str">
        <x:v>release ledger mirrors governing state</x:v>
      </x:c>
      <x:c r="E307" t="str">
        <x:f>'Release Gates'!J283</x:f>
        <x:v>PASS</x:v>
      </x:c>
      <x:c r="F307" t="str">
        <x:f>IF('Release Gates'!C283="PLANNING","PASS",IF('Release Gates'!C283="PHYSICAL","OPEN","BLOCKED"))</x:f>
        <x:v>PASS</x:v>
      </x:c>
      <x:c r="G307" t="str">
        <x:v>equals</x:v>
      </x:c>
      <x:c r="H307" t="str">
        <x:f>IF(E307=F307,"PASS","FAIL")</x:f>
        <x:v>PASS</x:v>
      </x:c>
    </x:row>
    <x:row r="308">
      <x:c r="B308" t="str">
        <x:v>A-0278</x:v>
      </x:c>
      <x:c r="C308" t="str">
        <x:v>GATE</x:v>
      </x:c>
      <x:c r="D308" t="str">
        <x:v>release ledger mirrors governing state</x:v>
      </x:c>
      <x:c r="E308" t="str">
        <x:f>'Release Gates'!J284</x:f>
        <x:v>PASS</x:v>
      </x:c>
      <x:c r="F308" t="str">
        <x:f>IF('Release Gates'!C284="PLANNING","PASS",IF('Release Gates'!C284="PHYSICAL","OPEN","BLOCKED"))</x:f>
        <x:v>PASS</x:v>
      </x:c>
      <x:c r="G308" t="str">
        <x:v>equals</x:v>
      </x:c>
      <x:c r="H308" t="str">
        <x:f>IF(E308=F308,"PASS","FAIL")</x:f>
        <x:v>PASS</x:v>
      </x:c>
    </x:row>
    <x:row r="309">
      <x:c r="B309" t="str">
        <x:v>A-0279</x:v>
      </x:c>
      <x:c r="C309" t="str">
        <x:v>GATE</x:v>
      </x:c>
      <x:c r="D309" t="str">
        <x:v>release ledger mirrors governing state</x:v>
      </x:c>
      <x:c r="E309" t="str">
        <x:f>'Release Gates'!J285</x:f>
        <x:v>PASS</x:v>
      </x:c>
      <x:c r="F309" t="str">
        <x:f>IF('Release Gates'!C285="PLANNING","PASS",IF('Release Gates'!C285="PHYSICAL","OPEN","BLOCKED"))</x:f>
        <x:v>PASS</x:v>
      </x:c>
      <x:c r="G309" t="str">
        <x:v>equals</x:v>
      </x:c>
      <x:c r="H309" t="str">
        <x:f>IF(E309=F309,"PASS","FAIL")</x:f>
        <x:v>PASS</x:v>
      </x:c>
    </x:row>
    <x:row r="310">
      <x:c r="B310" t="str">
        <x:v>A-0280</x:v>
      </x:c>
      <x:c r="C310" t="str">
        <x:v>GATE</x:v>
      </x:c>
      <x:c r="D310" t="str">
        <x:v>release ledger mirrors governing state</x:v>
      </x:c>
      <x:c r="E310" t="str">
        <x:f>'Release Gates'!J286</x:f>
        <x:v>PASS</x:v>
      </x:c>
      <x:c r="F310" t="str">
        <x:f>IF('Release Gates'!C286="PLANNING","PASS",IF('Release Gates'!C286="PHYSICAL","OPEN","BLOCKED"))</x:f>
        <x:v>PASS</x:v>
      </x:c>
      <x:c r="G310" t="str">
        <x:v>equals</x:v>
      </x:c>
      <x:c r="H310" t="str">
        <x:f>IF(E310=F310,"PASS","FAIL")</x:f>
        <x:v>PASS</x:v>
      </x:c>
    </x:row>
    <x:row r="311">
      <x:c r="B311" t="str">
        <x:v>A-0281</x:v>
      </x:c>
      <x:c r="C311" t="str">
        <x:v>GATE</x:v>
      </x:c>
      <x:c r="D311" t="str">
        <x:v>release ledger mirrors governing state</x:v>
      </x:c>
      <x:c r="E311" t="str">
        <x:f>'Release Gates'!J287</x:f>
        <x:v>PASS</x:v>
      </x:c>
      <x:c r="F311" t="str">
        <x:f>IF('Release Gates'!C287="PLANNING","PASS",IF('Release Gates'!C287="PHYSICAL","OPEN","BLOCKED"))</x:f>
        <x:v>PASS</x:v>
      </x:c>
      <x:c r="G311" t="str">
        <x:v>equals</x:v>
      </x:c>
      <x:c r="H311" t="str">
        <x:f>IF(E311=F311,"PASS","FAIL")</x:f>
        <x:v>PASS</x:v>
      </x:c>
    </x:row>
    <x:row r="312">
      <x:c r="B312" t="str">
        <x:v>A-0282</x:v>
      </x:c>
      <x:c r="C312" t="str">
        <x:v>GATE</x:v>
      </x:c>
      <x:c r="D312" t="str">
        <x:v>release ledger mirrors governing state</x:v>
      </x:c>
      <x:c r="E312" t="str">
        <x:f>'Release Gates'!J288</x:f>
        <x:v>PASS</x:v>
      </x:c>
      <x:c r="F312" t="str">
        <x:f>IF('Release Gates'!C288="PLANNING","PASS",IF('Release Gates'!C288="PHYSICAL","OPEN","BLOCKED"))</x:f>
        <x:v>PASS</x:v>
      </x:c>
      <x:c r="G312" t="str">
        <x:v>equals</x:v>
      </x:c>
      <x:c r="H312" t="str">
        <x:f>IF(E312=F312,"PASS","FAIL")</x:f>
        <x:v>PASS</x:v>
      </x:c>
    </x:row>
    <x:row r="313">
      <x:c r="B313" t="str">
        <x:v>A-0283</x:v>
      </x:c>
      <x:c r="C313" t="str">
        <x:v>GATE</x:v>
      </x:c>
      <x:c r="D313" t="str">
        <x:v>release ledger mirrors governing state</x:v>
      </x:c>
      <x:c r="E313" t="str">
        <x:f>'Release Gates'!J289</x:f>
        <x:v>PASS</x:v>
      </x:c>
      <x:c r="F313" t="str">
        <x:f>IF('Release Gates'!C289="PLANNING","PASS",IF('Release Gates'!C289="PHYSICAL","OPEN","BLOCKED"))</x:f>
        <x:v>PASS</x:v>
      </x:c>
      <x:c r="G313" t="str">
        <x:v>equals</x:v>
      </x:c>
      <x:c r="H313" t="str">
        <x:f>IF(E313=F313,"PASS","FAIL")</x:f>
        <x:v>PASS</x:v>
      </x:c>
    </x:row>
    <x:row r="314">
      <x:c r="B314" t="str">
        <x:v>A-0284</x:v>
      </x:c>
      <x:c r="C314" t="str">
        <x:v>GATE</x:v>
      </x:c>
      <x:c r="D314" t="str">
        <x:v>release ledger mirrors governing state</x:v>
      </x:c>
      <x:c r="E314" t="str">
        <x:f>'Release Gates'!J290</x:f>
        <x:v>PASS</x:v>
      </x:c>
      <x:c r="F314" t="str">
        <x:f>IF('Release Gates'!C290="PLANNING","PASS",IF('Release Gates'!C290="PHYSICAL","OPEN","BLOCKED"))</x:f>
        <x:v>PASS</x:v>
      </x:c>
      <x:c r="G314" t="str">
        <x:v>equals</x:v>
      </x:c>
      <x:c r="H314" t="str">
        <x:f>IF(E314=F314,"PASS","FAIL")</x:f>
        <x:v>PASS</x:v>
      </x:c>
    </x:row>
    <x:row r="315">
      <x:c r="B315" t="str">
        <x:v>A-0285</x:v>
      </x:c>
      <x:c r="C315" t="str">
        <x:v>GATE</x:v>
      </x:c>
      <x:c r="D315" t="str">
        <x:v>release ledger mirrors governing state</x:v>
      </x:c>
      <x:c r="E315" t="str">
        <x:f>'Release Gates'!J291</x:f>
        <x:v>PASS</x:v>
      </x:c>
      <x:c r="F315" t="str">
        <x:f>IF('Release Gates'!C291="PLANNING","PASS",IF('Release Gates'!C291="PHYSICAL","OPEN","BLOCKED"))</x:f>
        <x:v>PASS</x:v>
      </x:c>
      <x:c r="G315" t="str">
        <x:v>equals</x:v>
      </x:c>
      <x:c r="H315" t="str">
        <x:f>IF(E315=F315,"PASS","FAIL")</x:f>
        <x:v>PASS</x:v>
      </x:c>
    </x:row>
    <x:row r="316">
      <x:c r="B316" t="str">
        <x:v>A-0286</x:v>
      </x:c>
      <x:c r="C316" t="str">
        <x:v>GATE</x:v>
      </x:c>
      <x:c r="D316" t="str">
        <x:v>release ledger mirrors governing state</x:v>
      </x:c>
      <x:c r="E316" t="str">
        <x:f>'Release Gates'!J292</x:f>
        <x:v>PASS</x:v>
      </x:c>
      <x:c r="F316" t="str">
        <x:f>IF('Release Gates'!C292="PLANNING","PASS",IF('Release Gates'!C292="PHYSICAL","OPEN","BLOCKED"))</x:f>
        <x:v>PASS</x:v>
      </x:c>
      <x:c r="G316" t="str">
        <x:v>equals</x:v>
      </x:c>
      <x:c r="H316" t="str">
        <x:f>IF(E316=F316,"PASS","FAIL")</x:f>
        <x:v>PASS</x:v>
      </x:c>
    </x:row>
    <x:row r="317">
      <x:c r="B317" t="str">
        <x:v>A-0287</x:v>
      </x:c>
      <x:c r="C317" t="str">
        <x:v>GATE</x:v>
      </x:c>
      <x:c r="D317" t="str">
        <x:v>release ledger mirrors governing state</x:v>
      </x:c>
      <x:c r="E317" t="str">
        <x:f>'Release Gates'!J293</x:f>
        <x:v>PASS</x:v>
      </x:c>
      <x:c r="F317" t="str">
        <x:f>IF('Release Gates'!C293="PLANNING","PASS",IF('Release Gates'!C293="PHYSICAL","OPEN","BLOCKED"))</x:f>
        <x:v>PASS</x:v>
      </x:c>
      <x:c r="G317" t="str">
        <x:v>equals</x:v>
      </x:c>
      <x:c r="H317" t="str">
        <x:f>IF(E317=F317,"PASS","FAIL")</x:f>
        <x:v>PASS</x:v>
      </x:c>
    </x:row>
    <x:row r="318">
      <x:c r="B318" t="str">
        <x:v>A-0288</x:v>
      </x:c>
      <x:c r="C318" t="str">
        <x:v>GATE</x:v>
      </x:c>
      <x:c r="D318" t="str">
        <x:v>release ledger mirrors governing state</x:v>
      </x:c>
      <x:c r="E318" t="str">
        <x:f>'Release Gates'!J294</x:f>
        <x:v>PASS</x:v>
      </x:c>
      <x:c r="F318" t="str">
        <x:f>IF('Release Gates'!C294="PLANNING","PASS",IF('Release Gates'!C294="PHYSICAL","OPEN","BLOCKED"))</x:f>
        <x:v>PASS</x:v>
      </x:c>
      <x:c r="G318" t="str">
        <x:v>equals</x:v>
      </x:c>
      <x:c r="H318" t="str">
        <x:f>IF(E318=F318,"PASS","FAIL")</x:f>
        <x:v>PASS</x:v>
      </x:c>
    </x:row>
    <x:row r="319">
      <x:c r="B319" t="str">
        <x:v>A-0289</x:v>
      </x:c>
      <x:c r="C319" t="str">
        <x:v>GATE</x:v>
      </x:c>
      <x:c r="D319" t="str">
        <x:v>release ledger mirrors governing state</x:v>
      </x:c>
      <x:c r="E319" t="str">
        <x:f>'Release Gates'!J295</x:f>
        <x:v>PASS</x:v>
      </x:c>
      <x:c r="F319" t="str">
        <x:f>IF('Release Gates'!C295="PLANNING","PASS",IF('Release Gates'!C295="PHYSICAL","OPEN","BLOCKED"))</x:f>
        <x:v>PASS</x:v>
      </x:c>
      <x:c r="G319" t="str">
        <x:v>equals</x:v>
      </x:c>
      <x:c r="H319" t="str">
        <x:f>IF(E319=F319,"PASS","FAIL")</x:f>
        <x:v>PASS</x:v>
      </x:c>
    </x:row>
    <x:row r="320">
      <x:c r="B320" t="str">
        <x:v>A-0290</x:v>
      </x:c>
      <x:c r="C320" t="str">
        <x:v>GATE</x:v>
      </x:c>
      <x:c r="D320" t="str">
        <x:v>release ledger mirrors governing state</x:v>
      </x:c>
      <x:c r="E320" t="str">
        <x:f>'Release Gates'!J296</x:f>
        <x:v>PASS</x:v>
      </x:c>
      <x:c r="F320" t="str">
        <x:f>IF('Release Gates'!C296="PLANNING","PASS",IF('Release Gates'!C296="PHYSICAL","OPEN","BLOCKED"))</x:f>
        <x:v>PASS</x:v>
      </x:c>
      <x:c r="G320" t="str">
        <x:v>equals</x:v>
      </x:c>
      <x:c r="H320" t="str">
        <x:f>IF(E320=F320,"PASS","FAIL")</x:f>
        <x:v>PASS</x:v>
      </x:c>
    </x:row>
    <x:row r="321">
      <x:c r="B321" t="str">
        <x:v>A-0291</x:v>
      </x:c>
      <x:c r="C321" t="str">
        <x:v>GATE</x:v>
      </x:c>
      <x:c r="D321" t="str">
        <x:v>release ledger mirrors governing state</x:v>
      </x:c>
      <x:c r="E321" t="str">
        <x:f>'Release Gates'!J297</x:f>
        <x:v>PASS</x:v>
      </x:c>
      <x:c r="F321" t="str">
        <x:f>IF('Release Gates'!C297="PLANNING","PASS",IF('Release Gates'!C297="PHYSICAL","OPEN","BLOCKED"))</x:f>
        <x:v>PASS</x:v>
      </x:c>
      <x:c r="G321" t="str">
        <x:v>equals</x:v>
      </x:c>
      <x:c r="H321" t="str">
        <x:f>IF(E321=F321,"PASS","FAIL")</x:f>
        <x:v>PASS</x:v>
      </x:c>
    </x:row>
    <x:row r="322">
      <x:c r="B322" t="str">
        <x:v>A-0292</x:v>
      </x:c>
      <x:c r="C322" t="str">
        <x:v>GATE</x:v>
      </x:c>
      <x:c r="D322" t="str">
        <x:v>release ledger mirrors governing state</x:v>
      </x:c>
      <x:c r="E322" t="str">
        <x:f>'Release Gates'!J298</x:f>
        <x:v>PASS</x:v>
      </x:c>
      <x:c r="F322" t="str">
        <x:f>IF('Release Gates'!C298="PLANNING","PASS",IF('Release Gates'!C298="PHYSICAL","OPEN","BLOCKED"))</x:f>
        <x:v>PASS</x:v>
      </x:c>
      <x:c r="G322" t="str">
        <x:v>equals</x:v>
      </x:c>
      <x:c r="H322" t="str">
        <x:f>IF(E322=F322,"PASS","FAIL")</x:f>
        <x:v>PASS</x:v>
      </x:c>
    </x:row>
    <x:row r="323">
      <x:c r="B323" t="str">
        <x:v>A-0293</x:v>
      </x:c>
      <x:c r="C323" t="str">
        <x:v>GATE</x:v>
      </x:c>
      <x:c r="D323" t="str">
        <x:v>release ledger mirrors governing state</x:v>
      </x:c>
      <x:c r="E323" t="str">
        <x:f>'Release Gates'!J299</x:f>
        <x:v>PASS</x:v>
      </x:c>
      <x:c r="F323" t="str">
        <x:f>IF('Release Gates'!C299="PLANNING","PASS",IF('Release Gates'!C299="PHYSICAL","OPEN","BLOCKED"))</x:f>
        <x:v>PASS</x:v>
      </x:c>
      <x:c r="G323" t="str">
        <x:v>equals</x:v>
      </x:c>
      <x:c r="H323" t="str">
        <x:f>IF(E323=F323,"PASS","FAIL")</x:f>
        <x:v>PASS</x:v>
      </x:c>
    </x:row>
    <x:row r="324">
      <x:c r="B324" t="str">
        <x:v>A-0294</x:v>
      </x:c>
      <x:c r="C324" t="str">
        <x:v>GATE</x:v>
      </x:c>
      <x:c r="D324" t="str">
        <x:v>release ledger mirrors governing state</x:v>
      </x:c>
      <x:c r="E324" t="str">
        <x:f>'Release Gates'!J300</x:f>
        <x:v>PASS</x:v>
      </x:c>
      <x:c r="F324" t="str">
        <x:f>IF('Release Gates'!C300="PLANNING","PASS",IF('Release Gates'!C300="PHYSICAL","OPEN","BLOCKED"))</x:f>
        <x:v>PASS</x:v>
      </x:c>
      <x:c r="G324" t="str">
        <x:v>equals</x:v>
      </x:c>
      <x:c r="H324" t="str">
        <x:f>IF(E324=F324,"PASS","FAIL")</x:f>
        <x:v>PASS</x:v>
      </x:c>
    </x:row>
    <x:row r="325">
      <x:c r="B325" t="str">
        <x:v>A-0295</x:v>
      </x:c>
      <x:c r="C325" t="str">
        <x:v>GATE</x:v>
      </x:c>
      <x:c r="D325" t="str">
        <x:v>release ledger mirrors governing state</x:v>
      </x:c>
      <x:c r="E325" t="str">
        <x:f>'Release Gates'!J301</x:f>
        <x:v>PASS</x:v>
      </x:c>
      <x:c r="F325" t="str">
        <x:f>IF('Release Gates'!C301="PLANNING","PASS",IF('Release Gates'!C301="PHYSICAL","OPEN","BLOCKED"))</x:f>
        <x:v>PASS</x:v>
      </x:c>
      <x:c r="G325" t="str">
        <x:v>equals</x:v>
      </x:c>
      <x:c r="H325" t="str">
        <x:f>IF(E325=F325,"PASS","FAIL")</x:f>
        <x:v>PASS</x:v>
      </x:c>
    </x:row>
    <x:row r="326">
      <x:c r="B326" t="str">
        <x:v>A-0296</x:v>
      </x:c>
      <x:c r="C326" t="str">
        <x:v>GATE</x:v>
      </x:c>
      <x:c r="D326" t="str">
        <x:v>release ledger mirrors governing state</x:v>
      </x:c>
      <x:c r="E326" t="str">
        <x:f>'Release Gates'!J302</x:f>
        <x:v>PASS</x:v>
      </x:c>
      <x:c r="F326" t="str">
        <x:f>IF('Release Gates'!C302="PLANNING","PASS",IF('Release Gates'!C302="PHYSICAL","OPEN","BLOCKED"))</x:f>
        <x:v>PASS</x:v>
      </x:c>
      <x:c r="G326" t="str">
        <x:v>equals</x:v>
      </x:c>
      <x:c r="H326" t="str">
        <x:f>IF(E326=F326,"PASS","FAIL")</x:f>
        <x:v>PASS</x:v>
      </x:c>
    </x:row>
    <x:row r="327">
      <x:c r="B327" t="str">
        <x:v>A-0297</x:v>
      </x:c>
      <x:c r="C327" t="str">
        <x:v>GATE</x:v>
      </x:c>
      <x:c r="D327" t="str">
        <x:v>release ledger mirrors governing state</x:v>
      </x:c>
      <x:c r="E327" t="str">
        <x:f>'Release Gates'!J303</x:f>
        <x:v>PASS</x:v>
      </x:c>
      <x:c r="F327" t="str">
        <x:f>IF('Release Gates'!C303="PLANNING","PASS",IF('Release Gates'!C303="PHYSICAL","OPEN","BLOCKED"))</x:f>
        <x:v>PASS</x:v>
      </x:c>
      <x:c r="G327" t="str">
        <x:v>equals</x:v>
      </x:c>
      <x:c r="H327" t="str">
        <x:f>IF(E327=F327,"PASS","FAIL")</x:f>
        <x:v>PASS</x:v>
      </x:c>
    </x:row>
    <x:row r="328">
      <x:c r="B328" t="str">
        <x:v>A-0298</x:v>
      </x:c>
      <x:c r="C328" t="str">
        <x:v>GATE</x:v>
      </x:c>
      <x:c r="D328" t="str">
        <x:v>release ledger mirrors governing state</x:v>
      </x:c>
      <x:c r="E328" t="str">
        <x:f>'Release Gates'!J304</x:f>
        <x:v>PASS</x:v>
      </x:c>
      <x:c r="F328" t="str">
        <x:f>IF('Release Gates'!C304="PLANNING","PASS",IF('Release Gates'!C304="PHYSICAL","OPEN","BLOCKED"))</x:f>
        <x:v>PASS</x:v>
      </x:c>
      <x:c r="G328" t="str">
        <x:v>equals</x:v>
      </x:c>
      <x:c r="H328" t="str">
        <x:f>IF(E328=F328,"PASS","FAIL")</x:f>
        <x:v>PASS</x:v>
      </x:c>
    </x:row>
    <x:row r="329">
      <x:c r="B329" t="str">
        <x:v>A-0299</x:v>
      </x:c>
      <x:c r="C329" t="str">
        <x:v>GATE</x:v>
      </x:c>
      <x:c r="D329" t="str">
        <x:v>release ledger mirrors governing state</x:v>
      </x:c>
      <x:c r="E329" t="str">
        <x:f>'Release Gates'!J305</x:f>
        <x:v>PASS</x:v>
      </x:c>
      <x:c r="F329" t="str">
        <x:f>IF('Release Gates'!C305="PLANNING","PASS",IF('Release Gates'!C305="PHYSICAL","OPEN","BLOCKED"))</x:f>
        <x:v>PASS</x:v>
      </x:c>
      <x:c r="G329" t="str">
        <x:v>equals</x:v>
      </x:c>
      <x:c r="H329" t="str">
        <x:f>IF(E329=F329,"PASS","FAIL")</x:f>
        <x:v>PASS</x:v>
      </x:c>
    </x:row>
    <x:row r="330">
      <x:c r="B330" t="str">
        <x:v>A-0300</x:v>
      </x:c>
      <x:c r="C330" t="str">
        <x:v>GATE</x:v>
      </x:c>
      <x:c r="D330" t="str">
        <x:v>release ledger mirrors governing state</x:v>
      </x:c>
      <x:c r="E330" t="str">
        <x:f>'Release Gates'!J306</x:f>
        <x:v>PASS</x:v>
      </x:c>
      <x:c r="F330" t="str">
        <x:f>IF('Release Gates'!C306="PLANNING","PASS",IF('Release Gates'!C306="PHYSICAL","OPEN","BLOCKED"))</x:f>
        <x:v>PASS</x:v>
      </x:c>
      <x:c r="G330" t="str">
        <x:v>equals</x:v>
      </x:c>
      <x:c r="H330" t="str">
        <x:f>IF(E330=F330,"PASS","FAIL")</x:f>
        <x:v>PASS</x:v>
      </x:c>
    </x:row>
    <x:row r="331">
      <x:c r="B331" t="str">
        <x:v>A-0301</x:v>
      </x:c>
      <x:c r="C331" t="str">
        <x:v>GATE</x:v>
      </x:c>
      <x:c r="D331" t="str">
        <x:v>release ledger mirrors governing state</x:v>
      </x:c>
      <x:c r="E331" t="str">
        <x:f>'Release Gates'!J307</x:f>
        <x:v>PASS</x:v>
      </x:c>
      <x:c r="F331" t="str">
        <x:f>IF('Release Gates'!C307="PLANNING","PASS",IF('Release Gates'!C307="PHYSICAL","OPEN","BLOCKED"))</x:f>
        <x:v>PASS</x:v>
      </x:c>
      <x:c r="G331" t="str">
        <x:v>equals</x:v>
      </x:c>
      <x:c r="H331" t="str">
        <x:f>IF(E331=F331,"PASS","FAIL")</x:f>
        <x:v>PASS</x:v>
      </x:c>
    </x:row>
    <x:row r="332">
      <x:c r="B332" t="str">
        <x:v>A-0302</x:v>
      </x:c>
      <x:c r="C332" t="str">
        <x:v>GATE</x:v>
      </x:c>
      <x:c r="D332" t="str">
        <x:v>release ledger mirrors governing state</x:v>
      </x:c>
      <x:c r="E332" t="str">
        <x:f>'Release Gates'!J308</x:f>
        <x:v>PASS</x:v>
      </x:c>
      <x:c r="F332" t="str">
        <x:f>IF('Release Gates'!C308="PLANNING","PASS",IF('Release Gates'!C308="PHYSICAL","OPEN","BLOCKED"))</x:f>
        <x:v>PASS</x:v>
      </x:c>
      <x:c r="G332" t="str">
        <x:v>equals</x:v>
      </x:c>
      <x:c r="H332" t="str">
        <x:f>IF(E332=F332,"PASS","FAIL")</x:f>
        <x:v>PASS</x:v>
      </x:c>
    </x:row>
    <x:row r="333">
      <x:c r="B333" t="str">
        <x:v>A-0303</x:v>
      </x:c>
      <x:c r="C333" t="str">
        <x:v>GATE</x:v>
      </x:c>
      <x:c r="D333" t="str">
        <x:v>release ledger mirrors governing state</x:v>
      </x:c>
      <x:c r="E333" t="str">
        <x:f>'Release Gates'!J309</x:f>
        <x:v>PASS</x:v>
      </x:c>
      <x:c r="F333" t="str">
        <x:f>IF('Release Gates'!C309="PLANNING","PASS",IF('Release Gates'!C309="PHYSICAL","OPEN","BLOCKED"))</x:f>
        <x:v>PASS</x:v>
      </x:c>
      <x:c r="G333" t="str">
        <x:v>equals</x:v>
      </x:c>
      <x:c r="H333" t="str">
        <x:f>IF(E333=F333,"PASS","FAIL")</x:f>
        <x:v>PASS</x:v>
      </x:c>
    </x:row>
    <x:row r="334">
      <x:c r="B334" t="str">
        <x:v>A-0304</x:v>
      </x:c>
      <x:c r="C334" t="str">
        <x:v>GATE</x:v>
      </x:c>
      <x:c r="D334" t="str">
        <x:v>release ledger mirrors governing state</x:v>
      </x:c>
      <x:c r="E334" t="str">
        <x:f>'Release Gates'!J310</x:f>
        <x:v>PASS</x:v>
      </x:c>
      <x:c r="F334" t="str">
        <x:f>IF('Release Gates'!C310="PLANNING","PASS",IF('Release Gates'!C310="PHYSICAL","OPEN","BLOCKED"))</x:f>
        <x:v>PASS</x:v>
      </x:c>
      <x:c r="G334" t="str">
        <x:v>equals</x:v>
      </x:c>
      <x:c r="H334" t="str">
        <x:f>IF(E334=F334,"PASS","FAIL")</x:f>
        <x:v>PASS</x:v>
      </x:c>
    </x:row>
    <x:row r="335">
      <x:c r="B335" t="str">
        <x:v>A-0305</x:v>
      </x:c>
      <x:c r="C335" t="str">
        <x:v>GATE</x:v>
      </x:c>
      <x:c r="D335" t="str">
        <x:v>release ledger mirrors governing state</x:v>
      </x:c>
      <x:c r="E335" t="str">
        <x:f>'Release Gates'!J311</x:f>
        <x:v>PASS</x:v>
      </x:c>
      <x:c r="F335" t="str">
        <x:f>IF('Release Gates'!C311="PLANNING","PASS",IF('Release Gates'!C311="PHYSICAL","OPEN","BLOCKED"))</x:f>
        <x:v>PASS</x:v>
      </x:c>
      <x:c r="G335" t="str">
        <x:v>equals</x:v>
      </x:c>
      <x:c r="H335" t="str">
        <x:f>IF(E335=F335,"PASS","FAIL")</x:f>
        <x:v>PASS</x:v>
      </x:c>
    </x:row>
    <x:row r="336">
      <x:c r="B336" t="str">
        <x:v>A-0306</x:v>
      </x:c>
      <x:c r="C336" t="str">
        <x:v>GATE</x:v>
      </x:c>
      <x:c r="D336" t="str">
        <x:v>release ledger mirrors governing state</x:v>
      </x:c>
      <x:c r="E336" t="str">
        <x:f>'Release Gates'!J312</x:f>
        <x:v>PASS</x:v>
      </x:c>
      <x:c r="F336" t="str">
        <x:f>IF('Release Gates'!C312="PLANNING","PASS",IF('Release Gates'!C312="PHYSICAL","OPEN","BLOCKED"))</x:f>
        <x:v>PASS</x:v>
      </x:c>
      <x:c r="G336" t="str">
        <x:v>equals</x:v>
      </x:c>
      <x:c r="H336" t="str">
        <x:f>IF(E336=F336,"PASS","FAIL")</x:f>
        <x:v>PASS</x:v>
      </x:c>
    </x:row>
    <x:row r="337">
      <x:c r="B337" t="str">
        <x:v>A-0307</x:v>
      </x:c>
      <x:c r="C337" t="str">
        <x:v>GATE</x:v>
      </x:c>
      <x:c r="D337" t="str">
        <x:v>release ledger mirrors governing state</x:v>
      </x:c>
      <x:c r="E337" t="str">
        <x:f>'Release Gates'!J313</x:f>
        <x:v>PASS</x:v>
      </x:c>
      <x:c r="F337" t="str">
        <x:f>IF('Release Gates'!C313="PLANNING","PASS",IF('Release Gates'!C313="PHYSICAL","OPEN","BLOCKED"))</x:f>
        <x:v>PASS</x:v>
      </x:c>
      <x:c r="G337" t="str">
        <x:v>equals</x:v>
      </x:c>
      <x:c r="H337" t="str">
        <x:f>IF(E337=F337,"PASS","FAIL")</x:f>
        <x:v>PASS</x:v>
      </x:c>
    </x:row>
    <x:row r="338">
      <x:c r="B338" t="str">
        <x:v>A-0308</x:v>
      </x:c>
      <x:c r="C338" t="str">
        <x:v>GATE</x:v>
      </x:c>
      <x:c r="D338" t="str">
        <x:v>release ledger mirrors governing state</x:v>
      </x:c>
      <x:c r="E338" t="str">
        <x:f>'Release Gates'!J314</x:f>
        <x:v>PASS</x:v>
      </x:c>
      <x:c r="F338" t="str">
        <x:f>IF('Release Gates'!C314="PLANNING","PASS",IF('Release Gates'!C314="PHYSICAL","OPEN","BLOCKED"))</x:f>
        <x:v>PASS</x:v>
      </x:c>
      <x:c r="G338" t="str">
        <x:v>equals</x:v>
      </x:c>
      <x:c r="H338" t="str">
        <x:f>IF(E338=F338,"PASS","FAIL")</x:f>
        <x:v>PASS</x:v>
      </x:c>
    </x:row>
    <x:row r="339">
      <x:c r="B339" t="str">
        <x:v>A-0309</x:v>
      </x:c>
      <x:c r="C339" t="str">
        <x:v>GATE</x:v>
      </x:c>
      <x:c r="D339" t="str">
        <x:v>release ledger mirrors governing state</x:v>
      </x:c>
      <x:c r="E339" t="str">
        <x:f>'Release Gates'!J315</x:f>
        <x:v>PASS</x:v>
      </x:c>
      <x:c r="F339" t="str">
        <x:f>IF('Release Gates'!C315="PLANNING","PASS",IF('Release Gates'!C315="PHYSICAL","OPEN","BLOCKED"))</x:f>
        <x:v>PASS</x:v>
      </x:c>
      <x:c r="G339" t="str">
        <x:v>equals</x:v>
      </x:c>
      <x:c r="H339" t="str">
        <x:f>IF(E339=F339,"PASS","FAIL")</x:f>
        <x:v>PASS</x:v>
      </x:c>
    </x:row>
    <x:row r="340">
      <x:c r="B340" t="str">
        <x:v>A-0310</x:v>
      </x:c>
      <x:c r="C340" t="str">
        <x:v>GATE</x:v>
      </x:c>
      <x:c r="D340" t="str">
        <x:v>release ledger mirrors governing state</x:v>
      </x:c>
      <x:c r="E340" t="str">
        <x:f>'Release Gates'!J316</x:f>
        <x:v>PASS</x:v>
      </x:c>
      <x:c r="F340" t="str">
        <x:f>IF('Release Gates'!C316="PLANNING","PASS",IF('Release Gates'!C316="PHYSICAL","OPEN","BLOCKED"))</x:f>
        <x:v>PASS</x:v>
      </x:c>
      <x:c r="G340" t="str">
        <x:v>equals</x:v>
      </x:c>
      <x:c r="H340" t="str">
        <x:f>IF(E340=F340,"PASS","FAIL")</x:f>
        <x:v>PASS</x:v>
      </x:c>
    </x:row>
    <x:row r="341">
      <x:c r="B341" t="str">
        <x:v>A-0311</x:v>
      </x:c>
      <x:c r="C341" t="str">
        <x:v>GATE</x:v>
      </x:c>
      <x:c r="D341" t="str">
        <x:v>release ledger mirrors governing state</x:v>
      </x:c>
      <x:c r="E341" t="str">
        <x:f>'Release Gates'!J317</x:f>
        <x:v>PASS</x:v>
      </x:c>
      <x:c r="F341" t="str">
        <x:f>IF('Release Gates'!C317="PLANNING","PASS",IF('Release Gates'!C317="PHYSICAL","OPEN","BLOCKED"))</x:f>
        <x:v>PASS</x:v>
      </x:c>
      <x:c r="G341" t="str">
        <x:v>equals</x:v>
      </x:c>
      <x:c r="H341" t="str">
        <x:f>IF(E341=F341,"PASS","FAIL")</x:f>
        <x:v>PASS</x:v>
      </x:c>
    </x:row>
    <x:row r="342">
      <x:c r="B342" t="str">
        <x:v>A-0312</x:v>
      </x:c>
      <x:c r="C342" t="str">
        <x:v>GATE</x:v>
      </x:c>
      <x:c r="D342" t="str">
        <x:v>release ledger mirrors governing state</x:v>
      </x:c>
      <x:c r="E342" t="str">
        <x:f>'Release Gates'!J318</x:f>
        <x:v>PASS</x:v>
      </x:c>
      <x:c r="F342" t="str">
        <x:f>IF('Release Gates'!C318="PLANNING","PASS",IF('Release Gates'!C318="PHYSICAL","OPEN","BLOCKED"))</x:f>
        <x:v>PASS</x:v>
      </x:c>
      <x:c r="G342" t="str">
        <x:v>equals</x:v>
      </x:c>
      <x:c r="H342" t="str">
        <x:f>IF(E342=F342,"PASS","FAIL")</x:f>
        <x:v>PASS</x:v>
      </x:c>
    </x:row>
    <x:row r="343">
      <x:c r="B343" t="str">
        <x:v>A-0313</x:v>
      </x:c>
      <x:c r="C343" t="str">
        <x:v>GATE</x:v>
      </x:c>
      <x:c r="D343" t="str">
        <x:v>release ledger mirrors governing state</x:v>
      </x:c>
      <x:c r="E343" t="str">
        <x:f>'Release Gates'!J319</x:f>
        <x:v>PASS</x:v>
      </x:c>
      <x:c r="F343" t="str">
        <x:f>IF('Release Gates'!C319="PLANNING","PASS",IF('Release Gates'!C319="PHYSICAL","OPEN","BLOCKED"))</x:f>
        <x:v>PASS</x:v>
      </x:c>
      <x:c r="G343" t="str">
        <x:v>equals</x:v>
      </x:c>
      <x:c r="H343" t="str">
        <x:f>IF(E343=F343,"PASS","FAIL")</x:f>
        <x:v>PASS</x:v>
      </x:c>
    </x:row>
    <x:row r="344">
      <x:c r="B344" t="str">
        <x:v>A-0314</x:v>
      </x:c>
      <x:c r="C344" t="str">
        <x:v>GATE</x:v>
      </x:c>
      <x:c r="D344" t="str">
        <x:v>release ledger mirrors governing state</x:v>
      </x:c>
      <x:c r="E344" t="str">
        <x:f>'Release Gates'!J320</x:f>
        <x:v>PASS</x:v>
      </x:c>
      <x:c r="F344" t="str">
        <x:f>IF('Release Gates'!C320="PLANNING","PASS",IF('Release Gates'!C320="PHYSICAL","OPEN","BLOCKED"))</x:f>
        <x:v>PASS</x:v>
      </x:c>
      <x:c r="G344" t="str">
        <x:v>equals</x:v>
      </x:c>
      <x:c r="H344" t="str">
        <x:f>IF(E344=F344,"PASS","FAIL")</x:f>
        <x:v>PASS</x:v>
      </x:c>
    </x:row>
    <x:row r="345">
      <x:c r="B345" t="str">
        <x:v>A-0315</x:v>
      </x:c>
      <x:c r="C345" t="str">
        <x:v>GATE</x:v>
      </x:c>
      <x:c r="D345" t="str">
        <x:v>release ledger mirrors governing state</x:v>
      </x:c>
      <x:c r="E345" t="str">
        <x:f>'Release Gates'!J321</x:f>
        <x:v>PASS</x:v>
      </x:c>
      <x:c r="F345" t="str">
        <x:f>IF('Release Gates'!C321="PLANNING","PASS",IF('Release Gates'!C321="PHYSICAL","OPEN","BLOCKED"))</x:f>
        <x:v>PASS</x:v>
      </x:c>
      <x:c r="G345" t="str">
        <x:v>equals</x:v>
      </x:c>
      <x:c r="H345" t="str">
        <x:f>IF(E345=F345,"PASS","FAIL")</x:f>
        <x:v>PASS</x:v>
      </x:c>
    </x:row>
    <x:row r="346">
      <x:c r="B346" t="str">
        <x:v>A-0316</x:v>
      </x:c>
      <x:c r="C346" t="str">
        <x:v>GATE</x:v>
      </x:c>
      <x:c r="D346" t="str">
        <x:v>release ledger mirrors governing state</x:v>
      </x:c>
      <x:c r="E346" t="str">
        <x:f>'Release Gates'!J322</x:f>
        <x:v>PASS</x:v>
      </x:c>
      <x:c r="F346" t="str">
        <x:f>IF('Release Gates'!C322="PLANNING","PASS",IF('Release Gates'!C322="PHYSICAL","OPEN","BLOCKED"))</x:f>
        <x:v>PASS</x:v>
      </x:c>
      <x:c r="G346" t="str">
        <x:v>equals</x:v>
      </x:c>
      <x:c r="H346" t="str">
        <x:f>IF(E346=F346,"PASS","FAIL")</x:f>
        <x:v>PASS</x:v>
      </x:c>
    </x:row>
    <x:row r="347">
      <x:c r="B347" t="str">
        <x:v>A-0317</x:v>
      </x:c>
      <x:c r="C347" t="str">
        <x:v>GATE</x:v>
      </x:c>
      <x:c r="D347" t="str">
        <x:v>release ledger mirrors governing state</x:v>
      </x:c>
      <x:c r="E347" t="str">
        <x:f>'Release Gates'!J323</x:f>
        <x:v>PASS</x:v>
      </x:c>
      <x:c r="F347" t="str">
        <x:f>IF('Release Gates'!C323="PLANNING","PASS",IF('Release Gates'!C323="PHYSICAL","OPEN","BLOCKED"))</x:f>
        <x:v>PASS</x:v>
      </x:c>
      <x:c r="G347" t="str">
        <x:v>equals</x:v>
      </x:c>
      <x:c r="H347" t="str">
        <x:f>IF(E347=F347,"PASS","FAIL")</x:f>
        <x:v>PASS</x:v>
      </x:c>
    </x:row>
    <x:row r="348">
      <x:c r="B348" t="str">
        <x:v>A-0318</x:v>
      </x:c>
      <x:c r="C348" t="str">
        <x:v>GATE</x:v>
      </x:c>
      <x:c r="D348" t="str">
        <x:v>release ledger mirrors governing state</x:v>
      </x:c>
      <x:c r="E348" t="str">
        <x:f>'Release Gates'!J324</x:f>
        <x:v>PASS</x:v>
      </x:c>
      <x:c r="F348" t="str">
        <x:f>IF('Release Gates'!C324="PLANNING","PASS",IF('Release Gates'!C324="PHYSICAL","OPEN","BLOCKED"))</x:f>
        <x:v>PASS</x:v>
      </x:c>
      <x:c r="G348" t="str">
        <x:v>equals</x:v>
      </x:c>
      <x:c r="H348" t="str">
        <x:f>IF(E348=F348,"PASS","FAIL")</x:f>
        <x:v>PASS</x:v>
      </x:c>
    </x:row>
    <x:row r="349">
      <x:c r="B349" t="str">
        <x:v>A-0319</x:v>
      </x:c>
      <x:c r="C349" t="str">
        <x:v>GATE</x:v>
      </x:c>
      <x:c r="D349" t="str">
        <x:v>release ledger mirrors governing state</x:v>
      </x:c>
      <x:c r="E349" t="str">
        <x:f>'Release Gates'!J325</x:f>
        <x:v>PASS</x:v>
      </x:c>
      <x:c r="F349" t="str">
        <x:f>IF('Release Gates'!C325="PLANNING","PASS",IF('Release Gates'!C325="PHYSICAL","OPEN","BLOCKED"))</x:f>
        <x:v>PASS</x:v>
      </x:c>
      <x:c r="G349" t="str">
        <x:v>equals</x:v>
      </x:c>
      <x:c r="H349" t="str">
        <x:f>IF(E349=F349,"PASS","FAIL")</x:f>
        <x:v>PASS</x:v>
      </x:c>
    </x:row>
    <x:row r="350">
      <x:c r="B350" t="str">
        <x:v>A-0320</x:v>
      </x:c>
      <x:c r="C350" t="str">
        <x:v>GATE</x:v>
      </x:c>
      <x:c r="D350" t="str">
        <x:v>release ledger mirrors governing state</x:v>
      </x:c>
      <x:c r="E350" t="str">
        <x:f>'Release Gates'!J326</x:f>
        <x:v>PASS</x:v>
      </x:c>
      <x:c r="F350" t="str">
        <x:f>IF('Release Gates'!C326="PLANNING","PASS",IF('Release Gates'!C326="PHYSICAL","OPEN","BLOCKED"))</x:f>
        <x:v>PASS</x:v>
      </x:c>
      <x:c r="G350" t="str">
        <x:v>equals</x:v>
      </x:c>
      <x:c r="H350" t="str">
        <x:f>IF(E350=F350,"PASS","FAIL")</x:f>
        <x:v>PASS</x:v>
      </x:c>
    </x:row>
    <x:row r="351">
      <x:c r="B351" t="str">
        <x:v>A-0321</x:v>
      </x:c>
      <x:c r="C351" t="str">
        <x:v>GATE</x:v>
      </x:c>
      <x:c r="D351" t="str">
        <x:v>release ledger mirrors governing state</x:v>
      </x:c>
      <x:c r="E351" t="str">
        <x:f>'Release Gates'!J327</x:f>
        <x:v>PASS</x:v>
      </x:c>
      <x:c r="F351" t="str">
        <x:f>IF('Release Gates'!C327="PLANNING","PASS",IF('Release Gates'!C327="PHYSICAL","OPEN","BLOCKED"))</x:f>
        <x:v>PASS</x:v>
      </x:c>
      <x:c r="G351" t="str">
        <x:v>equals</x:v>
      </x:c>
      <x:c r="H351" t="str">
        <x:f>IF(E351=F351,"PASS","FAIL")</x:f>
        <x:v>PASS</x:v>
      </x:c>
    </x:row>
    <x:row r="352">
      <x:c r="B352" t="str">
        <x:v>A-0322</x:v>
      </x:c>
      <x:c r="C352" t="str">
        <x:v>GATE</x:v>
      </x:c>
      <x:c r="D352" t="str">
        <x:v>release ledger mirrors governing state</x:v>
      </x:c>
      <x:c r="E352" t="str">
        <x:f>'Release Gates'!J328</x:f>
        <x:v>PASS</x:v>
      </x:c>
      <x:c r="F352" t="str">
        <x:f>IF('Release Gates'!C328="PLANNING","PASS",IF('Release Gates'!C328="PHYSICAL","OPEN","BLOCKED"))</x:f>
        <x:v>PASS</x:v>
      </x:c>
      <x:c r="G352" t="str">
        <x:v>equals</x:v>
      </x:c>
      <x:c r="H352" t="str">
        <x:f>IF(E352=F352,"PASS","FAIL")</x:f>
        <x:v>PASS</x:v>
      </x:c>
    </x:row>
    <x:row r="353">
      <x:c r="B353" t="str">
        <x:v>A-0323</x:v>
      </x:c>
      <x:c r="C353" t="str">
        <x:v>GATE</x:v>
      </x:c>
      <x:c r="D353" t="str">
        <x:v>release ledger mirrors governing state</x:v>
      </x:c>
      <x:c r="E353" t="str">
        <x:f>'Release Gates'!J329</x:f>
        <x:v>PASS</x:v>
      </x:c>
      <x:c r="F353" t="str">
        <x:f>IF('Release Gates'!C329="PLANNING","PASS",IF('Release Gates'!C329="PHYSICAL","OPEN","BLOCKED"))</x:f>
        <x:v>PASS</x:v>
      </x:c>
      <x:c r="G353" t="str">
        <x:v>equals</x:v>
      </x:c>
      <x:c r="H353" t="str">
        <x:f>IF(E353=F353,"PASS","FAIL")</x:f>
        <x:v>PASS</x:v>
      </x:c>
    </x:row>
    <x:row r="354">
      <x:c r="B354" t="str">
        <x:v>A-0324</x:v>
      </x:c>
      <x:c r="C354" t="str">
        <x:v>GATE</x:v>
      </x:c>
      <x:c r="D354" t="str">
        <x:v>release ledger mirrors governing state</x:v>
      </x:c>
      <x:c r="E354" t="str">
        <x:f>'Release Gates'!J330</x:f>
        <x:v>PASS</x:v>
      </x:c>
      <x:c r="F354" t="str">
        <x:f>IF('Release Gates'!C330="PLANNING","PASS",IF('Release Gates'!C330="PHYSICAL","OPEN","BLOCKED"))</x:f>
        <x:v>PASS</x:v>
      </x:c>
      <x:c r="G354" t="str">
        <x:v>equals</x:v>
      </x:c>
      <x:c r="H354" t="str">
        <x:f>IF(E354=F354,"PASS","FAIL")</x:f>
        <x:v>PASS</x:v>
      </x:c>
    </x:row>
    <x:row r="355">
      <x:c r="B355" t="str">
        <x:v>A-0325</x:v>
      </x:c>
      <x:c r="C355" t="str">
        <x:v>GATE</x:v>
      </x:c>
      <x:c r="D355" t="str">
        <x:v>release ledger mirrors governing state</x:v>
      </x:c>
      <x:c r="E355" t="str">
        <x:f>'Release Gates'!J331</x:f>
        <x:v>PASS</x:v>
      </x:c>
      <x:c r="F355" t="str">
        <x:f>IF('Release Gates'!C331="PLANNING","PASS",IF('Release Gates'!C331="PHYSICAL","OPEN","BLOCKED"))</x:f>
        <x:v>PASS</x:v>
      </x:c>
      <x:c r="G355" t="str">
        <x:v>equals</x:v>
      </x:c>
      <x:c r="H355" t="str">
        <x:f>IF(E355=F355,"PASS","FAIL")</x:f>
        <x:v>PASS</x:v>
      </x:c>
    </x:row>
    <x:row r="356">
      <x:c r="B356" t="str">
        <x:v>A-0326</x:v>
      </x:c>
      <x:c r="C356" t="str">
        <x:v>GATE</x:v>
      </x:c>
      <x:c r="D356" t="str">
        <x:v>release ledger mirrors governing state</x:v>
      </x:c>
      <x:c r="E356" t="str">
        <x:f>'Release Gates'!J332</x:f>
        <x:v>PASS</x:v>
      </x:c>
      <x:c r="F356" t="str">
        <x:f>IF('Release Gates'!C332="PLANNING","PASS",IF('Release Gates'!C332="PHYSICAL","OPEN","BLOCKED"))</x:f>
        <x:v>PASS</x:v>
      </x:c>
      <x:c r="G356" t="str">
        <x:v>equals</x:v>
      </x:c>
      <x:c r="H356" t="str">
        <x:f>IF(E356=F356,"PASS","FAIL")</x:f>
        <x:v>PASS</x:v>
      </x:c>
    </x:row>
    <x:row r="357">
      <x:c r="B357" t="str">
        <x:v>A-0327</x:v>
      </x:c>
      <x:c r="C357" t="str">
        <x:v>GATE</x:v>
      </x:c>
      <x:c r="D357" t="str">
        <x:v>release ledger mirrors governing state</x:v>
      </x:c>
      <x:c r="E357" t="str">
        <x:f>'Release Gates'!J333</x:f>
        <x:v>PASS</x:v>
      </x:c>
      <x:c r="F357" t="str">
        <x:f>IF('Release Gates'!C333="PLANNING","PASS",IF('Release Gates'!C333="PHYSICAL","OPEN","BLOCKED"))</x:f>
        <x:v>PASS</x:v>
      </x:c>
      <x:c r="G357" t="str">
        <x:v>equals</x:v>
      </x:c>
      <x:c r="H357" t="str">
        <x:f>IF(E357=F357,"PASS","FAIL")</x:f>
        <x:v>PASS</x:v>
      </x:c>
    </x:row>
    <x:row r="358">
      <x:c r="B358" t="str">
        <x:v>A-0328</x:v>
      </x:c>
      <x:c r="C358" t="str">
        <x:v>GATE</x:v>
      </x:c>
      <x:c r="D358" t="str">
        <x:v>release ledger mirrors governing state</x:v>
      </x:c>
      <x:c r="E358" t="str">
        <x:f>'Release Gates'!J334</x:f>
        <x:v>PASS</x:v>
      </x:c>
      <x:c r="F358" t="str">
        <x:f>IF('Release Gates'!C334="PLANNING","PASS",IF('Release Gates'!C334="PHYSICAL","OPEN","BLOCKED"))</x:f>
        <x:v>PASS</x:v>
      </x:c>
      <x:c r="G358" t="str">
        <x:v>equals</x:v>
      </x:c>
      <x:c r="H358" t="str">
        <x:f>IF(E358=F358,"PASS","FAIL")</x:f>
        <x:v>PASS</x:v>
      </x:c>
    </x:row>
    <x:row r="359">
      <x:c r="B359" t="str">
        <x:v>A-0329</x:v>
      </x:c>
      <x:c r="C359" t="str">
        <x:v>GATE</x:v>
      </x:c>
      <x:c r="D359" t="str">
        <x:v>release ledger mirrors governing state</x:v>
      </x:c>
      <x:c r="E359" t="str">
        <x:f>'Release Gates'!J335</x:f>
        <x:v>PASS</x:v>
      </x:c>
      <x:c r="F359" t="str">
        <x:f>IF('Release Gates'!C335="PLANNING","PASS",IF('Release Gates'!C335="PHYSICAL","OPEN","BLOCKED"))</x:f>
        <x:v>PASS</x:v>
      </x:c>
      <x:c r="G359" t="str">
        <x:v>equals</x:v>
      </x:c>
      <x:c r="H359" t="str">
        <x:f>IF(E359=F359,"PASS","FAIL")</x:f>
        <x:v>PASS</x:v>
      </x:c>
    </x:row>
    <x:row r="360">
      <x:c r="B360" t="str">
        <x:v>A-0330</x:v>
      </x:c>
      <x:c r="C360" t="str">
        <x:v>GATE</x:v>
      </x:c>
      <x:c r="D360" t="str">
        <x:v>release ledger mirrors governing state</x:v>
      </x:c>
      <x:c r="E360" t="str">
        <x:f>'Release Gates'!J336</x:f>
        <x:v>PASS</x:v>
      </x:c>
      <x:c r="F360" t="str">
        <x:f>IF('Release Gates'!C336="PLANNING","PASS",IF('Release Gates'!C336="PHYSICAL","OPEN","BLOCKED"))</x:f>
        <x:v>PASS</x:v>
      </x:c>
      <x:c r="G360" t="str">
        <x:v>equals</x:v>
      </x:c>
      <x:c r="H360" t="str">
        <x:f>IF(E360=F360,"PASS","FAIL")</x:f>
        <x:v>PASS</x:v>
      </x:c>
    </x:row>
    <x:row r="361">
      <x:c r="B361" t="str">
        <x:v>A-0331</x:v>
      </x:c>
      <x:c r="C361" t="str">
        <x:v>GATE</x:v>
      </x:c>
      <x:c r="D361" t="str">
        <x:v>release ledger mirrors governing state</x:v>
      </x:c>
      <x:c r="E361" t="str">
        <x:f>'Release Gates'!J337</x:f>
        <x:v>PASS</x:v>
      </x:c>
      <x:c r="F361" t="str">
        <x:f>IF('Release Gates'!C337="PLANNING","PASS",IF('Release Gates'!C337="PHYSICAL","OPEN","BLOCKED"))</x:f>
        <x:v>PASS</x:v>
      </x:c>
      <x:c r="G361" t="str">
        <x:v>equals</x:v>
      </x:c>
      <x:c r="H361" t="str">
        <x:f>IF(E361=F361,"PASS","FAIL")</x:f>
        <x:v>PASS</x:v>
      </x:c>
    </x:row>
    <x:row r="362">
      <x:c r="B362" t="str">
        <x:v>A-0332</x:v>
      </x:c>
      <x:c r="C362" t="str">
        <x:v>GATE</x:v>
      </x:c>
      <x:c r="D362" t="str">
        <x:v>release ledger mirrors governing state</x:v>
      </x:c>
      <x:c r="E362" t="str">
        <x:f>'Release Gates'!J338</x:f>
        <x:v>PASS</x:v>
      </x:c>
      <x:c r="F362" t="str">
        <x:f>IF('Release Gates'!C338="PLANNING","PASS",IF('Release Gates'!C338="PHYSICAL","OPEN","BLOCKED"))</x:f>
        <x:v>PASS</x:v>
      </x:c>
      <x:c r="G362" t="str">
        <x:v>equals</x:v>
      </x:c>
      <x:c r="H362" t="str">
        <x:f>IF(E362=F362,"PASS","FAIL")</x:f>
        <x:v>PASS</x:v>
      </x:c>
    </x:row>
    <x:row r="363">
      <x:c r="B363" t="str">
        <x:v>A-0333</x:v>
      </x:c>
      <x:c r="C363" t="str">
        <x:v>GATE</x:v>
      </x:c>
      <x:c r="D363" t="str">
        <x:v>release ledger mirrors governing state</x:v>
      </x:c>
      <x:c r="E363" t="str">
        <x:f>'Release Gates'!J339</x:f>
        <x:v>PASS</x:v>
      </x:c>
      <x:c r="F363" t="str">
        <x:f>IF('Release Gates'!C339="PLANNING","PASS",IF('Release Gates'!C339="PHYSICAL","OPEN","BLOCKED"))</x:f>
        <x:v>PASS</x:v>
      </x:c>
      <x:c r="G363" t="str">
        <x:v>equals</x:v>
      </x:c>
      <x:c r="H363" t="str">
        <x:f>IF(E363=F363,"PASS","FAIL")</x:f>
        <x:v>PASS</x:v>
      </x:c>
    </x:row>
    <x:row r="364">
      <x:c r="B364" t="str">
        <x:v>A-0334</x:v>
      </x:c>
      <x:c r="C364" t="str">
        <x:v>GATE</x:v>
      </x:c>
      <x:c r="D364" t="str">
        <x:v>release ledger mirrors governing state</x:v>
      </x:c>
      <x:c r="E364" t="str">
        <x:f>'Release Gates'!J340</x:f>
        <x:v>PASS</x:v>
      </x:c>
      <x:c r="F364" t="str">
        <x:f>IF('Release Gates'!C340="PLANNING","PASS",IF('Release Gates'!C340="PHYSICAL","OPEN","BLOCKED"))</x:f>
        <x:v>PASS</x:v>
      </x:c>
      <x:c r="G364" t="str">
        <x:v>equals</x:v>
      </x:c>
      <x:c r="H364" t="str">
        <x:f>IF(E364=F364,"PASS","FAIL")</x:f>
        <x:v>PASS</x:v>
      </x:c>
    </x:row>
    <x:row r="365">
      <x:c r="B365" t="str">
        <x:v>A-0335</x:v>
      </x:c>
      <x:c r="C365" t="str">
        <x:v>GATE</x:v>
      </x:c>
      <x:c r="D365" t="str">
        <x:v>release ledger mirrors governing state</x:v>
      </x:c>
      <x:c r="E365" t="str">
        <x:f>'Release Gates'!J341</x:f>
        <x:v>PASS</x:v>
      </x:c>
      <x:c r="F365" t="str">
        <x:f>IF('Release Gates'!C341="PLANNING","PASS",IF('Release Gates'!C341="PHYSICAL","OPEN","BLOCKED"))</x:f>
        <x:v>PASS</x:v>
      </x:c>
      <x:c r="G365" t="str">
        <x:v>equals</x:v>
      </x:c>
      <x:c r="H365" t="str">
        <x:f>IF(E365=F365,"PASS","FAIL")</x:f>
        <x:v>PASS</x:v>
      </x:c>
    </x:row>
    <x:row r="366">
      <x:c r="B366" t="str">
        <x:v>A-0336</x:v>
      </x:c>
      <x:c r="C366" t="str">
        <x:v>GATE</x:v>
      </x:c>
      <x:c r="D366" t="str">
        <x:v>release ledger mirrors governing state</x:v>
      </x:c>
      <x:c r="E366" t="str">
        <x:f>'Release Gates'!J342</x:f>
        <x:v>PASS</x:v>
      </x:c>
      <x:c r="F366" t="str">
        <x:f>IF('Release Gates'!C342="PLANNING","PASS",IF('Release Gates'!C342="PHYSICAL","OPEN","BLOCKED"))</x:f>
        <x:v>PASS</x:v>
      </x:c>
      <x:c r="G366" t="str">
        <x:v>equals</x:v>
      </x:c>
      <x:c r="H366" t="str">
        <x:f>IF(E366=F366,"PASS","FAIL")</x:f>
        <x:v>PASS</x:v>
      </x:c>
    </x:row>
    <x:row r="367">
      <x:c r="B367" t="str">
        <x:v>A-0337</x:v>
      </x:c>
      <x:c r="C367" t="str">
        <x:v>GATE</x:v>
      </x:c>
      <x:c r="D367" t="str">
        <x:v>release ledger mirrors governing state</x:v>
      </x:c>
      <x:c r="E367" t="str">
        <x:f>'Release Gates'!J343</x:f>
        <x:v>PASS</x:v>
      </x:c>
      <x:c r="F367" t="str">
        <x:f>IF('Release Gates'!C343="PLANNING","PASS",IF('Release Gates'!C343="PHYSICAL","OPEN","BLOCKED"))</x:f>
        <x:v>PASS</x:v>
      </x:c>
      <x:c r="G367" t="str">
        <x:v>equals</x:v>
      </x:c>
      <x:c r="H367" t="str">
        <x:f>IF(E367=F367,"PASS","FAIL")</x:f>
        <x:v>PASS</x:v>
      </x:c>
    </x:row>
    <x:row r="368">
      <x:c r="B368" t="str">
        <x:v>A-0338</x:v>
      </x:c>
      <x:c r="C368" t="str">
        <x:v>GATE</x:v>
      </x:c>
      <x:c r="D368" t="str">
        <x:v>release ledger mirrors governing state</x:v>
      </x:c>
      <x:c r="E368" t="str">
        <x:f>'Release Gates'!J344</x:f>
        <x:v>PASS</x:v>
      </x:c>
      <x:c r="F368" t="str">
        <x:f>IF('Release Gates'!C344="PLANNING","PASS",IF('Release Gates'!C344="PHYSICAL","OPEN","BLOCKED"))</x:f>
        <x:v>PASS</x:v>
      </x:c>
      <x:c r="G368" t="str">
        <x:v>equals</x:v>
      </x:c>
      <x:c r="H368" t="str">
        <x:f>IF(E368=F368,"PASS","FAIL")</x:f>
        <x:v>PASS</x:v>
      </x:c>
    </x:row>
    <x:row r="369">
      <x:c r="B369" t="str">
        <x:v>A-0339</x:v>
      </x:c>
      <x:c r="C369" t="str">
        <x:v>GATE</x:v>
      </x:c>
      <x:c r="D369" t="str">
        <x:v>release ledger mirrors governing state</x:v>
      </x:c>
      <x:c r="E369" t="str">
        <x:f>'Release Gates'!J345</x:f>
        <x:v>PASS</x:v>
      </x:c>
      <x:c r="F369" t="str">
        <x:f>IF('Release Gates'!C345="PLANNING","PASS",IF('Release Gates'!C345="PHYSICAL","OPEN","BLOCKED"))</x:f>
        <x:v>PASS</x:v>
      </x:c>
      <x:c r="G369" t="str">
        <x:v>equals</x:v>
      </x:c>
      <x:c r="H369" t="str">
        <x:f>IF(E369=F369,"PASS","FAIL")</x:f>
        <x:v>PASS</x:v>
      </x:c>
    </x:row>
    <x:row r="370">
      <x:c r="B370" t="str">
        <x:v>A-0340</x:v>
      </x:c>
      <x:c r="C370" t="str">
        <x:v>GATE</x:v>
      </x:c>
      <x:c r="D370" t="str">
        <x:v>release ledger mirrors governing state</x:v>
      </x:c>
      <x:c r="E370" t="str">
        <x:f>'Release Gates'!J346</x:f>
        <x:v>PASS</x:v>
      </x:c>
      <x:c r="F370" t="str">
        <x:f>IF('Release Gates'!C346="PLANNING","PASS",IF('Release Gates'!C346="PHYSICAL","OPEN","BLOCKED"))</x:f>
        <x:v>PASS</x:v>
      </x:c>
      <x:c r="G370" t="str">
        <x:v>equals</x:v>
      </x:c>
      <x:c r="H370" t="str">
        <x:f>IF(E370=F370,"PASS","FAIL")</x:f>
        <x:v>PASS</x:v>
      </x:c>
    </x:row>
    <x:row r="371">
      <x:c r="B371" t="str">
        <x:v>A-0341</x:v>
      </x:c>
      <x:c r="C371" t="str">
        <x:v>GATE</x:v>
      </x:c>
      <x:c r="D371" t="str">
        <x:v>release ledger mirrors governing state</x:v>
      </x:c>
      <x:c r="E371" t="str">
        <x:f>'Release Gates'!J347</x:f>
        <x:v>PASS</x:v>
      </x:c>
      <x:c r="F371" t="str">
        <x:f>IF('Release Gates'!C347="PLANNING","PASS",IF('Release Gates'!C347="PHYSICAL","OPEN","BLOCKED"))</x:f>
        <x:v>PASS</x:v>
      </x:c>
      <x:c r="G371" t="str">
        <x:v>equals</x:v>
      </x:c>
      <x:c r="H371" t="str">
        <x:f>IF(E371=F371,"PASS","FAIL")</x:f>
        <x:v>PASS</x:v>
      </x:c>
    </x:row>
    <x:row r="372">
      <x:c r="B372" t="str">
        <x:v>A-0342</x:v>
      </x:c>
      <x:c r="C372" t="str">
        <x:v>GATE</x:v>
      </x:c>
      <x:c r="D372" t="str">
        <x:v>release ledger mirrors governing state</x:v>
      </x:c>
      <x:c r="E372" t="str">
        <x:f>'Release Gates'!J348</x:f>
        <x:v>PASS</x:v>
      </x:c>
      <x:c r="F372" t="str">
        <x:f>IF('Release Gates'!C348="PLANNING","PASS",IF('Release Gates'!C348="PHYSICAL","OPEN","BLOCKED"))</x:f>
        <x:v>PASS</x:v>
      </x:c>
      <x:c r="G372" t="str">
        <x:v>equals</x:v>
      </x:c>
      <x:c r="H372" t="str">
        <x:f>IF(E372=F372,"PASS","FAIL")</x:f>
        <x:v>PASS</x:v>
      </x:c>
    </x:row>
    <x:row r="373">
      <x:c r="B373" t="str">
        <x:v>A-0343</x:v>
      </x:c>
      <x:c r="C373" t="str">
        <x:v>GATE</x:v>
      </x:c>
      <x:c r="D373" t="str">
        <x:v>release ledger mirrors governing state</x:v>
      </x:c>
      <x:c r="E373" t="str">
        <x:f>'Release Gates'!J349</x:f>
        <x:v>PASS</x:v>
      </x:c>
      <x:c r="F373" t="str">
        <x:f>IF('Release Gates'!C349="PLANNING","PASS",IF('Release Gates'!C349="PHYSICAL","OPEN","BLOCKED"))</x:f>
        <x:v>PASS</x:v>
      </x:c>
      <x:c r="G373" t="str">
        <x:v>equals</x:v>
      </x:c>
      <x:c r="H373" t="str">
        <x:f>IF(E373=F373,"PASS","FAIL")</x:f>
        <x:v>PASS</x:v>
      </x:c>
    </x:row>
    <x:row r="374">
      <x:c r="B374" t="str">
        <x:v>A-0344</x:v>
      </x:c>
      <x:c r="C374" t="str">
        <x:v>GATE</x:v>
      </x:c>
      <x:c r="D374" t="str">
        <x:v>release ledger mirrors governing state</x:v>
      </x:c>
      <x:c r="E374" t="str">
        <x:f>'Release Gates'!J350</x:f>
        <x:v>PASS</x:v>
      </x:c>
      <x:c r="F374" t="str">
        <x:f>IF('Release Gates'!C350="PLANNING","PASS",IF('Release Gates'!C350="PHYSICAL","OPEN","BLOCKED"))</x:f>
        <x:v>PASS</x:v>
      </x:c>
      <x:c r="G374" t="str">
        <x:v>equals</x:v>
      </x:c>
      <x:c r="H374" t="str">
        <x:f>IF(E374=F374,"PASS","FAIL")</x:f>
        <x:v>PASS</x:v>
      </x:c>
    </x:row>
    <x:row r="375">
      <x:c r="B375" t="str">
        <x:v>A-0345</x:v>
      </x:c>
      <x:c r="C375" t="str">
        <x:v>GATE</x:v>
      </x:c>
      <x:c r="D375" t="str">
        <x:v>release ledger mirrors governing state</x:v>
      </x:c>
      <x:c r="E375" t="str">
        <x:f>'Release Gates'!J351</x:f>
        <x:v>PASS</x:v>
      </x:c>
      <x:c r="F375" t="str">
        <x:f>IF('Release Gates'!C351="PLANNING","PASS",IF('Release Gates'!C351="PHYSICAL","OPEN","BLOCKED"))</x:f>
        <x:v>PASS</x:v>
      </x:c>
      <x:c r="G375" t="str">
        <x:v>equals</x:v>
      </x:c>
      <x:c r="H375" t="str">
        <x:f>IF(E375=F375,"PASS","FAIL")</x:f>
        <x:v>PASS</x:v>
      </x:c>
    </x:row>
    <x:row r="376">
      <x:c r="B376" t="str">
        <x:v>A-0346</x:v>
      </x:c>
      <x:c r="C376" t="str">
        <x:v>GATE</x:v>
      </x:c>
      <x:c r="D376" t="str">
        <x:v>release ledger mirrors governing state</x:v>
      </x:c>
      <x:c r="E376" t="str">
        <x:f>'Release Gates'!J352</x:f>
        <x:v>PASS</x:v>
      </x:c>
      <x:c r="F376" t="str">
        <x:f>IF('Release Gates'!C352="PLANNING","PASS",IF('Release Gates'!C352="PHYSICAL","OPEN","BLOCKED"))</x:f>
        <x:v>PASS</x:v>
      </x:c>
      <x:c r="G376" t="str">
        <x:v>equals</x:v>
      </x:c>
      <x:c r="H376" t="str">
        <x:f>IF(E376=F376,"PASS","FAIL")</x:f>
        <x:v>PASS</x:v>
      </x:c>
    </x:row>
    <x:row r="377">
      <x:c r="B377" t="str">
        <x:v>A-0347</x:v>
      </x:c>
      <x:c r="C377" t="str">
        <x:v>GATE</x:v>
      </x:c>
      <x:c r="D377" t="str">
        <x:v>release ledger mirrors governing state</x:v>
      </x:c>
      <x:c r="E377" t="str">
        <x:f>'Release Gates'!J353</x:f>
        <x:v>PASS</x:v>
      </x:c>
      <x:c r="F377" t="str">
        <x:f>IF('Release Gates'!C353="PLANNING","PASS",IF('Release Gates'!C353="PHYSICAL","OPEN","BLOCKED"))</x:f>
        <x:v>PASS</x:v>
      </x:c>
      <x:c r="G377" t="str">
        <x:v>equals</x:v>
      </x:c>
      <x:c r="H377" t="str">
        <x:f>IF(E377=F377,"PASS","FAIL")</x:f>
        <x:v>PASS</x:v>
      </x:c>
    </x:row>
    <x:row r="378">
      <x:c r="B378" t="str">
        <x:v>A-0348</x:v>
      </x:c>
      <x:c r="C378" t="str">
        <x:v>GATE</x:v>
      </x:c>
      <x:c r="D378" t="str">
        <x:v>release ledger mirrors governing state</x:v>
      </x:c>
      <x:c r="E378" t="str">
        <x:f>'Release Gates'!J354</x:f>
        <x:v>PASS</x:v>
      </x:c>
      <x:c r="F378" t="str">
        <x:f>IF('Release Gates'!C354="PLANNING","PASS",IF('Release Gates'!C354="PHYSICAL","OPEN","BLOCKED"))</x:f>
        <x:v>PASS</x:v>
      </x:c>
      <x:c r="G378" t="str">
        <x:v>equals</x:v>
      </x:c>
      <x:c r="H378" t="str">
        <x:f>IF(E378=F378,"PASS","FAIL")</x:f>
        <x:v>PASS</x:v>
      </x:c>
    </x:row>
    <x:row r="379">
      <x:c r="B379" t="str">
        <x:v>A-0349</x:v>
      </x:c>
      <x:c r="C379" t="str">
        <x:v>GATE</x:v>
      </x:c>
      <x:c r="D379" t="str">
        <x:v>release ledger mirrors governing state</x:v>
      </x:c>
      <x:c r="E379" t="str">
        <x:f>'Release Gates'!J355</x:f>
        <x:v>PASS</x:v>
      </x:c>
      <x:c r="F379" t="str">
        <x:f>IF('Release Gates'!C355="PLANNING","PASS",IF('Release Gates'!C355="PHYSICAL","OPEN","BLOCKED"))</x:f>
        <x:v>PASS</x:v>
      </x:c>
      <x:c r="G379" t="str">
        <x:v>equals</x:v>
      </x:c>
      <x:c r="H379" t="str">
        <x:f>IF(E379=F379,"PASS","FAIL")</x:f>
        <x:v>PASS</x:v>
      </x:c>
    </x:row>
    <x:row r="380">
      <x:c r="B380" t="str">
        <x:v>A-0350</x:v>
      </x:c>
      <x:c r="C380" t="str">
        <x:v>GATE</x:v>
      </x:c>
      <x:c r="D380" t="str">
        <x:v>release ledger mirrors governing state</x:v>
      </x:c>
      <x:c r="E380" t="str">
        <x:f>'Release Gates'!J356</x:f>
        <x:v>PASS</x:v>
      </x:c>
      <x:c r="F380" t="str">
        <x:f>IF('Release Gates'!C356="PLANNING","PASS",IF('Release Gates'!C356="PHYSICAL","OPEN","BLOCKED"))</x:f>
        <x:v>PASS</x:v>
      </x:c>
      <x:c r="G380" t="str">
        <x:v>equals</x:v>
      </x:c>
      <x:c r="H380" t="str">
        <x:f>IF(E380=F380,"PASS","FAIL")</x:f>
        <x:v>PASS</x:v>
      </x:c>
    </x:row>
    <x:row r="381">
      <x:c r="B381" t="str">
        <x:v>A-0351</x:v>
      </x:c>
      <x:c r="C381" t="str">
        <x:v>GATE</x:v>
      </x:c>
      <x:c r="D381" t="str">
        <x:v>release ledger mirrors governing state</x:v>
      </x:c>
      <x:c r="E381" t="str">
        <x:f>'Release Gates'!J357</x:f>
        <x:v>PASS</x:v>
      </x:c>
      <x:c r="F381" t="str">
        <x:f>IF('Release Gates'!C357="PLANNING","PASS",IF('Release Gates'!C357="PHYSICAL","OPEN","BLOCKED"))</x:f>
        <x:v>PASS</x:v>
      </x:c>
      <x:c r="G381" t="str">
        <x:v>equals</x:v>
      </x:c>
      <x:c r="H381" t="str">
        <x:f>IF(E381=F381,"PASS","FAIL")</x:f>
        <x:v>PASS</x:v>
      </x:c>
    </x:row>
    <x:row r="382">
      <x:c r="B382" t="str">
        <x:v>A-0352</x:v>
      </x:c>
      <x:c r="C382" t="str">
        <x:v>GATE</x:v>
      </x:c>
      <x:c r="D382" t="str">
        <x:v>release ledger mirrors governing state</x:v>
      </x:c>
      <x:c r="E382" t="str">
        <x:f>'Release Gates'!J358</x:f>
        <x:v>PASS</x:v>
      </x:c>
      <x:c r="F382" t="str">
        <x:f>IF('Release Gates'!C358="PLANNING","PASS",IF('Release Gates'!C358="PHYSICAL","OPEN","BLOCKED"))</x:f>
        <x:v>PASS</x:v>
      </x:c>
      <x:c r="G382" t="str">
        <x:v>equals</x:v>
      </x:c>
      <x:c r="H382" t="str">
        <x:f>IF(E382=F382,"PASS","FAIL")</x:f>
        <x:v>PASS</x:v>
      </x:c>
    </x:row>
    <x:row r="383">
      <x:c r="B383" t="str">
        <x:v>A-0353</x:v>
      </x:c>
      <x:c r="C383" t="str">
        <x:v>GATE</x:v>
      </x:c>
      <x:c r="D383" t="str">
        <x:v>release ledger mirrors governing state</x:v>
      </x:c>
      <x:c r="E383" t="str">
        <x:f>'Release Gates'!J359</x:f>
        <x:v>PASS</x:v>
      </x:c>
      <x:c r="F383" t="str">
        <x:f>IF('Release Gates'!C359="PLANNING","PASS",IF('Release Gates'!C359="PHYSICAL","OPEN","BLOCKED"))</x:f>
        <x:v>PASS</x:v>
      </x:c>
      <x:c r="G383" t="str">
        <x:v>equals</x:v>
      </x:c>
      <x:c r="H383" t="str">
        <x:f>IF(E383=F383,"PASS","FAIL")</x:f>
        <x:v>PASS</x:v>
      </x:c>
    </x:row>
    <x:row r="384">
      <x:c r="B384" t="str">
        <x:v>A-0354</x:v>
      </x:c>
      <x:c r="C384" t="str">
        <x:v>GATE</x:v>
      </x:c>
      <x:c r="D384" t="str">
        <x:v>release ledger mirrors governing state</x:v>
      </x:c>
      <x:c r="E384" t="str">
        <x:f>'Release Gates'!J360</x:f>
        <x:v>PASS</x:v>
      </x:c>
      <x:c r="F384" t="str">
        <x:f>IF('Release Gates'!C360="PLANNING","PASS",IF('Release Gates'!C360="PHYSICAL","OPEN","BLOCKED"))</x:f>
        <x:v>PASS</x:v>
      </x:c>
      <x:c r="G384" t="str">
        <x:v>equals</x:v>
      </x:c>
      <x:c r="H384" t="str">
        <x:f>IF(E384=F384,"PASS","FAIL")</x:f>
        <x:v>PASS</x:v>
      </x:c>
    </x:row>
    <x:row r="385">
      <x:c r="B385" t="str">
        <x:v>A-0355</x:v>
      </x:c>
      <x:c r="C385" t="str">
        <x:v>GATE</x:v>
      </x:c>
      <x:c r="D385" t="str">
        <x:v>release ledger mirrors governing state</x:v>
      </x:c>
      <x:c r="E385" t="str">
        <x:f>'Release Gates'!J361</x:f>
        <x:v>PASS</x:v>
      </x:c>
      <x:c r="F385" t="str">
        <x:f>IF('Release Gates'!C361="PLANNING","PASS",IF('Release Gates'!C361="PHYSICAL","OPEN","BLOCKED"))</x:f>
        <x:v>PASS</x:v>
      </x:c>
      <x:c r="G385" t="str">
        <x:v>equals</x:v>
      </x:c>
      <x:c r="H385" t="str">
        <x:f>IF(E385=F385,"PASS","FAIL")</x:f>
        <x:v>PASS</x:v>
      </x:c>
    </x:row>
    <x:row r="386">
      <x:c r="B386" t="str">
        <x:v>A-0356</x:v>
      </x:c>
      <x:c r="C386" t="str">
        <x:v>GATE</x:v>
      </x:c>
      <x:c r="D386" t="str">
        <x:v>release ledger mirrors governing state</x:v>
      </x:c>
      <x:c r="E386" t="str">
        <x:f>'Release Gates'!J362</x:f>
        <x:v>PASS</x:v>
      </x:c>
      <x:c r="F386" t="str">
        <x:f>IF('Release Gates'!C362="PLANNING","PASS",IF('Release Gates'!C362="PHYSICAL","OPEN","BLOCKED"))</x:f>
        <x:v>PASS</x:v>
      </x:c>
      <x:c r="G386" t="str">
        <x:v>equals</x:v>
      </x:c>
      <x:c r="H386" t="str">
        <x:f>IF(E386=F386,"PASS","FAIL")</x:f>
        <x:v>PASS</x:v>
      </x:c>
    </x:row>
    <x:row r="387">
      <x:c r="B387" t="str">
        <x:v>A-0357</x:v>
      </x:c>
      <x:c r="C387" t="str">
        <x:v>GATE</x:v>
      </x:c>
      <x:c r="D387" t="str">
        <x:v>release ledger mirrors governing state</x:v>
      </x:c>
      <x:c r="E387" t="str">
        <x:f>'Release Gates'!J363</x:f>
        <x:v>PASS</x:v>
      </x:c>
      <x:c r="F387" t="str">
        <x:f>IF('Release Gates'!C363="PLANNING","PASS",IF('Release Gates'!C363="PHYSICAL","OPEN","BLOCKED"))</x:f>
        <x:v>PASS</x:v>
      </x:c>
      <x:c r="G387" t="str">
        <x:v>equals</x:v>
      </x:c>
      <x:c r="H387" t="str">
        <x:f>IF(E387=F387,"PASS","FAIL")</x:f>
        <x:v>PASS</x:v>
      </x:c>
    </x:row>
    <x:row r="388">
      <x:c r="B388" t="str">
        <x:v>A-0358</x:v>
      </x:c>
      <x:c r="C388" t="str">
        <x:v>GATE</x:v>
      </x:c>
      <x:c r="D388" t="str">
        <x:v>release ledger mirrors governing state</x:v>
      </x:c>
      <x:c r="E388" t="str">
        <x:f>'Release Gates'!J364</x:f>
        <x:v>PASS</x:v>
      </x:c>
      <x:c r="F388" t="str">
        <x:f>IF('Release Gates'!C364="PLANNING","PASS",IF('Release Gates'!C364="PHYSICAL","OPEN","BLOCKED"))</x:f>
        <x:v>PASS</x:v>
      </x:c>
      <x:c r="G388" t="str">
        <x:v>equals</x:v>
      </x:c>
      <x:c r="H388" t="str">
        <x:f>IF(E388=F388,"PASS","FAIL")</x:f>
        <x:v>PASS</x:v>
      </x:c>
    </x:row>
    <x:row r="389">
      <x:c r="B389" t="str">
        <x:v>A-0359</x:v>
      </x:c>
      <x:c r="C389" t="str">
        <x:v>GATE</x:v>
      </x:c>
      <x:c r="D389" t="str">
        <x:v>release ledger mirrors governing state</x:v>
      </x:c>
      <x:c r="E389" t="str">
        <x:f>'Release Gates'!J365</x:f>
        <x:v>PASS</x:v>
      </x:c>
      <x:c r="F389" t="str">
        <x:f>IF('Release Gates'!C365="PLANNING","PASS",IF('Release Gates'!C365="PHYSICAL","OPEN","BLOCKED"))</x:f>
        <x:v>PASS</x:v>
      </x:c>
      <x:c r="G389" t="str">
        <x:v>equals</x:v>
      </x:c>
      <x:c r="H389" t="str">
        <x:f>IF(E389=F389,"PASS","FAIL")</x:f>
        <x:v>PASS</x:v>
      </x:c>
    </x:row>
    <x:row r="390">
      <x:c r="B390" t="str">
        <x:v>A-0360</x:v>
      </x:c>
      <x:c r="C390" t="str">
        <x:v>GATE</x:v>
      </x:c>
      <x:c r="D390" t="str">
        <x:v>release ledger mirrors governing state</x:v>
      </x:c>
      <x:c r="E390" t="str">
        <x:f>'Release Gates'!J366</x:f>
        <x:v>PASS</x:v>
      </x:c>
      <x:c r="F390" t="str">
        <x:f>IF('Release Gates'!C366="PLANNING","PASS",IF('Release Gates'!C366="PHYSICAL","OPEN","BLOCKED"))</x:f>
        <x:v>PASS</x:v>
      </x:c>
      <x:c r="G390" t="str">
        <x:v>equals</x:v>
      </x:c>
      <x:c r="H390" t="str">
        <x:f>IF(E390=F390,"PASS","FAIL")</x:f>
        <x:v>PASS</x:v>
      </x:c>
    </x:row>
    <x:row r="391">
      <x:c r="B391" t="str">
        <x:v>A-0361</x:v>
      </x:c>
      <x:c r="C391" t="str">
        <x:v>GATE</x:v>
      </x:c>
      <x:c r="D391" t="str">
        <x:v>release ledger mirrors governing state</x:v>
      </x:c>
      <x:c r="E391" t="str">
        <x:f>'Release Gates'!J367</x:f>
        <x:v>PASS</x:v>
      </x:c>
      <x:c r="F391" t="str">
        <x:f>IF('Release Gates'!C367="PLANNING","PASS",IF('Release Gates'!C367="PHYSICAL","OPEN","BLOCKED"))</x:f>
        <x:v>PASS</x:v>
      </x:c>
      <x:c r="G391" t="str">
        <x:v>equals</x:v>
      </x:c>
      <x:c r="H391" t="str">
        <x:f>IF(E391=F391,"PASS","FAIL")</x:f>
        <x:v>PASS</x:v>
      </x:c>
    </x:row>
    <x:row r="392">
      <x:c r="B392" t="str">
        <x:v>A-0362</x:v>
      </x:c>
      <x:c r="C392" t="str">
        <x:v>GATE</x:v>
      </x:c>
      <x:c r="D392" t="str">
        <x:v>release ledger mirrors governing state</x:v>
      </x:c>
      <x:c r="E392" t="str">
        <x:f>'Release Gates'!J368</x:f>
        <x:v>PASS</x:v>
      </x:c>
      <x:c r="F392" t="str">
        <x:f>IF('Release Gates'!C368="PLANNING","PASS",IF('Release Gates'!C368="PHYSICAL","OPEN","BLOCKED"))</x:f>
        <x:v>PASS</x:v>
      </x:c>
      <x:c r="G392" t="str">
        <x:v>equals</x:v>
      </x:c>
      <x:c r="H392" t="str">
        <x:f>IF(E392=F392,"PASS","FAIL")</x:f>
        <x:v>PASS</x:v>
      </x:c>
    </x:row>
    <x:row r="393">
      <x:c r="B393" t="str">
        <x:v>A-0363</x:v>
      </x:c>
      <x:c r="C393" t="str">
        <x:v>GATE</x:v>
      </x:c>
      <x:c r="D393" t="str">
        <x:v>release ledger mirrors governing state</x:v>
      </x:c>
      <x:c r="E393" t="str">
        <x:f>'Release Gates'!J369</x:f>
        <x:v>PASS</x:v>
      </x:c>
      <x:c r="F393" t="str">
        <x:f>IF('Release Gates'!C369="PLANNING","PASS",IF('Release Gates'!C369="PHYSICAL","OPEN","BLOCKED"))</x:f>
        <x:v>PASS</x:v>
      </x:c>
      <x:c r="G393" t="str">
        <x:v>equals</x:v>
      </x:c>
      <x:c r="H393" t="str">
        <x:f>IF(E393=F393,"PASS","FAIL")</x:f>
        <x:v>PASS</x:v>
      </x:c>
    </x:row>
    <x:row r="394">
      <x:c r="B394" t="str">
        <x:v>A-0364</x:v>
      </x:c>
      <x:c r="C394" t="str">
        <x:v>GATE</x:v>
      </x:c>
      <x:c r="D394" t="str">
        <x:v>release ledger mirrors governing state</x:v>
      </x:c>
      <x:c r="E394" t="str">
        <x:f>'Release Gates'!J370</x:f>
        <x:v>PASS</x:v>
      </x:c>
      <x:c r="F394" t="str">
        <x:f>IF('Release Gates'!C370="PLANNING","PASS",IF('Release Gates'!C370="PHYSICAL","OPEN","BLOCKED"))</x:f>
        <x:v>PASS</x:v>
      </x:c>
      <x:c r="G394" t="str">
        <x:v>equals</x:v>
      </x:c>
      <x:c r="H394" t="str">
        <x:f>IF(E394=F394,"PASS","FAIL")</x:f>
        <x:v>PASS</x:v>
      </x:c>
    </x:row>
    <x:row r="395">
      <x:c r="B395" t="str">
        <x:v>A-0365</x:v>
      </x:c>
      <x:c r="C395" t="str">
        <x:v>GATE</x:v>
      </x:c>
      <x:c r="D395" t="str">
        <x:v>release ledger mirrors governing state</x:v>
      </x:c>
      <x:c r="E395" t="str">
        <x:f>'Release Gates'!J371</x:f>
        <x:v>PASS</x:v>
      </x:c>
      <x:c r="F395" t="str">
        <x:f>IF('Release Gates'!C371="PLANNING","PASS",IF('Release Gates'!C371="PHYSICAL","OPEN","BLOCKED"))</x:f>
        <x:v>PASS</x:v>
      </x:c>
      <x:c r="G395" t="str">
        <x:v>equals</x:v>
      </x:c>
      <x:c r="H395" t="str">
        <x:f>IF(E395=F395,"PASS","FAIL")</x:f>
        <x:v>PASS</x:v>
      </x:c>
    </x:row>
    <x:row r="396">
      <x:c r="B396" t="str">
        <x:v>A-0366</x:v>
      </x:c>
      <x:c r="C396" t="str">
        <x:v>GATE</x:v>
      </x:c>
      <x:c r="D396" t="str">
        <x:v>release ledger mirrors governing state</x:v>
      </x:c>
      <x:c r="E396" t="str">
        <x:f>'Release Gates'!J372</x:f>
        <x:v>PASS</x:v>
      </x:c>
      <x:c r="F396" t="str">
        <x:f>IF('Release Gates'!C372="PLANNING","PASS",IF('Release Gates'!C372="PHYSICAL","OPEN","BLOCKED"))</x:f>
        <x:v>PASS</x:v>
      </x:c>
      <x:c r="G396" t="str">
        <x:v>equals</x:v>
      </x:c>
      <x:c r="H396" t="str">
        <x:f>IF(E396=F396,"PASS","FAIL")</x:f>
        <x:v>PASS</x:v>
      </x:c>
    </x:row>
    <x:row r="397">
      <x:c r="B397" t="str">
        <x:v>A-0367</x:v>
      </x:c>
      <x:c r="C397" t="str">
        <x:v>GATE</x:v>
      </x:c>
      <x:c r="D397" t="str">
        <x:v>release ledger mirrors governing state</x:v>
      </x:c>
      <x:c r="E397" t="str">
        <x:f>'Release Gates'!J373</x:f>
        <x:v>PASS</x:v>
      </x:c>
      <x:c r="F397" t="str">
        <x:f>IF('Release Gates'!C373="PLANNING","PASS",IF('Release Gates'!C373="PHYSICAL","OPEN","BLOCKED"))</x:f>
        <x:v>PASS</x:v>
      </x:c>
      <x:c r="G397" t="str">
        <x:v>equals</x:v>
      </x:c>
      <x:c r="H397" t="str">
        <x:f>IF(E397=F397,"PASS","FAIL")</x:f>
        <x:v>PASS</x:v>
      </x:c>
    </x:row>
    <x:row r="398">
      <x:c r="B398" t="str">
        <x:v>A-0368</x:v>
      </x:c>
      <x:c r="C398" t="str">
        <x:v>GATE</x:v>
      </x:c>
      <x:c r="D398" t="str">
        <x:v>release ledger mirrors governing state</x:v>
      </x:c>
      <x:c r="E398" t="str">
        <x:f>'Release Gates'!J374</x:f>
        <x:v>PASS</x:v>
      </x:c>
      <x:c r="F398" t="str">
        <x:f>IF('Release Gates'!C374="PLANNING","PASS",IF('Release Gates'!C374="PHYSICAL","OPEN","BLOCKED"))</x:f>
        <x:v>PASS</x:v>
      </x:c>
      <x:c r="G398" t="str">
        <x:v>equals</x:v>
      </x:c>
      <x:c r="H398" t="str">
        <x:f>IF(E398=F398,"PASS","FAIL")</x:f>
        <x:v>PASS</x:v>
      </x:c>
    </x:row>
    <x:row r="399">
      <x:c r="B399" t="str">
        <x:v>A-0369</x:v>
      </x:c>
      <x:c r="C399" t="str">
        <x:v>GATE</x:v>
      </x:c>
      <x:c r="D399" t="str">
        <x:v>release ledger mirrors governing state</x:v>
      </x:c>
      <x:c r="E399" t="str">
        <x:f>'Release Gates'!J375</x:f>
        <x:v>PASS</x:v>
      </x:c>
      <x:c r="F399" t="str">
        <x:f>IF('Release Gates'!C375="PLANNING","PASS",IF('Release Gates'!C375="PHYSICAL","OPEN","BLOCKED"))</x:f>
        <x:v>PASS</x:v>
      </x:c>
      <x:c r="G399" t="str">
        <x:v>equals</x:v>
      </x:c>
      <x:c r="H399" t="str">
        <x:f>IF(E399=F399,"PASS","FAIL")</x:f>
        <x:v>PASS</x:v>
      </x:c>
    </x:row>
    <x:row r="400">
      <x:c r="B400" t="str">
        <x:v>A-0370</x:v>
      </x:c>
      <x:c r="C400" t="str">
        <x:v>GATE</x:v>
      </x:c>
      <x:c r="D400" t="str">
        <x:v>release ledger mirrors governing state</x:v>
      </x:c>
      <x:c r="E400" t="str">
        <x:f>'Release Gates'!J376</x:f>
        <x:v>PASS</x:v>
      </x:c>
      <x:c r="F400" t="str">
        <x:f>IF('Release Gates'!C376="PLANNING","PASS",IF('Release Gates'!C376="PHYSICAL","OPEN","BLOCKED"))</x:f>
        <x:v>PASS</x:v>
      </x:c>
      <x:c r="G400" t="str">
        <x:v>equals</x:v>
      </x:c>
      <x:c r="H400" t="str">
        <x:f>IF(E400=F400,"PASS","FAIL")</x:f>
        <x:v>PASS</x:v>
      </x:c>
    </x:row>
    <x:row r="401">
      <x:c r="B401" t="str">
        <x:v>A-0371</x:v>
      </x:c>
      <x:c r="C401" t="str">
        <x:v>GATE</x:v>
      </x:c>
      <x:c r="D401" t="str">
        <x:v>release ledger mirrors governing state</x:v>
      </x:c>
      <x:c r="E401" t="str">
        <x:f>'Release Gates'!J377</x:f>
        <x:v>PASS</x:v>
      </x:c>
      <x:c r="F401" t="str">
        <x:f>IF('Release Gates'!C377="PLANNING","PASS",IF('Release Gates'!C377="PHYSICAL","OPEN","BLOCKED"))</x:f>
        <x:v>PASS</x:v>
      </x:c>
      <x:c r="G401" t="str">
        <x:v>equals</x:v>
      </x:c>
      <x:c r="H401" t="str">
        <x:f>IF(E401=F401,"PASS","FAIL")</x:f>
        <x:v>PASS</x:v>
      </x:c>
    </x:row>
    <x:row r="402">
      <x:c r="B402" t="str">
        <x:v>A-0372</x:v>
      </x:c>
      <x:c r="C402" t="str">
        <x:v>GATE</x:v>
      </x:c>
      <x:c r="D402" t="str">
        <x:v>release ledger mirrors governing state</x:v>
      </x:c>
      <x:c r="E402" t="str">
        <x:f>'Release Gates'!J378</x:f>
        <x:v>PASS</x:v>
      </x:c>
      <x:c r="F402" t="str">
        <x:f>IF('Release Gates'!C378="PLANNING","PASS",IF('Release Gates'!C378="PHYSICAL","OPEN","BLOCKED"))</x:f>
        <x:v>PASS</x:v>
      </x:c>
      <x:c r="G402" t="str">
        <x:v>equals</x:v>
      </x:c>
      <x:c r="H402" t="str">
        <x:f>IF(E402=F402,"PASS","FAIL")</x:f>
        <x:v>PASS</x:v>
      </x:c>
    </x:row>
    <x:row r="403">
      <x:c r="B403" t="str">
        <x:v>A-0373</x:v>
      </x:c>
      <x:c r="C403" t="str">
        <x:v>GATE</x:v>
      </x:c>
      <x:c r="D403" t="str">
        <x:v>release ledger mirrors governing state</x:v>
      </x:c>
      <x:c r="E403" t="str">
        <x:f>'Release Gates'!J379</x:f>
        <x:v>PASS</x:v>
      </x:c>
      <x:c r="F403" t="str">
        <x:f>IF('Release Gates'!C379="PLANNING","PASS",IF('Release Gates'!C379="PHYSICAL","OPEN","BLOCKED"))</x:f>
        <x:v>PASS</x:v>
      </x:c>
      <x:c r="G403" t="str">
        <x:v>equals</x:v>
      </x:c>
      <x:c r="H403" t="str">
        <x:f>IF(E403=F403,"PASS","FAIL")</x:f>
        <x:v>PASS</x:v>
      </x:c>
    </x:row>
    <x:row r="404">
      <x:c r="B404" t="str">
        <x:v>A-0374</x:v>
      </x:c>
      <x:c r="C404" t="str">
        <x:v>GATE</x:v>
      </x:c>
      <x:c r="D404" t="str">
        <x:v>release ledger mirrors governing state</x:v>
      </x:c>
      <x:c r="E404" t="str">
        <x:f>'Release Gates'!J380</x:f>
        <x:v>PASS</x:v>
      </x:c>
      <x:c r="F404" t="str">
        <x:f>IF('Release Gates'!C380="PLANNING","PASS",IF('Release Gates'!C380="PHYSICAL","OPEN","BLOCKED"))</x:f>
        <x:v>PASS</x:v>
      </x:c>
      <x:c r="G404" t="str">
        <x:v>equals</x:v>
      </x:c>
      <x:c r="H404" t="str">
        <x:f>IF(E404=F404,"PASS","FAIL")</x:f>
        <x:v>PASS</x:v>
      </x:c>
    </x:row>
    <x:row r="405">
      <x:c r="B405" t="str">
        <x:v>A-0375</x:v>
      </x:c>
      <x:c r="C405" t="str">
        <x:v>GATE</x:v>
      </x:c>
      <x:c r="D405" t="str">
        <x:v>release ledger mirrors governing state</x:v>
      </x:c>
      <x:c r="E405" t="str">
        <x:f>'Release Gates'!J381</x:f>
        <x:v>PASS</x:v>
      </x:c>
      <x:c r="F405" t="str">
        <x:f>IF('Release Gates'!C381="PLANNING","PASS",IF('Release Gates'!C381="PHYSICAL","OPEN","BLOCKED"))</x:f>
        <x:v>PASS</x:v>
      </x:c>
      <x:c r="G405" t="str">
        <x:v>equals</x:v>
      </x:c>
      <x:c r="H405" t="str">
        <x:f>IF(E405=F405,"PASS","FAIL")</x:f>
        <x:v>PASS</x:v>
      </x:c>
    </x:row>
    <x:row r="406">
      <x:c r="B406" t="str">
        <x:v>A-0376</x:v>
      </x:c>
      <x:c r="C406" t="str">
        <x:v>GATE</x:v>
      </x:c>
      <x:c r="D406" t="str">
        <x:v>release ledger mirrors governing state</x:v>
      </x:c>
      <x:c r="E406" t="str">
        <x:f>'Release Gates'!J382</x:f>
        <x:v>PASS</x:v>
      </x:c>
      <x:c r="F406" t="str">
        <x:f>IF('Release Gates'!C382="PLANNING","PASS",IF('Release Gates'!C382="PHYSICAL","OPEN","BLOCKED"))</x:f>
        <x:v>PASS</x:v>
      </x:c>
      <x:c r="G406" t="str">
        <x:v>equals</x:v>
      </x:c>
      <x:c r="H406" t="str">
        <x:f>IF(E406=F406,"PASS","FAIL")</x:f>
        <x:v>PASS</x:v>
      </x:c>
    </x:row>
    <x:row r="407">
      <x:c r="B407" t="str">
        <x:v>A-0377</x:v>
      </x:c>
      <x:c r="C407" t="str">
        <x:v>GATE</x:v>
      </x:c>
      <x:c r="D407" t="str">
        <x:v>release ledger mirrors governing state</x:v>
      </x:c>
      <x:c r="E407" t="str">
        <x:f>'Release Gates'!J383</x:f>
        <x:v>PASS</x:v>
      </x:c>
      <x:c r="F407" t="str">
        <x:f>IF('Release Gates'!C383="PLANNING","PASS",IF('Release Gates'!C383="PHYSICAL","OPEN","BLOCKED"))</x:f>
        <x:v>PASS</x:v>
      </x:c>
      <x:c r="G407" t="str">
        <x:v>equals</x:v>
      </x:c>
      <x:c r="H407" t="str">
        <x:f>IF(E407=F407,"PASS","FAIL")</x:f>
        <x:v>PASS</x:v>
      </x:c>
    </x:row>
    <x:row r="408">
      <x:c r="B408" t="str">
        <x:v>A-0378</x:v>
      </x:c>
      <x:c r="C408" t="str">
        <x:v>GATE</x:v>
      </x:c>
      <x:c r="D408" t="str">
        <x:v>release ledger mirrors governing state</x:v>
      </x:c>
      <x:c r="E408" t="str">
        <x:f>'Release Gates'!J384</x:f>
        <x:v>PASS</x:v>
      </x:c>
      <x:c r="F408" t="str">
        <x:f>IF('Release Gates'!C384="PLANNING","PASS",IF('Release Gates'!C384="PHYSICAL","OPEN","BLOCKED"))</x:f>
        <x:v>PASS</x:v>
      </x:c>
      <x:c r="G408" t="str">
        <x:v>equals</x:v>
      </x:c>
      <x:c r="H408" t="str">
        <x:f>IF(E408=F408,"PASS","FAIL")</x:f>
        <x:v>PASS</x:v>
      </x:c>
    </x:row>
    <x:row r="409">
      <x:c r="B409" t="str">
        <x:v>A-0379</x:v>
      </x:c>
      <x:c r="C409" t="str">
        <x:v>GATE</x:v>
      </x:c>
      <x:c r="D409" t="str">
        <x:v>release ledger mirrors governing state</x:v>
      </x:c>
      <x:c r="E409" t="str">
        <x:f>'Release Gates'!J385</x:f>
        <x:v>PASS</x:v>
      </x:c>
      <x:c r="F409" t="str">
        <x:f>IF('Release Gates'!C385="PLANNING","PASS",IF('Release Gates'!C385="PHYSICAL","OPEN","BLOCKED"))</x:f>
        <x:v>PASS</x:v>
      </x:c>
      <x:c r="G409" t="str">
        <x:v>equals</x:v>
      </x:c>
      <x:c r="H409" t="str">
        <x:f>IF(E409=F409,"PASS","FAIL")</x:f>
        <x:v>PASS</x:v>
      </x:c>
    </x:row>
    <x:row r="410">
      <x:c r="B410" t="str">
        <x:v>A-0380</x:v>
      </x:c>
      <x:c r="C410" t="str">
        <x:v>GATE</x:v>
      </x:c>
      <x:c r="D410" t="str">
        <x:v>release ledger mirrors governing state</x:v>
      </x:c>
      <x:c r="E410" t="str">
        <x:f>'Release Gates'!J386</x:f>
        <x:v>PASS</x:v>
      </x:c>
      <x:c r="F410" t="str">
        <x:f>IF('Release Gates'!C386="PLANNING","PASS",IF('Release Gates'!C386="PHYSICAL","OPEN","BLOCKED"))</x:f>
        <x:v>PASS</x:v>
      </x:c>
      <x:c r="G410" t="str">
        <x:v>equals</x:v>
      </x:c>
      <x:c r="H410" t="str">
        <x:f>IF(E410=F410,"PASS","FAIL")</x:f>
        <x:v>PASS</x:v>
      </x:c>
    </x:row>
    <x:row r="411">
      <x:c r="B411" t="str">
        <x:v>A-0381</x:v>
      </x:c>
      <x:c r="C411" t="str">
        <x:v>GATE</x:v>
      </x:c>
      <x:c r="D411" t="str">
        <x:v>release ledger mirrors governing state</x:v>
      </x:c>
      <x:c r="E411" t="str">
        <x:f>'Release Gates'!J387</x:f>
        <x:v>PASS</x:v>
      </x:c>
      <x:c r="F411" t="str">
        <x:f>IF('Release Gates'!C387="PLANNING","PASS",IF('Release Gates'!C387="PHYSICAL","OPEN","BLOCKED"))</x:f>
        <x:v>PASS</x:v>
      </x:c>
      <x:c r="G411" t="str">
        <x:v>equals</x:v>
      </x:c>
      <x:c r="H411" t="str">
        <x:f>IF(E411=F411,"PASS","FAIL")</x:f>
        <x:v>PASS</x:v>
      </x:c>
    </x:row>
    <x:row r="412">
      <x:c r="B412" t="str">
        <x:v>A-0382</x:v>
      </x:c>
      <x:c r="C412" t="str">
        <x:v>GATE</x:v>
      </x:c>
      <x:c r="D412" t="str">
        <x:v>release ledger mirrors governing state</x:v>
      </x:c>
      <x:c r="E412" t="str">
        <x:f>'Release Gates'!J388</x:f>
        <x:v>PASS</x:v>
      </x:c>
      <x:c r="F412" t="str">
        <x:f>IF('Release Gates'!C388="PLANNING","PASS",IF('Release Gates'!C388="PHYSICAL","OPEN","BLOCKED"))</x:f>
        <x:v>PASS</x:v>
      </x:c>
      <x:c r="G412" t="str">
        <x:v>equals</x:v>
      </x:c>
      <x:c r="H412" t="str">
        <x:f>IF(E412=F412,"PASS","FAIL")</x:f>
        <x:v>PASS</x:v>
      </x:c>
    </x:row>
    <x:row r="413">
      <x:c r="B413" t="str">
        <x:v>A-0383</x:v>
      </x:c>
      <x:c r="C413" t="str">
        <x:v>GATE</x:v>
      </x:c>
      <x:c r="D413" t="str">
        <x:v>release ledger mirrors governing state</x:v>
      </x:c>
      <x:c r="E413" t="str">
        <x:f>'Release Gates'!J389</x:f>
        <x:v>PASS</x:v>
      </x:c>
      <x:c r="F413" t="str">
        <x:f>IF('Release Gates'!C389="PLANNING","PASS",IF('Release Gates'!C389="PHYSICAL","OPEN","BLOCKED"))</x:f>
        <x:v>PASS</x:v>
      </x:c>
      <x:c r="G413" t="str">
        <x:v>equals</x:v>
      </x:c>
      <x:c r="H413" t="str">
        <x:f>IF(E413=F413,"PASS","FAIL")</x:f>
        <x:v>PASS</x:v>
      </x:c>
    </x:row>
    <x:row r="414">
      <x:c r="B414" t="str">
        <x:v>A-0384</x:v>
      </x:c>
      <x:c r="C414" t="str">
        <x:v>GATE</x:v>
      </x:c>
      <x:c r="D414" t="str">
        <x:v>release ledger mirrors governing state</x:v>
      </x:c>
      <x:c r="E414" t="str">
        <x:f>'Release Gates'!J390</x:f>
        <x:v>PASS</x:v>
      </x:c>
      <x:c r="F414" t="str">
        <x:f>IF('Release Gates'!C390="PLANNING","PASS",IF('Release Gates'!C390="PHYSICAL","OPEN","BLOCKED"))</x:f>
        <x:v>PASS</x:v>
      </x:c>
      <x:c r="G414" t="str">
        <x:v>equals</x:v>
      </x:c>
      <x:c r="H414" t="str">
        <x:f>IF(E414=F414,"PASS","FAIL")</x:f>
        <x:v>PASS</x:v>
      </x:c>
    </x:row>
    <x:row r="415">
      <x:c r="B415" t="str">
        <x:v>A-0385</x:v>
      </x:c>
      <x:c r="C415" t="str">
        <x:v>GATE</x:v>
      </x:c>
      <x:c r="D415" t="str">
        <x:v>release ledger mirrors governing state</x:v>
      </x:c>
      <x:c r="E415" t="str">
        <x:f>'Release Gates'!J391</x:f>
        <x:v>PASS</x:v>
      </x:c>
      <x:c r="F415" t="str">
        <x:f>IF('Release Gates'!C391="PLANNING","PASS",IF('Release Gates'!C391="PHYSICAL","OPEN","BLOCKED"))</x:f>
        <x:v>PASS</x:v>
      </x:c>
      <x:c r="G415" t="str">
        <x:v>equals</x:v>
      </x:c>
      <x:c r="H415" t="str">
        <x:f>IF(E415=F415,"PASS","FAIL")</x:f>
        <x:v>PASS</x:v>
      </x:c>
    </x:row>
    <x:row r="416">
      <x:c r="B416" t="str">
        <x:v>A-0386</x:v>
      </x:c>
      <x:c r="C416" t="str">
        <x:v>GATE</x:v>
      </x:c>
      <x:c r="D416" t="str">
        <x:v>release ledger mirrors governing state</x:v>
      </x:c>
      <x:c r="E416" t="str">
        <x:f>'Release Gates'!J392</x:f>
        <x:v>PASS</x:v>
      </x:c>
      <x:c r="F416" t="str">
        <x:f>IF('Release Gates'!C392="PLANNING","PASS",IF('Release Gates'!C392="PHYSICAL","OPEN","BLOCKED"))</x:f>
        <x:v>PASS</x:v>
      </x:c>
      <x:c r="G416" t="str">
        <x:v>equals</x:v>
      </x:c>
      <x:c r="H416" t="str">
        <x:f>IF(E416=F416,"PASS","FAIL")</x:f>
        <x:v>PASS</x:v>
      </x:c>
    </x:row>
    <x:row r="417">
      <x:c r="B417" t="str">
        <x:v>A-0387</x:v>
      </x:c>
      <x:c r="C417" t="str">
        <x:v>GATE</x:v>
      </x:c>
      <x:c r="D417" t="str">
        <x:v>release ledger mirrors governing state</x:v>
      </x:c>
      <x:c r="E417" t="str">
        <x:f>'Release Gates'!J393</x:f>
        <x:v>PASS</x:v>
      </x:c>
      <x:c r="F417" t="str">
        <x:f>IF('Release Gates'!C393="PLANNING","PASS",IF('Release Gates'!C393="PHYSICAL","OPEN","BLOCKED"))</x:f>
        <x:v>PASS</x:v>
      </x:c>
      <x:c r="G417" t="str">
        <x:v>equals</x:v>
      </x:c>
      <x:c r="H417" t="str">
        <x:f>IF(E417=F417,"PASS","FAIL")</x:f>
        <x:v>PASS</x:v>
      </x:c>
    </x:row>
    <x:row r="418">
      <x:c r="B418" t="str">
        <x:v>A-0388</x:v>
      </x:c>
      <x:c r="C418" t="str">
        <x:v>GATE</x:v>
      </x:c>
      <x:c r="D418" t="str">
        <x:v>release ledger mirrors governing state</x:v>
      </x:c>
      <x:c r="E418" t="str">
        <x:f>'Release Gates'!J394</x:f>
        <x:v>PASS</x:v>
      </x:c>
      <x:c r="F418" t="str">
        <x:f>IF('Release Gates'!C394="PLANNING","PASS",IF('Release Gates'!C394="PHYSICAL","OPEN","BLOCKED"))</x:f>
        <x:v>PASS</x:v>
      </x:c>
      <x:c r="G418" t="str">
        <x:v>equals</x:v>
      </x:c>
      <x:c r="H418" t="str">
        <x:f>IF(E418=F418,"PASS","FAIL")</x:f>
        <x:v>PASS</x:v>
      </x:c>
    </x:row>
    <x:row r="419">
      <x:c r="B419" t="str">
        <x:v>A-0389</x:v>
      </x:c>
      <x:c r="C419" t="str">
        <x:v>GATE</x:v>
      </x:c>
      <x:c r="D419" t="str">
        <x:v>release ledger mirrors governing state</x:v>
      </x:c>
      <x:c r="E419" t="str">
        <x:f>'Release Gates'!J395</x:f>
        <x:v>PASS</x:v>
      </x:c>
      <x:c r="F419" t="str">
        <x:f>IF('Release Gates'!C395="PLANNING","PASS",IF('Release Gates'!C395="PHYSICAL","OPEN","BLOCKED"))</x:f>
        <x:v>PASS</x:v>
      </x:c>
      <x:c r="G419" t="str">
        <x:v>equals</x:v>
      </x:c>
      <x:c r="H419" t="str">
        <x:f>IF(E419=F419,"PASS","FAIL")</x:f>
        <x:v>PASS</x:v>
      </x:c>
    </x:row>
    <x:row r="420">
      <x:c r="B420" t="str">
        <x:v>A-0390</x:v>
      </x:c>
      <x:c r="C420" t="str">
        <x:v>GATE</x:v>
      </x:c>
      <x:c r="D420" t="str">
        <x:v>release ledger mirrors governing state</x:v>
      </x:c>
      <x:c r="E420" t="str">
        <x:f>'Release Gates'!J396</x:f>
        <x:v>PASS</x:v>
      </x:c>
      <x:c r="F420" t="str">
        <x:f>IF('Release Gates'!C396="PLANNING","PASS",IF('Release Gates'!C396="PHYSICAL","OPEN","BLOCKED"))</x:f>
        <x:v>PASS</x:v>
      </x:c>
      <x:c r="G420" t="str">
        <x:v>equals</x:v>
      </x:c>
      <x:c r="H420" t="str">
        <x:f>IF(E420=F420,"PASS","FAIL")</x:f>
        <x:v>PASS</x:v>
      </x:c>
    </x:row>
    <x:row r="421">
      <x:c r="B421" t="str">
        <x:v>A-0391</x:v>
      </x:c>
      <x:c r="C421" t="str">
        <x:v>GATE</x:v>
      </x:c>
      <x:c r="D421" t="str">
        <x:v>release ledger mirrors governing state</x:v>
      </x:c>
      <x:c r="E421" t="str">
        <x:f>'Release Gates'!J397</x:f>
        <x:v>PASS</x:v>
      </x:c>
      <x:c r="F421" t="str">
        <x:f>IF('Release Gates'!C397="PLANNING","PASS",IF('Release Gates'!C397="PHYSICAL","OPEN","BLOCKED"))</x:f>
        <x:v>PASS</x:v>
      </x:c>
      <x:c r="G421" t="str">
        <x:v>equals</x:v>
      </x:c>
      <x:c r="H421" t="str">
        <x:f>IF(E421=F421,"PASS","FAIL")</x:f>
        <x:v>PASS</x:v>
      </x:c>
    </x:row>
    <x:row r="422">
      <x:c r="B422" t="str">
        <x:v>A-0392</x:v>
      </x:c>
      <x:c r="C422" t="str">
        <x:v>GATE</x:v>
      </x:c>
      <x:c r="D422" t="str">
        <x:v>release ledger mirrors governing state</x:v>
      </x:c>
      <x:c r="E422" t="str">
        <x:f>'Release Gates'!J398</x:f>
        <x:v>PASS</x:v>
      </x:c>
      <x:c r="F422" t="str">
        <x:f>IF('Release Gates'!C398="PLANNING","PASS",IF('Release Gates'!C398="PHYSICAL","OPEN","BLOCKED"))</x:f>
        <x:v>PASS</x:v>
      </x:c>
      <x:c r="G422" t="str">
        <x:v>equals</x:v>
      </x:c>
      <x:c r="H422" t="str">
        <x:f>IF(E422=F422,"PASS","FAIL")</x:f>
        <x:v>PASS</x:v>
      </x:c>
    </x:row>
    <x:row r="423">
      <x:c r="B423" t="str">
        <x:v>A-0393</x:v>
      </x:c>
      <x:c r="C423" t="str">
        <x:v>GATE</x:v>
      </x:c>
      <x:c r="D423" t="str">
        <x:v>release ledger mirrors governing state</x:v>
      </x:c>
      <x:c r="E423" t="str">
        <x:f>'Release Gates'!J399</x:f>
        <x:v>PASS</x:v>
      </x:c>
      <x:c r="F423" t="str">
        <x:f>IF('Release Gates'!C399="PLANNING","PASS",IF('Release Gates'!C399="PHYSICAL","OPEN","BLOCKED"))</x:f>
        <x:v>PASS</x:v>
      </x:c>
      <x:c r="G423" t="str">
        <x:v>equals</x:v>
      </x:c>
      <x:c r="H423" t="str">
        <x:f>IF(E423=F423,"PASS","FAIL")</x:f>
        <x:v>PASS</x:v>
      </x:c>
    </x:row>
    <x:row r="424">
      <x:c r="B424" t="str">
        <x:v>A-0394</x:v>
      </x:c>
      <x:c r="C424" t="str">
        <x:v>GATE</x:v>
      </x:c>
      <x:c r="D424" t="str">
        <x:v>release ledger mirrors governing state</x:v>
      </x:c>
      <x:c r="E424" t="str">
        <x:f>'Release Gates'!J400</x:f>
        <x:v>PASS</x:v>
      </x:c>
      <x:c r="F424" t="str">
        <x:f>IF('Release Gates'!C400="PLANNING","PASS",IF('Release Gates'!C400="PHYSICAL","OPEN","BLOCKED"))</x:f>
        <x:v>PASS</x:v>
      </x:c>
      <x:c r="G424" t="str">
        <x:v>equals</x:v>
      </x:c>
      <x:c r="H424" t="str">
        <x:f>IF(E424=F424,"PASS","FAIL")</x:f>
        <x:v>PASS</x:v>
      </x:c>
    </x:row>
    <x:row r="425">
      <x:c r="B425" t="str">
        <x:v>A-0395</x:v>
      </x:c>
      <x:c r="C425" t="str">
        <x:v>GATE</x:v>
      </x:c>
      <x:c r="D425" t="str">
        <x:v>release ledger mirrors governing state</x:v>
      </x:c>
      <x:c r="E425" t="str">
        <x:f>'Release Gates'!J401</x:f>
        <x:v>PASS</x:v>
      </x:c>
      <x:c r="F425" t="str">
        <x:f>IF('Release Gates'!C401="PLANNING","PASS",IF('Release Gates'!C401="PHYSICAL","OPEN","BLOCKED"))</x:f>
        <x:v>PASS</x:v>
      </x:c>
      <x:c r="G425" t="str">
        <x:v>equals</x:v>
      </x:c>
      <x:c r="H425" t="str">
        <x:f>IF(E425=F425,"PASS","FAIL")</x:f>
        <x:v>PASS</x:v>
      </x:c>
    </x:row>
    <x:row r="426">
      <x:c r="B426" t="str">
        <x:v>A-0396</x:v>
      </x:c>
      <x:c r="C426" t="str">
        <x:v>GATE</x:v>
      </x:c>
      <x:c r="D426" t="str">
        <x:v>release ledger mirrors governing state</x:v>
      </x:c>
      <x:c r="E426" t="str">
        <x:f>'Release Gates'!J402</x:f>
        <x:v>PASS</x:v>
      </x:c>
      <x:c r="F426" t="str">
        <x:f>IF('Release Gates'!C402="PLANNING","PASS",IF('Release Gates'!C402="PHYSICAL","OPEN","BLOCKED"))</x:f>
        <x:v>PASS</x:v>
      </x:c>
      <x:c r="G426" t="str">
        <x:v>equals</x:v>
      </x:c>
      <x:c r="H426" t="str">
        <x:f>IF(E426=F426,"PASS","FAIL")</x:f>
        <x:v>PASS</x:v>
      </x:c>
    </x:row>
    <x:row r="427">
      <x:c r="B427" t="str">
        <x:v>A-0397</x:v>
      </x:c>
      <x:c r="C427" t="str">
        <x:v>GATE</x:v>
      </x:c>
      <x:c r="D427" t="str">
        <x:v>release ledger mirrors governing state</x:v>
      </x:c>
      <x:c r="E427" t="str">
        <x:f>'Release Gates'!J403</x:f>
        <x:v>PASS</x:v>
      </x:c>
      <x:c r="F427" t="str">
        <x:f>IF('Release Gates'!C403="PLANNING","PASS",IF('Release Gates'!C403="PHYSICAL","OPEN","BLOCKED"))</x:f>
        <x:v>PASS</x:v>
      </x:c>
      <x:c r="G427" t="str">
        <x:v>equals</x:v>
      </x:c>
      <x:c r="H427" t="str">
        <x:f>IF(E427=F427,"PASS","FAIL")</x:f>
        <x:v>PASS</x:v>
      </x:c>
    </x:row>
    <x:row r="428">
      <x:c r="B428" t="str">
        <x:v>A-0398</x:v>
      </x:c>
      <x:c r="C428" t="str">
        <x:v>GATE</x:v>
      </x:c>
      <x:c r="D428" t="str">
        <x:v>release ledger mirrors governing state</x:v>
      </x:c>
      <x:c r="E428" t="str">
        <x:f>'Release Gates'!J404</x:f>
        <x:v>PASS</x:v>
      </x:c>
      <x:c r="F428" t="str">
        <x:f>IF('Release Gates'!C404="PLANNING","PASS",IF('Release Gates'!C404="PHYSICAL","OPEN","BLOCKED"))</x:f>
        <x:v>PASS</x:v>
      </x:c>
      <x:c r="G428" t="str">
        <x:v>equals</x:v>
      </x:c>
      <x:c r="H428" t="str">
        <x:f>IF(E428=F428,"PASS","FAIL")</x:f>
        <x:v>PASS</x:v>
      </x:c>
    </x:row>
    <x:row r="429">
      <x:c r="B429" t="str">
        <x:v>A-0399</x:v>
      </x:c>
      <x:c r="C429" t="str">
        <x:v>GATE</x:v>
      </x:c>
      <x:c r="D429" t="str">
        <x:v>release ledger mirrors governing state</x:v>
      </x:c>
      <x:c r="E429" t="str">
        <x:f>'Release Gates'!J405</x:f>
        <x:v>PASS</x:v>
      </x:c>
      <x:c r="F429" t="str">
        <x:f>IF('Release Gates'!C405="PLANNING","PASS",IF('Release Gates'!C405="PHYSICAL","OPEN","BLOCKED"))</x:f>
        <x:v>PASS</x:v>
      </x:c>
      <x:c r="G429" t="str">
        <x:v>equals</x:v>
      </x:c>
      <x:c r="H429" t="str">
        <x:f>IF(E429=F429,"PASS","FAIL")</x:f>
        <x:v>PASS</x:v>
      </x:c>
    </x:row>
    <x:row r="430">
      <x:c r="B430" t="str">
        <x:v>A-0400</x:v>
      </x:c>
      <x:c r="C430" t="str">
        <x:v>GATE</x:v>
      </x:c>
      <x:c r="D430" t="str">
        <x:v>release ledger mirrors governing state</x:v>
      </x:c>
      <x:c r="E430" t="str">
        <x:f>'Release Gates'!J406</x:f>
        <x:v>PASS</x:v>
      </x:c>
      <x:c r="F430" t="str">
        <x:f>IF('Release Gates'!C406="PLANNING","PASS",IF('Release Gates'!C406="PHYSICAL","OPEN","BLOCKED"))</x:f>
        <x:v>PASS</x:v>
      </x:c>
      <x:c r="G430" t="str">
        <x:v>equals</x:v>
      </x:c>
      <x:c r="H430" t="str">
        <x:f>IF(E430=F430,"PASS","FAIL")</x:f>
        <x:v>PASS</x:v>
      </x:c>
    </x:row>
    <x:row r="431">
      <x:c r="B431" t="str">
        <x:v>A-0401</x:v>
      </x:c>
      <x:c r="C431" t="str">
        <x:v>GATE</x:v>
      </x:c>
      <x:c r="D431" t="str">
        <x:v>release ledger mirrors governing state</x:v>
      </x:c>
      <x:c r="E431" t="str">
        <x:f>'Release Gates'!J407</x:f>
        <x:v>PASS</x:v>
      </x:c>
      <x:c r="F431" t="str">
        <x:f>IF('Release Gates'!C407="PLANNING","PASS",IF('Release Gates'!C407="PHYSICAL","OPEN","BLOCKED"))</x:f>
        <x:v>PASS</x:v>
      </x:c>
      <x:c r="G431" t="str">
        <x:v>equals</x:v>
      </x:c>
      <x:c r="H431" t="str">
        <x:f>IF(E431=F431,"PASS","FAIL")</x:f>
        <x:v>PASS</x:v>
      </x:c>
    </x:row>
    <x:row r="432">
      <x:c r="B432" t="str">
        <x:v>A-0402</x:v>
      </x:c>
      <x:c r="C432" t="str">
        <x:v>GATE</x:v>
      </x:c>
      <x:c r="D432" t="str">
        <x:v>release ledger mirrors governing state</x:v>
      </x:c>
      <x:c r="E432" t="str">
        <x:f>'Release Gates'!J408</x:f>
        <x:v>PASS</x:v>
      </x:c>
      <x:c r="F432" t="str">
        <x:f>IF('Release Gates'!C408="PLANNING","PASS",IF('Release Gates'!C408="PHYSICAL","OPEN","BLOCKED"))</x:f>
        <x:v>PASS</x:v>
      </x:c>
      <x:c r="G432" t="str">
        <x:v>equals</x:v>
      </x:c>
      <x:c r="H432" t="str">
        <x:f>IF(E432=F432,"PASS","FAIL")</x:f>
        <x:v>PASS</x:v>
      </x:c>
    </x:row>
    <x:row r="433">
      <x:c r="B433" t="str">
        <x:v>A-0403</x:v>
      </x:c>
      <x:c r="C433" t="str">
        <x:v>GATE</x:v>
      </x:c>
      <x:c r="D433" t="str">
        <x:v>release ledger mirrors governing state</x:v>
      </x:c>
      <x:c r="E433" t="str">
        <x:f>'Release Gates'!J409</x:f>
        <x:v>PASS</x:v>
      </x:c>
      <x:c r="F433" t="str">
        <x:f>IF('Release Gates'!C409="PLANNING","PASS",IF('Release Gates'!C409="PHYSICAL","OPEN","BLOCKED"))</x:f>
        <x:v>PASS</x:v>
      </x:c>
      <x:c r="G433" t="str">
        <x:v>equals</x:v>
      </x:c>
      <x:c r="H433" t="str">
        <x:f>IF(E433=F433,"PASS","FAIL")</x:f>
        <x:v>PASS</x:v>
      </x:c>
    </x:row>
    <x:row r="434">
      <x:c r="B434" t="str">
        <x:v>A-0404</x:v>
      </x:c>
      <x:c r="C434" t="str">
        <x:v>GATE</x:v>
      </x:c>
      <x:c r="D434" t="str">
        <x:v>release ledger mirrors governing state</x:v>
      </x:c>
      <x:c r="E434" t="str">
        <x:f>'Release Gates'!J410</x:f>
        <x:v>PASS</x:v>
      </x:c>
      <x:c r="F434" t="str">
        <x:f>IF('Release Gates'!C410="PLANNING","PASS",IF('Release Gates'!C410="PHYSICAL","OPEN","BLOCKED"))</x:f>
        <x:v>PASS</x:v>
      </x:c>
      <x:c r="G434" t="str">
        <x:v>equals</x:v>
      </x:c>
      <x:c r="H434" t="str">
        <x:f>IF(E434=F434,"PASS","FAIL")</x:f>
        <x:v>PASS</x:v>
      </x:c>
    </x:row>
    <x:row r="435">
      <x:c r="B435" t="str">
        <x:v>A-0405</x:v>
      </x:c>
      <x:c r="C435" t="str">
        <x:v>GATE</x:v>
      </x:c>
      <x:c r="D435" t="str">
        <x:v>release ledger mirrors governing state</x:v>
      </x:c>
      <x:c r="E435" t="str">
        <x:f>'Release Gates'!J411</x:f>
        <x:v>PASS</x:v>
      </x:c>
      <x:c r="F435" t="str">
        <x:f>IF('Release Gates'!C411="PLANNING","PASS",IF('Release Gates'!C411="PHYSICAL","OPEN","BLOCKED"))</x:f>
        <x:v>PASS</x:v>
      </x:c>
      <x:c r="G435" t="str">
        <x:v>equals</x:v>
      </x:c>
      <x:c r="H435" t="str">
        <x:f>IF(E435=F435,"PASS","FAIL")</x:f>
        <x:v>PASS</x:v>
      </x:c>
    </x:row>
    <x:row r="436">
      <x:c r="B436" t="str">
        <x:v>A-0406</x:v>
      </x:c>
      <x:c r="C436" t="str">
        <x:v>GATE</x:v>
      </x:c>
      <x:c r="D436" t="str">
        <x:v>release ledger mirrors governing state</x:v>
      </x:c>
      <x:c r="E436" t="str">
        <x:f>'Release Gates'!J412</x:f>
        <x:v>PASS</x:v>
      </x:c>
      <x:c r="F436" t="str">
        <x:f>IF('Release Gates'!C412="PLANNING","PASS",IF('Release Gates'!C412="PHYSICAL","OPEN","BLOCKED"))</x:f>
        <x:v>PASS</x:v>
      </x:c>
      <x:c r="G436" t="str">
        <x:v>equals</x:v>
      </x:c>
      <x:c r="H436" t="str">
        <x:f>IF(E436=F436,"PASS","FAIL")</x:f>
        <x:v>PASS</x:v>
      </x:c>
    </x:row>
    <x:row r="437">
      <x:c r="B437" t="str">
        <x:v>A-0407</x:v>
      </x:c>
      <x:c r="C437" t="str">
        <x:v>GATE</x:v>
      </x:c>
      <x:c r="D437" t="str">
        <x:v>release ledger mirrors governing state</x:v>
      </x:c>
      <x:c r="E437" t="str">
        <x:f>'Release Gates'!J413</x:f>
        <x:v>PASS</x:v>
      </x:c>
      <x:c r="F437" t="str">
        <x:f>IF('Release Gates'!C413="PLANNING","PASS",IF('Release Gates'!C413="PHYSICAL","OPEN","BLOCKED"))</x:f>
        <x:v>PASS</x:v>
      </x:c>
      <x:c r="G437" t="str">
        <x:v>equals</x:v>
      </x:c>
      <x:c r="H437" t="str">
        <x:f>IF(E437=F437,"PASS","FAIL")</x:f>
        <x:v>PASS</x:v>
      </x:c>
    </x:row>
    <x:row r="438">
      <x:c r="B438" t="str">
        <x:v>A-0408</x:v>
      </x:c>
      <x:c r="C438" t="str">
        <x:v>GATE</x:v>
      </x:c>
      <x:c r="D438" t="str">
        <x:v>release ledger mirrors governing state</x:v>
      </x:c>
      <x:c r="E438" t="str">
        <x:f>'Release Gates'!J414</x:f>
        <x:v>PASS</x:v>
      </x:c>
      <x:c r="F438" t="str">
        <x:f>IF('Release Gates'!C414="PLANNING","PASS",IF('Release Gates'!C414="PHYSICAL","OPEN","BLOCKED"))</x:f>
        <x:v>PASS</x:v>
      </x:c>
      <x:c r="G438" t="str">
        <x:v>equals</x:v>
      </x:c>
      <x:c r="H438" t="str">
        <x:f>IF(E438=F438,"PASS","FAIL")</x:f>
        <x:v>PASS</x:v>
      </x:c>
    </x:row>
    <x:row r="439">
      <x:c r="B439" t="str">
        <x:v>A-0409</x:v>
      </x:c>
      <x:c r="C439" t="str">
        <x:v>GATE</x:v>
      </x:c>
      <x:c r="D439" t="str">
        <x:v>release ledger mirrors governing state</x:v>
      </x:c>
      <x:c r="E439" t="str">
        <x:f>'Release Gates'!J415</x:f>
        <x:v>PASS</x:v>
      </x:c>
      <x:c r="F439" t="str">
        <x:f>IF('Release Gates'!C415="PLANNING","PASS",IF('Release Gates'!C415="PHYSICAL","OPEN","BLOCKED"))</x:f>
        <x:v>PASS</x:v>
      </x:c>
      <x:c r="G439" t="str">
        <x:v>equals</x:v>
      </x:c>
      <x:c r="H439" t="str">
        <x:f>IF(E439=F439,"PASS","FAIL")</x:f>
        <x:v>PASS</x:v>
      </x:c>
    </x:row>
    <x:row r="440">
      <x:c r="B440" t="str">
        <x:v>A-0410</x:v>
      </x:c>
      <x:c r="C440" t="str">
        <x:v>GATE</x:v>
      </x:c>
      <x:c r="D440" t="str">
        <x:v>release ledger mirrors governing state</x:v>
      </x:c>
      <x:c r="E440" t="str">
        <x:f>'Release Gates'!J416</x:f>
        <x:v>PASS</x:v>
      </x:c>
      <x:c r="F440" t="str">
        <x:f>IF('Release Gates'!C416="PLANNING","PASS",IF('Release Gates'!C416="PHYSICAL","OPEN","BLOCKED"))</x:f>
        <x:v>PASS</x:v>
      </x:c>
      <x:c r="G440" t="str">
        <x:v>equals</x:v>
      </x:c>
      <x:c r="H440" t="str">
        <x:f>IF(E440=F440,"PASS","FAIL")</x:f>
        <x:v>PASS</x:v>
      </x:c>
    </x:row>
    <x:row r="441">
      <x:c r="B441" t="str">
        <x:v>A-0411</x:v>
      </x:c>
      <x:c r="C441" t="str">
        <x:v>GATE</x:v>
      </x:c>
      <x:c r="D441" t="str">
        <x:v>release ledger mirrors governing state</x:v>
      </x:c>
      <x:c r="E441" t="str">
        <x:f>'Release Gates'!J417</x:f>
        <x:v>PASS</x:v>
      </x:c>
      <x:c r="F441" t="str">
        <x:f>IF('Release Gates'!C417="PLANNING","PASS",IF('Release Gates'!C417="PHYSICAL","OPEN","BLOCKED"))</x:f>
        <x:v>PASS</x:v>
      </x:c>
      <x:c r="G441" t="str">
        <x:v>equals</x:v>
      </x:c>
      <x:c r="H441" t="str">
        <x:f>IF(E441=F441,"PASS","FAIL")</x:f>
        <x:v>PASS</x:v>
      </x:c>
    </x:row>
    <x:row r="442">
      <x:c r="B442" t="str">
        <x:v>A-0412</x:v>
      </x:c>
      <x:c r="C442" t="str">
        <x:v>GATE</x:v>
      </x:c>
      <x:c r="D442" t="str">
        <x:v>release ledger mirrors governing state</x:v>
      </x:c>
      <x:c r="E442" t="str">
        <x:f>'Release Gates'!J418</x:f>
        <x:v>PASS</x:v>
      </x:c>
      <x:c r="F442" t="str">
        <x:f>IF('Release Gates'!C418="PLANNING","PASS",IF('Release Gates'!C418="PHYSICAL","OPEN","BLOCKED"))</x:f>
        <x:v>PASS</x:v>
      </x:c>
      <x:c r="G442" t="str">
        <x:v>equals</x:v>
      </x:c>
      <x:c r="H442" t="str">
        <x:f>IF(E442=F442,"PASS","FAIL")</x:f>
        <x:v>PASS</x:v>
      </x:c>
    </x:row>
    <x:row r="443">
      <x:c r="B443" t="str">
        <x:v>A-0413</x:v>
      </x:c>
      <x:c r="C443" t="str">
        <x:v>GATE</x:v>
      </x:c>
      <x:c r="D443" t="str">
        <x:v>release ledger mirrors governing state</x:v>
      </x:c>
      <x:c r="E443" t="str">
        <x:f>'Release Gates'!J419</x:f>
        <x:v>PASS</x:v>
      </x:c>
      <x:c r="F443" t="str">
        <x:f>IF('Release Gates'!C419="PLANNING","PASS",IF('Release Gates'!C419="PHYSICAL","OPEN","BLOCKED"))</x:f>
        <x:v>PASS</x:v>
      </x:c>
      <x:c r="G443" t="str">
        <x:v>equals</x:v>
      </x:c>
      <x:c r="H443" t="str">
        <x:f>IF(E443=F443,"PASS","FAIL")</x:f>
        <x:v>PASS</x:v>
      </x:c>
    </x:row>
    <x:row r="444">
      <x:c r="B444" t="str">
        <x:v>A-0414</x:v>
      </x:c>
      <x:c r="C444" t="str">
        <x:v>GATE</x:v>
      </x:c>
      <x:c r="D444" t="str">
        <x:v>release ledger mirrors governing state</x:v>
      </x:c>
      <x:c r="E444" t="str">
        <x:f>'Release Gates'!J420</x:f>
        <x:v>PASS</x:v>
      </x:c>
      <x:c r="F444" t="str">
        <x:f>IF('Release Gates'!C420="PLANNING","PASS",IF('Release Gates'!C420="PHYSICAL","OPEN","BLOCKED"))</x:f>
        <x:v>PASS</x:v>
      </x:c>
      <x:c r="G444" t="str">
        <x:v>equals</x:v>
      </x:c>
      <x:c r="H444" t="str">
        <x:f>IF(E444=F444,"PASS","FAIL")</x:f>
        <x:v>PASS</x:v>
      </x:c>
    </x:row>
    <x:row r="445">
      <x:c r="B445" t="str">
        <x:v>A-0415</x:v>
      </x:c>
      <x:c r="C445" t="str">
        <x:v>GATE</x:v>
      </x:c>
      <x:c r="D445" t="str">
        <x:v>release ledger mirrors governing state</x:v>
      </x:c>
      <x:c r="E445" t="str">
        <x:f>'Release Gates'!J421</x:f>
        <x:v>PASS</x:v>
      </x:c>
      <x:c r="F445" t="str">
        <x:f>IF('Release Gates'!C421="PLANNING","PASS",IF('Release Gates'!C421="PHYSICAL","OPEN","BLOCKED"))</x:f>
        <x:v>PASS</x:v>
      </x:c>
      <x:c r="G445" t="str">
        <x:v>equals</x:v>
      </x:c>
      <x:c r="H445" t="str">
        <x:f>IF(E445=F445,"PASS","FAIL")</x:f>
        <x:v>PASS</x:v>
      </x:c>
    </x:row>
    <x:row r="446">
      <x:c r="B446" t="str">
        <x:v>A-0416</x:v>
      </x:c>
      <x:c r="C446" t="str">
        <x:v>GATE</x:v>
      </x:c>
      <x:c r="D446" t="str">
        <x:v>release ledger mirrors governing state</x:v>
      </x:c>
      <x:c r="E446" t="str">
        <x:f>'Release Gates'!J422</x:f>
        <x:v>PASS</x:v>
      </x:c>
      <x:c r="F446" t="str">
        <x:f>IF('Release Gates'!C422="PLANNING","PASS",IF('Release Gates'!C422="PHYSICAL","OPEN","BLOCKED"))</x:f>
        <x:v>PASS</x:v>
      </x:c>
      <x:c r="G446" t="str">
        <x:v>equals</x:v>
      </x:c>
      <x:c r="H446" t="str">
        <x:f>IF(E446=F446,"PASS","FAIL")</x:f>
        <x:v>PASS</x:v>
      </x:c>
    </x:row>
    <x:row r="447">
      <x:c r="B447" t="str">
        <x:v>A-0417</x:v>
      </x:c>
      <x:c r="C447" t="str">
        <x:v>GATE</x:v>
      </x:c>
      <x:c r="D447" t="str">
        <x:v>release ledger mirrors governing state</x:v>
      </x:c>
      <x:c r="E447" t="str">
        <x:f>'Release Gates'!J423</x:f>
        <x:v>PASS</x:v>
      </x:c>
      <x:c r="F447" t="str">
        <x:f>IF('Release Gates'!C423="PLANNING","PASS",IF('Release Gates'!C423="PHYSICAL","OPEN","BLOCKED"))</x:f>
        <x:v>PASS</x:v>
      </x:c>
      <x:c r="G447" t="str">
        <x:v>equals</x:v>
      </x:c>
      <x:c r="H447" t="str">
        <x:f>IF(E447=F447,"PASS","FAIL")</x:f>
        <x:v>PASS</x:v>
      </x:c>
    </x:row>
    <x:row r="448">
      <x:c r="B448" t="str">
        <x:v>A-0418</x:v>
      </x:c>
      <x:c r="C448" t="str">
        <x:v>GATE</x:v>
      </x:c>
      <x:c r="D448" t="str">
        <x:v>release ledger mirrors governing state</x:v>
      </x:c>
      <x:c r="E448" t="str">
        <x:f>'Release Gates'!J424</x:f>
        <x:v>PASS</x:v>
      </x:c>
      <x:c r="F448" t="str">
        <x:f>IF('Release Gates'!C424="PLANNING","PASS",IF('Release Gates'!C424="PHYSICAL","OPEN","BLOCKED"))</x:f>
        <x:v>PASS</x:v>
      </x:c>
      <x:c r="G448" t="str">
        <x:v>equals</x:v>
      </x:c>
      <x:c r="H448" t="str">
        <x:f>IF(E448=F448,"PASS","FAIL")</x:f>
        <x:v>PASS</x:v>
      </x:c>
    </x:row>
    <x:row r="449">
      <x:c r="B449" t="str">
        <x:v>A-0419</x:v>
      </x:c>
      <x:c r="C449" t="str">
        <x:v>GATE</x:v>
      </x:c>
      <x:c r="D449" t="str">
        <x:v>release ledger mirrors governing state</x:v>
      </x:c>
      <x:c r="E449" t="str">
        <x:f>'Release Gates'!J425</x:f>
        <x:v>PASS</x:v>
      </x:c>
      <x:c r="F449" t="str">
        <x:f>IF('Release Gates'!C425="PLANNING","PASS",IF('Release Gates'!C425="PHYSICAL","OPEN","BLOCKED"))</x:f>
        <x:v>PASS</x:v>
      </x:c>
      <x:c r="G449" t="str">
        <x:v>equals</x:v>
      </x:c>
      <x:c r="H449" t="str">
        <x:f>IF(E449=F449,"PASS","FAIL")</x:f>
        <x:v>PASS</x:v>
      </x:c>
    </x:row>
    <x:row r="450">
      <x:c r="B450" t="str">
        <x:v>A-0420</x:v>
      </x:c>
      <x:c r="C450" t="str">
        <x:v>GATE</x:v>
      </x:c>
      <x:c r="D450" t="str">
        <x:v>release ledger mirrors governing state</x:v>
      </x:c>
      <x:c r="E450" t="str">
        <x:f>'Release Gates'!J426</x:f>
        <x:v>PASS</x:v>
      </x:c>
      <x:c r="F450" t="str">
        <x:f>IF('Release Gates'!C426="PLANNING","PASS",IF('Release Gates'!C426="PHYSICAL","OPEN","BLOCKED"))</x:f>
        <x:v>PASS</x:v>
      </x:c>
      <x:c r="G450" t="str">
        <x:v>equals</x:v>
      </x:c>
      <x:c r="H450" t="str">
        <x:f>IF(E450=F450,"PASS","FAIL")</x:f>
        <x:v>PASS</x:v>
      </x:c>
    </x:row>
    <x:row r="451">
      <x:c r="B451" t="str">
        <x:v>A-0421</x:v>
      </x:c>
      <x:c r="C451" t="str">
        <x:v>GATE</x:v>
      </x:c>
      <x:c r="D451" t="str">
        <x:v>release ledger mirrors governing state</x:v>
      </x:c>
      <x:c r="E451" t="str">
        <x:f>'Release Gates'!J427</x:f>
        <x:v>PASS</x:v>
      </x:c>
      <x:c r="F451" t="str">
        <x:f>IF('Release Gates'!C427="PLANNING","PASS",IF('Release Gates'!C427="PHYSICAL","OPEN","BLOCKED"))</x:f>
        <x:v>PASS</x:v>
      </x:c>
      <x:c r="G451" t="str">
        <x:v>equals</x:v>
      </x:c>
      <x:c r="H451" t="str">
        <x:f>IF(E451=F451,"PASS","FAIL")</x:f>
        <x:v>PASS</x:v>
      </x:c>
    </x:row>
    <x:row r="452">
      <x:c r="B452" t="str">
        <x:v>A-0422</x:v>
      </x:c>
      <x:c r="C452" t="str">
        <x:v>GATE</x:v>
      </x:c>
      <x:c r="D452" t="str">
        <x:v>release ledger mirrors governing state</x:v>
      </x:c>
      <x:c r="E452" t="str">
        <x:f>'Release Gates'!J428</x:f>
        <x:v>PASS</x:v>
      </x:c>
      <x:c r="F452" t="str">
        <x:f>IF('Release Gates'!C428="PLANNING","PASS",IF('Release Gates'!C428="PHYSICAL","OPEN","BLOCKED"))</x:f>
        <x:v>PASS</x:v>
      </x:c>
      <x:c r="G452" t="str">
        <x:v>equals</x:v>
      </x:c>
      <x:c r="H452" t="str">
        <x:f>IF(E452=F452,"PASS","FAIL")</x:f>
        <x:v>PASS</x:v>
      </x:c>
    </x:row>
    <x:row r="453">
      <x:c r="B453" t="str">
        <x:v>A-0423</x:v>
      </x:c>
      <x:c r="C453" t="str">
        <x:v>GATE</x:v>
      </x:c>
      <x:c r="D453" t="str">
        <x:v>release ledger mirrors governing state</x:v>
      </x:c>
      <x:c r="E453" t="str">
        <x:f>'Release Gates'!J429</x:f>
        <x:v>PASS</x:v>
      </x:c>
      <x:c r="F453" t="str">
        <x:f>IF('Release Gates'!C429="PLANNING","PASS",IF('Release Gates'!C429="PHYSICAL","OPEN","BLOCKED"))</x:f>
        <x:v>PASS</x:v>
      </x:c>
      <x:c r="G453" t="str">
        <x:v>equals</x:v>
      </x:c>
      <x:c r="H453" t="str">
        <x:f>IF(E453=F453,"PASS","FAIL")</x:f>
        <x:v>PASS</x:v>
      </x:c>
    </x:row>
    <x:row r="454">
      <x:c r="B454" t="str">
        <x:v>A-0424</x:v>
      </x:c>
      <x:c r="C454" t="str">
        <x:v>GATE</x:v>
      </x:c>
      <x:c r="D454" t="str">
        <x:v>release ledger mirrors governing state</x:v>
      </x:c>
      <x:c r="E454" t="str">
        <x:f>'Release Gates'!J430</x:f>
        <x:v>PASS</x:v>
      </x:c>
      <x:c r="F454" t="str">
        <x:f>IF('Release Gates'!C430="PLANNING","PASS",IF('Release Gates'!C430="PHYSICAL","OPEN","BLOCKED"))</x:f>
        <x:v>PASS</x:v>
      </x:c>
      <x:c r="G454" t="str">
        <x:v>equals</x:v>
      </x:c>
      <x:c r="H454" t="str">
        <x:f>IF(E454=F454,"PASS","FAIL")</x:f>
        <x:v>PASS</x:v>
      </x:c>
    </x:row>
    <x:row r="455">
      <x:c r="B455" t="str">
        <x:v>A-0425</x:v>
      </x:c>
      <x:c r="C455" t="str">
        <x:v>GATE</x:v>
      </x:c>
      <x:c r="D455" t="str">
        <x:v>release ledger mirrors governing state</x:v>
      </x:c>
      <x:c r="E455" t="str">
        <x:f>'Release Gates'!J431</x:f>
        <x:v>PASS</x:v>
      </x:c>
      <x:c r="F455" t="str">
        <x:f>IF('Release Gates'!C431="PLANNING","PASS",IF('Release Gates'!C431="PHYSICAL","OPEN","BLOCKED"))</x:f>
        <x:v>PASS</x:v>
      </x:c>
      <x:c r="G455" t="str">
        <x:v>equals</x:v>
      </x:c>
      <x:c r="H455" t="str">
        <x:f>IF(E455=F455,"PASS","FAIL")</x:f>
        <x:v>PASS</x:v>
      </x:c>
    </x:row>
    <x:row r="456">
      <x:c r="B456" t="str">
        <x:v>A-0426</x:v>
      </x:c>
      <x:c r="C456" t="str">
        <x:v>GATE</x:v>
      </x:c>
      <x:c r="D456" t="str">
        <x:v>release ledger mirrors governing state</x:v>
      </x:c>
      <x:c r="E456" t="str">
        <x:f>'Release Gates'!J432</x:f>
        <x:v>PASS</x:v>
      </x:c>
      <x:c r="F456" t="str">
        <x:f>IF('Release Gates'!C432="PLANNING","PASS",IF('Release Gates'!C432="PHYSICAL","OPEN","BLOCKED"))</x:f>
        <x:v>PASS</x:v>
      </x:c>
      <x:c r="G456" t="str">
        <x:v>equals</x:v>
      </x:c>
      <x:c r="H456" t="str">
        <x:f>IF(E456=F456,"PASS","FAIL")</x:f>
        <x:v>PASS</x:v>
      </x:c>
    </x:row>
    <x:row r="457">
      <x:c r="B457" t="str">
        <x:v>A-0427</x:v>
      </x:c>
      <x:c r="C457" t="str">
        <x:v>GATE</x:v>
      </x:c>
      <x:c r="D457" t="str">
        <x:v>release ledger mirrors governing state</x:v>
      </x:c>
      <x:c r="E457" t="str">
        <x:f>'Release Gates'!J433</x:f>
        <x:v>PASS</x:v>
      </x:c>
      <x:c r="F457" t="str">
        <x:f>IF('Release Gates'!C433="PLANNING","PASS",IF('Release Gates'!C433="PHYSICAL","OPEN","BLOCKED"))</x:f>
        <x:v>PASS</x:v>
      </x:c>
      <x:c r="G457" t="str">
        <x:v>equals</x:v>
      </x:c>
      <x:c r="H457" t="str">
        <x:f>IF(E457=F457,"PASS","FAIL")</x:f>
        <x:v>PASS</x:v>
      </x:c>
    </x:row>
    <x:row r="458">
      <x:c r="B458" t="str">
        <x:v>A-0428</x:v>
      </x:c>
      <x:c r="C458" t="str">
        <x:v>GATE</x:v>
      </x:c>
      <x:c r="D458" t="str">
        <x:v>release ledger mirrors governing state</x:v>
      </x:c>
      <x:c r="E458" t="str">
        <x:f>'Release Gates'!J434</x:f>
        <x:v>PASS</x:v>
      </x:c>
      <x:c r="F458" t="str">
        <x:f>IF('Release Gates'!C434="PLANNING","PASS",IF('Release Gates'!C434="PHYSICAL","OPEN","BLOCKED"))</x:f>
        <x:v>PASS</x:v>
      </x:c>
      <x:c r="G458" t="str">
        <x:v>equals</x:v>
      </x:c>
      <x:c r="H458" t="str">
        <x:f>IF(E458=F458,"PASS","FAIL")</x:f>
        <x:v>PASS</x:v>
      </x:c>
    </x:row>
    <x:row r="459">
      <x:c r="B459" t="str">
        <x:v>A-0429</x:v>
      </x:c>
      <x:c r="C459" t="str">
        <x:v>GATE</x:v>
      </x:c>
      <x:c r="D459" t="str">
        <x:v>release ledger mirrors governing state</x:v>
      </x:c>
      <x:c r="E459" t="str">
        <x:f>'Release Gates'!J435</x:f>
        <x:v>PASS</x:v>
      </x:c>
      <x:c r="F459" t="str">
        <x:f>IF('Release Gates'!C435="PLANNING","PASS",IF('Release Gates'!C435="PHYSICAL","OPEN","BLOCKED"))</x:f>
        <x:v>PASS</x:v>
      </x:c>
      <x:c r="G459" t="str">
        <x:v>equals</x:v>
      </x:c>
      <x:c r="H459" t="str">
        <x:f>IF(E459=F459,"PASS","FAIL")</x:f>
        <x:v>PASS</x:v>
      </x:c>
    </x:row>
    <x:row r="460">
      <x:c r="B460" t="str">
        <x:v>A-0430</x:v>
      </x:c>
      <x:c r="C460" t="str">
        <x:v>GATE</x:v>
      </x:c>
      <x:c r="D460" t="str">
        <x:v>release ledger mirrors governing state</x:v>
      </x:c>
      <x:c r="E460" t="str">
        <x:f>'Release Gates'!J436</x:f>
        <x:v>PASS</x:v>
      </x:c>
      <x:c r="F460" t="str">
        <x:f>IF('Release Gates'!C436="PLANNING","PASS",IF('Release Gates'!C436="PHYSICAL","OPEN","BLOCKED"))</x:f>
        <x:v>PASS</x:v>
      </x:c>
      <x:c r="G460" t="str">
        <x:v>equals</x:v>
      </x:c>
      <x:c r="H460" t="str">
        <x:f>IF(E460=F460,"PASS","FAIL")</x:f>
        <x:v>PASS</x:v>
      </x:c>
    </x:row>
    <x:row r="461">
      <x:c r="B461" t="str">
        <x:v>A-0431</x:v>
      </x:c>
      <x:c r="C461" t="str">
        <x:v>GATE</x:v>
      </x:c>
      <x:c r="D461" t="str">
        <x:v>release ledger mirrors governing state</x:v>
      </x:c>
      <x:c r="E461" t="str">
        <x:f>'Release Gates'!J437</x:f>
        <x:v>PASS</x:v>
      </x:c>
      <x:c r="F461" t="str">
        <x:f>IF('Release Gates'!C437="PLANNING","PASS",IF('Release Gates'!C437="PHYSICAL","OPEN","BLOCKED"))</x:f>
        <x:v>PASS</x:v>
      </x:c>
      <x:c r="G461" t="str">
        <x:v>equals</x:v>
      </x:c>
      <x:c r="H461" t="str">
        <x:f>IF(E461=F461,"PASS","FAIL")</x:f>
        <x:v>PASS</x:v>
      </x:c>
    </x:row>
    <x:row r="462">
      <x:c r="B462" t="str">
        <x:v>A-0432</x:v>
      </x:c>
      <x:c r="C462" t="str">
        <x:v>GATE</x:v>
      </x:c>
      <x:c r="D462" t="str">
        <x:v>release ledger mirrors governing state</x:v>
      </x:c>
      <x:c r="E462" t="str">
        <x:f>'Release Gates'!J438</x:f>
        <x:v>PASS</x:v>
      </x:c>
      <x:c r="F462" t="str">
        <x:f>IF('Release Gates'!C438="PLANNING","PASS",IF('Release Gates'!C438="PHYSICAL","OPEN","BLOCKED"))</x:f>
        <x:v>PASS</x:v>
      </x:c>
      <x:c r="G462" t="str">
        <x:v>equals</x:v>
      </x:c>
      <x:c r="H462" t="str">
        <x:f>IF(E462=F462,"PASS","FAIL")</x:f>
        <x:v>PASS</x:v>
      </x:c>
    </x:row>
    <x:row r="463">
      <x:c r="B463" t="str">
        <x:v>A-0433</x:v>
      </x:c>
      <x:c r="C463" t="str">
        <x:v>GATE</x:v>
      </x:c>
      <x:c r="D463" t="str">
        <x:v>release ledger mirrors governing state</x:v>
      </x:c>
      <x:c r="E463" t="str">
        <x:f>'Release Gates'!J439</x:f>
        <x:v>PASS</x:v>
      </x:c>
      <x:c r="F463" t="str">
        <x:f>IF('Release Gates'!C439="PLANNING","PASS",IF('Release Gates'!C439="PHYSICAL","OPEN","BLOCKED"))</x:f>
        <x:v>PASS</x:v>
      </x:c>
      <x:c r="G463" t="str">
        <x:v>equals</x:v>
      </x:c>
      <x:c r="H463" t="str">
        <x:f>IF(E463=F463,"PASS","FAIL")</x:f>
        <x:v>PASS</x:v>
      </x:c>
    </x:row>
    <x:row r="464">
      <x:c r="B464" t="str">
        <x:v>A-0434</x:v>
      </x:c>
      <x:c r="C464" t="str">
        <x:v>GATE</x:v>
      </x:c>
      <x:c r="D464" t="str">
        <x:v>release ledger mirrors governing state</x:v>
      </x:c>
      <x:c r="E464" t="str">
        <x:f>'Release Gates'!J440</x:f>
        <x:v>PASS</x:v>
      </x:c>
      <x:c r="F464" t="str">
        <x:f>IF('Release Gates'!C440="PLANNING","PASS",IF('Release Gates'!C440="PHYSICAL","OPEN","BLOCKED"))</x:f>
        <x:v>PASS</x:v>
      </x:c>
      <x:c r="G464" t="str">
        <x:v>equals</x:v>
      </x:c>
      <x:c r="H464" t="str">
        <x:f>IF(E464=F464,"PASS","FAIL")</x:f>
        <x:v>PASS</x:v>
      </x:c>
    </x:row>
    <x:row r="465">
      <x:c r="B465" t="str">
        <x:v>A-0435</x:v>
      </x:c>
      <x:c r="C465" t="str">
        <x:v>GATE</x:v>
      </x:c>
      <x:c r="D465" t="str">
        <x:v>release ledger mirrors governing state</x:v>
      </x:c>
      <x:c r="E465" t="str">
        <x:f>'Release Gates'!J441</x:f>
        <x:v>PASS</x:v>
      </x:c>
      <x:c r="F465" t="str">
        <x:f>IF('Release Gates'!C441="PLANNING","PASS",IF('Release Gates'!C441="PHYSICAL","OPEN","BLOCKED"))</x:f>
        <x:v>PASS</x:v>
      </x:c>
      <x:c r="G465" t="str">
        <x:v>equals</x:v>
      </x:c>
      <x:c r="H465" t="str">
        <x:f>IF(E465=F465,"PASS","FAIL")</x:f>
        <x:v>PASS</x:v>
      </x:c>
    </x:row>
    <x:row r="466">
      <x:c r="B466" t="str">
        <x:v>A-0436</x:v>
      </x:c>
      <x:c r="C466" t="str">
        <x:v>GATE</x:v>
      </x:c>
      <x:c r="D466" t="str">
        <x:v>release ledger mirrors governing state</x:v>
      </x:c>
      <x:c r="E466" t="str">
        <x:f>'Release Gates'!J442</x:f>
        <x:v>PASS</x:v>
      </x:c>
      <x:c r="F466" t="str">
        <x:f>IF('Release Gates'!C442="PLANNING","PASS",IF('Release Gates'!C442="PHYSICAL","OPEN","BLOCKED"))</x:f>
        <x:v>PASS</x:v>
      </x:c>
      <x:c r="G466" t="str">
        <x:v>equals</x:v>
      </x:c>
      <x:c r="H466" t="str">
        <x:f>IF(E466=F466,"PASS","FAIL")</x:f>
        <x:v>PASS</x:v>
      </x:c>
    </x:row>
    <x:row r="467">
      <x:c r="B467" t="str">
        <x:v>A-0437</x:v>
      </x:c>
      <x:c r="C467" t="str">
        <x:v>GATE</x:v>
      </x:c>
      <x:c r="D467" t="str">
        <x:v>release ledger mirrors governing state</x:v>
      </x:c>
      <x:c r="E467" t="str">
        <x:f>'Release Gates'!J443</x:f>
        <x:v>PASS</x:v>
      </x:c>
      <x:c r="F467" t="str">
        <x:f>IF('Release Gates'!C443="PLANNING","PASS",IF('Release Gates'!C443="PHYSICAL","OPEN","BLOCKED"))</x:f>
        <x:v>PASS</x:v>
      </x:c>
      <x:c r="G467" t="str">
        <x:v>equals</x:v>
      </x:c>
      <x:c r="H467" t="str">
        <x:f>IF(E467=F467,"PASS","FAIL")</x:f>
        <x:v>PASS</x:v>
      </x:c>
    </x:row>
    <x:row r="468">
      <x:c r="B468" t="str">
        <x:v>A-0438</x:v>
      </x:c>
      <x:c r="C468" t="str">
        <x:v>GATE</x:v>
      </x:c>
      <x:c r="D468" t="str">
        <x:v>release ledger mirrors governing state</x:v>
      </x:c>
      <x:c r="E468" t="str">
        <x:f>'Release Gates'!J444</x:f>
        <x:v>PASS</x:v>
      </x:c>
      <x:c r="F468" t="str">
        <x:f>IF('Release Gates'!C444="PLANNING","PASS",IF('Release Gates'!C444="PHYSICAL","OPEN","BLOCKED"))</x:f>
        <x:v>PASS</x:v>
      </x:c>
      <x:c r="G468" t="str">
        <x:v>equals</x:v>
      </x:c>
      <x:c r="H468" t="str">
        <x:f>IF(E468=F468,"PASS","FAIL")</x:f>
        <x:v>PASS</x:v>
      </x:c>
    </x:row>
    <x:row r="469">
      <x:c r="B469" t="str">
        <x:v>A-0439</x:v>
      </x:c>
      <x:c r="C469" t="str">
        <x:v>GATE</x:v>
      </x:c>
      <x:c r="D469" t="str">
        <x:v>release ledger mirrors governing state</x:v>
      </x:c>
      <x:c r="E469" t="str">
        <x:f>'Release Gates'!J445</x:f>
        <x:v>PASS</x:v>
      </x:c>
      <x:c r="F469" t="str">
        <x:f>IF('Release Gates'!C445="PLANNING","PASS",IF('Release Gates'!C445="PHYSICAL","OPEN","BLOCKED"))</x:f>
        <x:v>PASS</x:v>
      </x:c>
      <x:c r="G469" t="str">
        <x:v>equals</x:v>
      </x:c>
      <x:c r="H469" t="str">
        <x:f>IF(E469=F469,"PASS","FAIL")</x:f>
        <x:v>PASS</x:v>
      </x:c>
    </x:row>
    <x:row r="470">
      <x:c r="B470" t="str">
        <x:v>A-0440</x:v>
      </x:c>
      <x:c r="C470" t="str">
        <x:v>GATE</x:v>
      </x:c>
      <x:c r="D470" t="str">
        <x:v>release ledger mirrors governing state</x:v>
      </x:c>
      <x:c r="E470" t="str">
        <x:f>'Release Gates'!J446</x:f>
        <x:v>PASS</x:v>
      </x:c>
      <x:c r="F470" t="str">
        <x:f>IF('Release Gates'!C446="PLANNING","PASS",IF('Release Gates'!C446="PHYSICAL","OPEN","BLOCKED"))</x:f>
        <x:v>PASS</x:v>
      </x:c>
      <x:c r="G470" t="str">
        <x:v>equals</x:v>
      </x:c>
      <x:c r="H470" t="str">
        <x:f>IF(E470=F470,"PASS","FAIL")</x:f>
        <x:v>PASS</x:v>
      </x:c>
    </x:row>
    <x:row r="471">
      <x:c r="B471" t="str">
        <x:v>A-0441</x:v>
      </x:c>
      <x:c r="C471" t="str">
        <x:v>GATE</x:v>
      </x:c>
      <x:c r="D471" t="str">
        <x:v>release ledger mirrors governing state</x:v>
      </x:c>
      <x:c r="E471" t="str">
        <x:f>'Release Gates'!J447</x:f>
        <x:v>PASS</x:v>
      </x:c>
      <x:c r="F471" t="str">
        <x:f>IF('Release Gates'!C447="PLANNING","PASS",IF('Release Gates'!C447="PHYSICAL","OPEN","BLOCKED"))</x:f>
        <x:v>PASS</x:v>
      </x:c>
      <x:c r="G471" t="str">
        <x:v>equals</x:v>
      </x:c>
      <x:c r="H471" t="str">
        <x:f>IF(E471=F471,"PASS","FAIL")</x:f>
        <x:v>PASS</x:v>
      </x:c>
    </x:row>
    <x:row r="472">
      <x:c r="B472" t="str">
        <x:v>A-0442</x:v>
      </x:c>
      <x:c r="C472" t="str">
        <x:v>GATE</x:v>
      </x:c>
      <x:c r="D472" t="str">
        <x:v>release ledger mirrors governing state</x:v>
      </x:c>
      <x:c r="E472" t="str">
        <x:f>'Release Gates'!J448</x:f>
        <x:v>PASS</x:v>
      </x:c>
      <x:c r="F472" t="str">
        <x:f>IF('Release Gates'!C448="PLANNING","PASS",IF('Release Gates'!C448="PHYSICAL","OPEN","BLOCKED"))</x:f>
        <x:v>PASS</x:v>
      </x:c>
      <x:c r="G472" t="str">
        <x:v>equals</x:v>
      </x:c>
      <x:c r="H472" t="str">
        <x:f>IF(E472=F472,"PASS","FAIL")</x:f>
        <x:v>PASS</x:v>
      </x:c>
    </x:row>
    <x:row r="473">
      <x:c r="B473" t="str">
        <x:v>A-0443</x:v>
      </x:c>
      <x:c r="C473" t="str">
        <x:v>GATE</x:v>
      </x:c>
      <x:c r="D473" t="str">
        <x:v>release ledger mirrors governing state</x:v>
      </x:c>
      <x:c r="E473" t="str">
        <x:f>'Release Gates'!J449</x:f>
        <x:v>PASS</x:v>
      </x:c>
      <x:c r="F473" t="str">
        <x:f>IF('Release Gates'!C449="PLANNING","PASS",IF('Release Gates'!C449="PHYSICAL","OPEN","BLOCKED"))</x:f>
        <x:v>PASS</x:v>
      </x:c>
      <x:c r="G473" t="str">
        <x:v>equals</x:v>
      </x:c>
      <x:c r="H473" t="str">
        <x:f>IF(E473=F473,"PASS","FAIL")</x:f>
        <x:v>PASS</x:v>
      </x:c>
    </x:row>
    <x:row r="474">
      <x:c r="B474" t="str">
        <x:v>A-0444</x:v>
      </x:c>
      <x:c r="C474" t="str">
        <x:v>GATE</x:v>
      </x:c>
      <x:c r="D474" t="str">
        <x:v>release ledger mirrors governing state</x:v>
      </x:c>
      <x:c r="E474" t="str">
        <x:f>'Release Gates'!J450</x:f>
        <x:v>PASS</x:v>
      </x:c>
      <x:c r="F474" t="str">
        <x:f>IF('Release Gates'!C450="PLANNING","PASS",IF('Release Gates'!C450="PHYSICAL","OPEN","BLOCKED"))</x:f>
        <x:v>PASS</x:v>
      </x:c>
      <x:c r="G474" t="str">
        <x:v>equals</x:v>
      </x:c>
      <x:c r="H474" t="str">
        <x:f>IF(E474=F474,"PASS","FAIL")</x:f>
        <x:v>PASS</x:v>
      </x:c>
    </x:row>
    <x:row r="475">
      <x:c r="B475" t="str">
        <x:v>A-0445</x:v>
      </x:c>
      <x:c r="C475" t="str">
        <x:v>GATE</x:v>
      </x:c>
      <x:c r="D475" t="str">
        <x:v>release ledger mirrors governing state</x:v>
      </x:c>
      <x:c r="E475" t="str">
        <x:f>'Release Gates'!J451</x:f>
        <x:v>PASS</x:v>
      </x:c>
      <x:c r="F475" t="str">
        <x:f>IF('Release Gates'!C451="PLANNING","PASS",IF('Release Gates'!C451="PHYSICAL","OPEN","BLOCKED"))</x:f>
        <x:v>PASS</x:v>
      </x:c>
      <x:c r="G475" t="str">
        <x:v>equals</x:v>
      </x:c>
      <x:c r="H475" t="str">
        <x:f>IF(E475=F475,"PASS","FAIL")</x:f>
        <x:v>PASS</x:v>
      </x:c>
    </x:row>
    <x:row r="476">
      <x:c r="B476" t="str">
        <x:v>A-0446</x:v>
      </x:c>
      <x:c r="C476" t="str">
        <x:v>GATE</x:v>
      </x:c>
      <x:c r="D476" t="str">
        <x:v>release ledger mirrors governing state</x:v>
      </x:c>
      <x:c r="E476" t="str">
        <x:f>'Release Gates'!J452</x:f>
        <x:v>PASS</x:v>
      </x:c>
      <x:c r="F476" t="str">
        <x:f>IF('Release Gates'!C452="PLANNING","PASS",IF('Release Gates'!C452="PHYSICAL","OPEN","BLOCKED"))</x:f>
        <x:v>PASS</x:v>
      </x:c>
      <x:c r="G476" t="str">
        <x:v>equals</x:v>
      </x:c>
      <x:c r="H476" t="str">
        <x:f>IF(E476=F476,"PASS","FAIL")</x:f>
        <x:v>PASS</x:v>
      </x:c>
    </x:row>
    <x:row r="477">
      <x:c r="B477" t="str">
        <x:v>A-0447</x:v>
      </x:c>
      <x:c r="C477" t="str">
        <x:v>GATE</x:v>
      </x:c>
      <x:c r="D477" t="str">
        <x:v>release ledger mirrors governing state</x:v>
      </x:c>
      <x:c r="E477" t="str">
        <x:f>'Release Gates'!J453</x:f>
        <x:v>PASS</x:v>
      </x:c>
      <x:c r="F477" t="str">
        <x:f>IF('Release Gates'!C453="PLANNING","PASS",IF('Release Gates'!C453="PHYSICAL","OPEN","BLOCKED"))</x:f>
        <x:v>PASS</x:v>
      </x:c>
      <x:c r="G477" t="str">
        <x:v>equals</x:v>
      </x:c>
      <x:c r="H477" t="str">
        <x:f>IF(E477=F477,"PASS","FAIL")</x:f>
        <x:v>PASS</x:v>
      </x:c>
    </x:row>
    <x:row r="478">
      <x:c r="B478" t="str">
        <x:v>A-0448</x:v>
      </x:c>
      <x:c r="C478" t="str">
        <x:v>GATE</x:v>
      </x:c>
      <x:c r="D478" t="str">
        <x:v>release ledger mirrors governing state</x:v>
      </x:c>
      <x:c r="E478" t="str">
        <x:f>'Release Gates'!J454</x:f>
        <x:v>PASS</x:v>
      </x:c>
      <x:c r="F478" t="str">
        <x:f>IF('Release Gates'!C454="PLANNING","PASS",IF('Release Gates'!C454="PHYSICAL","OPEN","BLOCKED"))</x:f>
        <x:v>PASS</x:v>
      </x:c>
      <x:c r="G478" t="str">
        <x:v>equals</x:v>
      </x:c>
      <x:c r="H478" t="str">
        <x:f>IF(E478=F478,"PASS","FAIL")</x:f>
        <x:v>PASS</x:v>
      </x:c>
    </x:row>
    <x:row r="479">
      <x:c r="B479" t="str">
        <x:v>A-0449</x:v>
      </x:c>
      <x:c r="C479" t="str">
        <x:v>GATE</x:v>
      </x:c>
      <x:c r="D479" t="str">
        <x:v>release ledger mirrors governing state</x:v>
      </x:c>
      <x:c r="E479" t="str">
        <x:f>'Release Gates'!J455</x:f>
        <x:v>PASS</x:v>
      </x:c>
      <x:c r="F479" t="str">
        <x:f>IF('Release Gates'!C455="PLANNING","PASS",IF('Release Gates'!C455="PHYSICAL","OPEN","BLOCKED"))</x:f>
        <x:v>PASS</x:v>
      </x:c>
      <x:c r="G479" t="str">
        <x:v>equals</x:v>
      </x:c>
      <x:c r="H479" t="str">
        <x:f>IF(E479=F479,"PASS","FAIL")</x:f>
        <x:v>PASS</x:v>
      </x:c>
    </x:row>
    <x:row r="480">
      <x:c r="B480" t="str">
        <x:v>A-0450</x:v>
      </x:c>
      <x:c r="C480" t="str">
        <x:v>GATE</x:v>
      </x:c>
      <x:c r="D480" t="str">
        <x:v>release ledger mirrors governing state</x:v>
      </x:c>
      <x:c r="E480" t="str">
        <x:f>'Release Gates'!J456</x:f>
        <x:v>PASS</x:v>
      </x:c>
      <x:c r="F480" t="str">
        <x:f>IF('Release Gates'!C456="PLANNING","PASS",IF('Release Gates'!C456="PHYSICAL","OPEN","BLOCKED"))</x:f>
        <x:v>PASS</x:v>
      </x:c>
      <x:c r="G480" t="str">
        <x:v>equals</x:v>
      </x:c>
      <x:c r="H480" t="str">
        <x:f>IF(E480=F480,"PASS","FAIL")</x:f>
        <x:v>PASS</x:v>
      </x:c>
    </x:row>
    <x:row r="481">
      <x:c r="B481" t="str">
        <x:v>A-0451</x:v>
      </x:c>
      <x:c r="C481" t="str">
        <x:v>GATE</x:v>
      </x:c>
      <x:c r="D481" t="str">
        <x:v>release ledger mirrors governing state</x:v>
      </x:c>
      <x:c r="E481" t="str">
        <x:f>'Release Gates'!J457</x:f>
        <x:v>PASS</x:v>
      </x:c>
      <x:c r="F481" t="str">
        <x:f>IF('Release Gates'!C457="PLANNING","PASS",IF('Release Gates'!C457="PHYSICAL","OPEN","BLOCKED"))</x:f>
        <x:v>PASS</x:v>
      </x:c>
      <x:c r="G481" t="str">
        <x:v>equals</x:v>
      </x:c>
      <x:c r="H481" t="str">
        <x:f>IF(E481=F481,"PASS","FAIL")</x:f>
        <x:v>PASS</x:v>
      </x:c>
    </x:row>
    <x:row r="482">
      <x:c r="B482" t="str">
        <x:v>A-0452</x:v>
      </x:c>
      <x:c r="C482" t="str">
        <x:v>GATE</x:v>
      </x:c>
      <x:c r="D482" t="str">
        <x:v>release ledger mirrors governing state</x:v>
      </x:c>
      <x:c r="E482" t="str">
        <x:f>'Release Gates'!J458</x:f>
        <x:v>PASS</x:v>
      </x:c>
      <x:c r="F482" t="str">
        <x:f>IF('Release Gates'!C458="PLANNING","PASS",IF('Release Gates'!C458="PHYSICAL","OPEN","BLOCKED"))</x:f>
        <x:v>PASS</x:v>
      </x:c>
      <x:c r="G482" t="str">
        <x:v>equals</x:v>
      </x:c>
      <x:c r="H482" t="str">
        <x:f>IF(E482=F482,"PASS","FAIL")</x:f>
        <x:v>PASS</x:v>
      </x:c>
    </x:row>
    <x:row r="483">
      <x:c r="B483" t="str">
        <x:v>A-0453</x:v>
      </x:c>
      <x:c r="C483" t="str">
        <x:v>GATE</x:v>
      </x:c>
      <x:c r="D483" t="str">
        <x:v>release ledger mirrors governing state</x:v>
      </x:c>
      <x:c r="E483" t="str">
        <x:f>'Release Gates'!J459</x:f>
        <x:v>PASS</x:v>
      </x:c>
      <x:c r="F483" t="str">
        <x:f>IF('Release Gates'!C459="PLANNING","PASS",IF('Release Gates'!C459="PHYSICAL","OPEN","BLOCKED"))</x:f>
        <x:v>PASS</x:v>
      </x:c>
      <x:c r="G483" t="str">
        <x:v>equals</x:v>
      </x:c>
      <x:c r="H483" t="str">
        <x:f>IF(E483=F483,"PASS","FAIL")</x:f>
        <x:v>PASS</x:v>
      </x:c>
    </x:row>
    <x:row r="484">
      <x:c r="B484" t="str">
        <x:v>A-0454</x:v>
      </x:c>
      <x:c r="C484" t="str">
        <x:v>GATE</x:v>
      </x:c>
      <x:c r="D484" t="str">
        <x:v>release ledger mirrors governing state</x:v>
      </x:c>
      <x:c r="E484" t="str">
        <x:f>'Release Gates'!J460</x:f>
        <x:v>PASS</x:v>
      </x:c>
      <x:c r="F484" t="str">
        <x:f>IF('Release Gates'!C460="PLANNING","PASS",IF('Release Gates'!C460="PHYSICAL","OPEN","BLOCKED"))</x:f>
        <x:v>PASS</x:v>
      </x:c>
      <x:c r="G484" t="str">
        <x:v>equals</x:v>
      </x:c>
      <x:c r="H484" t="str">
        <x:f>IF(E484=F484,"PASS","FAIL")</x:f>
        <x:v>PASS</x:v>
      </x:c>
    </x:row>
    <x:row r="485">
      <x:c r="B485" t="str">
        <x:v>A-0455</x:v>
      </x:c>
      <x:c r="C485" t="str">
        <x:v>GATE</x:v>
      </x:c>
      <x:c r="D485" t="str">
        <x:v>release ledger mirrors governing state</x:v>
      </x:c>
      <x:c r="E485" t="str">
        <x:f>'Release Gates'!J461</x:f>
        <x:v>PASS</x:v>
      </x:c>
      <x:c r="F485" t="str">
        <x:f>IF('Release Gates'!C461="PLANNING","PASS",IF('Release Gates'!C461="PHYSICAL","OPEN","BLOCKED"))</x:f>
        <x:v>PASS</x:v>
      </x:c>
      <x:c r="G485" t="str">
        <x:v>equals</x:v>
      </x:c>
      <x:c r="H485" t="str">
        <x:f>IF(E485=F485,"PASS","FAIL")</x:f>
        <x:v>PASS</x:v>
      </x:c>
    </x:row>
    <x:row r="486">
      <x:c r="B486" t="str">
        <x:v>A-0456</x:v>
      </x:c>
      <x:c r="C486" t="str">
        <x:v>GATE</x:v>
      </x:c>
      <x:c r="D486" t="str">
        <x:v>release ledger mirrors governing state</x:v>
      </x:c>
      <x:c r="E486" t="str">
        <x:f>'Release Gates'!J462</x:f>
        <x:v>PASS</x:v>
      </x:c>
      <x:c r="F486" t="str">
        <x:f>IF('Release Gates'!C462="PLANNING","PASS",IF('Release Gates'!C462="PHYSICAL","OPEN","BLOCKED"))</x:f>
        <x:v>PASS</x:v>
      </x:c>
      <x:c r="G486" t="str">
        <x:v>equals</x:v>
      </x:c>
      <x:c r="H486" t="str">
        <x:f>IF(E486=F486,"PASS","FAIL")</x:f>
        <x:v>PASS</x:v>
      </x:c>
    </x:row>
    <x:row r="487">
      <x:c r="B487" t="str">
        <x:v>A-0457</x:v>
      </x:c>
      <x:c r="C487" t="str">
        <x:v>GATE</x:v>
      </x:c>
      <x:c r="D487" t="str">
        <x:v>release ledger mirrors governing state</x:v>
      </x:c>
      <x:c r="E487" t="str">
        <x:f>'Release Gates'!J463</x:f>
        <x:v>PASS</x:v>
      </x:c>
      <x:c r="F487" t="str">
        <x:f>IF('Release Gates'!C463="PLANNING","PASS",IF('Release Gates'!C463="PHYSICAL","OPEN","BLOCKED"))</x:f>
        <x:v>PASS</x:v>
      </x:c>
      <x:c r="G487" t="str">
        <x:v>equals</x:v>
      </x:c>
      <x:c r="H487" t="str">
        <x:f>IF(E487=F487,"PASS","FAIL")</x:f>
        <x:v>PASS</x:v>
      </x:c>
    </x:row>
    <x:row r="488">
      <x:c r="B488" t="str">
        <x:v>A-0458</x:v>
      </x:c>
      <x:c r="C488" t="str">
        <x:v>GATE</x:v>
      </x:c>
      <x:c r="D488" t="str">
        <x:v>release ledger mirrors governing state</x:v>
      </x:c>
      <x:c r="E488" t="str">
        <x:f>'Release Gates'!J464</x:f>
        <x:v>PASS</x:v>
      </x:c>
      <x:c r="F488" t="str">
        <x:f>IF('Release Gates'!C464="PLANNING","PASS",IF('Release Gates'!C464="PHYSICAL","OPEN","BLOCKED"))</x:f>
        <x:v>PASS</x:v>
      </x:c>
      <x:c r="G488" t="str">
        <x:v>equals</x:v>
      </x:c>
      <x:c r="H488" t="str">
        <x:f>IF(E488=F488,"PASS","FAIL")</x:f>
        <x:v>PASS</x:v>
      </x:c>
    </x:row>
    <x:row r="489">
      <x:c r="B489" t="str">
        <x:v>A-0459</x:v>
      </x:c>
      <x:c r="C489" t="str">
        <x:v>GATE</x:v>
      </x:c>
      <x:c r="D489" t="str">
        <x:v>release ledger mirrors governing state</x:v>
      </x:c>
      <x:c r="E489" t="str">
        <x:f>'Release Gates'!J465</x:f>
        <x:v>PASS</x:v>
      </x:c>
      <x:c r="F489" t="str">
        <x:f>IF('Release Gates'!C465="PLANNING","PASS",IF('Release Gates'!C465="PHYSICAL","OPEN","BLOCKED"))</x:f>
        <x:v>PASS</x:v>
      </x:c>
      <x:c r="G489" t="str">
        <x:v>equals</x:v>
      </x:c>
      <x:c r="H489" t="str">
        <x:f>IF(E489=F489,"PASS","FAIL")</x:f>
        <x:v>PASS</x:v>
      </x:c>
    </x:row>
    <x:row r="490">
      <x:c r="B490" t="str">
        <x:v>A-0460</x:v>
      </x:c>
      <x:c r="C490" t="str">
        <x:v>GATE</x:v>
      </x:c>
      <x:c r="D490" t="str">
        <x:v>release ledger mirrors governing state</x:v>
      </x:c>
      <x:c r="E490" t="str">
        <x:f>'Release Gates'!J466</x:f>
        <x:v>PASS</x:v>
      </x:c>
      <x:c r="F490" t="str">
        <x:f>IF('Release Gates'!C466="PLANNING","PASS",IF('Release Gates'!C466="PHYSICAL","OPEN","BLOCKED"))</x:f>
        <x:v>PASS</x:v>
      </x:c>
      <x:c r="G490" t="str">
        <x:v>equals</x:v>
      </x:c>
      <x:c r="H490" t="str">
        <x:f>IF(E490=F490,"PASS","FAIL")</x:f>
        <x:v>PASS</x:v>
      </x:c>
    </x:row>
    <x:row r="491">
      <x:c r="B491" t="str">
        <x:v>A-0461</x:v>
      </x:c>
      <x:c r="C491" t="str">
        <x:v>GATE</x:v>
      </x:c>
      <x:c r="D491" t="str">
        <x:v>release ledger mirrors governing state</x:v>
      </x:c>
      <x:c r="E491" t="str">
        <x:f>'Release Gates'!J467</x:f>
        <x:v>PASS</x:v>
      </x:c>
      <x:c r="F491" t="str">
        <x:f>IF('Release Gates'!C467="PLANNING","PASS",IF('Release Gates'!C467="PHYSICAL","OPEN","BLOCKED"))</x:f>
        <x:v>PASS</x:v>
      </x:c>
      <x:c r="G491" t="str">
        <x:v>equals</x:v>
      </x:c>
      <x:c r="H491" t="str">
        <x:f>IF(E491=F491,"PASS","FAIL")</x:f>
        <x:v>PASS</x:v>
      </x:c>
    </x:row>
    <x:row r="492">
      <x:c r="B492" t="str">
        <x:v>A-0462</x:v>
      </x:c>
      <x:c r="C492" t="str">
        <x:v>GATE</x:v>
      </x:c>
      <x:c r="D492" t="str">
        <x:v>release ledger mirrors governing state</x:v>
      </x:c>
      <x:c r="E492" t="str">
        <x:f>'Release Gates'!J468</x:f>
        <x:v>PASS</x:v>
      </x:c>
      <x:c r="F492" t="str">
        <x:f>IF('Release Gates'!C468="PLANNING","PASS",IF('Release Gates'!C468="PHYSICAL","OPEN","BLOCKED"))</x:f>
        <x:v>PASS</x:v>
      </x:c>
      <x:c r="G492" t="str">
        <x:v>equals</x:v>
      </x:c>
      <x:c r="H492" t="str">
        <x:f>IF(E492=F492,"PASS","FAIL")</x:f>
        <x:v>PASS</x:v>
      </x:c>
    </x:row>
    <x:row r="493">
      <x:c r="B493" t="str">
        <x:v>A-0463</x:v>
      </x:c>
      <x:c r="C493" t="str">
        <x:v>GATE</x:v>
      </x:c>
      <x:c r="D493" t="str">
        <x:v>release ledger mirrors governing state</x:v>
      </x:c>
      <x:c r="E493" t="str">
        <x:f>'Release Gates'!J469</x:f>
        <x:v>PASS</x:v>
      </x:c>
      <x:c r="F493" t="str">
        <x:f>IF('Release Gates'!C469="PLANNING","PASS",IF('Release Gates'!C469="PHYSICAL","OPEN","BLOCKED"))</x:f>
        <x:v>PASS</x:v>
      </x:c>
      <x:c r="G493" t="str">
        <x:v>equals</x:v>
      </x:c>
      <x:c r="H493" t="str">
        <x:f>IF(E493=F493,"PASS","FAIL")</x:f>
        <x:v>PASS</x:v>
      </x:c>
    </x:row>
    <x:row r="494">
      <x:c r="B494" t="str">
        <x:v>A-0464</x:v>
      </x:c>
      <x:c r="C494" t="str">
        <x:v>GATE</x:v>
      </x:c>
      <x:c r="D494" t="str">
        <x:v>release ledger mirrors governing state</x:v>
      </x:c>
      <x:c r="E494" t="str">
        <x:f>'Release Gates'!J470</x:f>
        <x:v>PASS</x:v>
      </x:c>
      <x:c r="F494" t="str">
        <x:f>IF('Release Gates'!C470="PLANNING","PASS",IF('Release Gates'!C470="PHYSICAL","OPEN","BLOCKED"))</x:f>
        <x:v>PASS</x:v>
      </x:c>
      <x:c r="G494" t="str">
        <x:v>equals</x:v>
      </x:c>
      <x:c r="H494" t="str">
        <x:f>IF(E494=F494,"PASS","FAIL")</x:f>
        <x:v>PASS</x:v>
      </x:c>
    </x:row>
    <x:row r="495">
      <x:c r="B495" t="str">
        <x:v>A-0465</x:v>
      </x:c>
      <x:c r="C495" t="str">
        <x:v>GATE</x:v>
      </x:c>
      <x:c r="D495" t="str">
        <x:v>release ledger mirrors governing state</x:v>
      </x:c>
      <x:c r="E495" t="str">
        <x:f>'Release Gates'!J471</x:f>
        <x:v>PASS</x:v>
      </x:c>
      <x:c r="F495" t="str">
        <x:f>IF('Release Gates'!C471="PLANNING","PASS",IF('Release Gates'!C471="PHYSICAL","OPEN","BLOCKED"))</x:f>
        <x:v>PASS</x:v>
      </x:c>
      <x:c r="G495" t="str">
        <x:v>equals</x:v>
      </x:c>
      <x:c r="H495" t="str">
        <x:f>IF(E495=F495,"PASS","FAIL")</x:f>
        <x:v>PASS</x:v>
      </x:c>
    </x:row>
    <x:row r="496">
      <x:c r="B496" t="str">
        <x:v>A-0466</x:v>
      </x:c>
      <x:c r="C496" t="str">
        <x:v>GATE</x:v>
      </x:c>
      <x:c r="D496" t="str">
        <x:v>release ledger mirrors governing state</x:v>
      </x:c>
      <x:c r="E496" t="str">
        <x:f>'Release Gates'!J472</x:f>
        <x:v>PASS</x:v>
      </x:c>
      <x:c r="F496" t="str">
        <x:f>IF('Release Gates'!C472="PLANNING","PASS",IF('Release Gates'!C472="PHYSICAL","OPEN","BLOCKED"))</x:f>
        <x:v>PASS</x:v>
      </x:c>
      <x:c r="G496" t="str">
        <x:v>equals</x:v>
      </x:c>
      <x:c r="H496" t="str">
        <x:f>IF(E496=F496,"PASS","FAIL")</x:f>
        <x:v>PASS</x:v>
      </x:c>
    </x:row>
    <x:row r="497">
      <x:c r="B497" t="str">
        <x:v>A-0467</x:v>
      </x:c>
      <x:c r="C497" t="str">
        <x:v>GATE</x:v>
      </x:c>
      <x:c r="D497" t="str">
        <x:v>release ledger mirrors governing state</x:v>
      </x:c>
      <x:c r="E497" t="str">
        <x:f>'Release Gates'!J473</x:f>
        <x:v>PASS</x:v>
      </x:c>
      <x:c r="F497" t="str">
        <x:f>IF('Release Gates'!C473="PLANNING","PASS",IF('Release Gates'!C473="PHYSICAL","OPEN","BLOCKED"))</x:f>
        <x:v>PASS</x:v>
      </x:c>
      <x:c r="G497" t="str">
        <x:v>equals</x:v>
      </x:c>
      <x:c r="H497" t="str">
        <x:f>IF(E497=F497,"PASS","FAIL")</x:f>
        <x:v>PASS</x:v>
      </x:c>
    </x:row>
    <x:row r="498">
      <x:c r="B498" t="str">
        <x:v>A-0468</x:v>
      </x:c>
      <x:c r="C498" t="str">
        <x:v>GATE</x:v>
      </x:c>
      <x:c r="D498" t="str">
        <x:v>release ledger mirrors governing state</x:v>
      </x:c>
      <x:c r="E498" t="str">
        <x:f>'Release Gates'!J474</x:f>
        <x:v>PASS</x:v>
      </x:c>
      <x:c r="F498" t="str">
        <x:f>IF('Release Gates'!C474="PLANNING","PASS",IF('Release Gates'!C474="PHYSICAL","OPEN","BLOCKED"))</x:f>
        <x:v>PASS</x:v>
      </x:c>
      <x:c r="G498" t="str">
        <x:v>equals</x:v>
      </x:c>
      <x:c r="H498" t="str">
        <x:f>IF(E498=F498,"PASS","FAIL")</x:f>
        <x:v>PASS</x:v>
      </x:c>
    </x:row>
    <x:row r="499">
      <x:c r="B499" t="str">
        <x:v>A-0469</x:v>
      </x:c>
      <x:c r="C499" t="str">
        <x:v>GATE</x:v>
      </x:c>
      <x:c r="D499" t="str">
        <x:v>release ledger mirrors governing state</x:v>
      </x:c>
      <x:c r="E499" t="str">
        <x:f>'Release Gates'!J475</x:f>
        <x:v>PASS</x:v>
      </x:c>
      <x:c r="F499" t="str">
        <x:f>IF('Release Gates'!C475="PLANNING","PASS",IF('Release Gates'!C475="PHYSICAL","OPEN","BLOCKED"))</x:f>
        <x:v>PASS</x:v>
      </x:c>
      <x:c r="G499" t="str">
        <x:v>equals</x:v>
      </x:c>
      <x:c r="H499" t="str">
        <x:f>IF(E499=F499,"PASS","FAIL")</x:f>
        <x:v>PASS</x:v>
      </x:c>
    </x:row>
    <x:row r="500">
      <x:c r="B500" t="str">
        <x:v>A-0470</x:v>
      </x:c>
      <x:c r="C500" t="str">
        <x:v>GATE</x:v>
      </x:c>
      <x:c r="D500" t="str">
        <x:v>release ledger mirrors governing state</x:v>
      </x:c>
      <x:c r="E500" t="str">
        <x:f>'Release Gates'!J476</x:f>
        <x:v>PASS</x:v>
      </x:c>
      <x:c r="F500" t="str">
        <x:f>IF('Release Gates'!C476="PLANNING","PASS",IF('Release Gates'!C476="PHYSICAL","OPEN","BLOCKED"))</x:f>
        <x:v>PASS</x:v>
      </x:c>
      <x:c r="G500" t="str">
        <x:v>equals</x:v>
      </x:c>
      <x:c r="H500" t="str">
        <x:f>IF(E500=F500,"PASS","FAIL")</x:f>
        <x:v>PASS</x:v>
      </x:c>
    </x:row>
    <x:row r="501">
      <x:c r="B501" t="str">
        <x:v>A-0471</x:v>
      </x:c>
      <x:c r="C501" t="str">
        <x:v>GATE</x:v>
      </x:c>
      <x:c r="D501" t="str">
        <x:v>release ledger mirrors governing state</x:v>
      </x:c>
      <x:c r="E501" t="str">
        <x:f>'Release Gates'!J477</x:f>
        <x:v>PASS</x:v>
      </x:c>
      <x:c r="F501" t="str">
        <x:f>IF('Release Gates'!C477="PLANNING","PASS",IF('Release Gates'!C477="PHYSICAL","OPEN","BLOCKED"))</x:f>
        <x:v>PASS</x:v>
      </x:c>
      <x:c r="G501" t="str">
        <x:v>equals</x:v>
      </x:c>
      <x:c r="H501" t="str">
        <x:f>IF(E501=F501,"PASS","FAIL")</x:f>
        <x:v>PASS</x:v>
      </x:c>
    </x:row>
    <x:row r="502">
      <x:c r="B502" t="str">
        <x:v>A-0472</x:v>
      </x:c>
      <x:c r="C502" t="str">
        <x:v>GATE</x:v>
      </x:c>
      <x:c r="D502" t="str">
        <x:v>release ledger mirrors governing state</x:v>
      </x:c>
      <x:c r="E502" t="str">
        <x:f>'Release Gates'!J478</x:f>
        <x:v>PASS</x:v>
      </x:c>
      <x:c r="F502" t="str">
        <x:f>IF('Release Gates'!C478="PLANNING","PASS",IF('Release Gates'!C478="PHYSICAL","OPEN","BLOCKED"))</x:f>
        <x:v>PASS</x:v>
      </x:c>
      <x:c r="G502" t="str">
        <x:v>equals</x:v>
      </x:c>
      <x:c r="H502" t="str">
        <x:f>IF(E502=F502,"PASS","FAIL")</x:f>
        <x:v>PASS</x:v>
      </x:c>
    </x:row>
    <x:row r="503">
      <x:c r="B503" t="str">
        <x:v>A-0473</x:v>
      </x:c>
      <x:c r="C503" t="str">
        <x:v>GATE</x:v>
      </x:c>
      <x:c r="D503" t="str">
        <x:v>release ledger mirrors governing state</x:v>
      </x:c>
      <x:c r="E503" t="str">
        <x:f>'Release Gates'!J479</x:f>
        <x:v>PASS</x:v>
      </x:c>
      <x:c r="F503" t="str">
        <x:f>IF('Release Gates'!C479="PLANNING","PASS",IF('Release Gates'!C479="PHYSICAL","OPEN","BLOCKED"))</x:f>
        <x:v>PASS</x:v>
      </x:c>
      <x:c r="G503" t="str">
        <x:v>equals</x:v>
      </x:c>
      <x:c r="H503" t="str">
        <x:f>IF(E503=F503,"PASS","FAIL")</x:f>
        <x:v>PASS</x:v>
      </x:c>
    </x:row>
    <x:row r="504">
      <x:c r="B504" t="str">
        <x:v>A-0474</x:v>
      </x:c>
      <x:c r="C504" t="str">
        <x:v>GATE</x:v>
      </x:c>
      <x:c r="D504" t="str">
        <x:v>release ledger mirrors governing state</x:v>
      </x:c>
      <x:c r="E504" t="str">
        <x:f>'Release Gates'!J480</x:f>
        <x:v>PASS</x:v>
      </x:c>
      <x:c r="F504" t="str">
        <x:f>IF('Release Gates'!C480="PLANNING","PASS",IF('Release Gates'!C480="PHYSICAL","OPEN","BLOCKED"))</x:f>
        <x:v>PASS</x:v>
      </x:c>
      <x:c r="G504" t="str">
        <x:v>equals</x:v>
      </x:c>
      <x:c r="H504" t="str">
        <x:f>IF(E504=F504,"PASS","FAIL")</x:f>
        <x:v>PASS</x:v>
      </x:c>
    </x:row>
    <x:row r="505">
      <x:c r="B505" t="str">
        <x:v>A-0475</x:v>
      </x:c>
      <x:c r="C505" t="str">
        <x:v>GATE</x:v>
      </x:c>
      <x:c r="D505" t="str">
        <x:v>release ledger mirrors governing state</x:v>
      </x:c>
      <x:c r="E505" t="str">
        <x:f>'Release Gates'!J481</x:f>
        <x:v>PASS</x:v>
      </x:c>
      <x:c r="F505" t="str">
        <x:f>IF('Release Gates'!C481="PLANNING","PASS",IF('Release Gates'!C481="PHYSICAL","OPEN","BLOCKED"))</x:f>
        <x:v>PASS</x:v>
      </x:c>
      <x:c r="G505" t="str">
        <x:v>equals</x:v>
      </x:c>
      <x:c r="H505" t="str">
        <x:f>IF(E505=F505,"PASS","FAIL")</x:f>
        <x:v>PASS</x:v>
      </x:c>
    </x:row>
    <x:row r="506">
      <x:c r="B506" t="str">
        <x:v>A-0476</x:v>
      </x:c>
      <x:c r="C506" t="str">
        <x:v>GATE</x:v>
      </x:c>
      <x:c r="D506" t="str">
        <x:v>release ledger mirrors governing state</x:v>
      </x:c>
      <x:c r="E506" t="str">
        <x:f>'Release Gates'!J482</x:f>
        <x:v>PASS</x:v>
      </x:c>
      <x:c r="F506" t="str">
        <x:f>IF('Release Gates'!C482="PLANNING","PASS",IF('Release Gates'!C482="PHYSICAL","OPEN","BLOCKED"))</x:f>
        <x:v>PASS</x:v>
      </x:c>
      <x:c r="G506" t="str">
        <x:v>equals</x:v>
      </x:c>
      <x:c r="H506" t="str">
        <x:f>IF(E506=F506,"PASS","FAIL")</x:f>
        <x:v>PASS</x:v>
      </x:c>
    </x:row>
    <x:row r="507">
      <x:c r="B507" t="str">
        <x:v>A-0477</x:v>
      </x:c>
      <x:c r="C507" t="str">
        <x:v>GATE</x:v>
      </x:c>
      <x:c r="D507" t="str">
        <x:v>release ledger mirrors governing state</x:v>
      </x:c>
      <x:c r="E507" t="str">
        <x:f>'Release Gates'!J483</x:f>
        <x:v>PASS</x:v>
      </x:c>
      <x:c r="F507" t="str">
        <x:f>IF('Release Gates'!C483="PLANNING","PASS",IF('Release Gates'!C483="PHYSICAL","OPEN","BLOCKED"))</x:f>
        <x:v>PASS</x:v>
      </x:c>
      <x:c r="G507" t="str">
        <x:v>equals</x:v>
      </x:c>
      <x:c r="H507" t="str">
        <x:f>IF(E507=F507,"PASS","FAIL")</x:f>
        <x:v>PASS</x:v>
      </x:c>
    </x:row>
    <x:row r="508">
      <x:c r="B508" t="str">
        <x:v>A-0478</x:v>
      </x:c>
      <x:c r="C508" t="str">
        <x:v>GATE</x:v>
      </x:c>
      <x:c r="D508" t="str">
        <x:v>release ledger mirrors governing state</x:v>
      </x:c>
      <x:c r="E508" t="str">
        <x:f>'Release Gates'!J484</x:f>
        <x:v>PASS</x:v>
      </x:c>
      <x:c r="F508" t="str">
        <x:f>IF('Release Gates'!C484="PLANNING","PASS",IF('Release Gates'!C484="PHYSICAL","OPEN","BLOCKED"))</x:f>
        <x:v>PASS</x:v>
      </x:c>
      <x:c r="G508" t="str">
        <x:v>equals</x:v>
      </x:c>
      <x:c r="H508" t="str">
        <x:f>IF(E508=F508,"PASS","FAIL")</x:f>
        <x:v>PASS</x:v>
      </x:c>
    </x:row>
    <x:row r="509">
      <x:c r="B509" t="str">
        <x:v>A-0479</x:v>
      </x:c>
      <x:c r="C509" t="str">
        <x:v>GATE</x:v>
      </x:c>
      <x:c r="D509" t="str">
        <x:v>release ledger mirrors governing state</x:v>
      </x:c>
      <x:c r="E509" t="str">
        <x:f>'Release Gates'!J485</x:f>
        <x:v>PASS</x:v>
      </x:c>
      <x:c r="F509" t="str">
        <x:f>IF('Release Gates'!C485="PLANNING","PASS",IF('Release Gates'!C485="PHYSICAL","OPEN","BLOCKED"))</x:f>
        <x:v>PASS</x:v>
      </x:c>
      <x:c r="G509" t="str">
        <x:v>equals</x:v>
      </x:c>
      <x:c r="H509" t="str">
        <x:f>IF(E509=F509,"PASS","FAIL")</x:f>
        <x:v>PASS</x:v>
      </x:c>
    </x:row>
    <x:row r="510">
      <x:c r="B510" t="str">
        <x:v>A-0480</x:v>
      </x:c>
      <x:c r="C510" t="str">
        <x:v>GATE</x:v>
      </x:c>
      <x:c r="D510" t="str">
        <x:v>release ledger mirrors governing state</x:v>
      </x:c>
      <x:c r="E510" t="str">
        <x:f>'Release Gates'!J486</x:f>
        <x:v>PASS</x:v>
      </x:c>
      <x:c r="F510" t="str">
        <x:f>IF('Release Gates'!C486="PLANNING","PASS",IF('Release Gates'!C486="PHYSICAL","OPEN","BLOCKED"))</x:f>
        <x:v>PASS</x:v>
      </x:c>
      <x:c r="G510" t="str">
        <x:v>equals</x:v>
      </x:c>
      <x:c r="H510" t="str">
        <x:f>IF(E510=F510,"PASS","FAIL")</x:f>
        <x:v>PASS</x:v>
      </x:c>
    </x:row>
    <x:row r="511">
      <x:c r="B511" t="str">
        <x:v>A-0481</x:v>
      </x:c>
      <x:c r="C511" t="str">
        <x:v>GATE</x:v>
      </x:c>
      <x:c r="D511" t="str">
        <x:v>release ledger mirrors governing state</x:v>
      </x:c>
      <x:c r="E511" t="str">
        <x:f>'Release Gates'!J487</x:f>
        <x:v>PASS</x:v>
      </x:c>
      <x:c r="F511" t="str">
        <x:f>IF('Release Gates'!C487="PLANNING","PASS",IF('Release Gates'!C487="PHYSICAL","OPEN","BLOCKED"))</x:f>
        <x:v>PASS</x:v>
      </x:c>
      <x:c r="G511" t="str">
        <x:v>equals</x:v>
      </x:c>
      <x:c r="H511" t="str">
        <x:f>IF(E511=F511,"PASS","FAIL")</x:f>
        <x:v>PASS</x:v>
      </x:c>
    </x:row>
    <x:row r="512">
      <x:c r="B512" t="str">
        <x:v>A-0482</x:v>
      </x:c>
      <x:c r="C512" t="str">
        <x:v>GATE</x:v>
      </x:c>
      <x:c r="D512" t="str">
        <x:v>release ledger mirrors governing state</x:v>
      </x:c>
      <x:c r="E512" t="str">
        <x:f>'Release Gates'!J488</x:f>
        <x:v>PASS</x:v>
      </x:c>
      <x:c r="F512" t="str">
        <x:f>IF('Release Gates'!C488="PLANNING","PASS",IF('Release Gates'!C488="PHYSICAL","OPEN","BLOCKED"))</x:f>
        <x:v>PASS</x:v>
      </x:c>
      <x:c r="G512" t="str">
        <x:v>equals</x:v>
      </x:c>
      <x:c r="H512" t="str">
        <x:f>IF(E512=F512,"PASS","FAIL")</x:f>
        <x:v>PASS</x:v>
      </x:c>
    </x:row>
    <x:row r="513">
      <x:c r="B513" t="str">
        <x:v>A-0483</x:v>
      </x:c>
      <x:c r="C513" t="str">
        <x:v>GATE</x:v>
      </x:c>
      <x:c r="D513" t="str">
        <x:v>release ledger mirrors governing state</x:v>
      </x:c>
      <x:c r="E513" t="str">
        <x:f>'Release Gates'!J489</x:f>
        <x:v>PASS</x:v>
      </x:c>
      <x:c r="F513" t="str">
        <x:f>IF('Release Gates'!C489="PLANNING","PASS",IF('Release Gates'!C489="PHYSICAL","OPEN","BLOCKED"))</x:f>
        <x:v>PASS</x:v>
      </x:c>
      <x:c r="G513" t="str">
        <x:v>equals</x:v>
      </x:c>
      <x:c r="H513" t="str">
        <x:f>IF(E513=F513,"PASS","FAIL")</x:f>
        <x:v>PASS</x:v>
      </x:c>
    </x:row>
    <x:row r="514">
      <x:c r="B514" t="str">
        <x:v>A-0484</x:v>
      </x:c>
      <x:c r="C514" t="str">
        <x:v>GATE</x:v>
      </x:c>
      <x:c r="D514" t="str">
        <x:v>release ledger mirrors governing state</x:v>
      </x:c>
      <x:c r="E514" t="str">
        <x:f>'Release Gates'!J490</x:f>
        <x:v>PASS</x:v>
      </x:c>
      <x:c r="F514" t="str">
        <x:f>IF('Release Gates'!C490="PLANNING","PASS",IF('Release Gates'!C490="PHYSICAL","OPEN","BLOCKED"))</x:f>
        <x:v>PASS</x:v>
      </x:c>
      <x:c r="G514" t="str">
        <x:v>equals</x:v>
      </x:c>
      <x:c r="H514" t="str">
        <x:f>IF(E514=F514,"PASS","FAIL")</x:f>
        <x:v>PASS</x:v>
      </x:c>
    </x:row>
    <x:row r="515">
      <x:c r="B515" t="str">
        <x:v>A-0485</x:v>
      </x:c>
      <x:c r="C515" t="str">
        <x:v>GATE</x:v>
      </x:c>
      <x:c r="D515" t="str">
        <x:v>release ledger mirrors governing state</x:v>
      </x:c>
      <x:c r="E515" t="str">
        <x:f>'Release Gates'!J491</x:f>
        <x:v>PASS</x:v>
      </x:c>
      <x:c r="F515" t="str">
        <x:f>IF('Release Gates'!C491="PLANNING","PASS",IF('Release Gates'!C491="PHYSICAL","OPEN","BLOCKED"))</x:f>
        <x:v>PASS</x:v>
      </x:c>
      <x:c r="G515" t="str">
        <x:v>equals</x:v>
      </x:c>
      <x:c r="H515" t="str">
        <x:f>IF(E515=F515,"PASS","FAIL")</x:f>
        <x:v>PASS</x:v>
      </x:c>
    </x:row>
    <x:row r="516">
      <x:c r="B516" t="str">
        <x:v>A-0486</x:v>
      </x:c>
      <x:c r="C516" t="str">
        <x:v>GATE</x:v>
      </x:c>
      <x:c r="D516" t="str">
        <x:v>release ledger mirrors governing state</x:v>
      </x:c>
      <x:c r="E516" t="str">
        <x:f>'Release Gates'!J492</x:f>
        <x:v>PASS</x:v>
      </x:c>
      <x:c r="F516" t="str">
        <x:f>IF('Release Gates'!C492="PLANNING","PASS",IF('Release Gates'!C492="PHYSICAL","OPEN","BLOCKED"))</x:f>
        <x:v>PASS</x:v>
      </x:c>
      <x:c r="G516" t="str">
        <x:v>equals</x:v>
      </x:c>
      <x:c r="H516" t="str">
        <x:f>IF(E516=F516,"PASS","FAIL")</x:f>
        <x:v>PASS</x:v>
      </x:c>
    </x:row>
    <x:row r="517">
      <x:c r="B517" t="str">
        <x:v>A-0487</x:v>
      </x:c>
      <x:c r="C517" t="str">
        <x:v>GATE</x:v>
      </x:c>
      <x:c r="D517" t="str">
        <x:v>release ledger mirrors governing state</x:v>
      </x:c>
      <x:c r="E517" t="str">
        <x:f>'Release Gates'!J493</x:f>
        <x:v>PASS</x:v>
      </x:c>
      <x:c r="F517" t="str">
        <x:f>IF('Release Gates'!C493="PLANNING","PASS",IF('Release Gates'!C493="PHYSICAL","OPEN","BLOCKED"))</x:f>
        <x:v>PASS</x:v>
      </x:c>
      <x:c r="G517" t="str">
        <x:v>equals</x:v>
      </x:c>
      <x:c r="H517" t="str">
        <x:f>IF(E517=F517,"PASS","FAIL")</x:f>
        <x:v>PASS</x:v>
      </x:c>
    </x:row>
    <x:row r="518">
      <x:c r="B518" t="str">
        <x:v>A-0488</x:v>
      </x:c>
      <x:c r="C518" t="str">
        <x:v>GATE</x:v>
      </x:c>
      <x:c r="D518" t="str">
        <x:v>release ledger mirrors governing state</x:v>
      </x:c>
      <x:c r="E518" t="str">
        <x:f>'Release Gates'!J494</x:f>
        <x:v>PASS</x:v>
      </x:c>
      <x:c r="F518" t="str">
        <x:f>IF('Release Gates'!C494="PLANNING","PASS",IF('Release Gates'!C494="PHYSICAL","OPEN","BLOCKED"))</x:f>
        <x:v>PASS</x:v>
      </x:c>
      <x:c r="G518" t="str">
        <x:v>equals</x:v>
      </x:c>
      <x:c r="H518" t="str">
        <x:f>IF(E518=F518,"PASS","FAIL")</x:f>
        <x:v>PASS</x:v>
      </x:c>
    </x:row>
    <x:row r="519">
      <x:c r="B519" t="str">
        <x:v>A-0489</x:v>
      </x:c>
      <x:c r="C519" t="str">
        <x:v>GATE</x:v>
      </x:c>
      <x:c r="D519" t="str">
        <x:v>release ledger mirrors governing state</x:v>
      </x:c>
      <x:c r="E519" t="str">
        <x:f>'Release Gates'!J495</x:f>
        <x:v>PASS</x:v>
      </x:c>
      <x:c r="F519" t="str">
        <x:f>IF('Release Gates'!C495="PLANNING","PASS",IF('Release Gates'!C495="PHYSICAL","OPEN","BLOCKED"))</x:f>
        <x:v>PASS</x:v>
      </x:c>
      <x:c r="G519" t="str">
        <x:v>equals</x:v>
      </x:c>
      <x:c r="H519" t="str">
        <x:f>IF(E519=F519,"PASS","FAIL")</x:f>
        <x:v>PASS</x:v>
      </x:c>
    </x:row>
    <x:row r="520">
      <x:c r="B520" t="str">
        <x:v>A-0490</x:v>
      </x:c>
      <x:c r="C520" t="str">
        <x:v>GATE</x:v>
      </x:c>
      <x:c r="D520" t="str">
        <x:v>release ledger mirrors governing state</x:v>
      </x:c>
      <x:c r="E520" t="str">
        <x:f>'Release Gates'!J496</x:f>
        <x:v>PASS</x:v>
      </x:c>
      <x:c r="F520" t="str">
        <x:f>IF('Release Gates'!C496="PLANNING","PASS",IF('Release Gates'!C496="PHYSICAL","OPEN","BLOCKED"))</x:f>
        <x:v>PASS</x:v>
      </x:c>
      <x:c r="G520" t="str">
        <x:v>equals</x:v>
      </x:c>
      <x:c r="H520" t="str">
        <x:f>IF(E520=F520,"PASS","FAIL")</x:f>
        <x:v>PASS</x:v>
      </x:c>
    </x:row>
    <x:row r="521">
      <x:c r="B521" t="str">
        <x:v>A-0491</x:v>
      </x:c>
      <x:c r="C521" t="str">
        <x:v>GATE</x:v>
      </x:c>
      <x:c r="D521" t="str">
        <x:v>release ledger mirrors governing state</x:v>
      </x:c>
      <x:c r="E521" t="str">
        <x:f>'Release Gates'!J497</x:f>
        <x:v>PASS</x:v>
      </x:c>
      <x:c r="F521" t="str">
        <x:f>IF('Release Gates'!C497="PLANNING","PASS",IF('Release Gates'!C497="PHYSICAL","OPEN","BLOCKED"))</x:f>
        <x:v>PASS</x:v>
      </x:c>
      <x:c r="G521" t="str">
        <x:v>equals</x:v>
      </x:c>
      <x:c r="H521" t="str">
        <x:f>IF(E521=F521,"PASS","FAIL")</x:f>
        <x:v>PASS</x:v>
      </x:c>
    </x:row>
    <x:row r="522">
      <x:c r="B522" t="str">
        <x:v>A-0492</x:v>
      </x:c>
      <x:c r="C522" t="str">
        <x:v>GATE</x:v>
      </x:c>
      <x:c r="D522" t="str">
        <x:v>release ledger mirrors governing state</x:v>
      </x:c>
      <x:c r="E522" t="str">
        <x:f>'Release Gates'!J498</x:f>
        <x:v>PASS</x:v>
      </x:c>
      <x:c r="F522" t="str">
        <x:f>IF('Release Gates'!C498="PLANNING","PASS",IF('Release Gates'!C498="PHYSICAL","OPEN","BLOCKED"))</x:f>
        <x:v>PASS</x:v>
      </x:c>
      <x:c r="G522" t="str">
        <x:v>equals</x:v>
      </x:c>
      <x:c r="H522" t="str">
        <x:f>IF(E522=F522,"PASS","FAIL")</x:f>
        <x:v>PASS</x:v>
      </x:c>
    </x:row>
    <x:row r="523">
      <x:c r="B523" t="str">
        <x:v>A-0493</x:v>
      </x:c>
      <x:c r="C523" t="str">
        <x:v>GATE</x:v>
      </x:c>
      <x:c r="D523" t="str">
        <x:v>release ledger mirrors governing state</x:v>
      </x:c>
      <x:c r="E523" t="str">
        <x:f>'Release Gates'!J499</x:f>
        <x:v>PASS</x:v>
      </x:c>
      <x:c r="F523" t="str">
        <x:f>IF('Release Gates'!C499="PLANNING","PASS",IF('Release Gates'!C499="PHYSICAL","OPEN","BLOCKED"))</x:f>
        <x:v>PASS</x:v>
      </x:c>
      <x:c r="G523" t="str">
        <x:v>equals</x:v>
      </x:c>
      <x:c r="H523" t="str">
        <x:f>IF(E523=F523,"PASS","FAIL")</x:f>
        <x:v>PASS</x:v>
      </x:c>
    </x:row>
    <x:row r="524">
      <x:c r="B524" t="str">
        <x:v>A-0494</x:v>
      </x:c>
      <x:c r="C524" t="str">
        <x:v>GATE</x:v>
      </x:c>
      <x:c r="D524" t="str">
        <x:v>release ledger mirrors governing state</x:v>
      </x:c>
      <x:c r="E524" t="str">
        <x:f>'Release Gates'!J500</x:f>
        <x:v>PASS</x:v>
      </x:c>
      <x:c r="F524" t="str">
        <x:f>IF('Release Gates'!C500="PLANNING","PASS",IF('Release Gates'!C500="PHYSICAL","OPEN","BLOCKED"))</x:f>
        <x:v>PASS</x:v>
      </x:c>
      <x:c r="G524" t="str">
        <x:v>equals</x:v>
      </x:c>
      <x:c r="H524" t="str">
        <x:f>IF(E524=F524,"PASS","FAIL")</x:f>
        <x:v>PASS</x:v>
      </x:c>
    </x:row>
    <x:row r="525">
      <x:c r="B525" t="str">
        <x:v>A-0495</x:v>
      </x:c>
      <x:c r="C525" t="str">
        <x:v>GATE</x:v>
      </x:c>
      <x:c r="D525" t="str">
        <x:v>release ledger mirrors governing state</x:v>
      </x:c>
      <x:c r="E525" t="str">
        <x:f>'Release Gates'!J501</x:f>
        <x:v>PASS</x:v>
      </x:c>
      <x:c r="F525" t="str">
        <x:f>IF('Release Gates'!C501="PLANNING","PASS",IF('Release Gates'!C501="PHYSICAL","OPEN","BLOCKED"))</x:f>
        <x:v>PASS</x:v>
      </x:c>
      <x:c r="G525" t="str">
        <x:v>equals</x:v>
      </x:c>
      <x:c r="H525" t="str">
        <x:f>IF(E525=F525,"PASS","FAIL")</x:f>
        <x:v>PASS</x:v>
      </x:c>
    </x:row>
    <x:row r="526">
      <x:c r="B526" t="str">
        <x:v>A-0496</x:v>
      </x:c>
      <x:c r="C526" t="str">
        <x:v>GATE</x:v>
      </x:c>
      <x:c r="D526" t="str">
        <x:v>release ledger mirrors governing state</x:v>
      </x:c>
      <x:c r="E526" t="str">
        <x:f>'Release Gates'!J502</x:f>
        <x:v>PASS</x:v>
      </x:c>
      <x:c r="F526" t="str">
        <x:f>IF('Release Gates'!C502="PLANNING","PASS",IF('Release Gates'!C502="PHYSICAL","OPEN","BLOCKED"))</x:f>
        <x:v>PASS</x:v>
      </x:c>
      <x:c r="G526" t="str">
        <x:v>equals</x:v>
      </x:c>
      <x:c r="H526" t="str">
        <x:f>IF(E526=F526,"PASS","FAIL")</x:f>
        <x:v>PASS</x:v>
      </x:c>
    </x:row>
    <x:row r="527">
      <x:c r="B527" t="str">
        <x:v>A-0497</x:v>
      </x:c>
      <x:c r="C527" t="str">
        <x:v>GATE</x:v>
      </x:c>
      <x:c r="D527" t="str">
        <x:v>release ledger mirrors governing state</x:v>
      </x:c>
      <x:c r="E527" t="str">
        <x:f>'Release Gates'!J503</x:f>
        <x:v>PASS</x:v>
      </x:c>
      <x:c r="F527" t="str">
        <x:f>IF('Release Gates'!C503="PLANNING","PASS",IF('Release Gates'!C503="PHYSICAL","OPEN","BLOCKED"))</x:f>
        <x:v>PASS</x:v>
      </x:c>
      <x:c r="G527" t="str">
        <x:v>equals</x:v>
      </x:c>
      <x:c r="H527" t="str">
        <x:f>IF(E527=F527,"PASS","FAIL")</x:f>
        <x:v>PASS</x:v>
      </x:c>
    </x:row>
    <x:row r="528">
      <x:c r="B528" t="str">
        <x:v>A-0498</x:v>
      </x:c>
      <x:c r="C528" t="str">
        <x:v>GATE</x:v>
      </x:c>
      <x:c r="D528" t="str">
        <x:v>release ledger mirrors governing state</x:v>
      </x:c>
      <x:c r="E528" t="str">
        <x:f>'Release Gates'!J504</x:f>
        <x:v>PASS</x:v>
      </x:c>
      <x:c r="F528" t="str">
        <x:f>IF('Release Gates'!C504="PLANNING","PASS",IF('Release Gates'!C504="PHYSICAL","OPEN","BLOCKED"))</x:f>
        <x:v>PASS</x:v>
      </x:c>
      <x:c r="G528" t="str">
        <x:v>equals</x:v>
      </x:c>
      <x:c r="H528" t="str">
        <x:f>IF(E528=F528,"PASS","FAIL")</x:f>
        <x:v>PASS</x:v>
      </x:c>
    </x:row>
    <x:row r="529">
      <x:c r="B529" t="str">
        <x:v>A-0499</x:v>
      </x:c>
      <x:c r="C529" t="str">
        <x:v>GATE</x:v>
      </x:c>
      <x:c r="D529" t="str">
        <x:v>release ledger mirrors governing state</x:v>
      </x:c>
      <x:c r="E529" t="str">
        <x:f>'Release Gates'!J505</x:f>
        <x:v>PASS</x:v>
      </x:c>
      <x:c r="F529" t="str">
        <x:f>IF('Release Gates'!C505="PLANNING","PASS",IF('Release Gates'!C505="PHYSICAL","OPEN","BLOCKED"))</x:f>
        <x:v>PASS</x:v>
      </x:c>
      <x:c r="G529" t="str">
        <x:v>equals</x:v>
      </x:c>
      <x:c r="H529" t="str">
        <x:f>IF(E529=F529,"PASS","FAIL")</x:f>
        <x:v>PASS</x:v>
      </x:c>
    </x:row>
    <x:row r="530">
      <x:c r="B530" t="str">
        <x:v>A-0500</x:v>
      </x:c>
      <x:c r="C530" t="str">
        <x:v>GATE</x:v>
      </x:c>
      <x:c r="D530" t="str">
        <x:v>release ledger mirrors governing state</x:v>
      </x:c>
      <x:c r="E530" t="str">
        <x:f>'Release Gates'!J506</x:f>
        <x:v>PASS</x:v>
      </x:c>
      <x:c r="F530" t="str">
        <x:f>IF('Release Gates'!C506="PLANNING","PASS",IF('Release Gates'!C506="PHYSICAL","OPEN","BLOCKED"))</x:f>
        <x:v>PASS</x:v>
      </x:c>
      <x:c r="G530" t="str">
        <x:v>equals</x:v>
      </x:c>
      <x:c r="H530" t="str">
        <x:f>IF(E530=F530,"PASS","FAIL")</x:f>
        <x:v>PASS</x:v>
      </x:c>
    </x:row>
    <x:row r="531">
      <x:c r="B531" t="str">
        <x:v>A-0501</x:v>
      </x:c>
      <x:c r="C531" t="str">
        <x:v>GATE</x:v>
      </x:c>
      <x:c r="D531" t="str">
        <x:v>release ledger mirrors governing state</x:v>
      </x:c>
      <x:c r="E531" t="str">
        <x:f>'Release Gates'!J507</x:f>
        <x:v>PASS</x:v>
      </x:c>
      <x:c r="F531" t="str">
        <x:f>IF('Release Gates'!C507="PLANNING","PASS",IF('Release Gates'!C507="PHYSICAL","OPEN","BLOCKED"))</x:f>
        <x:v>PASS</x:v>
      </x:c>
      <x:c r="G531" t="str">
        <x:v>equals</x:v>
      </x:c>
      <x:c r="H531" t="str">
        <x:f>IF(E531=F531,"PASS","FAIL")</x:f>
        <x:v>PASS</x:v>
      </x:c>
    </x:row>
    <x:row r="532">
      <x:c r="B532" t="str">
        <x:v>A-0502</x:v>
      </x:c>
      <x:c r="C532" t="str">
        <x:v>GATE</x:v>
      </x:c>
      <x:c r="D532" t="str">
        <x:v>release ledger mirrors governing state</x:v>
      </x:c>
      <x:c r="E532" t="str">
        <x:f>'Release Gates'!J508</x:f>
        <x:v>PASS</x:v>
      </x:c>
      <x:c r="F532" t="str">
        <x:f>IF('Release Gates'!C508="PLANNING","PASS",IF('Release Gates'!C508="PHYSICAL","OPEN","BLOCKED"))</x:f>
        <x:v>PASS</x:v>
      </x:c>
      <x:c r="G532" t="str">
        <x:v>equals</x:v>
      </x:c>
      <x:c r="H532" t="str">
        <x:f>IF(E532=F532,"PASS","FAIL")</x:f>
        <x:v>PASS</x:v>
      </x:c>
    </x:row>
    <x:row r="533">
      <x:c r="B533" t="str">
        <x:v>A-0503</x:v>
      </x:c>
      <x:c r="C533" t="str">
        <x:v>GATE</x:v>
      </x:c>
      <x:c r="D533" t="str">
        <x:v>release ledger mirrors governing state</x:v>
      </x:c>
      <x:c r="E533" t="str">
        <x:f>'Release Gates'!J509</x:f>
        <x:v>PASS</x:v>
      </x:c>
      <x:c r="F533" t="str">
        <x:f>IF('Release Gates'!C509="PLANNING","PASS",IF('Release Gates'!C509="PHYSICAL","OPEN","BLOCKED"))</x:f>
        <x:v>PASS</x:v>
      </x:c>
      <x:c r="G533" t="str">
        <x:v>equals</x:v>
      </x:c>
      <x:c r="H533" t="str">
        <x:f>IF(E533=F533,"PASS","FAIL")</x:f>
        <x:v>PASS</x:v>
      </x:c>
    </x:row>
    <x:row r="534">
      <x:c r="B534" t="str">
        <x:v>A-0504</x:v>
      </x:c>
      <x:c r="C534" t="str">
        <x:v>GATE</x:v>
      </x:c>
      <x:c r="D534" t="str">
        <x:v>release ledger mirrors governing state</x:v>
      </x:c>
      <x:c r="E534" t="str">
        <x:f>'Release Gates'!J510</x:f>
        <x:v>PASS</x:v>
      </x:c>
      <x:c r="F534" t="str">
        <x:f>IF('Release Gates'!C510="PLANNING","PASS",IF('Release Gates'!C510="PHYSICAL","OPEN","BLOCKED"))</x:f>
        <x:v>PASS</x:v>
      </x:c>
      <x:c r="G534" t="str">
        <x:v>equals</x:v>
      </x:c>
      <x:c r="H534" t="str">
        <x:f>IF(E534=F534,"PASS","FAIL")</x:f>
        <x:v>PASS</x:v>
      </x:c>
    </x:row>
    <x:row r="535">
      <x:c r="B535" t="str">
        <x:v>A-0505</x:v>
      </x:c>
      <x:c r="C535" t="str">
        <x:v>GATE</x:v>
      </x:c>
      <x:c r="D535" t="str">
        <x:v>release ledger mirrors governing state</x:v>
      </x:c>
      <x:c r="E535" t="str">
        <x:f>'Release Gates'!J511</x:f>
        <x:v>PASS</x:v>
      </x:c>
      <x:c r="F535" t="str">
        <x:f>IF('Release Gates'!C511="PLANNING","PASS",IF('Release Gates'!C511="PHYSICAL","OPEN","BLOCKED"))</x:f>
        <x:v>PASS</x:v>
      </x:c>
      <x:c r="G535" t="str">
        <x:v>equals</x:v>
      </x:c>
      <x:c r="H535" t="str">
        <x:f>IF(E535=F535,"PASS","FAIL")</x:f>
        <x:v>PASS</x:v>
      </x:c>
    </x:row>
    <x:row r="536">
      <x:c r="B536" t="str">
        <x:v>A-0506</x:v>
      </x:c>
      <x:c r="C536" t="str">
        <x:v>GATE</x:v>
      </x:c>
      <x:c r="D536" t="str">
        <x:v>release ledger mirrors governing state</x:v>
      </x:c>
      <x:c r="E536" t="str">
        <x:f>'Release Gates'!J512</x:f>
        <x:v>PASS</x:v>
      </x:c>
      <x:c r="F536" t="str">
        <x:f>IF('Release Gates'!C512="PLANNING","PASS",IF('Release Gates'!C512="PHYSICAL","OPEN","BLOCKED"))</x:f>
        <x:v>PASS</x:v>
      </x:c>
      <x:c r="G536" t="str">
        <x:v>equals</x:v>
      </x:c>
      <x:c r="H536" t="str">
        <x:f>IF(E536=F536,"PASS","FAIL")</x:f>
        <x:v>PASS</x:v>
      </x:c>
    </x:row>
    <x:row r="537">
      <x:c r="B537" t="str">
        <x:v>A-0507</x:v>
      </x:c>
      <x:c r="C537" t="str">
        <x:v>GATE</x:v>
      </x:c>
      <x:c r="D537" t="str">
        <x:v>release ledger mirrors governing state</x:v>
      </x:c>
      <x:c r="E537" t="str">
        <x:f>'Release Gates'!J513</x:f>
        <x:v>PASS</x:v>
      </x:c>
      <x:c r="F537" t="str">
        <x:f>IF('Release Gates'!C513="PLANNING","PASS",IF('Release Gates'!C513="PHYSICAL","OPEN","BLOCKED"))</x:f>
        <x:v>PASS</x:v>
      </x:c>
      <x:c r="G537" t="str">
        <x:v>equals</x:v>
      </x:c>
      <x:c r="H537" t="str">
        <x:f>IF(E537=F537,"PASS","FAIL")</x:f>
        <x:v>PASS</x:v>
      </x:c>
    </x:row>
    <x:row r="538">
      <x:c r="B538" t="str">
        <x:v>A-0508</x:v>
      </x:c>
      <x:c r="C538" t="str">
        <x:v>GATE</x:v>
      </x:c>
      <x:c r="D538" t="str">
        <x:v>release ledger mirrors governing state</x:v>
      </x:c>
      <x:c r="E538" t="str">
        <x:f>'Release Gates'!J514</x:f>
        <x:v>PASS</x:v>
      </x:c>
      <x:c r="F538" t="str">
        <x:f>IF('Release Gates'!C514="PLANNING","PASS",IF('Release Gates'!C514="PHYSICAL","OPEN","BLOCKED"))</x:f>
        <x:v>PASS</x:v>
      </x:c>
      <x:c r="G538" t="str">
        <x:v>equals</x:v>
      </x:c>
      <x:c r="H538" t="str">
        <x:f>IF(E538=F538,"PASS","FAIL")</x:f>
        <x:v>PASS</x:v>
      </x:c>
    </x:row>
    <x:row r="539">
      <x:c r="B539" t="str">
        <x:v>A-0509</x:v>
      </x:c>
      <x:c r="C539" t="str">
        <x:v>GATE</x:v>
      </x:c>
      <x:c r="D539" t="str">
        <x:v>release ledger mirrors governing state</x:v>
      </x:c>
      <x:c r="E539" t="str">
        <x:f>'Release Gates'!J515</x:f>
        <x:v>PASS</x:v>
      </x:c>
      <x:c r="F539" t="str">
        <x:f>IF('Release Gates'!C515="PLANNING","PASS",IF('Release Gates'!C515="PHYSICAL","OPEN","BLOCKED"))</x:f>
        <x:v>PASS</x:v>
      </x:c>
      <x:c r="G539" t="str">
        <x:v>equals</x:v>
      </x:c>
      <x:c r="H539" t="str">
        <x:f>IF(E539=F539,"PASS","FAIL")</x:f>
        <x:v>PASS</x:v>
      </x:c>
    </x:row>
    <x:row r="540">
      <x:c r="B540" t="str">
        <x:v>A-0510</x:v>
      </x:c>
      <x:c r="C540" t="str">
        <x:v>GATE</x:v>
      </x:c>
      <x:c r="D540" t="str">
        <x:v>release ledger mirrors governing state</x:v>
      </x:c>
      <x:c r="E540" t="str">
        <x:f>'Release Gates'!J516</x:f>
        <x:v>PASS</x:v>
      </x:c>
      <x:c r="F540" t="str">
        <x:f>IF('Release Gates'!C516="PLANNING","PASS",IF('Release Gates'!C516="PHYSICAL","OPEN","BLOCKED"))</x:f>
        <x:v>PASS</x:v>
      </x:c>
      <x:c r="G540" t="str">
        <x:v>equals</x:v>
      </x:c>
      <x:c r="H540" t="str">
        <x:f>IF(E540=F540,"PASS","FAIL")</x:f>
        <x:v>PASS</x:v>
      </x:c>
    </x:row>
    <x:row r="541">
      <x:c r="B541" t="str">
        <x:v>A-0511</x:v>
      </x:c>
      <x:c r="C541" t="str">
        <x:v>GATE</x:v>
      </x:c>
      <x:c r="D541" t="str">
        <x:v>release ledger mirrors governing state</x:v>
      </x:c>
      <x:c r="E541" t="str">
        <x:f>'Release Gates'!J517</x:f>
        <x:v>PASS</x:v>
      </x:c>
      <x:c r="F541" t="str">
        <x:f>IF('Release Gates'!C517="PLANNING","PASS",IF('Release Gates'!C517="PHYSICAL","OPEN","BLOCKED"))</x:f>
        <x:v>PASS</x:v>
      </x:c>
      <x:c r="G541" t="str">
        <x:v>equals</x:v>
      </x:c>
      <x:c r="H541" t="str">
        <x:f>IF(E541=F541,"PASS","FAIL")</x:f>
        <x:v>PASS</x:v>
      </x:c>
    </x:row>
    <x:row r="542">
      <x:c r="B542" t="str">
        <x:v>A-0512</x:v>
      </x:c>
      <x:c r="C542" t="str">
        <x:v>GATE</x:v>
      </x:c>
      <x:c r="D542" t="str">
        <x:v>release ledger mirrors governing state</x:v>
      </x:c>
      <x:c r="E542" t="str">
        <x:f>'Release Gates'!J518</x:f>
        <x:v>PASS</x:v>
      </x:c>
      <x:c r="F542" t="str">
        <x:f>IF('Release Gates'!C518="PLANNING","PASS",IF('Release Gates'!C518="PHYSICAL","OPEN","BLOCKED"))</x:f>
        <x:v>PASS</x:v>
      </x:c>
      <x:c r="G542" t="str">
        <x:v>equals</x:v>
      </x:c>
      <x:c r="H542" t="str">
        <x:f>IF(E542=F542,"PASS","FAIL")</x:f>
        <x:v>PASS</x:v>
      </x:c>
    </x:row>
    <x:row r="543">
      <x:c r="B543" t="str">
        <x:v>A-0513</x:v>
      </x:c>
      <x:c r="C543" t="str">
        <x:v>GATE</x:v>
      </x:c>
      <x:c r="D543" t="str">
        <x:v>release ledger mirrors governing state</x:v>
      </x:c>
      <x:c r="E543" t="str">
        <x:f>'Release Gates'!J519</x:f>
        <x:v>PASS</x:v>
      </x:c>
      <x:c r="F543" t="str">
        <x:f>IF('Release Gates'!C519="PLANNING","PASS",IF('Release Gates'!C519="PHYSICAL","OPEN","BLOCKED"))</x:f>
        <x:v>PASS</x:v>
      </x:c>
      <x:c r="G543" t="str">
        <x:v>equals</x:v>
      </x:c>
      <x:c r="H543" t="str">
        <x:f>IF(E543=F543,"PASS","FAIL")</x:f>
        <x:v>PASS</x:v>
      </x:c>
    </x:row>
    <x:row r="544">
      <x:c r="B544" t="str">
        <x:v>A-0514</x:v>
      </x:c>
      <x:c r="C544" t="str">
        <x:v>GATE</x:v>
      </x:c>
      <x:c r="D544" t="str">
        <x:v>release ledger mirrors governing state</x:v>
      </x:c>
      <x:c r="E544" t="str">
        <x:f>'Release Gates'!J520</x:f>
        <x:v>PASS</x:v>
      </x:c>
      <x:c r="F544" t="str">
        <x:f>IF('Release Gates'!C520="PLANNING","PASS",IF('Release Gates'!C520="PHYSICAL","OPEN","BLOCKED"))</x:f>
        <x:v>PASS</x:v>
      </x:c>
      <x:c r="G544" t="str">
        <x:v>equals</x:v>
      </x:c>
      <x:c r="H544" t="str">
        <x:f>IF(E544=F544,"PASS","FAIL")</x:f>
        <x:v>PASS</x:v>
      </x:c>
    </x:row>
    <x:row r="545">
      <x:c r="B545" t="str">
        <x:v>A-0515</x:v>
      </x:c>
      <x:c r="C545" t="str">
        <x:v>GATE</x:v>
      </x:c>
      <x:c r="D545" t="str">
        <x:v>release ledger mirrors governing state</x:v>
      </x:c>
      <x:c r="E545" t="str">
        <x:f>'Release Gates'!J521</x:f>
        <x:v>PASS</x:v>
      </x:c>
      <x:c r="F545" t="str">
        <x:f>IF('Release Gates'!C521="PLANNING","PASS",IF('Release Gates'!C521="PHYSICAL","OPEN","BLOCKED"))</x:f>
        <x:v>PASS</x:v>
      </x:c>
      <x:c r="G545" t="str">
        <x:v>equals</x:v>
      </x:c>
      <x:c r="H545" t="str">
        <x:f>IF(E545=F545,"PASS","FAIL")</x:f>
        <x:v>PASS</x:v>
      </x:c>
    </x:row>
    <x:row r="546">
      <x:c r="B546" t="str">
        <x:v>A-0516</x:v>
      </x:c>
      <x:c r="C546" t="str">
        <x:v>GATE</x:v>
      </x:c>
      <x:c r="D546" t="str">
        <x:v>release ledger mirrors governing state</x:v>
      </x:c>
      <x:c r="E546" t="str">
        <x:f>'Release Gates'!J522</x:f>
        <x:v>PASS</x:v>
      </x:c>
      <x:c r="F546" t="str">
        <x:f>IF('Release Gates'!C522="PLANNING","PASS",IF('Release Gates'!C522="PHYSICAL","OPEN","BLOCKED"))</x:f>
        <x:v>PASS</x:v>
      </x:c>
      <x:c r="G546" t="str">
        <x:v>equals</x:v>
      </x:c>
      <x:c r="H546" t="str">
        <x:f>IF(E546=F546,"PASS","FAIL")</x:f>
        <x:v>PASS</x:v>
      </x:c>
    </x:row>
    <x:row r="547">
      <x:c r="B547" t="str">
        <x:v>A-0517</x:v>
      </x:c>
      <x:c r="C547" t="str">
        <x:v>GATE</x:v>
      </x:c>
      <x:c r="D547" t="str">
        <x:v>release ledger mirrors governing state</x:v>
      </x:c>
      <x:c r="E547" t="str">
        <x:f>'Release Gates'!J523</x:f>
        <x:v>PASS</x:v>
      </x:c>
      <x:c r="F547" t="str">
        <x:f>IF('Release Gates'!C523="PLANNING","PASS",IF('Release Gates'!C523="PHYSICAL","OPEN","BLOCKED"))</x:f>
        <x:v>PASS</x:v>
      </x:c>
      <x:c r="G547" t="str">
        <x:v>equals</x:v>
      </x:c>
      <x:c r="H547" t="str">
        <x:f>IF(E547=F547,"PASS","FAIL")</x:f>
        <x:v>PASS</x:v>
      </x:c>
    </x:row>
    <x:row r="548">
      <x:c r="B548" t="str">
        <x:v>A-0518</x:v>
      </x:c>
      <x:c r="C548" t="str">
        <x:v>GATE</x:v>
      </x:c>
      <x:c r="D548" t="str">
        <x:v>release ledger mirrors governing state</x:v>
      </x:c>
      <x:c r="E548" t="str">
        <x:f>'Release Gates'!J524</x:f>
        <x:v>PASS</x:v>
      </x:c>
      <x:c r="F548" t="str">
        <x:f>IF('Release Gates'!C524="PLANNING","PASS",IF('Release Gates'!C524="PHYSICAL","OPEN","BLOCKED"))</x:f>
        <x:v>PASS</x:v>
      </x:c>
      <x:c r="G548" t="str">
        <x:v>equals</x:v>
      </x:c>
      <x:c r="H548" t="str">
        <x:f>IF(E548=F548,"PASS","FAIL")</x:f>
        <x:v>PASS</x:v>
      </x:c>
    </x:row>
    <x:row r="549">
      <x:c r="B549" t="str">
        <x:v>A-0519</x:v>
      </x:c>
      <x:c r="C549" t="str">
        <x:v>GATE</x:v>
      </x:c>
      <x:c r="D549" t="str">
        <x:v>release ledger mirrors governing state</x:v>
      </x:c>
      <x:c r="E549" t="str">
        <x:f>'Release Gates'!J525</x:f>
        <x:v>PASS</x:v>
      </x:c>
      <x:c r="F549" t="str">
        <x:f>IF('Release Gates'!C525="PLANNING","PASS",IF('Release Gates'!C525="PHYSICAL","OPEN","BLOCKED"))</x:f>
        <x:v>PASS</x:v>
      </x:c>
      <x:c r="G549" t="str">
        <x:v>equals</x:v>
      </x:c>
      <x:c r="H549" t="str">
        <x:f>IF(E549=F549,"PASS","FAIL")</x:f>
        <x:v>PASS</x:v>
      </x:c>
    </x:row>
    <x:row r="550">
      <x:c r="B550" t="str">
        <x:v>A-0520</x:v>
      </x:c>
      <x:c r="C550" t="str">
        <x:v>GATE</x:v>
      </x:c>
      <x:c r="D550" t="str">
        <x:v>release ledger mirrors governing state</x:v>
      </x:c>
      <x:c r="E550" t="str">
        <x:f>'Release Gates'!J526</x:f>
        <x:v>PASS</x:v>
      </x:c>
      <x:c r="F550" t="str">
        <x:f>IF('Release Gates'!C526="PLANNING","PASS",IF('Release Gates'!C526="PHYSICAL","OPEN","BLOCKED"))</x:f>
        <x:v>PASS</x:v>
      </x:c>
      <x:c r="G550" t="str">
        <x:v>equals</x:v>
      </x:c>
      <x:c r="H550" t="str">
        <x:f>IF(E550=F550,"PASS","FAIL")</x:f>
        <x:v>PASS</x:v>
      </x:c>
    </x:row>
    <x:row r="551">
      <x:c r="B551" t="str">
        <x:v>A-0521</x:v>
      </x:c>
      <x:c r="C551" t="str">
        <x:v>GATE</x:v>
      </x:c>
      <x:c r="D551" t="str">
        <x:v>release ledger mirrors governing state</x:v>
      </x:c>
      <x:c r="E551" t="str">
        <x:f>'Release Gates'!J527</x:f>
        <x:v>PASS</x:v>
      </x:c>
      <x:c r="F551" t="str">
        <x:f>IF('Release Gates'!C527="PLANNING","PASS",IF('Release Gates'!C527="PHYSICAL","OPEN","BLOCKED"))</x:f>
        <x:v>PASS</x:v>
      </x:c>
      <x:c r="G551" t="str">
        <x:v>equals</x:v>
      </x:c>
      <x:c r="H551" t="str">
        <x:f>IF(E551=F551,"PASS","FAIL")</x:f>
        <x:v>PASS</x:v>
      </x:c>
    </x:row>
    <x:row r="552">
      <x:c r="B552" t="str">
        <x:v>A-0522</x:v>
      </x:c>
      <x:c r="C552" t="str">
        <x:v>GATE</x:v>
      </x:c>
      <x:c r="D552" t="str">
        <x:v>release ledger mirrors governing state</x:v>
      </x:c>
      <x:c r="E552" t="str">
        <x:f>'Release Gates'!J528</x:f>
        <x:v>OPEN</x:v>
      </x:c>
      <x:c r="F552" t="str">
        <x:f>IF('Release Gates'!C528="PLANNING","PASS",IF('Release Gates'!C528="PHYSICAL","OPEN","BLOCKED"))</x:f>
        <x:v>OPEN</x:v>
      </x:c>
      <x:c r="G552" t="str">
        <x:v>equals</x:v>
      </x:c>
      <x:c r="H552" t="str">
        <x:f>IF(E552=F552,"PASS","FAIL")</x:f>
        <x:v>PASS</x:v>
      </x:c>
    </x:row>
    <x:row r="553">
      <x:c r="B553" t="str">
        <x:v>A-0523</x:v>
      </x:c>
      <x:c r="C553" t="str">
        <x:v>GATE</x:v>
      </x:c>
      <x:c r="D553" t="str">
        <x:v>release ledger mirrors governing state</x:v>
      </x:c>
      <x:c r="E553" t="str">
        <x:f>'Release Gates'!J529</x:f>
        <x:v>OPEN</x:v>
      </x:c>
      <x:c r="F553" t="str">
        <x:f>IF('Release Gates'!C529="PLANNING","PASS",IF('Release Gates'!C529="PHYSICAL","OPEN","BLOCKED"))</x:f>
        <x:v>OPEN</x:v>
      </x:c>
      <x:c r="G553" t="str">
        <x:v>equals</x:v>
      </x:c>
      <x:c r="H553" t="str">
        <x:f>IF(E553=F553,"PASS","FAIL")</x:f>
        <x:v>PASS</x:v>
      </x:c>
    </x:row>
    <x:row r="554">
      <x:c r="B554" t="str">
        <x:v>A-0524</x:v>
      </x:c>
      <x:c r="C554" t="str">
        <x:v>GATE</x:v>
      </x:c>
      <x:c r="D554" t="str">
        <x:v>release ledger mirrors governing state</x:v>
      </x:c>
      <x:c r="E554" t="str">
        <x:f>'Release Gates'!J530</x:f>
        <x:v>OPEN</x:v>
      </x:c>
      <x:c r="F554" t="str">
        <x:f>IF('Release Gates'!C530="PLANNING","PASS",IF('Release Gates'!C530="PHYSICAL","OPEN","BLOCKED"))</x:f>
        <x:v>OPEN</x:v>
      </x:c>
      <x:c r="G554" t="str">
        <x:v>equals</x:v>
      </x:c>
      <x:c r="H554" t="str">
        <x:f>IF(E554=F554,"PASS","FAIL")</x:f>
        <x:v>PASS</x:v>
      </x:c>
    </x:row>
    <x:row r="555">
      <x:c r="B555" t="str">
        <x:v>A-0525</x:v>
      </x:c>
      <x:c r="C555" t="str">
        <x:v>GATE</x:v>
      </x:c>
      <x:c r="D555" t="str">
        <x:v>release ledger mirrors governing state</x:v>
      </x:c>
      <x:c r="E555" t="str">
        <x:f>'Release Gates'!J531</x:f>
        <x:v>OPEN</x:v>
      </x:c>
      <x:c r="F555" t="str">
        <x:f>IF('Release Gates'!C531="PLANNING","PASS",IF('Release Gates'!C531="PHYSICAL","OPEN","BLOCKED"))</x:f>
        <x:v>OPEN</x:v>
      </x:c>
      <x:c r="G555" t="str">
        <x:v>equals</x:v>
      </x:c>
      <x:c r="H555" t="str">
        <x:f>IF(E555=F555,"PASS","FAIL")</x:f>
        <x:v>PASS</x:v>
      </x:c>
    </x:row>
    <x:row r="556">
      <x:c r="B556" t="str">
        <x:v>A-0526</x:v>
      </x:c>
      <x:c r="C556" t="str">
        <x:v>GATE</x:v>
      </x:c>
      <x:c r="D556" t="str">
        <x:v>release ledger mirrors governing state</x:v>
      </x:c>
      <x:c r="E556" t="str">
        <x:f>'Release Gates'!J532</x:f>
        <x:v>OPEN</x:v>
      </x:c>
      <x:c r="F556" t="str">
        <x:f>IF('Release Gates'!C532="PLANNING","PASS",IF('Release Gates'!C532="PHYSICAL","OPEN","BLOCKED"))</x:f>
        <x:v>OPEN</x:v>
      </x:c>
      <x:c r="G556" t="str">
        <x:v>equals</x:v>
      </x:c>
      <x:c r="H556" t="str">
        <x:f>IF(E556=F556,"PASS","FAIL")</x:f>
        <x:v>PASS</x:v>
      </x:c>
    </x:row>
    <x:row r="557">
      <x:c r="B557" t="str">
        <x:v>A-0527</x:v>
      </x:c>
      <x:c r="C557" t="str">
        <x:v>GATE</x:v>
      </x:c>
      <x:c r="D557" t="str">
        <x:v>release ledger mirrors governing state</x:v>
      </x:c>
      <x:c r="E557" t="str">
        <x:f>'Release Gates'!J533</x:f>
        <x:v>OPEN</x:v>
      </x:c>
      <x:c r="F557" t="str">
        <x:f>IF('Release Gates'!C533="PLANNING","PASS",IF('Release Gates'!C533="PHYSICAL","OPEN","BLOCKED"))</x:f>
        <x:v>OPEN</x:v>
      </x:c>
      <x:c r="G557" t="str">
        <x:v>equals</x:v>
      </x:c>
      <x:c r="H557" t="str">
        <x:f>IF(E557=F557,"PASS","FAIL")</x:f>
        <x:v>PASS</x:v>
      </x:c>
    </x:row>
    <x:row r="558">
      <x:c r="B558" t="str">
        <x:v>A-0528</x:v>
      </x:c>
      <x:c r="C558" t="str">
        <x:v>GATE</x:v>
      </x:c>
      <x:c r="D558" t="str">
        <x:v>release ledger mirrors governing state</x:v>
      </x:c>
      <x:c r="E558" t="str">
        <x:f>'Release Gates'!J534</x:f>
        <x:v>OPEN</x:v>
      </x:c>
      <x:c r="F558" t="str">
        <x:f>IF('Release Gates'!C534="PLANNING","PASS",IF('Release Gates'!C534="PHYSICAL","OPEN","BLOCKED"))</x:f>
        <x:v>OPEN</x:v>
      </x:c>
      <x:c r="G558" t="str">
        <x:v>equals</x:v>
      </x:c>
      <x:c r="H558" t="str">
        <x:f>IF(E558=F558,"PASS","FAIL")</x:f>
        <x:v>PASS</x:v>
      </x:c>
    </x:row>
    <x:row r="559">
      <x:c r="B559" t="str">
        <x:v>A-0529</x:v>
      </x:c>
      <x:c r="C559" t="str">
        <x:v>GATE</x:v>
      </x:c>
      <x:c r="D559" t="str">
        <x:v>release ledger mirrors governing state</x:v>
      </x:c>
      <x:c r="E559" t="str">
        <x:f>'Release Gates'!J535</x:f>
        <x:v>OPEN</x:v>
      </x:c>
      <x:c r="F559" t="str">
        <x:f>IF('Release Gates'!C535="PLANNING","PASS",IF('Release Gates'!C535="PHYSICAL","OPEN","BLOCKED"))</x:f>
        <x:v>OPEN</x:v>
      </x:c>
      <x:c r="G559" t="str">
        <x:v>equals</x:v>
      </x:c>
      <x:c r="H559" t="str">
        <x:f>IF(E559=F559,"PASS","FAIL")</x:f>
        <x:v>PASS</x:v>
      </x:c>
    </x:row>
    <x:row r="560">
      <x:c r="B560" t="str">
        <x:v>A-0530</x:v>
      </x:c>
      <x:c r="C560" t="str">
        <x:v>GATE</x:v>
      </x:c>
      <x:c r="D560" t="str">
        <x:v>release ledger mirrors governing state</x:v>
      </x:c>
      <x:c r="E560" t="str">
        <x:f>'Release Gates'!J536</x:f>
        <x:v>OPEN</x:v>
      </x:c>
      <x:c r="F560" t="str">
        <x:f>IF('Release Gates'!C536="PLANNING","PASS",IF('Release Gates'!C536="PHYSICAL","OPEN","BLOCKED"))</x:f>
        <x:v>OPEN</x:v>
      </x:c>
      <x:c r="G560" t="str">
        <x:v>equals</x:v>
      </x:c>
      <x:c r="H560" t="str">
        <x:f>IF(E560=F560,"PASS","FAIL")</x:f>
        <x:v>PASS</x:v>
      </x:c>
    </x:row>
    <x:row r="561">
      <x:c r="B561" t="str">
        <x:v>A-0531</x:v>
      </x:c>
      <x:c r="C561" t="str">
        <x:v>GATE</x:v>
      </x:c>
      <x:c r="D561" t="str">
        <x:v>release ledger mirrors governing state</x:v>
      </x:c>
      <x:c r="E561" t="str">
        <x:f>'Release Gates'!J537</x:f>
        <x:v>OPEN</x:v>
      </x:c>
      <x:c r="F561" t="str">
        <x:f>IF('Release Gates'!C537="PLANNING","PASS",IF('Release Gates'!C537="PHYSICAL","OPEN","BLOCKED"))</x:f>
        <x:v>OPEN</x:v>
      </x:c>
      <x:c r="G561" t="str">
        <x:v>equals</x:v>
      </x:c>
      <x:c r="H561" t="str">
        <x:f>IF(E561=F561,"PASS","FAIL")</x:f>
        <x:v>PASS</x:v>
      </x:c>
    </x:row>
    <x:row r="562">
      <x:c r="B562" t="str">
        <x:v>A-0532</x:v>
      </x:c>
      <x:c r="C562" t="str">
        <x:v>GATE</x:v>
      </x:c>
      <x:c r="D562" t="str">
        <x:v>release ledger mirrors governing state</x:v>
      </x:c>
      <x:c r="E562" t="str">
        <x:f>'Release Gates'!J538</x:f>
        <x:v>OPEN</x:v>
      </x:c>
      <x:c r="F562" t="str">
        <x:f>IF('Release Gates'!C538="PLANNING","PASS",IF('Release Gates'!C538="PHYSICAL","OPEN","BLOCKED"))</x:f>
        <x:v>OPEN</x:v>
      </x:c>
      <x:c r="G562" t="str">
        <x:v>equals</x:v>
      </x:c>
      <x:c r="H562" t="str">
        <x:f>IF(E562=F562,"PASS","FAIL")</x:f>
        <x:v>PASS</x:v>
      </x:c>
    </x:row>
    <x:row r="563">
      <x:c r="B563" t="str">
        <x:v>A-0533</x:v>
      </x:c>
      <x:c r="C563" t="str">
        <x:v>GATE</x:v>
      </x:c>
      <x:c r="D563" t="str">
        <x:v>release ledger mirrors governing state</x:v>
      </x:c>
      <x:c r="E563" t="str">
        <x:f>'Release Gates'!J539</x:f>
        <x:v>OPEN</x:v>
      </x:c>
      <x:c r="F563" t="str">
        <x:f>IF('Release Gates'!C539="PLANNING","PASS",IF('Release Gates'!C539="PHYSICAL","OPEN","BLOCKED"))</x:f>
        <x:v>OPEN</x:v>
      </x:c>
      <x:c r="G563" t="str">
        <x:v>equals</x:v>
      </x:c>
      <x:c r="H563" t="str">
        <x:f>IF(E563=F563,"PASS","FAIL")</x:f>
        <x:v>PASS</x:v>
      </x:c>
    </x:row>
    <x:row r="564">
      <x:c r="B564" t="str">
        <x:v>A-0534</x:v>
      </x:c>
      <x:c r="C564" t="str">
        <x:v>GATE</x:v>
      </x:c>
      <x:c r="D564" t="str">
        <x:v>release ledger mirrors governing state</x:v>
      </x:c>
      <x:c r="E564" t="str">
        <x:f>'Release Gates'!J540</x:f>
        <x:v>OPEN</x:v>
      </x:c>
      <x:c r="F564" t="str">
        <x:f>IF('Release Gates'!C540="PLANNING","PASS",IF('Release Gates'!C540="PHYSICAL","OPEN","BLOCKED"))</x:f>
        <x:v>OPEN</x:v>
      </x:c>
      <x:c r="G564" t="str">
        <x:v>equals</x:v>
      </x:c>
      <x:c r="H564" t="str">
        <x:f>IF(E564=F564,"PASS","FAIL")</x:f>
        <x:v>PASS</x:v>
      </x:c>
    </x:row>
    <x:row r="565">
      <x:c r="B565" t="str">
        <x:v>A-0535</x:v>
      </x:c>
      <x:c r="C565" t="str">
        <x:v>GATE</x:v>
      </x:c>
      <x:c r="D565" t="str">
        <x:v>release ledger mirrors governing state</x:v>
      </x:c>
      <x:c r="E565" t="str">
        <x:f>'Release Gates'!J541</x:f>
        <x:v>OPEN</x:v>
      </x:c>
      <x:c r="F565" t="str">
        <x:f>IF('Release Gates'!C541="PLANNING","PASS",IF('Release Gates'!C541="PHYSICAL","OPEN","BLOCKED"))</x:f>
        <x:v>OPEN</x:v>
      </x:c>
      <x:c r="G565" t="str">
        <x:v>equals</x:v>
      </x:c>
      <x:c r="H565" t="str">
        <x:f>IF(E565=F565,"PASS","FAIL")</x:f>
        <x:v>PASS</x:v>
      </x:c>
    </x:row>
    <x:row r="566">
      <x:c r="B566" t="str">
        <x:v>A-0536</x:v>
      </x:c>
      <x:c r="C566" t="str">
        <x:v>GATE</x:v>
      </x:c>
      <x:c r="D566" t="str">
        <x:v>release ledger mirrors governing state</x:v>
      </x:c>
      <x:c r="E566" t="str">
        <x:f>'Release Gates'!J542</x:f>
        <x:v>OPEN</x:v>
      </x:c>
      <x:c r="F566" t="str">
        <x:f>IF('Release Gates'!C542="PLANNING","PASS",IF('Release Gates'!C542="PHYSICAL","OPEN","BLOCKED"))</x:f>
        <x:v>OPEN</x:v>
      </x:c>
      <x:c r="G566" t="str">
        <x:v>equals</x:v>
      </x:c>
      <x:c r="H566" t="str">
        <x:f>IF(E566=F566,"PASS","FAIL")</x:f>
        <x:v>PASS</x:v>
      </x:c>
    </x:row>
    <x:row r="567">
      <x:c r="B567" t="str">
        <x:v>A-0537</x:v>
      </x:c>
      <x:c r="C567" t="str">
        <x:v>GATE</x:v>
      </x:c>
      <x:c r="D567" t="str">
        <x:v>release ledger mirrors governing state</x:v>
      </x:c>
      <x:c r="E567" t="str">
        <x:f>'Release Gates'!J543</x:f>
        <x:v>OPEN</x:v>
      </x:c>
      <x:c r="F567" t="str">
        <x:f>IF('Release Gates'!C543="PLANNING","PASS",IF('Release Gates'!C543="PHYSICAL","OPEN","BLOCKED"))</x:f>
        <x:v>OPEN</x:v>
      </x:c>
      <x:c r="G567" t="str">
        <x:v>equals</x:v>
      </x:c>
      <x:c r="H567" t="str">
        <x:f>IF(E567=F567,"PASS","FAIL")</x:f>
        <x:v>PASS</x:v>
      </x:c>
    </x:row>
    <x:row r="568">
      <x:c r="B568" t="str">
        <x:v>A-0538</x:v>
      </x:c>
      <x:c r="C568" t="str">
        <x:v>GATE</x:v>
      </x:c>
      <x:c r="D568" t="str">
        <x:v>release ledger mirrors governing state</x:v>
      </x:c>
      <x:c r="E568" t="str">
        <x:f>'Release Gates'!J544</x:f>
        <x:v>OPEN</x:v>
      </x:c>
      <x:c r="F568" t="str">
        <x:f>IF('Release Gates'!C544="PLANNING","PASS",IF('Release Gates'!C544="PHYSICAL","OPEN","BLOCKED"))</x:f>
        <x:v>OPEN</x:v>
      </x:c>
      <x:c r="G568" t="str">
        <x:v>equals</x:v>
      </x:c>
      <x:c r="H568" t="str">
        <x:f>IF(E568=F568,"PASS","FAIL")</x:f>
        <x:v>PASS</x:v>
      </x:c>
    </x:row>
    <x:row r="569">
      <x:c r="B569" t="str">
        <x:v>A-0539</x:v>
      </x:c>
      <x:c r="C569" t="str">
        <x:v>GATE</x:v>
      </x:c>
      <x:c r="D569" t="str">
        <x:v>release ledger mirrors governing state</x:v>
      </x:c>
      <x:c r="E569" t="str">
        <x:f>'Release Gates'!J545</x:f>
        <x:v>OPEN</x:v>
      </x:c>
      <x:c r="F569" t="str">
        <x:f>IF('Release Gates'!C545="PLANNING","PASS",IF('Release Gates'!C545="PHYSICAL","OPEN","BLOCKED"))</x:f>
        <x:v>OPEN</x:v>
      </x:c>
      <x:c r="G569" t="str">
        <x:v>equals</x:v>
      </x:c>
      <x:c r="H569" t="str">
        <x:f>IF(E569=F569,"PASS","FAIL")</x:f>
        <x:v>PASS</x:v>
      </x:c>
    </x:row>
    <x:row r="570">
      <x:c r="B570" t="str">
        <x:v>A-0540</x:v>
      </x:c>
      <x:c r="C570" t="str">
        <x:v>GATE</x:v>
      </x:c>
      <x:c r="D570" t="str">
        <x:v>release ledger mirrors governing state</x:v>
      </x:c>
      <x:c r="E570" t="str">
        <x:f>'Release Gates'!J546</x:f>
        <x:v>OPEN</x:v>
      </x:c>
      <x:c r="F570" t="str">
        <x:f>IF('Release Gates'!C546="PLANNING","PASS",IF('Release Gates'!C546="PHYSICAL","OPEN","BLOCKED"))</x:f>
        <x:v>OPEN</x:v>
      </x:c>
      <x:c r="G570" t="str">
        <x:v>equals</x:v>
      </x:c>
      <x:c r="H570" t="str">
        <x:f>IF(E570=F570,"PASS","FAIL")</x:f>
        <x:v>PASS</x:v>
      </x:c>
    </x:row>
    <x:row r="571">
      <x:c r="B571" t="str">
        <x:v>A-0541</x:v>
      </x:c>
      <x:c r="C571" t="str">
        <x:v>GATE</x:v>
      </x:c>
      <x:c r="D571" t="str">
        <x:v>release ledger mirrors governing state</x:v>
      </x:c>
      <x:c r="E571" t="str">
        <x:f>'Release Gates'!J547</x:f>
        <x:v>OPEN</x:v>
      </x:c>
      <x:c r="F571" t="str">
        <x:f>IF('Release Gates'!C547="PLANNING","PASS",IF('Release Gates'!C547="PHYSICAL","OPEN","BLOCKED"))</x:f>
        <x:v>OPEN</x:v>
      </x:c>
      <x:c r="G571" t="str">
        <x:v>equals</x:v>
      </x:c>
      <x:c r="H571" t="str">
        <x:f>IF(E571=F571,"PASS","FAIL")</x:f>
        <x:v>PASS</x:v>
      </x:c>
    </x:row>
    <x:row r="572">
      <x:c r="B572" t="str">
        <x:v>A-0542</x:v>
      </x:c>
      <x:c r="C572" t="str">
        <x:v>GATE</x:v>
      </x:c>
      <x:c r="D572" t="str">
        <x:v>release ledger mirrors governing state</x:v>
      </x:c>
      <x:c r="E572" t="str">
        <x:f>'Release Gates'!J548</x:f>
        <x:v>OPEN</x:v>
      </x:c>
      <x:c r="F572" t="str">
        <x:f>IF('Release Gates'!C548="PLANNING","PASS",IF('Release Gates'!C548="PHYSICAL","OPEN","BLOCKED"))</x:f>
        <x:v>OPEN</x:v>
      </x:c>
      <x:c r="G572" t="str">
        <x:v>equals</x:v>
      </x:c>
      <x:c r="H572" t="str">
        <x:f>IF(E572=F572,"PASS","FAIL")</x:f>
        <x:v>PASS</x:v>
      </x:c>
    </x:row>
    <x:row r="573">
      <x:c r="B573" t="str">
        <x:v>A-0543</x:v>
      </x:c>
      <x:c r="C573" t="str">
        <x:v>GATE</x:v>
      </x:c>
      <x:c r="D573" t="str">
        <x:v>release ledger mirrors governing state</x:v>
      </x:c>
      <x:c r="E573" t="str">
        <x:f>'Release Gates'!J549</x:f>
        <x:v>OPEN</x:v>
      </x:c>
      <x:c r="F573" t="str">
        <x:f>IF('Release Gates'!C549="PLANNING","PASS",IF('Release Gates'!C549="PHYSICAL","OPEN","BLOCKED"))</x:f>
        <x:v>OPEN</x:v>
      </x:c>
      <x:c r="G573" t="str">
        <x:v>equals</x:v>
      </x:c>
      <x:c r="H573" t="str">
        <x:f>IF(E573=F573,"PASS","FAIL")</x:f>
        <x:v>PASS</x:v>
      </x:c>
    </x:row>
    <x:row r="574">
      <x:c r="B574" t="str">
        <x:v>A-0544</x:v>
      </x:c>
      <x:c r="C574" t="str">
        <x:v>GATE</x:v>
      </x:c>
      <x:c r="D574" t="str">
        <x:v>release ledger mirrors governing state</x:v>
      </x:c>
      <x:c r="E574" t="str">
        <x:f>'Release Gates'!J550</x:f>
        <x:v>OPEN</x:v>
      </x:c>
      <x:c r="F574" t="str">
        <x:f>IF('Release Gates'!C550="PLANNING","PASS",IF('Release Gates'!C550="PHYSICAL","OPEN","BLOCKED"))</x:f>
        <x:v>OPEN</x:v>
      </x:c>
      <x:c r="G574" t="str">
        <x:v>equals</x:v>
      </x:c>
      <x:c r="H574" t="str">
        <x:f>IF(E574=F574,"PASS","FAIL")</x:f>
        <x:v>PASS</x:v>
      </x:c>
    </x:row>
    <x:row r="575">
      <x:c r="B575" t="str">
        <x:v>A-0545</x:v>
      </x:c>
      <x:c r="C575" t="str">
        <x:v>GATE</x:v>
      </x:c>
      <x:c r="D575" t="str">
        <x:v>release ledger mirrors governing state</x:v>
      </x:c>
      <x:c r="E575" t="str">
        <x:f>'Release Gates'!J551</x:f>
        <x:v>OPEN</x:v>
      </x:c>
      <x:c r="F575" t="str">
        <x:f>IF('Release Gates'!C551="PLANNING","PASS",IF('Release Gates'!C551="PHYSICAL","OPEN","BLOCKED"))</x:f>
        <x:v>OPEN</x:v>
      </x:c>
      <x:c r="G575" t="str">
        <x:v>equals</x:v>
      </x:c>
      <x:c r="H575" t="str">
        <x:f>IF(E575=F575,"PASS","FAIL")</x:f>
        <x:v>PASS</x:v>
      </x:c>
    </x:row>
    <x:row r="576">
      <x:c r="B576" t="str">
        <x:v>A-0546</x:v>
      </x:c>
      <x:c r="C576" t="str">
        <x:v>GATE</x:v>
      </x:c>
      <x:c r="D576" t="str">
        <x:v>release ledger mirrors governing state</x:v>
      </x:c>
      <x:c r="E576" t="str">
        <x:f>'Release Gates'!J552</x:f>
        <x:v>OPEN</x:v>
      </x:c>
      <x:c r="F576" t="str">
        <x:f>IF('Release Gates'!C552="PLANNING","PASS",IF('Release Gates'!C552="PHYSICAL","OPEN","BLOCKED"))</x:f>
        <x:v>OPEN</x:v>
      </x:c>
      <x:c r="G576" t="str">
        <x:v>equals</x:v>
      </x:c>
      <x:c r="H576" t="str">
        <x:f>IF(E576=F576,"PASS","FAIL")</x:f>
        <x:v>PASS</x:v>
      </x:c>
    </x:row>
    <x:row r="577">
      <x:c r="B577" t="str">
        <x:v>A-0547</x:v>
      </x:c>
      <x:c r="C577" t="str">
        <x:v>GATE</x:v>
      </x:c>
      <x:c r="D577" t="str">
        <x:v>release ledger mirrors governing state</x:v>
      </x:c>
      <x:c r="E577" t="str">
        <x:f>'Release Gates'!J553</x:f>
        <x:v>OPEN</x:v>
      </x:c>
      <x:c r="F577" t="str">
        <x:f>IF('Release Gates'!C553="PLANNING","PASS",IF('Release Gates'!C553="PHYSICAL","OPEN","BLOCKED"))</x:f>
        <x:v>OPEN</x:v>
      </x:c>
      <x:c r="G577" t="str">
        <x:v>equals</x:v>
      </x:c>
      <x:c r="H577" t="str">
        <x:f>IF(E577=F577,"PASS","FAIL")</x:f>
        <x:v>PASS</x:v>
      </x:c>
    </x:row>
    <x:row r="578">
      <x:c r="B578" t="str">
        <x:v>A-0548</x:v>
      </x:c>
      <x:c r="C578" t="str">
        <x:v>GATE</x:v>
      </x:c>
      <x:c r="D578" t="str">
        <x:v>release ledger mirrors governing state</x:v>
      </x:c>
      <x:c r="E578" t="str">
        <x:f>'Release Gates'!J554</x:f>
        <x:v>OPEN</x:v>
      </x:c>
      <x:c r="F578" t="str">
        <x:f>IF('Release Gates'!C554="PLANNING","PASS",IF('Release Gates'!C554="PHYSICAL","OPEN","BLOCKED"))</x:f>
        <x:v>OPEN</x:v>
      </x:c>
      <x:c r="G578" t="str">
        <x:v>equals</x:v>
      </x:c>
      <x:c r="H578" t="str">
        <x:f>IF(E578=F578,"PASS","FAIL")</x:f>
        <x:v>PASS</x:v>
      </x:c>
    </x:row>
    <x:row r="579">
      <x:c r="B579" t="str">
        <x:v>A-0549</x:v>
      </x:c>
      <x:c r="C579" t="str">
        <x:v>GATE</x:v>
      </x:c>
      <x:c r="D579" t="str">
        <x:v>release ledger mirrors governing state</x:v>
      </x:c>
      <x:c r="E579" t="str">
        <x:f>'Release Gates'!J555</x:f>
        <x:v>OPEN</x:v>
      </x:c>
      <x:c r="F579" t="str">
        <x:f>IF('Release Gates'!C555="PLANNING","PASS",IF('Release Gates'!C555="PHYSICAL","OPEN","BLOCKED"))</x:f>
        <x:v>OPEN</x:v>
      </x:c>
      <x:c r="G579" t="str">
        <x:v>equals</x:v>
      </x:c>
      <x:c r="H579" t="str">
        <x:f>IF(E579=F579,"PASS","FAIL")</x:f>
        <x:v>PASS</x:v>
      </x:c>
    </x:row>
    <x:row r="580">
      <x:c r="B580" t="str">
        <x:v>A-0550</x:v>
      </x:c>
      <x:c r="C580" t="str">
        <x:v>GATE</x:v>
      </x:c>
      <x:c r="D580" t="str">
        <x:v>release ledger mirrors governing state</x:v>
      </x:c>
      <x:c r="E580" t="str">
        <x:f>'Release Gates'!J556</x:f>
        <x:v>OPEN</x:v>
      </x:c>
      <x:c r="F580" t="str">
        <x:f>IF('Release Gates'!C556="PLANNING","PASS",IF('Release Gates'!C556="PHYSICAL","OPEN","BLOCKED"))</x:f>
        <x:v>OPEN</x:v>
      </x:c>
      <x:c r="G580" t="str">
        <x:v>equals</x:v>
      </x:c>
      <x:c r="H580" t="str">
        <x:f>IF(E580=F580,"PASS","FAIL")</x:f>
        <x:v>PASS</x:v>
      </x:c>
    </x:row>
    <x:row r="581">
      <x:c r="B581" t="str">
        <x:v>A-0551</x:v>
      </x:c>
      <x:c r="C581" t="str">
        <x:v>GATE</x:v>
      </x:c>
      <x:c r="D581" t="str">
        <x:v>release ledger mirrors governing state</x:v>
      </x:c>
      <x:c r="E581" t="str">
        <x:f>'Release Gates'!J557</x:f>
        <x:v>OPEN</x:v>
      </x:c>
      <x:c r="F581" t="str">
        <x:f>IF('Release Gates'!C557="PLANNING","PASS",IF('Release Gates'!C557="PHYSICAL","OPEN","BLOCKED"))</x:f>
        <x:v>OPEN</x:v>
      </x:c>
      <x:c r="G581" t="str">
        <x:v>equals</x:v>
      </x:c>
      <x:c r="H581" t="str">
        <x:f>IF(E581=F581,"PASS","FAIL")</x:f>
        <x:v>PASS</x:v>
      </x:c>
    </x:row>
    <x:row r="582">
      <x:c r="B582" t="str">
        <x:v>A-0552</x:v>
      </x:c>
      <x:c r="C582" t="str">
        <x:v>GATE</x:v>
      </x:c>
      <x:c r="D582" t="str">
        <x:v>release ledger mirrors governing state</x:v>
      </x:c>
      <x:c r="E582" t="str">
        <x:f>'Release Gates'!J558</x:f>
        <x:v>OPEN</x:v>
      </x:c>
      <x:c r="F582" t="str">
        <x:f>IF('Release Gates'!C558="PLANNING","PASS",IF('Release Gates'!C558="PHYSICAL","OPEN","BLOCKED"))</x:f>
        <x:v>OPEN</x:v>
      </x:c>
      <x:c r="G582" t="str">
        <x:v>equals</x:v>
      </x:c>
      <x:c r="H582" t="str">
        <x:f>IF(E582=F582,"PASS","FAIL")</x:f>
        <x:v>PASS</x:v>
      </x:c>
    </x:row>
    <x:row r="583">
      <x:c r="B583" t="str">
        <x:v>A-0553</x:v>
      </x:c>
      <x:c r="C583" t="str">
        <x:v>GATE</x:v>
      </x:c>
      <x:c r="D583" t="str">
        <x:v>release ledger mirrors governing state</x:v>
      </x:c>
      <x:c r="E583" t="str">
        <x:f>'Release Gates'!J559</x:f>
        <x:v>OPEN</x:v>
      </x:c>
      <x:c r="F583" t="str">
        <x:f>IF('Release Gates'!C559="PLANNING","PASS",IF('Release Gates'!C559="PHYSICAL","OPEN","BLOCKED"))</x:f>
        <x:v>OPEN</x:v>
      </x:c>
      <x:c r="G583" t="str">
        <x:v>equals</x:v>
      </x:c>
      <x:c r="H583" t="str">
        <x:f>IF(E583=F583,"PASS","FAIL")</x:f>
        <x:v>PASS</x:v>
      </x:c>
    </x:row>
    <x:row r="584">
      <x:c r="B584" t="str">
        <x:v>A-0554</x:v>
      </x:c>
      <x:c r="C584" t="str">
        <x:v>GATE</x:v>
      </x:c>
      <x:c r="D584" t="str">
        <x:v>release ledger mirrors governing state</x:v>
      </x:c>
      <x:c r="E584" t="str">
        <x:f>'Release Gates'!J560</x:f>
        <x:v>OPEN</x:v>
      </x:c>
      <x:c r="F584" t="str">
        <x:f>IF('Release Gates'!C560="PLANNING","PASS",IF('Release Gates'!C560="PHYSICAL","OPEN","BLOCKED"))</x:f>
        <x:v>OPEN</x:v>
      </x:c>
      <x:c r="G584" t="str">
        <x:v>equals</x:v>
      </x:c>
      <x:c r="H584" t="str">
        <x:f>IF(E584=F584,"PASS","FAIL")</x:f>
        <x:v>PASS</x:v>
      </x:c>
    </x:row>
    <x:row r="585">
      <x:c r="B585" t="str">
        <x:v>A-0555</x:v>
      </x:c>
      <x:c r="C585" t="str">
        <x:v>GATE</x:v>
      </x:c>
      <x:c r="D585" t="str">
        <x:v>release ledger mirrors governing state</x:v>
      </x:c>
      <x:c r="E585" t="str">
        <x:f>'Release Gates'!J561</x:f>
        <x:v>OPEN</x:v>
      </x:c>
      <x:c r="F585" t="str">
        <x:f>IF('Release Gates'!C561="PLANNING","PASS",IF('Release Gates'!C561="PHYSICAL","OPEN","BLOCKED"))</x:f>
        <x:v>OPEN</x:v>
      </x:c>
      <x:c r="G585" t="str">
        <x:v>equals</x:v>
      </x:c>
      <x:c r="H585" t="str">
        <x:f>IF(E585=F585,"PASS","FAIL")</x:f>
        <x:v>PASS</x:v>
      </x:c>
    </x:row>
    <x:row r="586">
      <x:c r="B586" t="str">
        <x:v>A-0556</x:v>
      </x:c>
      <x:c r="C586" t="str">
        <x:v>GATE</x:v>
      </x:c>
      <x:c r="D586" t="str">
        <x:v>release ledger mirrors governing state</x:v>
      </x:c>
      <x:c r="E586" t="str">
        <x:f>'Release Gates'!J562</x:f>
        <x:v>OPEN</x:v>
      </x:c>
      <x:c r="F586" t="str">
        <x:f>IF('Release Gates'!C562="PLANNING","PASS",IF('Release Gates'!C562="PHYSICAL","OPEN","BLOCKED"))</x:f>
        <x:v>OPEN</x:v>
      </x:c>
      <x:c r="G586" t="str">
        <x:v>equals</x:v>
      </x:c>
      <x:c r="H586" t="str">
        <x:f>IF(E586=F586,"PASS","FAIL")</x:f>
        <x:v>PASS</x:v>
      </x:c>
    </x:row>
    <x:row r="587">
      <x:c r="B587" t="str">
        <x:v>A-0557</x:v>
      </x:c>
      <x:c r="C587" t="str">
        <x:v>GATE</x:v>
      </x:c>
      <x:c r="D587" t="str">
        <x:v>release ledger mirrors governing state</x:v>
      </x:c>
      <x:c r="E587" t="str">
        <x:f>'Release Gates'!J563</x:f>
        <x:v>OPEN</x:v>
      </x:c>
      <x:c r="F587" t="str">
        <x:f>IF('Release Gates'!C563="PLANNING","PASS",IF('Release Gates'!C563="PHYSICAL","OPEN","BLOCKED"))</x:f>
        <x:v>OPEN</x:v>
      </x:c>
      <x:c r="G587" t="str">
        <x:v>equals</x:v>
      </x:c>
      <x:c r="H587" t="str">
        <x:f>IF(E587=F587,"PASS","FAIL")</x:f>
        <x:v>PASS</x:v>
      </x:c>
    </x:row>
    <x:row r="588">
      <x:c r="B588" t="str">
        <x:v>A-0558</x:v>
      </x:c>
      <x:c r="C588" t="str">
        <x:v>GATE</x:v>
      </x:c>
      <x:c r="D588" t="str">
        <x:v>release ledger mirrors governing state</x:v>
      </x:c>
      <x:c r="E588" t="str">
        <x:f>'Release Gates'!J564</x:f>
        <x:v>OPEN</x:v>
      </x:c>
      <x:c r="F588" t="str">
        <x:f>IF('Release Gates'!C564="PLANNING","PASS",IF('Release Gates'!C564="PHYSICAL","OPEN","BLOCKED"))</x:f>
        <x:v>OPEN</x:v>
      </x:c>
      <x:c r="G588" t="str">
        <x:v>equals</x:v>
      </x:c>
      <x:c r="H588" t="str">
        <x:f>IF(E588=F588,"PASS","FAIL")</x:f>
        <x:v>PASS</x:v>
      </x:c>
    </x:row>
    <x:row r="589">
      <x:c r="B589" t="str">
        <x:v>A-0559</x:v>
      </x:c>
      <x:c r="C589" t="str">
        <x:v>GATE</x:v>
      </x:c>
      <x:c r="D589" t="str">
        <x:v>release ledger mirrors governing state</x:v>
      </x:c>
      <x:c r="E589" t="str">
        <x:f>'Release Gates'!J565</x:f>
        <x:v>OPEN</x:v>
      </x:c>
      <x:c r="F589" t="str">
        <x:f>IF('Release Gates'!C565="PLANNING","PASS",IF('Release Gates'!C565="PHYSICAL","OPEN","BLOCKED"))</x:f>
        <x:v>OPEN</x:v>
      </x:c>
      <x:c r="G589" t="str">
        <x:v>equals</x:v>
      </x:c>
      <x:c r="H589" t="str">
        <x:f>IF(E589=F589,"PASS","FAIL")</x:f>
        <x:v>PASS</x:v>
      </x:c>
    </x:row>
    <x:row r="590">
      <x:c r="B590" t="str">
        <x:v>A-0560</x:v>
      </x:c>
      <x:c r="C590" t="str">
        <x:v>GATE</x:v>
      </x:c>
      <x:c r="D590" t="str">
        <x:v>release ledger mirrors governing state</x:v>
      </x:c>
      <x:c r="E590" t="str">
        <x:f>'Release Gates'!J566</x:f>
        <x:v>OPEN</x:v>
      </x:c>
      <x:c r="F590" t="str">
        <x:f>IF('Release Gates'!C566="PLANNING","PASS",IF('Release Gates'!C566="PHYSICAL","OPEN","BLOCKED"))</x:f>
        <x:v>OPEN</x:v>
      </x:c>
      <x:c r="G590" t="str">
        <x:v>equals</x:v>
      </x:c>
      <x:c r="H590" t="str">
        <x:f>IF(E590=F590,"PASS","FAIL")</x:f>
        <x:v>PASS</x:v>
      </x:c>
    </x:row>
    <x:row r="591">
      <x:c r="B591" t="str">
        <x:v>A-0561</x:v>
      </x:c>
      <x:c r="C591" t="str">
        <x:v>GATE</x:v>
      </x:c>
      <x:c r="D591" t="str">
        <x:v>release ledger mirrors governing state</x:v>
      </x:c>
      <x:c r="E591" t="str">
        <x:f>'Release Gates'!J567</x:f>
        <x:v>OPEN</x:v>
      </x:c>
      <x:c r="F591" t="str">
        <x:f>IF('Release Gates'!C567="PLANNING","PASS",IF('Release Gates'!C567="PHYSICAL","OPEN","BLOCKED"))</x:f>
        <x:v>OPEN</x:v>
      </x:c>
      <x:c r="G591" t="str">
        <x:v>equals</x:v>
      </x:c>
      <x:c r="H591" t="str">
        <x:f>IF(E591=F591,"PASS","FAIL")</x:f>
        <x:v>PASS</x:v>
      </x:c>
    </x:row>
    <x:row r="592">
      <x:c r="B592" t="str">
        <x:v>A-0562</x:v>
      </x:c>
      <x:c r="C592" t="str">
        <x:v>GATE</x:v>
      </x:c>
      <x:c r="D592" t="str">
        <x:v>release ledger mirrors governing state</x:v>
      </x:c>
      <x:c r="E592" t="str">
        <x:f>'Release Gates'!J568</x:f>
        <x:v>OPEN</x:v>
      </x:c>
      <x:c r="F592" t="str">
        <x:f>IF('Release Gates'!C568="PLANNING","PASS",IF('Release Gates'!C568="PHYSICAL","OPEN","BLOCKED"))</x:f>
        <x:v>OPEN</x:v>
      </x:c>
      <x:c r="G592" t="str">
        <x:v>equals</x:v>
      </x:c>
      <x:c r="H592" t="str">
        <x:f>IF(E592=F592,"PASS","FAIL")</x:f>
        <x:v>PASS</x:v>
      </x:c>
    </x:row>
    <x:row r="593">
      <x:c r="B593" t="str">
        <x:v>A-0563</x:v>
      </x:c>
      <x:c r="C593" t="str">
        <x:v>GATE</x:v>
      </x:c>
      <x:c r="D593" t="str">
        <x:v>release ledger mirrors governing state</x:v>
      </x:c>
      <x:c r="E593" t="str">
        <x:f>'Release Gates'!J569</x:f>
        <x:v>OPEN</x:v>
      </x:c>
      <x:c r="F593" t="str">
        <x:f>IF('Release Gates'!C569="PLANNING","PASS",IF('Release Gates'!C569="PHYSICAL","OPEN","BLOCKED"))</x:f>
        <x:v>OPEN</x:v>
      </x:c>
      <x:c r="G593" t="str">
        <x:v>equals</x:v>
      </x:c>
      <x:c r="H593" t="str">
        <x:f>IF(E593=F593,"PASS","FAIL")</x:f>
        <x:v>PASS</x:v>
      </x:c>
    </x:row>
    <x:row r="594">
      <x:c r="B594" t="str">
        <x:v>A-0564</x:v>
      </x:c>
      <x:c r="C594" t="str">
        <x:v>GATE</x:v>
      </x:c>
      <x:c r="D594" t="str">
        <x:v>release ledger mirrors governing state</x:v>
      </x:c>
      <x:c r="E594" t="str">
        <x:f>'Release Gates'!J570</x:f>
        <x:v>OPEN</x:v>
      </x:c>
      <x:c r="F594" t="str">
        <x:f>IF('Release Gates'!C570="PLANNING","PASS",IF('Release Gates'!C570="PHYSICAL","OPEN","BLOCKED"))</x:f>
        <x:v>OPEN</x:v>
      </x:c>
      <x:c r="G594" t="str">
        <x:v>equals</x:v>
      </x:c>
      <x:c r="H594" t="str">
        <x:f>IF(E594=F594,"PASS","FAIL")</x:f>
        <x:v>PASS</x:v>
      </x:c>
    </x:row>
    <x:row r="595">
      <x:c r="B595" t="str">
        <x:v>A-0565</x:v>
      </x:c>
      <x:c r="C595" t="str">
        <x:v>GATE</x:v>
      </x:c>
      <x:c r="D595" t="str">
        <x:v>release ledger mirrors governing state</x:v>
      </x:c>
      <x:c r="E595" t="str">
        <x:f>'Release Gates'!J571</x:f>
        <x:v>OPEN</x:v>
      </x:c>
      <x:c r="F595" t="str">
        <x:f>IF('Release Gates'!C571="PLANNING","PASS",IF('Release Gates'!C571="PHYSICAL","OPEN","BLOCKED"))</x:f>
        <x:v>OPEN</x:v>
      </x:c>
      <x:c r="G595" t="str">
        <x:v>equals</x:v>
      </x:c>
      <x:c r="H595" t="str">
        <x:f>IF(E595=F595,"PASS","FAIL")</x:f>
        <x:v>PASS</x:v>
      </x:c>
    </x:row>
    <x:row r="596">
      <x:c r="B596" t="str">
        <x:v>A-0566</x:v>
      </x:c>
      <x:c r="C596" t="str">
        <x:v>GATE</x:v>
      </x:c>
      <x:c r="D596" t="str">
        <x:v>release ledger mirrors governing state</x:v>
      </x:c>
      <x:c r="E596" t="str">
        <x:f>'Release Gates'!J572</x:f>
        <x:v>OPEN</x:v>
      </x:c>
      <x:c r="F596" t="str">
        <x:f>IF('Release Gates'!C572="PLANNING","PASS",IF('Release Gates'!C572="PHYSICAL","OPEN","BLOCKED"))</x:f>
        <x:v>OPEN</x:v>
      </x:c>
      <x:c r="G596" t="str">
        <x:v>equals</x:v>
      </x:c>
      <x:c r="H596" t="str">
        <x:f>IF(E596=F596,"PASS","FAIL")</x:f>
        <x:v>PASS</x:v>
      </x:c>
    </x:row>
    <x:row r="597">
      <x:c r="B597" t="str">
        <x:v>A-0567</x:v>
      </x:c>
      <x:c r="C597" t="str">
        <x:v>GATE</x:v>
      </x:c>
      <x:c r="D597" t="str">
        <x:v>release ledger mirrors governing state</x:v>
      </x:c>
      <x:c r="E597" t="str">
        <x:f>'Release Gates'!J573</x:f>
        <x:v>OPEN</x:v>
      </x:c>
      <x:c r="F597" t="str">
        <x:f>IF('Release Gates'!C573="PLANNING","PASS",IF('Release Gates'!C573="PHYSICAL","OPEN","BLOCKED"))</x:f>
        <x:v>OPEN</x:v>
      </x:c>
      <x:c r="G597" t="str">
        <x:v>equals</x:v>
      </x:c>
      <x:c r="H597" t="str">
        <x:f>IF(E597=F597,"PASS","FAIL")</x:f>
        <x:v>PASS</x:v>
      </x:c>
    </x:row>
    <x:row r="598">
      <x:c r="B598" t="str">
        <x:v>A-0568</x:v>
      </x:c>
      <x:c r="C598" t="str">
        <x:v>GATE</x:v>
      </x:c>
      <x:c r="D598" t="str">
        <x:v>release ledger mirrors governing state</x:v>
      </x:c>
      <x:c r="E598" t="str">
        <x:f>'Release Gates'!J574</x:f>
        <x:v>OPEN</x:v>
      </x:c>
      <x:c r="F598" t="str">
        <x:f>IF('Release Gates'!C574="PLANNING","PASS",IF('Release Gates'!C574="PHYSICAL","OPEN","BLOCKED"))</x:f>
        <x:v>OPEN</x:v>
      </x:c>
      <x:c r="G598" t="str">
        <x:v>equals</x:v>
      </x:c>
      <x:c r="H598" t="str">
        <x:f>IF(E598=F598,"PASS","FAIL")</x:f>
        <x:v>PASS</x:v>
      </x:c>
    </x:row>
    <x:row r="599">
      <x:c r="B599" t="str">
        <x:v>A-0569</x:v>
      </x:c>
      <x:c r="C599" t="str">
        <x:v>GATE</x:v>
      </x:c>
      <x:c r="D599" t="str">
        <x:v>release ledger mirrors governing state</x:v>
      </x:c>
      <x:c r="E599" t="str">
        <x:f>'Release Gates'!J575</x:f>
        <x:v>OPEN</x:v>
      </x:c>
      <x:c r="F599" t="str">
        <x:f>IF('Release Gates'!C575="PLANNING","PASS",IF('Release Gates'!C575="PHYSICAL","OPEN","BLOCKED"))</x:f>
        <x:v>OPEN</x:v>
      </x:c>
      <x:c r="G599" t="str">
        <x:v>equals</x:v>
      </x:c>
      <x:c r="H599" t="str">
        <x:f>IF(E599=F599,"PASS","FAIL")</x:f>
        <x:v>PASS</x:v>
      </x:c>
    </x:row>
    <x:row r="600">
      <x:c r="B600" t="str">
        <x:v>A-0570</x:v>
      </x:c>
      <x:c r="C600" t="str">
        <x:v>GATE</x:v>
      </x:c>
      <x:c r="D600" t="str">
        <x:v>release ledger mirrors governing state</x:v>
      </x:c>
      <x:c r="E600" t="str">
        <x:f>'Release Gates'!J576</x:f>
        <x:v>OPEN</x:v>
      </x:c>
      <x:c r="F600" t="str">
        <x:f>IF('Release Gates'!C576="PLANNING","PASS",IF('Release Gates'!C576="PHYSICAL","OPEN","BLOCKED"))</x:f>
        <x:v>OPEN</x:v>
      </x:c>
      <x:c r="G600" t="str">
        <x:v>equals</x:v>
      </x:c>
      <x:c r="H600" t="str">
        <x:f>IF(E600=F600,"PASS","FAIL")</x:f>
        <x:v>PASS</x:v>
      </x:c>
    </x:row>
    <x:row r="601">
      <x:c r="B601" t="str">
        <x:v>A-0571</x:v>
      </x:c>
      <x:c r="C601" t="str">
        <x:v>GATE</x:v>
      </x:c>
      <x:c r="D601" t="str">
        <x:v>release ledger mirrors governing state</x:v>
      </x:c>
      <x:c r="E601" t="str">
        <x:f>'Release Gates'!J577</x:f>
        <x:v>OPEN</x:v>
      </x:c>
      <x:c r="F601" t="str">
        <x:f>IF('Release Gates'!C577="PLANNING","PASS",IF('Release Gates'!C577="PHYSICAL","OPEN","BLOCKED"))</x:f>
        <x:v>OPEN</x:v>
      </x:c>
      <x:c r="G601" t="str">
        <x:v>equals</x:v>
      </x:c>
      <x:c r="H601" t="str">
        <x:f>IF(E601=F601,"PASS","FAIL")</x:f>
        <x:v>PASS</x:v>
      </x:c>
    </x:row>
    <x:row r="602">
      <x:c r="B602" t="str">
        <x:v>A-0572</x:v>
      </x:c>
      <x:c r="C602" t="str">
        <x:v>GATE</x:v>
      </x:c>
      <x:c r="D602" t="str">
        <x:v>release ledger mirrors governing state</x:v>
      </x:c>
      <x:c r="E602" t="str">
        <x:f>'Release Gates'!J578</x:f>
        <x:v>OPEN</x:v>
      </x:c>
      <x:c r="F602" t="str">
        <x:f>IF('Release Gates'!C578="PLANNING","PASS",IF('Release Gates'!C578="PHYSICAL","OPEN","BLOCKED"))</x:f>
        <x:v>OPEN</x:v>
      </x:c>
      <x:c r="G602" t="str">
        <x:v>equals</x:v>
      </x:c>
      <x:c r="H602" t="str">
        <x:f>IF(E602=F602,"PASS","FAIL")</x:f>
        <x:v>PASS</x:v>
      </x:c>
    </x:row>
    <x:row r="603">
      <x:c r="B603" t="str">
        <x:v>A-0573</x:v>
      </x:c>
      <x:c r="C603" t="str">
        <x:v>GATE</x:v>
      </x:c>
      <x:c r="D603" t="str">
        <x:v>release ledger mirrors governing state</x:v>
      </x:c>
      <x:c r="E603" t="str">
        <x:f>'Release Gates'!J579</x:f>
        <x:v>OPEN</x:v>
      </x:c>
      <x:c r="F603" t="str">
        <x:f>IF('Release Gates'!C579="PLANNING","PASS",IF('Release Gates'!C579="PHYSICAL","OPEN","BLOCKED"))</x:f>
        <x:v>OPEN</x:v>
      </x:c>
      <x:c r="G603" t="str">
        <x:v>equals</x:v>
      </x:c>
      <x:c r="H603" t="str">
        <x:f>IF(E603=F603,"PASS","FAIL")</x:f>
        <x:v>PASS</x:v>
      </x:c>
    </x:row>
    <x:row r="604">
      <x:c r="B604" t="str">
        <x:v>A-0574</x:v>
      </x:c>
      <x:c r="C604" t="str">
        <x:v>GATE</x:v>
      </x:c>
      <x:c r="D604" t="str">
        <x:v>release ledger mirrors governing state</x:v>
      </x:c>
      <x:c r="E604" t="str">
        <x:f>'Release Gates'!J580</x:f>
        <x:v>OPEN</x:v>
      </x:c>
      <x:c r="F604" t="str">
        <x:f>IF('Release Gates'!C580="PLANNING","PASS",IF('Release Gates'!C580="PHYSICAL","OPEN","BLOCKED"))</x:f>
        <x:v>OPEN</x:v>
      </x:c>
      <x:c r="G604" t="str">
        <x:v>equals</x:v>
      </x:c>
      <x:c r="H604" t="str">
        <x:f>IF(E604=F604,"PASS","FAIL")</x:f>
        <x:v>PASS</x:v>
      </x:c>
    </x:row>
    <x:row r="605">
      <x:c r="B605" t="str">
        <x:v>A-0575</x:v>
      </x:c>
      <x:c r="C605" t="str">
        <x:v>GATE</x:v>
      </x:c>
      <x:c r="D605" t="str">
        <x:v>release ledger mirrors governing state</x:v>
      </x:c>
      <x:c r="E605" t="str">
        <x:f>'Release Gates'!J581</x:f>
        <x:v>OPEN</x:v>
      </x:c>
      <x:c r="F605" t="str">
        <x:f>IF('Release Gates'!C581="PLANNING","PASS",IF('Release Gates'!C581="PHYSICAL","OPEN","BLOCKED"))</x:f>
        <x:v>OPEN</x:v>
      </x:c>
      <x:c r="G605" t="str">
        <x:v>equals</x:v>
      </x:c>
      <x:c r="H605" t="str">
        <x:f>IF(E605=F605,"PASS","FAIL")</x:f>
        <x:v>PASS</x:v>
      </x:c>
    </x:row>
    <x:row r="606">
      <x:c r="B606" t="str">
        <x:v>A-0576</x:v>
      </x:c>
      <x:c r="C606" t="str">
        <x:v>GATE</x:v>
      </x:c>
      <x:c r="D606" t="str">
        <x:v>release ledger mirrors governing state</x:v>
      </x:c>
      <x:c r="E606" t="str">
        <x:f>'Release Gates'!J582</x:f>
        <x:v>OPEN</x:v>
      </x:c>
      <x:c r="F606" t="str">
        <x:f>IF('Release Gates'!C582="PLANNING","PASS",IF('Release Gates'!C582="PHYSICAL","OPEN","BLOCKED"))</x:f>
        <x:v>OPEN</x:v>
      </x:c>
      <x:c r="G606" t="str">
        <x:v>equals</x:v>
      </x:c>
      <x:c r="H606" t="str">
        <x:f>IF(E606=F606,"PASS","FAIL")</x:f>
        <x:v>PASS</x:v>
      </x:c>
    </x:row>
    <x:row r="607">
      <x:c r="B607" t="str">
        <x:v>A-0577</x:v>
      </x:c>
      <x:c r="C607" t="str">
        <x:v>GATE</x:v>
      </x:c>
      <x:c r="D607" t="str">
        <x:v>release ledger mirrors governing state</x:v>
      </x:c>
      <x:c r="E607" t="str">
        <x:f>'Release Gates'!J583</x:f>
        <x:v>OPEN</x:v>
      </x:c>
      <x:c r="F607" t="str">
        <x:f>IF('Release Gates'!C583="PLANNING","PASS",IF('Release Gates'!C583="PHYSICAL","OPEN","BLOCKED"))</x:f>
        <x:v>OPEN</x:v>
      </x:c>
      <x:c r="G607" t="str">
        <x:v>equals</x:v>
      </x:c>
      <x:c r="H607" t="str">
        <x:f>IF(E607=F607,"PASS","FAIL")</x:f>
        <x:v>PASS</x:v>
      </x:c>
    </x:row>
    <x:row r="608">
      <x:c r="B608" t="str">
        <x:v>A-0578</x:v>
      </x:c>
      <x:c r="C608" t="str">
        <x:v>GATE</x:v>
      </x:c>
      <x:c r="D608" t="str">
        <x:v>release ledger mirrors governing state</x:v>
      </x:c>
      <x:c r="E608" t="str">
        <x:f>'Release Gates'!J584</x:f>
        <x:v>OPEN</x:v>
      </x:c>
      <x:c r="F608" t="str">
        <x:f>IF('Release Gates'!C584="PLANNING","PASS",IF('Release Gates'!C584="PHYSICAL","OPEN","BLOCKED"))</x:f>
        <x:v>OPEN</x:v>
      </x:c>
      <x:c r="G608" t="str">
        <x:v>equals</x:v>
      </x:c>
      <x:c r="H608" t="str">
        <x:f>IF(E608=F608,"PASS","FAIL")</x:f>
        <x:v>PASS</x:v>
      </x:c>
    </x:row>
    <x:row r="609">
      <x:c r="B609" t="str">
        <x:v>A-0579</x:v>
      </x:c>
      <x:c r="C609" t="str">
        <x:v>GATE</x:v>
      </x:c>
      <x:c r="D609" t="str">
        <x:v>release ledger mirrors governing state</x:v>
      </x:c>
      <x:c r="E609" t="str">
        <x:f>'Release Gates'!J585</x:f>
        <x:v>OPEN</x:v>
      </x:c>
      <x:c r="F609" t="str">
        <x:f>IF('Release Gates'!C585="PLANNING","PASS",IF('Release Gates'!C585="PHYSICAL","OPEN","BLOCKED"))</x:f>
        <x:v>OPEN</x:v>
      </x:c>
      <x:c r="G609" t="str">
        <x:v>equals</x:v>
      </x:c>
      <x:c r="H609" t="str">
        <x:f>IF(E609=F609,"PASS","FAIL")</x:f>
        <x:v>PASS</x:v>
      </x:c>
    </x:row>
    <x:row r="610">
      <x:c r="B610" t="str">
        <x:v>A-0580</x:v>
      </x:c>
      <x:c r="C610" t="str">
        <x:v>GATE</x:v>
      </x:c>
      <x:c r="D610" t="str">
        <x:v>release ledger mirrors governing state</x:v>
      </x:c>
      <x:c r="E610" t="str">
        <x:f>'Release Gates'!J586</x:f>
        <x:v>OPEN</x:v>
      </x:c>
      <x:c r="F610" t="str">
        <x:f>IF('Release Gates'!C586="PLANNING","PASS",IF('Release Gates'!C586="PHYSICAL","OPEN","BLOCKED"))</x:f>
        <x:v>OPEN</x:v>
      </x:c>
      <x:c r="G610" t="str">
        <x:v>equals</x:v>
      </x:c>
      <x:c r="H610" t="str">
        <x:f>IF(E610=F610,"PASS","FAIL")</x:f>
        <x:v>PASS</x:v>
      </x:c>
    </x:row>
    <x:row r="611">
      <x:c r="B611" t="str">
        <x:v>A-0581</x:v>
      </x:c>
      <x:c r="C611" t="str">
        <x:v>GATE</x:v>
      </x:c>
      <x:c r="D611" t="str">
        <x:v>release ledger mirrors governing state</x:v>
      </x:c>
      <x:c r="E611" t="str">
        <x:f>'Release Gates'!J587</x:f>
        <x:v>OPEN</x:v>
      </x:c>
      <x:c r="F611" t="str">
        <x:f>IF('Release Gates'!C587="PLANNING","PASS",IF('Release Gates'!C587="PHYSICAL","OPEN","BLOCKED"))</x:f>
        <x:v>OPEN</x:v>
      </x:c>
      <x:c r="G611" t="str">
        <x:v>equals</x:v>
      </x:c>
      <x:c r="H611" t="str">
        <x:f>IF(E611=F611,"PASS","FAIL")</x:f>
        <x:v>PASS</x:v>
      </x:c>
    </x:row>
    <x:row r="612">
      <x:c r="B612" t="str">
        <x:v>A-0582</x:v>
      </x:c>
      <x:c r="C612" t="str">
        <x:v>GATE</x:v>
      </x:c>
      <x:c r="D612" t="str">
        <x:v>release ledger mirrors governing state</x:v>
      </x:c>
      <x:c r="E612" t="str">
        <x:f>'Release Gates'!J588</x:f>
        <x:v>OPEN</x:v>
      </x:c>
      <x:c r="F612" t="str">
        <x:f>IF('Release Gates'!C588="PLANNING","PASS",IF('Release Gates'!C588="PHYSICAL","OPEN","BLOCKED"))</x:f>
        <x:v>OPEN</x:v>
      </x:c>
      <x:c r="G612" t="str">
        <x:v>equals</x:v>
      </x:c>
      <x:c r="H612" t="str">
        <x:f>IF(E612=F612,"PASS","FAIL")</x:f>
        <x:v>PASS</x:v>
      </x:c>
    </x:row>
    <x:row r="613">
      <x:c r="B613" t="str">
        <x:v>A-0583</x:v>
      </x:c>
      <x:c r="C613" t="str">
        <x:v>GATE</x:v>
      </x:c>
      <x:c r="D613" t="str">
        <x:v>release ledger mirrors governing state</x:v>
      </x:c>
      <x:c r="E613" t="str">
        <x:f>'Release Gates'!J589</x:f>
        <x:v>OPEN</x:v>
      </x:c>
      <x:c r="F613" t="str">
        <x:f>IF('Release Gates'!C589="PLANNING","PASS",IF('Release Gates'!C589="PHYSICAL","OPEN","BLOCKED"))</x:f>
        <x:v>OPEN</x:v>
      </x:c>
      <x:c r="G613" t="str">
        <x:v>equals</x:v>
      </x:c>
      <x:c r="H613" t="str">
        <x:f>IF(E613=F613,"PASS","FAIL")</x:f>
        <x:v>PASS</x:v>
      </x:c>
    </x:row>
    <x:row r="614">
      <x:c r="B614" t="str">
        <x:v>A-0584</x:v>
      </x:c>
      <x:c r="C614" t="str">
        <x:v>GATE</x:v>
      </x:c>
      <x:c r="D614" t="str">
        <x:v>release ledger mirrors governing state</x:v>
      </x:c>
      <x:c r="E614" t="str">
        <x:f>'Release Gates'!J590</x:f>
        <x:v>OPEN</x:v>
      </x:c>
      <x:c r="F614" t="str">
        <x:f>IF('Release Gates'!C590="PLANNING","PASS",IF('Release Gates'!C590="PHYSICAL","OPEN","BLOCKED"))</x:f>
        <x:v>OPEN</x:v>
      </x:c>
      <x:c r="G614" t="str">
        <x:v>equals</x:v>
      </x:c>
      <x:c r="H614" t="str">
        <x:f>IF(E614=F614,"PASS","FAIL")</x:f>
        <x:v>PASS</x:v>
      </x:c>
    </x:row>
    <x:row r="615">
      <x:c r="B615" t="str">
        <x:v>A-0585</x:v>
      </x:c>
      <x:c r="C615" t="str">
        <x:v>GATE</x:v>
      </x:c>
      <x:c r="D615" t="str">
        <x:v>release ledger mirrors governing state</x:v>
      </x:c>
      <x:c r="E615" t="str">
        <x:f>'Release Gates'!J591</x:f>
        <x:v>OPEN</x:v>
      </x:c>
      <x:c r="F615" t="str">
        <x:f>IF('Release Gates'!C591="PLANNING","PASS",IF('Release Gates'!C591="PHYSICAL","OPEN","BLOCKED"))</x:f>
        <x:v>OPEN</x:v>
      </x:c>
      <x:c r="G615" t="str">
        <x:v>equals</x:v>
      </x:c>
      <x:c r="H615" t="str">
        <x:f>IF(E615=F615,"PASS","FAIL")</x:f>
        <x:v>PASS</x:v>
      </x:c>
    </x:row>
    <x:row r="616">
      <x:c r="B616" t="str">
        <x:v>A-0586</x:v>
      </x:c>
      <x:c r="C616" t="str">
        <x:v>GATE</x:v>
      </x:c>
      <x:c r="D616" t="str">
        <x:v>release ledger mirrors governing state</x:v>
      </x:c>
      <x:c r="E616" t="str">
        <x:f>'Release Gates'!J592</x:f>
        <x:v>OPEN</x:v>
      </x:c>
      <x:c r="F616" t="str">
        <x:f>IF('Release Gates'!C592="PLANNING","PASS",IF('Release Gates'!C592="PHYSICAL","OPEN","BLOCKED"))</x:f>
        <x:v>OPEN</x:v>
      </x:c>
      <x:c r="G616" t="str">
        <x:v>equals</x:v>
      </x:c>
      <x:c r="H616" t="str">
        <x:f>IF(E616=F616,"PASS","FAIL")</x:f>
        <x:v>PASS</x:v>
      </x:c>
    </x:row>
    <x:row r="617">
      <x:c r="B617" t="str">
        <x:v>A-0587</x:v>
      </x:c>
      <x:c r="C617" t="str">
        <x:v>GATE</x:v>
      </x:c>
      <x:c r="D617" t="str">
        <x:v>release ledger mirrors governing state</x:v>
      </x:c>
      <x:c r="E617" t="str">
        <x:f>'Release Gates'!J593</x:f>
        <x:v>OPEN</x:v>
      </x:c>
      <x:c r="F617" t="str">
        <x:f>IF('Release Gates'!C593="PLANNING","PASS",IF('Release Gates'!C593="PHYSICAL","OPEN","BLOCKED"))</x:f>
        <x:v>OPEN</x:v>
      </x:c>
      <x:c r="G617" t="str">
        <x:v>equals</x:v>
      </x:c>
      <x:c r="H617" t="str">
        <x:f>IF(E617=F617,"PASS","FAIL")</x:f>
        <x:v>PASS</x:v>
      </x:c>
    </x:row>
    <x:row r="618">
      <x:c r="B618" t="str">
        <x:v>A-0588</x:v>
      </x:c>
      <x:c r="C618" t="str">
        <x:v>GATE</x:v>
      </x:c>
      <x:c r="D618" t="str">
        <x:v>release ledger mirrors governing state</x:v>
      </x:c>
      <x:c r="E618" t="str">
        <x:f>'Release Gates'!J594</x:f>
        <x:v>OPEN</x:v>
      </x:c>
      <x:c r="F618" t="str">
        <x:f>IF('Release Gates'!C594="PLANNING","PASS",IF('Release Gates'!C594="PHYSICAL","OPEN","BLOCKED"))</x:f>
        <x:v>OPEN</x:v>
      </x:c>
      <x:c r="G618" t="str">
        <x:v>equals</x:v>
      </x:c>
      <x:c r="H618" t="str">
        <x:f>IF(E618=F618,"PASS","FAIL")</x:f>
        <x:v>PASS</x:v>
      </x:c>
    </x:row>
    <x:row r="619">
      <x:c r="B619" t="str">
        <x:v>A-0589</x:v>
      </x:c>
      <x:c r="C619" t="str">
        <x:v>GATE</x:v>
      </x:c>
      <x:c r="D619" t="str">
        <x:v>release ledger mirrors governing state</x:v>
      </x:c>
      <x:c r="E619" t="str">
        <x:f>'Release Gates'!J595</x:f>
        <x:v>OPEN</x:v>
      </x:c>
      <x:c r="F619" t="str">
        <x:f>IF('Release Gates'!C595="PLANNING","PASS",IF('Release Gates'!C595="PHYSICAL","OPEN","BLOCKED"))</x:f>
        <x:v>OPEN</x:v>
      </x:c>
      <x:c r="G619" t="str">
        <x:v>equals</x:v>
      </x:c>
      <x:c r="H619" t="str">
        <x:f>IF(E619=F619,"PASS","FAIL")</x:f>
        <x:v>PASS</x:v>
      </x:c>
    </x:row>
    <x:row r="620">
      <x:c r="B620" t="str">
        <x:v>A-0590</x:v>
      </x:c>
      <x:c r="C620" t="str">
        <x:v>GATE</x:v>
      </x:c>
      <x:c r="D620" t="str">
        <x:v>release ledger mirrors governing state</x:v>
      </x:c>
      <x:c r="E620" t="str">
        <x:f>'Release Gates'!J596</x:f>
        <x:v>OPEN</x:v>
      </x:c>
      <x:c r="F620" t="str">
        <x:f>IF('Release Gates'!C596="PLANNING","PASS",IF('Release Gates'!C596="PHYSICAL","OPEN","BLOCKED"))</x:f>
        <x:v>OPEN</x:v>
      </x:c>
      <x:c r="G620" t="str">
        <x:v>equals</x:v>
      </x:c>
      <x:c r="H620" t="str">
        <x:f>IF(E620=F620,"PASS","FAIL")</x:f>
        <x:v>PASS</x:v>
      </x:c>
    </x:row>
    <x:row r="621">
      <x:c r="B621" t="str">
        <x:v>A-0591</x:v>
      </x:c>
      <x:c r="C621" t="str">
        <x:v>GATE</x:v>
      </x:c>
      <x:c r="D621" t="str">
        <x:v>release ledger mirrors governing state</x:v>
      </x:c>
      <x:c r="E621" t="str">
        <x:f>'Release Gates'!J597</x:f>
        <x:v>OPEN</x:v>
      </x:c>
      <x:c r="F621" t="str">
        <x:f>IF('Release Gates'!C597="PLANNING","PASS",IF('Release Gates'!C597="PHYSICAL","OPEN","BLOCKED"))</x:f>
        <x:v>OPEN</x:v>
      </x:c>
      <x:c r="G621" t="str">
        <x:v>equals</x:v>
      </x:c>
      <x:c r="H621" t="str">
        <x:f>IF(E621=F621,"PASS","FAIL")</x:f>
        <x:v>PASS</x:v>
      </x:c>
    </x:row>
    <x:row r="622">
      <x:c r="B622" t="str">
        <x:v>A-0592</x:v>
      </x:c>
      <x:c r="C622" t="str">
        <x:v>GATE</x:v>
      </x:c>
      <x:c r="D622" t="str">
        <x:v>release ledger mirrors governing state</x:v>
      </x:c>
      <x:c r="E622" t="str">
        <x:f>'Release Gates'!J598</x:f>
        <x:v>OPEN</x:v>
      </x:c>
      <x:c r="F622" t="str">
        <x:f>IF('Release Gates'!C598="PLANNING","PASS",IF('Release Gates'!C598="PHYSICAL","OPEN","BLOCKED"))</x:f>
        <x:v>OPEN</x:v>
      </x:c>
      <x:c r="G622" t="str">
        <x:v>equals</x:v>
      </x:c>
      <x:c r="H622" t="str">
        <x:f>IF(E622=F622,"PASS","FAIL")</x:f>
        <x:v>PASS</x:v>
      </x:c>
    </x:row>
    <x:row r="623">
      <x:c r="B623" t="str">
        <x:v>A-0593</x:v>
      </x:c>
      <x:c r="C623" t="str">
        <x:v>GATE</x:v>
      </x:c>
      <x:c r="D623" t="str">
        <x:v>release ledger mirrors governing state</x:v>
      </x:c>
      <x:c r="E623" t="str">
        <x:f>'Release Gates'!J599</x:f>
        <x:v>OPEN</x:v>
      </x:c>
      <x:c r="F623" t="str">
        <x:f>IF('Release Gates'!C599="PLANNING","PASS",IF('Release Gates'!C599="PHYSICAL","OPEN","BLOCKED"))</x:f>
        <x:v>OPEN</x:v>
      </x:c>
      <x:c r="G623" t="str">
        <x:v>equals</x:v>
      </x:c>
      <x:c r="H623" t="str">
        <x:f>IF(E623=F623,"PASS","FAIL")</x:f>
        <x:v>PASS</x:v>
      </x:c>
    </x:row>
    <x:row r="624">
      <x:c r="B624" t="str">
        <x:v>A-0594</x:v>
      </x:c>
      <x:c r="C624" t="str">
        <x:v>GATE</x:v>
      </x:c>
      <x:c r="D624" t="str">
        <x:v>release ledger mirrors governing state</x:v>
      </x:c>
      <x:c r="E624" t="str">
        <x:f>'Release Gates'!J600</x:f>
        <x:v>OPEN</x:v>
      </x:c>
      <x:c r="F624" t="str">
        <x:f>IF('Release Gates'!C600="PLANNING","PASS",IF('Release Gates'!C600="PHYSICAL","OPEN","BLOCKED"))</x:f>
        <x:v>OPEN</x:v>
      </x:c>
      <x:c r="G624" t="str">
        <x:v>equals</x:v>
      </x:c>
      <x:c r="H624" t="str">
        <x:f>IF(E624=F624,"PASS","FAIL")</x:f>
        <x:v>PASS</x:v>
      </x:c>
    </x:row>
    <x:row r="625">
      <x:c r="B625" t="str">
        <x:v>A-0595</x:v>
      </x:c>
      <x:c r="C625" t="str">
        <x:v>GATE</x:v>
      </x:c>
      <x:c r="D625" t="str">
        <x:v>release ledger mirrors governing state</x:v>
      </x:c>
      <x:c r="E625" t="str">
        <x:f>'Release Gates'!J601</x:f>
        <x:v>OPEN</x:v>
      </x:c>
      <x:c r="F625" t="str">
        <x:f>IF('Release Gates'!C601="PLANNING","PASS",IF('Release Gates'!C601="PHYSICAL","OPEN","BLOCKED"))</x:f>
        <x:v>OPEN</x:v>
      </x:c>
      <x:c r="G625" t="str">
        <x:v>equals</x:v>
      </x:c>
      <x:c r="H625" t="str">
        <x:f>IF(E625=F625,"PASS","FAIL")</x:f>
        <x:v>PASS</x:v>
      </x:c>
    </x:row>
    <x:row r="626">
      <x:c r="B626" t="str">
        <x:v>A-0596</x:v>
      </x:c>
      <x:c r="C626" t="str">
        <x:v>GATE</x:v>
      </x:c>
      <x:c r="D626" t="str">
        <x:v>release ledger mirrors governing state</x:v>
      </x:c>
      <x:c r="E626" t="str">
        <x:f>'Release Gates'!J602</x:f>
        <x:v>OPEN</x:v>
      </x:c>
      <x:c r="F626" t="str">
        <x:f>IF('Release Gates'!C602="PLANNING","PASS",IF('Release Gates'!C602="PHYSICAL","OPEN","BLOCKED"))</x:f>
        <x:v>OPEN</x:v>
      </x:c>
      <x:c r="G626" t="str">
        <x:v>equals</x:v>
      </x:c>
      <x:c r="H626" t="str">
        <x:f>IF(E626=F626,"PASS","FAIL")</x:f>
        <x:v>PASS</x:v>
      </x:c>
    </x:row>
    <x:row r="627">
      <x:c r="B627" t="str">
        <x:v>A-0597</x:v>
      </x:c>
      <x:c r="C627" t="str">
        <x:v>GATE</x:v>
      </x:c>
      <x:c r="D627" t="str">
        <x:v>release ledger mirrors governing state</x:v>
      </x:c>
      <x:c r="E627" t="str">
        <x:f>'Release Gates'!J603</x:f>
        <x:v>OPEN</x:v>
      </x:c>
      <x:c r="F627" t="str">
        <x:f>IF('Release Gates'!C603="PLANNING","PASS",IF('Release Gates'!C603="PHYSICAL","OPEN","BLOCKED"))</x:f>
        <x:v>OPEN</x:v>
      </x:c>
      <x:c r="G627" t="str">
        <x:v>equals</x:v>
      </x:c>
      <x:c r="H627" t="str">
        <x:f>IF(E627=F627,"PASS","FAIL")</x:f>
        <x:v>PASS</x:v>
      </x:c>
    </x:row>
    <x:row r="628">
      <x:c r="B628" t="str">
        <x:v>A-0598</x:v>
      </x:c>
      <x:c r="C628" t="str">
        <x:v>GATE</x:v>
      </x:c>
      <x:c r="D628" t="str">
        <x:v>release ledger mirrors governing state</x:v>
      </x:c>
      <x:c r="E628" t="str">
        <x:f>'Release Gates'!J604</x:f>
        <x:v>OPEN</x:v>
      </x:c>
      <x:c r="F628" t="str">
        <x:f>IF('Release Gates'!C604="PLANNING","PASS",IF('Release Gates'!C604="PHYSICAL","OPEN","BLOCKED"))</x:f>
        <x:v>OPEN</x:v>
      </x:c>
      <x:c r="G628" t="str">
        <x:v>equals</x:v>
      </x:c>
      <x:c r="H628" t="str">
        <x:f>IF(E628=F628,"PASS","FAIL")</x:f>
        <x:v>PASS</x:v>
      </x:c>
    </x:row>
    <x:row r="629">
      <x:c r="B629" t="str">
        <x:v>A-0599</x:v>
      </x:c>
      <x:c r="C629" t="str">
        <x:v>GATE</x:v>
      </x:c>
      <x:c r="D629" t="str">
        <x:v>release ledger mirrors governing state</x:v>
      </x:c>
      <x:c r="E629" t="str">
        <x:f>'Release Gates'!J605</x:f>
        <x:v>OPEN</x:v>
      </x:c>
      <x:c r="F629" t="str">
        <x:f>IF('Release Gates'!C605="PLANNING","PASS",IF('Release Gates'!C605="PHYSICAL","OPEN","BLOCKED"))</x:f>
        <x:v>OPEN</x:v>
      </x:c>
      <x:c r="G629" t="str">
        <x:v>equals</x:v>
      </x:c>
      <x:c r="H629" t="str">
        <x:f>IF(E629=F629,"PASS","FAIL")</x:f>
        <x:v>PASS</x:v>
      </x:c>
    </x:row>
    <x:row r="630">
      <x:c r="B630" t="str">
        <x:v>A-0600</x:v>
      </x:c>
      <x:c r="C630" t="str">
        <x:v>GATE</x:v>
      </x:c>
      <x:c r="D630" t="str">
        <x:v>release ledger mirrors governing state</x:v>
      </x:c>
      <x:c r="E630" t="str">
        <x:f>'Release Gates'!J606</x:f>
        <x:v>OPEN</x:v>
      </x:c>
      <x:c r="F630" t="str">
        <x:f>IF('Release Gates'!C606="PLANNING","PASS",IF('Release Gates'!C606="PHYSICAL","OPEN","BLOCKED"))</x:f>
        <x:v>OPEN</x:v>
      </x:c>
      <x:c r="G630" t="str">
        <x:v>equals</x:v>
      </x:c>
      <x:c r="H630" t="str">
        <x:f>IF(E630=F630,"PASS","FAIL")</x:f>
        <x:v>PASS</x:v>
      </x:c>
    </x:row>
    <x:row r="631">
      <x:c r="B631" t="str">
        <x:v>A-0601</x:v>
      </x:c>
      <x:c r="C631" t="str">
        <x:v>GATE</x:v>
      </x:c>
      <x:c r="D631" t="str">
        <x:v>release ledger mirrors governing state</x:v>
      </x:c>
      <x:c r="E631" t="str">
        <x:f>'Release Gates'!J607</x:f>
        <x:v>OPEN</x:v>
      </x:c>
      <x:c r="F631" t="str">
        <x:f>IF('Release Gates'!C607="PLANNING","PASS",IF('Release Gates'!C607="PHYSICAL","OPEN","BLOCKED"))</x:f>
        <x:v>OPEN</x:v>
      </x:c>
      <x:c r="G631" t="str">
        <x:v>equals</x:v>
      </x:c>
      <x:c r="H631" t="str">
        <x:f>IF(E631=F631,"PASS","FAIL")</x:f>
        <x:v>PASS</x:v>
      </x:c>
    </x:row>
    <x:row r="632">
      <x:c r="B632" t="str">
        <x:v>A-0602</x:v>
      </x:c>
      <x:c r="C632" t="str">
        <x:v>GATE</x:v>
      </x:c>
      <x:c r="D632" t="str">
        <x:v>release ledger mirrors governing state</x:v>
      </x:c>
      <x:c r="E632" t="str">
        <x:f>'Release Gates'!J608</x:f>
        <x:v>OPEN</x:v>
      </x:c>
      <x:c r="F632" t="str">
        <x:f>IF('Release Gates'!C608="PLANNING","PASS",IF('Release Gates'!C608="PHYSICAL","OPEN","BLOCKED"))</x:f>
        <x:v>OPEN</x:v>
      </x:c>
      <x:c r="G632" t="str">
        <x:v>equals</x:v>
      </x:c>
      <x:c r="H632" t="str">
        <x:f>IF(E632=F632,"PASS","FAIL")</x:f>
        <x:v>PASS</x:v>
      </x:c>
    </x:row>
    <x:row r="633">
      <x:c r="B633" t="str">
        <x:v>A-0603</x:v>
      </x:c>
      <x:c r="C633" t="str">
        <x:v>GATE</x:v>
      </x:c>
      <x:c r="D633" t="str">
        <x:v>release ledger mirrors governing state</x:v>
      </x:c>
      <x:c r="E633" t="str">
        <x:f>'Release Gates'!J609</x:f>
        <x:v>OPEN</x:v>
      </x:c>
      <x:c r="F633" t="str">
        <x:f>IF('Release Gates'!C609="PLANNING","PASS",IF('Release Gates'!C609="PHYSICAL","OPEN","BLOCKED"))</x:f>
        <x:v>OPEN</x:v>
      </x:c>
      <x:c r="G633" t="str">
        <x:v>equals</x:v>
      </x:c>
      <x:c r="H633" t="str">
        <x:f>IF(E633=F633,"PASS","FAIL")</x:f>
        <x:v>PASS</x:v>
      </x:c>
    </x:row>
    <x:row r="634">
      <x:c r="B634" t="str">
        <x:v>A-0604</x:v>
      </x:c>
      <x:c r="C634" t="str">
        <x:v>GATE</x:v>
      </x:c>
      <x:c r="D634" t="str">
        <x:v>release ledger mirrors governing state</x:v>
      </x:c>
      <x:c r="E634" t="str">
        <x:f>'Release Gates'!J610</x:f>
        <x:v>OPEN</x:v>
      </x:c>
      <x:c r="F634" t="str">
        <x:f>IF('Release Gates'!C610="PLANNING","PASS",IF('Release Gates'!C610="PHYSICAL","OPEN","BLOCKED"))</x:f>
        <x:v>OPEN</x:v>
      </x:c>
      <x:c r="G634" t="str">
        <x:v>equals</x:v>
      </x:c>
      <x:c r="H634" t="str">
        <x:f>IF(E634=F634,"PASS","FAIL")</x:f>
        <x:v>PASS</x:v>
      </x:c>
    </x:row>
    <x:row r="635">
      <x:c r="B635" t="str">
        <x:v>A-0605</x:v>
      </x:c>
      <x:c r="C635" t="str">
        <x:v>GATE</x:v>
      </x:c>
      <x:c r="D635" t="str">
        <x:v>release ledger mirrors governing state</x:v>
      </x:c>
      <x:c r="E635" t="str">
        <x:f>'Release Gates'!J611</x:f>
        <x:v>OPEN</x:v>
      </x:c>
      <x:c r="F635" t="str">
        <x:f>IF('Release Gates'!C611="PLANNING","PASS",IF('Release Gates'!C611="PHYSICAL","OPEN","BLOCKED"))</x:f>
        <x:v>OPEN</x:v>
      </x:c>
      <x:c r="G635" t="str">
        <x:v>equals</x:v>
      </x:c>
      <x:c r="H635" t="str">
        <x:f>IF(E635=F635,"PASS","FAIL")</x:f>
        <x:v>PASS</x:v>
      </x:c>
    </x:row>
    <x:row r="636">
      <x:c r="B636" t="str">
        <x:v>A-0606</x:v>
      </x:c>
      <x:c r="C636" t="str">
        <x:v>GATE</x:v>
      </x:c>
      <x:c r="D636" t="str">
        <x:v>release ledger mirrors governing state</x:v>
      </x:c>
      <x:c r="E636" t="str">
        <x:f>'Release Gates'!J612</x:f>
        <x:v>OPEN</x:v>
      </x:c>
      <x:c r="F636" t="str">
        <x:f>IF('Release Gates'!C612="PLANNING","PASS",IF('Release Gates'!C612="PHYSICAL","OPEN","BLOCKED"))</x:f>
        <x:v>OPEN</x:v>
      </x:c>
      <x:c r="G636" t="str">
        <x:v>equals</x:v>
      </x:c>
      <x:c r="H636" t="str">
        <x:f>IF(E636=F636,"PASS","FAIL")</x:f>
        <x:v>PASS</x:v>
      </x:c>
    </x:row>
    <x:row r="637">
      <x:c r="B637" t="str">
        <x:v>A-0607</x:v>
      </x:c>
      <x:c r="C637" t="str">
        <x:v>GATE</x:v>
      </x:c>
      <x:c r="D637" t="str">
        <x:v>release ledger mirrors governing state</x:v>
      </x:c>
      <x:c r="E637" t="str">
        <x:f>'Release Gates'!J613</x:f>
        <x:v>OPEN</x:v>
      </x:c>
      <x:c r="F637" t="str">
        <x:f>IF('Release Gates'!C613="PLANNING","PASS",IF('Release Gates'!C613="PHYSICAL","OPEN","BLOCKED"))</x:f>
        <x:v>OPEN</x:v>
      </x:c>
      <x:c r="G637" t="str">
        <x:v>equals</x:v>
      </x:c>
      <x:c r="H637" t="str">
        <x:f>IF(E637=F637,"PASS","FAIL")</x:f>
        <x:v>PASS</x:v>
      </x:c>
    </x:row>
    <x:row r="638">
      <x:c r="B638" t="str">
        <x:v>A-0608</x:v>
      </x:c>
      <x:c r="C638" t="str">
        <x:v>GATE</x:v>
      </x:c>
      <x:c r="D638" t="str">
        <x:v>release ledger mirrors governing state</x:v>
      </x:c>
      <x:c r="E638" t="str">
        <x:f>'Release Gates'!J614</x:f>
        <x:v>OPEN</x:v>
      </x:c>
      <x:c r="F638" t="str">
        <x:f>IF('Release Gates'!C614="PLANNING","PASS",IF('Release Gates'!C614="PHYSICAL","OPEN","BLOCKED"))</x:f>
        <x:v>OPEN</x:v>
      </x:c>
      <x:c r="G638" t="str">
        <x:v>equals</x:v>
      </x:c>
      <x:c r="H638" t="str">
        <x:f>IF(E638=F638,"PASS","FAIL")</x:f>
        <x:v>PASS</x:v>
      </x:c>
    </x:row>
    <x:row r="639">
      <x:c r="B639" t="str">
        <x:v>A-0609</x:v>
      </x:c>
      <x:c r="C639" t="str">
        <x:v>GATE</x:v>
      </x:c>
      <x:c r="D639" t="str">
        <x:v>release ledger mirrors governing state</x:v>
      </x:c>
      <x:c r="E639" t="str">
        <x:f>'Release Gates'!J615</x:f>
        <x:v>OPEN</x:v>
      </x:c>
      <x:c r="F639" t="str">
        <x:f>IF('Release Gates'!C615="PLANNING","PASS",IF('Release Gates'!C615="PHYSICAL","OPEN","BLOCKED"))</x:f>
        <x:v>OPEN</x:v>
      </x:c>
      <x:c r="G639" t="str">
        <x:v>equals</x:v>
      </x:c>
      <x:c r="H639" t="str">
        <x:f>IF(E639=F639,"PASS","FAIL")</x:f>
        <x:v>PASS</x:v>
      </x:c>
    </x:row>
    <x:row r="640">
      <x:c r="B640" t="str">
        <x:v>A-0610</x:v>
      </x:c>
      <x:c r="C640" t="str">
        <x:v>GATE</x:v>
      </x:c>
      <x:c r="D640" t="str">
        <x:v>release ledger mirrors governing state</x:v>
      </x:c>
      <x:c r="E640" t="str">
        <x:f>'Release Gates'!J616</x:f>
        <x:v>OPEN</x:v>
      </x:c>
      <x:c r="F640" t="str">
        <x:f>IF('Release Gates'!C616="PLANNING","PASS",IF('Release Gates'!C616="PHYSICAL","OPEN","BLOCKED"))</x:f>
        <x:v>OPEN</x:v>
      </x:c>
      <x:c r="G640" t="str">
        <x:v>equals</x:v>
      </x:c>
      <x:c r="H640" t="str">
        <x:f>IF(E640=F640,"PASS","FAIL")</x:f>
        <x:v>PASS</x:v>
      </x:c>
    </x:row>
    <x:row r="641">
      <x:c r="B641" t="str">
        <x:v>A-0611</x:v>
      </x:c>
      <x:c r="C641" t="str">
        <x:v>GATE</x:v>
      </x:c>
      <x:c r="D641" t="str">
        <x:v>release ledger mirrors governing state</x:v>
      </x:c>
      <x:c r="E641" t="str">
        <x:f>'Release Gates'!J617</x:f>
        <x:v>OPEN</x:v>
      </x:c>
      <x:c r="F641" t="str">
        <x:f>IF('Release Gates'!C617="PLANNING","PASS",IF('Release Gates'!C617="PHYSICAL","OPEN","BLOCKED"))</x:f>
        <x:v>OPEN</x:v>
      </x:c>
      <x:c r="G641" t="str">
        <x:v>equals</x:v>
      </x:c>
      <x:c r="H641" t="str">
        <x:f>IF(E641=F641,"PASS","FAIL")</x:f>
        <x:v>PASS</x:v>
      </x:c>
    </x:row>
    <x:row r="642">
      <x:c r="B642" t="str">
        <x:v>A-0612</x:v>
      </x:c>
      <x:c r="C642" t="str">
        <x:v>GATE</x:v>
      </x:c>
      <x:c r="D642" t="str">
        <x:v>release ledger mirrors governing state</x:v>
      </x:c>
      <x:c r="E642" t="str">
        <x:f>'Release Gates'!J618</x:f>
        <x:v>OPEN</x:v>
      </x:c>
      <x:c r="F642" t="str">
        <x:f>IF('Release Gates'!C618="PLANNING","PASS",IF('Release Gates'!C618="PHYSICAL","OPEN","BLOCKED"))</x:f>
        <x:v>OPEN</x:v>
      </x:c>
      <x:c r="G642" t="str">
        <x:v>equals</x:v>
      </x:c>
      <x:c r="H642" t="str">
        <x:f>IF(E642=F642,"PASS","FAIL")</x:f>
        <x:v>PASS</x:v>
      </x:c>
    </x:row>
    <x:row r="643">
      <x:c r="B643" t="str">
        <x:v>A-0613</x:v>
      </x:c>
      <x:c r="C643" t="str">
        <x:v>GATE</x:v>
      </x:c>
      <x:c r="D643" t="str">
        <x:v>release ledger mirrors governing state</x:v>
      </x:c>
      <x:c r="E643" t="str">
        <x:f>'Release Gates'!J619</x:f>
        <x:v>OPEN</x:v>
      </x:c>
      <x:c r="F643" t="str">
        <x:f>IF('Release Gates'!C619="PLANNING","PASS",IF('Release Gates'!C619="PHYSICAL","OPEN","BLOCKED"))</x:f>
        <x:v>OPEN</x:v>
      </x:c>
      <x:c r="G643" t="str">
        <x:v>equals</x:v>
      </x:c>
      <x:c r="H643" t="str">
        <x:f>IF(E643=F643,"PASS","FAIL")</x:f>
        <x:v>PASS</x:v>
      </x:c>
    </x:row>
    <x:row r="644">
      <x:c r="B644" t="str">
        <x:v>A-0614</x:v>
      </x:c>
      <x:c r="C644" t="str">
        <x:v>GATE</x:v>
      </x:c>
      <x:c r="D644" t="str">
        <x:v>release ledger mirrors governing state</x:v>
      </x:c>
      <x:c r="E644" t="str">
        <x:f>'Release Gates'!J620</x:f>
        <x:v>OPEN</x:v>
      </x:c>
      <x:c r="F644" t="str">
        <x:f>IF('Release Gates'!C620="PLANNING","PASS",IF('Release Gates'!C620="PHYSICAL","OPEN","BLOCKED"))</x:f>
        <x:v>OPEN</x:v>
      </x:c>
      <x:c r="G644" t="str">
        <x:v>equals</x:v>
      </x:c>
      <x:c r="H644" t="str">
        <x:f>IF(E644=F644,"PASS","FAIL")</x:f>
        <x:v>PASS</x:v>
      </x:c>
    </x:row>
    <x:row r="645">
      <x:c r="B645" t="str">
        <x:v>A-0615</x:v>
      </x:c>
      <x:c r="C645" t="str">
        <x:v>GATE</x:v>
      </x:c>
      <x:c r="D645" t="str">
        <x:v>release ledger mirrors governing state</x:v>
      </x:c>
      <x:c r="E645" t="str">
        <x:f>'Release Gates'!J621</x:f>
        <x:v>OPEN</x:v>
      </x:c>
      <x:c r="F645" t="str">
        <x:f>IF('Release Gates'!C621="PLANNING","PASS",IF('Release Gates'!C621="PHYSICAL","OPEN","BLOCKED"))</x:f>
        <x:v>OPEN</x:v>
      </x:c>
      <x:c r="G645" t="str">
        <x:v>equals</x:v>
      </x:c>
      <x:c r="H645" t="str">
        <x:f>IF(E645=F645,"PASS","FAIL")</x:f>
        <x:v>PASS</x:v>
      </x:c>
    </x:row>
    <x:row r="646">
      <x:c r="B646" t="str">
        <x:v>A-0616</x:v>
      </x:c>
      <x:c r="C646" t="str">
        <x:v>GATE</x:v>
      </x:c>
      <x:c r="D646" t="str">
        <x:v>release ledger mirrors governing state</x:v>
      </x:c>
      <x:c r="E646" t="str">
        <x:f>'Release Gates'!J622</x:f>
        <x:v>OPEN</x:v>
      </x:c>
      <x:c r="F646" t="str">
        <x:f>IF('Release Gates'!C622="PLANNING","PASS",IF('Release Gates'!C622="PHYSICAL","OPEN","BLOCKED"))</x:f>
        <x:v>OPEN</x:v>
      </x:c>
      <x:c r="G646" t="str">
        <x:v>equals</x:v>
      </x:c>
      <x:c r="H646" t="str">
        <x:f>IF(E646=F646,"PASS","FAIL")</x:f>
        <x:v>PASS</x:v>
      </x:c>
    </x:row>
    <x:row r="647">
      <x:c r="B647" t="str">
        <x:v>A-0617</x:v>
      </x:c>
      <x:c r="C647" t="str">
        <x:v>GATE</x:v>
      </x:c>
      <x:c r="D647" t="str">
        <x:v>release ledger mirrors governing state</x:v>
      </x:c>
      <x:c r="E647" t="str">
        <x:f>'Release Gates'!J623</x:f>
        <x:v>OPEN</x:v>
      </x:c>
      <x:c r="F647" t="str">
        <x:f>IF('Release Gates'!C623="PLANNING","PASS",IF('Release Gates'!C623="PHYSICAL","OPEN","BLOCKED"))</x:f>
        <x:v>OPEN</x:v>
      </x:c>
      <x:c r="G647" t="str">
        <x:v>equals</x:v>
      </x:c>
      <x:c r="H647" t="str">
        <x:f>IF(E647=F647,"PASS","FAIL")</x:f>
        <x:v>PASS</x:v>
      </x:c>
    </x:row>
    <x:row r="648">
      <x:c r="B648" t="str">
        <x:v>A-0618</x:v>
      </x:c>
      <x:c r="C648" t="str">
        <x:v>GATE</x:v>
      </x:c>
      <x:c r="D648" t="str">
        <x:v>release ledger mirrors governing state</x:v>
      </x:c>
      <x:c r="E648" t="str">
        <x:f>'Release Gates'!J624</x:f>
        <x:v>OPEN</x:v>
      </x:c>
      <x:c r="F648" t="str">
        <x:f>IF('Release Gates'!C624="PLANNING","PASS",IF('Release Gates'!C624="PHYSICAL","OPEN","BLOCKED"))</x:f>
        <x:v>OPEN</x:v>
      </x:c>
      <x:c r="G648" t="str">
        <x:v>equals</x:v>
      </x:c>
      <x:c r="H648" t="str">
        <x:f>IF(E648=F648,"PASS","FAIL")</x:f>
        <x:v>PASS</x:v>
      </x:c>
    </x:row>
    <x:row r="649">
      <x:c r="B649" t="str">
        <x:v>A-0619</x:v>
      </x:c>
      <x:c r="C649" t="str">
        <x:v>GATE</x:v>
      </x:c>
      <x:c r="D649" t="str">
        <x:v>release ledger mirrors governing state</x:v>
      </x:c>
      <x:c r="E649" t="str">
        <x:f>'Release Gates'!J625</x:f>
        <x:v>OPEN</x:v>
      </x:c>
      <x:c r="F649" t="str">
        <x:f>IF('Release Gates'!C625="PLANNING","PASS",IF('Release Gates'!C625="PHYSICAL","OPEN","BLOCKED"))</x:f>
        <x:v>OPEN</x:v>
      </x:c>
      <x:c r="G649" t="str">
        <x:v>equals</x:v>
      </x:c>
      <x:c r="H649" t="str">
        <x:f>IF(E649=F649,"PASS","FAIL")</x:f>
        <x:v>PASS</x:v>
      </x:c>
    </x:row>
    <x:row r="650">
      <x:c r="B650" t="str">
        <x:v>A-0620</x:v>
      </x:c>
      <x:c r="C650" t="str">
        <x:v>GATE</x:v>
      </x:c>
      <x:c r="D650" t="str">
        <x:v>release ledger mirrors governing state</x:v>
      </x:c>
      <x:c r="E650" t="str">
        <x:f>'Release Gates'!J626</x:f>
        <x:v>OPEN</x:v>
      </x:c>
      <x:c r="F650" t="str">
        <x:f>IF('Release Gates'!C626="PLANNING","PASS",IF('Release Gates'!C626="PHYSICAL","OPEN","BLOCKED"))</x:f>
        <x:v>OPEN</x:v>
      </x:c>
      <x:c r="G650" t="str">
        <x:v>equals</x:v>
      </x:c>
      <x:c r="H650" t="str">
        <x:f>IF(E650=F650,"PASS","FAIL")</x:f>
        <x:v>PASS</x:v>
      </x:c>
    </x:row>
    <x:row r="651">
      <x:c r="B651" t="str">
        <x:v>A-0621</x:v>
      </x:c>
      <x:c r="C651" t="str">
        <x:v>GATE</x:v>
      </x:c>
      <x:c r="D651" t="str">
        <x:v>release ledger mirrors governing state</x:v>
      </x:c>
      <x:c r="E651" t="str">
        <x:f>'Release Gates'!J627</x:f>
        <x:v>OPEN</x:v>
      </x:c>
      <x:c r="F651" t="str">
        <x:f>IF('Release Gates'!C627="PLANNING","PASS",IF('Release Gates'!C627="PHYSICAL","OPEN","BLOCKED"))</x:f>
        <x:v>OPEN</x:v>
      </x:c>
      <x:c r="G651" t="str">
        <x:v>equals</x:v>
      </x:c>
      <x:c r="H651" t="str">
        <x:f>IF(E651=F651,"PASS","FAIL")</x:f>
        <x:v>PASS</x:v>
      </x:c>
    </x:row>
    <x:row r="652">
      <x:c r="B652" t="str">
        <x:v>A-0622</x:v>
      </x:c>
      <x:c r="C652" t="str">
        <x:v>GATE</x:v>
      </x:c>
      <x:c r="D652" t="str">
        <x:v>release ledger mirrors governing state</x:v>
      </x:c>
      <x:c r="E652" t="str">
        <x:f>'Release Gates'!J628</x:f>
        <x:v>OPEN</x:v>
      </x:c>
      <x:c r="F652" t="str">
        <x:f>IF('Release Gates'!C628="PLANNING","PASS",IF('Release Gates'!C628="PHYSICAL","OPEN","BLOCKED"))</x:f>
        <x:v>OPEN</x:v>
      </x:c>
      <x:c r="G652" t="str">
        <x:v>equals</x:v>
      </x:c>
      <x:c r="H652" t="str">
        <x:f>IF(E652=F652,"PASS","FAIL")</x:f>
        <x:v>PASS</x:v>
      </x:c>
    </x:row>
    <x:row r="653">
      <x:c r="B653" t="str">
        <x:v>A-0623</x:v>
      </x:c>
      <x:c r="C653" t="str">
        <x:v>GATE</x:v>
      </x:c>
      <x:c r="D653" t="str">
        <x:v>release ledger mirrors governing state</x:v>
      </x:c>
      <x:c r="E653" t="str">
        <x:f>'Release Gates'!J629</x:f>
        <x:v>OPEN</x:v>
      </x:c>
      <x:c r="F653" t="str">
        <x:f>IF('Release Gates'!C629="PLANNING","PASS",IF('Release Gates'!C629="PHYSICAL","OPEN","BLOCKED"))</x:f>
        <x:v>OPEN</x:v>
      </x:c>
      <x:c r="G653" t="str">
        <x:v>equals</x:v>
      </x:c>
      <x:c r="H653" t="str">
        <x:f>IF(E653=F653,"PASS","FAIL")</x:f>
        <x:v>PASS</x:v>
      </x:c>
    </x:row>
    <x:row r="654">
      <x:c r="B654" t="str">
        <x:v>A-0624</x:v>
      </x:c>
      <x:c r="C654" t="str">
        <x:v>GATE</x:v>
      </x:c>
      <x:c r="D654" t="str">
        <x:v>release ledger mirrors governing state</x:v>
      </x:c>
      <x:c r="E654" t="str">
        <x:f>'Release Gates'!J630</x:f>
        <x:v>OPEN</x:v>
      </x:c>
      <x:c r="F654" t="str">
        <x:f>IF('Release Gates'!C630="PLANNING","PASS",IF('Release Gates'!C630="PHYSICAL","OPEN","BLOCKED"))</x:f>
        <x:v>OPEN</x:v>
      </x:c>
      <x:c r="G654" t="str">
        <x:v>equals</x:v>
      </x:c>
      <x:c r="H654" t="str">
        <x:f>IF(E654=F654,"PASS","FAIL")</x:f>
        <x:v>PASS</x:v>
      </x:c>
    </x:row>
    <x:row r="655">
      <x:c r="B655" t="str">
        <x:v>A-0625</x:v>
      </x:c>
      <x:c r="C655" t="str">
        <x:v>GATE</x:v>
      </x:c>
      <x:c r="D655" t="str">
        <x:v>release ledger mirrors governing state</x:v>
      </x:c>
      <x:c r="E655" t="str">
        <x:f>'Release Gates'!J631</x:f>
        <x:v>OPEN</x:v>
      </x:c>
      <x:c r="F655" t="str">
        <x:f>IF('Release Gates'!C631="PLANNING","PASS",IF('Release Gates'!C631="PHYSICAL","OPEN","BLOCKED"))</x:f>
        <x:v>OPEN</x:v>
      </x:c>
      <x:c r="G655" t="str">
        <x:v>equals</x:v>
      </x:c>
      <x:c r="H655" t="str">
        <x:f>IF(E655=F655,"PASS","FAIL")</x:f>
        <x:v>PASS</x:v>
      </x:c>
    </x:row>
    <x:row r="656">
      <x:c r="B656" t="str">
        <x:v>A-0626</x:v>
      </x:c>
      <x:c r="C656" t="str">
        <x:v>GATE</x:v>
      </x:c>
      <x:c r="D656" t="str">
        <x:v>release ledger mirrors governing state</x:v>
      </x:c>
      <x:c r="E656" t="str">
        <x:f>'Release Gates'!J632</x:f>
        <x:v>OPEN</x:v>
      </x:c>
      <x:c r="F656" t="str">
        <x:f>IF('Release Gates'!C632="PLANNING","PASS",IF('Release Gates'!C632="PHYSICAL","OPEN","BLOCKED"))</x:f>
        <x:v>OPEN</x:v>
      </x:c>
      <x:c r="G656" t="str">
        <x:v>equals</x:v>
      </x:c>
      <x:c r="H656" t="str">
        <x:f>IF(E656=F656,"PASS","FAIL")</x:f>
        <x:v>PASS</x:v>
      </x:c>
    </x:row>
    <x:row r="657">
      <x:c r="B657" t="str">
        <x:v>A-0627</x:v>
      </x:c>
      <x:c r="C657" t="str">
        <x:v>GATE</x:v>
      </x:c>
      <x:c r="D657" t="str">
        <x:v>release ledger mirrors governing state</x:v>
      </x:c>
      <x:c r="E657" t="str">
        <x:f>'Release Gates'!J633</x:f>
        <x:v>OPEN</x:v>
      </x:c>
      <x:c r="F657" t="str">
        <x:f>IF('Release Gates'!C633="PLANNING","PASS",IF('Release Gates'!C633="PHYSICAL","OPEN","BLOCKED"))</x:f>
        <x:v>OPEN</x:v>
      </x:c>
      <x:c r="G657" t="str">
        <x:v>equals</x:v>
      </x:c>
      <x:c r="H657" t="str">
        <x:f>IF(E657=F657,"PASS","FAIL")</x:f>
        <x:v>PASS</x:v>
      </x:c>
    </x:row>
    <x:row r="658">
      <x:c r="B658" t="str">
        <x:v>A-0628</x:v>
      </x:c>
      <x:c r="C658" t="str">
        <x:v>GATE</x:v>
      </x:c>
      <x:c r="D658" t="str">
        <x:v>release ledger mirrors governing state</x:v>
      </x:c>
      <x:c r="E658" t="str">
        <x:f>'Release Gates'!J634</x:f>
        <x:v>OPEN</x:v>
      </x:c>
      <x:c r="F658" t="str">
        <x:f>IF('Release Gates'!C634="PLANNING","PASS",IF('Release Gates'!C634="PHYSICAL","OPEN","BLOCKED"))</x:f>
        <x:v>OPEN</x:v>
      </x:c>
      <x:c r="G658" t="str">
        <x:v>equals</x:v>
      </x:c>
      <x:c r="H658" t="str">
        <x:f>IF(E658=F658,"PASS","FAIL")</x:f>
        <x:v>PASS</x:v>
      </x:c>
    </x:row>
    <x:row r="659">
      <x:c r="B659" t="str">
        <x:v>A-0629</x:v>
      </x:c>
      <x:c r="C659" t="str">
        <x:v>GATE</x:v>
      </x:c>
      <x:c r="D659" t="str">
        <x:v>release ledger mirrors governing state</x:v>
      </x:c>
      <x:c r="E659" t="str">
        <x:f>'Release Gates'!J635</x:f>
        <x:v>OPEN</x:v>
      </x:c>
      <x:c r="F659" t="str">
        <x:f>IF('Release Gates'!C635="PLANNING","PASS",IF('Release Gates'!C635="PHYSICAL","OPEN","BLOCKED"))</x:f>
        <x:v>OPEN</x:v>
      </x:c>
      <x:c r="G659" t="str">
        <x:v>equals</x:v>
      </x:c>
      <x:c r="H659" t="str">
        <x:f>IF(E659=F659,"PASS","FAIL")</x:f>
        <x:v>PASS</x:v>
      </x:c>
    </x:row>
    <x:row r="660">
      <x:c r="B660" t="str">
        <x:v>A-0630</x:v>
      </x:c>
      <x:c r="C660" t="str">
        <x:v>GATE</x:v>
      </x:c>
      <x:c r="D660" t="str">
        <x:v>release ledger mirrors governing state</x:v>
      </x:c>
      <x:c r="E660" t="str">
        <x:f>'Release Gates'!J636</x:f>
        <x:v>OPEN</x:v>
      </x:c>
      <x:c r="F660" t="str">
        <x:f>IF('Release Gates'!C636="PLANNING","PASS",IF('Release Gates'!C636="PHYSICAL","OPEN","BLOCKED"))</x:f>
        <x:v>OPEN</x:v>
      </x:c>
      <x:c r="G660" t="str">
        <x:v>equals</x:v>
      </x:c>
      <x:c r="H660" t="str">
        <x:f>IF(E660=F660,"PASS","FAIL")</x:f>
        <x:v>PASS</x:v>
      </x:c>
    </x:row>
    <x:row r="661">
      <x:c r="B661" t="str">
        <x:v>A-0631</x:v>
      </x:c>
      <x:c r="C661" t="str">
        <x:v>GATE</x:v>
      </x:c>
      <x:c r="D661" t="str">
        <x:v>release ledger mirrors governing state</x:v>
      </x:c>
      <x:c r="E661" t="str">
        <x:f>'Release Gates'!J637</x:f>
        <x:v>OPEN</x:v>
      </x:c>
      <x:c r="F661" t="str">
        <x:f>IF('Release Gates'!C637="PLANNING","PASS",IF('Release Gates'!C637="PHYSICAL","OPEN","BLOCKED"))</x:f>
        <x:v>OPEN</x:v>
      </x:c>
      <x:c r="G661" t="str">
        <x:v>equals</x:v>
      </x:c>
      <x:c r="H661" t="str">
        <x:f>IF(E661=F661,"PASS","FAIL")</x:f>
        <x:v>PASS</x:v>
      </x:c>
    </x:row>
    <x:row r="662">
      <x:c r="B662" t="str">
        <x:v>A-0632</x:v>
      </x:c>
      <x:c r="C662" t="str">
        <x:v>GATE</x:v>
      </x:c>
      <x:c r="D662" t="str">
        <x:v>release ledger mirrors governing state</x:v>
      </x:c>
      <x:c r="E662" t="str">
        <x:f>'Release Gates'!J638</x:f>
        <x:v>OPEN</x:v>
      </x:c>
      <x:c r="F662" t="str">
        <x:f>IF('Release Gates'!C638="PLANNING","PASS",IF('Release Gates'!C638="PHYSICAL","OPEN","BLOCKED"))</x:f>
        <x:v>OPEN</x:v>
      </x:c>
      <x:c r="G662" t="str">
        <x:v>equals</x:v>
      </x:c>
      <x:c r="H662" t="str">
        <x:f>IF(E662=F662,"PASS","FAIL")</x:f>
        <x:v>PASS</x:v>
      </x:c>
    </x:row>
    <x:row r="663">
      <x:c r="B663" t="str">
        <x:v>A-0633</x:v>
      </x:c>
      <x:c r="C663" t="str">
        <x:v>GATE</x:v>
      </x:c>
      <x:c r="D663" t="str">
        <x:v>release ledger mirrors governing state</x:v>
      </x:c>
      <x:c r="E663" t="str">
        <x:f>'Release Gates'!J639</x:f>
        <x:v>OPEN</x:v>
      </x:c>
      <x:c r="F663" t="str">
        <x:f>IF('Release Gates'!C639="PLANNING","PASS",IF('Release Gates'!C639="PHYSICAL","OPEN","BLOCKED"))</x:f>
        <x:v>OPEN</x:v>
      </x:c>
      <x:c r="G663" t="str">
        <x:v>equals</x:v>
      </x:c>
      <x:c r="H663" t="str">
        <x:f>IF(E663=F663,"PASS","FAIL")</x:f>
        <x:v>PASS</x:v>
      </x:c>
    </x:row>
    <x:row r="664">
      <x:c r="B664" t="str">
        <x:v>A-0634</x:v>
      </x:c>
      <x:c r="C664" t="str">
        <x:v>GATE</x:v>
      </x:c>
      <x:c r="D664" t="str">
        <x:v>release ledger mirrors governing state</x:v>
      </x:c>
      <x:c r="E664" t="str">
        <x:f>'Release Gates'!J640</x:f>
        <x:v>OPEN</x:v>
      </x:c>
      <x:c r="F664" t="str">
        <x:f>IF('Release Gates'!C640="PLANNING","PASS",IF('Release Gates'!C640="PHYSICAL","OPEN","BLOCKED"))</x:f>
        <x:v>OPEN</x:v>
      </x:c>
      <x:c r="G664" t="str">
        <x:v>equals</x:v>
      </x:c>
      <x:c r="H664" t="str">
        <x:f>IF(E664=F664,"PASS","FAIL")</x:f>
        <x:v>PASS</x:v>
      </x:c>
    </x:row>
    <x:row r="665">
      <x:c r="B665" t="str">
        <x:v>A-0635</x:v>
      </x:c>
      <x:c r="C665" t="str">
        <x:v>GATE</x:v>
      </x:c>
      <x:c r="D665" t="str">
        <x:v>release ledger mirrors governing state</x:v>
      </x:c>
      <x:c r="E665" t="str">
        <x:f>'Release Gates'!J641</x:f>
        <x:v>OPEN</x:v>
      </x:c>
      <x:c r="F665" t="str">
        <x:f>IF('Release Gates'!C641="PLANNING","PASS",IF('Release Gates'!C641="PHYSICAL","OPEN","BLOCKED"))</x:f>
        <x:v>OPEN</x:v>
      </x:c>
      <x:c r="G665" t="str">
        <x:v>equals</x:v>
      </x:c>
      <x:c r="H665" t="str">
        <x:f>IF(E665=F665,"PASS","FAIL")</x:f>
        <x:v>PASS</x:v>
      </x:c>
    </x:row>
    <x:row r="666">
      <x:c r="B666" t="str">
        <x:v>A-0636</x:v>
      </x:c>
      <x:c r="C666" t="str">
        <x:v>GATE</x:v>
      </x:c>
      <x:c r="D666" t="str">
        <x:v>release ledger mirrors governing state</x:v>
      </x:c>
      <x:c r="E666" t="str">
        <x:f>'Release Gates'!J642</x:f>
        <x:v>OPEN</x:v>
      </x:c>
      <x:c r="F666" t="str">
        <x:f>IF('Release Gates'!C642="PLANNING","PASS",IF('Release Gates'!C642="PHYSICAL","OPEN","BLOCKED"))</x:f>
        <x:v>OPEN</x:v>
      </x:c>
      <x:c r="G666" t="str">
        <x:v>equals</x:v>
      </x:c>
      <x:c r="H666" t="str">
        <x:f>IF(E666=F666,"PASS","FAIL")</x:f>
        <x:v>PASS</x:v>
      </x:c>
    </x:row>
    <x:row r="667">
      <x:c r="B667" t="str">
        <x:v>A-0637</x:v>
      </x:c>
      <x:c r="C667" t="str">
        <x:v>GATE</x:v>
      </x:c>
      <x:c r="D667" t="str">
        <x:v>release ledger mirrors governing state</x:v>
      </x:c>
      <x:c r="E667" t="str">
        <x:f>'Release Gates'!J643</x:f>
        <x:v>OPEN</x:v>
      </x:c>
      <x:c r="F667" t="str">
        <x:f>IF('Release Gates'!C643="PLANNING","PASS",IF('Release Gates'!C643="PHYSICAL","OPEN","BLOCKED"))</x:f>
        <x:v>OPEN</x:v>
      </x:c>
      <x:c r="G667" t="str">
        <x:v>equals</x:v>
      </x:c>
      <x:c r="H667" t="str">
        <x:f>IF(E667=F667,"PASS","FAIL")</x:f>
        <x:v>PASS</x:v>
      </x:c>
    </x:row>
    <x:row r="668">
      <x:c r="B668" t="str">
        <x:v>A-0638</x:v>
      </x:c>
      <x:c r="C668" t="str">
        <x:v>GATE</x:v>
      </x:c>
      <x:c r="D668" t="str">
        <x:v>release ledger mirrors governing state</x:v>
      </x:c>
      <x:c r="E668" t="str">
        <x:f>'Release Gates'!J644</x:f>
        <x:v>OPEN</x:v>
      </x:c>
      <x:c r="F668" t="str">
        <x:f>IF('Release Gates'!C644="PLANNING","PASS",IF('Release Gates'!C644="PHYSICAL","OPEN","BLOCKED"))</x:f>
        <x:v>OPEN</x:v>
      </x:c>
      <x:c r="G668" t="str">
        <x:v>equals</x:v>
      </x:c>
      <x:c r="H668" t="str">
        <x:f>IF(E668=F668,"PASS","FAIL")</x:f>
        <x:v>PASS</x:v>
      </x:c>
    </x:row>
    <x:row r="669">
      <x:c r="B669" t="str">
        <x:v>A-0639</x:v>
      </x:c>
      <x:c r="C669" t="str">
        <x:v>GATE</x:v>
      </x:c>
      <x:c r="D669" t="str">
        <x:v>release ledger mirrors governing state</x:v>
      </x:c>
      <x:c r="E669" t="str">
        <x:f>'Release Gates'!J645</x:f>
        <x:v>OPEN</x:v>
      </x:c>
      <x:c r="F669" t="str">
        <x:f>IF('Release Gates'!C645="PLANNING","PASS",IF('Release Gates'!C645="PHYSICAL","OPEN","BLOCKED"))</x:f>
        <x:v>OPEN</x:v>
      </x:c>
      <x:c r="G669" t="str">
        <x:v>equals</x:v>
      </x:c>
      <x:c r="H669" t="str">
        <x:f>IF(E669=F669,"PASS","FAIL")</x:f>
        <x:v>PASS</x:v>
      </x:c>
    </x:row>
    <x:row r="670">
      <x:c r="B670" t="str">
        <x:v>A-0640</x:v>
      </x:c>
      <x:c r="C670" t="str">
        <x:v>GATE</x:v>
      </x:c>
      <x:c r="D670" t="str">
        <x:v>release ledger mirrors governing state</x:v>
      </x:c>
      <x:c r="E670" t="str">
        <x:f>'Release Gates'!J646</x:f>
        <x:v>OPEN</x:v>
      </x:c>
      <x:c r="F670" t="str">
        <x:f>IF('Release Gates'!C646="PLANNING","PASS",IF('Release Gates'!C646="PHYSICAL","OPEN","BLOCKED"))</x:f>
        <x:v>OPEN</x:v>
      </x:c>
      <x:c r="G670" t="str">
        <x:v>equals</x:v>
      </x:c>
      <x:c r="H670" t="str">
        <x:f>IF(E670=F670,"PASS","FAIL")</x:f>
        <x:v>PASS</x:v>
      </x:c>
    </x:row>
    <x:row r="671">
      <x:c r="B671" t="str">
        <x:v>A-0641</x:v>
      </x:c>
      <x:c r="C671" t="str">
        <x:v>GATE</x:v>
      </x:c>
      <x:c r="D671" t="str">
        <x:v>release ledger mirrors governing state</x:v>
      </x:c>
      <x:c r="E671" t="str">
        <x:f>'Release Gates'!J647</x:f>
        <x:v>OPEN</x:v>
      </x:c>
      <x:c r="F671" t="str">
        <x:f>IF('Release Gates'!C647="PLANNING","PASS",IF('Release Gates'!C647="PHYSICAL","OPEN","BLOCKED"))</x:f>
        <x:v>OPEN</x:v>
      </x:c>
      <x:c r="G671" t="str">
        <x:v>equals</x:v>
      </x:c>
      <x:c r="H671" t="str">
        <x:f>IF(E671=F671,"PASS","FAIL")</x:f>
        <x:v>PASS</x:v>
      </x:c>
    </x:row>
    <x:row r="672">
      <x:c r="B672" t="str">
        <x:v>A-0642</x:v>
      </x:c>
      <x:c r="C672" t="str">
        <x:v>GATE</x:v>
      </x:c>
      <x:c r="D672" t="str">
        <x:v>release ledger mirrors governing state</x:v>
      </x:c>
      <x:c r="E672" t="str">
        <x:f>'Release Gates'!J648</x:f>
        <x:v>OPEN</x:v>
      </x:c>
      <x:c r="F672" t="str">
        <x:f>IF('Release Gates'!C648="PLANNING","PASS",IF('Release Gates'!C648="PHYSICAL","OPEN","BLOCKED"))</x:f>
        <x:v>OPEN</x:v>
      </x:c>
      <x:c r="G672" t="str">
        <x:v>equals</x:v>
      </x:c>
      <x:c r="H672" t="str">
        <x:f>IF(E672=F672,"PASS","FAIL")</x:f>
        <x:v>PASS</x:v>
      </x:c>
    </x:row>
    <x:row r="673">
      <x:c r="B673" t="str">
        <x:v>A-0643</x:v>
      </x:c>
      <x:c r="C673" t="str">
        <x:v>GATE</x:v>
      </x:c>
      <x:c r="D673" t="str">
        <x:v>release ledger mirrors governing state</x:v>
      </x:c>
      <x:c r="E673" t="str">
        <x:f>'Release Gates'!J649</x:f>
        <x:v>OPEN</x:v>
      </x:c>
      <x:c r="F673" t="str">
        <x:f>IF('Release Gates'!C649="PLANNING","PASS",IF('Release Gates'!C649="PHYSICAL","OPEN","BLOCKED"))</x:f>
        <x:v>OPEN</x:v>
      </x:c>
      <x:c r="G673" t="str">
        <x:v>equals</x:v>
      </x:c>
      <x:c r="H673" t="str">
        <x:f>IF(E673=F673,"PASS","FAIL")</x:f>
        <x:v>PASS</x:v>
      </x:c>
    </x:row>
    <x:row r="674">
      <x:c r="B674" t="str">
        <x:v>A-0644</x:v>
      </x:c>
      <x:c r="C674" t="str">
        <x:v>GATE</x:v>
      </x:c>
      <x:c r="D674" t="str">
        <x:v>release ledger mirrors governing state</x:v>
      </x:c>
      <x:c r="E674" t="str">
        <x:f>'Release Gates'!J650</x:f>
        <x:v>OPEN</x:v>
      </x:c>
      <x:c r="F674" t="str">
        <x:f>IF('Release Gates'!C650="PLANNING","PASS",IF('Release Gates'!C650="PHYSICAL","OPEN","BLOCKED"))</x:f>
        <x:v>OPEN</x:v>
      </x:c>
      <x:c r="G674" t="str">
        <x:v>equals</x:v>
      </x:c>
      <x:c r="H674" t="str">
        <x:f>IF(E674=F674,"PASS","FAIL")</x:f>
        <x:v>PASS</x:v>
      </x:c>
    </x:row>
    <x:row r="675">
      <x:c r="B675" t="str">
        <x:v>A-0645</x:v>
      </x:c>
      <x:c r="C675" t="str">
        <x:v>GATE</x:v>
      </x:c>
      <x:c r="D675" t="str">
        <x:v>release ledger mirrors governing state</x:v>
      </x:c>
      <x:c r="E675" t="str">
        <x:f>'Release Gates'!J651</x:f>
        <x:v>OPEN</x:v>
      </x:c>
      <x:c r="F675" t="str">
        <x:f>IF('Release Gates'!C651="PLANNING","PASS",IF('Release Gates'!C651="PHYSICAL","OPEN","BLOCKED"))</x:f>
        <x:v>OPEN</x:v>
      </x:c>
      <x:c r="G675" t="str">
        <x:v>equals</x:v>
      </x:c>
      <x:c r="H675" t="str">
        <x:f>IF(E675=F675,"PASS","FAIL")</x:f>
        <x:v>PASS</x:v>
      </x:c>
    </x:row>
    <x:row r="676">
      <x:c r="B676" t="str">
        <x:v>A-0646</x:v>
      </x:c>
      <x:c r="C676" t="str">
        <x:v>GATE</x:v>
      </x:c>
      <x:c r="D676" t="str">
        <x:v>release ledger mirrors governing state</x:v>
      </x:c>
      <x:c r="E676" t="str">
        <x:f>'Release Gates'!J652</x:f>
        <x:v>OPEN</x:v>
      </x:c>
      <x:c r="F676" t="str">
        <x:f>IF('Release Gates'!C652="PLANNING","PASS",IF('Release Gates'!C652="PHYSICAL","OPEN","BLOCKED"))</x:f>
        <x:v>OPEN</x:v>
      </x:c>
      <x:c r="G676" t="str">
        <x:v>equals</x:v>
      </x:c>
      <x:c r="H676" t="str">
        <x:f>IF(E676=F676,"PASS","FAIL")</x:f>
        <x:v>PASS</x:v>
      </x:c>
    </x:row>
    <x:row r="677">
      <x:c r="B677" t="str">
        <x:v>A-0647</x:v>
      </x:c>
      <x:c r="C677" t="str">
        <x:v>GATE</x:v>
      </x:c>
      <x:c r="D677" t="str">
        <x:v>release ledger mirrors governing state</x:v>
      </x:c>
      <x:c r="E677" t="str">
        <x:f>'Release Gates'!J653</x:f>
        <x:v>OPEN</x:v>
      </x:c>
      <x:c r="F677" t="str">
        <x:f>IF('Release Gates'!C653="PLANNING","PASS",IF('Release Gates'!C653="PHYSICAL","OPEN","BLOCKED"))</x:f>
        <x:v>OPEN</x:v>
      </x:c>
      <x:c r="G677" t="str">
        <x:v>equals</x:v>
      </x:c>
      <x:c r="H677" t="str">
        <x:f>IF(E677=F677,"PASS","FAIL")</x:f>
        <x:v>PASS</x:v>
      </x:c>
    </x:row>
    <x:row r="678">
      <x:c r="B678" t="str">
        <x:v>A-0648</x:v>
      </x:c>
      <x:c r="C678" t="str">
        <x:v>GATE</x:v>
      </x:c>
      <x:c r="D678" t="str">
        <x:v>release ledger mirrors governing state</x:v>
      </x:c>
      <x:c r="E678" t="str">
        <x:f>'Release Gates'!J654</x:f>
        <x:v>OPEN</x:v>
      </x:c>
      <x:c r="F678" t="str">
        <x:f>IF('Release Gates'!C654="PLANNING","PASS",IF('Release Gates'!C654="PHYSICAL","OPEN","BLOCKED"))</x:f>
        <x:v>OPEN</x:v>
      </x:c>
      <x:c r="G678" t="str">
        <x:v>equals</x:v>
      </x:c>
      <x:c r="H678" t="str">
        <x:f>IF(E678=F678,"PASS","FAIL")</x:f>
        <x:v>PASS</x:v>
      </x:c>
    </x:row>
    <x:row r="679">
      <x:c r="B679" t="str">
        <x:v>A-0649</x:v>
      </x:c>
      <x:c r="C679" t="str">
        <x:v>GATE</x:v>
      </x:c>
      <x:c r="D679" t="str">
        <x:v>release ledger mirrors governing state</x:v>
      </x:c>
      <x:c r="E679" t="str">
        <x:f>'Release Gates'!J655</x:f>
        <x:v>OPEN</x:v>
      </x:c>
      <x:c r="F679" t="str">
        <x:f>IF('Release Gates'!C655="PLANNING","PASS",IF('Release Gates'!C655="PHYSICAL","OPEN","BLOCKED"))</x:f>
        <x:v>OPEN</x:v>
      </x:c>
      <x:c r="G679" t="str">
        <x:v>equals</x:v>
      </x:c>
      <x:c r="H679" t="str">
        <x:f>IF(E679=F679,"PASS","FAIL")</x:f>
        <x:v>PASS</x:v>
      </x:c>
    </x:row>
    <x:row r="680">
      <x:c r="B680" t="str">
        <x:v>A-0650</x:v>
      </x:c>
      <x:c r="C680" t="str">
        <x:v>GATE</x:v>
      </x:c>
      <x:c r="D680" t="str">
        <x:v>release ledger mirrors governing state</x:v>
      </x:c>
      <x:c r="E680" t="str">
        <x:f>'Release Gates'!J656</x:f>
        <x:v>OPEN</x:v>
      </x:c>
      <x:c r="F680" t="str">
        <x:f>IF('Release Gates'!C656="PLANNING","PASS",IF('Release Gates'!C656="PHYSICAL","OPEN","BLOCKED"))</x:f>
        <x:v>OPEN</x:v>
      </x:c>
      <x:c r="G680" t="str">
        <x:v>equals</x:v>
      </x:c>
      <x:c r="H680" t="str">
        <x:f>IF(E680=F680,"PASS","FAIL")</x:f>
        <x:v>PASS</x:v>
      </x:c>
    </x:row>
    <x:row r="681">
      <x:c r="B681" t="str">
        <x:v>A-0651</x:v>
      </x:c>
      <x:c r="C681" t="str">
        <x:v>GATE</x:v>
      </x:c>
      <x:c r="D681" t="str">
        <x:v>release ledger mirrors governing state</x:v>
      </x:c>
      <x:c r="E681" t="str">
        <x:f>'Release Gates'!J657</x:f>
        <x:v>OPEN</x:v>
      </x:c>
      <x:c r="F681" t="str">
        <x:f>IF('Release Gates'!C657="PLANNING","PASS",IF('Release Gates'!C657="PHYSICAL","OPEN","BLOCKED"))</x:f>
        <x:v>OPEN</x:v>
      </x:c>
      <x:c r="G681" t="str">
        <x:v>equals</x:v>
      </x:c>
      <x:c r="H681" t="str">
        <x:f>IF(E681=F681,"PASS","FAIL")</x:f>
        <x:v>PASS</x:v>
      </x:c>
    </x:row>
    <x:row r="682">
      <x:c r="B682" t="str">
        <x:v>A-0652</x:v>
      </x:c>
      <x:c r="C682" t="str">
        <x:v>GATE</x:v>
      </x:c>
      <x:c r="D682" t="str">
        <x:v>release ledger mirrors governing state</x:v>
      </x:c>
      <x:c r="E682" t="str">
        <x:f>'Release Gates'!J658</x:f>
        <x:v>OPEN</x:v>
      </x:c>
      <x:c r="F682" t="str">
        <x:f>IF('Release Gates'!C658="PLANNING","PASS",IF('Release Gates'!C658="PHYSICAL","OPEN","BLOCKED"))</x:f>
        <x:v>OPEN</x:v>
      </x:c>
      <x:c r="G682" t="str">
        <x:v>equals</x:v>
      </x:c>
      <x:c r="H682" t="str">
        <x:f>IF(E682=F682,"PASS","FAIL")</x:f>
        <x:v>PASS</x:v>
      </x:c>
    </x:row>
    <x:row r="683">
      <x:c r="B683" t="str">
        <x:v>A-0653</x:v>
      </x:c>
      <x:c r="C683" t="str">
        <x:v>GATE</x:v>
      </x:c>
      <x:c r="D683" t="str">
        <x:v>release ledger mirrors governing state</x:v>
      </x:c>
      <x:c r="E683" t="str">
        <x:f>'Release Gates'!J659</x:f>
        <x:v>OPEN</x:v>
      </x:c>
      <x:c r="F683" t="str">
        <x:f>IF('Release Gates'!C659="PLANNING","PASS",IF('Release Gates'!C659="PHYSICAL","OPEN","BLOCKED"))</x:f>
        <x:v>OPEN</x:v>
      </x:c>
      <x:c r="G683" t="str">
        <x:v>equals</x:v>
      </x:c>
      <x:c r="H683" t="str">
        <x:f>IF(E683=F683,"PASS","FAIL")</x:f>
        <x:v>PASS</x:v>
      </x:c>
    </x:row>
    <x:row r="684">
      <x:c r="B684" t="str">
        <x:v>A-0654</x:v>
      </x:c>
      <x:c r="C684" t="str">
        <x:v>GATE</x:v>
      </x:c>
      <x:c r="D684" t="str">
        <x:v>release ledger mirrors governing state</x:v>
      </x:c>
      <x:c r="E684" t="str">
        <x:f>'Release Gates'!J660</x:f>
        <x:v>OPEN</x:v>
      </x:c>
      <x:c r="F684" t="str">
        <x:f>IF('Release Gates'!C660="PLANNING","PASS",IF('Release Gates'!C660="PHYSICAL","OPEN","BLOCKED"))</x:f>
        <x:v>OPEN</x:v>
      </x:c>
      <x:c r="G684" t="str">
        <x:v>equals</x:v>
      </x:c>
      <x:c r="H684" t="str">
        <x:f>IF(E684=F684,"PASS","FAIL")</x:f>
        <x:v>PASS</x:v>
      </x:c>
    </x:row>
    <x:row r="685">
      <x:c r="B685" t="str">
        <x:v>A-0655</x:v>
      </x:c>
      <x:c r="C685" t="str">
        <x:v>GATE</x:v>
      </x:c>
      <x:c r="D685" t="str">
        <x:v>release ledger mirrors governing state</x:v>
      </x:c>
      <x:c r="E685" t="str">
        <x:f>'Release Gates'!J661</x:f>
        <x:v>OPEN</x:v>
      </x:c>
      <x:c r="F685" t="str">
        <x:f>IF('Release Gates'!C661="PLANNING","PASS",IF('Release Gates'!C661="PHYSICAL","OPEN","BLOCKED"))</x:f>
        <x:v>OPEN</x:v>
      </x:c>
      <x:c r="G685" t="str">
        <x:v>equals</x:v>
      </x:c>
      <x:c r="H685" t="str">
        <x:f>IF(E685=F685,"PASS","FAIL")</x:f>
        <x:v>PASS</x:v>
      </x:c>
    </x:row>
    <x:row r="686">
      <x:c r="B686" t="str">
        <x:v>A-0656</x:v>
      </x:c>
      <x:c r="C686" t="str">
        <x:v>GATE</x:v>
      </x:c>
      <x:c r="D686" t="str">
        <x:v>release ledger mirrors governing state</x:v>
      </x:c>
      <x:c r="E686" t="str">
        <x:f>'Release Gates'!J662</x:f>
        <x:v>OPEN</x:v>
      </x:c>
      <x:c r="F686" t="str">
        <x:f>IF('Release Gates'!C662="PLANNING","PASS",IF('Release Gates'!C662="PHYSICAL","OPEN","BLOCKED"))</x:f>
        <x:v>OPEN</x:v>
      </x:c>
      <x:c r="G686" t="str">
        <x:v>equals</x:v>
      </x:c>
      <x:c r="H686" t="str">
        <x:f>IF(E686=F686,"PASS","FAIL")</x:f>
        <x:v>PASS</x:v>
      </x:c>
    </x:row>
    <x:row r="687">
      <x:c r="B687" t="str">
        <x:v>A-0657</x:v>
      </x:c>
      <x:c r="C687" t="str">
        <x:v>GATE</x:v>
      </x:c>
      <x:c r="D687" t="str">
        <x:v>release ledger mirrors governing state</x:v>
      </x:c>
      <x:c r="E687" t="str">
        <x:f>'Release Gates'!J663</x:f>
        <x:v>OPEN</x:v>
      </x:c>
      <x:c r="F687" t="str">
        <x:f>IF('Release Gates'!C663="PLANNING","PASS",IF('Release Gates'!C663="PHYSICAL","OPEN","BLOCKED"))</x:f>
        <x:v>OPEN</x:v>
      </x:c>
      <x:c r="G687" t="str">
        <x:v>equals</x:v>
      </x:c>
      <x:c r="H687" t="str">
        <x:f>IF(E687=F687,"PASS","FAIL")</x:f>
        <x:v>PASS</x:v>
      </x:c>
    </x:row>
    <x:row r="688">
      <x:c r="B688" t="str">
        <x:v>A-0658</x:v>
      </x:c>
      <x:c r="C688" t="str">
        <x:v>GATE</x:v>
      </x:c>
      <x:c r="D688" t="str">
        <x:v>release ledger mirrors governing state</x:v>
      </x:c>
      <x:c r="E688" t="str">
        <x:f>'Release Gates'!J664</x:f>
        <x:v>OPEN</x:v>
      </x:c>
      <x:c r="F688" t="str">
        <x:f>IF('Release Gates'!C664="PLANNING","PASS",IF('Release Gates'!C664="PHYSICAL","OPEN","BLOCKED"))</x:f>
        <x:v>OPEN</x:v>
      </x:c>
      <x:c r="G688" t="str">
        <x:v>equals</x:v>
      </x:c>
      <x:c r="H688" t="str">
        <x:f>IF(E688=F688,"PASS","FAIL")</x:f>
        <x:v>PASS</x:v>
      </x:c>
    </x:row>
    <x:row r="689">
      <x:c r="B689" t="str">
        <x:v>A-0659</x:v>
      </x:c>
      <x:c r="C689" t="str">
        <x:v>GATE</x:v>
      </x:c>
      <x:c r="D689" t="str">
        <x:v>release ledger mirrors governing state</x:v>
      </x:c>
      <x:c r="E689" t="str">
        <x:f>'Release Gates'!J665</x:f>
        <x:v>OPEN</x:v>
      </x:c>
      <x:c r="F689" t="str">
        <x:f>IF('Release Gates'!C665="PLANNING","PASS",IF('Release Gates'!C665="PHYSICAL","OPEN","BLOCKED"))</x:f>
        <x:v>OPEN</x:v>
      </x:c>
      <x:c r="G689" t="str">
        <x:v>equals</x:v>
      </x:c>
      <x:c r="H689" t="str">
        <x:f>IF(E689=F689,"PASS","FAIL")</x:f>
        <x:v>PASS</x:v>
      </x:c>
    </x:row>
    <x:row r="690">
      <x:c r="B690" t="str">
        <x:v>A-0660</x:v>
      </x:c>
      <x:c r="C690" t="str">
        <x:v>GATE</x:v>
      </x:c>
      <x:c r="D690" t="str">
        <x:v>release ledger mirrors governing state</x:v>
      </x:c>
      <x:c r="E690" t="str">
        <x:f>'Release Gates'!J666</x:f>
        <x:v>OPEN</x:v>
      </x:c>
      <x:c r="F690" t="str">
        <x:f>IF('Release Gates'!C666="PLANNING","PASS",IF('Release Gates'!C666="PHYSICAL","OPEN","BLOCKED"))</x:f>
        <x:v>OPEN</x:v>
      </x:c>
      <x:c r="G690" t="str">
        <x:v>equals</x:v>
      </x:c>
      <x:c r="H690" t="str">
        <x:f>IF(E690=F690,"PASS","FAIL")</x:f>
        <x:v>PASS</x:v>
      </x:c>
    </x:row>
    <x:row r="691">
      <x:c r="B691" t="str">
        <x:v>A-0661</x:v>
      </x:c>
      <x:c r="C691" t="str">
        <x:v>GATE</x:v>
      </x:c>
      <x:c r="D691" t="str">
        <x:v>release ledger mirrors governing state</x:v>
      </x:c>
      <x:c r="E691" t="str">
        <x:f>'Release Gates'!J667</x:f>
        <x:v>OPEN</x:v>
      </x:c>
      <x:c r="F691" t="str">
        <x:f>IF('Release Gates'!C667="PLANNING","PASS",IF('Release Gates'!C667="PHYSICAL","OPEN","BLOCKED"))</x:f>
        <x:v>OPEN</x:v>
      </x:c>
      <x:c r="G691" t="str">
        <x:v>equals</x:v>
      </x:c>
      <x:c r="H691" t="str">
        <x:f>IF(E691=F691,"PASS","FAIL")</x:f>
        <x:v>PASS</x:v>
      </x:c>
    </x:row>
    <x:row r="692">
      <x:c r="B692" t="str">
        <x:v>A-0662</x:v>
      </x:c>
      <x:c r="C692" t="str">
        <x:v>GATE</x:v>
      </x:c>
      <x:c r="D692" t="str">
        <x:v>release ledger mirrors governing state</x:v>
      </x:c>
      <x:c r="E692" t="str">
        <x:f>'Release Gates'!J668</x:f>
        <x:v>OPEN</x:v>
      </x:c>
      <x:c r="F692" t="str">
        <x:f>IF('Release Gates'!C668="PLANNING","PASS",IF('Release Gates'!C668="PHYSICAL","OPEN","BLOCKED"))</x:f>
        <x:v>OPEN</x:v>
      </x:c>
      <x:c r="G692" t="str">
        <x:v>equals</x:v>
      </x:c>
      <x:c r="H692" t="str">
        <x:f>IF(E692=F692,"PASS","FAIL")</x:f>
        <x:v>PASS</x:v>
      </x:c>
    </x:row>
    <x:row r="693">
      <x:c r="B693" t="str">
        <x:v>A-0663</x:v>
      </x:c>
      <x:c r="C693" t="str">
        <x:v>GATE</x:v>
      </x:c>
      <x:c r="D693" t="str">
        <x:v>release ledger mirrors governing state</x:v>
      </x:c>
      <x:c r="E693" t="str">
        <x:f>'Release Gates'!J669</x:f>
        <x:v>OPEN</x:v>
      </x:c>
      <x:c r="F693" t="str">
        <x:f>IF('Release Gates'!C669="PLANNING","PASS",IF('Release Gates'!C669="PHYSICAL","OPEN","BLOCKED"))</x:f>
        <x:v>OPEN</x:v>
      </x:c>
      <x:c r="G693" t="str">
        <x:v>equals</x:v>
      </x:c>
      <x:c r="H693" t="str">
        <x:f>IF(E693=F693,"PASS","FAIL")</x:f>
        <x:v>PASS</x:v>
      </x:c>
    </x:row>
    <x:row r="694">
      <x:c r="B694" t="str">
        <x:v>A-0664</x:v>
      </x:c>
      <x:c r="C694" t="str">
        <x:v>GATE</x:v>
      </x:c>
      <x:c r="D694" t="str">
        <x:v>release ledger mirrors governing state</x:v>
      </x:c>
      <x:c r="E694" t="str">
        <x:f>'Release Gates'!J670</x:f>
        <x:v>OPEN</x:v>
      </x:c>
      <x:c r="F694" t="str">
        <x:f>IF('Release Gates'!C670="PLANNING","PASS",IF('Release Gates'!C670="PHYSICAL","OPEN","BLOCKED"))</x:f>
        <x:v>OPEN</x:v>
      </x:c>
      <x:c r="G694" t="str">
        <x:v>equals</x:v>
      </x:c>
      <x:c r="H694" t="str">
        <x:f>IF(E694=F694,"PASS","FAIL")</x:f>
        <x:v>PASS</x:v>
      </x:c>
    </x:row>
    <x:row r="695">
      <x:c r="B695" t="str">
        <x:v>A-0665</x:v>
      </x:c>
      <x:c r="C695" t="str">
        <x:v>GATE</x:v>
      </x:c>
      <x:c r="D695" t="str">
        <x:v>release ledger mirrors governing state</x:v>
      </x:c>
      <x:c r="E695" t="str">
        <x:f>'Release Gates'!J671</x:f>
        <x:v>OPEN</x:v>
      </x:c>
      <x:c r="F695" t="str">
        <x:f>IF('Release Gates'!C671="PLANNING","PASS",IF('Release Gates'!C671="PHYSICAL","OPEN","BLOCKED"))</x:f>
        <x:v>OPEN</x:v>
      </x:c>
      <x:c r="G695" t="str">
        <x:v>equals</x:v>
      </x:c>
      <x:c r="H695" t="str">
        <x:f>IF(E695=F695,"PASS","FAIL")</x:f>
        <x:v>PASS</x:v>
      </x:c>
    </x:row>
    <x:row r="696">
      <x:c r="B696" t="str">
        <x:v>A-0666</x:v>
      </x:c>
      <x:c r="C696" t="str">
        <x:v>GATE</x:v>
      </x:c>
      <x:c r="D696" t="str">
        <x:v>release ledger mirrors governing state</x:v>
      </x:c>
      <x:c r="E696" t="str">
        <x:f>'Release Gates'!J672</x:f>
        <x:v>OPEN</x:v>
      </x:c>
      <x:c r="F696" t="str">
        <x:f>IF('Release Gates'!C672="PLANNING","PASS",IF('Release Gates'!C672="PHYSICAL","OPEN","BLOCKED"))</x:f>
        <x:v>OPEN</x:v>
      </x:c>
      <x:c r="G696" t="str">
        <x:v>equals</x:v>
      </x:c>
      <x:c r="H696" t="str">
        <x:f>IF(E696=F696,"PASS","FAIL")</x:f>
        <x:v>PASS</x:v>
      </x:c>
    </x:row>
    <x:row r="697">
      <x:c r="B697" t="str">
        <x:v>A-0667</x:v>
      </x:c>
      <x:c r="C697" t="str">
        <x:v>GATE</x:v>
      </x:c>
      <x:c r="D697" t="str">
        <x:v>release ledger mirrors governing state</x:v>
      </x:c>
      <x:c r="E697" t="str">
        <x:f>'Release Gates'!J673</x:f>
        <x:v>OPEN</x:v>
      </x:c>
      <x:c r="F697" t="str">
        <x:f>IF('Release Gates'!C673="PLANNING","PASS",IF('Release Gates'!C673="PHYSICAL","OPEN","BLOCKED"))</x:f>
        <x:v>OPEN</x:v>
      </x:c>
      <x:c r="G697" t="str">
        <x:v>equals</x:v>
      </x:c>
      <x:c r="H697" t="str">
        <x:f>IF(E697=F697,"PASS","FAIL")</x:f>
        <x:v>PASS</x:v>
      </x:c>
    </x:row>
    <x:row r="698">
      <x:c r="B698" t="str">
        <x:v>A-0668</x:v>
      </x:c>
      <x:c r="C698" t="str">
        <x:v>GATE</x:v>
      </x:c>
      <x:c r="D698" t="str">
        <x:v>release ledger mirrors governing state</x:v>
      </x:c>
      <x:c r="E698" t="str">
        <x:f>'Release Gates'!J674</x:f>
        <x:v>OPEN</x:v>
      </x:c>
      <x:c r="F698" t="str">
        <x:f>IF('Release Gates'!C674="PLANNING","PASS",IF('Release Gates'!C674="PHYSICAL","OPEN","BLOCKED"))</x:f>
        <x:v>OPEN</x:v>
      </x:c>
      <x:c r="G698" t="str">
        <x:v>equals</x:v>
      </x:c>
      <x:c r="H698" t="str">
        <x:f>IF(E698=F698,"PASS","FAIL")</x:f>
        <x:v>PASS</x:v>
      </x:c>
    </x:row>
    <x:row r="699">
      <x:c r="B699" t="str">
        <x:v>A-0669</x:v>
      </x:c>
      <x:c r="C699" t="str">
        <x:v>GATE</x:v>
      </x:c>
      <x:c r="D699" t="str">
        <x:v>release ledger mirrors governing state</x:v>
      </x:c>
      <x:c r="E699" t="str">
        <x:f>'Release Gates'!J675</x:f>
        <x:v>OPEN</x:v>
      </x:c>
      <x:c r="F699" t="str">
        <x:f>IF('Release Gates'!C675="PLANNING","PASS",IF('Release Gates'!C675="PHYSICAL","OPEN","BLOCKED"))</x:f>
        <x:v>OPEN</x:v>
      </x:c>
      <x:c r="G699" t="str">
        <x:v>equals</x:v>
      </x:c>
      <x:c r="H699" t="str">
        <x:f>IF(E699=F699,"PASS","FAIL")</x:f>
        <x:v>PASS</x:v>
      </x:c>
    </x:row>
    <x:row r="700">
      <x:c r="B700" t="str">
        <x:v>A-0670</x:v>
      </x:c>
      <x:c r="C700" t="str">
        <x:v>GATE</x:v>
      </x:c>
      <x:c r="D700" t="str">
        <x:v>release ledger mirrors governing state</x:v>
      </x:c>
      <x:c r="E700" t="str">
        <x:f>'Release Gates'!J676</x:f>
        <x:v>OPEN</x:v>
      </x:c>
      <x:c r="F700" t="str">
        <x:f>IF('Release Gates'!C676="PLANNING","PASS",IF('Release Gates'!C676="PHYSICAL","OPEN","BLOCKED"))</x:f>
        <x:v>OPEN</x:v>
      </x:c>
      <x:c r="G700" t="str">
        <x:v>equals</x:v>
      </x:c>
      <x:c r="H700" t="str">
        <x:f>IF(E700=F700,"PASS","FAIL")</x:f>
        <x:v>PASS</x:v>
      </x:c>
    </x:row>
    <x:row r="701">
      <x:c r="B701" t="str">
        <x:v>A-0671</x:v>
      </x:c>
      <x:c r="C701" t="str">
        <x:v>GATE</x:v>
      </x:c>
      <x:c r="D701" t="str">
        <x:v>release ledger mirrors governing state</x:v>
      </x:c>
      <x:c r="E701" t="str">
        <x:f>'Release Gates'!J677</x:f>
        <x:v>OPEN</x:v>
      </x:c>
      <x:c r="F701" t="str">
        <x:f>IF('Release Gates'!C677="PLANNING","PASS",IF('Release Gates'!C677="PHYSICAL","OPEN","BLOCKED"))</x:f>
        <x:v>OPEN</x:v>
      </x:c>
      <x:c r="G701" t="str">
        <x:v>equals</x:v>
      </x:c>
      <x:c r="H701" t="str">
        <x:f>IF(E701=F701,"PASS","FAIL")</x:f>
        <x:v>PASS</x:v>
      </x:c>
    </x:row>
    <x:row r="702">
      <x:c r="B702" t="str">
        <x:v>A-0672</x:v>
      </x:c>
      <x:c r="C702" t="str">
        <x:v>GATE</x:v>
      </x:c>
      <x:c r="D702" t="str">
        <x:v>release ledger mirrors governing state</x:v>
      </x:c>
      <x:c r="E702" t="str">
        <x:f>'Release Gates'!J678</x:f>
        <x:v>OPEN</x:v>
      </x:c>
      <x:c r="F702" t="str">
        <x:f>IF('Release Gates'!C678="PLANNING","PASS",IF('Release Gates'!C678="PHYSICAL","OPEN","BLOCKED"))</x:f>
        <x:v>OPEN</x:v>
      </x:c>
      <x:c r="G702" t="str">
        <x:v>equals</x:v>
      </x:c>
      <x:c r="H702" t="str">
        <x:f>IF(E702=F702,"PASS","FAIL")</x:f>
        <x:v>PASS</x:v>
      </x:c>
    </x:row>
    <x:row r="703">
      <x:c r="B703" t="str">
        <x:v>A-0673</x:v>
      </x:c>
      <x:c r="C703" t="str">
        <x:v>GATE</x:v>
      </x:c>
      <x:c r="D703" t="str">
        <x:v>release ledger mirrors governing state</x:v>
      </x:c>
      <x:c r="E703" t="str">
        <x:f>'Release Gates'!J679</x:f>
        <x:v>OPEN</x:v>
      </x:c>
      <x:c r="F703" t="str">
        <x:f>IF('Release Gates'!C679="PLANNING","PASS",IF('Release Gates'!C679="PHYSICAL","OPEN","BLOCKED"))</x:f>
        <x:v>OPEN</x:v>
      </x:c>
      <x:c r="G703" t="str">
        <x:v>equals</x:v>
      </x:c>
      <x:c r="H703" t="str">
        <x:f>IF(E703=F703,"PASS","FAIL")</x:f>
        <x:v>PASS</x:v>
      </x:c>
    </x:row>
    <x:row r="704">
      <x:c r="B704" t="str">
        <x:v>A-0674</x:v>
      </x:c>
      <x:c r="C704" t="str">
        <x:v>GATE</x:v>
      </x:c>
      <x:c r="D704" t="str">
        <x:v>release ledger mirrors governing state</x:v>
      </x:c>
      <x:c r="E704" t="str">
        <x:f>'Release Gates'!J680</x:f>
        <x:v>OPEN</x:v>
      </x:c>
      <x:c r="F704" t="str">
        <x:f>IF('Release Gates'!C680="PLANNING","PASS",IF('Release Gates'!C680="PHYSICAL","OPEN","BLOCKED"))</x:f>
        <x:v>OPEN</x:v>
      </x:c>
      <x:c r="G704" t="str">
        <x:v>equals</x:v>
      </x:c>
      <x:c r="H704" t="str">
        <x:f>IF(E704=F704,"PASS","FAIL")</x:f>
        <x:v>PASS</x:v>
      </x:c>
    </x:row>
    <x:row r="705">
      <x:c r="B705" t="str">
        <x:v>A-0675</x:v>
      </x:c>
      <x:c r="C705" t="str">
        <x:v>GATE</x:v>
      </x:c>
      <x:c r="D705" t="str">
        <x:v>release ledger mirrors governing state</x:v>
      </x:c>
      <x:c r="E705" t="str">
        <x:f>'Release Gates'!J681</x:f>
        <x:v>OPEN</x:v>
      </x:c>
      <x:c r="F705" t="str">
        <x:f>IF('Release Gates'!C681="PLANNING","PASS",IF('Release Gates'!C681="PHYSICAL","OPEN","BLOCKED"))</x:f>
        <x:v>OPEN</x:v>
      </x:c>
      <x:c r="G705" t="str">
        <x:v>equals</x:v>
      </x:c>
      <x:c r="H705" t="str">
        <x:f>IF(E705=F705,"PASS","FAIL")</x:f>
        <x:v>PASS</x:v>
      </x:c>
    </x:row>
    <x:row r="706">
      <x:c r="B706" t="str">
        <x:v>A-0676</x:v>
      </x:c>
      <x:c r="C706" t="str">
        <x:v>GATE</x:v>
      </x:c>
      <x:c r="D706" t="str">
        <x:v>release ledger mirrors governing state</x:v>
      </x:c>
      <x:c r="E706" t="str">
        <x:f>'Release Gates'!J682</x:f>
        <x:v>OPEN</x:v>
      </x:c>
      <x:c r="F706" t="str">
        <x:f>IF('Release Gates'!C682="PLANNING","PASS",IF('Release Gates'!C682="PHYSICAL","OPEN","BLOCKED"))</x:f>
        <x:v>OPEN</x:v>
      </x:c>
      <x:c r="G706" t="str">
        <x:v>equals</x:v>
      </x:c>
      <x:c r="H706" t="str">
        <x:f>IF(E706=F706,"PASS","FAIL")</x:f>
        <x:v>PASS</x:v>
      </x:c>
    </x:row>
    <x:row r="707">
      <x:c r="B707" t="str">
        <x:v>A-0677</x:v>
      </x:c>
      <x:c r="C707" t="str">
        <x:v>GATE</x:v>
      </x:c>
      <x:c r="D707" t="str">
        <x:v>release ledger mirrors governing state</x:v>
      </x:c>
      <x:c r="E707" t="str">
        <x:f>'Release Gates'!J683</x:f>
        <x:v>OPEN</x:v>
      </x:c>
      <x:c r="F707" t="str">
        <x:f>IF('Release Gates'!C683="PLANNING","PASS",IF('Release Gates'!C683="PHYSICAL","OPEN","BLOCKED"))</x:f>
        <x:v>OPEN</x:v>
      </x:c>
      <x:c r="G707" t="str">
        <x:v>equals</x:v>
      </x:c>
      <x:c r="H707" t="str">
        <x:f>IF(E707=F707,"PASS","FAIL")</x:f>
        <x:v>PASS</x:v>
      </x:c>
    </x:row>
    <x:row r="708">
      <x:c r="B708" t="str">
        <x:v>A-0678</x:v>
      </x:c>
      <x:c r="C708" t="str">
        <x:v>GATE</x:v>
      </x:c>
      <x:c r="D708" t="str">
        <x:v>release ledger mirrors governing state</x:v>
      </x:c>
      <x:c r="E708" t="str">
        <x:f>'Release Gates'!J684</x:f>
        <x:v>OPEN</x:v>
      </x:c>
      <x:c r="F708" t="str">
        <x:f>IF('Release Gates'!C684="PLANNING","PASS",IF('Release Gates'!C684="PHYSICAL","OPEN","BLOCKED"))</x:f>
        <x:v>OPEN</x:v>
      </x:c>
      <x:c r="G708" t="str">
        <x:v>equals</x:v>
      </x:c>
      <x:c r="H708" t="str">
        <x:f>IF(E708=F708,"PASS","FAIL")</x:f>
        <x:v>PASS</x:v>
      </x:c>
    </x:row>
    <x:row r="709">
      <x:c r="B709" t="str">
        <x:v>A-0679</x:v>
      </x:c>
      <x:c r="C709" t="str">
        <x:v>GATE</x:v>
      </x:c>
      <x:c r="D709" t="str">
        <x:v>release ledger mirrors governing state</x:v>
      </x:c>
      <x:c r="E709" t="str">
        <x:f>'Release Gates'!J685</x:f>
        <x:v>OPEN</x:v>
      </x:c>
      <x:c r="F709" t="str">
        <x:f>IF('Release Gates'!C685="PLANNING","PASS",IF('Release Gates'!C685="PHYSICAL","OPEN","BLOCKED"))</x:f>
        <x:v>OPEN</x:v>
      </x:c>
      <x:c r="G709" t="str">
        <x:v>equals</x:v>
      </x:c>
      <x:c r="H709" t="str">
        <x:f>IF(E709=F709,"PASS","FAIL")</x:f>
        <x:v>PASS</x:v>
      </x:c>
    </x:row>
    <x:row r="710">
      <x:c r="B710" t="str">
        <x:v>A-0680</x:v>
      </x:c>
      <x:c r="C710" t="str">
        <x:v>GATE</x:v>
      </x:c>
      <x:c r="D710" t="str">
        <x:v>release ledger mirrors governing state</x:v>
      </x:c>
      <x:c r="E710" t="str">
        <x:f>'Release Gates'!J686</x:f>
        <x:v>OPEN</x:v>
      </x:c>
      <x:c r="F710" t="str">
        <x:f>IF('Release Gates'!C686="PLANNING","PASS",IF('Release Gates'!C686="PHYSICAL","OPEN","BLOCKED"))</x:f>
        <x:v>OPEN</x:v>
      </x:c>
      <x:c r="G710" t="str">
        <x:v>equals</x:v>
      </x:c>
      <x:c r="H710" t="str">
        <x:f>IF(E710=F710,"PASS","FAIL")</x:f>
        <x:v>PASS</x:v>
      </x:c>
    </x:row>
    <x:row r="711">
      <x:c r="B711" t="str">
        <x:v>A-0681</x:v>
      </x:c>
      <x:c r="C711" t="str">
        <x:v>GATE</x:v>
      </x:c>
      <x:c r="D711" t="str">
        <x:v>release ledger mirrors governing state</x:v>
      </x:c>
      <x:c r="E711" t="str">
        <x:f>'Release Gates'!J687</x:f>
        <x:v>OPEN</x:v>
      </x:c>
      <x:c r="F711" t="str">
        <x:f>IF('Release Gates'!C687="PLANNING","PASS",IF('Release Gates'!C687="PHYSICAL","OPEN","BLOCKED"))</x:f>
        <x:v>OPEN</x:v>
      </x:c>
      <x:c r="G711" t="str">
        <x:v>equals</x:v>
      </x:c>
      <x:c r="H711" t="str">
        <x:f>IF(E711=F711,"PASS","FAIL")</x:f>
        <x:v>PASS</x:v>
      </x:c>
    </x:row>
    <x:row r="712">
      <x:c r="B712" t="str">
        <x:v>A-0682</x:v>
      </x:c>
      <x:c r="C712" t="str">
        <x:v>GATE</x:v>
      </x:c>
      <x:c r="D712" t="str">
        <x:v>release ledger mirrors governing state</x:v>
      </x:c>
      <x:c r="E712" t="str">
        <x:f>'Release Gates'!J688</x:f>
        <x:v>OPEN</x:v>
      </x:c>
      <x:c r="F712" t="str">
        <x:f>IF('Release Gates'!C688="PLANNING","PASS",IF('Release Gates'!C688="PHYSICAL","OPEN","BLOCKED"))</x:f>
        <x:v>OPEN</x:v>
      </x:c>
      <x:c r="G712" t="str">
        <x:v>equals</x:v>
      </x:c>
      <x:c r="H712" t="str">
        <x:f>IF(E712=F712,"PASS","FAIL")</x:f>
        <x:v>PASS</x:v>
      </x:c>
    </x:row>
    <x:row r="713">
      <x:c r="B713" t="str">
        <x:v>A-0683</x:v>
      </x:c>
      <x:c r="C713" t="str">
        <x:v>GATE</x:v>
      </x:c>
      <x:c r="D713" t="str">
        <x:v>release ledger mirrors governing state</x:v>
      </x:c>
      <x:c r="E713" t="str">
        <x:f>'Release Gates'!J689</x:f>
        <x:v>OPEN</x:v>
      </x:c>
      <x:c r="F713" t="str">
        <x:f>IF('Release Gates'!C689="PLANNING","PASS",IF('Release Gates'!C689="PHYSICAL","OPEN","BLOCKED"))</x:f>
        <x:v>OPEN</x:v>
      </x:c>
      <x:c r="G713" t="str">
        <x:v>equals</x:v>
      </x:c>
      <x:c r="H713" t="str">
        <x:f>IF(E713=F713,"PASS","FAIL")</x:f>
        <x:v>PASS</x:v>
      </x:c>
    </x:row>
    <x:row r="714">
      <x:c r="B714" t="str">
        <x:v>A-0684</x:v>
      </x:c>
      <x:c r="C714" t="str">
        <x:v>GATE</x:v>
      </x:c>
      <x:c r="D714" t="str">
        <x:v>release ledger mirrors governing state</x:v>
      </x:c>
      <x:c r="E714" t="str">
        <x:f>'Release Gates'!J690</x:f>
        <x:v>OPEN</x:v>
      </x:c>
      <x:c r="F714" t="str">
        <x:f>IF('Release Gates'!C690="PLANNING","PASS",IF('Release Gates'!C690="PHYSICAL","OPEN","BLOCKED"))</x:f>
        <x:v>OPEN</x:v>
      </x:c>
      <x:c r="G714" t="str">
        <x:v>equals</x:v>
      </x:c>
      <x:c r="H714" t="str">
        <x:f>IF(E714=F714,"PASS","FAIL")</x:f>
        <x:v>PASS</x:v>
      </x:c>
    </x:row>
    <x:row r="715">
      <x:c r="B715" t="str">
        <x:v>A-0685</x:v>
      </x:c>
      <x:c r="C715" t="str">
        <x:v>GATE</x:v>
      </x:c>
      <x:c r="D715" t="str">
        <x:v>release ledger mirrors governing state</x:v>
      </x:c>
      <x:c r="E715" t="str">
        <x:f>'Release Gates'!J691</x:f>
        <x:v>OPEN</x:v>
      </x:c>
      <x:c r="F715" t="str">
        <x:f>IF('Release Gates'!C691="PLANNING","PASS",IF('Release Gates'!C691="PHYSICAL","OPEN","BLOCKED"))</x:f>
        <x:v>OPEN</x:v>
      </x:c>
      <x:c r="G715" t="str">
        <x:v>equals</x:v>
      </x:c>
      <x:c r="H715" t="str">
        <x:f>IF(E715=F715,"PASS","FAIL")</x:f>
        <x:v>PASS</x:v>
      </x:c>
    </x:row>
    <x:row r="716">
      <x:c r="B716" t="str">
        <x:v>A-0686</x:v>
      </x:c>
      <x:c r="C716" t="str">
        <x:v>GATE</x:v>
      </x:c>
      <x:c r="D716" t="str">
        <x:v>release ledger mirrors governing state</x:v>
      </x:c>
      <x:c r="E716" t="str">
        <x:f>'Release Gates'!J692</x:f>
        <x:v>OPEN</x:v>
      </x:c>
      <x:c r="F716" t="str">
        <x:f>IF('Release Gates'!C692="PLANNING","PASS",IF('Release Gates'!C692="PHYSICAL","OPEN","BLOCKED"))</x:f>
        <x:v>OPEN</x:v>
      </x:c>
      <x:c r="G716" t="str">
        <x:v>equals</x:v>
      </x:c>
      <x:c r="H716" t="str">
        <x:f>IF(E716=F716,"PASS","FAIL")</x:f>
        <x:v>PASS</x:v>
      </x:c>
    </x:row>
    <x:row r="717">
      <x:c r="B717" t="str">
        <x:v>A-0687</x:v>
      </x:c>
      <x:c r="C717" t="str">
        <x:v>GATE</x:v>
      </x:c>
      <x:c r="D717" t="str">
        <x:v>release ledger mirrors governing state</x:v>
      </x:c>
      <x:c r="E717" t="str">
        <x:f>'Release Gates'!J693</x:f>
        <x:v>OPEN</x:v>
      </x:c>
      <x:c r="F717" t="str">
        <x:f>IF('Release Gates'!C693="PLANNING","PASS",IF('Release Gates'!C693="PHYSICAL","OPEN","BLOCKED"))</x:f>
        <x:v>OPEN</x:v>
      </x:c>
      <x:c r="G717" t="str">
        <x:v>equals</x:v>
      </x:c>
      <x:c r="H717" t="str">
        <x:f>IF(E717=F717,"PASS","FAIL")</x:f>
        <x:v>PASS</x:v>
      </x:c>
    </x:row>
    <x:row r="718">
      <x:c r="B718" t="str">
        <x:v>A-0688</x:v>
      </x:c>
      <x:c r="C718" t="str">
        <x:v>GATE</x:v>
      </x:c>
      <x:c r="D718" t="str">
        <x:v>release ledger mirrors governing state</x:v>
      </x:c>
      <x:c r="E718" t="str">
        <x:f>'Release Gates'!J694</x:f>
        <x:v>OPEN</x:v>
      </x:c>
      <x:c r="F718" t="str">
        <x:f>IF('Release Gates'!C694="PLANNING","PASS",IF('Release Gates'!C694="PHYSICAL","OPEN","BLOCKED"))</x:f>
        <x:v>OPEN</x:v>
      </x:c>
      <x:c r="G718" t="str">
        <x:v>equals</x:v>
      </x:c>
      <x:c r="H718" t="str">
        <x:f>IF(E718=F718,"PASS","FAIL")</x:f>
        <x:v>PASS</x:v>
      </x:c>
    </x:row>
    <x:row r="719">
      <x:c r="B719" t="str">
        <x:v>A-0689</x:v>
      </x:c>
      <x:c r="C719" t="str">
        <x:v>GATE</x:v>
      </x:c>
      <x:c r="D719" t="str">
        <x:v>release ledger mirrors governing state</x:v>
      </x:c>
      <x:c r="E719" t="str">
        <x:f>'Release Gates'!J695</x:f>
        <x:v>OPEN</x:v>
      </x:c>
      <x:c r="F719" t="str">
        <x:f>IF('Release Gates'!C695="PLANNING","PASS",IF('Release Gates'!C695="PHYSICAL","OPEN","BLOCKED"))</x:f>
        <x:v>OPEN</x:v>
      </x:c>
      <x:c r="G719" t="str">
        <x:v>equals</x:v>
      </x:c>
      <x:c r="H719" t="str">
        <x:f>IF(E719=F719,"PASS","FAIL")</x:f>
        <x:v>PASS</x:v>
      </x:c>
    </x:row>
    <x:row r="720">
      <x:c r="B720" t="str">
        <x:v>A-0690</x:v>
      </x:c>
      <x:c r="C720" t="str">
        <x:v>GATE</x:v>
      </x:c>
      <x:c r="D720" t="str">
        <x:v>release ledger mirrors governing state</x:v>
      </x:c>
      <x:c r="E720" t="str">
        <x:f>'Release Gates'!J696</x:f>
        <x:v>OPEN</x:v>
      </x:c>
      <x:c r="F720" t="str">
        <x:f>IF('Release Gates'!C696="PLANNING","PASS",IF('Release Gates'!C696="PHYSICAL","OPEN","BLOCKED"))</x:f>
        <x:v>OPEN</x:v>
      </x:c>
      <x:c r="G720" t="str">
        <x:v>equals</x:v>
      </x:c>
      <x:c r="H720" t="str">
        <x:f>IF(E720=F720,"PASS","FAIL")</x:f>
        <x:v>PASS</x:v>
      </x:c>
    </x:row>
    <x:row r="721">
      <x:c r="B721" t="str">
        <x:v>A-0691</x:v>
      </x:c>
      <x:c r="C721" t="str">
        <x:v>GATE</x:v>
      </x:c>
      <x:c r="D721" t="str">
        <x:v>release ledger mirrors governing state</x:v>
      </x:c>
      <x:c r="E721" t="str">
        <x:f>'Release Gates'!J697</x:f>
        <x:v>OPEN</x:v>
      </x:c>
      <x:c r="F721" t="str">
        <x:f>IF('Release Gates'!C697="PLANNING","PASS",IF('Release Gates'!C697="PHYSICAL","OPEN","BLOCKED"))</x:f>
        <x:v>OPEN</x:v>
      </x:c>
      <x:c r="G721" t="str">
        <x:v>equals</x:v>
      </x:c>
      <x:c r="H721" t="str">
        <x:f>IF(E721=F721,"PASS","FAIL")</x:f>
        <x:v>PASS</x:v>
      </x:c>
    </x:row>
    <x:row r="722">
      <x:c r="B722" t="str">
        <x:v>A-0692</x:v>
      </x:c>
      <x:c r="C722" t="str">
        <x:v>GATE</x:v>
      </x:c>
      <x:c r="D722" t="str">
        <x:v>release ledger mirrors governing state</x:v>
      </x:c>
      <x:c r="E722" t="str">
        <x:f>'Release Gates'!J698</x:f>
        <x:v>OPEN</x:v>
      </x:c>
      <x:c r="F722" t="str">
        <x:f>IF('Release Gates'!C698="PLANNING","PASS",IF('Release Gates'!C698="PHYSICAL","OPEN","BLOCKED"))</x:f>
        <x:v>OPEN</x:v>
      </x:c>
      <x:c r="G722" t="str">
        <x:v>equals</x:v>
      </x:c>
      <x:c r="H722" t="str">
        <x:f>IF(E722=F722,"PASS","FAIL")</x:f>
        <x:v>PASS</x:v>
      </x:c>
    </x:row>
    <x:row r="723">
      <x:c r="B723" t="str">
        <x:v>A-0693</x:v>
      </x:c>
      <x:c r="C723" t="str">
        <x:v>GATE</x:v>
      </x:c>
      <x:c r="D723" t="str">
        <x:v>release ledger mirrors governing state</x:v>
      </x:c>
      <x:c r="E723" t="str">
        <x:f>'Release Gates'!J699</x:f>
        <x:v>OPEN</x:v>
      </x:c>
      <x:c r="F723" t="str">
        <x:f>IF('Release Gates'!C699="PLANNING","PASS",IF('Release Gates'!C699="PHYSICAL","OPEN","BLOCKED"))</x:f>
        <x:v>OPEN</x:v>
      </x:c>
      <x:c r="G723" t="str">
        <x:v>equals</x:v>
      </x:c>
      <x:c r="H723" t="str">
        <x:f>IF(E723=F723,"PASS","FAIL")</x:f>
        <x:v>PASS</x:v>
      </x:c>
    </x:row>
    <x:row r="724">
      <x:c r="B724" t="str">
        <x:v>A-0694</x:v>
      </x:c>
      <x:c r="C724" t="str">
        <x:v>GATE</x:v>
      </x:c>
      <x:c r="D724" t="str">
        <x:v>release ledger mirrors governing state</x:v>
      </x:c>
      <x:c r="E724" t="str">
        <x:f>'Release Gates'!J700</x:f>
        <x:v>OPEN</x:v>
      </x:c>
      <x:c r="F724" t="str">
        <x:f>IF('Release Gates'!C700="PLANNING","PASS",IF('Release Gates'!C700="PHYSICAL","OPEN","BLOCKED"))</x:f>
        <x:v>OPEN</x:v>
      </x:c>
      <x:c r="G724" t="str">
        <x:v>equals</x:v>
      </x:c>
      <x:c r="H724" t="str">
        <x:f>IF(E724=F724,"PASS","FAIL")</x:f>
        <x:v>PASS</x:v>
      </x:c>
    </x:row>
    <x:row r="725">
      <x:c r="B725" t="str">
        <x:v>A-0695</x:v>
      </x:c>
      <x:c r="C725" t="str">
        <x:v>GATE</x:v>
      </x:c>
      <x:c r="D725" t="str">
        <x:v>release ledger mirrors governing state</x:v>
      </x:c>
      <x:c r="E725" t="str">
        <x:f>'Release Gates'!J701</x:f>
        <x:v>OPEN</x:v>
      </x:c>
      <x:c r="F725" t="str">
        <x:f>IF('Release Gates'!C701="PLANNING","PASS",IF('Release Gates'!C701="PHYSICAL","OPEN","BLOCKED"))</x:f>
        <x:v>OPEN</x:v>
      </x:c>
      <x:c r="G725" t="str">
        <x:v>equals</x:v>
      </x:c>
      <x:c r="H725" t="str">
        <x:f>IF(E725=F725,"PASS","FAIL")</x:f>
        <x:v>PASS</x:v>
      </x:c>
    </x:row>
    <x:row r="726">
      <x:c r="B726" t="str">
        <x:v>A-0696</x:v>
      </x:c>
      <x:c r="C726" t="str">
        <x:v>GATE</x:v>
      </x:c>
      <x:c r="D726" t="str">
        <x:v>release ledger mirrors governing state</x:v>
      </x:c>
      <x:c r="E726" t="str">
        <x:f>'Release Gates'!J702</x:f>
        <x:v>OPEN</x:v>
      </x:c>
      <x:c r="F726" t="str">
        <x:f>IF('Release Gates'!C702="PLANNING","PASS",IF('Release Gates'!C702="PHYSICAL","OPEN","BLOCKED"))</x:f>
        <x:v>OPEN</x:v>
      </x:c>
      <x:c r="G726" t="str">
        <x:v>equals</x:v>
      </x:c>
      <x:c r="H726" t="str">
        <x:f>IF(E726=F726,"PASS","FAIL")</x:f>
        <x:v>PASS</x:v>
      </x:c>
    </x:row>
    <x:row r="727">
      <x:c r="B727" t="str">
        <x:v>A-0697</x:v>
      </x:c>
      <x:c r="C727" t="str">
        <x:v>GATE</x:v>
      </x:c>
      <x:c r="D727" t="str">
        <x:v>release ledger mirrors governing state</x:v>
      </x:c>
      <x:c r="E727" t="str">
        <x:f>'Release Gates'!J703</x:f>
        <x:v>OPEN</x:v>
      </x:c>
      <x:c r="F727" t="str">
        <x:f>IF('Release Gates'!C703="PLANNING","PASS",IF('Release Gates'!C703="PHYSICAL","OPEN","BLOCKED"))</x:f>
        <x:v>OPEN</x:v>
      </x:c>
      <x:c r="G727" t="str">
        <x:v>equals</x:v>
      </x:c>
      <x:c r="H727" t="str">
        <x:f>IF(E727=F727,"PASS","FAIL")</x:f>
        <x:v>PASS</x:v>
      </x:c>
    </x:row>
    <x:row r="728">
      <x:c r="B728" t="str">
        <x:v>A-0698</x:v>
      </x:c>
      <x:c r="C728" t="str">
        <x:v>GATE</x:v>
      </x:c>
      <x:c r="D728" t="str">
        <x:v>release ledger mirrors governing state</x:v>
      </x:c>
      <x:c r="E728" t="str">
        <x:f>'Release Gates'!J704</x:f>
        <x:v>OPEN</x:v>
      </x:c>
      <x:c r="F728" t="str">
        <x:f>IF('Release Gates'!C704="PLANNING","PASS",IF('Release Gates'!C704="PHYSICAL","OPEN","BLOCKED"))</x:f>
        <x:v>OPEN</x:v>
      </x:c>
      <x:c r="G728" t="str">
        <x:v>equals</x:v>
      </x:c>
      <x:c r="H728" t="str">
        <x:f>IF(E728=F728,"PASS","FAIL")</x:f>
        <x:v>PASS</x:v>
      </x:c>
    </x:row>
    <x:row r="729">
      <x:c r="B729" t="str">
        <x:v>A-0699</x:v>
      </x:c>
      <x:c r="C729" t="str">
        <x:v>GATE</x:v>
      </x:c>
      <x:c r="D729" t="str">
        <x:v>release ledger mirrors governing state</x:v>
      </x:c>
      <x:c r="E729" t="str">
        <x:f>'Release Gates'!J705</x:f>
        <x:v>OPEN</x:v>
      </x:c>
      <x:c r="F729" t="str">
        <x:f>IF('Release Gates'!C705="PLANNING","PASS",IF('Release Gates'!C705="PHYSICAL","OPEN","BLOCKED"))</x:f>
        <x:v>OPEN</x:v>
      </x:c>
      <x:c r="G729" t="str">
        <x:v>equals</x:v>
      </x:c>
      <x:c r="H729" t="str">
        <x:f>IF(E729=F729,"PASS","FAIL")</x:f>
        <x:v>PASS</x:v>
      </x:c>
    </x:row>
    <x:row r="730">
      <x:c r="B730" t="str">
        <x:v>A-0700</x:v>
      </x:c>
      <x:c r="C730" t="str">
        <x:v>GATE</x:v>
      </x:c>
      <x:c r="D730" t="str">
        <x:v>release ledger mirrors governing state</x:v>
      </x:c>
      <x:c r="E730" t="str">
        <x:f>'Release Gates'!J706</x:f>
        <x:v>OPEN</x:v>
      </x:c>
      <x:c r="F730" t="str">
        <x:f>IF('Release Gates'!C706="PLANNING","PASS",IF('Release Gates'!C706="PHYSICAL","OPEN","BLOCKED"))</x:f>
        <x:v>OPEN</x:v>
      </x:c>
      <x:c r="G730" t="str">
        <x:v>equals</x:v>
      </x:c>
      <x:c r="H730" t="str">
        <x:f>IF(E730=F730,"PASS","FAIL")</x:f>
        <x:v>PASS</x:v>
      </x:c>
    </x:row>
    <x:row r="731">
      <x:c r="B731" t="str">
        <x:v>A-0701</x:v>
      </x:c>
      <x:c r="C731" t="str">
        <x:v>GATE</x:v>
      </x:c>
      <x:c r="D731" t="str">
        <x:v>release ledger mirrors governing state</x:v>
      </x:c>
      <x:c r="E731" t="str">
        <x:f>'Release Gates'!J707</x:f>
        <x:v>OPEN</x:v>
      </x:c>
      <x:c r="F731" t="str">
        <x:f>IF('Release Gates'!C707="PLANNING","PASS",IF('Release Gates'!C707="PHYSICAL","OPEN","BLOCKED"))</x:f>
        <x:v>OPEN</x:v>
      </x:c>
      <x:c r="G731" t="str">
        <x:v>equals</x:v>
      </x:c>
      <x:c r="H731" t="str">
        <x:f>IF(E731=F731,"PASS","FAIL")</x:f>
        <x:v>PASS</x:v>
      </x:c>
    </x:row>
    <x:row r="732">
      <x:c r="B732" t="str">
        <x:v>A-0702</x:v>
      </x:c>
      <x:c r="C732" t="str">
        <x:v>GATE</x:v>
      </x:c>
      <x:c r="D732" t="str">
        <x:v>release ledger mirrors governing state</x:v>
      </x:c>
      <x:c r="E732" t="str">
        <x:f>'Release Gates'!J708</x:f>
        <x:v>OPEN</x:v>
      </x:c>
      <x:c r="F732" t="str">
        <x:f>IF('Release Gates'!C708="PLANNING","PASS",IF('Release Gates'!C708="PHYSICAL","OPEN","BLOCKED"))</x:f>
        <x:v>OPEN</x:v>
      </x:c>
      <x:c r="G732" t="str">
        <x:v>equals</x:v>
      </x:c>
      <x:c r="H732" t="str">
        <x:f>IF(E732=F732,"PASS","FAIL")</x:f>
        <x:v>PASS</x:v>
      </x:c>
    </x:row>
    <x:row r="733">
      <x:c r="B733" t="str">
        <x:v>A-0703</x:v>
      </x:c>
      <x:c r="C733" t="str">
        <x:v>GATE</x:v>
      </x:c>
      <x:c r="D733" t="str">
        <x:v>release ledger mirrors governing state</x:v>
      </x:c>
      <x:c r="E733" t="str">
        <x:f>'Release Gates'!J709</x:f>
        <x:v>OPEN</x:v>
      </x:c>
      <x:c r="F733" t="str">
        <x:f>IF('Release Gates'!C709="PLANNING","PASS",IF('Release Gates'!C709="PHYSICAL","OPEN","BLOCKED"))</x:f>
        <x:v>OPEN</x:v>
      </x:c>
      <x:c r="G733" t="str">
        <x:v>equals</x:v>
      </x:c>
      <x:c r="H733" t="str">
        <x:f>IF(E733=F733,"PASS","FAIL")</x:f>
        <x:v>PASS</x:v>
      </x:c>
    </x:row>
    <x:row r="734">
      <x:c r="B734" t="str">
        <x:v>A-0704</x:v>
      </x:c>
      <x:c r="C734" t="str">
        <x:v>GATE</x:v>
      </x:c>
      <x:c r="D734" t="str">
        <x:v>release ledger mirrors governing state</x:v>
      </x:c>
      <x:c r="E734" t="str">
        <x:f>'Release Gates'!J710</x:f>
        <x:v>OPEN</x:v>
      </x:c>
      <x:c r="F734" t="str">
        <x:f>IF('Release Gates'!C710="PLANNING","PASS",IF('Release Gates'!C710="PHYSICAL","OPEN","BLOCKED"))</x:f>
        <x:v>OPEN</x:v>
      </x:c>
      <x:c r="G734" t="str">
        <x:v>equals</x:v>
      </x:c>
      <x:c r="H734" t="str">
        <x:f>IF(E734=F734,"PASS","FAIL")</x:f>
        <x:v>PASS</x:v>
      </x:c>
    </x:row>
    <x:row r="735">
      <x:c r="B735" t="str">
        <x:v>A-0705</x:v>
      </x:c>
      <x:c r="C735" t="str">
        <x:v>GATE</x:v>
      </x:c>
      <x:c r="D735" t="str">
        <x:v>release ledger mirrors governing state</x:v>
      </x:c>
      <x:c r="E735" t="str">
        <x:f>'Release Gates'!J711</x:f>
        <x:v>OPEN</x:v>
      </x:c>
      <x:c r="F735" t="str">
        <x:f>IF('Release Gates'!C711="PLANNING","PASS",IF('Release Gates'!C711="PHYSICAL","OPEN","BLOCKED"))</x:f>
        <x:v>OPEN</x:v>
      </x:c>
      <x:c r="G735" t="str">
        <x:v>equals</x:v>
      </x:c>
      <x:c r="H735" t="str">
        <x:f>IF(E735=F735,"PASS","FAIL")</x:f>
        <x:v>PASS</x:v>
      </x:c>
    </x:row>
    <x:row r="736">
      <x:c r="B736" t="str">
        <x:v>A-0706</x:v>
      </x:c>
      <x:c r="C736" t="str">
        <x:v>GATE</x:v>
      </x:c>
      <x:c r="D736" t="str">
        <x:v>release ledger mirrors governing state</x:v>
      </x:c>
      <x:c r="E736" t="str">
        <x:f>'Release Gates'!J712</x:f>
        <x:v>OPEN</x:v>
      </x:c>
      <x:c r="F736" t="str">
        <x:f>IF('Release Gates'!C712="PLANNING","PASS",IF('Release Gates'!C712="PHYSICAL","OPEN","BLOCKED"))</x:f>
        <x:v>OPEN</x:v>
      </x:c>
      <x:c r="G736" t="str">
        <x:v>equals</x:v>
      </x:c>
      <x:c r="H736" t="str">
        <x:f>IF(E736=F736,"PASS","FAIL")</x:f>
        <x:v>PASS</x:v>
      </x:c>
    </x:row>
    <x:row r="737">
      <x:c r="B737" t="str">
        <x:v>A-0707</x:v>
      </x:c>
      <x:c r="C737" t="str">
        <x:v>GATE</x:v>
      </x:c>
      <x:c r="D737" t="str">
        <x:v>release ledger mirrors governing state</x:v>
      </x:c>
      <x:c r="E737" t="str">
        <x:f>'Release Gates'!J713</x:f>
        <x:v>OPEN</x:v>
      </x:c>
      <x:c r="F737" t="str">
        <x:f>IF('Release Gates'!C713="PLANNING","PASS",IF('Release Gates'!C713="PHYSICAL","OPEN","BLOCKED"))</x:f>
        <x:v>OPEN</x:v>
      </x:c>
      <x:c r="G737" t="str">
        <x:v>equals</x:v>
      </x:c>
      <x:c r="H737" t="str">
        <x:f>IF(E737=F737,"PASS","FAIL")</x:f>
        <x:v>PASS</x:v>
      </x:c>
    </x:row>
    <x:row r="738">
      <x:c r="B738" t="str">
        <x:v>A-0708</x:v>
      </x:c>
      <x:c r="C738" t="str">
        <x:v>GATE</x:v>
      </x:c>
      <x:c r="D738" t="str">
        <x:v>release ledger mirrors governing state</x:v>
      </x:c>
      <x:c r="E738" t="str">
        <x:f>'Release Gates'!J714</x:f>
        <x:v>OPEN</x:v>
      </x:c>
      <x:c r="F738" t="str">
        <x:f>IF('Release Gates'!C714="PLANNING","PASS",IF('Release Gates'!C714="PHYSICAL","OPEN","BLOCKED"))</x:f>
        <x:v>OPEN</x:v>
      </x:c>
      <x:c r="G738" t="str">
        <x:v>equals</x:v>
      </x:c>
      <x:c r="H738" t="str">
        <x:f>IF(E738=F738,"PASS","FAIL")</x:f>
        <x:v>PASS</x:v>
      </x:c>
    </x:row>
    <x:row r="739">
      <x:c r="B739" t="str">
        <x:v>A-0709</x:v>
      </x:c>
      <x:c r="C739" t="str">
        <x:v>GATE</x:v>
      </x:c>
      <x:c r="D739" t="str">
        <x:v>release ledger mirrors governing state</x:v>
      </x:c>
      <x:c r="E739" t="str">
        <x:f>'Release Gates'!J715</x:f>
        <x:v>OPEN</x:v>
      </x:c>
      <x:c r="F739" t="str">
        <x:f>IF('Release Gates'!C715="PLANNING","PASS",IF('Release Gates'!C715="PHYSICAL","OPEN","BLOCKED"))</x:f>
        <x:v>OPEN</x:v>
      </x:c>
      <x:c r="G739" t="str">
        <x:v>equals</x:v>
      </x:c>
      <x:c r="H739" t="str">
        <x:f>IF(E739=F739,"PASS","FAIL")</x:f>
        <x:v>PASS</x:v>
      </x:c>
    </x:row>
    <x:row r="740">
      <x:c r="B740" t="str">
        <x:v>A-0710</x:v>
      </x:c>
      <x:c r="C740" t="str">
        <x:v>GATE</x:v>
      </x:c>
      <x:c r="D740" t="str">
        <x:v>release ledger mirrors governing state</x:v>
      </x:c>
      <x:c r="E740" t="str">
        <x:f>'Release Gates'!J716</x:f>
        <x:v>OPEN</x:v>
      </x:c>
      <x:c r="F740" t="str">
        <x:f>IF('Release Gates'!C716="PLANNING","PASS",IF('Release Gates'!C716="PHYSICAL","OPEN","BLOCKED"))</x:f>
        <x:v>OPEN</x:v>
      </x:c>
      <x:c r="G740" t="str">
        <x:v>equals</x:v>
      </x:c>
      <x:c r="H740" t="str">
        <x:f>IF(E740=F740,"PASS","FAIL")</x:f>
        <x:v>PASS</x:v>
      </x:c>
    </x:row>
    <x:row r="741">
      <x:c r="B741" t="str">
        <x:v>A-0711</x:v>
      </x:c>
      <x:c r="C741" t="str">
        <x:v>GATE</x:v>
      </x:c>
      <x:c r="D741" t="str">
        <x:v>release ledger mirrors governing state</x:v>
      </x:c>
      <x:c r="E741" t="str">
        <x:f>'Release Gates'!J717</x:f>
        <x:v>OPEN</x:v>
      </x:c>
      <x:c r="F741" t="str">
        <x:f>IF('Release Gates'!C717="PLANNING","PASS",IF('Release Gates'!C717="PHYSICAL","OPEN","BLOCKED"))</x:f>
        <x:v>OPEN</x:v>
      </x:c>
      <x:c r="G741" t="str">
        <x:v>equals</x:v>
      </x:c>
      <x:c r="H741" t="str">
        <x:f>IF(E741=F741,"PASS","FAIL")</x:f>
        <x:v>PASS</x:v>
      </x:c>
    </x:row>
    <x:row r="742">
      <x:c r="B742" t="str">
        <x:v>A-0712</x:v>
      </x:c>
      <x:c r="C742" t="str">
        <x:v>GATE</x:v>
      </x:c>
      <x:c r="D742" t="str">
        <x:v>release ledger mirrors governing state</x:v>
      </x:c>
      <x:c r="E742" t="str">
        <x:f>'Release Gates'!J718</x:f>
        <x:v>OPEN</x:v>
      </x:c>
      <x:c r="F742" t="str">
        <x:f>IF('Release Gates'!C718="PLANNING","PASS",IF('Release Gates'!C718="PHYSICAL","OPEN","BLOCKED"))</x:f>
        <x:v>OPEN</x:v>
      </x:c>
      <x:c r="G742" t="str">
        <x:v>equals</x:v>
      </x:c>
      <x:c r="H742" t="str">
        <x:f>IF(E742=F742,"PASS","FAIL")</x:f>
        <x:v>PASS</x:v>
      </x:c>
    </x:row>
    <x:row r="743">
      <x:c r="B743" t="str">
        <x:v>A-0713</x:v>
      </x:c>
      <x:c r="C743" t="str">
        <x:v>GATE</x:v>
      </x:c>
      <x:c r="D743" t="str">
        <x:v>release ledger mirrors governing state</x:v>
      </x:c>
      <x:c r="E743" t="str">
        <x:f>'Release Gates'!J719</x:f>
        <x:v>OPEN</x:v>
      </x:c>
      <x:c r="F743" t="str">
        <x:f>IF('Release Gates'!C719="PLANNING","PASS",IF('Release Gates'!C719="PHYSICAL","OPEN","BLOCKED"))</x:f>
        <x:v>OPEN</x:v>
      </x:c>
      <x:c r="G743" t="str">
        <x:v>equals</x:v>
      </x:c>
      <x:c r="H743" t="str">
        <x:f>IF(E743=F743,"PASS","FAIL")</x:f>
        <x:v>PASS</x:v>
      </x:c>
    </x:row>
    <x:row r="744">
      <x:c r="B744" t="str">
        <x:v>A-0714</x:v>
      </x:c>
      <x:c r="C744" t="str">
        <x:v>GATE</x:v>
      </x:c>
      <x:c r="D744" t="str">
        <x:v>release ledger mirrors governing state</x:v>
      </x:c>
      <x:c r="E744" t="str">
        <x:f>'Release Gates'!J720</x:f>
        <x:v>OPEN</x:v>
      </x:c>
      <x:c r="F744" t="str">
        <x:f>IF('Release Gates'!C720="PLANNING","PASS",IF('Release Gates'!C720="PHYSICAL","OPEN","BLOCKED"))</x:f>
        <x:v>OPEN</x:v>
      </x:c>
      <x:c r="G744" t="str">
        <x:v>equals</x:v>
      </x:c>
      <x:c r="H744" t="str">
        <x:f>IF(E744=F744,"PASS","FAIL")</x:f>
        <x:v>PASS</x:v>
      </x:c>
    </x:row>
    <x:row r="745">
      <x:c r="B745" t="str">
        <x:v>A-0715</x:v>
      </x:c>
      <x:c r="C745" t="str">
        <x:v>GATE</x:v>
      </x:c>
      <x:c r="D745" t="str">
        <x:v>release ledger mirrors governing state</x:v>
      </x:c>
      <x:c r="E745" t="str">
        <x:f>'Release Gates'!J721</x:f>
        <x:v>OPEN</x:v>
      </x:c>
      <x:c r="F745" t="str">
        <x:f>IF('Release Gates'!C721="PLANNING","PASS",IF('Release Gates'!C721="PHYSICAL","OPEN","BLOCKED"))</x:f>
        <x:v>OPEN</x:v>
      </x:c>
      <x:c r="G745" t="str">
        <x:v>equals</x:v>
      </x:c>
      <x:c r="H745" t="str">
        <x:f>IF(E745=F745,"PASS","FAIL")</x:f>
        <x:v>PASS</x:v>
      </x:c>
    </x:row>
    <x:row r="746">
      <x:c r="B746" t="str">
        <x:v>A-0716</x:v>
      </x:c>
      <x:c r="C746" t="str">
        <x:v>GATE</x:v>
      </x:c>
      <x:c r="D746" t="str">
        <x:v>release ledger mirrors governing state</x:v>
      </x:c>
      <x:c r="E746" t="str">
        <x:f>'Release Gates'!J722</x:f>
        <x:v>OPEN</x:v>
      </x:c>
      <x:c r="F746" t="str">
        <x:f>IF('Release Gates'!C722="PLANNING","PASS",IF('Release Gates'!C722="PHYSICAL","OPEN","BLOCKED"))</x:f>
        <x:v>OPEN</x:v>
      </x:c>
      <x:c r="G746" t="str">
        <x:v>equals</x:v>
      </x:c>
      <x:c r="H746" t="str">
        <x:f>IF(E746=F746,"PASS","FAIL")</x:f>
        <x:v>PASS</x:v>
      </x:c>
    </x:row>
    <x:row r="747">
      <x:c r="B747" t="str">
        <x:v>A-0717</x:v>
      </x:c>
      <x:c r="C747" t="str">
        <x:v>GATE</x:v>
      </x:c>
      <x:c r="D747" t="str">
        <x:v>release ledger mirrors governing state</x:v>
      </x:c>
      <x:c r="E747" t="str">
        <x:f>'Release Gates'!J723</x:f>
        <x:v>OPEN</x:v>
      </x:c>
      <x:c r="F747" t="str">
        <x:f>IF('Release Gates'!C723="PLANNING","PASS",IF('Release Gates'!C723="PHYSICAL","OPEN","BLOCKED"))</x:f>
        <x:v>OPEN</x:v>
      </x:c>
      <x:c r="G747" t="str">
        <x:v>equals</x:v>
      </x:c>
      <x:c r="H747" t="str">
        <x:f>IF(E747=F747,"PASS","FAIL")</x:f>
        <x:v>PASS</x:v>
      </x:c>
    </x:row>
    <x:row r="748">
      <x:c r="B748" t="str">
        <x:v>A-0718</x:v>
      </x:c>
      <x:c r="C748" t="str">
        <x:v>GATE</x:v>
      </x:c>
      <x:c r="D748" t="str">
        <x:v>release ledger mirrors governing state</x:v>
      </x:c>
      <x:c r="E748" t="str">
        <x:f>'Release Gates'!J724</x:f>
        <x:v>OPEN</x:v>
      </x:c>
      <x:c r="F748" t="str">
        <x:f>IF('Release Gates'!C724="PLANNING","PASS",IF('Release Gates'!C724="PHYSICAL","OPEN","BLOCKED"))</x:f>
        <x:v>OPEN</x:v>
      </x:c>
      <x:c r="G748" t="str">
        <x:v>equals</x:v>
      </x:c>
      <x:c r="H748" t="str">
        <x:f>IF(E748=F748,"PASS","FAIL")</x:f>
        <x:v>PASS</x:v>
      </x:c>
    </x:row>
    <x:row r="749">
      <x:c r="B749" t="str">
        <x:v>A-0719</x:v>
      </x:c>
      <x:c r="C749" t="str">
        <x:v>GATE</x:v>
      </x:c>
      <x:c r="D749" t="str">
        <x:v>release ledger mirrors governing state</x:v>
      </x:c>
      <x:c r="E749" t="str">
        <x:f>'Release Gates'!J725</x:f>
        <x:v>OPEN</x:v>
      </x:c>
      <x:c r="F749" t="str">
        <x:f>IF('Release Gates'!C725="PLANNING","PASS",IF('Release Gates'!C725="PHYSICAL","OPEN","BLOCKED"))</x:f>
        <x:v>OPEN</x:v>
      </x:c>
      <x:c r="G749" t="str">
        <x:v>equals</x:v>
      </x:c>
      <x:c r="H749" t="str">
        <x:f>IF(E749=F749,"PASS","FAIL")</x:f>
        <x:v>PASS</x:v>
      </x:c>
    </x:row>
    <x:row r="750">
      <x:c r="B750" t="str">
        <x:v>A-0720</x:v>
      </x:c>
      <x:c r="C750" t="str">
        <x:v>GATE</x:v>
      </x:c>
      <x:c r="D750" t="str">
        <x:v>release ledger mirrors governing state</x:v>
      </x:c>
      <x:c r="E750" t="str">
        <x:f>'Release Gates'!J726</x:f>
        <x:v>OPEN</x:v>
      </x:c>
      <x:c r="F750" t="str">
        <x:f>IF('Release Gates'!C726="PLANNING","PASS",IF('Release Gates'!C726="PHYSICAL","OPEN","BLOCKED"))</x:f>
        <x:v>OPEN</x:v>
      </x:c>
      <x:c r="G750" t="str">
        <x:v>equals</x:v>
      </x:c>
      <x:c r="H750" t="str">
        <x:f>IF(E750=F750,"PASS","FAIL")</x:f>
        <x:v>PASS</x:v>
      </x:c>
    </x:row>
    <x:row r="751">
      <x:c r="B751" t="str">
        <x:v>A-0721</x:v>
      </x:c>
      <x:c r="C751" t="str">
        <x:v>GATE</x:v>
      </x:c>
      <x:c r="D751" t="str">
        <x:v>release ledger mirrors governing state</x:v>
      </x:c>
      <x:c r="E751" t="str">
        <x:f>'Release Gates'!J727</x:f>
        <x:v>OPEN</x:v>
      </x:c>
      <x:c r="F751" t="str">
        <x:f>IF('Release Gates'!C727="PLANNING","PASS",IF('Release Gates'!C727="PHYSICAL","OPEN","BLOCKED"))</x:f>
        <x:v>OPEN</x:v>
      </x:c>
      <x:c r="G751" t="str">
        <x:v>equals</x:v>
      </x:c>
      <x:c r="H751" t="str">
        <x:f>IF(E751=F751,"PASS","FAIL")</x:f>
        <x:v>PASS</x:v>
      </x:c>
    </x:row>
    <x:row r="752">
      <x:c r="B752" t="str">
        <x:v>A-0722</x:v>
      </x:c>
      <x:c r="C752" t="str">
        <x:v>GATE</x:v>
      </x:c>
      <x:c r="D752" t="str">
        <x:v>release ledger mirrors governing state</x:v>
      </x:c>
      <x:c r="E752" t="str">
        <x:f>'Release Gates'!J728</x:f>
        <x:v>OPEN</x:v>
      </x:c>
      <x:c r="F752" t="str">
        <x:f>IF('Release Gates'!C728="PLANNING","PASS",IF('Release Gates'!C728="PHYSICAL","OPEN","BLOCKED"))</x:f>
        <x:v>OPEN</x:v>
      </x:c>
      <x:c r="G752" t="str">
        <x:v>equals</x:v>
      </x:c>
      <x:c r="H752" t="str">
        <x:f>IF(E752=F752,"PASS","FAIL")</x:f>
        <x:v>PASS</x:v>
      </x:c>
    </x:row>
    <x:row r="753">
      <x:c r="B753" t="str">
        <x:v>A-0723</x:v>
      </x:c>
      <x:c r="C753" t="str">
        <x:v>GATE</x:v>
      </x:c>
      <x:c r="D753" t="str">
        <x:v>release ledger mirrors governing state</x:v>
      </x:c>
      <x:c r="E753" t="str">
        <x:f>'Release Gates'!J729</x:f>
        <x:v>OPEN</x:v>
      </x:c>
      <x:c r="F753" t="str">
        <x:f>IF('Release Gates'!C729="PLANNING","PASS",IF('Release Gates'!C729="PHYSICAL","OPEN","BLOCKED"))</x:f>
        <x:v>OPEN</x:v>
      </x:c>
      <x:c r="G753" t="str">
        <x:v>equals</x:v>
      </x:c>
      <x:c r="H753" t="str">
        <x:f>IF(E753=F753,"PASS","FAIL")</x:f>
        <x:v>PASS</x:v>
      </x:c>
    </x:row>
    <x:row r="754">
      <x:c r="B754" t="str">
        <x:v>A-0724</x:v>
      </x:c>
      <x:c r="C754" t="str">
        <x:v>GATE</x:v>
      </x:c>
      <x:c r="D754" t="str">
        <x:v>release ledger mirrors governing state</x:v>
      </x:c>
      <x:c r="E754" t="str">
        <x:f>'Release Gates'!J730</x:f>
        <x:v>OPEN</x:v>
      </x:c>
      <x:c r="F754" t="str">
        <x:f>IF('Release Gates'!C730="PLANNING","PASS",IF('Release Gates'!C730="PHYSICAL","OPEN","BLOCKED"))</x:f>
        <x:v>OPEN</x:v>
      </x:c>
      <x:c r="G754" t="str">
        <x:v>equals</x:v>
      </x:c>
      <x:c r="H754" t="str">
        <x:f>IF(E754=F754,"PASS","FAIL")</x:f>
        <x:v>PASS</x:v>
      </x:c>
    </x:row>
    <x:row r="755">
      <x:c r="B755" t="str">
        <x:v>A-0725</x:v>
      </x:c>
      <x:c r="C755" t="str">
        <x:v>GATE</x:v>
      </x:c>
      <x:c r="D755" t="str">
        <x:v>release ledger mirrors governing state</x:v>
      </x:c>
      <x:c r="E755" t="str">
        <x:f>'Release Gates'!J731</x:f>
        <x:v>OPEN</x:v>
      </x:c>
      <x:c r="F755" t="str">
        <x:f>IF('Release Gates'!C731="PLANNING","PASS",IF('Release Gates'!C731="PHYSICAL","OPEN","BLOCKED"))</x:f>
        <x:v>OPEN</x:v>
      </x:c>
      <x:c r="G755" t="str">
        <x:v>equals</x:v>
      </x:c>
      <x:c r="H755" t="str">
        <x:f>IF(E755=F755,"PASS","FAIL")</x:f>
        <x:v>PASS</x:v>
      </x:c>
    </x:row>
    <x:row r="756">
      <x:c r="B756" t="str">
        <x:v>A-0726</x:v>
      </x:c>
      <x:c r="C756" t="str">
        <x:v>GATE</x:v>
      </x:c>
      <x:c r="D756" t="str">
        <x:v>release ledger mirrors governing state</x:v>
      </x:c>
      <x:c r="E756" t="str">
        <x:f>'Release Gates'!J732</x:f>
        <x:v>OPEN</x:v>
      </x:c>
      <x:c r="F756" t="str">
        <x:f>IF('Release Gates'!C732="PLANNING","PASS",IF('Release Gates'!C732="PHYSICAL","OPEN","BLOCKED"))</x:f>
        <x:v>OPEN</x:v>
      </x:c>
      <x:c r="G756" t="str">
        <x:v>equals</x:v>
      </x:c>
      <x:c r="H756" t="str">
        <x:f>IF(E756=F756,"PASS","FAIL")</x:f>
        <x:v>PASS</x:v>
      </x:c>
    </x:row>
    <x:row r="757">
      <x:c r="B757" t="str">
        <x:v>A-0727</x:v>
      </x:c>
      <x:c r="C757" t="str">
        <x:v>GATE</x:v>
      </x:c>
      <x:c r="D757" t="str">
        <x:v>release ledger mirrors governing state</x:v>
      </x:c>
      <x:c r="E757" t="str">
        <x:f>'Release Gates'!J733</x:f>
        <x:v>OPEN</x:v>
      </x:c>
      <x:c r="F757" t="str">
        <x:f>IF('Release Gates'!C733="PLANNING","PASS",IF('Release Gates'!C733="PHYSICAL","OPEN","BLOCKED"))</x:f>
        <x:v>OPEN</x:v>
      </x:c>
      <x:c r="G757" t="str">
        <x:v>equals</x:v>
      </x:c>
      <x:c r="H757" t="str">
        <x:f>IF(E757=F757,"PASS","FAIL")</x:f>
        <x:v>PASS</x:v>
      </x:c>
    </x:row>
    <x:row r="758">
      <x:c r="B758" t="str">
        <x:v>A-0728</x:v>
      </x:c>
      <x:c r="C758" t="str">
        <x:v>GATE</x:v>
      </x:c>
      <x:c r="D758" t="str">
        <x:v>release ledger mirrors governing state</x:v>
      </x:c>
      <x:c r="E758" t="str">
        <x:f>'Release Gates'!J734</x:f>
        <x:v>OPEN</x:v>
      </x:c>
      <x:c r="F758" t="str">
        <x:f>IF('Release Gates'!C734="PLANNING","PASS",IF('Release Gates'!C734="PHYSICAL","OPEN","BLOCKED"))</x:f>
        <x:v>OPEN</x:v>
      </x:c>
      <x:c r="G758" t="str">
        <x:v>equals</x:v>
      </x:c>
      <x:c r="H758" t="str">
        <x:f>IF(E758=F758,"PASS","FAIL")</x:f>
        <x:v>PASS</x:v>
      </x:c>
    </x:row>
    <x:row r="759">
      <x:c r="B759" t="str">
        <x:v>A-0729</x:v>
      </x:c>
      <x:c r="C759" t="str">
        <x:v>GATE</x:v>
      </x:c>
      <x:c r="D759" t="str">
        <x:v>release ledger mirrors governing state</x:v>
      </x:c>
      <x:c r="E759" t="str">
        <x:f>'Release Gates'!J735</x:f>
        <x:v>OPEN</x:v>
      </x:c>
      <x:c r="F759" t="str">
        <x:f>IF('Release Gates'!C735="PLANNING","PASS",IF('Release Gates'!C735="PHYSICAL","OPEN","BLOCKED"))</x:f>
        <x:v>OPEN</x:v>
      </x:c>
      <x:c r="G759" t="str">
        <x:v>equals</x:v>
      </x:c>
      <x:c r="H759" t="str">
        <x:f>IF(E759=F759,"PASS","FAIL")</x:f>
        <x:v>PASS</x:v>
      </x:c>
    </x:row>
    <x:row r="760">
      <x:c r="B760" t="str">
        <x:v>A-0730</x:v>
      </x:c>
      <x:c r="C760" t="str">
        <x:v>GATE</x:v>
      </x:c>
      <x:c r="D760" t="str">
        <x:v>release ledger mirrors governing state</x:v>
      </x:c>
      <x:c r="E760" t="str">
        <x:f>'Release Gates'!J736</x:f>
        <x:v>OPEN</x:v>
      </x:c>
      <x:c r="F760" t="str">
        <x:f>IF('Release Gates'!C736="PLANNING","PASS",IF('Release Gates'!C736="PHYSICAL","OPEN","BLOCKED"))</x:f>
        <x:v>OPEN</x:v>
      </x:c>
      <x:c r="G760" t="str">
        <x:v>equals</x:v>
      </x:c>
      <x:c r="H760" t="str">
        <x:f>IF(E760=F760,"PASS","FAIL")</x:f>
        <x:v>PASS</x:v>
      </x:c>
    </x:row>
    <x:row r="761">
      <x:c r="B761" t="str">
        <x:v>A-0731</x:v>
      </x:c>
      <x:c r="C761" t="str">
        <x:v>GATE</x:v>
      </x:c>
      <x:c r="D761" t="str">
        <x:v>release ledger mirrors governing state</x:v>
      </x:c>
      <x:c r="E761" t="str">
        <x:f>'Release Gates'!J737</x:f>
        <x:v>OPEN</x:v>
      </x:c>
      <x:c r="F761" t="str">
        <x:f>IF('Release Gates'!C737="PLANNING","PASS",IF('Release Gates'!C737="PHYSICAL","OPEN","BLOCKED"))</x:f>
        <x:v>OPEN</x:v>
      </x:c>
      <x:c r="G761" t="str">
        <x:v>equals</x:v>
      </x:c>
      <x:c r="H761" t="str">
        <x:f>IF(E761=F761,"PASS","FAIL")</x:f>
        <x:v>PASS</x:v>
      </x:c>
    </x:row>
    <x:row r="762">
      <x:c r="B762" t="str">
        <x:v>A-0732</x:v>
      </x:c>
      <x:c r="C762" t="str">
        <x:v>GATE</x:v>
      </x:c>
      <x:c r="D762" t="str">
        <x:v>release ledger mirrors governing state</x:v>
      </x:c>
      <x:c r="E762" t="str">
        <x:f>'Release Gates'!J738</x:f>
        <x:v>OPEN</x:v>
      </x:c>
      <x:c r="F762" t="str">
        <x:f>IF('Release Gates'!C738="PLANNING","PASS",IF('Release Gates'!C738="PHYSICAL","OPEN","BLOCKED"))</x:f>
        <x:v>OPEN</x:v>
      </x:c>
      <x:c r="G762" t="str">
        <x:v>equals</x:v>
      </x:c>
      <x:c r="H762" t="str">
        <x:f>IF(E762=F762,"PASS","FAIL")</x:f>
        <x:v>PASS</x:v>
      </x:c>
    </x:row>
    <x:row r="763">
      <x:c r="B763" t="str">
        <x:v>A-0733</x:v>
      </x:c>
      <x:c r="C763" t="str">
        <x:v>GATE</x:v>
      </x:c>
      <x:c r="D763" t="str">
        <x:v>release ledger mirrors governing state</x:v>
      </x:c>
      <x:c r="E763" t="str">
        <x:f>'Release Gates'!J739</x:f>
        <x:v>OPEN</x:v>
      </x:c>
      <x:c r="F763" t="str">
        <x:f>IF('Release Gates'!C739="PLANNING","PASS",IF('Release Gates'!C739="PHYSICAL","OPEN","BLOCKED"))</x:f>
        <x:v>OPEN</x:v>
      </x:c>
      <x:c r="G763" t="str">
        <x:v>equals</x:v>
      </x:c>
      <x:c r="H763" t="str">
        <x:f>IF(E763=F763,"PASS","FAIL")</x:f>
        <x:v>PASS</x:v>
      </x:c>
    </x:row>
    <x:row r="764">
      <x:c r="B764" t="str">
        <x:v>A-0734</x:v>
      </x:c>
      <x:c r="C764" t="str">
        <x:v>GATE</x:v>
      </x:c>
      <x:c r="D764" t="str">
        <x:v>release ledger mirrors governing state</x:v>
      </x:c>
      <x:c r="E764" t="str">
        <x:f>'Release Gates'!J740</x:f>
        <x:v>OPEN</x:v>
      </x:c>
      <x:c r="F764" t="str">
        <x:f>IF('Release Gates'!C740="PLANNING","PASS",IF('Release Gates'!C740="PHYSICAL","OPEN","BLOCKED"))</x:f>
        <x:v>OPEN</x:v>
      </x:c>
      <x:c r="G764" t="str">
        <x:v>equals</x:v>
      </x:c>
      <x:c r="H764" t="str">
        <x:f>IF(E764=F764,"PASS","FAIL")</x:f>
        <x:v>PASS</x:v>
      </x:c>
    </x:row>
    <x:row r="765">
      <x:c r="B765" t="str">
        <x:v>A-0735</x:v>
      </x:c>
      <x:c r="C765" t="str">
        <x:v>GATE</x:v>
      </x:c>
      <x:c r="D765" t="str">
        <x:v>release ledger mirrors governing state</x:v>
      </x:c>
      <x:c r="E765" t="str">
        <x:f>'Release Gates'!J741</x:f>
        <x:v>OPEN</x:v>
      </x:c>
      <x:c r="F765" t="str">
        <x:f>IF('Release Gates'!C741="PLANNING","PASS",IF('Release Gates'!C741="PHYSICAL","OPEN","BLOCKED"))</x:f>
        <x:v>OPEN</x:v>
      </x:c>
      <x:c r="G765" t="str">
        <x:v>equals</x:v>
      </x:c>
      <x:c r="H765" t="str">
        <x:f>IF(E765=F765,"PASS","FAIL")</x:f>
        <x:v>PASS</x:v>
      </x:c>
    </x:row>
    <x:row r="766">
      <x:c r="B766" t="str">
        <x:v>A-0736</x:v>
      </x:c>
      <x:c r="C766" t="str">
        <x:v>GATE</x:v>
      </x:c>
      <x:c r="D766" t="str">
        <x:v>release ledger mirrors governing state</x:v>
      </x:c>
      <x:c r="E766" t="str">
        <x:f>'Release Gates'!J742</x:f>
        <x:v>OPEN</x:v>
      </x:c>
      <x:c r="F766" t="str">
        <x:f>IF('Release Gates'!C742="PLANNING","PASS",IF('Release Gates'!C742="PHYSICAL","OPEN","BLOCKED"))</x:f>
        <x:v>OPEN</x:v>
      </x:c>
      <x:c r="G766" t="str">
        <x:v>equals</x:v>
      </x:c>
      <x:c r="H766" t="str">
        <x:f>IF(E766=F766,"PASS","FAIL")</x:f>
        <x:v>PASS</x:v>
      </x:c>
    </x:row>
    <x:row r="767">
      <x:c r="B767" t="str">
        <x:v>A-0737</x:v>
      </x:c>
      <x:c r="C767" t="str">
        <x:v>GATE</x:v>
      </x:c>
      <x:c r="D767" t="str">
        <x:v>release ledger mirrors governing state</x:v>
      </x:c>
      <x:c r="E767" t="str">
        <x:f>'Release Gates'!J743</x:f>
        <x:v>OPEN</x:v>
      </x:c>
      <x:c r="F767" t="str">
        <x:f>IF('Release Gates'!C743="PLANNING","PASS",IF('Release Gates'!C743="PHYSICAL","OPEN","BLOCKED"))</x:f>
        <x:v>OPEN</x:v>
      </x:c>
      <x:c r="G767" t="str">
        <x:v>equals</x:v>
      </x:c>
      <x:c r="H767" t="str">
        <x:f>IF(E767=F767,"PASS","FAIL")</x:f>
        <x:v>PASS</x:v>
      </x:c>
    </x:row>
    <x:row r="768">
      <x:c r="B768" t="str">
        <x:v>A-0738</x:v>
      </x:c>
      <x:c r="C768" t="str">
        <x:v>GATE</x:v>
      </x:c>
      <x:c r="D768" t="str">
        <x:v>release ledger mirrors governing state</x:v>
      </x:c>
      <x:c r="E768" t="str">
        <x:f>'Release Gates'!J744</x:f>
        <x:v>OPEN</x:v>
      </x:c>
      <x:c r="F768" t="str">
        <x:f>IF('Release Gates'!C744="PLANNING","PASS",IF('Release Gates'!C744="PHYSICAL","OPEN","BLOCKED"))</x:f>
        <x:v>OPEN</x:v>
      </x:c>
      <x:c r="G768" t="str">
        <x:v>equals</x:v>
      </x:c>
      <x:c r="H768" t="str">
        <x:f>IF(E768=F768,"PASS","FAIL")</x:f>
        <x:v>PASS</x:v>
      </x:c>
    </x:row>
    <x:row r="769">
      <x:c r="B769" t="str">
        <x:v>A-0739</x:v>
      </x:c>
      <x:c r="C769" t="str">
        <x:v>GATE</x:v>
      </x:c>
      <x:c r="D769" t="str">
        <x:v>release ledger mirrors governing state</x:v>
      </x:c>
      <x:c r="E769" t="str">
        <x:f>'Release Gates'!J745</x:f>
        <x:v>OPEN</x:v>
      </x:c>
      <x:c r="F769" t="str">
        <x:f>IF('Release Gates'!C745="PLANNING","PASS",IF('Release Gates'!C745="PHYSICAL","OPEN","BLOCKED"))</x:f>
        <x:v>OPEN</x:v>
      </x:c>
      <x:c r="G769" t="str">
        <x:v>equals</x:v>
      </x:c>
      <x:c r="H769" t="str">
        <x:f>IF(E769=F769,"PASS","FAIL")</x:f>
        <x:v>PASS</x:v>
      </x:c>
    </x:row>
    <x:row r="770">
      <x:c r="B770" t="str">
        <x:v>A-0740</x:v>
      </x:c>
      <x:c r="C770" t="str">
        <x:v>GATE</x:v>
      </x:c>
      <x:c r="D770" t="str">
        <x:v>release ledger mirrors governing state</x:v>
      </x:c>
      <x:c r="E770" t="str">
        <x:f>'Release Gates'!J746</x:f>
        <x:v>OPEN</x:v>
      </x:c>
      <x:c r="F770" t="str">
        <x:f>IF('Release Gates'!C746="PLANNING","PASS",IF('Release Gates'!C746="PHYSICAL","OPEN","BLOCKED"))</x:f>
        <x:v>OPEN</x:v>
      </x:c>
      <x:c r="G770" t="str">
        <x:v>equals</x:v>
      </x:c>
      <x:c r="H770" t="str">
        <x:f>IF(E770=F770,"PASS","FAIL")</x:f>
        <x:v>PASS</x:v>
      </x:c>
    </x:row>
    <x:row r="771">
      <x:c r="B771" t="str">
        <x:v>A-0741</x:v>
      </x:c>
      <x:c r="C771" t="str">
        <x:v>GATE</x:v>
      </x:c>
      <x:c r="D771" t="str">
        <x:v>release ledger mirrors governing state</x:v>
      </x:c>
      <x:c r="E771" t="str">
        <x:f>'Release Gates'!J747</x:f>
        <x:v>OPEN</x:v>
      </x:c>
      <x:c r="F771" t="str">
        <x:f>IF('Release Gates'!C747="PLANNING","PASS",IF('Release Gates'!C747="PHYSICAL","OPEN","BLOCKED"))</x:f>
        <x:v>OPEN</x:v>
      </x:c>
      <x:c r="G771" t="str">
        <x:v>equals</x:v>
      </x:c>
      <x:c r="H771" t="str">
        <x:f>IF(E771=F771,"PASS","FAIL")</x:f>
        <x:v>PASS</x:v>
      </x:c>
    </x:row>
    <x:row r="772">
      <x:c r="B772" t="str">
        <x:v>A-0742</x:v>
      </x:c>
      <x:c r="C772" t="str">
        <x:v>GATE</x:v>
      </x:c>
      <x:c r="D772" t="str">
        <x:v>release ledger mirrors governing state</x:v>
      </x:c>
      <x:c r="E772" t="str">
        <x:f>'Release Gates'!J748</x:f>
        <x:v>OPEN</x:v>
      </x:c>
      <x:c r="F772" t="str">
        <x:f>IF('Release Gates'!C748="PLANNING","PASS",IF('Release Gates'!C748="PHYSICAL","OPEN","BLOCKED"))</x:f>
        <x:v>OPEN</x:v>
      </x:c>
      <x:c r="G772" t="str">
        <x:v>equals</x:v>
      </x:c>
      <x:c r="H772" t="str">
        <x:f>IF(E772=F772,"PASS","FAIL")</x:f>
        <x:v>PASS</x:v>
      </x:c>
    </x:row>
    <x:row r="773">
      <x:c r="B773" t="str">
        <x:v>A-0743</x:v>
      </x:c>
      <x:c r="C773" t="str">
        <x:v>GATE</x:v>
      </x:c>
      <x:c r="D773" t="str">
        <x:v>release ledger mirrors governing state</x:v>
      </x:c>
      <x:c r="E773" t="str">
        <x:f>'Release Gates'!J749</x:f>
        <x:v>OPEN</x:v>
      </x:c>
      <x:c r="F773" t="str">
        <x:f>IF('Release Gates'!C749="PLANNING","PASS",IF('Release Gates'!C749="PHYSICAL","OPEN","BLOCKED"))</x:f>
        <x:v>OPEN</x:v>
      </x:c>
      <x:c r="G773" t="str">
        <x:v>equals</x:v>
      </x:c>
      <x:c r="H773" t="str">
        <x:f>IF(E773=F773,"PASS","FAIL")</x:f>
        <x:v>PASS</x:v>
      </x:c>
    </x:row>
    <x:row r="774">
      <x:c r="B774" t="str">
        <x:v>A-0744</x:v>
      </x:c>
      <x:c r="C774" t="str">
        <x:v>GATE</x:v>
      </x:c>
      <x:c r="D774" t="str">
        <x:v>release ledger mirrors governing state</x:v>
      </x:c>
      <x:c r="E774" t="str">
        <x:f>'Release Gates'!J750</x:f>
        <x:v>OPEN</x:v>
      </x:c>
      <x:c r="F774" t="str">
        <x:f>IF('Release Gates'!C750="PLANNING","PASS",IF('Release Gates'!C750="PHYSICAL","OPEN","BLOCKED"))</x:f>
        <x:v>OPEN</x:v>
      </x:c>
      <x:c r="G774" t="str">
        <x:v>equals</x:v>
      </x:c>
      <x:c r="H774" t="str">
        <x:f>IF(E774=F774,"PASS","FAIL")</x:f>
        <x:v>PASS</x:v>
      </x:c>
    </x:row>
    <x:row r="775">
      <x:c r="B775" t="str">
        <x:v>A-0745</x:v>
      </x:c>
      <x:c r="C775" t="str">
        <x:v>GATE</x:v>
      </x:c>
      <x:c r="D775" t="str">
        <x:v>release ledger mirrors governing state</x:v>
      </x:c>
      <x:c r="E775" t="str">
        <x:f>'Release Gates'!J751</x:f>
        <x:v>OPEN</x:v>
      </x:c>
      <x:c r="F775" t="str">
        <x:f>IF('Release Gates'!C751="PLANNING","PASS",IF('Release Gates'!C751="PHYSICAL","OPEN","BLOCKED"))</x:f>
        <x:v>OPEN</x:v>
      </x:c>
      <x:c r="G775" t="str">
        <x:v>equals</x:v>
      </x:c>
      <x:c r="H775" t="str">
        <x:f>IF(E775=F775,"PASS","FAIL")</x:f>
        <x:v>PASS</x:v>
      </x:c>
    </x:row>
    <x:row r="776">
      <x:c r="B776" t="str">
        <x:v>A-0746</x:v>
      </x:c>
      <x:c r="C776" t="str">
        <x:v>GATE</x:v>
      </x:c>
      <x:c r="D776" t="str">
        <x:v>release ledger mirrors governing state</x:v>
      </x:c>
      <x:c r="E776" t="str">
        <x:f>'Release Gates'!J752</x:f>
        <x:v>OPEN</x:v>
      </x:c>
      <x:c r="F776" t="str">
        <x:f>IF('Release Gates'!C752="PLANNING","PASS",IF('Release Gates'!C752="PHYSICAL","OPEN","BLOCKED"))</x:f>
        <x:v>OPEN</x:v>
      </x:c>
      <x:c r="G776" t="str">
        <x:v>equals</x:v>
      </x:c>
      <x:c r="H776" t="str">
        <x:f>IF(E776=F776,"PASS","FAIL")</x:f>
        <x:v>PASS</x:v>
      </x:c>
    </x:row>
    <x:row r="777">
      <x:c r="B777" t="str">
        <x:v>A-0747</x:v>
      </x:c>
      <x:c r="C777" t="str">
        <x:v>GATE</x:v>
      </x:c>
      <x:c r="D777" t="str">
        <x:v>release ledger mirrors governing state</x:v>
      </x:c>
      <x:c r="E777" t="str">
        <x:f>'Release Gates'!J753</x:f>
        <x:v>OPEN</x:v>
      </x:c>
      <x:c r="F777" t="str">
        <x:f>IF('Release Gates'!C753="PLANNING","PASS",IF('Release Gates'!C753="PHYSICAL","OPEN","BLOCKED"))</x:f>
        <x:v>OPEN</x:v>
      </x:c>
      <x:c r="G777" t="str">
        <x:v>equals</x:v>
      </x:c>
      <x:c r="H777" t="str">
        <x:f>IF(E777=F777,"PASS","FAIL")</x:f>
        <x:v>PASS</x:v>
      </x:c>
    </x:row>
    <x:row r="778">
      <x:c r="B778" t="str">
        <x:v>A-0748</x:v>
      </x:c>
      <x:c r="C778" t="str">
        <x:v>GATE</x:v>
      </x:c>
      <x:c r="D778" t="str">
        <x:v>release ledger mirrors governing state</x:v>
      </x:c>
      <x:c r="E778" t="str">
        <x:f>'Release Gates'!J754</x:f>
        <x:v>OPEN</x:v>
      </x:c>
      <x:c r="F778" t="str">
        <x:f>IF('Release Gates'!C754="PLANNING","PASS",IF('Release Gates'!C754="PHYSICAL","OPEN","BLOCKED"))</x:f>
        <x:v>OPEN</x:v>
      </x:c>
      <x:c r="G778" t="str">
        <x:v>equals</x:v>
      </x:c>
      <x:c r="H778" t="str">
        <x:f>IF(E778=F778,"PASS","FAIL")</x:f>
        <x:v>PASS</x:v>
      </x:c>
    </x:row>
    <x:row r="779">
      <x:c r="B779" t="str">
        <x:v>A-0749</x:v>
      </x:c>
      <x:c r="C779" t="str">
        <x:v>GATE</x:v>
      </x:c>
      <x:c r="D779" t="str">
        <x:v>release ledger mirrors governing state</x:v>
      </x:c>
      <x:c r="E779" t="str">
        <x:f>'Release Gates'!J755</x:f>
        <x:v>OPEN</x:v>
      </x:c>
      <x:c r="F779" t="str">
        <x:f>IF('Release Gates'!C755="PLANNING","PASS",IF('Release Gates'!C755="PHYSICAL","OPEN","BLOCKED"))</x:f>
        <x:v>OPEN</x:v>
      </x:c>
      <x:c r="G779" t="str">
        <x:v>equals</x:v>
      </x:c>
      <x:c r="H779" t="str">
        <x:f>IF(E779=F779,"PASS","FAIL")</x:f>
        <x:v>PASS</x:v>
      </x:c>
    </x:row>
    <x:row r="780">
      <x:c r="B780" t="str">
        <x:v>A-0750</x:v>
      </x:c>
      <x:c r="C780" t="str">
        <x:v>GATE</x:v>
      </x:c>
      <x:c r="D780" t="str">
        <x:v>release ledger mirrors governing state</x:v>
      </x:c>
      <x:c r="E780" t="str">
        <x:f>'Release Gates'!J756</x:f>
        <x:v>OPEN</x:v>
      </x:c>
      <x:c r="F780" t="str">
        <x:f>IF('Release Gates'!C756="PLANNING","PASS",IF('Release Gates'!C756="PHYSICAL","OPEN","BLOCKED"))</x:f>
        <x:v>OPEN</x:v>
      </x:c>
      <x:c r="G780" t="str">
        <x:v>equals</x:v>
      </x:c>
      <x:c r="H780" t="str">
        <x:f>IF(E780=F780,"PASS","FAIL")</x:f>
        <x:v>PASS</x:v>
      </x:c>
    </x:row>
    <x:row r="781">
      <x:c r="B781" t="str">
        <x:v>A-0751</x:v>
      </x:c>
      <x:c r="C781" t="str">
        <x:v>GATE</x:v>
      </x:c>
      <x:c r="D781" t="str">
        <x:v>release ledger mirrors governing state</x:v>
      </x:c>
      <x:c r="E781" t="str">
        <x:f>'Release Gates'!J757</x:f>
        <x:v>OPEN</x:v>
      </x:c>
      <x:c r="F781" t="str">
        <x:f>IF('Release Gates'!C757="PLANNING","PASS",IF('Release Gates'!C757="PHYSICAL","OPEN","BLOCKED"))</x:f>
        <x:v>OPEN</x:v>
      </x:c>
      <x:c r="G781" t="str">
        <x:v>equals</x:v>
      </x:c>
      <x:c r="H781" t="str">
        <x:f>IF(E781=F781,"PASS","FAIL")</x:f>
        <x:v>PASS</x:v>
      </x:c>
    </x:row>
    <x:row r="782">
      <x:c r="B782" t="str">
        <x:v>A-0752</x:v>
      </x:c>
      <x:c r="C782" t="str">
        <x:v>GATE</x:v>
      </x:c>
      <x:c r="D782" t="str">
        <x:v>release ledger mirrors governing state</x:v>
      </x:c>
      <x:c r="E782" t="str">
        <x:f>'Release Gates'!J758</x:f>
        <x:v>OPEN</x:v>
      </x:c>
      <x:c r="F782" t="str">
        <x:f>IF('Release Gates'!C758="PLANNING","PASS",IF('Release Gates'!C758="PHYSICAL","OPEN","BLOCKED"))</x:f>
        <x:v>OPEN</x:v>
      </x:c>
      <x:c r="G782" t="str">
        <x:v>equals</x:v>
      </x:c>
      <x:c r="H782" t="str">
        <x:f>IF(E782=F782,"PASS","FAIL")</x:f>
        <x:v>PASS</x:v>
      </x:c>
    </x:row>
    <x:row r="783">
      <x:c r="B783" t="str">
        <x:v>A-0753</x:v>
      </x:c>
      <x:c r="C783" t="str">
        <x:v>GATE</x:v>
      </x:c>
      <x:c r="D783" t="str">
        <x:v>release ledger mirrors governing state</x:v>
      </x:c>
      <x:c r="E783" t="str">
        <x:f>'Release Gates'!J759</x:f>
        <x:v>OPEN</x:v>
      </x:c>
      <x:c r="F783" t="str">
        <x:f>IF('Release Gates'!C759="PLANNING","PASS",IF('Release Gates'!C759="PHYSICAL","OPEN","BLOCKED"))</x:f>
        <x:v>OPEN</x:v>
      </x:c>
      <x:c r="G783" t="str">
        <x:v>equals</x:v>
      </x:c>
      <x:c r="H783" t="str">
        <x:f>IF(E783=F783,"PASS","FAIL")</x:f>
        <x:v>PASS</x:v>
      </x:c>
    </x:row>
    <x:row r="784">
      <x:c r="B784" t="str">
        <x:v>A-0754</x:v>
      </x:c>
      <x:c r="C784" t="str">
        <x:v>GATE</x:v>
      </x:c>
      <x:c r="D784" t="str">
        <x:v>release ledger mirrors governing state</x:v>
      </x:c>
      <x:c r="E784" t="str">
        <x:f>'Release Gates'!J760</x:f>
        <x:v>OPEN</x:v>
      </x:c>
      <x:c r="F784" t="str">
        <x:f>IF('Release Gates'!C760="PLANNING","PASS",IF('Release Gates'!C760="PHYSICAL","OPEN","BLOCKED"))</x:f>
        <x:v>OPEN</x:v>
      </x:c>
      <x:c r="G784" t="str">
        <x:v>equals</x:v>
      </x:c>
      <x:c r="H784" t="str">
        <x:f>IF(E784=F784,"PASS","FAIL")</x:f>
        <x:v>PASS</x:v>
      </x:c>
    </x:row>
    <x:row r="785">
      <x:c r="B785" t="str">
        <x:v>A-0755</x:v>
      </x:c>
      <x:c r="C785" t="str">
        <x:v>GATE</x:v>
      </x:c>
      <x:c r="D785" t="str">
        <x:v>release ledger mirrors governing state</x:v>
      </x:c>
      <x:c r="E785" t="str">
        <x:f>'Release Gates'!J761</x:f>
        <x:v>OPEN</x:v>
      </x:c>
      <x:c r="F785" t="str">
        <x:f>IF('Release Gates'!C761="PLANNING","PASS",IF('Release Gates'!C761="PHYSICAL","OPEN","BLOCKED"))</x:f>
        <x:v>OPEN</x:v>
      </x:c>
      <x:c r="G785" t="str">
        <x:v>equals</x:v>
      </x:c>
      <x:c r="H785" t="str">
        <x:f>IF(E785=F785,"PASS","FAIL")</x:f>
        <x:v>PASS</x:v>
      </x:c>
    </x:row>
    <x:row r="786">
      <x:c r="B786" t="str">
        <x:v>A-0756</x:v>
      </x:c>
      <x:c r="C786" t="str">
        <x:v>GATE</x:v>
      </x:c>
      <x:c r="D786" t="str">
        <x:v>release ledger mirrors governing state</x:v>
      </x:c>
      <x:c r="E786" t="str">
        <x:f>'Release Gates'!J762</x:f>
        <x:v>OPEN</x:v>
      </x:c>
      <x:c r="F786" t="str">
        <x:f>IF('Release Gates'!C762="PLANNING","PASS",IF('Release Gates'!C762="PHYSICAL","OPEN","BLOCKED"))</x:f>
        <x:v>OPEN</x:v>
      </x:c>
      <x:c r="G786" t="str">
        <x:v>equals</x:v>
      </x:c>
      <x:c r="H786" t="str">
        <x:f>IF(E786=F786,"PASS","FAIL")</x:f>
        <x:v>PASS</x:v>
      </x:c>
    </x:row>
    <x:row r="787">
      <x:c r="B787" t="str">
        <x:v>A-0757</x:v>
      </x:c>
      <x:c r="C787" t="str">
        <x:v>GATE</x:v>
      </x:c>
      <x:c r="D787" t="str">
        <x:v>release ledger mirrors governing state</x:v>
      </x:c>
      <x:c r="E787" t="str">
        <x:f>'Release Gates'!J763</x:f>
        <x:v>OPEN</x:v>
      </x:c>
      <x:c r="F787" t="str">
        <x:f>IF('Release Gates'!C763="PLANNING","PASS",IF('Release Gates'!C763="PHYSICAL","OPEN","BLOCKED"))</x:f>
        <x:v>OPEN</x:v>
      </x:c>
      <x:c r="G787" t="str">
        <x:v>equals</x:v>
      </x:c>
      <x:c r="H787" t="str">
        <x:f>IF(E787=F787,"PASS","FAIL")</x:f>
        <x:v>PASS</x:v>
      </x:c>
    </x:row>
    <x:row r="788">
      <x:c r="B788" t="str">
        <x:v>A-0758</x:v>
      </x:c>
      <x:c r="C788" t="str">
        <x:v>GATE</x:v>
      </x:c>
      <x:c r="D788" t="str">
        <x:v>release ledger mirrors governing state</x:v>
      </x:c>
      <x:c r="E788" t="str">
        <x:f>'Release Gates'!J764</x:f>
        <x:v>OPEN</x:v>
      </x:c>
      <x:c r="F788" t="str">
        <x:f>IF('Release Gates'!C764="PLANNING","PASS",IF('Release Gates'!C764="PHYSICAL","OPEN","BLOCKED"))</x:f>
        <x:v>OPEN</x:v>
      </x:c>
      <x:c r="G788" t="str">
        <x:v>equals</x:v>
      </x:c>
      <x:c r="H788" t="str">
        <x:f>IF(E788=F788,"PASS","FAIL")</x:f>
        <x:v>PASS</x:v>
      </x:c>
    </x:row>
    <x:row r="789">
      <x:c r="B789" t="str">
        <x:v>A-0759</x:v>
      </x:c>
      <x:c r="C789" t="str">
        <x:v>GATE</x:v>
      </x:c>
      <x:c r="D789" t="str">
        <x:v>release ledger mirrors governing state</x:v>
      </x:c>
      <x:c r="E789" t="str">
        <x:f>'Release Gates'!J765</x:f>
        <x:v>OPEN</x:v>
      </x:c>
      <x:c r="F789" t="str">
        <x:f>IF('Release Gates'!C765="PLANNING","PASS",IF('Release Gates'!C765="PHYSICAL","OPEN","BLOCKED"))</x:f>
        <x:v>OPEN</x:v>
      </x:c>
      <x:c r="G789" t="str">
        <x:v>equals</x:v>
      </x:c>
      <x:c r="H789" t="str">
        <x:f>IF(E789=F789,"PASS","FAIL")</x:f>
        <x:v>PASS</x:v>
      </x:c>
    </x:row>
    <x:row r="790">
      <x:c r="B790" t="str">
        <x:v>A-0760</x:v>
      </x:c>
      <x:c r="C790" t="str">
        <x:v>GATE</x:v>
      </x:c>
      <x:c r="D790" t="str">
        <x:v>release ledger mirrors governing state</x:v>
      </x:c>
      <x:c r="E790" t="str">
        <x:f>'Release Gates'!J766</x:f>
        <x:v>OPEN</x:v>
      </x:c>
      <x:c r="F790" t="str">
        <x:f>IF('Release Gates'!C766="PLANNING","PASS",IF('Release Gates'!C766="PHYSICAL","OPEN","BLOCKED"))</x:f>
        <x:v>OPEN</x:v>
      </x:c>
      <x:c r="G790" t="str">
        <x:v>equals</x:v>
      </x:c>
      <x:c r="H790" t="str">
        <x:f>IF(E790=F790,"PASS","FAIL")</x:f>
        <x:v>PASS</x:v>
      </x:c>
    </x:row>
    <x:row r="791">
      <x:c r="B791" t="str">
        <x:v>A-0761</x:v>
      </x:c>
      <x:c r="C791" t="str">
        <x:v>GATE</x:v>
      </x:c>
      <x:c r="D791" t="str">
        <x:v>release ledger mirrors governing state</x:v>
      </x:c>
      <x:c r="E791" t="str">
        <x:f>'Release Gates'!J767</x:f>
        <x:v>OPEN</x:v>
      </x:c>
      <x:c r="F791" t="str">
        <x:f>IF('Release Gates'!C767="PLANNING","PASS",IF('Release Gates'!C767="PHYSICAL","OPEN","BLOCKED"))</x:f>
        <x:v>OPEN</x:v>
      </x:c>
      <x:c r="G791" t="str">
        <x:v>equals</x:v>
      </x:c>
      <x:c r="H791" t="str">
        <x:f>IF(E791=F791,"PASS","FAIL")</x:f>
        <x:v>PASS</x:v>
      </x:c>
    </x:row>
    <x:row r="792">
      <x:c r="B792" t="str">
        <x:v>A-0762</x:v>
      </x:c>
      <x:c r="C792" t="str">
        <x:v>GATE</x:v>
      </x:c>
      <x:c r="D792" t="str">
        <x:v>release ledger mirrors governing state</x:v>
      </x:c>
      <x:c r="E792" t="str">
        <x:f>'Release Gates'!J768</x:f>
        <x:v>OPEN</x:v>
      </x:c>
      <x:c r="F792" t="str">
        <x:f>IF('Release Gates'!C768="PLANNING","PASS",IF('Release Gates'!C768="PHYSICAL","OPEN","BLOCKED"))</x:f>
        <x:v>OPEN</x:v>
      </x:c>
      <x:c r="G792" t="str">
        <x:v>equals</x:v>
      </x:c>
      <x:c r="H792" t="str">
        <x:f>IF(E792=F792,"PASS","FAIL")</x:f>
        <x:v>PASS</x:v>
      </x:c>
    </x:row>
    <x:row r="793">
      <x:c r="B793" t="str">
        <x:v>A-0763</x:v>
      </x:c>
      <x:c r="C793" t="str">
        <x:v>GATE</x:v>
      </x:c>
      <x:c r="D793" t="str">
        <x:v>release ledger mirrors governing state</x:v>
      </x:c>
      <x:c r="E793" t="str">
        <x:f>'Release Gates'!J769</x:f>
        <x:v>OPEN</x:v>
      </x:c>
      <x:c r="F793" t="str">
        <x:f>IF('Release Gates'!C769="PLANNING","PASS",IF('Release Gates'!C769="PHYSICAL","OPEN","BLOCKED"))</x:f>
        <x:v>OPEN</x:v>
      </x:c>
      <x:c r="G793" t="str">
        <x:v>equals</x:v>
      </x:c>
      <x:c r="H793" t="str">
        <x:f>IF(E793=F793,"PASS","FAIL")</x:f>
        <x:v>PASS</x:v>
      </x:c>
    </x:row>
    <x:row r="794">
      <x:c r="B794" t="str">
        <x:v>A-0764</x:v>
      </x:c>
      <x:c r="C794" t="str">
        <x:v>GATE</x:v>
      </x:c>
      <x:c r="D794" t="str">
        <x:v>release ledger mirrors governing state</x:v>
      </x:c>
      <x:c r="E794" t="str">
        <x:f>'Release Gates'!J770</x:f>
        <x:v>OPEN</x:v>
      </x:c>
      <x:c r="F794" t="str">
        <x:f>IF('Release Gates'!C770="PLANNING","PASS",IF('Release Gates'!C770="PHYSICAL","OPEN","BLOCKED"))</x:f>
        <x:v>OPEN</x:v>
      </x:c>
      <x:c r="G794" t="str">
        <x:v>equals</x:v>
      </x:c>
      <x:c r="H794" t="str">
        <x:f>IF(E794=F794,"PASS","FAIL")</x:f>
        <x:v>PASS</x:v>
      </x:c>
    </x:row>
    <x:row r="795">
      <x:c r="B795" t="str">
        <x:v>A-0765</x:v>
      </x:c>
      <x:c r="C795" t="str">
        <x:v>GATE</x:v>
      </x:c>
      <x:c r="D795" t="str">
        <x:v>release ledger mirrors governing state</x:v>
      </x:c>
      <x:c r="E795" t="str">
        <x:f>'Release Gates'!J771</x:f>
        <x:v>OPEN</x:v>
      </x:c>
      <x:c r="F795" t="str">
        <x:f>IF('Release Gates'!C771="PLANNING","PASS",IF('Release Gates'!C771="PHYSICAL","OPEN","BLOCKED"))</x:f>
        <x:v>OPEN</x:v>
      </x:c>
      <x:c r="G795" t="str">
        <x:v>equals</x:v>
      </x:c>
      <x:c r="H795" t="str">
        <x:f>IF(E795=F795,"PASS","FAIL")</x:f>
        <x:v>PASS</x:v>
      </x:c>
    </x:row>
    <x:row r="796">
      <x:c r="B796" t="str">
        <x:v>A-0766</x:v>
      </x:c>
      <x:c r="C796" t="str">
        <x:v>GATE</x:v>
      </x:c>
      <x:c r="D796" t="str">
        <x:v>release ledger mirrors governing state</x:v>
      </x:c>
      <x:c r="E796" t="str">
        <x:f>'Release Gates'!J772</x:f>
        <x:v>OPEN</x:v>
      </x:c>
      <x:c r="F796" t="str">
        <x:f>IF('Release Gates'!C772="PLANNING","PASS",IF('Release Gates'!C772="PHYSICAL","OPEN","BLOCKED"))</x:f>
        <x:v>OPEN</x:v>
      </x:c>
      <x:c r="G796" t="str">
        <x:v>equals</x:v>
      </x:c>
      <x:c r="H796" t="str">
        <x:f>IF(E796=F796,"PASS","FAIL")</x:f>
        <x:v>PASS</x:v>
      </x:c>
    </x:row>
    <x:row r="797">
      <x:c r="B797" t="str">
        <x:v>A-0767</x:v>
      </x:c>
      <x:c r="C797" t="str">
        <x:v>GATE</x:v>
      </x:c>
      <x:c r="D797" t="str">
        <x:v>release ledger mirrors governing state</x:v>
      </x:c>
      <x:c r="E797" t="str">
        <x:f>'Release Gates'!J773</x:f>
        <x:v>OPEN</x:v>
      </x:c>
      <x:c r="F797" t="str">
        <x:f>IF('Release Gates'!C773="PLANNING","PASS",IF('Release Gates'!C773="PHYSICAL","OPEN","BLOCKED"))</x:f>
        <x:v>OPEN</x:v>
      </x:c>
      <x:c r="G797" t="str">
        <x:v>equals</x:v>
      </x:c>
      <x:c r="H797" t="str">
        <x:f>IF(E797=F797,"PASS","FAIL")</x:f>
        <x:v>PASS</x:v>
      </x:c>
    </x:row>
    <x:row r="798">
      <x:c r="B798" t="str">
        <x:v>A-0768</x:v>
      </x:c>
      <x:c r="C798" t="str">
        <x:v>GATE</x:v>
      </x:c>
      <x:c r="D798" t="str">
        <x:v>release ledger mirrors governing state</x:v>
      </x:c>
      <x:c r="E798" t="str">
        <x:f>'Release Gates'!J774</x:f>
        <x:v>OPEN</x:v>
      </x:c>
      <x:c r="F798" t="str">
        <x:f>IF('Release Gates'!C774="PLANNING","PASS",IF('Release Gates'!C774="PHYSICAL","OPEN","BLOCKED"))</x:f>
        <x:v>OPEN</x:v>
      </x:c>
      <x:c r="G798" t="str">
        <x:v>equals</x:v>
      </x:c>
      <x:c r="H798" t="str">
        <x:f>IF(E798=F798,"PASS","FAIL")</x:f>
        <x:v>PASS</x:v>
      </x:c>
    </x:row>
    <x:row r="799">
      <x:c r="B799" t="str">
        <x:v>A-0769</x:v>
      </x:c>
      <x:c r="C799" t="str">
        <x:v>GATE</x:v>
      </x:c>
      <x:c r="D799" t="str">
        <x:v>release ledger mirrors governing state</x:v>
      </x:c>
      <x:c r="E799" t="str">
        <x:f>'Release Gates'!J775</x:f>
        <x:v>OPEN</x:v>
      </x:c>
      <x:c r="F799" t="str">
        <x:f>IF('Release Gates'!C775="PLANNING","PASS",IF('Release Gates'!C775="PHYSICAL","OPEN","BLOCKED"))</x:f>
        <x:v>OPEN</x:v>
      </x:c>
      <x:c r="G799" t="str">
        <x:v>equals</x:v>
      </x:c>
      <x:c r="H799" t="str">
        <x:f>IF(E799=F799,"PASS","FAIL")</x:f>
        <x:v>PASS</x:v>
      </x:c>
    </x:row>
    <x:row r="800">
      <x:c r="B800" t="str">
        <x:v>A-0770</x:v>
      </x:c>
      <x:c r="C800" t="str">
        <x:v>GATE</x:v>
      </x:c>
      <x:c r="D800" t="str">
        <x:v>release ledger mirrors governing state</x:v>
      </x:c>
      <x:c r="E800" t="str">
        <x:f>'Release Gates'!J776</x:f>
        <x:v>OPEN</x:v>
      </x:c>
      <x:c r="F800" t="str">
        <x:f>IF('Release Gates'!C776="PLANNING","PASS",IF('Release Gates'!C776="PHYSICAL","OPEN","BLOCKED"))</x:f>
        <x:v>OPEN</x:v>
      </x:c>
      <x:c r="G800" t="str">
        <x:v>equals</x:v>
      </x:c>
      <x:c r="H800" t="str">
        <x:f>IF(E800=F800,"PASS","FAIL")</x:f>
        <x:v>PASS</x:v>
      </x:c>
    </x:row>
    <x:row r="801">
      <x:c r="B801" t="str">
        <x:v>A-0771</x:v>
      </x:c>
      <x:c r="C801" t="str">
        <x:v>GATE</x:v>
      </x:c>
      <x:c r="D801" t="str">
        <x:v>release ledger mirrors governing state</x:v>
      </x:c>
      <x:c r="E801" t="str">
        <x:f>'Release Gates'!J777</x:f>
        <x:v>OPEN</x:v>
      </x:c>
      <x:c r="F801" t="str">
        <x:f>IF('Release Gates'!C777="PLANNING","PASS",IF('Release Gates'!C777="PHYSICAL","OPEN","BLOCKED"))</x:f>
        <x:v>OPEN</x:v>
      </x:c>
      <x:c r="G801" t="str">
        <x:v>equals</x:v>
      </x:c>
      <x:c r="H801" t="str">
        <x:f>IF(E801=F801,"PASS","FAIL")</x:f>
        <x:v>PASS</x:v>
      </x:c>
    </x:row>
    <x:row r="802">
      <x:c r="B802" t="str">
        <x:v>A-0772</x:v>
      </x:c>
      <x:c r="C802" t="str">
        <x:v>GATE</x:v>
      </x:c>
      <x:c r="D802" t="str">
        <x:v>release ledger mirrors governing state</x:v>
      </x:c>
      <x:c r="E802" t="str">
        <x:f>'Release Gates'!J778</x:f>
        <x:v>OPEN</x:v>
      </x:c>
      <x:c r="F802" t="str">
        <x:f>IF('Release Gates'!C778="PLANNING","PASS",IF('Release Gates'!C778="PHYSICAL","OPEN","BLOCKED"))</x:f>
        <x:v>OPEN</x:v>
      </x:c>
      <x:c r="G802" t="str">
        <x:v>equals</x:v>
      </x:c>
      <x:c r="H802" t="str">
        <x:f>IF(E802=F802,"PASS","FAIL")</x:f>
        <x:v>PASS</x:v>
      </x:c>
    </x:row>
    <x:row r="803">
      <x:c r="B803" t="str">
        <x:v>A-0773</x:v>
      </x:c>
      <x:c r="C803" t="str">
        <x:v>GATE</x:v>
      </x:c>
      <x:c r="D803" t="str">
        <x:v>release ledger mirrors governing state</x:v>
      </x:c>
      <x:c r="E803" t="str">
        <x:f>'Release Gates'!J779</x:f>
        <x:v>OPEN</x:v>
      </x:c>
      <x:c r="F803" t="str">
        <x:f>IF('Release Gates'!C779="PLANNING","PASS",IF('Release Gates'!C779="PHYSICAL","OPEN","BLOCKED"))</x:f>
        <x:v>OPEN</x:v>
      </x:c>
      <x:c r="G803" t="str">
        <x:v>equals</x:v>
      </x:c>
      <x:c r="H803" t="str">
        <x:f>IF(E803=F803,"PASS","FAIL")</x:f>
        <x:v>PASS</x:v>
      </x:c>
    </x:row>
    <x:row r="804">
      <x:c r="B804" t="str">
        <x:v>A-0774</x:v>
      </x:c>
      <x:c r="C804" t="str">
        <x:v>GATE</x:v>
      </x:c>
      <x:c r="D804" t="str">
        <x:v>release ledger mirrors governing state</x:v>
      </x:c>
      <x:c r="E804" t="str">
        <x:f>'Release Gates'!J780</x:f>
        <x:v>OPEN</x:v>
      </x:c>
      <x:c r="F804" t="str">
        <x:f>IF('Release Gates'!C780="PLANNING","PASS",IF('Release Gates'!C780="PHYSICAL","OPEN","BLOCKED"))</x:f>
        <x:v>OPEN</x:v>
      </x:c>
      <x:c r="G804" t="str">
        <x:v>equals</x:v>
      </x:c>
      <x:c r="H804" t="str">
        <x:f>IF(E804=F804,"PASS","FAIL")</x:f>
        <x:v>PASS</x:v>
      </x:c>
    </x:row>
    <x:row r="805">
      <x:c r="B805" t="str">
        <x:v>A-0775</x:v>
      </x:c>
      <x:c r="C805" t="str">
        <x:v>GATE</x:v>
      </x:c>
      <x:c r="D805" t="str">
        <x:v>release ledger mirrors governing state</x:v>
      </x:c>
      <x:c r="E805" t="str">
        <x:f>'Release Gates'!J781</x:f>
        <x:v>OPEN</x:v>
      </x:c>
      <x:c r="F805" t="str">
        <x:f>IF('Release Gates'!C781="PLANNING","PASS",IF('Release Gates'!C781="PHYSICAL","OPEN","BLOCKED"))</x:f>
        <x:v>OPEN</x:v>
      </x:c>
      <x:c r="G805" t="str">
        <x:v>equals</x:v>
      </x:c>
      <x:c r="H805" t="str">
        <x:f>IF(E805=F805,"PASS","FAIL")</x:f>
        <x:v>PASS</x:v>
      </x:c>
    </x:row>
    <x:row r="806">
      <x:c r="B806" t="str">
        <x:v>A-0776</x:v>
      </x:c>
      <x:c r="C806" t="str">
        <x:v>GATE</x:v>
      </x:c>
      <x:c r="D806" t="str">
        <x:v>release ledger mirrors governing state</x:v>
      </x:c>
      <x:c r="E806" t="str">
        <x:f>'Release Gates'!J782</x:f>
        <x:v>OPEN</x:v>
      </x:c>
      <x:c r="F806" t="str">
        <x:f>IF('Release Gates'!C782="PLANNING","PASS",IF('Release Gates'!C782="PHYSICAL","OPEN","BLOCKED"))</x:f>
        <x:v>OPEN</x:v>
      </x:c>
      <x:c r="G806" t="str">
        <x:v>equals</x:v>
      </x:c>
      <x:c r="H806" t="str">
        <x:f>IF(E806=F806,"PASS","FAIL")</x:f>
        <x:v>PASS</x:v>
      </x:c>
    </x:row>
    <x:row r="807">
      <x:c r="B807" t="str">
        <x:v>A-0777</x:v>
      </x:c>
      <x:c r="C807" t="str">
        <x:v>GATE</x:v>
      </x:c>
      <x:c r="D807" t="str">
        <x:v>release ledger mirrors governing state</x:v>
      </x:c>
      <x:c r="E807" t="str">
        <x:f>'Release Gates'!J783</x:f>
        <x:v>OPEN</x:v>
      </x:c>
      <x:c r="F807" t="str">
        <x:f>IF('Release Gates'!C783="PLANNING","PASS",IF('Release Gates'!C783="PHYSICAL","OPEN","BLOCKED"))</x:f>
        <x:v>OPEN</x:v>
      </x:c>
      <x:c r="G807" t="str">
        <x:v>equals</x:v>
      </x:c>
      <x:c r="H807" t="str">
        <x:f>IF(E807=F807,"PASS","FAIL")</x:f>
        <x:v>PASS</x:v>
      </x:c>
    </x:row>
    <x:row r="808">
      <x:c r="B808" t="str">
        <x:v>A-0778</x:v>
      </x:c>
      <x:c r="C808" t="str">
        <x:v>GATE</x:v>
      </x:c>
      <x:c r="D808" t="str">
        <x:v>release ledger mirrors governing state</x:v>
      </x:c>
      <x:c r="E808" t="str">
        <x:f>'Release Gates'!J784</x:f>
        <x:v>OPEN</x:v>
      </x:c>
      <x:c r="F808" t="str">
        <x:f>IF('Release Gates'!C784="PLANNING","PASS",IF('Release Gates'!C784="PHYSICAL","OPEN","BLOCKED"))</x:f>
        <x:v>OPEN</x:v>
      </x:c>
      <x:c r="G808" t="str">
        <x:v>equals</x:v>
      </x:c>
      <x:c r="H808" t="str">
        <x:f>IF(E808=F808,"PASS","FAIL")</x:f>
        <x:v>PASS</x:v>
      </x:c>
    </x:row>
    <x:row r="809">
      <x:c r="B809" t="str">
        <x:v>A-0779</x:v>
      </x:c>
      <x:c r="C809" t="str">
        <x:v>GATE</x:v>
      </x:c>
      <x:c r="D809" t="str">
        <x:v>release ledger mirrors governing state</x:v>
      </x:c>
      <x:c r="E809" t="str">
        <x:f>'Release Gates'!J785</x:f>
        <x:v>OPEN</x:v>
      </x:c>
      <x:c r="F809" t="str">
        <x:f>IF('Release Gates'!C785="PLANNING","PASS",IF('Release Gates'!C785="PHYSICAL","OPEN","BLOCKED"))</x:f>
        <x:v>OPEN</x:v>
      </x:c>
      <x:c r="G809" t="str">
        <x:v>equals</x:v>
      </x:c>
      <x:c r="H809" t="str">
        <x:f>IF(E809=F809,"PASS","FAIL")</x:f>
        <x:v>PASS</x:v>
      </x:c>
    </x:row>
    <x:row r="810">
      <x:c r="B810" t="str">
        <x:v>A-0780</x:v>
      </x:c>
      <x:c r="C810" t="str">
        <x:v>GATE</x:v>
      </x:c>
      <x:c r="D810" t="str">
        <x:v>release ledger mirrors governing state</x:v>
      </x:c>
      <x:c r="E810" t="str">
        <x:f>'Release Gates'!J786</x:f>
        <x:v>OPEN</x:v>
      </x:c>
      <x:c r="F810" t="str">
        <x:f>IF('Release Gates'!C786="PLANNING","PASS",IF('Release Gates'!C786="PHYSICAL","OPEN","BLOCKED"))</x:f>
        <x:v>OPEN</x:v>
      </x:c>
      <x:c r="G810" t="str">
        <x:v>equals</x:v>
      </x:c>
      <x:c r="H810" t="str">
        <x:f>IF(E810=F810,"PASS","FAIL")</x:f>
        <x:v>PASS</x:v>
      </x:c>
    </x:row>
    <x:row r="811">
      <x:c r="B811" t="str">
        <x:v>A-0781</x:v>
      </x:c>
      <x:c r="C811" t="str">
        <x:v>GATE</x:v>
      </x:c>
      <x:c r="D811" t="str">
        <x:v>release ledger mirrors governing state</x:v>
      </x:c>
      <x:c r="E811" t="str">
        <x:f>'Release Gates'!J787</x:f>
        <x:v>OPEN</x:v>
      </x:c>
      <x:c r="F811" t="str">
        <x:f>IF('Release Gates'!C787="PLANNING","PASS",IF('Release Gates'!C787="PHYSICAL","OPEN","BLOCKED"))</x:f>
        <x:v>OPEN</x:v>
      </x:c>
      <x:c r="G811" t="str">
        <x:v>equals</x:v>
      </x:c>
      <x:c r="H811" t="str">
        <x:f>IF(E811=F811,"PASS","FAIL")</x:f>
        <x:v>PASS</x:v>
      </x:c>
    </x:row>
    <x:row r="812">
      <x:c r="B812" t="str">
        <x:v>A-0782</x:v>
      </x:c>
      <x:c r="C812" t="str">
        <x:v>GATE</x:v>
      </x:c>
      <x:c r="D812" t="str">
        <x:v>release ledger mirrors governing state</x:v>
      </x:c>
      <x:c r="E812" t="str">
        <x:f>'Release Gates'!J788</x:f>
        <x:v>OPEN</x:v>
      </x:c>
      <x:c r="F812" t="str">
        <x:f>IF('Release Gates'!C788="PLANNING","PASS",IF('Release Gates'!C788="PHYSICAL","OPEN","BLOCKED"))</x:f>
        <x:v>OPEN</x:v>
      </x:c>
      <x:c r="G812" t="str">
        <x:v>equals</x:v>
      </x:c>
      <x:c r="H812" t="str">
        <x:f>IF(E812=F812,"PASS","FAIL")</x:f>
        <x:v>PASS</x:v>
      </x:c>
    </x:row>
    <x:row r="813">
      <x:c r="B813" t="str">
        <x:v>A-0783</x:v>
      </x:c>
      <x:c r="C813" t="str">
        <x:v>GATE</x:v>
      </x:c>
      <x:c r="D813" t="str">
        <x:v>release ledger mirrors governing state</x:v>
      </x:c>
      <x:c r="E813" t="str">
        <x:f>'Release Gates'!J789</x:f>
        <x:v>OPEN</x:v>
      </x:c>
      <x:c r="F813" t="str">
        <x:f>IF('Release Gates'!C789="PLANNING","PASS",IF('Release Gates'!C789="PHYSICAL","OPEN","BLOCKED"))</x:f>
        <x:v>OPEN</x:v>
      </x:c>
      <x:c r="G813" t="str">
        <x:v>equals</x:v>
      </x:c>
      <x:c r="H813" t="str">
        <x:f>IF(E813=F813,"PASS","FAIL")</x:f>
        <x:v>PASS</x:v>
      </x:c>
    </x:row>
    <x:row r="814">
      <x:c r="B814" t="str">
        <x:v>A-0784</x:v>
      </x:c>
      <x:c r="C814" t="str">
        <x:v>GATE</x:v>
      </x:c>
      <x:c r="D814" t="str">
        <x:v>release ledger mirrors governing state</x:v>
      </x:c>
      <x:c r="E814" t="str">
        <x:f>'Release Gates'!J790</x:f>
        <x:v>OPEN</x:v>
      </x:c>
      <x:c r="F814" t="str">
        <x:f>IF('Release Gates'!C790="PLANNING","PASS",IF('Release Gates'!C790="PHYSICAL","OPEN","BLOCKED"))</x:f>
        <x:v>OPEN</x:v>
      </x:c>
      <x:c r="G814" t="str">
        <x:v>equals</x:v>
      </x:c>
      <x:c r="H814" t="str">
        <x:f>IF(E814=F814,"PASS","FAIL")</x:f>
        <x:v>PASS</x:v>
      </x:c>
    </x:row>
    <x:row r="815">
      <x:c r="B815" t="str">
        <x:v>A-0785</x:v>
      </x:c>
      <x:c r="C815" t="str">
        <x:v>GATE</x:v>
      </x:c>
      <x:c r="D815" t="str">
        <x:v>release ledger mirrors governing state</x:v>
      </x:c>
      <x:c r="E815" t="str">
        <x:f>'Release Gates'!J791</x:f>
        <x:v>OPEN</x:v>
      </x:c>
      <x:c r="F815" t="str">
        <x:f>IF('Release Gates'!C791="PLANNING","PASS",IF('Release Gates'!C791="PHYSICAL","OPEN","BLOCKED"))</x:f>
        <x:v>OPEN</x:v>
      </x:c>
      <x:c r="G815" t="str">
        <x:v>equals</x:v>
      </x:c>
      <x:c r="H815" t="str">
        <x:f>IF(E815=F815,"PASS","FAIL")</x:f>
        <x:v>PASS</x:v>
      </x:c>
    </x:row>
    <x:row r="816">
      <x:c r="B816" t="str">
        <x:v>A-0786</x:v>
      </x:c>
      <x:c r="C816" t="str">
        <x:v>GATE</x:v>
      </x:c>
      <x:c r="D816" t="str">
        <x:v>release ledger mirrors governing state</x:v>
      </x:c>
      <x:c r="E816" t="str">
        <x:f>'Release Gates'!J792</x:f>
        <x:v>OPEN</x:v>
      </x:c>
      <x:c r="F816" t="str">
        <x:f>IF('Release Gates'!C792="PLANNING","PASS",IF('Release Gates'!C792="PHYSICAL","OPEN","BLOCKED"))</x:f>
        <x:v>OPEN</x:v>
      </x:c>
      <x:c r="G816" t="str">
        <x:v>equals</x:v>
      </x:c>
      <x:c r="H816" t="str">
        <x:f>IF(E816=F816,"PASS","FAIL")</x:f>
        <x:v>PASS</x:v>
      </x:c>
    </x:row>
    <x:row r="817">
      <x:c r="B817" t="str">
        <x:v>A-0787</x:v>
      </x:c>
      <x:c r="C817" t="str">
        <x:v>GATE</x:v>
      </x:c>
      <x:c r="D817" t="str">
        <x:v>release ledger mirrors governing state</x:v>
      </x:c>
      <x:c r="E817" t="str">
        <x:f>'Release Gates'!J793</x:f>
        <x:v>OPEN</x:v>
      </x:c>
      <x:c r="F817" t="str">
        <x:f>IF('Release Gates'!C793="PLANNING","PASS",IF('Release Gates'!C793="PHYSICAL","OPEN","BLOCKED"))</x:f>
        <x:v>OPEN</x:v>
      </x:c>
      <x:c r="G817" t="str">
        <x:v>equals</x:v>
      </x:c>
      <x:c r="H817" t="str">
        <x:f>IF(E817=F817,"PASS","FAIL")</x:f>
        <x:v>PASS</x:v>
      </x:c>
    </x:row>
    <x:row r="818">
      <x:c r="B818" t="str">
        <x:v>A-0788</x:v>
      </x:c>
      <x:c r="C818" t="str">
        <x:v>GATE</x:v>
      </x:c>
      <x:c r="D818" t="str">
        <x:v>release ledger mirrors governing state</x:v>
      </x:c>
      <x:c r="E818" t="str">
        <x:f>'Release Gates'!J794</x:f>
        <x:v>OPEN</x:v>
      </x:c>
      <x:c r="F818" t="str">
        <x:f>IF('Release Gates'!C794="PLANNING","PASS",IF('Release Gates'!C794="PHYSICAL","OPEN","BLOCKED"))</x:f>
        <x:v>OPEN</x:v>
      </x:c>
      <x:c r="G818" t="str">
        <x:v>equals</x:v>
      </x:c>
      <x:c r="H818" t="str">
        <x:f>IF(E818=F818,"PASS","FAIL")</x:f>
        <x:v>PASS</x:v>
      </x:c>
    </x:row>
    <x:row r="819">
      <x:c r="B819" t="str">
        <x:v>A-0789</x:v>
      </x:c>
      <x:c r="C819" t="str">
        <x:v>GATE</x:v>
      </x:c>
      <x:c r="D819" t="str">
        <x:v>release ledger mirrors governing state</x:v>
      </x:c>
      <x:c r="E819" t="str">
        <x:f>'Release Gates'!J795</x:f>
        <x:v>OPEN</x:v>
      </x:c>
      <x:c r="F819" t="str">
        <x:f>IF('Release Gates'!C795="PLANNING","PASS",IF('Release Gates'!C795="PHYSICAL","OPEN","BLOCKED"))</x:f>
        <x:v>OPEN</x:v>
      </x:c>
      <x:c r="G819" t="str">
        <x:v>equals</x:v>
      </x:c>
      <x:c r="H819" t="str">
        <x:f>IF(E819=F819,"PASS","FAIL")</x:f>
        <x:v>PASS</x:v>
      </x:c>
    </x:row>
    <x:row r="820">
      <x:c r="B820" t="str">
        <x:v>A-0790</x:v>
      </x:c>
      <x:c r="C820" t="str">
        <x:v>GATE</x:v>
      </x:c>
      <x:c r="D820" t="str">
        <x:v>release ledger mirrors governing state</x:v>
      </x:c>
      <x:c r="E820" t="str">
        <x:f>'Release Gates'!J796</x:f>
        <x:v>OPEN</x:v>
      </x:c>
      <x:c r="F820" t="str">
        <x:f>IF('Release Gates'!C796="PLANNING","PASS",IF('Release Gates'!C796="PHYSICAL","OPEN","BLOCKED"))</x:f>
        <x:v>OPEN</x:v>
      </x:c>
      <x:c r="G820" t="str">
        <x:v>equals</x:v>
      </x:c>
      <x:c r="H820" t="str">
        <x:f>IF(E820=F820,"PASS","FAIL")</x:f>
        <x:v>PASS</x:v>
      </x:c>
    </x:row>
    <x:row r="821">
      <x:c r="B821" t="str">
        <x:v>A-0791</x:v>
      </x:c>
      <x:c r="C821" t="str">
        <x:v>GATE</x:v>
      </x:c>
      <x:c r="D821" t="str">
        <x:v>release ledger mirrors governing state</x:v>
      </x:c>
      <x:c r="E821" t="str">
        <x:f>'Release Gates'!J797</x:f>
        <x:v>OPEN</x:v>
      </x:c>
      <x:c r="F821" t="str">
        <x:f>IF('Release Gates'!C797="PLANNING","PASS",IF('Release Gates'!C797="PHYSICAL","OPEN","BLOCKED"))</x:f>
        <x:v>OPEN</x:v>
      </x:c>
      <x:c r="G821" t="str">
        <x:v>equals</x:v>
      </x:c>
      <x:c r="H821" t="str">
        <x:f>IF(E821=F821,"PASS","FAIL")</x:f>
        <x:v>PASS</x:v>
      </x:c>
    </x:row>
    <x:row r="822">
      <x:c r="B822" t="str">
        <x:v>A-0792</x:v>
      </x:c>
      <x:c r="C822" t="str">
        <x:v>GATE</x:v>
      </x:c>
      <x:c r="D822" t="str">
        <x:v>release ledger mirrors governing state</x:v>
      </x:c>
      <x:c r="E822" t="str">
        <x:f>'Release Gates'!J798</x:f>
        <x:v>OPEN</x:v>
      </x:c>
      <x:c r="F822" t="str">
        <x:f>IF('Release Gates'!C798="PLANNING","PASS",IF('Release Gates'!C798="PHYSICAL","OPEN","BLOCKED"))</x:f>
        <x:v>OPEN</x:v>
      </x:c>
      <x:c r="G822" t="str">
        <x:v>equals</x:v>
      </x:c>
      <x:c r="H822" t="str">
        <x:f>IF(E822=F822,"PASS","FAIL")</x:f>
        <x:v>PASS</x:v>
      </x:c>
    </x:row>
    <x:row r="823">
      <x:c r="B823" t="str">
        <x:v>A-0793</x:v>
      </x:c>
      <x:c r="C823" t="str">
        <x:v>GATE</x:v>
      </x:c>
      <x:c r="D823" t="str">
        <x:v>release ledger mirrors governing state</x:v>
      </x:c>
      <x:c r="E823" t="str">
        <x:f>'Release Gates'!J799</x:f>
        <x:v>OPEN</x:v>
      </x:c>
      <x:c r="F823" t="str">
        <x:f>IF('Release Gates'!C799="PLANNING","PASS",IF('Release Gates'!C799="PHYSICAL","OPEN","BLOCKED"))</x:f>
        <x:v>OPEN</x:v>
      </x:c>
      <x:c r="G823" t="str">
        <x:v>equals</x:v>
      </x:c>
      <x:c r="H823" t="str">
        <x:f>IF(E823=F823,"PASS","FAIL")</x:f>
        <x:v>PASS</x:v>
      </x:c>
    </x:row>
    <x:row r="824">
      <x:c r="B824" t="str">
        <x:v>A-0794</x:v>
      </x:c>
      <x:c r="C824" t="str">
        <x:v>GATE</x:v>
      </x:c>
      <x:c r="D824" t="str">
        <x:v>release ledger mirrors governing state</x:v>
      </x:c>
      <x:c r="E824" t="str">
        <x:f>'Release Gates'!J800</x:f>
        <x:v>OPEN</x:v>
      </x:c>
      <x:c r="F824" t="str">
        <x:f>IF('Release Gates'!C800="PLANNING","PASS",IF('Release Gates'!C800="PHYSICAL","OPEN","BLOCKED"))</x:f>
        <x:v>OPEN</x:v>
      </x:c>
      <x:c r="G824" t="str">
        <x:v>equals</x:v>
      </x:c>
      <x:c r="H824" t="str">
        <x:f>IF(E824=F824,"PASS","FAIL")</x:f>
        <x:v>PASS</x:v>
      </x:c>
    </x:row>
    <x:row r="825">
      <x:c r="B825" t="str">
        <x:v>A-0795</x:v>
      </x:c>
      <x:c r="C825" t="str">
        <x:v>GATE</x:v>
      </x:c>
      <x:c r="D825" t="str">
        <x:v>release ledger mirrors governing state</x:v>
      </x:c>
      <x:c r="E825" t="str">
        <x:f>'Release Gates'!J801</x:f>
        <x:v>OPEN</x:v>
      </x:c>
      <x:c r="F825" t="str">
        <x:f>IF('Release Gates'!C801="PLANNING","PASS",IF('Release Gates'!C801="PHYSICAL","OPEN","BLOCKED"))</x:f>
        <x:v>OPEN</x:v>
      </x:c>
      <x:c r="G825" t="str">
        <x:v>equals</x:v>
      </x:c>
      <x:c r="H825" t="str">
        <x:f>IF(E825=F825,"PASS","FAIL")</x:f>
        <x:v>PASS</x:v>
      </x:c>
    </x:row>
    <x:row r="826">
      <x:c r="B826" t="str">
        <x:v>A-0796</x:v>
      </x:c>
      <x:c r="C826" t="str">
        <x:v>GATE</x:v>
      </x:c>
      <x:c r="D826" t="str">
        <x:v>release ledger mirrors governing state</x:v>
      </x:c>
      <x:c r="E826" t="str">
        <x:f>'Release Gates'!J802</x:f>
        <x:v>OPEN</x:v>
      </x:c>
      <x:c r="F826" t="str">
        <x:f>IF('Release Gates'!C802="PLANNING","PASS",IF('Release Gates'!C802="PHYSICAL","OPEN","BLOCKED"))</x:f>
        <x:v>OPEN</x:v>
      </x:c>
      <x:c r="G826" t="str">
        <x:v>equals</x:v>
      </x:c>
      <x:c r="H826" t="str">
        <x:f>IF(E826=F826,"PASS","FAIL")</x:f>
        <x:v>PASS</x:v>
      </x:c>
    </x:row>
    <x:row r="827">
      <x:c r="B827" t="str">
        <x:v>A-0797</x:v>
      </x:c>
      <x:c r="C827" t="str">
        <x:v>GATE</x:v>
      </x:c>
      <x:c r="D827" t="str">
        <x:v>release ledger mirrors governing state</x:v>
      </x:c>
      <x:c r="E827" t="str">
        <x:f>'Release Gates'!J803</x:f>
        <x:v>OPEN</x:v>
      </x:c>
      <x:c r="F827" t="str">
        <x:f>IF('Release Gates'!C803="PLANNING","PASS",IF('Release Gates'!C803="PHYSICAL","OPEN","BLOCKED"))</x:f>
        <x:v>OPEN</x:v>
      </x:c>
      <x:c r="G827" t="str">
        <x:v>equals</x:v>
      </x:c>
      <x:c r="H827" t="str">
        <x:f>IF(E827=F827,"PASS","FAIL")</x:f>
        <x:v>PASS</x:v>
      </x:c>
    </x:row>
    <x:row r="828">
      <x:c r="B828" t="str">
        <x:v>A-0798</x:v>
      </x:c>
      <x:c r="C828" t="str">
        <x:v>GATE</x:v>
      </x:c>
      <x:c r="D828" t="str">
        <x:v>release ledger mirrors governing state</x:v>
      </x:c>
      <x:c r="E828" t="str">
        <x:f>'Release Gates'!J804</x:f>
        <x:v>OPEN</x:v>
      </x:c>
      <x:c r="F828" t="str">
        <x:f>IF('Release Gates'!C804="PLANNING","PASS",IF('Release Gates'!C804="PHYSICAL","OPEN","BLOCKED"))</x:f>
        <x:v>OPEN</x:v>
      </x:c>
      <x:c r="G828" t="str">
        <x:v>equals</x:v>
      </x:c>
      <x:c r="H828" t="str">
        <x:f>IF(E828=F828,"PASS","FAIL")</x:f>
        <x:v>PASS</x:v>
      </x:c>
    </x:row>
    <x:row r="829">
      <x:c r="B829" t="str">
        <x:v>A-0799</x:v>
      </x:c>
      <x:c r="C829" t="str">
        <x:v>GATE</x:v>
      </x:c>
      <x:c r="D829" t="str">
        <x:v>release ledger mirrors governing state</x:v>
      </x:c>
      <x:c r="E829" t="str">
        <x:f>'Release Gates'!J805</x:f>
        <x:v>OPEN</x:v>
      </x:c>
      <x:c r="F829" t="str">
        <x:f>IF('Release Gates'!C805="PLANNING","PASS",IF('Release Gates'!C805="PHYSICAL","OPEN","BLOCKED"))</x:f>
        <x:v>OPEN</x:v>
      </x:c>
      <x:c r="G829" t="str">
        <x:v>equals</x:v>
      </x:c>
      <x:c r="H829" t="str">
        <x:f>IF(E829=F829,"PASS","FAIL")</x:f>
        <x:v>PASS</x:v>
      </x:c>
    </x:row>
    <x:row r="830">
      <x:c r="B830" t="str">
        <x:v>A-0800</x:v>
      </x:c>
      <x:c r="C830" t="str">
        <x:v>GATE</x:v>
      </x:c>
      <x:c r="D830" t="str">
        <x:v>release ledger mirrors governing state</x:v>
      </x:c>
      <x:c r="E830" t="str">
        <x:f>'Release Gates'!J806</x:f>
        <x:v>OPEN</x:v>
      </x:c>
      <x:c r="F830" t="str">
        <x:f>IF('Release Gates'!C806="PLANNING","PASS",IF('Release Gates'!C806="PHYSICAL","OPEN","BLOCKED"))</x:f>
        <x:v>OPEN</x:v>
      </x:c>
      <x:c r="G830" t="str">
        <x:v>equals</x:v>
      </x:c>
      <x:c r="H830" t="str">
        <x:f>IF(E830=F830,"PASS","FAIL")</x:f>
        <x:v>PASS</x:v>
      </x:c>
    </x:row>
    <x:row r="831">
      <x:c r="B831" t="str">
        <x:v>A-0801</x:v>
      </x:c>
      <x:c r="C831" t="str">
        <x:v>GATE</x:v>
      </x:c>
      <x:c r="D831" t="str">
        <x:v>release ledger mirrors governing state</x:v>
      </x:c>
      <x:c r="E831" t="str">
        <x:f>'Release Gates'!J807</x:f>
        <x:v>OPEN</x:v>
      </x:c>
      <x:c r="F831" t="str">
        <x:f>IF('Release Gates'!C807="PLANNING","PASS",IF('Release Gates'!C807="PHYSICAL","OPEN","BLOCKED"))</x:f>
        <x:v>OPEN</x:v>
      </x:c>
      <x:c r="G831" t="str">
        <x:v>equals</x:v>
      </x:c>
      <x:c r="H831" t="str">
        <x:f>IF(E831=F831,"PASS","FAIL")</x:f>
        <x:v>PASS</x:v>
      </x:c>
    </x:row>
    <x:row r="832">
      <x:c r="B832" t="str">
        <x:v>A-0802</x:v>
      </x:c>
      <x:c r="C832" t="str">
        <x:v>GATE</x:v>
      </x:c>
      <x:c r="D832" t="str">
        <x:v>release ledger mirrors governing state</x:v>
      </x:c>
      <x:c r="E832" t="str">
        <x:f>'Release Gates'!J808</x:f>
        <x:v>OPEN</x:v>
      </x:c>
      <x:c r="F832" t="str">
        <x:f>IF('Release Gates'!C808="PLANNING","PASS",IF('Release Gates'!C808="PHYSICAL","OPEN","BLOCKED"))</x:f>
        <x:v>OPEN</x:v>
      </x:c>
      <x:c r="G832" t="str">
        <x:v>equals</x:v>
      </x:c>
      <x:c r="H832" t="str">
        <x:f>IF(E832=F832,"PASS","FAIL")</x:f>
        <x:v>PASS</x:v>
      </x:c>
    </x:row>
    <x:row r="833">
      <x:c r="B833" t="str">
        <x:v>A-0803</x:v>
      </x:c>
      <x:c r="C833" t="str">
        <x:v>GATE</x:v>
      </x:c>
      <x:c r="D833" t="str">
        <x:v>release ledger mirrors governing state</x:v>
      </x:c>
      <x:c r="E833" t="str">
        <x:f>'Release Gates'!J809</x:f>
        <x:v>OPEN</x:v>
      </x:c>
      <x:c r="F833" t="str">
        <x:f>IF('Release Gates'!C809="PLANNING","PASS",IF('Release Gates'!C809="PHYSICAL","OPEN","BLOCKED"))</x:f>
        <x:v>OPEN</x:v>
      </x:c>
      <x:c r="G833" t="str">
        <x:v>equals</x:v>
      </x:c>
      <x:c r="H833" t="str">
        <x:f>IF(E833=F833,"PASS","FAIL")</x:f>
        <x:v>PASS</x:v>
      </x:c>
    </x:row>
    <x:row r="834">
      <x:c r="B834" t="str">
        <x:v>A-0804</x:v>
      </x:c>
      <x:c r="C834" t="str">
        <x:v>GATE</x:v>
      </x:c>
      <x:c r="D834" t="str">
        <x:v>release ledger mirrors governing state</x:v>
      </x:c>
      <x:c r="E834" t="str">
        <x:f>'Release Gates'!J810</x:f>
        <x:v>OPEN</x:v>
      </x:c>
      <x:c r="F834" t="str">
        <x:f>IF('Release Gates'!C810="PLANNING","PASS",IF('Release Gates'!C810="PHYSICAL","OPEN","BLOCKED"))</x:f>
        <x:v>OPEN</x:v>
      </x:c>
      <x:c r="G834" t="str">
        <x:v>equals</x:v>
      </x:c>
      <x:c r="H834" t="str">
        <x:f>IF(E834=F834,"PASS","FAIL")</x:f>
        <x:v>PASS</x:v>
      </x:c>
    </x:row>
    <x:row r="835">
      <x:c r="B835" t="str">
        <x:v>A-0805</x:v>
      </x:c>
      <x:c r="C835" t="str">
        <x:v>GATE</x:v>
      </x:c>
      <x:c r="D835" t="str">
        <x:v>release ledger mirrors governing state</x:v>
      </x:c>
      <x:c r="E835" t="str">
        <x:f>'Release Gates'!J811</x:f>
        <x:v>OPEN</x:v>
      </x:c>
      <x:c r="F835" t="str">
        <x:f>IF('Release Gates'!C811="PLANNING","PASS",IF('Release Gates'!C811="PHYSICAL","OPEN","BLOCKED"))</x:f>
        <x:v>OPEN</x:v>
      </x:c>
      <x:c r="G835" t="str">
        <x:v>equals</x:v>
      </x:c>
      <x:c r="H835" t="str">
        <x:f>IF(E835=F835,"PASS","FAIL")</x:f>
        <x:v>PASS</x:v>
      </x:c>
    </x:row>
    <x:row r="836">
      <x:c r="B836" t="str">
        <x:v>A-0806</x:v>
      </x:c>
      <x:c r="C836" t="str">
        <x:v>GATE</x:v>
      </x:c>
      <x:c r="D836" t="str">
        <x:v>release ledger mirrors governing state</x:v>
      </x:c>
      <x:c r="E836" t="str">
        <x:f>'Release Gates'!J812</x:f>
        <x:v>OPEN</x:v>
      </x:c>
      <x:c r="F836" t="str">
        <x:f>IF('Release Gates'!C812="PLANNING","PASS",IF('Release Gates'!C812="PHYSICAL","OPEN","BLOCKED"))</x:f>
        <x:v>OPEN</x:v>
      </x:c>
      <x:c r="G836" t="str">
        <x:v>equals</x:v>
      </x:c>
      <x:c r="H836" t="str">
        <x:f>IF(E836=F836,"PASS","FAIL")</x:f>
        <x:v>PASS</x:v>
      </x:c>
    </x:row>
    <x:row r="837">
      <x:c r="B837" t="str">
        <x:v>A-0807</x:v>
      </x:c>
      <x:c r="C837" t="str">
        <x:v>GATE</x:v>
      </x:c>
      <x:c r="D837" t="str">
        <x:v>release ledger mirrors governing state</x:v>
      </x:c>
      <x:c r="E837" t="str">
        <x:f>'Release Gates'!J813</x:f>
        <x:v>OPEN</x:v>
      </x:c>
      <x:c r="F837" t="str">
        <x:f>IF('Release Gates'!C813="PLANNING","PASS",IF('Release Gates'!C813="PHYSICAL","OPEN","BLOCKED"))</x:f>
        <x:v>OPEN</x:v>
      </x:c>
      <x:c r="G837" t="str">
        <x:v>equals</x:v>
      </x:c>
      <x:c r="H837" t="str">
        <x:f>IF(E837=F837,"PASS","FAIL")</x:f>
        <x:v>PASS</x:v>
      </x:c>
    </x:row>
    <x:row r="838">
      <x:c r="B838" t="str">
        <x:v>A-0808</x:v>
      </x:c>
      <x:c r="C838" t="str">
        <x:v>GATE</x:v>
      </x:c>
      <x:c r="D838" t="str">
        <x:v>release ledger mirrors governing state</x:v>
      </x:c>
      <x:c r="E838" t="str">
        <x:f>'Release Gates'!J814</x:f>
        <x:v>OPEN</x:v>
      </x:c>
      <x:c r="F838" t="str">
        <x:f>IF('Release Gates'!C814="PLANNING","PASS",IF('Release Gates'!C814="PHYSICAL","OPEN","BLOCKED"))</x:f>
        <x:v>OPEN</x:v>
      </x:c>
      <x:c r="G838" t="str">
        <x:v>equals</x:v>
      </x:c>
      <x:c r="H838" t="str">
        <x:f>IF(E838=F838,"PASS","FAIL")</x:f>
        <x:v>PASS</x:v>
      </x:c>
    </x:row>
    <x:row r="839">
      <x:c r="B839" t="str">
        <x:v>A-0809</x:v>
      </x:c>
      <x:c r="C839" t="str">
        <x:v>GATE</x:v>
      </x:c>
      <x:c r="D839" t="str">
        <x:v>release ledger mirrors governing state</x:v>
      </x:c>
      <x:c r="E839" t="str">
        <x:f>'Release Gates'!J815</x:f>
        <x:v>OPEN</x:v>
      </x:c>
      <x:c r="F839" t="str">
        <x:f>IF('Release Gates'!C815="PLANNING","PASS",IF('Release Gates'!C815="PHYSICAL","OPEN","BLOCKED"))</x:f>
        <x:v>OPEN</x:v>
      </x:c>
      <x:c r="G839" t="str">
        <x:v>equals</x:v>
      </x:c>
      <x:c r="H839" t="str">
        <x:f>IF(E839=F839,"PASS","FAIL")</x:f>
        <x:v>PASS</x:v>
      </x:c>
    </x:row>
    <x:row r="840">
      <x:c r="B840" t="str">
        <x:v>A-0810</x:v>
      </x:c>
      <x:c r="C840" t="str">
        <x:v>GATE</x:v>
      </x:c>
      <x:c r="D840" t="str">
        <x:v>release ledger mirrors governing state</x:v>
      </x:c>
      <x:c r="E840" t="str">
        <x:f>'Release Gates'!J816</x:f>
        <x:v>OPEN</x:v>
      </x:c>
      <x:c r="F840" t="str">
        <x:f>IF('Release Gates'!C816="PLANNING","PASS",IF('Release Gates'!C816="PHYSICAL","OPEN","BLOCKED"))</x:f>
        <x:v>OPEN</x:v>
      </x:c>
      <x:c r="G840" t="str">
        <x:v>equals</x:v>
      </x:c>
      <x:c r="H840" t="str">
        <x:f>IF(E840=F840,"PASS","FAIL")</x:f>
        <x:v>PASS</x:v>
      </x:c>
    </x:row>
    <x:row r="841">
      <x:c r="B841" t="str">
        <x:v>A-0811</x:v>
      </x:c>
      <x:c r="C841" t="str">
        <x:v>GATE</x:v>
      </x:c>
      <x:c r="D841" t="str">
        <x:v>release ledger mirrors governing state</x:v>
      </x:c>
      <x:c r="E841" t="str">
        <x:f>'Release Gates'!J817</x:f>
        <x:v>OPEN</x:v>
      </x:c>
      <x:c r="F841" t="str">
        <x:f>IF('Release Gates'!C817="PLANNING","PASS",IF('Release Gates'!C817="PHYSICAL","OPEN","BLOCKED"))</x:f>
        <x:v>OPEN</x:v>
      </x:c>
      <x:c r="G841" t="str">
        <x:v>equals</x:v>
      </x:c>
      <x:c r="H841" t="str">
        <x:f>IF(E841=F841,"PASS","FAIL")</x:f>
        <x:v>PASS</x:v>
      </x:c>
    </x:row>
    <x:row r="842">
      <x:c r="B842" t="str">
        <x:v>A-0812</x:v>
      </x:c>
      <x:c r="C842" t="str">
        <x:v>GATE</x:v>
      </x:c>
      <x:c r="D842" t="str">
        <x:v>release ledger mirrors governing state</x:v>
      </x:c>
      <x:c r="E842" t="str">
        <x:f>'Release Gates'!J818</x:f>
        <x:v>OPEN</x:v>
      </x:c>
      <x:c r="F842" t="str">
        <x:f>IF('Release Gates'!C818="PLANNING","PASS",IF('Release Gates'!C818="PHYSICAL","OPEN","BLOCKED"))</x:f>
        <x:v>OPEN</x:v>
      </x:c>
      <x:c r="G842" t="str">
        <x:v>equals</x:v>
      </x:c>
      <x:c r="H842" t="str">
        <x:f>IF(E842=F842,"PASS","FAIL")</x:f>
        <x:v>PASS</x:v>
      </x:c>
    </x:row>
    <x:row r="843">
      <x:c r="B843" t="str">
        <x:v>A-0813</x:v>
      </x:c>
      <x:c r="C843" t="str">
        <x:v>GATE</x:v>
      </x:c>
      <x:c r="D843" t="str">
        <x:v>release ledger mirrors governing state</x:v>
      </x:c>
      <x:c r="E843" t="str">
        <x:f>'Release Gates'!J819</x:f>
        <x:v>OPEN</x:v>
      </x:c>
      <x:c r="F843" t="str">
        <x:f>IF('Release Gates'!C819="PLANNING","PASS",IF('Release Gates'!C819="PHYSICAL","OPEN","BLOCKED"))</x:f>
        <x:v>OPEN</x:v>
      </x:c>
      <x:c r="G843" t="str">
        <x:v>equals</x:v>
      </x:c>
      <x:c r="H843" t="str">
        <x:f>IF(E843=F843,"PASS","FAIL")</x:f>
        <x:v>PASS</x:v>
      </x:c>
    </x:row>
    <x:row r="844">
      <x:c r="B844" t="str">
        <x:v>A-0814</x:v>
      </x:c>
      <x:c r="C844" t="str">
        <x:v>GATE</x:v>
      </x:c>
      <x:c r="D844" t="str">
        <x:v>release ledger mirrors governing state</x:v>
      </x:c>
      <x:c r="E844" t="str">
        <x:f>'Release Gates'!J820</x:f>
        <x:v>OPEN</x:v>
      </x:c>
      <x:c r="F844" t="str">
        <x:f>IF('Release Gates'!C820="PLANNING","PASS",IF('Release Gates'!C820="PHYSICAL","OPEN","BLOCKED"))</x:f>
        <x:v>OPEN</x:v>
      </x:c>
      <x:c r="G844" t="str">
        <x:v>equals</x:v>
      </x:c>
      <x:c r="H844" t="str">
        <x:f>IF(E844=F844,"PASS","FAIL")</x:f>
        <x:v>PASS</x:v>
      </x:c>
    </x:row>
    <x:row r="845">
      <x:c r="B845" t="str">
        <x:v>A-0815</x:v>
      </x:c>
      <x:c r="C845" t="str">
        <x:v>GATE</x:v>
      </x:c>
      <x:c r="D845" t="str">
        <x:v>release ledger mirrors governing state</x:v>
      </x:c>
      <x:c r="E845" t="str">
        <x:f>'Release Gates'!J821</x:f>
        <x:v>OPEN</x:v>
      </x:c>
      <x:c r="F845" t="str">
        <x:f>IF('Release Gates'!C821="PLANNING","PASS",IF('Release Gates'!C821="PHYSICAL","OPEN","BLOCKED"))</x:f>
        <x:v>OPEN</x:v>
      </x:c>
      <x:c r="G845" t="str">
        <x:v>equals</x:v>
      </x:c>
      <x:c r="H845" t="str">
        <x:f>IF(E845=F845,"PASS","FAIL")</x:f>
        <x:v>PASS</x:v>
      </x:c>
    </x:row>
    <x:row r="846">
      <x:c r="B846" t="str">
        <x:v>A-0816</x:v>
      </x:c>
      <x:c r="C846" t="str">
        <x:v>GATE</x:v>
      </x:c>
      <x:c r="D846" t="str">
        <x:v>release ledger mirrors governing state</x:v>
      </x:c>
      <x:c r="E846" t="str">
        <x:f>'Release Gates'!J822</x:f>
        <x:v>OPEN</x:v>
      </x:c>
      <x:c r="F846" t="str">
        <x:f>IF('Release Gates'!C822="PLANNING","PASS",IF('Release Gates'!C822="PHYSICAL","OPEN","BLOCKED"))</x:f>
        <x:v>OPEN</x:v>
      </x:c>
      <x:c r="G846" t="str">
        <x:v>equals</x:v>
      </x:c>
      <x:c r="H846" t="str">
        <x:f>IF(E846=F846,"PASS","FAIL")</x:f>
        <x:v>PASS</x:v>
      </x:c>
    </x:row>
    <x:row r="847">
      <x:c r="B847" t="str">
        <x:v>A-0817</x:v>
      </x:c>
      <x:c r="C847" t="str">
        <x:v>GATE</x:v>
      </x:c>
      <x:c r="D847" t="str">
        <x:v>release ledger mirrors governing state</x:v>
      </x:c>
      <x:c r="E847" t="str">
        <x:f>'Release Gates'!J823</x:f>
        <x:v>OPEN</x:v>
      </x:c>
      <x:c r="F847" t="str">
        <x:f>IF('Release Gates'!C823="PLANNING","PASS",IF('Release Gates'!C823="PHYSICAL","OPEN","BLOCKED"))</x:f>
        <x:v>OPEN</x:v>
      </x:c>
      <x:c r="G847" t="str">
        <x:v>equals</x:v>
      </x:c>
      <x:c r="H847" t="str">
        <x:f>IF(E847=F847,"PASS","FAIL")</x:f>
        <x:v>PASS</x:v>
      </x:c>
    </x:row>
    <x:row r="848">
      <x:c r="B848" t="str">
        <x:v>A-0818</x:v>
      </x:c>
      <x:c r="C848" t="str">
        <x:v>GATE</x:v>
      </x:c>
      <x:c r="D848" t="str">
        <x:v>release ledger mirrors governing state</x:v>
      </x:c>
      <x:c r="E848" t="str">
        <x:f>'Release Gates'!J824</x:f>
        <x:v>OPEN</x:v>
      </x:c>
      <x:c r="F848" t="str">
        <x:f>IF('Release Gates'!C824="PLANNING","PASS",IF('Release Gates'!C824="PHYSICAL","OPEN","BLOCKED"))</x:f>
        <x:v>OPEN</x:v>
      </x:c>
      <x:c r="G848" t="str">
        <x:v>equals</x:v>
      </x:c>
      <x:c r="H848" t="str">
        <x:f>IF(E848=F848,"PASS","FAIL")</x:f>
        <x:v>PASS</x:v>
      </x:c>
    </x:row>
    <x:row r="849">
      <x:c r="B849" t="str">
        <x:v>A-0819</x:v>
      </x:c>
      <x:c r="C849" t="str">
        <x:v>GATE</x:v>
      </x:c>
      <x:c r="D849" t="str">
        <x:v>release ledger mirrors governing state</x:v>
      </x:c>
      <x:c r="E849" t="str">
        <x:f>'Release Gates'!J825</x:f>
        <x:v>OPEN</x:v>
      </x:c>
      <x:c r="F849" t="str">
        <x:f>IF('Release Gates'!C825="PLANNING","PASS",IF('Release Gates'!C825="PHYSICAL","OPEN","BLOCKED"))</x:f>
        <x:v>OPEN</x:v>
      </x:c>
      <x:c r="G849" t="str">
        <x:v>equals</x:v>
      </x:c>
      <x:c r="H849" t="str">
        <x:f>IF(E849=F849,"PASS","FAIL")</x:f>
        <x:v>PASS</x:v>
      </x:c>
    </x:row>
    <x:row r="850">
      <x:c r="B850" t="str">
        <x:v>A-0820</x:v>
      </x:c>
      <x:c r="C850" t="str">
        <x:v>GATE</x:v>
      </x:c>
      <x:c r="D850" t="str">
        <x:v>release ledger mirrors governing state</x:v>
      </x:c>
      <x:c r="E850" t="str">
        <x:f>'Release Gates'!J826</x:f>
        <x:v>OPEN</x:v>
      </x:c>
      <x:c r="F850" t="str">
        <x:f>IF('Release Gates'!C826="PLANNING","PASS",IF('Release Gates'!C826="PHYSICAL","OPEN","BLOCKED"))</x:f>
        <x:v>OPEN</x:v>
      </x:c>
      <x:c r="G850" t="str">
        <x:v>equals</x:v>
      </x:c>
      <x:c r="H850" t="str">
        <x:f>IF(E850=F850,"PASS","FAIL")</x:f>
        <x:v>PASS</x:v>
      </x:c>
    </x:row>
    <x:row r="851">
      <x:c r="B851" t="str">
        <x:v>A-0821</x:v>
      </x:c>
      <x:c r="C851" t="str">
        <x:v>GATE</x:v>
      </x:c>
      <x:c r="D851" t="str">
        <x:v>release ledger mirrors governing state</x:v>
      </x:c>
      <x:c r="E851" t="str">
        <x:f>'Release Gates'!J827</x:f>
        <x:v>OPEN</x:v>
      </x:c>
      <x:c r="F851" t="str">
        <x:f>IF('Release Gates'!C827="PLANNING","PASS",IF('Release Gates'!C827="PHYSICAL","OPEN","BLOCKED"))</x:f>
        <x:v>OPEN</x:v>
      </x:c>
      <x:c r="G851" t="str">
        <x:v>equals</x:v>
      </x:c>
      <x:c r="H851" t="str">
        <x:f>IF(E851=F851,"PASS","FAIL")</x:f>
        <x:v>PASS</x:v>
      </x:c>
    </x:row>
    <x:row r="852">
      <x:c r="B852" t="str">
        <x:v>A-0822</x:v>
      </x:c>
      <x:c r="C852" t="str">
        <x:v>GATE</x:v>
      </x:c>
      <x:c r="D852" t="str">
        <x:v>release ledger mirrors governing state</x:v>
      </x:c>
      <x:c r="E852" t="str">
        <x:f>'Release Gates'!J828</x:f>
        <x:v>OPEN</x:v>
      </x:c>
      <x:c r="F852" t="str">
        <x:f>IF('Release Gates'!C828="PLANNING","PASS",IF('Release Gates'!C828="PHYSICAL","OPEN","BLOCKED"))</x:f>
        <x:v>OPEN</x:v>
      </x:c>
      <x:c r="G852" t="str">
        <x:v>equals</x:v>
      </x:c>
      <x:c r="H852" t="str">
        <x:f>IF(E852=F852,"PASS","FAIL")</x:f>
        <x:v>PASS</x:v>
      </x:c>
    </x:row>
    <x:row r="853">
      <x:c r="B853" t="str">
        <x:v>A-0823</x:v>
      </x:c>
      <x:c r="C853" t="str">
        <x:v>GATE</x:v>
      </x:c>
      <x:c r="D853" t="str">
        <x:v>release ledger mirrors governing state</x:v>
      </x:c>
      <x:c r="E853" t="str">
        <x:f>'Release Gates'!J829</x:f>
        <x:v>OPEN</x:v>
      </x:c>
      <x:c r="F853" t="str">
        <x:f>IF('Release Gates'!C829="PLANNING","PASS",IF('Release Gates'!C829="PHYSICAL","OPEN","BLOCKED"))</x:f>
        <x:v>OPEN</x:v>
      </x:c>
      <x:c r="G853" t="str">
        <x:v>equals</x:v>
      </x:c>
      <x:c r="H853" t="str">
        <x:f>IF(E853=F853,"PASS","FAIL")</x:f>
        <x:v>PASS</x:v>
      </x:c>
    </x:row>
    <x:row r="854">
      <x:c r="B854" t="str">
        <x:v>A-0824</x:v>
      </x:c>
      <x:c r="C854" t="str">
        <x:v>GATE</x:v>
      </x:c>
      <x:c r="D854" t="str">
        <x:v>release ledger mirrors governing state</x:v>
      </x:c>
      <x:c r="E854" t="str">
        <x:f>'Release Gates'!J830</x:f>
        <x:v>OPEN</x:v>
      </x:c>
      <x:c r="F854" t="str">
        <x:f>IF('Release Gates'!C830="PLANNING","PASS",IF('Release Gates'!C830="PHYSICAL","OPEN","BLOCKED"))</x:f>
        <x:v>OPEN</x:v>
      </x:c>
      <x:c r="G854" t="str">
        <x:v>equals</x:v>
      </x:c>
      <x:c r="H854" t="str">
        <x:f>IF(E854=F854,"PASS","FAIL")</x:f>
        <x:v>PASS</x:v>
      </x:c>
    </x:row>
    <x:row r="855">
      <x:c r="B855" t="str">
        <x:v>A-0825</x:v>
      </x:c>
      <x:c r="C855" t="str">
        <x:v>GATE</x:v>
      </x:c>
      <x:c r="D855" t="str">
        <x:v>release ledger mirrors governing state</x:v>
      </x:c>
      <x:c r="E855" t="str">
        <x:f>'Release Gates'!J831</x:f>
        <x:v>OPEN</x:v>
      </x:c>
      <x:c r="F855" t="str">
        <x:f>IF('Release Gates'!C831="PLANNING","PASS",IF('Release Gates'!C831="PHYSICAL","OPEN","BLOCKED"))</x:f>
        <x:v>OPEN</x:v>
      </x:c>
      <x:c r="G855" t="str">
        <x:v>equals</x:v>
      </x:c>
      <x:c r="H855" t="str">
        <x:f>IF(E855=F855,"PASS","FAIL")</x:f>
        <x:v>PASS</x:v>
      </x:c>
    </x:row>
    <x:row r="856">
      <x:c r="B856" t="str">
        <x:v>A-0826</x:v>
      </x:c>
      <x:c r="C856" t="str">
        <x:v>GATE</x:v>
      </x:c>
      <x:c r="D856" t="str">
        <x:v>release ledger mirrors governing state</x:v>
      </x:c>
      <x:c r="E856" t="str">
        <x:f>'Release Gates'!J832</x:f>
        <x:v>OPEN</x:v>
      </x:c>
      <x:c r="F856" t="str">
        <x:f>IF('Release Gates'!C832="PLANNING","PASS",IF('Release Gates'!C832="PHYSICAL","OPEN","BLOCKED"))</x:f>
        <x:v>OPEN</x:v>
      </x:c>
      <x:c r="G856" t="str">
        <x:v>equals</x:v>
      </x:c>
      <x:c r="H856" t="str">
        <x:f>IF(E856=F856,"PASS","FAIL")</x:f>
        <x:v>PASS</x:v>
      </x:c>
    </x:row>
    <x:row r="857">
      <x:c r="B857" t="str">
        <x:v>A-0827</x:v>
      </x:c>
      <x:c r="C857" t="str">
        <x:v>GATE</x:v>
      </x:c>
      <x:c r="D857" t="str">
        <x:v>release ledger mirrors governing state</x:v>
      </x:c>
      <x:c r="E857" t="str">
        <x:f>'Release Gates'!J833</x:f>
        <x:v>OPEN</x:v>
      </x:c>
      <x:c r="F857" t="str">
        <x:f>IF('Release Gates'!C833="PLANNING","PASS",IF('Release Gates'!C833="PHYSICAL","OPEN","BLOCKED"))</x:f>
        <x:v>OPEN</x:v>
      </x:c>
      <x:c r="G857" t="str">
        <x:v>equals</x:v>
      </x:c>
      <x:c r="H857" t="str">
        <x:f>IF(E857=F857,"PASS","FAIL")</x:f>
        <x:v>PASS</x:v>
      </x:c>
    </x:row>
    <x:row r="858">
      <x:c r="B858" t="str">
        <x:v>A-0828</x:v>
      </x:c>
      <x:c r="C858" t="str">
        <x:v>GATE</x:v>
      </x:c>
      <x:c r="D858" t="str">
        <x:v>release ledger mirrors governing state</x:v>
      </x:c>
      <x:c r="E858" t="str">
        <x:f>'Release Gates'!J834</x:f>
        <x:v>OPEN</x:v>
      </x:c>
      <x:c r="F858" t="str">
        <x:f>IF('Release Gates'!C834="PLANNING","PASS",IF('Release Gates'!C834="PHYSICAL","OPEN","BLOCKED"))</x:f>
        <x:v>OPEN</x:v>
      </x:c>
      <x:c r="G858" t="str">
        <x:v>equals</x:v>
      </x:c>
      <x:c r="H858" t="str">
        <x:f>IF(E858=F858,"PASS","FAIL")</x:f>
        <x:v>PASS</x:v>
      </x:c>
    </x:row>
    <x:row r="859">
      <x:c r="B859" t="str">
        <x:v>A-0829</x:v>
      </x:c>
      <x:c r="C859" t="str">
        <x:v>GATE</x:v>
      </x:c>
      <x:c r="D859" t="str">
        <x:v>release ledger mirrors governing state</x:v>
      </x:c>
      <x:c r="E859" t="str">
        <x:f>'Release Gates'!J835</x:f>
        <x:v>OPEN</x:v>
      </x:c>
      <x:c r="F859" t="str">
        <x:f>IF('Release Gates'!C835="PLANNING","PASS",IF('Release Gates'!C835="PHYSICAL","OPEN","BLOCKED"))</x:f>
        <x:v>OPEN</x:v>
      </x:c>
      <x:c r="G859" t="str">
        <x:v>equals</x:v>
      </x:c>
      <x:c r="H859" t="str">
        <x:f>IF(E859=F859,"PASS","FAIL")</x:f>
        <x:v>PASS</x:v>
      </x:c>
    </x:row>
    <x:row r="860">
      <x:c r="B860" t="str">
        <x:v>A-0830</x:v>
      </x:c>
      <x:c r="C860" t="str">
        <x:v>GATE</x:v>
      </x:c>
      <x:c r="D860" t="str">
        <x:v>release ledger mirrors governing state</x:v>
      </x:c>
      <x:c r="E860" t="str">
        <x:f>'Release Gates'!J836</x:f>
        <x:v>OPEN</x:v>
      </x:c>
      <x:c r="F860" t="str">
        <x:f>IF('Release Gates'!C836="PLANNING","PASS",IF('Release Gates'!C836="PHYSICAL","OPEN","BLOCKED"))</x:f>
        <x:v>OPEN</x:v>
      </x:c>
      <x:c r="G860" t="str">
        <x:v>equals</x:v>
      </x:c>
      <x:c r="H860" t="str">
        <x:f>IF(E860=F860,"PASS","FAIL")</x:f>
        <x:v>PASS</x:v>
      </x:c>
    </x:row>
    <x:row r="861">
      <x:c r="B861" t="str">
        <x:v>A-0831</x:v>
      </x:c>
      <x:c r="C861" t="str">
        <x:v>GATE</x:v>
      </x:c>
      <x:c r="D861" t="str">
        <x:v>release ledger mirrors governing state</x:v>
      </x:c>
      <x:c r="E861" t="str">
        <x:f>'Release Gates'!J837</x:f>
        <x:v>OPEN</x:v>
      </x:c>
      <x:c r="F861" t="str">
        <x:f>IF('Release Gates'!C837="PLANNING","PASS",IF('Release Gates'!C837="PHYSICAL","OPEN","BLOCKED"))</x:f>
        <x:v>OPEN</x:v>
      </x:c>
      <x:c r="G861" t="str">
        <x:v>equals</x:v>
      </x:c>
      <x:c r="H861" t="str">
        <x:f>IF(E861=F861,"PASS","FAIL")</x:f>
        <x:v>PASS</x:v>
      </x:c>
    </x:row>
    <x:row r="862">
      <x:c r="B862" t="str">
        <x:v>A-0832</x:v>
      </x:c>
      <x:c r="C862" t="str">
        <x:v>GATE</x:v>
      </x:c>
      <x:c r="D862" t="str">
        <x:v>release ledger mirrors governing state</x:v>
      </x:c>
      <x:c r="E862" t="str">
        <x:f>'Release Gates'!J838</x:f>
        <x:v>OPEN</x:v>
      </x:c>
      <x:c r="F862" t="str">
        <x:f>IF('Release Gates'!C838="PLANNING","PASS",IF('Release Gates'!C838="PHYSICAL","OPEN","BLOCKED"))</x:f>
        <x:v>OPEN</x:v>
      </x:c>
      <x:c r="G862" t="str">
        <x:v>equals</x:v>
      </x:c>
      <x:c r="H862" t="str">
        <x:f>IF(E862=F862,"PASS","FAIL")</x:f>
        <x:v>PASS</x:v>
      </x:c>
    </x:row>
    <x:row r="863">
      <x:c r="B863" t="str">
        <x:v>A-0833</x:v>
      </x:c>
      <x:c r="C863" t="str">
        <x:v>GATE</x:v>
      </x:c>
      <x:c r="D863" t="str">
        <x:v>release ledger mirrors governing state</x:v>
      </x:c>
      <x:c r="E863" t="str">
        <x:f>'Release Gates'!J839</x:f>
        <x:v>OPEN</x:v>
      </x:c>
      <x:c r="F863" t="str">
        <x:f>IF('Release Gates'!C839="PLANNING","PASS",IF('Release Gates'!C839="PHYSICAL","OPEN","BLOCKED"))</x:f>
        <x:v>OPEN</x:v>
      </x:c>
      <x:c r="G863" t="str">
        <x:v>equals</x:v>
      </x:c>
      <x:c r="H863" t="str">
        <x:f>IF(E863=F863,"PASS","FAIL")</x:f>
        <x:v>PASS</x:v>
      </x:c>
    </x:row>
    <x:row r="864">
      <x:c r="B864" t="str">
        <x:v>A-0834</x:v>
      </x:c>
      <x:c r="C864" t="str">
        <x:v>GATE</x:v>
      </x:c>
      <x:c r="D864" t="str">
        <x:v>release ledger mirrors governing state</x:v>
      </x:c>
      <x:c r="E864" t="str">
        <x:f>'Release Gates'!J840</x:f>
        <x:v>OPEN</x:v>
      </x:c>
      <x:c r="F864" t="str">
        <x:f>IF('Release Gates'!C840="PLANNING","PASS",IF('Release Gates'!C840="PHYSICAL","OPEN","BLOCKED"))</x:f>
        <x:v>OPEN</x:v>
      </x:c>
      <x:c r="G864" t="str">
        <x:v>equals</x:v>
      </x:c>
      <x:c r="H864" t="str">
        <x:f>IF(E864=F864,"PASS","FAIL")</x:f>
        <x:v>PASS</x:v>
      </x:c>
    </x:row>
    <x:row r="865">
      <x:c r="B865" t="str">
        <x:v>A-0835</x:v>
      </x:c>
      <x:c r="C865" t="str">
        <x:v>GATE</x:v>
      </x:c>
      <x:c r="D865" t="str">
        <x:v>release ledger mirrors governing state</x:v>
      </x:c>
      <x:c r="E865" t="str">
        <x:f>'Release Gates'!J841</x:f>
        <x:v>OPEN</x:v>
      </x:c>
      <x:c r="F865" t="str">
        <x:f>IF('Release Gates'!C841="PLANNING","PASS",IF('Release Gates'!C841="PHYSICAL","OPEN","BLOCKED"))</x:f>
        <x:v>OPEN</x:v>
      </x:c>
      <x:c r="G865" t="str">
        <x:v>equals</x:v>
      </x:c>
      <x:c r="H865" t="str">
        <x:f>IF(E865=F865,"PASS","FAIL")</x:f>
        <x:v>PASS</x:v>
      </x:c>
    </x:row>
    <x:row r="866">
      <x:c r="B866" t="str">
        <x:v>A-0836</x:v>
      </x:c>
      <x:c r="C866" t="str">
        <x:v>GATE</x:v>
      </x:c>
      <x:c r="D866" t="str">
        <x:v>release ledger mirrors governing state</x:v>
      </x:c>
      <x:c r="E866" t="str">
        <x:f>'Release Gates'!J842</x:f>
        <x:v>OPEN</x:v>
      </x:c>
      <x:c r="F866" t="str">
        <x:f>IF('Release Gates'!C842="PLANNING","PASS",IF('Release Gates'!C842="PHYSICAL","OPEN","BLOCKED"))</x:f>
        <x:v>OPEN</x:v>
      </x:c>
      <x:c r="G866" t="str">
        <x:v>equals</x:v>
      </x:c>
      <x:c r="H866" t="str">
        <x:f>IF(E866=F866,"PASS","FAIL")</x:f>
        <x:v>PASS</x:v>
      </x:c>
    </x:row>
    <x:row r="867">
      <x:c r="B867" t="str">
        <x:v>A-0837</x:v>
      </x:c>
      <x:c r="C867" t="str">
        <x:v>GATE</x:v>
      </x:c>
      <x:c r="D867" t="str">
        <x:v>release ledger mirrors governing state</x:v>
      </x:c>
      <x:c r="E867" t="str">
        <x:f>'Release Gates'!J843</x:f>
        <x:v>OPEN</x:v>
      </x:c>
      <x:c r="F867" t="str">
        <x:f>IF('Release Gates'!C843="PLANNING","PASS",IF('Release Gates'!C843="PHYSICAL","OPEN","BLOCKED"))</x:f>
        <x:v>OPEN</x:v>
      </x:c>
      <x:c r="G867" t="str">
        <x:v>equals</x:v>
      </x:c>
      <x:c r="H867" t="str">
        <x:f>IF(E867=F867,"PASS","FAIL")</x:f>
        <x:v>PASS</x:v>
      </x:c>
    </x:row>
    <x:row r="868">
      <x:c r="B868" t="str">
        <x:v>A-0838</x:v>
      </x:c>
      <x:c r="C868" t="str">
        <x:v>GATE</x:v>
      </x:c>
      <x:c r="D868" t="str">
        <x:v>release ledger mirrors governing state</x:v>
      </x:c>
      <x:c r="E868" t="str">
        <x:f>'Release Gates'!J844</x:f>
        <x:v>OPEN</x:v>
      </x:c>
      <x:c r="F868" t="str">
        <x:f>IF('Release Gates'!C844="PLANNING","PASS",IF('Release Gates'!C844="PHYSICAL","OPEN","BLOCKED"))</x:f>
        <x:v>OPEN</x:v>
      </x:c>
      <x:c r="G868" t="str">
        <x:v>equals</x:v>
      </x:c>
      <x:c r="H868" t="str">
        <x:f>IF(E868=F868,"PASS","FAIL")</x:f>
        <x:v>PASS</x:v>
      </x:c>
    </x:row>
    <x:row r="869">
      <x:c r="B869" t="str">
        <x:v>A-0839</x:v>
      </x:c>
      <x:c r="C869" t="str">
        <x:v>GATE</x:v>
      </x:c>
      <x:c r="D869" t="str">
        <x:v>release ledger mirrors governing state</x:v>
      </x:c>
      <x:c r="E869" t="str">
        <x:f>'Release Gates'!J845</x:f>
        <x:v>OPEN</x:v>
      </x:c>
      <x:c r="F869" t="str">
        <x:f>IF('Release Gates'!C845="PLANNING","PASS",IF('Release Gates'!C845="PHYSICAL","OPEN","BLOCKED"))</x:f>
        <x:v>OPEN</x:v>
      </x:c>
      <x:c r="G869" t="str">
        <x:v>equals</x:v>
      </x:c>
      <x:c r="H869" t="str">
        <x:f>IF(E869=F869,"PASS","FAIL")</x:f>
        <x:v>PASS</x:v>
      </x:c>
    </x:row>
    <x:row r="870">
      <x:c r="B870" t="str">
        <x:v>A-0840</x:v>
      </x:c>
      <x:c r="C870" t="str">
        <x:v>GATE</x:v>
      </x:c>
      <x:c r="D870" t="str">
        <x:v>release ledger mirrors governing state</x:v>
      </x:c>
      <x:c r="E870" t="str">
        <x:f>'Release Gates'!J846</x:f>
        <x:v>OPEN</x:v>
      </x:c>
      <x:c r="F870" t="str">
        <x:f>IF('Release Gates'!C846="PLANNING","PASS",IF('Release Gates'!C846="PHYSICAL","OPEN","BLOCKED"))</x:f>
        <x:v>OPEN</x:v>
      </x:c>
      <x:c r="G870" t="str">
        <x:v>equals</x:v>
      </x:c>
      <x:c r="H870" t="str">
        <x:f>IF(E870=F870,"PASS","FAIL")</x:f>
        <x:v>PASS</x:v>
      </x:c>
    </x:row>
    <x:row r="871">
      <x:c r="B871" t="str">
        <x:v>A-0841</x:v>
      </x:c>
      <x:c r="C871" t="str">
        <x:v>GATE</x:v>
      </x:c>
      <x:c r="D871" t="str">
        <x:v>release ledger mirrors governing state</x:v>
      </x:c>
      <x:c r="E871" t="str">
        <x:f>'Release Gates'!J847</x:f>
        <x:v>OPEN</x:v>
      </x:c>
      <x:c r="F871" t="str">
        <x:f>IF('Release Gates'!C847="PLANNING","PASS",IF('Release Gates'!C847="PHYSICAL","OPEN","BLOCKED"))</x:f>
        <x:v>OPEN</x:v>
      </x:c>
      <x:c r="G871" t="str">
        <x:v>equals</x:v>
      </x:c>
      <x:c r="H871" t="str">
        <x:f>IF(E871=F871,"PASS","FAIL")</x:f>
        <x:v>PASS</x:v>
      </x:c>
    </x:row>
    <x:row r="872">
      <x:c r="B872" t="str">
        <x:v>A-0842</x:v>
      </x:c>
      <x:c r="C872" t="str">
        <x:v>GATE</x:v>
      </x:c>
      <x:c r="D872" t="str">
        <x:v>release ledger mirrors governing state</x:v>
      </x:c>
      <x:c r="E872" t="str">
        <x:f>'Release Gates'!J848</x:f>
        <x:v>OPEN</x:v>
      </x:c>
      <x:c r="F872" t="str">
        <x:f>IF('Release Gates'!C848="PLANNING","PASS",IF('Release Gates'!C848="PHYSICAL","OPEN","BLOCKED"))</x:f>
        <x:v>OPEN</x:v>
      </x:c>
      <x:c r="G872" t="str">
        <x:v>equals</x:v>
      </x:c>
      <x:c r="H872" t="str">
        <x:f>IF(E872=F872,"PASS","FAIL")</x:f>
        <x:v>PASS</x:v>
      </x:c>
    </x:row>
    <x:row r="873">
      <x:c r="B873" t="str">
        <x:v>A-0843</x:v>
      </x:c>
      <x:c r="C873" t="str">
        <x:v>GATE</x:v>
      </x:c>
      <x:c r="D873" t="str">
        <x:v>release ledger mirrors governing state</x:v>
      </x:c>
      <x:c r="E873" t="str">
        <x:f>'Release Gates'!J849</x:f>
        <x:v>OPEN</x:v>
      </x:c>
      <x:c r="F873" t="str">
        <x:f>IF('Release Gates'!C849="PLANNING","PASS",IF('Release Gates'!C849="PHYSICAL","OPEN","BLOCKED"))</x:f>
        <x:v>OPEN</x:v>
      </x:c>
      <x:c r="G873" t="str">
        <x:v>equals</x:v>
      </x:c>
      <x:c r="H873" t="str">
        <x:f>IF(E873=F873,"PASS","FAIL")</x:f>
        <x:v>PASS</x:v>
      </x:c>
    </x:row>
    <x:row r="874">
      <x:c r="B874" t="str">
        <x:v>A-0844</x:v>
      </x:c>
      <x:c r="C874" t="str">
        <x:v>GATE</x:v>
      </x:c>
      <x:c r="D874" t="str">
        <x:v>release ledger mirrors governing state</x:v>
      </x:c>
      <x:c r="E874" t="str">
        <x:f>'Release Gates'!J850</x:f>
        <x:v>OPEN</x:v>
      </x:c>
      <x:c r="F874" t="str">
        <x:f>IF('Release Gates'!C850="PLANNING","PASS",IF('Release Gates'!C850="PHYSICAL","OPEN","BLOCKED"))</x:f>
        <x:v>OPEN</x:v>
      </x:c>
      <x:c r="G874" t="str">
        <x:v>equals</x:v>
      </x:c>
      <x:c r="H874" t="str">
        <x:f>IF(E874=F874,"PASS","FAIL")</x:f>
        <x:v>PASS</x:v>
      </x:c>
    </x:row>
    <x:row r="875">
      <x:c r="B875" t="str">
        <x:v>A-0845</x:v>
      </x:c>
      <x:c r="C875" t="str">
        <x:v>GATE</x:v>
      </x:c>
      <x:c r="D875" t="str">
        <x:v>release ledger mirrors governing state</x:v>
      </x:c>
      <x:c r="E875" t="str">
        <x:f>'Release Gates'!J851</x:f>
        <x:v>OPEN</x:v>
      </x:c>
      <x:c r="F875" t="str">
        <x:f>IF('Release Gates'!C851="PLANNING","PASS",IF('Release Gates'!C851="PHYSICAL","OPEN","BLOCKED"))</x:f>
        <x:v>OPEN</x:v>
      </x:c>
      <x:c r="G875" t="str">
        <x:v>equals</x:v>
      </x:c>
      <x:c r="H875" t="str">
        <x:f>IF(E875=F875,"PASS","FAIL")</x:f>
        <x:v>PASS</x:v>
      </x:c>
    </x:row>
    <x:row r="876">
      <x:c r="B876" t="str">
        <x:v>A-0846</x:v>
      </x:c>
      <x:c r="C876" t="str">
        <x:v>GATE</x:v>
      </x:c>
      <x:c r="D876" t="str">
        <x:v>release ledger mirrors governing state</x:v>
      </x:c>
      <x:c r="E876" t="str">
        <x:f>'Release Gates'!J852</x:f>
        <x:v>OPEN</x:v>
      </x:c>
      <x:c r="F876" t="str">
        <x:f>IF('Release Gates'!C852="PLANNING","PASS",IF('Release Gates'!C852="PHYSICAL","OPEN","BLOCKED"))</x:f>
        <x:v>OPEN</x:v>
      </x:c>
      <x:c r="G876" t="str">
        <x:v>equals</x:v>
      </x:c>
      <x:c r="H876" t="str">
        <x:f>IF(E876=F876,"PASS","FAIL")</x:f>
        <x:v>PASS</x:v>
      </x:c>
    </x:row>
    <x:row r="877">
      <x:c r="B877" t="str">
        <x:v>A-0847</x:v>
      </x:c>
      <x:c r="C877" t="str">
        <x:v>GATE</x:v>
      </x:c>
      <x:c r="D877" t="str">
        <x:v>release ledger mirrors governing state</x:v>
      </x:c>
      <x:c r="E877" t="str">
        <x:f>'Release Gates'!J853</x:f>
        <x:v>OPEN</x:v>
      </x:c>
      <x:c r="F877" t="str">
        <x:f>IF('Release Gates'!C853="PLANNING","PASS",IF('Release Gates'!C853="PHYSICAL","OPEN","BLOCKED"))</x:f>
        <x:v>OPEN</x:v>
      </x:c>
      <x:c r="G877" t="str">
        <x:v>equals</x:v>
      </x:c>
      <x:c r="H877" t="str">
        <x:f>IF(E877=F877,"PASS","FAIL")</x:f>
        <x:v>PASS</x:v>
      </x:c>
    </x:row>
    <x:row r="878">
      <x:c r="B878" t="str">
        <x:v>A-0848</x:v>
      </x:c>
      <x:c r="C878" t="str">
        <x:v>GATE</x:v>
      </x:c>
      <x:c r="D878" t="str">
        <x:v>release ledger mirrors governing state</x:v>
      </x:c>
      <x:c r="E878" t="str">
        <x:f>'Release Gates'!J854</x:f>
        <x:v>OPEN</x:v>
      </x:c>
      <x:c r="F878" t="str">
        <x:f>IF('Release Gates'!C854="PLANNING","PASS",IF('Release Gates'!C854="PHYSICAL","OPEN","BLOCKED"))</x:f>
        <x:v>OPEN</x:v>
      </x:c>
      <x:c r="G878" t="str">
        <x:v>equals</x:v>
      </x:c>
      <x:c r="H878" t="str">
        <x:f>IF(E878=F878,"PASS","FAIL")</x:f>
        <x:v>PASS</x:v>
      </x:c>
    </x:row>
    <x:row r="879">
      <x:c r="B879" t="str">
        <x:v>A-0849</x:v>
      </x:c>
      <x:c r="C879" t="str">
        <x:v>GATE</x:v>
      </x:c>
      <x:c r="D879" t="str">
        <x:v>release ledger mirrors governing state</x:v>
      </x:c>
      <x:c r="E879" t="str">
        <x:f>'Release Gates'!J855</x:f>
        <x:v>OPEN</x:v>
      </x:c>
      <x:c r="F879" t="str">
        <x:f>IF('Release Gates'!C855="PLANNING","PASS",IF('Release Gates'!C855="PHYSICAL","OPEN","BLOCKED"))</x:f>
        <x:v>OPEN</x:v>
      </x:c>
      <x:c r="G879" t="str">
        <x:v>equals</x:v>
      </x:c>
      <x:c r="H879" t="str">
        <x:f>IF(E879=F879,"PASS","FAIL")</x:f>
        <x:v>PASS</x:v>
      </x:c>
    </x:row>
    <x:row r="880">
      <x:c r="B880" t="str">
        <x:v>A-0850</x:v>
      </x:c>
      <x:c r="C880" t="str">
        <x:v>GATE</x:v>
      </x:c>
      <x:c r="D880" t="str">
        <x:v>release ledger mirrors governing state</x:v>
      </x:c>
      <x:c r="E880" t="str">
        <x:f>'Release Gates'!J856</x:f>
        <x:v>OPEN</x:v>
      </x:c>
      <x:c r="F880" t="str">
        <x:f>IF('Release Gates'!C856="PLANNING","PASS",IF('Release Gates'!C856="PHYSICAL","OPEN","BLOCKED"))</x:f>
        <x:v>OPEN</x:v>
      </x:c>
      <x:c r="G880" t="str">
        <x:v>equals</x:v>
      </x:c>
      <x:c r="H880" t="str">
        <x:f>IF(E880=F880,"PASS","FAIL")</x:f>
        <x:v>PASS</x:v>
      </x:c>
    </x:row>
    <x:row r="881">
      <x:c r="B881" t="str">
        <x:v>A-0851</x:v>
      </x:c>
      <x:c r="C881" t="str">
        <x:v>GATE</x:v>
      </x:c>
      <x:c r="D881" t="str">
        <x:v>release ledger mirrors governing state</x:v>
      </x:c>
      <x:c r="E881" t="str">
        <x:f>'Release Gates'!J857</x:f>
        <x:v>OPEN</x:v>
      </x:c>
      <x:c r="F881" t="str">
        <x:f>IF('Release Gates'!C857="PLANNING","PASS",IF('Release Gates'!C857="PHYSICAL","OPEN","BLOCKED"))</x:f>
        <x:v>OPEN</x:v>
      </x:c>
      <x:c r="G881" t="str">
        <x:v>equals</x:v>
      </x:c>
      <x:c r="H881" t="str">
        <x:f>IF(E881=F881,"PASS","FAIL")</x:f>
        <x:v>PASS</x:v>
      </x:c>
    </x:row>
    <x:row r="882">
      <x:c r="B882" t="str">
        <x:v>A-0852</x:v>
      </x:c>
      <x:c r="C882" t="str">
        <x:v>GATE</x:v>
      </x:c>
      <x:c r="D882" t="str">
        <x:v>release ledger mirrors governing state</x:v>
      </x:c>
      <x:c r="E882" t="str">
        <x:f>'Release Gates'!J858</x:f>
        <x:v>OPEN</x:v>
      </x:c>
      <x:c r="F882" t="str">
        <x:f>IF('Release Gates'!C858="PLANNING","PASS",IF('Release Gates'!C858="PHYSICAL","OPEN","BLOCKED"))</x:f>
        <x:v>OPEN</x:v>
      </x:c>
      <x:c r="G882" t="str">
        <x:v>equals</x:v>
      </x:c>
      <x:c r="H882" t="str">
        <x:f>IF(E882=F882,"PASS","FAIL")</x:f>
        <x:v>PASS</x:v>
      </x:c>
    </x:row>
    <x:row r="883">
      <x:c r="B883" t="str">
        <x:v>A-0853</x:v>
      </x:c>
      <x:c r="C883" t="str">
        <x:v>GATE</x:v>
      </x:c>
      <x:c r="D883" t="str">
        <x:v>release ledger mirrors governing state</x:v>
      </x:c>
      <x:c r="E883" t="str">
        <x:f>'Release Gates'!J859</x:f>
        <x:v>OPEN</x:v>
      </x:c>
      <x:c r="F883" t="str">
        <x:f>IF('Release Gates'!C859="PLANNING","PASS",IF('Release Gates'!C859="PHYSICAL","OPEN","BLOCKED"))</x:f>
        <x:v>OPEN</x:v>
      </x:c>
      <x:c r="G883" t="str">
        <x:v>equals</x:v>
      </x:c>
      <x:c r="H883" t="str">
        <x:f>IF(E883=F883,"PASS","FAIL")</x:f>
        <x:v>PASS</x:v>
      </x:c>
    </x:row>
    <x:row r="884">
      <x:c r="B884" t="str">
        <x:v>A-0854</x:v>
      </x:c>
      <x:c r="C884" t="str">
        <x:v>GATE</x:v>
      </x:c>
      <x:c r="D884" t="str">
        <x:v>release ledger mirrors governing state</x:v>
      </x:c>
      <x:c r="E884" t="str">
        <x:f>'Release Gates'!J860</x:f>
        <x:v>OPEN</x:v>
      </x:c>
      <x:c r="F884" t="str">
        <x:f>IF('Release Gates'!C860="PLANNING","PASS",IF('Release Gates'!C860="PHYSICAL","OPEN","BLOCKED"))</x:f>
        <x:v>OPEN</x:v>
      </x:c>
      <x:c r="G884" t="str">
        <x:v>equals</x:v>
      </x:c>
      <x:c r="H884" t="str">
        <x:f>IF(E884=F884,"PASS","FAIL")</x:f>
        <x:v>PASS</x:v>
      </x:c>
    </x:row>
    <x:row r="885">
      <x:c r="B885" t="str">
        <x:v>A-0855</x:v>
      </x:c>
      <x:c r="C885" t="str">
        <x:v>GATE</x:v>
      </x:c>
      <x:c r="D885" t="str">
        <x:v>release ledger mirrors governing state</x:v>
      </x:c>
      <x:c r="E885" t="str">
        <x:f>'Release Gates'!J861</x:f>
        <x:v>OPEN</x:v>
      </x:c>
      <x:c r="F885" t="str">
        <x:f>IF('Release Gates'!C861="PLANNING","PASS",IF('Release Gates'!C861="PHYSICAL","OPEN","BLOCKED"))</x:f>
        <x:v>OPEN</x:v>
      </x:c>
      <x:c r="G885" t="str">
        <x:v>equals</x:v>
      </x:c>
      <x:c r="H885" t="str">
        <x:f>IF(E885=F885,"PASS","FAIL")</x:f>
        <x:v>PASS</x:v>
      </x:c>
    </x:row>
    <x:row r="886">
      <x:c r="B886" t="str">
        <x:v>A-0856</x:v>
      </x:c>
      <x:c r="C886" t="str">
        <x:v>GATE</x:v>
      </x:c>
      <x:c r="D886" t="str">
        <x:v>release ledger mirrors governing state</x:v>
      </x:c>
      <x:c r="E886" t="str">
        <x:f>'Release Gates'!J862</x:f>
        <x:v>OPEN</x:v>
      </x:c>
      <x:c r="F886" t="str">
        <x:f>IF('Release Gates'!C862="PLANNING","PASS",IF('Release Gates'!C862="PHYSICAL","OPEN","BLOCKED"))</x:f>
        <x:v>OPEN</x:v>
      </x:c>
      <x:c r="G886" t="str">
        <x:v>equals</x:v>
      </x:c>
      <x:c r="H886" t="str">
        <x:f>IF(E886=F886,"PASS","FAIL")</x:f>
        <x:v>PASS</x:v>
      </x:c>
    </x:row>
    <x:row r="887">
      <x:c r="B887" t="str">
        <x:v>A-0857</x:v>
      </x:c>
      <x:c r="C887" t="str">
        <x:v>GATE</x:v>
      </x:c>
      <x:c r="D887" t="str">
        <x:v>release ledger mirrors governing state</x:v>
      </x:c>
      <x:c r="E887" t="str">
        <x:f>'Release Gates'!J863</x:f>
        <x:v>OPEN</x:v>
      </x:c>
      <x:c r="F887" t="str">
        <x:f>IF('Release Gates'!C863="PLANNING","PASS",IF('Release Gates'!C863="PHYSICAL","OPEN","BLOCKED"))</x:f>
        <x:v>OPEN</x:v>
      </x:c>
      <x:c r="G887" t="str">
        <x:v>equals</x:v>
      </x:c>
      <x:c r="H887" t="str">
        <x:f>IF(E887=F887,"PASS","FAIL")</x:f>
        <x:v>PASS</x:v>
      </x:c>
    </x:row>
    <x:row r="888">
      <x:c r="B888" t="str">
        <x:v>A-0858</x:v>
      </x:c>
      <x:c r="C888" t="str">
        <x:v>GATE</x:v>
      </x:c>
      <x:c r="D888" t="str">
        <x:v>release ledger mirrors governing state</x:v>
      </x:c>
      <x:c r="E888" t="str">
        <x:f>'Release Gates'!J864</x:f>
        <x:v>OPEN</x:v>
      </x:c>
      <x:c r="F888" t="str">
        <x:f>IF('Release Gates'!C864="PLANNING","PASS",IF('Release Gates'!C864="PHYSICAL","OPEN","BLOCKED"))</x:f>
        <x:v>OPEN</x:v>
      </x:c>
      <x:c r="G888" t="str">
        <x:v>equals</x:v>
      </x:c>
      <x:c r="H888" t="str">
        <x:f>IF(E888=F888,"PASS","FAIL")</x:f>
        <x:v>PASS</x:v>
      </x:c>
    </x:row>
    <x:row r="889">
      <x:c r="B889" t="str">
        <x:v>A-0859</x:v>
      </x:c>
      <x:c r="C889" t="str">
        <x:v>GATE</x:v>
      </x:c>
      <x:c r="D889" t="str">
        <x:v>release ledger mirrors governing state</x:v>
      </x:c>
      <x:c r="E889" t="str">
        <x:f>'Release Gates'!J865</x:f>
        <x:v>OPEN</x:v>
      </x:c>
      <x:c r="F889" t="str">
        <x:f>IF('Release Gates'!C865="PLANNING","PASS",IF('Release Gates'!C865="PHYSICAL","OPEN","BLOCKED"))</x:f>
        <x:v>OPEN</x:v>
      </x:c>
      <x:c r="G889" t="str">
        <x:v>equals</x:v>
      </x:c>
      <x:c r="H889" t="str">
        <x:f>IF(E889=F889,"PASS","FAIL")</x:f>
        <x:v>PASS</x:v>
      </x:c>
    </x:row>
    <x:row r="890">
      <x:c r="B890" t="str">
        <x:v>A-0860</x:v>
      </x:c>
      <x:c r="C890" t="str">
        <x:v>GATE</x:v>
      </x:c>
      <x:c r="D890" t="str">
        <x:v>release ledger mirrors governing state</x:v>
      </x:c>
      <x:c r="E890" t="str">
        <x:f>'Release Gates'!J866</x:f>
        <x:v>OPEN</x:v>
      </x:c>
      <x:c r="F890" t="str">
        <x:f>IF('Release Gates'!C866="PLANNING","PASS",IF('Release Gates'!C866="PHYSICAL","OPEN","BLOCKED"))</x:f>
        <x:v>OPEN</x:v>
      </x:c>
      <x:c r="G890" t="str">
        <x:v>equals</x:v>
      </x:c>
      <x:c r="H890" t="str">
        <x:f>IF(E890=F890,"PASS","FAIL")</x:f>
        <x:v>PASS</x:v>
      </x:c>
    </x:row>
    <x:row r="891">
      <x:c r="B891" t="str">
        <x:v>A-0861</x:v>
      </x:c>
      <x:c r="C891" t="str">
        <x:v>GATE</x:v>
      </x:c>
      <x:c r="D891" t="str">
        <x:v>release ledger mirrors governing state</x:v>
      </x:c>
      <x:c r="E891" t="str">
        <x:f>'Release Gates'!J867</x:f>
        <x:v>OPEN</x:v>
      </x:c>
      <x:c r="F891" t="str">
        <x:f>IF('Release Gates'!C867="PLANNING","PASS",IF('Release Gates'!C867="PHYSICAL","OPEN","BLOCKED"))</x:f>
        <x:v>OPEN</x:v>
      </x:c>
      <x:c r="G891" t="str">
        <x:v>equals</x:v>
      </x:c>
      <x:c r="H891" t="str">
        <x:f>IF(E891=F891,"PASS","FAIL")</x:f>
        <x:v>PASS</x:v>
      </x:c>
    </x:row>
    <x:row r="892">
      <x:c r="B892" t="str">
        <x:v>A-0862</x:v>
      </x:c>
      <x:c r="C892" t="str">
        <x:v>GATE</x:v>
      </x:c>
      <x:c r="D892" t="str">
        <x:v>release ledger mirrors governing state</x:v>
      </x:c>
      <x:c r="E892" t="str">
        <x:f>'Release Gates'!J868</x:f>
        <x:v>OPEN</x:v>
      </x:c>
      <x:c r="F892" t="str">
        <x:f>IF('Release Gates'!C868="PLANNING","PASS",IF('Release Gates'!C868="PHYSICAL","OPEN","BLOCKED"))</x:f>
        <x:v>OPEN</x:v>
      </x:c>
      <x:c r="G892" t="str">
        <x:v>equals</x:v>
      </x:c>
      <x:c r="H892" t="str">
        <x:f>IF(E892=F892,"PASS","FAIL")</x:f>
        <x:v>PASS</x:v>
      </x:c>
    </x:row>
    <x:row r="893">
      <x:c r="B893" t="str">
        <x:v>A-0863</x:v>
      </x:c>
      <x:c r="C893" t="str">
        <x:v>GATE</x:v>
      </x:c>
      <x:c r="D893" t="str">
        <x:v>release ledger mirrors governing state</x:v>
      </x:c>
      <x:c r="E893" t="str">
        <x:f>'Release Gates'!J869</x:f>
        <x:v>OPEN</x:v>
      </x:c>
      <x:c r="F893" t="str">
        <x:f>IF('Release Gates'!C869="PLANNING","PASS",IF('Release Gates'!C869="PHYSICAL","OPEN","BLOCKED"))</x:f>
        <x:v>OPEN</x:v>
      </x:c>
      <x:c r="G893" t="str">
        <x:v>equals</x:v>
      </x:c>
      <x:c r="H893" t="str">
        <x:f>IF(E893=F893,"PASS","FAIL")</x:f>
        <x:v>PASS</x:v>
      </x:c>
    </x:row>
    <x:row r="894">
      <x:c r="B894" t="str">
        <x:v>A-0864</x:v>
      </x:c>
      <x:c r="C894" t="str">
        <x:v>GATE</x:v>
      </x:c>
      <x:c r="D894" t="str">
        <x:v>release ledger mirrors governing state</x:v>
      </x:c>
      <x:c r="E894" t="str">
        <x:f>'Release Gates'!J870</x:f>
        <x:v>OPEN</x:v>
      </x:c>
      <x:c r="F894" t="str">
        <x:f>IF('Release Gates'!C870="PLANNING","PASS",IF('Release Gates'!C870="PHYSICAL","OPEN","BLOCKED"))</x:f>
        <x:v>OPEN</x:v>
      </x:c>
      <x:c r="G894" t="str">
        <x:v>equals</x:v>
      </x:c>
      <x:c r="H894" t="str">
        <x:f>IF(E894=F894,"PASS","FAIL")</x:f>
        <x:v>PASS</x:v>
      </x:c>
    </x:row>
    <x:row r="895">
      <x:c r="B895" t="str">
        <x:v>A-0865</x:v>
      </x:c>
      <x:c r="C895" t="str">
        <x:v>GATE</x:v>
      </x:c>
      <x:c r="D895" t="str">
        <x:v>release ledger mirrors governing state</x:v>
      </x:c>
      <x:c r="E895" t="str">
        <x:f>'Release Gates'!J871</x:f>
        <x:v>OPEN</x:v>
      </x:c>
      <x:c r="F895" t="str">
        <x:f>IF('Release Gates'!C871="PLANNING","PASS",IF('Release Gates'!C871="PHYSICAL","OPEN","BLOCKED"))</x:f>
        <x:v>OPEN</x:v>
      </x:c>
      <x:c r="G895" t="str">
        <x:v>equals</x:v>
      </x:c>
      <x:c r="H895" t="str">
        <x:f>IF(E895=F895,"PASS","FAIL")</x:f>
        <x:v>PASS</x:v>
      </x:c>
    </x:row>
    <x:row r="896">
      <x:c r="B896" t="str">
        <x:v>A-0866</x:v>
      </x:c>
      <x:c r="C896" t="str">
        <x:v>GATE</x:v>
      </x:c>
      <x:c r="D896" t="str">
        <x:v>release ledger mirrors governing state</x:v>
      </x:c>
      <x:c r="E896" t="str">
        <x:f>'Release Gates'!J872</x:f>
        <x:v>OPEN</x:v>
      </x:c>
      <x:c r="F896" t="str">
        <x:f>IF('Release Gates'!C872="PLANNING","PASS",IF('Release Gates'!C872="PHYSICAL","OPEN","BLOCKED"))</x:f>
        <x:v>OPEN</x:v>
      </x:c>
      <x:c r="G896" t="str">
        <x:v>equals</x:v>
      </x:c>
      <x:c r="H896" t="str">
        <x:f>IF(E896=F896,"PASS","FAIL")</x:f>
        <x:v>PASS</x:v>
      </x:c>
    </x:row>
    <x:row r="897">
      <x:c r="B897" t="str">
        <x:v>A-0867</x:v>
      </x:c>
      <x:c r="C897" t="str">
        <x:v>GATE</x:v>
      </x:c>
      <x:c r="D897" t="str">
        <x:v>release ledger mirrors governing state</x:v>
      </x:c>
      <x:c r="E897" t="str">
        <x:f>'Release Gates'!J873</x:f>
        <x:v>OPEN</x:v>
      </x:c>
      <x:c r="F897" t="str">
        <x:f>IF('Release Gates'!C873="PLANNING","PASS",IF('Release Gates'!C873="PHYSICAL","OPEN","BLOCKED"))</x:f>
        <x:v>OPEN</x:v>
      </x:c>
      <x:c r="G897" t="str">
        <x:v>equals</x:v>
      </x:c>
      <x:c r="H897" t="str">
        <x:f>IF(E897=F897,"PASS","FAIL")</x:f>
        <x:v>PASS</x:v>
      </x:c>
    </x:row>
    <x:row r="898">
      <x:c r="B898" t="str">
        <x:v>A-0868</x:v>
      </x:c>
      <x:c r="C898" t="str">
        <x:v>GATE</x:v>
      </x:c>
      <x:c r="D898" t="str">
        <x:v>release ledger mirrors governing state</x:v>
      </x:c>
      <x:c r="E898" t="str">
        <x:f>'Release Gates'!J874</x:f>
        <x:v>OPEN</x:v>
      </x:c>
      <x:c r="F898" t="str">
        <x:f>IF('Release Gates'!C874="PLANNING","PASS",IF('Release Gates'!C874="PHYSICAL","OPEN","BLOCKED"))</x:f>
        <x:v>OPEN</x:v>
      </x:c>
      <x:c r="G898" t="str">
        <x:v>equals</x:v>
      </x:c>
      <x:c r="H898" t="str">
        <x:f>IF(E898=F898,"PASS","FAIL")</x:f>
        <x:v>PASS</x:v>
      </x:c>
    </x:row>
    <x:row r="899">
      <x:c r="B899" t="str">
        <x:v>A-0869</x:v>
      </x:c>
      <x:c r="C899" t="str">
        <x:v>GATE</x:v>
      </x:c>
      <x:c r="D899" t="str">
        <x:v>release ledger mirrors governing state</x:v>
      </x:c>
      <x:c r="E899" t="str">
        <x:f>'Release Gates'!J875</x:f>
        <x:v>OPEN</x:v>
      </x:c>
      <x:c r="F899" t="str">
        <x:f>IF('Release Gates'!C875="PLANNING","PASS",IF('Release Gates'!C875="PHYSICAL","OPEN","BLOCKED"))</x:f>
        <x:v>OPEN</x:v>
      </x:c>
      <x:c r="G899" t="str">
        <x:v>equals</x:v>
      </x:c>
      <x:c r="H899" t="str">
        <x:f>IF(E899=F899,"PASS","FAIL")</x:f>
        <x:v>PASS</x:v>
      </x:c>
    </x:row>
    <x:row r="900">
      <x:c r="B900" t="str">
        <x:v>A-0870</x:v>
      </x:c>
      <x:c r="C900" t="str">
        <x:v>GATE</x:v>
      </x:c>
      <x:c r="D900" t="str">
        <x:v>release ledger mirrors governing state</x:v>
      </x:c>
      <x:c r="E900" t="str">
        <x:f>'Release Gates'!J876</x:f>
        <x:v>OPEN</x:v>
      </x:c>
      <x:c r="F900" t="str">
        <x:f>IF('Release Gates'!C876="PLANNING","PASS",IF('Release Gates'!C876="PHYSICAL","OPEN","BLOCKED"))</x:f>
        <x:v>OPEN</x:v>
      </x:c>
      <x:c r="G900" t="str">
        <x:v>equals</x:v>
      </x:c>
      <x:c r="H900" t="str">
        <x:f>IF(E900=F900,"PASS","FAIL")</x:f>
        <x:v>PASS</x:v>
      </x:c>
    </x:row>
    <x:row r="901">
      <x:c r="B901" t="str">
        <x:v>A-0871</x:v>
      </x:c>
      <x:c r="C901" t="str">
        <x:v>GATE</x:v>
      </x:c>
      <x:c r="D901" t="str">
        <x:v>release ledger mirrors governing state</x:v>
      </x:c>
      <x:c r="E901" t="str">
        <x:f>'Release Gates'!J877</x:f>
        <x:v>OPEN</x:v>
      </x:c>
      <x:c r="F901" t="str">
        <x:f>IF('Release Gates'!C877="PLANNING","PASS",IF('Release Gates'!C877="PHYSICAL","OPEN","BLOCKED"))</x:f>
        <x:v>OPEN</x:v>
      </x:c>
      <x:c r="G901" t="str">
        <x:v>equals</x:v>
      </x:c>
      <x:c r="H901" t="str">
        <x:f>IF(E901=F901,"PASS","FAIL")</x:f>
        <x:v>PASS</x:v>
      </x:c>
    </x:row>
    <x:row r="902">
      <x:c r="B902" t="str">
        <x:v>A-0872</x:v>
      </x:c>
      <x:c r="C902" t="str">
        <x:v>GATE</x:v>
      </x:c>
      <x:c r="D902" t="str">
        <x:v>release ledger mirrors governing state</x:v>
      </x:c>
      <x:c r="E902" t="str">
        <x:f>'Release Gates'!J878</x:f>
        <x:v>OPEN</x:v>
      </x:c>
      <x:c r="F902" t="str">
        <x:f>IF('Release Gates'!C878="PLANNING","PASS",IF('Release Gates'!C878="PHYSICAL","OPEN","BLOCKED"))</x:f>
        <x:v>OPEN</x:v>
      </x:c>
      <x:c r="G902" t="str">
        <x:v>equals</x:v>
      </x:c>
      <x:c r="H902" t="str">
        <x:f>IF(E902=F902,"PASS","FAIL")</x:f>
        <x:v>PASS</x:v>
      </x:c>
    </x:row>
    <x:row r="903">
      <x:c r="B903" t="str">
        <x:v>A-0873</x:v>
      </x:c>
      <x:c r="C903" t="str">
        <x:v>GATE</x:v>
      </x:c>
      <x:c r="D903" t="str">
        <x:v>release ledger mirrors governing state</x:v>
      </x:c>
      <x:c r="E903" t="str">
        <x:f>'Release Gates'!J879</x:f>
        <x:v>OPEN</x:v>
      </x:c>
      <x:c r="F903" t="str">
        <x:f>IF('Release Gates'!C879="PLANNING","PASS",IF('Release Gates'!C879="PHYSICAL","OPEN","BLOCKED"))</x:f>
        <x:v>OPEN</x:v>
      </x:c>
      <x:c r="G903" t="str">
        <x:v>equals</x:v>
      </x:c>
      <x:c r="H903" t="str">
        <x:f>IF(E903=F903,"PASS","FAIL")</x:f>
        <x:v>PASS</x:v>
      </x:c>
    </x:row>
    <x:row r="904">
      <x:c r="B904" t="str">
        <x:v>A-0874</x:v>
      </x:c>
      <x:c r="C904" t="str">
        <x:v>GATE</x:v>
      </x:c>
      <x:c r="D904" t="str">
        <x:v>release ledger mirrors governing state</x:v>
      </x:c>
      <x:c r="E904" t="str">
        <x:f>'Release Gates'!J880</x:f>
        <x:v>OPEN</x:v>
      </x:c>
      <x:c r="F904" t="str">
        <x:f>IF('Release Gates'!C880="PLANNING","PASS",IF('Release Gates'!C880="PHYSICAL","OPEN","BLOCKED"))</x:f>
        <x:v>OPEN</x:v>
      </x:c>
      <x:c r="G904" t="str">
        <x:v>equals</x:v>
      </x:c>
      <x:c r="H904" t="str">
        <x:f>IF(E904=F904,"PASS","FAIL")</x:f>
        <x:v>PASS</x:v>
      </x:c>
    </x:row>
    <x:row r="905">
      <x:c r="B905" t="str">
        <x:v>A-0875</x:v>
      </x:c>
      <x:c r="C905" t="str">
        <x:v>GATE</x:v>
      </x:c>
      <x:c r="D905" t="str">
        <x:v>release ledger mirrors governing state</x:v>
      </x:c>
      <x:c r="E905" t="str">
        <x:f>'Release Gates'!J881</x:f>
        <x:v>OPEN</x:v>
      </x:c>
      <x:c r="F905" t="str">
        <x:f>IF('Release Gates'!C881="PLANNING","PASS",IF('Release Gates'!C881="PHYSICAL","OPEN","BLOCKED"))</x:f>
        <x:v>OPEN</x:v>
      </x:c>
      <x:c r="G905" t="str">
        <x:v>equals</x:v>
      </x:c>
      <x:c r="H905" t="str">
        <x:f>IF(E905=F905,"PASS","FAIL")</x:f>
        <x:v>PASS</x:v>
      </x:c>
    </x:row>
    <x:row r="906">
      <x:c r="B906" t="str">
        <x:v>A-0876</x:v>
      </x:c>
      <x:c r="C906" t="str">
        <x:v>GATE</x:v>
      </x:c>
      <x:c r="D906" t="str">
        <x:v>release ledger mirrors governing state</x:v>
      </x:c>
      <x:c r="E906" t="str">
        <x:f>'Release Gates'!J882</x:f>
        <x:v>OPEN</x:v>
      </x:c>
      <x:c r="F906" t="str">
        <x:f>IF('Release Gates'!C882="PLANNING","PASS",IF('Release Gates'!C882="PHYSICAL","OPEN","BLOCKED"))</x:f>
        <x:v>OPEN</x:v>
      </x:c>
      <x:c r="G906" t="str">
        <x:v>equals</x:v>
      </x:c>
      <x:c r="H906" t="str">
        <x:f>IF(E906=F906,"PASS","FAIL")</x:f>
        <x:v>PASS</x:v>
      </x:c>
    </x:row>
    <x:row r="907">
      <x:c r="B907" t="str">
        <x:v>A-0877</x:v>
      </x:c>
      <x:c r="C907" t="str">
        <x:v>GATE</x:v>
      </x:c>
      <x:c r="D907" t="str">
        <x:v>release ledger mirrors governing state</x:v>
      </x:c>
      <x:c r="E907" t="str">
        <x:f>'Release Gates'!J883</x:f>
        <x:v>OPEN</x:v>
      </x:c>
      <x:c r="F907" t="str">
        <x:f>IF('Release Gates'!C883="PLANNING","PASS",IF('Release Gates'!C883="PHYSICAL","OPEN","BLOCKED"))</x:f>
        <x:v>OPEN</x:v>
      </x:c>
      <x:c r="G907" t="str">
        <x:v>equals</x:v>
      </x:c>
      <x:c r="H907" t="str">
        <x:f>IF(E907=F907,"PASS","FAIL")</x:f>
        <x:v>PASS</x:v>
      </x:c>
    </x:row>
    <x:row r="908">
      <x:c r="B908" t="str">
        <x:v>A-0878</x:v>
      </x:c>
      <x:c r="C908" t="str">
        <x:v>GATE</x:v>
      </x:c>
      <x:c r="D908" t="str">
        <x:v>release ledger mirrors governing state</x:v>
      </x:c>
      <x:c r="E908" t="str">
        <x:f>'Release Gates'!J884</x:f>
        <x:v>OPEN</x:v>
      </x:c>
      <x:c r="F908" t="str">
        <x:f>IF('Release Gates'!C884="PLANNING","PASS",IF('Release Gates'!C884="PHYSICAL","OPEN","BLOCKED"))</x:f>
        <x:v>OPEN</x:v>
      </x:c>
      <x:c r="G908" t="str">
        <x:v>equals</x:v>
      </x:c>
      <x:c r="H908" t="str">
        <x:f>IF(E908=F908,"PASS","FAIL")</x:f>
        <x:v>PASS</x:v>
      </x:c>
    </x:row>
    <x:row r="909">
      <x:c r="B909" t="str">
        <x:v>A-0879</x:v>
      </x:c>
      <x:c r="C909" t="str">
        <x:v>GATE</x:v>
      </x:c>
      <x:c r="D909" t="str">
        <x:v>release ledger mirrors governing state</x:v>
      </x:c>
      <x:c r="E909" t="str">
        <x:f>'Release Gates'!J885</x:f>
        <x:v>OPEN</x:v>
      </x:c>
      <x:c r="F909" t="str">
        <x:f>IF('Release Gates'!C885="PLANNING","PASS",IF('Release Gates'!C885="PHYSICAL","OPEN","BLOCKED"))</x:f>
        <x:v>OPEN</x:v>
      </x:c>
      <x:c r="G909" t="str">
        <x:v>equals</x:v>
      </x:c>
      <x:c r="H909" t="str">
        <x:f>IF(E909=F909,"PASS","FAIL")</x:f>
        <x:v>PASS</x:v>
      </x:c>
    </x:row>
    <x:row r="910">
      <x:c r="B910" t="str">
        <x:v>A-0880</x:v>
      </x:c>
      <x:c r="C910" t="str">
        <x:v>GATE</x:v>
      </x:c>
      <x:c r="D910" t="str">
        <x:v>release ledger mirrors governing state</x:v>
      </x:c>
      <x:c r="E910" t="str">
        <x:f>'Release Gates'!J886</x:f>
        <x:v>OPEN</x:v>
      </x:c>
      <x:c r="F910" t="str">
        <x:f>IF('Release Gates'!C886="PLANNING","PASS",IF('Release Gates'!C886="PHYSICAL","OPEN","BLOCKED"))</x:f>
        <x:v>OPEN</x:v>
      </x:c>
      <x:c r="G910" t="str">
        <x:v>equals</x:v>
      </x:c>
      <x:c r="H910" t="str">
        <x:f>IF(E910=F910,"PASS","FAIL")</x:f>
        <x:v>PASS</x:v>
      </x:c>
    </x:row>
    <x:row r="911">
      <x:c r="B911" t="str">
        <x:v>A-0881</x:v>
      </x:c>
      <x:c r="C911" t="str">
        <x:v>GATE</x:v>
      </x:c>
      <x:c r="D911" t="str">
        <x:v>release ledger mirrors governing state</x:v>
      </x:c>
      <x:c r="E911" t="str">
        <x:f>'Release Gates'!J887</x:f>
        <x:v>OPEN</x:v>
      </x:c>
      <x:c r="F911" t="str">
        <x:f>IF('Release Gates'!C887="PLANNING","PASS",IF('Release Gates'!C887="PHYSICAL","OPEN","BLOCKED"))</x:f>
        <x:v>OPEN</x:v>
      </x:c>
      <x:c r="G911" t="str">
        <x:v>equals</x:v>
      </x:c>
      <x:c r="H911" t="str">
        <x:f>IF(E911=F911,"PASS","FAIL")</x:f>
        <x:v>PASS</x:v>
      </x:c>
    </x:row>
    <x:row r="912">
      <x:c r="B912" t="str">
        <x:v>A-0882</x:v>
      </x:c>
      <x:c r="C912" t="str">
        <x:v>GATE</x:v>
      </x:c>
      <x:c r="D912" t="str">
        <x:v>release ledger mirrors governing state</x:v>
      </x:c>
      <x:c r="E912" t="str">
        <x:f>'Release Gates'!J888</x:f>
        <x:v>OPEN</x:v>
      </x:c>
      <x:c r="F912" t="str">
        <x:f>IF('Release Gates'!C888="PLANNING","PASS",IF('Release Gates'!C888="PHYSICAL","OPEN","BLOCKED"))</x:f>
        <x:v>OPEN</x:v>
      </x:c>
      <x:c r="G912" t="str">
        <x:v>equals</x:v>
      </x:c>
      <x:c r="H912" t="str">
        <x:f>IF(E912=F912,"PASS","FAIL")</x:f>
        <x:v>PASS</x:v>
      </x:c>
    </x:row>
    <x:row r="913">
      <x:c r="B913" t="str">
        <x:v>A-0883</x:v>
      </x:c>
      <x:c r="C913" t="str">
        <x:v>GATE</x:v>
      </x:c>
      <x:c r="D913" t="str">
        <x:v>release ledger mirrors governing state</x:v>
      </x:c>
      <x:c r="E913" t="str">
        <x:f>'Release Gates'!J889</x:f>
        <x:v>OPEN</x:v>
      </x:c>
      <x:c r="F913" t="str">
        <x:f>IF('Release Gates'!C889="PLANNING","PASS",IF('Release Gates'!C889="PHYSICAL","OPEN","BLOCKED"))</x:f>
        <x:v>OPEN</x:v>
      </x:c>
      <x:c r="G913" t="str">
        <x:v>equals</x:v>
      </x:c>
      <x:c r="H913" t="str">
        <x:f>IF(E913=F913,"PASS","FAIL")</x:f>
        <x:v>PASS</x:v>
      </x:c>
    </x:row>
    <x:row r="914">
      <x:c r="B914" t="str">
        <x:v>A-0884</x:v>
      </x:c>
      <x:c r="C914" t="str">
        <x:v>GATE</x:v>
      </x:c>
      <x:c r="D914" t="str">
        <x:v>release ledger mirrors governing state</x:v>
      </x:c>
      <x:c r="E914" t="str">
        <x:f>'Release Gates'!J890</x:f>
        <x:v>OPEN</x:v>
      </x:c>
      <x:c r="F914" t="str">
        <x:f>IF('Release Gates'!C890="PLANNING","PASS",IF('Release Gates'!C890="PHYSICAL","OPEN","BLOCKED"))</x:f>
        <x:v>OPEN</x:v>
      </x:c>
      <x:c r="G914" t="str">
        <x:v>equals</x:v>
      </x:c>
      <x:c r="H914" t="str">
        <x:f>IF(E914=F914,"PASS","FAIL")</x:f>
        <x:v>PASS</x:v>
      </x:c>
    </x:row>
    <x:row r="915">
      <x:c r="B915" t="str">
        <x:v>A-0885</x:v>
      </x:c>
      <x:c r="C915" t="str">
        <x:v>GATE</x:v>
      </x:c>
      <x:c r="D915" t="str">
        <x:v>release ledger mirrors governing state</x:v>
      </x:c>
      <x:c r="E915" t="str">
        <x:f>'Release Gates'!J891</x:f>
        <x:v>OPEN</x:v>
      </x:c>
      <x:c r="F915" t="str">
        <x:f>IF('Release Gates'!C891="PLANNING","PASS",IF('Release Gates'!C891="PHYSICAL","OPEN","BLOCKED"))</x:f>
        <x:v>OPEN</x:v>
      </x:c>
      <x:c r="G915" t="str">
        <x:v>equals</x:v>
      </x:c>
      <x:c r="H915" t="str">
        <x:f>IF(E915=F915,"PASS","FAIL")</x:f>
        <x:v>PASS</x:v>
      </x:c>
    </x:row>
    <x:row r="916">
      <x:c r="B916" t="str">
        <x:v>A-0886</x:v>
      </x:c>
      <x:c r="C916" t="str">
        <x:v>GATE</x:v>
      </x:c>
      <x:c r="D916" t="str">
        <x:v>release ledger mirrors governing state</x:v>
      </x:c>
      <x:c r="E916" t="str">
        <x:f>'Release Gates'!J892</x:f>
        <x:v>OPEN</x:v>
      </x:c>
      <x:c r="F916" t="str">
        <x:f>IF('Release Gates'!C892="PLANNING","PASS",IF('Release Gates'!C892="PHYSICAL","OPEN","BLOCKED"))</x:f>
        <x:v>OPEN</x:v>
      </x:c>
      <x:c r="G916" t="str">
        <x:v>equals</x:v>
      </x:c>
      <x:c r="H916" t="str">
        <x:f>IF(E916=F916,"PASS","FAIL")</x:f>
        <x:v>PASS</x:v>
      </x:c>
    </x:row>
    <x:row r="917">
      <x:c r="B917" t="str">
        <x:v>A-0887</x:v>
      </x:c>
      <x:c r="C917" t="str">
        <x:v>GATE</x:v>
      </x:c>
      <x:c r="D917" t="str">
        <x:v>release ledger mirrors governing state</x:v>
      </x:c>
      <x:c r="E917" t="str">
        <x:f>'Release Gates'!J893</x:f>
        <x:v>OPEN</x:v>
      </x:c>
      <x:c r="F917" t="str">
        <x:f>IF('Release Gates'!C893="PLANNING","PASS",IF('Release Gates'!C893="PHYSICAL","OPEN","BLOCKED"))</x:f>
        <x:v>OPEN</x:v>
      </x:c>
      <x:c r="G917" t="str">
        <x:v>equals</x:v>
      </x:c>
      <x:c r="H917" t="str">
        <x:f>IF(E917=F917,"PASS","FAIL")</x:f>
        <x:v>PASS</x:v>
      </x:c>
    </x:row>
    <x:row r="918">
      <x:c r="B918" t="str">
        <x:v>A-0888</x:v>
      </x:c>
      <x:c r="C918" t="str">
        <x:v>GATE</x:v>
      </x:c>
      <x:c r="D918" t="str">
        <x:v>release ledger mirrors governing state</x:v>
      </x:c>
      <x:c r="E918" t="str">
        <x:f>'Release Gates'!J894</x:f>
        <x:v>OPEN</x:v>
      </x:c>
      <x:c r="F918" t="str">
        <x:f>IF('Release Gates'!C894="PLANNING","PASS",IF('Release Gates'!C894="PHYSICAL","OPEN","BLOCKED"))</x:f>
        <x:v>OPEN</x:v>
      </x:c>
      <x:c r="G918" t="str">
        <x:v>equals</x:v>
      </x:c>
      <x:c r="H918" t="str">
        <x:f>IF(E918=F918,"PASS","FAIL")</x:f>
        <x:v>PASS</x:v>
      </x:c>
    </x:row>
    <x:row r="919">
      <x:c r="B919" t="str">
        <x:v>A-0889</x:v>
      </x:c>
      <x:c r="C919" t="str">
        <x:v>GATE</x:v>
      </x:c>
      <x:c r="D919" t="str">
        <x:v>release ledger mirrors governing state</x:v>
      </x:c>
      <x:c r="E919" t="str">
        <x:f>'Release Gates'!J895</x:f>
        <x:v>OPEN</x:v>
      </x:c>
      <x:c r="F919" t="str">
        <x:f>IF('Release Gates'!C895="PLANNING","PASS",IF('Release Gates'!C895="PHYSICAL","OPEN","BLOCKED"))</x:f>
        <x:v>OPEN</x:v>
      </x:c>
      <x:c r="G919" t="str">
        <x:v>equals</x:v>
      </x:c>
      <x:c r="H919" t="str">
        <x:f>IF(E919=F919,"PASS","FAIL")</x:f>
        <x:v>PASS</x:v>
      </x:c>
    </x:row>
    <x:row r="920">
      <x:c r="B920" t="str">
        <x:v>A-0890</x:v>
      </x:c>
      <x:c r="C920" t="str">
        <x:v>GATE</x:v>
      </x:c>
      <x:c r="D920" t="str">
        <x:v>release ledger mirrors governing state</x:v>
      </x:c>
      <x:c r="E920" t="str">
        <x:f>'Release Gates'!J896</x:f>
        <x:v>OPEN</x:v>
      </x:c>
      <x:c r="F920" t="str">
        <x:f>IF('Release Gates'!C896="PLANNING","PASS",IF('Release Gates'!C896="PHYSICAL","OPEN","BLOCKED"))</x:f>
        <x:v>OPEN</x:v>
      </x:c>
      <x:c r="G920" t="str">
        <x:v>equals</x:v>
      </x:c>
      <x:c r="H920" t="str">
        <x:f>IF(E920=F920,"PASS","FAIL")</x:f>
        <x:v>PASS</x:v>
      </x:c>
    </x:row>
    <x:row r="921">
      <x:c r="B921" t="str">
        <x:v>A-0891</x:v>
      </x:c>
      <x:c r="C921" t="str">
        <x:v>GATE</x:v>
      </x:c>
      <x:c r="D921" t="str">
        <x:v>release ledger mirrors governing state</x:v>
      </x:c>
      <x:c r="E921" t="str">
        <x:f>'Release Gates'!J897</x:f>
        <x:v>OPEN</x:v>
      </x:c>
      <x:c r="F921" t="str">
        <x:f>IF('Release Gates'!C897="PLANNING","PASS",IF('Release Gates'!C897="PHYSICAL","OPEN","BLOCKED"))</x:f>
        <x:v>OPEN</x:v>
      </x:c>
      <x:c r="G921" t="str">
        <x:v>equals</x:v>
      </x:c>
      <x:c r="H921" t="str">
        <x:f>IF(E921=F921,"PASS","FAIL")</x:f>
        <x:v>PASS</x:v>
      </x:c>
    </x:row>
    <x:row r="922">
      <x:c r="B922" t="str">
        <x:v>A-0892</x:v>
      </x:c>
      <x:c r="C922" t="str">
        <x:v>GATE</x:v>
      </x:c>
      <x:c r="D922" t="str">
        <x:v>release ledger mirrors governing state</x:v>
      </x:c>
      <x:c r="E922" t="str">
        <x:f>'Release Gates'!J898</x:f>
        <x:v>OPEN</x:v>
      </x:c>
      <x:c r="F922" t="str">
        <x:f>IF('Release Gates'!C898="PLANNING","PASS",IF('Release Gates'!C898="PHYSICAL","OPEN","BLOCKED"))</x:f>
        <x:v>OPEN</x:v>
      </x:c>
      <x:c r="G922" t="str">
        <x:v>equals</x:v>
      </x:c>
      <x:c r="H922" t="str">
        <x:f>IF(E922=F922,"PASS","FAIL")</x:f>
        <x:v>PASS</x:v>
      </x:c>
    </x:row>
    <x:row r="923">
      <x:c r="B923" t="str">
        <x:v>A-0893</x:v>
      </x:c>
      <x:c r="C923" t="str">
        <x:v>GATE</x:v>
      </x:c>
      <x:c r="D923" t="str">
        <x:v>release ledger mirrors governing state</x:v>
      </x:c>
      <x:c r="E923" t="str">
        <x:f>'Release Gates'!J899</x:f>
        <x:v>OPEN</x:v>
      </x:c>
      <x:c r="F923" t="str">
        <x:f>IF('Release Gates'!C899="PLANNING","PASS",IF('Release Gates'!C899="PHYSICAL","OPEN","BLOCKED"))</x:f>
        <x:v>OPEN</x:v>
      </x:c>
      <x:c r="G923" t="str">
        <x:v>equals</x:v>
      </x:c>
      <x:c r="H923" t="str">
        <x:f>IF(E923=F923,"PASS","FAIL")</x:f>
        <x:v>PASS</x:v>
      </x:c>
    </x:row>
    <x:row r="924">
      <x:c r="B924" t="str">
        <x:v>A-0894</x:v>
      </x:c>
      <x:c r="C924" t="str">
        <x:v>GATE</x:v>
      </x:c>
      <x:c r="D924" t="str">
        <x:v>release ledger mirrors governing state</x:v>
      </x:c>
      <x:c r="E924" t="str">
        <x:f>'Release Gates'!J900</x:f>
        <x:v>OPEN</x:v>
      </x:c>
      <x:c r="F924" t="str">
        <x:f>IF('Release Gates'!C900="PLANNING","PASS",IF('Release Gates'!C900="PHYSICAL","OPEN","BLOCKED"))</x:f>
        <x:v>OPEN</x:v>
      </x:c>
      <x:c r="G924" t="str">
        <x:v>equals</x:v>
      </x:c>
      <x:c r="H924" t="str">
        <x:f>IF(E924=F924,"PASS","FAIL")</x:f>
        <x:v>PASS</x:v>
      </x:c>
    </x:row>
    <x:row r="925">
      <x:c r="B925" t="str">
        <x:v>A-0895</x:v>
      </x:c>
      <x:c r="C925" t="str">
        <x:v>GATE</x:v>
      </x:c>
      <x:c r="D925" t="str">
        <x:v>release ledger mirrors governing state</x:v>
      </x:c>
      <x:c r="E925" t="str">
        <x:f>'Release Gates'!J901</x:f>
        <x:v>OPEN</x:v>
      </x:c>
      <x:c r="F925" t="str">
        <x:f>IF('Release Gates'!C901="PLANNING","PASS",IF('Release Gates'!C901="PHYSICAL","OPEN","BLOCKED"))</x:f>
        <x:v>OPEN</x:v>
      </x:c>
      <x:c r="G925" t="str">
        <x:v>equals</x:v>
      </x:c>
      <x:c r="H925" t="str">
        <x:f>IF(E925=F925,"PASS","FAIL")</x:f>
        <x:v>PASS</x:v>
      </x:c>
    </x:row>
    <x:row r="926">
      <x:c r="B926" t="str">
        <x:v>A-0896</x:v>
      </x:c>
      <x:c r="C926" t="str">
        <x:v>GATE</x:v>
      </x:c>
      <x:c r="D926" t="str">
        <x:v>release ledger mirrors governing state</x:v>
      </x:c>
      <x:c r="E926" t="str">
        <x:f>'Release Gates'!J902</x:f>
        <x:v>OPEN</x:v>
      </x:c>
      <x:c r="F926" t="str">
        <x:f>IF('Release Gates'!C902="PLANNING","PASS",IF('Release Gates'!C902="PHYSICAL","OPEN","BLOCKED"))</x:f>
        <x:v>OPEN</x:v>
      </x:c>
      <x:c r="G926" t="str">
        <x:v>equals</x:v>
      </x:c>
      <x:c r="H926" t="str">
        <x:f>IF(E926=F926,"PASS","FAIL")</x:f>
        <x:v>PASS</x:v>
      </x:c>
    </x:row>
    <x:row r="927">
      <x:c r="B927" t="str">
        <x:v>A-0897</x:v>
      </x:c>
      <x:c r="C927" t="str">
        <x:v>GATE</x:v>
      </x:c>
      <x:c r="D927" t="str">
        <x:v>release ledger mirrors governing state</x:v>
      </x:c>
      <x:c r="E927" t="str">
        <x:f>'Release Gates'!J903</x:f>
        <x:v>OPEN</x:v>
      </x:c>
      <x:c r="F927" t="str">
        <x:f>IF('Release Gates'!C903="PLANNING","PASS",IF('Release Gates'!C903="PHYSICAL","OPEN","BLOCKED"))</x:f>
        <x:v>OPEN</x:v>
      </x:c>
      <x:c r="G927" t="str">
        <x:v>equals</x:v>
      </x:c>
      <x:c r="H927" t="str">
        <x:f>IF(E927=F927,"PASS","FAIL")</x:f>
        <x:v>PASS</x:v>
      </x:c>
    </x:row>
    <x:row r="928">
      <x:c r="B928" t="str">
        <x:v>A-0898</x:v>
      </x:c>
      <x:c r="C928" t="str">
        <x:v>GATE</x:v>
      </x:c>
      <x:c r="D928" t="str">
        <x:v>release ledger mirrors governing state</x:v>
      </x:c>
      <x:c r="E928" t="str">
        <x:f>'Release Gates'!J904</x:f>
        <x:v>OPEN</x:v>
      </x:c>
      <x:c r="F928" t="str">
        <x:f>IF('Release Gates'!C904="PLANNING","PASS",IF('Release Gates'!C904="PHYSICAL","OPEN","BLOCKED"))</x:f>
        <x:v>OPEN</x:v>
      </x:c>
      <x:c r="G928" t="str">
        <x:v>equals</x:v>
      </x:c>
      <x:c r="H928" t="str">
        <x:f>IF(E928=F928,"PASS","FAIL")</x:f>
        <x:v>PASS</x:v>
      </x:c>
    </x:row>
    <x:row r="929">
      <x:c r="B929" t="str">
        <x:v>A-0899</x:v>
      </x:c>
      <x:c r="C929" t="str">
        <x:v>GATE</x:v>
      </x:c>
      <x:c r="D929" t="str">
        <x:v>release ledger mirrors governing state</x:v>
      </x:c>
      <x:c r="E929" t="str">
        <x:f>'Release Gates'!J905</x:f>
        <x:v>OPEN</x:v>
      </x:c>
      <x:c r="F929" t="str">
        <x:f>IF('Release Gates'!C905="PLANNING","PASS",IF('Release Gates'!C905="PHYSICAL","OPEN","BLOCKED"))</x:f>
        <x:v>OPEN</x:v>
      </x:c>
      <x:c r="G929" t="str">
        <x:v>equals</x:v>
      </x:c>
      <x:c r="H929" t="str">
        <x:f>IF(E929=F929,"PASS","FAIL")</x:f>
        <x:v>PASS</x:v>
      </x:c>
    </x:row>
    <x:row r="930">
      <x:c r="B930" t="str">
        <x:v>A-0900</x:v>
      </x:c>
      <x:c r="C930" t="str">
        <x:v>GATE</x:v>
      </x:c>
      <x:c r="D930" t="str">
        <x:v>release ledger mirrors governing state</x:v>
      </x:c>
      <x:c r="E930" t="str">
        <x:f>'Release Gates'!J906</x:f>
        <x:v>OPEN</x:v>
      </x:c>
      <x:c r="F930" t="str">
        <x:f>IF('Release Gates'!C906="PLANNING","PASS",IF('Release Gates'!C906="PHYSICAL","OPEN","BLOCKED"))</x:f>
        <x:v>OPEN</x:v>
      </x:c>
      <x:c r="G930" t="str">
        <x:v>equals</x:v>
      </x:c>
      <x:c r="H930" t="str">
        <x:f>IF(E930=F930,"PASS","FAIL")</x:f>
        <x:v>PASS</x:v>
      </x:c>
    </x:row>
    <x:row r="931">
      <x:c r="B931" t="str">
        <x:v>A-0901</x:v>
      </x:c>
      <x:c r="C931" t="str">
        <x:v>GATE</x:v>
      </x:c>
      <x:c r="D931" t="str">
        <x:v>release ledger mirrors governing state</x:v>
      </x:c>
      <x:c r="E931" t="str">
        <x:f>'Release Gates'!J907</x:f>
        <x:v>OPEN</x:v>
      </x:c>
      <x:c r="F931" t="str">
        <x:f>IF('Release Gates'!C907="PLANNING","PASS",IF('Release Gates'!C907="PHYSICAL","OPEN","BLOCKED"))</x:f>
        <x:v>OPEN</x:v>
      </x:c>
      <x:c r="G931" t="str">
        <x:v>equals</x:v>
      </x:c>
      <x:c r="H931" t="str">
        <x:f>IF(E931=F931,"PASS","FAIL")</x:f>
        <x:v>PASS</x:v>
      </x:c>
    </x:row>
    <x:row r="932">
      <x:c r="B932" t="str">
        <x:v>A-0902</x:v>
      </x:c>
      <x:c r="C932" t="str">
        <x:v>GATE</x:v>
      </x:c>
      <x:c r="D932" t="str">
        <x:v>release ledger mirrors governing state</x:v>
      </x:c>
      <x:c r="E932" t="str">
        <x:f>'Release Gates'!J908</x:f>
        <x:v>OPEN</x:v>
      </x:c>
      <x:c r="F932" t="str">
        <x:f>IF('Release Gates'!C908="PLANNING","PASS",IF('Release Gates'!C908="PHYSICAL","OPEN","BLOCKED"))</x:f>
        <x:v>OPEN</x:v>
      </x:c>
      <x:c r="G932" t="str">
        <x:v>equals</x:v>
      </x:c>
      <x:c r="H932" t="str">
        <x:f>IF(E932=F932,"PASS","FAIL")</x:f>
        <x:v>PASS</x:v>
      </x:c>
    </x:row>
    <x:row r="933">
      <x:c r="B933" t="str">
        <x:v>A-0903</x:v>
      </x:c>
      <x:c r="C933" t="str">
        <x:v>GATE</x:v>
      </x:c>
      <x:c r="D933" t="str">
        <x:v>release ledger mirrors governing state</x:v>
      </x:c>
      <x:c r="E933" t="str">
        <x:f>'Release Gates'!J909</x:f>
        <x:v>OPEN</x:v>
      </x:c>
      <x:c r="F933" t="str">
        <x:f>IF('Release Gates'!C909="PLANNING","PASS",IF('Release Gates'!C909="PHYSICAL","OPEN","BLOCKED"))</x:f>
        <x:v>OPEN</x:v>
      </x:c>
      <x:c r="G933" t="str">
        <x:v>equals</x:v>
      </x:c>
      <x:c r="H933" t="str">
        <x:f>IF(E933=F933,"PASS","FAIL")</x:f>
        <x:v>PASS</x:v>
      </x:c>
    </x:row>
    <x:row r="934">
      <x:c r="B934" t="str">
        <x:v>A-0904</x:v>
      </x:c>
      <x:c r="C934" t="str">
        <x:v>GATE</x:v>
      </x:c>
      <x:c r="D934" t="str">
        <x:v>release ledger mirrors governing state</x:v>
      </x:c>
      <x:c r="E934" t="str">
        <x:f>'Release Gates'!J910</x:f>
        <x:v>OPEN</x:v>
      </x:c>
      <x:c r="F934" t="str">
        <x:f>IF('Release Gates'!C910="PLANNING","PASS",IF('Release Gates'!C910="PHYSICAL","OPEN","BLOCKED"))</x:f>
        <x:v>OPEN</x:v>
      </x:c>
      <x:c r="G934" t="str">
        <x:v>equals</x:v>
      </x:c>
      <x:c r="H934" t="str">
        <x:f>IF(E934=F934,"PASS","FAIL")</x:f>
        <x:v>PASS</x:v>
      </x:c>
    </x:row>
    <x:row r="935">
      <x:c r="B935" t="str">
        <x:v>A-0905</x:v>
      </x:c>
      <x:c r="C935" t="str">
        <x:v>GATE</x:v>
      </x:c>
      <x:c r="D935" t="str">
        <x:v>release ledger mirrors governing state</x:v>
      </x:c>
      <x:c r="E935" t="str">
        <x:f>'Release Gates'!J911</x:f>
        <x:v>OPEN</x:v>
      </x:c>
      <x:c r="F935" t="str">
        <x:f>IF('Release Gates'!C911="PLANNING","PASS",IF('Release Gates'!C911="PHYSICAL","OPEN","BLOCKED"))</x:f>
        <x:v>OPEN</x:v>
      </x:c>
      <x:c r="G935" t="str">
        <x:v>equals</x:v>
      </x:c>
      <x:c r="H935" t="str">
        <x:f>IF(E935=F935,"PASS","FAIL")</x:f>
        <x:v>PASS</x:v>
      </x:c>
    </x:row>
    <x:row r="936">
      <x:c r="B936" t="str">
        <x:v>A-0906</x:v>
      </x:c>
      <x:c r="C936" t="str">
        <x:v>GATE</x:v>
      </x:c>
      <x:c r="D936" t="str">
        <x:v>release ledger mirrors governing state</x:v>
      </x:c>
      <x:c r="E936" t="str">
        <x:f>'Release Gates'!J912</x:f>
        <x:v>OPEN</x:v>
      </x:c>
      <x:c r="F936" t="str">
        <x:f>IF('Release Gates'!C912="PLANNING","PASS",IF('Release Gates'!C912="PHYSICAL","OPEN","BLOCKED"))</x:f>
        <x:v>OPEN</x:v>
      </x:c>
      <x:c r="G936" t="str">
        <x:v>equals</x:v>
      </x:c>
      <x:c r="H936" t="str">
        <x:f>IF(E936=F936,"PASS","FAIL")</x:f>
        <x:v>PASS</x:v>
      </x:c>
    </x:row>
    <x:row r="937">
      <x:c r="B937" t="str">
        <x:v>A-0907</x:v>
      </x:c>
      <x:c r="C937" t="str">
        <x:v>GATE</x:v>
      </x:c>
      <x:c r="D937" t="str">
        <x:v>release ledger mirrors governing state</x:v>
      </x:c>
      <x:c r="E937" t="str">
        <x:f>'Release Gates'!J913</x:f>
        <x:v>OPEN</x:v>
      </x:c>
      <x:c r="F937" t="str">
        <x:f>IF('Release Gates'!C913="PLANNING","PASS",IF('Release Gates'!C913="PHYSICAL","OPEN","BLOCKED"))</x:f>
        <x:v>OPEN</x:v>
      </x:c>
      <x:c r="G937" t="str">
        <x:v>equals</x:v>
      </x:c>
      <x:c r="H937" t="str">
        <x:f>IF(E937=F937,"PASS","FAIL")</x:f>
        <x:v>PASS</x:v>
      </x:c>
    </x:row>
    <x:row r="938">
      <x:c r="B938" t="str">
        <x:v>A-0908</x:v>
      </x:c>
      <x:c r="C938" t="str">
        <x:v>GATE</x:v>
      </x:c>
      <x:c r="D938" t="str">
        <x:v>release ledger mirrors governing state</x:v>
      </x:c>
      <x:c r="E938" t="str">
        <x:f>'Release Gates'!J914</x:f>
        <x:v>OPEN</x:v>
      </x:c>
      <x:c r="F938" t="str">
        <x:f>IF('Release Gates'!C914="PLANNING","PASS",IF('Release Gates'!C914="PHYSICAL","OPEN","BLOCKED"))</x:f>
        <x:v>OPEN</x:v>
      </x:c>
      <x:c r="G938" t="str">
        <x:v>equals</x:v>
      </x:c>
      <x:c r="H938" t="str">
        <x:f>IF(E938=F938,"PASS","FAIL")</x:f>
        <x:v>PASS</x:v>
      </x:c>
    </x:row>
    <x:row r="939">
      <x:c r="B939" t="str">
        <x:v>A-0909</x:v>
      </x:c>
      <x:c r="C939" t="str">
        <x:v>GATE</x:v>
      </x:c>
      <x:c r="D939" t="str">
        <x:v>release ledger mirrors governing state</x:v>
      </x:c>
      <x:c r="E939" t="str">
        <x:f>'Release Gates'!J915</x:f>
        <x:v>OPEN</x:v>
      </x:c>
      <x:c r="F939" t="str">
        <x:f>IF('Release Gates'!C915="PLANNING","PASS",IF('Release Gates'!C915="PHYSICAL","OPEN","BLOCKED"))</x:f>
        <x:v>OPEN</x:v>
      </x:c>
      <x:c r="G939" t="str">
        <x:v>equals</x:v>
      </x:c>
      <x:c r="H939" t="str">
        <x:f>IF(E939=F939,"PASS","FAIL")</x:f>
        <x:v>PASS</x:v>
      </x:c>
    </x:row>
    <x:row r="940">
      <x:c r="B940" t="str">
        <x:v>A-0910</x:v>
      </x:c>
      <x:c r="C940" t="str">
        <x:v>GATE</x:v>
      </x:c>
      <x:c r="D940" t="str">
        <x:v>release ledger mirrors governing state</x:v>
      </x:c>
      <x:c r="E940" t="str">
        <x:f>'Release Gates'!J916</x:f>
        <x:v>OPEN</x:v>
      </x:c>
      <x:c r="F940" t="str">
        <x:f>IF('Release Gates'!C916="PLANNING","PASS",IF('Release Gates'!C916="PHYSICAL","OPEN","BLOCKED"))</x:f>
        <x:v>OPEN</x:v>
      </x:c>
      <x:c r="G940" t="str">
        <x:v>equals</x:v>
      </x:c>
      <x:c r="H940" t="str">
        <x:f>IF(E940=F940,"PASS","FAIL")</x:f>
        <x:v>PASS</x:v>
      </x:c>
    </x:row>
    <x:row r="941">
      <x:c r="B941" t="str">
        <x:v>A-0911</x:v>
      </x:c>
      <x:c r="C941" t="str">
        <x:v>GATE</x:v>
      </x:c>
      <x:c r="D941" t="str">
        <x:v>release ledger mirrors governing state</x:v>
      </x:c>
      <x:c r="E941" t="str">
        <x:f>'Release Gates'!J917</x:f>
        <x:v>OPEN</x:v>
      </x:c>
      <x:c r="F941" t="str">
        <x:f>IF('Release Gates'!C917="PLANNING","PASS",IF('Release Gates'!C917="PHYSICAL","OPEN","BLOCKED"))</x:f>
        <x:v>OPEN</x:v>
      </x:c>
      <x:c r="G941" t="str">
        <x:v>equals</x:v>
      </x:c>
      <x:c r="H941" t="str">
        <x:f>IF(E941=F941,"PASS","FAIL")</x:f>
        <x:v>PASS</x:v>
      </x:c>
    </x:row>
    <x:row r="942">
      <x:c r="B942" t="str">
        <x:v>A-0912</x:v>
      </x:c>
      <x:c r="C942" t="str">
        <x:v>GATE</x:v>
      </x:c>
      <x:c r="D942" t="str">
        <x:v>release ledger mirrors governing state</x:v>
      </x:c>
      <x:c r="E942" t="str">
        <x:f>'Release Gates'!J918</x:f>
        <x:v>OPEN</x:v>
      </x:c>
      <x:c r="F942" t="str">
        <x:f>IF('Release Gates'!C918="PLANNING","PASS",IF('Release Gates'!C918="PHYSICAL","OPEN","BLOCKED"))</x:f>
        <x:v>OPEN</x:v>
      </x:c>
      <x:c r="G942" t="str">
        <x:v>equals</x:v>
      </x:c>
      <x:c r="H942" t="str">
        <x:f>IF(E942=F942,"PASS","FAIL")</x:f>
        <x:v>PASS</x:v>
      </x:c>
    </x:row>
    <x:row r="943">
      <x:c r="B943" t="str">
        <x:v>A-0913</x:v>
      </x:c>
      <x:c r="C943" t="str">
        <x:v>GATE</x:v>
      </x:c>
      <x:c r="D943" t="str">
        <x:v>release ledger mirrors governing state</x:v>
      </x:c>
      <x:c r="E943" t="str">
        <x:f>'Release Gates'!J919</x:f>
        <x:v>OPEN</x:v>
      </x:c>
      <x:c r="F943" t="str">
        <x:f>IF('Release Gates'!C919="PLANNING","PASS",IF('Release Gates'!C919="PHYSICAL","OPEN","BLOCKED"))</x:f>
        <x:v>OPEN</x:v>
      </x:c>
      <x:c r="G943" t="str">
        <x:v>equals</x:v>
      </x:c>
      <x:c r="H943" t="str">
        <x:f>IF(E943=F943,"PASS","FAIL")</x:f>
        <x:v>PASS</x:v>
      </x:c>
    </x:row>
    <x:row r="944">
      <x:c r="B944" t="str">
        <x:v>A-0914</x:v>
      </x:c>
      <x:c r="C944" t="str">
        <x:v>GATE</x:v>
      </x:c>
      <x:c r="D944" t="str">
        <x:v>release ledger mirrors governing state</x:v>
      </x:c>
      <x:c r="E944" t="str">
        <x:f>'Release Gates'!J920</x:f>
        <x:v>OPEN</x:v>
      </x:c>
      <x:c r="F944" t="str">
        <x:f>IF('Release Gates'!C920="PLANNING","PASS",IF('Release Gates'!C920="PHYSICAL","OPEN","BLOCKED"))</x:f>
        <x:v>OPEN</x:v>
      </x:c>
      <x:c r="G944" t="str">
        <x:v>equals</x:v>
      </x:c>
      <x:c r="H944" t="str">
        <x:f>IF(E944=F944,"PASS","FAIL")</x:f>
        <x:v>PASS</x:v>
      </x:c>
    </x:row>
    <x:row r="945">
      <x:c r="B945" t="str">
        <x:v>A-0915</x:v>
      </x:c>
      <x:c r="C945" t="str">
        <x:v>GATE</x:v>
      </x:c>
      <x:c r="D945" t="str">
        <x:v>release ledger mirrors governing state</x:v>
      </x:c>
      <x:c r="E945" t="str">
        <x:f>'Release Gates'!J921</x:f>
        <x:v>OPEN</x:v>
      </x:c>
      <x:c r="F945" t="str">
        <x:f>IF('Release Gates'!C921="PLANNING","PASS",IF('Release Gates'!C921="PHYSICAL","OPEN","BLOCKED"))</x:f>
        <x:v>OPEN</x:v>
      </x:c>
      <x:c r="G945" t="str">
        <x:v>equals</x:v>
      </x:c>
      <x:c r="H945" t="str">
        <x:f>IF(E945=F945,"PASS","FAIL")</x:f>
        <x:v>PASS</x:v>
      </x:c>
    </x:row>
    <x:row r="946">
      <x:c r="B946" t="str">
        <x:v>A-0916</x:v>
      </x:c>
      <x:c r="C946" t="str">
        <x:v>GATE</x:v>
      </x:c>
      <x:c r="D946" t="str">
        <x:v>release ledger mirrors governing state</x:v>
      </x:c>
      <x:c r="E946" t="str">
        <x:f>'Release Gates'!J922</x:f>
        <x:v>OPEN</x:v>
      </x:c>
      <x:c r="F946" t="str">
        <x:f>IF('Release Gates'!C922="PLANNING","PASS",IF('Release Gates'!C922="PHYSICAL","OPEN","BLOCKED"))</x:f>
        <x:v>OPEN</x:v>
      </x:c>
      <x:c r="G946" t="str">
        <x:v>equals</x:v>
      </x:c>
      <x:c r="H946" t="str">
        <x:f>IF(E946=F946,"PASS","FAIL")</x:f>
        <x:v>PASS</x:v>
      </x:c>
    </x:row>
    <x:row r="947">
      <x:c r="B947" t="str">
        <x:v>A-0917</x:v>
      </x:c>
      <x:c r="C947" t="str">
        <x:v>GATE</x:v>
      </x:c>
      <x:c r="D947" t="str">
        <x:v>release ledger mirrors governing state</x:v>
      </x:c>
      <x:c r="E947" t="str">
        <x:f>'Release Gates'!J923</x:f>
        <x:v>OPEN</x:v>
      </x:c>
      <x:c r="F947" t="str">
        <x:f>IF('Release Gates'!C923="PLANNING","PASS",IF('Release Gates'!C923="PHYSICAL","OPEN","BLOCKED"))</x:f>
        <x:v>OPEN</x:v>
      </x:c>
      <x:c r="G947" t="str">
        <x:v>equals</x:v>
      </x:c>
      <x:c r="H947" t="str">
        <x:f>IF(E947=F947,"PASS","FAIL")</x:f>
        <x:v>PASS</x:v>
      </x:c>
    </x:row>
    <x:row r="948">
      <x:c r="B948" t="str">
        <x:v>A-0918</x:v>
      </x:c>
      <x:c r="C948" t="str">
        <x:v>GATE</x:v>
      </x:c>
      <x:c r="D948" t="str">
        <x:v>release ledger mirrors governing state</x:v>
      </x:c>
      <x:c r="E948" t="str">
        <x:f>'Release Gates'!J924</x:f>
        <x:v>OPEN</x:v>
      </x:c>
      <x:c r="F948" t="str">
        <x:f>IF('Release Gates'!C924="PLANNING","PASS",IF('Release Gates'!C924="PHYSICAL","OPEN","BLOCKED"))</x:f>
        <x:v>OPEN</x:v>
      </x:c>
      <x:c r="G948" t="str">
        <x:v>equals</x:v>
      </x:c>
      <x:c r="H948" t="str">
        <x:f>IF(E948=F948,"PASS","FAIL")</x:f>
        <x:v>PASS</x:v>
      </x:c>
    </x:row>
    <x:row r="949">
      <x:c r="B949" t="str">
        <x:v>A-0919</x:v>
      </x:c>
      <x:c r="C949" t="str">
        <x:v>GATE</x:v>
      </x:c>
      <x:c r="D949" t="str">
        <x:v>release ledger mirrors governing state</x:v>
      </x:c>
      <x:c r="E949" t="str">
        <x:f>'Release Gates'!J925</x:f>
        <x:v>OPEN</x:v>
      </x:c>
      <x:c r="F949" t="str">
        <x:f>IF('Release Gates'!C925="PLANNING","PASS",IF('Release Gates'!C925="PHYSICAL","OPEN","BLOCKED"))</x:f>
        <x:v>OPEN</x:v>
      </x:c>
      <x:c r="G949" t="str">
        <x:v>equals</x:v>
      </x:c>
      <x:c r="H949" t="str">
        <x:f>IF(E949=F949,"PASS","FAIL")</x:f>
        <x:v>PASS</x:v>
      </x:c>
    </x:row>
    <x:row r="950">
      <x:c r="B950" t="str">
        <x:v>A-0920</x:v>
      </x:c>
      <x:c r="C950" t="str">
        <x:v>GATE</x:v>
      </x:c>
      <x:c r="D950" t="str">
        <x:v>release ledger mirrors governing state</x:v>
      </x:c>
      <x:c r="E950" t="str">
        <x:f>'Release Gates'!J926</x:f>
        <x:v>OPEN</x:v>
      </x:c>
      <x:c r="F950" t="str">
        <x:f>IF('Release Gates'!C926="PLANNING","PASS",IF('Release Gates'!C926="PHYSICAL","OPEN","BLOCKED"))</x:f>
        <x:v>OPEN</x:v>
      </x:c>
      <x:c r="G950" t="str">
        <x:v>equals</x:v>
      </x:c>
      <x:c r="H950" t="str">
        <x:f>IF(E950=F950,"PASS","FAIL")</x:f>
        <x:v>PASS</x:v>
      </x:c>
    </x:row>
    <x:row r="951">
      <x:c r="B951" t="str">
        <x:v>A-0921</x:v>
      </x:c>
      <x:c r="C951" t="str">
        <x:v>GATE</x:v>
      </x:c>
      <x:c r="D951" t="str">
        <x:v>release ledger mirrors governing state</x:v>
      </x:c>
      <x:c r="E951" t="str">
        <x:f>'Release Gates'!J927</x:f>
        <x:v>OPEN</x:v>
      </x:c>
      <x:c r="F951" t="str">
        <x:f>IF('Release Gates'!C927="PLANNING","PASS",IF('Release Gates'!C927="PHYSICAL","OPEN","BLOCKED"))</x:f>
        <x:v>OPEN</x:v>
      </x:c>
      <x:c r="G951" t="str">
        <x:v>equals</x:v>
      </x:c>
      <x:c r="H951" t="str">
        <x:f>IF(E951=F951,"PASS","FAIL")</x:f>
        <x:v>PASS</x:v>
      </x:c>
    </x:row>
    <x:row r="952">
      <x:c r="B952" t="str">
        <x:v>A-0922</x:v>
      </x:c>
      <x:c r="C952" t="str">
        <x:v>GATE</x:v>
      </x:c>
      <x:c r="D952" t="str">
        <x:v>release ledger mirrors governing state</x:v>
      </x:c>
      <x:c r="E952" t="str">
        <x:f>'Release Gates'!J928</x:f>
        <x:v>OPEN</x:v>
      </x:c>
      <x:c r="F952" t="str">
        <x:f>IF('Release Gates'!C928="PLANNING","PASS",IF('Release Gates'!C928="PHYSICAL","OPEN","BLOCKED"))</x:f>
        <x:v>OPEN</x:v>
      </x:c>
      <x:c r="G952" t="str">
        <x:v>equals</x:v>
      </x:c>
      <x:c r="H952" t="str">
        <x:f>IF(E952=F952,"PASS","FAIL")</x:f>
        <x:v>PASS</x:v>
      </x:c>
    </x:row>
    <x:row r="953">
      <x:c r="B953" t="str">
        <x:v>A-0923</x:v>
      </x:c>
      <x:c r="C953" t="str">
        <x:v>GATE</x:v>
      </x:c>
      <x:c r="D953" t="str">
        <x:v>release ledger mirrors governing state</x:v>
      </x:c>
      <x:c r="E953" t="str">
        <x:f>'Release Gates'!J929</x:f>
        <x:v>OPEN</x:v>
      </x:c>
      <x:c r="F953" t="str">
        <x:f>IF('Release Gates'!C929="PLANNING","PASS",IF('Release Gates'!C929="PHYSICAL","OPEN","BLOCKED"))</x:f>
        <x:v>OPEN</x:v>
      </x:c>
      <x:c r="G953" t="str">
        <x:v>equals</x:v>
      </x:c>
      <x:c r="H953" t="str">
        <x:f>IF(E953=F953,"PASS","FAIL")</x:f>
        <x:v>PASS</x:v>
      </x:c>
    </x:row>
    <x:row r="954">
      <x:c r="B954" t="str">
        <x:v>A-0924</x:v>
      </x:c>
      <x:c r="C954" t="str">
        <x:v>GATE</x:v>
      </x:c>
      <x:c r="D954" t="str">
        <x:v>release ledger mirrors governing state</x:v>
      </x:c>
      <x:c r="E954" t="str">
        <x:f>'Release Gates'!J930</x:f>
        <x:v>OPEN</x:v>
      </x:c>
      <x:c r="F954" t="str">
        <x:f>IF('Release Gates'!C930="PLANNING","PASS",IF('Release Gates'!C930="PHYSICAL","OPEN","BLOCKED"))</x:f>
        <x:v>OPEN</x:v>
      </x:c>
      <x:c r="G954" t="str">
        <x:v>equals</x:v>
      </x:c>
      <x:c r="H954" t="str">
        <x:f>IF(E954=F954,"PASS","FAIL")</x:f>
        <x:v>PASS</x:v>
      </x:c>
    </x:row>
    <x:row r="955">
      <x:c r="B955" t="str">
        <x:v>A-0925</x:v>
      </x:c>
      <x:c r="C955" t="str">
        <x:v>GATE</x:v>
      </x:c>
      <x:c r="D955" t="str">
        <x:v>release ledger mirrors governing state</x:v>
      </x:c>
      <x:c r="E955" t="str">
        <x:f>'Release Gates'!J931</x:f>
        <x:v>OPEN</x:v>
      </x:c>
      <x:c r="F955" t="str">
        <x:f>IF('Release Gates'!C931="PLANNING","PASS",IF('Release Gates'!C931="PHYSICAL","OPEN","BLOCKED"))</x:f>
        <x:v>OPEN</x:v>
      </x:c>
      <x:c r="G955" t="str">
        <x:v>equals</x:v>
      </x:c>
      <x:c r="H955" t="str">
        <x:f>IF(E955=F955,"PASS","FAIL")</x:f>
        <x:v>PASS</x:v>
      </x:c>
    </x:row>
    <x:row r="956">
      <x:c r="B956" t="str">
        <x:v>A-0926</x:v>
      </x:c>
      <x:c r="C956" t="str">
        <x:v>GATE</x:v>
      </x:c>
      <x:c r="D956" t="str">
        <x:v>release ledger mirrors governing state</x:v>
      </x:c>
      <x:c r="E956" t="str">
        <x:f>'Release Gates'!J932</x:f>
        <x:v>OPEN</x:v>
      </x:c>
      <x:c r="F956" t="str">
        <x:f>IF('Release Gates'!C932="PLANNING","PASS",IF('Release Gates'!C932="PHYSICAL","OPEN","BLOCKED"))</x:f>
        <x:v>OPEN</x:v>
      </x:c>
      <x:c r="G956" t="str">
        <x:v>equals</x:v>
      </x:c>
      <x:c r="H956" t="str">
        <x:f>IF(E956=F956,"PASS","FAIL")</x:f>
        <x:v>PASS</x:v>
      </x:c>
    </x:row>
    <x:row r="957">
      <x:c r="B957" t="str">
        <x:v>A-0927</x:v>
      </x:c>
      <x:c r="C957" t="str">
        <x:v>GATE</x:v>
      </x:c>
      <x:c r="D957" t="str">
        <x:v>release ledger mirrors governing state</x:v>
      </x:c>
      <x:c r="E957" t="str">
        <x:f>'Release Gates'!J933</x:f>
        <x:v>OPEN</x:v>
      </x:c>
      <x:c r="F957" t="str">
        <x:f>IF('Release Gates'!C933="PLANNING","PASS",IF('Release Gates'!C933="PHYSICAL","OPEN","BLOCKED"))</x:f>
        <x:v>OPEN</x:v>
      </x:c>
      <x:c r="G957" t="str">
        <x:v>equals</x:v>
      </x:c>
      <x:c r="H957" t="str">
        <x:f>IF(E957=F957,"PASS","FAIL")</x:f>
        <x:v>PASS</x:v>
      </x:c>
    </x:row>
    <x:row r="958">
      <x:c r="B958" t="str">
        <x:v>A-0928</x:v>
      </x:c>
      <x:c r="C958" t="str">
        <x:v>GATE</x:v>
      </x:c>
      <x:c r="D958" t="str">
        <x:v>release ledger mirrors governing state</x:v>
      </x:c>
      <x:c r="E958" t="str">
        <x:f>'Release Gates'!J934</x:f>
        <x:v>OPEN</x:v>
      </x:c>
      <x:c r="F958" t="str">
        <x:f>IF('Release Gates'!C934="PLANNING","PASS",IF('Release Gates'!C934="PHYSICAL","OPEN","BLOCKED"))</x:f>
        <x:v>OPEN</x:v>
      </x:c>
      <x:c r="G958" t="str">
        <x:v>equals</x:v>
      </x:c>
      <x:c r="H958" t="str">
        <x:f>IF(E958=F958,"PASS","FAIL")</x:f>
        <x:v>PASS</x:v>
      </x:c>
    </x:row>
    <x:row r="959">
      <x:c r="B959" t="str">
        <x:v>A-0929</x:v>
      </x:c>
      <x:c r="C959" t="str">
        <x:v>GATE</x:v>
      </x:c>
      <x:c r="D959" t="str">
        <x:v>release ledger mirrors governing state</x:v>
      </x:c>
      <x:c r="E959" t="str">
        <x:f>'Release Gates'!J935</x:f>
        <x:v>OPEN</x:v>
      </x:c>
      <x:c r="F959" t="str">
        <x:f>IF('Release Gates'!C935="PLANNING","PASS",IF('Release Gates'!C935="PHYSICAL","OPEN","BLOCKED"))</x:f>
        <x:v>OPEN</x:v>
      </x:c>
      <x:c r="G959" t="str">
        <x:v>equals</x:v>
      </x:c>
      <x:c r="H959" t="str">
        <x:f>IF(E959=F959,"PASS","FAIL")</x:f>
        <x:v>PASS</x:v>
      </x:c>
    </x:row>
    <x:row r="960">
      <x:c r="B960" t="str">
        <x:v>A-0930</x:v>
      </x:c>
      <x:c r="C960" t="str">
        <x:v>GATE</x:v>
      </x:c>
      <x:c r="D960" t="str">
        <x:v>release ledger mirrors governing state</x:v>
      </x:c>
      <x:c r="E960" t="str">
        <x:f>'Release Gates'!J936</x:f>
        <x:v>OPEN</x:v>
      </x:c>
      <x:c r="F960" t="str">
        <x:f>IF('Release Gates'!C936="PLANNING","PASS",IF('Release Gates'!C936="PHYSICAL","OPEN","BLOCKED"))</x:f>
        <x:v>OPEN</x:v>
      </x:c>
      <x:c r="G960" t="str">
        <x:v>equals</x:v>
      </x:c>
      <x:c r="H960" t="str">
        <x:f>IF(E960=F960,"PASS","FAIL")</x:f>
        <x:v>PASS</x:v>
      </x:c>
    </x:row>
    <x:row r="961">
      <x:c r="B961" t="str">
        <x:v>A-0931</x:v>
      </x:c>
      <x:c r="C961" t="str">
        <x:v>GATE</x:v>
      </x:c>
      <x:c r="D961" t="str">
        <x:v>release ledger mirrors governing state</x:v>
      </x:c>
      <x:c r="E961" t="str">
        <x:f>'Release Gates'!J937</x:f>
        <x:v>OPEN</x:v>
      </x:c>
      <x:c r="F961" t="str">
        <x:f>IF('Release Gates'!C937="PLANNING","PASS",IF('Release Gates'!C937="PHYSICAL","OPEN","BLOCKED"))</x:f>
        <x:v>OPEN</x:v>
      </x:c>
      <x:c r="G961" t="str">
        <x:v>equals</x:v>
      </x:c>
      <x:c r="H961" t="str">
        <x:f>IF(E961=F961,"PASS","FAIL")</x:f>
        <x:v>PASS</x:v>
      </x:c>
    </x:row>
    <x:row r="962">
      <x:c r="B962" t="str">
        <x:v>A-0932</x:v>
      </x:c>
      <x:c r="C962" t="str">
        <x:v>GATE</x:v>
      </x:c>
      <x:c r="D962" t="str">
        <x:v>release ledger mirrors governing state</x:v>
      </x:c>
      <x:c r="E962" t="str">
        <x:f>'Release Gates'!J938</x:f>
        <x:v>OPEN</x:v>
      </x:c>
      <x:c r="F962" t="str">
        <x:f>IF('Release Gates'!C938="PLANNING","PASS",IF('Release Gates'!C938="PHYSICAL","OPEN","BLOCKED"))</x:f>
        <x:v>OPEN</x:v>
      </x:c>
      <x:c r="G962" t="str">
        <x:v>equals</x:v>
      </x:c>
      <x:c r="H962" t="str">
        <x:f>IF(E962=F962,"PASS","FAIL")</x:f>
        <x:v>PASS</x:v>
      </x:c>
    </x:row>
    <x:row r="963">
      <x:c r="B963" t="str">
        <x:v>A-0933</x:v>
      </x:c>
      <x:c r="C963" t="str">
        <x:v>GATE</x:v>
      </x:c>
      <x:c r="D963" t="str">
        <x:v>release ledger mirrors governing state</x:v>
      </x:c>
      <x:c r="E963" t="str">
        <x:f>'Release Gates'!J939</x:f>
        <x:v>OPEN</x:v>
      </x:c>
      <x:c r="F963" t="str">
        <x:f>IF('Release Gates'!C939="PLANNING","PASS",IF('Release Gates'!C939="PHYSICAL","OPEN","BLOCKED"))</x:f>
        <x:v>OPEN</x:v>
      </x:c>
      <x:c r="G963" t="str">
        <x:v>equals</x:v>
      </x:c>
      <x:c r="H963" t="str">
        <x:f>IF(E963=F963,"PASS","FAIL")</x:f>
        <x:v>PASS</x:v>
      </x:c>
    </x:row>
    <x:row r="964">
      <x:c r="B964" t="str">
        <x:v>A-0934</x:v>
      </x:c>
      <x:c r="C964" t="str">
        <x:v>GATE</x:v>
      </x:c>
      <x:c r="D964" t="str">
        <x:v>release ledger mirrors governing state</x:v>
      </x:c>
      <x:c r="E964" t="str">
        <x:f>'Release Gates'!J940</x:f>
        <x:v>OPEN</x:v>
      </x:c>
      <x:c r="F964" t="str">
        <x:f>IF('Release Gates'!C940="PLANNING","PASS",IF('Release Gates'!C940="PHYSICAL","OPEN","BLOCKED"))</x:f>
        <x:v>OPEN</x:v>
      </x:c>
      <x:c r="G964" t="str">
        <x:v>equals</x:v>
      </x:c>
      <x:c r="H964" t="str">
        <x:f>IF(E964=F964,"PASS","FAIL")</x:f>
        <x:v>PASS</x:v>
      </x:c>
    </x:row>
    <x:row r="965">
      <x:c r="B965" t="str">
        <x:v>A-0935</x:v>
      </x:c>
      <x:c r="C965" t="str">
        <x:v>GATE</x:v>
      </x:c>
      <x:c r="D965" t="str">
        <x:v>release ledger mirrors governing state</x:v>
      </x:c>
      <x:c r="E965" t="str">
        <x:f>'Release Gates'!J941</x:f>
        <x:v>OPEN</x:v>
      </x:c>
      <x:c r="F965" t="str">
        <x:f>IF('Release Gates'!C941="PLANNING","PASS",IF('Release Gates'!C941="PHYSICAL","OPEN","BLOCKED"))</x:f>
        <x:v>OPEN</x:v>
      </x:c>
      <x:c r="G965" t="str">
        <x:v>equals</x:v>
      </x:c>
      <x:c r="H965" t="str">
        <x:f>IF(E965=F965,"PASS","FAIL")</x:f>
        <x:v>PASS</x:v>
      </x:c>
    </x:row>
    <x:row r="966">
      <x:c r="B966" t="str">
        <x:v>A-0936</x:v>
      </x:c>
      <x:c r="C966" t="str">
        <x:v>GATE</x:v>
      </x:c>
      <x:c r="D966" t="str">
        <x:v>release ledger mirrors governing state</x:v>
      </x:c>
      <x:c r="E966" t="str">
        <x:f>'Release Gates'!J942</x:f>
        <x:v>OPEN</x:v>
      </x:c>
      <x:c r="F966" t="str">
        <x:f>IF('Release Gates'!C942="PLANNING","PASS",IF('Release Gates'!C942="PHYSICAL","OPEN","BLOCKED"))</x:f>
        <x:v>OPEN</x:v>
      </x:c>
      <x:c r="G966" t="str">
        <x:v>equals</x:v>
      </x:c>
      <x:c r="H966" t="str">
        <x:f>IF(E966=F966,"PASS","FAIL")</x:f>
        <x:v>PASS</x:v>
      </x:c>
    </x:row>
    <x:row r="967">
      <x:c r="B967" t="str">
        <x:v>A-0937</x:v>
      </x:c>
      <x:c r="C967" t="str">
        <x:v>GATE</x:v>
      </x:c>
      <x:c r="D967" t="str">
        <x:v>release ledger mirrors governing state</x:v>
      </x:c>
      <x:c r="E967" t="str">
        <x:f>'Release Gates'!J943</x:f>
        <x:v>OPEN</x:v>
      </x:c>
      <x:c r="F967" t="str">
        <x:f>IF('Release Gates'!C943="PLANNING","PASS",IF('Release Gates'!C943="PHYSICAL","OPEN","BLOCKED"))</x:f>
        <x:v>OPEN</x:v>
      </x:c>
      <x:c r="G967" t="str">
        <x:v>equals</x:v>
      </x:c>
      <x:c r="H967" t="str">
        <x:f>IF(E967=F967,"PASS","FAIL")</x:f>
        <x:v>PASS</x:v>
      </x:c>
    </x:row>
    <x:row r="968">
      <x:c r="B968" t="str">
        <x:v>A-0938</x:v>
      </x:c>
      <x:c r="C968" t="str">
        <x:v>GATE</x:v>
      </x:c>
      <x:c r="D968" t="str">
        <x:v>release ledger mirrors governing state</x:v>
      </x:c>
      <x:c r="E968" t="str">
        <x:f>'Release Gates'!J944</x:f>
        <x:v>OPEN</x:v>
      </x:c>
      <x:c r="F968" t="str">
        <x:f>IF('Release Gates'!C944="PLANNING","PASS",IF('Release Gates'!C944="PHYSICAL","OPEN","BLOCKED"))</x:f>
        <x:v>OPEN</x:v>
      </x:c>
      <x:c r="G968" t="str">
        <x:v>equals</x:v>
      </x:c>
      <x:c r="H968" t="str">
        <x:f>IF(E968=F968,"PASS","FAIL")</x:f>
        <x:v>PASS</x:v>
      </x:c>
    </x:row>
    <x:row r="969">
      <x:c r="B969" t="str">
        <x:v>A-0939</x:v>
      </x:c>
      <x:c r="C969" t="str">
        <x:v>GATE</x:v>
      </x:c>
      <x:c r="D969" t="str">
        <x:v>release ledger mirrors governing state</x:v>
      </x:c>
      <x:c r="E969" t="str">
        <x:f>'Release Gates'!J945</x:f>
        <x:v>OPEN</x:v>
      </x:c>
      <x:c r="F969" t="str">
        <x:f>IF('Release Gates'!C945="PLANNING","PASS",IF('Release Gates'!C945="PHYSICAL","OPEN","BLOCKED"))</x:f>
        <x:v>OPEN</x:v>
      </x:c>
      <x:c r="G969" t="str">
        <x:v>equals</x:v>
      </x:c>
      <x:c r="H969" t="str">
        <x:f>IF(E969=F969,"PASS","FAIL")</x:f>
        <x:v>PASS</x:v>
      </x:c>
    </x:row>
    <x:row r="970">
      <x:c r="B970" t="str">
        <x:v>A-0940</x:v>
      </x:c>
      <x:c r="C970" t="str">
        <x:v>GATE</x:v>
      </x:c>
      <x:c r="D970" t="str">
        <x:v>release ledger mirrors governing state</x:v>
      </x:c>
      <x:c r="E970" t="str">
        <x:f>'Release Gates'!J946</x:f>
        <x:v>OPEN</x:v>
      </x:c>
      <x:c r="F970" t="str">
        <x:f>IF('Release Gates'!C946="PLANNING","PASS",IF('Release Gates'!C946="PHYSICAL","OPEN","BLOCKED"))</x:f>
        <x:v>OPEN</x:v>
      </x:c>
      <x:c r="G970" t="str">
        <x:v>equals</x:v>
      </x:c>
      <x:c r="H970" t="str">
        <x:f>IF(E970=F970,"PASS","FAIL")</x:f>
        <x:v>PASS</x:v>
      </x:c>
    </x:row>
    <x:row r="971">
      <x:c r="B971" t="str">
        <x:v>A-0941</x:v>
      </x:c>
      <x:c r="C971" t="str">
        <x:v>GATE</x:v>
      </x:c>
      <x:c r="D971" t="str">
        <x:v>release ledger mirrors governing state</x:v>
      </x:c>
      <x:c r="E971" t="str">
        <x:f>'Release Gates'!J947</x:f>
        <x:v>OPEN</x:v>
      </x:c>
      <x:c r="F971" t="str">
        <x:f>IF('Release Gates'!C947="PLANNING","PASS",IF('Release Gates'!C947="PHYSICAL","OPEN","BLOCKED"))</x:f>
        <x:v>OPEN</x:v>
      </x:c>
      <x:c r="G971" t="str">
        <x:v>equals</x:v>
      </x:c>
      <x:c r="H971" t="str">
        <x:f>IF(E971=F971,"PASS","FAIL")</x:f>
        <x:v>PASS</x:v>
      </x:c>
    </x:row>
    <x:row r="972">
      <x:c r="B972" t="str">
        <x:v>A-0942</x:v>
      </x:c>
      <x:c r="C972" t="str">
        <x:v>GATE</x:v>
      </x:c>
      <x:c r="D972" t="str">
        <x:v>release ledger mirrors governing state</x:v>
      </x:c>
      <x:c r="E972" t="str">
        <x:f>'Release Gates'!J948</x:f>
        <x:v>OPEN</x:v>
      </x:c>
      <x:c r="F972" t="str">
        <x:f>IF('Release Gates'!C948="PLANNING","PASS",IF('Release Gates'!C948="PHYSICAL","OPEN","BLOCKED"))</x:f>
        <x:v>OPEN</x:v>
      </x:c>
      <x:c r="G972" t="str">
        <x:v>equals</x:v>
      </x:c>
      <x:c r="H972" t="str">
        <x:f>IF(E972=F972,"PASS","FAIL")</x:f>
        <x:v>PASS</x:v>
      </x:c>
    </x:row>
    <x:row r="973">
      <x:c r="B973" t="str">
        <x:v>A-0943</x:v>
      </x:c>
      <x:c r="C973" t="str">
        <x:v>GATE</x:v>
      </x:c>
      <x:c r="D973" t="str">
        <x:v>release ledger mirrors governing state</x:v>
      </x:c>
      <x:c r="E973" t="str">
        <x:f>'Release Gates'!J949</x:f>
        <x:v>OPEN</x:v>
      </x:c>
      <x:c r="F973" t="str">
        <x:f>IF('Release Gates'!C949="PLANNING","PASS",IF('Release Gates'!C949="PHYSICAL","OPEN","BLOCKED"))</x:f>
        <x:v>OPEN</x:v>
      </x:c>
      <x:c r="G973" t="str">
        <x:v>equals</x:v>
      </x:c>
      <x:c r="H973" t="str">
        <x:f>IF(E973=F973,"PASS","FAIL")</x:f>
        <x:v>PASS</x:v>
      </x:c>
    </x:row>
    <x:row r="974">
      <x:c r="B974" t="str">
        <x:v>A-0944</x:v>
      </x:c>
      <x:c r="C974" t="str">
        <x:v>GATE</x:v>
      </x:c>
      <x:c r="D974" t="str">
        <x:v>release ledger mirrors governing state</x:v>
      </x:c>
      <x:c r="E974" t="str">
        <x:f>'Release Gates'!J950</x:f>
        <x:v>OPEN</x:v>
      </x:c>
      <x:c r="F974" t="str">
        <x:f>IF('Release Gates'!C950="PLANNING","PASS",IF('Release Gates'!C950="PHYSICAL","OPEN","BLOCKED"))</x:f>
        <x:v>OPEN</x:v>
      </x:c>
      <x:c r="G974" t="str">
        <x:v>equals</x:v>
      </x:c>
      <x:c r="H974" t="str">
        <x:f>IF(E974=F974,"PASS","FAIL")</x:f>
        <x:v>PASS</x:v>
      </x:c>
    </x:row>
    <x:row r="975">
      <x:c r="B975" t="str">
        <x:v>A-0945</x:v>
      </x:c>
      <x:c r="C975" t="str">
        <x:v>GATE</x:v>
      </x:c>
      <x:c r="D975" t="str">
        <x:v>release ledger mirrors governing state</x:v>
      </x:c>
      <x:c r="E975" t="str">
        <x:f>'Release Gates'!J951</x:f>
        <x:v>OPEN</x:v>
      </x:c>
      <x:c r="F975" t="str">
        <x:f>IF('Release Gates'!C951="PLANNING","PASS",IF('Release Gates'!C951="PHYSICAL","OPEN","BLOCKED"))</x:f>
        <x:v>OPEN</x:v>
      </x:c>
      <x:c r="G975" t="str">
        <x:v>equals</x:v>
      </x:c>
      <x:c r="H975" t="str">
        <x:f>IF(E975=F975,"PASS","FAIL")</x:f>
        <x:v>PASS</x:v>
      </x:c>
    </x:row>
    <x:row r="976">
      <x:c r="B976" t="str">
        <x:v>A-0946</x:v>
      </x:c>
      <x:c r="C976" t="str">
        <x:v>GATE</x:v>
      </x:c>
      <x:c r="D976" t="str">
        <x:v>release ledger mirrors governing state</x:v>
      </x:c>
      <x:c r="E976" t="str">
        <x:f>'Release Gates'!J952</x:f>
        <x:v>OPEN</x:v>
      </x:c>
      <x:c r="F976" t="str">
        <x:f>IF('Release Gates'!C952="PLANNING","PASS",IF('Release Gates'!C952="PHYSICAL","OPEN","BLOCKED"))</x:f>
        <x:v>OPEN</x:v>
      </x:c>
      <x:c r="G976" t="str">
        <x:v>equals</x:v>
      </x:c>
      <x:c r="H976" t="str">
        <x:f>IF(E976=F976,"PASS","FAIL")</x:f>
        <x:v>PASS</x:v>
      </x:c>
    </x:row>
    <x:row r="977">
      <x:c r="B977" t="str">
        <x:v>A-0947</x:v>
      </x:c>
      <x:c r="C977" t="str">
        <x:v>GATE</x:v>
      </x:c>
      <x:c r="D977" t="str">
        <x:v>release ledger mirrors governing state</x:v>
      </x:c>
      <x:c r="E977" t="str">
        <x:f>'Release Gates'!J953</x:f>
        <x:v>OPEN</x:v>
      </x:c>
      <x:c r="F977" t="str">
        <x:f>IF('Release Gates'!C953="PLANNING","PASS",IF('Release Gates'!C953="PHYSICAL","OPEN","BLOCKED"))</x:f>
        <x:v>OPEN</x:v>
      </x:c>
      <x:c r="G977" t="str">
        <x:v>equals</x:v>
      </x:c>
      <x:c r="H977" t="str">
        <x:f>IF(E977=F977,"PASS","FAIL")</x:f>
        <x:v>PASS</x:v>
      </x:c>
    </x:row>
    <x:row r="978">
      <x:c r="B978" t="str">
        <x:v>A-0948</x:v>
      </x:c>
      <x:c r="C978" t="str">
        <x:v>GATE</x:v>
      </x:c>
      <x:c r="D978" t="str">
        <x:v>release ledger mirrors governing state</x:v>
      </x:c>
      <x:c r="E978" t="str">
        <x:f>'Release Gates'!J954</x:f>
        <x:v>OPEN</x:v>
      </x:c>
      <x:c r="F978" t="str">
        <x:f>IF('Release Gates'!C954="PLANNING","PASS",IF('Release Gates'!C954="PHYSICAL","OPEN","BLOCKED"))</x:f>
        <x:v>OPEN</x:v>
      </x:c>
      <x:c r="G978" t="str">
        <x:v>equals</x:v>
      </x:c>
      <x:c r="H978" t="str">
        <x:f>IF(E978=F978,"PASS","FAIL")</x:f>
        <x:v>PASS</x:v>
      </x:c>
    </x:row>
    <x:row r="979">
      <x:c r="B979" t="str">
        <x:v>A-0949</x:v>
      </x:c>
      <x:c r="C979" t="str">
        <x:v>GATE</x:v>
      </x:c>
      <x:c r="D979" t="str">
        <x:v>release ledger mirrors governing state</x:v>
      </x:c>
      <x:c r="E979" t="str">
        <x:f>'Release Gates'!J955</x:f>
        <x:v>OPEN</x:v>
      </x:c>
      <x:c r="F979" t="str">
        <x:f>IF('Release Gates'!C955="PLANNING","PASS",IF('Release Gates'!C955="PHYSICAL","OPEN","BLOCKED"))</x:f>
        <x:v>OPEN</x:v>
      </x:c>
      <x:c r="G979" t="str">
        <x:v>equals</x:v>
      </x:c>
      <x:c r="H979" t="str">
        <x:f>IF(E979=F979,"PASS","FAIL")</x:f>
        <x:v>PASS</x:v>
      </x:c>
    </x:row>
    <x:row r="980">
      <x:c r="B980" t="str">
        <x:v>A-0950</x:v>
      </x:c>
      <x:c r="C980" t="str">
        <x:v>GATE</x:v>
      </x:c>
      <x:c r="D980" t="str">
        <x:v>release ledger mirrors governing state</x:v>
      </x:c>
      <x:c r="E980" t="str">
        <x:f>'Release Gates'!J956</x:f>
        <x:v>OPEN</x:v>
      </x:c>
      <x:c r="F980" t="str">
        <x:f>IF('Release Gates'!C956="PLANNING","PASS",IF('Release Gates'!C956="PHYSICAL","OPEN","BLOCKED"))</x:f>
        <x:v>OPEN</x:v>
      </x:c>
      <x:c r="G980" t="str">
        <x:v>equals</x:v>
      </x:c>
      <x:c r="H980" t="str">
        <x:f>IF(E980=F980,"PASS","FAIL")</x:f>
        <x:v>PASS</x:v>
      </x:c>
    </x:row>
    <x:row r="981">
      <x:c r="B981" t="str">
        <x:v>A-0951</x:v>
      </x:c>
      <x:c r="C981" t="str">
        <x:v>GATE</x:v>
      </x:c>
      <x:c r="D981" t="str">
        <x:v>release ledger mirrors governing state</x:v>
      </x:c>
      <x:c r="E981" t="str">
        <x:f>'Release Gates'!J957</x:f>
        <x:v>OPEN</x:v>
      </x:c>
      <x:c r="F981" t="str">
        <x:f>IF('Release Gates'!C957="PLANNING","PASS",IF('Release Gates'!C957="PHYSICAL","OPEN","BLOCKED"))</x:f>
        <x:v>OPEN</x:v>
      </x:c>
      <x:c r="G981" t="str">
        <x:v>equals</x:v>
      </x:c>
      <x:c r="H981" t="str">
        <x:f>IF(E981=F981,"PASS","FAIL")</x:f>
        <x:v>PASS</x:v>
      </x:c>
    </x:row>
    <x:row r="982">
      <x:c r="B982" t="str">
        <x:v>A-0952</x:v>
      </x:c>
      <x:c r="C982" t="str">
        <x:v>GATE</x:v>
      </x:c>
      <x:c r="D982" t="str">
        <x:v>release ledger mirrors governing state</x:v>
      </x:c>
      <x:c r="E982" t="str">
        <x:f>'Release Gates'!J958</x:f>
        <x:v>OPEN</x:v>
      </x:c>
      <x:c r="F982" t="str">
        <x:f>IF('Release Gates'!C958="PLANNING","PASS",IF('Release Gates'!C958="PHYSICAL","OPEN","BLOCKED"))</x:f>
        <x:v>OPEN</x:v>
      </x:c>
      <x:c r="G982" t="str">
        <x:v>equals</x:v>
      </x:c>
      <x:c r="H982" t="str">
        <x:f>IF(E982=F982,"PASS","FAIL")</x:f>
        <x:v>PASS</x:v>
      </x:c>
    </x:row>
    <x:row r="983">
      <x:c r="B983" t="str">
        <x:v>A-0953</x:v>
      </x:c>
      <x:c r="C983" t="str">
        <x:v>GATE</x:v>
      </x:c>
      <x:c r="D983" t="str">
        <x:v>release ledger mirrors governing state</x:v>
      </x:c>
      <x:c r="E983" t="str">
        <x:f>'Release Gates'!J959</x:f>
        <x:v>OPEN</x:v>
      </x:c>
      <x:c r="F983" t="str">
        <x:f>IF('Release Gates'!C959="PLANNING","PASS",IF('Release Gates'!C959="PHYSICAL","OPEN","BLOCKED"))</x:f>
        <x:v>OPEN</x:v>
      </x:c>
      <x:c r="G983" t="str">
        <x:v>equals</x:v>
      </x:c>
      <x:c r="H983" t="str">
        <x:f>IF(E983=F983,"PASS","FAIL")</x:f>
        <x:v>PASS</x:v>
      </x:c>
    </x:row>
    <x:row r="984">
      <x:c r="B984" t="str">
        <x:v>A-0954</x:v>
      </x:c>
      <x:c r="C984" t="str">
        <x:v>GATE</x:v>
      </x:c>
      <x:c r="D984" t="str">
        <x:v>release ledger mirrors governing state</x:v>
      </x:c>
      <x:c r="E984" t="str">
        <x:f>'Release Gates'!J960</x:f>
        <x:v>OPEN</x:v>
      </x:c>
      <x:c r="F984" t="str">
        <x:f>IF('Release Gates'!C960="PLANNING","PASS",IF('Release Gates'!C960="PHYSICAL","OPEN","BLOCKED"))</x:f>
        <x:v>OPEN</x:v>
      </x:c>
      <x:c r="G984" t="str">
        <x:v>equals</x:v>
      </x:c>
      <x:c r="H984" t="str">
        <x:f>IF(E984=F984,"PASS","FAIL")</x:f>
        <x:v>PASS</x:v>
      </x:c>
    </x:row>
    <x:row r="985">
      <x:c r="B985" t="str">
        <x:v>A-0955</x:v>
      </x:c>
      <x:c r="C985" t="str">
        <x:v>GATE</x:v>
      </x:c>
      <x:c r="D985" t="str">
        <x:v>release ledger mirrors governing state</x:v>
      </x:c>
      <x:c r="E985" t="str">
        <x:f>'Release Gates'!J961</x:f>
        <x:v>OPEN</x:v>
      </x:c>
      <x:c r="F985" t="str">
        <x:f>IF('Release Gates'!C961="PLANNING","PASS",IF('Release Gates'!C961="PHYSICAL","OPEN","BLOCKED"))</x:f>
        <x:v>OPEN</x:v>
      </x:c>
      <x:c r="G985" t="str">
        <x:v>equals</x:v>
      </x:c>
      <x:c r="H985" t="str">
        <x:f>IF(E985=F985,"PASS","FAIL")</x:f>
        <x:v>PASS</x:v>
      </x:c>
    </x:row>
    <x:row r="986">
      <x:c r="B986" t="str">
        <x:v>A-0956</x:v>
      </x:c>
      <x:c r="C986" t="str">
        <x:v>GATE</x:v>
      </x:c>
      <x:c r="D986" t="str">
        <x:v>release ledger mirrors governing state</x:v>
      </x:c>
      <x:c r="E986" t="str">
        <x:f>'Release Gates'!J962</x:f>
        <x:v>OPEN</x:v>
      </x:c>
      <x:c r="F986" t="str">
        <x:f>IF('Release Gates'!C962="PLANNING","PASS",IF('Release Gates'!C962="PHYSICAL","OPEN","BLOCKED"))</x:f>
        <x:v>OPEN</x:v>
      </x:c>
      <x:c r="G986" t="str">
        <x:v>equals</x:v>
      </x:c>
      <x:c r="H986" t="str">
        <x:f>IF(E986=F986,"PASS","FAIL")</x:f>
        <x:v>PASS</x:v>
      </x:c>
    </x:row>
    <x:row r="987">
      <x:c r="B987" t="str">
        <x:v>A-0957</x:v>
      </x:c>
      <x:c r="C987" t="str">
        <x:v>GATE</x:v>
      </x:c>
      <x:c r="D987" t="str">
        <x:v>release ledger mirrors governing state</x:v>
      </x:c>
      <x:c r="E987" t="str">
        <x:f>'Release Gates'!J963</x:f>
        <x:v>OPEN</x:v>
      </x:c>
      <x:c r="F987" t="str">
        <x:f>IF('Release Gates'!C963="PLANNING","PASS",IF('Release Gates'!C963="PHYSICAL","OPEN","BLOCKED"))</x:f>
        <x:v>OPEN</x:v>
      </x:c>
      <x:c r="G987" t="str">
        <x:v>equals</x:v>
      </x:c>
      <x:c r="H987" t="str">
        <x:f>IF(E987=F987,"PASS","FAIL")</x:f>
        <x:v>PASS</x:v>
      </x:c>
    </x:row>
    <x:row r="988">
      <x:c r="B988" t="str">
        <x:v>A-0958</x:v>
      </x:c>
      <x:c r="C988" t="str">
        <x:v>GATE</x:v>
      </x:c>
      <x:c r="D988" t="str">
        <x:v>release ledger mirrors governing state</x:v>
      </x:c>
      <x:c r="E988" t="str">
        <x:f>'Release Gates'!J964</x:f>
        <x:v>OPEN</x:v>
      </x:c>
      <x:c r="F988" t="str">
        <x:f>IF('Release Gates'!C964="PLANNING","PASS",IF('Release Gates'!C964="PHYSICAL","OPEN","BLOCKED"))</x:f>
        <x:v>OPEN</x:v>
      </x:c>
      <x:c r="G988" t="str">
        <x:v>equals</x:v>
      </x:c>
      <x:c r="H988" t="str">
        <x:f>IF(E988=F988,"PASS","FAIL")</x:f>
        <x:v>PASS</x:v>
      </x:c>
    </x:row>
    <x:row r="989">
      <x:c r="B989" t="str">
        <x:v>A-0959</x:v>
      </x:c>
      <x:c r="C989" t="str">
        <x:v>GATE</x:v>
      </x:c>
      <x:c r="D989" t="str">
        <x:v>release ledger mirrors governing state</x:v>
      </x:c>
      <x:c r="E989" t="str">
        <x:f>'Release Gates'!J965</x:f>
        <x:v>OPEN</x:v>
      </x:c>
      <x:c r="F989" t="str">
        <x:f>IF('Release Gates'!C965="PLANNING","PASS",IF('Release Gates'!C965="PHYSICAL","OPEN","BLOCKED"))</x:f>
        <x:v>OPEN</x:v>
      </x:c>
      <x:c r="G989" t="str">
        <x:v>equals</x:v>
      </x:c>
      <x:c r="H989" t="str">
        <x:f>IF(E989=F989,"PASS","FAIL")</x:f>
        <x:v>PASS</x:v>
      </x:c>
    </x:row>
    <x:row r="990">
      <x:c r="B990" t="str">
        <x:v>A-0960</x:v>
      </x:c>
      <x:c r="C990" t="str">
        <x:v>GATE</x:v>
      </x:c>
      <x:c r="D990" t="str">
        <x:v>release ledger mirrors governing state</x:v>
      </x:c>
      <x:c r="E990" t="str">
        <x:f>'Release Gates'!J966</x:f>
        <x:v>OPEN</x:v>
      </x:c>
      <x:c r="F990" t="str">
        <x:f>IF('Release Gates'!C966="PLANNING","PASS",IF('Release Gates'!C966="PHYSICAL","OPEN","BLOCKED"))</x:f>
        <x:v>OPEN</x:v>
      </x:c>
      <x:c r="G990" t="str">
        <x:v>equals</x:v>
      </x:c>
      <x:c r="H990" t="str">
        <x:f>IF(E990=F990,"PASS","FAIL")</x:f>
        <x:v>PASS</x:v>
      </x:c>
    </x:row>
    <x:row r="991">
      <x:c r="B991" t="str">
        <x:v>A-0961</x:v>
      </x:c>
      <x:c r="C991" t="str">
        <x:v>GATE</x:v>
      </x:c>
      <x:c r="D991" t="str">
        <x:v>release ledger mirrors governing state</x:v>
      </x:c>
      <x:c r="E991" t="str">
        <x:f>'Release Gates'!J967</x:f>
        <x:v>OPEN</x:v>
      </x:c>
      <x:c r="F991" t="str">
        <x:f>IF('Release Gates'!C967="PLANNING","PASS",IF('Release Gates'!C967="PHYSICAL","OPEN","BLOCKED"))</x:f>
        <x:v>OPEN</x:v>
      </x:c>
      <x:c r="G991" t="str">
        <x:v>equals</x:v>
      </x:c>
      <x:c r="H991" t="str">
        <x:f>IF(E991=F991,"PASS","FAIL")</x:f>
        <x:v>PASS</x:v>
      </x:c>
    </x:row>
    <x:row r="992">
      <x:c r="B992" t="str">
        <x:v>A-0962</x:v>
      </x:c>
      <x:c r="C992" t="str">
        <x:v>GATE</x:v>
      </x:c>
      <x:c r="D992" t="str">
        <x:v>release ledger mirrors governing state</x:v>
      </x:c>
      <x:c r="E992" t="str">
        <x:f>'Release Gates'!J968</x:f>
        <x:v>OPEN</x:v>
      </x:c>
      <x:c r="F992" t="str">
        <x:f>IF('Release Gates'!C968="PLANNING","PASS",IF('Release Gates'!C968="PHYSICAL","OPEN","BLOCKED"))</x:f>
        <x:v>OPEN</x:v>
      </x:c>
      <x:c r="G992" t="str">
        <x:v>equals</x:v>
      </x:c>
      <x:c r="H992" t="str">
        <x:f>IF(E992=F992,"PASS","FAIL")</x:f>
        <x:v>PASS</x:v>
      </x:c>
    </x:row>
    <x:row r="993">
      <x:c r="B993" t="str">
        <x:v>A-0963</x:v>
      </x:c>
      <x:c r="C993" t="str">
        <x:v>GATE</x:v>
      </x:c>
      <x:c r="D993" t="str">
        <x:v>release ledger mirrors governing state</x:v>
      </x:c>
      <x:c r="E993" t="str">
        <x:f>'Release Gates'!J969</x:f>
        <x:v>OPEN</x:v>
      </x:c>
      <x:c r="F993" t="str">
        <x:f>IF('Release Gates'!C969="PLANNING","PASS",IF('Release Gates'!C969="PHYSICAL","OPEN","BLOCKED"))</x:f>
        <x:v>OPEN</x:v>
      </x:c>
      <x:c r="G993" t="str">
        <x:v>equals</x:v>
      </x:c>
      <x:c r="H993" t="str">
        <x:f>IF(E993=F993,"PASS","FAIL")</x:f>
        <x:v>PASS</x:v>
      </x:c>
    </x:row>
    <x:row r="994">
      <x:c r="B994" t="str">
        <x:v>A-0964</x:v>
      </x:c>
      <x:c r="C994" t="str">
        <x:v>GATE</x:v>
      </x:c>
      <x:c r="D994" t="str">
        <x:v>release ledger mirrors governing state</x:v>
      </x:c>
      <x:c r="E994" t="str">
        <x:f>'Release Gates'!J970</x:f>
        <x:v>OPEN</x:v>
      </x:c>
      <x:c r="F994" t="str">
        <x:f>IF('Release Gates'!C970="PLANNING","PASS",IF('Release Gates'!C970="PHYSICAL","OPEN","BLOCKED"))</x:f>
        <x:v>OPEN</x:v>
      </x:c>
      <x:c r="G994" t="str">
        <x:v>equals</x:v>
      </x:c>
      <x:c r="H994" t="str">
        <x:f>IF(E994=F994,"PASS","FAIL")</x:f>
        <x:v>PASS</x:v>
      </x:c>
    </x:row>
    <x:row r="995">
      <x:c r="B995" t="str">
        <x:v>A-0965</x:v>
      </x:c>
      <x:c r="C995" t="str">
        <x:v>GATE</x:v>
      </x:c>
      <x:c r="D995" t="str">
        <x:v>release ledger mirrors governing state</x:v>
      </x:c>
      <x:c r="E995" t="str">
        <x:f>'Release Gates'!J971</x:f>
        <x:v>OPEN</x:v>
      </x:c>
      <x:c r="F995" t="str">
        <x:f>IF('Release Gates'!C971="PLANNING","PASS",IF('Release Gates'!C971="PHYSICAL","OPEN","BLOCKED"))</x:f>
        <x:v>OPEN</x:v>
      </x:c>
      <x:c r="G995" t="str">
        <x:v>equals</x:v>
      </x:c>
      <x:c r="H995" t="str">
        <x:f>IF(E995=F995,"PASS","FAIL")</x:f>
        <x:v>PASS</x:v>
      </x:c>
    </x:row>
    <x:row r="996">
      <x:c r="B996" t="str">
        <x:v>A-0966</x:v>
      </x:c>
      <x:c r="C996" t="str">
        <x:v>GATE</x:v>
      </x:c>
      <x:c r="D996" t="str">
        <x:v>release ledger mirrors governing state</x:v>
      </x:c>
      <x:c r="E996" t="str">
        <x:f>'Release Gates'!J972</x:f>
        <x:v>OPEN</x:v>
      </x:c>
      <x:c r="F996" t="str">
        <x:f>IF('Release Gates'!C972="PLANNING","PASS",IF('Release Gates'!C972="PHYSICAL","OPEN","BLOCKED"))</x:f>
        <x:v>OPEN</x:v>
      </x:c>
      <x:c r="G996" t="str">
        <x:v>equals</x:v>
      </x:c>
      <x:c r="H996" t="str">
        <x:f>IF(E996=F996,"PASS","FAIL")</x:f>
        <x:v>PASS</x:v>
      </x:c>
    </x:row>
    <x:row r="997">
      <x:c r="B997" t="str">
        <x:v>A-0967</x:v>
      </x:c>
      <x:c r="C997" t="str">
        <x:v>GATE</x:v>
      </x:c>
      <x:c r="D997" t="str">
        <x:v>release ledger mirrors governing state</x:v>
      </x:c>
      <x:c r="E997" t="str">
        <x:f>'Release Gates'!J973</x:f>
        <x:v>OPEN</x:v>
      </x:c>
      <x:c r="F997" t="str">
        <x:f>IF('Release Gates'!C973="PLANNING","PASS",IF('Release Gates'!C973="PHYSICAL","OPEN","BLOCKED"))</x:f>
        <x:v>OPEN</x:v>
      </x:c>
      <x:c r="G997" t="str">
        <x:v>equals</x:v>
      </x:c>
      <x:c r="H997" t="str">
        <x:f>IF(E997=F997,"PASS","FAIL")</x:f>
        <x:v>PASS</x:v>
      </x:c>
    </x:row>
    <x:row r="998">
      <x:c r="B998" t="str">
        <x:v>A-0968</x:v>
      </x:c>
      <x:c r="C998" t="str">
        <x:v>GATE</x:v>
      </x:c>
      <x:c r="D998" t="str">
        <x:v>release ledger mirrors governing state</x:v>
      </x:c>
      <x:c r="E998" t="str">
        <x:f>'Release Gates'!J974</x:f>
        <x:v>OPEN</x:v>
      </x:c>
      <x:c r="F998" t="str">
        <x:f>IF('Release Gates'!C974="PLANNING","PASS",IF('Release Gates'!C974="PHYSICAL","OPEN","BLOCKED"))</x:f>
        <x:v>OPEN</x:v>
      </x:c>
      <x:c r="G998" t="str">
        <x:v>equals</x:v>
      </x:c>
      <x:c r="H998" t="str">
        <x:f>IF(E998=F998,"PASS","FAIL")</x:f>
        <x:v>PASS</x:v>
      </x:c>
    </x:row>
    <x:row r="999">
      <x:c r="B999" t="str">
        <x:v>A-0969</x:v>
      </x:c>
      <x:c r="C999" t="str">
        <x:v>GATE</x:v>
      </x:c>
      <x:c r="D999" t="str">
        <x:v>release ledger mirrors governing state</x:v>
      </x:c>
      <x:c r="E999" t="str">
        <x:f>'Release Gates'!J975</x:f>
        <x:v>OPEN</x:v>
      </x:c>
      <x:c r="F999" t="str">
        <x:f>IF('Release Gates'!C975="PLANNING","PASS",IF('Release Gates'!C975="PHYSICAL","OPEN","BLOCKED"))</x:f>
        <x:v>OPEN</x:v>
      </x:c>
      <x:c r="G999" t="str">
        <x:v>equals</x:v>
      </x:c>
      <x:c r="H999" t="str">
        <x:f>IF(E999=F999,"PASS","FAIL")</x:f>
        <x:v>PASS</x:v>
      </x:c>
    </x:row>
    <x:row r="1000">
      <x:c r="B1000" t="str">
        <x:v>A-0970</x:v>
      </x:c>
      <x:c r="C1000" t="str">
        <x:v>GATE</x:v>
      </x:c>
      <x:c r="D1000" t="str">
        <x:v>release ledger mirrors governing state</x:v>
      </x:c>
      <x:c r="E1000" t="str">
        <x:f>'Release Gates'!J976</x:f>
        <x:v>OPEN</x:v>
      </x:c>
      <x:c r="F1000" t="str">
        <x:f>IF('Release Gates'!C976="PLANNING","PASS",IF('Release Gates'!C976="PHYSICAL","OPEN","BLOCKED"))</x:f>
        <x:v>OPEN</x:v>
      </x:c>
      <x:c r="G1000" t="str">
        <x:v>equals</x:v>
      </x:c>
      <x:c r="H1000" t="str">
        <x:f>IF(E1000=F1000,"PASS","FAIL")</x:f>
        <x:v>PASS</x:v>
      </x:c>
    </x:row>
    <x:row r="1001">
      <x:c r="B1001" t="str">
        <x:v>A-0971</x:v>
      </x:c>
      <x:c r="C1001" t="str">
        <x:v>GATE</x:v>
      </x:c>
      <x:c r="D1001" t="str">
        <x:v>release ledger mirrors governing state</x:v>
      </x:c>
      <x:c r="E1001" t="str">
        <x:f>'Release Gates'!J977</x:f>
        <x:v>OPEN</x:v>
      </x:c>
      <x:c r="F1001" t="str">
        <x:f>IF('Release Gates'!C977="PLANNING","PASS",IF('Release Gates'!C977="PHYSICAL","OPEN","BLOCKED"))</x:f>
        <x:v>OPEN</x:v>
      </x:c>
      <x:c r="G1001" t="str">
        <x:v>equals</x:v>
      </x:c>
      <x:c r="H1001" t="str">
        <x:f>IF(E1001=F1001,"PASS","FAIL")</x:f>
        <x:v>PASS</x:v>
      </x:c>
    </x:row>
    <x:row r="1002">
      <x:c r="B1002" t="str">
        <x:v>A-0972</x:v>
      </x:c>
      <x:c r="C1002" t="str">
        <x:v>GATE</x:v>
      </x:c>
      <x:c r="D1002" t="str">
        <x:v>release ledger mirrors governing state</x:v>
      </x:c>
      <x:c r="E1002" t="str">
        <x:f>'Release Gates'!J978</x:f>
        <x:v>OPEN</x:v>
      </x:c>
      <x:c r="F1002" t="str">
        <x:f>IF('Release Gates'!C978="PLANNING","PASS",IF('Release Gates'!C978="PHYSICAL","OPEN","BLOCKED"))</x:f>
        <x:v>OPEN</x:v>
      </x:c>
      <x:c r="G1002" t="str">
        <x:v>equals</x:v>
      </x:c>
      <x:c r="H1002" t="str">
        <x:f>IF(E1002=F1002,"PASS","FAIL")</x:f>
        <x:v>PASS</x:v>
      </x:c>
    </x:row>
    <x:row r="1003">
      <x:c r="B1003" t="str">
        <x:v>A-0973</x:v>
      </x:c>
      <x:c r="C1003" t="str">
        <x:v>GATE</x:v>
      </x:c>
      <x:c r="D1003" t="str">
        <x:v>release ledger mirrors governing state</x:v>
      </x:c>
      <x:c r="E1003" t="str">
        <x:f>'Release Gates'!J979</x:f>
        <x:v>OPEN</x:v>
      </x:c>
      <x:c r="F1003" t="str">
        <x:f>IF('Release Gates'!C979="PLANNING","PASS",IF('Release Gates'!C979="PHYSICAL","OPEN","BLOCKED"))</x:f>
        <x:v>OPEN</x:v>
      </x:c>
      <x:c r="G1003" t="str">
        <x:v>equals</x:v>
      </x:c>
      <x:c r="H1003" t="str">
        <x:f>IF(E1003=F1003,"PASS","FAIL")</x:f>
        <x:v>PASS</x:v>
      </x:c>
    </x:row>
    <x:row r="1004">
      <x:c r="B1004" t="str">
        <x:v>A-0974</x:v>
      </x:c>
      <x:c r="C1004" t="str">
        <x:v>GATE</x:v>
      </x:c>
      <x:c r="D1004" t="str">
        <x:v>release ledger mirrors governing state</x:v>
      </x:c>
      <x:c r="E1004" t="str">
        <x:f>'Release Gates'!J980</x:f>
        <x:v>OPEN</x:v>
      </x:c>
      <x:c r="F1004" t="str">
        <x:f>IF('Release Gates'!C980="PLANNING","PASS",IF('Release Gates'!C980="PHYSICAL","OPEN","BLOCKED"))</x:f>
        <x:v>OPEN</x:v>
      </x:c>
      <x:c r="G1004" t="str">
        <x:v>equals</x:v>
      </x:c>
      <x:c r="H1004" t="str">
        <x:f>IF(E1004=F1004,"PASS","FAIL")</x:f>
        <x:v>PASS</x:v>
      </x:c>
    </x:row>
    <x:row r="1005">
      <x:c r="B1005" t="str">
        <x:v>A-0975</x:v>
      </x:c>
      <x:c r="C1005" t="str">
        <x:v>GATE</x:v>
      </x:c>
      <x:c r="D1005" t="str">
        <x:v>release ledger mirrors governing state</x:v>
      </x:c>
      <x:c r="E1005" t="str">
        <x:f>'Release Gates'!J981</x:f>
        <x:v>OPEN</x:v>
      </x:c>
      <x:c r="F1005" t="str">
        <x:f>IF('Release Gates'!C981="PLANNING","PASS",IF('Release Gates'!C981="PHYSICAL","OPEN","BLOCKED"))</x:f>
        <x:v>OPEN</x:v>
      </x:c>
      <x:c r="G1005" t="str">
        <x:v>equals</x:v>
      </x:c>
      <x:c r="H1005" t="str">
        <x:f>IF(E1005=F1005,"PASS","FAIL")</x:f>
        <x:v>PASS</x:v>
      </x:c>
    </x:row>
    <x:row r="1006">
      <x:c r="B1006" t="str">
        <x:v>A-0976</x:v>
      </x:c>
      <x:c r="C1006" t="str">
        <x:v>GATE</x:v>
      </x:c>
      <x:c r="D1006" t="str">
        <x:v>release ledger mirrors governing state</x:v>
      </x:c>
      <x:c r="E1006" t="str">
        <x:f>'Release Gates'!J982</x:f>
        <x:v>OPEN</x:v>
      </x:c>
      <x:c r="F1006" t="str">
        <x:f>IF('Release Gates'!C982="PLANNING","PASS",IF('Release Gates'!C982="PHYSICAL","OPEN","BLOCKED"))</x:f>
        <x:v>OPEN</x:v>
      </x:c>
      <x:c r="G1006" t="str">
        <x:v>equals</x:v>
      </x:c>
      <x:c r="H1006" t="str">
        <x:f>IF(E1006=F1006,"PASS","FAIL")</x:f>
        <x:v>PASS</x:v>
      </x:c>
    </x:row>
    <x:row r="1007">
      <x:c r="B1007" t="str">
        <x:v>A-0977</x:v>
      </x:c>
      <x:c r="C1007" t="str">
        <x:v>GATE</x:v>
      </x:c>
      <x:c r="D1007" t="str">
        <x:v>release ledger mirrors governing state</x:v>
      </x:c>
      <x:c r="E1007" t="str">
        <x:f>'Release Gates'!J983</x:f>
        <x:v>OPEN</x:v>
      </x:c>
      <x:c r="F1007" t="str">
        <x:f>IF('Release Gates'!C983="PLANNING","PASS",IF('Release Gates'!C983="PHYSICAL","OPEN","BLOCKED"))</x:f>
        <x:v>OPEN</x:v>
      </x:c>
      <x:c r="G1007" t="str">
        <x:v>equals</x:v>
      </x:c>
      <x:c r="H1007" t="str">
        <x:f>IF(E1007=F1007,"PASS","FAIL")</x:f>
        <x:v>PASS</x:v>
      </x:c>
    </x:row>
    <x:row r="1008">
      <x:c r="B1008" t="str">
        <x:v>A-0978</x:v>
      </x:c>
      <x:c r="C1008" t="str">
        <x:v>GATE</x:v>
      </x:c>
      <x:c r="D1008" t="str">
        <x:v>release ledger mirrors governing state</x:v>
      </x:c>
      <x:c r="E1008" t="str">
        <x:f>'Release Gates'!J984</x:f>
        <x:v>OPEN</x:v>
      </x:c>
      <x:c r="F1008" t="str">
        <x:f>IF('Release Gates'!C984="PLANNING","PASS",IF('Release Gates'!C984="PHYSICAL","OPEN","BLOCKED"))</x:f>
        <x:v>OPEN</x:v>
      </x:c>
      <x:c r="G1008" t="str">
        <x:v>equals</x:v>
      </x:c>
      <x:c r="H1008" t="str">
        <x:f>IF(E1008=F1008,"PASS","FAIL")</x:f>
        <x:v>PASS</x:v>
      </x:c>
    </x:row>
    <x:row r="1009">
      <x:c r="B1009" t="str">
        <x:v>A-0979</x:v>
      </x:c>
      <x:c r="C1009" t="str">
        <x:v>GATE</x:v>
      </x:c>
      <x:c r="D1009" t="str">
        <x:v>release ledger mirrors governing state</x:v>
      </x:c>
      <x:c r="E1009" t="str">
        <x:f>'Release Gates'!J985</x:f>
        <x:v>OPEN</x:v>
      </x:c>
      <x:c r="F1009" t="str">
        <x:f>IF('Release Gates'!C985="PLANNING","PASS",IF('Release Gates'!C985="PHYSICAL","OPEN","BLOCKED"))</x:f>
        <x:v>OPEN</x:v>
      </x:c>
      <x:c r="G1009" t="str">
        <x:v>equals</x:v>
      </x:c>
      <x:c r="H1009" t="str">
        <x:f>IF(E1009=F1009,"PASS","FAIL")</x:f>
        <x:v>PASS</x:v>
      </x:c>
    </x:row>
    <x:row r="1010">
      <x:c r="B1010" t="str">
        <x:v>A-0980</x:v>
      </x:c>
      <x:c r="C1010" t="str">
        <x:v>GATE</x:v>
      </x:c>
      <x:c r="D1010" t="str">
        <x:v>release ledger mirrors governing state</x:v>
      </x:c>
      <x:c r="E1010" t="str">
        <x:f>'Release Gates'!J986</x:f>
        <x:v>OPEN</x:v>
      </x:c>
      <x:c r="F1010" t="str">
        <x:f>IF('Release Gates'!C986="PLANNING","PASS",IF('Release Gates'!C986="PHYSICAL","OPEN","BLOCKED"))</x:f>
        <x:v>OPEN</x:v>
      </x:c>
      <x:c r="G1010" t="str">
        <x:v>equals</x:v>
      </x:c>
      <x:c r="H1010" t="str">
        <x:f>IF(E1010=F1010,"PASS","FAIL")</x:f>
        <x:v>PASS</x:v>
      </x:c>
    </x:row>
    <x:row r="1011">
      <x:c r="B1011" t="str">
        <x:v>A-0981</x:v>
      </x:c>
      <x:c r="C1011" t="str">
        <x:v>GATE</x:v>
      </x:c>
      <x:c r="D1011" t="str">
        <x:v>release ledger mirrors governing state</x:v>
      </x:c>
      <x:c r="E1011" t="str">
        <x:f>'Release Gates'!J987</x:f>
        <x:v>OPEN</x:v>
      </x:c>
      <x:c r="F1011" t="str">
        <x:f>IF('Release Gates'!C987="PLANNING","PASS",IF('Release Gates'!C987="PHYSICAL","OPEN","BLOCKED"))</x:f>
        <x:v>OPEN</x:v>
      </x:c>
      <x:c r="G1011" t="str">
        <x:v>equals</x:v>
      </x:c>
      <x:c r="H1011" t="str">
        <x:f>IF(E1011=F1011,"PASS","FAIL")</x:f>
        <x:v>PASS</x:v>
      </x:c>
    </x:row>
    <x:row r="1012">
      <x:c r="B1012" t="str">
        <x:v>A-0982</x:v>
      </x:c>
      <x:c r="C1012" t="str">
        <x:v>GATE</x:v>
      </x:c>
      <x:c r="D1012" t="str">
        <x:v>release ledger mirrors governing state</x:v>
      </x:c>
      <x:c r="E1012" t="str">
        <x:f>'Release Gates'!J988</x:f>
        <x:v>OPEN</x:v>
      </x:c>
      <x:c r="F1012" t="str">
        <x:f>IF('Release Gates'!C988="PLANNING","PASS",IF('Release Gates'!C988="PHYSICAL","OPEN","BLOCKED"))</x:f>
        <x:v>OPEN</x:v>
      </x:c>
      <x:c r="G1012" t="str">
        <x:v>equals</x:v>
      </x:c>
      <x:c r="H1012" t="str">
        <x:f>IF(E1012=F1012,"PASS","FAIL")</x:f>
        <x:v>PASS</x:v>
      </x:c>
    </x:row>
    <x:row r="1013">
      <x:c r="B1013" t="str">
        <x:v>A-0983</x:v>
      </x:c>
      <x:c r="C1013" t="str">
        <x:v>GATE</x:v>
      </x:c>
      <x:c r="D1013" t="str">
        <x:v>release ledger mirrors governing state</x:v>
      </x:c>
      <x:c r="E1013" t="str">
        <x:f>'Release Gates'!J989</x:f>
        <x:v>OPEN</x:v>
      </x:c>
      <x:c r="F1013" t="str">
        <x:f>IF('Release Gates'!C989="PLANNING","PASS",IF('Release Gates'!C989="PHYSICAL","OPEN","BLOCKED"))</x:f>
        <x:v>OPEN</x:v>
      </x:c>
      <x:c r="G1013" t="str">
        <x:v>equals</x:v>
      </x:c>
      <x:c r="H1013" t="str">
        <x:f>IF(E1013=F1013,"PASS","FAIL")</x:f>
        <x:v>PASS</x:v>
      </x:c>
    </x:row>
    <x:row r="1014">
      <x:c r="B1014" t="str">
        <x:v>A-0984</x:v>
      </x:c>
      <x:c r="C1014" t="str">
        <x:v>GATE</x:v>
      </x:c>
      <x:c r="D1014" t="str">
        <x:v>release ledger mirrors governing state</x:v>
      </x:c>
      <x:c r="E1014" t="str">
        <x:f>'Release Gates'!J990</x:f>
        <x:v>OPEN</x:v>
      </x:c>
      <x:c r="F1014" t="str">
        <x:f>IF('Release Gates'!C990="PLANNING","PASS",IF('Release Gates'!C990="PHYSICAL","OPEN","BLOCKED"))</x:f>
        <x:v>OPEN</x:v>
      </x:c>
      <x:c r="G1014" t="str">
        <x:v>equals</x:v>
      </x:c>
      <x:c r="H1014" t="str">
        <x:f>IF(E1014=F1014,"PASS","FAIL")</x:f>
        <x:v>PASS</x:v>
      </x:c>
    </x:row>
    <x:row r="1015">
      <x:c r="B1015" t="str">
        <x:v>A-0985</x:v>
      </x:c>
      <x:c r="C1015" t="str">
        <x:v>GATE</x:v>
      </x:c>
      <x:c r="D1015" t="str">
        <x:v>release ledger mirrors governing state</x:v>
      </x:c>
      <x:c r="E1015" t="str">
        <x:f>'Release Gates'!J991</x:f>
        <x:v>OPEN</x:v>
      </x:c>
      <x:c r="F1015" t="str">
        <x:f>IF('Release Gates'!C991="PLANNING","PASS",IF('Release Gates'!C991="PHYSICAL","OPEN","BLOCKED"))</x:f>
        <x:v>OPEN</x:v>
      </x:c>
      <x:c r="G1015" t="str">
        <x:v>equals</x:v>
      </x:c>
      <x:c r="H1015" t="str">
        <x:f>IF(E1015=F1015,"PASS","FAIL")</x:f>
        <x:v>PASS</x:v>
      </x:c>
    </x:row>
    <x:row r="1016">
      <x:c r="B1016" t="str">
        <x:v>A-0986</x:v>
      </x:c>
      <x:c r="C1016" t="str">
        <x:v>GATE</x:v>
      </x:c>
      <x:c r="D1016" t="str">
        <x:v>release ledger mirrors governing state</x:v>
      </x:c>
      <x:c r="E1016" t="str">
        <x:f>'Release Gates'!J992</x:f>
        <x:v>OPEN</x:v>
      </x:c>
      <x:c r="F1016" t="str">
        <x:f>IF('Release Gates'!C992="PLANNING","PASS",IF('Release Gates'!C992="PHYSICAL","OPEN","BLOCKED"))</x:f>
        <x:v>OPEN</x:v>
      </x:c>
      <x:c r="G1016" t="str">
        <x:v>equals</x:v>
      </x:c>
      <x:c r="H1016" t="str">
        <x:f>IF(E1016=F1016,"PASS","FAIL")</x:f>
        <x:v>PASS</x:v>
      </x:c>
    </x:row>
    <x:row r="1017">
      <x:c r="B1017" t="str">
        <x:v>A-0987</x:v>
      </x:c>
      <x:c r="C1017" t="str">
        <x:v>GATE</x:v>
      </x:c>
      <x:c r="D1017" t="str">
        <x:v>release ledger mirrors governing state</x:v>
      </x:c>
      <x:c r="E1017" t="str">
        <x:f>'Release Gates'!J993</x:f>
        <x:v>OPEN</x:v>
      </x:c>
      <x:c r="F1017" t="str">
        <x:f>IF('Release Gates'!C993="PLANNING","PASS",IF('Release Gates'!C993="PHYSICAL","OPEN","BLOCKED"))</x:f>
        <x:v>OPEN</x:v>
      </x:c>
      <x:c r="G1017" t="str">
        <x:v>equals</x:v>
      </x:c>
      <x:c r="H1017" t="str">
        <x:f>IF(E1017=F1017,"PASS","FAIL")</x:f>
        <x:v>PASS</x:v>
      </x:c>
    </x:row>
    <x:row r="1018">
      <x:c r="B1018" t="str">
        <x:v>A-0988</x:v>
      </x:c>
      <x:c r="C1018" t="str">
        <x:v>GATE</x:v>
      </x:c>
      <x:c r="D1018" t="str">
        <x:v>release ledger mirrors governing state</x:v>
      </x:c>
      <x:c r="E1018" t="str">
        <x:f>'Release Gates'!J994</x:f>
        <x:v>OPEN</x:v>
      </x:c>
      <x:c r="F1018" t="str">
        <x:f>IF('Release Gates'!C994="PLANNING","PASS",IF('Release Gates'!C994="PHYSICAL","OPEN","BLOCKED"))</x:f>
        <x:v>OPEN</x:v>
      </x:c>
      <x:c r="G1018" t="str">
        <x:v>equals</x:v>
      </x:c>
      <x:c r="H1018" t="str">
        <x:f>IF(E1018=F1018,"PASS","FAIL")</x:f>
        <x:v>PASS</x:v>
      </x:c>
    </x:row>
    <x:row r="1019">
      <x:c r="B1019" t="str">
        <x:v>A-0989</x:v>
      </x:c>
      <x:c r="C1019" t="str">
        <x:v>GATE</x:v>
      </x:c>
      <x:c r="D1019" t="str">
        <x:v>release ledger mirrors governing state</x:v>
      </x:c>
      <x:c r="E1019" t="str">
        <x:f>'Release Gates'!J995</x:f>
        <x:v>OPEN</x:v>
      </x:c>
      <x:c r="F1019" t="str">
        <x:f>IF('Release Gates'!C995="PLANNING","PASS",IF('Release Gates'!C995="PHYSICAL","OPEN","BLOCKED"))</x:f>
        <x:v>OPEN</x:v>
      </x:c>
      <x:c r="G1019" t="str">
        <x:v>equals</x:v>
      </x:c>
      <x:c r="H1019" t="str">
        <x:f>IF(E1019=F1019,"PASS","FAIL")</x:f>
        <x:v>PASS</x:v>
      </x:c>
    </x:row>
    <x:row r="1020">
      <x:c r="B1020" t="str">
        <x:v>A-0990</x:v>
      </x:c>
      <x:c r="C1020" t="str">
        <x:v>GATE</x:v>
      </x:c>
      <x:c r="D1020" t="str">
        <x:v>release ledger mirrors governing state</x:v>
      </x:c>
      <x:c r="E1020" t="str">
        <x:f>'Release Gates'!J996</x:f>
        <x:v>OPEN</x:v>
      </x:c>
      <x:c r="F1020" t="str">
        <x:f>IF('Release Gates'!C996="PLANNING","PASS",IF('Release Gates'!C996="PHYSICAL","OPEN","BLOCKED"))</x:f>
        <x:v>OPEN</x:v>
      </x:c>
      <x:c r="G1020" t="str">
        <x:v>equals</x:v>
      </x:c>
      <x:c r="H1020" t="str">
        <x:f>IF(E1020=F1020,"PASS","FAIL")</x:f>
        <x:v>PASS</x:v>
      </x:c>
    </x:row>
    <x:row r="1021">
      <x:c r="B1021" t="str">
        <x:v>A-0991</x:v>
      </x:c>
      <x:c r="C1021" t="str">
        <x:v>GATE</x:v>
      </x:c>
      <x:c r="D1021" t="str">
        <x:v>release ledger mirrors governing state</x:v>
      </x:c>
      <x:c r="E1021" t="str">
        <x:f>'Release Gates'!J997</x:f>
        <x:v>OPEN</x:v>
      </x:c>
      <x:c r="F1021" t="str">
        <x:f>IF('Release Gates'!C997="PLANNING","PASS",IF('Release Gates'!C997="PHYSICAL","OPEN","BLOCKED"))</x:f>
        <x:v>OPEN</x:v>
      </x:c>
      <x:c r="G1021" t="str">
        <x:v>equals</x:v>
      </x:c>
      <x:c r="H1021" t="str">
        <x:f>IF(E1021=F1021,"PASS","FAIL")</x:f>
        <x:v>PASS</x:v>
      </x:c>
    </x:row>
    <x:row r="1022">
      <x:c r="B1022" t="str">
        <x:v>A-0992</x:v>
      </x:c>
      <x:c r="C1022" t="str">
        <x:v>GATE</x:v>
      </x:c>
      <x:c r="D1022" t="str">
        <x:v>release ledger mirrors governing state</x:v>
      </x:c>
      <x:c r="E1022" t="str">
        <x:f>'Release Gates'!J998</x:f>
        <x:v>OPEN</x:v>
      </x:c>
      <x:c r="F1022" t="str">
        <x:f>IF('Release Gates'!C998="PLANNING","PASS",IF('Release Gates'!C998="PHYSICAL","OPEN","BLOCKED"))</x:f>
        <x:v>OPEN</x:v>
      </x:c>
      <x:c r="G1022" t="str">
        <x:v>equals</x:v>
      </x:c>
      <x:c r="H1022" t="str">
        <x:f>IF(E1022=F1022,"PASS","FAIL")</x:f>
        <x:v>PASS</x:v>
      </x:c>
    </x:row>
    <x:row r="1023">
      <x:c r="B1023" t="str">
        <x:v>A-0993</x:v>
      </x:c>
      <x:c r="C1023" t="str">
        <x:v>GATE</x:v>
      </x:c>
      <x:c r="D1023" t="str">
        <x:v>release ledger mirrors governing state</x:v>
      </x:c>
      <x:c r="E1023" t="str">
        <x:f>'Release Gates'!J999</x:f>
        <x:v>OPEN</x:v>
      </x:c>
      <x:c r="F1023" t="str">
        <x:f>IF('Release Gates'!C999="PLANNING","PASS",IF('Release Gates'!C999="PHYSICAL","OPEN","BLOCKED"))</x:f>
        <x:v>OPEN</x:v>
      </x:c>
      <x:c r="G1023" t="str">
        <x:v>equals</x:v>
      </x:c>
      <x:c r="H1023" t="str">
        <x:f>IF(E1023=F1023,"PASS","FAIL")</x:f>
        <x:v>PASS</x:v>
      </x:c>
    </x:row>
    <x:row r="1024">
      <x:c r="B1024" t="str">
        <x:v>A-0994</x:v>
      </x:c>
      <x:c r="C1024" t="str">
        <x:v>GATE</x:v>
      </x:c>
      <x:c r="D1024" t="str">
        <x:v>release ledger mirrors governing state</x:v>
      </x:c>
      <x:c r="E1024" t="str">
        <x:f>'Release Gates'!J1000</x:f>
        <x:v>OPEN</x:v>
      </x:c>
      <x:c r="F1024" t="str">
        <x:f>IF('Release Gates'!C1000="PLANNING","PASS",IF('Release Gates'!C1000="PHYSICAL","OPEN","BLOCKED"))</x:f>
        <x:v>OPEN</x:v>
      </x:c>
      <x:c r="G1024" t="str">
        <x:v>equals</x:v>
      </x:c>
      <x:c r="H1024" t="str">
        <x:f>IF(E1024=F1024,"PASS","FAIL")</x:f>
        <x:v>PASS</x:v>
      </x:c>
    </x:row>
    <x:row r="1025">
      <x:c r="B1025" t="str">
        <x:v>A-0995</x:v>
      </x:c>
      <x:c r="C1025" t="str">
        <x:v>GATE</x:v>
      </x:c>
      <x:c r="D1025" t="str">
        <x:v>release ledger mirrors governing state</x:v>
      </x:c>
      <x:c r="E1025" t="str">
        <x:f>'Release Gates'!J1001</x:f>
        <x:v>OPEN</x:v>
      </x:c>
      <x:c r="F1025" t="str">
        <x:f>IF('Release Gates'!C1001="PLANNING","PASS",IF('Release Gates'!C1001="PHYSICAL","OPEN","BLOCKED"))</x:f>
        <x:v>OPEN</x:v>
      </x:c>
      <x:c r="G1025" t="str">
        <x:v>equals</x:v>
      </x:c>
      <x:c r="H1025" t="str">
        <x:f>IF(E1025=F1025,"PASS","FAIL")</x:f>
        <x:v>PASS</x:v>
      </x:c>
    </x:row>
    <x:row r="1026">
      <x:c r="B1026" t="str">
        <x:v>A-0996</x:v>
      </x:c>
      <x:c r="C1026" t="str">
        <x:v>GATE</x:v>
      </x:c>
      <x:c r="D1026" t="str">
        <x:v>release ledger mirrors governing state</x:v>
      </x:c>
      <x:c r="E1026" t="str">
        <x:f>'Release Gates'!J1002</x:f>
        <x:v>OPEN</x:v>
      </x:c>
      <x:c r="F1026" t="str">
        <x:f>IF('Release Gates'!C1002="PLANNING","PASS",IF('Release Gates'!C1002="PHYSICAL","OPEN","BLOCKED"))</x:f>
        <x:v>OPEN</x:v>
      </x:c>
      <x:c r="G1026" t="str">
        <x:v>equals</x:v>
      </x:c>
      <x:c r="H1026" t="str">
        <x:f>IF(E1026=F1026,"PASS","FAIL")</x:f>
        <x:v>PASS</x:v>
      </x:c>
    </x:row>
    <x:row r="1027">
      <x:c r="B1027" t="str">
        <x:v>A-0997</x:v>
      </x:c>
      <x:c r="C1027" t="str">
        <x:v>GATE</x:v>
      </x:c>
      <x:c r="D1027" t="str">
        <x:v>release ledger mirrors governing state</x:v>
      </x:c>
      <x:c r="E1027" t="str">
        <x:f>'Release Gates'!J1003</x:f>
        <x:v>OPEN</x:v>
      </x:c>
      <x:c r="F1027" t="str">
        <x:f>IF('Release Gates'!C1003="PLANNING","PASS",IF('Release Gates'!C1003="PHYSICAL","OPEN","BLOCKED"))</x:f>
        <x:v>OPEN</x:v>
      </x:c>
      <x:c r="G1027" t="str">
        <x:v>equals</x:v>
      </x:c>
      <x:c r="H1027" t="str">
        <x:f>IF(E1027=F1027,"PASS","FAIL")</x:f>
        <x:v>PASS</x:v>
      </x:c>
    </x:row>
    <x:row r="1028">
      <x:c r="B1028" t="str">
        <x:v>A-0998</x:v>
      </x:c>
      <x:c r="C1028" t="str">
        <x:v>GATE</x:v>
      </x:c>
      <x:c r="D1028" t="str">
        <x:v>release ledger mirrors governing state</x:v>
      </x:c>
      <x:c r="E1028" t="str">
        <x:f>'Release Gates'!J1004</x:f>
        <x:v>OPEN</x:v>
      </x:c>
      <x:c r="F1028" t="str">
        <x:f>IF('Release Gates'!C1004="PLANNING","PASS",IF('Release Gates'!C1004="PHYSICAL","OPEN","BLOCKED"))</x:f>
        <x:v>OPEN</x:v>
      </x:c>
      <x:c r="G1028" t="str">
        <x:v>equals</x:v>
      </x:c>
      <x:c r="H1028" t="str">
        <x:f>IF(E1028=F1028,"PASS","FAIL")</x:f>
        <x:v>PASS</x:v>
      </x:c>
    </x:row>
    <x:row r="1029">
      <x:c r="B1029" t="str">
        <x:v>A-0999</x:v>
      </x:c>
      <x:c r="C1029" t="str">
        <x:v>GATE</x:v>
      </x:c>
      <x:c r="D1029" t="str">
        <x:v>release ledger mirrors governing state</x:v>
      </x:c>
      <x:c r="E1029" t="str">
        <x:f>'Release Gates'!J1005</x:f>
        <x:v>OPEN</x:v>
      </x:c>
      <x:c r="F1029" t="str">
        <x:f>IF('Release Gates'!C1005="PLANNING","PASS",IF('Release Gates'!C1005="PHYSICAL","OPEN","BLOCKED"))</x:f>
        <x:v>OPEN</x:v>
      </x:c>
      <x:c r="G1029" t="str">
        <x:v>equals</x:v>
      </x:c>
      <x:c r="H1029" t="str">
        <x:f>IF(E1029=F1029,"PASS","FAIL")</x:f>
        <x:v>PASS</x:v>
      </x:c>
    </x:row>
    <x:row r="1030">
      <x:c r="B1030" t="str">
        <x:v>A-1000</x:v>
      </x:c>
      <x:c r="C1030" t="str">
        <x:v>GATE</x:v>
      </x:c>
      <x:c r="D1030" t="str">
        <x:v>release ledger mirrors governing state</x:v>
      </x:c>
      <x:c r="E1030" t="str">
        <x:f>'Release Gates'!J1006</x:f>
        <x:v>OPEN</x:v>
      </x:c>
      <x:c r="F1030" t="str">
        <x:f>IF('Release Gates'!C1006="PLANNING","PASS",IF('Release Gates'!C1006="PHYSICAL","OPEN","BLOCKED"))</x:f>
        <x:v>OPEN</x:v>
      </x:c>
      <x:c r="G1030" t="str">
        <x:v>equals</x:v>
      </x:c>
      <x:c r="H1030" t="str">
        <x:f>IF(E1030=F1030,"PASS","FAIL")</x:f>
        <x:v>PASS</x:v>
      </x:c>
    </x:row>
    <x:row r="1031">
      <x:c r="B1031" t="str">
        <x:v>A-1001</x:v>
      </x:c>
      <x:c r="C1031" t="str">
        <x:v>GATE</x:v>
      </x:c>
      <x:c r="D1031" t="str">
        <x:v>release ledger mirrors governing state</x:v>
      </x:c>
      <x:c r="E1031" t="str">
        <x:f>'Release Gates'!J1007</x:f>
        <x:v>OPEN</x:v>
      </x:c>
      <x:c r="F1031" t="str">
        <x:f>IF('Release Gates'!C1007="PLANNING","PASS",IF('Release Gates'!C1007="PHYSICAL","OPEN","BLOCKED"))</x:f>
        <x:v>OPEN</x:v>
      </x:c>
      <x:c r="G1031" t="str">
        <x:v>equals</x:v>
      </x:c>
      <x:c r="H1031" t="str">
        <x:f>IF(E1031=F1031,"PASS","FAIL")</x:f>
        <x:v>PASS</x:v>
      </x:c>
    </x:row>
    <x:row r="1032">
      <x:c r="B1032" t="str">
        <x:v>A-1002</x:v>
      </x:c>
      <x:c r="C1032" t="str">
        <x:v>GATE</x:v>
      </x:c>
      <x:c r="D1032" t="str">
        <x:v>release ledger mirrors governing state</x:v>
      </x:c>
      <x:c r="E1032" t="str">
        <x:f>'Release Gates'!J1008</x:f>
        <x:v>OPEN</x:v>
      </x:c>
      <x:c r="F1032" t="str">
        <x:f>IF('Release Gates'!C1008="PLANNING","PASS",IF('Release Gates'!C1008="PHYSICAL","OPEN","BLOCKED"))</x:f>
        <x:v>OPEN</x:v>
      </x:c>
      <x:c r="G1032" t="str">
        <x:v>equals</x:v>
      </x:c>
      <x:c r="H1032" t="str">
        <x:f>IF(E1032=F1032,"PASS","FAIL")</x:f>
        <x:v>PASS</x:v>
      </x:c>
    </x:row>
    <x:row r="1033">
      <x:c r="B1033" t="str">
        <x:v>A-1003</x:v>
      </x:c>
      <x:c r="C1033" t="str">
        <x:v>GATE</x:v>
      </x:c>
      <x:c r="D1033" t="str">
        <x:v>release ledger mirrors governing state</x:v>
      </x:c>
      <x:c r="E1033" t="str">
        <x:f>'Release Gates'!J1009</x:f>
        <x:v>OPEN</x:v>
      </x:c>
      <x:c r="F1033" t="str">
        <x:f>IF('Release Gates'!C1009="PLANNING","PASS",IF('Release Gates'!C1009="PHYSICAL","OPEN","BLOCKED"))</x:f>
        <x:v>OPEN</x:v>
      </x:c>
      <x:c r="G1033" t="str">
        <x:v>equals</x:v>
      </x:c>
      <x:c r="H1033" t="str">
        <x:f>IF(E1033=F1033,"PASS","FAIL")</x:f>
        <x:v>PASS</x:v>
      </x:c>
    </x:row>
    <x:row r="1034">
      <x:c r="B1034" t="str">
        <x:v>A-1004</x:v>
      </x:c>
      <x:c r="C1034" t="str">
        <x:v>GATE</x:v>
      </x:c>
      <x:c r="D1034" t="str">
        <x:v>release ledger mirrors governing state</x:v>
      </x:c>
      <x:c r="E1034" t="str">
        <x:f>'Release Gates'!J1010</x:f>
        <x:v>OPEN</x:v>
      </x:c>
      <x:c r="F1034" t="str">
        <x:f>IF('Release Gates'!C1010="PLANNING","PASS",IF('Release Gates'!C1010="PHYSICAL","OPEN","BLOCKED"))</x:f>
        <x:v>OPEN</x:v>
      </x:c>
      <x:c r="G1034" t="str">
        <x:v>equals</x:v>
      </x:c>
      <x:c r="H1034" t="str">
        <x:f>IF(E1034=F1034,"PASS","FAIL")</x:f>
        <x:v>PASS</x:v>
      </x:c>
    </x:row>
    <x:row r="1035">
      <x:c r="B1035" t="str">
        <x:v>A-1005</x:v>
      </x:c>
      <x:c r="C1035" t="str">
        <x:v>GATE</x:v>
      </x:c>
      <x:c r="D1035" t="str">
        <x:v>release ledger mirrors governing state</x:v>
      </x:c>
      <x:c r="E1035" t="str">
        <x:f>'Release Gates'!J1011</x:f>
        <x:v>OPEN</x:v>
      </x:c>
      <x:c r="F1035" t="str">
        <x:f>IF('Release Gates'!C1011="PLANNING","PASS",IF('Release Gates'!C1011="PHYSICAL","OPEN","BLOCKED"))</x:f>
        <x:v>OPEN</x:v>
      </x:c>
      <x:c r="G1035" t="str">
        <x:v>equals</x:v>
      </x:c>
      <x:c r="H1035" t="str">
        <x:f>IF(E1035=F1035,"PASS","FAIL")</x:f>
        <x:v>PASS</x:v>
      </x:c>
    </x:row>
    <x:row r="1036">
      <x:c r="B1036" t="str">
        <x:v>A-1006</x:v>
      </x:c>
      <x:c r="C1036" t="str">
        <x:v>GATE</x:v>
      </x:c>
      <x:c r="D1036" t="str">
        <x:v>release ledger mirrors governing state</x:v>
      </x:c>
      <x:c r="E1036" t="str">
        <x:f>'Release Gates'!J1012</x:f>
        <x:v>OPEN</x:v>
      </x:c>
      <x:c r="F1036" t="str">
        <x:f>IF('Release Gates'!C1012="PLANNING","PASS",IF('Release Gates'!C1012="PHYSICAL","OPEN","BLOCKED"))</x:f>
        <x:v>OPEN</x:v>
      </x:c>
      <x:c r="G1036" t="str">
        <x:v>equals</x:v>
      </x:c>
      <x:c r="H1036" t="str">
        <x:f>IF(E1036=F1036,"PASS","FAIL")</x:f>
        <x:v>PASS</x:v>
      </x:c>
    </x:row>
    <x:row r="1037">
      <x:c r="B1037" t="str">
        <x:v>A-1007</x:v>
      </x:c>
      <x:c r="C1037" t="str">
        <x:v>GATE</x:v>
      </x:c>
      <x:c r="D1037" t="str">
        <x:v>release ledger mirrors governing state</x:v>
      </x:c>
      <x:c r="E1037" t="str">
        <x:f>'Release Gates'!J1013</x:f>
        <x:v>OPEN</x:v>
      </x:c>
      <x:c r="F1037" t="str">
        <x:f>IF('Release Gates'!C1013="PLANNING","PASS",IF('Release Gates'!C1013="PHYSICAL","OPEN","BLOCKED"))</x:f>
        <x:v>OPEN</x:v>
      </x:c>
      <x:c r="G1037" t="str">
        <x:v>equals</x:v>
      </x:c>
      <x:c r="H1037" t="str">
        <x:f>IF(E1037=F1037,"PASS","FAIL")</x:f>
        <x:v>PASS</x:v>
      </x:c>
    </x:row>
    <x:row r="1038">
      <x:c r="B1038" t="str">
        <x:v>A-1008</x:v>
      </x:c>
      <x:c r="C1038" t="str">
        <x:v>GATE</x:v>
      </x:c>
      <x:c r="D1038" t="str">
        <x:v>release ledger mirrors governing state</x:v>
      </x:c>
      <x:c r="E1038" t="str">
        <x:f>'Release Gates'!J1014</x:f>
        <x:v>OPEN</x:v>
      </x:c>
      <x:c r="F1038" t="str">
        <x:f>IF('Release Gates'!C1014="PLANNING","PASS",IF('Release Gates'!C1014="PHYSICAL","OPEN","BLOCKED"))</x:f>
        <x:v>OPEN</x:v>
      </x:c>
      <x:c r="G1038" t="str">
        <x:v>equals</x:v>
      </x:c>
      <x:c r="H1038" t="str">
        <x:f>IF(E1038=F1038,"PASS","FAIL")</x:f>
        <x:v>PASS</x:v>
      </x:c>
    </x:row>
    <x:row r="1039">
      <x:c r="B1039" t="str">
        <x:v>A-1009</x:v>
      </x:c>
      <x:c r="C1039" t="str">
        <x:v>GATE</x:v>
      </x:c>
      <x:c r="D1039" t="str">
        <x:v>release ledger mirrors governing state</x:v>
      </x:c>
      <x:c r="E1039" t="str">
        <x:f>'Release Gates'!J1015</x:f>
        <x:v>OPEN</x:v>
      </x:c>
      <x:c r="F1039" t="str">
        <x:f>IF('Release Gates'!C1015="PLANNING","PASS",IF('Release Gates'!C1015="PHYSICAL","OPEN","BLOCKED"))</x:f>
        <x:v>OPEN</x:v>
      </x:c>
      <x:c r="G1039" t="str">
        <x:v>equals</x:v>
      </x:c>
      <x:c r="H1039" t="str">
        <x:f>IF(E1039=F1039,"PASS","FAIL")</x:f>
        <x:v>PASS</x:v>
      </x:c>
    </x:row>
    <x:row r="1040">
      <x:c r="B1040" t="str">
        <x:v>A-1010</x:v>
      </x:c>
      <x:c r="C1040" t="str">
        <x:v>GATE</x:v>
      </x:c>
      <x:c r="D1040" t="str">
        <x:v>release ledger mirrors governing state</x:v>
      </x:c>
      <x:c r="E1040" t="str">
        <x:f>'Release Gates'!J1016</x:f>
        <x:v>OPEN</x:v>
      </x:c>
      <x:c r="F1040" t="str">
        <x:f>IF('Release Gates'!C1016="PLANNING","PASS",IF('Release Gates'!C1016="PHYSICAL","OPEN","BLOCKED"))</x:f>
        <x:v>OPEN</x:v>
      </x:c>
      <x:c r="G1040" t="str">
        <x:v>equals</x:v>
      </x:c>
      <x:c r="H1040" t="str">
        <x:f>IF(E1040=F1040,"PASS","FAIL")</x:f>
        <x:v>PASS</x:v>
      </x:c>
    </x:row>
    <x:row r="1041">
      <x:c r="B1041" t="str">
        <x:v>A-1011</x:v>
      </x:c>
      <x:c r="C1041" t="str">
        <x:v>GATE</x:v>
      </x:c>
      <x:c r="D1041" t="str">
        <x:v>release ledger mirrors governing state</x:v>
      </x:c>
      <x:c r="E1041" t="str">
        <x:f>'Release Gates'!J1017</x:f>
        <x:v>OPEN</x:v>
      </x:c>
      <x:c r="F1041" t="str">
        <x:f>IF('Release Gates'!C1017="PLANNING","PASS",IF('Release Gates'!C1017="PHYSICAL","OPEN","BLOCKED"))</x:f>
        <x:v>OPEN</x:v>
      </x:c>
      <x:c r="G1041" t="str">
        <x:v>equals</x:v>
      </x:c>
      <x:c r="H1041" t="str">
        <x:f>IF(E1041=F1041,"PASS","FAIL")</x:f>
        <x:v>PASS</x:v>
      </x:c>
    </x:row>
    <x:row r="1042">
      <x:c r="B1042" t="str">
        <x:v>A-1012</x:v>
      </x:c>
      <x:c r="C1042" t="str">
        <x:v>GATE</x:v>
      </x:c>
      <x:c r="D1042" t="str">
        <x:v>release ledger mirrors governing state</x:v>
      </x:c>
      <x:c r="E1042" t="str">
        <x:f>'Release Gates'!J1018</x:f>
        <x:v>OPEN</x:v>
      </x:c>
      <x:c r="F1042" t="str">
        <x:f>IF('Release Gates'!C1018="PLANNING","PASS",IF('Release Gates'!C1018="PHYSICAL","OPEN","BLOCKED"))</x:f>
        <x:v>OPEN</x:v>
      </x:c>
      <x:c r="G1042" t="str">
        <x:v>equals</x:v>
      </x:c>
      <x:c r="H1042" t="str">
        <x:f>IF(E1042=F1042,"PASS","FAIL")</x:f>
        <x:v>PASS</x:v>
      </x:c>
    </x:row>
    <x:row r="1043">
      <x:c r="B1043" t="str">
        <x:v>A-1013</x:v>
      </x:c>
      <x:c r="C1043" t="str">
        <x:v>GATE</x:v>
      </x:c>
      <x:c r="D1043" t="str">
        <x:v>release ledger mirrors governing state</x:v>
      </x:c>
      <x:c r="E1043" t="str">
        <x:f>'Release Gates'!J1019</x:f>
        <x:v>OPEN</x:v>
      </x:c>
      <x:c r="F1043" t="str">
        <x:f>IF('Release Gates'!C1019="PLANNING","PASS",IF('Release Gates'!C1019="PHYSICAL","OPEN","BLOCKED"))</x:f>
        <x:v>OPEN</x:v>
      </x:c>
      <x:c r="G1043" t="str">
        <x:v>equals</x:v>
      </x:c>
      <x:c r="H1043" t="str">
        <x:f>IF(E1043=F1043,"PASS","FAIL")</x:f>
        <x:v>PASS</x:v>
      </x:c>
    </x:row>
    <x:row r="1044">
      <x:c r="B1044" t="str">
        <x:v>A-1014</x:v>
      </x:c>
      <x:c r="C1044" t="str">
        <x:v>GATE</x:v>
      </x:c>
      <x:c r="D1044" t="str">
        <x:v>release ledger mirrors governing state</x:v>
      </x:c>
      <x:c r="E1044" t="str">
        <x:f>'Release Gates'!J1020</x:f>
        <x:v>OPEN</x:v>
      </x:c>
      <x:c r="F1044" t="str">
        <x:f>IF('Release Gates'!C1020="PLANNING","PASS",IF('Release Gates'!C1020="PHYSICAL","OPEN","BLOCKED"))</x:f>
        <x:v>OPEN</x:v>
      </x:c>
      <x:c r="G1044" t="str">
        <x:v>equals</x:v>
      </x:c>
      <x:c r="H1044" t="str">
        <x:f>IF(E1044=F1044,"PASS","FAIL")</x:f>
        <x:v>PASS</x:v>
      </x:c>
    </x:row>
    <x:row r="1045">
      <x:c r="B1045" t="str">
        <x:v>A-1015</x:v>
      </x:c>
      <x:c r="C1045" t="str">
        <x:v>GATE</x:v>
      </x:c>
      <x:c r="D1045" t="str">
        <x:v>release ledger mirrors governing state</x:v>
      </x:c>
      <x:c r="E1045" t="str">
        <x:f>'Release Gates'!J1021</x:f>
        <x:v>OPEN</x:v>
      </x:c>
      <x:c r="F1045" t="str">
        <x:f>IF('Release Gates'!C1021="PLANNING","PASS",IF('Release Gates'!C1021="PHYSICAL","OPEN","BLOCKED"))</x:f>
        <x:v>OPEN</x:v>
      </x:c>
      <x:c r="G1045" t="str">
        <x:v>equals</x:v>
      </x:c>
      <x:c r="H1045" t="str">
        <x:f>IF(E1045=F1045,"PASS","FAIL")</x:f>
        <x:v>PASS</x:v>
      </x:c>
    </x:row>
    <x:row r="1046">
      <x:c r="B1046" t="str">
        <x:v>A-1016</x:v>
      </x:c>
      <x:c r="C1046" t="str">
        <x:v>GATE</x:v>
      </x:c>
      <x:c r="D1046" t="str">
        <x:v>release ledger mirrors governing state</x:v>
      </x:c>
      <x:c r="E1046" t="str">
        <x:f>'Release Gates'!J1022</x:f>
        <x:v>OPEN</x:v>
      </x:c>
      <x:c r="F1046" t="str">
        <x:f>IF('Release Gates'!C1022="PLANNING","PASS",IF('Release Gates'!C1022="PHYSICAL","OPEN","BLOCKED"))</x:f>
        <x:v>OPEN</x:v>
      </x:c>
      <x:c r="G1046" t="str">
        <x:v>equals</x:v>
      </x:c>
      <x:c r="H1046" t="str">
        <x:f>IF(E1046=F1046,"PASS","FAIL")</x:f>
        <x:v>PASS</x:v>
      </x:c>
    </x:row>
    <x:row r="1047">
      <x:c r="B1047" t="str">
        <x:v>A-1017</x:v>
      </x:c>
      <x:c r="C1047" t="str">
        <x:v>GATE</x:v>
      </x:c>
      <x:c r="D1047" t="str">
        <x:v>release ledger mirrors governing state</x:v>
      </x:c>
      <x:c r="E1047" t="str">
        <x:f>'Release Gates'!J1023</x:f>
        <x:v>OPEN</x:v>
      </x:c>
      <x:c r="F1047" t="str">
        <x:f>IF('Release Gates'!C1023="PLANNING","PASS",IF('Release Gates'!C1023="PHYSICAL","OPEN","BLOCKED"))</x:f>
        <x:v>OPEN</x:v>
      </x:c>
      <x:c r="G1047" t="str">
        <x:v>equals</x:v>
      </x:c>
      <x:c r="H1047" t="str">
        <x:f>IF(E1047=F1047,"PASS","FAIL")</x:f>
        <x:v>PASS</x:v>
      </x:c>
    </x:row>
    <x:row r="1048">
      <x:c r="B1048" t="str">
        <x:v>A-1018</x:v>
      </x:c>
      <x:c r="C1048" t="str">
        <x:v>GATE</x:v>
      </x:c>
      <x:c r="D1048" t="str">
        <x:v>release ledger mirrors governing state</x:v>
      </x:c>
      <x:c r="E1048" t="str">
        <x:f>'Release Gates'!J1024</x:f>
        <x:v>OPEN</x:v>
      </x:c>
      <x:c r="F1048" t="str">
        <x:f>IF('Release Gates'!C1024="PLANNING","PASS",IF('Release Gates'!C1024="PHYSICAL","OPEN","BLOCKED"))</x:f>
        <x:v>OPEN</x:v>
      </x:c>
      <x:c r="G1048" t="str">
        <x:v>equals</x:v>
      </x:c>
      <x:c r="H1048" t="str">
        <x:f>IF(E1048=F1048,"PASS","FAIL")</x:f>
        <x:v>PASS</x:v>
      </x:c>
    </x:row>
    <x:row r="1049">
      <x:c r="B1049" t="str">
        <x:v>A-1019</x:v>
      </x:c>
      <x:c r="C1049" t="str">
        <x:v>GATE</x:v>
      </x:c>
      <x:c r="D1049" t="str">
        <x:v>release ledger mirrors governing state</x:v>
      </x:c>
      <x:c r="E1049" t="str">
        <x:f>'Release Gates'!J1025</x:f>
        <x:v>OPEN</x:v>
      </x:c>
      <x:c r="F1049" t="str">
        <x:f>IF('Release Gates'!C1025="PLANNING","PASS",IF('Release Gates'!C1025="PHYSICAL","OPEN","BLOCKED"))</x:f>
        <x:v>OPEN</x:v>
      </x:c>
      <x:c r="G1049" t="str">
        <x:v>equals</x:v>
      </x:c>
      <x:c r="H1049" t="str">
        <x:f>IF(E1049=F1049,"PASS","FAIL")</x:f>
        <x:v>PASS</x:v>
      </x:c>
    </x:row>
    <x:row r="1050">
      <x:c r="B1050" t="str">
        <x:v>A-1020</x:v>
      </x:c>
      <x:c r="C1050" t="str">
        <x:v>GATE</x:v>
      </x:c>
      <x:c r="D1050" t="str">
        <x:v>release ledger mirrors governing state</x:v>
      </x:c>
      <x:c r="E1050" t="str">
        <x:f>'Release Gates'!J1026</x:f>
        <x:v>OPEN</x:v>
      </x:c>
      <x:c r="F1050" t="str">
        <x:f>IF('Release Gates'!C1026="PLANNING","PASS",IF('Release Gates'!C1026="PHYSICAL","OPEN","BLOCKED"))</x:f>
        <x:v>OPEN</x:v>
      </x:c>
      <x:c r="G1050" t="str">
        <x:v>equals</x:v>
      </x:c>
      <x:c r="H1050" t="str">
        <x:f>IF(E1050=F1050,"PASS","FAIL")</x:f>
        <x:v>PASS</x:v>
      </x:c>
    </x:row>
    <x:row r="1051">
      <x:c r="B1051" t="str">
        <x:v>A-1021</x:v>
      </x:c>
      <x:c r="C1051" t="str">
        <x:v>GATE</x:v>
      </x:c>
      <x:c r="D1051" t="str">
        <x:v>release ledger mirrors governing state</x:v>
      </x:c>
      <x:c r="E1051" t="str">
        <x:f>'Release Gates'!J1027</x:f>
        <x:v>OPEN</x:v>
      </x:c>
      <x:c r="F1051" t="str">
        <x:f>IF('Release Gates'!C1027="PLANNING","PASS",IF('Release Gates'!C1027="PHYSICAL","OPEN","BLOCKED"))</x:f>
        <x:v>OPEN</x:v>
      </x:c>
      <x:c r="G1051" t="str">
        <x:v>equals</x:v>
      </x:c>
      <x:c r="H1051" t="str">
        <x:f>IF(E1051=F1051,"PASS","FAIL")</x:f>
        <x:v>PASS</x:v>
      </x:c>
    </x:row>
    <x:row r="1052">
      <x:c r="B1052" t="str">
        <x:v>A-1022</x:v>
      </x:c>
      <x:c r="C1052" t="str">
        <x:v>GATE</x:v>
      </x:c>
      <x:c r="D1052" t="str">
        <x:v>release ledger mirrors governing state</x:v>
      </x:c>
      <x:c r="E1052" t="str">
        <x:f>'Release Gates'!J1028</x:f>
        <x:v>OPEN</x:v>
      </x:c>
      <x:c r="F1052" t="str">
        <x:f>IF('Release Gates'!C1028="PLANNING","PASS",IF('Release Gates'!C1028="PHYSICAL","OPEN","BLOCKED"))</x:f>
        <x:v>OPEN</x:v>
      </x:c>
      <x:c r="G1052" t="str">
        <x:v>equals</x:v>
      </x:c>
      <x:c r="H1052" t="str">
        <x:f>IF(E1052=F1052,"PASS","FAIL")</x:f>
        <x:v>PASS</x:v>
      </x:c>
    </x:row>
    <x:row r="1053">
      <x:c r="B1053" t="str">
        <x:v>A-1023</x:v>
      </x:c>
      <x:c r="C1053" t="str">
        <x:v>GATE</x:v>
      </x:c>
      <x:c r="D1053" t="str">
        <x:v>release ledger mirrors governing state</x:v>
      </x:c>
      <x:c r="E1053" t="str">
        <x:f>'Release Gates'!J1029</x:f>
        <x:v>OPEN</x:v>
      </x:c>
      <x:c r="F1053" t="str">
        <x:f>IF('Release Gates'!C1029="PLANNING","PASS",IF('Release Gates'!C1029="PHYSICAL","OPEN","BLOCKED"))</x:f>
        <x:v>OPEN</x:v>
      </x:c>
      <x:c r="G1053" t="str">
        <x:v>equals</x:v>
      </x:c>
      <x:c r="H1053" t="str">
        <x:f>IF(E1053=F1053,"PASS","FAIL")</x:f>
        <x:v>PASS</x:v>
      </x:c>
    </x:row>
    <x:row r="1054">
      <x:c r="B1054" t="str">
        <x:v>A-1024</x:v>
      </x:c>
      <x:c r="C1054" t="str">
        <x:v>GATE</x:v>
      </x:c>
      <x:c r="D1054" t="str">
        <x:v>release ledger mirrors governing state</x:v>
      </x:c>
      <x:c r="E1054" t="str">
        <x:f>'Release Gates'!J1030</x:f>
        <x:v>OPEN</x:v>
      </x:c>
      <x:c r="F1054" t="str">
        <x:f>IF('Release Gates'!C1030="PLANNING","PASS",IF('Release Gates'!C1030="PHYSICAL","OPEN","BLOCKED"))</x:f>
        <x:v>OPEN</x:v>
      </x:c>
      <x:c r="G1054" t="str">
        <x:v>equals</x:v>
      </x:c>
      <x:c r="H1054" t="str">
        <x:f>IF(E1054=F1054,"PASS","FAIL")</x:f>
        <x:v>PASS</x:v>
      </x:c>
    </x:row>
    <x:row r="1055">
      <x:c r="B1055" t="str">
        <x:v>A-1025</x:v>
      </x:c>
      <x:c r="C1055" t="str">
        <x:v>GATE</x:v>
      </x:c>
      <x:c r="D1055" t="str">
        <x:v>release ledger mirrors governing state</x:v>
      </x:c>
      <x:c r="E1055" t="str">
        <x:f>'Release Gates'!J1031</x:f>
        <x:v>OPEN</x:v>
      </x:c>
      <x:c r="F1055" t="str">
        <x:f>IF('Release Gates'!C1031="PLANNING","PASS",IF('Release Gates'!C1031="PHYSICAL","OPEN","BLOCKED"))</x:f>
        <x:v>OPEN</x:v>
      </x:c>
      <x:c r="G1055" t="str">
        <x:v>equals</x:v>
      </x:c>
      <x:c r="H1055" t="str">
        <x:f>IF(E1055=F1055,"PASS","FAIL")</x:f>
        <x:v>PASS</x:v>
      </x:c>
    </x:row>
    <x:row r="1056">
      <x:c r="B1056" t="str">
        <x:v>A-1026</x:v>
      </x:c>
      <x:c r="C1056" t="str">
        <x:v>GATE</x:v>
      </x:c>
      <x:c r="D1056" t="str">
        <x:v>release ledger mirrors governing state</x:v>
      </x:c>
      <x:c r="E1056" t="str">
        <x:f>'Release Gates'!J1032</x:f>
        <x:v>OPEN</x:v>
      </x:c>
      <x:c r="F1056" t="str">
        <x:f>IF('Release Gates'!C1032="PLANNING","PASS",IF('Release Gates'!C1032="PHYSICAL","OPEN","BLOCKED"))</x:f>
        <x:v>OPEN</x:v>
      </x:c>
      <x:c r="G1056" t="str">
        <x:v>equals</x:v>
      </x:c>
      <x:c r="H1056" t="str">
        <x:f>IF(E1056=F1056,"PASS","FAIL")</x:f>
        <x:v>PASS</x:v>
      </x:c>
    </x:row>
    <x:row r="1057">
      <x:c r="B1057" t="str">
        <x:v>A-1027</x:v>
      </x:c>
      <x:c r="C1057" t="str">
        <x:v>GATE</x:v>
      </x:c>
      <x:c r="D1057" t="str">
        <x:v>release ledger mirrors governing state</x:v>
      </x:c>
      <x:c r="E1057" t="str">
        <x:f>'Release Gates'!J1033</x:f>
        <x:v>OPEN</x:v>
      </x:c>
      <x:c r="F1057" t="str">
        <x:f>IF('Release Gates'!C1033="PLANNING","PASS",IF('Release Gates'!C1033="PHYSICAL","OPEN","BLOCKED"))</x:f>
        <x:v>OPEN</x:v>
      </x:c>
      <x:c r="G1057" t="str">
        <x:v>equals</x:v>
      </x:c>
      <x:c r="H1057" t="str">
        <x:f>IF(E1057=F1057,"PASS","FAIL")</x:f>
        <x:v>PASS</x:v>
      </x:c>
    </x:row>
    <x:row r="1058">
      <x:c r="B1058" t="str">
        <x:v>A-1028</x:v>
      </x:c>
      <x:c r="C1058" t="str">
        <x:v>GATE</x:v>
      </x:c>
      <x:c r="D1058" t="str">
        <x:v>release ledger mirrors governing state</x:v>
      </x:c>
      <x:c r="E1058" t="str">
        <x:f>'Release Gates'!J1034</x:f>
        <x:v>OPEN</x:v>
      </x:c>
      <x:c r="F1058" t="str">
        <x:f>IF('Release Gates'!C1034="PLANNING","PASS",IF('Release Gates'!C1034="PHYSICAL","OPEN","BLOCKED"))</x:f>
        <x:v>OPEN</x:v>
      </x:c>
      <x:c r="G1058" t="str">
        <x:v>equals</x:v>
      </x:c>
      <x:c r="H1058" t="str">
        <x:f>IF(E1058=F1058,"PASS","FAIL")</x:f>
        <x:v>PASS</x:v>
      </x:c>
    </x:row>
    <x:row r="1059">
      <x:c r="B1059" t="str">
        <x:v>A-1029</x:v>
      </x:c>
      <x:c r="C1059" t="str">
        <x:v>GATE</x:v>
      </x:c>
      <x:c r="D1059" t="str">
        <x:v>release ledger mirrors governing state</x:v>
      </x:c>
      <x:c r="E1059" t="str">
        <x:f>'Release Gates'!J1035</x:f>
        <x:v>OPEN</x:v>
      </x:c>
      <x:c r="F1059" t="str">
        <x:f>IF('Release Gates'!C1035="PLANNING","PASS",IF('Release Gates'!C1035="PHYSICAL","OPEN","BLOCKED"))</x:f>
        <x:v>OPEN</x:v>
      </x:c>
      <x:c r="G1059" t="str">
        <x:v>equals</x:v>
      </x:c>
      <x:c r="H1059" t="str">
        <x:f>IF(E1059=F1059,"PASS","FAIL")</x:f>
        <x:v>PASS</x:v>
      </x:c>
    </x:row>
    <x:row r="1060">
      <x:c r="B1060" t="str">
        <x:v>A-1030</x:v>
      </x:c>
      <x:c r="C1060" t="str">
        <x:v>GATE</x:v>
      </x:c>
      <x:c r="D1060" t="str">
        <x:v>release ledger mirrors governing state</x:v>
      </x:c>
      <x:c r="E1060" t="str">
        <x:f>'Release Gates'!J1036</x:f>
        <x:v>OPEN</x:v>
      </x:c>
      <x:c r="F1060" t="str">
        <x:f>IF('Release Gates'!C1036="PLANNING","PASS",IF('Release Gates'!C1036="PHYSICAL","OPEN","BLOCKED"))</x:f>
        <x:v>OPEN</x:v>
      </x:c>
      <x:c r="G1060" t="str">
        <x:v>equals</x:v>
      </x:c>
      <x:c r="H1060" t="str">
        <x:f>IF(E1060=F1060,"PASS","FAIL")</x:f>
        <x:v>PASS</x:v>
      </x:c>
    </x:row>
    <x:row r="1061">
      <x:c r="B1061" t="str">
        <x:v>A-1031</x:v>
      </x:c>
      <x:c r="C1061" t="str">
        <x:v>GATE</x:v>
      </x:c>
      <x:c r="D1061" t="str">
        <x:v>release ledger mirrors governing state</x:v>
      </x:c>
      <x:c r="E1061" t="str">
        <x:f>'Release Gates'!J1037</x:f>
        <x:v>OPEN</x:v>
      </x:c>
      <x:c r="F1061" t="str">
        <x:f>IF('Release Gates'!C1037="PLANNING","PASS",IF('Release Gates'!C1037="PHYSICAL","OPEN","BLOCKED"))</x:f>
        <x:v>OPEN</x:v>
      </x:c>
      <x:c r="G1061" t="str">
        <x:v>equals</x:v>
      </x:c>
      <x:c r="H1061" t="str">
        <x:f>IF(E1061=F1061,"PASS","FAIL")</x:f>
        <x:v>PASS</x:v>
      </x:c>
    </x:row>
    <x:row r="1062">
      <x:c r="B1062" t="str">
        <x:v>A-1032</x:v>
      </x:c>
      <x:c r="C1062" t="str">
        <x:v>GATE</x:v>
      </x:c>
      <x:c r="D1062" t="str">
        <x:v>release ledger mirrors governing state</x:v>
      </x:c>
      <x:c r="E1062" t="str">
        <x:f>'Release Gates'!J1038</x:f>
        <x:v>OPEN</x:v>
      </x:c>
      <x:c r="F1062" t="str">
        <x:f>IF('Release Gates'!C1038="PLANNING","PASS",IF('Release Gates'!C1038="PHYSICAL","OPEN","BLOCKED"))</x:f>
        <x:v>OPEN</x:v>
      </x:c>
      <x:c r="G1062" t="str">
        <x:v>equals</x:v>
      </x:c>
      <x:c r="H1062" t="str">
        <x:f>IF(E1062=F1062,"PASS","FAIL")</x:f>
        <x:v>PASS</x:v>
      </x:c>
    </x:row>
    <x:row r="1063">
      <x:c r="B1063" t="str">
        <x:v>A-1033</x:v>
      </x:c>
      <x:c r="C1063" t="str">
        <x:v>GATE</x:v>
      </x:c>
      <x:c r="D1063" t="str">
        <x:v>release ledger mirrors governing state</x:v>
      </x:c>
      <x:c r="E1063" t="str">
        <x:f>'Release Gates'!J1039</x:f>
        <x:v>OPEN</x:v>
      </x:c>
      <x:c r="F1063" t="str">
        <x:f>IF('Release Gates'!C1039="PLANNING","PASS",IF('Release Gates'!C1039="PHYSICAL","OPEN","BLOCKED"))</x:f>
        <x:v>OPEN</x:v>
      </x:c>
      <x:c r="G1063" t="str">
        <x:v>equals</x:v>
      </x:c>
      <x:c r="H1063" t="str">
        <x:f>IF(E1063=F1063,"PASS","FAIL")</x:f>
        <x:v>PASS</x:v>
      </x:c>
    </x:row>
    <x:row r="1064">
      <x:c r="B1064" t="str">
        <x:v>A-1034</x:v>
      </x:c>
      <x:c r="C1064" t="str">
        <x:v>GATE</x:v>
      </x:c>
      <x:c r="D1064" t="str">
        <x:v>release ledger mirrors governing state</x:v>
      </x:c>
      <x:c r="E1064" t="str">
        <x:f>'Release Gates'!J1040</x:f>
        <x:v>OPEN</x:v>
      </x:c>
      <x:c r="F1064" t="str">
        <x:f>IF('Release Gates'!C1040="PLANNING","PASS",IF('Release Gates'!C1040="PHYSICAL","OPEN","BLOCKED"))</x:f>
        <x:v>OPEN</x:v>
      </x:c>
      <x:c r="G1064" t="str">
        <x:v>equals</x:v>
      </x:c>
      <x:c r="H1064" t="str">
        <x:f>IF(E1064=F1064,"PASS","FAIL")</x:f>
        <x:v>PASS</x:v>
      </x:c>
    </x:row>
    <x:row r="1065">
      <x:c r="B1065" t="str">
        <x:v>A-1035</x:v>
      </x:c>
      <x:c r="C1065" t="str">
        <x:v>GATE</x:v>
      </x:c>
      <x:c r="D1065" t="str">
        <x:v>release ledger mirrors governing state</x:v>
      </x:c>
      <x:c r="E1065" t="str">
        <x:f>'Release Gates'!J1041</x:f>
        <x:v>OPEN</x:v>
      </x:c>
      <x:c r="F1065" t="str">
        <x:f>IF('Release Gates'!C1041="PLANNING","PASS",IF('Release Gates'!C1041="PHYSICAL","OPEN","BLOCKED"))</x:f>
        <x:v>OPEN</x:v>
      </x:c>
      <x:c r="G1065" t="str">
        <x:v>equals</x:v>
      </x:c>
      <x:c r="H1065" t="str">
        <x:f>IF(E1065=F1065,"PASS","FAIL")</x:f>
        <x:v>PASS</x:v>
      </x:c>
    </x:row>
    <x:row r="1066">
      <x:c r="B1066" t="str">
        <x:v>A-1036</x:v>
      </x:c>
      <x:c r="C1066" t="str">
        <x:v>GATE</x:v>
      </x:c>
      <x:c r="D1066" t="str">
        <x:v>release ledger mirrors governing state</x:v>
      </x:c>
      <x:c r="E1066" t="str">
        <x:f>'Release Gates'!J1042</x:f>
        <x:v>OPEN</x:v>
      </x:c>
      <x:c r="F1066" t="str">
        <x:f>IF('Release Gates'!C1042="PLANNING","PASS",IF('Release Gates'!C1042="PHYSICAL","OPEN","BLOCKED"))</x:f>
        <x:v>OPEN</x:v>
      </x:c>
      <x:c r="G1066" t="str">
        <x:v>equals</x:v>
      </x:c>
      <x:c r="H1066" t="str">
        <x:f>IF(E1066=F1066,"PASS","FAIL")</x:f>
        <x:v>PASS</x:v>
      </x:c>
    </x:row>
    <x:row r="1067">
      <x:c r="B1067" t="str">
        <x:v>A-1037</x:v>
      </x:c>
      <x:c r="C1067" t="str">
        <x:v>GATE</x:v>
      </x:c>
      <x:c r="D1067" t="str">
        <x:v>release ledger mirrors governing state</x:v>
      </x:c>
      <x:c r="E1067" t="str">
        <x:f>'Release Gates'!J1043</x:f>
        <x:v>OPEN</x:v>
      </x:c>
      <x:c r="F1067" t="str">
        <x:f>IF('Release Gates'!C1043="PLANNING","PASS",IF('Release Gates'!C1043="PHYSICAL","OPEN","BLOCKED"))</x:f>
        <x:v>OPEN</x:v>
      </x:c>
      <x:c r="G1067" t="str">
        <x:v>equals</x:v>
      </x:c>
      <x:c r="H1067" t="str">
        <x:f>IF(E1067=F1067,"PASS","FAIL")</x:f>
        <x:v>PASS</x:v>
      </x:c>
    </x:row>
    <x:row r="1068">
      <x:c r="B1068" t="str">
        <x:v>A-1038</x:v>
      </x:c>
      <x:c r="C1068" t="str">
        <x:v>GATE</x:v>
      </x:c>
      <x:c r="D1068" t="str">
        <x:v>release ledger mirrors governing state</x:v>
      </x:c>
      <x:c r="E1068" t="str">
        <x:f>'Release Gates'!J1044</x:f>
        <x:v>OPEN</x:v>
      </x:c>
      <x:c r="F1068" t="str">
        <x:f>IF('Release Gates'!C1044="PLANNING","PASS",IF('Release Gates'!C1044="PHYSICAL","OPEN","BLOCKED"))</x:f>
        <x:v>OPEN</x:v>
      </x:c>
      <x:c r="G1068" t="str">
        <x:v>equals</x:v>
      </x:c>
      <x:c r="H1068" t="str">
        <x:f>IF(E1068=F1068,"PASS","FAIL")</x:f>
        <x:v>PASS</x:v>
      </x:c>
    </x:row>
    <x:row r="1069">
      <x:c r="B1069" t="str">
        <x:v>A-1039</x:v>
      </x:c>
      <x:c r="C1069" t="str">
        <x:v>GATE</x:v>
      </x:c>
      <x:c r="D1069" t="str">
        <x:v>release ledger mirrors governing state</x:v>
      </x:c>
      <x:c r="E1069" t="str">
        <x:f>'Release Gates'!J1045</x:f>
        <x:v>OPEN</x:v>
      </x:c>
      <x:c r="F1069" t="str">
        <x:f>IF('Release Gates'!C1045="PLANNING","PASS",IF('Release Gates'!C1045="PHYSICAL","OPEN","BLOCKED"))</x:f>
        <x:v>OPEN</x:v>
      </x:c>
      <x:c r="G1069" t="str">
        <x:v>equals</x:v>
      </x:c>
      <x:c r="H1069" t="str">
        <x:f>IF(E1069=F1069,"PASS","FAIL")</x:f>
        <x:v>PASS</x:v>
      </x:c>
    </x:row>
    <x:row r="1070">
      <x:c r="B1070" t="str">
        <x:v>A-1040</x:v>
      </x:c>
      <x:c r="C1070" t="str">
        <x:v>GATE</x:v>
      </x:c>
      <x:c r="D1070" t="str">
        <x:v>release ledger mirrors governing state</x:v>
      </x:c>
      <x:c r="E1070" t="str">
        <x:f>'Release Gates'!J1046</x:f>
        <x:v>OPEN</x:v>
      </x:c>
      <x:c r="F1070" t="str">
        <x:f>IF('Release Gates'!C1046="PLANNING","PASS",IF('Release Gates'!C1046="PHYSICAL","OPEN","BLOCKED"))</x:f>
        <x:v>OPEN</x:v>
      </x:c>
      <x:c r="G1070" t="str">
        <x:v>equals</x:v>
      </x:c>
      <x:c r="H1070" t="str">
        <x:f>IF(E1070=F1070,"PASS","FAIL")</x:f>
        <x:v>PASS</x:v>
      </x:c>
    </x:row>
    <x:row r="1071">
      <x:c r="B1071" t="str">
        <x:v>A-1041</x:v>
      </x:c>
      <x:c r="C1071" t="str">
        <x:v>GATE</x:v>
      </x:c>
      <x:c r="D1071" t="str">
        <x:v>release ledger mirrors governing state</x:v>
      </x:c>
      <x:c r="E1071" t="str">
        <x:f>'Release Gates'!J1047</x:f>
        <x:v>OPEN</x:v>
      </x:c>
      <x:c r="F1071" t="str">
        <x:f>IF('Release Gates'!C1047="PLANNING","PASS",IF('Release Gates'!C1047="PHYSICAL","OPEN","BLOCKED"))</x:f>
        <x:v>OPEN</x:v>
      </x:c>
      <x:c r="G1071" t="str">
        <x:v>equals</x:v>
      </x:c>
      <x:c r="H1071" t="str">
        <x:f>IF(E1071=F1071,"PASS","FAIL")</x:f>
        <x:v>PASS</x:v>
      </x:c>
    </x:row>
    <x:row r="1072">
      <x:c r="B1072" t="str">
        <x:v>A-1042</x:v>
      </x:c>
      <x:c r="C1072" t="str">
        <x:v>GATE</x:v>
      </x:c>
      <x:c r="D1072" t="str">
        <x:v>release ledger mirrors governing state</x:v>
      </x:c>
      <x:c r="E1072" t="str">
        <x:f>'Release Gates'!J1048</x:f>
        <x:v>OPEN</x:v>
      </x:c>
      <x:c r="F1072" t="str">
        <x:f>IF('Release Gates'!C1048="PLANNING","PASS",IF('Release Gates'!C1048="PHYSICAL","OPEN","BLOCKED"))</x:f>
        <x:v>OPEN</x:v>
      </x:c>
      <x:c r="G1072" t="str">
        <x:v>equals</x:v>
      </x:c>
      <x:c r="H1072" t="str">
        <x:f>IF(E1072=F1072,"PASS","FAIL")</x:f>
        <x:v>PASS</x:v>
      </x:c>
    </x:row>
    <x:row r="1073">
      <x:c r="B1073" t="str">
        <x:v>A-1043</x:v>
      </x:c>
      <x:c r="C1073" t="str">
        <x:v>GATE</x:v>
      </x:c>
      <x:c r="D1073" t="str">
        <x:v>release ledger mirrors governing state</x:v>
      </x:c>
      <x:c r="E1073" t="str">
        <x:f>'Release Gates'!J1049</x:f>
        <x:v>OPEN</x:v>
      </x:c>
      <x:c r="F1073" t="str">
        <x:f>IF('Release Gates'!C1049="PLANNING","PASS",IF('Release Gates'!C1049="PHYSICAL","OPEN","BLOCKED"))</x:f>
        <x:v>OPEN</x:v>
      </x:c>
      <x:c r="G1073" t="str">
        <x:v>equals</x:v>
      </x:c>
      <x:c r="H1073" t="str">
        <x:f>IF(E1073=F1073,"PASS","FAIL")</x:f>
        <x:v>PASS</x:v>
      </x:c>
    </x:row>
    <x:row r="1074">
      <x:c r="B1074" t="str">
        <x:v>A-1044</x:v>
      </x:c>
      <x:c r="C1074" t="str">
        <x:v>GATE</x:v>
      </x:c>
      <x:c r="D1074" t="str">
        <x:v>release ledger mirrors governing state</x:v>
      </x:c>
      <x:c r="E1074" t="str">
        <x:f>'Release Gates'!J1050</x:f>
        <x:v>OPEN</x:v>
      </x:c>
      <x:c r="F1074" t="str">
        <x:f>IF('Release Gates'!C1050="PLANNING","PASS",IF('Release Gates'!C1050="PHYSICAL","OPEN","BLOCKED"))</x:f>
        <x:v>OPEN</x:v>
      </x:c>
      <x:c r="G1074" t="str">
        <x:v>equals</x:v>
      </x:c>
      <x:c r="H1074" t="str">
        <x:f>IF(E1074=F1074,"PASS","FAIL")</x:f>
        <x:v>PASS</x:v>
      </x:c>
    </x:row>
    <x:row r="1075">
      <x:c r="B1075" t="str">
        <x:v>A-1045</x:v>
      </x:c>
      <x:c r="C1075" t="str">
        <x:v>GATE</x:v>
      </x:c>
      <x:c r="D1075" t="str">
        <x:v>release ledger mirrors governing state</x:v>
      </x:c>
      <x:c r="E1075" t="str">
        <x:f>'Release Gates'!J1051</x:f>
        <x:v>OPEN</x:v>
      </x:c>
      <x:c r="F1075" t="str">
        <x:f>IF('Release Gates'!C1051="PLANNING","PASS",IF('Release Gates'!C1051="PHYSICAL","OPEN","BLOCKED"))</x:f>
        <x:v>OPEN</x:v>
      </x:c>
      <x:c r="G1075" t="str">
        <x:v>equals</x:v>
      </x:c>
      <x:c r="H1075" t="str">
        <x:f>IF(E1075=F1075,"PASS","FAIL")</x:f>
        <x:v>PASS</x:v>
      </x:c>
    </x:row>
    <x:row r="1076">
      <x:c r="B1076" t="str">
        <x:v>A-1046</x:v>
      </x:c>
      <x:c r="C1076" t="str">
        <x:v>GATE</x:v>
      </x:c>
      <x:c r="D1076" t="str">
        <x:v>release ledger mirrors governing state</x:v>
      </x:c>
      <x:c r="E1076" t="str">
        <x:f>'Release Gates'!J1052</x:f>
        <x:v>OPEN</x:v>
      </x:c>
      <x:c r="F1076" t="str">
        <x:f>IF('Release Gates'!C1052="PLANNING","PASS",IF('Release Gates'!C1052="PHYSICAL","OPEN","BLOCKED"))</x:f>
        <x:v>OPEN</x:v>
      </x:c>
      <x:c r="G1076" t="str">
        <x:v>equals</x:v>
      </x:c>
      <x:c r="H1076" t="str">
        <x:f>IF(E1076=F1076,"PASS","FAIL")</x:f>
        <x:v>PASS</x:v>
      </x:c>
    </x:row>
    <x:row r="1077">
      <x:c r="B1077" t="str">
        <x:v>A-1047</x:v>
      </x:c>
      <x:c r="C1077" t="str">
        <x:v>GATE</x:v>
      </x:c>
      <x:c r="D1077" t="str">
        <x:v>release ledger mirrors governing state</x:v>
      </x:c>
      <x:c r="E1077" t="str">
        <x:f>'Release Gates'!J1053</x:f>
        <x:v>OPEN</x:v>
      </x:c>
      <x:c r="F1077" t="str">
        <x:f>IF('Release Gates'!C1053="PLANNING","PASS",IF('Release Gates'!C1053="PHYSICAL","OPEN","BLOCKED"))</x:f>
        <x:v>OPEN</x:v>
      </x:c>
      <x:c r="G1077" t="str">
        <x:v>equals</x:v>
      </x:c>
      <x:c r="H1077" t="str">
        <x:f>IF(E1077=F1077,"PASS","FAIL")</x:f>
        <x:v>PASS</x:v>
      </x:c>
    </x:row>
    <x:row r="1078">
      <x:c r="B1078" t="str">
        <x:v>A-1048</x:v>
      </x:c>
      <x:c r="C1078" t="str">
        <x:v>GATE</x:v>
      </x:c>
      <x:c r="D1078" t="str">
        <x:v>release ledger mirrors governing state</x:v>
      </x:c>
      <x:c r="E1078" t="str">
        <x:f>'Release Gates'!J1054</x:f>
        <x:v>OPEN</x:v>
      </x:c>
      <x:c r="F1078" t="str">
        <x:f>IF('Release Gates'!C1054="PLANNING","PASS",IF('Release Gates'!C1054="PHYSICAL","OPEN","BLOCKED"))</x:f>
        <x:v>OPEN</x:v>
      </x:c>
      <x:c r="G1078" t="str">
        <x:v>equals</x:v>
      </x:c>
      <x:c r="H1078" t="str">
        <x:f>IF(E1078=F1078,"PASS","FAIL")</x:f>
        <x:v>PASS</x:v>
      </x:c>
    </x:row>
    <x:row r="1079">
      <x:c r="B1079" t="str">
        <x:v>A-1049</x:v>
      </x:c>
      <x:c r="C1079" t="str">
        <x:v>GATE</x:v>
      </x:c>
      <x:c r="D1079" t="str">
        <x:v>release ledger mirrors governing state</x:v>
      </x:c>
      <x:c r="E1079" t="str">
        <x:f>'Release Gates'!J1055</x:f>
        <x:v>OPEN</x:v>
      </x:c>
      <x:c r="F1079" t="str">
        <x:f>IF('Release Gates'!C1055="PLANNING","PASS",IF('Release Gates'!C1055="PHYSICAL","OPEN","BLOCKED"))</x:f>
        <x:v>OPEN</x:v>
      </x:c>
      <x:c r="G1079" t="str">
        <x:v>equals</x:v>
      </x:c>
      <x:c r="H1079" t="str">
        <x:f>IF(E1079=F1079,"PASS","FAIL")</x:f>
        <x:v>PASS</x:v>
      </x:c>
    </x:row>
    <x:row r="1080">
      <x:c r="B1080" t="str">
        <x:v>A-1050</x:v>
      </x:c>
      <x:c r="C1080" t="str">
        <x:v>GATE</x:v>
      </x:c>
      <x:c r="D1080" t="str">
        <x:v>release ledger mirrors governing state</x:v>
      </x:c>
      <x:c r="E1080" t="str">
        <x:f>'Release Gates'!J1056</x:f>
        <x:v>OPEN</x:v>
      </x:c>
      <x:c r="F1080" t="str">
        <x:f>IF('Release Gates'!C1056="PLANNING","PASS",IF('Release Gates'!C1056="PHYSICAL","OPEN","BLOCKED"))</x:f>
        <x:v>OPEN</x:v>
      </x:c>
      <x:c r="G1080" t="str">
        <x:v>equals</x:v>
      </x:c>
      <x:c r="H1080" t="str">
        <x:f>IF(E1080=F1080,"PASS","FAIL")</x:f>
        <x:v>PASS</x:v>
      </x:c>
    </x:row>
    <x:row r="1081">
      <x:c r="B1081" t="str">
        <x:v>A-1051</x:v>
      </x:c>
      <x:c r="C1081" t="str">
        <x:v>GATE</x:v>
      </x:c>
      <x:c r="D1081" t="str">
        <x:v>release ledger mirrors governing state</x:v>
      </x:c>
      <x:c r="E1081" t="str">
        <x:f>'Release Gates'!J1057</x:f>
        <x:v>OPEN</x:v>
      </x:c>
      <x:c r="F1081" t="str">
        <x:f>IF('Release Gates'!C1057="PLANNING","PASS",IF('Release Gates'!C1057="PHYSICAL","OPEN","BLOCKED"))</x:f>
        <x:v>OPEN</x:v>
      </x:c>
      <x:c r="G1081" t="str">
        <x:v>equals</x:v>
      </x:c>
      <x:c r="H1081" t="str">
        <x:f>IF(E1081=F1081,"PASS","FAIL")</x:f>
        <x:v>PASS</x:v>
      </x:c>
    </x:row>
    <x:row r="1082">
      <x:c r="B1082" t="str">
        <x:v>A-1052</x:v>
      </x:c>
      <x:c r="C1082" t="str">
        <x:v>GATE</x:v>
      </x:c>
      <x:c r="D1082" t="str">
        <x:v>release ledger mirrors governing state</x:v>
      </x:c>
      <x:c r="E1082" t="str">
        <x:f>'Release Gates'!J1058</x:f>
        <x:v>OPEN</x:v>
      </x:c>
      <x:c r="F1082" t="str">
        <x:f>IF('Release Gates'!C1058="PLANNING","PASS",IF('Release Gates'!C1058="PHYSICAL","OPEN","BLOCKED"))</x:f>
        <x:v>OPEN</x:v>
      </x:c>
      <x:c r="G1082" t="str">
        <x:v>equals</x:v>
      </x:c>
      <x:c r="H1082" t="str">
        <x:f>IF(E1082=F1082,"PASS","FAIL")</x:f>
        <x:v>PASS</x:v>
      </x:c>
    </x:row>
    <x:row r="1083">
      <x:c r="B1083" t="str">
        <x:v>A-1053</x:v>
      </x:c>
      <x:c r="C1083" t="str">
        <x:v>GATE</x:v>
      </x:c>
      <x:c r="D1083" t="str">
        <x:v>release ledger mirrors governing state</x:v>
      </x:c>
      <x:c r="E1083" t="str">
        <x:f>'Release Gates'!J1059</x:f>
        <x:v>OPEN</x:v>
      </x:c>
      <x:c r="F1083" t="str">
        <x:f>IF('Release Gates'!C1059="PLANNING","PASS",IF('Release Gates'!C1059="PHYSICAL","OPEN","BLOCKED"))</x:f>
        <x:v>OPEN</x:v>
      </x:c>
      <x:c r="G1083" t="str">
        <x:v>equals</x:v>
      </x:c>
      <x:c r="H1083" t="str">
        <x:f>IF(E1083=F1083,"PASS","FAIL")</x:f>
        <x:v>PASS</x:v>
      </x:c>
    </x:row>
    <x:row r="1084">
      <x:c r="B1084" t="str">
        <x:v>A-1054</x:v>
      </x:c>
      <x:c r="C1084" t="str">
        <x:v>GATE</x:v>
      </x:c>
      <x:c r="D1084" t="str">
        <x:v>release ledger mirrors governing state</x:v>
      </x:c>
      <x:c r="E1084" t="str">
        <x:f>'Release Gates'!J1060</x:f>
        <x:v>OPEN</x:v>
      </x:c>
      <x:c r="F1084" t="str">
        <x:f>IF('Release Gates'!C1060="PLANNING","PASS",IF('Release Gates'!C1060="PHYSICAL","OPEN","BLOCKED"))</x:f>
        <x:v>OPEN</x:v>
      </x:c>
      <x:c r="G1084" t="str">
        <x:v>equals</x:v>
      </x:c>
      <x:c r="H1084" t="str">
        <x:f>IF(E1084=F1084,"PASS","FAIL")</x:f>
        <x:v>PASS</x:v>
      </x:c>
    </x:row>
    <x:row r="1085">
      <x:c r="B1085" t="str">
        <x:v>A-1055</x:v>
      </x:c>
      <x:c r="C1085" t="str">
        <x:v>GATE</x:v>
      </x:c>
      <x:c r="D1085" t="str">
        <x:v>release ledger mirrors governing state</x:v>
      </x:c>
      <x:c r="E1085" t="str">
        <x:f>'Release Gates'!J1061</x:f>
        <x:v>OPEN</x:v>
      </x:c>
      <x:c r="F1085" t="str">
        <x:f>IF('Release Gates'!C1061="PLANNING","PASS",IF('Release Gates'!C1061="PHYSICAL","OPEN","BLOCKED"))</x:f>
        <x:v>OPEN</x:v>
      </x:c>
      <x:c r="G1085" t="str">
        <x:v>equals</x:v>
      </x:c>
      <x:c r="H1085" t="str">
        <x:f>IF(E1085=F1085,"PASS","FAIL")</x:f>
        <x:v>PASS</x:v>
      </x:c>
    </x:row>
    <x:row r="1086">
      <x:c r="B1086" t="str">
        <x:v>A-1056</x:v>
      </x:c>
      <x:c r="C1086" t="str">
        <x:v>GATE</x:v>
      </x:c>
      <x:c r="D1086" t="str">
        <x:v>release ledger mirrors governing state</x:v>
      </x:c>
      <x:c r="E1086" t="str">
        <x:f>'Release Gates'!J1062</x:f>
        <x:v>OPEN</x:v>
      </x:c>
      <x:c r="F1086" t="str">
        <x:f>IF('Release Gates'!C1062="PLANNING","PASS",IF('Release Gates'!C1062="PHYSICAL","OPEN","BLOCKED"))</x:f>
        <x:v>OPEN</x:v>
      </x:c>
      <x:c r="G1086" t="str">
        <x:v>equals</x:v>
      </x:c>
      <x:c r="H1086" t="str">
        <x:f>IF(E1086=F1086,"PASS","FAIL")</x:f>
        <x:v>PASS</x:v>
      </x:c>
    </x:row>
    <x:row r="1087">
      <x:c r="B1087" t="str">
        <x:v>A-1057</x:v>
      </x:c>
      <x:c r="C1087" t="str">
        <x:v>GATE</x:v>
      </x:c>
      <x:c r="D1087" t="str">
        <x:v>release ledger mirrors governing state</x:v>
      </x:c>
      <x:c r="E1087" t="str">
        <x:f>'Release Gates'!J1063</x:f>
        <x:v>OPEN</x:v>
      </x:c>
      <x:c r="F1087" t="str">
        <x:f>IF('Release Gates'!C1063="PLANNING","PASS",IF('Release Gates'!C1063="PHYSICAL","OPEN","BLOCKED"))</x:f>
        <x:v>OPEN</x:v>
      </x:c>
      <x:c r="G1087" t="str">
        <x:v>equals</x:v>
      </x:c>
      <x:c r="H1087" t="str">
        <x:f>IF(E1087=F1087,"PASS","FAIL")</x:f>
        <x:v>PASS</x:v>
      </x:c>
    </x:row>
    <x:row r="1088">
      <x:c r="B1088" t="str">
        <x:v>A-1058</x:v>
      </x:c>
      <x:c r="C1088" t="str">
        <x:v>GATE</x:v>
      </x:c>
      <x:c r="D1088" t="str">
        <x:v>release ledger mirrors governing state</x:v>
      </x:c>
      <x:c r="E1088" t="str">
        <x:f>'Release Gates'!J1064</x:f>
        <x:v>OPEN</x:v>
      </x:c>
      <x:c r="F1088" t="str">
        <x:f>IF('Release Gates'!C1064="PLANNING","PASS",IF('Release Gates'!C1064="PHYSICAL","OPEN","BLOCKED"))</x:f>
        <x:v>OPEN</x:v>
      </x:c>
      <x:c r="G1088" t="str">
        <x:v>equals</x:v>
      </x:c>
      <x:c r="H1088" t="str">
        <x:f>IF(E1088=F1088,"PASS","FAIL")</x:f>
        <x:v>PASS</x:v>
      </x:c>
    </x:row>
    <x:row r="1089">
      <x:c r="B1089" t="str">
        <x:v>A-1059</x:v>
      </x:c>
      <x:c r="C1089" t="str">
        <x:v>GATE</x:v>
      </x:c>
      <x:c r="D1089" t="str">
        <x:v>release ledger mirrors governing state</x:v>
      </x:c>
      <x:c r="E1089" t="str">
        <x:f>'Release Gates'!J1065</x:f>
        <x:v>OPEN</x:v>
      </x:c>
      <x:c r="F1089" t="str">
        <x:f>IF('Release Gates'!C1065="PLANNING","PASS",IF('Release Gates'!C1065="PHYSICAL","OPEN","BLOCKED"))</x:f>
        <x:v>OPEN</x:v>
      </x:c>
      <x:c r="G1089" t="str">
        <x:v>equals</x:v>
      </x:c>
      <x:c r="H1089" t="str">
        <x:f>IF(E1089=F1089,"PASS","FAIL")</x:f>
        <x:v>PASS</x:v>
      </x:c>
    </x:row>
    <x:row r="1090">
      <x:c r="B1090" t="str">
        <x:v>A-1060</x:v>
      </x:c>
      <x:c r="C1090" t="str">
        <x:v>GATE</x:v>
      </x:c>
      <x:c r="D1090" t="str">
        <x:v>release ledger mirrors governing state</x:v>
      </x:c>
      <x:c r="E1090" t="str">
        <x:f>'Release Gates'!J1066</x:f>
        <x:v>OPEN</x:v>
      </x:c>
      <x:c r="F1090" t="str">
        <x:f>IF('Release Gates'!C1066="PLANNING","PASS",IF('Release Gates'!C1066="PHYSICAL","OPEN","BLOCKED"))</x:f>
        <x:v>OPEN</x:v>
      </x:c>
      <x:c r="G1090" t="str">
        <x:v>equals</x:v>
      </x:c>
      <x:c r="H1090" t="str">
        <x:f>IF(E1090=F1090,"PASS","FAIL")</x:f>
        <x:v>PASS</x:v>
      </x:c>
    </x:row>
    <x:row r="1091">
      <x:c r="B1091" t="str">
        <x:v>A-1061</x:v>
      </x:c>
      <x:c r="C1091" t="str">
        <x:v>GATE</x:v>
      </x:c>
      <x:c r="D1091" t="str">
        <x:v>release ledger mirrors governing state</x:v>
      </x:c>
      <x:c r="E1091" t="str">
        <x:f>'Release Gates'!J1067</x:f>
        <x:v>OPEN</x:v>
      </x:c>
      <x:c r="F1091" t="str">
        <x:f>IF('Release Gates'!C1067="PLANNING","PASS",IF('Release Gates'!C1067="PHYSICAL","OPEN","BLOCKED"))</x:f>
        <x:v>OPEN</x:v>
      </x:c>
      <x:c r="G1091" t="str">
        <x:v>equals</x:v>
      </x:c>
      <x:c r="H1091" t="str">
        <x:f>IF(E1091=F1091,"PASS","FAIL")</x:f>
        <x:v>PASS</x:v>
      </x:c>
    </x:row>
    <x:row r="1092">
      <x:c r="B1092" t="str">
        <x:v>A-1062</x:v>
      </x:c>
      <x:c r="C1092" t="str">
        <x:v>GATE</x:v>
      </x:c>
      <x:c r="D1092" t="str">
        <x:v>release ledger mirrors governing state</x:v>
      </x:c>
      <x:c r="E1092" t="str">
        <x:f>'Release Gates'!J1068</x:f>
        <x:v>OPEN</x:v>
      </x:c>
      <x:c r="F1092" t="str">
        <x:f>IF('Release Gates'!C1068="PLANNING","PASS",IF('Release Gates'!C1068="PHYSICAL","OPEN","BLOCKED"))</x:f>
        <x:v>OPEN</x:v>
      </x:c>
      <x:c r="G1092" t="str">
        <x:v>equals</x:v>
      </x:c>
      <x:c r="H1092" t="str">
        <x:f>IF(E1092=F1092,"PASS","FAIL")</x:f>
        <x:v>PASS</x:v>
      </x:c>
    </x:row>
    <x:row r="1093">
      <x:c r="B1093" t="str">
        <x:v>A-1063</x:v>
      </x:c>
      <x:c r="C1093" t="str">
        <x:v>GATE</x:v>
      </x:c>
      <x:c r="D1093" t="str">
        <x:v>release ledger mirrors governing state</x:v>
      </x:c>
      <x:c r="E1093" t="str">
        <x:f>'Release Gates'!J1069</x:f>
        <x:v>OPEN</x:v>
      </x:c>
      <x:c r="F1093" t="str">
        <x:f>IF('Release Gates'!C1069="PLANNING","PASS",IF('Release Gates'!C1069="PHYSICAL","OPEN","BLOCKED"))</x:f>
        <x:v>OPEN</x:v>
      </x:c>
      <x:c r="G1093" t="str">
        <x:v>equals</x:v>
      </x:c>
      <x:c r="H1093" t="str">
        <x:f>IF(E1093=F1093,"PASS","FAIL")</x:f>
        <x:v>PASS</x:v>
      </x:c>
    </x:row>
    <x:row r="1094">
      <x:c r="B1094" t="str">
        <x:v>A-1064</x:v>
      </x:c>
      <x:c r="C1094" t="str">
        <x:v>GATE</x:v>
      </x:c>
      <x:c r="D1094" t="str">
        <x:v>release ledger mirrors governing state</x:v>
      </x:c>
      <x:c r="E1094" t="str">
        <x:f>'Release Gates'!J1070</x:f>
        <x:v>OPEN</x:v>
      </x:c>
      <x:c r="F1094" t="str">
        <x:f>IF('Release Gates'!C1070="PLANNING","PASS",IF('Release Gates'!C1070="PHYSICAL","OPEN","BLOCKED"))</x:f>
        <x:v>OPEN</x:v>
      </x:c>
      <x:c r="G1094" t="str">
        <x:v>equals</x:v>
      </x:c>
      <x:c r="H1094" t="str">
        <x:f>IF(E1094=F1094,"PASS","FAIL")</x:f>
        <x:v>PASS</x:v>
      </x:c>
    </x:row>
    <x:row r="1095">
      <x:c r="B1095" t="str">
        <x:v>A-1065</x:v>
      </x:c>
      <x:c r="C1095" t="str">
        <x:v>GATE</x:v>
      </x:c>
      <x:c r="D1095" t="str">
        <x:v>release ledger mirrors governing state</x:v>
      </x:c>
      <x:c r="E1095" t="str">
        <x:f>'Release Gates'!J1071</x:f>
        <x:v>OPEN</x:v>
      </x:c>
      <x:c r="F1095" t="str">
        <x:f>IF('Release Gates'!C1071="PLANNING","PASS",IF('Release Gates'!C1071="PHYSICAL","OPEN","BLOCKED"))</x:f>
        <x:v>OPEN</x:v>
      </x:c>
      <x:c r="G1095" t="str">
        <x:v>equals</x:v>
      </x:c>
      <x:c r="H1095" t="str">
        <x:f>IF(E1095=F1095,"PASS","FAIL")</x:f>
        <x:v>PASS</x:v>
      </x:c>
    </x:row>
    <x:row r="1096">
      <x:c r="B1096" t="str">
        <x:v>A-1066</x:v>
      </x:c>
      <x:c r="C1096" t="str">
        <x:v>GATE</x:v>
      </x:c>
      <x:c r="D1096" t="str">
        <x:v>release ledger mirrors governing state</x:v>
      </x:c>
      <x:c r="E1096" t="str">
        <x:f>'Release Gates'!J1072</x:f>
        <x:v>OPEN</x:v>
      </x:c>
      <x:c r="F1096" t="str">
        <x:f>IF('Release Gates'!C1072="PLANNING","PASS",IF('Release Gates'!C1072="PHYSICAL","OPEN","BLOCKED"))</x:f>
        <x:v>OPEN</x:v>
      </x:c>
      <x:c r="G1096" t="str">
        <x:v>equals</x:v>
      </x:c>
      <x:c r="H1096" t="str">
        <x:f>IF(E1096=F1096,"PASS","FAIL")</x:f>
        <x:v>PASS</x:v>
      </x:c>
    </x:row>
    <x:row r="1097">
      <x:c r="B1097" t="str">
        <x:v>A-1067</x:v>
      </x:c>
      <x:c r="C1097" t="str">
        <x:v>GATE</x:v>
      </x:c>
      <x:c r="D1097" t="str">
        <x:v>release ledger mirrors governing state</x:v>
      </x:c>
      <x:c r="E1097" t="str">
        <x:f>'Release Gates'!J1073</x:f>
        <x:v>OPEN</x:v>
      </x:c>
      <x:c r="F1097" t="str">
        <x:f>IF('Release Gates'!C1073="PLANNING","PASS",IF('Release Gates'!C1073="PHYSICAL","OPEN","BLOCKED"))</x:f>
        <x:v>OPEN</x:v>
      </x:c>
      <x:c r="G1097" t="str">
        <x:v>equals</x:v>
      </x:c>
      <x:c r="H1097" t="str">
        <x:f>IF(E1097=F1097,"PASS","FAIL")</x:f>
        <x:v>PASS</x:v>
      </x:c>
    </x:row>
    <x:row r="1098">
      <x:c r="B1098" t="str">
        <x:v>A-1068</x:v>
      </x:c>
      <x:c r="C1098" t="str">
        <x:v>GATE</x:v>
      </x:c>
      <x:c r="D1098" t="str">
        <x:v>release ledger mirrors governing state</x:v>
      </x:c>
      <x:c r="E1098" t="str">
        <x:f>'Release Gates'!J1074</x:f>
        <x:v>OPEN</x:v>
      </x:c>
      <x:c r="F1098" t="str">
        <x:f>IF('Release Gates'!C1074="PLANNING","PASS",IF('Release Gates'!C1074="PHYSICAL","OPEN","BLOCKED"))</x:f>
        <x:v>OPEN</x:v>
      </x:c>
      <x:c r="G1098" t="str">
        <x:v>equals</x:v>
      </x:c>
      <x:c r="H1098" t="str">
        <x:f>IF(E1098=F1098,"PASS","FAIL")</x:f>
        <x:v>PASS</x:v>
      </x:c>
    </x:row>
    <x:row r="1099">
      <x:c r="B1099" t="str">
        <x:v>A-1069</x:v>
      </x:c>
      <x:c r="C1099" t="str">
        <x:v>GATE</x:v>
      </x:c>
      <x:c r="D1099" t="str">
        <x:v>release ledger mirrors governing state</x:v>
      </x:c>
      <x:c r="E1099" t="str">
        <x:f>'Release Gates'!J1075</x:f>
        <x:v>OPEN</x:v>
      </x:c>
      <x:c r="F1099" t="str">
        <x:f>IF('Release Gates'!C1075="PLANNING","PASS",IF('Release Gates'!C1075="PHYSICAL","OPEN","BLOCKED"))</x:f>
        <x:v>OPEN</x:v>
      </x:c>
      <x:c r="G1099" t="str">
        <x:v>equals</x:v>
      </x:c>
      <x:c r="H1099" t="str">
        <x:f>IF(E1099=F1099,"PASS","FAIL")</x:f>
        <x:v>PASS</x:v>
      </x:c>
    </x:row>
    <x:row r="1100">
      <x:c r="B1100" t="str">
        <x:v>A-1070</x:v>
      </x:c>
      <x:c r="C1100" t="str">
        <x:v>GATE</x:v>
      </x:c>
      <x:c r="D1100" t="str">
        <x:v>release ledger mirrors governing state</x:v>
      </x:c>
      <x:c r="E1100" t="str">
        <x:f>'Release Gates'!J1076</x:f>
        <x:v>OPEN</x:v>
      </x:c>
      <x:c r="F1100" t="str">
        <x:f>IF('Release Gates'!C1076="PLANNING","PASS",IF('Release Gates'!C1076="PHYSICAL","OPEN","BLOCKED"))</x:f>
        <x:v>OPEN</x:v>
      </x:c>
      <x:c r="G1100" t="str">
        <x:v>equals</x:v>
      </x:c>
      <x:c r="H1100" t="str">
        <x:f>IF(E1100=F1100,"PASS","FAIL")</x:f>
        <x:v>PASS</x:v>
      </x:c>
    </x:row>
    <x:row r="1101">
      <x:c r="B1101" t="str">
        <x:v>A-1071</x:v>
      </x:c>
      <x:c r="C1101" t="str">
        <x:v>GATE</x:v>
      </x:c>
      <x:c r="D1101" t="str">
        <x:v>release ledger mirrors governing state</x:v>
      </x:c>
      <x:c r="E1101" t="str">
        <x:f>'Release Gates'!J1077</x:f>
        <x:v>OPEN</x:v>
      </x:c>
      <x:c r="F1101" t="str">
        <x:f>IF('Release Gates'!C1077="PLANNING","PASS",IF('Release Gates'!C1077="PHYSICAL","OPEN","BLOCKED"))</x:f>
        <x:v>OPEN</x:v>
      </x:c>
      <x:c r="G1101" t="str">
        <x:v>equals</x:v>
      </x:c>
      <x:c r="H1101" t="str">
        <x:f>IF(E1101=F1101,"PASS","FAIL")</x:f>
        <x:v>PASS</x:v>
      </x:c>
    </x:row>
    <x:row r="1102">
      <x:c r="B1102" t="str">
        <x:v>A-1072</x:v>
      </x:c>
      <x:c r="C1102" t="str">
        <x:v>GATE</x:v>
      </x:c>
      <x:c r="D1102" t="str">
        <x:v>release ledger mirrors governing state</x:v>
      </x:c>
      <x:c r="E1102" t="str">
        <x:f>'Release Gates'!J1078</x:f>
        <x:v>OPEN</x:v>
      </x:c>
      <x:c r="F1102" t="str">
        <x:f>IF('Release Gates'!C1078="PLANNING","PASS",IF('Release Gates'!C1078="PHYSICAL","OPEN","BLOCKED"))</x:f>
        <x:v>OPEN</x:v>
      </x:c>
      <x:c r="G1102" t="str">
        <x:v>equals</x:v>
      </x:c>
      <x:c r="H1102" t="str">
        <x:f>IF(E1102=F1102,"PASS","FAIL")</x:f>
        <x:v>PASS</x:v>
      </x:c>
    </x:row>
    <x:row r="1103">
      <x:c r="B1103" t="str">
        <x:v>A-1073</x:v>
      </x:c>
      <x:c r="C1103" t="str">
        <x:v>GATE</x:v>
      </x:c>
      <x:c r="D1103" t="str">
        <x:v>release ledger mirrors governing state</x:v>
      </x:c>
      <x:c r="E1103" t="str">
        <x:f>'Release Gates'!J1079</x:f>
        <x:v>OPEN</x:v>
      </x:c>
      <x:c r="F1103" t="str">
        <x:f>IF('Release Gates'!C1079="PLANNING","PASS",IF('Release Gates'!C1079="PHYSICAL","OPEN","BLOCKED"))</x:f>
        <x:v>OPEN</x:v>
      </x:c>
      <x:c r="G1103" t="str">
        <x:v>equals</x:v>
      </x:c>
      <x:c r="H1103" t="str">
        <x:f>IF(E1103=F1103,"PASS","FAIL")</x:f>
        <x:v>PASS</x:v>
      </x:c>
    </x:row>
    <x:row r="1104">
      <x:c r="B1104" t="str">
        <x:v>A-1074</x:v>
      </x:c>
      <x:c r="C1104" t="str">
        <x:v>GATE</x:v>
      </x:c>
      <x:c r="D1104" t="str">
        <x:v>release ledger mirrors governing state</x:v>
      </x:c>
      <x:c r="E1104" t="str">
        <x:f>'Release Gates'!J1080</x:f>
        <x:v>OPEN</x:v>
      </x:c>
      <x:c r="F1104" t="str">
        <x:f>IF('Release Gates'!C1080="PLANNING","PASS",IF('Release Gates'!C1080="PHYSICAL","OPEN","BLOCKED"))</x:f>
        <x:v>OPEN</x:v>
      </x:c>
      <x:c r="G1104" t="str">
        <x:v>equals</x:v>
      </x:c>
      <x:c r="H1104" t="str">
        <x:f>IF(E1104=F1104,"PASS","FAIL")</x:f>
        <x:v>PASS</x:v>
      </x:c>
    </x:row>
    <x:row r="1105">
      <x:c r="B1105" t="str">
        <x:v>A-1075</x:v>
      </x:c>
      <x:c r="C1105" t="str">
        <x:v>GATE</x:v>
      </x:c>
      <x:c r="D1105" t="str">
        <x:v>release ledger mirrors governing state</x:v>
      </x:c>
      <x:c r="E1105" t="str">
        <x:f>'Release Gates'!J1081</x:f>
        <x:v>OPEN</x:v>
      </x:c>
      <x:c r="F1105" t="str">
        <x:f>IF('Release Gates'!C1081="PLANNING","PASS",IF('Release Gates'!C1081="PHYSICAL","OPEN","BLOCKED"))</x:f>
        <x:v>OPEN</x:v>
      </x:c>
      <x:c r="G1105" t="str">
        <x:v>equals</x:v>
      </x:c>
      <x:c r="H1105" t="str">
        <x:f>IF(E1105=F1105,"PASS","FAIL")</x:f>
        <x:v>PASS</x:v>
      </x:c>
    </x:row>
    <x:row r="1106">
      <x:c r="B1106" t="str">
        <x:v>A-1076</x:v>
      </x:c>
      <x:c r="C1106" t="str">
        <x:v>GATE</x:v>
      </x:c>
      <x:c r="D1106" t="str">
        <x:v>release ledger mirrors governing state</x:v>
      </x:c>
      <x:c r="E1106" t="str">
        <x:f>'Release Gates'!J1082</x:f>
        <x:v>OPEN</x:v>
      </x:c>
      <x:c r="F1106" t="str">
        <x:f>IF('Release Gates'!C1082="PLANNING","PASS",IF('Release Gates'!C1082="PHYSICAL","OPEN","BLOCKED"))</x:f>
        <x:v>OPEN</x:v>
      </x:c>
      <x:c r="G1106" t="str">
        <x:v>equals</x:v>
      </x:c>
      <x:c r="H1106" t="str">
        <x:f>IF(E1106=F1106,"PASS","FAIL")</x:f>
        <x:v>PASS</x:v>
      </x:c>
    </x:row>
    <x:row r="1107">
      <x:c r="B1107" t="str">
        <x:v>A-1077</x:v>
      </x:c>
      <x:c r="C1107" t="str">
        <x:v>GATE</x:v>
      </x:c>
      <x:c r="D1107" t="str">
        <x:v>release ledger mirrors governing state</x:v>
      </x:c>
      <x:c r="E1107" t="str">
        <x:f>'Release Gates'!J1083</x:f>
        <x:v>OPEN</x:v>
      </x:c>
      <x:c r="F1107" t="str">
        <x:f>IF('Release Gates'!C1083="PLANNING","PASS",IF('Release Gates'!C1083="PHYSICAL","OPEN","BLOCKED"))</x:f>
        <x:v>OPEN</x:v>
      </x:c>
      <x:c r="G1107" t="str">
        <x:v>equals</x:v>
      </x:c>
      <x:c r="H1107" t="str">
        <x:f>IF(E1107=F1107,"PASS","FAIL")</x:f>
        <x:v>PASS</x:v>
      </x:c>
    </x:row>
    <x:row r="1108">
      <x:c r="B1108" t="str">
        <x:v>A-1078</x:v>
      </x:c>
      <x:c r="C1108" t="str">
        <x:v>GATE</x:v>
      </x:c>
      <x:c r="D1108" t="str">
        <x:v>release ledger mirrors governing state</x:v>
      </x:c>
      <x:c r="E1108" t="str">
        <x:f>'Release Gates'!J1084</x:f>
        <x:v>OPEN</x:v>
      </x:c>
      <x:c r="F1108" t="str">
        <x:f>IF('Release Gates'!C1084="PLANNING","PASS",IF('Release Gates'!C1084="PHYSICAL","OPEN","BLOCKED"))</x:f>
        <x:v>OPEN</x:v>
      </x:c>
      <x:c r="G1108" t="str">
        <x:v>equals</x:v>
      </x:c>
      <x:c r="H1108" t="str">
        <x:f>IF(E1108=F1108,"PASS","FAIL")</x:f>
        <x:v>PASS</x:v>
      </x:c>
    </x:row>
    <x:row r="1109">
      <x:c r="B1109" t="str">
        <x:v>A-1079</x:v>
      </x:c>
      <x:c r="C1109" t="str">
        <x:v>GATE</x:v>
      </x:c>
      <x:c r="D1109" t="str">
        <x:v>release ledger mirrors governing state</x:v>
      </x:c>
      <x:c r="E1109" t="str">
        <x:f>'Release Gates'!J1085</x:f>
        <x:v>OPEN</x:v>
      </x:c>
      <x:c r="F1109" t="str">
        <x:f>IF('Release Gates'!C1085="PLANNING","PASS",IF('Release Gates'!C1085="PHYSICAL","OPEN","BLOCKED"))</x:f>
        <x:v>OPEN</x:v>
      </x:c>
      <x:c r="G1109" t="str">
        <x:v>equals</x:v>
      </x:c>
      <x:c r="H1109" t="str">
        <x:f>IF(E1109=F1109,"PASS","FAIL")</x:f>
        <x:v>PASS</x:v>
      </x:c>
    </x:row>
    <x:row r="1110">
      <x:c r="B1110" t="str">
        <x:v>A-1080</x:v>
      </x:c>
      <x:c r="C1110" t="str">
        <x:v>GATE</x:v>
      </x:c>
      <x:c r="D1110" t="str">
        <x:v>release ledger mirrors governing state</x:v>
      </x:c>
      <x:c r="E1110" t="str">
        <x:f>'Release Gates'!J1086</x:f>
        <x:v>OPEN</x:v>
      </x:c>
      <x:c r="F1110" t="str">
        <x:f>IF('Release Gates'!C1086="PLANNING","PASS",IF('Release Gates'!C1086="PHYSICAL","OPEN","BLOCKED"))</x:f>
        <x:v>OPEN</x:v>
      </x:c>
      <x:c r="G1110" t="str">
        <x:v>equals</x:v>
      </x:c>
      <x:c r="H1110" t="str">
        <x:f>IF(E1110=F1110,"PASS","FAIL")</x:f>
        <x:v>PASS</x:v>
      </x:c>
    </x:row>
    <x:row r="1111">
      <x:c r="B1111" t="str">
        <x:v>A-1081</x:v>
      </x:c>
      <x:c r="C1111" t="str">
        <x:v>GATE</x:v>
      </x:c>
      <x:c r="D1111" t="str">
        <x:v>release ledger mirrors governing state</x:v>
      </x:c>
      <x:c r="E1111" t="str">
        <x:f>'Release Gates'!J1087</x:f>
        <x:v>OPEN</x:v>
      </x:c>
      <x:c r="F1111" t="str">
        <x:f>IF('Release Gates'!C1087="PLANNING","PASS",IF('Release Gates'!C1087="PHYSICAL","OPEN","BLOCKED"))</x:f>
        <x:v>OPEN</x:v>
      </x:c>
      <x:c r="G1111" t="str">
        <x:v>equals</x:v>
      </x:c>
      <x:c r="H1111" t="str">
        <x:f>IF(E1111=F1111,"PASS","FAIL")</x:f>
        <x:v>PASS</x:v>
      </x:c>
    </x:row>
    <x:row r="1112">
      <x:c r="B1112" t="str">
        <x:v>A-1082</x:v>
      </x:c>
      <x:c r="C1112" t="str">
        <x:v>GATE</x:v>
      </x:c>
      <x:c r="D1112" t="str">
        <x:v>release ledger mirrors governing state</x:v>
      </x:c>
      <x:c r="E1112" t="str">
        <x:f>'Release Gates'!J1088</x:f>
        <x:v>OPEN</x:v>
      </x:c>
      <x:c r="F1112" t="str">
        <x:f>IF('Release Gates'!C1088="PLANNING","PASS",IF('Release Gates'!C1088="PHYSICAL","OPEN","BLOCKED"))</x:f>
        <x:v>OPEN</x:v>
      </x:c>
      <x:c r="G1112" t="str">
        <x:v>equals</x:v>
      </x:c>
      <x:c r="H1112" t="str">
        <x:f>IF(E1112=F1112,"PASS","FAIL")</x:f>
        <x:v>PASS</x:v>
      </x:c>
    </x:row>
    <x:row r="1113">
      <x:c r="B1113" t="str">
        <x:v>A-1083</x:v>
      </x:c>
      <x:c r="C1113" t="str">
        <x:v>GATE</x:v>
      </x:c>
      <x:c r="D1113" t="str">
        <x:v>release ledger mirrors governing state</x:v>
      </x:c>
      <x:c r="E1113" t="str">
        <x:f>'Release Gates'!J1089</x:f>
        <x:v>OPEN</x:v>
      </x:c>
      <x:c r="F1113" t="str">
        <x:f>IF('Release Gates'!C1089="PLANNING","PASS",IF('Release Gates'!C1089="PHYSICAL","OPEN","BLOCKED"))</x:f>
        <x:v>OPEN</x:v>
      </x:c>
      <x:c r="G1113" t="str">
        <x:v>equals</x:v>
      </x:c>
      <x:c r="H1113" t="str">
        <x:f>IF(E1113=F1113,"PASS","FAIL")</x:f>
        <x:v>PASS</x:v>
      </x:c>
    </x:row>
    <x:row r="1114">
      <x:c r="B1114" t="str">
        <x:v>A-1084</x:v>
      </x:c>
      <x:c r="C1114" t="str">
        <x:v>GATE</x:v>
      </x:c>
      <x:c r="D1114" t="str">
        <x:v>release ledger mirrors governing state</x:v>
      </x:c>
      <x:c r="E1114" t="str">
        <x:f>'Release Gates'!J1090</x:f>
        <x:v>OPEN</x:v>
      </x:c>
      <x:c r="F1114" t="str">
        <x:f>IF('Release Gates'!C1090="PLANNING","PASS",IF('Release Gates'!C1090="PHYSICAL","OPEN","BLOCKED"))</x:f>
        <x:v>OPEN</x:v>
      </x:c>
      <x:c r="G1114" t="str">
        <x:v>equals</x:v>
      </x:c>
      <x:c r="H1114" t="str">
        <x:f>IF(E1114=F1114,"PASS","FAIL")</x:f>
        <x:v>PASS</x:v>
      </x:c>
    </x:row>
    <x:row r="1115">
      <x:c r="B1115" t="str">
        <x:v>A-1085</x:v>
      </x:c>
      <x:c r="C1115" t="str">
        <x:v>GATE</x:v>
      </x:c>
      <x:c r="D1115" t="str">
        <x:v>release ledger mirrors governing state</x:v>
      </x:c>
      <x:c r="E1115" t="str">
        <x:f>'Release Gates'!J1091</x:f>
        <x:v>OPEN</x:v>
      </x:c>
      <x:c r="F1115" t="str">
        <x:f>IF('Release Gates'!C1091="PLANNING","PASS",IF('Release Gates'!C1091="PHYSICAL","OPEN","BLOCKED"))</x:f>
        <x:v>OPEN</x:v>
      </x:c>
      <x:c r="G1115" t="str">
        <x:v>equals</x:v>
      </x:c>
      <x:c r="H1115" t="str">
        <x:f>IF(E1115=F1115,"PASS","FAIL")</x:f>
        <x:v>PASS</x:v>
      </x:c>
    </x:row>
    <x:row r="1116">
      <x:c r="B1116" t="str">
        <x:v>A-1086</x:v>
      </x:c>
      <x:c r="C1116" t="str">
        <x:v>GATE</x:v>
      </x:c>
      <x:c r="D1116" t="str">
        <x:v>release ledger mirrors governing state</x:v>
      </x:c>
      <x:c r="E1116" t="str">
        <x:f>'Release Gates'!J1092</x:f>
        <x:v>OPEN</x:v>
      </x:c>
      <x:c r="F1116" t="str">
        <x:f>IF('Release Gates'!C1092="PLANNING","PASS",IF('Release Gates'!C1092="PHYSICAL","OPEN","BLOCKED"))</x:f>
        <x:v>OPEN</x:v>
      </x:c>
      <x:c r="G1116" t="str">
        <x:v>equals</x:v>
      </x:c>
      <x:c r="H1116" t="str">
        <x:f>IF(E1116=F1116,"PASS","FAIL")</x:f>
        <x:v>PASS</x:v>
      </x:c>
    </x:row>
    <x:row r="1117">
      <x:c r="B1117" t="str">
        <x:v>A-1087</x:v>
      </x:c>
      <x:c r="C1117" t="str">
        <x:v>GATE</x:v>
      </x:c>
      <x:c r="D1117" t="str">
        <x:v>release ledger mirrors governing state</x:v>
      </x:c>
      <x:c r="E1117" t="str">
        <x:f>'Release Gates'!J1093</x:f>
        <x:v>OPEN</x:v>
      </x:c>
      <x:c r="F1117" t="str">
        <x:f>IF('Release Gates'!C1093="PLANNING","PASS",IF('Release Gates'!C1093="PHYSICAL","OPEN","BLOCKED"))</x:f>
        <x:v>OPEN</x:v>
      </x:c>
      <x:c r="G1117" t="str">
        <x:v>equals</x:v>
      </x:c>
      <x:c r="H1117" t="str">
        <x:f>IF(E1117=F1117,"PASS","FAIL")</x:f>
        <x:v>PASS</x:v>
      </x:c>
    </x:row>
    <x:row r="1118">
      <x:c r="B1118" t="str">
        <x:v>A-1088</x:v>
      </x:c>
      <x:c r="C1118" t="str">
        <x:v>GATE</x:v>
      </x:c>
      <x:c r="D1118" t="str">
        <x:v>release ledger mirrors governing state</x:v>
      </x:c>
      <x:c r="E1118" t="str">
        <x:f>'Release Gates'!J1094</x:f>
        <x:v>OPEN</x:v>
      </x:c>
      <x:c r="F1118" t="str">
        <x:f>IF('Release Gates'!C1094="PLANNING","PASS",IF('Release Gates'!C1094="PHYSICAL","OPEN","BLOCKED"))</x:f>
        <x:v>OPEN</x:v>
      </x:c>
      <x:c r="G1118" t="str">
        <x:v>equals</x:v>
      </x:c>
      <x:c r="H1118" t="str">
        <x:f>IF(E1118=F1118,"PASS","FAIL")</x:f>
        <x:v>PASS</x:v>
      </x:c>
    </x:row>
    <x:row r="1119">
      <x:c r="B1119" t="str">
        <x:v>A-1089</x:v>
      </x:c>
      <x:c r="C1119" t="str">
        <x:v>GATE</x:v>
      </x:c>
      <x:c r="D1119" t="str">
        <x:v>release ledger mirrors governing state</x:v>
      </x:c>
      <x:c r="E1119" t="str">
        <x:f>'Release Gates'!J1095</x:f>
        <x:v>OPEN</x:v>
      </x:c>
      <x:c r="F1119" t="str">
        <x:f>IF('Release Gates'!C1095="PLANNING","PASS",IF('Release Gates'!C1095="PHYSICAL","OPEN","BLOCKED"))</x:f>
        <x:v>OPEN</x:v>
      </x:c>
      <x:c r="G1119" t="str">
        <x:v>equals</x:v>
      </x:c>
      <x:c r="H1119" t="str">
        <x:f>IF(E1119=F1119,"PASS","FAIL")</x:f>
        <x:v>PASS</x:v>
      </x:c>
    </x:row>
    <x:row r="1120">
      <x:c r="B1120" t="str">
        <x:v>A-1090</x:v>
      </x:c>
      <x:c r="C1120" t="str">
        <x:v>GATE</x:v>
      </x:c>
      <x:c r="D1120" t="str">
        <x:v>release ledger mirrors governing state</x:v>
      </x:c>
      <x:c r="E1120" t="str">
        <x:f>'Release Gates'!J1096</x:f>
        <x:v>OPEN</x:v>
      </x:c>
      <x:c r="F1120" t="str">
        <x:f>IF('Release Gates'!C1096="PLANNING","PASS",IF('Release Gates'!C1096="PHYSICAL","OPEN","BLOCKED"))</x:f>
        <x:v>OPEN</x:v>
      </x:c>
      <x:c r="G1120" t="str">
        <x:v>equals</x:v>
      </x:c>
      <x:c r="H1120" t="str">
        <x:f>IF(E1120=F1120,"PASS","FAIL")</x:f>
        <x:v>PASS</x:v>
      </x:c>
    </x:row>
    <x:row r="1121">
      <x:c r="B1121" t="str">
        <x:v>A-1091</x:v>
      </x:c>
      <x:c r="C1121" t="str">
        <x:v>GATE</x:v>
      </x:c>
      <x:c r="D1121" t="str">
        <x:v>release ledger mirrors governing state</x:v>
      </x:c>
      <x:c r="E1121" t="str">
        <x:f>'Release Gates'!J1097</x:f>
        <x:v>OPEN</x:v>
      </x:c>
      <x:c r="F1121" t="str">
        <x:f>IF('Release Gates'!C1097="PLANNING","PASS",IF('Release Gates'!C1097="PHYSICAL","OPEN","BLOCKED"))</x:f>
        <x:v>OPEN</x:v>
      </x:c>
      <x:c r="G1121" t="str">
        <x:v>equals</x:v>
      </x:c>
      <x:c r="H1121" t="str">
        <x:f>IF(E1121=F1121,"PASS","FAIL")</x:f>
        <x:v>PASS</x:v>
      </x:c>
    </x:row>
    <x:row r="1122">
      <x:c r="B1122" t="str">
        <x:v>A-1092</x:v>
      </x:c>
      <x:c r="C1122" t="str">
        <x:v>GATE</x:v>
      </x:c>
      <x:c r="D1122" t="str">
        <x:v>release ledger mirrors governing state</x:v>
      </x:c>
      <x:c r="E1122" t="str">
        <x:f>'Release Gates'!J1098</x:f>
        <x:v>OPEN</x:v>
      </x:c>
      <x:c r="F1122" t="str">
        <x:f>IF('Release Gates'!C1098="PLANNING","PASS",IF('Release Gates'!C1098="PHYSICAL","OPEN","BLOCKED"))</x:f>
        <x:v>OPEN</x:v>
      </x:c>
      <x:c r="G1122" t="str">
        <x:v>equals</x:v>
      </x:c>
      <x:c r="H1122" t="str">
        <x:f>IF(E1122=F1122,"PASS","FAIL")</x:f>
        <x:v>PASS</x:v>
      </x:c>
    </x:row>
    <x:row r="1123">
      <x:c r="B1123" t="str">
        <x:v>A-1093</x:v>
      </x:c>
      <x:c r="C1123" t="str">
        <x:v>GATE</x:v>
      </x:c>
      <x:c r="D1123" t="str">
        <x:v>release ledger mirrors governing state</x:v>
      </x:c>
      <x:c r="E1123" t="str">
        <x:f>'Release Gates'!J1099</x:f>
        <x:v>OPEN</x:v>
      </x:c>
      <x:c r="F1123" t="str">
        <x:f>IF('Release Gates'!C1099="PLANNING","PASS",IF('Release Gates'!C1099="PHYSICAL","OPEN","BLOCKED"))</x:f>
        <x:v>OPEN</x:v>
      </x:c>
      <x:c r="G1123" t="str">
        <x:v>equals</x:v>
      </x:c>
      <x:c r="H1123" t="str">
        <x:f>IF(E1123=F1123,"PASS","FAIL")</x:f>
        <x:v>PASS</x:v>
      </x:c>
    </x:row>
    <x:row r="1124">
      <x:c r="B1124" t="str">
        <x:v>A-1094</x:v>
      </x:c>
      <x:c r="C1124" t="str">
        <x:v>GATE</x:v>
      </x:c>
      <x:c r="D1124" t="str">
        <x:v>release ledger mirrors governing state</x:v>
      </x:c>
      <x:c r="E1124" t="str">
        <x:f>'Release Gates'!J1100</x:f>
        <x:v>OPEN</x:v>
      </x:c>
      <x:c r="F1124" t="str">
        <x:f>IF('Release Gates'!C1100="PLANNING","PASS",IF('Release Gates'!C1100="PHYSICAL","OPEN","BLOCKED"))</x:f>
        <x:v>OPEN</x:v>
      </x:c>
      <x:c r="G1124" t="str">
        <x:v>equals</x:v>
      </x:c>
      <x:c r="H1124" t="str">
        <x:f>IF(E1124=F1124,"PASS","FAIL")</x:f>
        <x:v>PASS</x:v>
      </x:c>
    </x:row>
    <x:row r="1125">
      <x:c r="B1125" t="str">
        <x:v>A-1095</x:v>
      </x:c>
      <x:c r="C1125" t="str">
        <x:v>GATE</x:v>
      </x:c>
      <x:c r="D1125" t="str">
        <x:v>release ledger mirrors governing state</x:v>
      </x:c>
      <x:c r="E1125" t="str">
        <x:f>'Release Gates'!J1101</x:f>
        <x:v>OPEN</x:v>
      </x:c>
      <x:c r="F1125" t="str">
        <x:f>IF('Release Gates'!C1101="PLANNING","PASS",IF('Release Gates'!C1101="PHYSICAL","OPEN","BLOCKED"))</x:f>
        <x:v>OPEN</x:v>
      </x:c>
      <x:c r="G1125" t="str">
        <x:v>equals</x:v>
      </x:c>
      <x:c r="H1125" t="str">
        <x:f>IF(E1125=F1125,"PASS","FAIL")</x:f>
        <x:v>PASS</x:v>
      </x:c>
    </x:row>
    <x:row r="1126">
      <x:c r="B1126" t="str">
        <x:v>A-1096</x:v>
      </x:c>
      <x:c r="C1126" t="str">
        <x:v>GATE</x:v>
      </x:c>
      <x:c r="D1126" t="str">
        <x:v>release ledger mirrors governing state</x:v>
      </x:c>
      <x:c r="E1126" t="str">
        <x:f>'Release Gates'!J1102</x:f>
        <x:v>OPEN</x:v>
      </x:c>
      <x:c r="F1126" t="str">
        <x:f>IF('Release Gates'!C1102="PLANNING","PASS",IF('Release Gates'!C1102="PHYSICAL","OPEN","BLOCKED"))</x:f>
        <x:v>OPEN</x:v>
      </x:c>
      <x:c r="G1126" t="str">
        <x:v>equals</x:v>
      </x:c>
      <x:c r="H1126" t="str">
        <x:f>IF(E1126=F1126,"PASS","FAIL")</x:f>
        <x:v>PASS</x:v>
      </x:c>
    </x:row>
    <x:row r="1127">
      <x:c r="B1127" t="str">
        <x:v>A-1097</x:v>
      </x:c>
      <x:c r="C1127" t="str">
        <x:v>GATE</x:v>
      </x:c>
      <x:c r="D1127" t="str">
        <x:v>release ledger mirrors governing state</x:v>
      </x:c>
      <x:c r="E1127" t="str">
        <x:f>'Release Gates'!J1103</x:f>
        <x:v>OPEN</x:v>
      </x:c>
      <x:c r="F1127" t="str">
        <x:f>IF('Release Gates'!C1103="PLANNING","PASS",IF('Release Gates'!C1103="PHYSICAL","OPEN","BLOCKED"))</x:f>
        <x:v>OPEN</x:v>
      </x:c>
      <x:c r="G1127" t="str">
        <x:v>equals</x:v>
      </x:c>
      <x:c r="H1127" t="str">
        <x:f>IF(E1127=F1127,"PASS","FAIL")</x:f>
        <x:v>PASS</x:v>
      </x:c>
    </x:row>
    <x:row r="1128">
      <x:c r="B1128" t="str">
        <x:v>A-1098</x:v>
      </x:c>
      <x:c r="C1128" t="str">
        <x:v>GATE</x:v>
      </x:c>
      <x:c r="D1128" t="str">
        <x:v>release ledger mirrors governing state</x:v>
      </x:c>
      <x:c r="E1128" t="str">
        <x:f>'Release Gates'!J1104</x:f>
        <x:v>OPEN</x:v>
      </x:c>
      <x:c r="F1128" t="str">
        <x:f>IF('Release Gates'!C1104="PLANNING","PASS",IF('Release Gates'!C1104="PHYSICAL","OPEN","BLOCKED"))</x:f>
        <x:v>OPEN</x:v>
      </x:c>
      <x:c r="G1128" t="str">
        <x:v>equals</x:v>
      </x:c>
      <x:c r="H1128" t="str">
        <x:f>IF(E1128=F1128,"PASS","FAIL")</x:f>
        <x:v>PASS</x:v>
      </x:c>
    </x:row>
    <x:row r="1129">
      <x:c r="B1129" t="str">
        <x:v>A-1099</x:v>
      </x:c>
      <x:c r="C1129" t="str">
        <x:v>GATE</x:v>
      </x:c>
      <x:c r="D1129" t="str">
        <x:v>release ledger mirrors governing state</x:v>
      </x:c>
      <x:c r="E1129" t="str">
        <x:f>'Release Gates'!J1105</x:f>
        <x:v>OPEN</x:v>
      </x:c>
      <x:c r="F1129" t="str">
        <x:f>IF('Release Gates'!C1105="PLANNING","PASS",IF('Release Gates'!C1105="PHYSICAL","OPEN","BLOCKED"))</x:f>
        <x:v>OPEN</x:v>
      </x:c>
      <x:c r="G1129" t="str">
        <x:v>equals</x:v>
      </x:c>
      <x:c r="H1129" t="str">
        <x:f>IF(E1129=F1129,"PASS","FAIL")</x:f>
        <x:v>PASS</x:v>
      </x:c>
    </x:row>
    <x:row r="1130">
      <x:c r="B1130" t="str">
        <x:v>A-1100</x:v>
      </x:c>
      <x:c r="C1130" t="str">
        <x:v>GATE</x:v>
      </x:c>
      <x:c r="D1130" t="str">
        <x:v>release ledger mirrors governing state</x:v>
      </x:c>
      <x:c r="E1130" t="str">
        <x:f>'Release Gates'!J1106</x:f>
        <x:v>OPEN</x:v>
      </x:c>
      <x:c r="F1130" t="str">
        <x:f>IF('Release Gates'!C1106="PLANNING","PASS",IF('Release Gates'!C1106="PHYSICAL","OPEN","BLOCKED"))</x:f>
        <x:v>OPEN</x:v>
      </x:c>
      <x:c r="G1130" t="str">
        <x:v>equals</x:v>
      </x:c>
      <x:c r="H1130" t="str">
        <x:f>IF(E1130=F1130,"PASS","FAIL")</x:f>
        <x:v>PASS</x:v>
      </x:c>
    </x:row>
    <x:row r="1131">
      <x:c r="B1131" t="str">
        <x:v>A-1101</x:v>
      </x:c>
      <x:c r="C1131" t="str">
        <x:v>GATE</x:v>
      </x:c>
      <x:c r="D1131" t="str">
        <x:v>release ledger mirrors governing state</x:v>
      </x:c>
      <x:c r="E1131" t="str">
        <x:f>'Release Gates'!J1107</x:f>
        <x:v>OPEN</x:v>
      </x:c>
      <x:c r="F1131" t="str">
        <x:f>IF('Release Gates'!C1107="PLANNING","PASS",IF('Release Gates'!C1107="PHYSICAL","OPEN","BLOCKED"))</x:f>
        <x:v>OPEN</x:v>
      </x:c>
      <x:c r="G1131" t="str">
        <x:v>equals</x:v>
      </x:c>
      <x:c r="H1131" t="str">
        <x:f>IF(E1131=F1131,"PASS","FAIL")</x:f>
        <x:v>PASS</x:v>
      </x:c>
    </x:row>
    <x:row r="1132">
      <x:c r="B1132" t="str">
        <x:v>A-1102</x:v>
      </x:c>
      <x:c r="C1132" t="str">
        <x:v>GATE</x:v>
      </x:c>
      <x:c r="D1132" t="str">
        <x:v>release ledger mirrors governing state</x:v>
      </x:c>
      <x:c r="E1132" t="str">
        <x:f>'Release Gates'!J1108</x:f>
        <x:v>OPEN</x:v>
      </x:c>
      <x:c r="F1132" t="str">
        <x:f>IF('Release Gates'!C1108="PLANNING","PASS",IF('Release Gates'!C1108="PHYSICAL","OPEN","BLOCKED"))</x:f>
        <x:v>OPEN</x:v>
      </x:c>
      <x:c r="G1132" t="str">
        <x:v>equals</x:v>
      </x:c>
      <x:c r="H1132" t="str">
        <x:f>IF(E1132=F1132,"PASS","FAIL")</x:f>
        <x:v>PASS</x:v>
      </x:c>
    </x:row>
    <x:row r="1133">
      <x:c r="B1133" t="str">
        <x:v>A-1103</x:v>
      </x:c>
      <x:c r="C1133" t="str">
        <x:v>GATE</x:v>
      </x:c>
      <x:c r="D1133" t="str">
        <x:v>release ledger mirrors governing state</x:v>
      </x:c>
      <x:c r="E1133" t="str">
        <x:f>'Release Gates'!J1109</x:f>
        <x:v>OPEN</x:v>
      </x:c>
      <x:c r="F1133" t="str">
        <x:f>IF('Release Gates'!C1109="PLANNING","PASS",IF('Release Gates'!C1109="PHYSICAL","OPEN","BLOCKED"))</x:f>
        <x:v>OPEN</x:v>
      </x:c>
      <x:c r="G1133" t="str">
        <x:v>equals</x:v>
      </x:c>
      <x:c r="H1133" t="str">
        <x:f>IF(E1133=F1133,"PASS","FAIL")</x:f>
        <x:v>PASS</x:v>
      </x:c>
    </x:row>
    <x:row r="1134">
      <x:c r="B1134" t="str">
        <x:v>A-1104</x:v>
      </x:c>
      <x:c r="C1134" t="str">
        <x:v>GATE</x:v>
      </x:c>
      <x:c r="D1134" t="str">
        <x:v>release ledger mirrors governing state</x:v>
      </x:c>
      <x:c r="E1134" t="str">
        <x:f>'Release Gates'!J1110</x:f>
        <x:v>OPEN</x:v>
      </x:c>
      <x:c r="F1134" t="str">
        <x:f>IF('Release Gates'!C1110="PLANNING","PASS",IF('Release Gates'!C1110="PHYSICAL","OPEN","BLOCKED"))</x:f>
        <x:v>OPEN</x:v>
      </x:c>
      <x:c r="G1134" t="str">
        <x:v>equals</x:v>
      </x:c>
      <x:c r="H1134" t="str">
        <x:f>IF(E1134=F1134,"PASS","FAIL")</x:f>
        <x:v>PASS</x:v>
      </x:c>
    </x:row>
    <x:row r="1135">
      <x:c r="B1135" t="str">
        <x:v>A-1105</x:v>
      </x:c>
      <x:c r="C1135" t="str">
        <x:v>GATE</x:v>
      </x:c>
      <x:c r="D1135" t="str">
        <x:v>release ledger mirrors governing state</x:v>
      </x:c>
      <x:c r="E1135" t="str">
        <x:f>'Release Gates'!J1111</x:f>
        <x:v>OPEN</x:v>
      </x:c>
      <x:c r="F1135" t="str">
        <x:f>IF('Release Gates'!C1111="PLANNING","PASS",IF('Release Gates'!C1111="PHYSICAL","OPEN","BLOCKED"))</x:f>
        <x:v>OPEN</x:v>
      </x:c>
      <x:c r="G1135" t="str">
        <x:v>equals</x:v>
      </x:c>
      <x:c r="H1135" t="str">
        <x:f>IF(E1135=F1135,"PASS","FAIL")</x:f>
        <x:v>PASS</x:v>
      </x:c>
    </x:row>
    <x:row r="1136">
      <x:c r="B1136" t="str">
        <x:v>A-1106</x:v>
      </x:c>
      <x:c r="C1136" t="str">
        <x:v>GATE</x:v>
      </x:c>
      <x:c r="D1136" t="str">
        <x:v>release ledger mirrors governing state</x:v>
      </x:c>
      <x:c r="E1136" t="str">
        <x:f>'Release Gates'!J1112</x:f>
        <x:v>OPEN</x:v>
      </x:c>
      <x:c r="F1136" t="str">
        <x:f>IF('Release Gates'!C1112="PLANNING","PASS",IF('Release Gates'!C1112="PHYSICAL","OPEN","BLOCKED"))</x:f>
        <x:v>OPEN</x:v>
      </x:c>
      <x:c r="G1136" t="str">
        <x:v>equals</x:v>
      </x:c>
      <x:c r="H1136" t="str">
        <x:f>IF(E1136=F1136,"PASS","FAIL")</x:f>
        <x:v>PASS</x:v>
      </x:c>
    </x:row>
    <x:row r="1137">
      <x:c r="B1137" t="str">
        <x:v>A-1107</x:v>
      </x:c>
      <x:c r="C1137" t="str">
        <x:v>GATE</x:v>
      </x:c>
      <x:c r="D1137" t="str">
        <x:v>release ledger mirrors governing state</x:v>
      </x:c>
      <x:c r="E1137" t="str">
        <x:f>'Release Gates'!J1113</x:f>
        <x:v>OPEN</x:v>
      </x:c>
      <x:c r="F1137" t="str">
        <x:f>IF('Release Gates'!C1113="PLANNING","PASS",IF('Release Gates'!C1113="PHYSICAL","OPEN","BLOCKED"))</x:f>
        <x:v>OPEN</x:v>
      </x:c>
      <x:c r="G1137" t="str">
        <x:v>equals</x:v>
      </x:c>
      <x:c r="H1137" t="str">
        <x:f>IF(E1137=F1137,"PASS","FAIL")</x:f>
        <x:v>PASS</x:v>
      </x:c>
    </x:row>
    <x:row r="1138">
      <x:c r="B1138" t="str">
        <x:v>A-1108</x:v>
      </x:c>
      <x:c r="C1138" t="str">
        <x:v>GATE</x:v>
      </x:c>
      <x:c r="D1138" t="str">
        <x:v>release ledger mirrors governing state</x:v>
      </x:c>
      <x:c r="E1138" t="str">
        <x:f>'Release Gates'!J1114</x:f>
        <x:v>OPEN</x:v>
      </x:c>
      <x:c r="F1138" t="str">
        <x:f>IF('Release Gates'!C1114="PLANNING","PASS",IF('Release Gates'!C1114="PHYSICAL","OPEN","BLOCKED"))</x:f>
        <x:v>OPEN</x:v>
      </x:c>
      <x:c r="G1138" t="str">
        <x:v>equals</x:v>
      </x:c>
      <x:c r="H1138" t="str">
        <x:f>IF(E1138=F1138,"PASS","FAIL")</x:f>
        <x:v>PASS</x:v>
      </x:c>
    </x:row>
    <x:row r="1139">
      <x:c r="B1139" t="str">
        <x:v>A-1109</x:v>
      </x:c>
      <x:c r="C1139" t="str">
        <x:v>GATE</x:v>
      </x:c>
      <x:c r="D1139" t="str">
        <x:v>release ledger mirrors governing state</x:v>
      </x:c>
      <x:c r="E1139" t="str">
        <x:f>'Release Gates'!J1115</x:f>
        <x:v>OPEN</x:v>
      </x:c>
      <x:c r="F1139" t="str">
        <x:f>IF('Release Gates'!C1115="PLANNING","PASS",IF('Release Gates'!C1115="PHYSICAL","OPEN","BLOCKED"))</x:f>
        <x:v>OPEN</x:v>
      </x:c>
      <x:c r="G1139" t="str">
        <x:v>equals</x:v>
      </x:c>
      <x:c r="H1139" t="str">
        <x:f>IF(E1139=F1139,"PASS","FAIL")</x:f>
        <x:v>PASS</x:v>
      </x:c>
    </x:row>
    <x:row r="1140">
      <x:c r="B1140" t="str">
        <x:v>A-1110</x:v>
      </x:c>
      <x:c r="C1140" t="str">
        <x:v>GATE</x:v>
      </x:c>
      <x:c r="D1140" t="str">
        <x:v>release ledger mirrors governing state</x:v>
      </x:c>
      <x:c r="E1140" t="str">
        <x:f>'Release Gates'!J1116</x:f>
        <x:v>OPEN</x:v>
      </x:c>
      <x:c r="F1140" t="str">
        <x:f>IF('Release Gates'!C1116="PLANNING","PASS",IF('Release Gates'!C1116="PHYSICAL","OPEN","BLOCKED"))</x:f>
        <x:v>OPEN</x:v>
      </x:c>
      <x:c r="G1140" t="str">
        <x:v>equals</x:v>
      </x:c>
      <x:c r="H1140" t="str">
        <x:f>IF(E1140=F1140,"PASS","FAIL")</x:f>
        <x:v>PASS</x:v>
      </x:c>
    </x:row>
    <x:row r="1141">
      <x:c r="B1141" t="str">
        <x:v>A-1111</x:v>
      </x:c>
      <x:c r="C1141" t="str">
        <x:v>GATE</x:v>
      </x:c>
      <x:c r="D1141" t="str">
        <x:v>release ledger mirrors governing state</x:v>
      </x:c>
      <x:c r="E1141" t="str">
        <x:f>'Release Gates'!J1117</x:f>
        <x:v>OPEN</x:v>
      </x:c>
      <x:c r="F1141" t="str">
        <x:f>IF('Release Gates'!C1117="PLANNING","PASS",IF('Release Gates'!C1117="PHYSICAL","OPEN","BLOCKED"))</x:f>
        <x:v>OPEN</x:v>
      </x:c>
      <x:c r="G1141" t="str">
        <x:v>equals</x:v>
      </x:c>
      <x:c r="H1141" t="str">
        <x:f>IF(E1141=F1141,"PASS","FAIL")</x:f>
        <x:v>PASS</x:v>
      </x:c>
    </x:row>
    <x:row r="1142">
      <x:c r="B1142" t="str">
        <x:v>A-1112</x:v>
      </x:c>
      <x:c r="C1142" t="str">
        <x:v>GATE</x:v>
      </x:c>
      <x:c r="D1142" t="str">
        <x:v>release ledger mirrors governing state</x:v>
      </x:c>
      <x:c r="E1142" t="str">
        <x:f>'Release Gates'!J1118</x:f>
        <x:v>OPEN</x:v>
      </x:c>
      <x:c r="F1142" t="str">
        <x:f>IF('Release Gates'!C1118="PLANNING","PASS",IF('Release Gates'!C1118="PHYSICAL","OPEN","BLOCKED"))</x:f>
        <x:v>OPEN</x:v>
      </x:c>
      <x:c r="G1142" t="str">
        <x:v>equals</x:v>
      </x:c>
      <x:c r="H1142" t="str">
        <x:f>IF(E1142=F1142,"PASS","FAIL")</x:f>
        <x:v>PASS</x:v>
      </x:c>
    </x:row>
    <x:row r="1143">
      <x:c r="B1143" t="str">
        <x:v>A-1113</x:v>
      </x:c>
      <x:c r="C1143" t="str">
        <x:v>GATE</x:v>
      </x:c>
      <x:c r="D1143" t="str">
        <x:v>release ledger mirrors governing state</x:v>
      </x:c>
      <x:c r="E1143" t="str">
        <x:f>'Release Gates'!J1119</x:f>
        <x:v>OPEN</x:v>
      </x:c>
      <x:c r="F1143" t="str">
        <x:f>IF('Release Gates'!C1119="PLANNING","PASS",IF('Release Gates'!C1119="PHYSICAL","OPEN","BLOCKED"))</x:f>
        <x:v>OPEN</x:v>
      </x:c>
      <x:c r="G1143" t="str">
        <x:v>equals</x:v>
      </x:c>
      <x:c r="H1143" t="str">
        <x:f>IF(E1143=F1143,"PASS","FAIL")</x:f>
        <x:v>PASS</x:v>
      </x:c>
    </x:row>
    <x:row r="1144">
      <x:c r="B1144" t="str">
        <x:v>A-1114</x:v>
      </x:c>
      <x:c r="C1144" t="str">
        <x:v>GATE</x:v>
      </x:c>
      <x:c r="D1144" t="str">
        <x:v>release ledger mirrors governing state</x:v>
      </x:c>
      <x:c r="E1144" t="str">
        <x:f>'Release Gates'!J1120</x:f>
        <x:v>OPEN</x:v>
      </x:c>
      <x:c r="F1144" t="str">
        <x:f>IF('Release Gates'!C1120="PLANNING","PASS",IF('Release Gates'!C1120="PHYSICAL","OPEN","BLOCKED"))</x:f>
        <x:v>OPEN</x:v>
      </x:c>
      <x:c r="G1144" t="str">
        <x:v>equals</x:v>
      </x:c>
      <x:c r="H1144" t="str">
        <x:f>IF(E1144=F1144,"PASS","FAIL")</x:f>
        <x:v>PASS</x:v>
      </x:c>
    </x:row>
    <x:row r="1145">
      <x:c r="B1145" t="str">
        <x:v>A-1115</x:v>
      </x:c>
      <x:c r="C1145" t="str">
        <x:v>GATE</x:v>
      </x:c>
      <x:c r="D1145" t="str">
        <x:v>release ledger mirrors governing state</x:v>
      </x:c>
      <x:c r="E1145" t="str">
        <x:f>'Release Gates'!J1121</x:f>
        <x:v>OPEN</x:v>
      </x:c>
      <x:c r="F1145" t="str">
        <x:f>IF('Release Gates'!C1121="PLANNING","PASS",IF('Release Gates'!C1121="PHYSICAL","OPEN","BLOCKED"))</x:f>
        <x:v>OPEN</x:v>
      </x:c>
      <x:c r="G1145" t="str">
        <x:v>equals</x:v>
      </x:c>
      <x:c r="H1145" t="str">
        <x:f>IF(E1145=F1145,"PASS","FAIL")</x:f>
        <x:v>PASS</x:v>
      </x:c>
    </x:row>
    <x:row r="1146">
      <x:c r="B1146" t="str">
        <x:v>A-1116</x:v>
      </x:c>
      <x:c r="C1146" t="str">
        <x:v>GATE</x:v>
      </x:c>
      <x:c r="D1146" t="str">
        <x:v>release ledger mirrors governing state</x:v>
      </x:c>
      <x:c r="E1146" t="str">
        <x:f>'Release Gates'!J1122</x:f>
        <x:v>OPEN</x:v>
      </x:c>
      <x:c r="F1146" t="str">
        <x:f>IF('Release Gates'!C1122="PLANNING","PASS",IF('Release Gates'!C1122="PHYSICAL","OPEN","BLOCKED"))</x:f>
        <x:v>OPEN</x:v>
      </x:c>
      <x:c r="G1146" t="str">
        <x:v>equals</x:v>
      </x:c>
      <x:c r="H1146" t="str">
        <x:f>IF(E1146=F1146,"PASS","FAIL")</x:f>
        <x:v>PASS</x:v>
      </x:c>
    </x:row>
    <x:row r="1147">
      <x:c r="B1147" t="str">
        <x:v>A-1117</x:v>
      </x:c>
      <x:c r="C1147" t="str">
        <x:v>GATE</x:v>
      </x:c>
      <x:c r="D1147" t="str">
        <x:v>release ledger mirrors governing state</x:v>
      </x:c>
      <x:c r="E1147" t="str">
        <x:f>'Release Gates'!J1123</x:f>
        <x:v>OPEN</x:v>
      </x:c>
      <x:c r="F1147" t="str">
        <x:f>IF('Release Gates'!C1123="PLANNING","PASS",IF('Release Gates'!C1123="PHYSICAL","OPEN","BLOCKED"))</x:f>
        <x:v>OPEN</x:v>
      </x:c>
      <x:c r="G1147" t="str">
        <x:v>equals</x:v>
      </x:c>
      <x:c r="H1147" t="str">
        <x:f>IF(E1147=F1147,"PASS","FAIL")</x:f>
        <x:v>PASS</x:v>
      </x:c>
    </x:row>
    <x:row r="1148">
      <x:c r="B1148" t="str">
        <x:v>A-1118</x:v>
      </x:c>
      <x:c r="C1148" t="str">
        <x:v>GATE</x:v>
      </x:c>
      <x:c r="D1148" t="str">
        <x:v>release ledger mirrors governing state</x:v>
      </x:c>
      <x:c r="E1148" t="str">
        <x:f>'Release Gates'!J1124</x:f>
        <x:v>OPEN</x:v>
      </x:c>
      <x:c r="F1148" t="str">
        <x:f>IF('Release Gates'!C1124="PLANNING","PASS",IF('Release Gates'!C1124="PHYSICAL","OPEN","BLOCKED"))</x:f>
        <x:v>OPEN</x:v>
      </x:c>
      <x:c r="G1148" t="str">
        <x:v>equals</x:v>
      </x:c>
      <x:c r="H1148" t="str">
        <x:f>IF(E1148=F1148,"PASS","FAIL")</x:f>
        <x:v>PASS</x:v>
      </x:c>
    </x:row>
    <x:row r="1149">
      <x:c r="B1149" t="str">
        <x:v>A-1119</x:v>
      </x:c>
      <x:c r="C1149" t="str">
        <x:v>GATE</x:v>
      </x:c>
      <x:c r="D1149" t="str">
        <x:v>release ledger mirrors governing state</x:v>
      </x:c>
      <x:c r="E1149" t="str">
        <x:f>'Release Gates'!J1125</x:f>
        <x:v>OPEN</x:v>
      </x:c>
      <x:c r="F1149" t="str">
        <x:f>IF('Release Gates'!C1125="PLANNING","PASS",IF('Release Gates'!C1125="PHYSICAL","OPEN","BLOCKED"))</x:f>
        <x:v>OPEN</x:v>
      </x:c>
      <x:c r="G1149" t="str">
        <x:v>equals</x:v>
      </x:c>
      <x:c r="H1149" t="str">
        <x:f>IF(E1149=F1149,"PASS","FAIL")</x:f>
        <x:v>PASS</x:v>
      </x:c>
    </x:row>
    <x:row r="1150">
      <x:c r="B1150" t="str">
        <x:v>A-1120</x:v>
      </x:c>
      <x:c r="C1150" t="str">
        <x:v>GATE</x:v>
      </x:c>
      <x:c r="D1150" t="str">
        <x:v>release ledger mirrors governing state</x:v>
      </x:c>
      <x:c r="E1150" t="str">
        <x:f>'Release Gates'!J1126</x:f>
        <x:v>OPEN</x:v>
      </x:c>
      <x:c r="F1150" t="str">
        <x:f>IF('Release Gates'!C1126="PLANNING","PASS",IF('Release Gates'!C1126="PHYSICAL","OPEN","BLOCKED"))</x:f>
        <x:v>OPEN</x:v>
      </x:c>
      <x:c r="G1150" t="str">
        <x:v>equals</x:v>
      </x:c>
      <x:c r="H1150" t="str">
        <x:f>IF(E1150=F1150,"PASS","FAIL")</x:f>
        <x:v>PASS</x:v>
      </x:c>
    </x:row>
    <x:row r="1151">
      <x:c r="B1151" t="str">
        <x:v>A-1121</x:v>
      </x:c>
      <x:c r="C1151" t="str">
        <x:v>GATE</x:v>
      </x:c>
      <x:c r="D1151" t="str">
        <x:v>release ledger mirrors governing state</x:v>
      </x:c>
      <x:c r="E1151" t="str">
        <x:f>'Release Gates'!J1127</x:f>
        <x:v>OPEN</x:v>
      </x:c>
      <x:c r="F1151" t="str">
        <x:f>IF('Release Gates'!C1127="PLANNING","PASS",IF('Release Gates'!C1127="PHYSICAL","OPEN","BLOCKED"))</x:f>
        <x:v>OPEN</x:v>
      </x:c>
      <x:c r="G1151" t="str">
        <x:v>equals</x:v>
      </x:c>
      <x:c r="H1151" t="str">
        <x:f>IF(E1151=F1151,"PASS","FAIL")</x:f>
        <x:v>PASS</x:v>
      </x:c>
    </x:row>
    <x:row r="1152">
      <x:c r="B1152" t="str">
        <x:v>A-1122</x:v>
      </x:c>
      <x:c r="C1152" t="str">
        <x:v>GATE</x:v>
      </x:c>
      <x:c r="D1152" t="str">
        <x:v>release ledger mirrors governing state</x:v>
      </x:c>
      <x:c r="E1152" t="str">
        <x:f>'Release Gates'!J1128</x:f>
        <x:v>OPEN</x:v>
      </x:c>
      <x:c r="F1152" t="str">
        <x:f>IF('Release Gates'!C1128="PLANNING","PASS",IF('Release Gates'!C1128="PHYSICAL","OPEN","BLOCKED"))</x:f>
        <x:v>OPEN</x:v>
      </x:c>
      <x:c r="G1152" t="str">
        <x:v>equals</x:v>
      </x:c>
      <x:c r="H1152" t="str">
        <x:f>IF(E1152=F1152,"PASS","FAIL")</x:f>
        <x:v>PASS</x:v>
      </x:c>
    </x:row>
    <x:row r="1153">
      <x:c r="B1153" t="str">
        <x:v>A-1123</x:v>
      </x:c>
      <x:c r="C1153" t="str">
        <x:v>GATE</x:v>
      </x:c>
      <x:c r="D1153" t="str">
        <x:v>release ledger mirrors governing state</x:v>
      </x:c>
      <x:c r="E1153" t="str">
        <x:f>'Release Gates'!J1129</x:f>
        <x:v>OPEN</x:v>
      </x:c>
      <x:c r="F1153" t="str">
        <x:f>IF('Release Gates'!C1129="PLANNING","PASS",IF('Release Gates'!C1129="PHYSICAL","OPEN","BLOCKED"))</x:f>
        <x:v>OPEN</x:v>
      </x:c>
      <x:c r="G1153" t="str">
        <x:v>equals</x:v>
      </x:c>
      <x:c r="H1153" t="str">
        <x:f>IF(E1153=F1153,"PASS","FAIL")</x:f>
        <x:v>PASS</x:v>
      </x:c>
    </x:row>
    <x:row r="1154">
      <x:c r="B1154" t="str">
        <x:v>A-1124</x:v>
      </x:c>
      <x:c r="C1154" t="str">
        <x:v>GATE</x:v>
      </x:c>
      <x:c r="D1154" t="str">
        <x:v>release ledger mirrors governing state</x:v>
      </x:c>
      <x:c r="E1154" t="str">
        <x:f>'Release Gates'!J1130</x:f>
        <x:v>OPEN</x:v>
      </x:c>
      <x:c r="F1154" t="str">
        <x:f>IF('Release Gates'!C1130="PLANNING","PASS",IF('Release Gates'!C1130="PHYSICAL","OPEN","BLOCKED"))</x:f>
        <x:v>OPEN</x:v>
      </x:c>
      <x:c r="G1154" t="str">
        <x:v>equals</x:v>
      </x:c>
      <x:c r="H1154" t="str">
        <x:f>IF(E1154=F1154,"PASS","FAIL")</x:f>
        <x:v>PASS</x:v>
      </x:c>
    </x:row>
    <x:row r="1155">
      <x:c r="B1155" t="str">
        <x:v>A-1125</x:v>
      </x:c>
      <x:c r="C1155" t="str">
        <x:v>GATE</x:v>
      </x:c>
      <x:c r="D1155" t="str">
        <x:v>release ledger mirrors governing state</x:v>
      </x:c>
      <x:c r="E1155" t="str">
        <x:f>'Release Gates'!J1131</x:f>
        <x:v>OPEN</x:v>
      </x:c>
      <x:c r="F1155" t="str">
        <x:f>IF('Release Gates'!C1131="PLANNING","PASS",IF('Release Gates'!C1131="PHYSICAL","OPEN","BLOCKED"))</x:f>
        <x:v>OPEN</x:v>
      </x:c>
      <x:c r="G1155" t="str">
        <x:v>equals</x:v>
      </x:c>
      <x:c r="H1155" t="str">
        <x:f>IF(E1155=F1155,"PASS","FAIL")</x:f>
        <x:v>PASS</x:v>
      </x:c>
    </x:row>
    <x:row r="1156">
      <x:c r="B1156" t="str">
        <x:v>A-1126</x:v>
      </x:c>
      <x:c r="C1156" t="str">
        <x:v>GATE</x:v>
      </x:c>
      <x:c r="D1156" t="str">
        <x:v>release ledger mirrors governing state</x:v>
      </x:c>
      <x:c r="E1156" t="str">
        <x:f>'Release Gates'!J1132</x:f>
        <x:v>OPEN</x:v>
      </x:c>
      <x:c r="F1156" t="str">
        <x:f>IF('Release Gates'!C1132="PLANNING","PASS",IF('Release Gates'!C1132="PHYSICAL","OPEN","BLOCKED"))</x:f>
        <x:v>OPEN</x:v>
      </x:c>
      <x:c r="G1156" t="str">
        <x:v>equals</x:v>
      </x:c>
      <x:c r="H1156" t="str">
        <x:f>IF(E1156=F1156,"PASS","FAIL")</x:f>
        <x:v>PASS</x:v>
      </x:c>
    </x:row>
    <x:row r="1157">
      <x:c r="B1157" t="str">
        <x:v>A-1127</x:v>
      </x:c>
      <x:c r="C1157" t="str">
        <x:v>GATE</x:v>
      </x:c>
      <x:c r="D1157" t="str">
        <x:v>release ledger mirrors governing state</x:v>
      </x:c>
      <x:c r="E1157" t="str">
        <x:f>'Release Gates'!J1133</x:f>
        <x:v>OPEN</x:v>
      </x:c>
      <x:c r="F1157" t="str">
        <x:f>IF('Release Gates'!C1133="PLANNING","PASS",IF('Release Gates'!C1133="PHYSICAL","OPEN","BLOCKED"))</x:f>
        <x:v>OPEN</x:v>
      </x:c>
      <x:c r="G1157" t="str">
        <x:v>equals</x:v>
      </x:c>
      <x:c r="H1157" t="str">
        <x:f>IF(E1157=F1157,"PASS","FAIL")</x:f>
        <x:v>PASS</x:v>
      </x:c>
    </x:row>
    <x:row r="1158">
      <x:c r="B1158" t="str">
        <x:v>A-1128</x:v>
      </x:c>
      <x:c r="C1158" t="str">
        <x:v>GATE</x:v>
      </x:c>
      <x:c r="D1158" t="str">
        <x:v>release ledger mirrors governing state</x:v>
      </x:c>
      <x:c r="E1158" t="str">
        <x:f>'Release Gates'!J1134</x:f>
        <x:v>OPEN</x:v>
      </x:c>
      <x:c r="F1158" t="str">
        <x:f>IF('Release Gates'!C1134="PLANNING","PASS",IF('Release Gates'!C1134="PHYSICAL","OPEN","BLOCKED"))</x:f>
        <x:v>OPEN</x:v>
      </x:c>
      <x:c r="G1158" t="str">
        <x:v>equals</x:v>
      </x:c>
      <x:c r="H1158" t="str">
        <x:f>IF(E1158=F1158,"PASS","FAIL")</x:f>
        <x:v>PASS</x:v>
      </x:c>
    </x:row>
    <x:row r="1159">
      <x:c r="B1159" t="str">
        <x:v>A-1129</x:v>
      </x:c>
      <x:c r="C1159" t="str">
        <x:v>GATE</x:v>
      </x:c>
      <x:c r="D1159" t="str">
        <x:v>release ledger mirrors governing state</x:v>
      </x:c>
      <x:c r="E1159" t="str">
        <x:f>'Release Gates'!J1135</x:f>
        <x:v>OPEN</x:v>
      </x:c>
      <x:c r="F1159" t="str">
        <x:f>IF('Release Gates'!C1135="PLANNING","PASS",IF('Release Gates'!C1135="PHYSICAL","OPEN","BLOCKED"))</x:f>
        <x:v>OPEN</x:v>
      </x:c>
      <x:c r="G1159" t="str">
        <x:v>equals</x:v>
      </x:c>
      <x:c r="H1159" t="str">
        <x:f>IF(E1159=F1159,"PASS","FAIL")</x:f>
        <x:v>PASS</x:v>
      </x:c>
    </x:row>
    <x:row r="1160">
      <x:c r="B1160" t="str">
        <x:v>A-1130</x:v>
      </x:c>
      <x:c r="C1160" t="str">
        <x:v>GATE</x:v>
      </x:c>
      <x:c r="D1160" t="str">
        <x:v>release ledger mirrors governing state</x:v>
      </x:c>
      <x:c r="E1160" t="str">
        <x:f>'Release Gates'!J1136</x:f>
        <x:v>OPEN</x:v>
      </x:c>
      <x:c r="F1160" t="str">
        <x:f>IF('Release Gates'!C1136="PLANNING","PASS",IF('Release Gates'!C1136="PHYSICAL","OPEN","BLOCKED"))</x:f>
        <x:v>OPEN</x:v>
      </x:c>
      <x:c r="G1160" t="str">
        <x:v>equals</x:v>
      </x:c>
      <x:c r="H1160" t="str">
        <x:f>IF(E1160=F1160,"PASS","FAIL")</x:f>
        <x:v>PASS</x:v>
      </x:c>
    </x:row>
    <x:row r="1161">
      <x:c r="B1161" t="str">
        <x:v>A-1131</x:v>
      </x:c>
      <x:c r="C1161" t="str">
        <x:v>GATE</x:v>
      </x:c>
      <x:c r="D1161" t="str">
        <x:v>release ledger mirrors governing state</x:v>
      </x:c>
      <x:c r="E1161" t="str">
        <x:f>'Release Gates'!J1137</x:f>
        <x:v>OPEN</x:v>
      </x:c>
      <x:c r="F1161" t="str">
        <x:f>IF('Release Gates'!C1137="PLANNING","PASS",IF('Release Gates'!C1137="PHYSICAL","OPEN","BLOCKED"))</x:f>
        <x:v>OPEN</x:v>
      </x:c>
      <x:c r="G1161" t="str">
        <x:v>equals</x:v>
      </x:c>
      <x:c r="H1161" t="str">
        <x:f>IF(E1161=F1161,"PASS","FAIL")</x:f>
        <x:v>PASS</x:v>
      </x:c>
    </x:row>
    <x:row r="1162">
      <x:c r="B1162" t="str">
        <x:v>A-1132</x:v>
      </x:c>
      <x:c r="C1162" t="str">
        <x:v>GATE</x:v>
      </x:c>
      <x:c r="D1162" t="str">
        <x:v>release ledger mirrors governing state</x:v>
      </x:c>
      <x:c r="E1162" t="str">
        <x:f>'Release Gates'!J1138</x:f>
        <x:v>OPEN</x:v>
      </x:c>
      <x:c r="F1162" t="str">
        <x:f>IF('Release Gates'!C1138="PLANNING","PASS",IF('Release Gates'!C1138="PHYSICAL","OPEN","BLOCKED"))</x:f>
        <x:v>OPEN</x:v>
      </x:c>
      <x:c r="G1162" t="str">
        <x:v>equals</x:v>
      </x:c>
      <x:c r="H1162" t="str">
        <x:f>IF(E1162=F1162,"PASS","FAIL")</x:f>
        <x:v>PASS</x:v>
      </x:c>
    </x:row>
    <x:row r="1163">
      <x:c r="B1163" t="str">
        <x:v>A-1133</x:v>
      </x:c>
      <x:c r="C1163" t="str">
        <x:v>GATE</x:v>
      </x:c>
      <x:c r="D1163" t="str">
        <x:v>release ledger mirrors governing state</x:v>
      </x:c>
      <x:c r="E1163" t="str">
        <x:f>'Release Gates'!J1139</x:f>
        <x:v>OPEN</x:v>
      </x:c>
      <x:c r="F1163" t="str">
        <x:f>IF('Release Gates'!C1139="PLANNING","PASS",IF('Release Gates'!C1139="PHYSICAL","OPEN","BLOCKED"))</x:f>
        <x:v>OPEN</x:v>
      </x:c>
      <x:c r="G1163" t="str">
        <x:v>equals</x:v>
      </x:c>
      <x:c r="H1163" t="str">
        <x:f>IF(E1163=F1163,"PASS","FAIL")</x:f>
        <x:v>PASS</x:v>
      </x:c>
    </x:row>
    <x:row r="1164">
      <x:c r="B1164" t="str">
        <x:v>A-1134</x:v>
      </x:c>
      <x:c r="C1164" t="str">
        <x:v>GATE</x:v>
      </x:c>
      <x:c r="D1164" t="str">
        <x:v>release ledger mirrors governing state</x:v>
      </x:c>
      <x:c r="E1164" t="str">
        <x:f>'Release Gates'!J1140</x:f>
        <x:v>OPEN</x:v>
      </x:c>
      <x:c r="F1164" t="str">
        <x:f>IF('Release Gates'!C1140="PLANNING","PASS",IF('Release Gates'!C1140="PHYSICAL","OPEN","BLOCKED"))</x:f>
        <x:v>OPEN</x:v>
      </x:c>
      <x:c r="G1164" t="str">
        <x:v>equals</x:v>
      </x:c>
      <x:c r="H1164" t="str">
        <x:f>IF(E1164=F1164,"PASS","FAIL")</x:f>
        <x:v>PASS</x:v>
      </x:c>
    </x:row>
    <x:row r="1165">
      <x:c r="B1165" t="str">
        <x:v>A-1135</x:v>
      </x:c>
      <x:c r="C1165" t="str">
        <x:v>GATE</x:v>
      </x:c>
      <x:c r="D1165" t="str">
        <x:v>release ledger mirrors governing state</x:v>
      </x:c>
      <x:c r="E1165" t="str">
        <x:f>'Release Gates'!J1141</x:f>
        <x:v>OPEN</x:v>
      </x:c>
      <x:c r="F1165" t="str">
        <x:f>IF('Release Gates'!C1141="PLANNING","PASS",IF('Release Gates'!C1141="PHYSICAL","OPEN","BLOCKED"))</x:f>
        <x:v>OPEN</x:v>
      </x:c>
      <x:c r="G1165" t="str">
        <x:v>equals</x:v>
      </x:c>
      <x:c r="H1165" t="str">
        <x:f>IF(E1165=F1165,"PASS","FAIL")</x:f>
        <x:v>PASS</x:v>
      </x:c>
    </x:row>
    <x:row r="1166">
      <x:c r="B1166" t="str">
        <x:v>A-1136</x:v>
      </x:c>
      <x:c r="C1166" t="str">
        <x:v>GATE</x:v>
      </x:c>
      <x:c r="D1166" t="str">
        <x:v>release ledger mirrors governing state</x:v>
      </x:c>
      <x:c r="E1166" t="str">
        <x:f>'Release Gates'!J1142</x:f>
        <x:v>OPEN</x:v>
      </x:c>
      <x:c r="F1166" t="str">
        <x:f>IF('Release Gates'!C1142="PLANNING","PASS",IF('Release Gates'!C1142="PHYSICAL","OPEN","BLOCKED"))</x:f>
        <x:v>OPEN</x:v>
      </x:c>
      <x:c r="G1166" t="str">
        <x:v>equals</x:v>
      </x:c>
      <x:c r="H1166" t="str">
        <x:f>IF(E1166=F1166,"PASS","FAIL")</x:f>
        <x:v>PASS</x:v>
      </x:c>
    </x:row>
    <x:row r="1167">
      <x:c r="B1167" t="str">
        <x:v>A-1137</x:v>
      </x:c>
      <x:c r="C1167" t="str">
        <x:v>GATE</x:v>
      </x:c>
      <x:c r="D1167" t="str">
        <x:v>release ledger mirrors governing state</x:v>
      </x:c>
      <x:c r="E1167" t="str">
        <x:f>'Release Gates'!J1143</x:f>
        <x:v>OPEN</x:v>
      </x:c>
      <x:c r="F1167" t="str">
        <x:f>IF('Release Gates'!C1143="PLANNING","PASS",IF('Release Gates'!C1143="PHYSICAL","OPEN","BLOCKED"))</x:f>
        <x:v>OPEN</x:v>
      </x:c>
      <x:c r="G1167" t="str">
        <x:v>equals</x:v>
      </x:c>
      <x:c r="H1167" t="str">
        <x:f>IF(E1167=F1167,"PASS","FAIL")</x:f>
        <x:v>PASS</x:v>
      </x:c>
    </x:row>
    <x:row r="1168">
      <x:c r="B1168" t="str">
        <x:v>A-1138</x:v>
      </x:c>
      <x:c r="C1168" t="str">
        <x:v>GATE</x:v>
      </x:c>
      <x:c r="D1168" t="str">
        <x:v>release ledger mirrors governing state</x:v>
      </x:c>
      <x:c r="E1168" t="str">
        <x:f>'Release Gates'!J1144</x:f>
        <x:v>OPEN</x:v>
      </x:c>
      <x:c r="F1168" t="str">
        <x:f>IF('Release Gates'!C1144="PLANNING","PASS",IF('Release Gates'!C1144="PHYSICAL","OPEN","BLOCKED"))</x:f>
        <x:v>OPEN</x:v>
      </x:c>
      <x:c r="G1168" t="str">
        <x:v>equals</x:v>
      </x:c>
      <x:c r="H1168" t="str">
        <x:f>IF(E1168=F1168,"PASS","FAIL")</x:f>
        <x:v>PASS</x:v>
      </x:c>
    </x:row>
    <x:row r="1169">
      <x:c r="B1169" t="str">
        <x:v>A-1139</x:v>
      </x:c>
      <x:c r="C1169" t="str">
        <x:v>GATE</x:v>
      </x:c>
      <x:c r="D1169" t="str">
        <x:v>release ledger mirrors governing state</x:v>
      </x:c>
      <x:c r="E1169" t="str">
        <x:f>'Release Gates'!J1145</x:f>
        <x:v>OPEN</x:v>
      </x:c>
      <x:c r="F1169" t="str">
        <x:f>IF('Release Gates'!C1145="PLANNING","PASS",IF('Release Gates'!C1145="PHYSICAL","OPEN","BLOCKED"))</x:f>
        <x:v>OPEN</x:v>
      </x:c>
      <x:c r="G1169" t="str">
        <x:v>equals</x:v>
      </x:c>
      <x:c r="H1169" t="str">
        <x:f>IF(E1169=F1169,"PASS","FAIL")</x:f>
        <x:v>PASS</x:v>
      </x:c>
    </x:row>
    <x:row r="1170">
      <x:c r="B1170" t="str">
        <x:v>A-1140</x:v>
      </x:c>
      <x:c r="C1170" t="str">
        <x:v>GATE</x:v>
      </x:c>
      <x:c r="D1170" t="str">
        <x:v>release ledger mirrors governing state</x:v>
      </x:c>
      <x:c r="E1170" t="str">
        <x:f>'Release Gates'!J1146</x:f>
        <x:v>OPEN</x:v>
      </x:c>
      <x:c r="F1170" t="str">
        <x:f>IF('Release Gates'!C1146="PLANNING","PASS",IF('Release Gates'!C1146="PHYSICAL","OPEN","BLOCKED"))</x:f>
        <x:v>OPEN</x:v>
      </x:c>
      <x:c r="G1170" t="str">
        <x:v>equals</x:v>
      </x:c>
      <x:c r="H1170" t="str">
        <x:f>IF(E1170=F1170,"PASS","FAIL")</x:f>
        <x:v>PASS</x:v>
      </x:c>
    </x:row>
    <x:row r="1171">
      <x:c r="B1171" t="str">
        <x:v>A-1141</x:v>
      </x:c>
      <x:c r="C1171" t="str">
        <x:v>GATE</x:v>
      </x:c>
      <x:c r="D1171" t="str">
        <x:v>release ledger mirrors governing state</x:v>
      </x:c>
      <x:c r="E1171" t="str">
        <x:f>'Release Gates'!J1147</x:f>
        <x:v>OPEN</x:v>
      </x:c>
      <x:c r="F1171" t="str">
        <x:f>IF('Release Gates'!C1147="PLANNING","PASS",IF('Release Gates'!C1147="PHYSICAL","OPEN","BLOCKED"))</x:f>
        <x:v>OPEN</x:v>
      </x:c>
      <x:c r="G1171" t="str">
        <x:v>equals</x:v>
      </x:c>
      <x:c r="H1171" t="str">
        <x:f>IF(E1171=F1171,"PASS","FAIL")</x:f>
        <x:v>PASS</x:v>
      </x:c>
    </x:row>
    <x:row r="1172">
      <x:c r="B1172" t="str">
        <x:v>A-1142</x:v>
      </x:c>
      <x:c r="C1172" t="str">
        <x:v>GATE</x:v>
      </x:c>
      <x:c r="D1172" t="str">
        <x:v>release ledger mirrors governing state</x:v>
      </x:c>
      <x:c r="E1172" t="str">
        <x:f>'Release Gates'!J1148</x:f>
        <x:v>OPEN</x:v>
      </x:c>
      <x:c r="F1172" t="str">
        <x:f>IF('Release Gates'!C1148="PLANNING","PASS",IF('Release Gates'!C1148="PHYSICAL","OPEN","BLOCKED"))</x:f>
        <x:v>OPEN</x:v>
      </x:c>
      <x:c r="G1172" t="str">
        <x:v>equals</x:v>
      </x:c>
      <x:c r="H1172" t="str">
        <x:f>IF(E1172=F1172,"PASS","FAIL")</x:f>
        <x:v>PASS</x:v>
      </x:c>
    </x:row>
    <x:row r="1173">
      <x:c r="B1173" t="str">
        <x:v>A-1143</x:v>
      </x:c>
      <x:c r="C1173" t="str">
        <x:v>GATE</x:v>
      </x:c>
      <x:c r="D1173" t="str">
        <x:v>release ledger mirrors governing state</x:v>
      </x:c>
      <x:c r="E1173" t="str">
        <x:f>'Release Gates'!J1149</x:f>
        <x:v>OPEN</x:v>
      </x:c>
      <x:c r="F1173" t="str">
        <x:f>IF('Release Gates'!C1149="PLANNING","PASS",IF('Release Gates'!C1149="PHYSICAL","OPEN","BLOCKED"))</x:f>
        <x:v>OPEN</x:v>
      </x:c>
      <x:c r="G1173" t="str">
        <x:v>equals</x:v>
      </x:c>
      <x:c r="H1173" t="str">
        <x:f>IF(E1173=F1173,"PASS","FAIL")</x:f>
        <x:v>PASS</x:v>
      </x:c>
    </x:row>
    <x:row r="1174">
      <x:c r="B1174" t="str">
        <x:v>A-1144</x:v>
      </x:c>
      <x:c r="C1174" t="str">
        <x:v>GATE</x:v>
      </x:c>
      <x:c r="D1174" t="str">
        <x:v>release ledger mirrors governing state</x:v>
      </x:c>
      <x:c r="E1174" t="str">
        <x:f>'Release Gates'!J1150</x:f>
        <x:v>OPEN</x:v>
      </x:c>
      <x:c r="F1174" t="str">
        <x:f>IF('Release Gates'!C1150="PLANNING","PASS",IF('Release Gates'!C1150="PHYSICAL","OPEN","BLOCKED"))</x:f>
        <x:v>OPEN</x:v>
      </x:c>
      <x:c r="G1174" t="str">
        <x:v>equals</x:v>
      </x:c>
      <x:c r="H1174" t="str">
        <x:f>IF(E1174=F1174,"PASS","FAIL")</x:f>
        <x:v>PASS</x:v>
      </x:c>
    </x:row>
    <x:row r="1175">
      <x:c r="B1175" t="str">
        <x:v>A-1145</x:v>
      </x:c>
      <x:c r="C1175" t="str">
        <x:v>GATE</x:v>
      </x:c>
      <x:c r="D1175" t="str">
        <x:v>release ledger mirrors governing state</x:v>
      </x:c>
      <x:c r="E1175" t="str">
        <x:f>'Release Gates'!J1151</x:f>
        <x:v>OPEN</x:v>
      </x:c>
      <x:c r="F1175" t="str">
        <x:f>IF('Release Gates'!C1151="PLANNING","PASS",IF('Release Gates'!C1151="PHYSICAL","OPEN","BLOCKED"))</x:f>
        <x:v>OPEN</x:v>
      </x:c>
      <x:c r="G1175" t="str">
        <x:v>equals</x:v>
      </x:c>
      <x:c r="H1175" t="str">
        <x:f>IF(E1175=F1175,"PASS","FAIL")</x:f>
        <x:v>PASS</x:v>
      </x:c>
    </x:row>
    <x:row r="1176">
      <x:c r="B1176" t="str">
        <x:v>A-1146</x:v>
      </x:c>
      <x:c r="C1176" t="str">
        <x:v>GATE</x:v>
      </x:c>
      <x:c r="D1176" t="str">
        <x:v>release ledger mirrors governing state</x:v>
      </x:c>
      <x:c r="E1176" t="str">
        <x:f>'Release Gates'!J1152</x:f>
        <x:v>OPEN</x:v>
      </x:c>
      <x:c r="F1176" t="str">
        <x:f>IF('Release Gates'!C1152="PLANNING","PASS",IF('Release Gates'!C1152="PHYSICAL","OPEN","BLOCKED"))</x:f>
        <x:v>OPEN</x:v>
      </x:c>
      <x:c r="G1176" t="str">
        <x:v>equals</x:v>
      </x:c>
      <x:c r="H1176" t="str">
        <x:f>IF(E1176=F1176,"PASS","FAIL")</x:f>
        <x:v>PASS</x:v>
      </x:c>
    </x:row>
    <x:row r="1177">
      <x:c r="B1177" t="str">
        <x:v>A-1147</x:v>
      </x:c>
      <x:c r="C1177" t="str">
        <x:v>GATE</x:v>
      </x:c>
      <x:c r="D1177" t="str">
        <x:v>release ledger mirrors governing state</x:v>
      </x:c>
      <x:c r="E1177" t="str">
        <x:f>'Release Gates'!J1153</x:f>
        <x:v>OPEN</x:v>
      </x:c>
      <x:c r="F1177" t="str">
        <x:f>IF('Release Gates'!C1153="PLANNING","PASS",IF('Release Gates'!C1153="PHYSICAL","OPEN","BLOCKED"))</x:f>
        <x:v>OPEN</x:v>
      </x:c>
      <x:c r="G1177" t="str">
        <x:v>equals</x:v>
      </x:c>
      <x:c r="H1177" t="str">
        <x:f>IF(E1177=F1177,"PASS","FAIL")</x:f>
        <x:v>PASS</x:v>
      </x:c>
    </x:row>
    <x:row r="1178">
      <x:c r="B1178" t="str">
        <x:v>A-1148</x:v>
      </x:c>
      <x:c r="C1178" t="str">
        <x:v>GATE</x:v>
      </x:c>
      <x:c r="D1178" t="str">
        <x:v>release ledger mirrors governing state</x:v>
      </x:c>
      <x:c r="E1178" t="str">
        <x:f>'Release Gates'!J1154</x:f>
        <x:v>OPEN</x:v>
      </x:c>
      <x:c r="F1178" t="str">
        <x:f>IF('Release Gates'!C1154="PLANNING","PASS",IF('Release Gates'!C1154="PHYSICAL","OPEN","BLOCKED"))</x:f>
        <x:v>OPEN</x:v>
      </x:c>
      <x:c r="G1178" t="str">
        <x:v>equals</x:v>
      </x:c>
      <x:c r="H1178" t="str">
        <x:f>IF(E1178=F1178,"PASS","FAIL")</x:f>
        <x:v>PASS</x:v>
      </x:c>
    </x:row>
    <x:row r="1179">
      <x:c r="B1179" t="str">
        <x:v>A-1149</x:v>
      </x:c>
      <x:c r="C1179" t="str">
        <x:v>GATE</x:v>
      </x:c>
      <x:c r="D1179" t="str">
        <x:v>release ledger mirrors governing state</x:v>
      </x:c>
      <x:c r="E1179" t="str">
        <x:f>'Release Gates'!J1155</x:f>
        <x:v>OPEN</x:v>
      </x:c>
      <x:c r="F1179" t="str">
        <x:f>IF('Release Gates'!C1155="PLANNING","PASS",IF('Release Gates'!C1155="PHYSICAL","OPEN","BLOCKED"))</x:f>
        <x:v>OPEN</x:v>
      </x:c>
      <x:c r="G1179" t="str">
        <x:v>equals</x:v>
      </x:c>
      <x:c r="H1179" t="str">
        <x:f>IF(E1179=F1179,"PASS","FAIL")</x:f>
        <x:v>PASS</x:v>
      </x:c>
    </x:row>
    <x:row r="1180">
      <x:c r="B1180" t="str">
        <x:v>A-1150</x:v>
      </x:c>
      <x:c r="C1180" t="str">
        <x:v>GATE</x:v>
      </x:c>
      <x:c r="D1180" t="str">
        <x:v>release ledger mirrors governing state</x:v>
      </x:c>
      <x:c r="E1180" t="str">
        <x:f>'Release Gates'!J1156</x:f>
        <x:v>OPEN</x:v>
      </x:c>
      <x:c r="F1180" t="str">
        <x:f>IF('Release Gates'!C1156="PLANNING","PASS",IF('Release Gates'!C1156="PHYSICAL","OPEN","BLOCKED"))</x:f>
        <x:v>OPEN</x:v>
      </x:c>
      <x:c r="G1180" t="str">
        <x:v>equals</x:v>
      </x:c>
      <x:c r="H1180" t="str">
        <x:f>IF(E1180=F1180,"PASS","FAIL")</x:f>
        <x:v>PASS</x:v>
      </x:c>
    </x:row>
    <x:row r="1181">
      <x:c r="B1181" t="str">
        <x:v>A-1151</x:v>
      </x:c>
      <x:c r="C1181" t="str">
        <x:v>GATE</x:v>
      </x:c>
      <x:c r="D1181" t="str">
        <x:v>release ledger mirrors governing state</x:v>
      </x:c>
      <x:c r="E1181" t="str">
        <x:f>'Release Gates'!J1157</x:f>
        <x:v>OPEN</x:v>
      </x:c>
      <x:c r="F1181" t="str">
        <x:f>IF('Release Gates'!C1157="PLANNING","PASS",IF('Release Gates'!C1157="PHYSICAL","OPEN","BLOCKED"))</x:f>
        <x:v>OPEN</x:v>
      </x:c>
      <x:c r="G1181" t="str">
        <x:v>equals</x:v>
      </x:c>
      <x:c r="H1181" t="str">
        <x:f>IF(E1181=F1181,"PASS","FAIL")</x:f>
        <x:v>PASS</x:v>
      </x:c>
    </x:row>
    <x:row r="1182">
      <x:c r="B1182" t="str">
        <x:v>A-1152</x:v>
      </x:c>
      <x:c r="C1182" t="str">
        <x:v>GATE</x:v>
      </x:c>
      <x:c r="D1182" t="str">
        <x:v>release ledger mirrors governing state</x:v>
      </x:c>
      <x:c r="E1182" t="str">
        <x:f>'Release Gates'!J1158</x:f>
        <x:v>OPEN</x:v>
      </x:c>
      <x:c r="F1182" t="str">
        <x:f>IF('Release Gates'!C1158="PLANNING","PASS",IF('Release Gates'!C1158="PHYSICAL","OPEN","BLOCKED"))</x:f>
        <x:v>OPEN</x:v>
      </x:c>
      <x:c r="G1182" t="str">
        <x:v>equals</x:v>
      </x:c>
      <x:c r="H1182" t="str">
        <x:f>IF(E1182=F1182,"PASS","FAIL")</x:f>
        <x:v>PASS</x:v>
      </x:c>
    </x:row>
    <x:row r="1183">
      <x:c r="B1183" t="str">
        <x:v>A-1153</x:v>
      </x:c>
      <x:c r="C1183" t="str">
        <x:v>GATE</x:v>
      </x:c>
      <x:c r="D1183" t="str">
        <x:v>release ledger mirrors governing state</x:v>
      </x:c>
      <x:c r="E1183" t="str">
        <x:f>'Release Gates'!J1159</x:f>
        <x:v>OPEN</x:v>
      </x:c>
      <x:c r="F1183" t="str">
        <x:f>IF('Release Gates'!C1159="PLANNING","PASS",IF('Release Gates'!C1159="PHYSICAL","OPEN","BLOCKED"))</x:f>
        <x:v>OPEN</x:v>
      </x:c>
      <x:c r="G1183" t="str">
        <x:v>equals</x:v>
      </x:c>
      <x:c r="H1183" t="str">
        <x:f>IF(E1183=F1183,"PASS","FAIL")</x:f>
        <x:v>PASS</x:v>
      </x:c>
    </x:row>
    <x:row r="1184">
      <x:c r="B1184" t="str">
        <x:v>A-1154</x:v>
      </x:c>
      <x:c r="C1184" t="str">
        <x:v>GATE</x:v>
      </x:c>
      <x:c r="D1184" t="str">
        <x:v>release ledger mirrors governing state</x:v>
      </x:c>
      <x:c r="E1184" t="str">
        <x:f>'Release Gates'!J1160</x:f>
        <x:v>OPEN</x:v>
      </x:c>
      <x:c r="F1184" t="str">
        <x:f>IF('Release Gates'!C1160="PLANNING","PASS",IF('Release Gates'!C1160="PHYSICAL","OPEN","BLOCKED"))</x:f>
        <x:v>OPEN</x:v>
      </x:c>
      <x:c r="G1184" t="str">
        <x:v>equals</x:v>
      </x:c>
      <x:c r="H1184" t="str">
        <x:f>IF(E1184=F1184,"PASS","FAIL")</x:f>
        <x:v>PASS</x:v>
      </x:c>
    </x:row>
    <x:row r="1185">
      <x:c r="B1185" t="str">
        <x:v>A-1155</x:v>
      </x:c>
      <x:c r="C1185" t="str">
        <x:v>GATE</x:v>
      </x:c>
      <x:c r="D1185" t="str">
        <x:v>release ledger mirrors governing state</x:v>
      </x:c>
      <x:c r="E1185" t="str">
        <x:f>'Release Gates'!J1161</x:f>
        <x:v>OPEN</x:v>
      </x:c>
      <x:c r="F1185" t="str">
        <x:f>IF('Release Gates'!C1161="PLANNING","PASS",IF('Release Gates'!C1161="PHYSICAL","OPEN","BLOCKED"))</x:f>
        <x:v>OPEN</x:v>
      </x:c>
      <x:c r="G1185" t="str">
        <x:v>equals</x:v>
      </x:c>
      <x:c r="H1185" t="str">
        <x:f>IF(E1185=F1185,"PASS","FAIL")</x:f>
        <x:v>PASS</x:v>
      </x:c>
    </x:row>
    <x:row r="1186">
      <x:c r="B1186" t="str">
        <x:v>A-1156</x:v>
      </x:c>
      <x:c r="C1186" t="str">
        <x:v>GATE</x:v>
      </x:c>
      <x:c r="D1186" t="str">
        <x:v>release ledger mirrors governing state</x:v>
      </x:c>
      <x:c r="E1186" t="str">
        <x:f>'Release Gates'!J1162</x:f>
        <x:v>OPEN</x:v>
      </x:c>
      <x:c r="F1186" t="str">
        <x:f>IF('Release Gates'!C1162="PLANNING","PASS",IF('Release Gates'!C1162="PHYSICAL","OPEN","BLOCKED"))</x:f>
        <x:v>OPEN</x:v>
      </x:c>
      <x:c r="G1186" t="str">
        <x:v>equals</x:v>
      </x:c>
      <x:c r="H1186" t="str">
        <x:f>IF(E1186=F1186,"PASS","FAIL")</x:f>
        <x:v>PASS</x:v>
      </x:c>
    </x:row>
    <x:row r="1187">
      <x:c r="B1187" t="str">
        <x:v>A-1157</x:v>
      </x:c>
      <x:c r="C1187" t="str">
        <x:v>GATE</x:v>
      </x:c>
      <x:c r="D1187" t="str">
        <x:v>release ledger mirrors governing state</x:v>
      </x:c>
      <x:c r="E1187" t="str">
        <x:f>'Release Gates'!J1163</x:f>
        <x:v>OPEN</x:v>
      </x:c>
      <x:c r="F1187" t="str">
        <x:f>IF('Release Gates'!C1163="PLANNING","PASS",IF('Release Gates'!C1163="PHYSICAL","OPEN","BLOCKED"))</x:f>
        <x:v>OPEN</x:v>
      </x:c>
      <x:c r="G1187" t="str">
        <x:v>equals</x:v>
      </x:c>
      <x:c r="H1187" t="str">
        <x:f>IF(E1187=F1187,"PASS","FAIL")</x:f>
        <x:v>PASS</x:v>
      </x:c>
    </x:row>
    <x:row r="1188">
      <x:c r="B1188" t="str">
        <x:v>A-1158</x:v>
      </x:c>
      <x:c r="C1188" t="str">
        <x:v>GATE</x:v>
      </x:c>
      <x:c r="D1188" t="str">
        <x:v>release ledger mirrors governing state</x:v>
      </x:c>
      <x:c r="E1188" t="str">
        <x:f>'Release Gates'!J1164</x:f>
        <x:v>OPEN</x:v>
      </x:c>
      <x:c r="F1188" t="str">
        <x:f>IF('Release Gates'!C1164="PLANNING","PASS",IF('Release Gates'!C1164="PHYSICAL","OPEN","BLOCKED"))</x:f>
        <x:v>OPEN</x:v>
      </x:c>
      <x:c r="G1188" t="str">
        <x:v>equals</x:v>
      </x:c>
      <x:c r="H1188" t="str">
        <x:f>IF(E1188=F1188,"PASS","FAIL")</x:f>
        <x:v>PASS</x:v>
      </x:c>
    </x:row>
    <x:row r="1189">
      <x:c r="B1189" t="str">
        <x:v>A-1159</x:v>
      </x:c>
      <x:c r="C1189" t="str">
        <x:v>GATE</x:v>
      </x:c>
      <x:c r="D1189" t="str">
        <x:v>release ledger mirrors governing state</x:v>
      </x:c>
      <x:c r="E1189" t="str">
        <x:f>'Release Gates'!J1165</x:f>
        <x:v>OPEN</x:v>
      </x:c>
      <x:c r="F1189" t="str">
        <x:f>IF('Release Gates'!C1165="PLANNING","PASS",IF('Release Gates'!C1165="PHYSICAL","OPEN","BLOCKED"))</x:f>
        <x:v>OPEN</x:v>
      </x:c>
      <x:c r="G1189" t="str">
        <x:v>equals</x:v>
      </x:c>
      <x:c r="H1189" t="str">
        <x:f>IF(E1189=F1189,"PASS","FAIL")</x:f>
        <x:v>PASS</x:v>
      </x:c>
    </x:row>
    <x:row r="1190">
      <x:c r="B1190" t="str">
        <x:v>A-1160</x:v>
      </x:c>
      <x:c r="C1190" t="str">
        <x:v>GATE</x:v>
      </x:c>
      <x:c r="D1190" t="str">
        <x:v>release ledger mirrors governing state</x:v>
      </x:c>
      <x:c r="E1190" t="str">
        <x:f>'Release Gates'!J1166</x:f>
        <x:v>OPEN</x:v>
      </x:c>
      <x:c r="F1190" t="str">
        <x:f>IF('Release Gates'!C1166="PLANNING","PASS",IF('Release Gates'!C1166="PHYSICAL","OPEN","BLOCKED"))</x:f>
        <x:v>OPEN</x:v>
      </x:c>
      <x:c r="G1190" t="str">
        <x:v>equals</x:v>
      </x:c>
      <x:c r="H1190" t="str">
        <x:f>IF(E1190=F1190,"PASS","FAIL")</x:f>
        <x:v>PASS</x:v>
      </x:c>
    </x:row>
    <x:row r="1191">
      <x:c r="B1191" t="str">
        <x:v>A-1161</x:v>
      </x:c>
      <x:c r="C1191" t="str">
        <x:v>GATE</x:v>
      </x:c>
      <x:c r="D1191" t="str">
        <x:v>release ledger mirrors governing state</x:v>
      </x:c>
      <x:c r="E1191" t="str">
        <x:f>'Release Gates'!J1167</x:f>
        <x:v>OPEN</x:v>
      </x:c>
      <x:c r="F1191" t="str">
        <x:f>IF('Release Gates'!C1167="PLANNING","PASS",IF('Release Gates'!C1167="PHYSICAL","OPEN","BLOCKED"))</x:f>
        <x:v>OPEN</x:v>
      </x:c>
      <x:c r="G1191" t="str">
        <x:v>equals</x:v>
      </x:c>
      <x:c r="H1191" t="str">
        <x:f>IF(E1191=F1191,"PASS","FAIL")</x:f>
        <x:v>PASS</x:v>
      </x:c>
    </x:row>
    <x:row r="1192">
      <x:c r="B1192" t="str">
        <x:v>A-1162</x:v>
      </x:c>
      <x:c r="C1192" t="str">
        <x:v>GATE</x:v>
      </x:c>
      <x:c r="D1192" t="str">
        <x:v>release ledger mirrors governing state</x:v>
      </x:c>
      <x:c r="E1192" t="str">
        <x:f>'Release Gates'!J1168</x:f>
        <x:v>OPEN</x:v>
      </x:c>
      <x:c r="F1192" t="str">
        <x:f>IF('Release Gates'!C1168="PLANNING","PASS",IF('Release Gates'!C1168="PHYSICAL","OPEN","BLOCKED"))</x:f>
        <x:v>OPEN</x:v>
      </x:c>
      <x:c r="G1192" t="str">
        <x:v>equals</x:v>
      </x:c>
      <x:c r="H1192" t="str">
        <x:f>IF(E1192=F1192,"PASS","FAIL")</x:f>
        <x:v>PASS</x:v>
      </x:c>
    </x:row>
    <x:row r="1193">
      <x:c r="B1193" t="str">
        <x:v>A-1163</x:v>
      </x:c>
      <x:c r="C1193" t="str">
        <x:v>GATE</x:v>
      </x:c>
      <x:c r="D1193" t="str">
        <x:v>release ledger mirrors governing state</x:v>
      </x:c>
      <x:c r="E1193" t="str">
        <x:f>'Release Gates'!J1169</x:f>
        <x:v>OPEN</x:v>
      </x:c>
      <x:c r="F1193" t="str">
        <x:f>IF('Release Gates'!C1169="PLANNING","PASS",IF('Release Gates'!C1169="PHYSICAL","OPEN","BLOCKED"))</x:f>
        <x:v>OPEN</x:v>
      </x:c>
      <x:c r="G1193" t="str">
        <x:v>equals</x:v>
      </x:c>
      <x:c r="H1193" t="str">
        <x:f>IF(E1193=F1193,"PASS","FAIL")</x:f>
        <x:v>PASS</x:v>
      </x:c>
    </x:row>
    <x:row r="1194">
      <x:c r="B1194" t="str">
        <x:v>A-1164</x:v>
      </x:c>
      <x:c r="C1194" t="str">
        <x:v>GATE</x:v>
      </x:c>
      <x:c r="D1194" t="str">
        <x:v>release ledger mirrors governing state</x:v>
      </x:c>
      <x:c r="E1194" t="str">
        <x:f>'Release Gates'!J1170</x:f>
        <x:v>OPEN</x:v>
      </x:c>
      <x:c r="F1194" t="str">
        <x:f>IF('Release Gates'!C1170="PLANNING","PASS",IF('Release Gates'!C1170="PHYSICAL","OPEN","BLOCKED"))</x:f>
        <x:v>OPEN</x:v>
      </x:c>
      <x:c r="G1194" t="str">
        <x:v>equals</x:v>
      </x:c>
      <x:c r="H1194" t="str">
        <x:f>IF(E1194=F1194,"PASS","FAIL")</x:f>
        <x:v>PASS</x:v>
      </x:c>
    </x:row>
    <x:row r="1195">
      <x:c r="B1195" t="str">
        <x:v>A-1165</x:v>
      </x:c>
      <x:c r="C1195" t="str">
        <x:v>GATE</x:v>
      </x:c>
      <x:c r="D1195" t="str">
        <x:v>release ledger mirrors governing state</x:v>
      </x:c>
      <x:c r="E1195" t="str">
        <x:f>'Release Gates'!J1171</x:f>
        <x:v>OPEN</x:v>
      </x:c>
      <x:c r="F1195" t="str">
        <x:f>IF('Release Gates'!C1171="PLANNING","PASS",IF('Release Gates'!C1171="PHYSICAL","OPEN","BLOCKED"))</x:f>
        <x:v>OPEN</x:v>
      </x:c>
      <x:c r="G1195" t="str">
        <x:v>equals</x:v>
      </x:c>
      <x:c r="H1195" t="str">
        <x:f>IF(E1195=F1195,"PASS","FAIL")</x:f>
        <x:v>PASS</x:v>
      </x:c>
    </x:row>
    <x:row r="1196">
      <x:c r="B1196" t="str">
        <x:v>A-1166</x:v>
      </x:c>
      <x:c r="C1196" t="str">
        <x:v>GATE</x:v>
      </x:c>
      <x:c r="D1196" t="str">
        <x:v>release ledger mirrors governing state</x:v>
      </x:c>
      <x:c r="E1196" t="str">
        <x:f>'Release Gates'!J1172</x:f>
        <x:v>OPEN</x:v>
      </x:c>
      <x:c r="F1196" t="str">
        <x:f>IF('Release Gates'!C1172="PLANNING","PASS",IF('Release Gates'!C1172="PHYSICAL","OPEN","BLOCKED"))</x:f>
        <x:v>OPEN</x:v>
      </x:c>
      <x:c r="G1196" t="str">
        <x:v>equals</x:v>
      </x:c>
      <x:c r="H1196" t="str">
        <x:f>IF(E1196=F1196,"PASS","FAIL")</x:f>
        <x:v>PASS</x:v>
      </x:c>
    </x:row>
    <x:row r="1197">
      <x:c r="B1197" t="str">
        <x:v>A-1167</x:v>
      </x:c>
      <x:c r="C1197" t="str">
        <x:v>GATE</x:v>
      </x:c>
      <x:c r="D1197" t="str">
        <x:v>release ledger mirrors governing state</x:v>
      </x:c>
      <x:c r="E1197" t="str">
        <x:f>'Release Gates'!J1173</x:f>
        <x:v>OPEN</x:v>
      </x:c>
      <x:c r="F1197" t="str">
        <x:f>IF('Release Gates'!C1173="PLANNING","PASS",IF('Release Gates'!C1173="PHYSICAL","OPEN","BLOCKED"))</x:f>
        <x:v>OPEN</x:v>
      </x:c>
      <x:c r="G1197" t="str">
        <x:v>equals</x:v>
      </x:c>
      <x:c r="H1197" t="str">
        <x:f>IF(E1197=F1197,"PASS","FAIL")</x:f>
        <x:v>PASS</x:v>
      </x:c>
    </x:row>
    <x:row r="1198">
      <x:c r="B1198" t="str">
        <x:v>A-1168</x:v>
      </x:c>
      <x:c r="C1198" t="str">
        <x:v>GATE</x:v>
      </x:c>
      <x:c r="D1198" t="str">
        <x:v>release ledger mirrors governing state</x:v>
      </x:c>
      <x:c r="E1198" t="str">
        <x:f>'Release Gates'!J1174</x:f>
        <x:v>OPEN</x:v>
      </x:c>
      <x:c r="F1198" t="str">
        <x:f>IF('Release Gates'!C1174="PLANNING","PASS",IF('Release Gates'!C1174="PHYSICAL","OPEN","BLOCKED"))</x:f>
        <x:v>OPEN</x:v>
      </x:c>
      <x:c r="G1198" t="str">
        <x:v>equals</x:v>
      </x:c>
      <x:c r="H1198" t="str">
        <x:f>IF(E1198=F1198,"PASS","FAIL")</x:f>
        <x:v>PASS</x:v>
      </x:c>
    </x:row>
    <x:row r="1199">
      <x:c r="B1199" t="str">
        <x:v>A-1169</x:v>
      </x:c>
      <x:c r="C1199" t="str">
        <x:v>GATE</x:v>
      </x:c>
      <x:c r="D1199" t="str">
        <x:v>release ledger mirrors governing state</x:v>
      </x:c>
      <x:c r="E1199" t="str">
        <x:f>'Release Gates'!J1175</x:f>
        <x:v>OPEN</x:v>
      </x:c>
      <x:c r="F1199" t="str">
        <x:f>IF('Release Gates'!C1175="PLANNING","PASS",IF('Release Gates'!C1175="PHYSICAL","OPEN","BLOCKED"))</x:f>
        <x:v>OPEN</x:v>
      </x:c>
      <x:c r="G1199" t="str">
        <x:v>equals</x:v>
      </x:c>
      <x:c r="H1199" t="str">
        <x:f>IF(E1199=F1199,"PASS","FAIL")</x:f>
        <x:v>PASS</x:v>
      </x:c>
    </x:row>
    <x:row r="1200">
      <x:c r="B1200" t="str">
        <x:v>A-1170</x:v>
      </x:c>
      <x:c r="C1200" t="str">
        <x:v>GATE</x:v>
      </x:c>
      <x:c r="D1200" t="str">
        <x:v>release ledger mirrors governing state</x:v>
      </x:c>
      <x:c r="E1200" t="str">
        <x:f>'Release Gates'!J1176</x:f>
        <x:v>OPEN</x:v>
      </x:c>
      <x:c r="F1200" t="str">
        <x:f>IF('Release Gates'!C1176="PLANNING","PASS",IF('Release Gates'!C1176="PHYSICAL","OPEN","BLOCKED"))</x:f>
        <x:v>OPEN</x:v>
      </x:c>
      <x:c r="G1200" t="str">
        <x:v>equals</x:v>
      </x:c>
      <x:c r="H1200" t="str">
        <x:f>IF(E1200=F1200,"PASS","FAIL")</x:f>
        <x:v>PASS</x:v>
      </x:c>
    </x:row>
    <x:row r="1201">
      <x:c r="B1201" t="str">
        <x:v>A-1171</x:v>
      </x:c>
      <x:c r="C1201" t="str">
        <x:v>GATE</x:v>
      </x:c>
      <x:c r="D1201" t="str">
        <x:v>release ledger mirrors governing state</x:v>
      </x:c>
      <x:c r="E1201" t="str">
        <x:f>'Release Gates'!J1177</x:f>
        <x:v>OPEN</x:v>
      </x:c>
      <x:c r="F1201" t="str">
        <x:f>IF('Release Gates'!C1177="PLANNING","PASS",IF('Release Gates'!C1177="PHYSICAL","OPEN","BLOCKED"))</x:f>
        <x:v>OPEN</x:v>
      </x:c>
      <x:c r="G1201" t="str">
        <x:v>equals</x:v>
      </x:c>
      <x:c r="H1201" t="str">
        <x:f>IF(E1201=F1201,"PASS","FAIL")</x:f>
        <x:v>PASS</x:v>
      </x:c>
    </x:row>
    <x:row r="1202">
      <x:c r="B1202" t="str">
        <x:v>A-1172</x:v>
      </x:c>
      <x:c r="C1202" t="str">
        <x:v>GATE</x:v>
      </x:c>
      <x:c r="D1202" t="str">
        <x:v>release ledger mirrors governing state</x:v>
      </x:c>
      <x:c r="E1202" t="str">
        <x:f>'Release Gates'!J1178</x:f>
        <x:v>OPEN</x:v>
      </x:c>
      <x:c r="F1202" t="str">
        <x:f>IF('Release Gates'!C1178="PLANNING","PASS",IF('Release Gates'!C1178="PHYSICAL","OPEN","BLOCKED"))</x:f>
        <x:v>OPEN</x:v>
      </x:c>
      <x:c r="G1202" t="str">
        <x:v>equals</x:v>
      </x:c>
      <x:c r="H1202" t="str">
        <x:f>IF(E1202=F1202,"PASS","FAIL")</x:f>
        <x:v>PASS</x:v>
      </x:c>
    </x:row>
    <x:row r="1203">
      <x:c r="B1203" t="str">
        <x:v>A-1173</x:v>
      </x:c>
      <x:c r="C1203" t="str">
        <x:v>GATE</x:v>
      </x:c>
      <x:c r="D1203" t="str">
        <x:v>release ledger mirrors governing state</x:v>
      </x:c>
      <x:c r="E1203" t="str">
        <x:f>'Release Gates'!J1179</x:f>
        <x:v>OPEN</x:v>
      </x:c>
      <x:c r="F1203" t="str">
        <x:f>IF('Release Gates'!C1179="PLANNING","PASS",IF('Release Gates'!C1179="PHYSICAL","OPEN","BLOCKED"))</x:f>
        <x:v>OPEN</x:v>
      </x:c>
      <x:c r="G1203" t="str">
        <x:v>equals</x:v>
      </x:c>
      <x:c r="H1203" t="str">
        <x:f>IF(E1203=F1203,"PASS","FAIL")</x:f>
        <x:v>PASS</x:v>
      </x:c>
    </x:row>
    <x:row r="1204">
      <x:c r="B1204" t="str">
        <x:v>A-1174</x:v>
      </x:c>
      <x:c r="C1204" t="str">
        <x:v>GATE</x:v>
      </x:c>
      <x:c r="D1204" t="str">
        <x:v>release ledger mirrors governing state</x:v>
      </x:c>
      <x:c r="E1204" t="str">
        <x:f>'Release Gates'!J1180</x:f>
        <x:v>OPEN</x:v>
      </x:c>
      <x:c r="F1204" t="str">
        <x:f>IF('Release Gates'!C1180="PLANNING","PASS",IF('Release Gates'!C1180="PHYSICAL","OPEN","BLOCKED"))</x:f>
        <x:v>OPEN</x:v>
      </x:c>
      <x:c r="G1204" t="str">
        <x:v>equals</x:v>
      </x:c>
      <x:c r="H1204" t="str">
        <x:f>IF(E1204=F1204,"PASS","FAIL")</x:f>
        <x:v>PASS</x:v>
      </x:c>
    </x:row>
    <x:row r="1205">
      <x:c r="B1205" t="str">
        <x:v>A-1175</x:v>
      </x:c>
      <x:c r="C1205" t="str">
        <x:v>GATE</x:v>
      </x:c>
      <x:c r="D1205" t="str">
        <x:v>release ledger mirrors governing state</x:v>
      </x:c>
      <x:c r="E1205" t="str">
        <x:f>'Release Gates'!J1181</x:f>
        <x:v>OPEN</x:v>
      </x:c>
      <x:c r="F1205" t="str">
        <x:f>IF('Release Gates'!C1181="PLANNING","PASS",IF('Release Gates'!C1181="PHYSICAL","OPEN","BLOCKED"))</x:f>
        <x:v>OPEN</x:v>
      </x:c>
      <x:c r="G1205" t="str">
        <x:v>equals</x:v>
      </x:c>
      <x:c r="H1205" t="str">
        <x:f>IF(E1205=F1205,"PASS","FAIL")</x:f>
        <x:v>PASS</x:v>
      </x:c>
    </x:row>
    <x:row r="1206">
      <x:c r="B1206" t="str">
        <x:v>A-1176</x:v>
      </x:c>
      <x:c r="C1206" t="str">
        <x:v>GATE</x:v>
      </x:c>
      <x:c r="D1206" t="str">
        <x:v>release ledger mirrors governing state</x:v>
      </x:c>
      <x:c r="E1206" t="str">
        <x:f>'Release Gates'!J1182</x:f>
        <x:v>OPEN</x:v>
      </x:c>
      <x:c r="F1206" t="str">
        <x:f>IF('Release Gates'!C1182="PLANNING","PASS",IF('Release Gates'!C1182="PHYSICAL","OPEN","BLOCKED"))</x:f>
        <x:v>OPEN</x:v>
      </x:c>
      <x:c r="G1206" t="str">
        <x:v>equals</x:v>
      </x:c>
      <x:c r="H1206" t="str">
        <x:f>IF(E1206=F1206,"PASS","FAIL")</x:f>
        <x:v>PASS</x:v>
      </x:c>
    </x:row>
    <x:row r="1207">
      <x:c r="B1207" t="str">
        <x:v>A-1177</x:v>
      </x:c>
      <x:c r="C1207" t="str">
        <x:v>GATE</x:v>
      </x:c>
      <x:c r="D1207" t="str">
        <x:v>release ledger mirrors governing state</x:v>
      </x:c>
      <x:c r="E1207" t="str">
        <x:f>'Release Gates'!J1183</x:f>
        <x:v>OPEN</x:v>
      </x:c>
      <x:c r="F1207" t="str">
        <x:f>IF('Release Gates'!C1183="PLANNING","PASS",IF('Release Gates'!C1183="PHYSICAL","OPEN","BLOCKED"))</x:f>
        <x:v>OPEN</x:v>
      </x:c>
      <x:c r="G1207" t="str">
        <x:v>equals</x:v>
      </x:c>
      <x:c r="H1207" t="str">
        <x:f>IF(E1207=F1207,"PASS","FAIL")</x:f>
        <x:v>PASS</x:v>
      </x:c>
    </x:row>
    <x:row r="1208">
      <x:c r="B1208" t="str">
        <x:v>A-1178</x:v>
      </x:c>
      <x:c r="C1208" t="str">
        <x:v>GATE</x:v>
      </x:c>
      <x:c r="D1208" t="str">
        <x:v>release ledger mirrors governing state</x:v>
      </x:c>
      <x:c r="E1208" t="str">
        <x:f>'Release Gates'!J1184</x:f>
        <x:v>OPEN</x:v>
      </x:c>
      <x:c r="F1208" t="str">
        <x:f>IF('Release Gates'!C1184="PLANNING","PASS",IF('Release Gates'!C1184="PHYSICAL","OPEN","BLOCKED"))</x:f>
        <x:v>OPEN</x:v>
      </x:c>
      <x:c r="G1208" t="str">
        <x:v>equals</x:v>
      </x:c>
      <x:c r="H1208" t="str">
        <x:f>IF(E1208=F1208,"PASS","FAIL")</x:f>
        <x:v>PASS</x:v>
      </x:c>
    </x:row>
    <x:row r="1209">
      <x:c r="B1209" t="str">
        <x:v>A-1179</x:v>
      </x:c>
      <x:c r="C1209" t="str">
        <x:v>GATE</x:v>
      </x:c>
      <x:c r="D1209" t="str">
        <x:v>release ledger mirrors governing state</x:v>
      </x:c>
      <x:c r="E1209" t="str">
        <x:f>'Release Gates'!J1185</x:f>
        <x:v>OPEN</x:v>
      </x:c>
      <x:c r="F1209" t="str">
        <x:f>IF('Release Gates'!C1185="PLANNING","PASS",IF('Release Gates'!C1185="PHYSICAL","OPEN","BLOCKED"))</x:f>
        <x:v>OPEN</x:v>
      </x:c>
      <x:c r="G1209" t="str">
        <x:v>equals</x:v>
      </x:c>
      <x:c r="H1209" t="str">
        <x:f>IF(E1209=F1209,"PASS","FAIL")</x:f>
        <x:v>PASS</x:v>
      </x:c>
    </x:row>
    <x:row r="1210">
      <x:c r="B1210" t="str">
        <x:v>A-1180</x:v>
      </x:c>
      <x:c r="C1210" t="str">
        <x:v>GATE</x:v>
      </x:c>
      <x:c r="D1210" t="str">
        <x:v>release ledger mirrors governing state</x:v>
      </x:c>
      <x:c r="E1210" t="str">
        <x:f>'Release Gates'!J1186</x:f>
        <x:v>OPEN</x:v>
      </x:c>
      <x:c r="F1210" t="str">
        <x:f>IF('Release Gates'!C1186="PLANNING","PASS",IF('Release Gates'!C1186="PHYSICAL","OPEN","BLOCKED"))</x:f>
        <x:v>OPEN</x:v>
      </x:c>
      <x:c r="G1210" t="str">
        <x:v>equals</x:v>
      </x:c>
      <x:c r="H1210" t="str">
        <x:f>IF(E1210=F1210,"PASS","FAIL")</x:f>
        <x:v>PASS</x:v>
      </x:c>
    </x:row>
    <x:row r="1211">
      <x:c r="B1211" t="str">
        <x:v>A-1181</x:v>
      </x:c>
      <x:c r="C1211" t="str">
        <x:v>GATE</x:v>
      </x:c>
      <x:c r="D1211" t="str">
        <x:v>release ledger mirrors governing state</x:v>
      </x:c>
      <x:c r="E1211" t="str">
        <x:f>'Release Gates'!J1187</x:f>
        <x:v>OPEN</x:v>
      </x:c>
      <x:c r="F1211" t="str">
        <x:f>IF('Release Gates'!C1187="PLANNING","PASS",IF('Release Gates'!C1187="PHYSICAL","OPEN","BLOCKED"))</x:f>
        <x:v>OPEN</x:v>
      </x:c>
      <x:c r="G1211" t="str">
        <x:v>equals</x:v>
      </x:c>
      <x:c r="H1211" t="str">
        <x:f>IF(E1211=F1211,"PASS","FAIL")</x:f>
        <x:v>PASS</x:v>
      </x:c>
    </x:row>
    <x:row r="1212">
      <x:c r="B1212" t="str">
        <x:v>A-1182</x:v>
      </x:c>
      <x:c r="C1212" t="str">
        <x:v>GATE</x:v>
      </x:c>
      <x:c r="D1212" t="str">
        <x:v>release ledger mirrors governing state</x:v>
      </x:c>
      <x:c r="E1212" t="str">
        <x:f>'Release Gates'!J1188</x:f>
        <x:v>OPEN</x:v>
      </x:c>
      <x:c r="F1212" t="str">
        <x:f>IF('Release Gates'!C1188="PLANNING","PASS",IF('Release Gates'!C1188="PHYSICAL","OPEN","BLOCKED"))</x:f>
        <x:v>OPEN</x:v>
      </x:c>
      <x:c r="G1212" t="str">
        <x:v>equals</x:v>
      </x:c>
      <x:c r="H1212" t="str">
        <x:f>IF(E1212=F1212,"PASS","FAIL")</x:f>
        <x:v>PASS</x:v>
      </x:c>
    </x:row>
    <x:row r="1213">
      <x:c r="B1213" t="str">
        <x:v>A-1183</x:v>
      </x:c>
      <x:c r="C1213" t="str">
        <x:v>GATE</x:v>
      </x:c>
      <x:c r="D1213" t="str">
        <x:v>release ledger mirrors governing state</x:v>
      </x:c>
      <x:c r="E1213" t="str">
        <x:f>'Release Gates'!J1189</x:f>
        <x:v>OPEN</x:v>
      </x:c>
      <x:c r="F1213" t="str">
        <x:f>IF('Release Gates'!C1189="PLANNING","PASS",IF('Release Gates'!C1189="PHYSICAL","OPEN","BLOCKED"))</x:f>
        <x:v>OPEN</x:v>
      </x:c>
      <x:c r="G1213" t="str">
        <x:v>equals</x:v>
      </x:c>
      <x:c r="H1213" t="str">
        <x:f>IF(E1213=F1213,"PASS","FAIL")</x:f>
        <x:v>PASS</x:v>
      </x:c>
    </x:row>
    <x:row r="1214">
      <x:c r="B1214" t="str">
        <x:v>A-1184</x:v>
      </x:c>
      <x:c r="C1214" t="str">
        <x:v>GATE</x:v>
      </x:c>
      <x:c r="D1214" t="str">
        <x:v>release ledger mirrors governing state</x:v>
      </x:c>
      <x:c r="E1214" t="str">
        <x:f>'Release Gates'!J1190</x:f>
        <x:v>OPEN</x:v>
      </x:c>
      <x:c r="F1214" t="str">
        <x:f>IF('Release Gates'!C1190="PLANNING","PASS",IF('Release Gates'!C1190="PHYSICAL","OPEN","BLOCKED"))</x:f>
        <x:v>OPEN</x:v>
      </x:c>
      <x:c r="G1214" t="str">
        <x:v>equals</x:v>
      </x:c>
      <x:c r="H1214" t="str">
        <x:f>IF(E1214=F1214,"PASS","FAIL")</x:f>
        <x:v>PASS</x:v>
      </x:c>
    </x:row>
    <x:row r="1215">
      <x:c r="B1215" t="str">
        <x:v>A-1185</x:v>
      </x:c>
      <x:c r="C1215" t="str">
        <x:v>GATE</x:v>
      </x:c>
      <x:c r="D1215" t="str">
        <x:v>release ledger mirrors governing state</x:v>
      </x:c>
      <x:c r="E1215" t="str">
        <x:f>'Release Gates'!J1191</x:f>
        <x:v>OPEN</x:v>
      </x:c>
      <x:c r="F1215" t="str">
        <x:f>IF('Release Gates'!C1191="PLANNING","PASS",IF('Release Gates'!C1191="PHYSICAL","OPEN","BLOCKED"))</x:f>
        <x:v>OPEN</x:v>
      </x:c>
      <x:c r="G1215" t="str">
        <x:v>equals</x:v>
      </x:c>
      <x:c r="H1215" t="str">
        <x:f>IF(E1215=F1215,"PASS","FAIL")</x:f>
        <x:v>PASS</x:v>
      </x:c>
    </x:row>
    <x:row r="1216">
      <x:c r="B1216" t="str">
        <x:v>A-1186</x:v>
      </x:c>
      <x:c r="C1216" t="str">
        <x:v>GATE</x:v>
      </x:c>
      <x:c r="D1216" t="str">
        <x:v>release ledger mirrors governing state</x:v>
      </x:c>
      <x:c r="E1216" t="str">
        <x:f>'Release Gates'!J1192</x:f>
        <x:v>OPEN</x:v>
      </x:c>
      <x:c r="F1216" t="str">
        <x:f>IF('Release Gates'!C1192="PLANNING","PASS",IF('Release Gates'!C1192="PHYSICAL","OPEN","BLOCKED"))</x:f>
        <x:v>OPEN</x:v>
      </x:c>
      <x:c r="G1216" t="str">
        <x:v>equals</x:v>
      </x:c>
      <x:c r="H1216" t="str">
        <x:f>IF(E1216=F1216,"PASS","FAIL")</x:f>
        <x:v>PASS</x:v>
      </x:c>
    </x:row>
    <x:row r="1217">
      <x:c r="B1217" t="str">
        <x:v>A-1187</x:v>
      </x:c>
      <x:c r="C1217" t="str">
        <x:v>GATE</x:v>
      </x:c>
      <x:c r="D1217" t="str">
        <x:v>release ledger mirrors governing state</x:v>
      </x:c>
      <x:c r="E1217" t="str">
        <x:f>'Release Gates'!J1193</x:f>
        <x:v>OPEN</x:v>
      </x:c>
      <x:c r="F1217" t="str">
        <x:f>IF('Release Gates'!C1193="PLANNING","PASS",IF('Release Gates'!C1193="PHYSICAL","OPEN","BLOCKED"))</x:f>
        <x:v>OPEN</x:v>
      </x:c>
      <x:c r="G1217" t="str">
        <x:v>equals</x:v>
      </x:c>
      <x:c r="H1217" t="str">
        <x:f>IF(E1217=F1217,"PASS","FAIL")</x:f>
        <x:v>PASS</x:v>
      </x:c>
    </x:row>
    <x:row r="1218">
      <x:c r="B1218" t="str">
        <x:v>A-1188</x:v>
      </x:c>
      <x:c r="C1218" t="str">
        <x:v>GATE</x:v>
      </x:c>
      <x:c r="D1218" t="str">
        <x:v>release ledger mirrors governing state</x:v>
      </x:c>
      <x:c r="E1218" t="str">
        <x:f>'Release Gates'!J1194</x:f>
        <x:v>OPEN</x:v>
      </x:c>
      <x:c r="F1218" t="str">
        <x:f>IF('Release Gates'!C1194="PLANNING","PASS",IF('Release Gates'!C1194="PHYSICAL","OPEN","BLOCKED"))</x:f>
        <x:v>OPEN</x:v>
      </x:c>
      <x:c r="G1218" t="str">
        <x:v>equals</x:v>
      </x:c>
      <x:c r="H1218" t="str">
        <x:f>IF(E1218=F1218,"PASS","FAIL")</x:f>
        <x:v>PASS</x:v>
      </x:c>
    </x:row>
    <x:row r="1219">
      <x:c r="B1219" t="str">
        <x:v>A-1189</x:v>
      </x:c>
      <x:c r="C1219" t="str">
        <x:v>GATE</x:v>
      </x:c>
      <x:c r="D1219" t="str">
        <x:v>release ledger mirrors governing state</x:v>
      </x:c>
      <x:c r="E1219" t="str">
        <x:f>'Release Gates'!J1195</x:f>
        <x:v>OPEN</x:v>
      </x:c>
      <x:c r="F1219" t="str">
        <x:f>IF('Release Gates'!C1195="PLANNING","PASS",IF('Release Gates'!C1195="PHYSICAL","OPEN","BLOCKED"))</x:f>
        <x:v>OPEN</x:v>
      </x:c>
      <x:c r="G1219" t="str">
        <x:v>equals</x:v>
      </x:c>
      <x:c r="H1219" t="str">
        <x:f>IF(E1219=F1219,"PASS","FAIL")</x:f>
        <x:v>PASS</x:v>
      </x:c>
    </x:row>
    <x:row r="1220">
      <x:c r="B1220" t="str">
        <x:v>A-1190</x:v>
      </x:c>
      <x:c r="C1220" t="str">
        <x:v>GATE</x:v>
      </x:c>
      <x:c r="D1220" t="str">
        <x:v>release ledger mirrors governing state</x:v>
      </x:c>
      <x:c r="E1220" t="str">
        <x:f>'Release Gates'!J1196</x:f>
        <x:v>OPEN</x:v>
      </x:c>
      <x:c r="F1220" t="str">
        <x:f>IF('Release Gates'!C1196="PLANNING","PASS",IF('Release Gates'!C1196="PHYSICAL","OPEN","BLOCKED"))</x:f>
        <x:v>OPEN</x:v>
      </x:c>
      <x:c r="G1220" t="str">
        <x:v>equals</x:v>
      </x:c>
      <x:c r="H1220" t="str">
        <x:f>IF(E1220=F1220,"PASS","FAIL")</x:f>
        <x:v>PASS</x:v>
      </x:c>
    </x:row>
    <x:row r="1221">
      <x:c r="B1221" t="str">
        <x:v>A-1191</x:v>
      </x:c>
      <x:c r="C1221" t="str">
        <x:v>GATE</x:v>
      </x:c>
      <x:c r="D1221" t="str">
        <x:v>release ledger mirrors governing state</x:v>
      </x:c>
      <x:c r="E1221" t="str">
        <x:f>'Release Gates'!J1197</x:f>
        <x:v>OPEN</x:v>
      </x:c>
      <x:c r="F1221" t="str">
        <x:f>IF('Release Gates'!C1197="PLANNING","PASS",IF('Release Gates'!C1197="PHYSICAL","OPEN","BLOCKED"))</x:f>
        <x:v>OPEN</x:v>
      </x:c>
      <x:c r="G1221" t="str">
        <x:v>equals</x:v>
      </x:c>
      <x:c r="H1221" t="str">
        <x:f>IF(E1221=F1221,"PASS","FAIL")</x:f>
        <x:v>PASS</x:v>
      </x:c>
    </x:row>
    <x:row r="1222">
      <x:c r="B1222" t="str">
        <x:v>A-1192</x:v>
      </x:c>
      <x:c r="C1222" t="str">
        <x:v>GATE</x:v>
      </x:c>
      <x:c r="D1222" t="str">
        <x:v>release ledger mirrors governing state</x:v>
      </x:c>
      <x:c r="E1222" t="str">
        <x:f>'Release Gates'!J1198</x:f>
        <x:v>OPEN</x:v>
      </x:c>
      <x:c r="F1222" t="str">
        <x:f>IF('Release Gates'!C1198="PLANNING","PASS",IF('Release Gates'!C1198="PHYSICAL","OPEN","BLOCKED"))</x:f>
        <x:v>OPEN</x:v>
      </x:c>
      <x:c r="G1222" t="str">
        <x:v>equals</x:v>
      </x:c>
      <x:c r="H1222" t="str">
        <x:f>IF(E1222=F1222,"PASS","FAIL")</x:f>
        <x:v>PASS</x:v>
      </x:c>
    </x:row>
    <x:row r="1223">
      <x:c r="B1223" t="str">
        <x:v>A-1193</x:v>
      </x:c>
      <x:c r="C1223" t="str">
        <x:v>GATE</x:v>
      </x:c>
      <x:c r="D1223" t="str">
        <x:v>release ledger mirrors governing state</x:v>
      </x:c>
      <x:c r="E1223" t="str">
        <x:f>'Release Gates'!J1199</x:f>
        <x:v>OPEN</x:v>
      </x:c>
      <x:c r="F1223" t="str">
        <x:f>IF('Release Gates'!C1199="PLANNING","PASS",IF('Release Gates'!C1199="PHYSICAL","OPEN","BLOCKED"))</x:f>
        <x:v>OPEN</x:v>
      </x:c>
      <x:c r="G1223" t="str">
        <x:v>equals</x:v>
      </x:c>
      <x:c r="H1223" t="str">
        <x:f>IF(E1223=F1223,"PASS","FAIL")</x:f>
        <x:v>PASS</x:v>
      </x:c>
    </x:row>
    <x:row r="1224">
      <x:c r="B1224" t="str">
        <x:v>A-1194</x:v>
      </x:c>
      <x:c r="C1224" t="str">
        <x:v>GATE</x:v>
      </x:c>
      <x:c r="D1224" t="str">
        <x:v>release ledger mirrors governing state</x:v>
      </x:c>
      <x:c r="E1224" t="str">
        <x:f>'Release Gates'!J1200</x:f>
        <x:v>OPEN</x:v>
      </x:c>
      <x:c r="F1224" t="str">
        <x:f>IF('Release Gates'!C1200="PLANNING","PASS",IF('Release Gates'!C1200="PHYSICAL","OPEN","BLOCKED"))</x:f>
        <x:v>OPEN</x:v>
      </x:c>
      <x:c r="G1224" t="str">
        <x:v>equals</x:v>
      </x:c>
      <x:c r="H1224" t="str">
        <x:f>IF(E1224=F1224,"PASS","FAIL")</x:f>
        <x:v>PASS</x:v>
      </x:c>
    </x:row>
    <x:row r="1225">
      <x:c r="B1225" t="str">
        <x:v>A-1195</x:v>
      </x:c>
      <x:c r="C1225" t="str">
        <x:v>GATE</x:v>
      </x:c>
      <x:c r="D1225" t="str">
        <x:v>release ledger mirrors governing state</x:v>
      </x:c>
      <x:c r="E1225" t="str">
        <x:f>'Release Gates'!J1201</x:f>
        <x:v>OPEN</x:v>
      </x:c>
      <x:c r="F1225" t="str">
        <x:f>IF('Release Gates'!C1201="PLANNING","PASS",IF('Release Gates'!C1201="PHYSICAL","OPEN","BLOCKED"))</x:f>
        <x:v>OPEN</x:v>
      </x:c>
      <x:c r="G1225" t="str">
        <x:v>equals</x:v>
      </x:c>
      <x:c r="H1225" t="str">
        <x:f>IF(E1225=F1225,"PASS","FAIL")</x:f>
        <x:v>PASS</x:v>
      </x:c>
    </x:row>
    <x:row r="1226">
      <x:c r="B1226" t="str">
        <x:v>A-1196</x:v>
      </x:c>
      <x:c r="C1226" t="str">
        <x:v>GATE</x:v>
      </x:c>
      <x:c r="D1226" t="str">
        <x:v>release ledger mirrors governing state</x:v>
      </x:c>
      <x:c r="E1226" t="str">
        <x:f>'Release Gates'!J1202</x:f>
        <x:v>OPEN</x:v>
      </x:c>
      <x:c r="F1226" t="str">
        <x:f>IF('Release Gates'!C1202="PLANNING","PASS",IF('Release Gates'!C1202="PHYSICAL","OPEN","BLOCKED"))</x:f>
        <x:v>OPEN</x:v>
      </x:c>
      <x:c r="G1226" t="str">
        <x:v>equals</x:v>
      </x:c>
      <x:c r="H1226" t="str">
        <x:f>IF(E1226=F1226,"PASS","FAIL")</x:f>
        <x:v>PASS</x:v>
      </x:c>
    </x:row>
    <x:row r="1227">
      <x:c r="B1227" t="str">
        <x:v>A-1197</x:v>
      </x:c>
      <x:c r="C1227" t="str">
        <x:v>GATE</x:v>
      </x:c>
      <x:c r="D1227" t="str">
        <x:v>release ledger mirrors governing state</x:v>
      </x:c>
      <x:c r="E1227" t="str">
        <x:f>'Release Gates'!J1203</x:f>
        <x:v>OPEN</x:v>
      </x:c>
      <x:c r="F1227" t="str">
        <x:f>IF('Release Gates'!C1203="PLANNING","PASS",IF('Release Gates'!C1203="PHYSICAL","OPEN","BLOCKED"))</x:f>
        <x:v>OPEN</x:v>
      </x:c>
      <x:c r="G1227" t="str">
        <x:v>equals</x:v>
      </x:c>
      <x:c r="H1227" t="str">
        <x:f>IF(E1227=F1227,"PASS","FAIL")</x:f>
        <x:v>PASS</x:v>
      </x:c>
    </x:row>
    <x:row r="1228">
      <x:c r="B1228" t="str">
        <x:v>A-1198</x:v>
      </x:c>
      <x:c r="C1228" t="str">
        <x:v>GATE</x:v>
      </x:c>
      <x:c r="D1228" t="str">
        <x:v>release ledger mirrors governing state</x:v>
      </x:c>
      <x:c r="E1228" t="str">
        <x:f>'Release Gates'!J1204</x:f>
        <x:v>OPEN</x:v>
      </x:c>
      <x:c r="F1228" t="str">
        <x:f>IF('Release Gates'!C1204="PLANNING","PASS",IF('Release Gates'!C1204="PHYSICAL","OPEN","BLOCKED"))</x:f>
        <x:v>OPEN</x:v>
      </x:c>
      <x:c r="G1228" t="str">
        <x:v>equals</x:v>
      </x:c>
      <x:c r="H1228" t="str">
        <x:f>IF(E1228=F1228,"PASS","FAIL")</x:f>
        <x:v>PASS</x:v>
      </x:c>
    </x:row>
    <x:row r="1229">
      <x:c r="B1229" t="str">
        <x:v>A-1199</x:v>
      </x:c>
      <x:c r="C1229" t="str">
        <x:v>GATE</x:v>
      </x:c>
      <x:c r="D1229" t="str">
        <x:v>release ledger mirrors governing state</x:v>
      </x:c>
      <x:c r="E1229" t="str">
        <x:f>'Release Gates'!J1205</x:f>
        <x:v>OPEN</x:v>
      </x:c>
      <x:c r="F1229" t="str">
        <x:f>IF('Release Gates'!C1205="PLANNING","PASS",IF('Release Gates'!C1205="PHYSICAL","OPEN","BLOCKED"))</x:f>
        <x:v>OPEN</x:v>
      </x:c>
      <x:c r="G1229" t="str">
        <x:v>equals</x:v>
      </x:c>
      <x:c r="H1229" t="str">
        <x:f>IF(E1229=F1229,"PASS","FAIL")</x:f>
        <x:v>PASS</x:v>
      </x:c>
    </x:row>
    <x:row r="1230">
      <x:c r="B1230" t="str">
        <x:v>A-1200</x:v>
      </x:c>
      <x:c r="C1230" t="str">
        <x:v>GATE</x:v>
      </x:c>
      <x:c r="D1230" t="str">
        <x:v>release ledger mirrors governing state</x:v>
      </x:c>
      <x:c r="E1230" t="str">
        <x:f>'Release Gates'!J1206</x:f>
        <x:v>OPEN</x:v>
      </x:c>
      <x:c r="F1230" t="str">
        <x:f>IF('Release Gates'!C1206="PLANNING","PASS",IF('Release Gates'!C1206="PHYSICAL","OPEN","BLOCKED"))</x:f>
        <x:v>OPEN</x:v>
      </x:c>
      <x:c r="G1230" t="str">
        <x:v>equals</x:v>
      </x:c>
      <x:c r="H1230" t="str">
        <x:f>IF(E1230=F1230,"PASS","FAIL")</x:f>
        <x:v>PASS</x:v>
      </x:c>
    </x:row>
    <x:row r="1231">
      <x:c r="B1231" t="str">
        <x:v>A-1201</x:v>
      </x:c>
      <x:c r="C1231" t="str">
        <x:v>GATE</x:v>
      </x:c>
      <x:c r="D1231" t="str">
        <x:v>release ledger mirrors governing state</x:v>
      </x:c>
      <x:c r="E1231" t="str">
        <x:f>'Release Gates'!J1207</x:f>
        <x:v>OPEN</x:v>
      </x:c>
      <x:c r="F1231" t="str">
        <x:f>IF('Release Gates'!C1207="PLANNING","PASS",IF('Release Gates'!C1207="PHYSICAL","OPEN","BLOCKED"))</x:f>
        <x:v>OPEN</x:v>
      </x:c>
      <x:c r="G1231" t="str">
        <x:v>equals</x:v>
      </x:c>
      <x:c r="H1231" t="str">
        <x:f>IF(E1231=F1231,"PASS","FAIL")</x:f>
        <x:v>PASS</x:v>
      </x:c>
    </x:row>
    <x:row r="1232">
      <x:c r="B1232" t="str">
        <x:v>A-1202</x:v>
      </x:c>
      <x:c r="C1232" t="str">
        <x:v>GATE</x:v>
      </x:c>
      <x:c r="D1232" t="str">
        <x:v>release ledger mirrors governing state</x:v>
      </x:c>
      <x:c r="E1232" t="str">
        <x:f>'Release Gates'!J1208</x:f>
        <x:v>OPEN</x:v>
      </x:c>
      <x:c r="F1232" t="str">
        <x:f>IF('Release Gates'!C1208="PLANNING","PASS",IF('Release Gates'!C1208="PHYSICAL","OPEN","BLOCKED"))</x:f>
        <x:v>OPEN</x:v>
      </x:c>
      <x:c r="G1232" t="str">
        <x:v>equals</x:v>
      </x:c>
      <x:c r="H1232" t="str">
        <x:f>IF(E1232=F1232,"PASS","FAIL")</x:f>
        <x:v>PASS</x:v>
      </x:c>
    </x:row>
    <x:row r="1233">
      <x:c r="B1233" t="str">
        <x:v>A-1203</x:v>
      </x:c>
      <x:c r="C1233" t="str">
        <x:v>GATE</x:v>
      </x:c>
      <x:c r="D1233" t="str">
        <x:v>release ledger mirrors governing state</x:v>
      </x:c>
      <x:c r="E1233" t="str">
        <x:f>'Release Gates'!J1209</x:f>
        <x:v>OPEN</x:v>
      </x:c>
      <x:c r="F1233" t="str">
        <x:f>IF('Release Gates'!C1209="PLANNING","PASS",IF('Release Gates'!C1209="PHYSICAL","OPEN","BLOCKED"))</x:f>
        <x:v>OPEN</x:v>
      </x:c>
      <x:c r="G1233" t="str">
        <x:v>equals</x:v>
      </x:c>
      <x:c r="H1233" t="str">
        <x:f>IF(E1233=F1233,"PASS","FAIL")</x:f>
        <x:v>PASS</x:v>
      </x:c>
    </x:row>
    <x:row r="1234">
      <x:c r="B1234" t="str">
        <x:v>A-1204</x:v>
      </x:c>
      <x:c r="C1234" t="str">
        <x:v>GATE</x:v>
      </x:c>
      <x:c r="D1234" t="str">
        <x:v>release ledger mirrors governing state</x:v>
      </x:c>
      <x:c r="E1234" t="str">
        <x:f>'Release Gates'!J1210</x:f>
        <x:v>OPEN</x:v>
      </x:c>
      <x:c r="F1234" t="str">
        <x:f>IF('Release Gates'!C1210="PLANNING","PASS",IF('Release Gates'!C1210="PHYSICAL","OPEN","BLOCKED"))</x:f>
        <x:v>OPEN</x:v>
      </x:c>
      <x:c r="G1234" t="str">
        <x:v>equals</x:v>
      </x:c>
      <x:c r="H1234" t="str">
        <x:f>IF(E1234=F1234,"PASS","FAIL")</x:f>
        <x:v>PASS</x:v>
      </x:c>
    </x:row>
    <x:row r="1235">
      <x:c r="B1235" t="str">
        <x:v>A-1205</x:v>
      </x:c>
      <x:c r="C1235" t="str">
        <x:v>GATE</x:v>
      </x:c>
      <x:c r="D1235" t="str">
        <x:v>release ledger mirrors governing state</x:v>
      </x:c>
      <x:c r="E1235" t="str">
        <x:f>'Release Gates'!J1211</x:f>
        <x:v>OPEN</x:v>
      </x:c>
      <x:c r="F1235" t="str">
        <x:f>IF('Release Gates'!C1211="PLANNING","PASS",IF('Release Gates'!C1211="PHYSICAL","OPEN","BLOCKED"))</x:f>
        <x:v>OPEN</x:v>
      </x:c>
      <x:c r="G1235" t="str">
        <x:v>equals</x:v>
      </x:c>
      <x:c r="H1235" t="str">
        <x:f>IF(E1235=F1235,"PASS","FAIL")</x:f>
        <x:v>PASS</x:v>
      </x:c>
    </x:row>
    <x:row r="1236">
      <x:c r="B1236" t="str">
        <x:v>A-1206</x:v>
      </x:c>
      <x:c r="C1236" t="str">
        <x:v>GATE</x:v>
      </x:c>
      <x:c r="D1236" t="str">
        <x:v>release ledger mirrors governing state</x:v>
      </x:c>
      <x:c r="E1236" t="str">
        <x:f>'Release Gates'!J1212</x:f>
        <x:v>OPEN</x:v>
      </x:c>
      <x:c r="F1236" t="str">
        <x:f>IF('Release Gates'!C1212="PLANNING","PASS",IF('Release Gates'!C1212="PHYSICAL","OPEN","BLOCKED"))</x:f>
        <x:v>OPEN</x:v>
      </x:c>
      <x:c r="G1236" t="str">
        <x:v>equals</x:v>
      </x:c>
      <x:c r="H1236" t="str">
        <x:f>IF(E1236=F1236,"PASS","FAIL")</x:f>
        <x:v>PASS</x:v>
      </x:c>
    </x:row>
    <x:row r="1237">
      <x:c r="B1237" t="str">
        <x:v>A-1207</x:v>
      </x:c>
      <x:c r="C1237" t="str">
        <x:v>GATE</x:v>
      </x:c>
      <x:c r="D1237" t="str">
        <x:v>release ledger mirrors governing state</x:v>
      </x:c>
      <x:c r="E1237" t="str">
        <x:f>'Release Gates'!J1213</x:f>
        <x:v>OPEN</x:v>
      </x:c>
      <x:c r="F1237" t="str">
        <x:f>IF('Release Gates'!C1213="PLANNING","PASS",IF('Release Gates'!C1213="PHYSICAL","OPEN","BLOCKED"))</x:f>
        <x:v>OPEN</x:v>
      </x:c>
      <x:c r="G1237" t="str">
        <x:v>equals</x:v>
      </x:c>
      <x:c r="H1237" t="str">
        <x:f>IF(E1237=F1237,"PASS","FAIL")</x:f>
        <x:v>PASS</x:v>
      </x:c>
    </x:row>
    <x:row r="1238">
      <x:c r="B1238" t="str">
        <x:v>A-1208</x:v>
      </x:c>
      <x:c r="C1238" t="str">
        <x:v>GATE</x:v>
      </x:c>
      <x:c r="D1238" t="str">
        <x:v>release ledger mirrors governing state</x:v>
      </x:c>
      <x:c r="E1238" t="str">
        <x:f>'Release Gates'!J1214</x:f>
        <x:v>OPEN</x:v>
      </x:c>
      <x:c r="F1238" t="str">
        <x:f>IF('Release Gates'!C1214="PLANNING","PASS",IF('Release Gates'!C1214="PHYSICAL","OPEN","BLOCKED"))</x:f>
        <x:v>OPEN</x:v>
      </x:c>
      <x:c r="G1238" t="str">
        <x:v>equals</x:v>
      </x:c>
      <x:c r="H1238" t="str">
        <x:f>IF(E1238=F1238,"PASS","FAIL")</x:f>
        <x:v>PASS</x:v>
      </x:c>
    </x:row>
    <x:row r="1239">
      <x:c r="B1239" t="str">
        <x:v>A-1209</x:v>
      </x:c>
      <x:c r="C1239" t="str">
        <x:v>GATE</x:v>
      </x:c>
      <x:c r="D1239" t="str">
        <x:v>release ledger mirrors governing state</x:v>
      </x:c>
      <x:c r="E1239" t="str">
        <x:f>'Release Gates'!J1215</x:f>
        <x:v>OPEN</x:v>
      </x:c>
      <x:c r="F1239" t="str">
        <x:f>IF('Release Gates'!C1215="PLANNING","PASS",IF('Release Gates'!C1215="PHYSICAL","OPEN","BLOCKED"))</x:f>
        <x:v>OPEN</x:v>
      </x:c>
      <x:c r="G1239" t="str">
        <x:v>equals</x:v>
      </x:c>
      <x:c r="H1239" t="str">
        <x:f>IF(E1239=F1239,"PASS","FAIL")</x:f>
        <x:v>PASS</x:v>
      </x:c>
    </x:row>
    <x:row r="1240">
      <x:c r="B1240" t="str">
        <x:v>A-1210</x:v>
      </x:c>
      <x:c r="C1240" t="str">
        <x:v>GATE</x:v>
      </x:c>
      <x:c r="D1240" t="str">
        <x:v>release ledger mirrors governing state</x:v>
      </x:c>
      <x:c r="E1240" t="str">
        <x:f>'Release Gates'!J1216</x:f>
        <x:v>OPEN</x:v>
      </x:c>
      <x:c r="F1240" t="str">
        <x:f>IF('Release Gates'!C1216="PLANNING","PASS",IF('Release Gates'!C1216="PHYSICAL","OPEN","BLOCKED"))</x:f>
        <x:v>OPEN</x:v>
      </x:c>
      <x:c r="G1240" t="str">
        <x:v>equals</x:v>
      </x:c>
      <x:c r="H1240" t="str">
        <x:f>IF(E1240=F1240,"PASS","FAIL")</x:f>
        <x:v>PASS</x:v>
      </x:c>
    </x:row>
    <x:row r="1241">
      <x:c r="B1241" t="str">
        <x:v>A-1211</x:v>
      </x:c>
      <x:c r="C1241" t="str">
        <x:v>GATE</x:v>
      </x:c>
      <x:c r="D1241" t="str">
        <x:v>release ledger mirrors governing state</x:v>
      </x:c>
      <x:c r="E1241" t="str">
        <x:f>'Release Gates'!J1217</x:f>
        <x:v>OPEN</x:v>
      </x:c>
      <x:c r="F1241" t="str">
        <x:f>IF('Release Gates'!C1217="PLANNING","PASS",IF('Release Gates'!C1217="PHYSICAL","OPEN","BLOCKED"))</x:f>
        <x:v>OPEN</x:v>
      </x:c>
      <x:c r="G1241" t="str">
        <x:v>equals</x:v>
      </x:c>
      <x:c r="H1241" t="str">
        <x:f>IF(E1241=F1241,"PASS","FAIL")</x:f>
        <x:v>PASS</x:v>
      </x:c>
    </x:row>
    <x:row r="1242">
      <x:c r="B1242" t="str">
        <x:v>A-1212</x:v>
      </x:c>
      <x:c r="C1242" t="str">
        <x:v>GATE</x:v>
      </x:c>
      <x:c r="D1242" t="str">
        <x:v>release ledger mirrors governing state</x:v>
      </x:c>
      <x:c r="E1242" t="str">
        <x:f>'Release Gates'!J1218</x:f>
        <x:v>OPEN</x:v>
      </x:c>
      <x:c r="F1242" t="str">
        <x:f>IF('Release Gates'!C1218="PLANNING","PASS",IF('Release Gates'!C1218="PHYSICAL","OPEN","BLOCKED"))</x:f>
        <x:v>OPEN</x:v>
      </x:c>
      <x:c r="G1242" t="str">
        <x:v>equals</x:v>
      </x:c>
      <x:c r="H1242" t="str">
        <x:f>IF(E1242=F1242,"PASS","FAIL")</x:f>
        <x:v>PASS</x:v>
      </x:c>
    </x:row>
    <x:row r="1243">
      <x:c r="B1243" t="str">
        <x:v>A-1213</x:v>
      </x:c>
      <x:c r="C1243" t="str">
        <x:v>GATE</x:v>
      </x:c>
      <x:c r="D1243" t="str">
        <x:v>release ledger mirrors governing state</x:v>
      </x:c>
      <x:c r="E1243" t="str">
        <x:f>'Release Gates'!J1219</x:f>
        <x:v>OPEN</x:v>
      </x:c>
      <x:c r="F1243" t="str">
        <x:f>IF('Release Gates'!C1219="PLANNING","PASS",IF('Release Gates'!C1219="PHYSICAL","OPEN","BLOCKED"))</x:f>
        <x:v>OPEN</x:v>
      </x:c>
      <x:c r="G1243" t="str">
        <x:v>equals</x:v>
      </x:c>
      <x:c r="H1243" t="str">
        <x:f>IF(E1243=F1243,"PASS","FAIL")</x:f>
        <x:v>PASS</x:v>
      </x:c>
    </x:row>
    <x:row r="1244">
      <x:c r="B1244" t="str">
        <x:v>A-1214</x:v>
      </x:c>
      <x:c r="C1244" t="str">
        <x:v>GATE</x:v>
      </x:c>
      <x:c r="D1244" t="str">
        <x:v>release ledger mirrors governing state</x:v>
      </x:c>
      <x:c r="E1244" t="str">
        <x:f>'Release Gates'!J1220</x:f>
        <x:v>OPEN</x:v>
      </x:c>
      <x:c r="F1244" t="str">
        <x:f>IF('Release Gates'!C1220="PLANNING","PASS",IF('Release Gates'!C1220="PHYSICAL","OPEN","BLOCKED"))</x:f>
        <x:v>OPEN</x:v>
      </x:c>
      <x:c r="G1244" t="str">
        <x:v>equals</x:v>
      </x:c>
      <x:c r="H1244" t="str">
        <x:f>IF(E1244=F1244,"PASS","FAIL")</x:f>
        <x:v>PASS</x:v>
      </x:c>
    </x:row>
    <x:row r="1245">
      <x:c r="B1245" t="str">
        <x:v>A-1215</x:v>
      </x:c>
      <x:c r="C1245" t="str">
        <x:v>GATE</x:v>
      </x:c>
      <x:c r="D1245" t="str">
        <x:v>release ledger mirrors governing state</x:v>
      </x:c>
      <x:c r="E1245" t="str">
        <x:f>'Release Gates'!J1221</x:f>
        <x:v>OPEN</x:v>
      </x:c>
      <x:c r="F1245" t="str">
        <x:f>IF('Release Gates'!C1221="PLANNING","PASS",IF('Release Gates'!C1221="PHYSICAL","OPEN","BLOCKED"))</x:f>
        <x:v>OPEN</x:v>
      </x:c>
      <x:c r="G1245" t="str">
        <x:v>equals</x:v>
      </x:c>
      <x:c r="H1245" t="str">
        <x:f>IF(E1245=F1245,"PASS","FAIL")</x:f>
        <x:v>PASS</x:v>
      </x:c>
    </x:row>
    <x:row r="1246">
      <x:c r="B1246" t="str">
        <x:v>A-1216</x:v>
      </x:c>
      <x:c r="C1246" t="str">
        <x:v>GATE</x:v>
      </x:c>
      <x:c r="D1246" t="str">
        <x:v>release ledger mirrors governing state</x:v>
      </x:c>
      <x:c r="E1246" t="str">
        <x:f>'Release Gates'!J1222</x:f>
        <x:v>OPEN</x:v>
      </x:c>
      <x:c r="F1246" t="str">
        <x:f>IF('Release Gates'!C1222="PLANNING","PASS",IF('Release Gates'!C1222="PHYSICAL","OPEN","BLOCKED"))</x:f>
        <x:v>OPEN</x:v>
      </x:c>
      <x:c r="G1246" t="str">
        <x:v>equals</x:v>
      </x:c>
      <x:c r="H1246" t="str">
        <x:f>IF(E1246=F1246,"PASS","FAIL")</x:f>
        <x:v>PASS</x:v>
      </x:c>
    </x:row>
    <x:row r="1247">
      <x:c r="B1247" t="str">
        <x:v>A-1217</x:v>
      </x:c>
      <x:c r="C1247" t="str">
        <x:v>GATE</x:v>
      </x:c>
      <x:c r="D1247" t="str">
        <x:v>release ledger mirrors governing state</x:v>
      </x:c>
      <x:c r="E1247" t="str">
        <x:f>'Release Gates'!J1223</x:f>
        <x:v>OPEN</x:v>
      </x:c>
      <x:c r="F1247" t="str">
        <x:f>IF('Release Gates'!C1223="PLANNING","PASS",IF('Release Gates'!C1223="PHYSICAL","OPEN","BLOCKED"))</x:f>
        <x:v>OPEN</x:v>
      </x:c>
      <x:c r="G1247" t="str">
        <x:v>equals</x:v>
      </x:c>
      <x:c r="H1247" t="str">
        <x:f>IF(E1247=F1247,"PASS","FAIL")</x:f>
        <x:v>PASS</x:v>
      </x:c>
    </x:row>
    <x:row r="1248">
      <x:c r="B1248" t="str">
        <x:v>A-1218</x:v>
      </x:c>
      <x:c r="C1248" t="str">
        <x:v>GATE</x:v>
      </x:c>
      <x:c r="D1248" t="str">
        <x:v>release ledger mirrors governing state</x:v>
      </x:c>
      <x:c r="E1248" t="str">
        <x:f>'Release Gates'!J1224</x:f>
        <x:v>OPEN</x:v>
      </x:c>
      <x:c r="F1248" t="str">
        <x:f>IF('Release Gates'!C1224="PLANNING","PASS",IF('Release Gates'!C1224="PHYSICAL","OPEN","BLOCKED"))</x:f>
        <x:v>OPEN</x:v>
      </x:c>
      <x:c r="G1248" t="str">
        <x:v>equals</x:v>
      </x:c>
      <x:c r="H1248" t="str">
        <x:f>IF(E1248=F1248,"PASS","FAIL")</x:f>
        <x:v>PASS</x:v>
      </x:c>
    </x:row>
    <x:row r="1249">
      <x:c r="B1249" t="str">
        <x:v>A-1219</x:v>
      </x:c>
      <x:c r="C1249" t="str">
        <x:v>GATE</x:v>
      </x:c>
      <x:c r="D1249" t="str">
        <x:v>release ledger mirrors governing state</x:v>
      </x:c>
      <x:c r="E1249" t="str">
        <x:f>'Release Gates'!J1225</x:f>
        <x:v>OPEN</x:v>
      </x:c>
      <x:c r="F1249" t="str">
        <x:f>IF('Release Gates'!C1225="PLANNING","PASS",IF('Release Gates'!C1225="PHYSICAL","OPEN","BLOCKED"))</x:f>
        <x:v>OPEN</x:v>
      </x:c>
      <x:c r="G1249" t="str">
        <x:v>equals</x:v>
      </x:c>
      <x:c r="H1249" t="str">
        <x:f>IF(E1249=F1249,"PASS","FAIL")</x:f>
        <x:v>PASS</x:v>
      </x:c>
    </x:row>
    <x:row r="1250">
      <x:c r="B1250" t="str">
        <x:v>A-1220</x:v>
      </x:c>
      <x:c r="C1250" t="str">
        <x:v>GATE</x:v>
      </x:c>
      <x:c r="D1250" t="str">
        <x:v>release ledger mirrors governing state</x:v>
      </x:c>
      <x:c r="E1250" t="str">
        <x:f>'Release Gates'!J1226</x:f>
        <x:v>OPEN</x:v>
      </x:c>
      <x:c r="F1250" t="str">
        <x:f>IF('Release Gates'!C1226="PLANNING","PASS",IF('Release Gates'!C1226="PHYSICAL","OPEN","BLOCKED"))</x:f>
        <x:v>OPEN</x:v>
      </x:c>
      <x:c r="G1250" t="str">
        <x:v>equals</x:v>
      </x:c>
      <x:c r="H1250" t="str">
        <x:f>IF(E1250=F1250,"PASS","FAIL")</x:f>
        <x:v>PASS</x:v>
      </x:c>
    </x:row>
    <x:row r="1251">
      <x:c r="B1251" t="str">
        <x:v>A-1221</x:v>
      </x:c>
      <x:c r="C1251" t="str">
        <x:v>GATE</x:v>
      </x:c>
      <x:c r="D1251" t="str">
        <x:v>release ledger mirrors governing state</x:v>
      </x:c>
      <x:c r="E1251" t="str">
        <x:f>'Release Gates'!J1227</x:f>
        <x:v>OPEN</x:v>
      </x:c>
      <x:c r="F1251" t="str">
        <x:f>IF('Release Gates'!C1227="PLANNING","PASS",IF('Release Gates'!C1227="PHYSICAL","OPEN","BLOCKED"))</x:f>
        <x:v>OPEN</x:v>
      </x:c>
      <x:c r="G1251" t="str">
        <x:v>equals</x:v>
      </x:c>
      <x:c r="H1251" t="str">
        <x:f>IF(E1251=F1251,"PASS","FAIL")</x:f>
        <x:v>PASS</x:v>
      </x:c>
    </x:row>
    <x:row r="1252">
      <x:c r="B1252" t="str">
        <x:v>A-1222</x:v>
      </x:c>
      <x:c r="C1252" t="str">
        <x:v>GATE</x:v>
      </x:c>
      <x:c r="D1252" t="str">
        <x:v>release ledger mirrors governing state</x:v>
      </x:c>
      <x:c r="E1252" t="str">
        <x:f>'Release Gates'!J1228</x:f>
        <x:v>OPEN</x:v>
      </x:c>
      <x:c r="F1252" t="str">
        <x:f>IF('Release Gates'!C1228="PLANNING","PASS",IF('Release Gates'!C1228="PHYSICAL","OPEN","BLOCKED"))</x:f>
        <x:v>OPEN</x:v>
      </x:c>
      <x:c r="G1252" t="str">
        <x:v>equals</x:v>
      </x:c>
      <x:c r="H1252" t="str">
        <x:f>IF(E1252=F1252,"PASS","FAIL")</x:f>
        <x:v>PASS</x:v>
      </x:c>
    </x:row>
    <x:row r="1253">
      <x:c r="B1253" t="str">
        <x:v>A-1223</x:v>
      </x:c>
      <x:c r="C1253" t="str">
        <x:v>GATE</x:v>
      </x:c>
      <x:c r="D1253" t="str">
        <x:v>release ledger mirrors governing state</x:v>
      </x:c>
      <x:c r="E1253" t="str">
        <x:f>'Release Gates'!J1229</x:f>
        <x:v>OPEN</x:v>
      </x:c>
      <x:c r="F1253" t="str">
        <x:f>IF('Release Gates'!C1229="PLANNING","PASS",IF('Release Gates'!C1229="PHYSICAL","OPEN","BLOCKED"))</x:f>
        <x:v>OPEN</x:v>
      </x:c>
      <x:c r="G1253" t="str">
        <x:v>equals</x:v>
      </x:c>
      <x:c r="H1253" t="str">
        <x:f>IF(E1253=F1253,"PASS","FAIL")</x:f>
        <x:v>PASS</x:v>
      </x:c>
    </x:row>
    <x:row r="1254">
      <x:c r="B1254" t="str">
        <x:v>A-1224</x:v>
      </x:c>
      <x:c r="C1254" t="str">
        <x:v>GATE</x:v>
      </x:c>
      <x:c r="D1254" t="str">
        <x:v>release ledger mirrors governing state</x:v>
      </x:c>
      <x:c r="E1254" t="str">
        <x:f>'Release Gates'!J1230</x:f>
        <x:v>OPEN</x:v>
      </x:c>
      <x:c r="F1254" t="str">
        <x:f>IF('Release Gates'!C1230="PLANNING","PASS",IF('Release Gates'!C1230="PHYSICAL","OPEN","BLOCKED"))</x:f>
        <x:v>OPEN</x:v>
      </x:c>
      <x:c r="G1254" t="str">
        <x:v>equals</x:v>
      </x:c>
      <x:c r="H1254" t="str">
        <x:f>IF(E1254=F1254,"PASS","FAIL")</x:f>
        <x:v>PASS</x:v>
      </x:c>
    </x:row>
    <x:row r="1255">
      <x:c r="B1255" t="str">
        <x:v>A-1225</x:v>
      </x:c>
      <x:c r="C1255" t="str">
        <x:v>GATE</x:v>
      </x:c>
      <x:c r="D1255" t="str">
        <x:v>release ledger mirrors governing state</x:v>
      </x:c>
      <x:c r="E1255" t="str">
        <x:f>'Release Gates'!J1231</x:f>
        <x:v>OPEN</x:v>
      </x:c>
      <x:c r="F1255" t="str">
        <x:f>IF('Release Gates'!C1231="PLANNING","PASS",IF('Release Gates'!C1231="PHYSICAL","OPEN","BLOCKED"))</x:f>
        <x:v>OPEN</x:v>
      </x:c>
      <x:c r="G1255" t="str">
        <x:v>equals</x:v>
      </x:c>
      <x:c r="H1255" t="str">
        <x:f>IF(E1255=F1255,"PASS","FAIL")</x:f>
        <x:v>PASS</x:v>
      </x:c>
    </x:row>
    <x:row r="1256">
      <x:c r="B1256" t="str">
        <x:v>A-1226</x:v>
      </x:c>
      <x:c r="C1256" t="str">
        <x:v>GATE</x:v>
      </x:c>
      <x:c r="D1256" t="str">
        <x:v>release ledger mirrors governing state</x:v>
      </x:c>
      <x:c r="E1256" t="str">
        <x:f>'Release Gates'!J1232</x:f>
        <x:v>OPEN</x:v>
      </x:c>
      <x:c r="F1256" t="str">
        <x:f>IF('Release Gates'!C1232="PLANNING","PASS",IF('Release Gates'!C1232="PHYSICAL","OPEN","BLOCKED"))</x:f>
        <x:v>OPEN</x:v>
      </x:c>
      <x:c r="G1256" t="str">
        <x:v>equals</x:v>
      </x:c>
      <x:c r="H1256" t="str">
        <x:f>IF(E1256=F1256,"PASS","FAIL")</x:f>
        <x:v>PASS</x:v>
      </x:c>
    </x:row>
    <x:row r="1257">
      <x:c r="B1257" t="str">
        <x:v>A-1227</x:v>
      </x:c>
      <x:c r="C1257" t="str">
        <x:v>GATE</x:v>
      </x:c>
      <x:c r="D1257" t="str">
        <x:v>release ledger mirrors governing state</x:v>
      </x:c>
      <x:c r="E1257" t="str">
        <x:f>'Release Gates'!J1233</x:f>
        <x:v>OPEN</x:v>
      </x:c>
      <x:c r="F1257" t="str">
        <x:f>IF('Release Gates'!C1233="PLANNING","PASS",IF('Release Gates'!C1233="PHYSICAL","OPEN","BLOCKED"))</x:f>
        <x:v>OPEN</x:v>
      </x:c>
      <x:c r="G1257" t="str">
        <x:v>equals</x:v>
      </x:c>
      <x:c r="H1257" t="str">
        <x:f>IF(E1257=F1257,"PASS","FAIL")</x:f>
        <x:v>PASS</x:v>
      </x:c>
    </x:row>
    <x:row r="1258">
      <x:c r="B1258" t="str">
        <x:v>A-1228</x:v>
      </x:c>
      <x:c r="C1258" t="str">
        <x:v>GATE</x:v>
      </x:c>
      <x:c r="D1258" t="str">
        <x:v>release ledger mirrors governing state</x:v>
      </x:c>
      <x:c r="E1258" t="str">
        <x:f>'Release Gates'!J1234</x:f>
        <x:v>OPEN</x:v>
      </x:c>
      <x:c r="F1258" t="str">
        <x:f>IF('Release Gates'!C1234="PLANNING","PASS",IF('Release Gates'!C1234="PHYSICAL","OPEN","BLOCKED"))</x:f>
        <x:v>OPEN</x:v>
      </x:c>
      <x:c r="G1258" t="str">
        <x:v>equals</x:v>
      </x:c>
      <x:c r="H1258" t="str">
        <x:f>IF(E1258=F1258,"PASS","FAIL")</x:f>
        <x:v>PASS</x:v>
      </x:c>
    </x:row>
    <x:row r="1259">
      <x:c r="B1259" t="str">
        <x:v>A-1229</x:v>
      </x:c>
      <x:c r="C1259" t="str">
        <x:v>GATE</x:v>
      </x:c>
      <x:c r="D1259" t="str">
        <x:v>release ledger mirrors governing state</x:v>
      </x:c>
      <x:c r="E1259" t="str">
        <x:f>'Release Gates'!J1235</x:f>
        <x:v>OPEN</x:v>
      </x:c>
      <x:c r="F1259" t="str">
        <x:f>IF('Release Gates'!C1235="PLANNING","PASS",IF('Release Gates'!C1235="PHYSICAL","OPEN","BLOCKED"))</x:f>
        <x:v>OPEN</x:v>
      </x:c>
      <x:c r="G1259" t="str">
        <x:v>equals</x:v>
      </x:c>
      <x:c r="H1259" t="str">
        <x:f>IF(E1259=F1259,"PASS","FAIL")</x:f>
        <x:v>PASS</x:v>
      </x:c>
    </x:row>
    <x:row r="1260">
      <x:c r="B1260" t="str">
        <x:v>A-1230</x:v>
      </x:c>
      <x:c r="C1260" t="str">
        <x:v>GATE</x:v>
      </x:c>
      <x:c r="D1260" t="str">
        <x:v>release ledger mirrors governing state</x:v>
      </x:c>
      <x:c r="E1260" t="str">
        <x:f>'Release Gates'!J1236</x:f>
        <x:v>OPEN</x:v>
      </x:c>
      <x:c r="F1260" t="str">
        <x:f>IF('Release Gates'!C1236="PLANNING","PASS",IF('Release Gates'!C1236="PHYSICAL","OPEN","BLOCKED"))</x:f>
        <x:v>OPEN</x:v>
      </x:c>
      <x:c r="G1260" t="str">
        <x:v>equals</x:v>
      </x:c>
      <x:c r="H1260" t="str">
        <x:f>IF(E1260=F1260,"PASS","FAIL")</x:f>
        <x:v>PASS</x:v>
      </x:c>
    </x:row>
    <x:row r="1261">
      <x:c r="B1261" t="str">
        <x:v>A-1231</x:v>
      </x:c>
      <x:c r="C1261" t="str">
        <x:v>GATE</x:v>
      </x:c>
      <x:c r="D1261" t="str">
        <x:v>release ledger mirrors governing state</x:v>
      </x:c>
      <x:c r="E1261" t="str">
        <x:f>'Release Gates'!J1237</x:f>
        <x:v>OPEN</x:v>
      </x:c>
      <x:c r="F1261" t="str">
        <x:f>IF('Release Gates'!C1237="PLANNING","PASS",IF('Release Gates'!C1237="PHYSICAL","OPEN","BLOCKED"))</x:f>
        <x:v>OPEN</x:v>
      </x:c>
      <x:c r="G1261" t="str">
        <x:v>equals</x:v>
      </x:c>
      <x:c r="H1261" t="str">
        <x:f>IF(E1261=F1261,"PASS","FAIL")</x:f>
        <x:v>PASS</x:v>
      </x:c>
    </x:row>
    <x:row r="1262">
      <x:c r="B1262" t="str">
        <x:v>A-1232</x:v>
      </x:c>
      <x:c r="C1262" t="str">
        <x:v>GATE</x:v>
      </x:c>
      <x:c r="D1262" t="str">
        <x:v>release ledger mirrors governing state</x:v>
      </x:c>
      <x:c r="E1262" t="str">
        <x:f>'Release Gates'!J1238</x:f>
        <x:v>OPEN</x:v>
      </x:c>
      <x:c r="F1262" t="str">
        <x:f>IF('Release Gates'!C1238="PLANNING","PASS",IF('Release Gates'!C1238="PHYSICAL","OPEN","BLOCKED"))</x:f>
        <x:v>OPEN</x:v>
      </x:c>
      <x:c r="G1262" t="str">
        <x:v>equals</x:v>
      </x:c>
      <x:c r="H1262" t="str">
        <x:f>IF(E1262=F1262,"PASS","FAIL")</x:f>
        <x:v>PASS</x:v>
      </x:c>
    </x:row>
    <x:row r="1263">
      <x:c r="B1263" t="str">
        <x:v>A-1233</x:v>
      </x:c>
      <x:c r="C1263" t="str">
        <x:v>GATE</x:v>
      </x:c>
      <x:c r="D1263" t="str">
        <x:v>release ledger mirrors governing state</x:v>
      </x:c>
      <x:c r="E1263" t="str">
        <x:f>'Release Gates'!J1239</x:f>
        <x:v>OPEN</x:v>
      </x:c>
      <x:c r="F1263" t="str">
        <x:f>IF('Release Gates'!C1239="PLANNING","PASS",IF('Release Gates'!C1239="PHYSICAL","OPEN","BLOCKED"))</x:f>
        <x:v>OPEN</x:v>
      </x:c>
      <x:c r="G1263" t="str">
        <x:v>equals</x:v>
      </x:c>
      <x:c r="H1263" t="str">
        <x:f>IF(E1263=F1263,"PASS","FAIL")</x:f>
        <x:v>PASS</x:v>
      </x:c>
    </x:row>
    <x:row r="1264">
      <x:c r="B1264" t="str">
        <x:v>A-1234</x:v>
      </x:c>
      <x:c r="C1264" t="str">
        <x:v>GATE</x:v>
      </x:c>
      <x:c r="D1264" t="str">
        <x:v>release ledger mirrors governing state</x:v>
      </x:c>
      <x:c r="E1264" t="str">
        <x:f>'Release Gates'!J1240</x:f>
        <x:v>OPEN</x:v>
      </x:c>
      <x:c r="F1264" t="str">
        <x:f>IF('Release Gates'!C1240="PLANNING","PASS",IF('Release Gates'!C1240="PHYSICAL","OPEN","BLOCKED"))</x:f>
        <x:v>OPEN</x:v>
      </x:c>
      <x:c r="G1264" t="str">
        <x:v>equals</x:v>
      </x:c>
      <x:c r="H1264" t="str">
        <x:f>IF(E1264=F1264,"PASS","FAIL")</x:f>
        <x:v>PASS</x:v>
      </x:c>
    </x:row>
    <x:row r="1265">
      <x:c r="B1265" t="str">
        <x:v>A-1235</x:v>
      </x:c>
      <x:c r="C1265" t="str">
        <x:v>GATE</x:v>
      </x:c>
      <x:c r="D1265" t="str">
        <x:v>release ledger mirrors governing state</x:v>
      </x:c>
      <x:c r="E1265" t="str">
        <x:f>'Release Gates'!J1241</x:f>
        <x:v>OPEN</x:v>
      </x:c>
      <x:c r="F1265" t="str">
        <x:f>IF('Release Gates'!C1241="PLANNING","PASS",IF('Release Gates'!C1241="PHYSICAL","OPEN","BLOCKED"))</x:f>
        <x:v>OPEN</x:v>
      </x:c>
      <x:c r="G1265" t="str">
        <x:v>equals</x:v>
      </x:c>
      <x:c r="H1265" t="str">
        <x:f>IF(E1265=F1265,"PASS","FAIL")</x:f>
        <x:v>PASS</x:v>
      </x:c>
    </x:row>
    <x:row r="1266">
      <x:c r="B1266" t="str">
        <x:v>A-1236</x:v>
      </x:c>
      <x:c r="C1266" t="str">
        <x:v>GATE</x:v>
      </x:c>
      <x:c r="D1266" t="str">
        <x:v>release ledger mirrors governing state</x:v>
      </x:c>
      <x:c r="E1266" t="str">
        <x:f>'Release Gates'!J1242</x:f>
        <x:v>OPEN</x:v>
      </x:c>
      <x:c r="F1266" t="str">
        <x:f>IF('Release Gates'!C1242="PLANNING","PASS",IF('Release Gates'!C1242="PHYSICAL","OPEN","BLOCKED"))</x:f>
        <x:v>OPEN</x:v>
      </x:c>
      <x:c r="G1266" t="str">
        <x:v>equals</x:v>
      </x:c>
      <x:c r="H1266" t="str">
        <x:f>IF(E1266=F1266,"PASS","FAIL")</x:f>
        <x:v>PASS</x:v>
      </x:c>
    </x:row>
    <x:row r="1267">
      <x:c r="B1267" t="str">
        <x:v>A-1237</x:v>
      </x:c>
      <x:c r="C1267" t="str">
        <x:v>GATE</x:v>
      </x:c>
      <x:c r="D1267" t="str">
        <x:v>release ledger mirrors governing state</x:v>
      </x:c>
      <x:c r="E1267" t="str">
        <x:f>'Release Gates'!J1243</x:f>
        <x:v>OPEN</x:v>
      </x:c>
      <x:c r="F1267" t="str">
        <x:f>IF('Release Gates'!C1243="PLANNING","PASS",IF('Release Gates'!C1243="PHYSICAL","OPEN","BLOCKED"))</x:f>
        <x:v>OPEN</x:v>
      </x:c>
      <x:c r="G1267" t="str">
        <x:v>equals</x:v>
      </x:c>
      <x:c r="H1267" t="str">
        <x:f>IF(E1267=F1267,"PASS","FAIL")</x:f>
        <x:v>PASS</x:v>
      </x:c>
    </x:row>
    <x:row r="1268">
      <x:c r="B1268" t="str">
        <x:v>A-1238</x:v>
      </x:c>
      <x:c r="C1268" t="str">
        <x:v>GATE</x:v>
      </x:c>
      <x:c r="D1268" t="str">
        <x:v>release ledger mirrors governing state</x:v>
      </x:c>
      <x:c r="E1268" t="str">
        <x:f>'Release Gates'!J1244</x:f>
        <x:v>OPEN</x:v>
      </x:c>
      <x:c r="F1268" t="str">
        <x:f>IF('Release Gates'!C1244="PLANNING","PASS",IF('Release Gates'!C1244="PHYSICAL","OPEN","BLOCKED"))</x:f>
        <x:v>OPEN</x:v>
      </x:c>
      <x:c r="G1268" t="str">
        <x:v>equals</x:v>
      </x:c>
      <x:c r="H1268" t="str">
        <x:f>IF(E1268=F1268,"PASS","FAIL")</x:f>
        <x:v>PASS</x:v>
      </x:c>
    </x:row>
    <x:row r="1269">
      <x:c r="B1269" t="str">
        <x:v>A-1239</x:v>
      </x:c>
      <x:c r="C1269" t="str">
        <x:v>GATE</x:v>
      </x:c>
      <x:c r="D1269" t="str">
        <x:v>release ledger mirrors governing state</x:v>
      </x:c>
      <x:c r="E1269" t="str">
        <x:f>'Release Gates'!J1245</x:f>
        <x:v>OPEN</x:v>
      </x:c>
      <x:c r="F1269" t="str">
        <x:f>IF('Release Gates'!C1245="PLANNING","PASS",IF('Release Gates'!C1245="PHYSICAL","OPEN","BLOCKED"))</x:f>
        <x:v>OPEN</x:v>
      </x:c>
      <x:c r="G1269" t="str">
        <x:v>equals</x:v>
      </x:c>
      <x:c r="H1269" t="str">
        <x:f>IF(E1269=F1269,"PASS","FAIL")</x:f>
        <x:v>PASS</x:v>
      </x:c>
    </x:row>
    <x:row r="1270">
      <x:c r="B1270" t="str">
        <x:v>A-1240</x:v>
      </x:c>
      <x:c r="C1270" t="str">
        <x:v>GATE</x:v>
      </x:c>
      <x:c r="D1270" t="str">
        <x:v>release ledger mirrors governing state</x:v>
      </x:c>
      <x:c r="E1270" t="str">
        <x:f>'Release Gates'!J1246</x:f>
        <x:v>OPEN</x:v>
      </x:c>
      <x:c r="F1270" t="str">
        <x:f>IF('Release Gates'!C1246="PLANNING","PASS",IF('Release Gates'!C1246="PHYSICAL","OPEN","BLOCKED"))</x:f>
        <x:v>OPEN</x:v>
      </x:c>
      <x:c r="G1270" t="str">
        <x:v>equals</x:v>
      </x:c>
      <x:c r="H1270" t="str">
        <x:f>IF(E1270=F1270,"PASS","FAIL")</x:f>
        <x:v>PASS</x:v>
      </x:c>
    </x:row>
    <x:row r="1271">
      <x:c r="B1271" t="str">
        <x:v>A-1241</x:v>
      </x:c>
      <x:c r="C1271" t="str">
        <x:v>GATE</x:v>
      </x:c>
      <x:c r="D1271" t="str">
        <x:v>release ledger mirrors governing state</x:v>
      </x:c>
      <x:c r="E1271" t="str">
        <x:f>'Release Gates'!J1247</x:f>
        <x:v>OPEN</x:v>
      </x:c>
      <x:c r="F1271" t="str">
        <x:f>IF('Release Gates'!C1247="PLANNING","PASS",IF('Release Gates'!C1247="PHYSICAL","OPEN","BLOCKED"))</x:f>
        <x:v>OPEN</x:v>
      </x:c>
      <x:c r="G1271" t="str">
        <x:v>equals</x:v>
      </x:c>
      <x:c r="H1271" t="str">
        <x:f>IF(E1271=F1271,"PASS","FAIL")</x:f>
        <x:v>PASS</x:v>
      </x:c>
    </x:row>
    <x:row r="1272">
      <x:c r="B1272" t="str">
        <x:v>A-1242</x:v>
      </x:c>
      <x:c r="C1272" t="str">
        <x:v>GATE</x:v>
      </x:c>
      <x:c r="D1272" t="str">
        <x:v>release ledger mirrors governing state</x:v>
      </x:c>
      <x:c r="E1272" t="str">
        <x:f>'Release Gates'!J1248</x:f>
        <x:v>OPEN</x:v>
      </x:c>
      <x:c r="F1272" t="str">
        <x:f>IF('Release Gates'!C1248="PLANNING","PASS",IF('Release Gates'!C1248="PHYSICAL","OPEN","BLOCKED"))</x:f>
        <x:v>OPEN</x:v>
      </x:c>
      <x:c r="G1272" t="str">
        <x:v>equals</x:v>
      </x:c>
      <x:c r="H1272" t="str">
        <x:f>IF(E1272=F1272,"PASS","FAIL")</x:f>
        <x:v>PASS</x:v>
      </x:c>
    </x:row>
    <x:row r="1273">
      <x:c r="B1273" t="str">
        <x:v>A-1243</x:v>
      </x:c>
      <x:c r="C1273" t="str">
        <x:v>GATE</x:v>
      </x:c>
      <x:c r="D1273" t="str">
        <x:v>release ledger mirrors governing state</x:v>
      </x:c>
      <x:c r="E1273" t="str">
        <x:f>'Release Gates'!J1249</x:f>
        <x:v>OPEN</x:v>
      </x:c>
      <x:c r="F1273" t="str">
        <x:f>IF('Release Gates'!C1249="PLANNING","PASS",IF('Release Gates'!C1249="PHYSICAL","OPEN","BLOCKED"))</x:f>
        <x:v>OPEN</x:v>
      </x:c>
      <x:c r="G1273" t="str">
        <x:v>equals</x:v>
      </x:c>
      <x:c r="H1273" t="str">
        <x:f>IF(E1273=F1273,"PASS","FAIL")</x:f>
        <x:v>PASS</x:v>
      </x:c>
    </x:row>
    <x:row r="1274">
      <x:c r="B1274" t="str">
        <x:v>A-1244</x:v>
      </x:c>
      <x:c r="C1274" t="str">
        <x:v>GATE</x:v>
      </x:c>
      <x:c r="D1274" t="str">
        <x:v>release ledger mirrors governing state</x:v>
      </x:c>
      <x:c r="E1274" t="str">
        <x:f>'Release Gates'!J1250</x:f>
        <x:v>OPEN</x:v>
      </x:c>
      <x:c r="F1274" t="str">
        <x:f>IF('Release Gates'!C1250="PLANNING","PASS",IF('Release Gates'!C1250="PHYSICAL","OPEN","BLOCKED"))</x:f>
        <x:v>OPEN</x:v>
      </x:c>
      <x:c r="G1274" t="str">
        <x:v>equals</x:v>
      </x:c>
      <x:c r="H1274" t="str">
        <x:f>IF(E1274=F1274,"PASS","FAIL")</x:f>
        <x:v>PASS</x:v>
      </x:c>
    </x:row>
    <x:row r="1275">
      <x:c r="B1275" t="str">
        <x:v>A-1245</x:v>
      </x:c>
      <x:c r="C1275" t="str">
        <x:v>GATE</x:v>
      </x:c>
      <x:c r="D1275" t="str">
        <x:v>release ledger mirrors governing state</x:v>
      </x:c>
      <x:c r="E1275" t="str">
        <x:f>'Release Gates'!J1251</x:f>
        <x:v>OPEN</x:v>
      </x:c>
      <x:c r="F1275" t="str">
        <x:f>IF('Release Gates'!C1251="PLANNING","PASS",IF('Release Gates'!C1251="PHYSICAL","OPEN","BLOCKED"))</x:f>
        <x:v>OPEN</x:v>
      </x:c>
      <x:c r="G1275" t="str">
        <x:v>equals</x:v>
      </x:c>
      <x:c r="H1275" t="str">
        <x:f>IF(E1275=F1275,"PASS","FAIL")</x:f>
        <x:v>PASS</x:v>
      </x:c>
    </x:row>
    <x:row r="1276">
      <x:c r="B1276" t="str">
        <x:v>A-1246</x:v>
      </x:c>
      <x:c r="C1276" t="str">
        <x:v>GATE</x:v>
      </x:c>
      <x:c r="D1276" t="str">
        <x:v>release ledger mirrors governing state</x:v>
      </x:c>
      <x:c r="E1276" t="str">
        <x:f>'Release Gates'!J1252</x:f>
        <x:v>OPEN</x:v>
      </x:c>
      <x:c r="F1276" t="str">
        <x:f>IF('Release Gates'!C1252="PLANNING","PASS",IF('Release Gates'!C1252="PHYSICAL","OPEN","BLOCKED"))</x:f>
        <x:v>OPEN</x:v>
      </x:c>
      <x:c r="G1276" t="str">
        <x:v>equals</x:v>
      </x:c>
      <x:c r="H1276" t="str">
        <x:f>IF(E1276=F1276,"PASS","FAIL")</x:f>
        <x:v>PASS</x:v>
      </x:c>
    </x:row>
    <x:row r="1277">
      <x:c r="B1277" t="str">
        <x:v>A-1247</x:v>
      </x:c>
      <x:c r="C1277" t="str">
        <x:v>GATE</x:v>
      </x:c>
      <x:c r="D1277" t="str">
        <x:v>release ledger mirrors governing state</x:v>
      </x:c>
      <x:c r="E1277" t="str">
        <x:f>'Release Gates'!J1253</x:f>
        <x:v>OPEN</x:v>
      </x:c>
      <x:c r="F1277" t="str">
        <x:f>IF('Release Gates'!C1253="PLANNING","PASS",IF('Release Gates'!C1253="PHYSICAL","OPEN","BLOCKED"))</x:f>
        <x:v>OPEN</x:v>
      </x:c>
      <x:c r="G1277" t="str">
        <x:v>equals</x:v>
      </x:c>
      <x:c r="H1277" t="str">
        <x:f>IF(E1277=F1277,"PASS","FAIL")</x:f>
        <x:v>PASS</x:v>
      </x:c>
    </x:row>
    <x:row r="1278">
      <x:c r="B1278" t="str">
        <x:v>A-1248</x:v>
      </x:c>
      <x:c r="C1278" t="str">
        <x:v>GATE</x:v>
      </x:c>
      <x:c r="D1278" t="str">
        <x:v>release ledger mirrors governing state</x:v>
      </x:c>
      <x:c r="E1278" t="str">
        <x:f>'Release Gates'!J1254</x:f>
        <x:v>OPEN</x:v>
      </x:c>
      <x:c r="F1278" t="str">
        <x:f>IF('Release Gates'!C1254="PLANNING","PASS",IF('Release Gates'!C1254="PHYSICAL","OPEN","BLOCKED"))</x:f>
        <x:v>OPEN</x:v>
      </x:c>
      <x:c r="G1278" t="str">
        <x:v>equals</x:v>
      </x:c>
      <x:c r="H1278" t="str">
        <x:f>IF(E1278=F1278,"PASS","FAIL")</x:f>
        <x:v>PASS</x:v>
      </x:c>
    </x:row>
    <x:row r="1279">
      <x:c r="B1279" t="str">
        <x:v>A-1249</x:v>
      </x:c>
      <x:c r="C1279" t="str">
        <x:v>GATE</x:v>
      </x:c>
      <x:c r="D1279" t="str">
        <x:v>release ledger mirrors governing state</x:v>
      </x:c>
      <x:c r="E1279" t="str">
        <x:f>'Release Gates'!J1255</x:f>
        <x:v>OPEN</x:v>
      </x:c>
      <x:c r="F1279" t="str">
        <x:f>IF('Release Gates'!C1255="PLANNING","PASS",IF('Release Gates'!C1255="PHYSICAL","OPEN","BLOCKED"))</x:f>
        <x:v>OPEN</x:v>
      </x:c>
      <x:c r="G1279" t="str">
        <x:v>equals</x:v>
      </x:c>
      <x:c r="H1279" t="str">
        <x:f>IF(E1279=F1279,"PASS","FAIL")</x:f>
        <x:v>PASS</x:v>
      </x:c>
    </x:row>
    <x:row r="1280">
      <x:c r="B1280" t="str">
        <x:v>A-1250</x:v>
      </x:c>
      <x:c r="C1280" t="str">
        <x:v>GATE</x:v>
      </x:c>
      <x:c r="D1280" t="str">
        <x:v>release ledger mirrors governing state</x:v>
      </x:c>
      <x:c r="E1280" t="str">
        <x:f>'Release Gates'!J1256</x:f>
        <x:v>OPEN</x:v>
      </x:c>
      <x:c r="F1280" t="str">
        <x:f>IF('Release Gates'!C1256="PLANNING","PASS",IF('Release Gates'!C1256="PHYSICAL","OPEN","BLOCKED"))</x:f>
        <x:v>OPEN</x:v>
      </x:c>
      <x:c r="G1280" t="str">
        <x:v>equals</x:v>
      </x:c>
      <x:c r="H1280" t="str">
        <x:f>IF(E1280=F1280,"PASS","FAIL")</x:f>
        <x:v>PASS</x:v>
      </x:c>
    </x:row>
    <x:row r="1281">
      <x:c r="B1281" t="str">
        <x:v>A-1251</x:v>
      </x:c>
      <x:c r="C1281" t="str">
        <x:v>GATE</x:v>
      </x:c>
      <x:c r="D1281" t="str">
        <x:v>release ledger mirrors governing state</x:v>
      </x:c>
      <x:c r="E1281" t="str">
        <x:f>'Release Gates'!J1257</x:f>
        <x:v>OPEN</x:v>
      </x:c>
      <x:c r="F1281" t="str">
        <x:f>IF('Release Gates'!C1257="PLANNING","PASS",IF('Release Gates'!C1257="PHYSICAL","OPEN","BLOCKED"))</x:f>
        <x:v>OPEN</x:v>
      </x:c>
      <x:c r="G1281" t="str">
        <x:v>equals</x:v>
      </x:c>
      <x:c r="H1281" t="str">
        <x:f>IF(E1281=F1281,"PASS","FAIL")</x:f>
        <x:v>PASS</x:v>
      </x:c>
    </x:row>
    <x:row r="1282">
      <x:c r="B1282" t="str">
        <x:v>A-1252</x:v>
      </x:c>
      <x:c r="C1282" t="str">
        <x:v>GATE</x:v>
      </x:c>
      <x:c r="D1282" t="str">
        <x:v>release ledger mirrors governing state</x:v>
      </x:c>
      <x:c r="E1282" t="str">
        <x:f>'Release Gates'!J1258</x:f>
        <x:v>OPEN</x:v>
      </x:c>
      <x:c r="F1282" t="str">
        <x:f>IF('Release Gates'!C1258="PLANNING","PASS",IF('Release Gates'!C1258="PHYSICAL","OPEN","BLOCKED"))</x:f>
        <x:v>OPEN</x:v>
      </x:c>
      <x:c r="G1282" t="str">
        <x:v>equals</x:v>
      </x:c>
      <x:c r="H1282" t="str">
        <x:f>IF(E1282=F1282,"PASS","FAIL")</x:f>
        <x:v>PASS</x:v>
      </x:c>
    </x:row>
    <x:row r="1283">
      <x:c r="B1283" t="str">
        <x:v>A-1253</x:v>
      </x:c>
      <x:c r="C1283" t="str">
        <x:v>GATE</x:v>
      </x:c>
      <x:c r="D1283" t="str">
        <x:v>release ledger mirrors governing state</x:v>
      </x:c>
      <x:c r="E1283" t="str">
        <x:f>'Release Gates'!J1259</x:f>
        <x:v>OPEN</x:v>
      </x:c>
      <x:c r="F1283" t="str">
        <x:f>IF('Release Gates'!C1259="PLANNING","PASS",IF('Release Gates'!C1259="PHYSICAL","OPEN","BLOCKED"))</x:f>
        <x:v>OPEN</x:v>
      </x:c>
      <x:c r="G1283" t="str">
        <x:v>equals</x:v>
      </x:c>
      <x:c r="H1283" t="str">
        <x:f>IF(E1283=F1283,"PASS","FAIL")</x:f>
        <x:v>PASS</x:v>
      </x:c>
    </x:row>
    <x:row r="1284">
      <x:c r="B1284" t="str">
        <x:v>A-1254</x:v>
      </x:c>
      <x:c r="C1284" t="str">
        <x:v>GATE</x:v>
      </x:c>
      <x:c r="D1284" t="str">
        <x:v>release ledger mirrors governing state</x:v>
      </x:c>
      <x:c r="E1284" t="str">
        <x:f>'Release Gates'!J1260</x:f>
        <x:v>OPEN</x:v>
      </x:c>
      <x:c r="F1284" t="str">
        <x:f>IF('Release Gates'!C1260="PLANNING","PASS",IF('Release Gates'!C1260="PHYSICAL","OPEN","BLOCKED"))</x:f>
        <x:v>OPEN</x:v>
      </x:c>
      <x:c r="G1284" t="str">
        <x:v>equals</x:v>
      </x:c>
      <x:c r="H1284" t="str">
        <x:f>IF(E1284=F1284,"PASS","FAIL")</x:f>
        <x:v>PASS</x:v>
      </x:c>
    </x:row>
    <x:row r="1285">
      <x:c r="B1285" t="str">
        <x:v>A-1255</x:v>
      </x:c>
      <x:c r="C1285" t="str">
        <x:v>GATE</x:v>
      </x:c>
      <x:c r="D1285" t="str">
        <x:v>release ledger mirrors governing state</x:v>
      </x:c>
      <x:c r="E1285" t="str">
        <x:f>'Release Gates'!J1261</x:f>
        <x:v>OPEN</x:v>
      </x:c>
      <x:c r="F1285" t="str">
        <x:f>IF('Release Gates'!C1261="PLANNING","PASS",IF('Release Gates'!C1261="PHYSICAL","OPEN","BLOCKED"))</x:f>
        <x:v>OPEN</x:v>
      </x:c>
      <x:c r="G1285" t="str">
        <x:v>equals</x:v>
      </x:c>
      <x:c r="H1285" t="str">
        <x:f>IF(E1285=F1285,"PASS","FAIL")</x:f>
        <x:v>PASS</x:v>
      </x:c>
    </x:row>
    <x:row r="1286">
      <x:c r="B1286" t="str">
        <x:v>A-1256</x:v>
      </x:c>
      <x:c r="C1286" t="str">
        <x:v>GATE</x:v>
      </x:c>
      <x:c r="D1286" t="str">
        <x:v>release ledger mirrors governing state</x:v>
      </x:c>
      <x:c r="E1286" t="str">
        <x:f>'Release Gates'!J1262</x:f>
        <x:v>OPEN</x:v>
      </x:c>
      <x:c r="F1286" t="str">
        <x:f>IF('Release Gates'!C1262="PLANNING","PASS",IF('Release Gates'!C1262="PHYSICAL","OPEN","BLOCKED"))</x:f>
        <x:v>OPEN</x:v>
      </x:c>
      <x:c r="G1286" t="str">
        <x:v>equals</x:v>
      </x:c>
      <x:c r="H1286" t="str">
        <x:f>IF(E1286=F1286,"PASS","FAIL")</x:f>
        <x:v>PASS</x:v>
      </x:c>
    </x:row>
    <x:row r="1287">
      <x:c r="B1287" t="str">
        <x:v>A-1257</x:v>
      </x:c>
      <x:c r="C1287" t="str">
        <x:v>GATE</x:v>
      </x:c>
      <x:c r="D1287" t="str">
        <x:v>release ledger mirrors governing state</x:v>
      </x:c>
      <x:c r="E1287" t="str">
        <x:f>'Release Gates'!J1263</x:f>
        <x:v>OPEN</x:v>
      </x:c>
      <x:c r="F1287" t="str">
        <x:f>IF('Release Gates'!C1263="PLANNING","PASS",IF('Release Gates'!C1263="PHYSICAL","OPEN","BLOCKED"))</x:f>
        <x:v>OPEN</x:v>
      </x:c>
      <x:c r="G1287" t="str">
        <x:v>equals</x:v>
      </x:c>
      <x:c r="H1287" t="str">
        <x:f>IF(E1287=F1287,"PASS","FAIL")</x:f>
        <x:v>PASS</x:v>
      </x:c>
    </x:row>
    <x:row r="1288">
      <x:c r="B1288" t="str">
        <x:v>A-1258</x:v>
      </x:c>
      <x:c r="C1288" t="str">
        <x:v>GATE</x:v>
      </x:c>
      <x:c r="D1288" t="str">
        <x:v>release ledger mirrors governing state</x:v>
      </x:c>
      <x:c r="E1288" t="str">
        <x:f>'Release Gates'!J1264</x:f>
        <x:v>OPEN</x:v>
      </x:c>
      <x:c r="F1288" t="str">
        <x:f>IF('Release Gates'!C1264="PLANNING","PASS",IF('Release Gates'!C1264="PHYSICAL","OPEN","BLOCKED"))</x:f>
        <x:v>OPEN</x:v>
      </x:c>
      <x:c r="G1288" t="str">
        <x:v>equals</x:v>
      </x:c>
      <x:c r="H1288" t="str">
        <x:f>IF(E1288=F1288,"PASS","FAIL")</x:f>
        <x:v>PASS</x:v>
      </x:c>
    </x:row>
    <x:row r="1289">
      <x:c r="B1289" t="str">
        <x:v>A-1259</x:v>
      </x:c>
      <x:c r="C1289" t="str">
        <x:v>GATE</x:v>
      </x:c>
      <x:c r="D1289" t="str">
        <x:v>release ledger mirrors governing state</x:v>
      </x:c>
      <x:c r="E1289" t="str">
        <x:f>'Release Gates'!J1265</x:f>
        <x:v>OPEN</x:v>
      </x:c>
      <x:c r="F1289" t="str">
        <x:f>IF('Release Gates'!C1265="PLANNING","PASS",IF('Release Gates'!C1265="PHYSICAL","OPEN","BLOCKED"))</x:f>
        <x:v>OPEN</x:v>
      </x:c>
      <x:c r="G1289" t="str">
        <x:v>equals</x:v>
      </x:c>
      <x:c r="H1289" t="str">
        <x:f>IF(E1289=F1289,"PASS","FAIL")</x:f>
        <x:v>PASS</x:v>
      </x:c>
    </x:row>
    <x:row r="1290">
      <x:c r="B1290" t="str">
        <x:v>A-1260</x:v>
      </x:c>
      <x:c r="C1290" t="str">
        <x:v>GATE</x:v>
      </x:c>
      <x:c r="D1290" t="str">
        <x:v>release ledger mirrors governing state</x:v>
      </x:c>
      <x:c r="E1290" t="str">
        <x:f>'Release Gates'!J1266</x:f>
        <x:v>OPEN</x:v>
      </x:c>
      <x:c r="F1290" t="str">
        <x:f>IF('Release Gates'!C1266="PLANNING","PASS",IF('Release Gates'!C1266="PHYSICAL","OPEN","BLOCKED"))</x:f>
        <x:v>OPEN</x:v>
      </x:c>
      <x:c r="G1290" t="str">
        <x:v>equals</x:v>
      </x:c>
      <x:c r="H1290" t="str">
        <x:f>IF(E1290=F1290,"PASS","FAIL")</x:f>
        <x:v>PASS</x:v>
      </x:c>
    </x:row>
    <x:row r="1291">
      <x:c r="B1291" t="str">
        <x:v>A-1261</x:v>
      </x:c>
      <x:c r="C1291" t="str">
        <x:v>GATE</x:v>
      </x:c>
      <x:c r="D1291" t="str">
        <x:v>release ledger mirrors governing state</x:v>
      </x:c>
      <x:c r="E1291" t="str">
        <x:f>'Release Gates'!J1267</x:f>
        <x:v>OPEN</x:v>
      </x:c>
      <x:c r="F1291" t="str">
        <x:f>IF('Release Gates'!C1267="PLANNING","PASS",IF('Release Gates'!C1267="PHYSICAL","OPEN","BLOCKED"))</x:f>
        <x:v>OPEN</x:v>
      </x:c>
      <x:c r="G1291" t="str">
        <x:v>equals</x:v>
      </x:c>
      <x:c r="H1291" t="str">
        <x:f>IF(E1291=F1291,"PASS","FAIL")</x:f>
        <x:v>PASS</x:v>
      </x:c>
    </x:row>
    <x:row r="1292">
      <x:c r="B1292" t="str">
        <x:v>A-1262</x:v>
      </x:c>
      <x:c r="C1292" t="str">
        <x:v>GATE</x:v>
      </x:c>
      <x:c r="D1292" t="str">
        <x:v>release ledger mirrors governing state</x:v>
      </x:c>
      <x:c r="E1292" t="str">
        <x:f>'Release Gates'!J1268</x:f>
        <x:v>OPEN</x:v>
      </x:c>
      <x:c r="F1292" t="str">
        <x:f>IF('Release Gates'!C1268="PLANNING","PASS",IF('Release Gates'!C1268="PHYSICAL","OPEN","BLOCKED"))</x:f>
        <x:v>OPEN</x:v>
      </x:c>
      <x:c r="G1292" t="str">
        <x:v>equals</x:v>
      </x:c>
      <x:c r="H1292" t="str">
        <x:f>IF(E1292=F1292,"PASS","FAIL")</x:f>
        <x:v>PASS</x:v>
      </x:c>
    </x:row>
    <x:row r="1293">
      <x:c r="B1293" t="str">
        <x:v>A-1263</x:v>
      </x:c>
      <x:c r="C1293" t="str">
        <x:v>GATE</x:v>
      </x:c>
      <x:c r="D1293" t="str">
        <x:v>release ledger mirrors governing state</x:v>
      </x:c>
      <x:c r="E1293" t="str">
        <x:f>'Release Gates'!J1269</x:f>
        <x:v>OPEN</x:v>
      </x:c>
      <x:c r="F1293" t="str">
        <x:f>IF('Release Gates'!C1269="PLANNING","PASS",IF('Release Gates'!C1269="PHYSICAL","OPEN","BLOCKED"))</x:f>
        <x:v>OPEN</x:v>
      </x:c>
      <x:c r="G1293" t="str">
        <x:v>equals</x:v>
      </x:c>
      <x:c r="H1293" t="str">
        <x:f>IF(E1293=F1293,"PASS","FAIL")</x:f>
        <x:v>PASS</x:v>
      </x:c>
    </x:row>
    <x:row r="1294">
      <x:c r="B1294" t="str">
        <x:v>A-1264</x:v>
      </x:c>
      <x:c r="C1294" t="str">
        <x:v>GATE</x:v>
      </x:c>
      <x:c r="D1294" t="str">
        <x:v>release ledger mirrors governing state</x:v>
      </x:c>
      <x:c r="E1294" t="str">
        <x:f>'Release Gates'!J1270</x:f>
        <x:v>OPEN</x:v>
      </x:c>
      <x:c r="F1294" t="str">
        <x:f>IF('Release Gates'!C1270="PLANNING","PASS",IF('Release Gates'!C1270="PHYSICAL","OPEN","BLOCKED"))</x:f>
        <x:v>OPEN</x:v>
      </x:c>
      <x:c r="G1294" t="str">
        <x:v>equals</x:v>
      </x:c>
      <x:c r="H1294" t="str">
        <x:f>IF(E1294=F1294,"PASS","FAIL")</x:f>
        <x:v>PASS</x:v>
      </x:c>
    </x:row>
    <x:row r="1295">
      <x:c r="B1295" t="str">
        <x:v>A-1265</x:v>
      </x:c>
      <x:c r="C1295" t="str">
        <x:v>GATE</x:v>
      </x:c>
      <x:c r="D1295" t="str">
        <x:v>release ledger mirrors governing state</x:v>
      </x:c>
      <x:c r="E1295" t="str">
        <x:f>'Release Gates'!J1271</x:f>
        <x:v>OPEN</x:v>
      </x:c>
      <x:c r="F1295" t="str">
        <x:f>IF('Release Gates'!C1271="PLANNING","PASS",IF('Release Gates'!C1271="PHYSICAL","OPEN","BLOCKED"))</x:f>
        <x:v>OPEN</x:v>
      </x:c>
      <x:c r="G1295" t="str">
        <x:v>equals</x:v>
      </x:c>
      <x:c r="H1295" t="str">
        <x:f>IF(E1295=F1295,"PASS","FAIL")</x:f>
        <x:v>PASS</x:v>
      </x:c>
    </x:row>
    <x:row r="1296">
      <x:c r="B1296" t="str">
        <x:v>A-1266</x:v>
      </x:c>
      <x:c r="C1296" t="str">
        <x:v>GATE</x:v>
      </x:c>
      <x:c r="D1296" t="str">
        <x:v>release ledger mirrors governing state</x:v>
      </x:c>
      <x:c r="E1296" t="str">
        <x:f>'Release Gates'!J1272</x:f>
        <x:v>OPEN</x:v>
      </x:c>
      <x:c r="F1296" t="str">
        <x:f>IF('Release Gates'!C1272="PLANNING","PASS",IF('Release Gates'!C1272="PHYSICAL","OPEN","BLOCKED"))</x:f>
        <x:v>OPEN</x:v>
      </x:c>
      <x:c r="G1296" t="str">
        <x:v>equals</x:v>
      </x:c>
      <x:c r="H1296" t="str">
        <x:f>IF(E1296=F1296,"PASS","FAIL")</x:f>
        <x:v>PASS</x:v>
      </x:c>
    </x:row>
    <x:row r="1297">
      <x:c r="B1297" t="str">
        <x:v>A-1267</x:v>
      </x:c>
      <x:c r="C1297" t="str">
        <x:v>GATE</x:v>
      </x:c>
      <x:c r="D1297" t="str">
        <x:v>release ledger mirrors governing state</x:v>
      </x:c>
      <x:c r="E1297" t="str">
        <x:f>'Release Gates'!J1273</x:f>
        <x:v>OPEN</x:v>
      </x:c>
      <x:c r="F1297" t="str">
        <x:f>IF('Release Gates'!C1273="PLANNING","PASS",IF('Release Gates'!C1273="PHYSICAL","OPEN","BLOCKED"))</x:f>
        <x:v>OPEN</x:v>
      </x:c>
      <x:c r="G1297" t="str">
        <x:v>equals</x:v>
      </x:c>
      <x:c r="H1297" t="str">
        <x:f>IF(E1297=F1297,"PASS","FAIL")</x:f>
        <x:v>PASS</x:v>
      </x:c>
    </x:row>
    <x:row r="1298">
      <x:c r="B1298" t="str">
        <x:v>A-1268</x:v>
      </x:c>
      <x:c r="C1298" t="str">
        <x:v>GATE</x:v>
      </x:c>
      <x:c r="D1298" t="str">
        <x:v>release ledger mirrors governing state</x:v>
      </x:c>
      <x:c r="E1298" t="str">
        <x:f>'Release Gates'!J1274</x:f>
        <x:v>OPEN</x:v>
      </x:c>
      <x:c r="F1298" t="str">
        <x:f>IF('Release Gates'!C1274="PLANNING","PASS",IF('Release Gates'!C1274="PHYSICAL","OPEN","BLOCKED"))</x:f>
        <x:v>OPEN</x:v>
      </x:c>
      <x:c r="G1298" t="str">
        <x:v>equals</x:v>
      </x:c>
      <x:c r="H1298" t="str">
        <x:f>IF(E1298=F1298,"PASS","FAIL")</x:f>
        <x:v>PASS</x:v>
      </x:c>
    </x:row>
    <x:row r="1299">
      <x:c r="B1299" t="str">
        <x:v>A-1269</x:v>
      </x:c>
      <x:c r="C1299" t="str">
        <x:v>GATE</x:v>
      </x:c>
      <x:c r="D1299" t="str">
        <x:v>release ledger mirrors governing state</x:v>
      </x:c>
      <x:c r="E1299" t="str">
        <x:f>'Release Gates'!J1275</x:f>
        <x:v>OPEN</x:v>
      </x:c>
      <x:c r="F1299" t="str">
        <x:f>IF('Release Gates'!C1275="PLANNING","PASS",IF('Release Gates'!C1275="PHYSICAL","OPEN","BLOCKED"))</x:f>
        <x:v>OPEN</x:v>
      </x:c>
      <x:c r="G1299" t="str">
        <x:v>equals</x:v>
      </x:c>
      <x:c r="H1299" t="str">
        <x:f>IF(E1299=F1299,"PASS","FAIL")</x:f>
        <x:v>PASS</x:v>
      </x:c>
    </x:row>
    <x:row r="1300">
      <x:c r="B1300" t="str">
        <x:v>A-1270</x:v>
      </x:c>
      <x:c r="C1300" t="str">
        <x:v>GATE</x:v>
      </x:c>
      <x:c r="D1300" t="str">
        <x:v>release ledger mirrors governing state</x:v>
      </x:c>
      <x:c r="E1300" t="str">
        <x:f>'Release Gates'!J1276</x:f>
        <x:v>OPEN</x:v>
      </x:c>
      <x:c r="F1300" t="str">
        <x:f>IF('Release Gates'!C1276="PLANNING","PASS",IF('Release Gates'!C1276="PHYSICAL","OPEN","BLOCKED"))</x:f>
        <x:v>OPEN</x:v>
      </x:c>
      <x:c r="G1300" t="str">
        <x:v>equals</x:v>
      </x:c>
      <x:c r="H1300" t="str">
        <x:f>IF(E1300=F1300,"PASS","FAIL")</x:f>
        <x:v>PASS</x:v>
      </x:c>
    </x:row>
    <x:row r="1301">
      <x:c r="B1301" t="str">
        <x:v>A-1271</x:v>
      </x:c>
      <x:c r="C1301" t="str">
        <x:v>GATE</x:v>
      </x:c>
      <x:c r="D1301" t="str">
        <x:v>release ledger mirrors governing state</x:v>
      </x:c>
      <x:c r="E1301" t="str">
        <x:f>'Release Gates'!J1277</x:f>
        <x:v>OPEN</x:v>
      </x:c>
      <x:c r="F1301" t="str">
        <x:f>IF('Release Gates'!C1277="PLANNING","PASS",IF('Release Gates'!C1277="PHYSICAL","OPEN","BLOCKED"))</x:f>
        <x:v>OPEN</x:v>
      </x:c>
      <x:c r="G1301" t="str">
        <x:v>equals</x:v>
      </x:c>
      <x:c r="H1301" t="str">
        <x:f>IF(E1301=F1301,"PASS","FAIL")</x:f>
        <x:v>PASS</x:v>
      </x:c>
    </x:row>
    <x:row r="1302">
      <x:c r="B1302" t="str">
        <x:v>A-1272</x:v>
      </x:c>
      <x:c r="C1302" t="str">
        <x:v>GATE</x:v>
      </x:c>
      <x:c r="D1302" t="str">
        <x:v>release ledger mirrors governing state</x:v>
      </x:c>
      <x:c r="E1302" t="str">
        <x:f>'Release Gates'!J1278</x:f>
        <x:v>OPEN</x:v>
      </x:c>
      <x:c r="F1302" t="str">
        <x:f>IF('Release Gates'!C1278="PLANNING","PASS",IF('Release Gates'!C1278="PHYSICAL","OPEN","BLOCKED"))</x:f>
        <x:v>OPEN</x:v>
      </x:c>
      <x:c r="G1302" t="str">
        <x:v>equals</x:v>
      </x:c>
      <x:c r="H1302" t="str">
        <x:f>IF(E1302=F1302,"PASS","FAIL")</x:f>
        <x:v>PASS</x:v>
      </x:c>
    </x:row>
    <x:row r="1303">
      <x:c r="B1303" t="str">
        <x:v>A-1273</x:v>
      </x:c>
      <x:c r="C1303" t="str">
        <x:v>GATE</x:v>
      </x:c>
      <x:c r="D1303" t="str">
        <x:v>release ledger mirrors governing state</x:v>
      </x:c>
      <x:c r="E1303" t="str">
        <x:f>'Release Gates'!J1279</x:f>
        <x:v>OPEN</x:v>
      </x:c>
      <x:c r="F1303" t="str">
        <x:f>IF('Release Gates'!C1279="PLANNING","PASS",IF('Release Gates'!C1279="PHYSICAL","OPEN","BLOCKED"))</x:f>
        <x:v>OPEN</x:v>
      </x:c>
      <x:c r="G1303" t="str">
        <x:v>equals</x:v>
      </x:c>
      <x:c r="H1303" t="str">
        <x:f>IF(E1303=F1303,"PASS","FAIL")</x:f>
        <x:v>PASS</x:v>
      </x:c>
    </x:row>
    <x:row r="1304">
      <x:c r="B1304" t="str">
        <x:v>A-1274</x:v>
      </x:c>
      <x:c r="C1304" t="str">
        <x:v>GATE</x:v>
      </x:c>
      <x:c r="D1304" t="str">
        <x:v>release ledger mirrors governing state</x:v>
      </x:c>
      <x:c r="E1304" t="str">
        <x:f>'Release Gates'!J1280</x:f>
        <x:v>OPEN</x:v>
      </x:c>
      <x:c r="F1304" t="str">
        <x:f>IF('Release Gates'!C1280="PLANNING","PASS",IF('Release Gates'!C1280="PHYSICAL","OPEN","BLOCKED"))</x:f>
        <x:v>OPEN</x:v>
      </x:c>
      <x:c r="G1304" t="str">
        <x:v>equals</x:v>
      </x:c>
      <x:c r="H1304" t="str">
        <x:f>IF(E1304=F1304,"PASS","FAIL")</x:f>
        <x:v>PASS</x:v>
      </x:c>
    </x:row>
    <x:row r="1305">
      <x:c r="B1305" t="str">
        <x:v>A-1275</x:v>
      </x:c>
      <x:c r="C1305" t="str">
        <x:v>GATE</x:v>
      </x:c>
      <x:c r="D1305" t="str">
        <x:v>release ledger mirrors governing state</x:v>
      </x:c>
      <x:c r="E1305" t="str">
        <x:f>'Release Gates'!J1281</x:f>
        <x:v>OPEN</x:v>
      </x:c>
      <x:c r="F1305" t="str">
        <x:f>IF('Release Gates'!C1281="PLANNING","PASS",IF('Release Gates'!C1281="PHYSICAL","OPEN","BLOCKED"))</x:f>
        <x:v>OPEN</x:v>
      </x:c>
      <x:c r="G1305" t="str">
        <x:v>equals</x:v>
      </x:c>
      <x:c r="H1305" t="str">
        <x:f>IF(E1305=F1305,"PASS","FAIL")</x:f>
        <x:v>PASS</x:v>
      </x:c>
    </x:row>
    <x:row r="1306">
      <x:c r="B1306" t="str">
        <x:v>A-1276</x:v>
      </x:c>
      <x:c r="C1306" t="str">
        <x:v>GATE</x:v>
      </x:c>
      <x:c r="D1306" t="str">
        <x:v>release ledger mirrors governing state</x:v>
      </x:c>
      <x:c r="E1306" t="str">
        <x:f>'Release Gates'!J1282</x:f>
        <x:v>OPEN</x:v>
      </x:c>
      <x:c r="F1306" t="str">
        <x:f>IF('Release Gates'!C1282="PLANNING","PASS",IF('Release Gates'!C1282="PHYSICAL","OPEN","BLOCKED"))</x:f>
        <x:v>OPEN</x:v>
      </x:c>
      <x:c r="G1306" t="str">
        <x:v>equals</x:v>
      </x:c>
      <x:c r="H1306" t="str">
        <x:f>IF(E1306=F1306,"PASS","FAIL")</x:f>
        <x:v>PASS</x:v>
      </x:c>
    </x:row>
    <x:row r="1307">
      <x:c r="B1307" t="str">
        <x:v>A-1277</x:v>
      </x:c>
      <x:c r="C1307" t="str">
        <x:v>GATE</x:v>
      </x:c>
      <x:c r="D1307" t="str">
        <x:v>release ledger mirrors governing state</x:v>
      </x:c>
      <x:c r="E1307" t="str">
        <x:f>'Release Gates'!J1283</x:f>
        <x:v>OPEN</x:v>
      </x:c>
      <x:c r="F1307" t="str">
        <x:f>IF('Release Gates'!C1283="PLANNING","PASS",IF('Release Gates'!C1283="PHYSICAL","OPEN","BLOCKED"))</x:f>
        <x:v>OPEN</x:v>
      </x:c>
      <x:c r="G1307" t="str">
        <x:v>equals</x:v>
      </x:c>
      <x:c r="H1307" t="str">
        <x:f>IF(E1307=F1307,"PASS","FAIL")</x:f>
        <x:v>PASS</x:v>
      </x:c>
    </x:row>
    <x:row r="1308">
      <x:c r="B1308" t="str">
        <x:v>A-1278</x:v>
      </x:c>
      <x:c r="C1308" t="str">
        <x:v>GATE</x:v>
      </x:c>
      <x:c r="D1308" t="str">
        <x:v>release ledger mirrors governing state</x:v>
      </x:c>
      <x:c r="E1308" t="str">
        <x:f>'Release Gates'!J1284</x:f>
        <x:v>OPEN</x:v>
      </x:c>
      <x:c r="F1308" t="str">
        <x:f>IF('Release Gates'!C1284="PLANNING","PASS",IF('Release Gates'!C1284="PHYSICAL","OPEN","BLOCKED"))</x:f>
        <x:v>OPEN</x:v>
      </x:c>
      <x:c r="G1308" t="str">
        <x:v>equals</x:v>
      </x:c>
      <x:c r="H1308" t="str">
        <x:f>IF(E1308=F1308,"PASS","FAIL")</x:f>
        <x:v>PASS</x:v>
      </x:c>
    </x:row>
    <x:row r="1309">
      <x:c r="B1309" t="str">
        <x:v>A-1279</x:v>
      </x:c>
      <x:c r="C1309" t="str">
        <x:v>GATE</x:v>
      </x:c>
      <x:c r="D1309" t="str">
        <x:v>release ledger mirrors governing state</x:v>
      </x:c>
      <x:c r="E1309" t="str">
        <x:f>'Release Gates'!J1285</x:f>
        <x:v>OPEN</x:v>
      </x:c>
      <x:c r="F1309" t="str">
        <x:f>IF('Release Gates'!C1285="PLANNING","PASS",IF('Release Gates'!C1285="PHYSICAL","OPEN","BLOCKED"))</x:f>
        <x:v>OPEN</x:v>
      </x:c>
      <x:c r="G1309" t="str">
        <x:v>equals</x:v>
      </x:c>
      <x:c r="H1309" t="str">
        <x:f>IF(E1309=F1309,"PASS","FAIL")</x:f>
        <x:v>PASS</x:v>
      </x:c>
    </x:row>
    <x:row r="1310">
      <x:c r="B1310" t="str">
        <x:v>A-1280</x:v>
      </x:c>
      <x:c r="C1310" t="str">
        <x:v>GATE</x:v>
      </x:c>
      <x:c r="D1310" t="str">
        <x:v>release ledger mirrors governing state</x:v>
      </x:c>
      <x:c r="E1310" t="str">
        <x:f>'Release Gates'!J1286</x:f>
        <x:v>OPEN</x:v>
      </x:c>
      <x:c r="F1310" t="str">
        <x:f>IF('Release Gates'!C1286="PLANNING","PASS",IF('Release Gates'!C1286="PHYSICAL","OPEN","BLOCKED"))</x:f>
        <x:v>OPEN</x:v>
      </x:c>
      <x:c r="G1310" t="str">
        <x:v>equals</x:v>
      </x:c>
      <x:c r="H1310" t="str">
        <x:f>IF(E1310=F1310,"PASS","FAIL")</x:f>
        <x:v>PASS</x:v>
      </x:c>
    </x:row>
    <x:row r="1311">
      <x:c r="B1311" t="str">
        <x:v>A-1281</x:v>
      </x:c>
      <x:c r="C1311" t="str">
        <x:v>GATE</x:v>
      </x:c>
      <x:c r="D1311" t="str">
        <x:v>release ledger mirrors governing state</x:v>
      </x:c>
      <x:c r="E1311" t="str">
        <x:f>'Release Gates'!J1287</x:f>
        <x:v>OPEN</x:v>
      </x:c>
      <x:c r="F1311" t="str">
        <x:f>IF('Release Gates'!C1287="PLANNING","PASS",IF('Release Gates'!C1287="PHYSICAL","OPEN","BLOCKED"))</x:f>
        <x:v>OPEN</x:v>
      </x:c>
      <x:c r="G1311" t="str">
        <x:v>equals</x:v>
      </x:c>
      <x:c r="H1311" t="str">
        <x:f>IF(E1311=F1311,"PASS","FAIL")</x:f>
        <x:v>PASS</x:v>
      </x:c>
    </x:row>
    <x:row r="1312">
      <x:c r="B1312" t="str">
        <x:v>A-1282</x:v>
      </x:c>
      <x:c r="C1312" t="str">
        <x:v>GATE</x:v>
      </x:c>
      <x:c r="D1312" t="str">
        <x:v>release ledger mirrors governing state</x:v>
      </x:c>
      <x:c r="E1312" t="str">
        <x:f>'Release Gates'!J1288</x:f>
        <x:v>OPEN</x:v>
      </x:c>
      <x:c r="F1312" t="str">
        <x:f>IF('Release Gates'!C1288="PLANNING","PASS",IF('Release Gates'!C1288="PHYSICAL","OPEN","BLOCKED"))</x:f>
        <x:v>OPEN</x:v>
      </x:c>
      <x:c r="G1312" t="str">
        <x:v>equals</x:v>
      </x:c>
      <x:c r="H1312" t="str">
        <x:f>IF(E1312=F1312,"PASS","FAIL")</x:f>
        <x:v>PASS</x:v>
      </x:c>
    </x:row>
    <x:row r="1313">
      <x:c r="B1313" t="str">
        <x:v>A-1283</x:v>
      </x:c>
      <x:c r="C1313" t="str">
        <x:v>GATE</x:v>
      </x:c>
      <x:c r="D1313" t="str">
        <x:v>release ledger mirrors governing state</x:v>
      </x:c>
      <x:c r="E1313" t="str">
        <x:f>'Release Gates'!J1289</x:f>
        <x:v>OPEN</x:v>
      </x:c>
      <x:c r="F1313" t="str">
        <x:f>IF('Release Gates'!C1289="PLANNING","PASS",IF('Release Gates'!C1289="PHYSICAL","OPEN","BLOCKED"))</x:f>
        <x:v>OPEN</x:v>
      </x:c>
      <x:c r="G1313" t="str">
        <x:v>equals</x:v>
      </x:c>
      <x:c r="H1313" t="str">
        <x:f>IF(E1313=F1313,"PASS","FAIL")</x:f>
        <x:v>PASS</x:v>
      </x:c>
    </x:row>
    <x:row r="1314">
      <x:c r="B1314" t="str">
        <x:v>A-1284</x:v>
      </x:c>
      <x:c r="C1314" t="str">
        <x:v>GATE</x:v>
      </x:c>
      <x:c r="D1314" t="str">
        <x:v>release ledger mirrors governing state</x:v>
      </x:c>
      <x:c r="E1314" t="str">
        <x:f>'Release Gates'!J1290</x:f>
        <x:v>OPEN</x:v>
      </x:c>
      <x:c r="F1314" t="str">
        <x:f>IF('Release Gates'!C1290="PLANNING","PASS",IF('Release Gates'!C1290="PHYSICAL","OPEN","BLOCKED"))</x:f>
        <x:v>OPEN</x:v>
      </x:c>
      <x:c r="G1314" t="str">
        <x:v>equals</x:v>
      </x:c>
      <x:c r="H1314" t="str">
        <x:f>IF(E1314=F1314,"PASS","FAIL")</x:f>
        <x:v>PASS</x:v>
      </x:c>
    </x:row>
    <x:row r="1315">
      <x:c r="B1315" t="str">
        <x:v>A-1285</x:v>
      </x:c>
      <x:c r="C1315" t="str">
        <x:v>GATE</x:v>
      </x:c>
      <x:c r="D1315" t="str">
        <x:v>release ledger mirrors governing state</x:v>
      </x:c>
      <x:c r="E1315" t="str">
        <x:f>'Release Gates'!J1291</x:f>
        <x:v>OPEN</x:v>
      </x:c>
      <x:c r="F1315" t="str">
        <x:f>IF('Release Gates'!C1291="PLANNING","PASS",IF('Release Gates'!C1291="PHYSICAL","OPEN","BLOCKED"))</x:f>
        <x:v>OPEN</x:v>
      </x:c>
      <x:c r="G1315" t="str">
        <x:v>equals</x:v>
      </x:c>
      <x:c r="H1315" t="str">
        <x:f>IF(E1315=F1315,"PASS","FAIL")</x:f>
        <x:v>PASS</x:v>
      </x:c>
    </x:row>
    <x:row r="1316">
      <x:c r="B1316" t="str">
        <x:v>A-1286</x:v>
      </x:c>
      <x:c r="C1316" t="str">
        <x:v>GATE</x:v>
      </x:c>
      <x:c r="D1316" t="str">
        <x:v>release ledger mirrors governing state</x:v>
      </x:c>
      <x:c r="E1316" t="str">
        <x:f>'Release Gates'!J1292</x:f>
        <x:v>OPEN</x:v>
      </x:c>
      <x:c r="F1316" t="str">
        <x:f>IF('Release Gates'!C1292="PLANNING","PASS",IF('Release Gates'!C1292="PHYSICAL","OPEN","BLOCKED"))</x:f>
        <x:v>OPEN</x:v>
      </x:c>
      <x:c r="G1316" t="str">
        <x:v>equals</x:v>
      </x:c>
      <x:c r="H1316" t="str">
        <x:f>IF(E1316=F1316,"PASS","FAIL")</x:f>
        <x:v>PASS</x:v>
      </x:c>
    </x:row>
    <x:row r="1317">
      <x:c r="B1317" t="str">
        <x:v>A-1287</x:v>
      </x:c>
      <x:c r="C1317" t="str">
        <x:v>GATE</x:v>
      </x:c>
      <x:c r="D1317" t="str">
        <x:v>release ledger mirrors governing state</x:v>
      </x:c>
      <x:c r="E1317" t="str">
        <x:f>'Release Gates'!J1293</x:f>
        <x:v>OPEN</x:v>
      </x:c>
      <x:c r="F1317" t="str">
        <x:f>IF('Release Gates'!C1293="PLANNING","PASS",IF('Release Gates'!C1293="PHYSICAL","OPEN","BLOCKED"))</x:f>
        <x:v>OPEN</x:v>
      </x:c>
      <x:c r="G1317" t="str">
        <x:v>equals</x:v>
      </x:c>
      <x:c r="H1317" t="str">
        <x:f>IF(E1317=F1317,"PASS","FAIL")</x:f>
        <x:v>PASS</x:v>
      </x:c>
    </x:row>
    <x:row r="1318">
      <x:c r="B1318" t="str">
        <x:v>A-1288</x:v>
      </x:c>
      <x:c r="C1318" t="str">
        <x:v>GATE</x:v>
      </x:c>
      <x:c r="D1318" t="str">
        <x:v>release ledger mirrors governing state</x:v>
      </x:c>
      <x:c r="E1318" t="str">
        <x:f>'Release Gates'!J1294</x:f>
        <x:v>OPEN</x:v>
      </x:c>
      <x:c r="F1318" t="str">
        <x:f>IF('Release Gates'!C1294="PLANNING","PASS",IF('Release Gates'!C1294="PHYSICAL","OPEN","BLOCKED"))</x:f>
        <x:v>OPEN</x:v>
      </x:c>
      <x:c r="G1318" t="str">
        <x:v>equals</x:v>
      </x:c>
      <x:c r="H1318" t="str">
        <x:f>IF(E1318=F1318,"PASS","FAIL")</x:f>
        <x:v>PASS</x:v>
      </x:c>
    </x:row>
    <x:row r="1319">
      <x:c r="B1319" t="str">
        <x:v>A-1289</x:v>
      </x:c>
      <x:c r="C1319" t="str">
        <x:v>GATE</x:v>
      </x:c>
      <x:c r="D1319" t="str">
        <x:v>release ledger mirrors governing state</x:v>
      </x:c>
      <x:c r="E1319" t="str">
        <x:f>'Release Gates'!J1295</x:f>
        <x:v>OPEN</x:v>
      </x:c>
      <x:c r="F1319" t="str">
        <x:f>IF('Release Gates'!C1295="PLANNING","PASS",IF('Release Gates'!C1295="PHYSICAL","OPEN","BLOCKED"))</x:f>
        <x:v>OPEN</x:v>
      </x:c>
      <x:c r="G1319" t="str">
        <x:v>equals</x:v>
      </x:c>
      <x:c r="H1319" t="str">
        <x:f>IF(E1319=F1319,"PASS","FAIL")</x:f>
        <x:v>PASS</x:v>
      </x:c>
    </x:row>
    <x:row r="1320">
      <x:c r="B1320" t="str">
        <x:v>A-1290</x:v>
      </x:c>
      <x:c r="C1320" t="str">
        <x:v>GATE</x:v>
      </x:c>
      <x:c r="D1320" t="str">
        <x:v>release ledger mirrors governing state</x:v>
      </x:c>
      <x:c r="E1320" t="str">
        <x:f>'Release Gates'!J1296</x:f>
        <x:v>OPEN</x:v>
      </x:c>
      <x:c r="F1320" t="str">
        <x:f>IF('Release Gates'!C1296="PLANNING","PASS",IF('Release Gates'!C1296="PHYSICAL","OPEN","BLOCKED"))</x:f>
        <x:v>OPEN</x:v>
      </x:c>
      <x:c r="G1320" t="str">
        <x:v>equals</x:v>
      </x:c>
      <x:c r="H1320" t="str">
        <x:f>IF(E1320=F1320,"PASS","FAIL")</x:f>
        <x:v>PASS</x:v>
      </x:c>
    </x:row>
    <x:row r="1321">
      <x:c r="B1321" t="str">
        <x:v>A-1291</x:v>
      </x:c>
      <x:c r="C1321" t="str">
        <x:v>GATE</x:v>
      </x:c>
      <x:c r="D1321" t="str">
        <x:v>release ledger mirrors governing state</x:v>
      </x:c>
      <x:c r="E1321" t="str">
        <x:f>'Release Gates'!J1297</x:f>
        <x:v>OPEN</x:v>
      </x:c>
      <x:c r="F1321" t="str">
        <x:f>IF('Release Gates'!C1297="PLANNING","PASS",IF('Release Gates'!C1297="PHYSICAL","OPEN","BLOCKED"))</x:f>
        <x:v>OPEN</x:v>
      </x:c>
      <x:c r="G1321" t="str">
        <x:v>equals</x:v>
      </x:c>
      <x:c r="H1321" t="str">
        <x:f>IF(E1321=F1321,"PASS","FAIL")</x:f>
        <x:v>PASS</x:v>
      </x:c>
    </x:row>
    <x:row r="1322">
      <x:c r="B1322" t="str">
        <x:v>A-1292</x:v>
      </x:c>
      <x:c r="C1322" t="str">
        <x:v>GATE</x:v>
      </x:c>
      <x:c r="D1322" t="str">
        <x:v>release ledger mirrors governing state</x:v>
      </x:c>
      <x:c r="E1322" t="str">
        <x:f>'Release Gates'!J1298</x:f>
        <x:v>OPEN</x:v>
      </x:c>
      <x:c r="F1322" t="str">
        <x:f>IF('Release Gates'!C1298="PLANNING","PASS",IF('Release Gates'!C1298="PHYSICAL","OPEN","BLOCKED"))</x:f>
        <x:v>OPEN</x:v>
      </x:c>
      <x:c r="G1322" t="str">
        <x:v>equals</x:v>
      </x:c>
      <x:c r="H1322" t="str">
        <x:f>IF(E1322=F1322,"PASS","FAIL")</x:f>
        <x:v>PASS</x:v>
      </x:c>
    </x:row>
    <x:row r="1323">
      <x:c r="B1323" t="str">
        <x:v>A-1293</x:v>
      </x:c>
      <x:c r="C1323" t="str">
        <x:v>GATE</x:v>
      </x:c>
      <x:c r="D1323" t="str">
        <x:v>release ledger mirrors governing state</x:v>
      </x:c>
      <x:c r="E1323" t="str">
        <x:f>'Release Gates'!J1299</x:f>
        <x:v>OPEN</x:v>
      </x:c>
      <x:c r="F1323" t="str">
        <x:f>IF('Release Gates'!C1299="PLANNING","PASS",IF('Release Gates'!C1299="PHYSICAL","OPEN","BLOCKED"))</x:f>
        <x:v>OPEN</x:v>
      </x:c>
      <x:c r="G1323" t="str">
        <x:v>equals</x:v>
      </x:c>
      <x:c r="H1323" t="str">
        <x:f>IF(E1323=F1323,"PASS","FAIL")</x:f>
        <x:v>PASS</x:v>
      </x:c>
    </x:row>
    <x:row r="1324">
      <x:c r="B1324" t="str">
        <x:v>A-1294</x:v>
      </x:c>
      <x:c r="C1324" t="str">
        <x:v>GATE</x:v>
      </x:c>
      <x:c r="D1324" t="str">
        <x:v>release ledger mirrors governing state</x:v>
      </x:c>
      <x:c r="E1324" t="str">
        <x:f>'Release Gates'!J1300</x:f>
        <x:v>OPEN</x:v>
      </x:c>
      <x:c r="F1324" t="str">
        <x:f>IF('Release Gates'!C1300="PLANNING","PASS",IF('Release Gates'!C1300="PHYSICAL","OPEN","BLOCKED"))</x:f>
        <x:v>OPEN</x:v>
      </x:c>
      <x:c r="G1324" t="str">
        <x:v>equals</x:v>
      </x:c>
      <x:c r="H1324" t="str">
        <x:f>IF(E1324=F1324,"PASS","FAIL")</x:f>
        <x:v>PASS</x:v>
      </x:c>
    </x:row>
    <x:row r="1325">
      <x:c r="B1325" t="str">
        <x:v>A-1295</x:v>
      </x:c>
      <x:c r="C1325" t="str">
        <x:v>GATE</x:v>
      </x:c>
      <x:c r="D1325" t="str">
        <x:v>release ledger mirrors governing state</x:v>
      </x:c>
      <x:c r="E1325" t="str">
        <x:f>'Release Gates'!J1301</x:f>
        <x:v>OPEN</x:v>
      </x:c>
      <x:c r="F1325" t="str">
        <x:f>IF('Release Gates'!C1301="PLANNING","PASS",IF('Release Gates'!C1301="PHYSICAL","OPEN","BLOCKED"))</x:f>
        <x:v>OPEN</x:v>
      </x:c>
      <x:c r="G1325" t="str">
        <x:v>equals</x:v>
      </x:c>
      <x:c r="H1325" t="str">
        <x:f>IF(E1325=F1325,"PASS","FAIL")</x:f>
        <x:v>PASS</x:v>
      </x:c>
    </x:row>
    <x:row r="1326">
      <x:c r="B1326" t="str">
        <x:v>A-1296</x:v>
      </x:c>
      <x:c r="C1326" t="str">
        <x:v>GATE</x:v>
      </x:c>
      <x:c r="D1326" t="str">
        <x:v>release ledger mirrors governing state</x:v>
      </x:c>
      <x:c r="E1326" t="str">
        <x:f>'Release Gates'!J1302</x:f>
        <x:v>OPEN</x:v>
      </x:c>
      <x:c r="F1326" t="str">
        <x:f>IF('Release Gates'!C1302="PLANNING","PASS",IF('Release Gates'!C1302="PHYSICAL","OPEN","BLOCKED"))</x:f>
        <x:v>OPEN</x:v>
      </x:c>
      <x:c r="G1326" t="str">
        <x:v>equals</x:v>
      </x:c>
      <x:c r="H1326" t="str">
        <x:f>IF(E1326=F1326,"PASS","FAIL")</x:f>
        <x:v>PASS</x:v>
      </x:c>
    </x:row>
    <x:row r="1327">
      <x:c r="B1327" t="str">
        <x:v>A-1297</x:v>
      </x:c>
      <x:c r="C1327" t="str">
        <x:v>GATE</x:v>
      </x:c>
      <x:c r="D1327" t="str">
        <x:v>release ledger mirrors governing state</x:v>
      </x:c>
      <x:c r="E1327" t="str">
        <x:f>'Release Gates'!J1303</x:f>
        <x:v>OPEN</x:v>
      </x:c>
      <x:c r="F1327" t="str">
        <x:f>IF('Release Gates'!C1303="PLANNING","PASS",IF('Release Gates'!C1303="PHYSICAL","OPEN","BLOCKED"))</x:f>
        <x:v>OPEN</x:v>
      </x:c>
      <x:c r="G1327" t="str">
        <x:v>equals</x:v>
      </x:c>
      <x:c r="H1327" t="str">
        <x:f>IF(E1327=F1327,"PASS","FAIL")</x:f>
        <x:v>PASS</x:v>
      </x:c>
    </x:row>
    <x:row r="1328">
      <x:c r="B1328" t="str">
        <x:v>A-1298</x:v>
      </x:c>
      <x:c r="C1328" t="str">
        <x:v>GATE</x:v>
      </x:c>
      <x:c r="D1328" t="str">
        <x:v>release ledger mirrors governing state</x:v>
      </x:c>
      <x:c r="E1328" t="str">
        <x:f>'Release Gates'!J1304</x:f>
        <x:v>OPEN</x:v>
      </x:c>
      <x:c r="F1328" t="str">
        <x:f>IF('Release Gates'!C1304="PLANNING","PASS",IF('Release Gates'!C1304="PHYSICAL","OPEN","BLOCKED"))</x:f>
        <x:v>OPEN</x:v>
      </x:c>
      <x:c r="G1328" t="str">
        <x:v>equals</x:v>
      </x:c>
      <x:c r="H1328" t="str">
        <x:f>IF(E1328=F1328,"PASS","FAIL")</x:f>
        <x:v>PASS</x:v>
      </x:c>
    </x:row>
    <x:row r="1329">
      <x:c r="B1329" t="str">
        <x:v>A-1299</x:v>
      </x:c>
      <x:c r="C1329" t="str">
        <x:v>GATE</x:v>
      </x:c>
      <x:c r="D1329" t="str">
        <x:v>release ledger mirrors governing state</x:v>
      </x:c>
      <x:c r="E1329" t="str">
        <x:f>'Release Gates'!J1305</x:f>
        <x:v>OPEN</x:v>
      </x:c>
      <x:c r="F1329" t="str">
        <x:f>IF('Release Gates'!C1305="PLANNING","PASS",IF('Release Gates'!C1305="PHYSICAL","OPEN","BLOCKED"))</x:f>
        <x:v>OPEN</x:v>
      </x:c>
      <x:c r="G1329" t="str">
        <x:v>equals</x:v>
      </x:c>
      <x:c r="H1329" t="str">
        <x:f>IF(E1329=F1329,"PASS","FAIL")</x:f>
        <x:v>PASS</x:v>
      </x:c>
    </x:row>
    <x:row r="1330">
      <x:c r="B1330" t="str">
        <x:v>A-1300</x:v>
      </x:c>
      <x:c r="C1330" t="str">
        <x:v>GATE</x:v>
      </x:c>
      <x:c r="D1330" t="str">
        <x:v>release ledger mirrors governing state</x:v>
      </x:c>
      <x:c r="E1330" t="str">
        <x:f>'Release Gates'!J1306</x:f>
        <x:v>OPEN</x:v>
      </x:c>
      <x:c r="F1330" t="str">
        <x:f>IF('Release Gates'!C1306="PLANNING","PASS",IF('Release Gates'!C1306="PHYSICAL","OPEN","BLOCKED"))</x:f>
        <x:v>OPEN</x:v>
      </x:c>
      <x:c r="G1330" t="str">
        <x:v>equals</x:v>
      </x:c>
      <x:c r="H1330" t="str">
        <x:f>IF(E1330=F1330,"PASS","FAIL")</x:f>
        <x:v>PASS</x:v>
      </x:c>
    </x:row>
    <x:row r="1331">
      <x:c r="B1331" t="str">
        <x:v>A-1301</x:v>
      </x:c>
      <x:c r="C1331" t="str">
        <x:v>GATE</x:v>
      </x:c>
      <x:c r="D1331" t="str">
        <x:v>release ledger mirrors governing state</x:v>
      </x:c>
      <x:c r="E1331" t="str">
        <x:f>'Release Gates'!J1307</x:f>
        <x:v>OPEN</x:v>
      </x:c>
      <x:c r="F1331" t="str">
        <x:f>IF('Release Gates'!C1307="PLANNING","PASS",IF('Release Gates'!C1307="PHYSICAL","OPEN","BLOCKED"))</x:f>
        <x:v>OPEN</x:v>
      </x:c>
      <x:c r="G1331" t="str">
        <x:v>equals</x:v>
      </x:c>
      <x:c r="H1331" t="str">
        <x:f>IF(E1331=F1331,"PASS","FAIL")</x:f>
        <x:v>PASS</x:v>
      </x:c>
    </x:row>
    <x:row r="1332">
      <x:c r="B1332" t="str">
        <x:v>A-1302</x:v>
      </x:c>
      <x:c r="C1332" t="str">
        <x:v>GATE</x:v>
      </x:c>
      <x:c r="D1332" t="str">
        <x:v>release ledger mirrors governing state</x:v>
      </x:c>
      <x:c r="E1332" t="str">
        <x:f>'Release Gates'!J1308</x:f>
        <x:v>OPEN</x:v>
      </x:c>
      <x:c r="F1332" t="str">
        <x:f>IF('Release Gates'!C1308="PLANNING","PASS",IF('Release Gates'!C1308="PHYSICAL","OPEN","BLOCKED"))</x:f>
        <x:v>OPEN</x:v>
      </x:c>
      <x:c r="G1332" t="str">
        <x:v>equals</x:v>
      </x:c>
      <x:c r="H1332" t="str">
        <x:f>IF(E1332=F1332,"PASS","FAIL")</x:f>
        <x:v>PASS</x:v>
      </x:c>
    </x:row>
    <x:row r="1333">
      <x:c r="B1333" t="str">
        <x:v>A-1303</x:v>
      </x:c>
      <x:c r="C1333" t="str">
        <x:v>GATE</x:v>
      </x:c>
      <x:c r="D1333" t="str">
        <x:v>release ledger mirrors governing state</x:v>
      </x:c>
      <x:c r="E1333" t="str">
        <x:f>'Release Gates'!J1309</x:f>
        <x:v>OPEN</x:v>
      </x:c>
      <x:c r="F1333" t="str">
        <x:f>IF('Release Gates'!C1309="PLANNING","PASS",IF('Release Gates'!C1309="PHYSICAL","OPEN","BLOCKED"))</x:f>
        <x:v>OPEN</x:v>
      </x:c>
      <x:c r="G1333" t="str">
        <x:v>equals</x:v>
      </x:c>
      <x:c r="H1333" t="str">
        <x:f>IF(E1333=F1333,"PASS","FAIL")</x:f>
        <x:v>PASS</x:v>
      </x:c>
    </x:row>
    <x:row r="1334">
      <x:c r="B1334" t="str">
        <x:v>A-1304</x:v>
      </x:c>
      <x:c r="C1334" t="str">
        <x:v>GATE</x:v>
      </x:c>
      <x:c r="D1334" t="str">
        <x:v>release ledger mirrors governing state</x:v>
      </x:c>
      <x:c r="E1334" t="str">
        <x:f>'Release Gates'!J1310</x:f>
        <x:v>OPEN</x:v>
      </x:c>
      <x:c r="F1334" t="str">
        <x:f>IF('Release Gates'!C1310="PLANNING","PASS",IF('Release Gates'!C1310="PHYSICAL","OPEN","BLOCKED"))</x:f>
        <x:v>OPEN</x:v>
      </x:c>
      <x:c r="G1334" t="str">
        <x:v>equals</x:v>
      </x:c>
      <x:c r="H1334" t="str">
        <x:f>IF(E1334=F1334,"PASS","FAIL")</x:f>
        <x:v>PASS</x:v>
      </x:c>
    </x:row>
    <x:row r="1335">
      <x:c r="B1335" t="str">
        <x:v>A-1305</x:v>
      </x:c>
      <x:c r="C1335" t="str">
        <x:v>GATE</x:v>
      </x:c>
      <x:c r="D1335" t="str">
        <x:v>release ledger mirrors governing state</x:v>
      </x:c>
      <x:c r="E1335" t="str">
        <x:f>'Release Gates'!J1311</x:f>
        <x:v>OPEN</x:v>
      </x:c>
      <x:c r="F1335" t="str">
        <x:f>IF('Release Gates'!C1311="PLANNING","PASS",IF('Release Gates'!C1311="PHYSICAL","OPEN","BLOCKED"))</x:f>
        <x:v>OPEN</x:v>
      </x:c>
      <x:c r="G1335" t="str">
        <x:v>equals</x:v>
      </x:c>
      <x:c r="H1335" t="str">
        <x:f>IF(E1335=F1335,"PASS","FAIL")</x:f>
        <x:v>PASS</x:v>
      </x:c>
    </x:row>
    <x:row r="1336">
      <x:c r="B1336" t="str">
        <x:v>A-1306</x:v>
      </x:c>
      <x:c r="C1336" t="str">
        <x:v>GATE</x:v>
      </x:c>
      <x:c r="D1336" t="str">
        <x:v>release ledger mirrors governing state</x:v>
      </x:c>
      <x:c r="E1336" t="str">
        <x:f>'Release Gates'!J1312</x:f>
        <x:v>OPEN</x:v>
      </x:c>
      <x:c r="F1336" t="str">
        <x:f>IF('Release Gates'!C1312="PLANNING","PASS",IF('Release Gates'!C1312="PHYSICAL","OPEN","BLOCKED"))</x:f>
        <x:v>OPEN</x:v>
      </x:c>
      <x:c r="G1336" t="str">
        <x:v>equals</x:v>
      </x:c>
      <x:c r="H1336" t="str">
        <x:f>IF(E1336=F1336,"PASS","FAIL")</x:f>
        <x:v>PASS</x:v>
      </x:c>
    </x:row>
    <x:row r="1337">
      <x:c r="B1337" t="str">
        <x:v>A-1307</x:v>
      </x:c>
      <x:c r="C1337" t="str">
        <x:v>GATE</x:v>
      </x:c>
      <x:c r="D1337" t="str">
        <x:v>release ledger mirrors governing state</x:v>
      </x:c>
      <x:c r="E1337" t="str">
        <x:f>'Release Gates'!J1313</x:f>
        <x:v>OPEN</x:v>
      </x:c>
      <x:c r="F1337" t="str">
        <x:f>IF('Release Gates'!C1313="PLANNING","PASS",IF('Release Gates'!C1313="PHYSICAL","OPEN","BLOCKED"))</x:f>
        <x:v>OPEN</x:v>
      </x:c>
      <x:c r="G1337" t="str">
        <x:v>equals</x:v>
      </x:c>
      <x:c r="H1337" t="str">
        <x:f>IF(E1337=F1337,"PASS","FAIL")</x:f>
        <x:v>PASS</x:v>
      </x:c>
    </x:row>
    <x:row r="1338">
      <x:c r="B1338" t="str">
        <x:v>A-1308</x:v>
      </x:c>
      <x:c r="C1338" t="str">
        <x:v>GATE</x:v>
      </x:c>
      <x:c r="D1338" t="str">
        <x:v>release ledger mirrors governing state</x:v>
      </x:c>
      <x:c r="E1338" t="str">
        <x:f>'Release Gates'!J1314</x:f>
        <x:v>OPEN</x:v>
      </x:c>
      <x:c r="F1338" t="str">
        <x:f>IF('Release Gates'!C1314="PLANNING","PASS",IF('Release Gates'!C1314="PHYSICAL","OPEN","BLOCKED"))</x:f>
        <x:v>OPEN</x:v>
      </x:c>
      <x:c r="G1338" t="str">
        <x:v>equals</x:v>
      </x:c>
      <x:c r="H1338" t="str">
        <x:f>IF(E1338=F1338,"PASS","FAIL")</x:f>
        <x:v>PASS</x:v>
      </x:c>
    </x:row>
    <x:row r="1339">
      <x:c r="B1339" t="str">
        <x:v>A-1309</x:v>
      </x:c>
      <x:c r="C1339" t="str">
        <x:v>GATE</x:v>
      </x:c>
      <x:c r="D1339" t="str">
        <x:v>release ledger mirrors governing state</x:v>
      </x:c>
      <x:c r="E1339" t="str">
        <x:f>'Release Gates'!J1315</x:f>
        <x:v>OPEN</x:v>
      </x:c>
      <x:c r="F1339" t="str">
        <x:f>IF('Release Gates'!C1315="PLANNING","PASS",IF('Release Gates'!C1315="PHYSICAL","OPEN","BLOCKED"))</x:f>
        <x:v>OPEN</x:v>
      </x:c>
      <x:c r="G1339" t="str">
        <x:v>equals</x:v>
      </x:c>
      <x:c r="H1339" t="str">
        <x:f>IF(E1339=F1339,"PASS","FAIL")</x:f>
        <x:v>PASS</x:v>
      </x:c>
    </x:row>
    <x:row r="1340">
      <x:c r="B1340" t="str">
        <x:v>A-1310</x:v>
      </x:c>
      <x:c r="C1340" t="str">
        <x:v>GATE</x:v>
      </x:c>
      <x:c r="D1340" t="str">
        <x:v>release ledger mirrors governing state</x:v>
      </x:c>
      <x:c r="E1340" t="str">
        <x:f>'Release Gates'!J1316</x:f>
        <x:v>OPEN</x:v>
      </x:c>
      <x:c r="F1340" t="str">
        <x:f>IF('Release Gates'!C1316="PLANNING","PASS",IF('Release Gates'!C1316="PHYSICAL","OPEN","BLOCKED"))</x:f>
        <x:v>OPEN</x:v>
      </x:c>
      <x:c r="G1340" t="str">
        <x:v>equals</x:v>
      </x:c>
      <x:c r="H1340" t="str">
        <x:f>IF(E1340=F1340,"PASS","FAIL")</x:f>
        <x:v>PASS</x:v>
      </x:c>
    </x:row>
    <x:row r="1341">
      <x:c r="B1341" t="str">
        <x:v>A-1311</x:v>
      </x:c>
      <x:c r="C1341" t="str">
        <x:v>GATE</x:v>
      </x:c>
      <x:c r="D1341" t="str">
        <x:v>release ledger mirrors governing state</x:v>
      </x:c>
      <x:c r="E1341" t="str">
        <x:f>'Release Gates'!J1317</x:f>
        <x:v>OPEN</x:v>
      </x:c>
      <x:c r="F1341" t="str">
        <x:f>IF('Release Gates'!C1317="PLANNING","PASS",IF('Release Gates'!C1317="PHYSICAL","OPEN","BLOCKED"))</x:f>
        <x:v>OPEN</x:v>
      </x:c>
      <x:c r="G1341" t="str">
        <x:v>equals</x:v>
      </x:c>
      <x:c r="H1341" t="str">
        <x:f>IF(E1341=F1341,"PASS","FAIL")</x:f>
        <x:v>PASS</x:v>
      </x:c>
    </x:row>
    <x:row r="1342">
      <x:c r="B1342" t="str">
        <x:v>A-1312</x:v>
      </x:c>
      <x:c r="C1342" t="str">
        <x:v>GATE</x:v>
      </x:c>
      <x:c r="D1342" t="str">
        <x:v>release ledger mirrors governing state</x:v>
      </x:c>
      <x:c r="E1342" t="str">
        <x:f>'Release Gates'!J1318</x:f>
        <x:v>OPEN</x:v>
      </x:c>
      <x:c r="F1342" t="str">
        <x:f>IF('Release Gates'!C1318="PLANNING","PASS",IF('Release Gates'!C1318="PHYSICAL","OPEN","BLOCKED"))</x:f>
        <x:v>OPEN</x:v>
      </x:c>
      <x:c r="G1342" t="str">
        <x:v>equals</x:v>
      </x:c>
      <x:c r="H1342" t="str">
        <x:f>IF(E1342=F1342,"PASS","FAIL")</x:f>
        <x:v>PASS</x:v>
      </x:c>
    </x:row>
    <x:row r="1343">
      <x:c r="B1343" t="str">
        <x:v>A-1313</x:v>
      </x:c>
      <x:c r="C1343" t="str">
        <x:v>GATE</x:v>
      </x:c>
      <x:c r="D1343" t="str">
        <x:v>release ledger mirrors governing state</x:v>
      </x:c>
      <x:c r="E1343" t="str">
        <x:f>'Release Gates'!J1319</x:f>
        <x:v>OPEN</x:v>
      </x:c>
      <x:c r="F1343" t="str">
        <x:f>IF('Release Gates'!C1319="PLANNING","PASS",IF('Release Gates'!C1319="PHYSICAL","OPEN","BLOCKED"))</x:f>
        <x:v>OPEN</x:v>
      </x:c>
      <x:c r="G1343" t="str">
        <x:v>equals</x:v>
      </x:c>
      <x:c r="H1343" t="str">
        <x:f>IF(E1343=F1343,"PASS","FAIL")</x:f>
        <x:v>PASS</x:v>
      </x:c>
    </x:row>
    <x:row r="1344">
      <x:c r="B1344" t="str">
        <x:v>A-1314</x:v>
      </x:c>
      <x:c r="C1344" t="str">
        <x:v>GATE</x:v>
      </x:c>
      <x:c r="D1344" t="str">
        <x:v>release ledger mirrors governing state</x:v>
      </x:c>
      <x:c r="E1344" t="str">
        <x:f>'Release Gates'!J1320</x:f>
        <x:v>OPEN</x:v>
      </x:c>
      <x:c r="F1344" t="str">
        <x:f>IF('Release Gates'!C1320="PLANNING","PASS",IF('Release Gates'!C1320="PHYSICAL","OPEN","BLOCKED"))</x:f>
        <x:v>OPEN</x:v>
      </x:c>
      <x:c r="G1344" t="str">
        <x:v>equals</x:v>
      </x:c>
      <x:c r="H1344" t="str">
        <x:f>IF(E1344=F1344,"PASS","FAIL")</x:f>
        <x:v>PASS</x:v>
      </x:c>
    </x:row>
    <x:row r="1345">
      <x:c r="B1345" t="str">
        <x:v>A-1315</x:v>
      </x:c>
      <x:c r="C1345" t="str">
        <x:v>GATE</x:v>
      </x:c>
      <x:c r="D1345" t="str">
        <x:v>release ledger mirrors governing state</x:v>
      </x:c>
      <x:c r="E1345" t="str">
        <x:f>'Release Gates'!J1321</x:f>
        <x:v>OPEN</x:v>
      </x:c>
      <x:c r="F1345" t="str">
        <x:f>IF('Release Gates'!C1321="PLANNING","PASS",IF('Release Gates'!C1321="PHYSICAL","OPEN","BLOCKED"))</x:f>
        <x:v>OPEN</x:v>
      </x:c>
      <x:c r="G1345" t="str">
        <x:v>equals</x:v>
      </x:c>
      <x:c r="H1345" t="str">
        <x:f>IF(E1345=F1345,"PASS","FAIL")</x:f>
        <x:v>PASS</x:v>
      </x:c>
    </x:row>
    <x:row r="1346">
      <x:c r="B1346" t="str">
        <x:v>A-1316</x:v>
      </x:c>
      <x:c r="C1346" t="str">
        <x:v>GATE</x:v>
      </x:c>
      <x:c r="D1346" t="str">
        <x:v>release ledger mirrors governing state</x:v>
      </x:c>
      <x:c r="E1346" t="str">
        <x:f>'Release Gates'!J1322</x:f>
        <x:v>OPEN</x:v>
      </x:c>
      <x:c r="F1346" t="str">
        <x:f>IF('Release Gates'!C1322="PLANNING","PASS",IF('Release Gates'!C1322="PHYSICAL","OPEN","BLOCKED"))</x:f>
        <x:v>OPEN</x:v>
      </x:c>
      <x:c r="G1346" t="str">
        <x:v>equals</x:v>
      </x:c>
      <x:c r="H1346" t="str">
        <x:f>IF(E1346=F1346,"PASS","FAIL")</x:f>
        <x:v>PASS</x:v>
      </x:c>
    </x:row>
    <x:row r="1347">
      <x:c r="B1347" t="str">
        <x:v>A-1317</x:v>
      </x:c>
      <x:c r="C1347" t="str">
        <x:v>GATE</x:v>
      </x:c>
      <x:c r="D1347" t="str">
        <x:v>release ledger mirrors governing state</x:v>
      </x:c>
      <x:c r="E1347" t="str">
        <x:f>'Release Gates'!J1323</x:f>
        <x:v>OPEN</x:v>
      </x:c>
      <x:c r="F1347" t="str">
        <x:f>IF('Release Gates'!C1323="PLANNING","PASS",IF('Release Gates'!C1323="PHYSICAL","OPEN","BLOCKED"))</x:f>
        <x:v>OPEN</x:v>
      </x:c>
      <x:c r="G1347" t="str">
        <x:v>equals</x:v>
      </x:c>
      <x:c r="H1347" t="str">
        <x:f>IF(E1347=F1347,"PASS","FAIL")</x:f>
        <x:v>PASS</x:v>
      </x:c>
    </x:row>
    <x:row r="1348">
      <x:c r="B1348" t="str">
        <x:v>A-1318</x:v>
      </x:c>
      <x:c r="C1348" t="str">
        <x:v>GATE</x:v>
      </x:c>
      <x:c r="D1348" t="str">
        <x:v>release ledger mirrors governing state</x:v>
      </x:c>
      <x:c r="E1348" t="str">
        <x:f>'Release Gates'!J1324</x:f>
        <x:v>OPEN</x:v>
      </x:c>
      <x:c r="F1348" t="str">
        <x:f>IF('Release Gates'!C1324="PLANNING","PASS",IF('Release Gates'!C1324="PHYSICAL","OPEN","BLOCKED"))</x:f>
        <x:v>OPEN</x:v>
      </x:c>
      <x:c r="G1348" t="str">
        <x:v>equals</x:v>
      </x:c>
      <x:c r="H1348" t="str">
        <x:f>IF(E1348=F1348,"PASS","FAIL")</x:f>
        <x:v>PASS</x:v>
      </x:c>
    </x:row>
    <x:row r="1349">
      <x:c r="B1349" t="str">
        <x:v>A-1319</x:v>
      </x:c>
      <x:c r="C1349" t="str">
        <x:v>GATE</x:v>
      </x:c>
      <x:c r="D1349" t="str">
        <x:v>release ledger mirrors governing state</x:v>
      </x:c>
      <x:c r="E1349" t="str">
        <x:f>'Release Gates'!J1325</x:f>
        <x:v>OPEN</x:v>
      </x:c>
      <x:c r="F1349" t="str">
        <x:f>IF('Release Gates'!C1325="PLANNING","PASS",IF('Release Gates'!C1325="PHYSICAL","OPEN","BLOCKED"))</x:f>
        <x:v>OPEN</x:v>
      </x:c>
      <x:c r="G1349" t="str">
        <x:v>equals</x:v>
      </x:c>
      <x:c r="H1349" t="str">
        <x:f>IF(E1349=F1349,"PASS","FAIL")</x:f>
        <x:v>PASS</x:v>
      </x:c>
    </x:row>
    <x:row r="1350">
      <x:c r="B1350" t="str">
        <x:v>A-1320</x:v>
      </x:c>
      <x:c r="C1350" t="str">
        <x:v>GATE</x:v>
      </x:c>
      <x:c r="D1350" t="str">
        <x:v>release ledger mirrors governing state</x:v>
      </x:c>
      <x:c r="E1350" t="str">
        <x:f>'Release Gates'!J1326</x:f>
        <x:v>OPEN</x:v>
      </x:c>
      <x:c r="F1350" t="str">
        <x:f>IF('Release Gates'!C1326="PLANNING","PASS",IF('Release Gates'!C1326="PHYSICAL","OPEN","BLOCKED"))</x:f>
        <x:v>OPEN</x:v>
      </x:c>
      <x:c r="G1350" t="str">
        <x:v>equals</x:v>
      </x:c>
      <x:c r="H1350" t="str">
        <x:f>IF(E1350=F1350,"PASS","FAIL")</x:f>
        <x:v>PASS</x:v>
      </x:c>
    </x:row>
    <x:row r="1351">
      <x:c r="B1351" t="str">
        <x:v>A-1321</x:v>
      </x:c>
      <x:c r="C1351" t="str">
        <x:v>GATE</x:v>
      </x:c>
      <x:c r="D1351" t="str">
        <x:v>release ledger mirrors governing state</x:v>
      </x:c>
      <x:c r="E1351" t="str">
        <x:f>'Release Gates'!J1327</x:f>
        <x:v>OPEN</x:v>
      </x:c>
      <x:c r="F1351" t="str">
        <x:f>IF('Release Gates'!C1327="PLANNING","PASS",IF('Release Gates'!C1327="PHYSICAL","OPEN","BLOCKED"))</x:f>
        <x:v>OPEN</x:v>
      </x:c>
      <x:c r="G1351" t="str">
        <x:v>equals</x:v>
      </x:c>
      <x:c r="H1351" t="str">
        <x:f>IF(E1351=F1351,"PASS","FAIL")</x:f>
        <x:v>PASS</x:v>
      </x:c>
    </x:row>
    <x:row r="1352">
      <x:c r="B1352" t="str">
        <x:v>A-1322</x:v>
      </x:c>
      <x:c r="C1352" t="str">
        <x:v>GATE</x:v>
      </x:c>
      <x:c r="D1352" t="str">
        <x:v>release ledger mirrors governing state</x:v>
      </x:c>
      <x:c r="E1352" t="str">
        <x:f>'Release Gates'!J1328</x:f>
        <x:v>OPEN</x:v>
      </x:c>
      <x:c r="F1352" t="str">
        <x:f>IF('Release Gates'!C1328="PLANNING","PASS",IF('Release Gates'!C1328="PHYSICAL","OPEN","BLOCKED"))</x:f>
        <x:v>OPEN</x:v>
      </x:c>
      <x:c r="G1352" t="str">
        <x:v>equals</x:v>
      </x:c>
      <x:c r="H1352" t="str">
        <x:f>IF(E1352=F1352,"PASS","FAIL")</x:f>
        <x:v>PASS</x:v>
      </x:c>
    </x:row>
    <x:row r="1353">
      <x:c r="B1353" t="str">
        <x:v>A-1323</x:v>
      </x:c>
      <x:c r="C1353" t="str">
        <x:v>GATE</x:v>
      </x:c>
      <x:c r="D1353" t="str">
        <x:v>release ledger mirrors governing state</x:v>
      </x:c>
      <x:c r="E1353" t="str">
        <x:f>'Release Gates'!J1329</x:f>
        <x:v>OPEN</x:v>
      </x:c>
      <x:c r="F1353" t="str">
        <x:f>IF('Release Gates'!C1329="PLANNING","PASS",IF('Release Gates'!C1329="PHYSICAL","OPEN","BLOCKED"))</x:f>
        <x:v>OPEN</x:v>
      </x:c>
      <x:c r="G1353" t="str">
        <x:v>equals</x:v>
      </x:c>
      <x:c r="H1353" t="str">
        <x:f>IF(E1353=F1353,"PASS","FAIL")</x:f>
        <x:v>PASS</x:v>
      </x:c>
    </x:row>
    <x:row r="1354">
      <x:c r="B1354" t="str">
        <x:v>A-1324</x:v>
      </x:c>
      <x:c r="C1354" t="str">
        <x:v>GATE</x:v>
      </x:c>
      <x:c r="D1354" t="str">
        <x:v>release ledger mirrors governing state</x:v>
      </x:c>
      <x:c r="E1354" t="str">
        <x:f>'Release Gates'!J1330</x:f>
        <x:v>OPEN</x:v>
      </x:c>
      <x:c r="F1354" t="str">
        <x:f>IF('Release Gates'!C1330="PLANNING","PASS",IF('Release Gates'!C1330="PHYSICAL","OPEN","BLOCKED"))</x:f>
        <x:v>OPEN</x:v>
      </x:c>
      <x:c r="G1354" t="str">
        <x:v>equals</x:v>
      </x:c>
      <x:c r="H1354" t="str">
        <x:f>IF(E1354=F1354,"PASS","FAIL")</x:f>
        <x:v>PASS</x:v>
      </x:c>
    </x:row>
    <x:row r="1355">
      <x:c r="B1355" t="str">
        <x:v>A-1325</x:v>
      </x:c>
      <x:c r="C1355" t="str">
        <x:v>GATE</x:v>
      </x:c>
      <x:c r="D1355" t="str">
        <x:v>release ledger mirrors governing state</x:v>
      </x:c>
      <x:c r="E1355" t="str">
        <x:f>'Release Gates'!J1331</x:f>
        <x:v>OPEN</x:v>
      </x:c>
      <x:c r="F1355" t="str">
        <x:f>IF('Release Gates'!C1331="PLANNING","PASS",IF('Release Gates'!C1331="PHYSICAL","OPEN","BLOCKED"))</x:f>
        <x:v>OPEN</x:v>
      </x:c>
      <x:c r="G1355" t="str">
        <x:v>equals</x:v>
      </x:c>
      <x:c r="H1355" t="str">
        <x:f>IF(E1355=F1355,"PASS","FAIL")</x:f>
        <x:v>PASS</x:v>
      </x:c>
    </x:row>
    <x:row r="1356">
      <x:c r="B1356" t="str">
        <x:v>A-1326</x:v>
      </x:c>
      <x:c r="C1356" t="str">
        <x:v>GATE</x:v>
      </x:c>
      <x:c r="D1356" t="str">
        <x:v>release ledger mirrors governing state</x:v>
      </x:c>
      <x:c r="E1356" t="str">
        <x:f>'Release Gates'!J1332</x:f>
        <x:v>OPEN</x:v>
      </x:c>
      <x:c r="F1356" t="str">
        <x:f>IF('Release Gates'!C1332="PLANNING","PASS",IF('Release Gates'!C1332="PHYSICAL","OPEN","BLOCKED"))</x:f>
        <x:v>OPEN</x:v>
      </x:c>
      <x:c r="G1356" t="str">
        <x:v>equals</x:v>
      </x:c>
      <x:c r="H1356" t="str">
        <x:f>IF(E1356=F1356,"PASS","FAIL")</x:f>
        <x:v>PASS</x:v>
      </x:c>
    </x:row>
    <x:row r="1357">
      <x:c r="B1357" t="str">
        <x:v>A-1327</x:v>
      </x:c>
      <x:c r="C1357" t="str">
        <x:v>GATE</x:v>
      </x:c>
      <x:c r="D1357" t="str">
        <x:v>release ledger mirrors governing state</x:v>
      </x:c>
      <x:c r="E1357" t="str">
        <x:f>'Release Gates'!J1333</x:f>
        <x:v>OPEN</x:v>
      </x:c>
      <x:c r="F1357" t="str">
        <x:f>IF('Release Gates'!C1333="PLANNING","PASS",IF('Release Gates'!C1333="PHYSICAL","OPEN","BLOCKED"))</x:f>
        <x:v>OPEN</x:v>
      </x:c>
      <x:c r="G1357" t="str">
        <x:v>equals</x:v>
      </x:c>
      <x:c r="H1357" t="str">
        <x:f>IF(E1357=F1357,"PASS","FAIL")</x:f>
        <x:v>PASS</x:v>
      </x:c>
    </x:row>
    <x:row r="1358">
      <x:c r="B1358" t="str">
        <x:v>A-1328</x:v>
      </x:c>
      <x:c r="C1358" t="str">
        <x:v>GATE</x:v>
      </x:c>
      <x:c r="D1358" t="str">
        <x:v>release ledger mirrors governing state</x:v>
      </x:c>
      <x:c r="E1358" t="str">
        <x:f>'Release Gates'!J1334</x:f>
        <x:v>OPEN</x:v>
      </x:c>
      <x:c r="F1358" t="str">
        <x:f>IF('Release Gates'!C1334="PLANNING","PASS",IF('Release Gates'!C1334="PHYSICAL","OPEN","BLOCKED"))</x:f>
        <x:v>OPEN</x:v>
      </x:c>
      <x:c r="G1358" t="str">
        <x:v>equals</x:v>
      </x:c>
      <x:c r="H1358" t="str">
        <x:f>IF(E1358=F1358,"PASS","FAIL")</x:f>
        <x:v>PASS</x:v>
      </x:c>
    </x:row>
    <x:row r="1359">
      <x:c r="B1359" t="str">
        <x:v>A-1329</x:v>
      </x:c>
      <x:c r="C1359" t="str">
        <x:v>GATE</x:v>
      </x:c>
      <x:c r="D1359" t="str">
        <x:v>release ledger mirrors governing state</x:v>
      </x:c>
      <x:c r="E1359" t="str">
        <x:f>'Release Gates'!J1335</x:f>
        <x:v>OPEN</x:v>
      </x:c>
      <x:c r="F1359" t="str">
        <x:f>IF('Release Gates'!C1335="PLANNING","PASS",IF('Release Gates'!C1335="PHYSICAL","OPEN","BLOCKED"))</x:f>
        <x:v>OPEN</x:v>
      </x:c>
      <x:c r="G1359" t="str">
        <x:v>equals</x:v>
      </x:c>
      <x:c r="H1359" t="str">
        <x:f>IF(E1359=F1359,"PASS","FAIL")</x:f>
        <x:v>PASS</x:v>
      </x:c>
    </x:row>
    <x:row r="1360">
      <x:c r="B1360" t="str">
        <x:v>A-1330</x:v>
      </x:c>
      <x:c r="C1360" t="str">
        <x:v>GATE</x:v>
      </x:c>
      <x:c r="D1360" t="str">
        <x:v>release ledger mirrors governing state</x:v>
      </x:c>
      <x:c r="E1360" t="str">
        <x:f>'Release Gates'!J1336</x:f>
        <x:v>OPEN</x:v>
      </x:c>
      <x:c r="F1360" t="str">
        <x:f>IF('Release Gates'!C1336="PLANNING","PASS",IF('Release Gates'!C1336="PHYSICAL","OPEN","BLOCKED"))</x:f>
        <x:v>OPEN</x:v>
      </x:c>
      <x:c r="G1360" t="str">
        <x:v>equals</x:v>
      </x:c>
      <x:c r="H1360" t="str">
        <x:f>IF(E1360=F1360,"PASS","FAIL")</x:f>
        <x:v>PASS</x:v>
      </x:c>
    </x:row>
    <x:row r="1361">
      <x:c r="B1361" t="str">
        <x:v>A-1331</x:v>
      </x:c>
      <x:c r="C1361" t="str">
        <x:v>GATE</x:v>
      </x:c>
      <x:c r="D1361" t="str">
        <x:v>release ledger mirrors governing state</x:v>
      </x:c>
      <x:c r="E1361" t="str">
        <x:f>'Release Gates'!J1337</x:f>
        <x:v>OPEN</x:v>
      </x:c>
      <x:c r="F1361" t="str">
        <x:f>IF('Release Gates'!C1337="PLANNING","PASS",IF('Release Gates'!C1337="PHYSICAL","OPEN","BLOCKED"))</x:f>
        <x:v>OPEN</x:v>
      </x:c>
      <x:c r="G1361" t="str">
        <x:v>equals</x:v>
      </x:c>
      <x:c r="H1361" t="str">
        <x:f>IF(E1361=F1361,"PASS","FAIL")</x:f>
        <x:v>PASS</x:v>
      </x:c>
    </x:row>
    <x:row r="1362">
      <x:c r="B1362" t="str">
        <x:v>A-1332</x:v>
      </x:c>
      <x:c r="C1362" t="str">
        <x:v>GATE</x:v>
      </x:c>
      <x:c r="D1362" t="str">
        <x:v>release ledger mirrors governing state</x:v>
      </x:c>
      <x:c r="E1362" t="str">
        <x:f>'Release Gates'!J1338</x:f>
        <x:v>OPEN</x:v>
      </x:c>
      <x:c r="F1362" t="str">
        <x:f>IF('Release Gates'!C1338="PLANNING","PASS",IF('Release Gates'!C1338="PHYSICAL","OPEN","BLOCKED"))</x:f>
        <x:v>OPEN</x:v>
      </x:c>
      <x:c r="G1362" t="str">
        <x:v>equals</x:v>
      </x:c>
      <x:c r="H1362" t="str">
        <x:f>IF(E1362=F1362,"PASS","FAIL")</x:f>
        <x:v>PASS</x:v>
      </x:c>
    </x:row>
    <x:row r="1363">
      <x:c r="B1363" t="str">
        <x:v>A-1333</x:v>
      </x:c>
      <x:c r="C1363" t="str">
        <x:v>GATE</x:v>
      </x:c>
      <x:c r="D1363" t="str">
        <x:v>release ledger mirrors governing state</x:v>
      </x:c>
      <x:c r="E1363" t="str">
        <x:f>'Release Gates'!J1339</x:f>
        <x:v>OPEN</x:v>
      </x:c>
      <x:c r="F1363" t="str">
        <x:f>IF('Release Gates'!C1339="PLANNING","PASS",IF('Release Gates'!C1339="PHYSICAL","OPEN","BLOCKED"))</x:f>
        <x:v>OPEN</x:v>
      </x:c>
      <x:c r="G1363" t="str">
        <x:v>equals</x:v>
      </x:c>
      <x:c r="H1363" t="str">
        <x:f>IF(E1363=F1363,"PASS","FAIL")</x:f>
        <x:v>PASS</x:v>
      </x:c>
    </x:row>
    <x:row r="1364">
      <x:c r="B1364" t="str">
        <x:v>A-1334</x:v>
      </x:c>
      <x:c r="C1364" t="str">
        <x:v>GATE</x:v>
      </x:c>
      <x:c r="D1364" t="str">
        <x:v>release ledger mirrors governing state</x:v>
      </x:c>
      <x:c r="E1364" t="str">
        <x:f>'Release Gates'!J1340</x:f>
        <x:v>OPEN</x:v>
      </x:c>
      <x:c r="F1364" t="str">
        <x:f>IF('Release Gates'!C1340="PLANNING","PASS",IF('Release Gates'!C1340="PHYSICAL","OPEN","BLOCKED"))</x:f>
        <x:v>OPEN</x:v>
      </x:c>
      <x:c r="G1364" t="str">
        <x:v>equals</x:v>
      </x:c>
      <x:c r="H1364" t="str">
        <x:f>IF(E1364=F1364,"PASS","FAIL")</x:f>
        <x:v>PASS</x:v>
      </x:c>
    </x:row>
    <x:row r="1365">
      <x:c r="B1365" t="str">
        <x:v>A-1335</x:v>
      </x:c>
      <x:c r="C1365" t="str">
        <x:v>GATE</x:v>
      </x:c>
      <x:c r="D1365" t="str">
        <x:v>release ledger mirrors governing state</x:v>
      </x:c>
      <x:c r="E1365" t="str">
        <x:f>'Release Gates'!J1341</x:f>
        <x:v>OPEN</x:v>
      </x:c>
      <x:c r="F1365" t="str">
        <x:f>IF('Release Gates'!C1341="PLANNING","PASS",IF('Release Gates'!C1341="PHYSICAL","OPEN","BLOCKED"))</x:f>
        <x:v>OPEN</x:v>
      </x:c>
      <x:c r="G1365" t="str">
        <x:v>equals</x:v>
      </x:c>
      <x:c r="H1365" t="str">
        <x:f>IF(E1365=F1365,"PASS","FAIL")</x:f>
        <x:v>PASS</x:v>
      </x:c>
    </x:row>
    <x:row r="1366">
      <x:c r="B1366" t="str">
        <x:v>A-1336</x:v>
      </x:c>
      <x:c r="C1366" t="str">
        <x:v>GATE</x:v>
      </x:c>
      <x:c r="D1366" t="str">
        <x:v>release ledger mirrors governing state</x:v>
      </x:c>
      <x:c r="E1366" t="str">
        <x:f>'Release Gates'!J1342</x:f>
        <x:v>OPEN</x:v>
      </x:c>
      <x:c r="F1366" t="str">
        <x:f>IF('Release Gates'!C1342="PLANNING","PASS",IF('Release Gates'!C1342="PHYSICAL","OPEN","BLOCKED"))</x:f>
        <x:v>OPEN</x:v>
      </x:c>
      <x:c r="G1366" t="str">
        <x:v>equals</x:v>
      </x:c>
      <x:c r="H1366" t="str">
        <x:f>IF(E1366=F1366,"PASS","FAIL")</x:f>
        <x:v>PASS</x:v>
      </x:c>
    </x:row>
    <x:row r="1367">
      <x:c r="B1367" t="str">
        <x:v>A-1337</x:v>
      </x:c>
      <x:c r="C1367" t="str">
        <x:v>GATE</x:v>
      </x:c>
      <x:c r="D1367" t="str">
        <x:v>release ledger mirrors governing state</x:v>
      </x:c>
      <x:c r="E1367" t="str">
        <x:f>'Release Gates'!J1343</x:f>
        <x:v>OPEN</x:v>
      </x:c>
      <x:c r="F1367" t="str">
        <x:f>IF('Release Gates'!C1343="PLANNING","PASS",IF('Release Gates'!C1343="PHYSICAL","OPEN","BLOCKED"))</x:f>
        <x:v>OPEN</x:v>
      </x:c>
      <x:c r="G1367" t="str">
        <x:v>equals</x:v>
      </x:c>
      <x:c r="H1367" t="str">
        <x:f>IF(E1367=F1367,"PASS","FAIL")</x:f>
        <x:v>PASS</x:v>
      </x:c>
    </x:row>
    <x:row r="1368">
      <x:c r="B1368" t="str">
        <x:v>A-1338</x:v>
      </x:c>
      <x:c r="C1368" t="str">
        <x:v>GATE</x:v>
      </x:c>
      <x:c r="D1368" t="str">
        <x:v>release ledger mirrors governing state</x:v>
      </x:c>
      <x:c r="E1368" t="str">
        <x:f>'Release Gates'!J1344</x:f>
        <x:v>OPEN</x:v>
      </x:c>
      <x:c r="F1368" t="str">
        <x:f>IF('Release Gates'!C1344="PLANNING","PASS",IF('Release Gates'!C1344="PHYSICAL","OPEN","BLOCKED"))</x:f>
        <x:v>OPEN</x:v>
      </x:c>
      <x:c r="G1368" t="str">
        <x:v>equals</x:v>
      </x:c>
      <x:c r="H1368" t="str">
        <x:f>IF(E1368=F1368,"PASS","FAIL")</x:f>
        <x:v>PASS</x:v>
      </x:c>
    </x:row>
    <x:row r="1369">
      <x:c r="B1369" t="str">
        <x:v>A-1339</x:v>
      </x:c>
      <x:c r="C1369" t="str">
        <x:v>GATE</x:v>
      </x:c>
      <x:c r="D1369" t="str">
        <x:v>release ledger mirrors governing state</x:v>
      </x:c>
      <x:c r="E1369" t="str">
        <x:f>'Release Gates'!J1345</x:f>
        <x:v>OPEN</x:v>
      </x:c>
      <x:c r="F1369" t="str">
        <x:f>IF('Release Gates'!C1345="PLANNING","PASS",IF('Release Gates'!C1345="PHYSICAL","OPEN","BLOCKED"))</x:f>
        <x:v>OPEN</x:v>
      </x:c>
      <x:c r="G1369" t="str">
        <x:v>equals</x:v>
      </x:c>
      <x:c r="H1369" t="str">
        <x:f>IF(E1369=F1369,"PASS","FAIL")</x:f>
        <x:v>PASS</x:v>
      </x:c>
    </x:row>
    <x:row r="1370">
      <x:c r="B1370" t="str">
        <x:v>A-1340</x:v>
      </x:c>
      <x:c r="C1370" t="str">
        <x:v>GATE</x:v>
      </x:c>
      <x:c r="D1370" t="str">
        <x:v>release ledger mirrors governing state</x:v>
      </x:c>
      <x:c r="E1370" t="str">
        <x:f>'Release Gates'!J1346</x:f>
        <x:v>OPEN</x:v>
      </x:c>
      <x:c r="F1370" t="str">
        <x:f>IF('Release Gates'!C1346="PLANNING","PASS",IF('Release Gates'!C1346="PHYSICAL","OPEN","BLOCKED"))</x:f>
        <x:v>OPEN</x:v>
      </x:c>
      <x:c r="G1370" t="str">
        <x:v>equals</x:v>
      </x:c>
      <x:c r="H1370" t="str">
        <x:f>IF(E1370=F1370,"PASS","FAIL")</x:f>
        <x:v>PASS</x:v>
      </x:c>
    </x:row>
    <x:row r="1371">
      <x:c r="B1371" t="str">
        <x:v>A-1341</x:v>
      </x:c>
      <x:c r="C1371" t="str">
        <x:v>GATE</x:v>
      </x:c>
      <x:c r="D1371" t="str">
        <x:v>release ledger mirrors governing state</x:v>
      </x:c>
      <x:c r="E1371" t="str">
        <x:f>'Release Gates'!J1347</x:f>
        <x:v>OPEN</x:v>
      </x:c>
      <x:c r="F1371" t="str">
        <x:f>IF('Release Gates'!C1347="PLANNING","PASS",IF('Release Gates'!C1347="PHYSICAL","OPEN","BLOCKED"))</x:f>
        <x:v>OPEN</x:v>
      </x:c>
      <x:c r="G1371" t="str">
        <x:v>equals</x:v>
      </x:c>
      <x:c r="H1371" t="str">
        <x:f>IF(E1371=F1371,"PASS","FAIL")</x:f>
        <x:v>PASS</x:v>
      </x:c>
    </x:row>
    <x:row r="1372">
      <x:c r="B1372" t="str">
        <x:v>A-1342</x:v>
      </x:c>
      <x:c r="C1372" t="str">
        <x:v>GATE</x:v>
      </x:c>
      <x:c r="D1372" t="str">
        <x:v>release ledger mirrors governing state</x:v>
      </x:c>
      <x:c r="E1372" t="str">
        <x:f>'Release Gates'!J1348</x:f>
        <x:v>OPEN</x:v>
      </x:c>
      <x:c r="F1372" t="str">
        <x:f>IF('Release Gates'!C1348="PLANNING","PASS",IF('Release Gates'!C1348="PHYSICAL","OPEN","BLOCKED"))</x:f>
        <x:v>OPEN</x:v>
      </x:c>
      <x:c r="G1372" t="str">
        <x:v>equals</x:v>
      </x:c>
      <x:c r="H1372" t="str">
        <x:f>IF(E1372=F1372,"PASS","FAIL")</x:f>
        <x:v>PASS</x:v>
      </x:c>
    </x:row>
    <x:row r="1373">
      <x:c r="B1373" t="str">
        <x:v>A-1343</x:v>
      </x:c>
      <x:c r="C1373" t="str">
        <x:v>GATE</x:v>
      </x:c>
      <x:c r="D1373" t="str">
        <x:v>release ledger mirrors governing state</x:v>
      </x:c>
      <x:c r="E1373" t="str">
        <x:f>'Release Gates'!J1349</x:f>
        <x:v>OPEN</x:v>
      </x:c>
      <x:c r="F1373" t="str">
        <x:f>IF('Release Gates'!C1349="PLANNING","PASS",IF('Release Gates'!C1349="PHYSICAL","OPEN","BLOCKED"))</x:f>
        <x:v>OPEN</x:v>
      </x:c>
      <x:c r="G1373" t="str">
        <x:v>equals</x:v>
      </x:c>
      <x:c r="H1373" t="str">
        <x:f>IF(E1373=F1373,"PASS","FAIL")</x:f>
        <x:v>PASS</x:v>
      </x:c>
    </x:row>
    <x:row r="1374">
      <x:c r="B1374" t="str">
        <x:v>A-1344</x:v>
      </x:c>
      <x:c r="C1374" t="str">
        <x:v>GATE</x:v>
      </x:c>
      <x:c r="D1374" t="str">
        <x:v>release ledger mirrors governing state</x:v>
      </x:c>
      <x:c r="E1374" t="str">
        <x:f>'Release Gates'!J1350</x:f>
        <x:v>OPEN</x:v>
      </x:c>
      <x:c r="F1374" t="str">
        <x:f>IF('Release Gates'!C1350="PLANNING","PASS",IF('Release Gates'!C1350="PHYSICAL","OPEN","BLOCKED"))</x:f>
        <x:v>OPEN</x:v>
      </x:c>
      <x:c r="G1374" t="str">
        <x:v>equals</x:v>
      </x:c>
      <x:c r="H1374" t="str">
        <x:f>IF(E1374=F1374,"PASS","FAIL")</x:f>
        <x:v>PASS</x:v>
      </x:c>
    </x:row>
    <x:row r="1375">
      <x:c r="B1375" t="str">
        <x:v>A-1345</x:v>
      </x:c>
      <x:c r="C1375" t="str">
        <x:v>GATE</x:v>
      </x:c>
      <x:c r="D1375" t="str">
        <x:v>release ledger mirrors governing state</x:v>
      </x:c>
      <x:c r="E1375" t="str">
        <x:f>'Release Gates'!J1351</x:f>
        <x:v>OPEN</x:v>
      </x:c>
      <x:c r="F1375" t="str">
        <x:f>IF('Release Gates'!C1351="PLANNING","PASS",IF('Release Gates'!C1351="PHYSICAL","OPEN","BLOCKED"))</x:f>
        <x:v>OPEN</x:v>
      </x:c>
      <x:c r="G1375" t="str">
        <x:v>equals</x:v>
      </x:c>
      <x:c r="H1375" t="str">
        <x:f>IF(E1375=F1375,"PASS","FAIL")</x:f>
        <x:v>PASS</x:v>
      </x:c>
    </x:row>
    <x:row r="1376">
      <x:c r="B1376" t="str">
        <x:v>A-1346</x:v>
      </x:c>
      <x:c r="C1376" t="str">
        <x:v>GATE</x:v>
      </x:c>
      <x:c r="D1376" t="str">
        <x:v>release ledger mirrors governing state</x:v>
      </x:c>
      <x:c r="E1376" t="str">
        <x:f>'Release Gates'!J1352</x:f>
        <x:v>OPEN</x:v>
      </x:c>
      <x:c r="F1376" t="str">
        <x:f>IF('Release Gates'!C1352="PLANNING","PASS",IF('Release Gates'!C1352="PHYSICAL","OPEN","BLOCKED"))</x:f>
        <x:v>OPEN</x:v>
      </x:c>
      <x:c r="G1376" t="str">
        <x:v>equals</x:v>
      </x:c>
      <x:c r="H1376" t="str">
        <x:f>IF(E1376=F1376,"PASS","FAIL")</x:f>
        <x:v>PASS</x:v>
      </x:c>
    </x:row>
    <x:row r="1377">
      <x:c r="B1377" t="str">
        <x:v>A-1347</x:v>
      </x:c>
      <x:c r="C1377" t="str">
        <x:v>GATE</x:v>
      </x:c>
      <x:c r="D1377" t="str">
        <x:v>release ledger mirrors governing state</x:v>
      </x:c>
      <x:c r="E1377" t="str">
        <x:f>'Release Gates'!J1353</x:f>
        <x:v>OPEN</x:v>
      </x:c>
      <x:c r="F1377" t="str">
        <x:f>IF('Release Gates'!C1353="PLANNING","PASS",IF('Release Gates'!C1353="PHYSICAL","OPEN","BLOCKED"))</x:f>
        <x:v>OPEN</x:v>
      </x:c>
      <x:c r="G1377" t="str">
        <x:v>equals</x:v>
      </x:c>
      <x:c r="H1377" t="str">
        <x:f>IF(E1377=F1377,"PASS","FAIL")</x:f>
        <x:v>PASS</x:v>
      </x:c>
    </x:row>
    <x:row r="1378">
      <x:c r="B1378" t="str">
        <x:v>A-1348</x:v>
      </x:c>
      <x:c r="C1378" t="str">
        <x:v>GATE</x:v>
      </x:c>
      <x:c r="D1378" t="str">
        <x:v>release ledger mirrors governing state</x:v>
      </x:c>
      <x:c r="E1378" t="str">
        <x:f>'Release Gates'!J1354</x:f>
        <x:v>OPEN</x:v>
      </x:c>
      <x:c r="F1378" t="str">
        <x:f>IF('Release Gates'!C1354="PLANNING","PASS",IF('Release Gates'!C1354="PHYSICAL","OPEN","BLOCKED"))</x:f>
        <x:v>OPEN</x:v>
      </x:c>
      <x:c r="G1378" t="str">
        <x:v>equals</x:v>
      </x:c>
      <x:c r="H1378" t="str">
        <x:f>IF(E1378=F1378,"PASS","FAIL")</x:f>
        <x:v>PASS</x:v>
      </x:c>
    </x:row>
    <x:row r="1379">
      <x:c r="B1379" t="str">
        <x:v>A-1349</x:v>
      </x:c>
      <x:c r="C1379" t="str">
        <x:v>GATE</x:v>
      </x:c>
      <x:c r="D1379" t="str">
        <x:v>release ledger mirrors governing state</x:v>
      </x:c>
      <x:c r="E1379" t="str">
        <x:f>'Release Gates'!J1355</x:f>
        <x:v>OPEN</x:v>
      </x:c>
      <x:c r="F1379" t="str">
        <x:f>IF('Release Gates'!C1355="PLANNING","PASS",IF('Release Gates'!C1355="PHYSICAL","OPEN","BLOCKED"))</x:f>
        <x:v>OPEN</x:v>
      </x:c>
      <x:c r="G1379" t="str">
        <x:v>equals</x:v>
      </x:c>
      <x:c r="H1379" t="str">
        <x:f>IF(E1379=F1379,"PASS","FAIL")</x:f>
        <x:v>PASS</x:v>
      </x:c>
    </x:row>
    <x:row r="1380">
      <x:c r="B1380" t="str">
        <x:v>A-1350</x:v>
      </x:c>
      <x:c r="C1380" t="str">
        <x:v>GATE</x:v>
      </x:c>
      <x:c r="D1380" t="str">
        <x:v>release ledger mirrors governing state</x:v>
      </x:c>
      <x:c r="E1380" t="str">
        <x:f>'Release Gates'!J1356</x:f>
        <x:v>OPEN</x:v>
      </x:c>
      <x:c r="F1380" t="str">
        <x:f>IF('Release Gates'!C1356="PLANNING","PASS",IF('Release Gates'!C1356="PHYSICAL","OPEN","BLOCKED"))</x:f>
        <x:v>OPEN</x:v>
      </x:c>
      <x:c r="G1380" t="str">
        <x:v>equals</x:v>
      </x:c>
      <x:c r="H1380" t="str">
        <x:f>IF(E1380=F1380,"PASS","FAIL")</x:f>
        <x:v>PASS</x:v>
      </x:c>
    </x:row>
    <x:row r="1381">
      <x:c r="B1381" t="str">
        <x:v>A-1351</x:v>
      </x:c>
      <x:c r="C1381" t="str">
        <x:v>GATE</x:v>
      </x:c>
      <x:c r="D1381" t="str">
        <x:v>release ledger mirrors governing state</x:v>
      </x:c>
      <x:c r="E1381" t="str">
        <x:f>'Release Gates'!J1357</x:f>
        <x:v>OPEN</x:v>
      </x:c>
      <x:c r="F1381" t="str">
        <x:f>IF('Release Gates'!C1357="PLANNING","PASS",IF('Release Gates'!C1357="PHYSICAL","OPEN","BLOCKED"))</x:f>
        <x:v>OPEN</x:v>
      </x:c>
      <x:c r="G1381" t="str">
        <x:v>equals</x:v>
      </x:c>
      <x:c r="H1381" t="str">
        <x:f>IF(E1381=F1381,"PASS","FAIL")</x:f>
        <x:v>PASS</x:v>
      </x:c>
    </x:row>
    <x:row r="1382">
      <x:c r="B1382" t="str">
        <x:v>A-1352</x:v>
      </x:c>
      <x:c r="C1382" t="str">
        <x:v>GATE</x:v>
      </x:c>
      <x:c r="D1382" t="str">
        <x:v>release ledger mirrors governing state</x:v>
      </x:c>
      <x:c r="E1382" t="str">
        <x:f>'Release Gates'!J1358</x:f>
        <x:v>OPEN</x:v>
      </x:c>
      <x:c r="F1382" t="str">
        <x:f>IF('Release Gates'!C1358="PLANNING","PASS",IF('Release Gates'!C1358="PHYSICAL","OPEN","BLOCKED"))</x:f>
        <x:v>OPEN</x:v>
      </x:c>
      <x:c r="G1382" t="str">
        <x:v>equals</x:v>
      </x:c>
      <x:c r="H1382" t="str">
        <x:f>IF(E1382=F1382,"PASS","FAIL")</x:f>
        <x:v>PASS</x:v>
      </x:c>
    </x:row>
    <x:row r="1383">
      <x:c r="B1383" t="str">
        <x:v>A-1353</x:v>
      </x:c>
      <x:c r="C1383" t="str">
        <x:v>GATE</x:v>
      </x:c>
      <x:c r="D1383" t="str">
        <x:v>release ledger mirrors governing state</x:v>
      </x:c>
      <x:c r="E1383" t="str">
        <x:f>'Release Gates'!J1359</x:f>
        <x:v>OPEN</x:v>
      </x:c>
      <x:c r="F1383" t="str">
        <x:f>IF('Release Gates'!C1359="PLANNING","PASS",IF('Release Gates'!C1359="PHYSICAL","OPEN","BLOCKED"))</x:f>
        <x:v>OPEN</x:v>
      </x:c>
      <x:c r="G1383" t="str">
        <x:v>equals</x:v>
      </x:c>
      <x:c r="H1383" t="str">
        <x:f>IF(E1383=F1383,"PASS","FAIL")</x:f>
        <x:v>PASS</x:v>
      </x:c>
    </x:row>
    <x:row r="1384">
      <x:c r="B1384" t="str">
        <x:v>A-1354</x:v>
      </x:c>
      <x:c r="C1384" t="str">
        <x:v>GATE</x:v>
      </x:c>
      <x:c r="D1384" t="str">
        <x:v>release ledger mirrors governing state</x:v>
      </x:c>
      <x:c r="E1384" t="str">
        <x:f>'Release Gates'!J1360</x:f>
        <x:v>OPEN</x:v>
      </x:c>
      <x:c r="F1384" t="str">
        <x:f>IF('Release Gates'!C1360="PLANNING","PASS",IF('Release Gates'!C1360="PHYSICAL","OPEN","BLOCKED"))</x:f>
        <x:v>OPEN</x:v>
      </x:c>
      <x:c r="G1384" t="str">
        <x:v>equals</x:v>
      </x:c>
      <x:c r="H1384" t="str">
        <x:f>IF(E1384=F1384,"PASS","FAIL")</x:f>
        <x:v>PASS</x:v>
      </x:c>
    </x:row>
    <x:row r="1385">
      <x:c r="B1385" t="str">
        <x:v>A-1355</x:v>
      </x:c>
      <x:c r="C1385" t="str">
        <x:v>GATE</x:v>
      </x:c>
      <x:c r="D1385" t="str">
        <x:v>release ledger mirrors governing state</x:v>
      </x:c>
      <x:c r="E1385" t="str">
        <x:f>'Release Gates'!J1361</x:f>
        <x:v>OPEN</x:v>
      </x:c>
      <x:c r="F1385" t="str">
        <x:f>IF('Release Gates'!C1361="PLANNING","PASS",IF('Release Gates'!C1361="PHYSICAL","OPEN","BLOCKED"))</x:f>
        <x:v>OPEN</x:v>
      </x:c>
      <x:c r="G1385" t="str">
        <x:v>equals</x:v>
      </x:c>
      <x:c r="H1385" t="str">
        <x:f>IF(E1385=F1385,"PASS","FAIL")</x:f>
        <x:v>PASS</x:v>
      </x:c>
    </x:row>
    <x:row r="1386">
      <x:c r="B1386" t="str">
        <x:v>A-1356</x:v>
      </x:c>
      <x:c r="C1386" t="str">
        <x:v>GATE</x:v>
      </x:c>
      <x:c r="D1386" t="str">
        <x:v>release ledger mirrors governing state</x:v>
      </x:c>
      <x:c r="E1386" t="str">
        <x:f>'Release Gates'!J1362</x:f>
        <x:v>OPEN</x:v>
      </x:c>
      <x:c r="F1386" t="str">
        <x:f>IF('Release Gates'!C1362="PLANNING","PASS",IF('Release Gates'!C1362="PHYSICAL","OPEN","BLOCKED"))</x:f>
        <x:v>OPEN</x:v>
      </x:c>
      <x:c r="G1386" t="str">
        <x:v>equals</x:v>
      </x:c>
      <x:c r="H1386" t="str">
        <x:f>IF(E1386=F1386,"PASS","FAIL")</x:f>
        <x:v>PASS</x:v>
      </x:c>
    </x:row>
    <x:row r="1387">
      <x:c r="B1387" t="str">
        <x:v>A-1357</x:v>
      </x:c>
      <x:c r="C1387" t="str">
        <x:v>GATE</x:v>
      </x:c>
      <x:c r="D1387" t="str">
        <x:v>release ledger mirrors governing state</x:v>
      </x:c>
      <x:c r="E1387" t="str">
        <x:f>'Release Gates'!J1363</x:f>
        <x:v>OPEN</x:v>
      </x:c>
      <x:c r="F1387" t="str">
        <x:f>IF('Release Gates'!C1363="PLANNING","PASS",IF('Release Gates'!C1363="PHYSICAL","OPEN","BLOCKED"))</x:f>
        <x:v>OPEN</x:v>
      </x:c>
      <x:c r="G1387" t="str">
        <x:v>equals</x:v>
      </x:c>
      <x:c r="H1387" t="str">
        <x:f>IF(E1387=F1387,"PASS","FAIL")</x:f>
        <x:v>PASS</x:v>
      </x:c>
    </x:row>
    <x:row r="1388">
      <x:c r="B1388" t="str">
        <x:v>A-1358</x:v>
      </x:c>
      <x:c r="C1388" t="str">
        <x:v>GATE</x:v>
      </x:c>
      <x:c r="D1388" t="str">
        <x:v>release ledger mirrors governing state</x:v>
      </x:c>
      <x:c r="E1388" t="str">
        <x:f>'Release Gates'!J1364</x:f>
        <x:v>OPEN</x:v>
      </x:c>
      <x:c r="F1388" t="str">
        <x:f>IF('Release Gates'!C1364="PLANNING","PASS",IF('Release Gates'!C1364="PHYSICAL","OPEN","BLOCKED"))</x:f>
        <x:v>OPEN</x:v>
      </x:c>
      <x:c r="G1388" t="str">
        <x:v>equals</x:v>
      </x:c>
      <x:c r="H1388" t="str">
        <x:f>IF(E1388=F1388,"PASS","FAIL")</x:f>
        <x:v>PASS</x:v>
      </x:c>
    </x:row>
    <x:row r="1389">
      <x:c r="B1389" t="str">
        <x:v>A-1359</x:v>
      </x:c>
      <x:c r="C1389" t="str">
        <x:v>GATE</x:v>
      </x:c>
      <x:c r="D1389" t="str">
        <x:v>release ledger mirrors governing state</x:v>
      </x:c>
      <x:c r="E1389" t="str">
        <x:f>'Release Gates'!J1365</x:f>
        <x:v>OPEN</x:v>
      </x:c>
      <x:c r="F1389" t="str">
        <x:f>IF('Release Gates'!C1365="PLANNING","PASS",IF('Release Gates'!C1365="PHYSICAL","OPEN","BLOCKED"))</x:f>
        <x:v>OPEN</x:v>
      </x:c>
      <x:c r="G1389" t="str">
        <x:v>equals</x:v>
      </x:c>
      <x:c r="H1389" t="str">
        <x:f>IF(E1389=F1389,"PASS","FAIL")</x:f>
        <x:v>PASS</x:v>
      </x:c>
    </x:row>
    <x:row r="1390">
      <x:c r="B1390" t="str">
        <x:v>A-1360</x:v>
      </x:c>
      <x:c r="C1390" t="str">
        <x:v>GATE</x:v>
      </x:c>
      <x:c r="D1390" t="str">
        <x:v>release ledger mirrors governing state</x:v>
      </x:c>
      <x:c r="E1390" t="str">
        <x:f>'Release Gates'!J1366</x:f>
        <x:v>OPEN</x:v>
      </x:c>
      <x:c r="F1390" t="str">
        <x:f>IF('Release Gates'!C1366="PLANNING","PASS",IF('Release Gates'!C1366="PHYSICAL","OPEN","BLOCKED"))</x:f>
        <x:v>OPEN</x:v>
      </x:c>
      <x:c r="G1390" t="str">
        <x:v>equals</x:v>
      </x:c>
      <x:c r="H1390" t="str">
        <x:f>IF(E1390=F1390,"PASS","FAIL")</x:f>
        <x:v>PASS</x:v>
      </x:c>
    </x:row>
    <x:row r="1391">
      <x:c r="B1391" t="str">
        <x:v>A-1361</x:v>
      </x:c>
      <x:c r="C1391" t="str">
        <x:v>GATE</x:v>
      </x:c>
      <x:c r="D1391" t="str">
        <x:v>release ledger mirrors governing state</x:v>
      </x:c>
      <x:c r="E1391" t="str">
        <x:f>'Release Gates'!J1367</x:f>
        <x:v>OPEN</x:v>
      </x:c>
      <x:c r="F1391" t="str">
        <x:f>IF('Release Gates'!C1367="PLANNING","PASS",IF('Release Gates'!C1367="PHYSICAL","OPEN","BLOCKED"))</x:f>
        <x:v>OPEN</x:v>
      </x:c>
      <x:c r="G1391" t="str">
        <x:v>equals</x:v>
      </x:c>
      <x:c r="H1391" t="str">
        <x:f>IF(E1391=F1391,"PASS","FAIL")</x:f>
        <x:v>PASS</x:v>
      </x:c>
    </x:row>
    <x:row r="1392">
      <x:c r="B1392" t="str">
        <x:v>A-1362</x:v>
      </x:c>
      <x:c r="C1392" t="str">
        <x:v>GATE</x:v>
      </x:c>
      <x:c r="D1392" t="str">
        <x:v>release ledger mirrors governing state</x:v>
      </x:c>
      <x:c r="E1392" t="str">
        <x:f>'Release Gates'!J1368</x:f>
        <x:v>OPEN</x:v>
      </x:c>
      <x:c r="F1392" t="str">
        <x:f>IF('Release Gates'!C1368="PLANNING","PASS",IF('Release Gates'!C1368="PHYSICAL","OPEN","BLOCKED"))</x:f>
        <x:v>OPEN</x:v>
      </x:c>
      <x:c r="G1392" t="str">
        <x:v>equals</x:v>
      </x:c>
      <x:c r="H1392" t="str">
        <x:f>IF(E1392=F1392,"PASS","FAIL")</x:f>
        <x:v>PASS</x:v>
      </x:c>
    </x:row>
    <x:row r="1393">
      <x:c r="B1393" t="str">
        <x:v>A-1363</x:v>
      </x:c>
      <x:c r="C1393" t="str">
        <x:v>GATE</x:v>
      </x:c>
      <x:c r="D1393" t="str">
        <x:v>release ledger mirrors governing state</x:v>
      </x:c>
      <x:c r="E1393" t="str">
        <x:f>'Release Gates'!J1369</x:f>
        <x:v>OPEN</x:v>
      </x:c>
      <x:c r="F1393" t="str">
        <x:f>IF('Release Gates'!C1369="PLANNING","PASS",IF('Release Gates'!C1369="PHYSICAL","OPEN","BLOCKED"))</x:f>
        <x:v>OPEN</x:v>
      </x:c>
      <x:c r="G1393" t="str">
        <x:v>equals</x:v>
      </x:c>
      <x:c r="H1393" t="str">
        <x:f>IF(E1393=F1393,"PASS","FAIL")</x:f>
        <x:v>PASS</x:v>
      </x:c>
    </x:row>
    <x:row r="1394">
      <x:c r="B1394" t="str">
        <x:v>A-1364</x:v>
      </x:c>
      <x:c r="C1394" t="str">
        <x:v>GATE</x:v>
      </x:c>
      <x:c r="D1394" t="str">
        <x:v>release ledger mirrors governing state</x:v>
      </x:c>
      <x:c r="E1394" t="str">
        <x:f>'Release Gates'!J1370</x:f>
        <x:v>OPEN</x:v>
      </x:c>
      <x:c r="F1394" t="str">
        <x:f>IF('Release Gates'!C1370="PLANNING","PASS",IF('Release Gates'!C1370="PHYSICAL","OPEN","BLOCKED"))</x:f>
        <x:v>OPEN</x:v>
      </x:c>
      <x:c r="G1394" t="str">
        <x:v>equals</x:v>
      </x:c>
      <x:c r="H1394" t="str">
        <x:f>IF(E1394=F1394,"PASS","FAIL")</x:f>
        <x:v>PASS</x:v>
      </x:c>
    </x:row>
    <x:row r="1395">
      <x:c r="B1395" t="str">
        <x:v>A-1365</x:v>
      </x:c>
      <x:c r="C1395" t="str">
        <x:v>GATE</x:v>
      </x:c>
      <x:c r="D1395" t="str">
        <x:v>release ledger mirrors governing state</x:v>
      </x:c>
      <x:c r="E1395" t="str">
        <x:f>'Release Gates'!J1371</x:f>
        <x:v>OPEN</x:v>
      </x:c>
      <x:c r="F1395" t="str">
        <x:f>IF('Release Gates'!C1371="PLANNING","PASS",IF('Release Gates'!C1371="PHYSICAL","OPEN","BLOCKED"))</x:f>
        <x:v>OPEN</x:v>
      </x:c>
      <x:c r="G1395" t="str">
        <x:v>equals</x:v>
      </x:c>
      <x:c r="H1395" t="str">
        <x:f>IF(E1395=F1395,"PASS","FAIL")</x:f>
        <x:v>PASS</x:v>
      </x:c>
    </x:row>
    <x:row r="1396">
      <x:c r="B1396" t="str">
        <x:v>A-1366</x:v>
      </x:c>
      <x:c r="C1396" t="str">
        <x:v>GATE</x:v>
      </x:c>
      <x:c r="D1396" t="str">
        <x:v>release ledger mirrors governing state</x:v>
      </x:c>
      <x:c r="E1396" t="str">
        <x:f>'Release Gates'!J1372</x:f>
        <x:v>OPEN</x:v>
      </x:c>
      <x:c r="F1396" t="str">
        <x:f>IF('Release Gates'!C1372="PLANNING","PASS",IF('Release Gates'!C1372="PHYSICAL","OPEN","BLOCKED"))</x:f>
        <x:v>OPEN</x:v>
      </x:c>
      <x:c r="G1396" t="str">
        <x:v>equals</x:v>
      </x:c>
      <x:c r="H1396" t="str">
        <x:f>IF(E1396=F1396,"PASS","FAIL")</x:f>
        <x:v>PASS</x:v>
      </x:c>
    </x:row>
    <x:row r="1397">
      <x:c r="B1397" t="str">
        <x:v>A-1367</x:v>
      </x:c>
      <x:c r="C1397" t="str">
        <x:v>GATE</x:v>
      </x:c>
      <x:c r="D1397" t="str">
        <x:v>release ledger mirrors governing state</x:v>
      </x:c>
      <x:c r="E1397" t="str">
        <x:f>'Release Gates'!J1373</x:f>
        <x:v>OPEN</x:v>
      </x:c>
      <x:c r="F1397" t="str">
        <x:f>IF('Release Gates'!C1373="PLANNING","PASS",IF('Release Gates'!C1373="PHYSICAL","OPEN","BLOCKED"))</x:f>
        <x:v>OPEN</x:v>
      </x:c>
      <x:c r="G1397" t="str">
        <x:v>equals</x:v>
      </x:c>
      <x:c r="H1397" t="str">
        <x:f>IF(E1397=F1397,"PASS","FAIL")</x:f>
        <x:v>PASS</x:v>
      </x:c>
    </x:row>
    <x:row r="1398">
      <x:c r="B1398" t="str">
        <x:v>A-1368</x:v>
      </x:c>
      <x:c r="C1398" t="str">
        <x:v>GATE</x:v>
      </x:c>
      <x:c r="D1398" t="str">
        <x:v>release ledger mirrors governing state</x:v>
      </x:c>
      <x:c r="E1398" t="str">
        <x:f>'Release Gates'!J1374</x:f>
        <x:v>OPEN</x:v>
      </x:c>
      <x:c r="F1398" t="str">
        <x:f>IF('Release Gates'!C1374="PLANNING","PASS",IF('Release Gates'!C1374="PHYSICAL","OPEN","BLOCKED"))</x:f>
        <x:v>OPEN</x:v>
      </x:c>
      <x:c r="G1398" t="str">
        <x:v>equals</x:v>
      </x:c>
      <x:c r="H1398" t="str">
        <x:f>IF(E1398=F1398,"PASS","FAIL")</x:f>
        <x:v>PASS</x:v>
      </x:c>
    </x:row>
    <x:row r="1399">
      <x:c r="B1399" t="str">
        <x:v>A-1369</x:v>
      </x:c>
      <x:c r="C1399" t="str">
        <x:v>GATE</x:v>
      </x:c>
      <x:c r="D1399" t="str">
        <x:v>release ledger mirrors governing state</x:v>
      </x:c>
      <x:c r="E1399" t="str">
        <x:f>'Release Gates'!J1375</x:f>
        <x:v>OPEN</x:v>
      </x:c>
      <x:c r="F1399" t="str">
        <x:f>IF('Release Gates'!C1375="PLANNING","PASS",IF('Release Gates'!C1375="PHYSICAL","OPEN","BLOCKED"))</x:f>
        <x:v>OPEN</x:v>
      </x:c>
      <x:c r="G1399" t="str">
        <x:v>equals</x:v>
      </x:c>
      <x:c r="H1399" t="str">
        <x:f>IF(E1399=F1399,"PASS","FAIL")</x:f>
        <x:v>PASS</x:v>
      </x:c>
    </x:row>
    <x:row r="1400">
      <x:c r="B1400" t="str">
        <x:v>A-1370</x:v>
      </x:c>
      <x:c r="C1400" t="str">
        <x:v>GATE</x:v>
      </x:c>
      <x:c r="D1400" t="str">
        <x:v>release ledger mirrors governing state</x:v>
      </x:c>
      <x:c r="E1400" t="str">
        <x:f>'Release Gates'!J1376</x:f>
        <x:v>OPEN</x:v>
      </x:c>
      <x:c r="F1400" t="str">
        <x:f>IF('Release Gates'!C1376="PLANNING","PASS",IF('Release Gates'!C1376="PHYSICAL","OPEN","BLOCKED"))</x:f>
        <x:v>OPEN</x:v>
      </x:c>
      <x:c r="G1400" t="str">
        <x:v>equals</x:v>
      </x:c>
      <x:c r="H1400" t="str">
        <x:f>IF(E1400=F1400,"PASS","FAIL")</x:f>
        <x:v>PASS</x:v>
      </x:c>
    </x:row>
    <x:row r="1401">
      <x:c r="B1401" t="str">
        <x:v>A-1371</x:v>
      </x:c>
      <x:c r="C1401" t="str">
        <x:v>GATE</x:v>
      </x:c>
      <x:c r="D1401" t="str">
        <x:v>release ledger mirrors governing state</x:v>
      </x:c>
      <x:c r="E1401" t="str">
        <x:f>'Release Gates'!J1377</x:f>
        <x:v>OPEN</x:v>
      </x:c>
      <x:c r="F1401" t="str">
        <x:f>IF('Release Gates'!C1377="PLANNING","PASS",IF('Release Gates'!C1377="PHYSICAL","OPEN","BLOCKED"))</x:f>
        <x:v>OPEN</x:v>
      </x:c>
      <x:c r="G1401" t="str">
        <x:v>equals</x:v>
      </x:c>
      <x:c r="H1401" t="str">
        <x:f>IF(E1401=F1401,"PASS","FAIL")</x:f>
        <x:v>PASS</x:v>
      </x:c>
    </x:row>
    <x:row r="1402">
      <x:c r="B1402" t="str">
        <x:v>A-1372</x:v>
      </x:c>
      <x:c r="C1402" t="str">
        <x:v>GATE</x:v>
      </x:c>
      <x:c r="D1402" t="str">
        <x:v>release ledger mirrors governing state</x:v>
      </x:c>
      <x:c r="E1402" t="str">
        <x:f>'Release Gates'!J1378</x:f>
        <x:v>OPEN</x:v>
      </x:c>
      <x:c r="F1402" t="str">
        <x:f>IF('Release Gates'!C1378="PLANNING","PASS",IF('Release Gates'!C1378="PHYSICAL","OPEN","BLOCKED"))</x:f>
        <x:v>OPEN</x:v>
      </x:c>
      <x:c r="G1402" t="str">
        <x:v>equals</x:v>
      </x:c>
      <x:c r="H1402" t="str">
        <x:f>IF(E1402=F1402,"PASS","FAIL")</x:f>
        <x:v>PASS</x:v>
      </x:c>
    </x:row>
    <x:row r="1403">
      <x:c r="B1403" t="str">
        <x:v>A-1373</x:v>
      </x:c>
      <x:c r="C1403" t="str">
        <x:v>GATE</x:v>
      </x:c>
      <x:c r="D1403" t="str">
        <x:v>release ledger mirrors governing state</x:v>
      </x:c>
      <x:c r="E1403" t="str">
        <x:f>'Release Gates'!J1379</x:f>
        <x:v>OPEN</x:v>
      </x:c>
      <x:c r="F1403" t="str">
        <x:f>IF('Release Gates'!C1379="PLANNING","PASS",IF('Release Gates'!C1379="PHYSICAL","OPEN","BLOCKED"))</x:f>
        <x:v>OPEN</x:v>
      </x:c>
      <x:c r="G1403" t="str">
        <x:v>equals</x:v>
      </x:c>
      <x:c r="H1403" t="str">
        <x:f>IF(E1403=F1403,"PASS","FAIL")</x:f>
        <x:v>PASS</x:v>
      </x:c>
    </x:row>
    <x:row r="1404">
      <x:c r="B1404" t="str">
        <x:v>A-1374</x:v>
      </x:c>
      <x:c r="C1404" t="str">
        <x:v>GATE</x:v>
      </x:c>
      <x:c r="D1404" t="str">
        <x:v>release ledger mirrors governing state</x:v>
      </x:c>
      <x:c r="E1404" t="str">
        <x:f>'Release Gates'!J1380</x:f>
        <x:v>OPEN</x:v>
      </x:c>
      <x:c r="F1404" t="str">
        <x:f>IF('Release Gates'!C1380="PLANNING","PASS",IF('Release Gates'!C1380="PHYSICAL","OPEN","BLOCKED"))</x:f>
        <x:v>OPEN</x:v>
      </x:c>
      <x:c r="G1404" t="str">
        <x:v>equals</x:v>
      </x:c>
      <x:c r="H1404" t="str">
        <x:f>IF(E1404=F1404,"PASS","FAIL")</x:f>
        <x:v>PASS</x:v>
      </x:c>
    </x:row>
    <x:row r="1405">
      <x:c r="B1405" t="str">
        <x:v>A-1375</x:v>
      </x:c>
      <x:c r="C1405" t="str">
        <x:v>GATE</x:v>
      </x:c>
      <x:c r="D1405" t="str">
        <x:v>release ledger mirrors governing state</x:v>
      </x:c>
      <x:c r="E1405" t="str">
        <x:f>'Release Gates'!J1381</x:f>
        <x:v>OPEN</x:v>
      </x:c>
      <x:c r="F1405" t="str">
        <x:f>IF('Release Gates'!C1381="PLANNING","PASS",IF('Release Gates'!C1381="PHYSICAL","OPEN","BLOCKED"))</x:f>
        <x:v>OPEN</x:v>
      </x:c>
      <x:c r="G1405" t="str">
        <x:v>equals</x:v>
      </x:c>
      <x:c r="H1405" t="str">
        <x:f>IF(E1405=F1405,"PASS","FAIL")</x:f>
        <x:v>PASS</x:v>
      </x:c>
    </x:row>
    <x:row r="1406">
      <x:c r="B1406" t="str">
        <x:v>A-1376</x:v>
      </x:c>
      <x:c r="C1406" t="str">
        <x:v>GATE</x:v>
      </x:c>
      <x:c r="D1406" t="str">
        <x:v>release ledger mirrors governing state</x:v>
      </x:c>
      <x:c r="E1406" t="str">
        <x:f>'Release Gates'!J1382</x:f>
        <x:v>OPEN</x:v>
      </x:c>
      <x:c r="F1406" t="str">
        <x:f>IF('Release Gates'!C1382="PLANNING","PASS",IF('Release Gates'!C1382="PHYSICAL","OPEN","BLOCKED"))</x:f>
        <x:v>OPEN</x:v>
      </x:c>
      <x:c r="G1406" t="str">
        <x:v>equals</x:v>
      </x:c>
      <x:c r="H1406" t="str">
        <x:f>IF(E1406=F1406,"PASS","FAIL")</x:f>
        <x:v>PASS</x:v>
      </x:c>
    </x:row>
    <x:row r="1407">
      <x:c r="B1407" t="str">
        <x:v>A-1377</x:v>
      </x:c>
      <x:c r="C1407" t="str">
        <x:v>GATE</x:v>
      </x:c>
      <x:c r="D1407" t="str">
        <x:v>release ledger mirrors governing state</x:v>
      </x:c>
      <x:c r="E1407" t="str">
        <x:f>'Release Gates'!J1383</x:f>
        <x:v>OPEN</x:v>
      </x:c>
      <x:c r="F1407" t="str">
        <x:f>IF('Release Gates'!C1383="PLANNING","PASS",IF('Release Gates'!C1383="PHYSICAL","OPEN","BLOCKED"))</x:f>
        <x:v>OPEN</x:v>
      </x:c>
      <x:c r="G1407" t="str">
        <x:v>equals</x:v>
      </x:c>
      <x:c r="H1407" t="str">
        <x:f>IF(E1407=F1407,"PASS","FAIL")</x:f>
        <x:v>PASS</x:v>
      </x:c>
    </x:row>
    <x:row r="1408">
      <x:c r="B1408" t="str">
        <x:v>A-1378</x:v>
      </x:c>
      <x:c r="C1408" t="str">
        <x:v>GATE</x:v>
      </x:c>
      <x:c r="D1408" t="str">
        <x:v>release ledger mirrors governing state</x:v>
      </x:c>
      <x:c r="E1408" t="str">
        <x:f>'Release Gates'!J1384</x:f>
        <x:v>OPEN</x:v>
      </x:c>
      <x:c r="F1408" t="str">
        <x:f>IF('Release Gates'!C1384="PLANNING","PASS",IF('Release Gates'!C1384="PHYSICAL","OPEN","BLOCKED"))</x:f>
        <x:v>OPEN</x:v>
      </x:c>
      <x:c r="G1408" t="str">
        <x:v>equals</x:v>
      </x:c>
      <x:c r="H1408" t="str">
        <x:f>IF(E1408=F1408,"PASS","FAIL")</x:f>
        <x:v>PASS</x:v>
      </x:c>
    </x:row>
    <x:row r="1409">
      <x:c r="B1409" t="str">
        <x:v>A-1379</x:v>
      </x:c>
      <x:c r="C1409" t="str">
        <x:v>GATE</x:v>
      </x:c>
      <x:c r="D1409" t="str">
        <x:v>release ledger mirrors governing state</x:v>
      </x:c>
      <x:c r="E1409" t="str">
        <x:f>'Release Gates'!J1385</x:f>
        <x:v>OPEN</x:v>
      </x:c>
      <x:c r="F1409" t="str">
        <x:f>IF('Release Gates'!C1385="PLANNING","PASS",IF('Release Gates'!C1385="PHYSICAL","OPEN","BLOCKED"))</x:f>
        <x:v>OPEN</x:v>
      </x:c>
      <x:c r="G1409" t="str">
        <x:v>equals</x:v>
      </x:c>
      <x:c r="H1409" t="str">
        <x:f>IF(E1409=F1409,"PASS","FAIL")</x:f>
        <x:v>PASS</x:v>
      </x:c>
    </x:row>
    <x:row r="1410">
      <x:c r="B1410" t="str">
        <x:v>A-1380</x:v>
      </x:c>
      <x:c r="C1410" t="str">
        <x:v>GATE</x:v>
      </x:c>
      <x:c r="D1410" t="str">
        <x:v>release ledger mirrors governing state</x:v>
      </x:c>
      <x:c r="E1410" t="str">
        <x:f>'Release Gates'!J1386</x:f>
        <x:v>OPEN</x:v>
      </x:c>
      <x:c r="F1410" t="str">
        <x:f>IF('Release Gates'!C1386="PLANNING","PASS",IF('Release Gates'!C1386="PHYSICAL","OPEN","BLOCKED"))</x:f>
        <x:v>OPEN</x:v>
      </x:c>
      <x:c r="G1410" t="str">
        <x:v>equals</x:v>
      </x:c>
      <x:c r="H1410" t="str">
        <x:f>IF(E1410=F1410,"PASS","FAIL")</x:f>
        <x:v>PASS</x:v>
      </x:c>
    </x:row>
    <x:row r="1411">
      <x:c r="B1411" t="str">
        <x:v>A-1381</x:v>
      </x:c>
      <x:c r="C1411" t="str">
        <x:v>GATE</x:v>
      </x:c>
      <x:c r="D1411" t="str">
        <x:v>release ledger mirrors governing state</x:v>
      </x:c>
      <x:c r="E1411" t="str">
        <x:f>'Release Gates'!J1387</x:f>
        <x:v>OPEN</x:v>
      </x:c>
      <x:c r="F1411" t="str">
        <x:f>IF('Release Gates'!C1387="PLANNING","PASS",IF('Release Gates'!C1387="PHYSICAL","OPEN","BLOCKED"))</x:f>
        <x:v>OPEN</x:v>
      </x:c>
      <x:c r="G1411" t="str">
        <x:v>equals</x:v>
      </x:c>
      <x:c r="H1411" t="str">
        <x:f>IF(E1411=F1411,"PASS","FAIL")</x:f>
        <x:v>PASS</x:v>
      </x:c>
    </x:row>
    <x:row r="1412">
      <x:c r="B1412" t="str">
        <x:v>A-1382</x:v>
      </x:c>
      <x:c r="C1412" t="str">
        <x:v>GATE</x:v>
      </x:c>
      <x:c r="D1412" t="str">
        <x:v>release ledger mirrors governing state</x:v>
      </x:c>
      <x:c r="E1412" t="str">
        <x:f>'Release Gates'!J1388</x:f>
        <x:v>OPEN</x:v>
      </x:c>
      <x:c r="F1412" t="str">
        <x:f>IF('Release Gates'!C1388="PLANNING","PASS",IF('Release Gates'!C1388="PHYSICAL","OPEN","BLOCKED"))</x:f>
        <x:v>OPEN</x:v>
      </x:c>
      <x:c r="G1412" t="str">
        <x:v>equals</x:v>
      </x:c>
      <x:c r="H1412" t="str">
        <x:f>IF(E1412=F1412,"PASS","FAIL")</x:f>
        <x:v>PASS</x:v>
      </x:c>
    </x:row>
    <x:row r="1413">
      <x:c r="B1413" t="str">
        <x:v>A-1383</x:v>
      </x:c>
      <x:c r="C1413" t="str">
        <x:v>GATE</x:v>
      </x:c>
      <x:c r="D1413" t="str">
        <x:v>release ledger mirrors governing state</x:v>
      </x:c>
      <x:c r="E1413" t="str">
        <x:f>'Release Gates'!J1389</x:f>
        <x:v>OPEN</x:v>
      </x:c>
      <x:c r="F1413" t="str">
        <x:f>IF('Release Gates'!C1389="PLANNING","PASS",IF('Release Gates'!C1389="PHYSICAL","OPEN","BLOCKED"))</x:f>
        <x:v>OPEN</x:v>
      </x:c>
      <x:c r="G1413" t="str">
        <x:v>equals</x:v>
      </x:c>
      <x:c r="H1413" t="str">
        <x:f>IF(E1413=F1413,"PASS","FAIL")</x:f>
        <x:v>PASS</x:v>
      </x:c>
    </x:row>
    <x:row r="1414">
      <x:c r="B1414" t="str">
        <x:v>A-1384</x:v>
      </x:c>
      <x:c r="C1414" t="str">
        <x:v>GATE</x:v>
      </x:c>
      <x:c r="D1414" t="str">
        <x:v>release ledger mirrors governing state</x:v>
      </x:c>
      <x:c r="E1414" t="str">
        <x:f>'Release Gates'!J1390</x:f>
        <x:v>OPEN</x:v>
      </x:c>
      <x:c r="F1414" t="str">
        <x:f>IF('Release Gates'!C1390="PLANNING","PASS",IF('Release Gates'!C1390="PHYSICAL","OPEN","BLOCKED"))</x:f>
        <x:v>OPEN</x:v>
      </x:c>
      <x:c r="G1414" t="str">
        <x:v>equals</x:v>
      </x:c>
      <x:c r="H1414" t="str">
        <x:f>IF(E1414=F1414,"PASS","FAIL")</x:f>
        <x:v>PASS</x:v>
      </x:c>
    </x:row>
    <x:row r="1415">
      <x:c r="B1415" t="str">
        <x:v>A-1385</x:v>
      </x:c>
      <x:c r="C1415" t="str">
        <x:v>GATE</x:v>
      </x:c>
      <x:c r="D1415" t="str">
        <x:v>release ledger mirrors governing state</x:v>
      </x:c>
      <x:c r="E1415" t="str">
        <x:f>'Release Gates'!J1391</x:f>
        <x:v>OPEN</x:v>
      </x:c>
      <x:c r="F1415" t="str">
        <x:f>IF('Release Gates'!C1391="PLANNING","PASS",IF('Release Gates'!C1391="PHYSICAL","OPEN","BLOCKED"))</x:f>
        <x:v>OPEN</x:v>
      </x:c>
      <x:c r="G1415" t="str">
        <x:v>equals</x:v>
      </x:c>
      <x:c r="H1415" t="str">
        <x:f>IF(E1415=F1415,"PASS","FAIL")</x:f>
        <x:v>PASS</x:v>
      </x:c>
    </x:row>
    <x:row r="1416">
      <x:c r="B1416" t="str">
        <x:v>A-1386</x:v>
      </x:c>
      <x:c r="C1416" t="str">
        <x:v>GATE</x:v>
      </x:c>
      <x:c r="D1416" t="str">
        <x:v>release ledger mirrors governing state</x:v>
      </x:c>
      <x:c r="E1416" t="str">
        <x:f>'Release Gates'!J1392</x:f>
        <x:v>OPEN</x:v>
      </x:c>
      <x:c r="F1416" t="str">
        <x:f>IF('Release Gates'!C1392="PLANNING","PASS",IF('Release Gates'!C1392="PHYSICAL","OPEN","BLOCKED"))</x:f>
        <x:v>OPEN</x:v>
      </x:c>
      <x:c r="G1416" t="str">
        <x:v>equals</x:v>
      </x:c>
      <x:c r="H1416" t="str">
        <x:f>IF(E1416=F1416,"PASS","FAIL")</x:f>
        <x:v>PASS</x:v>
      </x:c>
    </x:row>
    <x:row r="1417">
      <x:c r="B1417" t="str">
        <x:v>A-1387</x:v>
      </x:c>
      <x:c r="C1417" t="str">
        <x:v>GATE</x:v>
      </x:c>
      <x:c r="D1417" t="str">
        <x:v>release ledger mirrors governing state</x:v>
      </x:c>
      <x:c r="E1417" t="str">
        <x:f>'Release Gates'!J1393</x:f>
        <x:v>OPEN</x:v>
      </x:c>
      <x:c r="F1417" t="str">
        <x:f>IF('Release Gates'!C1393="PLANNING","PASS",IF('Release Gates'!C1393="PHYSICAL","OPEN","BLOCKED"))</x:f>
        <x:v>OPEN</x:v>
      </x:c>
      <x:c r="G1417" t="str">
        <x:v>equals</x:v>
      </x:c>
      <x:c r="H1417" t="str">
        <x:f>IF(E1417=F1417,"PASS","FAIL")</x:f>
        <x:v>PASS</x:v>
      </x:c>
    </x:row>
    <x:row r="1418">
      <x:c r="B1418" t="str">
        <x:v>A-1388</x:v>
      </x:c>
      <x:c r="C1418" t="str">
        <x:v>GATE</x:v>
      </x:c>
      <x:c r="D1418" t="str">
        <x:v>release ledger mirrors governing state</x:v>
      </x:c>
      <x:c r="E1418" t="str">
        <x:f>'Release Gates'!J1394</x:f>
        <x:v>OPEN</x:v>
      </x:c>
      <x:c r="F1418" t="str">
        <x:f>IF('Release Gates'!C1394="PLANNING","PASS",IF('Release Gates'!C1394="PHYSICAL","OPEN","BLOCKED"))</x:f>
        <x:v>OPEN</x:v>
      </x:c>
      <x:c r="G1418" t="str">
        <x:v>equals</x:v>
      </x:c>
      <x:c r="H1418" t="str">
        <x:f>IF(E1418=F1418,"PASS","FAIL")</x:f>
        <x:v>PASS</x:v>
      </x:c>
    </x:row>
    <x:row r="1419">
      <x:c r="B1419" t="str">
        <x:v>A-1389</x:v>
      </x:c>
      <x:c r="C1419" t="str">
        <x:v>GATE</x:v>
      </x:c>
      <x:c r="D1419" t="str">
        <x:v>release ledger mirrors governing state</x:v>
      </x:c>
      <x:c r="E1419" t="str">
        <x:f>'Release Gates'!J1395</x:f>
        <x:v>OPEN</x:v>
      </x:c>
      <x:c r="F1419" t="str">
        <x:f>IF('Release Gates'!C1395="PLANNING","PASS",IF('Release Gates'!C1395="PHYSICAL","OPEN","BLOCKED"))</x:f>
        <x:v>OPEN</x:v>
      </x:c>
      <x:c r="G1419" t="str">
        <x:v>equals</x:v>
      </x:c>
      <x:c r="H1419" t="str">
        <x:f>IF(E1419=F1419,"PASS","FAIL")</x:f>
        <x:v>PASS</x:v>
      </x:c>
    </x:row>
    <x:row r="1420">
      <x:c r="B1420" t="str">
        <x:v>A-1390</x:v>
      </x:c>
      <x:c r="C1420" t="str">
        <x:v>GATE</x:v>
      </x:c>
      <x:c r="D1420" t="str">
        <x:v>release ledger mirrors governing state</x:v>
      </x:c>
      <x:c r="E1420" t="str">
        <x:f>'Release Gates'!J1396</x:f>
        <x:v>OPEN</x:v>
      </x:c>
      <x:c r="F1420" t="str">
        <x:f>IF('Release Gates'!C1396="PLANNING","PASS",IF('Release Gates'!C1396="PHYSICAL","OPEN","BLOCKED"))</x:f>
        <x:v>OPEN</x:v>
      </x:c>
      <x:c r="G1420" t="str">
        <x:v>equals</x:v>
      </x:c>
      <x:c r="H1420" t="str">
        <x:f>IF(E1420=F1420,"PASS","FAIL")</x:f>
        <x:v>PASS</x:v>
      </x:c>
    </x:row>
    <x:row r="1421">
      <x:c r="B1421" t="str">
        <x:v>A-1391</x:v>
      </x:c>
      <x:c r="C1421" t="str">
        <x:v>GATE</x:v>
      </x:c>
      <x:c r="D1421" t="str">
        <x:v>release ledger mirrors governing state</x:v>
      </x:c>
      <x:c r="E1421" t="str">
        <x:f>'Release Gates'!J1397</x:f>
        <x:v>OPEN</x:v>
      </x:c>
      <x:c r="F1421" t="str">
        <x:f>IF('Release Gates'!C1397="PLANNING","PASS",IF('Release Gates'!C1397="PHYSICAL","OPEN","BLOCKED"))</x:f>
        <x:v>OPEN</x:v>
      </x:c>
      <x:c r="G1421" t="str">
        <x:v>equals</x:v>
      </x:c>
      <x:c r="H1421" t="str">
        <x:f>IF(E1421=F1421,"PASS","FAIL")</x:f>
        <x:v>PASS</x:v>
      </x:c>
    </x:row>
    <x:row r="1422">
      <x:c r="B1422" t="str">
        <x:v>A-1392</x:v>
      </x:c>
      <x:c r="C1422" t="str">
        <x:v>GATE</x:v>
      </x:c>
      <x:c r="D1422" t="str">
        <x:v>release ledger mirrors governing state</x:v>
      </x:c>
      <x:c r="E1422" t="str">
        <x:f>'Release Gates'!J1398</x:f>
        <x:v>OPEN</x:v>
      </x:c>
      <x:c r="F1422" t="str">
        <x:f>IF('Release Gates'!C1398="PLANNING","PASS",IF('Release Gates'!C1398="PHYSICAL","OPEN","BLOCKED"))</x:f>
        <x:v>OPEN</x:v>
      </x:c>
      <x:c r="G1422" t="str">
        <x:v>equals</x:v>
      </x:c>
      <x:c r="H1422" t="str">
        <x:f>IF(E1422=F1422,"PASS","FAIL")</x:f>
        <x:v>PASS</x:v>
      </x:c>
    </x:row>
    <x:row r="1423">
      <x:c r="B1423" t="str">
        <x:v>A-1393</x:v>
      </x:c>
      <x:c r="C1423" t="str">
        <x:v>GATE</x:v>
      </x:c>
      <x:c r="D1423" t="str">
        <x:v>release ledger mirrors governing state</x:v>
      </x:c>
      <x:c r="E1423" t="str">
        <x:f>'Release Gates'!J1399</x:f>
        <x:v>OPEN</x:v>
      </x:c>
      <x:c r="F1423" t="str">
        <x:f>IF('Release Gates'!C1399="PLANNING","PASS",IF('Release Gates'!C1399="PHYSICAL","OPEN","BLOCKED"))</x:f>
        <x:v>OPEN</x:v>
      </x:c>
      <x:c r="G1423" t="str">
        <x:v>equals</x:v>
      </x:c>
      <x:c r="H1423" t="str">
        <x:f>IF(E1423=F1423,"PASS","FAIL")</x:f>
        <x:v>PASS</x:v>
      </x:c>
    </x:row>
    <x:row r="1424">
      <x:c r="B1424" t="str">
        <x:v>A-1394</x:v>
      </x:c>
      <x:c r="C1424" t="str">
        <x:v>GATE</x:v>
      </x:c>
      <x:c r="D1424" t="str">
        <x:v>release ledger mirrors governing state</x:v>
      </x:c>
      <x:c r="E1424" t="str">
        <x:f>'Release Gates'!J1400</x:f>
        <x:v>OPEN</x:v>
      </x:c>
      <x:c r="F1424" t="str">
        <x:f>IF('Release Gates'!C1400="PLANNING","PASS",IF('Release Gates'!C1400="PHYSICAL","OPEN","BLOCKED"))</x:f>
        <x:v>OPEN</x:v>
      </x:c>
      <x:c r="G1424" t="str">
        <x:v>equals</x:v>
      </x:c>
      <x:c r="H1424" t="str">
        <x:f>IF(E1424=F1424,"PASS","FAIL")</x:f>
        <x:v>PASS</x:v>
      </x:c>
    </x:row>
    <x:row r="1425">
      <x:c r="B1425" t="str">
        <x:v>A-1395</x:v>
      </x:c>
      <x:c r="C1425" t="str">
        <x:v>GATE</x:v>
      </x:c>
      <x:c r="D1425" t="str">
        <x:v>release ledger mirrors governing state</x:v>
      </x:c>
      <x:c r="E1425" t="str">
        <x:f>'Release Gates'!J1401</x:f>
        <x:v>OPEN</x:v>
      </x:c>
      <x:c r="F1425" t="str">
        <x:f>IF('Release Gates'!C1401="PLANNING","PASS",IF('Release Gates'!C1401="PHYSICAL","OPEN","BLOCKED"))</x:f>
        <x:v>OPEN</x:v>
      </x:c>
      <x:c r="G1425" t="str">
        <x:v>equals</x:v>
      </x:c>
      <x:c r="H1425" t="str">
        <x:f>IF(E1425=F1425,"PASS","FAIL")</x:f>
        <x:v>PASS</x:v>
      </x:c>
    </x:row>
    <x:row r="1426">
      <x:c r="B1426" t="str">
        <x:v>A-1396</x:v>
      </x:c>
      <x:c r="C1426" t="str">
        <x:v>GATE</x:v>
      </x:c>
      <x:c r="D1426" t="str">
        <x:v>release ledger mirrors governing state</x:v>
      </x:c>
      <x:c r="E1426" t="str">
        <x:f>'Release Gates'!J1402</x:f>
        <x:v>OPEN</x:v>
      </x:c>
      <x:c r="F1426" t="str">
        <x:f>IF('Release Gates'!C1402="PLANNING","PASS",IF('Release Gates'!C1402="PHYSICAL","OPEN","BLOCKED"))</x:f>
        <x:v>OPEN</x:v>
      </x:c>
      <x:c r="G1426" t="str">
        <x:v>equals</x:v>
      </x:c>
      <x:c r="H1426" t="str">
        <x:f>IF(E1426=F1426,"PASS","FAIL")</x:f>
        <x:v>PASS</x:v>
      </x:c>
    </x:row>
    <x:row r="1427">
      <x:c r="B1427" t="str">
        <x:v>A-1397</x:v>
      </x:c>
      <x:c r="C1427" t="str">
        <x:v>GATE</x:v>
      </x:c>
      <x:c r="D1427" t="str">
        <x:v>release ledger mirrors governing state</x:v>
      </x:c>
      <x:c r="E1427" t="str">
        <x:f>'Release Gates'!J1403</x:f>
        <x:v>OPEN</x:v>
      </x:c>
      <x:c r="F1427" t="str">
        <x:f>IF('Release Gates'!C1403="PLANNING","PASS",IF('Release Gates'!C1403="PHYSICAL","OPEN","BLOCKED"))</x:f>
        <x:v>OPEN</x:v>
      </x:c>
      <x:c r="G1427" t="str">
        <x:v>equals</x:v>
      </x:c>
      <x:c r="H1427" t="str">
        <x:f>IF(E1427=F1427,"PASS","FAIL")</x:f>
        <x:v>PASS</x:v>
      </x:c>
    </x:row>
    <x:row r="1428">
      <x:c r="B1428" t="str">
        <x:v>A-1398</x:v>
      </x:c>
      <x:c r="C1428" t="str">
        <x:v>GATE</x:v>
      </x:c>
      <x:c r="D1428" t="str">
        <x:v>release ledger mirrors governing state</x:v>
      </x:c>
      <x:c r="E1428" t="str">
        <x:f>'Release Gates'!J1404</x:f>
        <x:v>OPEN</x:v>
      </x:c>
      <x:c r="F1428" t="str">
        <x:f>IF('Release Gates'!C1404="PLANNING","PASS",IF('Release Gates'!C1404="PHYSICAL","OPEN","BLOCKED"))</x:f>
        <x:v>OPEN</x:v>
      </x:c>
      <x:c r="G1428" t="str">
        <x:v>equals</x:v>
      </x:c>
      <x:c r="H1428" t="str">
        <x:f>IF(E1428=F1428,"PASS","FAIL")</x:f>
        <x:v>PASS</x:v>
      </x:c>
    </x:row>
    <x:row r="1429">
      <x:c r="B1429" t="str">
        <x:v>A-1399</x:v>
      </x:c>
      <x:c r="C1429" t="str">
        <x:v>GATE</x:v>
      </x:c>
      <x:c r="D1429" t="str">
        <x:v>release ledger mirrors governing state</x:v>
      </x:c>
      <x:c r="E1429" t="str">
        <x:f>'Release Gates'!J1405</x:f>
        <x:v>OPEN</x:v>
      </x:c>
      <x:c r="F1429" t="str">
        <x:f>IF('Release Gates'!C1405="PLANNING","PASS",IF('Release Gates'!C1405="PHYSICAL","OPEN","BLOCKED"))</x:f>
        <x:v>OPEN</x:v>
      </x:c>
      <x:c r="G1429" t="str">
        <x:v>equals</x:v>
      </x:c>
      <x:c r="H1429" t="str">
        <x:f>IF(E1429=F1429,"PASS","FAIL")</x:f>
        <x:v>PASS</x:v>
      </x:c>
    </x:row>
    <x:row r="1430">
      <x:c r="B1430" t="str">
        <x:v>A-1400</x:v>
      </x:c>
      <x:c r="C1430" t="str">
        <x:v>GATE</x:v>
      </x:c>
      <x:c r="D1430" t="str">
        <x:v>release ledger mirrors governing state</x:v>
      </x:c>
      <x:c r="E1430" t="str">
        <x:f>'Release Gates'!J1406</x:f>
        <x:v>OPEN</x:v>
      </x:c>
      <x:c r="F1430" t="str">
        <x:f>IF('Release Gates'!C1406="PLANNING","PASS",IF('Release Gates'!C1406="PHYSICAL","OPEN","BLOCKED"))</x:f>
        <x:v>OPEN</x:v>
      </x:c>
      <x:c r="G1430" t="str">
        <x:v>equals</x:v>
      </x:c>
      <x:c r="H1430" t="str">
        <x:f>IF(E1430=F1430,"PASS","FAIL")</x:f>
        <x:v>PASS</x:v>
      </x:c>
    </x:row>
    <x:row r="1431">
      <x:c r="B1431" t="str">
        <x:v>A-1401</x:v>
      </x:c>
      <x:c r="C1431" t="str">
        <x:v>GATE</x:v>
      </x:c>
      <x:c r="D1431" t="str">
        <x:v>release ledger mirrors governing state</x:v>
      </x:c>
      <x:c r="E1431" t="str">
        <x:f>'Release Gates'!J1407</x:f>
        <x:v>OPEN</x:v>
      </x:c>
      <x:c r="F1431" t="str">
        <x:f>IF('Release Gates'!C1407="PLANNING","PASS",IF('Release Gates'!C1407="PHYSICAL","OPEN","BLOCKED"))</x:f>
        <x:v>OPEN</x:v>
      </x:c>
      <x:c r="G1431" t="str">
        <x:v>equals</x:v>
      </x:c>
      <x:c r="H1431" t="str">
        <x:f>IF(E1431=F1431,"PASS","FAIL")</x:f>
        <x:v>PASS</x:v>
      </x:c>
    </x:row>
    <x:row r="1432">
      <x:c r="B1432" t="str">
        <x:v>A-1402</x:v>
      </x:c>
      <x:c r="C1432" t="str">
        <x:v>GATE</x:v>
      </x:c>
      <x:c r="D1432" t="str">
        <x:v>release ledger mirrors governing state</x:v>
      </x:c>
      <x:c r="E1432" t="str">
        <x:f>'Release Gates'!J1408</x:f>
        <x:v>OPEN</x:v>
      </x:c>
      <x:c r="F1432" t="str">
        <x:f>IF('Release Gates'!C1408="PLANNING","PASS",IF('Release Gates'!C1408="PHYSICAL","OPEN","BLOCKED"))</x:f>
        <x:v>OPEN</x:v>
      </x:c>
      <x:c r="G1432" t="str">
        <x:v>equals</x:v>
      </x:c>
      <x:c r="H1432" t="str">
        <x:f>IF(E1432=F1432,"PASS","FAIL")</x:f>
        <x:v>PASS</x:v>
      </x:c>
    </x:row>
    <x:row r="1433">
      <x:c r="B1433" t="str">
        <x:v>A-1403</x:v>
      </x:c>
      <x:c r="C1433" t="str">
        <x:v>GATE</x:v>
      </x:c>
      <x:c r="D1433" t="str">
        <x:v>release ledger mirrors governing state</x:v>
      </x:c>
      <x:c r="E1433" t="str">
        <x:f>'Release Gates'!J1409</x:f>
        <x:v>OPEN</x:v>
      </x:c>
      <x:c r="F1433" t="str">
        <x:f>IF('Release Gates'!C1409="PLANNING","PASS",IF('Release Gates'!C1409="PHYSICAL","OPEN","BLOCKED"))</x:f>
        <x:v>OPEN</x:v>
      </x:c>
      <x:c r="G1433" t="str">
        <x:v>equals</x:v>
      </x:c>
      <x:c r="H1433" t="str">
        <x:f>IF(E1433=F1433,"PASS","FAIL")</x:f>
        <x:v>PASS</x:v>
      </x:c>
    </x:row>
    <x:row r="1434">
      <x:c r="B1434" t="str">
        <x:v>A-1404</x:v>
      </x:c>
      <x:c r="C1434" t="str">
        <x:v>GATE</x:v>
      </x:c>
      <x:c r="D1434" t="str">
        <x:v>release ledger mirrors governing state</x:v>
      </x:c>
      <x:c r="E1434" t="str">
        <x:f>'Release Gates'!J1410</x:f>
        <x:v>OPEN</x:v>
      </x:c>
      <x:c r="F1434" t="str">
        <x:f>IF('Release Gates'!C1410="PLANNING","PASS",IF('Release Gates'!C1410="PHYSICAL","OPEN","BLOCKED"))</x:f>
        <x:v>OPEN</x:v>
      </x:c>
      <x:c r="G1434" t="str">
        <x:v>equals</x:v>
      </x:c>
      <x:c r="H1434" t="str">
        <x:f>IF(E1434=F1434,"PASS","FAIL")</x:f>
        <x:v>PASS</x:v>
      </x:c>
    </x:row>
    <x:row r="1435">
      <x:c r="B1435" t="str">
        <x:v>A-1405</x:v>
      </x:c>
      <x:c r="C1435" t="str">
        <x:v>GATE</x:v>
      </x:c>
      <x:c r="D1435" t="str">
        <x:v>release ledger mirrors governing state</x:v>
      </x:c>
      <x:c r="E1435" t="str">
        <x:f>'Release Gates'!J1411</x:f>
        <x:v>OPEN</x:v>
      </x:c>
      <x:c r="F1435" t="str">
        <x:f>IF('Release Gates'!C1411="PLANNING","PASS",IF('Release Gates'!C1411="PHYSICAL","OPEN","BLOCKED"))</x:f>
        <x:v>OPEN</x:v>
      </x:c>
      <x:c r="G1435" t="str">
        <x:v>equals</x:v>
      </x:c>
      <x:c r="H1435" t="str">
        <x:f>IF(E1435=F1435,"PASS","FAIL")</x:f>
        <x:v>PASS</x:v>
      </x:c>
    </x:row>
    <x:row r="1436">
      <x:c r="B1436" t="str">
        <x:v>A-1406</x:v>
      </x:c>
      <x:c r="C1436" t="str">
        <x:v>GATE</x:v>
      </x:c>
      <x:c r="D1436" t="str">
        <x:v>release ledger mirrors governing state</x:v>
      </x:c>
      <x:c r="E1436" t="str">
        <x:f>'Release Gates'!J1412</x:f>
        <x:v>OPEN</x:v>
      </x:c>
      <x:c r="F1436" t="str">
        <x:f>IF('Release Gates'!C1412="PLANNING","PASS",IF('Release Gates'!C1412="PHYSICAL","OPEN","BLOCKED"))</x:f>
        <x:v>OPEN</x:v>
      </x:c>
      <x:c r="G1436" t="str">
        <x:v>equals</x:v>
      </x:c>
      <x:c r="H1436" t="str">
        <x:f>IF(E1436=F1436,"PASS","FAIL")</x:f>
        <x:v>PASS</x:v>
      </x:c>
    </x:row>
    <x:row r="1437">
      <x:c r="B1437" t="str">
        <x:v>A-1407</x:v>
      </x:c>
      <x:c r="C1437" t="str">
        <x:v>GATE</x:v>
      </x:c>
      <x:c r="D1437" t="str">
        <x:v>release ledger mirrors governing state</x:v>
      </x:c>
      <x:c r="E1437" t="str">
        <x:f>'Release Gates'!J1413</x:f>
        <x:v>OPEN</x:v>
      </x:c>
      <x:c r="F1437" t="str">
        <x:f>IF('Release Gates'!C1413="PLANNING","PASS",IF('Release Gates'!C1413="PHYSICAL","OPEN","BLOCKED"))</x:f>
        <x:v>OPEN</x:v>
      </x:c>
      <x:c r="G1437" t="str">
        <x:v>equals</x:v>
      </x:c>
      <x:c r="H1437" t="str">
        <x:f>IF(E1437=F1437,"PASS","FAIL")</x:f>
        <x:v>PASS</x:v>
      </x:c>
    </x:row>
    <x:row r="1438">
      <x:c r="B1438" t="str">
        <x:v>A-1408</x:v>
      </x:c>
      <x:c r="C1438" t="str">
        <x:v>GATE</x:v>
      </x:c>
      <x:c r="D1438" t="str">
        <x:v>release ledger mirrors governing state</x:v>
      </x:c>
      <x:c r="E1438" t="str">
        <x:f>'Release Gates'!J1414</x:f>
        <x:v>OPEN</x:v>
      </x:c>
      <x:c r="F1438" t="str">
        <x:f>IF('Release Gates'!C1414="PLANNING","PASS",IF('Release Gates'!C1414="PHYSICAL","OPEN","BLOCKED"))</x:f>
        <x:v>OPEN</x:v>
      </x:c>
      <x:c r="G1438" t="str">
        <x:v>equals</x:v>
      </x:c>
      <x:c r="H1438" t="str">
        <x:f>IF(E1438=F1438,"PASS","FAIL")</x:f>
        <x:v>PASS</x:v>
      </x:c>
    </x:row>
    <x:row r="1439">
      <x:c r="B1439" t="str">
        <x:v>A-1409</x:v>
      </x:c>
      <x:c r="C1439" t="str">
        <x:v>GATE</x:v>
      </x:c>
      <x:c r="D1439" t="str">
        <x:v>release ledger mirrors governing state</x:v>
      </x:c>
      <x:c r="E1439" t="str">
        <x:f>'Release Gates'!J1415</x:f>
        <x:v>OPEN</x:v>
      </x:c>
      <x:c r="F1439" t="str">
        <x:f>IF('Release Gates'!C1415="PLANNING","PASS",IF('Release Gates'!C1415="PHYSICAL","OPEN","BLOCKED"))</x:f>
        <x:v>OPEN</x:v>
      </x:c>
      <x:c r="G1439" t="str">
        <x:v>equals</x:v>
      </x:c>
      <x:c r="H1439" t="str">
        <x:f>IF(E1439=F1439,"PASS","FAIL")</x:f>
        <x:v>PASS</x:v>
      </x:c>
    </x:row>
    <x:row r="1440">
      <x:c r="B1440" t="str">
        <x:v>A-1410</x:v>
      </x:c>
      <x:c r="C1440" t="str">
        <x:v>GATE</x:v>
      </x:c>
      <x:c r="D1440" t="str">
        <x:v>release ledger mirrors governing state</x:v>
      </x:c>
      <x:c r="E1440" t="str">
        <x:f>'Release Gates'!J1416</x:f>
        <x:v>OPEN</x:v>
      </x:c>
      <x:c r="F1440" t="str">
        <x:f>IF('Release Gates'!C1416="PLANNING","PASS",IF('Release Gates'!C1416="PHYSICAL","OPEN","BLOCKED"))</x:f>
        <x:v>OPEN</x:v>
      </x:c>
      <x:c r="G1440" t="str">
        <x:v>equals</x:v>
      </x:c>
      <x:c r="H1440" t="str">
        <x:f>IF(E1440=F1440,"PASS","FAIL")</x:f>
        <x:v>PASS</x:v>
      </x:c>
    </x:row>
    <x:row r="1441">
      <x:c r="B1441" t="str">
        <x:v>A-1411</x:v>
      </x:c>
      <x:c r="C1441" t="str">
        <x:v>GATE</x:v>
      </x:c>
      <x:c r="D1441" t="str">
        <x:v>release ledger mirrors governing state</x:v>
      </x:c>
      <x:c r="E1441" t="str">
        <x:f>'Release Gates'!J1417</x:f>
        <x:v>OPEN</x:v>
      </x:c>
      <x:c r="F1441" t="str">
        <x:f>IF('Release Gates'!C1417="PLANNING","PASS",IF('Release Gates'!C1417="PHYSICAL","OPEN","BLOCKED"))</x:f>
        <x:v>OPEN</x:v>
      </x:c>
      <x:c r="G1441" t="str">
        <x:v>equals</x:v>
      </x:c>
      <x:c r="H1441" t="str">
        <x:f>IF(E1441=F1441,"PASS","FAIL")</x:f>
        <x:v>PASS</x:v>
      </x:c>
    </x:row>
    <x:row r="1442">
      <x:c r="B1442" t="str">
        <x:v>A-1412</x:v>
      </x:c>
      <x:c r="C1442" t="str">
        <x:v>GATE</x:v>
      </x:c>
      <x:c r="D1442" t="str">
        <x:v>release ledger mirrors governing state</x:v>
      </x:c>
      <x:c r="E1442" t="str">
        <x:f>'Release Gates'!J1418</x:f>
        <x:v>OPEN</x:v>
      </x:c>
      <x:c r="F1442" t="str">
        <x:f>IF('Release Gates'!C1418="PLANNING","PASS",IF('Release Gates'!C1418="PHYSICAL","OPEN","BLOCKED"))</x:f>
        <x:v>OPEN</x:v>
      </x:c>
      <x:c r="G1442" t="str">
        <x:v>equals</x:v>
      </x:c>
      <x:c r="H1442" t="str">
        <x:f>IF(E1442=F1442,"PASS","FAIL")</x:f>
        <x:v>PASS</x:v>
      </x:c>
    </x:row>
    <x:row r="1443">
      <x:c r="B1443" t="str">
        <x:v>A-1413</x:v>
      </x:c>
      <x:c r="C1443" t="str">
        <x:v>GATE</x:v>
      </x:c>
      <x:c r="D1443" t="str">
        <x:v>release ledger mirrors governing state</x:v>
      </x:c>
      <x:c r="E1443" t="str">
        <x:f>'Release Gates'!J1419</x:f>
        <x:v>OPEN</x:v>
      </x:c>
      <x:c r="F1443" t="str">
        <x:f>IF('Release Gates'!C1419="PLANNING","PASS",IF('Release Gates'!C1419="PHYSICAL","OPEN","BLOCKED"))</x:f>
        <x:v>OPEN</x:v>
      </x:c>
      <x:c r="G1443" t="str">
        <x:v>equals</x:v>
      </x:c>
      <x:c r="H1443" t="str">
        <x:f>IF(E1443=F1443,"PASS","FAIL")</x:f>
        <x:v>PASS</x:v>
      </x:c>
    </x:row>
    <x:row r="1444">
      <x:c r="B1444" t="str">
        <x:v>A-1414</x:v>
      </x:c>
      <x:c r="C1444" t="str">
        <x:v>GATE</x:v>
      </x:c>
      <x:c r="D1444" t="str">
        <x:v>release ledger mirrors governing state</x:v>
      </x:c>
      <x:c r="E1444" t="str">
        <x:f>'Release Gates'!J1420</x:f>
        <x:v>OPEN</x:v>
      </x:c>
      <x:c r="F1444" t="str">
        <x:f>IF('Release Gates'!C1420="PLANNING","PASS",IF('Release Gates'!C1420="PHYSICAL","OPEN","BLOCKED"))</x:f>
        <x:v>OPEN</x:v>
      </x:c>
      <x:c r="G1444" t="str">
        <x:v>equals</x:v>
      </x:c>
      <x:c r="H1444" t="str">
        <x:f>IF(E1444=F1444,"PASS","FAIL")</x:f>
        <x:v>PASS</x:v>
      </x:c>
    </x:row>
    <x:row r="1445">
      <x:c r="B1445" t="str">
        <x:v>A-1415</x:v>
      </x:c>
      <x:c r="C1445" t="str">
        <x:v>GATE</x:v>
      </x:c>
      <x:c r="D1445" t="str">
        <x:v>release ledger mirrors governing state</x:v>
      </x:c>
      <x:c r="E1445" t="str">
        <x:f>'Release Gates'!J1421</x:f>
        <x:v>OPEN</x:v>
      </x:c>
      <x:c r="F1445" t="str">
        <x:f>IF('Release Gates'!C1421="PLANNING","PASS",IF('Release Gates'!C1421="PHYSICAL","OPEN","BLOCKED"))</x:f>
        <x:v>OPEN</x:v>
      </x:c>
      <x:c r="G1445" t="str">
        <x:v>equals</x:v>
      </x:c>
      <x:c r="H1445" t="str">
        <x:f>IF(E1445=F1445,"PASS","FAIL")</x:f>
        <x:v>PASS</x:v>
      </x:c>
    </x:row>
    <x:row r="1446">
      <x:c r="B1446" t="str">
        <x:v>A-1416</x:v>
      </x:c>
      <x:c r="C1446" t="str">
        <x:v>GATE</x:v>
      </x:c>
      <x:c r="D1446" t="str">
        <x:v>release ledger mirrors governing state</x:v>
      </x:c>
      <x:c r="E1446" t="str">
        <x:f>'Release Gates'!J1422</x:f>
        <x:v>OPEN</x:v>
      </x:c>
      <x:c r="F1446" t="str">
        <x:f>IF('Release Gates'!C1422="PLANNING","PASS",IF('Release Gates'!C1422="PHYSICAL","OPEN","BLOCKED"))</x:f>
        <x:v>OPEN</x:v>
      </x:c>
      <x:c r="G1446" t="str">
        <x:v>equals</x:v>
      </x:c>
      <x:c r="H1446" t="str">
        <x:f>IF(E1446=F1446,"PASS","FAIL")</x:f>
        <x:v>PASS</x:v>
      </x:c>
    </x:row>
    <x:row r="1447">
      <x:c r="B1447" t="str">
        <x:v>A-1417</x:v>
      </x:c>
      <x:c r="C1447" t="str">
        <x:v>GATE</x:v>
      </x:c>
      <x:c r="D1447" t="str">
        <x:v>release ledger mirrors governing state</x:v>
      </x:c>
      <x:c r="E1447" t="str">
        <x:f>'Release Gates'!J1423</x:f>
        <x:v>OPEN</x:v>
      </x:c>
      <x:c r="F1447" t="str">
        <x:f>IF('Release Gates'!C1423="PLANNING","PASS",IF('Release Gates'!C1423="PHYSICAL","OPEN","BLOCKED"))</x:f>
        <x:v>OPEN</x:v>
      </x:c>
      <x:c r="G1447" t="str">
        <x:v>equals</x:v>
      </x:c>
      <x:c r="H1447" t="str">
        <x:f>IF(E1447=F1447,"PASS","FAIL")</x:f>
        <x:v>PASS</x:v>
      </x:c>
    </x:row>
    <x:row r="1448">
      <x:c r="B1448" t="str">
        <x:v>A-1418</x:v>
      </x:c>
      <x:c r="C1448" t="str">
        <x:v>GATE</x:v>
      </x:c>
      <x:c r="D1448" t="str">
        <x:v>release ledger mirrors governing state</x:v>
      </x:c>
      <x:c r="E1448" t="str">
        <x:f>'Release Gates'!J1424</x:f>
        <x:v>OPEN</x:v>
      </x:c>
      <x:c r="F1448" t="str">
        <x:f>IF('Release Gates'!C1424="PLANNING","PASS",IF('Release Gates'!C1424="PHYSICAL","OPEN","BLOCKED"))</x:f>
        <x:v>OPEN</x:v>
      </x:c>
      <x:c r="G1448" t="str">
        <x:v>equals</x:v>
      </x:c>
      <x:c r="H1448" t="str">
        <x:f>IF(E1448=F1448,"PASS","FAIL")</x:f>
        <x:v>PASS</x:v>
      </x:c>
    </x:row>
    <x:row r="1449">
      <x:c r="B1449" t="str">
        <x:v>A-1419</x:v>
      </x:c>
      <x:c r="C1449" t="str">
        <x:v>GATE</x:v>
      </x:c>
      <x:c r="D1449" t="str">
        <x:v>release ledger mirrors governing state</x:v>
      </x:c>
      <x:c r="E1449" t="str">
        <x:f>'Release Gates'!J1425</x:f>
        <x:v>OPEN</x:v>
      </x:c>
      <x:c r="F1449" t="str">
        <x:f>IF('Release Gates'!C1425="PLANNING","PASS",IF('Release Gates'!C1425="PHYSICAL","OPEN","BLOCKED"))</x:f>
        <x:v>OPEN</x:v>
      </x:c>
      <x:c r="G1449" t="str">
        <x:v>equals</x:v>
      </x:c>
      <x:c r="H1449" t="str">
        <x:f>IF(E1449=F1449,"PASS","FAIL")</x:f>
        <x:v>PASS</x:v>
      </x:c>
    </x:row>
    <x:row r="1450">
      <x:c r="B1450" t="str">
        <x:v>A-1420</x:v>
      </x:c>
      <x:c r="C1450" t="str">
        <x:v>GATE</x:v>
      </x:c>
      <x:c r="D1450" t="str">
        <x:v>release ledger mirrors governing state</x:v>
      </x:c>
      <x:c r="E1450" t="str">
        <x:f>'Release Gates'!J1426</x:f>
        <x:v>OPEN</x:v>
      </x:c>
      <x:c r="F1450" t="str">
        <x:f>IF('Release Gates'!C1426="PLANNING","PASS",IF('Release Gates'!C1426="PHYSICAL","OPEN","BLOCKED"))</x:f>
        <x:v>OPEN</x:v>
      </x:c>
      <x:c r="G1450" t="str">
        <x:v>equals</x:v>
      </x:c>
      <x:c r="H1450" t="str">
        <x:f>IF(E1450=F1450,"PASS","FAIL")</x:f>
        <x:v>PASS</x:v>
      </x:c>
    </x:row>
    <x:row r="1451">
      <x:c r="B1451" t="str">
        <x:v>A-1421</x:v>
      </x:c>
      <x:c r="C1451" t="str">
        <x:v>GATE</x:v>
      </x:c>
      <x:c r="D1451" t="str">
        <x:v>release ledger mirrors governing state</x:v>
      </x:c>
      <x:c r="E1451" t="str">
        <x:f>'Release Gates'!J1427</x:f>
        <x:v>OPEN</x:v>
      </x:c>
      <x:c r="F1451" t="str">
        <x:f>IF('Release Gates'!C1427="PLANNING","PASS",IF('Release Gates'!C1427="PHYSICAL","OPEN","BLOCKED"))</x:f>
        <x:v>OPEN</x:v>
      </x:c>
      <x:c r="G1451" t="str">
        <x:v>equals</x:v>
      </x:c>
      <x:c r="H1451" t="str">
        <x:f>IF(E1451=F1451,"PASS","FAIL")</x:f>
        <x:v>PASS</x:v>
      </x:c>
    </x:row>
    <x:row r="1452">
      <x:c r="B1452" t="str">
        <x:v>A-1422</x:v>
      </x:c>
      <x:c r="C1452" t="str">
        <x:v>GATE</x:v>
      </x:c>
      <x:c r="D1452" t="str">
        <x:v>release ledger mirrors governing state</x:v>
      </x:c>
      <x:c r="E1452" t="str">
        <x:f>'Release Gates'!J1428</x:f>
        <x:v>OPEN</x:v>
      </x:c>
      <x:c r="F1452" t="str">
        <x:f>IF('Release Gates'!C1428="PLANNING","PASS",IF('Release Gates'!C1428="PHYSICAL","OPEN","BLOCKED"))</x:f>
        <x:v>OPEN</x:v>
      </x:c>
      <x:c r="G1452" t="str">
        <x:v>equals</x:v>
      </x:c>
      <x:c r="H1452" t="str">
        <x:f>IF(E1452=F1452,"PASS","FAIL")</x:f>
        <x:v>PASS</x:v>
      </x:c>
    </x:row>
    <x:row r="1453">
      <x:c r="B1453" t="str">
        <x:v>A-1423</x:v>
      </x:c>
      <x:c r="C1453" t="str">
        <x:v>GATE</x:v>
      </x:c>
      <x:c r="D1453" t="str">
        <x:v>release ledger mirrors governing state</x:v>
      </x:c>
      <x:c r="E1453" t="str">
        <x:f>'Release Gates'!J1429</x:f>
        <x:v>OPEN</x:v>
      </x:c>
      <x:c r="F1453" t="str">
        <x:f>IF('Release Gates'!C1429="PLANNING","PASS",IF('Release Gates'!C1429="PHYSICAL","OPEN","BLOCKED"))</x:f>
        <x:v>OPEN</x:v>
      </x:c>
      <x:c r="G1453" t="str">
        <x:v>equals</x:v>
      </x:c>
      <x:c r="H1453" t="str">
        <x:f>IF(E1453=F1453,"PASS","FAIL")</x:f>
        <x:v>PASS</x:v>
      </x:c>
    </x:row>
    <x:row r="1454">
      <x:c r="B1454" t="str">
        <x:v>A-1424</x:v>
      </x:c>
      <x:c r="C1454" t="str">
        <x:v>GATE</x:v>
      </x:c>
      <x:c r="D1454" t="str">
        <x:v>release ledger mirrors governing state</x:v>
      </x:c>
      <x:c r="E1454" t="str">
        <x:f>'Release Gates'!J1430</x:f>
        <x:v>OPEN</x:v>
      </x:c>
      <x:c r="F1454" t="str">
        <x:f>IF('Release Gates'!C1430="PLANNING","PASS",IF('Release Gates'!C1430="PHYSICAL","OPEN","BLOCKED"))</x:f>
        <x:v>OPEN</x:v>
      </x:c>
      <x:c r="G1454" t="str">
        <x:v>equals</x:v>
      </x:c>
      <x:c r="H1454" t="str">
        <x:f>IF(E1454=F1454,"PASS","FAIL")</x:f>
        <x:v>PASS</x:v>
      </x:c>
    </x:row>
    <x:row r="1455">
      <x:c r="B1455" t="str">
        <x:v>A-1425</x:v>
      </x:c>
      <x:c r="C1455" t="str">
        <x:v>GATE</x:v>
      </x:c>
      <x:c r="D1455" t="str">
        <x:v>release ledger mirrors governing state</x:v>
      </x:c>
      <x:c r="E1455" t="str">
        <x:f>'Release Gates'!J1431</x:f>
        <x:v>OPEN</x:v>
      </x:c>
      <x:c r="F1455" t="str">
        <x:f>IF('Release Gates'!C1431="PLANNING","PASS",IF('Release Gates'!C1431="PHYSICAL","OPEN","BLOCKED"))</x:f>
        <x:v>OPEN</x:v>
      </x:c>
      <x:c r="G1455" t="str">
        <x:v>equals</x:v>
      </x:c>
      <x:c r="H1455" t="str">
        <x:f>IF(E1455=F1455,"PASS","FAIL")</x:f>
        <x:v>PASS</x:v>
      </x:c>
    </x:row>
    <x:row r="1456">
      <x:c r="B1456" t="str">
        <x:v>A-1426</x:v>
      </x:c>
      <x:c r="C1456" t="str">
        <x:v>GATE</x:v>
      </x:c>
      <x:c r="D1456" t="str">
        <x:v>release ledger mirrors governing state</x:v>
      </x:c>
      <x:c r="E1456" t="str">
        <x:f>'Release Gates'!J1432</x:f>
        <x:v>OPEN</x:v>
      </x:c>
      <x:c r="F1456" t="str">
        <x:f>IF('Release Gates'!C1432="PLANNING","PASS",IF('Release Gates'!C1432="PHYSICAL","OPEN","BLOCKED"))</x:f>
        <x:v>OPEN</x:v>
      </x:c>
      <x:c r="G1456" t="str">
        <x:v>equals</x:v>
      </x:c>
      <x:c r="H1456" t="str">
        <x:f>IF(E1456=F1456,"PASS","FAIL")</x:f>
        <x:v>PASS</x:v>
      </x:c>
    </x:row>
    <x:row r="1457">
      <x:c r="B1457" t="str">
        <x:v>A-1427</x:v>
      </x:c>
      <x:c r="C1457" t="str">
        <x:v>GATE</x:v>
      </x:c>
      <x:c r="D1457" t="str">
        <x:v>release ledger mirrors governing state</x:v>
      </x:c>
      <x:c r="E1457" t="str">
        <x:f>'Release Gates'!J1433</x:f>
        <x:v>OPEN</x:v>
      </x:c>
      <x:c r="F1457" t="str">
        <x:f>IF('Release Gates'!C1433="PLANNING","PASS",IF('Release Gates'!C1433="PHYSICAL","OPEN","BLOCKED"))</x:f>
        <x:v>OPEN</x:v>
      </x:c>
      <x:c r="G1457" t="str">
        <x:v>equals</x:v>
      </x:c>
      <x:c r="H1457" t="str">
        <x:f>IF(E1457=F1457,"PASS","FAIL")</x:f>
        <x:v>PASS</x:v>
      </x:c>
    </x:row>
    <x:row r="1458">
      <x:c r="B1458" t="str">
        <x:v>A-1428</x:v>
      </x:c>
      <x:c r="C1458" t="str">
        <x:v>GATE</x:v>
      </x:c>
      <x:c r="D1458" t="str">
        <x:v>release ledger mirrors governing state</x:v>
      </x:c>
      <x:c r="E1458" t="str">
        <x:f>'Release Gates'!J1434</x:f>
        <x:v>OPEN</x:v>
      </x:c>
      <x:c r="F1458" t="str">
        <x:f>IF('Release Gates'!C1434="PLANNING","PASS",IF('Release Gates'!C1434="PHYSICAL","OPEN","BLOCKED"))</x:f>
        <x:v>OPEN</x:v>
      </x:c>
      <x:c r="G1458" t="str">
        <x:v>equals</x:v>
      </x:c>
      <x:c r="H1458" t="str">
        <x:f>IF(E1458=F1458,"PASS","FAIL")</x:f>
        <x:v>PASS</x:v>
      </x:c>
    </x:row>
    <x:row r="1459">
      <x:c r="B1459" t="str">
        <x:v>A-1429</x:v>
      </x:c>
      <x:c r="C1459" t="str">
        <x:v>GATE</x:v>
      </x:c>
      <x:c r="D1459" t="str">
        <x:v>release ledger mirrors governing state</x:v>
      </x:c>
      <x:c r="E1459" t="str">
        <x:f>'Release Gates'!J1435</x:f>
        <x:v>OPEN</x:v>
      </x:c>
      <x:c r="F1459" t="str">
        <x:f>IF('Release Gates'!C1435="PLANNING","PASS",IF('Release Gates'!C1435="PHYSICAL","OPEN","BLOCKED"))</x:f>
        <x:v>OPEN</x:v>
      </x:c>
      <x:c r="G1459" t="str">
        <x:v>equals</x:v>
      </x:c>
      <x:c r="H1459" t="str">
        <x:f>IF(E1459=F1459,"PASS","FAIL")</x:f>
        <x:v>PASS</x:v>
      </x:c>
    </x:row>
    <x:row r="1460">
      <x:c r="B1460" t="str">
        <x:v>A-1430</x:v>
      </x:c>
      <x:c r="C1460" t="str">
        <x:v>GATE</x:v>
      </x:c>
      <x:c r="D1460" t="str">
        <x:v>release ledger mirrors governing state</x:v>
      </x:c>
      <x:c r="E1460" t="str">
        <x:f>'Release Gates'!J1436</x:f>
        <x:v>OPEN</x:v>
      </x:c>
      <x:c r="F1460" t="str">
        <x:f>IF('Release Gates'!C1436="PLANNING","PASS",IF('Release Gates'!C1436="PHYSICAL","OPEN","BLOCKED"))</x:f>
        <x:v>OPEN</x:v>
      </x:c>
      <x:c r="G1460" t="str">
        <x:v>equals</x:v>
      </x:c>
      <x:c r="H1460" t="str">
        <x:f>IF(E1460=F1460,"PASS","FAIL")</x:f>
        <x:v>PASS</x:v>
      </x:c>
    </x:row>
    <x:row r="1461">
      <x:c r="B1461" t="str">
        <x:v>A-1431</x:v>
      </x:c>
      <x:c r="C1461" t="str">
        <x:v>GATE</x:v>
      </x:c>
      <x:c r="D1461" t="str">
        <x:v>release ledger mirrors governing state</x:v>
      </x:c>
      <x:c r="E1461" t="str">
        <x:f>'Release Gates'!J1437</x:f>
        <x:v>OPEN</x:v>
      </x:c>
      <x:c r="F1461" t="str">
        <x:f>IF('Release Gates'!C1437="PLANNING","PASS",IF('Release Gates'!C1437="PHYSICAL","OPEN","BLOCKED"))</x:f>
        <x:v>OPEN</x:v>
      </x:c>
      <x:c r="G1461" t="str">
        <x:v>equals</x:v>
      </x:c>
      <x:c r="H1461" t="str">
        <x:f>IF(E1461=F1461,"PASS","FAIL")</x:f>
        <x:v>PASS</x:v>
      </x:c>
    </x:row>
    <x:row r="1462">
      <x:c r="B1462" t="str">
        <x:v>A-1432</x:v>
      </x:c>
      <x:c r="C1462" t="str">
        <x:v>GATE</x:v>
      </x:c>
      <x:c r="D1462" t="str">
        <x:v>release ledger mirrors governing state</x:v>
      </x:c>
      <x:c r="E1462" t="str">
        <x:f>'Release Gates'!J1438</x:f>
        <x:v>OPEN</x:v>
      </x:c>
      <x:c r="F1462" t="str">
        <x:f>IF('Release Gates'!C1438="PLANNING","PASS",IF('Release Gates'!C1438="PHYSICAL","OPEN","BLOCKED"))</x:f>
        <x:v>OPEN</x:v>
      </x:c>
      <x:c r="G1462" t="str">
        <x:v>equals</x:v>
      </x:c>
      <x:c r="H1462" t="str">
        <x:f>IF(E1462=F1462,"PASS","FAIL")</x:f>
        <x:v>PASS</x:v>
      </x:c>
    </x:row>
    <x:row r="1463">
      <x:c r="B1463" t="str">
        <x:v>A-1433</x:v>
      </x:c>
      <x:c r="C1463" t="str">
        <x:v>GATE</x:v>
      </x:c>
      <x:c r="D1463" t="str">
        <x:v>release ledger mirrors governing state</x:v>
      </x:c>
      <x:c r="E1463" t="str">
        <x:f>'Release Gates'!J1439</x:f>
        <x:v>OPEN</x:v>
      </x:c>
      <x:c r="F1463" t="str">
        <x:f>IF('Release Gates'!C1439="PLANNING","PASS",IF('Release Gates'!C1439="PHYSICAL","OPEN","BLOCKED"))</x:f>
        <x:v>OPEN</x:v>
      </x:c>
      <x:c r="G1463" t="str">
        <x:v>equals</x:v>
      </x:c>
      <x:c r="H1463" t="str">
        <x:f>IF(E1463=F1463,"PASS","FAIL")</x:f>
        <x:v>PASS</x:v>
      </x:c>
    </x:row>
    <x:row r="1464">
      <x:c r="B1464" t="str">
        <x:v>A-1434</x:v>
      </x:c>
      <x:c r="C1464" t="str">
        <x:v>GATE</x:v>
      </x:c>
      <x:c r="D1464" t="str">
        <x:v>release ledger mirrors governing state</x:v>
      </x:c>
      <x:c r="E1464" t="str">
        <x:f>'Release Gates'!J1440</x:f>
        <x:v>OPEN</x:v>
      </x:c>
      <x:c r="F1464" t="str">
        <x:f>IF('Release Gates'!C1440="PLANNING","PASS",IF('Release Gates'!C1440="PHYSICAL","OPEN","BLOCKED"))</x:f>
        <x:v>OPEN</x:v>
      </x:c>
      <x:c r="G1464" t="str">
        <x:v>equals</x:v>
      </x:c>
      <x:c r="H1464" t="str">
        <x:f>IF(E1464=F1464,"PASS","FAIL")</x:f>
        <x:v>PASS</x:v>
      </x:c>
    </x:row>
    <x:row r="1465">
      <x:c r="B1465" t="str">
        <x:v>A-1435</x:v>
      </x:c>
      <x:c r="C1465" t="str">
        <x:v>GATE</x:v>
      </x:c>
      <x:c r="D1465" t="str">
        <x:v>release ledger mirrors governing state</x:v>
      </x:c>
      <x:c r="E1465" t="str">
        <x:f>'Release Gates'!J1441</x:f>
        <x:v>OPEN</x:v>
      </x:c>
      <x:c r="F1465" t="str">
        <x:f>IF('Release Gates'!C1441="PLANNING","PASS",IF('Release Gates'!C1441="PHYSICAL","OPEN","BLOCKED"))</x:f>
        <x:v>OPEN</x:v>
      </x:c>
      <x:c r="G1465" t="str">
        <x:v>equals</x:v>
      </x:c>
      <x:c r="H1465" t="str">
        <x:f>IF(E1465=F1465,"PASS","FAIL")</x:f>
        <x:v>PASS</x:v>
      </x:c>
    </x:row>
    <x:row r="1466">
      <x:c r="B1466" t="str">
        <x:v>A-1436</x:v>
      </x:c>
      <x:c r="C1466" t="str">
        <x:v>GATE</x:v>
      </x:c>
      <x:c r="D1466" t="str">
        <x:v>release ledger mirrors governing state</x:v>
      </x:c>
      <x:c r="E1466" t="str">
        <x:f>'Release Gates'!J1442</x:f>
        <x:v>OPEN</x:v>
      </x:c>
      <x:c r="F1466" t="str">
        <x:f>IF('Release Gates'!C1442="PLANNING","PASS",IF('Release Gates'!C1442="PHYSICAL","OPEN","BLOCKED"))</x:f>
        <x:v>OPEN</x:v>
      </x:c>
      <x:c r="G1466" t="str">
        <x:v>equals</x:v>
      </x:c>
      <x:c r="H1466" t="str">
        <x:f>IF(E1466=F1466,"PASS","FAIL")</x:f>
        <x:v>PASS</x:v>
      </x:c>
    </x:row>
    <x:row r="1467">
      <x:c r="B1467" t="str">
        <x:v>A-1437</x:v>
      </x:c>
      <x:c r="C1467" t="str">
        <x:v>GATE</x:v>
      </x:c>
      <x:c r="D1467" t="str">
        <x:v>release ledger mirrors governing state</x:v>
      </x:c>
      <x:c r="E1467" t="str">
        <x:f>'Release Gates'!J1443</x:f>
        <x:v>OPEN</x:v>
      </x:c>
      <x:c r="F1467" t="str">
        <x:f>IF('Release Gates'!C1443="PLANNING","PASS",IF('Release Gates'!C1443="PHYSICAL","OPEN","BLOCKED"))</x:f>
        <x:v>OPEN</x:v>
      </x:c>
      <x:c r="G1467" t="str">
        <x:v>equals</x:v>
      </x:c>
      <x:c r="H1467" t="str">
        <x:f>IF(E1467=F1467,"PASS","FAIL")</x:f>
        <x:v>PASS</x:v>
      </x:c>
    </x:row>
    <x:row r="1468">
      <x:c r="B1468" t="str">
        <x:v>A-1438</x:v>
      </x:c>
      <x:c r="C1468" t="str">
        <x:v>GATE</x:v>
      </x:c>
      <x:c r="D1468" t="str">
        <x:v>release ledger mirrors governing state</x:v>
      </x:c>
      <x:c r="E1468" t="str">
        <x:f>'Release Gates'!J1444</x:f>
        <x:v>OPEN</x:v>
      </x:c>
      <x:c r="F1468" t="str">
        <x:f>IF('Release Gates'!C1444="PLANNING","PASS",IF('Release Gates'!C1444="PHYSICAL","OPEN","BLOCKED"))</x:f>
        <x:v>OPEN</x:v>
      </x:c>
      <x:c r="G1468" t="str">
        <x:v>equals</x:v>
      </x:c>
      <x:c r="H1468" t="str">
        <x:f>IF(E1468=F1468,"PASS","FAIL")</x:f>
        <x:v>PASS</x:v>
      </x:c>
    </x:row>
    <x:row r="1469">
      <x:c r="B1469" t="str">
        <x:v>A-1439</x:v>
      </x:c>
      <x:c r="C1469" t="str">
        <x:v>GATE</x:v>
      </x:c>
      <x:c r="D1469" t="str">
        <x:v>release ledger mirrors governing state</x:v>
      </x:c>
      <x:c r="E1469" t="str">
        <x:f>'Release Gates'!J1445</x:f>
        <x:v>OPEN</x:v>
      </x:c>
      <x:c r="F1469" t="str">
        <x:f>IF('Release Gates'!C1445="PLANNING","PASS",IF('Release Gates'!C1445="PHYSICAL","OPEN","BLOCKED"))</x:f>
        <x:v>OPEN</x:v>
      </x:c>
      <x:c r="G1469" t="str">
        <x:v>equals</x:v>
      </x:c>
      <x:c r="H1469" t="str">
        <x:f>IF(E1469=F1469,"PASS","FAIL")</x:f>
        <x:v>PASS</x:v>
      </x:c>
    </x:row>
    <x:row r="1470">
      <x:c r="B1470" t="str">
        <x:v>A-1440</x:v>
      </x:c>
      <x:c r="C1470" t="str">
        <x:v>GATE</x:v>
      </x:c>
      <x:c r="D1470" t="str">
        <x:v>release ledger mirrors governing state</x:v>
      </x:c>
      <x:c r="E1470" t="str">
        <x:f>'Release Gates'!J1446</x:f>
        <x:v>OPEN</x:v>
      </x:c>
      <x:c r="F1470" t="str">
        <x:f>IF('Release Gates'!C1446="PLANNING","PASS",IF('Release Gates'!C1446="PHYSICAL","OPEN","BLOCKED"))</x:f>
        <x:v>OPEN</x:v>
      </x:c>
      <x:c r="G1470" t="str">
        <x:v>equals</x:v>
      </x:c>
      <x:c r="H1470" t="str">
        <x:f>IF(E1470=F1470,"PASS","FAIL")</x:f>
        <x:v>PASS</x:v>
      </x:c>
    </x:row>
    <x:row r="1471">
      <x:c r="B1471" t="str">
        <x:v>A-1441</x:v>
      </x:c>
      <x:c r="C1471" t="str">
        <x:v>GATE</x:v>
      </x:c>
      <x:c r="D1471" t="str">
        <x:v>release ledger mirrors governing state</x:v>
      </x:c>
      <x:c r="E1471" t="str">
        <x:f>'Release Gates'!J1447</x:f>
        <x:v>OPEN</x:v>
      </x:c>
      <x:c r="F1471" t="str">
        <x:f>IF('Release Gates'!C1447="PLANNING","PASS",IF('Release Gates'!C1447="PHYSICAL","OPEN","BLOCKED"))</x:f>
        <x:v>OPEN</x:v>
      </x:c>
      <x:c r="G1471" t="str">
        <x:v>equals</x:v>
      </x:c>
      <x:c r="H1471" t="str">
        <x:f>IF(E1471=F1471,"PASS","FAIL")</x:f>
        <x:v>PASS</x:v>
      </x:c>
    </x:row>
    <x:row r="1472">
      <x:c r="B1472" t="str">
        <x:v>A-1442</x:v>
      </x:c>
      <x:c r="C1472" t="str">
        <x:v>GATE</x:v>
      </x:c>
      <x:c r="D1472" t="str">
        <x:v>release ledger mirrors governing state</x:v>
      </x:c>
      <x:c r="E1472" t="str">
        <x:f>'Release Gates'!J1448</x:f>
        <x:v>OPEN</x:v>
      </x:c>
      <x:c r="F1472" t="str">
        <x:f>IF('Release Gates'!C1448="PLANNING","PASS",IF('Release Gates'!C1448="PHYSICAL","OPEN","BLOCKED"))</x:f>
        <x:v>OPEN</x:v>
      </x:c>
      <x:c r="G1472" t="str">
        <x:v>equals</x:v>
      </x:c>
      <x:c r="H1472" t="str">
        <x:f>IF(E1472=F1472,"PASS","FAIL")</x:f>
        <x:v>PASS</x:v>
      </x:c>
    </x:row>
    <x:row r="1473">
      <x:c r="B1473" t="str">
        <x:v>A-1443</x:v>
      </x:c>
      <x:c r="C1473" t="str">
        <x:v>GATE</x:v>
      </x:c>
      <x:c r="D1473" t="str">
        <x:v>release ledger mirrors governing state</x:v>
      </x:c>
      <x:c r="E1473" t="str">
        <x:f>'Release Gates'!J1449</x:f>
        <x:v>OPEN</x:v>
      </x:c>
      <x:c r="F1473" t="str">
        <x:f>IF('Release Gates'!C1449="PLANNING","PASS",IF('Release Gates'!C1449="PHYSICAL","OPEN","BLOCKED"))</x:f>
        <x:v>OPEN</x:v>
      </x:c>
      <x:c r="G1473" t="str">
        <x:v>equals</x:v>
      </x:c>
      <x:c r="H1473" t="str">
        <x:f>IF(E1473=F1473,"PASS","FAIL")</x:f>
        <x:v>PASS</x:v>
      </x:c>
    </x:row>
    <x:row r="1474">
      <x:c r="B1474" t="str">
        <x:v>A-1444</x:v>
      </x:c>
      <x:c r="C1474" t="str">
        <x:v>GATE</x:v>
      </x:c>
      <x:c r="D1474" t="str">
        <x:v>release ledger mirrors governing state</x:v>
      </x:c>
      <x:c r="E1474" t="str">
        <x:f>'Release Gates'!J1450</x:f>
        <x:v>OPEN</x:v>
      </x:c>
      <x:c r="F1474" t="str">
        <x:f>IF('Release Gates'!C1450="PLANNING","PASS",IF('Release Gates'!C1450="PHYSICAL","OPEN","BLOCKED"))</x:f>
        <x:v>OPEN</x:v>
      </x:c>
      <x:c r="G1474" t="str">
        <x:v>equals</x:v>
      </x:c>
      <x:c r="H1474" t="str">
        <x:f>IF(E1474=F1474,"PASS","FAIL")</x:f>
        <x:v>PASS</x:v>
      </x:c>
    </x:row>
    <x:row r="1475">
      <x:c r="B1475" t="str">
        <x:v>A-1445</x:v>
      </x:c>
      <x:c r="C1475" t="str">
        <x:v>GATE</x:v>
      </x:c>
      <x:c r="D1475" t="str">
        <x:v>release ledger mirrors governing state</x:v>
      </x:c>
      <x:c r="E1475" t="str">
        <x:f>'Release Gates'!J1451</x:f>
        <x:v>OPEN</x:v>
      </x:c>
      <x:c r="F1475" t="str">
        <x:f>IF('Release Gates'!C1451="PLANNING","PASS",IF('Release Gates'!C1451="PHYSICAL","OPEN","BLOCKED"))</x:f>
        <x:v>OPEN</x:v>
      </x:c>
      <x:c r="G1475" t="str">
        <x:v>equals</x:v>
      </x:c>
      <x:c r="H1475" t="str">
        <x:f>IF(E1475=F1475,"PASS","FAIL")</x:f>
        <x:v>PASS</x:v>
      </x:c>
    </x:row>
    <x:row r="1476">
      <x:c r="B1476" t="str">
        <x:v>A-1446</x:v>
      </x:c>
      <x:c r="C1476" t="str">
        <x:v>GATE</x:v>
      </x:c>
      <x:c r="D1476" t="str">
        <x:v>release ledger mirrors governing state</x:v>
      </x:c>
      <x:c r="E1476" t="str">
        <x:f>'Release Gates'!J1452</x:f>
        <x:v>OPEN</x:v>
      </x:c>
      <x:c r="F1476" t="str">
        <x:f>IF('Release Gates'!C1452="PLANNING","PASS",IF('Release Gates'!C1452="PHYSICAL","OPEN","BLOCKED"))</x:f>
        <x:v>OPEN</x:v>
      </x:c>
      <x:c r="G1476" t="str">
        <x:v>equals</x:v>
      </x:c>
      <x:c r="H1476" t="str">
        <x:f>IF(E1476=F1476,"PASS","FAIL")</x:f>
        <x:v>PASS</x:v>
      </x:c>
    </x:row>
    <x:row r="1477">
      <x:c r="B1477" t="str">
        <x:v>A-1447</x:v>
      </x:c>
      <x:c r="C1477" t="str">
        <x:v>GATE</x:v>
      </x:c>
      <x:c r="D1477" t="str">
        <x:v>release ledger mirrors governing state</x:v>
      </x:c>
      <x:c r="E1477" t="str">
        <x:f>'Release Gates'!J1453</x:f>
        <x:v>OPEN</x:v>
      </x:c>
      <x:c r="F1477" t="str">
        <x:f>IF('Release Gates'!C1453="PLANNING","PASS",IF('Release Gates'!C1453="PHYSICAL","OPEN","BLOCKED"))</x:f>
        <x:v>OPEN</x:v>
      </x:c>
      <x:c r="G1477" t="str">
        <x:v>equals</x:v>
      </x:c>
      <x:c r="H1477" t="str">
        <x:f>IF(E1477=F1477,"PASS","FAIL")</x:f>
        <x:v>PASS</x:v>
      </x:c>
    </x:row>
    <x:row r="1478">
      <x:c r="B1478" t="str">
        <x:v>A-1448</x:v>
      </x:c>
      <x:c r="C1478" t="str">
        <x:v>GATE</x:v>
      </x:c>
      <x:c r="D1478" t="str">
        <x:v>release ledger mirrors governing state</x:v>
      </x:c>
      <x:c r="E1478" t="str">
        <x:f>'Release Gates'!J1454</x:f>
        <x:v>OPEN</x:v>
      </x:c>
      <x:c r="F1478" t="str">
        <x:f>IF('Release Gates'!C1454="PLANNING","PASS",IF('Release Gates'!C1454="PHYSICAL","OPEN","BLOCKED"))</x:f>
        <x:v>OPEN</x:v>
      </x:c>
      <x:c r="G1478" t="str">
        <x:v>equals</x:v>
      </x:c>
      <x:c r="H1478" t="str">
        <x:f>IF(E1478=F1478,"PASS","FAIL")</x:f>
        <x:v>PASS</x:v>
      </x:c>
    </x:row>
    <x:row r="1479">
      <x:c r="B1479" t="str">
        <x:v>A-1449</x:v>
      </x:c>
      <x:c r="C1479" t="str">
        <x:v>GATE</x:v>
      </x:c>
      <x:c r="D1479" t="str">
        <x:v>release ledger mirrors governing state</x:v>
      </x:c>
      <x:c r="E1479" t="str">
        <x:f>'Release Gates'!J1455</x:f>
        <x:v>OPEN</x:v>
      </x:c>
      <x:c r="F1479" t="str">
        <x:f>IF('Release Gates'!C1455="PLANNING","PASS",IF('Release Gates'!C1455="PHYSICAL","OPEN","BLOCKED"))</x:f>
        <x:v>OPEN</x:v>
      </x:c>
      <x:c r="G1479" t="str">
        <x:v>equals</x:v>
      </x:c>
      <x:c r="H1479" t="str">
        <x:f>IF(E1479=F1479,"PASS","FAIL")</x:f>
        <x:v>PASS</x:v>
      </x:c>
    </x:row>
    <x:row r="1480">
      <x:c r="B1480" t="str">
        <x:v>A-1450</x:v>
      </x:c>
      <x:c r="C1480" t="str">
        <x:v>GATE</x:v>
      </x:c>
      <x:c r="D1480" t="str">
        <x:v>release ledger mirrors governing state</x:v>
      </x:c>
      <x:c r="E1480" t="str">
        <x:f>'Release Gates'!J1456</x:f>
        <x:v>OPEN</x:v>
      </x:c>
      <x:c r="F1480" t="str">
        <x:f>IF('Release Gates'!C1456="PLANNING","PASS",IF('Release Gates'!C1456="PHYSICAL","OPEN","BLOCKED"))</x:f>
        <x:v>OPEN</x:v>
      </x:c>
      <x:c r="G1480" t="str">
        <x:v>equals</x:v>
      </x:c>
      <x:c r="H1480" t="str">
        <x:f>IF(E1480=F1480,"PASS","FAIL")</x:f>
        <x:v>PASS</x:v>
      </x:c>
    </x:row>
    <x:row r="1481">
      <x:c r="B1481" t="str">
        <x:v>A-1451</x:v>
      </x:c>
      <x:c r="C1481" t="str">
        <x:v>GATE</x:v>
      </x:c>
      <x:c r="D1481" t="str">
        <x:v>release ledger mirrors governing state</x:v>
      </x:c>
      <x:c r="E1481" t="str">
        <x:f>'Release Gates'!J1457</x:f>
        <x:v>OPEN</x:v>
      </x:c>
      <x:c r="F1481" t="str">
        <x:f>IF('Release Gates'!C1457="PLANNING","PASS",IF('Release Gates'!C1457="PHYSICAL","OPEN","BLOCKED"))</x:f>
        <x:v>OPEN</x:v>
      </x:c>
      <x:c r="G1481" t="str">
        <x:v>equals</x:v>
      </x:c>
      <x:c r="H1481" t="str">
        <x:f>IF(E1481=F1481,"PASS","FAIL")</x:f>
        <x:v>PASS</x:v>
      </x:c>
    </x:row>
    <x:row r="1482">
      <x:c r="B1482" t="str">
        <x:v>A-1452</x:v>
      </x:c>
      <x:c r="C1482" t="str">
        <x:v>GATE</x:v>
      </x:c>
      <x:c r="D1482" t="str">
        <x:v>release ledger mirrors governing state</x:v>
      </x:c>
      <x:c r="E1482" t="str">
        <x:f>'Release Gates'!J1458</x:f>
        <x:v>OPEN</x:v>
      </x:c>
      <x:c r="F1482" t="str">
        <x:f>IF('Release Gates'!C1458="PLANNING","PASS",IF('Release Gates'!C1458="PHYSICAL","OPEN","BLOCKED"))</x:f>
        <x:v>OPEN</x:v>
      </x:c>
      <x:c r="G1482" t="str">
        <x:v>equals</x:v>
      </x:c>
      <x:c r="H1482" t="str">
        <x:f>IF(E1482=F1482,"PASS","FAIL")</x:f>
        <x:v>PASS</x:v>
      </x:c>
    </x:row>
    <x:row r="1483">
      <x:c r="B1483" t="str">
        <x:v>A-1453</x:v>
      </x:c>
      <x:c r="C1483" t="str">
        <x:v>GATE</x:v>
      </x:c>
      <x:c r="D1483" t="str">
        <x:v>release ledger mirrors governing state</x:v>
      </x:c>
      <x:c r="E1483" t="str">
        <x:f>'Release Gates'!J1459</x:f>
        <x:v>OPEN</x:v>
      </x:c>
      <x:c r="F1483" t="str">
        <x:f>IF('Release Gates'!C1459="PLANNING","PASS",IF('Release Gates'!C1459="PHYSICAL","OPEN","BLOCKED"))</x:f>
        <x:v>OPEN</x:v>
      </x:c>
      <x:c r="G1483" t="str">
        <x:v>equals</x:v>
      </x:c>
      <x:c r="H1483" t="str">
        <x:f>IF(E1483=F1483,"PASS","FAIL")</x:f>
        <x:v>PASS</x:v>
      </x:c>
    </x:row>
    <x:row r="1484">
      <x:c r="B1484" t="str">
        <x:v>A-1454</x:v>
      </x:c>
      <x:c r="C1484" t="str">
        <x:v>GATE</x:v>
      </x:c>
      <x:c r="D1484" t="str">
        <x:v>release ledger mirrors governing state</x:v>
      </x:c>
      <x:c r="E1484" t="str">
        <x:f>'Release Gates'!J1460</x:f>
        <x:v>OPEN</x:v>
      </x:c>
      <x:c r="F1484" t="str">
        <x:f>IF('Release Gates'!C1460="PLANNING","PASS",IF('Release Gates'!C1460="PHYSICAL","OPEN","BLOCKED"))</x:f>
        <x:v>OPEN</x:v>
      </x:c>
      <x:c r="G1484" t="str">
        <x:v>equals</x:v>
      </x:c>
      <x:c r="H1484" t="str">
        <x:f>IF(E1484=F1484,"PASS","FAIL")</x:f>
        <x:v>PASS</x:v>
      </x:c>
    </x:row>
    <x:row r="1485">
      <x:c r="B1485" t="str">
        <x:v>A-1455</x:v>
      </x:c>
      <x:c r="C1485" t="str">
        <x:v>GATE</x:v>
      </x:c>
      <x:c r="D1485" t="str">
        <x:v>release ledger mirrors governing state</x:v>
      </x:c>
      <x:c r="E1485" t="str">
        <x:f>'Release Gates'!J1461</x:f>
        <x:v>OPEN</x:v>
      </x:c>
      <x:c r="F1485" t="str">
        <x:f>IF('Release Gates'!C1461="PLANNING","PASS",IF('Release Gates'!C1461="PHYSICAL","OPEN","BLOCKED"))</x:f>
        <x:v>OPEN</x:v>
      </x:c>
      <x:c r="G1485" t="str">
        <x:v>equals</x:v>
      </x:c>
      <x:c r="H1485" t="str">
        <x:f>IF(E1485=F1485,"PASS","FAIL")</x:f>
        <x:v>PASS</x:v>
      </x:c>
    </x:row>
    <x:row r="1486">
      <x:c r="B1486" t="str">
        <x:v>A-1456</x:v>
      </x:c>
      <x:c r="C1486" t="str">
        <x:v>GATE</x:v>
      </x:c>
      <x:c r="D1486" t="str">
        <x:v>release ledger mirrors governing state</x:v>
      </x:c>
      <x:c r="E1486" t="str">
        <x:f>'Release Gates'!J1462</x:f>
        <x:v>OPEN</x:v>
      </x:c>
      <x:c r="F1486" t="str">
        <x:f>IF('Release Gates'!C1462="PLANNING","PASS",IF('Release Gates'!C1462="PHYSICAL","OPEN","BLOCKED"))</x:f>
        <x:v>OPEN</x:v>
      </x:c>
      <x:c r="G1486" t="str">
        <x:v>equals</x:v>
      </x:c>
      <x:c r="H1486" t="str">
        <x:f>IF(E1486=F1486,"PASS","FAIL")</x:f>
        <x:v>PASS</x:v>
      </x:c>
    </x:row>
    <x:row r="1487">
      <x:c r="B1487" t="str">
        <x:v>A-1457</x:v>
      </x:c>
      <x:c r="C1487" t="str">
        <x:v>GATE</x:v>
      </x:c>
      <x:c r="D1487" t="str">
        <x:v>release ledger mirrors governing state</x:v>
      </x:c>
      <x:c r="E1487" t="str">
        <x:f>'Release Gates'!J1463</x:f>
        <x:v>OPEN</x:v>
      </x:c>
      <x:c r="F1487" t="str">
        <x:f>IF('Release Gates'!C1463="PLANNING","PASS",IF('Release Gates'!C1463="PHYSICAL","OPEN","BLOCKED"))</x:f>
        <x:v>OPEN</x:v>
      </x:c>
      <x:c r="G1487" t="str">
        <x:v>equals</x:v>
      </x:c>
      <x:c r="H1487" t="str">
        <x:f>IF(E1487=F1487,"PASS","FAIL")</x:f>
        <x:v>PASS</x:v>
      </x:c>
    </x:row>
    <x:row r="1488">
      <x:c r="B1488" t="str">
        <x:v>A-1458</x:v>
      </x:c>
      <x:c r="C1488" t="str">
        <x:v>GATE</x:v>
      </x:c>
      <x:c r="D1488" t="str">
        <x:v>release ledger mirrors governing state</x:v>
      </x:c>
      <x:c r="E1488" t="str">
        <x:f>'Release Gates'!J1464</x:f>
        <x:v>OPEN</x:v>
      </x:c>
      <x:c r="F1488" t="str">
        <x:f>IF('Release Gates'!C1464="PLANNING","PASS",IF('Release Gates'!C1464="PHYSICAL","OPEN","BLOCKED"))</x:f>
        <x:v>OPEN</x:v>
      </x:c>
      <x:c r="G1488" t="str">
        <x:v>equals</x:v>
      </x:c>
      <x:c r="H1488" t="str">
        <x:f>IF(E1488=F1488,"PASS","FAIL")</x:f>
        <x:v>PASS</x:v>
      </x:c>
    </x:row>
    <x:row r="1489">
      <x:c r="B1489" t="str">
        <x:v>A-1459</x:v>
      </x:c>
      <x:c r="C1489" t="str">
        <x:v>GATE</x:v>
      </x:c>
      <x:c r="D1489" t="str">
        <x:v>release ledger mirrors governing state</x:v>
      </x:c>
      <x:c r="E1489" t="str">
        <x:f>'Release Gates'!J1465</x:f>
        <x:v>OPEN</x:v>
      </x:c>
      <x:c r="F1489" t="str">
        <x:f>IF('Release Gates'!C1465="PLANNING","PASS",IF('Release Gates'!C1465="PHYSICAL","OPEN","BLOCKED"))</x:f>
        <x:v>OPEN</x:v>
      </x:c>
      <x:c r="G1489" t="str">
        <x:v>equals</x:v>
      </x:c>
      <x:c r="H1489" t="str">
        <x:f>IF(E1489=F1489,"PASS","FAIL")</x:f>
        <x:v>PASS</x:v>
      </x:c>
    </x:row>
    <x:row r="1490">
      <x:c r="B1490" t="str">
        <x:v>A-1460</x:v>
      </x:c>
      <x:c r="C1490" t="str">
        <x:v>GATE</x:v>
      </x:c>
      <x:c r="D1490" t="str">
        <x:v>release ledger mirrors governing state</x:v>
      </x:c>
      <x:c r="E1490" t="str">
        <x:f>'Release Gates'!J1466</x:f>
        <x:v>OPEN</x:v>
      </x:c>
      <x:c r="F1490" t="str">
        <x:f>IF('Release Gates'!C1466="PLANNING","PASS",IF('Release Gates'!C1466="PHYSICAL","OPEN","BLOCKED"))</x:f>
        <x:v>OPEN</x:v>
      </x:c>
      <x:c r="G1490" t="str">
        <x:v>equals</x:v>
      </x:c>
      <x:c r="H1490" t="str">
        <x:f>IF(E1490=F1490,"PASS","FAIL")</x:f>
        <x:v>PASS</x:v>
      </x:c>
    </x:row>
    <x:row r="1491">
      <x:c r="B1491" t="str">
        <x:v>A-1461</x:v>
      </x:c>
      <x:c r="C1491" t="str">
        <x:v>GATE</x:v>
      </x:c>
      <x:c r="D1491" t="str">
        <x:v>release ledger mirrors governing state</x:v>
      </x:c>
      <x:c r="E1491" t="str">
        <x:f>'Release Gates'!J1467</x:f>
        <x:v>OPEN</x:v>
      </x:c>
      <x:c r="F1491" t="str">
        <x:f>IF('Release Gates'!C1467="PLANNING","PASS",IF('Release Gates'!C1467="PHYSICAL","OPEN","BLOCKED"))</x:f>
        <x:v>OPEN</x:v>
      </x:c>
      <x:c r="G1491" t="str">
        <x:v>equals</x:v>
      </x:c>
      <x:c r="H1491" t="str">
        <x:f>IF(E1491=F1491,"PASS","FAIL")</x:f>
        <x:v>PASS</x:v>
      </x:c>
    </x:row>
    <x:row r="1492">
      <x:c r="B1492" t="str">
        <x:v>A-1462</x:v>
      </x:c>
      <x:c r="C1492" t="str">
        <x:v>GATE</x:v>
      </x:c>
      <x:c r="D1492" t="str">
        <x:v>release ledger mirrors governing state</x:v>
      </x:c>
      <x:c r="E1492" t="str">
        <x:f>'Release Gates'!J1468</x:f>
        <x:v>OPEN</x:v>
      </x:c>
      <x:c r="F1492" t="str">
        <x:f>IF('Release Gates'!C1468="PLANNING","PASS",IF('Release Gates'!C1468="PHYSICAL","OPEN","BLOCKED"))</x:f>
        <x:v>OPEN</x:v>
      </x:c>
      <x:c r="G1492" t="str">
        <x:v>equals</x:v>
      </x:c>
      <x:c r="H1492" t="str">
        <x:f>IF(E1492=F1492,"PASS","FAIL")</x:f>
        <x:v>PASS</x:v>
      </x:c>
    </x:row>
    <x:row r="1493">
      <x:c r="B1493" t="str">
        <x:v>A-1463</x:v>
      </x:c>
      <x:c r="C1493" t="str">
        <x:v>GATE</x:v>
      </x:c>
      <x:c r="D1493" t="str">
        <x:v>release ledger mirrors governing state</x:v>
      </x:c>
      <x:c r="E1493" t="str">
        <x:f>'Release Gates'!J1469</x:f>
        <x:v>OPEN</x:v>
      </x:c>
      <x:c r="F1493" t="str">
        <x:f>IF('Release Gates'!C1469="PLANNING","PASS",IF('Release Gates'!C1469="PHYSICAL","OPEN","BLOCKED"))</x:f>
        <x:v>OPEN</x:v>
      </x:c>
      <x:c r="G1493" t="str">
        <x:v>equals</x:v>
      </x:c>
      <x:c r="H1493" t="str">
        <x:f>IF(E1493=F1493,"PASS","FAIL")</x:f>
        <x:v>PASS</x:v>
      </x:c>
    </x:row>
    <x:row r="1494">
      <x:c r="B1494" t="str">
        <x:v>A-1464</x:v>
      </x:c>
      <x:c r="C1494" t="str">
        <x:v>GATE</x:v>
      </x:c>
      <x:c r="D1494" t="str">
        <x:v>release ledger mirrors governing state</x:v>
      </x:c>
      <x:c r="E1494" t="str">
        <x:f>'Release Gates'!J1470</x:f>
        <x:v>OPEN</x:v>
      </x:c>
      <x:c r="F1494" t="str">
        <x:f>IF('Release Gates'!C1470="PLANNING","PASS",IF('Release Gates'!C1470="PHYSICAL","OPEN","BLOCKED"))</x:f>
        <x:v>OPEN</x:v>
      </x:c>
      <x:c r="G1494" t="str">
        <x:v>equals</x:v>
      </x:c>
      <x:c r="H1494" t="str">
        <x:f>IF(E1494=F1494,"PASS","FAIL")</x:f>
        <x:v>PASS</x:v>
      </x:c>
    </x:row>
    <x:row r="1495">
      <x:c r="B1495" t="str">
        <x:v>A-1465</x:v>
      </x:c>
      <x:c r="C1495" t="str">
        <x:v>GATE</x:v>
      </x:c>
      <x:c r="D1495" t="str">
        <x:v>release ledger mirrors governing state</x:v>
      </x:c>
      <x:c r="E1495" t="str">
        <x:f>'Release Gates'!J1471</x:f>
        <x:v>OPEN</x:v>
      </x:c>
      <x:c r="F1495" t="str">
        <x:f>IF('Release Gates'!C1471="PLANNING","PASS",IF('Release Gates'!C1471="PHYSICAL","OPEN","BLOCKED"))</x:f>
        <x:v>OPEN</x:v>
      </x:c>
      <x:c r="G1495" t="str">
        <x:v>equals</x:v>
      </x:c>
      <x:c r="H1495" t="str">
        <x:f>IF(E1495=F1495,"PASS","FAIL")</x:f>
        <x:v>PASS</x:v>
      </x:c>
    </x:row>
    <x:row r="1496">
      <x:c r="B1496" t="str">
        <x:v>A-1466</x:v>
      </x:c>
      <x:c r="C1496" t="str">
        <x:v>GATE</x:v>
      </x:c>
      <x:c r="D1496" t="str">
        <x:v>release ledger mirrors governing state</x:v>
      </x:c>
      <x:c r="E1496" t="str">
        <x:f>'Release Gates'!J1472</x:f>
        <x:v>OPEN</x:v>
      </x:c>
      <x:c r="F1496" t="str">
        <x:f>IF('Release Gates'!C1472="PLANNING","PASS",IF('Release Gates'!C1472="PHYSICAL","OPEN","BLOCKED"))</x:f>
        <x:v>OPEN</x:v>
      </x:c>
      <x:c r="G1496" t="str">
        <x:v>equals</x:v>
      </x:c>
      <x:c r="H1496" t="str">
        <x:f>IF(E1496=F1496,"PASS","FAIL")</x:f>
        <x:v>PASS</x:v>
      </x:c>
    </x:row>
    <x:row r="1497">
      <x:c r="B1497" t="str">
        <x:v>A-1467</x:v>
      </x:c>
      <x:c r="C1497" t="str">
        <x:v>GATE</x:v>
      </x:c>
      <x:c r="D1497" t="str">
        <x:v>release ledger mirrors governing state</x:v>
      </x:c>
      <x:c r="E1497" t="str">
        <x:f>'Release Gates'!J1473</x:f>
        <x:v>OPEN</x:v>
      </x:c>
      <x:c r="F1497" t="str">
        <x:f>IF('Release Gates'!C1473="PLANNING","PASS",IF('Release Gates'!C1473="PHYSICAL","OPEN","BLOCKED"))</x:f>
        <x:v>OPEN</x:v>
      </x:c>
      <x:c r="G1497" t="str">
        <x:v>equals</x:v>
      </x:c>
      <x:c r="H1497" t="str">
        <x:f>IF(E1497=F1497,"PASS","FAIL")</x:f>
        <x:v>PASS</x:v>
      </x:c>
    </x:row>
    <x:row r="1498">
      <x:c r="B1498" t="str">
        <x:v>A-1468</x:v>
      </x:c>
      <x:c r="C1498" t="str">
        <x:v>GATE</x:v>
      </x:c>
      <x:c r="D1498" t="str">
        <x:v>release ledger mirrors governing state</x:v>
      </x:c>
      <x:c r="E1498" t="str">
        <x:f>'Release Gates'!J1474</x:f>
        <x:v>OPEN</x:v>
      </x:c>
      <x:c r="F1498" t="str">
        <x:f>IF('Release Gates'!C1474="PLANNING","PASS",IF('Release Gates'!C1474="PHYSICAL","OPEN","BLOCKED"))</x:f>
        <x:v>OPEN</x:v>
      </x:c>
      <x:c r="G1498" t="str">
        <x:v>equals</x:v>
      </x:c>
      <x:c r="H1498" t="str">
        <x:f>IF(E1498=F1498,"PASS","FAIL")</x:f>
        <x:v>PASS</x:v>
      </x:c>
    </x:row>
    <x:row r="1499">
      <x:c r="B1499" t="str">
        <x:v>A-1469</x:v>
      </x:c>
      <x:c r="C1499" t="str">
        <x:v>GATE</x:v>
      </x:c>
      <x:c r="D1499" t="str">
        <x:v>release ledger mirrors governing state</x:v>
      </x:c>
      <x:c r="E1499" t="str">
        <x:f>'Release Gates'!J1475</x:f>
        <x:v>OPEN</x:v>
      </x:c>
      <x:c r="F1499" t="str">
        <x:f>IF('Release Gates'!C1475="PLANNING","PASS",IF('Release Gates'!C1475="PHYSICAL","OPEN","BLOCKED"))</x:f>
        <x:v>OPEN</x:v>
      </x:c>
      <x:c r="G1499" t="str">
        <x:v>equals</x:v>
      </x:c>
      <x:c r="H1499" t="str">
        <x:f>IF(E1499=F1499,"PASS","FAIL")</x:f>
        <x:v>PASS</x:v>
      </x:c>
    </x:row>
    <x:row r="1500">
      <x:c r="B1500" t="str">
        <x:v>A-1470</x:v>
      </x:c>
      <x:c r="C1500" t="str">
        <x:v>GATE</x:v>
      </x:c>
      <x:c r="D1500" t="str">
        <x:v>release ledger mirrors governing state</x:v>
      </x:c>
      <x:c r="E1500" t="str">
        <x:f>'Release Gates'!J1476</x:f>
        <x:v>OPEN</x:v>
      </x:c>
      <x:c r="F1500" t="str">
        <x:f>IF('Release Gates'!C1476="PLANNING","PASS",IF('Release Gates'!C1476="PHYSICAL","OPEN","BLOCKED"))</x:f>
        <x:v>OPEN</x:v>
      </x:c>
      <x:c r="G1500" t="str">
        <x:v>equals</x:v>
      </x:c>
      <x:c r="H1500" t="str">
        <x:f>IF(E1500=F1500,"PASS","FAIL")</x:f>
        <x:v>PASS</x:v>
      </x:c>
    </x:row>
    <x:row r="1501">
      <x:c r="B1501" t="str">
        <x:v>A-1471</x:v>
      </x:c>
      <x:c r="C1501" t="str">
        <x:v>GATE</x:v>
      </x:c>
      <x:c r="D1501" t="str">
        <x:v>release ledger mirrors governing state</x:v>
      </x:c>
      <x:c r="E1501" t="str">
        <x:f>'Release Gates'!J1477</x:f>
        <x:v>OPEN</x:v>
      </x:c>
      <x:c r="F1501" t="str">
        <x:f>IF('Release Gates'!C1477="PLANNING","PASS",IF('Release Gates'!C1477="PHYSICAL","OPEN","BLOCKED"))</x:f>
        <x:v>OPEN</x:v>
      </x:c>
      <x:c r="G1501" t="str">
        <x:v>equals</x:v>
      </x:c>
      <x:c r="H1501" t="str">
        <x:f>IF(E1501=F1501,"PASS","FAIL")</x:f>
        <x:v>PASS</x:v>
      </x:c>
    </x:row>
    <x:row r="1502">
      <x:c r="B1502" t="str">
        <x:v>A-1472</x:v>
      </x:c>
      <x:c r="C1502" t="str">
        <x:v>GATE</x:v>
      </x:c>
      <x:c r="D1502" t="str">
        <x:v>release ledger mirrors governing state</x:v>
      </x:c>
      <x:c r="E1502" t="str">
        <x:f>'Release Gates'!J1478</x:f>
        <x:v>OPEN</x:v>
      </x:c>
      <x:c r="F1502" t="str">
        <x:f>IF('Release Gates'!C1478="PLANNING","PASS",IF('Release Gates'!C1478="PHYSICAL","OPEN","BLOCKED"))</x:f>
        <x:v>OPEN</x:v>
      </x:c>
      <x:c r="G1502" t="str">
        <x:v>equals</x:v>
      </x:c>
      <x:c r="H1502" t="str">
        <x:f>IF(E1502=F1502,"PASS","FAIL")</x:f>
        <x:v>PASS</x:v>
      </x:c>
    </x:row>
    <x:row r="1503">
      <x:c r="B1503" t="str">
        <x:v>A-1473</x:v>
      </x:c>
      <x:c r="C1503" t="str">
        <x:v>GATE</x:v>
      </x:c>
      <x:c r="D1503" t="str">
        <x:v>release ledger mirrors governing state</x:v>
      </x:c>
      <x:c r="E1503" t="str">
        <x:f>'Release Gates'!J1479</x:f>
        <x:v>OPEN</x:v>
      </x:c>
      <x:c r="F1503" t="str">
        <x:f>IF('Release Gates'!C1479="PLANNING","PASS",IF('Release Gates'!C1479="PHYSICAL","OPEN","BLOCKED"))</x:f>
        <x:v>OPEN</x:v>
      </x:c>
      <x:c r="G1503" t="str">
        <x:v>equals</x:v>
      </x:c>
      <x:c r="H1503" t="str">
        <x:f>IF(E1503=F1503,"PASS","FAIL")</x:f>
        <x:v>PASS</x:v>
      </x:c>
    </x:row>
    <x:row r="1504">
      <x:c r="B1504" t="str">
        <x:v>A-1474</x:v>
      </x:c>
      <x:c r="C1504" t="str">
        <x:v>GATE</x:v>
      </x:c>
      <x:c r="D1504" t="str">
        <x:v>release ledger mirrors governing state</x:v>
      </x:c>
      <x:c r="E1504" t="str">
        <x:f>'Release Gates'!J1480</x:f>
        <x:v>OPEN</x:v>
      </x:c>
      <x:c r="F1504" t="str">
        <x:f>IF('Release Gates'!C1480="PLANNING","PASS",IF('Release Gates'!C1480="PHYSICAL","OPEN","BLOCKED"))</x:f>
        <x:v>OPEN</x:v>
      </x:c>
      <x:c r="G1504" t="str">
        <x:v>equals</x:v>
      </x:c>
      <x:c r="H1504" t="str">
        <x:f>IF(E1504=F1504,"PASS","FAIL")</x:f>
        <x:v>PASS</x:v>
      </x:c>
    </x:row>
    <x:row r="1505">
      <x:c r="B1505" t="str">
        <x:v>A-1475</x:v>
      </x:c>
      <x:c r="C1505" t="str">
        <x:v>GATE</x:v>
      </x:c>
      <x:c r="D1505" t="str">
        <x:v>release ledger mirrors governing state</x:v>
      </x:c>
      <x:c r="E1505" t="str">
        <x:f>'Release Gates'!J1481</x:f>
        <x:v>OPEN</x:v>
      </x:c>
      <x:c r="F1505" t="str">
        <x:f>IF('Release Gates'!C1481="PLANNING","PASS",IF('Release Gates'!C1481="PHYSICAL","OPEN","BLOCKED"))</x:f>
        <x:v>OPEN</x:v>
      </x:c>
      <x:c r="G1505" t="str">
        <x:v>equals</x:v>
      </x:c>
      <x:c r="H1505" t="str">
        <x:f>IF(E1505=F1505,"PASS","FAIL")</x:f>
        <x:v>PASS</x:v>
      </x:c>
    </x:row>
    <x:row r="1506">
      <x:c r="B1506" t="str">
        <x:v>A-1476</x:v>
      </x:c>
      <x:c r="C1506" t="str">
        <x:v>GATE</x:v>
      </x:c>
      <x:c r="D1506" t="str">
        <x:v>release ledger mirrors governing state</x:v>
      </x:c>
      <x:c r="E1506" t="str">
        <x:f>'Release Gates'!J1482</x:f>
        <x:v>OPEN</x:v>
      </x:c>
      <x:c r="F1506" t="str">
        <x:f>IF('Release Gates'!C1482="PLANNING","PASS",IF('Release Gates'!C1482="PHYSICAL","OPEN","BLOCKED"))</x:f>
        <x:v>OPEN</x:v>
      </x:c>
      <x:c r="G1506" t="str">
        <x:v>equals</x:v>
      </x:c>
      <x:c r="H1506" t="str">
        <x:f>IF(E1506=F1506,"PASS","FAIL")</x:f>
        <x:v>PASS</x:v>
      </x:c>
    </x:row>
    <x:row r="1507">
      <x:c r="B1507" t="str">
        <x:v>A-1477</x:v>
      </x:c>
      <x:c r="C1507" t="str">
        <x:v>GATE</x:v>
      </x:c>
      <x:c r="D1507" t="str">
        <x:v>release ledger mirrors governing state</x:v>
      </x:c>
      <x:c r="E1507" t="str">
        <x:f>'Release Gates'!J1483</x:f>
        <x:v>OPEN</x:v>
      </x:c>
      <x:c r="F1507" t="str">
        <x:f>IF('Release Gates'!C1483="PLANNING","PASS",IF('Release Gates'!C1483="PHYSICAL","OPEN","BLOCKED"))</x:f>
        <x:v>OPEN</x:v>
      </x:c>
      <x:c r="G1507" t="str">
        <x:v>equals</x:v>
      </x:c>
      <x:c r="H1507" t="str">
        <x:f>IF(E1507=F1507,"PASS","FAIL")</x:f>
        <x:v>PASS</x:v>
      </x:c>
    </x:row>
    <x:row r="1508">
      <x:c r="B1508" t="str">
        <x:v>A-1478</x:v>
      </x:c>
      <x:c r="C1508" t="str">
        <x:v>GATE</x:v>
      </x:c>
      <x:c r="D1508" t="str">
        <x:v>release ledger mirrors governing state</x:v>
      </x:c>
      <x:c r="E1508" t="str">
        <x:f>'Release Gates'!J1484</x:f>
        <x:v>OPEN</x:v>
      </x:c>
      <x:c r="F1508" t="str">
        <x:f>IF('Release Gates'!C1484="PLANNING","PASS",IF('Release Gates'!C1484="PHYSICAL","OPEN","BLOCKED"))</x:f>
        <x:v>OPEN</x:v>
      </x:c>
      <x:c r="G1508" t="str">
        <x:v>equals</x:v>
      </x:c>
      <x:c r="H1508" t="str">
        <x:f>IF(E1508=F1508,"PASS","FAIL")</x:f>
        <x:v>PASS</x:v>
      </x:c>
    </x:row>
    <x:row r="1509">
      <x:c r="B1509" t="str">
        <x:v>A-1479</x:v>
      </x:c>
      <x:c r="C1509" t="str">
        <x:v>GATE</x:v>
      </x:c>
      <x:c r="D1509" t="str">
        <x:v>release ledger mirrors governing state</x:v>
      </x:c>
      <x:c r="E1509" t="str">
        <x:f>'Release Gates'!J1485</x:f>
        <x:v>OPEN</x:v>
      </x:c>
      <x:c r="F1509" t="str">
        <x:f>IF('Release Gates'!C1485="PLANNING","PASS",IF('Release Gates'!C1485="PHYSICAL","OPEN","BLOCKED"))</x:f>
        <x:v>OPEN</x:v>
      </x:c>
      <x:c r="G1509" t="str">
        <x:v>equals</x:v>
      </x:c>
      <x:c r="H1509" t="str">
        <x:f>IF(E1509=F1509,"PASS","FAIL")</x:f>
        <x:v>PASS</x:v>
      </x:c>
    </x:row>
    <x:row r="1510">
      <x:c r="B1510" t="str">
        <x:v>A-1480</x:v>
      </x:c>
      <x:c r="C1510" t="str">
        <x:v>GATE</x:v>
      </x:c>
      <x:c r="D1510" t="str">
        <x:v>release ledger mirrors governing state</x:v>
      </x:c>
      <x:c r="E1510" t="str">
        <x:f>'Release Gates'!J1486</x:f>
        <x:v>OPEN</x:v>
      </x:c>
      <x:c r="F1510" t="str">
        <x:f>IF('Release Gates'!C1486="PLANNING","PASS",IF('Release Gates'!C1486="PHYSICAL","OPEN","BLOCKED"))</x:f>
        <x:v>OPEN</x:v>
      </x:c>
      <x:c r="G1510" t="str">
        <x:v>equals</x:v>
      </x:c>
      <x:c r="H1510" t="str">
        <x:f>IF(E1510=F1510,"PASS","FAIL")</x:f>
        <x:v>PASS</x:v>
      </x:c>
    </x:row>
    <x:row r="1511">
      <x:c r="B1511" t="str">
        <x:v>A-1481</x:v>
      </x:c>
      <x:c r="C1511" t="str">
        <x:v>GATE</x:v>
      </x:c>
      <x:c r="D1511" t="str">
        <x:v>release ledger mirrors governing state</x:v>
      </x:c>
      <x:c r="E1511" t="str">
        <x:f>'Release Gates'!J1487</x:f>
        <x:v>OPEN</x:v>
      </x:c>
      <x:c r="F1511" t="str">
        <x:f>IF('Release Gates'!C1487="PLANNING","PASS",IF('Release Gates'!C1487="PHYSICAL","OPEN","BLOCKED"))</x:f>
        <x:v>OPEN</x:v>
      </x:c>
      <x:c r="G1511" t="str">
        <x:v>equals</x:v>
      </x:c>
      <x:c r="H1511" t="str">
        <x:f>IF(E1511=F1511,"PASS","FAIL")</x:f>
        <x:v>PASS</x:v>
      </x:c>
    </x:row>
    <x:row r="1512">
      <x:c r="B1512" t="str">
        <x:v>A-1482</x:v>
      </x:c>
      <x:c r="C1512" t="str">
        <x:v>GATE</x:v>
      </x:c>
      <x:c r="D1512" t="str">
        <x:v>release ledger mirrors governing state</x:v>
      </x:c>
      <x:c r="E1512" t="str">
        <x:f>'Release Gates'!J1488</x:f>
        <x:v>OPEN</x:v>
      </x:c>
      <x:c r="F1512" t="str">
        <x:f>IF('Release Gates'!C1488="PLANNING","PASS",IF('Release Gates'!C1488="PHYSICAL","OPEN","BLOCKED"))</x:f>
        <x:v>OPEN</x:v>
      </x:c>
      <x:c r="G1512" t="str">
        <x:v>equals</x:v>
      </x:c>
      <x:c r="H1512" t="str">
        <x:f>IF(E1512=F1512,"PASS","FAIL")</x:f>
        <x:v>PASS</x:v>
      </x:c>
    </x:row>
    <x:row r="1513">
      <x:c r="B1513" t="str">
        <x:v>A-1483</x:v>
      </x:c>
      <x:c r="C1513" t="str">
        <x:v>GATE</x:v>
      </x:c>
      <x:c r="D1513" t="str">
        <x:v>release ledger mirrors governing state</x:v>
      </x:c>
      <x:c r="E1513" t="str">
        <x:f>'Release Gates'!J1489</x:f>
        <x:v>OPEN</x:v>
      </x:c>
      <x:c r="F1513" t="str">
        <x:f>IF('Release Gates'!C1489="PLANNING","PASS",IF('Release Gates'!C1489="PHYSICAL","OPEN","BLOCKED"))</x:f>
        <x:v>OPEN</x:v>
      </x:c>
      <x:c r="G1513" t="str">
        <x:v>equals</x:v>
      </x:c>
      <x:c r="H1513" t="str">
        <x:f>IF(E1513=F1513,"PASS","FAIL")</x:f>
        <x:v>PASS</x:v>
      </x:c>
    </x:row>
    <x:row r="1514">
      <x:c r="B1514" t="str">
        <x:v>A-1484</x:v>
      </x:c>
      <x:c r="C1514" t="str">
        <x:v>GATE</x:v>
      </x:c>
      <x:c r="D1514" t="str">
        <x:v>release ledger mirrors governing state</x:v>
      </x:c>
      <x:c r="E1514" t="str">
        <x:f>'Release Gates'!J1490</x:f>
        <x:v>OPEN</x:v>
      </x:c>
      <x:c r="F1514" t="str">
        <x:f>IF('Release Gates'!C1490="PLANNING","PASS",IF('Release Gates'!C1490="PHYSICAL","OPEN","BLOCKED"))</x:f>
        <x:v>OPEN</x:v>
      </x:c>
      <x:c r="G1514" t="str">
        <x:v>equals</x:v>
      </x:c>
      <x:c r="H1514" t="str">
        <x:f>IF(E1514=F1514,"PASS","FAIL")</x:f>
        <x:v>PASS</x:v>
      </x:c>
    </x:row>
    <x:row r="1515">
      <x:c r="B1515" t="str">
        <x:v>A-1485</x:v>
      </x:c>
      <x:c r="C1515" t="str">
        <x:v>GATE</x:v>
      </x:c>
      <x:c r="D1515" t="str">
        <x:v>release ledger mirrors governing state</x:v>
      </x:c>
      <x:c r="E1515" t="str">
        <x:f>'Release Gates'!J1491</x:f>
        <x:v>OPEN</x:v>
      </x:c>
      <x:c r="F1515" t="str">
        <x:f>IF('Release Gates'!C1491="PLANNING","PASS",IF('Release Gates'!C1491="PHYSICAL","OPEN","BLOCKED"))</x:f>
        <x:v>OPEN</x:v>
      </x:c>
      <x:c r="G1515" t="str">
        <x:v>equals</x:v>
      </x:c>
      <x:c r="H1515" t="str">
        <x:f>IF(E1515=F1515,"PASS","FAIL")</x:f>
        <x:v>PASS</x:v>
      </x:c>
    </x:row>
    <x:row r="1516">
      <x:c r="B1516" t="str">
        <x:v>A-1486</x:v>
      </x:c>
      <x:c r="C1516" t="str">
        <x:v>GATE</x:v>
      </x:c>
      <x:c r="D1516" t="str">
        <x:v>release ledger mirrors governing state</x:v>
      </x:c>
      <x:c r="E1516" t="str">
        <x:f>'Release Gates'!J1492</x:f>
        <x:v>OPEN</x:v>
      </x:c>
      <x:c r="F1516" t="str">
        <x:f>IF('Release Gates'!C1492="PLANNING","PASS",IF('Release Gates'!C1492="PHYSICAL","OPEN","BLOCKED"))</x:f>
        <x:v>OPEN</x:v>
      </x:c>
      <x:c r="G1516" t="str">
        <x:v>equals</x:v>
      </x:c>
      <x:c r="H1516" t="str">
        <x:f>IF(E1516=F1516,"PASS","FAIL")</x:f>
        <x:v>PASS</x:v>
      </x:c>
    </x:row>
    <x:row r="1517">
      <x:c r="B1517" t="str">
        <x:v>A-1487</x:v>
      </x:c>
      <x:c r="C1517" t="str">
        <x:v>GATE</x:v>
      </x:c>
      <x:c r="D1517" t="str">
        <x:v>release ledger mirrors governing state</x:v>
      </x:c>
      <x:c r="E1517" t="str">
        <x:f>'Release Gates'!J1493</x:f>
        <x:v>OPEN</x:v>
      </x:c>
      <x:c r="F1517" t="str">
        <x:f>IF('Release Gates'!C1493="PLANNING","PASS",IF('Release Gates'!C1493="PHYSICAL","OPEN","BLOCKED"))</x:f>
        <x:v>OPEN</x:v>
      </x:c>
      <x:c r="G1517" t="str">
        <x:v>equals</x:v>
      </x:c>
      <x:c r="H1517" t="str">
        <x:f>IF(E1517=F1517,"PASS","FAIL")</x:f>
        <x:v>PASS</x:v>
      </x:c>
    </x:row>
    <x:row r="1518">
      <x:c r="B1518" t="str">
        <x:v>A-1488</x:v>
      </x:c>
      <x:c r="C1518" t="str">
        <x:v>GATE</x:v>
      </x:c>
      <x:c r="D1518" t="str">
        <x:v>release ledger mirrors governing state</x:v>
      </x:c>
      <x:c r="E1518" t="str">
        <x:f>'Release Gates'!J1494</x:f>
        <x:v>OPEN</x:v>
      </x:c>
      <x:c r="F1518" t="str">
        <x:f>IF('Release Gates'!C1494="PLANNING","PASS",IF('Release Gates'!C1494="PHYSICAL","OPEN","BLOCKED"))</x:f>
        <x:v>OPEN</x:v>
      </x:c>
      <x:c r="G1518" t="str">
        <x:v>equals</x:v>
      </x:c>
      <x:c r="H1518" t="str">
        <x:f>IF(E1518=F1518,"PASS","FAIL")</x:f>
        <x:v>PASS</x:v>
      </x:c>
    </x:row>
    <x:row r="1519">
      <x:c r="B1519" t="str">
        <x:v>A-1489</x:v>
      </x:c>
      <x:c r="C1519" t="str">
        <x:v>GATE</x:v>
      </x:c>
      <x:c r="D1519" t="str">
        <x:v>release ledger mirrors governing state</x:v>
      </x:c>
      <x:c r="E1519" t="str">
        <x:f>'Release Gates'!J1495</x:f>
        <x:v>OPEN</x:v>
      </x:c>
      <x:c r="F1519" t="str">
        <x:f>IF('Release Gates'!C1495="PLANNING","PASS",IF('Release Gates'!C1495="PHYSICAL","OPEN","BLOCKED"))</x:f>
        <x:v>OPEN</x:v>
      </x:c>
      <x:c r="G1519" t="str">
        <x:v>equals</x:v>
      </x:c>
      <x:c r="H1519" t="str">
        <x:f>IF(E1519=F1519,"PASS","FAIL")</x:f>
        <x:v>PASS</x:v>
      </x:c>
    </x:row>
    <x:row r="1520">
      <x:c r="B1520" t="str">
        <x:v>A-1490</x:v>
      </x:c>
      <x:c r="C1520" t="str">
        <x:v>GATE</x:v>
      </x:c>
      <x:c r="D1520" t="str">
        <x:v>release ledger mirrors governing state</x:v>
      </x:c>
      <x:c r="E1520" t="str">
        <x:f>'Release Gates'!J1496</x:f>
        <x:v>OPEN</x:v>
      </x:c>
      <x:c r="F1520" t="str">
        <x:f>IF('Release Gates'!C1496="PLANNING","PASS",IF('Release Gates'!C1496="PHYSICAL","OPEN","BLOCKED"))</x:f>
        <x:v>OPEN</x:v>
      </x:c>
      <x:c r="G1520" t="str">
        <x:v>equals</x:v>
      </x:c>
      <x:c r="H1520" t="str">
        <x:f>IF(E1520=F1520,"PASS","FAIL")</x:f>
        <x:v>PASS</x:v>
      </x:c>
    </x:row>
    <x:row r="1521">
      <x:c r="B1521" t="str">
        <x:v>A-1491</x:v>
      </x:c>
      <x:c r="C1521" t="str">
        <x:v>GATE</x:v>
      </x:c>
      <x:c r="D1521" t="str">
        <x:v>release ledger mirrors governing state</x:v>
      </x:c>
      <x:c r="E1521" t="str">
        <x:f>'Release Gates'!J1497</x:f>
        <x:v>OPEN</x:v>
      </x:c>
      <x:c r="F1521" t="str">
        <x:f>IF('Release Gates'!C1497="PLANNING","PASS",IF('Release Gates'!C1497="PHYSICAL","OPEN","BLOCKED"))</x:f>
        <x:v>OPEN</x:v>
      </x:c>
      <x:c r="G1521" t="str">
        <x:v>equals</x:v>
      </x:c>
      <x:c r="H1521" t="str">
        <x:f>IF(E1521=F1521,"PASS","FAIL")</x:f>
        <x:v>PASS</x:v>
      </x:c>
    </x:row>
    <x:row r="1522">
      <x:c r="B1522" t="str">
        <x:v>A-1492</x:v>
      </x:c>
      <x:c r="C1522" t="str">
        <x:v>GATE</x:v>
      </x:c>
      <x:c r="D1522" t="str">
        <x:v>release ledger mirrors governing state</x:v>
      </x:c>
      <x:c r="E1522" t="str">
        <x:f>'Release Gates'!J1498</x:f>
        <x:v>OPEN</x:v>
      </x:c>
      <x:c r="F1522" t="str">
        <x:f>IF('Release Gates'!C1498="PLANNING","PASS",IF('Release Gates'!C1498="PHYSICAL","OPEN","BLOCKED"))</x:f>
        <x:v>OPEN</x:v>
      </x:c>
      <x:c r="G1522" t="str">
        <x:v>equals</x:v>
      </x:c>
      <x:c r="H1522" t="str">
        <x:f>IF(E1522=F1522,"PASS","FAIL")</x:f>
        <x:v>PASS</x:v>
      </x:c>
    </x:row>
    <x:row r="1523">
      <x:c r="B1523" t="str">
        <x:v>A-1493</x:v>
      </x:c>
      <x:c r="C1523" t="str">
        <x:v>GATE</x:v>
      </x:c>
      <x:c r="D1523" t="str">
        <x:v>release ledger mirrors governing state</x:v>
      </x:c>
      <x:c r="E1523" t="str">
        <x:f>'Release Gates'!J1499</x:f>
        <x:v>OPEN</x:v>
      </x:c>
      <x:c r="F1523" t="str">
        <x:f>IF('Release Gates'!C1499="PLANNING","PASS",IF('Release Gates'!C1499="PHYSICAL","OPEN","BLOCKED"))</x:f>
        <x:v>OPEN</x:v>
      </x:c>
      <x:c r="G1523" t="str">
        <x:v>equals</x:v>
      </x:c>
      <x:c r="H1523" t="str">
        <x:f>IF(E1523=F1523,"PASS","FAIL")</x:f>
        <x:v>PASS</x:v>
      </x:c>
    </x:row>
    <x:row r="1524">
      <x:c r="B1524" t="str">
        <x:v>A-1494</x:v>
      </x:c>
      <x:c r="C1524" t="str">
        <x:v>GATE</x:v>
      </x:c>
      <x:c r="D1524" t="str">
        <x:v>release ledger mirrors governing state</x:v>
      </x:c>
      <x:c r="E1524" t="str">
        <x:f>'Release Gates'!J1500</x:f>
        <x:v>OPEN</x:v>
      </x:c>
      <x:c r="F1524" t="str">
        <x:f>IF('Release Gates'!C1500="PLANNING","PASS",IF('Release Gates'!C1500="PHYSICAL","OPEN","BLOCKED"))</x:f>
        <x:v>OPEN</x:v>
      </x:c>
      <x:c r="G1524" t="str">
        <x:v>equals</x:v>
      </x:c>
      <x:c r="H1524" t="str">
        <x:f>IF(E1524=F1524,"PASS","FAIL")</x:f>
        <x:v>PASS</x:v>
      </x:c>
    </x:row>
    <x:row r="1525">
      <x:c r="B1525" t="str">
        <x:v>A-1495</x:v>
      </x:c>
      <x:c r="C1525" t="str">
        <x:v>GATE</x:v>
      </x:c>
      <x:c r="D1525" t="str">
        <x:v>release ledger mirrors governing state</x:v>
      </x:c>
      <x:c r="E1525" t="str">
        <x:f>'Release Gates'!J1501</x:f>
        <x:v>OPEN</x:v>
      </x:c>
      <x:c r="F1525" t="str">
        <x:f>IF('Release Gates'!C1501="PLANNING","PASS",IF('Release Gates'!C1501="PHYSICAL","OPEN","BLOCKED"))</x:f>
        <x:v>OPEN</x:v>
      </x:c>
      <x:c r="G1525" t="str">
        <x:v>equals</x:v>
      </x:c>
      <x:c r="H1525" t="str">
        <x:f>IF(E1525=F1525,"PASS","FAIL")</x:f>
        <x:v>PASS</x:v>
      </x:c>
    </x:row>
    <x:row r="1526">
      <x:c r="B1526" t="str">
        <x:v>A-1496</x:v>
      </x:c>
      <x:c r="C1526" t="str">
        <x:v>GATE</x:v>
      </x:c>
      <x:c r="D1526" t="str">
        <x:v>release ledger mirrors governing state</x:v>
      </x:c>
      <x:c r="E1526" t="str">
        <x:f>'Release Gates'!J1502</x:f>
        <x:v>OPEN</x:v>
      </x:c>
      <x:c r="F1526" t="str">
        <x:f>IF('Release Gates'!C1502="PLANNING","PASS",IF('Release Gates'!C1502="PHYSICAL","OPEN","BLOCKED"))</x:f>
        <x:v>OPEN</x:v>
      </x:c>
      <x:c r="G1526" t="str">
        <x:v>equals</x:v>
      </x:c>
      <x:c r="H1526" t="str">
        <x:f>IF(E1526=F1526,"PASS","FAIL")</x:f>
        <x:v>PASS</x:v>
      </x:c>
    </x:row>
    <x:row r="1527">
      <x:c r="B1527" t="str">
        <x:v>A-1497</x:v>
      </x:c>
      <x:c r="C1527" t="str">
        <x:v>GATE</x:v>
      </x:c>
      <x:c r="D1527" t="str">
        <x:v>release ledger mirrors governing state</x:v>
      </x:c>
      <x:c r="E1527" t="str">
        <x:f>'Release Gates'!J1503</x:f>
        <x:v>OPEN</x:v>
      </x:c>
      <x:c r="F1527" t="str">
        <x:f>IF('Release Gates'!C1503="PLANNING","PASS",IF('Release Gates'!C1503="PHYSICAL","OPEN","BLOCKED"))</x:f>
        <x:v>OPEN</x:v>
      </x:c>
      <x:c r="G1527" t="str">
        <x:v>equals</x:v>
      </x:c>
      <x:c r="H1527" t="str">
        <x:f>IF(E1527=F1527,"PASS","FAIL")</x:f>
        <x:v>PASS</x:v>
      </x:c>
    </x:row>
    <x:row r="1528">
      <x:c r="B1528" t="str">
        <x:v>A-1498</x:v>
      </x:c>
      <x:c r="C1528" t="str">
        <x:v>GATE</x:v>
      </x:c>
      <x:c r="D1528" t="str">
        <x:v>release ledger mirrors governing state</x:v>
      </x:c>
      <x:c r="E1528" t="str">
        <x:f>'Release Gates'!J1504</x:f>
        <x:v>OPEN</x:v>
      </x:c>
      <x:c r="F1528" t="str">
        <x:f>IF('Release Gates'!C1504="PLANNING","PASS",IF('Release Gates'!C1504="PHYSICAL","OPEN","BLOCKED"))</x:f>
        <x:v>OPEN</x:v>
      </x:c>
      <x:c r="G1528" t="str">
        <x:v>equals</x:v>
      </x:c>
      <x:c r="H1528" t="str">
        <x:f>IF(E1528=F1528,"PASS","FAIL")</x:f>
        <x:v>PASS</x:v>
      </x:c>
    </x:row>
    <x:row r="1529">
      <x:c r="B1529" t="str">
        <x:v>A-1499</x:v>
      </x:c>
      <x:c r="C1529" t="str">
        <x:v>GATE</x:v>
      </x:c>
      <x:c r="D1529" t="str">
        <x:v>release ledger mirrors governing state</x:v>
      </x:c>
      <x:c r="E1529" t="str">
        <x:f>'Release Gates'!J1505</x:f>
        <x:v>OPEN</x:v>
      </x:c>
      <x:c r="F1529" t="str">
        <x:f>IF('Release Gates'!C1505="PLANNING","PASS",IF('Release Gates'!C1505="PHYSICAL","OPEN","BLOCKED"))</x:f>
        <x:v>OPEN</x:v>
      </x:c>
      <x:c r="G1529" t="str">
        <x:v>equals</x:v>
      </x:c>
      <x:c r="H1529" t="str">
        <x:f>IF(E1529=F1529,"PASS","FAIL")</x:f>
        <x:v>PASS</x:v>
      </x:c>
    </x:row>
    <x:row r="1530">
      <x:c r="B1530" t="str">
        <x:v>A-1500</x:v>
      </x:c>
      <x:c r="C1530" t="str">
        <x:v>GATE</x:v>
      </x:c>
      <x:c r="D1530" t="str">
        <x:v>release ledger mirrors governing state</x:v>
      </x:c>
      <x:c r="E1530" t="str">
        <x:f>'Release Gates'!J1506</x:f>
        <x:v>OPEN</x:v>
      </x:c>
      <x:c r="F1530" t="str">
        <x:f>IF('Release Gates'!C1506="PLANNING","PASS",IF('Release Gates'!C1506="PHYSICAL","OPEN","BLOCKED"))</x:f>
        <x:v>OPEN</x:v>
      </x:c>
      <x:c r="G1530" t="str">
        <x:v>equals</x:v>
      </x:c>
      <x:c r="H1530" t="str">
        <x:f>IF(E1530=F1530,"PASS","FAIL")</x:f>
        <x:v>PASS</x:v>
      </x:c>
    </x:row>
    <x:row r="1531">
      <x:c r="B1531" t="str">
        <x:v>A-1501</x:v>
      </x:c>
      <x:c r="C1531" t="str">
        <x:v>GATE</x:v>
      </x:c>
      <x:c r="D1531" t="str">
        <x:v>release ledger mirrors governing state</x:v>
      </x:c>
      <x:c r="E1531" t="str">
        <x:f>'Release Gates'!J1507</x:f>
        <x:v>OPEN</x:v>
      </x:c>
      <x:c r="F1531" t="str">
        <x:f>IF('Release Gates'!C1507="PLANNING","PASS",IF('Release Gates'!C1507="PHYSICAL","OPEN","BLOCKED"))</x:f>
        <x:v>OPEN</x:v>
      </x:c>
      <x:c r="G1531" t="str">
        <x:v>equals</x:v>
      </x:c>
      <x:c r="H1531" t="str">
        <x:f>IF(E1531=F1531,"PASS","FAIL")</x:f>
        <x:v>PASS</x:v>
      </x:c>
    </x:row>
    <x:row r="1532">
      <x:c r="B1532" t="str">
        <x:v>A-1502</x:v>
      </x:c>
      <x:c r="C1532" t="str">
        <x:v>GATE</x:v>
      </x:c>
      <x:c r="D1532" t="str">
        <x:v>release ledger mirrors governing state</x:v>
      </x:c>
      <x:c r="E1532" t="str">
        <x:f>'Release Gates'!J1508</x:f>
        <x:v>OPEN</x:v>
      </x:c>
      <x:c r="F1532" t="str">
        <x:f>IF('Release Gates'!C1508="PLANNING","PASS",IF('Release Gates'!C1508="PHYSICAL","OPEN","BLOCKED"))</x:f>
        <x:v>OPEN</x:v>
      </x:c>
      <x:c r="G1532" t="str">
        <x:v>equals</x:v>
      </x:c>
      <x:c r="H1532" t="str">
        <x:f>IF(E1532=F1532,"PASS","FAIL")</x:f>
        <x:v>PASS</x:v>
      </x:c>
    </x:row>
    <x:row r="1533">
      <x:c r="B1533" t="str">
        <x:v>A-1503</x:v>
      </x:c>
      <x:c r="C1533" t="str">
        <x:v>GATE</x:v>
      </x:c>
      <x:c r="D1533" t="str">
        <x:v>release ledger mirrors governing state</x:v>
      </x:c>
      <x:c r="E1533" t="str">
        <x:f>'Release Gates'!J1509</x:f>
        <x:v>OPEN</x:v>
      </x:c>
      <x:c r="F1533" t="str">
        <x:f>IF('Release Gates'!C1509="PLANNING","PASS",IF('Release Gates'!C1509="PHYSICAL","OPEN","BLOCKED"))</x:f>
        <x:v>OPEN</x:v>
      </x:c>
      <x:c r="G1533" t="str">
        <x:v>equals</x:v>
      </x:c>
      <x:c r="H1533" t="str">
        <x:f>IF(E1533=F1533,"PASS","FAIL")</x:f>
        <x:v>PASS</x:v>
      </x:c>
    </x:row>
    <x:row r="1534">
      <x:c r="B1534" t="str">
        <x:v>A-1504</x:v>
      </x:c>
      <x:c r="C1534" t="str">
        <x:v>GATE</x:v>
      </x:c>
      <x:c r="D1534" t="str">
        <x:v>release ledger mirrors governing state</x:v>
      </x:c>
      <x:c r="E1534" t="str">
        <x:f>'Release Gates'!J1510</x:f>
        <x:v>OPEN</x:v>
      </x:c>
      <x:c r="F1534" t="str">
        <x:f>IF('Release Gates'!C1510="PLANNING","PASS",IF('Release Gates'!C1510="PHYSICAL","OPEN","BLOCKED"))</x:f>
        <x:v>OPEN</x:v>
      </x:c>
      <x:c r="G1534" t="str">
        <x:v>equals</x:v>
      </x:c>
      <x:c r="H1534" t="str">
        <x:f>IF(E1534=F1534,"PASS","FAIL")</x:f>
        <x:v>PASS</x:v>
      </x:c>
    </x:row>
    <x:row r="1535">
      <x:c r="B1535" t="str">
        <x:v>A-1505</x:v>
      </x:c>
      <x:c r="C1535" t="str">
        <x:v>GATE</x:v>
      </x:c>
      <x:c r="D1535" t="str">
        <x:v>release ledger mirrors governing state</x:v>
      </x:c>
      <x:c r="E1535" t="str">
        <x:f>'Release Gates'!J1511</x:f>
        <x:v>OPEN</x:v>
      </x:c>
      <x:c r="F1535" t="str">
        <x:f>IF('Release Gates'!C1511="PLANNING","PASS",IF('Release Gates'!C1511="PHYSICAL","OPEN","BLOCKED"))</x:f>
        <x:v>OPEN</x:v>
      </x:c>
      <x:c r="G1535" t="str">
        <x:v>equals</x:v>
      </x:c>
      <x:c r="H1535" t="str">
        <x:f>IF(E1535=F1535,"PASS","FAIL")</x:f>
        <x:v>PASS</x:v>
      </x:c>
    </x:row>
    <x:row r="1536">
      <x:c r="B1536" t="str">
        <x:v>A-1506</x:v>
      </x:c>
      <x:c r="C1536" t="str">
        <x:v>GATE</x:v>
      </x:c>
      <x:c r="D1536" t="str">
        <x:v>release ledger mirrors governing state</x:v>
      </x:c>
      <x:c r="E1536" t="str">
        <x:f>'Release Gates'!J1512</x:f>
        <x:v>OPEN</x:v>
      </x:c>
      <x:c r="F1536" t="str">
        <x:f>IF('Release Gates'!C1512="PLANNING","PASS",IF('Release Gates'!C1512="PHYSICAL","OPEN","BLOCKED"))</x:f>
        <x:v>OPEN</x:v>
      </x:c>
      <x:c r="G1536" t="str">
        <x:v>equals</x:v>
      </x:c>
      <x:c r="H1536" t="str">
        <x:f>IF(E1536=F1536,"PASS","FAIL")</x:f>
        <x:v>PASS</x:v>
      </x:c>
    </x:row>
    <x:row r="1537">
      <x:c r="B1537" t="str">
        <x:v>A-1507</x:v>
      </x:c>
      <x:c r="C1537" t="str">
        <x:v>GATE</x:v>
      </x:c>
      <x:c r="D1537" t="str">
        <x:v>release ledger mirrors governing state</x:v>
      </x:c>
      <x:c r="E1537" t="str">
        <x:f>'Release Gates'!J1513</x:f>
        <x:v>OPEN</x:v>
      </x:c>
      <x:c r="F1537" t="str">
        <x:f>IF('Release Gates'!C1513="PLANNING","PASS",IF('Release Gates'!C1513="PHYSICAL","OPEN","BLOCKED"))</x:f>
        <x:v>OPEN</x:v>
      </x:c>
      <x:c r="G1537" t="str">
        <x:v>equals</x:v>
      </x:c>
      <x:c r="H1537" t="str">
        <x:f>IF(E1537=F1537,"PASS","FAIL")</x:f>
        <x:v>PASS</x:v>
      </x:c>
    </x:row>
    <x:row r="1538">
      <x:c r="B1538" t="str">
        <x:v>A-1508</x:v>
      </x:c>
      <x:c r="C1538" t="str">
        <x:v>GATE</x:v>
      </x:c>
      <x:c r="D1538" t="str">
        <x:v>release ledger mirrors governing state</x:v>
      </x:c>
      <x:c r="E1538" t="str">
        <x:f>'Release Gates'!J1514</x:f>
        <x:v>OPEN</x:v>
      </x:c>
      <x:c r="F1538" t="str">
        <x:f>IF('Release Gates'!C1514="PLANNING","PASS",IF('Release Gates'!C1514="PHYSICAL","OPEN","BLOCKED"))</x:f>
        <x:v>OPEN</x:v>
      </x:c>
      <x:c r="G1538" t="str">
        <x:v>equals</x:v>
      </x:c>
      <x:c r="H1538" t="str">
        <x:f>IF(E1538=F1538,"PASS","FAIL")</x:f>
        <x:v>PASS</x:v>
      </x:c>
    </x:row>
    <x:row r="1539">
      <x:c r="B1539" t="str">
        <x:v>A-1509</x:v>
      </x:c>
      <x:c r="C1539" t="str">
        <x:v>GATE</x:v>
      </x:c>
      <x:c r="D1539" t="str">
        <x:v>release ledger mirrors governing state</x:v>
      </x:c>
      <x:c r="E1539" t="str">
        <x:f>'Release Gates'!J1515</x:f>
        <x:v>OPEN</x:v>
      </x:c>
      <x:c r="F1539" t="str">
        <x:f>IF('Release Gates'!C1515="PLANNING","PASS",IF('Release Gates'!C1515="PHYSICAL","OPEN","BLOCKED"))</x:f>
        <x:v>OPEN</x:v>
      </x:c>
      <x:c r="G1539" t="str">
        <x:v>equals</x:v>
      </x:c>
      <x:c r="H1539" t="str">
        <x:f>IF(E1539=F1539,"PASS","FAIL")</x:f>
        <x:v>PASS</x:v>
      </x:c>
    </x:row>
    <x:row r="1540">
      <x:c r="B1540" t="str">
        <x:v>A-1510</x:v>
      </x:c>
      <x:c r="C1540" t="str">
        <x:v>GATE</x:v>
      </x:c>
      <x:c r="D1540" t="str">
        <x:v>release ledger mirrors governing state</x:v>
      </x:c>
      <x:c r="E1540" t="str">
        <x:f>'Release Gates'!J1516</x:f>
        <x:v>OPEN</x:v>
      </x:c>
      <x:c r="F1540" t="str">
        <x:f>IF('Release Gates'!C1516="PLANNING","PASS",IF('Release Gates'!C1516="PHYSICAL","OPEN","BLOCKED"))</x:f>
        <x:v>OPEN</x:v>
      </x:c>
      <x:c r="G1540" t="str">
        <x:v>equals</x:v>
      </x:c>
      <x:c r="H1540" t="str">
        <x:f>IF(E1540=F1540,"PASS","FAIL")</x:f>
        <x:v>PASS</x:v>
      </x:c>
    </x:row>
    <x:row r="1541">
      <x:c r="B1541" t="str">
        <x:v>A-1511</x:v>
      </x:c>
      <x:c r="C1541" t="str">
        <x:v>GATE</x:v>
      </x:c>
      <x:c r="D1541" t="str">
        <x:v>release ledger mirrors governing state</x:v>
      </x:c>
      <x:c r="E1541" t="str">
        <x:f>'Release Gates'!J1517</x:f>
        <x:v>OPEN</x:v>
      </x:c>
      <x:c r="F1541" t="str">
        <x:f>IF('Release Gates'!C1517="PLANNING","PASS",IF('Release Gates'!C1517="PHYSICAL","OPEN","BLOCKED"))</x:f>
        <x:v>OPEN</x:v>
      </x:c>
      <x:c r="G1541" t="str">
        <x:v>equals</x:v>
      </x:c>
      <x:c r="H1541" t="str">
        <x:f>IF(E1541=F1541,"PASS","FAIL")</x:f>
        <x:v>PASS</x:v>
      </x:c>
    </x:row>
    <x:row r="1542">
      <x:c r="B1542" t="str">
        <x:v>A-1512</x:v>
      </x:c>
      <x:c r="C1542" t="str">
        <x:v>GATE</x:v>
      </x:c>
      <x:c r="D1542" t="str">
        <x:v>release ledger mirrors governing state</x:v>
      </x:c>
      <x:c r="E1542" t="str">
        <x:f>'Release Gates'!J1518</x:f>
        <x:v>OPEN</x:v>
      </x:c>
      <x:c r="F1542" t="str">
        <x:f>IF('Release Gates'!C1518="PLANNING","PASS",IF('Release Gates'!C1518="PHYSICAL","OPEN","BLOCKED"))</x:f>
        <x:v>OPEN</x:v>
      </x:c>
      <x:c r="G1542" t="str">
        <x:v>equals</x:v>
      </x:c>
      <x:c r="H1542" t="str">
        <x:f>IF(E1542=F1542,"PASS","FAIL")</x:f>
        <x:v>PASS</x:v>
      </x:c>
    </x:row>
    <x:row r="1543">
      <x:c r="B1543" t="str">
        <x:v>A-1513</x:v>
      </x:c>
      <x:c r="C1543" t="str">
        <x:v>GATE</x:v>
      </x:c>
      <x:c r="D1543" t="str">
        <x:v>release ledger mirrors governing state</x:v>
      </x:c>
      <x:c r="E1543" t="str">
        <x:f>'Release Gates'!J1519</x:f>
        <x:v>OPEN</x:v>
      </x:c>
      <x:c r="F1543" t="str">
        <x:f>IF('Release Gates'!C1519="PLANNING","PASS",IF('Release Gates'!C1519="PHYSICAL","OPEN","BLOCKED"))</x:f>
        <x:v>OPEN</x:v>
      </x:c>
      <x:c r="G1543" t="str">
        <x:v>equals</x:v>
      </x:c>
      <x:c r="H1543" t="str">
        <x:f>IF(E1543=F1543,"PASS","FAIL")</x:f>
        <x:v>PASS</x:v>
      </x:c>
    </x:row>
    <x:row r="1544">
      <x:c r="B1544" t="str">
        <x:v>A-1514</x:v>
      </x:c>
      <x:c r="C1544" t="str">
        <x:v>GATE</x:v>
      </x:c>
      <x:c r="D1544" t="str">
        <x:v>release ledger mirrors governing state</x:v>
      </x:c>
      <x:c r="E1544" t="str">
        <x:f>'Release Gates'!J1520</x:f>
        <x:v>OPEN</x:v>
      </x:c>
      <x:c r="F1544" t="str">
        <x:f>IF('Release Gates'!C1520="PLANNING","PASS",IF('Release Gates'!C1520="PHYSICAL","OPEN","BLOCKED"))</x:f>
        <x:v>OPEN</x:v>
      </x:c>
      <x:c r="G1544" t="str">
        <x:v>equals</x:v>
      </x:c>
      <x:c r="H1544" t="str">
        <x:f>IF(E1544=F1544,"PASS","FAIL")</x:f>
        <x:v>PASS</x:v>
      </x:c>
    </x:row>
    <x:row r="1545">
      <x:c r="B1545" t="str">
        <x:v>A-1515</x:v>
      </x:c>
      <x:c r="C1545" t="str">
        <x:v>GATE</x:v>
      </x:c>
      <x:c r="D1545" t="str">
        <x:v>release ledger mirrors governing state</x:v>
      </x:c>
      <x:c r="E1545" t="str">
        <x:f>'Release Gates'!J1521</x:f>
        <x:v>OPEN</x:v>
      </x:c>
      <x:c r="F1545" t="str">
        <x:f>IF('Release Gates'!C1521="PLANNING","PASS",IF('Release Gates'!C1521="PHYSICAL","OPEN","BLOCKED"))</x:f>
        <x:v>OPEN</x:v>
      </x:c>
      <x:c r="G1545" t="str">
        <x:v>equals</x:v>
      </x:c>
      <x:c r="H1545" t="str">
        <x:f>IF(E1545=F1545,"PASS","FAIL")</x:f>
        <x:v>PASS</x:v>
      </x:c>
    </x:row>
    <x:row r="1546">
      <x:c r="B1546" t="str">
        <x:v>A-1516</x:v>
      </x:c>
      <x:c r="C1546" t="str">
        <x:v>GATE</x:v>
      </x:c>
      <x:c r="D1546" t="str">
        <x:v>release ledger mirrors governing state</x:v>
      </x:c>
      <x:c r="E1546" t="str">
        <x:f>'Release Gates'!J1522</x:f>
        <x:v>OPEN</x:v>
      </x:c>
      <x:c r="F1546" t="str">
        <x:f>IF('Release Gates'!C1522="PLANNING","PASS",IF('Release Gates'!C1522="PHYSICAL","OPEN","BLOCKED"))</x:f>
        <x:v>OPEN</x:v>
      </x:c>
      <x:c r="G1546" t="str">
        <x:v>equals</x:v>
      </x:c>
      <x:c r="H1546" t="str">
        <x:f>IF(E1546=F1546,"PASS","FAIL")</x:f>
        <x:v>PASS</x:v>
      </x:c>
    </x:row>
    <x:row r="1547">
      <x:c r="B1547" t="str">
        <x:v>A-1517</x:v>
      </x:c>
      <x:c r="C1547" t="str">
        <x:v>GATE</x:v>
      </x:c>
      <x:c r="D1547" t="str">
        <x:v>release ledger mirrors governing state</x:v>
      </x:c>
      <x:c r="E1547" t="str">
        <x:f>'Release Gates'!J1523</x:f>
        <x:v>OPEN</x:v>
      </x:c>
      <x:c r="F1547" t="str">
        <x:f>IF('Release Gates'!C1523="PLANNING","PASS",IF('Release Gates'!C1523="PHYSICAL","OPEN","BLOCKED"))</x:f>
        <x:v>OPEN</x:v>
      </x:c>
      <x:c r="G1547" t="str">
        <x:v>equals</x:v>
      </x:c>
      <x:c r="H1547" t="str">
        <x:f>IF(E1547=F1547,"PASS","FAIL")</x:f>
        <x:v>PASS</x:v>
      </x:c>
    </x:row>
    <x:row r="1548">
      <x:c r="B1548" t="str">
        <x:v>A-1518</x:v>
      </x:c>
      <x:c r="C1548" t="str">
        <x:v>GATE</x:v>
      </x:c>
      <x:c r="D1548" t="str">
        <x:v>release ledger mirrors governing state</x:v>
      </x:c>
      <x:c r="E1548" t="str">
        <x:f>'Release Gates'!J1524</x:f>
        <x:v>OPEN</x:v>
      </x:c>
      <x:c r="F1548" t="str">
        <x:f>IF('Release Gates'!C1524="PLANNING","PASS",IF('Release Gates'!C1524="PHYSICAL","OPEN","BLOCKED"))</x:f>
        <x:v>OPEN</x:v>
      </x:c>
      <x:c r="G1548" t="str">
        <x:v>equals</x:v>
      </x:c>
      <x:c r="H1548" t="str">
        <x:f>IF(E1548=F1548,"PASS","FAIL")</x:f>
        <x:v>PASS</x:v>
      </x:c>
    </x:row>
    <x:row r="1549">
      <x:c r="B1549" t="str">
        <x:v>A-1519</x:v>
      </x:c>
      <x:c r="C1549" t="str">
        <x:v>GATE</x:v>
      </x:c>
      <x:c r="D1549" t="str">
        <x:v>release ledger mirrors governing state</x:v>
      </x:c>
      <x:c r="E1549" t="str">
        <x:f>'Release Gates'!J1525</x:f>
        <x:v>OPEN</x:v>
      </x:c>
      <x:c r="F1549" t="str">
        <x:f>IF('Release Gates'!C1525="PLANNING","PASS",IF('Release Gates'!C1525="PHYSICAL","OPEN","BLOCKED"))</x:f>
        <x:v>OPEN</x:v>
      </x:c>
      <x:c r="G1549" t="str">
        <x:v>equals</x:v>
      </x:c>
      <x:c r="H1549" t="str">
        <x:f>IF(E1549=F1549,"PASS","FAIL")</x:f>
        <x:v>PASS</x:v>
      </x:c>
    </x:row>
    <x:row r="1550">
      <x:c r="B1550" t="str">
        <x:v>A-1520</x:v>
      </x:c>
      <x:c r="C1550" t="str">
        <x:v>GATE</x:v>
      </x:c>
      <x:c r="D1550" t="str">
        <x:v>release ledger mirrors governing state</x:v>
      </x:c>
      <x:c r="E1550" t="str">
        <x:f>'Release Gates'!J1526</x:f>
        <x:v>OPEN</x:v>
      </x:c>
      <x:c r="F1550" t="str">
        <x:f>IF('Release Gates'!C1526="PLANNING","PASS",IF('Release Gates'!C1526="PHYSICAL","OPEN","BLOCKED"))</x:f>
        <x:v>OPEN</x:v>
      </x:c>
      <x:c r="G1550" t="str">
        <x:v>equals</x:v>
      </x:c>
      <x:c r="H1550" t="str">
        <x:f>IF(E1550=F1550,"PASS","FAIL")</x:f>
        <x:v>PASS</x:v>
      </x:c>
    </x:row>
    <x:row r="1551">
      <x:c r="B1551" t="str">
        <x:v>A-1521</x:v>
      </x:c>
      <x:c r="C1551" t="str">
        <x:v>GATE</x:v>
      </x:c>
      <x:c r="D1551" t="str">
        <x:v>release ledger mirrors governing state</x:v>
      </x:c>
      <x:c r="E1551" t="str">
        <x:f>'Release Gates'!J1527</x:f>
        <x:v>OPEN</x:v>
      </x:c>
      <x:c r="F1551" t="str">
        <x:f>IF('Release Gates'!C1527="PLANNING","PASS",IF('Release Gates'!C1527="PHYSICAL","OPEN","BLOCKED"))</x:f>
        <x:v>OPEN</x:v>
      </x:c>
      <x:c r="G1551" t="str">
        <x:v>equals</x:v>
      </x:c>
      <x:c r="H1551" t="str">
        <x:f>IF(E1551=F1551,"PASS","FAIL")</x:f>
        <x:v>PASS</x:v>
      </x:c>
    </x:row>
    <x:row r="1552">
      <x:c r="B1552" t="str">
        <x:v>A-1522</x:v>
      </x:c>
      <x:c r="C1552" t="str">
        <x:v>GATE</x:v>
      </x:c>
      <x:c r="D1552" t="str">
        <x:v>release ledger mirrors governing state</x:v>
      </x:c>
      <x:c r="E1552" t="str">
        <x:f>'Release Gates'!J1528</x:f>
        <x:v>OPEN</x:v>
      </x:c>
      <x:c r="F1552" t="str">
        <x:f>IF('Release Gates'!C1528="PLANNING","PASS",IF('Release Gates'!C1528="PHYSICAL","OPEN","BLOCKED"))</x:f>
        <x:v>OPEN</x:v>
      </x:c>
      <x:c r="G1552" t="str">
        <x:v>equals</x:v>
      </x:c>
      <x:c r="H1552" t="str">
        <x:f>IF(E1552=F1552,"PASS","FAIL")</x:f>
        <x:v>PASS</x:v>
      </x:c>
    </x:row>
    <x:row r="1553">
      <x:c r="B1553" t="str">
        <x:v>A-1523</x:v>
      </x:c>
      <x:c r="C1553" t="str">
        <x:v>GATE</x:v>
      </x:c>
      <x:c r="D1553" t="str">
        <x:v>release ledger mirrors governing state</x:v>
      </x:c>
      <x:c r="E1553" t="str">
        <x:f>'Release Gates'!J1529</x:f>
        <x:v>OPEN</x:v>
      </x:c>
      <x:c r="F1553" t="str">
        <x:f>IF('Release Gates'!C1529="PLANNING","PASS",IF('Release Gates'!C1529="PHYSICAL","OPEN","BLOCKED"))</x:f>
        <x:v>OPEN</x:v>
      </x:c>
      <x:c r="G1553" t="str">
        <x:v>equals</x:v>
      </x:c>
      <x:c r="H1553" t="str">
        <x:f>IF(E1553=F1553,"PASS","FAIL")</x:f>
        <x:v>PASS</x:v>
      </x:c>
    </x:row>
    <x:row r="1554">
      <x:c r="B1554" t="str">
        <x:v>A-1524</x:v>
      </x:c>
      <x:c r="C1554" t="str">
        <x:v>GATE</x:v>
      </x:c>
      <x:c r="D1554" t="str">
        <x:v>release ledger mirrors governing state</x:v>
      </x:c>
      <x:c r="E1554" t="str">
        <x:f>'Release Gates'!J1530</x:f>
        <x:v>OPEN</x:v>
      </x:c>
      <x:c r="F1554" t="str">
        <x:f>IF('Release Gates'!C1530="PLANNING","PASS",IF('Release Gates'!C1530="PHYSICAL","OPEN","BLOCKED"))</x:f>
        <x:v>OPEN</x:v>
      </x:c>
      <x:c r="G1554" t="str">
        <x:v>equals</x:v>
      </x:c>
      <x:c r="H1554" t="str">
        <x:f>IF(E1554=F1554,"PASS","FAIL")</x:f>
        <x:v>PASS</x:v>
      </x:c>
    </x:row>
    <x:row r="1555">
      <x:c r="B1555" t="str">
        <x:v>A-1525</x:v>
      </x:c>
      <x:c r="C1555" t="str">
        <x:v>GATE</x:v>
      </x:c>
      <x:c r="D1555" t="str">
        <x:v>release ledger mirrors governing state</x:v>
      </x:c>
      <x:c r="E1555" t="str">
        <x:f>'Release Gates'!J1531</x:f>
        <x:v>OPEN</x:v>
      </x:c>
      <x:c r="F1555" t="str">
        <x:f>IF('Release Gates'!C1531="PLANNING","PASS",IF('Release Gates'!C1531="PHYSICAL","OPEN","BLOCKED"))</x:f>
        <x:v>OPEN</x:v>
      </x:c>
      <x:c r="G1555" t="str">
        <x:v>equals</x:v>
      </x:c>
      <x:c r="H1555" t="str">
        <x:f>IF(E1555=F1555,"PASS","FAIL")</x:f>
        <x:v>PASS</x:v>
      </x:c>
    </x:row>
    <x:row r="1556">
      <x:c r="B1556" t="str">
        <x:v>A-1526</x:v>
      </x:c>
      <x:c r="C1556" t="str">
        <x:v>GATE</x:v>
      </x:c>
      <x:c r="D1556" t="str">
        <x:v>release ledger mirrors governing state</x:v>
      </x:c>
      <x:c r="E1556" t="str">
        <x:f>'Release Gates'!J1532</x:f>
        <x:v>OPEN</x:v>
      </x:c>
      <x:c r="F1556" t="str">
        <x:f>IF('Release Gates'!C1532="PLANNING","PASS",IF('Release Gates'!C1532="PHYSICAL","OPEN","BLOCKED"))</x:f>
        <x:v>OPEN</x:v>
      </x:c>
      <x:c r="G1556" t="str">
        <x:v>equals</x:v>
      </x:c>
      <x:c r="H1556" t="str">
        <x:f>IF(E1556=F1556,"PASS","FAIL")</x:f>
        <x:v>PASS</x:v>
      </x:c>
    </x:row>
    <x:row r="1557">
      <x:c r="B1557" t="str">
        <x:v>A-1527</x:v>
      </x:c>
      <x:c r="C1557" t="str">
        <x:v>GATE</x:v>
      </x:c>
      <x:c r="D1557" t="str">
        <x:v>release ledger mirrors governing state</x:v>
      </x:c>
      <x:c r="E1557" t="str">
        <x:f>'Release Gates'!J1533</x:f>
        <x:v>OPEN</x:v>
      </x:c>
      <x:c r="F1557" t="str">
        <x:f>IF('Release Gates'!C1533="PLANNING","PASS",IF('Release Gates'!C1533="PHYSICAL","OPEN","BLOCKED"))</x:f>
        <x:v>OPEN</x:v>
      </x:c>
      <x:c r="G1557" t="str">
        <x:v>equals</x:v>
      </x:c>
      <x:c r="H1557" t="str">
        <x:f>IF(E1557=F1557,"PASS","FAIL")</x:f>
        <x:v>PASS</x:v>
      </x:c>
    </x:row>
    <x:row r="1558">
      <x:c r="B1558" t="str">
        <x:v>A-1528</x:v>
      </x:c>
      <x:c r="C1558" t="str">
        <x:v>GATE</x:v>
      </x:c>
      <x:c r="D1558" t="str">
        <x:v>release ledger mirrors governing state</x:v>
      </x:c>
      <x:c r="E1558" t="str">
        <x:f>'Release Gates'!J1534</x:f>
        <x:v>OPEN</x:v>
      </x:c>
      <x:c r="F1558" t="str">
        <x:f>IF('Release Gates'!C1534="PLANNING","PASS",IF('Release Gates'!C1534="PHYSICAL","OPEN","BLOCKED"))</x:f>
        <x:v>OPEN</x:v>
      </x:c>
      <x:c r="G1558" t="str">
        <x:v>equals</x:v>
      </x:c>
      <x:c r="H1558" t="str">
        <x:f>IF(E1558=F1558,"PASS","FAIL")</x:f>
        <x:v>PASS</x:v>
      </x:c>
    </x:row>
    <x:row r="1559">
      <x:c r="B1559" t="str">
        <x:v>A-1529</x:v>
      </x:c>
      <x:c r="C1559" t="str">
        <x:v>GATE</x:v>
      </x:c>
      <x:c r="D1559" t="str">
        <x:v>release ledger mirrors governing state</x:v>
      </x:c>
      <x:c r="E1559" t="str">
        <x:f>'Release Gates'!J1535</x:f>
        <x:v>OPEN</x:v>
      </x:c>
      <x:c r="F1559" t="str">
        <x:f>IF('Release Gates'!C1535="PLANNING","PASS",IF('Release Gates'!C1535="PHYSICAL","OPEN","BLOCKED"))</x:f>
        <x:v>OPEN</x:v>
      </x:c>
      <x:c r="G1559" t="str">
        <x:v>equals</x:v>
      </x:c>
      <x:c r="H1559" t="str">
        <x:f>IF(E1559=F1559,"PASS","FAIL")</x:f>
        <x:v>PASS</x:v>
      </x:c>
    </x:row>
    <x:row r="1560">
      <x:c r="B1560" t="str">
        <x:v>A-1530</x:v>
      </x:c>
      <x:c r="C1560" t="str">
        <x:v>GATE</x:v>
      </x:c>
      <x:c r="D1560" t="str">
        <x:v>release ledger mirrors governing state</x:v>
      </x:c>
      <x:c r="E1560" t="str">
        <x:f>'Release Gates'!J1536</x:f>
        <x:v>OPEN</x:v>
      </x:c>
      <x:c r="F1560" t="str">
        <x:f>IF('Release Gates'!C1536="PLANNING","PASS",IF('Release Gates'!C1536="PHYSICAL","OPEN","BLOCKED"))</x:f>
        <x:v>OPEN</x:v>
      </x:c>
      <x:c r="G1560" t="str">
        <x:v>equals</x:v>
      </x:c>
      <x:c r="H1560" t="str">
        <x:f>IF(E1560=F1560,"PASS","FAIL")</x:f>
        <x:v>PASS</x:v>
      </x:c>
    </x:row>
    <x:row r="1561">
      <x:c r="B1561" t="str">
        <x:v>A-1531</x:v>
      </x:c>
      <x:c r="C1561" t="str">
        <x:v>GATE</x:v>
      </x:c>
      <x:c r="D1561" t="str">
        <x:v>release ledger mirrors governing state</x:v>
      </x:c>
      <x:c r="E1561" t="str">
        <x:f>'Release Gates'!J1537</x:f>
        <x:v>OPEN</x:v>
      </x:c>
      <x:c r="F1561" t="str">
        <x:f>IF('Release Gates'!C1537="PLANNING","PASS",IF('Release Gates'!C1537="PHYSICAL","OPEN","BLOCKED"))</x:f>
        <x:v>OPEN</x:v>
      </x:c>
      <x:c r="G1561" t="str">
        <x:v>equals</x:v>
      </x:c>
      <x:c r="H1561" t="str">
        <x:f>IF(E1561=F1561,"PASS","FAIL")</x:f>
        <x:v>PASS</x:v>
      </x:c>
    </x:row>
    <x:row r="1562">
      <x:c r="B1562" t="str">
        <x:v>A-1532</x:v>
      </x:c>
      <x:c r="C1562" t="str">
        <x:v>GATE</x:v>
      </x:c>
      <x:c r="D1562" t="str">
        <x:v>release ledger mirrors governing state</x:v>
      </x:c>
      <x:c r="E1562" t="str">
        <x:f>'Release Gates'!J1538</x:f>
        <x:v>OPEN</x:v>
      </x:c>
      <x:c r="F1562" t="str">
        <x:f>IF('Release Gates'!C1538="PLANNING","PASS",IF('Release Gates'!C1538="PHYSICAL","OPEN","BLOCKED"))</x:f>
        <x:v>OPEN</x:v>
      </x:c>
      <x:c r="G1562" t="str">
        <x:v>equals</x:v>
      </x:c>
      <x:c r="H1562" t="str">
        <x:f>IF(E1562=F1562,"PASS","FAIL")</x:f>
        <x:v>PASS</x:v>
      </x:c>
    </x:row>
    <x:row r="1563">
      <x:c r="B1563" t="str">
        <x:v>A-1533</x:v>
      </x:c>
      <x:c r="C1563" t="str">
        <x:v>GATE</x:v>
      </x:c>
      <x:c r="D1563" t="str">
        <x:v>release ledger mirrors governing state</x:v>
      </x:c>
      <x:c r="E1563" t="str">
        <x:f>'Release Gates'!J1539</x:f>
        <x:v>OPEN</x:v>
      </x:c>
      <x:c r="F1563" t="str">
        <x:f>IF('Release Gates'!C1539="PLANNING","PASS",IF('Release Gates'!C1539="PHYSICAL","OPEN","BLOCKED"))</x:f>
        <x:v>OPEN</x:v>
      </x:c>
      <x:c r="G1563" t="str">
        <x:v>equals</x:v>
      </x:c>
      <x:c r="H1563" t="str">
        <x:f>IF(E1563=F1563,"PASS","FAIL")</x:f>
        <x:v>PASS</x:v>
      </x:c>
    </x:row>
    <x:row r="1564">
      <x:c r="B1564" t="str">
        <x:v>A-1534</x:v>
      </x:c>
      <x:c r="C1564" t="str">
        <x:v>GATE</x:v>
      </x:c>
      <x:c r="D1564" t="str">
        <x:v>release ledger mirrors governing state</x:v>
      </x:c>
      <x:c r="E1564" t="str">
        <x:f>'Release Gates'!J1540</x:f>
        <x:v>OPEN</x:v>
      </x:c>
      <x:c r="F1564" t="str">
        <x:f>IF('Release Gates'!C1540="PLANNING","PASS",IF('Release Gates'!C1540="PHYSICAL","OPEN","BLOCKED"))</x:f>
        <x:v>OPEN</x:v>
      </x:c>
      <x:c r="G1564" t="str">
        <x:v>equals</x:v>
      </x:c>
      <x:c r="H1564" t="str">
        <x:f>IF(E1564=F1564,"PASS","FAIL")</x:f>
        <x:v>PASS</x:v>
      </x:c>
    </x:row>
    <x:row r="1565">
      <x:c r="B1565" t="str">
        <x:v>A-1535</x:v>
      </x:c>
      <x:c r="C1565" t="str">
        <x:v>GATE</x:v>
      </x:c>
      <x:c r="D1565" t="str">
        <x:v>release ledger mirrors governing state</x:v>
      </x:c>
      <x:c r="E1565" t="str">
        <x:f>'Release Gates'!J1541</x:f>
        <x:v>OPEN</x:v>
      </x:c>
      <x:c r="F1565" t="str">
        <x:f>IF('Release Gates'!C1541="PLANNING","PASS",IF('Release Gates'!C1541="PHYSICAL","OPEN","BLOCKED"))</x:f>
        <x:v>OPEN</x:v>
      </x:c>
      <x:c r="G1565" t="str">
        <x:v>equals</x:v>
      </x:c>
      <x:c r="H1565" t="str">
        <x:f>IF(E1565=F1565,"PASS","FAIL")</x:f>
        <x:v>PASS</x:v>
      </x:c>
    </x:row>
    <x:row r="1566">
      <x:c r="B1566" t="str">
        <x:v>A-1536</x:v>
      </x:c>
      <x:c r="C1566" t="str">
        <x:v>GATE</x:v>
      </x:c>
      <x:c r="D1566" t="str">
        <x:v>release ledger mirrors governing state</x:v>
      </x:c>
      <x:c r="E1566" t="str">
        <x:f>'Release Gates'!J1542</x:f>
        <x:v>OPEN</x:v>
      </x:c>
      <x:c r="F1566" t="str">
        <x:f>IF('Release Gates'!C1542="PLANNING","PASS",IF('Release Gates'!C1542="PHYSICAL","OPEN","BLOCKED"))</x:f>
        <x:v>OPEN</x:v>
      </x:c>
      <x:c r="G1566" t="str">
        <x:v>equals</x:v>
      </x:c>
      <x:c r="H1566" t="str">
        <x:f>IF(E1566=F1566,"PASS","FAIL")</x:f>
        <x:v>PASS</x:v>
      </x:c>
    </x:row>
    <x:row r="1567">
      <x:c r="B1567" t="str">
        <x:v>A-1537</x:v>
      </x:c>
      <x:c r="C1567" t="str">
        <x:v>GATE</x:v>
      </x:c>
      <x:c r="D1567" t="str">
        <x:v>release ledger mirrors governing state</x:v>
      </x:c>
      <x:c r="E1567" t="str">
        <x:f>'Release Gates'!J1543</x:f>
        <x:v>OPEN</x:v>
      </x:c>
      <x:c r="F1567" t="str">
        <x:f>IF('Release Gates'!C1543="PLANNING","PASS",IF('Release Gates'!C1543="PHYSICAL","OPEN","BLOCKED"))</x:f>
        <x:v>OPEN</x:v>
      </x:c>
      <x:c r="G1567" t="str">
        <x:v>equals</x:v>
      </x:c>
      <x:c r="H1567" t="str">
        <x:f>IF(E1567=F1567,"PASS","FAIL")</x:f>
        <x:v>PASS</x:v>
      </x:c>
    </x:row>
    <x:row r="1568">
      <x:c r="B1568" t="str">
        <x:v>A-1538</x:v>
      </x:c>
      <x:c r="C1568" t="str">
        <x:v>GATE</x:v>
      </x:c>
      <x:c r="D1568" t="str">
        <x:v>release ledger mirrors governing state</x:v>
      </x:c>
      <x:c r="E1568" t="str">
        <x:f>'Release Gates'!J1544</x:f>
        <x:v>OPEN</x:v>
      </x:c>
      <x:c r="F1568" t="str">
        <x:f>IF('Release Gates'!C1544="PLANNING","PASS",IF('Release Gates'!C1544="PHYSICAL","OPEN","BLOCKED"))</x:f>
        <x:v>OPEN</x:v>
      </x:c>
      <x:c r="G1568" t="str">
        <x:v>equals</x:v>
      </x:c>
      <x:c r="H1568" t="str">
        <x:f>IF(E1568=F1568,"PASS","FAIL")</x:f>
        <x:v>PASS</x:v>
      </x:c>
    </x:row>
    <x:row r="1569">
      <x:c r="B1569" t="str">
        <x:v>A-1539</x:v>
      </x:c>
      <x:c r="C1569" t="str">
        <x:v>GATE</x:v>
      </x:c>
      <x:c r="D1569" t="str">
        <x:v>release ledger mirrors governing state</x:v>
      </x:c>
      <x:c r="E1569" t="str">
        <x:f>'Release Gates'!J1545</x:f>
        <x:v>OPEN</x:v>
      </x:c>
      <x:c r="F1569" t="str">
        <x:f>IF('Release Gates'!C1545="PLANNING","PASS",IF('Release Gates'!C1545="PHYSICAL","OPEN","BLOCKED"))</x:f>
        <x:v>OPEN</x:v>
      </x:c>
      <x:c r="G1569" t="str">
        <x:v>equals</x:v>
      </x:c>
      <x:c r="H1569" t="str">
        <x:f>IF(E1569=F1569,"PASS","FAIL")</x:f>
        <x:v>PASS</x:v>
      </x:c>
    </x:row>
    <x:row r="1570">
      <x:c r="B1570" t="str">
        <x:v>A-1540</x:v>
      </x:c>
      <x:c r="C1570" t="str">
        <x:v>GATE</x:v>
      </x:c>
      <x:c r="D1570" t="str">
        <x:v>release ledger mirrors governing state</x:v>
      </x:c>
      <x:c r="E1570" t="str">
        <x:f>'Release Gates'!J1546</x:f>
        <x:v>OPEN</x:v>
      </x:c>
      <x:c r="F1570" t="str">
        <x:f>IF('Release Gates'!C1546="PLANNING","PASS",IF('Release Gates'!C1546="PHYSICAL","OPEN","BLOCKED"))</x:f>
        <x:v>OPEN</x:v>
      </x:c>
      <x:c r="G1570" t="str">
        <x:v>equals</x:v>
      </x:c>
      <x:c r="H1570" t="str">
        <x:f>IF(E1570=F1570,"PASS","FAIL")</x:f>
        <x:v>PASS</x:v>
      </x:c>
    </x:row>
    <x:row r="1571">
      <x:c r="B1571" t="str">
        <x:v>A-1541</x:v>
      </x:c>
      <x:c r="C1571" t="str">
        <x:v>GATE</x:v>
      </x:c>
      <x:c r="D1571" t="str">
        <x:v>release ledger mirrors governing state</x:v>
      </x:c>
      <x:c r="E1571" t="str">
        <x:f>'Release Gates'!J1547</x:f>
        <x:v>OPEN</x:v>
      </x:c>
      <x:c r="F1571" t="str">
        <x:f>IF('Release Gates'!C1547="PLANNING","PASS",IF('Release Gates'!C1547="PHYSICAL","OPEN","BLOCKED"))</x:f>
        <x:v>OPEN</x:v>
      </x:c>
      <x:c r="G1571" t="str">
        <x:v>equals</x:v>
      </x:c>
      <x:c r="H1571" t="str">
        <x:f>IF(E1571=F1571,"PASS","FAIL")</x:f>
        <x:v>PASS</x:v>
      </x:c>
    </x:row>
    <x:row r="1572">
      <x:c r="B1572" t="str">
        <x:v>A-1542</x:v>
      </x:c>
      <x:c r="C1572" t="str">
        <x:v>GATE</x:v>
      </x:c>
      <x:c r="D1572" t="str">
        <x:v>release ledger mirrors governing state</x:v>
      </x:c>
      <x:c r="E1572" t="str">
        <x:f>'Release Gates'!J1548</x:f>
        <x:v>OPEN</x:v>
      </x:c>
      <x:c r="F1572" t="str">
        <x:f>IF('Release Gates'!C1548="PLANNING","PASS",IF('Release Gates'!C1548="PHYSICAL","OPEN","BLOCKED"))</x:f>
        <x:v>OPEN</x:v>
      </x:c>
      <x:c r="G1572" t="str">
        <x:v>equals</x:v>
      </x:c>
      <x:c r="H1572" t="str">
        <x:f>IF(E1572=F1572,"PASS","FAIL")</x:f>
        <x:v>PASS</x:v>
      </x:c>
    </x:row>
    <x:row r="1573">
      <x:c r="B1573" t="str">
        <x:v>A-1543</x:v>
      </x:c>
      <x:c r="C1573" t="str">
        <x:v>GATE</x:v>
      </x:c>
      <x:c r="D1573" t="str">
        <x:v>release ledger mirrors governing state</x:v>
      </x:c>
      <x:c r="E1573" t="str">
        <x:f>'Release Gates'!J1549</x:f>
        <x:v>OPEN</x:v>
      </x:c>
      <x:c r="F1573" t="str">
        <x:f>IF('Release Gates'!C1549="PLANNING","PASS",IF('Release Gates'!C1549="PHYSICAL","OPEN","BLOCKED"))</x:f>
        <x:v>OPEN</x:v>
      </x:c>
      <x:c r="G1573" t="str">
        <x:v>equals</x:v>
      </x:c>
      <x:c r="H1573" t="str">
        <x:f>IF(E1573=F1573,"PASS","FAIL")</x:f>
        <x:v>PASS</x:v>
      </x:c>
    </x:row>
    <x:row r="1574">
      <x:c r="B1574" t="str">
        <x:v>A-1544</x:v>
      </x:c>
      <x:c r="C1574" t="str">
        <x:v>GATE</x:v>
      </x:c>
      <x:c r="D1574" t="str">
        <x:v>release ledger mirrors governing state</x:v>
      </x:c>
      <x:c r="E1574" t="str">
        <x:f>'Release Gates'!J1550</x:f>
        <x:v>OPEN</x:v>
      </x:c>
      <x:c r="F1574" t="str">
        <x:f>IF('Release Gates'!C1550="PLANNING","PASS",IF('Release Gates'!C1550="PHYSICAL","OPEN","BLOCKED"))</x:f>
        <x:v>OPEN</x:v>
      </x:c>
      <x:c r="G1574" t="str">
        <x:v>equals</x:v>
      </x:c>
      <x:c r="H1574" t="str">
        <x:f>IF(E1574=F1574,"PASS","FAIL")</x:f>
        <x:v>PASS</x:v>
      </x:c>
    </x:row>
    <x:row r="1575">
      <x:c r="B1575" t="str">
        <x:v>A-1545</x:v>
      </x:c>
      <x:c r="C1575" t="str">
        <x:v>GATE</x:v>
      </x:c>
      <x:c r="D1575" t="str">
        <x:v>release ledger mirrors governing state</x:v>
      </x:c>
      <x:c r="E1575" t="str">
        <x:f>'Release Gates'!J1551</x:f>
        <x:v>OPEN</x:v>
      </x:c>
      <x:c r="F1575" t="str">
        <x:f>IF('Release Gates'!C1551="PLANNING","PASS",IF('Release Gates'!C1551="PHYSICAL","OPEN","BLOCKED"))</x:f>
        <x:v>OPEN</x:v>
      </x:c>
      <x:c r="G1575" t="str">
        <x:v>equals</x:v>
      </x:c>
      <x:c r="H1575" t="str">
        <x:f>IF(E1575=F1575,"PASS","FAIL")</x:f>
        <x:v>PASS</x:v>
      </x:c>
    </x:row>
    <x:row r="1576">
      <x:c r="B1576" t="str">
        <x:v>A-1546</x:v>
      </x:c>
      <x:c r="C1576" t="str">
        <x:v>GATE</x:v>
      </x:c>
      <x:c r="D1576" t="str">
        <x:v>release ledger mirrors governing state</x:v>
      </x:c>
      <x:c r="E1576" t="str">
        <x:f>'Release Gates'!J1552</x:f>
        <x:v>OPEN</x:v>
      </x:c>
      <x:c r="F1576" t="str">
        <x:f>IF('Release Gates'!C1552="PLANNING","PASS",IF('Release Gates'!C1552="PHYSICAL","OPEN","BLOCKED"))</x:f>
        <x:v>OPEN</x:v>
      </x:c>
      <x:c r="G1576" t="str">
        <x:v>equals</x:v>
      </x:c>
      <x:c r="H1576" t="str">
        <x:f>IF(E1576=F1576,"PASS","FAIL")</x:f>
        <x:v>PASS</x:v>
      </x:c>
    </x:row>
    <x:row r="1577">
      <x:c r="B1577" t="str">
        <x:v>A-1547</x:v>
      </x:c>
      <x:c r="C1577" t="str">
        <x:v>GATE</x:v>
      </x:c>
      <x:c r="D1577" t="str">
        <x:v>release ledger mirrors governing state</x:v>
      </x:c>
      <x:c r="E1577" t="str">
        <x:f>'Release Gates'!J1553</x:f>
        <x:v>OPEN</x:v>
      </x:c>
      <x:c r="F1577" t="str">
        <x:f>IF('Release Gates'!C1553="PLANNING","PASS",IF('Release Gates'!C1553="PHYSICAL","OPEN","BLOCKED"))</x:f>
        <x:v>OPEN</x:v>
      </x:c>
      <x:c r="G1577" t="str">
        <x:v>equals</x:v>
      </x:c>
      <x:c r="H1577" t="str">
        <x:f>IF(E1577=F1577,"PASS","FAIL")</x:f>
        <x:v>PASS</x:v>
      </x:c>
    </x:row>
    <x:row r="1578">
      <x:c r="B1578" t="str">
        <x:v>A-1548</x:v>
      </x:c>
      <x:c r="C1578" t="str">
        <x:v>GATE</x:v>
      </x:c>
      <x:c r="D1578" t="str">
        <x:v>release ledger mirrors governing state</x:v>
      </x:c>
      <x:c r="E1578" t="str">
        <x:f>'Release Gates'!J1554</x:f>
        <x:v>OPEN</x:v>
      </x:c>
      <x:c r="F1578" t="str">
        <x:f>IF('Release Gates'!C1554="PLANNING","PASS",IF('Release Gates'!C1554="PHYSICAL","OPEN","BLOCKED"))</x:f>
        <x:v>OPEN</x:v>
      </x:c>
      <x:c r="G1578" t="str">
        <x:v>equals</x:v>
      </x:c>
      <x:c r="H1578" t="str">
        <x:f>IF(E1578=F1578,"PASS","FAIL")</x:f>
        <x:v>PASS</x:v>
      </x:c>
    </x:row>
    <x:row r="1579">
      <x:c r="B1579" t="str">
        <x:v>A-1549</x:v>
      </x:c>
      <x:c r="C1579" t="str">
        <x:v>GATE</x:v>
      </x:c>
      <x:c r="D1579" t="str">
        <x:v>release ledger mirrors governing state</x:v>
      </x:c>
      <x:c r="E1579" t="str">
        <x:f>'Release Gates'!J1555</x:f>
        <x:v>OPEN</x:v>
      </x:c>
      <x:c r="F1579" t="str">
        <x:f>IF('Release Gates'!C1555="PLANNING","PASS",IF('Release Gates'!C1555="PHYSICAL","OPEN","BLOCKED"))</x:f>
        <x:v>OPEN</x:v>
      </x:c>
      <x:c r="G1579" t="str">
        <x:v>equals</x:v>
      </x:c>
      <x:c r="H1579" t="str">
        <x:f>IF(E1579=F1579,"PASS","FAIL")</x:f>
        <x:v>PASS</x:v>
      </x:c>
    </x:row>
    <x:row r="1580">
      <x:c r="B1580" t="str">
        <x:v>A-1550</x:v>
      </x:c>
      <x:c r="C1580" t="str">
        <x:v>GATE</x:v>
      </x:c>
      <x:c r="D1580" t="str">
        <x:v>release ledger mirrors governing state</x:v>
      </x:c>
      <x:c r="E1580" t="str">
        <x:f>'Release Gates'!J1556</x:f>
        <x:v>OPEN</x:v>
      </x:c>
      <x:c r="F1580" t="str">
        <x:f>IF('Release Gates'!C1556="PLANNING","PASS",IF('Release Gates'!C1556="PHYSICAL","OPEN","BLOCKED"))</x:f>
        <x:v>OPEN</x:v>
      </x:c>
      <x:c r="G1580" t="str">
        <x:v>equals</x:v>
      </x:c>
      <x:c r="H1580" t="str">
        <x:f>IF(E1580=F1580,"PASS","FAIL")</x:f>
        <x:v>PASS</x:v>
      </x:c>
    </x:row>
    <x:row r="1581">
      <x:c r="B1581" t="str">
        <x:v>A-1551</x:v>
      </x:c>
      <x:c r="C1581" t="str">
        <x:v>GATE</x:v>
      </x:c>
      <x:c r="D1581" t="str">
        <x:v>release ledger mirrors governing state</x:v>
      </x:c>
      <x:c r="E1581" t="str">
        <x:f>'Release Gates'!J1557</x:f>
        <x:v>OPEN</x:v>
      </x:c>
      <x:c r="F1581" t="str">
        <x:f>IF('Release Gates'!C1557="PLANNING","PASS",IF('Release Gates'!C1557="PHYSICAL","OPEN","BLOCKED"))</x:f>
        <x:v>OPEN</x:v>
      </x:c>
      <x:c r="G1581" t="str">
        <x:v>equals</x:v>
      </x:c>
      <x:c r="H1581" t="str">
        <x:f>IF(E1581=F1581,"PASS","FAIL")</x:f>
        <x:v>PASS</x:v>
      </x:c>
    </x:row>
    <x:row r="1582">
      <x:c r="B1582" t="str">
        <x:v>A-1552</x:v>
      </x:c>
      <x:c r="C1582" t="str">
        <x:v>GATE</x:v>
      </x:c>
      <x:c r="D1582" t="str">
        <x:v>release ledger mirrors governing state</x:v>
      </x:c>
      <x:c r="E1582" t="str">
        <x:f>'Release Gates'!J1558</x:f>
        <x:v>OPEN</x:v>
      </x:c>
      <x:c r="F1582" t="str">
        <x:f>IF('Release Gates'!C1558="PLANNING","PASS",IF('Release Gates'!C1558="PHYSICAL","OPEN","BLOCKED"))</x:f>
        <x:v>OPEN</x:v>
      </x:c>
      <x:c r="G1582" t="str">
        <x:v>equals</x:v>
      </x:c>
      <x:c r="H1582" t="str">
        <x:f>IF(E1582=F1582,"PASS","FAIL")</x:f>
        <x:v>PASS</x:v>
      </x:c>
    </x:row>
    <x:row r="1583">
      <x:c r="B1583" t="str">
        <x:v>A-1553</x:v>
      </x:c>
      <x:c r="C1583" t="str">
        <x:v>GATE</x:v>
      </x:c>
      <x:c r="D1583" t="str">
        <x:v>release ledger mirrors governing state</x:v>
      </x:c>
      <x:c r="E1583" t="str">
        <x:f>'Release Gates'!J1559</x:f>
        <x:v>OPEN</x:v>
      </x:c>
      <x:c r="F1583" t="str">
        <x:f>IF('Release Gates'!C1559="PLANNING","PASS",IF('Release Gates'!C1559="PHYSICAL","OPEN","BLOCKED"))</x:f>
        <x:v>OPEN</x:v>
      </x:c>
      <x:c r="G1583" t="str">
        <x:v>equals</x:v>
      </x:c>
      <x:c r="H1583" t="str">
        <x:f>IF(E1583=F1583,"PASS","FAIL")</x:f>
        <x:v>PASS</x:v>
      </x:c>
    </x:row>
    <x:row r="1584">
      <x:c r="B1584" t="str">
        <x:v>A-1554</x:v>
      </x:c>
      <x:c r="C1584" t="str">
        <x:v>GATE</x:v>
      </x:c>
      <x:c r="D1584" t="str">
        <x:v>release ledger mirrors governing state</x:v>
      </x:c>
      <x:c r="E1584" t="str">
        <x:f>'Release Gates'!J1560</x:f>
        <x:v>OPEN</x:v>
      </x:c>
      <x:c r="F1584" t="str">
        <x:f>IF('Release Gates'!C1560="PLANNING","PASS",IF('Release Gates'!C1560="PHYSICAL","OPEN","BLOCKED"))</x:f>
        <x:v>OPEN</x:v>
      </x:c>
      <x:c r="G1584" t="str">
        <x:v>equals</x:v>
      </x:c>
      <x:c r="H1584" t="str">
        <x:f>IF(E1584=F1584,"PASS","FAIL")</x:f>
        <x:v>PASS</x:v>
      </x:c>
    </x:row>
    <x:row r="1585">
      <x:c r="B1585" t="str">
        <x:v>A-1555</x:v>
      </x:c>
      <x:c r="C1585" t="str">
        <x:v>GATE</x:v>
      </x:c>
      <x:c r="D1585" t="str">
        <x:v>release ledger mirrors governing state</x:v>
      </x:c>
      <x:c r="E1585" t="str">
        <x:f>'Release Gates'!J1561</x:f>
        <x:v>OPEN</x:v>
      </x:c>
      <x:c r="F1585" t="str">
        <x:f>IF('Release Gates'!C1561="PLANNING","PASS",IF('Release Gates'!C1561="PHYSICAL","OPEN","BLOCKED"))</x:f>
        <x:v>OPEN</x:v>
      </x:c>
      <x:c r="G1585" t="str">
        <x:v>equals</x:v>
      </x:c>
      <x:c r="H1585" t="str">
        <x:f>IF(E1585=F1585,"PASS","FAIL")</x:f>
        <x:v>PASS</x:v>
      </x:c>
    </x:row>
    <x:row r="1586">
      <x:c r="B1586" t="str">
        <x:v>A-1556</x:v>
      </x:c>
      <x:c r="C1586" t="str">
        <x:v>GATE</x:v>
      </x:c>
      <x:c r="D1586" t="str">
        <x:v>release ledger mirrors governing state</x:v>
      </x:c>
      <x:c r="E1586" t="str">
        <x:f>'Release Gates'!J1562</x:f>
        <x:v>OPEN</x:v>
      </x:c>
      <x:c r="F1586" t="str">
        <x:f>IF('Release Gates'!C1562="PLANNING","PASS",IF('Release Gates'!C1562="PHYSICAL","OPEN","BLOCKED"))</x:f>
        <x:v>OPEN</x:v>
      </x:c>
      <x:c r="G1586" t="str">
        <x:v>equals</x:v>
      </x:c>
      <x:c r="H1586" t="str">
        <x:f>IF(E1586=F1586,"PASS","FAIL")</x:f>
        <x:v>PASS</x:v>
      </x:c>
    </x:row>
    <x:row r="1587">
      <x:c r="B1587" t="str">
        <x:v>A-1557</x:v>
      </x:c>
      <x:c r="C1587" t="str">
        <x:v>GATE</x:v>
      </x:c>
      <x:c r="D1587" t="str">
        <x:v>release ledger mirrors governing state</x:v>
      </x:c>
      <x:c r="E1587" t="str">
        <x:f>'Release Gates'!J1563</x:f>
        <x:v>OPEN</x:v>
      </x:c>
      <x:c r="F1587" t="str">
        <x:f>IF('Release Gates'!C1563="PLANNING","PASS",IF('Release Gates'!C1563="PHYSICAL","OPEN","BLOCKED"))</x:f>
        <x:v>OPEN</x:v>
      </x:c>
      <x:c r="G1587" t="str">
        <x:v>equals</x:v>
      </x:c>
      <x:c r="H1587" t="str">
        <x:f>IF(E1587=F1587,"PASS","FAIL")</x:f>
        <x:v>PASS</x:v>
      </x:c>
    </x:row>
    <x:row r="1588">
      <x:c r="B1588" t="str">
        <x:v>A-1558</x:v>
      </x:c>
      <x:c r="C1588" t="str">
        <x:v>GATE</x:v>
      </x:c>
      <x:c r="D1588" t="str">
        <x:v>release ledger mirrors governing state</x:v>
      </x:c>
      <x:c r="E1588" t="str">
        <x:f>'Release Gates'!J1564</x:f>
        <x:v>OPEN</x:v>
      </x:c>
      <x:c r="F1588" t="str">
        <x:f>IF('Release Gates'!C1564="PLANNING","PASS",IF('Release Gates'!C1564="PHYSICAL","OPEN","BLOCKED"))</x:f>
        <x:v>OPEN</x:v>
      </x:c>
      <x:c r="G1588" t="str">
        <x:v>equals</x:v>
      </x:c>
      <x:c r="H1588" t="str">
        <x:f>IF(E1588=F1588,"PASS","FAIL")</x:f>
        <x:v>PASS</x:v>
      </x:c>
    </x:row>
    <x:row r="1589">
      <x:c r="B1589" t="str">
        <x:v>A-1559</x:v>
      </x:c>
      <x:c r="C1589" t="str">
        <x:v>GATE</x:v>
      </x:c>
      <x:c r="D1589" t="str">
        <x:v>release ledger mirrors governing state</x:v>
      </x:c>
      <x:c r="E1589" t="str">
        <x:f>'Release Gates'!J1565</x:f>
        <x:v>OPEN</x:v>
      </x:c>
      <x:c r="F1589" t="str">
        <x:f>IF('Release Gates'!C1565="PLANNING","PASS",IF('Release Gates'!C1565="PHYSICAL","OPEN","BLOCKED"))</x:f>
        <x:v>OPEN</x:v>
      </x:c>
      <x:c r="G1589" t="str">
        <x:v>equals</x:v>
      </x:c>
      <x:c r="H1589" t="str">
        <x:f>IF(E1589=F1589,"PASS","FAIL")</x:f>
        <x:v>PASS</x:v>
      </x:c>
    </x:row>
    <x:row r="1590">
      <x:c r="B1590" t="str">
        <x:v>A-1560</x:v>
      </x:c>
      <x:c r="C1590" t="str">
        <x:v>GATE</x:v>
      </x:c>
      <x:c r="D1590" t="str">
        <x:v>release ledger mirrors governing state</x:v>
      </x:c>
      <x:c r="E1590" t="str">
        <x:f>'Release Gates'!J1566</x:f>
        <x:v>OPEN</x:v>
      </x:c>
      <x:c r="F1590" t="str">
        <x:f>IF('Release Gates'!C1566="PLANNING","PASS",IF('Release Gates'!C1566="PHYSICAL","OPEN","BLOCKED"))</x:f>
        <x:v>OPEN</x:v>
      </x:c>
      <x:c r="G1590" t="str">
        <x:v>equals</x:v>
      </x:c>
      <x:c r="H1590" t="str">
        <x:f>IF(E1590=F1590,"PASS","FAIL")</x:f>
        <x:v>PASS</x:v>
      </x:c>
    </x:row>
    <x:row r="1591">
      <x:c r="B1591" t="str">
        <x:v>A-1561</x:v>
      </x:c>
      <x:c r="C1591" t="str">
        <x:v>GATE</x:v>
      </x:c>
      <x:c r="D1591" t="str">
        <x:v>release ledger mirrors governing state</x:v>
      </x:c>
      <x:c r="E1591" t="str">
        <x:f>'Release Gates'!J1567</x:f>
        <x:v>OPEN</x:v>
      </x:c>
      <x:c r="F1591" t="str">
        <x:f>IF('Release Gates'!C1567="PLANNING","PASS",IF('Release Gates'!C1567="PHYSICAL","OPEN","BLOCKED"))</x:f>
        <x:v>OPEN</x:v>
      </x:c>
      <x:c r="G1591" t="str">
        <x:v>equals</x:v>
      </x:c>
      <x:c r="H1591" t="str">
        <x:f>IF(E1591=F1591,"PASS","FAIL")</x:f>
        <x:v>PASS</x:v>
      </x:c>
    </x:row>
    <x:row r="1592">
      <x:c r="B1592" t="str">
        <x:v>A-1562</x:v>
      </x:c>
      <x:c r="C1592" t="str">
        <x:v>GATE</x:v>
      </x:c>
      <x:c r="D1592" t="str">
        <x:v>release ledger mirrors governing state</x:v>
      </x:c>
      <x:c r="E1592" t="str">
        <x:f>'Release Gates'!J1568</x:f>
        <x:v>OPEN</x:v>
      </x:c>
      <x:c r="F1592" t="str">
        <x:f>IF('Release Gates'!C1568="PLANNING","PASS",IF('Release Gates'!C1568="PHYSICAL","OPEN","BLOCKED"))</x:f>
        <x:v>OPEN</x:v>
      </x:c>
      <x:c r="G1592" t="str">
        <x:v>equals</x:v>
      </x:c>
      <x:c r="H1592" t="str">
        <x:f>IF(E1592=F1592,"PASS","FAIL")</x:f>
        <x:v>PASS</x:v>
      </x:c>
    </x:row>
    <x:row r="1593">
      <x:c r="B1593" t="str">
        <x:v>A-1563</x:v>
      </x:c>
      <x:c r="C1593" t="str">
        <x:v>GATE</x:v>
      </x:c>
      <x:c r="D1593" t="str">
        <x:v>release ledger mirrors governing state</x:v>
      </x:c>
      <x:c r="E1593" t="str">
        <x:f>'Release Gates'!J1569</x:f>
        <x:v>OPEN</x:v>
      </x:c>
      <x:c r="F1593" t="str">
        <x:f>IF('Release Gates'!C1569="PLANNING","PASS",IF('Release Gates'!C1569="PHYSICAL","OPEN","BLOCKED"))</x:f>
        <x:v>OPEN</x:v>
      </x:c>
      <x:c r="G1593" t="str">
        <x:v>equals</x:v>
      </x:c>
      <x:c r="H1593" t="str">
        <x:f>IF(E1593=F1593,"PASS","FAIL")</x:f>
        <x:v>PASS</x:v>
      </x:c>
    </x:row>
    <x:row r="1594">
      <x:c r="B1594" t="str">
        <x:v>A-1564</x:v>
      </x:c>
      <x:c r="C1594" t="str">
        <x:v>GATE</x:v>
      </x:c>
      <x:c r="D1594" t="str">
        <x:v>release ledger mirrors governing state</x:v>
      </x:c>
      <x:c r="E1594" t="str">
        <x:f>'Release Gates'!J1570</x:f>
        <x:v>OPEN</x:v>
      </x:c>
      <x:c r="F1594" t="str">
        <x:f>IF('Release Gates'!C1570="PLANNING","PASS",IF('Release Gates'!C1570="PHYSICAL","OPEN","BLOCKED"))</x:f>
        <x:v>OPEN</x:v>
      </x:c>
      <x:c r="G1594" t="str">
        <x:v>equals</x:v>
      </x:c>
      <x:c r="H1594" t="str">
        <x:f>IF(E1594=F1594,"PASS","FAIL")</x:f>
        <x:v>PASS</x:v>
      </x:c>
    </x:row>
    <x:row r="1595">
      <x:c r="B1595" t="str">
        <x:v>A-1565</x:v>
      </x:c>
      <x:c r="C1595" t="str">
        <x:v>GATE</x:v>
      </x:c>
      <x:c r="D1595" t="str">
        <x:v>release ledger mirrors governing state</x:v>
      </x:c>
      <x:c r="E1595" t="str">
        <x:f>'Release Gates'!J1571</x:f>
        <x:v>OPEN</x:v>
      </x:c>
      <x:c r="F1595" t="str">
        <x:f>IF('Release Gates'!C1571="PLANNING","PASS",IF('Release Gates'!C1571="PHYSICAL","OPEN","BLOCKED"))</x:f>
        <x:v>OPEN</x:v>
      </x:c>
      <x:c r="G1595" t="str">
        <x:v>equals</x:v>
      </x:c>
      <x:c r="H1595" t="str">
        <x:f>IF(E1595=F1595,"PASS","FAIL")</x:f>
        <x:v>PASS</x:v>
      </x:c>
    </x:row>
    <x:row r="1596">
      <x:c r="B1596" t="str">
        <x:v>A-1566</x:v>
      </x:c>
      <x:c r="C1596" t="str">
        <x:v>GATE</x:v>
      </x:c>
      <x:c r="D1596" t="str">
        <x:v>release ledger mirrors governing state</x:v>
      </x:c>
      <x:c r="E1596" t="str">
        <x:f>'Release Gates'!J1572</x:f>
        <x:v>OPEN</x:v>
      </x:c>
      <x:c r="F1596" t="str">
        <x:f>IF('Release Gates'!C1572="PLANNING","PASS",IF('Release Gates'!C1572="PHYSICAL","OPEN","BLOCKED"))</x:f>
        <x:v>OPEN</x:v>
      </x:c>
      <x:c r="G1596" t="str">
        <x:v>equals</x:v>
      </x:c>
      <x:c r="H1596" t="str">
        <x:f>IF(E1596=F1596,"PASS","FAIL")</x:f>
        <x:v>PASS</x:v>
      </x:c>
    </x:row>
    <x:row r="1597">
      <x:c r="B1597" t="str">
        <x:v>A-1567</x:v>
      </x:c>
      <x:c r="C1597" t="str">
        <x:v>GATE</x:v>
      </x:c>
      <x:c r="D1597" t="str">
        <x:v>release ledger mirrors governing state</x:v>
      </x:c>
      <x:c r="E1597" t="str">
        <x:f>'Release Gates'!J1573</x:f>
        <x:v>OPEN</x:v>
      </x:c>
      <x:c r="F1597" t="str">
        <x:f>IF('Release Gates'!C1573="PLANNING","PASS",IF('Release Gates'!C1573="PHYSICAL","OPEN","BLOCKED"))</x:f>
        <x:v>OPEN</x:v>
      </x:c>
      <x:c r="G1597" t="str">
        <x:v>equals</x:v>
      </x:c>
      <x:c r="H1597" t="str">
        <x:f>IF(E1597=F1597,"PASS","FAIL")</x:f>
        <x:v>PASS</x:v>
      </x:c>
    </x:row>
    <x:row r="1598">
      <x:c r="B1598" t="str">
        <x:v>A-1568</x:v>
      </x:c>
      <x:c r="C1598" t="str">
        <x:v>GATE</x:v>
      </x:c>
      <x:c r="D1598" t="str">
        <x:v>release ledger mirrors governing state</x:v>
      </x:c>
      <x:c r="E1598" t="str">
        <x:f>'Release Gates'!J1574</x:f>
        <x:v>OPEN</x:v>
      </x:c>
      <x:c r="F1598" t="str">
        <x:f>IF('Release Gates'!C1574="PLANNING","PASS",IF('Release Gates'!C1574="PHYSICAL","OPEN","BLOCKED"))</x:f>
        <x:v>OPEN</x:v>
      </x:c>
      <x:c r="G1598" t="str">
        <x:v>equals</x:v>
      </x:c>
      <x:c r="H1598" t="str">
        <x:f>IF(E1598=F1598,"PASS","FAIL")</x:f>
        <x:v>PASS</x:v>
      </x:c>
    </x:row>
    <x:row r="1599">
      <x:c r="B1599" t="str">
        <x:v>A-1569</x:v>
      </x:c>
      <x:c r="C1599" t="str">
        <x:v>GATE</x:v>
      </x:c>
      <x:c r="D1599" t="str">
        <x:v>release ledger mirrors governing state</x:v>
      </x:c>
      <x:c r="E1599" t="str">
        <x:f>'Release Gates'!J1575</x:f>
        <x:v>OPEN</x:v>
      </x:c>
      <x:c r="F1599" t="str">
        <x:f>IF('Release Gates'!C1575="PLANNING","PASS",IF('Release Gates'!C1575="PHYSICAL","OPEN","BLOCKED"))</x:f>
        <x:v>OPEN</x:v>
      </x:c>
      <x:c r="G1599" t="str">
        <x:v>equals</x:v>
      </x:c>
      <x:c r="H1599" t="str">
        <x:f>IF(E1599=F1599,"PASS","FAIL")</x:f>
        <x:v>PASS</x:v>
      </x:c>
    </x:row>
    <x:row r="1600">
      <x:c r="B1600" t="str">
        <x:v>A-1570</x:v>
      </x:c>
      <x:c r="C1600" t="str">
        <x:v>GATE</x:v>
      </x:c>
      <x:c r="D1600" t="str">
        <x:v>release ledger mirrors governing state</x:v>
      </x:c>
      <x:c r="E1600" t="str">
        <x:f>'Release Gates'!J1576</x:f>
        <x:v>OPEN</x:v>
      </x:c>
      <x:c r="F1600" t="str">
        <x:f>IF('Release Gates'!C1576="PLANNING","PASS",IF('Release Gates'!C1576="PHYSICAL","OPEN","BLOCKED"))</x:f>
        <x:v>OPEN</x:v>
      </x:c>
      <x:c r="G1600" t="str">
        <x:v>equals</x:v>
      </x:c>
      <x:c r="H1600" t="str">
        <x:f>IF(E1600=F1600,"PASS","FAIL")</x:f>
        <x:v>PASS</x:v>
      </x:c>
    </x:row>
    <x:row r="1601">
      <x:c r="B1601" t="str">
        <x:v>A-1571</x:v>
      </x:c>
      <x:c r="C1601" t="str">
        <x:v>GATE</x:v>
      </x:c>
      <x:c r="D1601" t="str">
        <x:v>release ledger mirrors governing state</x:v>
      </x:c>
      <x:c r="E1601" t="str">
        <x:f>'Release Gates'!J1577</x:f>
        <x:v>OPEN</x:v>
      </x:c>
      <x:c r="F1601" t="str">
        <x:f>IF('Release Gates'!C1577="PLANNING","PASS",IF('Release Gates'!C1577="PHYSICAL","OPEN","BLOCKED"))</x:f>
        <x:v>OPEN</x:v>
      </x:c>
      <x:c r="G1601" t="str">
        <x:v>equals</x:v>
      </x:c>
      <x:c r="H1601" t="str">
        <x:f>IF(E1601=F1601,"PASS","FAIL")</x:f>
        <x:v>PASS</x:v>
      </x:c>
    </x:row>
    <x:row r="1602">
      <x:c r="B1602" t="str">
        <x:v>A-1572</x:v>
      </x:c>
      <x:c r="C1602" t="str">
        <x:v>GATE</x:v>
      </x:c>
      <x:c r="D1602" t="str">
        <x:v>release ledger mirrors governing state</x:v>
      </x:c>
      <x:c r="E1602" t="str">
        <x:f>'Release Gates'!J1578</x:f>
        <x:v>OPEN</x:v>
      </x:c>
      <x:c r="F1602" t="str">
        <x:f>IF('Release Gates'!C1578="PLANNING","PASS",IF('Release Gates'!C1578="PHYSICAL","OPEN","BLOCKED"))</x:f>
        <x:v>OPEN</x:v>
      </x:c>
      <x:c r="G1602" t="str">
        <x:v>equals</x:v>
      </x:c>
      <x:c r="H1602" t="str">
        <x:f>IF(E1602=F1602,"PASS","FAIL")</x:f>
        <x:v>PASS</x:v>
      </x:c>
    </x:row>
    <x:row r="1603">
      <x:c r="B1603" t="str">
        <x:v>A-1573</x:v>
      </x:c>
      <x:c r="C1603" t="str">
        <x:v>GATE</x:v>
      </x:c>
      <x:c r="D1603" t="str">
        <x:v>release ledger mirrors governing state</x:v>
      </x:c>
      <x:c r="E1603" t="str">
        <x:f>'Release Gates'!J1579</x:f>
        <x:v>OPEN</x:v>
      </x:c>
      <x:c r="F1603" t="str">
        <x:f>IF('Release Gates'!C1579="PLANNING","PASS",IF('Release Gates'!C1579="PHYSICAL","OPEN","BLOCKED"))</x:f>
        <x:v>OPEN</x:v>
      </x:c>
      <x:c r="G1603" t="str">
        <x:v>equals</x:v>
      </x:c>
      <x:c r="H1603" t="str">
        <x:f>IF(E1603=F1603,"PASS","FAIL")</x:f>
        <x:v>PASS</x:v>
      </x:c>
    </x:row>
    <x:row r="1604">
      <x:c r="B1604" t="str">
        <x:v>A-1574</x:v>
      </x:c>
      <x:c r="C1604" t="str">
        <x:v>GATE</x:v>
      </x:c>
      <x:c r="D1604" t="str">
        <x:v>release ledger mirrors governing state</x:v>
      </x:c>
      <x:c r="E1604" t="str">
        <x:f>'Release Gates'!J1580</x:f>
        <x:v>OPEN</x:v>
      </x:c>
      <x:c r="F1604" t="str">
        <x:f>IF('Release Gates'!C1580="PLANNING","PASS",IF('Release Gates'!C1580="PHYSICAL","OPEN","BLOCKED"))</x:f>
        <x:v>OPEN</x:v>
      </x:c>
      <x:c r="G1604" t="str">
        <x:v>equals</x:v>
      </x:c>
      <x:c r="H1604" t="str">
        <x:f>IF(E1604=F1604,"PASS","FAIL")</x:f>
        <x:v>PASS</x:v>
      </x:c>
    </x:row>
    <x:row r="1605">
      <x:c r="B1605" t="str">
        <x:v>A-1575</x:v>
      </x:c>
      <x:c r="C1605" t="str">
        <x:v>GATE</x:v>
      </x:c>
      <x:c r="D1605" t="str">
        <x:v>release ledger mirrors governing state</x:v>
      </x:c>
      <x:c r="E1605" t="str">
        <x:f>'Release Gates'!J1581</x:f>
        <x:v>OPEN</x:v>
      </x:c>
      <x:c r="F1605" t="str">
        <x:f>IF('Release Gates'!C1581="PLANNING","PASS",IF('Release Gates'!C1581="PHYSICAL","OPEN","BLOCKED"))</x:f>
        <x:v>OPEN</x:v>
      </x:c>
      <x:c r="G1605" t="str">
        <x:v>equals</x:v>
      </x:c>
      <x:c r="H1605" t="str">
        <x:f>IF(E1605=F1605,"PASS","FAIL")</x:f>
        <x:v>PASS</x:v>
      </x:c>
    </x:row>
    <x:row r="1606">
      <x:c r="B1606" t="str">
        <x:v>A-1576</x:v>
      </x:c>
      <x:c r="C1606" t="str">
        <x:v>GATE</x:v>
      </x:c>
      <x:c r="D1606" t="str">
        <x:v>release ledger mirrors governing state</x:v>
      </x:c>
      <x:c r="E1606" t="str">
        <x:f>'Release Gates'!J1582</x:f>
        <x:v>OPEN</x:v>
      </x:c>
      <x:c r="F1606" t="str">
        <x:f>IF('Release Gates'!C1582="PLANNING","PASS",IF('Release Gates'!C1582="PHYSICAL","OPEN","BLOCKED"))</x:f>
        <x:v>OPEN</x:v>
      </x:c>
      <x:c r="G1606" t="str">
        <x:v>equals</x:v>
      </x:c>
      <x:c r="H1606" t="str">
        <x:f>IF(E1606=F1606,"PASS","FAIL")</x:f>
        <x:v>PASS</x:v>
      </x:c>
    </x:row>
    <x:row r="1607">
      <x:c r="B1607" t="str">
        <x:v>A-1577</x:v>
      </x:c>
      <x:c r="C1607" t="str">
        <x:v>GATE</x:v>
      </x:c>
      <x:c r="D1607" t="str">
        <x:v>release ledger mirrors governing state</x:v>
      </x:c>
      <x:c r="E1607" t="str">
        <x:f>'Release Gates'!J1583</x:f>
        <x:v>OPEN</x:v>
      </x:c>
      <x:c r="F1607" t="str">
        <x:f>IF('Release Gates'!C1583="PLANNING","PASS",IF('Release Gates'!C1583="PHYSICAL","OPEN","BLOCKED"))</x:f>
        <x:v>OPEN</x:v>
      </x:c>
      <x:c r="G1607" t="str">
        <x:v>equals</x:v>
      </x:c>
      <x:c r="H1607" t="str">
        <x:f>IF(E1607=F1607,"PASS","FAIL")</x:f>
        <x:v>PASS</x:v>
      </x:c>
    </x:row>
    <x:row r="1608">
      <x:c r="B1608" t="str">
        <x:v>A-1578</x:v>
      </x:c>
      <x:c r="C1608" t="str">
        <x:v>GATE</x:v>
      </x:c>
      <x:c r="D1608" t="str">
        <x:v>release ledger mirrors governing state</x:v>
      </x:c>
      <x:c r="E1608" t="str">
        <x:f>'Release Gates'!J1584</x:f>
        <x:v>OPEN</x:v>
      </x:c>
      <x:c r="F1608" t="str">
        <x:f>IF('Release Gates'!C1584="PLANNING","PASS",IF('Release Gates'!C1584="PHYSICAL","OPEN","BLOCKED"))</x:f>
        <x:v>OPEN</x:v>
      </x:c>
      <x:c r="G1608" t="str">
        <x:v>equals</x:v>
      </x:c>
      <x:c r="H1608" t="str">
        <x:f>IF(E1608=F1608,"PASS","FAIL")</x:f>
        <x:v>PASS</x:v>
      </x:c>
    </x:row>
    <x:row r="1609">
      <x:c r="B1609" t="str">
        <x:v>A-1579</x:v>
      </x:c>
      <x:c r="C1609" t="str">
        <x:v>GATE</x:v>
      </x:c>
      <x:c r="D1609" t="str">
        <x:v>release ledger mirrors governing state</x:v>
      </x:c>
      <x:c r="E1609" t="str">
        <x:f>'Release Gates'!J1585</x:f>
        <x:v>OPEN</x:v>
      </x:c>
      <x:c r="F1609" t="str">
        <x:f>IF('Release Gates'!C1585="PLANNING","PASS",IF('Release Gates'!C1585="PHYSICAL","OPEN","BLOCKED"))</x:f>
        <x:v>OPEN</x:v>
      </x:c>
      <x:c r="G1609" t="str">
        <x:v>equals</x:v>
      </x:c>
      <x:c r="H1609" t="str">
        <x:f>IF(E1609=F1609,"PASS","FAIL")</x:f>
        <x:v>PASS</x:v>
      </x:c>
    </x:row>
    <x:row r="1610">
      <x:c r="B1610" t="str">
        <x:v>A-1580</x:v>
      </x:c>
      <x:c r="C1610" t="str">
        <x:v>GATE</x:v>
      </x:c>
      <x:c r="D1610" t="str">
        <x:v>release ledger mirrors governing state</x:v>
      </x:c>
      <x:c r="E1610" t="str">
        <x:f>'Release Gates'!J1586</x:f>
        <x:v>OPEN</x:v>
      </x:c>
      <x:c r="F1610" t="str">
        <x:f>IF('Release Gates'!C1586="PLANNING","PASS",IF('Release Gates'!C1586="PHYSICAL","OPEN","BLOCKED"))</x:f>
        <x:v>OPEN</x:v>
      </x:c>
      <x:c r="G1610" t="str">
        <x:v>equals</x:v>
      </x:c>
      <x:c r="H1610" t="str">
        <x:f>IF(E1610=F1610,"PASS","FAIL")</x:f>
        <x:v>PASS</x:v>
      </x:c>
    </x:row>
    <x:row r="1611">
      <x:c r="B1611" t="str">
        <x:v>A-1581</x:v>
      </x:c>
      <x:c r="C1611" t="str">
        <x:v>GATE</x:v>
      </x:c>
      <x:c r="D1611" t="str">
        <x:v>release ledger mirrors governing state</x:v>
      </x:c>
      <x:c r="E1611" t="str">
        <x:f>'Release Gates'!J1587</x:f>
        <x:v>OPEN</x:v>
      </x:c>
      <x:c r="F1611" t="str">
        <x:f>IF('Release Gates'!C1587="PLANNING","PASS",IF('Release Gates'!C1587="PHYSICAL","OPEN","BLOCKED"))</x:f>
        <x:v>OPEN</x:v>
      </x:c>
      <x:c r="G1611" t="str">
        <x:v>equals</x:v>
      </x:c>
      <x:c r="H1611" t="str">
        <x:f>IF(E1611=F1611,"PASS","FAIL")</x:f>
        <x:v>PASS</x:v>
      </x:c>
    </x:row>
    <x:row r="1612">
      <x:c r="B1612" t="str">
        <x:v>A-1582</x:v>
      </x:c>
      <x:c r="C1612" t="str">
        <x:v>GATE</x:v>
      </x:c>
      <x:c r="D1612" t="str">
        <x:v>release ledger mirrors governing state</x:v>
      </x:c>
      <x:c r="E1612" t="str">
        <x:f>'Release Gates'!J1588</x:f>
        <x:v>OPEN</x:v>
      </x:c>
      <x:c r="F1612" t="str">
        <x:f>IF('Release Gates'!C1588="PLANNING","PASS",IF('Release Gates'!C1588="PHYSICAL","OPEN","BLOCKED"))</x:f>
        <x:v>OPEN</x:v>
      </x:c>
      <x:c r="G1612" t="str">
        <x:v>equals</x:v>
      </x:c>
      <x:c r="H1612" t="str">
        <x:f>IF(E1612=F1612,"PASS","FAIL")</x:f>
        <x:v>PASS</x:v>
      </x:c>
    </x:row>
    <x:row r="1613">
      <x:c r="B1613" t="str">
        <x:v>A-1583</x:v>
      </x:c>
      <x:c r="C1613" t="str">
        <x:v>GATE</x:v>
      </x:c>
      <x:c r="D1613" t="str">
        <x:v>release ledger mirrors governing state</x:v>
      </x:c>
      <x:c r="E1613" t="str">
        <x:f>'Release Gates'!J1589</x:f>
        <x:v>OPEN</x:v>
      </x:c>
      <x:c r="F1613" t="str">
        <x:f>IF('Release Gates'!C1589="PLANNING","PASS",IF('Release Gates'!C1589="PHYSICAL","OPEN","BLOCKED"))</x:f>
        <x:v>OPEN</x:v>
      </x:c>
      <x:c r="G1613" t="str">
        <x:v>equals</x:v>
      </x:c>
      <x:c r="H1613" t="str">
        <x:f>IF(E1613=F1613,"PASS","FAIL")</x:f>
        <x:v>PASS</x:v>
      </x:c>
    </x:row>
    <x:row r="1614">
      <x:c r="B1614" t="str">
        <x:v>A-1584</x:v>
      </x:c>
      <x:c r="C1614" t="str">
        <x:v>GATE</x:v>
      </x:c>
      <x:c r="D1614" t="str">
        <x:v>release ledger mirrors governing state</x:v>
      </x:c>
      <x:c r="E1614" t="str">
        <x:f>'Release Gates'!J1590</x:f>
        <x:v>OPEN</x:v>
      </x:c>
      <x:c r="F1614" t="str">
        <x:f>IF('Release Gates'!C1590="PLANNING","PASS",IF('Release Gates'!C1590="PHYSICAL","OPEN","BLOCKED"))</x:f>
        <x:v>OPEN</x:v>
      </x:c>
      <x:c r="G1614" t="str">
        <x:v>equals</x:v>
      </x:c>
      <x:c r="H1614" t="str">
        <x:f>IF(E1614=F1614,"PASS","FAIL")</x:f>
        <x:v>PASS</x:v>
      </x:c>
    </x:row>
    <x:row r="1615">
      <x:c r="B1615" t="str">
        <x:v>A-1585</x:v>
      </x:c>
      <x:c r="C1615" t="str">
        <x:v>GATE</x:v>
      </x:c>
      <x:c r="D1615" t="str">
        <x:v>release ledger mirrors governing state</x:v>
      </x:c>
      <x:c r="E1615" t="str">
        <x:f>'Release Gates'!J1591</x:f>
        <x:v>OPEN</x:v>
      </x:c>
      <x:c r="F1615" t="str">
        <x:f>IF('Release Gates'!C1591="PLANNING","PASS",IF('Release Gates'!C1591="PHYSICAL","OPEN","BLOCKED"))</x:f>
        <x:v>OPEN</x:v>
      </x:c>
      <x:c r="G1615" t="str">
        <x:v>equals</x:v>
      </x:c>
      <x:c r="H1615" t="str">
        <x:f>IF(E1615=F1615,"PASS","FAIL")</x:f>
        <x:v>PASS</x:v>
      </x:c>
    </x:row>
    <x:row r="1616">
      <x:c r="B1616" t="str">
        <x:v>A-1586</x:v>
      </x:c>
      <x:c r="C1616" t="str">
        <x:v>GATE</x:v>
      </x:c>
      <x:c r="D1616" t="str">
        <x:v>release ledger mirrors governing state</x:v>
      </x:c>
      <x:c r="E1616" t="str">
        <x:f>'Release Gates'!J1592</x:f>
        <x:v>OPEN</x:v>
      </x:c>
      <x:c r="F1616" t="str">
        <x:f>IF('Release Gates'!C1592="PLANNING","PASS",IF('Release Gates'!C1592="PHYSICAL","OPEN","BLOCKED"))</x:f>
        <x:v>OPEN</x:v>
      </x:c>
      <x:c r="G1616" t="str">
        <x:v>equals</x:v>
      </x:c>
      <x:c r="H1616" t="str">
        <x:f>IF(E1616=F1616,"PASS","FAIL")</x:f>
        <x:v>PASS</x:v>
      </x:c>
    </x:row>
    <x:row r="1617">
      <x:c r="B1617" t="str">
        <x:v>A-1587</x:v>
      </x:c>
      <x:c r="C1617" t="str">
        <x:v>GATE</x:v>
      </x:c>
      <x:c r="D1617" t="str">
        <x:v>release ledger mirrors governing state</x:v>
      </x:c>
      <x:c r="E1617" t="str">
        <x:f>'Release Gates'!J1593</x:f>
        <x:v>OPEN</x:v>
      </x:c>
      <x:c r="F1617" t="str">
        <x:f>IF('Release Gates'!C1593="PLANNING","PASS",IF('Release Gates'!C1593="PHYSICAL","OPEN","BLOCKED"))</x:f>
        <x:v>OPEN</x:v>
      </x:c>
      <x:c r="G1617" t="str">
        <x:v>equals</x:v>
      </x:c>
      <x:c r="H1617" t="str">
        <x:f>IF(E1617=F1617,"PASS","FAIL")</x:f>
        <x:v>PASS</x:v>
      </x:c>
    </x:row>
    <x:row r="1618">
      <x:c r="B1618" t="str">
        <x:v>A-1588</x:v>
      </x:c>
      <x:c r="C1618" t="str">
        <x:v>GATE</x:v>
      </x:c>
      <x:c r="D1618" t="str">
        <x:v>release ledger mirrors governing state</x:v>
      </x:c>
      <x:c r="E1618" t="str">
        <x:f>'Release Gates'!J1594</x:f>
        <x:v>OPEN</x:v>
      </x:c>
      <x:c r="F1618" t="str">
        <x:f>IF('Release Gates'!C1594="PLANNING","PASS",IF('Release Gates'!C1594="PHYSICAL","OPEN","BLOCKED"))</x:f>
        <x:v>OPEN</x:v>
      </x:c>
      <x:c r="G1618" t="str">
        <x:v>equals</x:v>
      </x:c>
      <x:c r="H1618" t="str">
        <x:f>IF(E1618=F1618,"PASS","FAIL")</x:f>
        <x:v>PASS</x:v>
      </x:c>
    </x:row>
    <x:row r="1619">
      <x:c r="B1619" t="str">
        <x:v>A-1589</x:v>
      </x:c>
      <x:c r="C1619" t="str">
        <x:v>GATE</x:v>
      </x:c>
      <x:c r="D1619" t="str">
        <x:v>release ledger mirrors governing state</x:v>
      </x:c>
      <x:c r="E1619" t="str">
        <x:f>'Release Gates'!J1595</x:f>
        <x:v>OPEN</x:v>
      </x:c>
      <x:c r="F1619" t="str">
        <x:f>IF('Release Gates'!C1595="PLANNING","PASS",IF('Release Gates'!C1595="PHYSICAL","OPEN","BLOCKED"))</x:f>
        <x:v>OPEN</x:v>
      </x:c>
      <x:c r="G1619" t="str">
        <x:v>equals</x:v>
      </x:c>
      <x:c r="H1619" t="str">
        <x:f>IF(E1619=F1619,"PASS","FAIL")</x:f>
        <x:v>PASS</x:v>
      </x:c>
    </x:row>
    <x:row r="1620">
      <x:c r="B1620" t="str">
        <x:v>A-1590</x:v>
      </x:c>
      <x:c r="C1620" t="str">
        <x:v>GATE</x:v>
      </x:c>
      <x:c r="D1620" t="str">
        <x:v>release ledger mirrors governing state</x:v>
      </x:c>
      <x:c r="E1620" t="str">
        <x:f>'Release Gates'!J1596</x:f>
        <x:v>OPEN</x:v>
      </x:c>
      <x:c r="F1620" t="str">
        <x:f>IF('Release Gates'!C1596="PLANNING","PASS",IF('Release Gates'!C1596="PHYSICAL","OPEN","BLOCKED"))</x:f>
        <x:v>OPEN</x:v>
      </x:c>
      <x:c r="G1620" t="str">
        <x:v>equals</x:v>
      </x:c>
      <x:c r="H1620" t="str">
        <x:f>IF(E1620=F1620,"PASS","FAIL")</x:f>
        <x:v>PASS</x:v>
      </x:c>
    </x:row>
    <x:row r="1621">
      <x:c r="B1621" t="str">
        <x:v>A-1591</x:v>
      </x:c>
      <x:c r="C1621" t="str">
        <x:v>GATE</x:v>
      </x:c>
      <x:c r="D1621" t="str">
        <x:v>release ledger mirrors governing state</x:v>
      </x:c>
      <x:c r="E1621" t="str">
        <x:f>'Release Gates'!J1597</x:f>
        <x:v>OPEN</x:v>
      </x:c>
      <x:c r="F1621" t="str">
        <x:f>IF('Release Gates'!C1597="PLANNING","PASS",IF('Release Gates'!C1597="PHYSICAL","OPEN","BLOCKED"))</x:f>
        <x:v>OPEN</x:v>
      </x:c>
      <x:c r="G1621" t="str">
        <x:v>equals</x:v>
      </x:c>
      <x:c r="H1621" t="str">
        <x:f>IF(E1621=F1621,"PASS","FAIL")</x:f>
        <x:v>PASS</x:v>
      </x:c>
    </x:row>
    <x:row r="1622">
      <x:c r="B1622" t="str">
        <x:v>A-1592</x:v>
      </x:c>
      <x:c r="C1622" t="str">
        <x:v>GATE</x:v>
      </x:c>
      <x:c r="D1622" t="str">
        <x:v>release ledger mirrors governing state</x:v>
      </x:c>
      <x:c r="E1622" t="str">
        <x:f>'Release Gates'!J1598</x:f>
        <x:v>OPEN</x:v>
      </x:c>
      <x:c r="F1622" t="str">
        <x:f>IF('Release Gates'!C1598="PLANNING","PASS",IF('Release Gates'!C1598="PHYSICAL","OPEN","BLOCKED"))</x:f>
        <x:v>OPEN</x:v>
      </x:c>
      <x:c r="G1622" t="str">
        <x:v>equals</x:v>
      </x:c>
      <x:c r="H1622" t="str">
        <x:f>IF(E1622=F1622,"PASS","FAIL")</x:f>
        <x:v>PASS</x:v>
      </x:c>
    </x:row>
    <x:row r="1623">
      <x:c r="B1623" t="str">
        <x:v>A-1593</x:v>
      </x:c>
      <x:c r="C1623" t="str">
        <x:v>GATE</x:v>
      </x:c>
      <x:c r="D1623" t="str">
        <x:v>release ledger mirrors governing state</x:v>
      </x:c>
      <x:c r="E1623" t="str">
        <x:f>'Release Gates'!J1599</x:f>
        <x:v>OPEN</x:v>
      </x:c>
      <x:c r="F1623" t="str">
        <x:f>IF('Release Gates'!C1599="PLANNING","PASS",IF('Release Gates'!C1599="PHYSICAL","OPEN","BLOCKED"))</x:f>
        <x:v>OPEN</x:v>
      </x:c>
      <x:c r="G1623" t="str">
        <x:v>equals</x:v>
      </x:c>
      <x:c r="H1623" t="str">
        <x:f>IF(E1623=F1623,"PASS","FAIL")</x:f>
        <x:v>PASS</x:v>
      </x:c>
    </x:row>
    <x:row r="1624">
      <x:c r="B1624" t="str">
        <x:v>A-1594</x:v>
      </x:c>
      <x:c r="C1624" t="str">
        <x:v>GATE</x:v>
      </x:c>
      <x:c r="D1624" t="str">
        <x:v>release ledger mirrors governing state</x:v>
      </x:c>
      <x:c r="E1624" t="str">
        <x:f>'Release Gates'!J1600</x:f>
        <x:v>OPEN</x:v>
      </x:c>
      <x:c r="F1624" t="str">
        <x:f>IF('Release Gates'!C1600="PLANNING","PASS",IF('Release Gates'!C1600="PHYSICAL","OPEN","BLOCKED"))</x:f>
        <x:v>OPEN</x:v>
      </x:c>
      <x:c r="G1624" t="str">
        <x:v>equals</x:v>
      </x:c>
      <x:c r="H1624" t="str">
        <x:f>IF(E1624=F1624,"PASS","FAIL")</x:f>
        <x:v>PASS</x:v>
      </x:c>
    </x:row>
    <x:row r="1625">
      <x:c r="B1625" t="str">
        <x:v>A-1595</x:v>
      </x:c>
      <x:c r="C1625" t="str">
        <x:v>GATE</x:v>
      </x:c>
      <x:c r="D1625" t="str">
        <x:v>release ledger mirrors governing state</x:v>
      </x:c>
      <x:c r="E1625" t="str">
        <x:f>'Release Gates'!J1601</x:f>
        <x:v>OPEN</x:v>
      </x:c>
      <x:c r="F1625" t="str">
        <x:f>IF('Release Gates'!C1601="PLANNING","PASS",IF('Release Gates'!C1601="PHYSICAL","OPEN","BLOCKED"))</x:f>
        <x:v>OPEN</x:v>
      </x:c>
      <x:c r="G1625" t="str">
        <x:v>equals</x:v>
      </x:c>
      <x:c r="H1625" t="str">
        <x:f>IF(E1625=F1625,"PASS","FAIL")</x:f>
        <x:v>PASS</x:v>
      </x:c>
    </x:row>
    <x:row r="1626">
      <x:c r="B1626" t="str">
        <x:v>A-1596</x:v>
      </x:c>
      <x:c r="C1626" t="str">
        <x:v>GATE</x:v>
      </x:c>
      <x:c r="D1626" t="str">
        <x:v>release ledger mirrors governing state</x:v>
      </x:c>
      <x:c r="E1626" t="str">
        <x:f>'Release Gates'!J1602</x:f>
        <x:v>OPEN</x:v>
      </x:c>
      <x:c r="F1626" t="str">
        <x:f>IF('Release Gates'!C1602="PLANNING","PASS",IF('Release Gates'!C1602="PHYSICAL","OPEN","BLOCKED"))</x:f>
        <x:v>OPEN</x:v>
      </x:c>
      <x:c r="G1626" t="str">
        <x:v>equals</x:v>
      </x:c>
      <x:c r="H1626" t="str">
        <x:f>IF(E1626=F1626,"PASS","FAIL")</x:f>
        <x:v>PASS</x:v>
      </x:c>
    </x:row>
    <x:row r="1627">
      <x:c r="B1627" t="str">
        <x:v>A-1597</x:v>
      </x:c>
      <x:c r="C1627" t="str">
        <x:v>GATE</x:v>
      </x:c>
      <x:c r="D1627" t="str">
        <x:v>release ledger mirrors governing state</x:v>
      </x:c>
      <x:c r="E1627" t="str">
        <x:f>'Release Gates'!J1603</x:f>
        <x:v>OPEN</x:v>
      </x:c>
      <x:c r="F1627" t="str">
        <x:f>IF('Release Gates'!C1603="PLANNING","PASS",IF('Release Gates'!C1603="PHYSICAL","OPEN","BLOCKED"))</x:f>
        <x:v>OPEN</x:v>
      </x:c>
      <x:c r="G1627" t="str">
        <x:v>equals</x:v>
      </x:c>
      <x:c r="H1627" t="str">
        <x:f>IF(E1627=F1627,"PASS","FAIL")</x:f>
        <x:v>PASS</x:v>
      </x:c>
    </x:row>
    <x:row r="1628">
      <x:c r="B1628" t="str">
        <x:v>A-1598</x:v>
      </x:c>
      <x:c r="C1628" t="str">
        <x:v>GATE</x:v>
      </x:c>
      <x:c r="D1628" t="str">
        <x:v>release ledger mirrors governing state</x:v>
      </x:c>
      <x:c r="E1628" t="str">
        <x:f>'Release Gates'!J1604</x:f>
        <x:v>OPEN</x:v>
      </x:c>
      <x:c r="F1628" t="str">
        <x:f>IF('Release Gates'!C1604="PLANNING","PASS",IF('Release Gates'!C1604="PHYSICAL","OPEN","BLOCKED"))</x:f>
        <x:v>OPEN</x:v>
      </x:c>
      <x:c r="G1628" t="str">
        <x:v>equals</x:v>
      </x:c>
      <x:c r="H1628" t="str">
        <x:f>IF(E1628=F1628,"PASS","FAIL")</x:f>
        <x:v>PASS</x:v>
      </x:c>
    </x:row>
    <x:row r="1629">
      <x:c r="B1629" t="str">
        <x:v>A-1599</x:v>
      </x:c>
      <x:c r="C1629" t="str">
        <x:v>GATE</x:v>
      </x:c>
      <x:c r="D1629" t="str">
        <x:v>release ledger mirrors governing state</x:v>
      </x:c>
      <x:c r="E1629" t="str">
        <x:f>'Release Gates'!J1605</x:f>
        <x:v>OPEN</x:v>
      </x:c>
      <x:c r="F1629" t="str">
        <x:f>IF('Release Gates'!C1605="PLANNING","PASS",IF('Release Gates'!C1605="PHYSICAL","OPEN","BLOCKED"))</x:f>
        <x:v>OPEN</x:v>
      </x:c>
      <x:c r="G1629" t="str">
        <x:v>equals</x:v>
      </x:c>
      <x:c r="H1629" t="str">
        <x:f>IF(E1629=F1629,"PASS","FAIL")</x:f>
        <x:v>PASS</x:v>
      </x:c>
    </x:row>
    <x:row r="1630">
      <x:c r="B1630" t="str">
        <x:v>A-1600</x:v>
      </x:c>
      <x:c r="C1630" t="str">
        <x:v>GATE</x:v>
      </x:c>
      <x:c r="D1630" t="str">
        <x:v>release ledger mirrors governing state</x:v>
      </x:c>
      <x:c r="E1630" t="str">
        <x:f>'Release Gates'!J1606</x:f>
        <x:v>OPEN</x:v>
      </x:c>
      <x:c r="F1630" t="str">
        <x:f>IF('Release Gates'!C1606="PLANNING","PASS",IF('Release Gates'!C1606="PHYSICAL","OPEN","BLOCKED"))</x:f>
        <x:v>OPEN</x:v>
      </x:c>
      <x:c r="G1630" t="str">
        <x:v>equals</x:v>
      </x:c>
      <x:c r="H1630" t="str">
        <x:f>IF(E1630=F1630,"PASS","FAIL")</x:f>
        <x:v>PASS</x:v>
      </x:c>
    </x:row>
    <x:row r="1631">
      <x:c r="B1631" t="str">
        <x:v>A-1601</x:v>
      </x:c>
      <x:c r="C1631" t="str">
        <x:v>GATE</x:v>
      </x:c>
      <x:c r="D1631" t="str">
        <x:v>release ledger mirrors governing state</x:v>
      </x:c>
      <x:c r="E1631" t="str">
        <x:f>'Release Gates'!J1607</x:f>
        <x:v>OPEN</x:v>
      </x:c>
      <x:c r="F1631" t="str">
        <x:f>IF('Release Gates'!C1607="PLANNING","PASS",IF('Release Gates'!C1607="PHYSICAL","OPEN","BLOCKED"))</x:f>
        <x:v>OPEN</x:v>
      </x:c>
      <x:c r="G1631" t="str">
        <x:v>equals</x:v>
      </x:c>
      <x:c r="H1631" t="str">
        <x:f>IF(E1631=F1631,"PASS","FAIL")</x:f>
        <x:v>PASS</x:v>
      </x:c>
    </x:row>
    <x:row r="1632">
      <x:c r="B1632" t="str">
        <x:v>A-1602</x:v>
      </x:c>
      <x:c r="C1632" t="str">
        <x:v>GATE</x:v>
      </x:c>
      <x:c r="D1632" t="str">
        <x:v>release ledger mirrors governing state</x:v>
      </x:c>
      <x:c r="E1632" t="str">
        <x:f>'Release Gates'!J1608</x:f>
        <x:v>OPEN</x:v>
      </x:c>
      <x:c r="F1632" t="str">
        <x:f>IF('Release Gates'!C1608="PLANNING","PASS",IF('Release Gates'!C1608="PHYSICAL","OPEN","BLOCKED"))</x:f>
        <x:v>OPEN</x:v>
      </x:c>
      <x:c r="G1632" t="str">
        <x:v>equals</x:v>
      </x:c>
      <x:c r="H1632" t="str">
        <x:f>IF(E1632=F1632,"PASS","FAIL")</x:f>
        <x:v>PASS</x:v>
      </x:c>
    </x:row>
    <x:row r="1633">
      <x:c r="B1633" t="str">
        <x:v>A-1603</x:v>
      </x:c>
      <x:c r="C1633" t="str">
        <x:v>GATE</x:v>
      </x:c>
      <x:c r="D1633" t="str">
        <x:v>release ledger mirrors governing state</x:v>
      </x:c>
      <x:c r="E1633" t="str">
        <x:f>'Release Gates'!J1609</x:f>
        <x:v>OPEN</x:v>
      </x:c>
      <x:c r="F1633" t="str">
        <x:f>IF('Release Gates'!C1609="PLANNING","PASS",IF('Release Gates'!C1609="PHYSICAL","OPEN","BLOCKED"))</x:f>
        <x:v>OPEN</x:v>
      </x:c>
      <x:c r="G1633" t="str">
        <x:v>equals</x:v>
      </x:c>
      <x:c r="H1633" t="str">
        <x:f>IF(E1633=F1633,"PASS","FAIL")</x:f>
        <x:v>PASS</x:v>
      </x:c>
    </x:row>
    <x:row r="1634">
      <x:c r="B1634" t="str">
        <x:v>A-1604</x:v>
      </x:c>
      <x:c r="C1634" t="str">
        <x:v>GATE</x:v>
      </x:c>
      <x:c r="D1634" t="str">
        <x:v>release ledger mirrors governing state</x:v>
      </x:c>
      <x:c r="E1634" t="str">
        <x:f>'Release Gates'!J1610</x:f>
        <x:v>OPEN</x:v>
      </x:c>
      <x:c r="F1634" t="str">
        <x:f>IF('Release Gates'!C1610="PLANNING","PASS",IF('Release Gates'!C1610="PHYSICAL","OPEN","BLOCKED"))</x:f>
        <x:v>OPEN</x:v>
      </x:c>
      <x:c r="G1634" t="str">
        <x:v>equals</x:v>
      </x:c>
      <x:c r="H1634" t="str">
        <x:f>IF(E1634=F1634,"PASS","FAIL")</x:f>
        <x:v>PASS</x:v>
      </x:c>
    </x:row>
    <x:row r="1635">
      <x:c r="B1635" t="str">
        <x:v>A-1605</x:v>
      </x:c>
      <x:c r="C1635" t="str">
        <x:v>GATE</x:v>
      </x:c>
      <x:c r="D1635" t="str">
        <x:v>release ledger mirrors governing state</x:v>
      </x:c>
      <x:c r="E1635" t="str">
        <x:f>'Release Gates'!J1611</x:f>
        <x:v>OPEN</x:v>
      </x:c>
      <x:c r="F1635" t="str">
        <x:f>IF('Release Gates'!C1611="PLANNING","PASS",IF('Release Gates'!C1611="PHYSICAL","OPEN","BLOCKED"))</x:f>
        <x:v>OPEN</x:v>
      </x:c>
      <x:c r="G1635" t="str">
        <x:v>equals</x:v>
      </x:c>
      <x:c r="H1635" t="str">
        <x:f>IF(E1635=F1635,"PASS","FAIL")</x:f>
        <x:v>PASS</x:v>
      </x:c>
    </x:row>
    <x:row r="1636">
      <x:c r="B1636" t="str">
        <x:v>A-1606</x:v>
      </x:c>
      <x:c r="C1636" t="str">
        <x:v>GATE</x:v>
      </x:c>
      <x:c r="D1636" t="str">
        <x:v>release ledger mirrors governing state</x:v>
      </x:c>
      <x:c r="E1636" t="str">
        <x:f>'Release Gates'!J1612</x:f>
        <x:v>OPEN</x:v>
      </x:c>
      <x:c r="F1636" t="str">
        <x:f>IF('Release Gates'!C1612="PLANNING","PASS",IF('Release Gates'!C1612="PHYSICAL","OPEN","BLOCKED"))</x:f>
        <x:v>OPEN</x:v>
      </x:c>
      <x:c r="G1636" t="str">
        <x:v>equals</x:v>
      </x:c>
      <x:c r="H1636" t="str">
        <x:f>IF(E1636=F1636,"PASS","FAIL")</x:f>
        <x:v>PASS</x:v>
      </x:c>
    </x:row>
    <x:row r="1637">
      <x:c r="B1637" t="str">
        <x:v>A-1607</x:v>
      </x:c>
      <x:c r="C1637" t="str">
        <x:v>GATE</x:v>
      </x:c>
      <x:c r="D1637" t="str">
        <x:v>release ledger mirrors governing state</x:v>
      </x:c>
      <x:c r="E1637" t="str">
        <x:f>'Release Gates'!J1613</x:f>
        <x:v>OPEN</x:v>
      </x:c>
      <x:c r="F1637" t="str">
        <x:f>IF('Release Gates'!C1613="PLANNING","PASS",IF('Release Gates'!C1613="PHYSICAL","OPEN","BLOCKED"))</x:f>
        <x:v>OPEN</x:v>
      </x:c>
      <x:c r="G1637" t="str">
        <x:v>equals</x:v>
      </x:c>
      <x:c r="H1637" t="str">
        <x:f>IF(E1637=F1637,"PASS","FAIL")</x:f>
        <x:v>PASS</x:v>
      </x:c>
    </x:row>
    <x:row r="1638">
      <x:c r="B1638" t="str">
        <x:v>A-1608</x:v>
      </x:c>
      <x:c r="C1638" t="str">
        <x:v>GATE</x:v>
      </x:c>
      <x:c r="D1638" t="str">
        <x:v>release ledger mirrors governing state</x:v>
      </x:c>
      <x:c r="E1638" t="str">
        <x:f>'Release Gates'!J1614</x:f>
        <x:v>OPEN</x:v>
      </x:c>
      <x:c r="F1638" t="str">
        <x:f>IF('Release Gates'!C1614="PLANNING","PASS",IF('Release Gates'!C1614="PHYSICAL","OPEN","BLOCKED"))</x:f>
        <x:v>OPEN</x:v>
      </x:c>
      <x:c r="G1638" t="str">
        <x:v>equals</x:v>
      </x:c>
      <x:c r="H1638" t="str">
        <x:f>IF(E1638=F1638,"PASS","FAIL")</x:f>
        <x:v>PASS</x:v>
      </x:c>
    </x:row>
    <x:row r="1639">
      <x:c r="B1639" t="str">
        <x:v>A-1609</x:v>
      </x:c>
      <x:c r="C1639" t="str">
        <x:v>GATE</x:v>
      </x:c>
      <x:c r="D1639" t="str">
        <x:v>release ledger mirrors governing state</x:v>
      </x:c>
      <x:c r="E1639" t="str">
        <x:f>'Release Gates'!J1615</x:f>
        <x:v>OPEN</x:v>
      </x:c>
      <x:c r="F1639" t="str">
        <x:f>IF('Release Gates'!C1615="PLANNING","PASS",IF('Release Gates'!C1615="PHYSICAL","OPEN","BLOCKED"))</x:f>
        <x:v>OPEN</x:v>
      </x:c>
      <x:c r="G1639" t="str">
        <x:v>equals</x:v>
      </x:c>
      <x:c r="H1639" t="str">
        <x:f>IF(E1639=F1639,"PASS","FAIL")</x:f>
        <x:v>PASS</x:v>
      </x:c>
    </x:row>
    <x:row r="1640">
      <x:c r="B1640" t="str">
        <x:v>A-1610</x:v>
      </x:c>
      <x:c r="C1640" t="str">
        <x:v>GATE</x:v>
      </x:c>
      <x:c r="D1640" t="str">
        <x:v>release ledger mirrors governing state</x:v>
      </x:c>
      <x:c r="E1640" t="str">
        <x:f>'Release Gates'!J1616</x:f>
        <x:v>OPEN</x:v>
      </x:c>
      <x:c r="F1640" t="str">
        <x:f>IF('Release Gates'!C1616="PLANNING","PASS",IF('Release Gates'!C1616="PHYSICAL","OPEN","BLOCKED"))</x:f>
        <x:v>OPEN</x:v>
      </x:c>
      <x:c r="G1640" t="str">
        <x:v>equals</x:v>
      </x:c>
      <x:c r="H1640" t="str">
        <x:f>IF(E1640=F1640,"PASS","FAIL")</x:f>
        <x:v>PASS</x:v>
      </x:c>
    </x:row>
    <x:row r="1641">
      <x:c r="B1641" t="str">
        <x:v>A-1611</x:v>
      </x:c>
      <x:c r="C1641" t="str">
        <x:v>GATE</x:v>
      </x:c>
      <x:c r="D1641" t="str">
        <x:v>release ledger mirrors governing state</x:v>
      </x:c>
      <x:c r="E1641" t="str">
        <x:f>'Release Gates'!J1617</x:f>
        <x:v>OPEN</x:v>
      </x:c>
      <x:c r="F1641" t="str">
        <x:f>IF('Release Gates'!C1617="PLANNING","PASS",IF('Release Gates'!C1617="PHYSICAL","OPEN","BLOCKED"))</x:f>
        <x:v>OPEN</x:v>
      </x:c>
      <x:c r="G1641" t="str">
        <x:v>equals</x:v>
      </x:c>
      <x:c r="H1641" t="str">
        <x:f>IF(E1641=F1641,"PASS","FAIL")</x:f>
        <x:v>PASS</x:v>
      </x:c>
    </x:row>
    <x:row r="1642">
      <x:c r="B1642" t="str">
        <x:v>A-1612</x:v>
      </x:c>
      <x:c r="C1642" t="str">
        <x:v>GATE</x:v>
      </x:c>
      <x:c r="D1642" t="str">
        <x:v>release ledger mirrors governing state</x:v>
      </x:c>
      <x:c r="E1642" t="str">
        <x:f>'Release Gates'!J1618</x:f>
        <x:v>OPEN</x:v>
      </x:c>
      <x:c r="F1642" t="str">
        <x:f>IF('Release Gates'!C1618="PLANNING","PASS",IF('Release Gates'!C1618="PHYSICAL","OPEN","BLOCKED"))</x:f>
        <x:v>OPEN</x:v>
      </x:c>
      <x:c r="G1642" t="str">
        <x:v>equals</x:v>
      </x:c>
      <x:c r="H1642" t="str">
        <x:f>IF(E1642=F1642,"PASS","FAIL")</x:f>
        <x:v>PASS</x:v>
      </x:c>
    </x:row>
    <x:row r="1643">
      <x:c r="B1643" t="str">
        <x:v>A-1613</x:v>
      </x:c>
      <x:c r="C1643" t="str">
        <x:v>GATE</x:v>
      </x:c>
      <x:c r="D1643" t="str">
        <x:v>release ledger mirrors governing state</x:v>
      </x:c>
      <x:c r="E1643" t="str">
        <x:f>'Release Gates'!J1619</x:f>
        <x:v>OPEN</x:v>
      </x:c>
      <x:c r="F1643" t="str">
        <x:f>IF('Release Gates'!C1619="PLANNING","PASS",IF('Release Gates'!C1619="PHYSICAL","OPEN","BLOCKED"))</x:f>
        <x:v>OPEN</x:v>
      </x:c>
      <x:c r="G1643" t="str">
        <x:v>equals</x:v>
      </x:c>
      <x:c r="H1643" t="str">
        <x:f>IF(E1643=F1643,"PASS","FAIL")</x:f>
        <x:v>PASS</x:v>
      </x:c>
    </x:row>
    <x:row r="1644">
      <x:c r="B1644" t="str">
        <x:v>A-1614</x:v>
      </x:c>
      <x:c r="C1644" t="str">
        <x:v>GATE</x:v>
      </x:c>
      <x:c r="D1644" t="str">
        <x:v>release ledger mirrors governing state</x:v>
      </x:c>
      <x:c r="E1644" t="str">
        <x:f>'Release Gates'!J1620</x:f>
        <x:v>OPEN</x:v>
      </x:c>
      <x:c r="F1644" t="str">
        <x:f>IF('Release Gates'!C1620="PLANNING","PASS",IF('Release Gates'!C1620="PHYSICAL","OPEN","BLOCKED"))</x:f>
        <x:v>OPEN</x:v>
      </x:c>
      <x:c r="G1644" t="str">
        <x:v>equals</x:v>
      </x:c>
      <x:c r="H1644" t="str">
        <x:f>IF(E1644=F1644,"PASS","FAIL")</x:f>
        <x:v>PASS</x:v>
      </x:c>
    </x:row>
    <x:row r="1645">
      <x:c r="B1645" t="str">
        <x:v>A-1615</x:v>
      </x:c>
      <x:c r="C1645" t="str">
        <x:v>GATE</x:v>
      </x:c>
      <x:c r="D1645" t="str">
        <x:v>release ledger mirrors governing state</x:v>
      </x:c>
      <x:c r="E1645" t="str">
        <x:f>'Release Gates'!J1621</x:f>
        <x:v>OPEN</x:v>
      </x:c>
      <x:c r="F1645" t="str">
        <x:f>IF('Release Gates'!C1621="PLANNING","PASS",IF('Release Gates'!C1621="PHYSICAL","OPEN","BLOCKED"))</x:f>
        <x:v>OPEN</x:v>
      </x:c>
      <x:c r="G1645" t="str">
        <x:v>equals</x:v>
      </x:c>
      <x:c r="H1645" t="str">
        <x:f>IF(E1645=F1645,"PASS","FAIL")</x:f>
        <x:v>PASS</x:v>
      </x:c>
    </x:row>
    <x:row r="1646">
      <x:c r="B1646" t="str">
        <x:v>A-1616</x:v>
      </x:c>
      <x:c r="C1646" t="str">
        <x:v>GATE</x:v>
      </x:c>
      <x:c r="D1646" t="str">
        <x:v>release ledger mirrors governing state</x:v>
      </x:c>
      <x:c r="E1646" t="str">
        <x:f>'Release Gates'!J1622</x:f>
        <x:v>OPEN</x:v>
      </x:c>
      <x:c r="F1646" t="str">
        <x:f>IF('Release Gates'!C1622="PLANNING","PASS",IF('Release Gates'!C1622="PHYSICAL","OPEN","BLOCKED"))</x:f>
        <x:v>OPEN</x:v>
      </x:c>
      <x:c r="G1646" t="str">
        <x:v>equals</x:v>
      </x:c>
      <x:c r="H1646" t="str">
        <x:f>IF(E1646=F1646,"PASS","FAIL")</x:f>
        <x:v>PASS</x:v>
      </x:c>
    </x:row>
    <x:row r="1647">
      <x:c r="B1647" t="str">
        <x:v>A-1617</x:v>
      </x:c>
      <x:c r="C1647" t="str">
        <x:v>GATE</x:v>
      </x:c>
      <x:c r="D1647" t="str">
        <x:v>release ledger mirrors governing state</x:v>
      </x:c>
      <x:c r="E1647" t="str">
        <x:f>'Release Gates'!J1623</x:f>
        <x:v>OPEN</x:v>
      </x:c>
      <x:c r="F1647" t="str">
        <x:f>IF('Release Gates'!C1623="PLANNING","PASS",IF('Release Gates'!C1623="PHYSICAL","OPEN","BLOCKED"))</x:f>
        <x:v>OPEN</x:v>
      </x:c>
      <x:c r="G1647" t="str">
        <x:v>equals</x:v>
      </x:c>
      <x:c r="H1647" t="str">
        <x:f>IF(E1647=F1647,"PASS","FAIL")</x:f>
        <x:v>PASS</x:v>
      </x:c>
    </x:row>
    <x:row r="1648">
      <x:c r="B1648" t="str">
        <x:v>A-1618</x:v>
      </x:c>
      <x:c r="C1648" t="str">
        <x:v>GATE</x:v>
      </x:c>
      <x:c r="D1648" t="str">
        <x:v>release ledger mirrors governing state</x:v>
      </x:c>
      <x:c r="E1648" t="str">
        <x:f>'Release Gates'!J1624</x:f>
        <x:v>OPEN</x:v>
      </x:c>
      <x:c r="F1648" t="str">
        <x:f>IF('Release Gates'!C1624="PLANNING","PASS",IF('Release Gates'!C1624="PHYSICAL","OPEN","BLOCKED"))</x:f>
        <x:v>OPEN</x:v>
      </x:c>
      <x:c r="G1648" t="str">
        <x:v>equals</x:v>
      </x:c>
      <x:c r="H1648" t="str">
        <x:f>IF(E1648=F1648,"PASS","FAIL")</x:f>
        <x:v>PASS</x:v>
      </x:c>
    </x:row>
    <x:row r="1649">
      <x:c r="B1649" t="str">
        <x:v>A-1619</x:v>
      </x:c>
      <x:c r="C1649" t="str">
        <x:v>GATE</x:v>
      </x:c>
      <x:c r="D1649" t="str">
        <x:v>release ledger mirrors governing state</x:v>
      </x:c>
      <x:c r="E1649" t="str">
        <x:f>'Release Gates'!J1625</x:f>
        <x:v>OPEN</x:v>
      </x:c>
      <x:c r="F1649" t="str">
        <x:f>IF('Release Gates'!C1625="PLANNING","PASS",IF('Release Gates'!C1625="PHYSICAL","OPEN","BLOCKED"))</x:f>
        <x:v>OPEN</x:v>
      </x:c>
      <x:c r="G1649" t="str">
        <x:v>equals</x:v>
      </x:c>
      <x:c r="H1649" t="str">
        <x:f>IF(E1649=F1649,"PASS","FAIL")</x:f>
        <x:v>PASS</x:v>
      </x:c>
    </x:row>
    <x:row r="1650">
      <x:c r="B1650" t="str">
        <x:v>A-1620</x:v>
      </x:c>
      <x:c r="C1650" t="str">
        <x:v>GATE</x:v>
      </x:c>
      <x:c r="D1650" t="str">
        <x:v>release ledger mirrors governing state</x:v>
      </x:c>
      <x:c r="E1650" t="str">
        <x:f>'Release Gates'!J1626</x:f>
        <x:v>OPEN</x:v>
      </x:c>
      <x:c r="F1650" t="str">
        <x:f>IF('Release Gates'!C1626="PLANNING","PASS",IF('Release Gates'!C1626="PHYSICAL","OPEN","BLOCKED"))</x:f>
        <x:v>OPEN</x:v>
      </x:c>
      <x:c r="G1650" t="str">
        <x:v>equals</x:v>
      </x:c>
      <x:c r="H1650" t="str">
        <x:f>IF(E1650=F1650,"PASS","FAIL")</x:f>
        <x:v>PASS</x:v>
      </x:c>
    </x:row>
    <x:row r="1651">
      <x:c r="B1651" t="str">
        <x:v>A-1621</x:v>
      </x:c>
      <x:c r="C1651" t="str">
        <x:v>GATE</x:v>
      </x:c>
      <x:c r="D1651" t="str">
        <x:v>release ledger mirrors governing state</x:v>
      </x:c>
      <x:c r="E1651" t="str">
        <x:f>'Release Gates'!J1627</x:f>
        <x:v>OPEN</x:v>
      </x:c>
      <x:c r="F1651" t="str">
        <x:f>IF('Release Gates'!C1627="PLANNING","PASS",IF('Release Gates'!C1627="PHYSICAL","OPEN","BLOCKED"))</x:f>
        <x:v>OPEN</x:v>
      </x:c>
      <x:c r="G1651" t="str">
        <x:v>equals</x:v>
      </x:c>
      <x:c r="H1651" t="str">
        <x:f>IF(E1651=F1651,"PASS","FAIL")</x:f>
        <x:v>PASS</x:v>
      </x:c>
    </x:row>
    <x:row r="1652">
      <x:c r="B1652" t="str">
        <x:v>A-1622</x:v>
      </x:c>
      <x:c r="C1652" t="str">
        <x:v>GATE</x:v>
      </x:c>
      <x:c r="D1652" t="str">
        <x:v>release ledger mirrors governing state</x:v>
      </x:c>
      <x:c r="E1652" t="str">
        <x:f>'Release Gates'!J1628</x:f>
        <x:v>OPEN</x:v>
      </x:c>
      <x:c r="F1652" t="str">
        <x:f>IF('Release Gates'!C1628="PLANNING","PASS",IF('Release Gates'!C1628="PHYSICAL","OPEN","BLOCKED"))</x:f>
        <x:v>OPEN</x:v>
      </x:c>
      <x:c r="G1652" t="str">
        <x:v>equals</x:v>
      </x:c>
      <x:c r="H1652" t="str">
        <x:f>IF(E1652=F1652,"PASS","FAIL")</x:f>
        <x:v>PASS</x:v>
      </x:c>
    </x:row>
    <x:row r="1653">
      <x:c r="B1653" t="str">
        <x:v>A-1623</x:v>
      </x:c>
      <x:c r="C1653" t="str">
        <x:v>GATE</x:v>
      </x:c>
      <x:c r="D1653" t="str">
        <x:v>release ledger mirrors governing state</x:v>
      </x:c>
      <x:c r="E1653" t="str">
        <x:f>'Release Gates'!J1629</x:f>
        <x:v>OPEN</x:v>
      </x:c>
      <x:c r="F1653" t="str">
        <x:f>IF('Release Gates'!C1629="PLANNING","PASS",IF('Release Gates'!C1629="PHYSICAL","OPEN","BLOCKED"))</x:f>
        <x:v>OPEN</x:v>
      </x:c>
      <x:c r="G1653" t="str">
        <x:v>equals</x:v>
      </x:c>
      <x:c r="H1653" t="str">
        <x:f>IF(E1653=F1653,"PASS","FAIL")</x:f>
        <x:v>PASS</x:v>
      </x:c>
    </x:row>
    <x:row r="1654">
      <x:c r="B1654" t="str">
        <x:v>A-1624</x:v>
      </x:c>
      <x:c r="C1654" t="str">
        <x:v>GATE</x:v>
      </x:c>
      <x:c r="D1654" t="str">
        <x:v>release ledger mirrors governing state</x:v>
      </x:c>
      <x:c r="E1654" t="str">
        <x:f>'Release Gates'!J1630</x:f>
        <x:v>OPEN</x:v>
      </x:c>
      <x:c r="F1654" t="str">
        <x:f>IF('Release Gates'!C1630="PLANNING","PASS",IF('Release Gates'!C1630="PHYSICAL","OPEN","BLOCKED"))</x:f>
        <x:v>OPEN</x:v>
      </x:c>
      <x:c r="G1654" t="str">
        <x:v>equals</x:v>
      </x:c>
      <x:c r="H1654" t="str">
        <x:f>IF(E1654=F1654,"PASS","FAIL")</x:f>
        <x:v>PASS</x:v>
      </x:c>
    </x:row>
    <x:row r="1655">
      <x:c r="B1655" t="str">
        <x:v>A-1625</x:v>
      </x:c>
      <x:c r="C1655" t="str">
        <x:v>GATE</x:v>
      </x:c>
      <x:c r="D1655" t="str">
        <x:v>release ledger mirrors governing state</x:v>
      </x:c>
      <x:c r="E1655" t="str">
        <x:f>'Release Gates'!J1631</x:f>
        <x:v>OPEN</x:v>
      </x:c>
      <x:c r="F1655" t="str">
        <x:f>IF('Release Gates'!C1631="PLANNING","PASS",IF('Release Gates'!C1631="PHYSICAL","OPEN","BLOCKED"))</x:f>
        <x:v>OPEN</x:v>
      </x:c>
      <x:c r="G1655" t="str">
        <x:v>equals</x:v>
      </x:c>
      <x:c r="H1655" t="str">
        <x:f>IF(E1655=F1655,"PASS","FAIL")</x:f>
        <x:v>PASS</x:v>
      </x:c>
    </x:row>
    <x:row r="1656">
      <x:c r="B1656" t="str">
        <x:v>A-1626</x:v>
      </x:c>
      <x:c r="C1656" t="str">
        <x:v>GATE</x:v>
      </x:c>
      <x:c r="D1656" t="str">
        <x:v>release ledger mirrors governing state</x:v>
      </x:c>
      <x:c r="E1656" t="str">
        <x:f>'Release Gates'!J1632</x:f>
        <x:v>OPEN</x:v>
      </x:c>
      <x:c r="F1656" t="str">
        <x:f>IF('Release Gates'!C1632="PLANNING","PASS",IF('Release Gates'!C1632="PHYSICAL","OPEN","BLOCKED"))</x:f>
        <x:v>OPEN</x:v>
      </x:c>
      <x:c r="G1656" t="str">
        <x:v>equals</x:v>
      </x:c>
      <x:c r="H1656" t="str">
        <x:f>IF(E1656=F1656,"PASS","FAIL")</x:f>
        <x:v>PASS</x:v>
      </x:c>
    </x:row>
    <x:row r="1657">
      <x:c r="B1657" t="str">
        <x:v>A-1627</x:v>
      </x:c>
      <x:c r="C1657" t="str">
        <x:v>GATE</x:v>
      </x:c>
      <x:c r="D1657" t="str">
        <x:v>release ledger mirrors governing state</x:v>
      </x:c>
      <x:c r="E1657" t="str">
        <x:f>'Release Gates'!J1633</x:f>
        <x:v>OPEN</x:v>
      </x:c>
      <x:c r="F1657" t="str">
        <x:f>IF('Release Gates'!C1633="PLANNING","PASS",IF('Release Gates'!C1633="PHYSICAL","OPEN","BLOCKED"))</x:f>
        <x:v>OPEN</x:v>
      </x:c>
      <x:c r="G1657" t="str">
        <x:v>equals</x:v>
      </x:c>
      <x:c r="H1657" t="str">
        <x:f>IF(E1657=F1657,"PASS","FAIL")</x:f>
        <x:v>PASS</x:v>
      </x:c>
    </x:row>
    <x:row r="1658">
      <x:c r="B1658" t="str">
        <x:v>A-1628</x:v>
      </x:c>
      <x:c r="C1658" t="str">
        <x:v>GATE</x:v>
      </x:c>
      <x:c r="D1658" t="str">
        <x:v>release ledger mirrors governing state</x:v>
      </x:c>
      <x:c r="E1658" t="str">
        <x:f>'Release Gates'!J1634</x:f>
        <x:v>OPEN</x:v>
      </x:c>
      <x:c r="F1658" t="str">
        <x:f>IF('Release Gates'!C1634="PLANNING","PASS",IF('Release Gates'!C1634="PHYSICAL","OPEN","BLOCKED"))</x:f>
        <x:v>OPEN</x:v>
      </x:c>
      <x:c r="G1658" t="str">
        <x:v>equals</x:v>
      </x:c>
      <x:c r="H1658" t="str">
        <x:f>IF(E1658=F1658,"PASS","FAIL")</x:f>
        <x:v>PASS</x:v>
      </x:c>
    </x:row>
    <x:row r="1659">
      <x:c r="B1659" t="str">
        <x:v>A-1629</x:v>
      </x:c>
      <x:c r="C1659" t="str">
        <x:v>GATE</x:v>
      </x:c>
      <x:c r="D1659" t="str">
        <x:v>release ledger mirrors governing state</x:v>
      </x:c>
      <x:c r="E1659" t="str">
        <x:f>'Release Gates'!J1635</x:f>
        <x:v>OPEN</x:v>
      </x:c>
      <x:c r="F1659" t="str">
        <x:f>IF('Release Gates'!C1635="PLANNING","PASS",IF('Release Gates'!C1635="PHYSICAL","OPEN","BLOCKED"))</x:f>
        <x:v>OPEN</x:v>
      </x:c>
      <x:c r="G1659" t="str">
        <x:v>equals</x:v>
      </x:c>
      <x:c r="H1659" t="str">
        <x:f>IF(E1659=F1659,"PASS","FAIL")</x:f>
        <x:v>PASS</x:v>
      </x:c>
    </x:row>
    <x:row r="1660">
      <x:c r="B1660" t="str">
        <x:v>A-1630</x:v>
      </x:c>
      <x:c r="C1660" t="str">
        <x:v>GATE</x:v>
      </x:c>
      <x:c r="D1660" t="str">
        <x:v>release ledger mirrors governing state</x:v>
      </x:c>
      <x:c r="E1660" t="str">
        <x:f>'Release Gates'!J1636</x:f>
        <x:v>OPEN</x:v>
      </x:c>
      <x:c r="F1660" t="str">
        <x:f>IF('Release Gates'!C1636="PLANNING","PASS",IF('Release Gates'!C1636="PHYSICAL","OPEN","BLOCKED"))</x:f>
        <x:v>OPEN</x:v>
      </x:c>
      <x:c r="G1660" t="str">
        <x:v>equals</x:v>
      </x:c>
      <x:c r="H1660" t="str">
        <x:f>IF(E1660=F1660,"PASS","FAIL")</x:f>
        <x:v>PASS</x:v>
      </x:c>
    </x:row>
    <x:row r="1661">
      <x:c r="B1661" t="str">
        <x:v>A-1631</x:v>
      </x:c>
      <x:c r="C1661" t="str">
        <x:v>GATE</x:v>
      </x:c>
      <x:c r="D1661" t="str">
        <x:v>release ledger mirrors governing state</x:v>
      </x:c>
      <x:c r="E1661" t="str">
        <x:f>'Release Gates'!J1637</x:f>
        <x:v>OPEN</x:v>
      </x:c>
      <x:c r="F1661" t="str">
        <x:f>IF('Release Gates'!C1637="PLANNING","PASS",IF('Release Gates'!C1637="PHYSICAL","OPEN","BLOCKED"))</x:f>
        <x:v>OPEN</x:v>
      </x:c>
      <x:c r="G1661" t="str">
        <x:v>equals</x:v>
      </x:c>
      <x:c r="H1661" t="str">
        <x:f>IF(E1661=F1661,"PASS","FAIL")</x:f>
        <x:v>PASS</x:v>
      </x:c>
    </x:row>
    <x:row r="1662">
      <x:c r="B1662" t="str">
        <x:v>A-1632</x:v>
      </x:c>
      <x:c r="C1662" t="str">
        <x:v>GATE</x:v>
      </x:c>
      <x:c r="D1662" t="str">
        <x:v>release ledger mirrors governing state</x:v>
      </x:c>
      <x:c r="E1662" t="str">
        <x:f>'Release Gates'!J1638</x:f>
        <x:v>OPEN</x:v>
      </x:c>
      <x:c r="F1662" t="str">
        <x:f>IF('Release Gates'!C1638="PLANNING","PASS",IF('Release Gates'!C1638="PHYSICAL","OPEN","BLOCKED"))</x:f>
        <x:v>OPEN</x:v>
      </x:c>
      <x:c r="G1662" t="str">
        <x:v>equals</x:v>
      </x:c>
      <x:c r="H1662" t="str">
        <x:f>IF(E1662=F1662,"PASS","FAIL")</x:f>
        <x:v>PASS</x:v>
      </x:c>
    </x:row>
    <x:row r="1663">
      <x:c r="B1663" t="str">
        <x:v>A-1633</x:v>
      </x:c>
      <x:c r="C1663" t="str">
        <x:v>GATE</x:v>
      </x:c>
      <x:c r="D1663" t="str">
        <x:v>release ledger mirrors governing state</x:v>
      </x:c>
      <x:c r="E1663" t="str">
        <x:f>'Release Gates'!J1639</x:f>
        <x:v>OPEN</x:v>
      </x:c>
      <x:c r="F1663" t="str">
        <x:f>IF('Release Gates'!C1639="PLANNING","PASS",IF('Release Gates'!C1639="PHYSICAL","OPEN","BLOCKED"))</x:f>
        <x:v>OPEN</x:v>
      </x:c>
      <x:c r="G1663" t="str">
        <x:v>equals</x:v>
      </x:c>
      <x:c r="H1663" t="str">
        <x:f>IF(E1663=F1663,"PASS","FAIL")</x:f>
        <x:v>PASS</x:v>
      </x:c>
    </x:row>
    <x:row r="1664">
      <x:c r="B1664" t="str">
        <x:v>A-1634</x:v>
      </x:c>
      <x:c r="C1664" t="str">
        <x:v>GATE</x:v>
      </x:c>
      <x:c r="D1664" t="str">
        <x:v>release ledger mirrors governing state</x:v>
      </x:c>
      <x:c r="E1664" t="str">
        <x:f>'Release Gates'!J1640</x:f>
        <x:v>OPEN</x:v>
      </x:c>
      <x:c r="F1664" t="str">
        <x:f>IF('Release Gates'!C1640="PLANNING","PASS",IF('Release Gates'!C1640="PHYSICAL","OPEN","BLOCKED"))</x:f>
        <x:v>OPEN</x:v>
      </x:c>
      <x:c r="G1664" t="str">
        <x:v>equals</x:v>
      </x:c>
      <x:c r="H1664" t="str">
        <x:f>IF(E1664=F1664,"PASS","FAIL")</x:f>
        <x:v>PASS</x:v>
      </x:c>
    </x:row>
    <x:row r="1665">
      <x:c r="B1665" t="str">
        <x:v>A-1635</x:v>
      </x:c>
      <x:c r="C1665" t="str">
        <x:v>GATE</x:v>
      </x:c>
      <x:c r="D1665" t="str">
        <x:v>release ledger mirrors governing state</x:v>
      </x:c>
      <x:c r="E1665" t="str">
        <x:f>'Release Gates'!J1641</x:f>
        <x:v>OPEN</x:v>
      </x:c>
      <x:c r="F1665" t="str">
        <x:f>IF('Release Gates'!C1641="PLANNING","PASS",IF('Release Gates'!C1641="PHYSICAL","OPEN","BLOCKED"))</x:f>
        <x:v>OPEN</x:v>
      </x:c>
      <x:c r="G1665" t="str">
        <x:v>equals</x:v>
      </x:c>
      <x:c r="H1665" t="str">
        <x:f>IF(E1665=F1665,"PASS","FAIL")</x:f>
        <x:v>PASS</x:v>
      </x:c>
    </x:row>
    <x:row r="1666">
      <x:c r="B1666" t="str">
        <x:v>A-1636</x:v>
      </x:c>
      <x:c r="C1666" t="str">
        <x:v>GATE</x:v>
      </x:c>
      <x:c r="D1666" t="str">
        <x:v>release ledger mirrors governing state</x:v>
      </x:c>
      <x:c r="E1666" t="str">
        <x:f>'Release Gates'!J1642</x:f>
        <x:v>OPEN</x:v>
      </x:c>
      <x:c r="F1666" t="str">
        <x:f>IF('Release Gates'!C1642="PLANNING","PASS",IF('Release Gates'!C1642="PHYSICAL","OPEN","BLOCKED"))</x:f>
        <x:v>OPEN</x:v>
      </x:c>
      <x:c r="G1666" t="str">
        <x:v>equals</x:v>
      </x:c>
      <x:c r="H1666" t="str">
        <x:f>IF(E1666=F1666,"PASS","FAIL")</x:f>
        <x:v>PASS</x:v>
      </x:c>
    </x:row>
    <x:row r="1667">
      <x:c r="B1667" t="str">
        <x:v>A-1637</x:v>
      </x:c>
      <x:c r="C1667" t="str">
        <x:v>GATE</x:v>
      </x:c>
      <x:c r="D1667" t="str">
        <x:v>release ledger mirrors governing state</x:v>
      </x:c>
      <x:c r="E1667" t="str">
        <x:f>'Release Gates'!J1643</x:f>
        <x:v>OPEN</x:v>
      </x:c>
      <x:c r="F1667" t="str">
        <x:f>IF('Release Gates'!C1643="PLANNING","PASS",IF('Release Gates'!C1643="PHYSICAL","OPEN","BLOCKED"))</x:f>
        <x:v>OPEN</x:v>
      </x:c>
      <x:c r="G1667" t="str">
        <x:v>equals</x:v>
      </x:c>
      <x:c r="H1667" t="str">
        <x:f>IF(E1667=F1667,"PASS","FAIL")</x:f>
        <x:v>PASS</x:v>
      </x:c>
    </x:row>
    <x:row r="1668">
      <x:c r="B1668" t="str">
        <x:v>A-1638</x:v>
      </x:c>
      <x:c r="C1668" t="str">
        <x:v>GATE</x:v>
      </x:c>
      <x:c r="D1668" t="str">
        <x:v>release ledger mirrors governing state</x:v>
      </x:c>
      <x:c r="E1668" t="str">
        <x:f>'Release Gates'!J1644</x:f>
        <x:v>OPEN</x:v>
      </x:c>
      <x:c r="F1668" t="str">
        <x:f>IF('Release Gates'!C1644="PLANNING","PASS",IF('Release Gates'!C1644="PHYSICAL","OPEN","BLOCKED"))</x:f>
        <x:v>OPEN</x:v>
      </x:c>
      <x:c r="G1668" t="str">
        <x:v>equals</x:v>
      </x:c>
      <x:c r="H1668" t="str">
        <x:f>IF(E1668=F1668,"PASS","FAIL")</x:f>
        <x:v>PASS</x:v>
      </x:c>
    </x:row>
    <x:row r="1669">
      <x:c r="B1669" t="str">
        <x:v>A-1639</x:v>
      </x:c>
      <x:c r="C1669" t="str">
        <x:v>GATE</x:v>
      </x:c>
      <x:c r="D1669" t="str">
        <x:v>release ledger mirrors governing state</x:v>
      </x:c>
      <x:c r="E1669" t="str">
        <x:f>'Release Gates'!J1645</x:f>
        <x:v>OPEN</x:v>
      </x:c>
      <x:c r="F1669" t="str">
        <x:f>IF('Release Gates'!C1645="PLANNING","PASS",IF('Release Gates'!C1645="PHYSICAL","OPEN","BLOCKED"))</x:f>
        <x:v>OPEN</x:v>
      </x:c>
      <x:c r="G1669" t="str">
        <x:v>equals</x:v>
      </x:c>
      <x:c r="H1669" t="str">
        <x:f>IF(E1669=F1669,"PASS","FAIL")</x:f>
        <x:v>PASS</x:v>
      </x:c>
    </x:row>
    <x:row r="1670">
      <x:c r="B1670" t="str">
        <x:v>A-1640</x:v>
      </x:c>
      <x:c r="C1670" t="str">
        <x:v>GATE</x:v>
      </x:c>
      <x:c r="D1670" t="str">
        <x:v>release ledger mirrors governing state</x:v>
      </x:c>
      <x:c r="E1670" t="str">
        <x:f>'Release Gates'!J1646</x:f>
        <x:v>OPEN</x:v>
      </x:c>
      <x:c r="F1670" t="str">
        <x:f>IF('Release Gates'!C1646="PLANNING","PASS",IF('Release Gates'!C1646="PHYSICAL","OPEN","BLOCKED"))</x:f>
        <x:v>OPEN</x:v>
      </x:c>
      <x:c r="G1670" t="str">
        <x:v>equals</x:v>
      </x:c>
      <x:c r="H1670" t="str">
        <x:f>IF(E1670=F1670,"PASS","FAIL")</x:f>
        <x:v>PASS</x:v>
      </x:c>
    </x:row>
    <x:row r="1671">
      <x:c r="B1671" t="str">
        <x:v>A-1641</x:v>
      </x:c>
      <x:c r="C1671" t="str">
        <x:v>GATE</x:v>
      </x:c>
      <x:c r="D1671" t="str">
        <x:v>release ledger mirrors governing state</x:v>
      </x:c>
      <x:c r="E1671" t="str">
        <x:f>'Release Gates'!J1647</x:f>
        <x:v>OPEN</x:v>
      </x:c>
      <x:c r="F1671" t="str">
        <x:f>IF('Release Gates'!C1647="PLANNING","PASS",IF('Release Gates'!C1647="PHYSICAL","OPEN","BLOCKED"))</x:f>
        <x:v>OPEN</x:v>
      </x:c>
      <x:c r="G1671" t="str">
        <x:v>equals</x:v>
      </x:c>
      <x:c r="H1671" t="str">
        <x:f>IF(E1671=F1671,"PASS","FAIL")</x:f>
        <x:v>PASS</x:v>
      </x:c>
    </x:row>
    <x:row r="1672">
      <x:c r="B1672" t="str">
        <x:v>A-1642</x:v>
      </x:c>
      <x:c r="C1672" t="str">
        <x:v>GATE</x:v>
      </x:c>
      <x:c r="D1672" t="str">
        <x:v>release ledger mirrors governing state</x:v>
      </x:c>
      <x:c r="E1672" t="str">
        <x:f>'Release Gates'!J1648</x:f>
        <x:v>OPEN</x:v>
      </x:c>
      <x:c r="F1672" t="str">
        <x:f>IF('Release Gates'!C1648="PLANNING","PASS",IF('Release Gates'!C1648="PHYSICAL","OPEN","BLOCKED"))</x:f>
        <x:v>OPEN</x:v>
      </x:c>
      <x:c r="G1672" t="str">
        <x:v>equals</x:v>
      </x:c>
      <x:c r="H1672" t="str">
        <x:f>IF(E1672=F1672,"PASS","FAIL")</x:f>
        <x:v>PASS</x:v>
      </x:c>
    </x:row>
    <x:row r="1673">
      <x:c r="B1673" t="str">
        <x:v>A-1643</x:v>
      </x:c>
      <x:c r="C1673" t="str">
        <x:v>GATE</x:v>
      </x:c>
      <x:c r="D1673" t="str">
        <x:v>release ledger mirrors governing state</x:v>
      </x:c>
      <x:c r="E1673" t="str">
        <x:f>'Release Gates'!J1649</x:f>
        <x:v>OPEN</x:v>
      </x:c>
      <x:c r="F1673" t="str">
        <x:f>IF('Release Gates'!C1649="PLANNING","PASS",IF('Release Gates'!C1649="PHYSICAL","OPEN","BLOCKED"))</x:f>
        <x:v>OPEN</x:v>
      </x:c>
      <x:c r="G1673" t="str">
        <x:v>equals</x:v>
      </x:c>
      <x:c r="H1673" t="str">
        <x:f>IF(E1673=F1673,"PASS","FAIL")</x:f>
        <x:v>PASS</x:v>
      </x:c>
    </x:row>
    <x:row r="1674">
      <x:c r="B1674" t="str">
        <x:v>A-1644</x:v>
      </x:c>
      <x:c r="C1674" t="str">
        <x:v>GATE</x:v>
      </x:c>
      <x:c r="D1674" t="str">
        <x:v>release ledger mirrors governing state</x:v>
      </x:c>
      <x:c r="E1674" t="str">
        <x:f>'Release Gates'!J1650</x:f>
        <x:v>OPEN</x:v>
      </x:c>
      <x:c r="F1674" t="str">
        <x:f>IF('Release Gates'!C1650="PLANNING","PASS",IF('Release Gates'!C1650="PHYSICAL","OPEN","BLOCKED"))</x:f>
        <x:v>OPEN</x:v>
      </x:c>
      <x:c r="G1674" t="str">
        <x:v>equals</x:v>
      </x:c>
      <x:c r="H1674" t="str">
        <x:f>IF(E1674=F1674,"PASS","FAIL")</x:f>
        <x:v>PASS</x:v>
      </x:c>
    </x:row>
    <x:row r="1675">
      <x:c r="B1675" t="str">
        <x:v>A-1645</x:v>
      </x:c>
      <x:c r="C1675" t="str">
        <x:v>GATE</x:v>
      </x:c>
      <x:c r="D1675" t="str">
        <x:v>release ledger mirrors governing state</x:v>
      </x:c>
      <x:c r="E1675" t="str">
        <x:f>'Release Gates'!J1651</x:f>
        <x:v>OPEN</x:v>
      </x:c>
      <x:c r="F1675" t="str">
        <x:f>IF('Release Gates'!C1651="PLANNING","PASS",IF('Release Gates'!C1651="PHYSICAL","OPEN","BLOCKED"))</x:f>
        <x:v>OPEN</x:v>
      </x:c>
      <x:c r="G1675" t="str">
        <x:v>equals</x:v>
      </x:c>
      <x:c r="H1675" t="str">
        <x:f>IF(E1675=F1675,"PASS","FAIL")</x:f>
        <x:v>PASS</x:v>
      </x:c>
    </x:row>
    <x:row r="1676">
      <x:c r="B1676" t="str">
        <x:v>A-1646</x:v>
      </x:c>
      <x:c r="C1676" t="str">
        <x:v>GATE</x:v>
      </x:c>
      <x:c r="D1676" t="str">
        <x:v>release ledger mirrors governing state</x:v>
      </x:c>
      <x:c r="E1676" t="str">
        <x:f>'Release Gates'!J1652</x:f>
        <x:v>BLOCKED</x:v>
      </x:c>
      <x:c r="F1676" t="str">
        <x:f>IF('Release Gates'!C1652="PLANNING","PASS",IF('Release Gates'!C1652="PHYSICAL","OPEN","BLOCKED"))</x:f>
        <x:v>BLOCKED</x:v>
      </x:c>
      <x:c r="G1676" t="str">
        <x:v>equals</x:v>
      </x:c>
      <x:c r="H1676" t="str">
        <x:f>IF(E1676=F1676,"PASS","FAIL")</x:f>
        <x:v>PASS</x:v>
      </x:c>
    </x:row>
    <x:row r="1677">
      <x:c r="B1677" t="str">
        <x:v>A-1647</x:v>
      </x:c>
      <x:c r="C1677" t="str">
        <x:v>GATE</x:v>
      </x:c>
      <x:c r="D1677" t="str">
        <x:v>release ledger mirrors governing state</x:v>
      </x:c>
      <x:c r="E1677" t="str">
        <x:f>'Release Gates'!J1653</x:f>
        <x:v>BLOCKED</x:v>
      </x:c>
      <x:c r="F1677" t="str">
        <x:f>IF('Release Gates'!C1653="PLANNING","PASS",IF('Release Gates'!C1653="PHYSICAL","OPEN","BLOCKED"))</x:f>
        <x:v>BLOCKED</x:v>
      </x:c>
      <x:c r="G1677" t="str">
        <x:v>equals</x:v>
      </x:c>
      <x:c r="H1677" t="str">
        <x:f>IF(E1677=F1677,"PASS","FAIL")</x:f>
        <x:v>PASS</x:v>
      </x:c>
    </x:row>
    <x:row r="1678">
      <x:c r="B1678" t="str">
        <x:v>A-1648</x:v>
      </x:c>
      <x:c r="C1678" t="str">
        <x:v>GATE</x:v>
      </x:c>
      <x:c r="D1678" t="str">
        <x:v>release ledger mirrors governing state</x:v>
      </x:c>
      <x:c r="E1678" t="str">
        <x:f>'Release Gates'!J1654</x:f>
        <x:v>BLOCKED</x:v>
      </x:c>
      <x:c r="F1678" t="str">
        <x:f>IF('Release Gates'!C1654="PLANNING","PASS",IF('Release Gates'!C1654="PHYSICAL","OPEN","BLOCKED"))</x:f>
        <x:v>BLOCKED</x:v>
      </x:c>
      <x:c r="G1678" t="str">
        <x:v>equals</x:v>
      </x:c>
      <x:c r="H1678" t="str">
        <x:f>IF(E1678=F1678,"PASS","FAIL")</x:f>
        <x:v>PASS</x:v>
      </x:c>
    </x:row>
    <x:row r="1679">
      <x:c r="B1679" t="str">
        <x:v>A-1649</x:v>
      </x:c>
      <x:c r="C1679" t="str">
        <x:v>GATE</x:v>
      </x:c>
      <x:c r="D1679" t="str">
        <x:v>release ledger mirrors governing state</x:v>
      </x:c>
      <x:c r="E1679" t="str">
        <x:f>'Release Gates'!J1655</x:f>
        <x:v>BLOCKED</x:v>
      </x:c>
      <x:c r="F1679" t="str">
        <x:f>IF('Release Gates'!C1655="PLANNING","PASS",IF('Release Gates'!C1655="PHYSICAL","OPEN","BLOCKED"))</x:f>
        <x:v>BLOCKED</x:v>
      </x:c>
      <x:c r="G1679" t="str">
        <x:v>equals</x:v>
      </x:c>
      <x:c r="H1679" t="str">
        <x:f>IF(E1679=F1679,"PASS","FAIL")</x:f>
        <x:v>PASS</x:v>
      </x:c>
    </x:row>
    <x:row r="1680">
      <x:c r="B1680" t="str">
        <x:v>A-1650</x:v>
      </x:c>
      <x:c r="C1680" t="str">
        <x:v>GATE</x:v>
      </x:c>
      <x:c r="D1680" t="str">
        <x:v>release ledger mirrors governing state</x:v>
      </x:c>
      <x:c r="E1680" t="str">
        <x:f>'Release Gates'!J1656</x:f>
        <x:v>BLOCKED</x:v>
      </x:c>
      <x:c r="F1680" t="str">
        <x:f>IF('Release Gates'!C1656="PLANNING","PASS",IF('Release Gates'!C1656="PHYSICAL","OPEN","BLOCKED"))</x:f>
        <x:v>BLOCKED</x:v>
      </x:c>
      <x:c r="G1680" t="str">
        <x:v>equals</x:v>
      </x:c>
      <x:c r="H1680" t="str">
        <x:f>IF(E1680=F1680,"PASS","FAIL")</x:f>
        <x:v>PASS</x:v>
      </x:c>
    </x:row>
    <x:row r="1681">
      <x:c r="B1681" t="str">
        <x:v>A-1651</x:v>
      </x:c>
      <x:c r="C1681" t="str">
        <x:v>GATE</x:v>
      </x:c>
      <x:c r="D1681" t="str">
        <x:v>release ledger mirrors governing state</x:v>
      </x:c>
      <x:c r="E1681" t="str">
        <x:f>'Release Gates'!J1657</x:f>
        <x:v>BLOCKED</x:v>
      </x:c>
      <x:c r="F1681" t="str">
        <x:f>IF('Release Gates'!C1657="PLANNING","PASS",IF('Release Gates'!C1657="PHYSICAL","OPEN","BLOCKED"))</x:f>
        <x:v>BLOCKED</x:v>
      </x:c>
      <x:c r="G1681" t="str">
        <x:v>equals</x:v>
      </x:c>
      <x:c r="H1681" t="str">
        <x:f>IF(E1681=F1681,"PASS","FAIL")</x:f>
        <x:v>PASS</x:v>
      </x:c>
    </x:row>
    <x:row r="1682">
      <x:c r="B1682" t="str">
        <x:v>A-1652</x:v>
      </x:c>
      <x:c r="C1682" t="str">
        <x:v>GATE</x:v>
      </x:c>
      <x:c r="D1682" t="str">
        <x:v>release ledger mirrors governing state</x:v>
      </x:c>
      <x:c r="E1682" t="str">
        <x:f>'Release Gates'!J1658</x:f>
        <x:v>BLOCKED</x:v>
      </x:c>
      <x:c r="F1682" t="str">
        <x:f>IF('Release Gates'!C1658="PLANNING","PASS",IF('Release Gates'!C1658="PHYSICAL","OPEN","BLOCKED"))</x:f>
        <x:v>BLOCKED</x:v>
      </x:c>
      <x:c r="G1682" t="str">
        <x:v>equals</x:v>
      </x:c>
      <x:c r="H1682" t="str">
        <x:f>IF(E1682=F1682,"PASS","FAIL")</x:f>
        <x:v>PASS</x:v>
      </x:c>
    </x:row>
    <x:row r="1683">
      <x:c r="B1683" t="str">
        <x:v>A-1653</x:v>
      </x:c>
      <x:c r="C1683" t="str">
        <x:v>GATE</x:v>
      </x:c>
      <x:c r="D1683" t="str">
        <x:v>release ledger mirrors governing state</x:v>
      </x:c>
      <x:c r="E1683" t="str">
        <x:f>'Release Gates'!J1659</x:f>
        <x:v>BLOCKED</x:v>
      </x:c>
      <x:c r="F1683" t="str">
        <x:f>IF('Release Gates'!C1659="PLANNING","PASS",IF('Release Gates'!C1659="PHYSICAL","OPEN","BLOCKED"))</x:f>
        <x:v>BLOCKED</x:v>
      </x:c>
      <x:c r="G1683" t="str">
        <x:v>equals</x:v>
      </x:c>
      <x:c r="H1683" t="str">
        <x:f>IF(E1683=F1683,"PASS","FAIL")</x:f>
        <x:v>PASS</x:v>
      </x:c>
    </x:row>
    <x:row r="1684">
      <x:c r="B1684" t="str">
        <x:v>A-1654</x:v>
      </x:c>
      <x:c r="C1684" t="str">
        <x:v>GATE</x:v>
      </x:c>
      <x:c r="D1684" t="str">
        <x:v>release ledger mirrors governing state</x:v>
      </x:c>
      <x:c r="E1684" t="str">
        <x:f>'Release Gates'!J1660</x:f>
        <x:v>BLOCKED</x:v>
      </x:c>
      <x:c r="F1684" t="str">
        <x:f>IF('Release Gates'!C1660="PLANNING","PASS",IF('Release Gates'!C1660="PHYSICAL","OPEN","BLOCKED"))</x:f>
        <x:v>BLOCKED</x:v>
      </x:c>
      <x:c r="G1684" t="str">
        <x:v>equals</x:v>
      </x:c>
      <x:c r="H1684" t="str">
        <x:f>IF(E1684=F1684,"PASS","FAIL")</x:f>
        <x:v>PASS</x:v>
      </x:c>
    </x:row>
  </x:sheetData>
  <x:conditionalFormatting sqref="H7:H1684">
    <x:cfRule type="containsText" dxfId="136" priority="1" operator="containsText" text="FAIL"/>
    <x:cfRule type="containsText" dxfId="137" priority="2" operator="containsText" text="BLOCKED"/>
    <x:cfRule type="containsText" dxfId="138" priority="3" operator="containsText" text="REOPEN"/>
    <x:cfRule type="containsText" dxfId="139" priority="4" operator="containsText" text="OVERFLOW"/>
    <x:cfRule type="containsText" dxfId="140" priority="5" operator="containsText" text="OPEN"/>
    <x:cfRule type="containsText" dxfId="141" priority="6" operator="containsText" text="GAP"/>
    <x:cfRule type="containsText" dxfId="142" priority="7" operator="containsText" text="PASS"/>
    <x:cfRule type="containsText" dxfId="143" priority="8" operator="containsText" text="INVALID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6" hidden="0" customWidth="1"/>
    <x:col min="4" max="4" width="36" hidden="0" customWidth="1"/>
    <x:col min="5" max="5" width="55" hidden="0" customWidth="1"/>
    <x:col min="6" max="6" width="17" hidden="0" customWidth="1"/>
    <x:col min="7" max="7" width="15" hidden="0" customWidth="1"/>
  </x:cols>
  <x:sheetData>
    <x:row r="2">
      <x:c r="B2" s="1" t="str">
        <x:v>Authority and prohibition ledger</x:v>
      </x:c>
    </x:row>
    <x:row r="3">
      <x:c r="B3" s="2" t="str">
        <x:v>Workbook completion grants no method, source, candidate, production or rendering authority.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Authority object</x:v>
      </x:c>
      <x:c r="D6" s="7" t="str">
        <x:v>Owner</x:v>
      </x:c>
      <x:c r="E6" s="7" t="str">
        <x:v>Scope</x:v>
      </x:c>
      <x:c r="F6" s="7" t="str">
        <x:v>Current value</x:v>
      </x:c>
      <x:c r="G6" s="7" t="str">
        <x:v>State</x:v>
      </x:c>
    </x:row>
    <x:row r="7" ht="38" customHeight="1">
      <x:c r="B7" t="str">
        <x:v>AU-01</x:v>
      </x:c>
      <x:c r="C7" t="str">
        <x:v>Root A constitution</x:v>
      </x:c>
      <x:c r="D7" t="str">
        <x:v>RFA design authority</x:v>
      </x:c>
      <x:c r="E7" s="11" t="str">
        <x:v>planning objects and causal grammar</x:v>
      </x:c>
      <x:c r="F7" t="n">
        <x:v>1</x:v>
      </x:c>
      <x:c r="G7" t="str">
        <x:v>ACTIVE</x:v>
      </x:c>
    </x:row>
    <x:row r="8" ht="38" customHeight="1">
      <x:c r="B8" t="str">
        <x:v>AU-02</x:v>
      </x:c>
      <x:c r="C8" t="str">
        <x:v>method qualification</x:v>
      </x:c>
      <x:c r="D8" t="str">
        <x:v>independent method board</x:v>
      </x:c>
      <x:c r="E8" s="11" t="str">
        <x:v>ten physical methods</x:v>
      </x:c>
      <x:c r="F8" t="n">
        <x:v>0</x:v>
      </x:c>
      <x:c r="G8" t="str">
        <x:v>OPEN</x:v>
      </x:c>
    </x:row>
    <x:row r="9" ht="38" customHeight="1">
      <x:c r="B9" t="str">
        <x:v>AU-03</x:v>
      </x:c>
      <x:c r="C9" t="str">
        <x:v>environmental acceptance</x:v>
      </x:c>
      <x:c r="D9" t="str">
        <x:v>environmental evidence board</x:v>
      </x:c>
      <x:c r="E9" s="11" t="str">
        <x:v>source-water-runoff closure</x:v>
      </x:c>
      <x:c r="F9" t="n">
        <x:v>0</x:v>
      </x:c>
      <x:c r="G9" t="str">
        <x:v>OPEN</x:v>
      </x:c>
    </x:row>
    <x:row r="10" ht="38" customHeight="1">
      <x:c r="B10" t="str">
        <x:v>AU-04</x:v>
      </x:c>
      <x:c r="C10" t="str">
        <x:v>event validity</x:v>
      </x:c>
      <x:c r="D10" t="str">
        <x:v>validity board</x:v>
      </x:c>
      <x:c r="E10" s="11" t="str">
        <x:v>configuration through custody</x:v>
      </x:c>
      <x:c r="F10" t="n">
        <x:v>0</x:v>
      </x:c>
      <x:c r="G10" t="str">
        <x:v>OPEN</x:v>
      </x:c>
    </x:row>
    <x:row r="11" ht="38" customHeight="1">
      <x:c r="B11" t="str">
        <x:v>AU-05</x:v>
      </x:c>
      <x:c r="C11" t="str">
        <x:v>candidate outcome</x:v>
      </x:c>
      <x:c r="D11" t="str">
        <x:v>outcome board</x:v>
      </x:c>
      <x:c r="E11" s="11" t="str">
        <x:v>candidate performance after validity</x:v>
      </x:c>
      <x:c r="F11" t="n">
        <x:v>0</x:v>
      </x:c>
      <x:c r="G11" t="str">
        <x:v>OPEN</x:v>
      </x:c>
    </x:row>
    <x:row r="12" ht="38" customHeight="1">
      <x:c r="B12" t="str">
        <x:v>AU-06</x:v>
      </x:c>
      <x:c r="C12" t="str">
        <x:v>source and fire execution</x:v>
      </x:c>
      <x:c r="D12" t="str">
        <x:v>source-release board</x:v>
      </x:c>
      <x:c r="E12" s="11" t="str">
        <x:v>quarter, full and destructive source</x:v>
      </x:c>
      <x:c r="F12" t="n">
        <x:v>0</x:v>
      </x:c>
      <x:c r="G12" t="str">
        <x:v>BLOCKED</x:v>
      </x:c>
    </x:row>
    <x:row r="13" ht="38" customHeight="1">
      <x:c r="B13" t="str">
        <x:v>AU-07</x:v>
      </x:c>
      <x:c r="C13" t="str">
        <x:v>candidate selection</x:v>
      </x:c>
      <x:c r="D13" t="str">
        <x:v>independent selection board</x:v>
      </x:c>
      <x:c r="E13" s="11" t="str">
        <x:v>all roots, sites and challenges</x:v>
      </x:c>
      <x:c r="F13" t="n">
        <x:v>0</x:v>
      </x:c>
      <x:c r="G13" t="str">
        <x:v>BLOCKED</x:v>
      </x:c>
    </x:row>
    <x:row r="14" ht="38" customHeight="1">
      <x:c r="B14" t="str">
        <x:v>AU-08</x:v>
      </x:c>
      <x:c r="C14" t="str">
        <x:v>production</x:v>
      </x:c>
      <x:c r="D14" t="str">
        <x:v>Department acquisition authority</x:v>
      </x:c>
      <x:c r="E14" s="11" t="str">
        <x:v>Root A freeze and fleet use</x:v>
      </x:c>
      <x:c r="F14" t="n">
        <x:v>0</x:v>
      </x:c>
      <x:c r="G14" t="str">
        <x:v>BLOCKED</x:v>
      </x:c>
    </x:row>
    <x:row r="15" ht="38" customHeight="1">
      <x:c r="B15" t="str">
        <x:v>AU-09</x:v>
      </x:c>
      <x:c r="C15" t="str">
        <x:v>exterior rendering</x:v>
      </x:c>
      <x:c r="D15" t="str">
        <x:v>research-program authority</x:v>
      </x:c>
      <x:c r="E15" s="11" t="str">
        <x:v>form after physical learning</x:v>
      </x:c>
      <x:c r="F15" t="n">
        <x:v>0</x:v>
      </x:c>
      <x:c r="G15" t="str">
        <x:v>BLOCKED</x:v>
      </x:c>
    </x:row>
  </x:sheetData>
  <x:conditionalFormatting sqref="G7:G15">
    <x:cfRule type="containsText" dxfId="120" priority="1" operator="containsText" text="FAIL"/>
    <x:cfRule type="containsText" dxfId="121" priority="2" operator="containsText" text="BLOCKED"/>
    <x:cfRule type="containsText" dxfId="122" priority="3" operator="containsText" text="REOPEN"/>
    <x:cfRule type="containsText" dxfId="123" priority="4" operator="containsText" text="OVERFLOW"/>
    <x:cfRule type="containsText" dxfId="124" priority="5" operator="containsText" text="OPEN"/>
    <x:cfRule type="containsText" dxfId="125" priority="6" operator="containsText" text="GAP"/>
    <x:cfRule type="containsText" dxfId="126" priority="7" operator="containsText" text="PASS"/>
    <x:cfRule type="containsText" dxfId="127" priority="8" operator="containsText" text="INVALID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20" hidden="0" customWidth="1"/>
  </x:cols>
  <x:sheetData>
    <x:row r="2">
      <x:c r="B2" s="1" t="str">
        <x:v>Workbook use and authority</x:v>
      </x:c>
    </x:row>
    <x:row r="3">
      <x:c r="B3" s="2" t="str">
        <x:v>RFA-1 is a technology and method constitution. It does not qualify a method, execute a fire or select a candidate.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Topic</x:v>
      </x:c>
      <x:c r="C6" s="7" t="str">
        <x:v>Rule</x:v>
      </x:c>
    </x:row>
    <x:row r="7" ht="43" customHeight="1">
      <x:c r="B7" t="str">
        <x:v>Decision</x:v>
      </x:c>
      <x:c r="C7" s="11" t="str">
        <x:v>Carry three unlike complete-chain Root A architectures into a 306-event public campaign before selecting drainage, firewater, runoff or recovery form.</x:v>
      </x:c>
    </x:row>
    <x:row r="8" ht="43" customHeight="1">
      <x:c r="B8" t="str">
        <x:v>Physics</x:v>
      </x:c>
      <x:c r="C8" s="11" t="str">
        <x:v>A 2,000 kg source contains 85.176 GJ. A 25 m2 planning pool screens at approximately 58.559 MW heat release and 20.495 MW radiant power.</x:v>
      </x:c>
    </x:row>
    <x:row r="9" ht="43" customHeight="1">
      <x:c r="B9" t="str">
        <x:v>Water</x:v>
      </x:c>
      <x:c r="C9" s="11" t="str">
        <x:v>Firewater is an intervention with benefits and liabilities. Applied volume, recirculation, heat removal, source entrainment and vault margin remain separate.</x:v>
      </x:c>
    </x:row>
    <x:row r="10" ht="43" customHeight="1">
      <x:c r="B10" t="str">
        <x:v>Architectures</x:v>
      </x:c>
      <x:c r="C10" s="11" t="str">
        <x:v>AF-1 passive gravity; AF-2 cellular closed loop; AF-3 robotic capture and fractionation.</x:v>
      </x:c>
    </x:row>
    <x:row r="11" ht="43" customHeight="1">
      <x:c r="B11" t="str">
        <x:v>Campaign</x:v>
      </x:c>
      <x:c r="C11" s="11" t="str">
        <x:v>Six roots, two operational sites, eight paired challenges, development, destructive, reset and reconstruction work produce 306 events and 96 pairs.</x:v>
      </x:c>
    </x:row>
    <x:row r="12" ht="43" customHeight="1">
      <x:c r="B12" t="str">
        <x:v>Evidence</x:v>
      </x:c>
      <x:c r="C12" s="11" t="str">
        <x:v>Twenty functions and 480 channels follow source, water, heat, intervention, environment, recovery and custody.</x:v>
      </x:c>
    </x:row>
    <x:row r="13" ht="43" customHeight="1">
      <x:c r="B13" t="str">
        <x:v>Finance</x:v>
      </x:c>
      <x:c r="C13" s="11" t="str">
        <x:v>RFA-1 allocates USD 1,080 million capital and USD 178 million per year. Forty-two-month exposure is USD 1,703 million.</x:v>
      </x:c>
    </x:row>
    <x:row r="14" ht="43" customHeight="1">
      <x:c r="B14" t="str">
        <x:v>Authority</x:v>
      </x:c>
      <x:c r="C14" s="11" t="str">
        <x:v>Planning completeness is 521 of 521. Physical acceptance is 0 of 1,124. Nine downstream authorities remain blocked.</x:v>
      </x:c>
    </x:row>
    <x:row r="15" ht="43" customHeight="1">
      <x:c r="B15" t="str">
        <x:v>Rendering</x:v>
      </x:c>
      <x:c r="C15" s="11" t="str">
        <x:v>No exterior rendering is authorized. Coupled physical learning must precede external form.</x:v>
      </x:c>
    </x:row>
    <x:row r="16" ht="43" customHeight="1">
      <x:c r="B16" t="str">
        <x:v>Sources</x:v>
      </x:c>
      <x:c r="C16" s="11" t="str">
        <x:v>Internal authority only: CISA-1, PTC-0, RSP-1, MCR-1, SBD-1, RHE-1 and RHM-1. No external-site material is used.</x:v>
      </x:c>
    </x:row>
  </x:sheetData>
  <x:pageMargins left="0.7" right="0.7" top="0.75" bottom="0.75" header="0.3" footer="0.3"/>
</x:worksheet>
</file>